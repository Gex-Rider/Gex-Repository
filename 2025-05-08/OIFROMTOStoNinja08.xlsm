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750" windowWidth="5175" windowHeight="1905"/>
  </bookViews>
  <sheets>
    <sheet name="Hoja1" sheetId="1" r:id="rId1"/>
    <sheet name="Hoja2" sheetId="2" r:id="rId2"/>
  </sheets>
  <externalReferences>
    <externalReference r:id="rId3"/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C83" i="1" l="1"/>
  <c r="A45" i="1" l="1"/>
  <c r="A4" i="1"/>
  <c r="A1" i="2" l="1"/>
  <c r="X136" i="2" l="1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B84" i="2"/>
  <c r="B136" i="2" s="1"/>
  <c r="B44" i="2"/>
  <c r="C44" i="2" s="1"/>
  <c r="C84" i="2" s="1"/>
  <c r="C136" i="2" s="1"/>
  <c r="M44" i="2"/>
  <c r="O44" i="2" s="1"/>
  <c r="M3" i="2"/>
  <c r="O3" i="2" s="1"/>
  <c r="Q3" i="2" s="1"/>
  <c r="D44" i="2" l="1"/>
  <c r="Q44" i="2"/>
  <c r="S3" i="2"/>
  <c r="E44" i="2" l="1"/>
  <c r="E84" i="2" s="1"/>
  <c r="E136" i="2" s="1"/>
  <c r="D84" i="2"/>
  <c r="D136" i="2" s="1"/>
  <c r="F44" i="2"/>
  <c r="F84" i="2" s="1"/>
  <c r="F136" i="2" s="1"/>
  <c r="S44" i="2"/>
  <c r="U3" i="2"/>
  <c r="W3" i="2" s="1"/>
  <c r="U44" i="2" l="1"/>
  <c r="G44" i="2"/>
  <c r="G84" i="2" s="1"/>
  <c r="G136" i="2" s="1"/>
  <c r="H44" i="2" l="1"/>
  <c r="H84" i="2" s="1"/>
  <c r="H136" i="2" s="1"/>
  <c r="W44" i="2"/>
  <c r="I44" i="2" l="1"/>
  <c r="I84" i="2" s="1"/>
  <c r="I136" i="2" s="1"/>
  <c r="J44" i="2" l="1"/>
  <c r="J84" i="2" s="1"/>
  <c r="J136" i="2" s="1"/>
  <c r="C3" i="2" l="1"/>
  <c r="A136" i="2"/>
  <c r="A135" i="2"/>
  <c r="A134" i="2"/>
  <c r="A133" i="2"/>
  <c r="A132" i="2"/>
  <c r="A84" i="2"/>
  <c r="A83" i="2"/>
  <c r="A82" i="2"/>
  <c r="A81" i="2"/>
  <c r="A46" i="2"/>
  <c r="A44" i="2"/>
  <c r="B43" i="2" s="1"/>
  <c r="A43" i="2"/>
  <c r="A42" i="2"/>
  <c r="A41" i="2"/>
  <c r="A40" i="2"/>
  <c r="A5" i="2"/>
  <c r="A3" i="2"/>
  <c r="B2" i="2" s="1"/>
  <c r="C2" i="2" s="1"/>
  <c r="D2" i="2" s="1"/>
  <c r="E2" i="2" s="1"/>
  <c r="F2" i="2" s="1"/>
  <c r="G2" i="2" s="1"/>
  <c r="H2" i="2" s="1"/>
  <c r="I2" i="2" s="1"/>
  <c r="J2" i="2" s="1"/>
  <c r="K2" i="2" s="1"/>
  <c r="L2" i="2" s="1"/>
  <c r="C43" i="2" l="1"/>
  <c r="N2" i="2"/>
  <c r="M2" i="2"/>
  <c r="D3" i="2"/>
  <c r="D43" i="2" l="1"/>
  <c r="P2" i="2"/>
  <c r="O2" i="2"/>
  <c r="E3" i="2"/>
  <c r="A85" i="1"/>
  <c r="A86" i="2" s="1"/>
  <c r="E43" i="2" l="1"/>
  <c r="R2" i="2"/>
  <c r="Q2" i="2"/>
  <c r="F3" i="2"/>
  <c r="A137" i="1"/>
  <c r="A138" i="2" s="1"/>
  <c r="F43" i="2" l="1"/>
  <c r="T2" i="2"/>
  <c r="S2" i="2"/>
  <c r="G3" i="2"/>
  <c r="D2" i="1"/>
  <c r="D83" i="1" s="1"/>
  <c r="D135" i="1" s="1"/>
  <c r="G43" i="2" l="1"/>
  <c r="V2" i="2"/>
  <c r="U2" i="2"/>
  <c r="H3" i="2"/>
  <c r="AZ137" i="1"/>
  <c r="AZ45" i="1"/>
  <c r="AZ4" i="1"/>
  <c r="H1" i="2" l="1"/>
  <c r="H43" i="2"/>
  <c r="X2" i="2"/>
  <c r="W2" i="2"/>
  <c r="I3" i="2"/>
  <c r="I1" i="2" s="1"/>
  <c r="C2" i="1"/>
  <c r="C135" i="1" l="1"/>
  <c r="AU134" i="1" s="1"/>
  <c r="B1" i="2"/>
  <c r="N1" i="2"/>
  <c r="O1" i="2"/>
  <c r="P1" i="2"/>
  <c r="M1" i="2"/>
  <c r="R1" i="2"/>
  <c r="S1" i="2"/>
  <c r="T1" i="2"/>
  <c r="Q1" i="2"/>
  <c r="V1" i="2"/>
  <c r="W1" i="2"/>
  <c r="X1" i="2"/>
  <c r="U1" i="2"/>
  <c r="K1" i="2"/>
  <c r="L1" i="2"/>
  <c r="C1" i="2"/>
  <c r="D1" i="2"/>
  <c r="E1" i="2"/>
  <c r="F1" i="2"/>
  <c r="G1" i="2"/>
  <c r="I43" i="2"/>
  <c r="J3" i="2"/>
  <c r="J1" i="2" s="1"/>
  <c r="A138" i="1"/>
  <c r="A139" i="2" s="1"/>
  <c r="A46" i="1"/>
  <c r="A47" i="2" s="1"/>
  <c r="J43" i="2" l="1"/>
  <c r="A139" i="1"/>
  <c r="A140" i="2" s="1"/>
  <c r="AZ138" i="1"/>
  <c r="A47" i="1"/>
  <c r="A48" i="2" s="1"/>
  <c r="AZ46" i="1"/>
  <c r="K43" i="2" l="1"/>
  <c r="A140" i="1"/>
  <c r="A141" i="2" s="1"/>
  <c r="AZ139" i="1"/>
  <c r="A48" i="1"/>
  <c r="A49" i="2" s="1"/>
  <c r="AZ47" i="1"/>
  <c r="B2" i="1"/>
  <c r="B5" i="2"/>
  <c r="B141" i="2"/>
  <c r="B140" i="2"/>
  <c r="B48" i="2"/>
  <c r="B47" i="2"/>
  <c r="B49" i="2"/>
  <c r="B138" i="2"/>
  <c r="B139" i="2"/>
  <c r="B86" i="2"/>
  <c r="B46" i="2"/>
  <c r="B42" i="2" l="1"/>
  <c r="B82" i="2" s="1"/>
  <c r="B134" i="2" s="1"/>
  <c r="M43" i="2"/>
  <c r="L43" i="2"/>
  <c r="B43" i="1"/>
  <c r="B83" i="1"/>
  <c r="B135" i="1" s="1"/>
  <c r="A141" i="1"/>
  <c r="A142" i="2" s="1"/>
  <c r="AZ140" i="1"/>
  <c r="A49" i="1"/>
  <c r="A50" i="2" s="1"/>
  <c r="AZ48" i="1"/>
  <c r="DA1" i="1"/>
  <c r="DC1" i="1" s="1"/>
  <c r="DE1" i="1" s="1"/>
  <c r="EP1" i="1"/>
  <c r="EN1" i="1"/>
  <c r="EL1" i="1"/>
  <c r="EK1" i="1"/>
  <c r="EJ43" i="1"/>
  <c r="EI43" i="1"/>
  <c r="EH43" i="1"/>
  <c r="EG43" i="1"/>
  <c r="EF43" i="1"/>
  <c r="EE43" i="1"/>
  <c r="EJ42" i="1"/>
  <c r="EI42" i="1"/>
  <c r="EH42" i="1"/>
  <c r="EG42" i="1"/>
  <c r="EF42" i="1"/>
  <c r="EE42" i="1"/>
  <c r="EQ42" i="1"/>
  <c r="EP42" i="1"/>
  <c r="EO42" i="1"/>
  <c r="EN42" i="1"/>
  <c r="EM42" i="1"/>
  <c r="EL42" i="1"/>
  <c r="C86" i="2"/>
  <c r="C142" i="2"/>
  <c r="C49" i="2"/>
  <c r="C138" i="2"/>
  <c r="C140" i="2"/>
  <c r="C139" i="2"/>
  <c r="B142" i="2"/>
  <c r="C50" i="2"/>
  <c r="C5" i="2"/>
  <c r="C48" i="2"/>
  <c r="C141" i="2"/>
  <c r="C46" i="2"/>
  <c r="B50" i="2"/>
  <c r="C47" i="2"/>
  <c r="C42" i="2" l="1"/>
  <c r="C82" i="2" s="1"/>
  <c r="C134" i="2" s="1"/>
  <c r="N43" i="2"/>
  <c r="O43" i="2"/>
  <c r="A142" i="1"/>
  <c r="A143" i="2" s="1"/>
  <c r="AZ141" i="1"/>
  <c r="A50" i="1"/>
  <c r="A51" i="2" s="1"/>
  <c r="AZ49" i="1"/>
  <c r="ES2" i="1"/>
  <c r="EQ1" i="1"/>
  <c r="EO1" i="1"/>
  <c r="EM1" i="1"/>
  <c r="EE83" i="1"/>
  <c r="D86" i="2"/>
  <c r="D143" i="2"/>
  <c r="D140" i="2"/>
  <c r="D49" i="2"/>
  <c r="D51" i="2"/>
  <c r="B143" i="2"/>
  <c r="D50" i="2"/>
  <c r="D47" i="2"/>
  <c r="D5" i="2"/>
  <c r="D139" i="2"/>
  <c r="B51" i="2"/>
  <c r="D48" i="2"/>
  <c r="C51" i="2"/>
  <c r="C143" i="2"/>
  <c r="D142" i="2"/>
  <c r="D46" i="2"/>
  <c r="D138" i="2"/>
  <c r="D141" i="2"/>
  <c r="D42" i="2" l="1"/>
  <c r="D82" i="2" s="1"/>
  <c r="D134" i="2" s="1"/>
  <c r="Q43" i="2"/>
  <c r="P43" i="2"/>
  <c r="A143" i="1"/>
  <c r="A144" i="2" s="1"/>
  <c r="AZ142" i="1"/>
  <c r="A51" i="1"/>
  <c r="A52" i="2" s="1"/>
  <c r="AZ50" i="1"/>
  <c r="EE135" i="1"/>
  <c r="EF135" i="1" s="1"/>
  <c r="EG135" i="1" s="1"/>
  <c r="EH135" i="1" s="1"/>
  <c r="EI135" i="1" s="1"/>
  <c r="EJ135" i="1" s="1"/>
  <c r="EF83" i="1"/>
  <c r="E143" i="2"/>
  <c r="E5" i="2"/>
  <c r="E144" i="2"/>
  <c r="B144" i="2"/>
  <c r="D52" i="2"/>
  <c r="E140" i="2"/>
  <c r="E50" i="2"/>
  <c r="E86" i="2"/>
  <c r="E142" i="2"/>
  <c r="E49" i="2"/>
  <c r="E141" i="2"/>
  <c r="C144" i="2"/>
  <c r="D144" i="2"/>
  <c r="E46" i="2"/>
  <c r="E47" i="2"/>
  <c r="E139" i="2"/>
  <c r="E138" i="2"/>
  <c r="E51" i="2"/>
  <c r="B52" i="2"/>
  <c r="E52" i="2"/>
  <c r="C52" i="2"/>
  <c r="E48" i="2"/>
  <c r="E42" i="2" l="1"/>
  <c r="E82" i="2" s="1"/>
  <c r="E134" i="2" s="1"/>
  <c r="R43" i="2"/>
  <c r="S43" i="2"/>
  <c r="A144" i="1"/>
  <c r="A145" i="2" s="1"/>
  <c r="AZ143" i="1"/>
  <c r="A52" i="1"/>
  <c r="A53" i="2" s="1"/>
  <c r="AZ51" i="1"/>
  <c r="EG83" i="1"/>
  <c r="D145" i="2"/>
  <c r="F51" i="2"/>
  <c r="F144" i="2"/>
  <c r="F50" i="2"/>
  <c r="F145" i="2"/>
  <c r="E145" i="2"/>
  <c r="F138" i="2"/>
  <c r="C53" i="2"/>
  <c r="D53" i="2"/>
  <c r="F139" i="2"/>
  <c r="F47" i="2"/>
  <c r="F46" i="2"/>
  <c r="F48" i="2"/>
  <c r="F52" i="2"/>
  <c r="F53" i="2"/>
  <c r="F5" i="2"/>
  <c r="B145" i="2"/>
  <c r="C145" i="2"/>
  <c r="F141" i="2"/>
  <c r="B53" i="2"/>
  <c r="F142" i="2"/>
  <c r="F140" i="2"/>
  <c r="F86" i="2"/>
  <c r="F143" i="2"/>
  <c r="F49" i="2"/>
  <c r="E53" i="2"/>
  <c r="F42" i="2" l="1"/>
  <c r="F82" i="2" s="1"/>
  <c r="F134" i="2" s="1"/>
  <c r="U43" i="2"/>
  <c r="T43" i="2"/>
  <c r="A145" i="1"/>
  <c r="A146" i="2" s="1"/>
  <c r="AZ144" i="1"/>
  <c r="A53" i="1"/>
  <c r="A54" i="2" s="1"/>
  <c r="AZ52" i="1"/>
  <c r="EH83" i="1"/>
  <c r="E82" i="1"/>
  <c r="G142" i="2"/>
  <c r="G146" i="2"/>
  <c r="G138" i="2"/>
  <c r="E146" i="2"/>
  <c r="G145" i="2"/>
  <c r="C54" i="2"/>
  <c r="G49" i="2"/>
  <c r="D54" i="2"/>
  <c r="B146" i="2"/>
  <c r="G139" i="2"/>
  <c r="E54" i="2"/>
  <c r="G54" i="2"/>
  <c r="G143" i="2"/>
  <c r="G53" i="2"/>
  <c r="G51" i="2"/>
  <c r="E134" i="1"/>
  <c r="C146" i="2"/>
  <c r="B54" i="2"/>
  <c r="G5" i="2"/>
  <c r="G141" i="2"/>
  <c r="G47" i="2"/>
  <c r="G46" i="2"/>
  <c r="G50" i="2"/>
  <c r="G86" i="2"/>
  <c r="F54" i="2"/>
  <c r="D146" i="2"/>
  <c r="G48" i="2"/>
  <c r="G140" i="2"/>
  <c r="G144" i="2"/>
  <c r="F146" i="2"/>
  <c r="G52" i="2"/>
  <c r="A136" i="1" l="1"/>
  <c r="A84" i="1"/>
  <c r="G42" i="2"/>
  <c r="G82" i="2" s="1"/>
  <c r="G134" i="2" s="1"/>
  <c r="V43" i="2"/>
  <c r="W43" i="2"/>
  <c r="A146" i="1"/>
  <c r="A147" i="2" s="1"/>
  <c r="AZ145" i="1"/>
  <c r="A54" i="1"/>
  <c r="A55" i="2" s="1"/>
  <c r="AZ53" i="1"/>
  <c r="EI83" i="1"/>
  <c r="H51" i="2"/>
  <c r="H141" i="2"/>
  <c r="H53" i="2"/>
  <c r="D55" i="2"/>
  <c r="C147" i="2"/>
  <c r="H55" i="2"/>
  <c r="H144" i="2"/>
  <c r="C55" i="2"/>
  <c r="G147" i="2"/>
  <c r="D147" i="2"/>
  <c r="E147" i="2"/>
  <c r="H142" i="2"/>
  <c r="H140" i="2"/>
  <c r="H139" i="2"/>
  <c r="H146" i="2"/>
  <c r="H48" i="2"/>
  <c r="H86" i="2"/>
  <c r="H145" i="2"/>
  <c r="H5" i="2"/>
  <c r="H143" i="2"/>
  <c r="B147" i="2"/>
  <c r="G55" i="2"/>
  <c r="H54" i="2"/>
  <c r="H147" i="2"/>
  <c r="F55" i="2"/>
  <c r="H46" i="2"/>
  <c r="E55" i="2"/>
  <c r="H138" i="2"/>
  <c r="B55" i="2"/>
  <c r="H50" i="2"/>
  <c r="H49" i="2"/>
  <c r="H47" i="2"/>
  <c r="H52" i="2"/>
  <c r="F147" i="2"/>
  <c r="H42" i="2" l="1"/>
  <c r="H82" i="2" s="1"/>
  <c r="H134" i="2" s="1"/>
  <c r="X43" i="2"/>
  <c r="A147" i="1"/>
  <c r="A148" i="2" s="1"/>
  <c r="AZ146" i="1"/>
  <c r="A55" i="1"/>
  <c r="A56" i="2" s="1"/>
  <c r="AZ54" i="1"/>
  <c r="EJ83" i="1"/>
  <c r="I143" i="2"/>
  <c r="I138" i="2"/>
  <c r="C148" i="2"/>
  <c r="I144" i="2"/>
  <c r="E148" i="2"/>
  <c r="I49" i="2"/>
  <c r="I5" i="2"/>
  <c r="I86" i="2"/>
  <c r="H56" i="2"/>
  <c r="H148" i="2"/>
  <c r="I142" i="2"/>
  <c r="I147" i="2"/>
  <c r="I145" i="2"/>
  <c r="D148" i="2"/>
  <c r="I55" i="2"/>
  <c r="G56" i="2"/>
  <c r="I141" i="2"/>
  <c r="F56" i="2"/>
  <c r="I47" i="2"/>
  <c r="I51" i="2"/>
  <c r="C56" i="2"/>
  <c r="I139" i="2"/>
  <c r="G148" i="2"/>
  <c r="I148" i="2"/>
  <c r="I46" i="2"/>
  <c r="I52" i="2"/>
  <c r="E56" i="2"/>
  <c r="I53" i="2"/>
  <c r="D56" i="2"/>
  <c r="I146" i="2"/>
  <c r="B56" i="2"/>
  <c r="F148" i="2"/>
  <c r="I140" i="2"/>
  <c r="I54" i="2"/>
  <c r="I50" i="2"/>
  <c r="I48" i="2"/>
  <c r="B148" i="2"/>
  <c r="I56" i="2"/>
  <c r="I42" i="2" l="1"/>
  <c r="I82" i="2" s="1"/>
  <c r="I134" i="2" s="1"/>
  <c r="A148" i="1"/>
  <c r="A149" i="2" s="1"/>
  <c r="AZ147" i="1"/>
  <c r="A56" i="1"/>
  <c r="A57" i="2" s="1"/>
  <c r="AZ55" i="1"/>
  <c r="BO42" i="1"/>
  <c r="BM42" i="1"/>
  <c r="BK42" i="1"/>
  <c r="BF42" i="1"/>
  <c r="BD42" i="1"/>
  <c r="BB42" i="1"/>
  <c r="J145" i="2"/>
  <c r="J143" i="2"/>
  <c r="J51" i="2"/>
  <c r="J55" i="2"/>
  <c r="D57" i="2"/>
  <c r="B57" i="2"/>
  <c r="J50" i="2"/>
  <c r="J139" i="2"/>
  <c r="J141" i="2"/>
  <c r="J142" i="2"/>
  <c r="H149" i="2"/>
  <c r="J5" i="2"/>
  <c r="J54" i="2"/>
  <c r="J144" i="2"/>
  <c r="J146" i="2"/>
  <c r="D149" i="2"/>
  <c r="J52" i="2"/>
  <c r="F57" i="2"/>
  <c r="J148" i="2"/>
  <c r="J57" i="2"/>
  <c r="H57" i="2"/>
  <c r="I149" i="2"/>
  <c r="E149" i="2"/>
  <c r="F149" i="2"/>
  <c r="B149" i="2"/>
  <c r="J47" i="2"/>
  <c r="J49" i="2"/>
  <c r="J138" i="2"/>
  <c r="J147" i="2"/>
  <c r="C57" i="2"/>
  <c r="J48" i="2"/>
  <c r="C149" i="2"/>
  <c r="G57" i="2"/>
  <c r="I57" i="2"/>
  <c r="J140" i="2"/>
  <c r="J46" i="2"/>
  <c r="J86" i="2"/>
  <c r="J149" i="2"/>
  <c r="E57" i="2"/>
  <c r="J53" i="2"/>
  <c r="J56" i="2"/>
  <c r="G149" i="2"/>
  <c r="J42" i="2" l="1"/>
  <c r="J82" i="2" s="1"/>
  <c r="J134" i="2" s="1"/>
  <c r="A149" i="1"/>
  <c r="A150" i="2" s="1"/>
  <c r="AZ148" i="1"/>
  <c r="A57" i="1"/>
  <c r="A58" i="2" s="1"/>
  <c r="AZ56" i="1"/>
  <c r="D43" i="1"/>
  <c r="AW42" i="1" s="1"/>
  <c r="C43" i="1"/>
  <c r="K48" i="2"/>
  <c r="K58" i="2"/>
  <c r="K46" i="2"/>
  <c r="K139" i="2"/>
  <c r="K144" i="2"/>
  <c r="K5" i="2"/>
  <c r="D58" i="2"/>
  <c r="K57" i="2"/>
  <c r="K49" i="2"/>
  <c r="J58" i="2"/>
  <c r="F58" i="2"/>
  <c r="K147" i="2"/>
  <c r="C150" i="2"/>
  <c r="K56" i="2"/>
  <c r="K53" i="2"/>
  <c r="K51" i="2"/>
  <c r="K148" i="2"/>
  <c r="K47" i="2"/>
  <c r="B58" i="2"/>
  <c r="H58" i="2"/>
  <c r="D150" i="2"/>
  <c r="G150" i="2"/>
  <c r="K150" i="2"/>
  <c r="E58" i="2"/>
  <c r="I58" i="2"/>
  <c r="J150" i="2"/>
  <c r="K143" i="2"/>
  <c r="K145" i="2"/>
  <c r="K140" i="2"/>
  <c r="K142" i="2"/>
  <c r="K55" i="2"/>
  <c r="K86" i="2"/>
  <c r="K52" i="2"/>
  <c r="K149" i="2"/>
  <c r="E150" i="2"/>
  <c r="G58" i="2"/>
  <c r="F150" i="2"/>
  <c r="H150" i="2"/>
  <c r="I150" i="2"/>
  <c r="K146" i="2"/>
  <c r="K141" i="2"/>
  <c r="C58" i="2"/>
  <c r="K54" i="2"/>
  <c r="K50" i="2"/>
  <c r="K138" i="2"/>
  <c r="B150" i="2"/>
  <c r="K42" i="2" l="1"/>
  <c r="K82" i="2" s="1"/>
  <c r="K134" i="2" s="1"/>
  <c r="A150" i="1"/>
  <c r="A151" i="2" s="1"/>
  <c r="AZ149" i="1"/>
  <c r="A58" i="1"/>
  <c r="A59" i="2" s="1"/>
  <c r="AZ57" i="1"/>
  <c r="AU42" i="1"/>
  <c r="BC42" i="1" s="1"/>
  <c r="AS42" i="1"/>
  <c r="BN42" i="1"/>
  <c r="BE42" i="1"/>
  <c r="F59" i="2"/>
  <c r="J59" i="2"/>
  <c r="L48" i="2"/>
  <c r="L150" i="2"/>
  <c r="L148" i="2"/>
  <c r="E151" i="2"/>
  <c r="H59" i="2"/>
  <c r="B59" i="2"/>
  <c r="K151" i="2"/>
  <c r="L55" i="2"/>
  <c r="L49" i="2"/>
  <c r="B151" i="2"/>
  <c r="L145" i="2"/>
  <c r="L50" i="2"/>
  <c r="L58" i="2"/>
  <c r="L54" i="2"/>
  <c r="L46" i="2"/>
  <c r="L139" i="2"/>
  <c r="L142" i="2"/>
  <c r="H151" i="2"/>
  <c r="L5" i="2"/>
  <c r="L57" i="2"/>
  <c r="D59" i="2"/>
  <c r="G59" i="2"/>
  <c r="L59" i="2"/>
  <c r="E59" i="2"/>
  <c r="I59" i="2"/>
  <c r="L151" i="2"/>
  <c r="L143" i="2"/>
  <c r="L47" i="2"/>
  <c r="L147" i="2"/>
  <c r="J151" i="2"/>
  <c r="L141" i="2"/>
  <c r="D151" i="2"/>
  <c r="L146" i="2"/>
  <c r="G151" i="2"/>
  <c r="F151" i="2"/>
  <c r="L51" i="2"/>
  <c r="L138" i="2"/>
  <c r="L52" i="2"/>
  <c r="L86" i="2"/>
  <c r="L140" i="2"/>
  <c r="C151" i="2"/>
  <c r="L149" i="2"/>
  <c r="L53" i="2"/>
  <c r="K59" i="2"/>
  <c r="I151" i="2"/>
  <c r="C59" i="2"/>
  <c r="L144" i="2"/>
  <c r="L56" i="2"/>
  <c r="L42" i="2" l="1"/>
  <c r="L82" i="2" s="1"/>
  <c r="L134" i="2" s="1"/>
  <c r="A151" i="1"/>
  <c r="A152" i="2" s="1"/>
  <c r="AZ150" i="1"/>
  <c r="A59" i="1"/>
  <c r="A60" i="2" s="1"/>
  <c r="AZ58" i="1"/>
  <c r="BJ42" i="1"/>
  <c r="BL42" i="1"/>
  <c r="BA42" i="1"/>
  <c r="BJ2" i="1"/>
  <c r="M51" i="2"/>
  <c r="M138" i="2"/>
  <c r="H152" i="2"/>
  <c r="M141" i="2"/>
  <c r="H60" i="2"/>
  <c r="M146" i="2"/>
  <c r="M46" i="2"/>
  <c r="M143" i="2"/>
  <c r="L152" i="2"/>
  <c r="M49" i="2"/>
  <c r="F60" i="2"/>
  <c r="E60" i="2"/>
  <c r="M149" i="2"/>
  <c r="M148" i="2"/>
  <c r="C60" i="2"/>
  <c r="M53" i="2"/>
  <c r="M59" i="2"/>
  <c r="J60" i="2"/>
  <c r="D60" i="2"/>
  <c r="K152" i="2"/>
  <c r="B152" i="2"/>
  <c r="M152" i="2"/>
  <c r="M52" i="2"/>
  <c r="M60" i="2"/>
  <c r="M55" i="2"/>
  <c r="M147" i="2"/>
  <c r="F152" i="2"/>
  <c r="M145" i="2"/>
  <c r="M140" i="2"/>
  <c r="M56" i="2"/>
  <c r="G152" i="2"/>
  <c r="B60" i="2"/>
  <c r="M150" i="2"/>
  <c r="J152" i="2"/>
  <c r="M139" i="2"/>
  <c r="G60" i="2"/>
  <c r="M47" i="2"/>
  <c r="C152" i="2"/>
  <c r="M151" i="2"/>
  <c r="M5" i="2"/>
  <c r="M142" i="2"/>
  <c r="L60" i="2"/>
  <c r="D152" i="2"/>
  <c r="E152" i="2"/>
  <c r="M58" i="2"/>
  <c r="M50" i="2"/>
  <c r="M54" i="2"/>
  <c r="K60" i="2"/>
  <c r="M48" i="2"/>
  <c r="M144" i="2"/>
  <c r="M57" i="2"/>
  <c r="M86" i="2"/>
  <c r="I152" i="2"/>
  <c r="I60" i="2"/>
  <c r="M42" i="2" l="1"/>
  <c r="M82" i="2" s="1"/>
  <c r="M134" i="2" s="1"/>
  <c r="A152" i="1"/>
  <c r="A153" i="2" s="1"/>
  <c r="AZ151" i="1"/>
  <c r="A60" i="1"/>
  <c r="A61" i="2" s="1"/>
  <c r="AZ59" i="1"/>
  <c r="CD43" i="1"/>
  <c r="CE2" i="1"/>
  <c r="N86" i="2"/>
  <c r="E61" i="2"/>
  <c r="J61" i="2"/>
  <c r="C61" i="2"/>
  <c r="H153" i="2"/>
  <c r="N139" i="2"/>
  <c r="N60" i="2"/>
  <c r="N57" i="2"/>
  <c r="N47" i="2"/>
  <c r="N54" i="2"/>
  <c r="N149" i="2"/>
  <c r="N46" i="2"/>
  <c r="H61" i="2"/>
  <c r="N153" i="2"/>
  <c r="L61" i="2"/>
  <c r="C153" i="2"/>
  <c r="D153" i="2"/>
  <c r="N144" i="2"/>
  <c r="N143" i="2"/>
  <c r="M153" i="2"/>
  <c r="F61" i="2"/>
  <c r="M61" i="2"/>
  <c r="L153" i="2"/>
  <c r="E153" i="2"/>
  <c r="N140" i="2"/>
  <c r="N150" i="2"/>
  <c r="G153" i="2"/>
  <c r="G61" i="2"/>
  <c r="N141" i="2"/>
  <c r="N147" i="2"/>
  <c r="N61" i="2"/>
  <c r="N58" i="2"/>
  <c r="N50" i="2"/>
  <c r="N146" i="2"/>
  <c r="N152" i="2"/>
  <c r="I153" i="2"/>
  <c r="J153" i="2"/>
  <c r="N145" i="2"/>
  <c r="N151" i="2"/>
  <c r="F153" i="2"/>
  <c r="N49" i="2"/>
  <c r="N142" i="2"/>
  <c r="N52" i="2"/>
  <c r="N138" i="2"/>
  <c r="N5" i="2"/>
  <c r="D61" i="2"/>
  <c r="N53" i="2"/>
  <c r="N56" i="2"/>
  <c r="K61" i="2"/>
  <c r="N59" i="2"/>
  <c r="N48" i="2"/>
  <c r="N51" i="2"/>
  <c r="I61" i="2"/>
  <c r="N148" i="2"/>
  <c r="N55" i="2"/>
  <c r="B61" i="2"/>
  <c r="B153" i="2"/>
  <c r="K153" i="2"/>
  <c r="N42" i="2" l="1"/>
  <c r="N82" i="2" s="1"/>
  <c r="N134" i="2" s="1"/>
  <c r="A153" i="1"/>
  <c r="A154" i="2" s="1"/>
  <c r="AZ152" i="1"/>
  <c r="AZ60" i="1"/>
  <c r="A61" i="1"/>
  <c r="A62" i="2" s="1"/>
  <c r="CE43" i="1"/>
  <c r="CF2" i="1"/>
  <c r="CD83" i="1"/>
  <c r="AS1" i="1"/>
  <c r="DD46" i="1"/>
  <c r="DD54" i="1"/>
  <c r="DF50" i="1"/>
  <c r="DD47" i="1"/>
  <c r="DF58" i="1"/>
  <c r="DD53" i="1"/>
  <c r="DD45" i="1"/>
  <c r="DD48" i="1"/>
  <c r="DF47" i="1"/>
  <c r="DD56" i="1"/>
  <c r="DF53" i="1"/>
  <c r="DD55" i="1"/>
  <c r="DD51" i="1"/>
  <c r="DF46" i="1"/>
  <c r="DF49" i="1"/>
  <c r="DF45" i="1"/>
  <c r="DF52" i="1"/>
  <c r="DD58" i="1"/>
  <c r="DF54" i="1"/>
  <c r="DD59" i="1"/>
  <c r="DF51" i="1"/>
  <c r="DF56" i="1"/>
  <c r="DF61" i="1"/>
  <c r="DD49" i="1"/>
  <c r="DD60" i="1"/>
  <c r="DF48" i="1"/>
  <c r="DD57" i="1"/>
  <c r="DF57" i="1"/>
  <c r="DF60" i="1"/>
  <c r="DF59" i="1"/>
  <c r="DD50" i="1"/>
  <c r="DF55" i="1"/>
  <c r="DD61" i="1"/>
  <c r="DD52" i="1"/>
  <c r="DB60" i="1"/>
  <c r="DB45" i="1"/>
  <c r="DB51" i="1"/>
  <c r="DB49" i="1"/>
  <c r="DB56" i="1"/>
  <c r="DB55" i="1"/>
  <c r="DB50" i="1"/>
  <c r="DB48" i="1"/>
  <c r="DB47" i="1"/>
  <c r="DB61" i="1"/>
  <c r="DB4" i="1"/>
  <c r="DB57" i="1"/>
  <c r="DB53" i="1"/>
  <c r="DB59" i="1"/>
  <c r="DB52" i="1"/>
  <c r="DB58" i="1"/>
  <c r="DB54" i="1"/>
  <c r="DB46" i="1"/>
  <c r="O52" i="2"/>
  <c r="O5" i="2"/>
  <c r="J62" i="2"/>
  <c r="F154" i="2"/>
  <c r="G62" i="2"/>
  <c r="O142" i="2"/>
  <c r="K62" i="2"/>
  <c r="O140" i="2"/>
  <c r="E62" i="2"/>
  <c r="O153" i="2"/>
  <c r="E154" i="2"/>
  <c r="O46" i="2"/>
  <c r="N62" i="2"/>
  <c r="O55" i="2"/>
  <c r="O48" i="2"/>
  <c r="O144" i="2"/>
  <c r="K154" i="2"/>
  <c r="O59" i="2"/>
  <c r="O50" i="2"/>
  <c r="O145" i="2"/>
  <c r="I154" i="2"/>
  <c r="O146" i="2"/>
  <c r="F62" i="2"/>
  <c r="O143" i="2"/>
  <c r="O139" i="2"/>
  <c r="O56" i="2"/>
  <c r="O58" i="2"/>
  <c r="C154" i="2"/>
  <c r="B154" i="2"/>
  <c r="O57" i="2"/>
  <c r="O53" i="2"/>
  <c r="O147" i="2"/>
  <c r="O60" i="2"/>
  <c r="D62" i="2"/>
  <c r="O61" i="2"/>
  <c r="J154" i="2"/>
  <c r="O86" i="2"/>
  <c r="L62" i="2"/>
  <c r="O62" i="2"/>
  <c r="M154" i="2"/>
  <c r="G154" i="2"/>
  <c r="O49" i="2"/>
  <c r="O138" i="2"/>
  <c r="L154" i="2"/>
  <c r="O47" i="2"/>
  <c r="O141" i="2"/>
  <c r="O154" i="2"/>
  <c r="O150" i="2"/>
  <c r="O51" i="2"/>
  <c r="B62" i="2"/>
  <c r="C62" i="2"/>
  <c r="O152" i="2"/>
  <c r="O151" i="2"/>
  <c r="M62" i="2"/>
  <c r="O148" i="2"/>
  <c r="N154" i="2"/>
  <c r="O149" i="2"/>
  <c r="I62" i="2"/>
  <c r="H62" i="2"/>
  <c r="H154" i="2"/>
  <c r="D154" i="2"/>
  <c r="O54" i="2"/>
  <c r="O42" i="2" l="1"/>
  <c r="O82" i="2" s="1"/>
  <c r="O134" i="2" s="1"/>
  <c r="A154" i="1"/>
  <c r="A155" i="2" s="1"/>
  <c r="AZ153" i="1"/>
  <c r="AZ61" i="1"/>
  <c r="A62" i="1"/>
  <c r="A63" i="2" s="1"/>
  <c r="AT1" i="1"/>
  <c r="CE83" i="1"/>
  <c r="CF83" i="1" s="1"/>
  <c r="CG83" i="1" s="1"/>
  <c r="CH83" i="1" s="1"/>
  <c r="CI83" i="1" s="1"/>
  <c r="CD135" i="1"/>
  <c r="CF43" i="1"/>
  <c r="CG2" i="1"/>
  <c r="DF62" i="1"/>
  <c r="DD62" i="1"/>
  <c r="DD4" i="1"/>
  <c r="DF4" i="1"/>
  <c r="DB62" i="1"/>
  <c r="P140" i="2"/>
  <c r="N155" i="2"/>
  <c r="P86" i="2"/>
  <c r="P146" i="2"/>
  <c r="P151" i="2"/>
  <c r="D63" i="2"/>
  <c r="N63" i="2"/>
  <c r="P145" i="2"/>
  <c r="B155" i="2"/>
  <c r="O63" i="2"/>
  <c r="P154" i="2"/>
  <c r="G63" i="2"/>
  <c r="P139" i="2"/>
  <c r="P155" i="2"/>
  <c r="H63" i="2"/>
  <c r="P47" i="2"/>
  <c r="P152" i="2"/>
  <c r="P141" i="2"/>
  <c r="H155" i="2"/>
  <c r="P60" i="2"/>
  <c r="E155" i="2"/>
  <c r="P150" i="2"/>
  <c r="L63" i="2"/>
  <c r="P56" i="2"/>
  <c r="J63" i="2"/>
  <c r="K155" i="2"/>
  <c r="L155" i="2"/>
  <c r="P57" i="2"/>
  <c r="K63" i="2"/>
  <c r="D155" i="2"/>
  <c r="P54" i="2"/>
  <c r="P52" i="2"/>
  <c r="P51" i="2"/>
  <c r="I155" i="2"/>
  <c r="B63" i="2"/>
  <c r="P61" i="2"/>
  <c r="E63" i="2"/>
  <c r="P144" i="2"/>
  <c r="M63" i="2"/>
  <c r="P138" i="2"/>
  <c r="P50" i="2"/>
  <c r="P49" i="2"/>
  <c r="F155" i="2"/>
  <c r="P59" i="2"/>
  <c r="J155" i="2"/>
  <c r="C63" i="2"/>
  <c r="O155" i="2"/>
  <c r="P46" i="2"/>
  <c r="I63" i="2"/>
  <c r="C155" i="2"/>
  <c r="P142" i="2"/>
  <c r="P53" i="2"/>
  <c r="P5" i="2"/>
  <c r="P62" i="2"/>
  <c r="P63" i="2"/>
  <c r="P153" i="2"/>
  <c r="P48" i="2"/>
  <c r="G155" i="2"/>
  <c r="P55" i="2"/>
  <c r="M155" i="2"/>
  <c r="P58" i="2"/>
  <c r="P147" i="2"/>
  <c r="P148" i="2"/>
  <c r="F63" i="2"/>
  <c r="P143" i="2"/>
  <c r="P149" i="2"/>
  <c r="P42" i="2" l="1"/>
  <c r="P82" i="2" s="1"/>
  <c r="P134" i="2" s="1"/>
  <c r="A155" i="1"/>
  <c r="A156" i="2" s="1"/>
  <c r="AZ154" i="1"/>
  <c r="AZ62" i="1"/>
  <c r="A63" i="1"/>
  <c r="A64" i="2" s="1"/>
  <c r="CG43" i="1"/>
  <c r="CH2" i="1"/>
  <c r="F134" i="1"/>
  <c r="F82" i="1"/>
  <c r="F42" i="1"/>
  <c r="BJ43" i="1"/>
  <c r="BJ83" i="1" s="1"/>
  <c r="BA1" i="1"/>
  <c r="AW1" i="1"/>
  <c r="AU1" i="1"/>
  <c r="I1" i="1"/>
  <c r="F1" i="1"/>
  <c r="DF63" i="1"/>
  <c r="DD63" i="1"/>
  <c r="DB63" i="1"/>
  <c r="G44" i="1"/>
  <c r="G136" i="1"/>
  <c r="G84" i="1"/>
  <c r="Q59" i="2"/>
  <c r="Q60" i="2"/>
  <c r="Q55" i="2"/>
  <c r="C64" i="2"/>
  <c r="E156" i="2"/>
  <c r="Q146" i="2"/>
  <c r="O64" i="2"/>
  <c r="F156" i="2"/>
  <c r="Q46" i="2"/>
  <c r="N64" i="2"/>
  <c r="G64" i="2"/>
  <c r="M156" i="2"/>
  <c r="Q138" i="2"/>
  <c r="Q145" i="2"/>
  <c r="G156" i="2"/>
  <c r="O156" i="2"/>
  <c r="Q156" i="2"/>
  <c r="Q52" i="2"/>
  <c r="Q5" i="2"/>
  <c r="Q50" i="2"/>
  <c r="Q63" i="2"/>
  <c r="F3" i="1"/>
  <c r="F136" i="1"/>
  <c r="I64" i="2"/>
  <c r="F64" i="2"/>
  <c r="Q149" i="2"/>
  <c r="Q56" i="2"/>
  <c r="Q144" i="2"/>
  <c r="Q151" i="2"/>
  <c r="B156" i="2"/>
  <c r="Q155" i="2"/>
  <c r="L64" i="2"/>
  <c r="D64" i="2"/>
  <c r="I156" i="2"/>
  <c r="Q143" i="2"/>
  <c r="Q54" i="2"/>
  <c r="J64" i="2"/>
  <c r="Q64" i="2"/>
  <c r="Q154" i="2"/>
  <c r="Q48" i="2"/>
  <c r="Q152" i="2"/>
  <c r="A3" i="1"/>
  <c r="L156" i="2"/>
  <c r="Q141" i="2"/>
  <c r="Q86" i="2"/>
  <c r="B64" i="2"/>
  <c r="Q47" i="2"/>
  <c r="K156" i="2"/>
  <c r="Q153" i="2"/>
  <c r="A44" i="1"/>
  <c r="F84" i="1"/>
  <c r="Q139" i="2"/>
  <c r="P64" i="2"/>
  <c r="K64" i="2"/>
  <c r="Q148" i="2"/>
  <c r="Q140" i="2"/>
  <c r="H156" i="2"/>
  <c r="Q150" i="2"/>
  <c r="Q61" i="2"/>
  <c r="P156" i="2"/>
  <c r="H64" i="2"/>
  <c r="M64" i="2"/>
  <c r="Q57" i="2"/>
  <c r="Q147" i="2"/>
  <c r="J156" i="2"/>
  <c r="Q142" i="2"/>
  <c r="Q49" i="2"/>
  <c r="Q58" i="2"/>
  <c r="F44" i="1"/>
  <c r="Q62" i="2"/>
  <c r="Q51" i="2"/>
  <c r="C156" i="2"/>
  <c r="N156" i="2"/>
  <c r="E64" i="2"/>
  <c r="Q53" i="2"/>
  <c r="D156" i="2"/>
  <c r="D81" i="1" l="1"/>
  <c r="Q42" i="2"/>
  <c r="Q82" i="2" s="1"/>
  <c r="Q134" i="2" s="1"/>
  <c r="A4" i="2"/>
  <c r="A45" i="2"/>
  <c r="D133" i="1"/>
  <c r="A137" i="2" s="1"/>
  <c r="DG4" i="1"/>
  <c r="DG63" i="1"/>
  <c r="DG59" i="1"/>
  <c r="DG55" i="1"/>
  <c r="DG51" i="1"/>
  <c r="DG47" i="1"/>
  <c r="DG56" i="1"/>
  <c r="DG62" i="1"/>
  <c r="DG58" i="1"/>
  <c r="DG54" i="1"/>
  <c r="DG50" i="1"/>
  <c r="DG46" i="1"/>
  <c r="DG60" i="1"/>
  <c r="DG48" i="1"/>
  <c r="DG61" i="1"/>
  <c r="DG57" i="1"/>
  <c r="DG53" i="1"/>
  <c r="DG49" i="1"/>
  <c r="DG45" i="1"/>
  <c r="DG52" i="1"/>
  <c r="A156" i="1"/>
  <c r="A157" i="2" s="1"/>
  <c r="AZ155" i="1"/>
  <c r="AZ63" i="1"/>
  <c r="A64" i="1"/>
  <c r="A65" i="2" s="1"/>
  <c r="EW4" i="1"/>
  <c r="EU4" i="1"/>
  <c r="F54" i="1"/>
  <c r="BE1" i="1"/>
  <c r="AX1" i="1"/>
  <c r="BK83" i="1"/>
  <c r="BL83" i="1" s="1"/>
  <c r="BM83" i="1" s="1"/>
  <c r="BN83" i="1" s="1"/>
  <c r="BO83" i="1" s="1"/>
  <c r="BJ135" i="1"/>
  <c r="BC1" i="1"/>
  <c r="AV1" i="1"/>
  <c r="CH43" i="1"/>
  <c r="CI2" i="1"/>
  <c r="AY1" i="1"/>
  <c r="BF1" i="1" s="1"/>
  <c r="AW82" i="1"/>
  <c r="BK2" i="1"/>
  <c r="DD64" i="1"/>
  <c r="AS54" i="1"/>
  <c r="DE54" i="1"/>
  <c r="AT54" i="1"/>
  <c r="DC54" i="1"/>
  <c r="DF64" i="1"/>
  <c r="CD54" i="1"/>
  <c r="DB64" i="1"/>
  <c r="CE54" i="1"/>
  <c r="BB54" i="1"/>
  <c r="BA54" i="1"/>
  <c r="DA54" i="1"/>
  <c r="BE54" i="1"/>
  <c r="EP54" i="1"/>
  <c r="CI54" i="1"/>
  <c r="AX54" i="1"/>
  <c r="R57" i="2"/>
  <c r="O157" i="2"/>
  <c r="C65" i="2"/>
  <c r="P65" i="2"/>
  <c r="R153" i="2"/>
  <c r="R54" i="2"/>
  <c r="H65" i="2"/>
  <c r="R140" i="2"/>
  <c r="R157" i="2"/>
  <c r="R51" i="2"/>
  <c r="R146" i="2"/>
  <c r="R5" i="2"/>
  <c r="R61" i="2"/>
  <c r="O65" i="2"/>
  <c r="R142" i="2"/>
  <c r="R139" i="2"/>
  <c r="R58" i="2"/>
  <c r="R53" i="2"/>
  <c r="R63" i="2"/>
  <c r="R141" i="2"/>
  <c r="R65" i="2"/>
  <c r="EQ54" i="1"/>
  <c r="AW54" i="1"/>
  <c r="EO54" i="1"/>
  <c r="C157" i="2"/>
  <c r="D157" i="2"/>
  <c r="F65" i="2"/>
  <c r="R143" i="2"/>
  <c r="I157" i="2"/>
  <c r="Q157" i="2"/>
  <c r="R86" i="2"/>
  <c r="R152" i="2"/>
  <c r="R144" i="2"/>
  <c r="AU54" i="1"/>
  <c r="BE137" i="1"/>
  <c r="K65" i="2"/>
  <c r="G65" i="2"/>
  <c r="R60" i="2"/>
  <c r="R50" i="2"/>
  <c r="H157" i="2"/>
  <c r="R147" i="2"/>
  <c r="Q65" i="2"/>
  <c r="K157" i="2"/>
  <c r="R138" i="2"/>
  <c r="EN54" i="1"/>
  <c r="BD54" i="1"/>
  <c r="CH54" i="1"/>
  <c r="N65" i="2"/>
  <c r="R148" i="2"/>
  <c r="B157" i="2"/>
  <c r="F157" i="2"/>
  <c r="R59" i="2"/>
  <c r="R150" i="2"/>
  <c r="D65" i="2"/>
  <c r="R52" i="2"/>
  <c r="M157" i="2"/>
  <c r="P157" i="2"/>
  <c r="R154" i="2"/>
  <c r="R56" i="2"/>
  <c r="R48" i="2"/>
  <c r="G157" i="2"/>
  <c r="E157" i="2"/>
  <c r="R49" i="2"/>
  <c r="CF54" i="1"/>
  <c r="BC54" i="1"/>
  <c r="I65" i="2"/>
  <c r="R47" i="2"/>
  <c r="E65" i="2"/>
  <c r="R55" i="2"/>
  <c r="R155" i="2"/>
  <c r="J157" i="2"/>
  <c r="R46" i="2"/>
  <c r="M65" i="2"/>
  <c r="R156" i="2"/>
  <c r="R149" i="2"/>
  <c r="CG54" i="1"/>
  <c r="BF54" i="1"/>
  <c r="AV54" i="1"/>
  <c r="R151" i="2"/>
  <c r="J65" i="2"/>
  <c r="R145" i="2"/>
  <c r="B65" i="2"/>
  <c r="L157" i="2"/>
  <c r="R62" i="2"/>
  <c r="R64" i="2"/>
  <c r="L65" i="2"/>
  <c r="N157" i="2"/>
  <c r="A85" i="2" l="1"/>
  <c r="DG64" i="1"/>
  <c r="R42" i="2"/>
  <c r="R82" i="2" s="1"/>
  <c r="R134" i="2" s="1"/>
  <c r="AZ85" i="1"/>
  <c r="A86" i="1"/>
  <c r="A87" i="2" s="1"/>
  <c r="DG85" i="1"/>
  <c r="DG154" i="1"/>
  <c r="DG150" i="1"/>
  <c r="DG146" i="1"/>
  <c r="DG142" i="1"/>
  <c r="DG138" i="1"/>
  <c r="DG153" i="1"/>
  <c r="DG149" i="1"/>
  <c r="DG145" i="1"/>
  <c r="DG141" i="1"/>
  <c r="DG137" i="1"/>
  <c r="DG151" i="1"/>
  <c r="DG143" i="1"/>
  <c r="DG156" i="1"/>
  <c r="DG152" i="1"/>
  <c r="DG148" i="1"/>
  <c r="DG144" i="1"/>
  <c r="DG140" i="1"/>
  <c r="DG155" i="1"/>
  <c r="DG147" i="1"/>
  <c r="DG139" i="1"/>
  <c r="A157" i="1"/>
  <c r="A158" i="2" s="1"/>
  <c r="AZ156" i="1"/>
  <c r="A65" i="1"/>
  <c r="AZ64" i="1"/>
  <c r="FA4" i="1"/>
  <c r="EY4" i="1"/>
  <c r="DK54" i="1"/>
  <c r="DU54" i="1"/>
  <c r="DO54" i="1"/>
  <c r="DT54" i="1"/>
  <c r="DN54" i="1"/>
  <c r="EJ54" i="1"/>
  <c r="EC54" i="1" s="1"/>
  <c r="BO54" i="1" s="1"/>
  <c r="EI54" i="1"/>
  <c r="EB54" i="1" s="1"/>
  <c r="BN54" i="1" s="1"/>
  <c r="EG54" i="1"/>
  <c r="DZ54" i="1" s="1"/>
  <c r="BL54" i="1" s="1"/>
  <c r="CS54" i="1"/>
  <c r="CU54" i="1"/>
  <c r="D54" i="1"/>
  <c r="CO54" i="1"/>
  <c r="CQ54" i="1"/>
  <c r="DI54" i="1"/>
  <c r="CM54" i="1"/>
  <c r="C54" i="1"/>
  <c r="DJ54" i="1"/>
  <c r="DH54" i="1"/>
  <c r="CK54" i="1"/>
  <c r="B54" i="1"/>
  <c r="AY54" i="1"/>
  <c r="EH54" i="1"/>
  <c r="EA54" i="1" s="1"/>
  <c r="BM54" i="1" s="1"/>
  <c r="BC134" i="1"/>
  <c r="AW134" i="1"/>
  <c r="BE134" i="1"/>
  <c r="CI43" i="1"/>
  <c r="BK43" i="1"/>
  <c r="BL2" i="1"/>
  <c r="AU82" i="1"/>
  <c r="AS55" i="1"/>
  <c r="DE55" i="1"/>
  <c r="AT65" i="1"/>
  <c r="AS65" i="1"/>
  <c r="DF65" i="1"/>
  <c r="DE65" i="1"/>
  <c r="DC65" i="1"/>
  <c r="DD65" i="1"/>
  <c r="DC55" i="1"/>
  <c r="AT55" i="1"/>
  <c r="DB65" i="1"/>
  <c r="BA55" i="1"/>
  <c r="CD65" i="1"/>
  <c r="BA65" i="1"/>
  <c r="CD55" i="1"/>
  <c r="BB55" i="1"/>
  <c r="CE65" i="1"/>
  <c r="CE55" i="1"/>
  <c r="BB65" i="1"/>
  <c r="DA55" i="1"/>
  <c r="DA65" i="1"/>
  <c r="EP65" i="1"/>
  <c r="CF65" i="1"/>
  <c r="AV55" i="1"/>
  <c r="EO55" i="1"/>
  <c r="AW65" i="1"/>
  <c r="AU55" i="1"/>
  <c r="BE65" i="1"/>
  <c r="CG55" i="1"/>
  <c r="EQ65" i="1"/>
  <c r="EQ55" i="1"/>
  <c r="S145" i="2"/>
  <c r="S144" i="2"/>
  <c r="I87" i="2"/>
  <c r="S59" i="2"/>
  <c r="S152" i="2"/>
  <c r="S65" i="2"/>
  <c r="R158" i="2"/>
  <c r="S52" i="2"/>
  <c r="P158" i="2"/>
  <c r="S148" i="2"/>
  <c r="C87" i="2"/>
  <c r="S63" i="2"/>
  <c r="O87" i="2"/>
  <c r="R87" i="2"/>
  <c r="K158" i="2"/>
  <c r="C158" i="2"/>
  <c r="S141" i="2"/>
  <c r="S150" i="2"/>
  <c r="S156" i="2"/>
  <c r="CG65" i="1"/>
  <c r="AX137" i="1"/>
  <c r="S48" i="2"/>
  <c r="S58" i="2"/>
  <c r="L87" i="2"/>
  <c r="S49" i="2"/>
  <c r="S51" i="2"/>
  <c r="S46" i="2"/>
  <c r="S50" i="2"/>
  <c r="D87" i="2"/>
  <c r="J158" i="2"/>
  <c r="S142" i="2"/>
  <c r="I158" i="2"/>
  <c r="K87" i="2"/>
  <c r="S60" i="2"/>
  <c r="H158" i="2"/>
  <c r="AX65" i="1"/>
  <c r="AU65" i="1"/>
  <c r="BE55" i="1"/>
  <c r="EO65" i="1"/>
  <c r="CI65" i="1"/>
  <c r="S139" i="2"/>
  <c r="F87" i="2"/>
  <c r="J87" i="2"/>
  <c r="S61" i="2"/>
  <c r="S138" i="2"/>
  <c r="N158" i="2"/>
  <c r="S87" i="2"/>
  <c r="S64" i="2"/>
  <c r="H87" i="2"/>
  <c r="S147" i="2"/>
  <c r="AV65" i="1"/>
  <c r="CF55" i="1"/>
  <c r="S54" i="2"/>
  <c r="E87" i="2"/>
  <c r="S154" i="2"/>
  <c r="M158" i="2"/>
  <c r="S153" i="2"/>
  <c r="E158" i="2"/>
  <c r="S143" i="2"/>
  <c r="P87" i="2"/>
  <c r="S57" i="2"/>
  <c r="BD55" i="1"/>
  <c r="AW137" i="1"/>
  <c r="CH55" i="1"/>
  <c r="AW55" i="1"/>
  <c r="S158" i="2"/>
  <c r="S146" i="2"/>
  <c r="S62" i="2"/>
  <c r="Q87" i="2"/>
  <c r="S56" i="2"/>
  <c r="S55" i="2"/>
  <c r="EN55" i="1"/>
  <c r="BF55" i="1"/>
  <c r="CH65" i="1"/>
  <c r="BC55" i="1"/>
  <c r="S140" i="2"/>
  <c r="S149" i="2"/>
  <c r="N87" i="2"/>
  <c r="Q158" i="2"/>
  <c r="B158" i="2"/>
  <c r="S5" i="2"/>
  <c r="G158" i="2"/>
  <c r="L158" i="2"/>
  <c r="G87" i="2"/>
  <c r="BF65" i="1"/>
  <c r="BC65" i="1"/>
  <c r="CI55" i="1"/>
  <c r="BD65" i="1"/>
  <c r="AX55" i="1"/>
  <c r="EP55" i="1"/>
  <c r="EN65" i="1"/>
  <c r="S47" i="2"/>
  <c r="S86" i="2"/>
  <c r="S53" i="2"/>
  <c r="S151" i="2"/>
  <c r="D158" i="2"/>
  <c r="B87" i="2"/>
  <c r="O158" i="2"/>
  <c r="F158" i="2"/>
  <c r="S157" i="2"/>
  <c r="M87" i="2"/>
  <c r="S155" i="2"/>
  <c r="DG157" i="1" l="1"/>
  <c r="A66" i="2"/>
  <c r="DG65" i="1"/>
  <c r="S42" i="2"/>
  <c r="S82" i="2" s="1"/>
  <c r="S134" i="2" s="1"/>
  <c r="A87" i="1"/>
  <c r="A88" i="2" s="1"/>
  <c r="AZ86" i="1"/>
  <c r="DG86" i="1"/>
  <c r="A158" i="1"/>
  <c r="AZ157" i="1"/>
  <c r="CQ65" i="1"/>
  <c r="CK65" i="1"/>
  <c r="B65" i="1"/>
  <c r="AY65" i="1"/>
  <c r="DK65" i="1"/>
  <c r="DO65" i="1"/>
  <c r="DI65" i="1"/>
  <c r="DH65" i="1"/>
  <c r="DN65" i="1"/>
  <c r="DJ65" i="1"/>
  <c r="EH65" i="1"/>
  <c r="EA65" i="1" s="1"/>
  <c r="BM65" i="1" s="1"/>
  <c r="EI65" i="1"/>
  <c r="EB65" i="1" s="1"/>
  <c r="BN65" i="1" s="1"/>
  <c r="EG65" i="1"/>
  <c r="DZ65" i="1" s="1"/>
  <c r="BL65" i="1" s="1"/>
  <c r="CO65" i="1"/>
  <c r="D65" i="1"/>
  <c r="CU65" i="1"/>
  <c r="CM65" i="1"/>
  <c r="C65" i="1"/>
  <c r="CS65" i="1"/>
  <c r="EJ65" i="1"/>
  <c r="EC65" i="1" s="1"/>
  <c r="BO65" i="1" s="1"/>
  <c r="A66" i="1"/>
  <c r="AZ65" i="1"/>
  <c r="DT65" i="1" s="1"/>
  <c r="F65" i="1"/>
  <c r="DV54" i="1"/>
  <c r="DW54" i="1"/>
  <c r="DK55" i="1"/>
  <c r="DN55" i="1"/>
  <c r="DU55" i="1"/>
  <c r="DO55" i="1"/>
  <c r="DT55" i="1"/>
  <c r="DS54" i="1"/>
  <c r="DL54" i="1"/>
  <c r="DP54" i="1"/>
  <c r="DM54" i="1"/>
  <c r="DQ54" i="1"/>
  <c r="CP54" i="1"/>
  <c r="CB54" i="1"/>
  <c r="BU54" i="1"/>
  <c r="E54" i="1"/>
  <c r="BZ54" i="1"/>
  <c r="BS54" i="1"/>
  <c r="EJ55" i="1"/>
  <c r="EC55" i="1" s="1"/>
  <c r="BO55" i="1" s="1"/>
  <c r="EI55" i="1"/>
  <c r="EB55" i="1" s="1"/>
  <c r="BN55" i="1" s="1"/>
  <c r="EG55" i="1"/>
  <c r="DZ55" i="1" s="1"/>
  <c r="BL55" i="1" s="1"/>
  <c r="CS55" i="1"/>
  <c r="CU55" i="1"/>
  <c r="D55" i="1"/>
  <c r="CO55" i="1"/>
  <c r="CQ55" i="1"/>
  <c r="DI55" i="1"/>
  <c r="C55" i="1"/>
  <c r="CM55" i="1"/>
  <c r="DJ55" i="1"/>
  <c r="DH55" i="1"/>
  <c r="AY55" i="1"/>
  <c r="CK55" i="1"/>
  <c r="B55" i="1"/>
  <c r="EH55" i="1"/>
  <c r="EA55" i="1" s="1"/>
  <c r="BM55" i="1" s="1"/>
  <c r="F63" i="1"/>
  <c r="F55" i="1"/>
  <c r="AS82" i="1"/>
  <c r="AS134" i="1"/>
  <c r="BA134" i="1"/>
  <c r="BM2" i="1"/>
  <c r="BL43" i="1"/>
  <c r="M66" i="2"/>
  <c r="O66" i="2"/>
  <c r="C66" i="2"/>
  <c r="Q66" i="2"/>
  <c r="S66" i="2"/>
  <c r="J66" i="2"/>
  <c r="G66" i="2"/>
  <c r="D66" i="2"/>
  <c r="P66" i="2"/>
  <c r="I66" i="2"/>
  <c r="K66" i="2"/>
  <c r="L66" i="2"/>
  <c r="R66" i="2"/>
  <c r="E66" i="2"/>
  <c r="N66" i="2"/>
  <c r="F66" i="2"/>
  <c r="H66" i="2"/>
  <c r="B66" i="2"/>
  <c r="ED54" i="1" l="1"/>
  <c r="ES54" i="1"/>
  <c r="A159" i="2"/>
  <c r="DG158" i="1"/>
  <c r="A67" i="2"/>
  <c r="DG66" i="1"/>
  <c r="T42" i="2"/>
  <c r="T82" i="2" s="1"/>
  <c r="T134" i="2" s="1"/>
  <c r="A88" i="1"/>
  <c r="A89" i="2" s="1"/>
  <c r="AZ87" i="1"/>
  <c r="DG87" i="1"/>
  <c r="BU65" i="1"/>
  <c r="A159" i="1"/>
  <c r="AZ158" i="1"/>
  <c r="DQ65" i="1"/>
  <c r="CB65" i="1"/>
  <c r="BS65" i="1"/>
  <c r="DP65" i="1"/>
  <c r="DL65" i="1"/>
  <c r="DU65" i="1"/>
  <c r="E65" i="1"/>
  <c r="BZ65" i="1"/>
  <c r="A67" i="1"/>
  <c r="AZ66" i="1"/>
  <c r="F66" i="1"/>
  <c r="DM65" i="1"/>
  <c r="DS65" i="1"/>
  <c r="CP65" i="1"/>
  <c r="DV65" i="1"/>
  <c r="DW55" i="1"/>
  <c r="DV55" i="1"/>
  <c r="DS55" i="1"/>
  <c r="DL55" i="1"/>
  <c r="DP55" i="1"/>
  <c r="DM55" i="1"/>
  <c r="DQ55" i="1"/>
  <c r="E55" i="1"/>
  <c r="CB55" i="1"/>
  <c r="CC55" i="1" s="1"/>
  <c r="BZ55" i="1"/>
  <c r="CA55" i="1" s="1"/>
  <c r="CP55" i="1"/>
  <c r="BS55" i="1"/>
  <c r="BT55" i="1" s="1"/>
  <c r="BU55" i="1"/>
  <c r="BM43" i="1"/>
  <c r="BN2" i="1"/>
  <c r="F62" i="1"/>
  <c r="ED55" i="1" l="1"/>
  <c r="DW65" i="1"/>
  <c r="ES65" i="1" s="1"/>
  <c r="ES55" i="1"/>
  <c r="A160" i="2"/>
  <c r="DG159" i="1"/>
  <c r="A68" i="2"/>
  <c r="DG67" i="1"/>
  <c r="U42" i="2"/>
  <c r="U82" i="2" s="1"/>
  <c r="U134" i="2" s="1"/>
  <c r="A89" i="1"/>
  <c r="A90" i="2" s="1"/>
  <c r="AZ88" i="1"/>
  <c r="DG88" i="1"/>
  <c r="A160" i="1"/>
  <c r="AZ159" i="1"/>
  <c r="A68" i="1"/>
  <c r="AZ67" i="1"/>
  <c r="F67" i="1"/>
  <c r="F64" i="1"/>
  <c r="BN43" i="1"/>
  <c r="BO2" i="1"/>
  <c r="F61" i="1"/>
  <c r="AT149" i="1"/>
  <c r="AT140" i="1"/>
  <c r="AS153" i="1"/>
  <c r="AT155" i="1"/>
  <c r="AT146" i="1"/>
  <c r="AT154" i="1"/>
  <c r="DD68" i="1"/>
  <c r="AT158" i="1"/>
  <c r="DF66" i="1"/>
  <c r="AT144" i="1"/>
  <c r="AS67" i="1"/>
  <c r="AT148" i="1"/>
  <c r="AT153" i="1"/>
  <c r="AS154" i="1"/>
  <c r="AS155" i="1"/>
  <c r="DF67" i="1"/>
  <c r="BA85" i="1"/>
  <c r="AS137" i="1"/>
  <c r="AS159" i="1"/>
  <c r="AT156" i="1"/>
  <c r="DC66" i="1"/>
  <c r="AT139" i="1"/>
  <c r="AS147" i="1"/>
  <c r="AT150" i="1"/>
  <c r="AS66" i="1"/>
  <c r="BA137" i="1"/>
  <c r="DE68" i="1"/>
  <c r="DE67" i="1"/>
  <c r="AS139" i="1"/>
  <c r="AT152" i="1"/>
  <c r="AS144" i="1"/>
  <c r="AS143" i="1"/>
  <c r="AT137" i="1"/>
  <c r="AS148" i="1"/>
  <c r="AT151" i="1"/>
  <c r="DD66" i="1"/>
  <c r="DD67" i="1"/>
  <c r="AT138" i="1"/>
  <c r="AS151" i="1"/>
  <c r="DC67" i="1"/>
  <c r="AS145" i="1"/>
  <c r="AS149" i="1"/>
  <c r="AS68" i="1"/>
  <c r="AT67" i="1"/>
  <c r="AT68" i="1"/>
  <c r="AT157" i="1"/>
  <c r="AT142" i="1"/>
  <c r="AT159" i="1"/>
  <c r="DE66" i="1"/>
  <c r="AS160" i="1"/>
  <c r="AT141" i="1"/>
  <c r="AT66" i="1"/>
  <c r="AT147" i="1"/>
  <c r="AS146" i="1"/>
  <c r="AS138" i="1"/>
  <c r="AS156" i="1"/>
  <c r="DF68" i="1"/>
  <c r="AS157" i="1"/>
  <c r="DC68" i="1"/>
  <c r="AT145" i="1"/>
  <c r="AT160" i="1"/>
  <c r="AS152" i="1"/>
  <c r="AT143" i="1"/>
  <c r="AS158" i="1"/>
  <c r="AS150" i="1"/>
  <c r="DB67" i="1"/>
  <c r="DB66" i="1"/>
  <c r="CD66" i="1"/>
  <c r="DA67" i="1"/>
  <c r="CE66" i="1"/>
  <c r="CE68" i="1"/>
  <c r="BB67" i="1"/>
  <c r="AS141" i="1"/>
  <c r="DB68" i="1"/>
  <c r="DA66" i="1"/>
  <c r="BB68" i="1"/>
  <c r="BB66" i="1"/>
  <c r="BA66" i="1"/>
  <c r="CD68" i="1"/>
  <c r="DA68" i="1"/>
  <c r="CD67" i="1"/>
  <c r="AS140" i="1"/>
  <c r="CE67" i="1"/>
  <c r="AS142" i="1"/>
  <c r="BA67" i="1"/>
  <c r="BA68" i="1"/>
  <c r="CF68" i="1"/>
  <c r="BD66" i="1"/>
  <c r="BF68" i="1"/>
  <c r="BC67" i="1"/>
  <c r="AW67" i="1"/>
  <c r="EO68" i="1"/>
  <c r="EN66" i="1"/>
  <c r="AX66" i="1"/>
  <c r="AW68" i="1"/>
  <c r="CI66" i="1"/>
  <c r="EP68" i="1"/>
  <c r="M160" i="2"/>
  <c r="M88" i="2"/>
  <c r="Q159" i="2"/>
  <c r="V59" i="2"/>
  <c r="I159" i="2"/>
  <c r="T158" i="2"/>
  <c r="U57" i="2"/>
  <c r="E160" i="2"/>
  <c r="V153" i="2"/>
  <c r="O67" i="2"/>
  <c r="B159" i="2"/>
  <c r="V90" i="2"/>
  <c r="O88" i="2"/>
  <c r="V139" i="2"/>
  <c r="U159" i="2"/>
  <c r="T46" i="2"/>
  <c r="S68" i="2"/>
  <c r="U59" i="2"/>
  <c r="H67" i="2"/>
  <c r="J89" i="2"/>
  <c r="U46" i="2"/>
  <c r="T140" i="2"/>
  <c r="P88" i="2"/>
  <c r="S90" i="2"/>
  <c r="U61" i="2"/>
  <c r="I89" i="2"/>
  <c r="D89" i="2"/>
  <c r="U156" i="2"/>
  <c r="T155" i="2"/>
  <c r="T142" i="2"/>
  <c r="T141" i="2"/>
  <c r="D88" i="2"/>
  <c r="U64" i="2"/>
  <c r="V57" i="2"/>
  <c r="U153" i="2"/>
  <c r="V55" i="2"/>
  <c r="G68" i="2"/>
  <c r="G159" i="2"/>
  <c r="P67" i="2"/>
  <c r="G160" i="2"/>
  <c r="J160" i="2"/>
  <c r="J67" i="2"/>
  <c r="V53" i="2"/>
  <c r="V159" i="2"/>
  <c r="I90" i="2"/>
  <c r="J88" i="2"/>
  <c r="V145" i="2"/>
  <c r="T146" i="2"/>
  <c r="T156" i="2"/>
  <c r="U63" i="2"/>
  <c r="T160" i="2"/>
  <c r="S88" i="2"/>
  <c r="T65" i="2"/>
  <c r="H89" i="2"/>
  <c r="U66" i="2"/>
  <c r="V52" i="2"/>
  <c r="Q89" i="2"/>
  <c r="L88" i="2"/>
  <c r="T144" i="2"/>
  <c r="U54" i="2"/>
  <c r="F88" i="2"/>
  <c r="E68" i="2"/>
  <c r="T47" i="2"/>
  <c r="Q160" i="2"/>
  <c r="V61" i="2"/>
  <c r="G88" i="2"/>
  <c r="V146" i="2"/>
  <c r="O90" i="2"/>
  <c r="U140" i="2"/>
  <c r="BD67" i="1"/>
  <c r="CH66" i="1"/>
  <c r="BC66" i="1"/>
  <c r="AV66" i="1"/>
  <c r="V86" i="2"/>
  <c r="O68" i="2"/>
  <c r="U158" i="2"/>
  <c r="V65" i="2"/>
  <c r="V141" i="2"/>
  <c r="V68" i="2"/>
  <c r="K159" i="2"/>
  <c r="U141" i="2"/>
  <c r="T49" i="2"/>
  <c r="V51" i="2"/>
  <c r="L89" i="2"/>
  <c r="T58" i="2"/>
  <c r="F90" i="2"/>
  <c r="U138" i="2"/>
  <c r="U50" i="2"/>
  <c r="T152" i="2"/>
  <c r="C90" i="2"/>
  <c r="I68" i="2"/>
  <c r="U90" i="2"/>
  <c r="T151" i="2"/>
  <c r="K90" i="2"/>
  <c r="U145" i="2"/>
  <c r="BC68" i="1"/>
  <c r="AU68" i="1"/>
  <c r="EO66" i="1"/>
  <c r="CF67" i="1"/>
  <c r="AX68" i="1"/>
  <c r="EP67" i="1"/>
  <c r="CI68" i="1"/>
  <c r="CG68" i="1"/>
  <c r="AX67" i="1"/>
  <c r="CG66" i="1"/>
  <c r="AU66" i="1"/>
  <c r="D160" i="2"/>
  <c r="U87" i="2"/>
  <c r="R89" i="2"/>
  <c r="V152" i="2"/>
  <c r="V87" i="2"/>
  <c r="L160" i="2"/>
  <c r="U65" i="2"/>
  <c r="T89" i="2"/>
  <c r="U142" i="2"/>
  <c r="V142" i="2"/>
  <c r="D67" i="2"/>
  <c r="N88" i="2"/>
  <c r="O159" i="2"/>
  <c r="T68" i="2"/>
  <c r="I88" i="2"/>
  <c r="O89" i="2"/>
  <c r="T52" i="2"/>
  <c r="R67" i="2"/>
  <c r="V64" i="2"/>
  <c r="U160" i="2"/>
  <c r="V5" i="2"/>
  <c r="U86" i="2"/>
  <c r="K68" i="2"/>
  <c r="U5" i="2"/>
  <c r="T5" i="2"/>
  <c r="Q90" i="2"/>
  <c r="B67" i="2"/>
  <c r="U144" i="2"/>
  <c r="N160" i="2"/>
  <c r="P89" i="2"/>
  <c r="E88" i="2"/>
  <c r="T64" i="2"/>
  <c r="T153" i="2"/>
  <c r="T154" i="2"/>
  <c r="Q67" i="2"/>
  <c r="U154" i="2"/>
  <c r="C160" i="2"/>
  <c r="C159" i="2"/>
  <c r="U89" i="2"/>
  <c r="T86" i="2"/>
  <c r="P159" i="2"/>
  <c r="H88" i="2"/>
  <c r="T59" i="2"/>
  <c r="O160" i="2"/>
  <c r="M89" i="2"/>
  <c r="U155" i="2"/>
  <c r="P68" i="2"/>
  <c r="T62" i="2"/>
  <c r="V150" i="2"/>
  <c r="P160" i="2"/>
  <c r="L159" i="2"/>
  <c r="F68" i="2"/>
  <c r="T159" i="2"/>
  <c r="U149" i="2"/>
  <c r="I67" i="2"/>
  <c r="T61" i="2"/>
  <c r="U148" i="2"/>
  <c r="T53" i="2"/>
  <c r="T139" i="2"/>
  <c r="V66" i="2"/>
  <c r="J68" i="2"/>
  <c r="N89" i="2"/>
  <c r="K67" i="2"/>
  <c r="T147" i="2"/>
  <c r="H68" i="2"/>
  <c r="M90" i="2"/>
  <c r="T150" i="2"/>
  <c r="T88" i="2"/>
  <c r="S67" i="2"/>
  <c r="V160" i="2"/>
  <c r="T143" i="2"/>
  <c r="BE67" i="1"/>
  <c r="EQ66" i="1"/>
  <c r="EO67" i="1"/>
  <c r="U51" i="2"/>
  <c r="T66" i="2"/>
  <c r="U58" i="2"/>
  <c r="E159" i="2"/>
  <c r="J159" i="2"/>
  <c r="U62" i="2"/>
  <c r="V46" i="2"/>
  <c r="G67" i="2"/>
  <c r="U68" i="2"/>
  <c r="V147" i="2"/>
  <c r="V47" i="2"/>
  <c r="L68" i="2"/>
  <c r="S160" i="2"/>
  <c r="C89" i="2"/>
  <c r="M67" i="2"/>
  <c r="F159" i="2"/>
  <c r="T148" i="2"/>
  <c r="N90" i="2"/>
  <c r="U143" i="2"/>
  <c r="B160" i="2"/>
  <c r="U157" i="2"/>
  <c r="V151" i="2"/>
  <c r="V140" i="2"/>
  <c r="U48" i="2"/>
  <c r="G90" i="2"/>
  <c r="BE68" i="1"/>
  <c r="CH67" i="1"/>
  <c r="CG67" i="1"/>
  <c r="AU67" i="1"/>
  <c r="CI67" i="1"/>
  <c r="BF67" i="1"/>
  <c r="EP66" i="1"/>
  <c r="BD68" i="1"/>
  <c r="EQ68" i="1"/>
  <c r="EN67" i="1"/>
  <c r="AV68" i="1"/>
  <c r="EN68" i="1"/>
  <c r="CF66" i="1"/>
  <c r="BF66" i="1"/>
  <c r="EQ67" i="1"/>
  <c r="AV67" i="1"/>
  <c r="BE66" i="1"/>
  <c r="T145" i="2"/>
  <c r="K160" i="2"/>
  <c r="V158" i="2"/>
  <c r="T67" i="2"/>
  <c r="E67" i="2"/>
  <c r="F89" i="2"/>
  <c r="T57" i="2"/>
  <c r="U147" i="2"/>
  <c r="L67" i="2"/>
  <c r="N159" i="2"/>
  <c r="T55" i="2"/>
  <c r="T63" i="2"/>
  <c r="R159" i="2"/>
  <c r="T54" i="2"/>
  <c r="C88" i="2"/>
  <c r="V154" i="2"/>
  <c r="L90" i="2"/>
  <c r="V149" i="2"/>
  <c r="U55" i="2"/>
  <c r="H90" i="2"/>
  <c r="I160" i="2"/>
  <c r="U67" i="2"/>
  <c r="U53" i="2"/>
  <c r="S159" i="2"/>
  <c r="U60" i="2"/>
  <c r="E89" i="2"/>
  <c r="K89" i="2"/>
  <c r="U146" i="2"/>
  <c r="T50" i="2"/>
  <c r="U152" i="2"/>
  <c r="N68" i="2"/>
  <c r="T87" i="2"/>
  <c r="H160" i="2"/>
  <c r="V49" i="2"/>
  <c r="T56" i="2"/>
  <c r="U88" i="2"/>
  <c r="H159" i="2"/>
  <c r="F160" i="2"/>
  <c r="V48" i="2"/>
  <c r="V63" i="2"/>
  <c r="V157" i="2"/>
  <c r="P90" i="2"/>
  <c r="U47" i="2"/>
  <c r="V54" i="2"/>
  <c r="V67" i="2"/>
  <c r="B90" i="2"/>
  <c r="V138" i="2"/>
  <c r="K88" i="2"/>
  <c r="N67" i="2"/>
  <c r="B89" i="2"/>
  <c r="U49" i="2"/>
  <c r="V89" i="2"/>
  <c r="R90" i="2"/>
  <c r="T90" i="2"/>
  <c r="C67" i="2"/>
  <c r="R160" i="2"/>
  <c r="V62" i="2"/>
  <c r="V143" i="2"/>
  <c r="T138" i="2"/>
  <c r="E90" i="2"/>
  <c r="D90" i="2"/>
  <c r="V60" i="2"/>
  <c r="T149" i="2"/>
  <c r="V148" i="2"/>
  <c r="F67" i="2"/>
  <c r="S89" i="2"/>
  <c r="T60" i="2"/>
  <c r="V144" i="2"/>
  <c r="M159" i="2"/>
  <c r="M68" i="2"/>
  <c r="R88" i="2"/>
  <c r="CH68" i="1"/>
  <c r="AW66" i="1"/>
  <c r="V155" i="2"/>
  <c r="D159" i="2"/>
  <c r="R68" i="2"/>
  <c r="T51" i="2"/>
  <c r="U52" i="2"/>
  <c r="U56" i="2"/>
  <c r="B88" i="2"/>
  <c r="G89" i="2"/>
  <c r="C68" i="2"/>
  <c r="D68" i="2"/>
  <c r="V58" i="2"/>
  <c r="U151" i="2"/>
  <c r="U150" i="2"/>
  <c r="B68" i="2"/>
  <c r="Q68" i="2"/>
  <c r="V56" i="2"/>
  <c r="T48" i="2"/>
  <c r="J90" i="2"/>
  <c r="V88" i="2"/>
  <c r="V156" i="2"/>
  <c r="Q88" i="2"/>
  <c r="U139" i="2"/>
  <c r="T157" i="2"/>
  <c r="V50" i="2"/>
  <c r="ED65" i="1" l="1"/>
  <c r="CU67" i="1"/>
  <c r="DK67" i="1"/>
  <c r="DO67" i="1"/>
  <c r="DI67" i="1"/>
  <c r="DN67" i="1"/>
  <c r="DH67" i="1"/>
  <c r="DJ67" i="1"/>
  <c r="EJ66" i="1"/>
  <c r="EC66" i="1" s="1"/>
  <c r="BO66" i="1" s="1"/>
  <c r="CO67" i="1"/>
  <c r="D67" i="1"/>
  <c r="EH67" i="1"/>
  <c r="EA67" i="1" s="1"/>
  <c r="BM67" i="1" s="1"/>
  <c r="DU66" i="1"/>
  <c r="EH66" i="1"/>
  <c r="EA66" i="1" s="1"/>
  <c r="BM66" i="1" s="1"/>
  <c r="CU66" i="1"/>
  <c r="DJ66" i="1"/>
  <c r="DH66" i="1"/>
  <c r="DN66" i="1"/>
  <c r="EJ67" i="1"/>
  <c r="EC67" i="1" s="1"/>
  <c r="BO67" i="1" s="1"/>
  <c r="CQ67" i="1"/>
  <c r="EI67" i="1"/>
  <c r="EB67" i="1" s="1"/>
  <c r="BN67" i="1" s="1"/>
  <c r="CK67" i="1"/>
  <c r="AY67" i="1"/>
  <c r="B67" i="1"/>
  <c r="EG66" i="1"/>
  <c r="DZ66" i="1" s="1"/>
  <c r="BL66" i="1" s="1"/>
  <c r="CM66" i="1"/>
  <c r="C66" i="1"/>
  <c r="CS66" i="1"/>
  <c r="D66" i="1"/>
  <c r="CO66" i="1"/>
  <c r="DO66" i="1"/>
  <c r="DI66" i="1"/>
  <c r="DK66" i="1"/>
  <c r="CQ66" i="1"/>
  <c r="DT66" i="1"/>
  <c r="EI66" i="1"/>
  <c r="EB66" i="1" s="1"/>
  <c r="BN66" i="1" s="1"/>
  <c r="AY66" i="1"/>
  <c r="B66" i="1"/>
  <c r="CK66" i="1"/>
  <c r="EG67" i="1"/>
  <c r="DZ67" i="1" s="1"/>
  <c r="BL67" i="1" s="1"/>
  <c r="CM67" i="1"/>
  <c r="C67" i="1"/>
  <c r="CS67" i="1"/>
  <c r="DU67" i="1"/>
  <c r="A161" i="2"/>
  <c r="DG160" i="1"/>
  <c r="A69" i="2"/>
  <c r="DG68" i="1"/>
  <c r="V42" i="2"/>
  <c r="V82" i="2" s="1"/>
  <c r="V134" i="2" s="1"/>
  <c r="A90" i="1"/>
  <c r="A91" i="2" s="1"/>
  <c r="AZ89" i="1"/>
  <c r="DG89" i="1"/>
  <c r="DT67" i="1"/>
  <c r="A161" i="1"/>
  <c r="AZ160" i="1"/>
  <c r="CQ68" i="1"/>
  <c r="DK68" i="1"/>
  <c r="DI68" i="1"/>
  <c r="DO68" i="1"/>
  <c r="CK68" i="1"/>
  <c r="B68" i="1"/>
  <c r="AY68" i="1"/>
  <c r="DN68" i="1"/>
  <c r="DJ68" i="1"/>
  <c r="DH68" i="1"/>
  <c r="CS68" i="1"/>
  <c r="CU68" i="1"/>
  <c r="CO68" i="1"/>
  <c r="D68" i="1"/>
  <c r="EG68" i="1"/>
  <c r="DZ68" i="1" s="1"/>
  <c r="BL68" i="1" s="1"/>
  <c r="EJ68" i="1"/>
  <c r="EC68" i="1" s="1"/>
  <c r="BO68" i="1" s="1"/>
  <c r="EH68" i="1"/>
  <c r="EA68" i="1" s="1"/>
  <c r="BM68" i="1" s="1"/>
  <c r="EI68" i="1"/>
  <c r="EB68" i="1" s="1"/>
  <c r="BN68" i="1" s="1"/>
  <c r="CM68" i="1"/>
  <c r="C68" i="1"/>
  <c r="A69" i="1"/>
  <c r="AZ68" i="1"/>
  <c r="DT68" i="1" s="1"/>
  <c r="F68" i="1"/>
  <c r="F160" i="1"/>
  <c r="G160" i="1"/>
  <c r="BO43" i="1"/>
  <c r="F60" i="1"/>
  <c r="AT161" i="1"/>
  <c r="AT69" i="1"/>
  <c r="AS69" i="1"/>
  <c r="DF69" i="1"/>
  <c r="AS161" i="1"/>
  <c r="DC69" i="1"/>
  <c r="DE69" i="1"/>
  <c r="DD69" i="1"/>
  <c r="DB69" i="1"/>
  <c r="CD69" i="1"/>
  <c r="BB69" i="1"/>
  <c r="CE69" i="1"/>
  <c r="BA69" i="1"/>
  <c r="DA69" i="1"/>
  <c r="CG69" i="1"/>
  <c r="EP69" i="1"/>
  <c r="EN69" i="1"/>
  <c r="V91" i="2"/>
  <c r="T69" i="2"/>
  <c r="K69" i="2"/>
  <c r="G69" i="2"/>
  <c r="I69" i="2"/>
  <c r="H161" i="2"/>
  <c r="T161" i="2"/>
  <c r="W155" i="2"/>
  <c r="W138" i="2"/>
  <c r="W46" i="2"/>
  <c r="W68" i="2"/>
  <c r="O91" i="2"/>
  <c r="W51" i="2"/>
  <c r="V69" i="2"/>
  <c r="W145" i="2"/>
  <c r="D91" i="2"/>
  <c r="W5" i="2"/>
  <c r="W49" i="2"/>
  <c r="W152" i="2"/>
  <c r="C69" i="2"/>
  <c r="W87" i="2"/>
  <c r="E91" i="2"/>
  <c r="B161" i="2"/>
  <c r="Q69" i="2"/>
  <c r="W55" i="2"/>
  <c r="H69" i="2"/>
  <c r="O161" i="2"/>
  <c r="W86" i="2"/>
  <c r="R91" i="2"/>
  <c r="M91" i="2"/>
  <c r="W64" i="2"/>
  <c r="W157" i="2"/>
  <c r="E69" i="2"/>
  <c r="L161" i="2"/>
  <c r="K161" i="2"/>
  <c r="K91" i="2"/>
  <c r="D161" i="2"/>
  <c r="J69" i="2"/>
  <c r="AU69" i="1"/>
  <c r="EO69" i="1"/>
  <c r="AX69" i="1"/>
  <c r="BE69" i="1"/>
  <c r="CH69" i="1"/>
  <c r="W48" i="2"/>
  <c r="W88" i="2"/>
  <c r="H91" i="2"/>
  <c r="W61" i="2"/>
  <c r="W62" i="2"/>
  <c r="W140" i="2"/>
  <c r="W146" i="2"/>
  <c r="W58" i="2"/>
  <c r="W161" i="2"/>
  <c r="W67" i="2"/>
  <c r="E161" i="2"/>
  <c r="N69" i="2"/>
  <c r="W69" i="2"/>
  <c r="L69" i="2"/>
  <c r="B69" i="2"/>
  <c r="U161" i="2"/>
  <c r="R161" i="2"/>
  <c r="J161" i="2"/>
  <c r="P91" i="2"/>
  <c r="N161" i="2"/>
  <c r="U69" i="2"/>
  <c r="P161" i="2"/>
  <c r="W150" i="2"/>
  <c r="M161" i="2"/>
  <c r="W156" i="2"/>
  <c r="W66" i="2"/>
  <c r="V161" i="2"/>
  <c r="Q91" i="2"/>
  <c r="W147" i="2"/>
  <c r="BF69" i="1"/>
  <c r="BD69" i="1"/>
  <c r="R69" i="2"/>
  <c r="W143" i="2"/>
  <c r="S161" i="2"/>
  <c r="W154" i="2"/>
  <c r="Q161" i="2"/>
  <c r="W144" i="2"/>
  <c r="G91" i="2"/>
  <c r="F69" i="2"/>
  <c r="W52" i="2"/>
  <c r="W50" i="2"/>
  <c r="W47" i="2"/>
  <c r="EQ69" i="1"/>
  <c r="CF69" i="1"/>
  <c r="BC69" i="1"/>
  <c r="AW69" i="1"/>
  <c r="AV69" i="1"/>
  <c r="M69" i="2"/>
  <c r="W90" i="2"/>
  <c r="B91" i="2"/>
  <c r="W141" i="2"/>
  <c r="F91" i="2"/>
  <c r="C161" i="2"/>
  <c r="W65" i="2"/>
  <c r="D69" i="2"/>
  <c r="W153" i="2"/>
  <c r="W57" i="2"/>
  <c r="W60" i="2"/>
  <c r="W63" i="2"/>
  <c r="J91" i="2"/>
  <c r="W89" i="2"/>
  <c r="C91" i="2"/>
  <c r="W148" i="2"/>
  <c r="W151" i="2"/>
  <c r="I161" i="2"/>
  <c r="W91" i="2"/>
  <c r="U91" i="2"/>
  <c r="S69" i="2"/>
  <c r="O69" i="2"/>
  <c r="L91" i="2"/>
  <c r="F161" i="2"/>
  <c r="P69" i="2"/>
  <c r="N91" i="2"/>
  <c r="I91" i="2"/>
  <c r="W149" i="2"/>
  <c r="W53" i="2"/>
  <c r="W56" i="2"/>
  <c r="CI69" i="1"/>
  <c r="S91" i="2"/>
  <c r="W139" i="2"/>
  <c r="W159" i="2"/>
  <c r="W54" i="2"/>
  <c r="W160" i="2"/>
  <c r="T91" i="2"/>
  <c r="G161" i="2"/>
  <c r="W142" i="2"/>
  <c r="W59" i="2"/>
  <c r="W158" i="2"/>
  <c r="DV66" i="1" l="1"/>
  <c r="DM66" i="1"/>
  <c r="BZ67" i="1"/>
  <c r="DW66" i="1"/>
  <c r="CP66" i="1"/>
  <c r="CP67" i="1"/>
  <c r="E66" i="1"/>
  <c r="BZ66" i="1"/>
  <c r="CA66" i="1" s="1"/>
  <c r="DV67" i="1"/>
  <c r="DM67" i="1"/>
  <c r="E67" i="1"/>
  <c r="CB67" i="1"/>
  <c r="DQ67" i="1"/>
  <c r="DP66" i="1"/>
  <c r="CB66" i="1"/>
  <c r="CC66" i="1" s="1"/>
  <c r="DP67" i="1"/>
  <c r="DL67" i="1"/>
  <c r="DW67" i="1"/>
  <c r="BU66" i="1"/>
  <c r="DS66" i="1"/>
  <c r="BS67" i="1"/>
  <c r="DL66" i="1"/>
  <c r="BS66" i="1"/>
  <c r="BT66" i="1" s="1"/>
  <c r="DS67" i="1"/>
  <c r="BU67" i="1"/>
  <c r="DQ66" i="1"/>
  <c r="A162" i="2"/>
  <c r="DG161" i="1"/>
  <c r="A70" i="2"/>
  <c r="DG69" i="1"/>
  <c r="W42" i="2"/>
  <c r="W82" i="2" s="1"/>
  <c r="W134" i="2" s="1"/>
  <c r="A91" i="1"/>
  <c r="A92" i="2" s="1"/>
  <c r="AZ90" i="1"/>
  <c r="DG90" i="1"/>
  <c r="DV68" i="1"/>
  <c r="A162" i="1"/>
  <c r="AZ161" i="1"/>
  <c r="F161" i="1"/>
  <c r="G161" i="1"/>
  <c r="DQ68" i="1"/>
  <c r="BS68" i="1"/>
  <c r="BU68" i="1"/>
  <c r="BZ68" i="1"/>
  <c r="DM68" i="1"/>
  <c r="CQ69" i="1"/>
  <c r="B69" i="1"/>
  <c r="CK69" i="1"/>
  <c r="AY69" i="1"/>
  <c r="DK69" i="1"/>
  <c r="DI69" i="1"/>
  <c r="DO69" i="1"/>
  <c r="DH69" i="1"/>
  <c r="DN69" i="1"/>
  <c r="DJ69" i="1"/>
  <c r="CM69" i="1"/>
  <c r="C69" i="1"/>
  <c r="CS69" i="1"/>
  <c r="EI69" i="1"/>
  <c r="EB69" i="1" s="1"/>
  <c r="BN69" i="1" s="1"/>
  <c r="CO69" i="1"/>
  <c r="D69" i="1"/>
  <c r="EH69" i="1"/>
  <c r="EA69" i="1" s="1"/>
  <c r="BM69" i="1" s="1"/>
  <c r="EG69" i="1"/>
  <c r="DZ69" i="1" s="1"/>
  <c r="BL69" i="1" s="1"/>
  <c r="EJ69" i="1"/>
  <c r="EC69" i="1" s="1"/>
  <c r="BO69" i="1" s="1"/>
  <c r="CU69" i="1"/>
  <c r="CP68" i="1"/>
  <c r="DU68" i="1"/>
  <c r="CB68" i="1"/>
  <c r="DL68" i="1"/>
  <c r="DP68" i="1"/>
  <c r="DS68" i="1"/>
  <c r="A70" i="1"/>
  <c r="AZ69" i="1"/>
  <c r="DU69" i="1" s="1"/>
  <c r="F69" i="1"/>
  <c r="E68" i="1"/>
  <c r="F159" i="1"/>
  <c r="G159" i="1"/>
  <c r="F59" i="1"/>
  <c r="DF70" i="1"/>
  <c r="DD70" i="1"/>
  <c r="AS162" i="1"/>
  <c r="AT162" i="1"/>
  <c r="DB70" i="1"/>
  <c r="X68" i="2"/>
  <c r="X90" i="2"/>
  <c r="F70" i="2"/>
  <c r="X144" i="2"/>
  <c r="P92" i="2"/>
  <c r="P162" i="2"/>
  <c r="P70" i="2"/>
  <c r="S92" i="2"/>
  <c r="T162" i="2"/>
  <c r="X48" i="2"/>
  <c r="S162" i="2"/>
  <c r="X56" i="2"/>
  <c r="X87" i="2"/>
  <c r="Q162" i="2"/>
  <c r="X162" i="2"/>
  <c r="M162" i="2"/>
  <c r="X161" i="2"/>
  <c r="H92" i="2"/>
  <c r="L92" i="2"/>
  <c r="X88" i="2"/>
  <c r="J162" i="2"/>
  <c r="X155" i="2"/>
  <c r="X86" i="2"/>
  <c r="X62" i="2"/>
  <c r="X157" i="2"/>
  <c r="X145" i="2"/>
  <c r="X52" i="2"/>
  <c r="X47" i="2"/>
  <c r="X146" i="2"/>
  <c r="X150" i="2"/>
  <c r="V70" i="2"/>
  <c r="X50" i="2"/>
  <c r="R70" i="2"/>
  <c r="W162" i="2"/>
  <c r="I162" i="2"/>
  <c r="X151" i="2"/>
  <c r="X148" i="2"/>
  <c r="X67" i="2"/>
  <c r="X138" i="2"/>
  <c r="X58" i="2"/>
  <c r="W92" i="2"/>
  <c r="U162" i="2"/>
  <c r="D162" i="2"/>
  <c r="R162" i="2"/>
  <c r="C162" i="2"/>
  <c r="V162" i="2"/>
  <c r="O92" i="2"/>
  <c r="X92" i="2"/>
  <c r="X149" i="2"/>
  <c r="N70" i="2"/>
  <c r="X158" i="2"/>
  <c r="H70" i="2"/>
  <c r="G70" i="2"/>
  <c r="X154" i="2"/>
  <c r="M92" i="2"/>
  <c r="Q70" i="2"/>
  <c r="X143" i="2"/>
  <c r="X147" i="2"/>
  <c r="X57" i="2"/>
  <c r="O162" i="2"/>
  <c r="I92" i="2"/>
  <c r="X69" i="2"/>
  <c r="N162" i="2"/>
  <c r="X159" i="2"/>
  <c r="X91" i="2"/>
  <c r="X64" i="2"/>
  <c r="K162" i="2"/>
  <c r="X153" i="2"/>
  <c r="L162" i="2"/>
  <c r="I70" i="2"/>
  <c r="X141" i="2"/>
  <c r="G162" i="2"/>
  <c r="X152" i="2"/>
  <c r="K70" i="2"/>
  <c r="V92" i="2"/>
  <c r="X70" i="2"/>
  <c r="C92" i="2"/>
  <c r="D92" i="2"/>
  <c r="X54" i="2"/>
  <c r="X61" i="2"/>
  <c r="X55" i="2"/>
  <c r="N92" i="2"/>
  <c r="R92" i="2"/>
  <c r="T70" i="2"/>
  <c r="X89" i="2"/>
  <c r="K92" i="2"/>
  <c r="J92" i="2"/>
  <c r="G92" i="2"/>
  <c r="B92" i="2"/>
  <c r="Q92" i="2"/>
  <c r="X139" i="2"/>
  <c r="X160" i="2"/>
  <c r="S70" i="2"/>
  <c r="W70" i="2"/>
  <c r="H162" i="2"/>
  <c r="C70" i="2"/>
  <c r="X59" i="2"/>
  <c r="X51" i="2"/>
  <c r="L70" i="2"/>
  <c r="O70" i="2"/>
  <c r="X5" i="2"/>
  <c r="X60" i="2"/>
  <c r="X156" i="2"/>
  <c r="B162" i="2"/>
  <c r="X65" i="2"/>
  <c r="X53" i="2"/>
  <c r="B70" i="2"/>
  <c r="U70" i="2"/>
  <c r="X63" i="2"/>
  <c r="X142" i="2"/>
  <c r="U92" i="2"/>
  <c r="X49" i="2"/>
  <c r="X140" i="2"/>
  <c r="X46" i="2"/>
  <c r="M70" i="2"/>
  <c r="X66" i="2"/>
  <c r="E162" i="2"/>
  <c r="F162" i="2"/>
  <c r="F92" i="2"/>
  <c r="D70" i="2"/>
  <c r="T92" i="2"/>
  <c r="J70" i="2"/>
  <c r="E92" i="2"/>
  <c r="E70" i="2"/>
  <c r="ED67" i="1" l="1"/>
  <c r="ED66" i="1"/>
  <c r="DW68" i="1"/>
  <c r="ES68" i="1" s="1"/>
  <c r="ES67" i="1"/>
  <c r="ES66" i="1"/>
  <c r="BT68" i="1"/>
  <c r="BT67" i="1"/>
  <c r="CC68" i="1"/>
  <c r="CA68" i="1"/>
  <c r="CA67" i="1"/>
  <c r="CC67" i="1"/>
  <c r="A163" i="2"/>
  <c r="DG162" i="1"/>
  <c r="A71" i="2"/>
  <c r="DG70" i="1"/>
  <c r="Y160" i="2"/>
  <c r="BG159" i="1" s="1"/>
  <c r="Y156" i="2"/>
  <c r="BG155" i="1" s="1"/>
  <c r="Y152" i="2"/>
  <c r="BG151" i="1" s="1"/>
  <c r="Y148" i="2"/>
  <c r="BG147" i="1" s="1"/>
  <c r="Y144" i="2"/>
  <c r="BG143" i="1" s="1"/>
  <c r="Y140" i="2"/>
  <c r="BG139" i="1" s="1"/>
  <c r="Y159" i="2"/>
  <c r="BG158" i="1" s="1"/>
  <c r="Y155" i="2"/>
  <c r="BG154" i="1" s="1"/>
  <c r="Y151" i="2"/>
  <c r="BG150" i="1" s="1"/>
  <c r="Y147" i="2"/>
  <c r="BG146" i="1" s="1"/>
  <c r="Y143" i="2"/>
  <c r="BG142" i="1" s="1"/>
  <c r="Y139" i="2"/>
  <c r="BG138" i="1" s="1"/>
  <c r="Y162" i="2"/>
  <c r="BG161" i="1" s="1"/>
  <c r="Y158" i="2"/>
  <c r="BG157" i="1" s="1"/>
  <c r="Y154" i="2"/>
  <c r="BG153" i="1" s="1"/>
  <c r="Y150" i="2"/>
  <c r="BG149" i="1" s="1"/>
  <c r="Y146" i="2"/>
  <c r="BG145" i="1" s="1"/>
  <c r="Y142" i="2"/>
  <c r="BG141" i="1" s="1"/>
  <c r="Y138" i="2"/>
  <c r="BG137" i="1" s="1"/>
  <c r="Y161" i="2"/>
  <c r="BG160" i="1" s="1"/>
  <c r="Y157" i="2"/>
  <c r="BG156" i="1" s="1"/>
  <c r="Y153" i="2"/>
  <c r="BG152" i="1" s="1"/>
  <c r="Y149" i="2"/>
  <c r="BG148" i="1" s="1"/>
  <c r="Y145" i="2"/>
  <c r="BG144" i="1" s="1"/>
  <c r="Y141" i="2"/>
  <c r="BG140" i="1" s="1"/>
  <c r="Y86" i="2"/>
  <c r="BG85" i="1" s="1"/>
  <c r="Y5" i="2"/>
  <c r="BG4" i="1" s="1"/>
  <c r="Y48" i="2"/>
  <c r="BG47" i="1" s="1"/>
  <c r="Y55" i="2"/>
  <c r="BG54" i="1" s="1"/>
  <c r="BH54" i="1" s="1"/>
  <c r="Y51" i="2"/>
  <c r="BG50" i="1" s="1"/>
  <c r="Y58" i="2"/>
  <c r="BG57" i="1" s="1"/>
  <c r="Y46" i="2"/>
  <c r="BG45" i="1" s="1"/>
  <c r="Y53" i="2"/>
  <c r="BG52" i="1" s="1"/>
  <c r="Y47" i="2"/>
  <c r="BG46" i="1" s="1"/>
  <c r="Y54" i="2"/>
  <c r="BG53" i="1" s="1"/>
  <c r="Y49" i="2"/>
  <c r="BG48" i="1" s="1"/>
  <c r="Y60" i="2"/>
  <c r="BG59" i="1" s="1"/>
  <c r="Y56" i="2"/>
  <c r="BG55" i="1" s="1"/>
  <c r="BH55" i="1" s="1"/>
  <c r="Y50" i="2"/>
  <c r="BG49" i="1" s="1"/>
  <c r="Y62" i="2"/>
  <c r="BG61" i="1" s="1"/>
  <c r="Y52" i="2"/>
  <c r="BG51" i="1" s="1"/>
  <c r="Y57" i="2"/>
  <c r="BG56" i="1" s="1"/>
  <c r="Y59" i="2"/>
  <c r="BG58" i="1" s="1"/>
  <c r="Y67" i="2"/>
  <c r="BG66" i="1" s="1"/>
  <c r="BH66" i="1" s="1"/>
  <c r="Y66" i="2"/>
  <c r="BG65" i="1" s="1"/>
  <c r="BH65" i="1" s="1"/>
  <c r="Y63" i="2"/>
  <c r="BG62" i="1" s="1"/>
  <c r="Y69" i="2"/>
  <c r="BG68" i="1" s="1"/>
  <c r="BH68" i="1" s="1"/>
  <c r="Y65" i="2"/>
  <c r="BG64" i="1" s="1"/>
  <c r="Y68" i="2"/>
  <c r="BG67" i="1" s="1"/>
  <c r="BH67" i="1" s="1"/>
  <c r="Y70" i="2"/>
  <c r="BG69" i="1" s="1"/>
  <c r="BH69" i="1" s="1"/>
  <c r="Y61" i="2"/>
  <c r="BG60" i="1" s="1"/>
  <c r="Y64" i="2"/>
  <c r="BG63" i="1" s="1"/>
  <c r="Y87" i="2"/>
  <c r="BG86" i="1" s="1"/>
  <c r="Y88" i="2"/>
  <c r="BG87" i="1" s="1"/>
  <c r="Y89" i="2"/>
  <c r="BG88" i="1" s="1"/>
  <c r="Y90" i="2"/>
  <c r="BG89" i="1" s="1"/>
  <c r="Y91" i="2"/>
  <c r="BG90" i="1" s="1"/>
  <c r="X42" i="2"/>
  <c r="X82" i="2" s="1"/>
  <c r="X134" i="2" s="1"/>
  <c r="Y92" i="2"/>
  <c r="BG91" i="1" s="1"/>
  <c r="A92" i="1"/>
  <c r="A93" i="2" s="1"/>
  <c r="AZ91" i="1"/>
  <c r="DG91" i="1"/>
  <c r="A163" i="1"/>
  <c r="AZ162" i="1"/>
  <c r="F162" i="1"/>
  <c r="G162" i="1"/>
  <c r="DM69" i="1"/>
  <c r="DQ69" i="1"/>
  <c r="BU69" i="1"/>
  <c r="BZ69" i="1"/>
  <c r="CA69" i="1" s="1"/>
  <c r="CB69" i="1"/>
  <c r="CC69" i="1" s="1"/>
  <c r="BS69" i="1"/>
  <c r="BT69" i="1" s="1"/>
  <c r="A71" i="1"/>
  <c r="AZ70" i="1"/>
  <c r="F70" i="1"/>
  <c r="DW69" i="1"/>
  <c r="E69" i="1"/>
  <c r="DT69" i="1"/>
  <c r="DV69" i="1" s="1"/>
  <c r="DP69" i="1"/>
  <c r="DL69" i="1"/>
  <c r="CP69" i="1"/>
  <c r="DS69" i="1"/>
  <c r="F158" i="1"/>
  <c r="G158" i="1"/>
  <c r="F58" i="1"/>
  <c r="DD71" i="1"/>
  <c r="AT163" i="1"/>
  <c r="AS163" i="1"/>
  <c r="DF71" i="1"/>
  <c r="DB71" i="1"/>
  <c r="N93" i="2"/>
  <c r="H71" i="2"/>
  <c r="F163" i="2"/>
  <c r="Q71" i="2"/>
  <c r="M71" i="2"/>
  <c r="W163" i="2"/>
  <c r="M93" i="2"/>
  <c r="X163" i="2"/>
  <c r="U71" i="2"/>
  <c r="K93" i="2"/>
  <c r="G93" i="2"/>
  <c r="B93" i="2"/>
  <c r="V163" i="2"/>
  <c r="B163" i="2"/>
  <c r="G163" i="2"/>
  <c r="P163" i="2"/>
  <c r="W93" i="2"/>
  <c r="C71" i="2"/>
  <c r="S71" i="2"/>
  <c r="EQ163" i="1"/>
  <c r="V93" i="2"/>
  <c r="K163" i="2"/>
  <c r="O163" i="2"/>
  <c r="L93" i="2"/>
  <c r="S163" i="2"/>
  <c r="Q163" i="2"/>
  <c r="T93" i="2"/>
  <c r="J163" i="2"/>
  <c r="J93" i="2"/>
  <c r="F71" i="2"/>
  <c r="W71" i="2"/>
  <c r="D93" i="2"/>
  <c r="P93" i="2"/>
  <c r="T71" i="2"/>
  <c r="B71" i="2"/>
  <c r="I71" i="2"/>
  <c r="V71" i="2"/>
  <c r="H93" i="2"/>
  <c r="X93" i="2"/>
  <c r="N163" i="2"/>
  <c r="O93" i="2"/>
  <c r="G71" i="2"/>
  <c r="R71" i="2"/>
  <c r="E93" i="2"/>
  <c r="M163" i="2"/>
  <c r="K71" i="2"/>
  <c r="T163" i="2"/>
  <c r="C163" i="2"/>
  <c r="D71" i="2"/>
  <c r="L71" i="2"/>
  <c r="I93" i="2"/>
  <c r="N71" i="2"/>
  <c r="X71" i="2"/>
  <c r="S93" i="2"/>
  <c r="P71" i="2"/>
  <c r="J71" i="2"/>
  <c r="D163" i="2"/>
  <c r="U163" i="2"/>
  <c r="Q93" i="2"/>
  <c r="I163" i="2"/>
  <c r="F93" i="2"/>
  <c r="O71" i="2"/>
  <c r="E163" i="2"/>
  <c r="R163" i="2"/>
  <c r="U93" i="2"/>
  <c r="H163" i="2"/>
  <c r="C93" i="2"/>
  <c r="E71" i="2"/>
  <c r="L163" i="2"/>
  <c r="R93" i="2"/>
  <c r="ED69" i="1" l="1"/>
  <c r="ED68" i="1"/>
  <c r="ES69" i="1"/>
  <c r="Y163" i="2"/>
  <c r="BG162" i="1" s="1"/>
  <c r="A164" i="2"/>
  <c r="DG163" i="1"/>
  <c r="Y71" i="2"/>
  <c r="BG70" i="1" s="1"/>
  <c r="A72" i="2"/>
  <c r="DG71" i="1"/>
  <c r="BI67" i="1"/>
  <c r="BI55" i="1"/>
  <c r="BI69" i="1"/>
  <c r="BI66" i="1"/>
  <c r="BI68" i="1"/>
  <c r="Y93" i="2"/>
  <c r="BG92" i="1" s="1"/>
  <c r="A93" i="1"/>
  <c r="A94" i="2" s="1"/>
  <c r="AZ92" i="1"/>
  <c r="DG92" i="1"/>
  <c r="EJ163" i="1"/>
  <c r="EC163" i="1" s="1"/>
  <c r="BO163" i="1" s="1"/>
  <c r="A164" i="1"/>
  <c r="AZ163" i="1"/>
  <c r="G163" i="1"/>
  <c r="F163" i="1"/>
  <c r="A72" i="1"/>
  <c r="AZ71" i="1"/>
  <c r="F71" i="1"/>
  <c r="F56" i="1"/>
  <c r="F157" i="1"/>
  <c r="G157" i="1"/>
  <c r="F57" i="1"/>
  <c r="AS164" i="1"/>
  <c r="DD72" i="1"/>
  <c r="AT164" i="1"/>
  <c r="DF72" i="1"/>
  <c r="DB72" i="1"/>
  <c r="H164" i="2"/>
  <c r="O72" i="2"/>
  <c r="P94" i="2"/>
  <c r="V72" i="2"/>
  <c r="B72" i="2"/>
  <c r="M164" i="2"/>
  <c r="W72" i="2"/>
  <c r="I72" i="2"/>
  <c r="Q94" i="2"/>
  <c r="G72" i="2"/>
  <c r="S94" i="2"/>
  <c r="G94" i="2"/>
  <c r="E94" i="2"/>
  <c r="H72" i="2"/>
  <c r="P72" i="2"/>
  <c r="C72" i="2"/>
  <c r="F72" i="2"/>
  <c r="C164" i="2"/>
  <c r="U94" i="2"/>
  <c r="Q72" i="2"/>
  <c r="S72" i="2"/>
  <c r="K94" i="2"/>
  <c r="U164" i="2"/>
  <c r="L94" i="2"/>
  <c r="S164" i="2"/>
  <c r="M94" i="2"/>
  <c r="R94" i="2"/>
  <c r="F164" i="2"/>
  <c r="X94" i="2"/>
  <c r="H94" i="2"/>
  <c r="I94" i="2"/>
  <c r="O94" i="2"/>
  <c r="K72" i="2"/>
  <c r="C94" i="2"/>
  <c r="R164" i="2"/>
  <c r="W164" i="2"/>
  <c r="E72" i="2"/>
  <c r="W94" i="2"/>
  <c r="B94" i="2"/>
  <c r="X72" i="2"/>
  <c r="N72" i="2"/>
  <c r="J72" i="2"/>
  <c r="G164" i="2"/>
  <c r="T94" i="2"/>
  <c r="D72" i="2"/>
  <c r="I164" i="2"/>
  <c r="P164" i="2"/>
  <c r="M72" i="2"/>
  <c r="T72" i="2"/>
  <c r="O164" i="2"/>
  <c r="R72" i="2"/>
  <c r="J94" i="2"/>
  <c r="V164" i="2"/>
  <c r="F94" i="2"/>
  <c r="K164" i="2"/>
  <c r="X164" i="2"/>
  <c r="T164" i="2"/>
  <c r="N164" i="2"/>
  <c r="V94" i="2"/>
  <c r="N94" i="2"/>
  <c r="J164" i="2"/>
  <c r="E164" i="2"/>
  <c r="L72" i="2"/>
  <c r="B164" i="2"/>
  <c r="L164" i="2"/>
  <c r="D94" i="2"/>
  <c r="D164" i="2"/>
  <c r="Q164" i="2"/>
  <c r="U72" i="2"/>
  <c r="Y164" i="2" l="1"/>
  <c r="BG163" i="1" s="1"/>
  <c r="A165" i="2"/>
  <c r="DG164" i="1"/>
  <c r="Y72" i="2"/>
  <c r="BG71" i="1" s="1"/>
  <c r="A73" i="2"/>
  <c r="DG72" i="1"/>
  <c r="Y94" i="2"/>
  <c r="BG93" i="1" s="1"/>
  <c r="AZ93" i="1"/>
  <c r="A94" i="1"/>
  <c r="A95" i="2" s="1"/>
  <c r="DG93" i="1"/>
  <c r="A165" i="1"/>
  <c r="AZ164" i="1"/>
  <c r="G164" i="1"/>
  <c r="F164" i="1"/>
  <c r="A73" i="1"/>
  <c r="AZ72" i="1"/>
  <c r="F72" i="1"/>
  <c r="F53" i="1"/>
  <c r="F156" i="1"/>
  <c r="G156" i="1"/>
  <c r="AT165" i="1"/>
  <c r="DD73" i="1"/>
  <c r="AS165" i="1"/>
  <c r="DF73" i="1"/>
  <c r="DB73" i="1"/>
  <c r="L165" i="2"/>
  <c r="R165" i="2"/>
  <c r="M165" i="2"/>
  <c r="R73" i="2"/>
  <c r="K73" i="2"/>
  <c r="R95" i="2"/>
  <c r="B165" i="2"/>
  <c r="N165" i="2"/>
  <c r="C95" i="2"/>
  <c r="C165" i="2"/>
  <c r="T165" i="2"/>
  <c r="O165" i="2"/>
  <c r="W73" i="2"/>
  <c r="F73" i="2"/>
  <c r="D73" i="2"/>
  <c r="J95" i="2"/>
  <c r="F165" i="2"/>
  <c r="V165" i="2"/>
  <c r="I95" i="2"/>
  <c r="X95" i="2"/>
  <c r="X165" i="2"/>
  <c r="D165" i="2"/>
  <c r="T73" i="2"/>
  <c r="E95" i="2"/>
  <c r="E73" i="2"/>
  <c r="K95" i="2"/>
  <c r="W165" i="2"/>
  <c r="T95" i="2"/>
  <c r="V73" i="2"/>
  <c r="U73" i="2"/>
  <c r="M73" i="2"/>
  <c r="M95" i="2"/>
  <c r="J73" i="2"/>
  <c r="I73" i="2"/>
  <c r="W95" i="2"/>
  <c r="C73" i="2"/>
  <c r="F95" i="2"/>
  <c r="G73" i="2"/>
  <c r="B73" i="2"/>
  <c r="I165" i="2"/>
  <c r="L73" i="2"/>
  <c r="U165" i="2"/>
  <c r="X73" i="2"/>
  <c r="G95" i="2"/>
  <c r="H95" i="2"/>
  <c r="Q73" i="2"/>
  <c r="Q95" i="2"/>
  <c r="P95" i="2"/>
  <c r="S73" i="2"/>
  <c r="B95" i="2"/>
  <c r="H165" i="2"/>
  <c r="P165" i="2"/>
  <c r="N73" i="2"/>
  <c r="N95" i="2"/>
  <c r="O73" i="2"/>
  <c r="S95" i="2"/>
  <c r="L95" i="2"/>
  <c r="P73" i="2"/>
  <c r="H73" i="2"/>
  <c r="G165" i="2"/>
  <c r="E165" i="2"/>
  <c r="J165" i="2"/>
  <c r="Q165" i="2"/>
  <c r="K165" i="2"/>
  <c r="O95" i="2"/>
  <c r="V95" i="2"/>
  <c r="D95" i="2"/>
  <c r="U95" i="2"/>
  <c r="S165" i="2"/>
  <c r="Y165" i="2" l="1"/>
  <c r="BG164" i="1" s="1"/>
  <c r="A166" i="2"/>
  <c r="DG165" i="1"/>
  <c r="Y73" i="2"/>
  <c r="BG72" i="1" s="1"/>
  <c r="A74" i="2"/>
  <c r="DG73" i="1"/>
  <c r="Y95" i="2"/>
  <c r="BG94" i="1" s="1"/>
  <c r="DG94" i="1"/>
  <c r="A95" i="1"/>
  <c r="A96" i="2" s="1"/>
  <c r="AZ94" i="1"/>
  <c r="A166" i="1"/>
  <c r="AZ165" i="1"/>
  <c r="F165" i="1"/>
  <c r="G165" i="1"/>
  <c r="A74" i="1"/>
  <c r="AZ73" i="1"/>
  <c r="F73" i="1"/>
  <c r="F52" i="1"/>
  <c r="F155" i="1"/>
  <c r="G155" i="1"/>
  <c r="F154" i="1"/>
  <c r="G154" i="1"/>
  <c r="F48" i="1"/>
  <c r="AT166" i="1"/>
  <c r="AS166" i="1"/>
  <c r="DD74" i="1"/>
  <c r="DF74" i="1"/>
  <c r="DB74" i="1"/>
  <c r="M96" i="2"/>
  <c r="W96" i="2"/>
  <c r="S166" i="2"/>
  <c r="B74" i="2"/>
  <c r="J74" i="2"/>
  <c r="C74" i="2"/>
  <c r="P96" i="2"/>
  <c r="T74" i="2"/>
  <c r="R166" i="2"/>
  <c r="B166" i="2"/>
  <c r="G96" i="2"/>
  <c r="F166" i="2"/>
  <c r="E74" i="2"/>
  <c r="Q74" i="2"/>
  <c r="X166" i="2"/>
  <c r="O166" i="2"/>
  <c r="I166" i="2"/>
  <c r="R74" i="2"/>
  <c r="B96" i="2"/>
  <c r="H166" i="2"/>
  <c r="F74" i="2"/>
  <c r="I74" i="2"/>
  <c r="T96" i="2"/>
  <c r="J96" i="2"/>
  <c r="F96" i="2"/>
  <c r="S96" i="2"/>
  <c r="G74" i="2"/>
  <c r="C96" i="2"/>
  <c r="T166" i="2"/>
  <c r="I96" i="2"/>
  <c r="C166" i="2"/>
  <c r="E166" i="2"/>
  <c r="N166" i="2"/>
  <c r="K74" i="2"/>
  <c r="Q96" i="2"/>
  <c r="X96" i="2"/>
  <c r="P166" i="2"/>
  <c r="E96" i="2"/>
  <c r="O74" i="2"/>
  <c r="V166" i="2"/>
  <c r="S74" i="2"/>
  <c r="M74" i="2"/>
  <c r="O96" i="2"/>
  <c r="G166" i="2"/>
  <c r="L96" i="2"/>
  <c r="W166" i="2"/>
  <c r="L166" i="2"/>
  <c r="H74" i="2"/>
  <c r="X74" i="2"/>
  <c r="L74" i="2"/>
  <c r="M166" i="2"/>
  <c r="N96" i="2"/>
  <c r="K166" i="2"/>
  <c r="D96" i="2"/>
  <c r="H96" i="2"/>
  <c r="V74" i="2"/>
  <c r="P74" i="2"/>
  <c r="Q166" i="2"/>
  <c r="D74" i="2"/>
  <c r="U96" i="2"/>
  <c r="N74" i="2"/>
  <c r="U74" i="2"/>
  <c r="R96" i="2"/>
  <c r="V96" i="2"/>
  <c r="J166" i="2"/>
  <c r="W74" i="2"/>
  <c r="K96" i="2"/>
  <c r="U166" i="2"/>
  <c r="D166" i="2"/>
  <c r="Y166" i="2" l="1"/>
  <c r="BG165" i="1" s="1"/>
  <c r="A167" i="2"/>
  <c r="DG166" i="1"/>
  <c r="Y74" i="2"/>
  <c r="BG73" i="1" s="1"/>
  <c r="A75" i="2"/>
  <c r="DG74" i="1"/>
  <c r="Y96" i="2"/>
  <c r="BG95" i="1" s="1"/>
  <c r="DG95" i="1"/>
  <c r="A96" i="1"/>
  <c r="A97" i="2" s="1"/>
  <c r="AZ95" i="1"/>
  <c r="A167" i="1"/>
  <c r="AZ166" i="1"/>
  <c r="G166" i="1"/>
  <c r="F166" i="1"/>
  <c r="A75" i="1"/>
  <c r="AZ74" i="1"/>
  <c r="F74" i="1"/>
  <c r="F51" i="1"/>
  <c r="F153" i="1"/>
  <c r="G153" i="1"/>
  <c r="F47" i="1"/>
  <c r="DF75" i="1"/>
  <c r="DD75" i="1"/>
  <c r="AT167" i="1"/>
  <c r="AS167" i="1"/>
  <c r="DB75" i="1"/>
  <c r="T167" i="2"/>
  <c r="C167" i="2"/>
  <c r="X75" i="2"/>
  <c r="K75" i="2"/>
  <c r="O97" i="2"/>
  <c r="G97" i="2"/>
  <c r="L167" i="2"/>
  <c r="R167" i="2"/>
  <c r="F167" i="2"/>
  <c r="P75" i="2"/>
  <c r="U167" i="2"/>
  <c r="I97" i="2"/>
  <c r="Q97" i="2"/>
  <c r="S97" i="2"/>
  <c r="M75" i="2"/>
  <c r="I75" i="2"/>
  <c r="W75" i="2"/>
  <c r="P97" i="2"/>
  <c r="W97" i="2"/>
  <c r="J167" i="2"/>
  <c r="J75" i="2"/>
  <c r="U97" i="2"/>
  <c r="Q75" i="2"/>
  <c r="X167" i="2"/>
  <c r="T97" i="2"/>
  <c r="T75" i="2"/>
  <c r="D97" i="2"/>
  <c r="G167" i="2"/>
  <c r="K97" i="2"/>
  <c r="X97" i="2"/>
  <c r="L75" i="2"/>
  <c r="M167" i="2"/>
  <c r="Q167" i="2"/>
  <c r="O167" i="2"/>
  <c r="N97" i="2"/>
  <c r="G75" i="2"/>
  <c r="D75" i="2"/>
  <c r="H167" i="2"/>
  <c r="H97" i="2"/>
  <c r="V97" i="2"/>
  <c r="N75" i="2"/>
  <c r="V167" i="2"/>
  <c r="B97" i="2"/>
  <c r="K167" i="2"/>
  <c r="O75" i="2"/>
  <c r="R97" i="2"/>
  <c r="E97" i="2"/>
  <c r="F97" i="2"/>
  <c r="D167" i="2"/>
  <c r="P167" i="2"/>
  <c r="S75" i="2"/>
  <c r="W167" i="2"/>
  <c r="H75" i="2"/>
  <c r="R75" i="2"/>
  <c r="B75" i="2"/>
  <c r="L97" i="2"/>
  <c r="B167" i="2"/>
  <c r="U75" i="2"/>
  <c r="V75" i="2"/>
  <c r="N167" i="2"/>
  <c r="M97" i="2"/>
  <c r="C75" i="2"/>
  <c r="S167" i="2"/>
  <c r="F75" i="2"/>
  <c r="E167" i="2"/>
  <c r="J97" i="2"/>
  <c r="E75" i="2"/>
  <c r="C97" i="2"/>
  <c r="I167" i="2"/>
  <c r="Y167" i="2" l="1"/>
  <c r="BG166" i="1" s="1"/>
  <c r="A168" i="2"/>
  <c r="DG167" i="1"/>
  <c r="Y75" i="2"/>
  <c r="BG74" i="1" s="1"/>
  <c r="A76" i="2"/>
  <c r="DG75" i="1"/>
  <c r="Y97" i="2"/>
  <c r="BG96" i="1" s="1"/>
  <c r="DG96" i="1"/>
  <c r="A97" i="1"/>
  <c r="A98" i="2" s="1"/>
  <c r="AZ96" i="1"/>
  <c r="A168" i="1"/>
  <c r="AZ167" i="1"/>
  <c r="G167" i="1"/>
  <c r="F167" i="1"/>
  <c r="A76" i="1"/>
  <c r="AZ75" i="1"/>
  <c r="F75" i="1"/>
  <c r="F50" i="1"/>
  <c r="G152" i="1"/>
  <c r="F152" i="1"/>
  <c r="F46" i="1"/>
  <c r="AT168" i="1"/>
  <c r="DD76" i="1"/>
  <c r="DF76" i="1"/>
  <c r="AS168" i="1"/>
  <c r="DB76" i="1"/>
  <c r="G76" i="2"/>
  <c r="V168" i="2"/>
  <c r="S98" i="2"/>
  <c r="I98" i="2"/>
  <c r="K168" i="2"/>
  <c r="M98" i="2"/>
  <c r="C98" i="2"/>
  <c r="L76" i="2"/>
  <c r="E76" i="2"/>
  <c r="V98" i="2"/>
  <c r="D76" i="2"/>
  <c r="L98" i="2"/>
  <c r="K98" i="2"/>
  <c r="G168" i="2"/>
  <c r="Q168" i="2"/>
  <c r="J168" i="2"/>
  <c r="P76" i="2"/>
  <c r="M76" i="2"/>
  <c r="H98" i="2"/>
  <c r="B168" i="2"/>
  <c r="L168" i="2"/>
  <c r="R168" i="2"/>
  <c r="Q98" i="2"/>
  <c r="P98" i="2"/>
  <c r="W168" i="2"/>
  <c r="Q76" i="2"/>
  <c r="K76" i="2"/>
  <c r="U168" i="2"/>
  <c r="U76" i="2"/>
  <c r="W98" i="2"/>
  <c r="W76" i="2"/>
  <c r="I168" i="2"/>
  <c r="N168" i="2"/>
  <c r="N76" i="2"/>
  <c r="U98" i="2"/>
  <c r="F168" i="2"/>
  <c r="S168" i="2"/>
  <c r="O98" i="2"/>
  <c r="N98" i="2"/>
  <c r="F76" i="2"/>
  <c r="H76" i="2"/>
  <c r="B76" i="2"/>
  <c r="B98" i="2"/>
  <c r="E98" i="2"/>
  <c r="O76" i="2"/>
  <c r="C76" i="2"/>
  <c r="I76" i="2"/>
  <c r="R98" i="2"/>
  <c r="J76" i="2"/>
  <c r="H168" i="2"/>
  <c r="V76" i="2"/>
  <c r="X98" i="2"/>
  <c r="T168" i="2"/>
  <c r="X76" i="2"/>
  <c r="E168" i="2"/>
  <c r="X168" i="2"/>
  <c r="T76" i="2"/>
  <c r="R76" i="2"/>
  <c r="S76" i="2"/>
  <c r="C168" i="2"/>
  <c r="D98" i="2"/>
  <c r="J98" i="2"/>
  <c r="T98" i="2"/>
  <c r="O168" i="2"/>
  <c r="M168" i="2"/>
  <c r="G98" i="2"/>
  <c r="F98" i="2"/>
  <c r="D168" i="2"/>
  <c r="P168" i="2"/>
  <c r="Y168" i="2" l="1"/>
  <c r="BG167" i="1" s="1"/>
  <c r="A169" i="2"/>
  <c r="DG168" i="1"/>
  <c r="Y76" i="2"/>
  <c r="BG75" i="1" s="1"/>
  <c r="A77" i="2"/>
  <c r="DG76" i="1"/>
  <c r="Y98" i="2"/>
  <c r="BG97" i="1" s="1"/>
  <c r="DG97" i="1"/>
  <c r="A98" i="1"/>
  <c r="AZ97" i="1"/>
  <c r="A169" i="1"/>
  <c r="AZ168" i="1"/>
  <c r="G168" i="1"/>
  <c r="F168" i="1"/>
  <c r="A77" i="1"/>
  <c r="AZ76" i="1"/>
  <c r="F76" i="1"/>
  <c r="F49" i="1"/>
  <c r="F151" i="1"/>
  <c r="G151" i="1"/>
  <c r="F45" i="1"/>
  <c r="DF77" i="1"/>
  <c r="AT169" i="1"/>
  <c r="DD77" i="1"/>
  <c r="AS169" i="1"/>
  <c r="DB77" i="1"/>
  <c r="T77" i="2"/>
  <c r="W77" i="2"/>
  <c r="C77" i="2"/>
  <c r="S77" i="2"/>
  <c r="J77" i="2"/>
  <c r="V77" i="2"/>
  <c r="B77" i="2"/>
  <c r="U169" i="2"/>
  <c r="C169" i="2"/>
  <c r="U77" i="2"/>
  <c r="P169" i="2"/>
  <c r="V169" i="2"/>
  <c r="G77" i="2"/>
  <c r="Q169" i="2"/>
  <c r="O77" i="2"/>
  <c r="H77" i="2"/>
  <c r="R169" i="2"/>
  <c r="K77" i="2"/>
  <c r="X77" i="2"/>
  <c r="B169" i="2"/>
  <c r="D169" i="2"/>
  <c r="S169" i="2"/>
  <c r="O169" i="2"/>
  <c r="M169" i="2"/>
  <c r="W169" i="2"/>
  <c r="D77" i="2"/>
  <c r="K169" i="2"/>
  <c r="N169" i="2"/>
  <c r="F77" i="2"/>
  <c r="E77" i="2"/>
  <c r="R77" i="2"/>
  <c r="L169" i="2"/>
  <c r="T169" i="2"/>
  <c r="X169" i="2"/>
  <c r="G169" i="2"/>
  <c r="M77" i="2"/>
  <c r="I77" i="2"/>
  <c r="I169" i="2"/>
  <c r="P77" i="2"/>
  <c r="N77" i="2"/>
  <c r="Q77" i="2"/>
  <c r="L77" i="2"/>
  <c r="H169" i="2"/>
  <c r="E169" i="2"/>
  <c r="F169" i="2"/>
  <c r="J169" i="2"/>
  <c r="Y169" i="2" l="1"/>
  <c r="BG168" i="1" s="1"/>
  <c r="A170" i="2"/>
  <c r="DG169" i="1"/>
  <c r="Y77" i="2"/>
  <c r="BG76" i="1" s="1"/>
  <c r="A78" i="2"/>
  <c r="DG77" i="1"/>
  <c r="G98" i="1"/>
  <c r="A99" i="2"/>
  <c r="DG98" i="1"/>
  <c r="AZ98" i="1"/>
  <c r="A99" i="1"/>
  <c r="A100" i="2" s="1"/>
  <c r="F98" i="1"/>
  <c r="A170" i="1"/>
  <c r="AZ169" i="1"/>
  <c r="G169" i="1"/>
  <c r="F169" i="1"/>
  <c r="A78" i="1"/>
  <c r="AZ77" i="1"/>
  <c r="F77" i="1"/>
  <c r="F97" i="1"/>
  <c r="G97" i="1"/>
  <c r="G150" i="1"/>
  <c r="F150" i="1"/>
  <c r="AT170" i="1"/>
  <c r="DD78" i="1"/>
  <c r="DF78" i="1"/>
  <c r="DB78" i="1"/>
  <c r="AS170" i="1"/>
  <c r="S170" i="2"/>
  <c r="B100" i="2"/>
  <c r="B170" i="2"/>
  <c r="O170" i="2"/>
  <c r="I100" i="2"/>
  <c r="H99" i="2"/>
  <c r="L170" i="2"/>
  <c r="D100" i="2"/>
  <c r="P170" i="2"/>
  <c r="Q78" i="2"/>
  <c r="D78" i="2"/>
  <c r="T170" i="2"/>
  <c r="T99" i="2"/>
  <c r="G78" i="2"/>
  <c r="I170" i="2"/>
  <c r="U99" i="2"/>
  <c r="X170" i="2"/>
  <c r="Q99" i="2"/>
  <c r="G99" i="2"/>
  <c r="M78" i="2"/>
  <c r="R100" i="2"/>
  <c r="V78" i="2"/>
  <c r="I78" i="2"/>
  <c r="Q100" i="2"/>
  <c r="K78" i="2"/>
  <c r="X78" i="2"/>
  <c r="C170" i="2"/>
  <c r="J78" i="2"/>
  <c r="M100" i="2"/>
  <c r="N99" i="2"/>
  <c r="Q170" i="2"/>
  <c r="R170" i="2"/>
  <c r="P99" i="2"/>
  <c r="G100" i="2"/>
  <c r="L78" i="2"/>
  <c r="W100" i="2"/>
  <c r="E78" i="2"/>
  <c r="P78" i="2"/>
  <c r="D170" i="2"/>
  <c r="V170" i="2"/>
  <c r="D99" i="2"/>
  <c r="J99" i="2"/>
  <c r="M99" i="2"/>
  <c r="C78" i="2"/>
  <c r="M170" i="2"/>
  <c r="S99" i="2"/>
  <c r="W78" i="2"/>
  <c r="C100" i="2"/>
  <c r="R99" i="2"/>
  <c r="E99" i="2"/>
  <c r="L99" i="2"/>
  <c r="V99" i="2"/>
  <c r="X99" i="2"/>
  <c r="B99" i="2"/>
  <c r="N170" i="2"/>
  <c r="O100" i="2"/>
  <c r="J100" i="2"/>
  <c r="N78" i="2"/>
  <c r="H170" i="2"/>
  <c r="U100" i="2"/>
  <c r="P100" i="2"/>
  <c r="K170" i="2"/>
  <c r="V100" i="2"/>
  <c r="W170" i="2"/>
  <c r="J170" i="2"/>
  <c r="X100" i="2"/>
  <c r="C99" i="2"/>
  <c r="L100" i="2"/>
  <c r="N100" i="2"/>
  <c r="H100" i="2"/>
  <c r="K100" i="2"/>
  <c r="K99" i="2"/>
  <c r="S78" i="2"/>
  <c r="E100" i="2"/>
  <c r="F170" i="2"/>
  <c r="E170" i="2"/>
  <c r="I99" i="2"/>
  <c r="U170" i="2"/>
  <c r="T78" i="2"/>
  <c r="B78" i="2"/>
  <c r="W99" i="2"/>
  <c r="U78" i="2"/>
  <c r="F78" i="2"/>
  <c r="O78" i="2"/>
  <c r="H78" i="2"/>
  <c r="S100" i="2"/>
  <c r="F99" i="2"/>
  <c r="G170" i="2"/>
  <c r="O99" i="2"/>
  <c r="T100" i="2"/>
  <c r="R78" i="2"/>
  <c r="F100" i="2"/>
  <c r="Y170" i="2" l="1"/>
  <c r="BG169" i="1" s="1"/>
  <c r="A171" i="2"/>
  <c r="DG170" i="1"/>
  <c r="Y78" i="2"/>
  <c r="BG77" i="1" s="1"/>
  <c r="A79" i="2"/>
  <c r="DG78" i="1"/>
  <c r="Y99" i="2"/>
  <c r="BG98" i="1" s="1"/>
  <c r="Y100" i="2"/>
  <c r="BG99" i="1" s="1"/>
  <c r="DG99" i="1"/>
  <c r="A100" i="1"/>
  <c r="A101" i="2" s="1"/>
  <c r="AZ99" i="1"/>
  <c r="G99" i="1"/>
  <c r="F99" i="1"/>
  <c r="A171" i="1"/>
  <c r="AZ170" i="1"/>
  <c r="F170" i="1"/>
  <c r="G170" i="1"/>
  <c r="A79" i="1"/>
  <c r="AZ78" i="1"/>
  <c r="F78" i="1"/>
  <c r="G96" i="1"/>
  <c r="F96" i="1"/>
  <c r="F149" i="1"/>
  <c r="G149" i="1"/>
  <c r="AT171" i="1"/>
  <c r="DD79" i="1"/>
  <c r="DF79" i="1"/>
  <c r="DB79" i="1"/>
  <c r="AS171" i="1"/>
  <c r="N101" i="2"/>
  <c r="H171" i="2"/>
  <c r="U79" i="2"/>
  <c r="P171" i="2"/>
  <c r="W79" i="2"/>
  <c r="X171" i="2"/>
  <c r="N171" i="2"/>
  <c r="G171" i="2"/>
  <c r="G79" i="2"/>
  <c r="M101" i="2"/>
  <c r="F79" i="2"/>
  <c r="F171" i="2"/>
  <c r="H79" i="2"/>
  <c r="T79" i="2"/>
  <c r="U171" i="2"/>
  <c r="P79" i="2"/>
  <c r="S101" i="2"/>
  <c r="S171" i="2"/>
  <c r="M171" i="2"/>
  <c r="Q79" i="2"/>
  <c r="D79" i="2"/>
  <c r="E101" i="2"/>
  <c r="F101" i="2"/>
  <c r="C171" i="2"/>
  <c r="U101" i="2"/>
  <c r="C79" i="2"/>
  <c r="J79" i="2"/>
  <c r="Q171" i="2"/>
  <c r="J171" i="2"/>
  <c r="T101" i="2"/>
  <c r="I79" i="2"/>
  <c r="E171" i="2"/>
  <c r="K171" i="2"/>
  <c r="B171" i="2"/>
  <c r="D101" i="2"/>
  <c r="L79" i="2"/>
  <c r="R79" i="2"/>
  <c r="L101" i="2"/>
  <c r="P101" i="2"/>
  <c r="K79" i="2"/>
  <c r="V79" i="2"/>
  <c r="M79" i="2"/>
  <c r="L171" i="2"/>
  <c r="N79" i="2"/>
  <c r="Q101" i="2"/>
  <c r="B79" i="2"/>
  <c r="R101" i="2"/>
  <c r="O171" i="2"/>
  <c r="T171" i="2"/>
  <c r="D171" i="2"/>
  <c r="V101" i="2"/>
  <c r="E79" i="2"/>
  <c r="C101" i="2"/>
  <c r="I101" i="2"/>
  <c r="G101" i="2"/>
  <c r="R171" i="2"/>
  <c r="K101" i="2"/>
  <c r="B101" i="2"/>
  <c r="O79" i="2"/>
  <c r="W171" i="2"/>
  <c r="S79" i="2"/>
  <c r="X101" i="2"/>
  <c r="X79" i="2"/>
  <c r="W101" i="2"/>
  <c r="H101" i="2"/>
  <c r="J101" i="2"/>
  <c r="V171" i="2"/>
  <c r="I171" i="2"/>
  <c r="O101" i="2"/>
  <c r="Y171" i="2" l="1"/>
  <c r="BG170" i="1" s="1"/>
  <c r="A172" i="2"/>
  <c r="DG171" i="1"/>
  <c r="Y79" i="2"/>
  <c r="BG78" i="1" s="1"/>
  <c r="A80" i="2"/>
  <c r="DG79" i="1"/>
  <c r="Y101" i="2"/>
  <c r="BG100" i="1" s="1"/>
  <c r="DG100" i="1"/>
  <c r="A101" i="1"/>
  <c r="A102" i="2" s="1"/>
  <c r="AZ100" i="1"/>
  <c r="G100" i="1"/>
  <c r="F100" i="1"/>
  <c r="A172" i="1"/>
  <c r="AZ171" i="1"/>
  <c r="F171" i="1"/>
  <c r="G171" i="1"/>
  <c r="DF44" i="1"/>
  <c r="DB44" i="1"/>
  <c r="DD44" i="1"/>
  <c r="AZ79" i="1"/>
  <c r="F79" i="1"/>
  <c r="G95" i="1"/>
  <c r="F95" i="1"/>
  <c r="F148" i="1"/>
  <c r="G148" i="1"/>
  <c r="AT172" i="1"/>
  <c r="AS172" i="1"/>
  <c r="K80" i="2"/>
  <c r="O102" i="2"/>
  <c r="I172" i="2"/>
  <c r="V80" i="2"/>
  <c r="H102" i="2"/>
  <c r="D172" i="2"/>
  <c r="J80" i="2"/>
  <c r="W172" i="2"/>
  <c r="G172" i="2"/>
  <c r="C80" i="2"/>
  <c r="E102" i="2"/>
  <c r="T80" i="2"/>
  <c r="I102" i="2"/>
  <c r="H80" i="2"/>
  <c r="Q80" i="2"/>
  <c r="N80" i="2"/>
  <c r="C102" i="2"/>
  <c r="E80" i="2"/>
  <c r="W80" i="2"/>
  <c r="H172" i="2"/>
  <c r="V172" i="2"/>
  <c r="M102" i="2"/>
  <c r="D80" i="2"/>
  <c r="S102" i="2"/>
  <c r="N102" i="2"/>
  <c r="K102" i="2"/>
  <c r="X172" i="2"/>
  <c r="D102" i="2"/>
  <c r="G80" i="2"/>
  <c r="B102" i="2"/>
  <c r="T172" i="2"/>
  <c r="R80" i="2"/>
  <c r="Q102" i="2"/>
  <c r="E172" i="2"/>
  <c r="L80" i="2"/>
  <c r="P80" i="2"/>
  <c r="C172" i="2"/>
  <c r="N172" i="2"/>
  <c r="M80" i="2"/>
  <c r="P102" i="2"/>
  <c r="M172" i="2"/>
  <c r="T102" i="2"/>
  <c r="Q172" i="2"/>
  <c r="R172" i="2"/>
  <c r="G102" i="2"/>
  <c r="U80" i="2"/>
  <c r="B172" i="2"/>
  <c r="O80" i="2"/>
  <c r="F172" i="2"/>
  <c r="W102" i="2"/>
  <c r="O172" i="2"/>
  <c r="L102" i="2"/>
  <c r="J172" i="2"/>
  <c r="F80" i="2"/>
  <c r="S172" i="2"/>
  <c r="K172" i="2"/>
  <c r="X102" i="2"/>
  <c r="V102" i="2"/>
  <c r="F102" i="2"/>
  <c r="I80" i="2"/>
  <c r="U172" i="2"/>
  <c r="X80" i="2"/>
  <c r="S80" i="2"/>
  <c r="B80" i="2"/>
  <c r="J102" i="2"/>
  <c r="U102" i="2"/>
  <c r="P172" i="2"/>
  <c r="L172" i="2"/>
  <c r="R102" i="2"/>
  <c r="Y172" i="2" l="1"/>
  <c r="BG171" i="1" s="1"/>
  <c r="A173" i="2"/>
  <c r="DG172" i="1"/>
  <c r="Y80" i="2"/>
  <c r="BG79" i="1" s="1"/>
  <c r="Y102" i="2"/>
  <c r="BG101" i="1" s="1"/>
  <c r="DG101" i="1"/>
  <c r="A102" i="1"/>
  <c r="A103" i="2" s="1"/>
  <c r="AZ101" i="1"/>
  <c r="F101" i="1"/>
  <c r="G101" i="1"/>
  <c r="A173" i="1"/>
  <c r="AZ172" i="1"/>
  <c r="G172" i="1"/>
  <c r="F172" i="1"/>
  <c r="G94" i="1"/>
  <c r="F94" i="1"/>
  <c r="F147" i="1"/>
  <c r="G147" i="1"/>
  <c r="AT173" i="1"/>
  <c r="AS173" i="1"/>
  <c r="X173" i="2"/>
  <c r="R173" i="2"/>
  <c r="M173" i="2"/>
  <c r="W103" i="2"/>
  <c r="U173" i="2"/>
  <c r="S173" i="2"/>
  <c r="I103" i="2"/>
  <c r="E173" i="2"/>
  <c r="T173" i="2"/>
  <c r="P103" i="2"/>
  <c r="H103" i="2"/>
  <c r="T103" i="2"/>
  <c r="V103" i="2"/>
  <c r="E103" i="2"/>
  <c r="C103" i="2"/>
  <c r="B103" i="2"/>
  <c r="I173" i="2"/>
  <c r="O173" i="2"/>
  <c r="S103" i="2"/>
  <c r="L173" i="2"/>
  <c r="L103" i="2"/>
  <c r="X103" i="2"/>
  <c r="J173" i="2"/>
  <c r="F173" i="2"/>
  <c r="V173" i="2"/>
  <c r="H173" i="2"/>
  <c r="F103" i="2"/>
  <c r="J103" i="2"/>
  <c r="K103" i="2"/>
  <c r="U103" i="2"/>
  <c r="N173" i="2"/>
  <c r="G173" i="2"/>
  <c r="N103" i="2"/>
  <c r="D103" i="2"/>
  <c r="G103" i="2"/>
  <c r="K173" i="2"/>
  <c r="Q103" i="2"/>
  <c r="M103" i="2"/>
  <c r="R103" i="2"/>
  <c r="W173" i="2"/>
  <c r="C173" i="2"/>
  <c r="P173" i="2"/>
  <c r="D173" i="2"/>
  <c r="O103" i="2"/>
  <c r="Q173" i="2"/>
  <c r="B173" i="2"/>
  <c r="Y173" i="2" l="1"/>
  <c r="BG172" i="1" s="1"/>
  <c r="A174" i="2"/>
  <c r="DG173" i="1"/>
  <c r="Y103" i="2"/>
  <c r="BG102" i="1" s="1"/>
  <c r="DG102" i="1"/>
  <c r="A103" i="1"/>
  <c r="A104" i="2" s="1"/>
  <c r="AZ102" i="1"/>
  <c r="F102" i="1"/>
  <c r="G102" i="1"/>
  <c r="A174" i="1"/>
  <c r="AZ173" i="1"/>
  <c r="G173" i="1"/>
  <c r="F173" i="1"/>
  <c r="G93" i="1"/>
  <c r="F93" i="1"/>
  <c r="G146" i="1"/>
  <c r="F146" i="1"/>
  <c r="AT174" i="1"/>
  <c r="AS174" i="1"/>
  <c r="I104" i="2"/>
  <c r="V104" i="2"/>
  <c r="J174" i="2"/>
  <c r="C104" i="2"/>
  <c r="E174" i="2"/>
  <c r="W104" i="2"/>
  <c r="L174" i="2"/>
  <c r="F174" i="2"/>
  <c r="J104" i="2"/>
  <c r="D104" i="2"/>
  <c r="B174" i="2"/>
  <c r="G174" i="2"/>
  <c r="F104" i="2"/>
  <c r="O174" i="2"/>
  <c r="T174" i="2"/>
  <c r="N174" i="2"/>
  <c r="K104" i="2"/>
  <c r="O104" i="2"/>
  <c r="U104" i="2"/>
  <c r="W174" i="2"/>
  <c r="G104" i="2"/>
  <c r="S174" i="2"/>
  <c r="V174" i="2"/>
  <c r="S104" i="2"/>
  <c r="I174" i="2"/>
  <c r="M174" i="2"/>
  <c r="X104" i="2"/>
  <c r="H104" i="2"/>
  <c r="P174" i="2"/>
  <c r="D174" i="2"/>
  <c r="K174" i="2"/>
  <c r="Q104" i="2"/>
  <c r="R104" i="2"/>
  <c r="B104" i="2"/>
  <c r="P104" i="2"/>
  <c r="R174" i="2"/>
  <c r="H174" i="2"/>
  <c r="X174" i="2"/>
  <c r="T104" i="2"/>
  <c r="Q174" i="2"/>
  <c r="U174" i="2"/>
  <c r="C174" i="2"/>
  <c r="L104" i="2"/>
  <c r="E104" i="2"/>
  <c r="M104" i="2"/>
  <c r="N104" i="2"/>
  <c r="Y174" i="2" l="1"/>
  <c r="BG173" i="1" s="1"/>
  <c r="A175" i="2"/>
  <c r="DG174" i="1"/>
  <c r="Y104" i="2"/>
  <c r="BG103" i="1" s="1"/>
  <c r="DG103" i="1"/>
  <c r="AZ103" i="1"/>
  <c r="A104" i="1"/>
  <c r="A105" i="2" s="1"/>
  <c r="F103" i="1"/>
  <c r="G103" i="1"/>
  <c r="A175" i="1"/>
  <c r="AZ174" i="1"/>
  <c r="F174" i="1"/>
  <c r="G174" i="1"/>
  <c r="F92" i="1"/>
  <c r="G92" i="1"/>
  <c r="F145" i="1"/>
  <c r="G145" i="1"/>
  <c r="AT175" i="1"/>
  <c r="AS175" i="1"/>
  <c r="R105" i="2"/>
  <c r="F175" i="2"/>
  <c r="Q175" i="2"/>
  <c r="M175" i="2"/>
  <c r="B175" i="2"/>
  <c r="U105" i="2"/>
  <c r="T105" i="2"/>
  <c r="E105" i="2"/>
  <c r="J175" i="2"/>
  <c r="L175" i="2"/>
  <c r="H175" i="2"/>
  <c r="B105" i="2"/>
  <c r="L105" i="2"/>
  <c r="C105" i="2"/>
  <c r="F105" i="2"/>
  <c r="N105" i="2"/>
  <c r="G175" i="2"/>
  <c r="D105" i="2"/>
  <c r="E175" i="2"/>
  <c r="X105" i="2"/>
  <c r="C175" i="2"/>
  <c r="J105" i="2"/>
  <c r="S175" i="2"/>
  <c r="P105" i="2"/>
  <c r="Q105" i="2"/>
  <c r="V175" i="2"/>
  <c r="G105" i="2"/>
  <c r="P175" i="2"/>
  <c r="W175" i="2"/>
  <c r="O105" i="2"/>
  <c r="K175" i="2"/>
  <c r="S105" i="2"/>
  <c r="H105" i="2"/>
  <c r="R175" i="2"/>
  <c r="K105" i="2"/>
  <c r="D175" i="2"/>
  <c r="N175" i="2"/>
  <c r="V105" i="2"/>
  <c r="U175" i="2"/>
  <c r="O175" i="2"/>
  <c r="I105" i="2"/>
  <c r="W105" i="2"/>
  <c r="X175" i="2"/>
  <c r="M105" i="2"/>
  <c r="I175" i="2"/>
  <c r="T175" i="2"/>
  <c r="Y175" i="2" l="1"/>
  <c r="BG174" i="1" s="1"/>
  <c r="A176" i="2"/>
  <c r="DG175" i="1"/>
  <c r="Y105" i="2"/>
  <c r="BG104" i="1" s="1"/>
  <c r="DG104" i="1"/>
  <c r="A105" i="1"/>
  <c r="A106" i="2" s="1"/>
  <c r="AZ104" i="1"/>
  <c r="G104" i="1"/>
  <c r="F104" i="1"/>
  <c r="A176" i="1"/>
  <c r="AZ175" i="1"/>
  <c r="F175" i="1"/>
  <c r="G175" i="1"/>
  <c r="G91" i="1"/>
  <c r="F91" i="1"/>
  <c r="G144" i="1"/>
  <c r="F144" i="1"/>
  <c r="AS176" i="1"/>
  <c r="AT176" i="1"/>
  <c r="M176" i="2"/>
  <c r="F106" i="2"/>
  <c r="H176" i="2"/>
  <c r="E106" i="2"/>
  <c r="L176" i="2"/>
  <c r="P176" i="2"/>
  <c r="S106" i="2"/>
  <c r="K176" i="2"/>
  <c r="H106" i="2"/>
  <c r="T176" i="2"/>
  <c r="C176" i="2"/>
  <c r="C106" i="2"/>
  <c r="Q106" i="2"/>
  <c r="X106" i="2"/>
  <c r="B106" i="2"/>
  <c r="G176" i="2"/>
  <c r="D176" i="2"/>
  <c r="O106" i="2"/>
  <c r="R106" i="2"/>
  <c r="U176" i="2"/>
  <c r="J176" i="2"/>
  <c r="X176" i="2"/>
  <c r="P106" i="2"/>
  <c r="E176" i="2"/>
  <c r="S176" i="2"/>
  <c r="W176" i="2"/>
  <c r="I106" i="2"/>
  <c r="V176" i="2"/>
  <c r="O176" i="2"/>
  <c r="V106" i="2"/>
  <c r="F176" i="2"/>
  <c r="K106" i="2"/>
  <c r="L106" i="2"/>
  <c r="I176" i="2"/>
  <c r="D106" i="2"/>
  <c r="J106" i="2"/>
  <c r="G106" i="2"/>
  <c r="N106" i="2"/>
  <c r="M106" i="2"/>
  <c r="R176" i="2"/>
  <c r="T106" i="2"/>
  <c r="B176" i="2"/>
  <c r="W106" i="2"/>
  <c r="Q176" i="2"/>
  <c r="N176" i="2"/>
  <c r="U106" i="2"/>
  <c r="Y176" i="2" l="1"/>
  <c r="BG175" i="1" s="1"/>
  <c r="A177" i="2"/>
  <c r="DG176" i="1"/>
  <c r="Y106" i="2"/>
  <c r="BG105" i="1" s="1"/>
  <c r="DG105" i="1"/>
  <c r="A106" i="1"/>
  <c r="A107" i="2" s="1"/>
  <c r="AZ105" i="1"/>
  <c r="G105" i="1"/>
  <c r="F105" i="1"/>
  <c r="A177" i="1"/>
  <c r="AZ176" i="1"/>
  <c r="F176" i="1"/>
  <c r="G176" i="1"/>
  <c r="G90" i="1"/>
  <c r="F90" i="1"/>
  <c r="F143" i="1"/>
  <c r="G143" i="1"/>
  <c r="AT177" i="1"/>
  <c r="AS177" i="1"/>
  <c r="M177" i="2"/>
  <c r="W177" i="2"/>
  <c r="J107" i="2"/>
  <c r="B107" i="2"/>
  <c r="S177" i="2"/>
  <c r="L107" i="2"/>
  <c r="P177" i="2"/>
  <c r="O107" i="2"/>
  <c r="R107" i="2"/>
  <c r="D177" i="2"/>
  <c r="G177" i="2"/>
  <c r="O177" i="2"/>
  <c r="B177" i="2"/>
  <c r="N107" i="2"/>
  <c r="H177" i="2"/>
  <c r="M107" i="2"/>
  <c r="S107" i="2"/>
  <c r="P107" i="2"/>
  <c r="G107" i="2"/>
  <c r="U107" i="2"/>
  <c r="F107" i="2"/>
  <c r="I107" i="2"/>
  <c r="K177" i="2"/>
  <c r="X107" i="2"/>
  <c r="V177" i="2"/>
  <c r="K107" i="2"/>
  <c r="L177" i="2"/>
  <c r="Q177" i="2"/>
  <c r="V107" i="2"/>
  <c r="T177" i="2"/>
  <c r="C107" i="2"/>
  <c r="E177" i="2"/>
  <c r="H107" i="2"/>
  <c r="D107" i="2"/>
  <c r="T107" i="2"/>
  <c r="W107" i="2"/>
  <c r="X177" i="2"/>
  <c r="N177" i="2"/>
  <c r="E107" i="2"/>
  <c r="U177" i="2"/>
  <c r="C177" i="2"/>
  <c r="F177" i="2"/>
  <c r="I177" i="2"/>
  <c r="J177" i="2"/>
  <c r="R177" i="2"/>
  <c r="Q107" i="2"/>
  <c r="Y177" i="2" l="1"/>
  <c r="BG176" i="1" s="1"/>
  <c r="A178" i="2"/>
  <c r="DG177" i="1"/>
  <c r="Y107" i="2"/>
  <c r="BG106" i="1" s="1"/>
  <c r="DG106" i="1"/>
  <c r="A107" i="1"/>
  <c r="A108" i="2" s="1"/>
  <c r="AZ106" i="1"/>
  <c r="G106" i="1"/>
  <c r="F106" i="1"/>
  <c r="A178" i="1"/>
  <c r="AZ177" i="1"/>
  <c r="F177" i="1"/>
  <c r="G177" i="1"/>
  <c r="G89" i="1"/>
  <c r="F89" i="1"/>
  <c r="F142" i="1"/>
  <c r="G142" i="1"/>
  <c r="AT178" i="1"/>
  <c r="AS178" i="1"/>
  <c r="U108" i="2"/>
  <c r="H178" i="2"/>
  <c r="R178" i="2"/>
  <c r="T178" i="2"/>
  <c r="N108" i="2"/>
  <c r="H108" i="2"/>
  <c r="N178" i="2"/>
  <c r="G108" i="2"/>
  <c r="M108" i="2"/>
  <c r="K108" i="2"/>
  <c r="S178" i="2"/>
  <c r="X178" i="2"/>
  <c r="J108" i="2"/>
  <c r="G178" i="2"/>
  <c r="M178" i="2"/>
  <c r="F178" i="2"/>
  <c r="O178" i="2"/>
  <c r="O108" i="2"/>
  <c r="C108" i="2"/>
  <c r="B178" i="2"/>
  <c r="V108" i="2"/>
  <c r="L178" i="2"/>
  <c r="Q108" i="2"/>
  <c r="K178" i="2"/>
  <c r="U178" i="2"/>
  <c r="S108" i="2"/>
  <c r="I178" i="2"/>
  <c r="P178" i="2"/>
  <c r="D178" i="2"/>
  <c r="E108" i="2"/>
  <c r="R108" i="2"/>
  <c r="X108" i="2"/>
  <c r="Q178" i="2"/>
  <c r="T108" i="2"/>
  <c r="J178" i="2"/>
  <c r="W178" i="2"/>
  <c r="I108" i="2"/>
  <c r="W108" i="2"/>
  <c r="V178" i="2"/>
  <c r="C178" i="2"/>
  <c r="E178" i="2"/>
  <c r="P108" i="2"/>
  <c r="D108" i="2"/>
  <c r="F108" i="2"/>
  <c r="L108" i="2"/>
  <c r="B108" i="2"/>
  <c r="Y178" i="2" l="1"/>
  <c r="BG177" i="1" s="1"/>
  <c r="A179" i="2"/>
  <c r="DG178" i="1"/>
  <c r="Y108" i="2"/>
  <c r="BG107" i="1" s="1"/>
  <c r="DG107" i="1"/>
  <c r="A108" i="1"/>
  <c r="A109" i="2" s="1"/>
  <c r="F107" i="1"/>
  <c r="AZ107" i="1"/>
  <c r="G107" i="1"/>
  <c r="A179" i="1"/>
  <c r="AZ178" i="1"/>
  <c r="G178" i="1"/>
  <c r="F178" i="1"/>
  <c r="F88" i="1"/>
  <c r="G88" i="1"/>
  <c r="G141" i="1"/>
  <c r="F141" i="1"/>
  <c r="AT179" i="1"/>
  <c r="AS179" i="1"/>
  <c r="K109" i="2"/>
  <c r="V179" i="2"/>
  <c r="J109" i="2"/>
  <c r="B179" i="2"/>
  <c r="P179" i="2"/>
  <c r="O109" i="2"/>
  <c r="X109" i="2"/>
  <c r="W109" i="2"/>
  <c r="M179" i="2"/>
  <c r="C109" i="2"/>
  <c r="E109" i="2"/>
  <c r="G179" i="2"/>
  <c r="L179" i="2"/>
  <c r="G109" i="2"/>
  <c r="S109" i="2"/>
  <c r="R109" i="2"/>
  <c r="N109" i="2"/>
  <c r="K179" i="2"/>
  <c r="D109" i="2"/>
  <c r="M109" i="2"/>
  <c r="X179" i="2"/>
  <c r="T179" i="2"/>
  <c r="F109" i="2"/>
  <c r="I109" i="2"/>
  <c r="T109" i="2"/>
  <c r="U109" i="2"/>
  <c r="R179" i="2"/>
  <c r="D179" i="2"/>
  <c r="W179" i="2"/>
  <c r="H109" i="2"/>
  <c r="V109" i="2"/>
  <c r="J179" i="2"/>
  <c r="U179" i="2"/>
  <c r="N179" i="2"/>
  <c r="C179" i="2"/>
  <c r="S179" i="2"/>
  <c r="Q179" i="2"/>
  <c r="Q109" i="2"/>
  <c r="F179" i="2"/>
  <c r="P109" i="2"/>
  <c r="H179" i="2"/>
  <c r="L109" i="2"/>
  <c r="O179" i="2"/>
  <c r="E179" i="2"/>
  <c r="B109" i="2"/>
  <c r="I179" i="2"/>
  <c r="Y179" i="2" l="1"/>
  <c r="BG178" i="1" s="1"/>
  <c r="A180" i="2"/>
  <c r="DG179" i="1"/>
  <c r="Y109" i="2"/>
  <c r="BG108" i="1" s="1"/>
  <c r="DG108" i="1"/>
  <c r="G108" i="1"/>
  <c r="F108" i="1"/>
  <c r="A109" i="1"/>
  <c r="A110" i="2" s="1"/>
  <c r="AZ108" i="1"/>
  <c r="A180" i="1"/>
  <c r="AZ179" i="1"/>
  <c r="G179" i="1"/>
  <c r="F179" i="1"/>
  <c r="F87" i="1"/>
  <c r="G87" i="1"/>
  <c r="G140" i="1"/>
  <c r="F140" i="1"/>
  <c r="AT180" i="1"/>
  <c r="AS180" i="1"/>
  <c r="E180" i="2"/>
  <c r="I180" i="2"/>
  <c r="G180" i="2"/>
  <c r="J110" i="2"/>
  <c r="L110" i="2"/>
  <c r="V110" i="2"/>
  <c r="Q180" i="2"/>
  <c r="J180" i="2"/>
  <c r="F180" i="2"/>
  <c r="H110" i="2"/>
  <c r="B180" i="2"/>
  <c r="S180" i="2"/>
  <c r="F110" i="2"/>
  <c r="L180" i="2"/>
  <c r="D180" i="2"/>
  <c r="R180" i="2"/>
  <c r="B110" i="2"/>
  <c r="T180" i="2"/>
  <c r="R110" i="2"/>
  <c r="O180" i="2"/>
  <c r="Q110" i="2"/>
  <c r="K110" i="2"/>
  <c r="W180" i="2"/>
  <c r="G110" i="2"/>
  <c r="D110" i="2"/>
  <c r="V180" i="2"/>
  <c r="U180" i="2"/>
  <c r="N180" i="2"/>
  <c r="C180" i="2"/>
  <c r="E110" i="2"/>
  <c r="O110" i="2"/>
  <c r="K180" i="2"/>
  <c r="X180" i="2"/>
  <c r="I110" i="2"/>
  <c r="P110" i="2"/>
  <c r="X110" i="2"/>
  <c r="W110" i="2"/>
  <c r="P180" i="2"/>
  <c r="S110" i="2"/>
  <c r="C110" i="2"/>
  <c r="M180" i="2"/>
  <c r="N110" i="2"/>
  <c r="U110" i="2"/>
  <c r="H180" i="2"/>
  <c r="M110" i="2"/>
  <c r="T110" i="2"/>
  <c r="Y180" i="2" l="1"/>
  <c r="BG179" i="1" s="1"/>
  <c r="A181" i="2"/>
  <c r="DG180" i="1"/>
  <c r="Y110" i="2"/>
  <c r="BG109" i="1" s="1"/>
  <c r="DG109" i="1"/>
  <c r="AZ109" i="1"/>
  <c r="G109" i="1"/>
  <c r="F109" i="1"/>
  <c r="A110" i="1"/>
  <c r="A111" i="2" s="1"/>
  <c r="A181" i="1"/>
  <c r="AZ180" i="1"/>
  <c r="G180" i="1"/>
  <c r="F180" i="1"/>
  <c r="F86" i="1"/>
  <c r="G86" i="1"/>
  <c r="F139" i="1"/>
  <c r="G139" i="1"/>
  <c r="AT181" i="1"/>
  <c r="AS181" i="1"/>
  <c r="W111" i="2"/>
  <c r="K181" i="2"/>
  <c r="I181" i="2"/>
  <c r="S111" i="2"/>
  <c r="I111" i="2"/>
  <c r="B111" i="2"/>
  <c r="O181" i="2"/>
  <c r="R181" i="2"/>
  <c r="E111" i="2"/>
  <c r="L111" i="2"/>
  <c r="V181" i="2"/>
  <c r="X181" i="2"/>
  <c r="U181" i="2"/>
  <c r="F181" i="2"/>
  <c r="N111" i="2"/>
  <c r="J111" i="2"/>
  <c r="N181" i="2"/>
  <c r="M181" i="2"/>
  <c r="G111" i="2"/>
  <c r="E181" i="2"/>
  <c r="Q111" i="2"/>
  <c r="H111" i="2"/>
  <c r="C111" i="2"/>
  <c r="L181" i="2"/>
  <c r="X111" i="2"/>
  <c r="K111" i="2"/>
  <c r="G181" i="2"/>
  <c r="O111" i="2"/>
  <c r="P181" i="2"/>
  <c r="D181" i="2"/>
  <c r="C181" i="2"/>
  <c r="M111" i="2"/>
  <c r="P111" i="2"/>
  <c r="T181" i="2"/>
  <c r="R111" i="2"/>
  <c r="Q181" i="2"/>
  <c r="B181" i="2"/>
  <c r="F111" i="2"/>
  <c r="T111" i="2"/>
  <c r="H181" i="2"/>
  <c r="D111" i="2"/>
  <c r="J181" i="2"/>
  <c r="U111" i="2"/>
  <c r="V111" i="2"/>
  <c r="S181" i="2"/>
  <c r="W181" i="2"/>
  <c r="Y181" i="2" l="1"/>
  <c r="BG180" i="1" s="1"/>
  <c r="A182" i="2"/>
  <c r="DG181" i="1"/>
  <c r="Y111" i="2"/>
  <c r="BG110" i="1" s="1"/>
  <c r="DG110" i="1"/>
  <c r="AZ110" i="1"/>
  <c r="F110" i="1"/>
  <c r="G110" i="1"/>
  <c r="A111" i="1"/>
  <c r="A112" i="2" s="1"/>
  <c r="A182" i="1"/>
  <c r="AZ181" i="1"/>
  <c r="G181" i="1"/>
  <c r="F181" i="1"/>
  <c r="G85" i="1"/>
  <c r="F85" i="1"/>
  <c r="G138" i="1"/>
  <c r="F138" i="1"/>
  <c r="AS182" i="1"/>
  <c r="AT182" i="1"/>
  <c r="S112" i="2"/>
  <c r="R112" i="2"/>
  <c r="T112" i="2"/>
  <c r="E112" i="2"/>
  <c r="Q112" i="2"/>
  <c r="L182" i="2"/>
  <c r="V182" i="2"/>
  <c r="I182" i="2"/>
  <c r="F182" i="2"/>
  <c r="J112" i="2"/>
  <c r="N112" i="2"/>
  <c r="O182" i="2"/>
  <c r="B112" i="2"/>
  <c r="X112" i="2"/>
  <c r="L112" i="2"/>
  <c r="W112" i="2"/>
  <c r="K182" i="2"/>
  <c r="B182" i="2"/>
  <c r="W182" i="2"/>
  <c r="X182" i="2"/>
  <c r="T182" i="2"/>
  <c r="I112" i="2"/>
  <c r="C182" i="2"/>
  <c r="J182" i="2"/>
  <c r="H112" i="2"/>
  <c r="D112" i="2"/>
  <c r="S182" i="2"/>
  <c r="G182" i="2"/>
  <c r="H182" i="2"/>
  <c r="U112" i="2"/>
  <c r="G112" i="2"/>
  <c r="U182" i="2"/>
  <c r="R182" i="2"/>
  <c r="M182" i="2"/>
  <c r="O112" i="2"/>
  <c r="M112" i="2"/>
  <c r="N182" i="2"/>
  <c r="V112" i="2"/>
  <c r="P182" i="2"/>
  <c r="F112" i="2"/>
  <c r="E182" i="2"/>
  <c r="K112" i="2"/>
  <c r="C112" i="2"/>
  <c r="P112" i="2"/>
  <c r="Q182" i="2"/>
  <c r="D182" i="2"/>
  <c r="Y182" i="2" l="1"/>
  <c r="BG181" i="1" s="1"/>
  <c r="A183" i="2"/>
  <c r="DG182" i="1"/>
  <c r="Y112" i="2"/>
  <c r="BG111" i="1" s="1"/>
  <c r="DG111" i="1"/>
  <c r="AZ111" i="1"/>
  <c r="F111" i="1"/>
  <c r="G111" i="1"/>
  <c r="A112" i="1"/>
  <c r="A113" i="2" s="1"/>
  <c r="A183" i="1"/>
  <c r="AZ182" i="1"/>
  <c r="G182" i="1"/>
  <c r="F182" i="1"/>
  <c r="G137" i="1"/>
  <c r="F137" i="1"/>
  <c r="AS183" i="1"/>
  <c r="AT183" i="1"/>
  <c r="L183" i="2"/>
  <c r="N183" i="2"/>
  <c r="U113" i="2"/>
  <c r="J183" i="2"/>
  <c r="W183" i="2"/>
  <c r="E113" i="2"/>
  <c r="C183" i="2"/>
  <c r="V183" i="2"/>
  <c r="Q183" i="2"/>
  <c r="X183" i="2"/>
  <c r="K183" i="2"/>
  <c r="C113" i="2"/>
  <c r="N113" i="2"/>
  <c r="U183" i="2"/>
  <c r="G183" i="2"/>
  <c r="W113" i="2"/>
  <c r="P113" i="2"/>
  <c r="I113" i="2"/>
  <c r="B183" i="2"/>
  <c r="O183" i="2"/>
  <c r="G113" i="2"/>
  <c r="S183" i="2"/>
  <c r="R113" i="2"/>
  <c r="D183" i="2"/>
  <c r="P183" i="2"/>
  <c r="M183" i="2"/>
  <c r="X113" i="2"/>
  <c r="R183" i="2"/>
  <c r="D113" i="2"/>
  <c r="L113" i="2"/>
  <c r="Q113" i="2"/>
  <c r="H183" i="2"/>
  <c r="J113" i="2"/>
  <c r="B113" i="2"/>
  <c r="M113" i="2"/>
  <c r="F183" i="2"/>
  <c r="S113" i="2"/>
  <c r="O113" i="2"/>
  <c r="I183" i="2"/>
  <c r="T113" i="2"/>
  <c r="E183" i="2"/>
  <c r="K113" i="2"/>
  <c r="V113" i="2"/>
  <c r="T183" i="2"/>
  <c r="H113" i="2"/>
  <c r="F113" i="2"/>
  <c r="Y183" i="2" l="1"/>
  <c r="BG182" i="1" s="1"/>
  <c r="A184" i="2"/>
  <c r="DG183" i="1"/>
  <c r="Y113" i="2"/>
  <c r="BG112" i="1" s="1"/>
  <c r="DG112" i="1"/>
  <c r="AZ112" i="1"/>
  <c r="G112" i="1"/>
  <c r="F112" i="1"/>
  <c r="A113" i="1"/>
  <c r="A114" i="2" s="1"/>
  <c r="A184" i="1"/>
  <c r="AZ183" i="1"/>
  <c r="F183" i="1"/>
  <c r="G183" i="1"/>
  <c r="CT84" i="1"/>
  <c r="AS184" i="1"/>
  <c r="AT184" i="1"/>
  <c r="K184" i="2"/>
  <c r="L114" i="2"/>
  <c r="K114" i="2"/>
  <c r="O184" i="2"/>
  <c r="I184" i="2"/>
  <c r="Q184" i="2"/>
  <c r="I114" i="2"/>
  <c r="G184" i="2"/>
  <c r="D114" i="2"/>
  <c r="B114" i="2"/>
  <c r="T114" i="2"/>
  <c r="F114" i="2"/>
  <c r="C114" i="2"/>
  <c r="C184" i="2"/>
  <c r="U114" i="2"/>
  <c r="J184" i="2"/>
  <c r="S114" i="2"/>
  <c r="N114" i="2"/>
  <c r="P114" i="2"/>
  <c r="B184" i="2"/>
  <c r="P184" i="2"/>
  <c r="V114" i="2"/>
  <c r="F184" i="2"/>
  <c r="R184" i="2"/>
  <c r="S184" i="2"/>
  <c r="H184" i="2"/>
  <c r="D184" i="2"/>
  <c r="M184" i="2"/>
  <c r="V184" i="2"/>
  <c r="W184" i="2"/>
  <c r="R114" i="2"/>
  <c r="N184" i="2"/>
  <c r="J114" i="2"/>
  <c r="E114" i="2"/>
  <c r="Q114" i="2"/>
  <c r="X184" i="2"/>
  <c r="H114" i="2"/>
  <c r="M114" i="2"/>
  <c r="U184" i="2"/>
  <c r="X114" i="2"/>
  <c r="T184" i="2"/>
  <c r="L184" i="2"/>
  <c r="E184" i="2"/>
  <c r="G114" i="2"/>
  <c r="W114" i="2"/>
  <c r="O114" i="2"/>
  <c r="Y184" i="2" l="1"/>
  <c r="BG183" i="1" s="1"/>
  <c r="A185" i="2"/>
  <c r="DG184" i="1"/>
  <c r="Y114" i="2"/>
  <c r="BG113" i="1" s="1"/>
  <c r="DG113" i="1"/>
  <c r="F113" i="1"/>
  <c r="A114" i="1"/>
  <c r="A115" i="2" s="1"/>
  <c r="AZ113" i="1"/>
  <c r="G113" i="1"/>
  <c r="A185" i="1"/>
  <c r="AZ184" i="1"/>
  <c r="G184" i="1"/>
  <c r="F184" i="1"/>
  <c r="AT185" i="1"/>
  <c r="AS185" i="1"/>
  <c r="R115" i="2"/>
  <c r="M185" i="2"/>
  <c r="G185" i="2"/>
  <c r="D115" i="2"/>
  <c r="B115" i="2"/>
  <c r="B185" i="2"/>
  <c r="X115" i="2"/>
  <c r="P115" i="2"/>
  <c r="X185" i="2"/>
  <c r="K185" i="2"/>
  <c r="E115" i="2"/>
  <c r="R185" i="2"/>
  <c r="J185" i="2"/>
  <c r="U185" i="2"/>
  <c r="K115" i="2"/>
  <c r="T185" i="2"/>
  <c r="S115" i="2"/>
  <c r="W185" i="2"/>
  <c r="T115" i="2"/>
  <c r="D185" i="2"/>
  <c r="U115" i="2"/>
  <c r="C185" i="2"/>
  <c r="P185" i="2"/>
  <c r="L185" i="2"/>
  <c r="L115" i="2"/>
  <c r="H115" i="2"/>
  <c r="G115" i="2"/>
  <c r="I115" i="2"/>
  <c r="C115" i="2"/>
  <c r="M115" i="2"/>
  <c r="F115" i="2"/>
  <c r="O185" i="2"/>
  <c r="O115" i="2"/>
  <c r="V185" i="2"/>
  <c r="W115" i="2"/>
  <c r="N115" i="2"/>
  <c r="S185" i="2"/>
  <c r="E185" i="2"/>
  <c r="N185" i="2"/>
  <c r="H185" i="2"/>
  <c r="V115" i="2"/>
  <c r="I185" i="2"/>
  <c r="Q115" i="2"/>
  <c r="F185" i="2"/>
  <c r="Q185" i="2"/>
  <c r="J115" i="2"/>
  <c r="Y185" i="2" l="1"/>
  <c r="BG184" i="1" s="1"/>
  <c r="A186" i="2"/>
  <c r="DG185" i="1"/>
  <c r="Y115" i="2"/>
  <c r="BG114" i="1" s="1"/>
  <c r="DG114" i="1"/>
  <c r="F114" i="1"/>
  <c r="G114" i="1"/>
  <c r="A115" i="1"/>
  <c r="A116" i="2" s="1"/>
  <c r="AZ114" i="1"/>
  <c r="A186" i="1"/>
  <c r="AZ185" i="1"/>
  <c r="G185" i="1"/>
  <c r="F185" i="1"/>
  <c r="BK135" i="1"/>
  <c r="BL135" i="1" s="1"/>
  <c r="BM135" i="1" s="1"/>
  <c r="BN135" i="1" s="1"/>
  <c r="BO135" i="1" s="1"/>
  <c r="AS186" i="1"/>
  <c r="AT186" i="1"/>
  <c r="I186" i="2"/>
  <c r="L186" i="2"/>
  <c r="O116" i="2"/>
  <c r="Q186" i="2"/>
  <c r="F186" i="2"/>
  <c r="T116" i="2"/>
  <c r="X116" i="2"/>
  <c r="F116" i="2"/>
  <c r="Q116" i="2"/>
  <c r="H186" i="2"/>
  <c r="C116" i="2"/>
  <c r="G186" i="2"/>
  <c r="N116" i="2"/>
  <c r="M186" i="2"/>
  <c r="M116" i="2"/>
  <c r="V186" i="2"/>
  <c r="B186" i="2"/>
  <c r="R186" i="2"/>
  <c r="R116" i="2"/>
  <c r="B116" i="2"/>
  <c r="W186" i="2"/>
  <c r="J116" i="2"/>
  <c r="H116" i="2"/>
  <c r="U116" i="2"/>
  <c r="I116" i="2"/>
  <c r="O186" i="2"/>
  <c r="X186" i="2"/>
  <c r="D116" i="2"/>
  <c r="U186" i="2"/>
  <c r="L116" i="2"/>
  <c r="S116" i="2"/>
  <c r="G116" i="2"/>
  <c r="K116" i="2"/>
  <c r="D186" i="2"/>
  <c r="C186" i="2"/>
  <c r="K186" i="2"/>
  <c r="T186" i="2"/>
  <c r="E116" i="2"/>
  <c r="P186" i="2"/>
  <c r="E186" i="2"/>
  <c r="V116" i="2"/>
  <c r="N186" i="2"/>
  <c r="W116" i="2"/>
  <c r="P116" i="2"/>
  <c r="S186" i="2"/>
  <c r="J186" i="2"/>
  <c r="Y186" i="2" l="1"/>
  <c r="BG185" i="1" s="1"/>
  <c r="A187" i="2"/>
  <c r="DG186" i="1"/>
  <c r="Y116" i="2"/>
  <c r="BG115" i="1" s="1"/>
  <c r="DG115" i="1"/>
  <c r="AZ115" i="1"/>
  <c r="G115" i="1"/>
  <c r="F115" i="1"/>
  <c r="A116" i="1"/>
  <c r="A117" i="2" s="1"/>
  <c r="A187" i="1"/>
  <c r="AZ186" i="1"/>
  <c r="F186" i="1"/>
  <c r="G186" i="1"/>
  <c r="CE135" i="1"/>
  <c r="CF135" i="1" s="1"/>
  <c r="CG135" i="1" s="1"/>
  <c r="CH135" i="1" s="1"/>
  <c r="CI135" i="1" s="1"/>
  <c r="AS187" i="1"/>
  <c r="AT187" i="1"/>
  <c r="G187" i="2"/>
  <c r="M117" i="2"/>
  <c r="R117" i="2"/>
  <c r="B117" i="2"/>
  <c r="T187" i="2"/>
  <c r="P117" i="2"/>
  <c r="P187" i="2"/>
  <c r="N117" i="2"/>
  <c r="W117" i="2"/>
  <c r="U187" i="2"/>
  <c r="D187" i="2"/>
  <c r="O187" i="2"/>
  <c r="L117" i="2"/>
  <c r="S117" i="2"/>
  <c r="C117" i="2"/>
  <c r="T117" i="2"/>
  <c r="V187" i="2"/>
  <c r="S187" i="2"/>
  <c r="X187" i="2"/>
  <c r="I117" i="2"/>
  <c r="D117" i="2"/>
  <c r="H117" i="2"/>
  <c r="F187" i="2"/>
  <c r="Q117" i="2"/>
  <c r="O117" i="2"/>
  <c r="H187" i="2"/>
  <c r="C187" i="2"/>
  <c r="J187" i="2"/>
  <c r="F117" i="2"/>
  <c r="Q187" i="2"/>
  <c r="W187" i="2"/>
  <c r="R187" i="2"/>
  <c r="U117" i="2"/>
  <c r="L187" i="2"/>
  <c r="G117" i="2"/>
  <c r="E187" i="2"/>
  <c r="B187" i="2"/>
  <c r="V117" i="2"/>
  <c r="N187" i="2"/>
  <c r="J117" i="2"/>
  <c r="I187" i="2"/>
  <c r="K187" i="2"/>
  <c r="M187" i="2"/>
  <c r="E117" i="2"/>
  <c r="X117" i="2"/>
  <c r="K117" i="2"/>
  <c r="Y187" i="2" l="1"/>
  <c r="BG186" i="1" s="1"/>
  <c r="A188" i="2"/>
  <c r="DG187" i="1"/>
  <c r="Y117" i="2"/>
  <c r="BG116" i="1" s="1"/>
  <c r="DG116" i="1"/>
  <c r="AZ116" i="1"/>
  <c r="F116" i="1"/>
  <c r="G116" i="1"/>
  <c r="A117" i="1"/>
  <c r="A118" i="2" s="1"/>
  <c r="A188" i="1"/>
  <c r="AZ187" i="1"/>
  <c r="G187" i="1"/>
  <c r="F187" i="1"/>
  <c r="AT188" i="1"/>
  <c r="AS188" i="1"/>
  <c r="I118" i="2"/>
  <c r="D188" i="2"/>
  <c r="K118" i="2"/>
  <c r="U188" i="2"/>
  <c r="P188" i="2"/>
  <c r="L118" i="2"/>
  <c r="M118" i="2"/>
  <c r="N188" i="2"/>
  <c r="T118" i="2"/>
  <c r="D118" i="2"/>
  <c r="R118" i="2"/>
  <c r="X118" i="2"/>
  <c r="L188" i="2"/>
  <c r="S118" i="2"/>
  <c r="O188" i="2"/>
  <c r="E188" i="2"/>
  <c r="U118" i="2"/>
  <c r="O118" i="2"/>
  <c r="Q188" i="2"/>
  <c r="M188" i="2"/>
  <c r="G188" i="2"/>
  <c r="I188" i="2"/>
  <c r="H118" i="2"/>
  <c r="W188" i="2"/>
  <c r="E118" i="2"/>
  <c r="C118" i="2"/>
  <c r="V118" i="2"/>
  <c r="B188" i="2"/>
  <c r="X188" i="2"/>
  <c r="S188" i="2"/>
  <c r="K188" i="2"/>
  <c r="R188" i="2"/>
  <c r="G118" i="2"/>
  <c r="J188" i="2"/>
  <c r="H188" i="2"/>
  <c r="N118" i="2"/>
  <c r="P118" i="2"/>
  <c r="T188" i="2"/>
  <c r="J118" i="2"/>
  <c r="C188" i="2"/>
  <c r="F118" i="2"/>
  <c r="F188" i="2"/>
  <c r="V188" i="2"/>
  <c r="B118" i="2"/>
  <c r="W118" i="2"/>
  <c r="Q118" i="2"/>
  <c r="Y188" i="2" l="1"/>
  <c r="BG187" i="1" s="1"/>
  <c r="A189" i="2"/>
  <c r="DG188" i="1"/>
  <c r="Y118" i="2"/>
  <c r="BG117" i="1" s="1"/>
  <c r="DG117" i="1"/>
  <c r="A118" i="1"/>
  <c r="A119" i="2" s="1"/>
  <c r="AZ117" i="1"/>
  <c r="F117" i="1"/>
  <c r="G117" i="1"/>
  <c r="A189" i="1"/>
  <c r="AZ188" i="1"/>
  <c r="F188" i="1"/>
  <c r="G188" i="1"/>
  <c r="AT189" i="1"/>
  <c r="AS189" i="1"/>
  <c r="DC189" i="1"/>
  <c r="DD189" i="1"/>
  <c r="Q189" i="2"/>
  <c r="H119" i="2"/>
  <c r="L119" i="2"/>
  <c r="W119" i="2"/>
  <c r="D119" i="2"/>
  <c r="P189" i="2"/>
  <c r="C119" i="2"/>
  <c r="E189" i="2"/>
  <c r="B189" i="2"/>
  <c r="P119" i="2"/>
  <c r="N189" i="2"/>
  <c r="D189" i="2"/>
  <c r="O119" i="2"/>
  <c r="V189" i="2"/>
  <c r="I119" i="2"/>
  <c r="M189" i="2"/>
  <c r="J119" i="2"/>
  <c r="H189" i="2"/>
  <c r="I189" i="2"/>
  <c r="C189" i="2"/>
  <c r="B119" i="2"/>
  <c r="O189" i="2"/>
  <c r="T119" i="2"/>
  <c r="K119" i="2"/>
  <c r="E119" i="2"/>
  <c r="Q119" i="2"/>
  <c r="U119" i="2"/>
  <c r="X189" i="2"/>
  <c r="R189" i="2"/>
  <c r="L189" i="2"/>
  <c r="N119" i="2"/>
  <c r="V119" i="2"/>
  <c r="J189" i="2"/>
  <c r="W189" i="2"/>
  <c r="S189" i="2"/>
  <c r="F189" i="2"/>
  <c r="X119" i="2"/>
  <c r="S119" i="2"/>
  <c r="U189" i="2"/>
  <c r="F119" i="2"/>
  <c r="G189" i="2"/>
  <c r="T189" i="2"/>
  <c r="K189" i="2"/>
  <c r="G119" i="2"/>
  <c r="R119" i="2"/>
  <c r="M119" i="2"/>
  <c r="Y189" i="2" l="1"/>
  <c r="BG188" i="1" s="1"/>
  <c r="A190" i="2"/>
  <c r="DG189" i="1"/>
  <c r="Y119" i="2"/>
  <c r="BG118" i="1" s="1"/>
  <c r="DG118" i="1"/>
  <c r="A119" i="1"/>
  <c r="A120" i="2" s="1"/>
  <c r="AZ118" i="1"/>
  <c r="G118" i="1"/>
  <c r="F118" i="1"/>
  <c r="AZ189" i="1"/>
  <c r="F189" i="1"/>
  <c r="G189" i="1"/>
  <c r="EL43" i="1"/>
  <c r="EL66" i="1"/>
  <c r="EL55" i="1"/>
  <c r="EL54" i="1"/>
  <c r="EL67" i="1"/>
  <c r="EL65" i="1"/>
  <c r="EL68" i="1"/>
  <c r="EL69" i="1"/>
  <c r="V120" i="2"/>
  <c r="J190" i="2"/>
  <c r="J120" i="2"/>
  <c r="W120" i="2"/>
  <c r="F120" i="2"/>
  <c r="M120" i="2"/>
  <c r="X120" i="2"/>
  <c r="U190" i="2"/>
  <c r="O190" i="2"/>
  <c r="M190" i="2"/>
  <c r="H120" i="2"/>
  <c r="Q120" i="2"/>
  <c r="E120" i="2"/>
  <c r="B190" i="2"/>
  <c r="K190" i="2"/>
  <c r="P120" i="2"/>
  <c r="U120" i="2"/>
  <c r="P190" i="2"/>
  <c r="N120" i="2"/>
  <c r="E190" i="2"/>
  <c r="V190" i="2"/>
  <c r="L120" i="2"/>
  <c r="W190" i="2"/>
  <c r="Q190" i="2"/>
  <c r="I120" i="2"/>
  <c r="X190" i="2"/>
  <c r="N190" i="2"/>
  <c r="G190" i="2"/>
  <c r="T190" i="2"/>
  <c r="R120" i="2"/>
  <c r="I190" i="2"/>
  <c r="C190" i="2"/>
  <c r="S190" i="2"/>
  <c r="R190" i="2"/>
  <c r="L190" i="2"/>
  <c r="S120" i="2"/>
  <c r="O120" i="2"/>
  <c r="F190" i="2"/>
  <c r="K120" i="2"/>
  <c r="G120" i="2"/>
  <c r="C120" i="2"/>
  <c r="D120" i="2"/>
  <c r="B120" i="2"/>
  <c r="H190" i="2"/>
  <c r="T120" i="2"/>
  <c r="D190" i="2"/>
  <c r="Y190" i="2" l="1"/>
  <c r="BG189" i="1" s="1"/>
  <c r="Y120" i="2"/>
  <c r="BG119" i="1" s="1"/>
  <c r="DG119" i="1"/>
  <c r="A120" i="1"/>
  <c r="A121" i="2" s="1"/>
  <c r="AZ119" i="1"/>
  <c r="G119" i="1"/>
  <c r="F119" i="1"/>
  <c r="EE54" i="1"/>
  <c r="DX54" i="1" s="1"/>
  <c r="EE65" i="1"/>
  <c r="DX65" i="1" s="1"/>
  <c r="EE55" i="1"/>
  <c r="DX55" i="1" s="1"/>
  <c r="EE66" i="1"/>
  <c r="DX66" i="1" s="1"/>
  <c r="EE67" i="1"/>
  <c r="DX67" i="1" s="1"/>
  <c r="EE68" i="1"/>
  <c r="DX68" i="1" s="1"/>
  <c r="EE69" i="1"/>
  <c r="DX69" i="1" s="1"/>
  <c r="EL83" i="1"/>
  <c r="EM43" i="1"/>
  <c r="EM55" i="1"/>
  <c r="EM66" i="1"/>
  <c r="EM54" i="1"/>
  <c r="EM67" i="1"/>
  <c r="EM69" i="1"/>
  <c r="EM65" i="1"/>
  <c r="EM68" i="1"/>
  <c r="I121" i="2"/>
  <c r="O121" i="2"/>
  <c r="R121" i="2"/>
  <c r="X121" i="2"/>
  <c r="H121" i="2"/>
  <c r="T121" i="2"/>
  <c r="U121" i="2"/>
  <c r="C121" i="2"/>
  <c r="N121" i="2"/>
  <c r="W121" i="2"/>
  <c r="L121" i="2"/>
  <c r="P121" i="2"/>
  <c r="M121" i="2"/>
  <c r="F121" i="2"/>
  <c r="S121" i="2"/>
  <c r="V121" i="2"/>
  <c r="B121" i="2"/>
  <c r="Q121" i="2"/>
  <c r="D121" i="2"/>
  <c r="J121" i="2"/>
  <c r="E121" i="2"/>
  <c r="K121" i="2"/>
  <c r="G121" i="2"/>
  <c r="BJ54" i="1" l="1"/>
  <c r="BJ66" i="1"/>
  <c r="BJ67" i="1"/>
  <c r="BJ69" i="1"/>
  <c r="BJ55" i="1"/>
  <c r="BJ68" i="1"/>
  <c r="BJ65" i="1"/>
  <c r="Y121" i="2"/>
  <c r="BG120" i="1" s="1"/>
  <c r="DG120" i="1"/>
  <c r="A121" i="1"/>
  <c r="A122" i="2" s="1"/>
  <c r="AZ120" i="1"/>
  <c r="F120" i="1"/>
  <c r="G120" i="1"/>
  <c r="EF54" i="1"/>
  <c r="DY54" i="1" s="1"/>
  <c r="BK54" i="1" s="1"/>
  <c r="EF65" i="1"/>
  <c r="DY65" i="1" s="1"/>
  <c r="BK65" i="1" s="1"/>
  <c r="EF55" i="1"/>
  <c r="DY55" i="1" s="1"/>
  <c r="BK55" i="1" s="1"/>
  <c r="EF66" i="1"/>
  <c r="DY66" i="1" s="1"/>
  <c r="BK66" i="1" s="1"/>
  <c r="EF67" i="1"/>
  <c r="DY67" i="1" s="1"/>
  <c r="BK67" i="1" s="1"/>
  <c r="EF68" i="1"/>
  <c r="DY68" i="1" s="1"/>
  <c r="BK68" i="1" s="1"/>
  <c r="EF69" i="1"/>
  <c r="DY69" i="1" s="1"/>
  <c r="BK69" i="1" s="1"/>
  <c r="EL135" i="1"/>
  <c r="EM135" i="1" s="1"/>
  <c r="EN135" i="1" s="1"/>
  <c r="EO135" i="1" s="1"/>
  <c r="EP135" i="1" s="1"/>
  <c r="EQ135" i="1" s="1"/>
  <c r="EM83" i="1"/>
  <c r="EN43" i="1"/>
  <c r="F122" i="2"/>
  <c r="V122" i="2"/>
  <c r="W122" i="2"/>
  <c r="S122" i="2"/>
  <c r="D122" i="2"/>
  <c r="G122" i="2"/>
  <c r="B122" i="2"/>
  <c r="Q122" i="2"/>
  <c r="L122" i="2"/>
  <c r="X122" i="2"/>
  <c r="E122" i="2"/>
  <c r="T122" i="2"/>
  <c r="P122" i="2"/>
  <c r="K122" i="2"/>
  <c r="R122" i="2"/>
  <c r="H122" i="2"/>
  <c r="I122" i="2"/>
  <c r="M122" i="2"/>
  <c r="N122" i="2"/>
  <c r="J122" i="2"/>
  <c r="U122" i="2"/>
  <c r="C122" i="2"/>
  <c r="O122" i="2"/>
  <c r="DR69" i="1" l="1"/>
  <c r="DR65" i="1"/>
  <c r="BQ54" i="1"/>
  <c r="EK69" i="1"/>
  <c r="EK55" i="1"/>
  <c r="BQ66" i="1"/>
  <c r="EK54" i="1"/>
  <c r="EK65" i="1"/>
  <c r="EK68" i="1"/>
  <c r="BQ67" i="1"/>
  <c r="EK66" i="1"/>
  <c r="EK67" i="1"/>
  <c r="BX55" i="1"/>
  <c r="CY55" i="1" s="1"/>
  <c r="BQ68" i="1"/>
  <c r="Y122" i="2"/>
  <c r="BG121" i="1" s="1"/>
  <c r="DG121" i="1"/>
  <c r="G121" i="1"/>
  <c r="A122" i="1"/>
  <c r="A123" i="2" s="1"/>
  <c r="AZ121" i="1"/>
  <c r="F121" i="1"/>
  <c r="BQ65" i="1"/>
  <c r="BX67" i="1"/>
  <c r="CY67" i="1" s="1"/>
  <c r="BX54" i="1"/>
  <c r="CY54" i="1" s="1"/>
  <c r="BX68" i="1"/>
  <c r="CY68" i="1" s="1"/>
  <c r="DR54" i="1"/>
  <c r="DR67" i="1"/>
  <c r="BX65" i="1"/>
  <c r="CY65" i="1" s="1"/>
  <c r="DR66" i="1"/>
  <c r="BX66" i="1"/>
  <c r="DR55" i="1"/>
  <c r="BQ69" i="1"/>
  <c r="BX69" i="1"/>
  <c r="BQ55" i="1"/>
  <c r="DR68" i="1"/>
  <c r="EN83" i="1"/>
  <c r="EO43" i="1"/>
  <c r="T123" i="2"/>
  <c r="B123" i="2"/>
  <c r="E123" i="2"/>
  <c r="V123" i="2"/>
  <c r="H123" i="2"/>
  <c r="L123" i="2"/>
  <c r="G123" i="2"/>
  <c r="K123" i="2"/>
  <c r="N123" i="2"/>
  <c r="W123" i="2"/>
  <c r="U123" i="2"/>
  <c r="Q123" i="2"/>
  <c r="M123" i="2"/>
  <c r="I123" i="2"/>
  <c r="D123" i="2"/>
  <c r="C123" i="2"/>
  <c r="R123" i="2"/>
  <c r="S123" i="2"/>
  <c r="X123" i="2"/>
  <c r="J123" i="2"/>
  <c r="P123" i="2"/>
  <c r="F123" i="2"/>
  <c r="O123" i="2"/>
  <c r="ET55" i="1" l="1"/>
  <c r="ET69" i="1"/>
  <c r="ET65" i="1"/>
  <c r="ET68" i="1"/>
  <c r="CW54" i="1"/>
  <c r="ET54" i="1"/>
  <c r="CW67" i="1"/>
  <c r="ET67" i="1"/>
  <c r="CW66" i="1"/>
  <c r="ET66" i="1"/>
  <c r="BR68" i="1"/>
  <c r="BR66" i="1"/>
  <c r="CW68" i="1"/>
  <c r="BR67" i="1"/>
  <c r="CW55" i="1"/>
  <c r="BR55" i="1"/>
  <c r="CW65" i="1"/>
  <c r="CW69" i="1"/>
  <c r="BR69" i="1"/>
  <c r="Y123" i="2"/>
  <c r="BG122" i="1" s="1"/>
  <c r="DG122" i="1"/>
  <c r="F122" i="1"/>
  <c r="A123" i="1"/>
  <c r="A124" i="2" s="1"/>
  <c r="AZ122" i="1"/>
  <c r="G122" i="1"/>
  <c r="BY69" i="1"/>
  <c r="BY55" i="1"/>
  <c r="BY66" i="1"/>
  <c r="BY68" i="1"/>
  <c r="BY67" i="1"/>
  <c r="CY66" i="1"/>
  <c r="CZ67" i="1" s="1"/>
  <c r="CZ55" i="1"/>
  <c r="CY69" i="1"/>
  <c r="CZ69" i="1" s="1"/>
  <c r="CZ68" i="1"/>
  <c r="EO83" i="1"/>
  <c r="EP43" i="1"/>
  <c r="F124" i="2"/>
  <c r="X124" i="2"/>
  <c r="G124" i="2"/>
  <c r="D124" i="2"/>
  <c r="Q124" i="2"/>
  <c r="E124" i="2"/>
  <c r="U124" i="2"/>
  <c r="N124" i="2"/>
  <c r="M124" i="2"/>
  <c r="R124" i="2"/>
  <c r="V124" i="2"/>
  <c r="O124" i="2"/>
  <c r="H124" i="2"/>
  <c r="J124" i="2"/>
  <c r="S124" i="2"/>
  <c r="W124" i="2"/>
  <c r="I124" i="2"/>
  <c r="L124" i="2"/>
  <c r="B124" i="2"/>
  <c r="T124" i="2"/>
  <c r="P124" i="2"/>
  <c r="C124" i="2"/>
  <c r="K124" i="2"/>
  <c r="Y124" i="2" l="1"/>
  <c r="BG123" i="1" s="1"/>
  <c r="DG123" i="1"/>
  <c r="A124" i="1"/>
  <c r="A125" i="2" s="1"/>
  <c r="AZ123" i="1"/>
  <c r="F123" i="1"/>
  <c r="G123" i="1"/>
  <c r="CZ66" i="1"/>
  <c r="EQ43" i="1"/>
  <c r="EP83" i="1"/>
  <c r="H125" i="2"/>
  <c r="U125" i="2"/>
  <c r="W125" i="2"/>
  <c r="P125" i="2"/>
  <c r="X125" i="2"/>
  <c r="G125" i="2"/>
  <c r="K125" i="2"/>
  <c r="L125" i="2"/>
  <c r="R125" i="2"/>
  <c r="O125" i="2"/>
  <c r="C125" i="2"/>
  <c r="F125" i="2"/>
  <c r="J125" i="2"/>
  <c r="E125" i="2"/>
  <c r="M125" i="2"/>
  <c r="D125" i="2"/>
  <c r="Q125" i="2"/>
  <c r="S125" i="2"/>
  <c r="I125" i="2"/>
  <c r="T125" i="2"/>
  <c r="N125" i="2"/>
  <c r="B125" i="2"/>
  <c r="V125" i="2"/>
  <c r="Y125" i="2" l="1"/>
  <c r="BG124" i="1" s="1"/>
  <c r="DG124" i="1"/>
  <c r="A125" i="1"/>
  <c r="A126" i="2" s="1"/>
  <c r="AZ124" i="1"/>
  <c r="F124" i="1"/>
  <c r="G124" i="1"/>
  <c r="EQ83" i="1"/>
  <c r="E126" i="2"/>
  <c r="B126" i="2"/>
  <c r="S126" i="2"/>
  <c r="W126" i="2"/>
  <c r="V126" i="2"/>
  <c r="G126" i="2"/>
  <c r="R126" i="2"/>
  <c r="T126" i="2"/>
  <c r="D126" i="2"/>
  <c r="I126" i="2"/>
  <c r="X126" i="2"/>
  <c r="Q126" i="2"/>
  <c r="K126" i="2"/>
  <c r="M126" i="2"/>
  <c r="L126" i="2"/>
  <c r="C126" i="2"/>
  <c r="J126" i="2"/>
  <c r="H126" i="2"/>
  <c r="U126" i="2"/>
  <c r="P126" i="2"/>
  <c r="N126" i="2"/>
  <c r="F126" i="2"/>
  <c r="O126" i="2"/>
  <c r="Y126" i="2" l="1"/>
  <c r="BG125" i="1" s="1"/>
  <c r="DG125" i="1"/>
  <c r="A126" i="1"/>
  <c r="A127" i="2" s="1"/>
  <c r="AZ125" i="1"/>
  <c r="G125" i="1"/>
  <c r="F125" i="1"/>
  <c r="F4" i="1"/>
  <c r="L127" i="2"/>
  <c r="T127" i="2"/>
  <c r="G127" i="2"/>
  <c r="C127" i="2"/>
  <c r="O127" i="2"/>
  <c r="H127" i="2"/>
  <c r="D127" i="2"/>
  <c r="I127" i="2"/>
  <c r="E127" i="2"/>
  <c r="M127" i="2"/>
  <c r="N127" i="2"/>
  <c r="K127" i="2"/>
  <c r="X127" i="2"/>
  <c r="Q127" i="2"/>
  <c r="F127" i="2"/>
  <c r="R127" i="2"/>
  <c r="W127" i="2"/>
  <c r="S127" i="2"/>
  <c r="U127" i="2"/>
  <c r="J127" i="2"/>
  <c r="B127" i="2"/>
  <c r="V127" i="2"/>
  <c r="P127" i="2"/>
  <c r="Y127" i="2" l="1"/>
  <c r="BG126" i="1" s="1"/>
  <c r="DG126" i="1"/>
  <c r="A127" i="1"/>
  <c r="A128" i="2" s="1"/>
  <c r="AZ126" i="1"/>
  <c r="F126" i="1"/>
  <c r="G126" i="1"/>
  <c r="A5" i="1"/>
  <c r="I128" i="2"/>
  <c r="C128" i="2"/>
  <c r="R128" i="2"/>
  <c r="H128" i="2"/>
  <c r="J128" i="2"/>
  <c r="P128" i="2"/>
  <c r="S128" i="2"/>
  <c r="D128" i="2"/>
  <c r="T128" i="2"/>
  <c r="L128" i="2"/>
  <c r="W128" i="2"/>
  <c r="N128" i="2"/>
  <c r="G128" i="2"/>
  <c r="K128" i="2"/>
  <c r="U128" i="2"/>
  <c r="E128" i="2"/>
  <c r="Q128" i="2"/>
  <c r="V128" i="2"/>
  <c r="O128" i="2"/>
  <c r="F128" i="2"/>
  <c r="X128" i="2"/>
  <c r="B128" i="2"/>
  <c r="M128" i="2"/>
  <c r="AZ5" i="1" l="1"/>
  <c r="A6" i="2"/>
  <c r="DG5" i="1"/>
  <c r="Y128" i="2"/>
  <c r="BG127" i="1" s="1"/>
  <c r="DG127" i="1"/>
  <c r="G127" i="1"/>
  <c r="A128" i="1"/>
  <c r="A129" i="2" s="1"/>
  <c r="AZ127" i="1"/>
  <c r="F127" i="1"/>
  <c r="D137" i="1"/>
  <c r="DT85" i="1"/>
  <c r="F5" i="1"/>
  <c r="A6" i="1"/>
  <c r="X129" i="2"/>
  <c r="I6" i="2"/>
  <c r="P129" i="2"/>
  <c r="N129" i="2"/>
  <c r="N6" i="2"/>
  <c r="V6" i="2"/>
  <c r="G6" i="2"/>
  <c r="U129" i="2"/>
  <c r="F6" i="2"/>
  <c r="J6" i="2"/>
  <c r="G129" i="2"/>
  <c r="K129" i="2"/>
  <c r="T129" i="2"/>
  <c r="P6" i="2"/>
  <c r="M129" i="2"/>
  <c r="V129" i="2"/>
  <c r="O6" i="2"/>
  <c r="J129" i="2"/>
  <c r="L6" i="2"/>
  <c r="W6" i="2"/>
  <c r="U6" i="2"/>
  <c r="B6" i="2"/>
  <c r="S6" i="2"/>
  <c r="H6" i="2"/>
  <c r="D6" i="2"/>
  <c r="H129" i="2"/>
  <c r="T6" i="2"/>
  <c r="L129" i="2"/>
  <c r="C129" i="2"/>
  <c r="X6" i="2"/>
  <c r="S129" i="2"/>
  <c r="K6" i="2"/>
  <c r="M6" i="2"/>
  <c r="C6" i="2"/>
  <c r="R6" i="2"/>
  <c r="Q6" i="2"/>
  <c r="E129" i="2"/>
  <c r="O129" i="2"/>
  <c r="B129" i="2"/>
  <c r="R129" i="2"/>
  <c r="E6" i="2"/>
  <c r="D129" i="2"/>
  <c r="F129" i="2"/>
  <c r="I129" i="2"/>
  <c r="W129" i="2"/>
  <c r="Q129" i="2"/>
  <c r="Y6" i="2" l="1"/>
  <c r="BG5" i="1" s="1"/>
  <c r="AZ6" i="1"/>
  <c r="A7" i="2"/>
  <c r="DG6" i="1"/>
  <c r="Y129" i="2"/>
  <c r="BG128" i="1" s="1"/>
  <c r="DG128" i="1"/>
  <c r="G128" i="1"/>
  <c r="A129" i="1"/>
  <c r="A130" i="2" s="1"/>
  <c r="AZ128" i="1"/>
  <c r="F128" i="1"/>
  <c r="B168" i="1"/>
  <c r="B163" i="1"/>
  <c r="F6" i="1"/>
  <c r="A7" i="1"/>
  <c r="M7" i="2"/>
  <c r="W130" i="2"/>
  <c r="K130" i="2"/>
  <c r="R7" i="2"/>
  <c r="J130" i="2"/>
  <c r="X130" i="2"/>
  <c r="H130" i="2"/>
  <c r="N130" i="2"/>
  <c r="S7" i="2"/>
  <c r="P7" i="2"/>
  <c r="B130" i="2"/>
  <c r="Q7" i="2"/>
  <c r="G7" i="2"/>
  <c r="B7" i="2"/>
  <c r="S130" i="2"/>
  <c r="O7" i="2"/>
  <c r="P130" i="2"/>
  <c r="K7" i="2"/>
  <c r="Q130" i="2"/>
  <c r="W7" i="2"/>
  <c r="T130" i="2"/>
  <c r="C7" i="2"/>
  <c r="X7" i="2"/>
  <c r="O130" i="2"/>
  <c r="E7" i="2"/>
  <c r="H7" i="2"/>
  <c r="G130" i="2"/>
  <c r="L7" i="2"/>
  <c r="J7" i="2"/>
  <c r="D130" i="2"/>
  <c r="E130" i="2"/>
  <c r="F130" i="2"/>
  <c r="N7" i="2"/>
  <c r="T7" i="2"/>
  <c r="R130" i="2"/>
  <c r="I130" i="2"/>
  <c r="V130" i="2"/>
  <c r="M130" i="2"/>
  <c r="U130" i="2"/>
  <c r="U7" i="2"/>
  <c r="V7" i="2"/>
  <c r="F7" i="2"/>
  <c r="D7" i="2"/>
  <c r="L130" i="2"/>
  <c r="I7" i="2"/>
  <c r="C130" i="2"/>
  <c r="Y7" i="2" l="1"/>
  <c r="BG6" i="1" s="1"/>
  <c r="AZ7" i="1"/>
  <c r="A8" i="2"/>
  <c r="DG7" i="1"/>
  <c r="Y130" i="2"/>
  <c r="BG129" i="1" s="1"/>
  <c r="DG129" i="1"/>
  <c r="G129" i="1"/>
  <c r="A130" i="1"/>
  <c r="A131" i="2" s="1"/>
  <c r="AZ129" i="1"/>
  <c r="F129" i="1"/>
  <c r="F7" i="1"/>
  <c r="A8" i="1"/>
  <c r="BA130" i="1"/>
  <c r="R8" i="2"/>
  <c r="D8" i="2"/>
  <c r="I8" i="2"/>
  <c r="T131" i="2"/>
  <c r="M8" i="2"/>
  <c r="V8" i="2"/>
  <c r="V131" i="2"/>
  <c r="U8" i="2"/>
  <c r="N131" i="2"/>
  <c r="L131" i="2"/>
  <c r="N8" i="2"/>
  <c r="T8" i="2"/>
  <c r="H131" i="2"/>
  <c r="Q131" i="2"/>
  <c r="X8" i="2"/>
  <c r="J8" i="2"/>
  <c r="J131" i="2"/>
  <c r="P8" i="2"/>
  <c r="S8" i="2"/>
  <c r="D131" i="2"/>
  <c r="K8" i="2"/>
  <c r="O8" i="2"/>
  <c r="W8" i="2"/>
  <c r="H8" i="2"/>
  <c r="I131" i="2"/>
  <c r="O131" i="2"/>
  <c r="G131" i="2"/>
  <c r="W131" i="2"/>
  <c r="R131" i="2"/>
  <c r="S131" i="2"/>
  <c r="B8" i="2"/>
  <c r="E131" i="2"/>
  <c r="M131" i="2"/>
  <c r="K131" i="2"/>
  <c r="F8" i="2"/>
  <c r="C131" i="2"/>
  <c r="G8" i="2"/>
  <c r="P131" i="2"/>
  <c r="C8" i="2"/>
  <c r="F131" i="2"/>
  <c r="X131" i="2"/>
  <c r="L8" i="2"/>
  <c r="B131" i="2"/>
  <c r="U131" i="2"/>
  <c r="E8" i="2"/>
  <c r="Q8" i="2"/>
  <c r="Y8" i="2" l="1"/>
  <c r="BG7" i="1" s="1"/>
  <c r="AZ8" i="1"/>
  <c r="A9" i="2"/>
  <c r="DG8" i="1"/>
  <c r="Y131" i="2"/>
  <c r="BG130" i="1" s="1"/>
  <c r="DG130" i="1"/>
  <c r="AZ130" i="1"/>
  <c r="DT130" i="1" s="1"/>
  <c r="F130" i="1"/>
  <c r="G130" i="1"/>
  <c r="F8" i="1"/>
  <c r="A9" i="1"/>
  <c r="K9" i="2"/>
  <c r="I9" i="2"/>
  <c r="C9" i="2"/>
  <c r="S9" i="2"/>
  <c r="T9" i="2"/>
  <c r="N9" i="2"/>
  <c r="G9" i="2"/>
  <c r="U9" i="2"/>
  <c r="L9" i="2"/>
  <c r="F9" i="2"/>
  <c r="D9" i="2"/>
  <c r="M9" i="2"/>
  <c r="J9" i="2"/>
  <c r="W9" i="2"/>
  <c r="B9" i="2"/>
  <c r="H9" i="2"/>
  <c r="P9" i="2"/>
  <c r="V9" i="2"/>
  <c r="R9" i="2"/>
  <c r="O9" i="2"/>
  <c r="E9" i="2"/>
  <c r="Q9" i="2"/>
  <c r="X9" i="2"/>
  <c r="Y9" i="2" l="1"/>
  <c r="BG8" i="1" s="1"/>
  <c r="AZ9" i="1"/>
  <c r="A10" i="2"/>
  <c r="DG9" i="1"/>
  <c r="F9" i="1"/>
  <c r="A10" i="1"/>
  <c r="H10" i="2"/>
  <c r="W10" i="2"/>
  <c r="X10" i="2"/>
  <c r="B10" i="2"/>
  <c r="D10" i="2"/>
  <c r="F10" i="2"/>
  <c r="E10" i="2"/>
  <c r="J10" i="2"/>
  <c r="V10" i="2"/>
  <c r="G10" i="2"/>
  <c r="P10" i="2"/>
  <c r="M10" i="2"/>
  <c r="K10" i="2"/>
  <c r="O10" i="2"/>
  <c r="I10" i="2"/>
  <c r="C10" i="2"/>
  <c r="N10" i="2"/>
  <c r="R10" i="2"/>
  <c r="L10" i="2"/>
  <c r="T10" i="2"/>
  <c r="Q10" i="2"/>
  <c r="S10" i="2"/>
  <c r="U10" i="2"/>
  <c r="Y10" i="2" l="1"/>
  <c r="BG9" i="1" s="1"/>
  <c r="AZ10" i="1"/>
  <c r="A11" i="2"/>
  <c r="DG10" i="1"/>
  <c r="F10" i="1"/>
  <c r="A11" i="1"/>
  <c r="P11" i="2"/>
  <c r="N11" i="2"/>
  <c r="W11" i="2"/>
  <c r="X11" i="2"/>
  <c r="S11" i="2"/>
  <c r="I11" i="2"/>
  <c r="Q11" i="2"/>
  <c r="L11" i="2"/>
  <c r="C11" i="2"/>
  <c r="J11" i="2"/>
  <c r="K11" i="2"/>
  <c r="G11" i="2"/>
  <c r="O11" i="2"/>
  <c r="E11" i="2"/>
  <c r="B11" i="2"/>
  <c r="H11" i="2"/>
  <c r="M11" i="2"/>
  <c r="V11" i="2"/>
  <c r="D11" i="2"/>
  <c r="R11" i="2"/>
  <c r="F11" i="2"/>
  <c r="T11" i="2"/>
  <c r="U11" i="2"/>
  <c r="Y11" i="2" l="1"/>
  <c r="BG10" i="1" s="1"/>
  <c r="AZ11" i="1"/>
  <c r="A12" i="2"/>
  <c r="DG11" i="1"/>
  <c r="F11" i="1"/>
  <c r="A12" i="1"/>
  <c r="U12" i="2"/>
  <c r="W12" i="2"/>
  <c r="N12" i="2"/>
  <c r="D12" i="2"/>
  <c r="L12" i="2"/>
  <c r="C12" i="2"/>
  <c r="G12" i="2"/>
  <c r="Q12" i="2"/>
  <c r="X12" i="2"/>
  <c r="F12" i="2"/>
  <c r="E12" i="2"/>
  <c r="H12" i="2"/>
  <c r="K12" i="2"/>
  <c r="T12" i="2"/>
  <c r="J12" i="2"/>
  <c r="I12" i="2"/>
  <c r="R12" i="2"/>
  <c r="O12" i="2"/>
  <c r="V12" i="2"/>
  <c r="M12" i="2"/>
  <c r="P12" i="2"/>
  <c r="S12" i="2"/>
  <c r="B12" i="2"/>
  <c r="Y12" i="2" l="1"/>
  <c r="BG11" i="1" s="1"/>
  <c r="AZ12" i="1"/>
  <c r="A13" i="2"/>
  <c r="DG12" i="1"/>
  <c r="F12" i="1"/>
  <c r="A13" i="1"/>
  <c r="X13" i="2"/>
  <c r="E13" i="2"/>
  <c r="S13" i="2"/>
  <c r="I13" i="2"/>
  <c r="O13" i="2"/>
  <c r="V13" i="2"/>
  <c r="H13" i="2"/>
  <c r="K13" i="2"/>
  <c r="F13" i="2"/>
  <c r="U13" i="2"/>
  <c r="R13" i="2"/>
  <c r="Q13" i="2"/>
  <c r="D13" i="2"/>
  <c r="N13" i="2"/>
  <c r="W13" i="2"/>
  <c r="T13" i="2"/>
  <c r="B13" i="2"/>
  <c r="J13" i="2"/>
  <c r="M13" i="2"/>
  <c r="L13" i="2"/>
  <c r="C13" i="2"/>
  <c r="G13" i="2"/>
  <c r="P13" i="2"/>
  <c r="Y13" i="2" l="1"/>
  <c r="BG12" i="1" s="1"/>
  <c r="AZ13" i="1"/>
  <c r="A14" i="2"/>
  <c r="DG13" i="1"/>
  <c r="F13" i="1"/>
  <c r="A14" i="1"/>
  <c r="X14" i="2"/>
  <c r="T14" i="2"/>
  <c r="G14" i="2"/>
  <c r="H14" i="2"/>
  <c r="N14" i="2"/>
  <c r="O14" i="2"/>
  <c r="L14" i="2"/>
  <c r="U14" i="2"/>
  <c r="W14" i="2"/>
  <c r="C14" i="2"/>
  <c r="Q14" i="2"/>
  <c r="I14" i="2"/>
  <c r="R14" i="2"/>
  <c r="B14" i="2"/>
  <c r="V14" i="2"/>
  <c r="S14" i="2"/>
  <c r="E14" i="2"/>
  <c r="F14" i="2"/>
  <c r="D14" i="2"/>
  <c r="M14" i="2"/>
  <c r="P14" i="2"/>
  <c r="K14" i="2"/>
  <c r="J14" i="2"/>
  <c r="Y14" i="2" l="1"/>
  <c r="BG13" i="1" s="1"/>
  <c r="AZ14" i="1"/>
  <c r="A15" i="2"/>
  <c r="DG14" i="1"/>
  <c r="F14" i="1"/>
  <c r="A15" i="1"/>
  <c r="B15" i="2"/>
  <c r="E15" i="2"/>
  <c r="S15" i="2"/>
  <c r="D15" i="2"/>
  <c r="T15" i="2"/>
  <c r="V15" i="2"/>
  <c r="L15" i="2"/>
  <c r="I15" i="2"/>
  <c r="R15" i="2"/>
  <c r="F15" i="2"/>
  <c r="Q15" i="2"/>
  <c r="P15" i="2"/>
  <c r="O15" i="2"/>
  <c r="X15" i="2"/>
  <c r="G15" i="2"/>
  <c r="W15" i="2"/>
  <c r="C15" i="2"/>
  <c r="N15" i="2"/>
  <c r="J15" i="2"/>
  <c r="U15" i="2"/>
  <c r="H15" i="2"/>
  <c r="M15" i="2"/>
  <c r="K15" i="2"/>
  <c r="Y15" i="2" l="1"/>
  <c r="BG14" i="1" s="1"/>
  <c r="AZ15" i="1"/>
  <c r="A16" i="2"/>
  <c r="DG15" i="1"/>
  <c r="F15" i="1"/>
  <c r="A16" i="1"/>
  <c r="V16" i="2"/>
  <c r="U16" i="2"/>
  <c r="T16" i="2"/>
  <c r="J16" i="2"/>
  <c r="C16" i="2"/>
  <c r="O16" i="2"/>
  <c r="H16" i="2"/>
  <c r="Q16" i="2"/>
  <c r="R16" i="2"/>
  <c r="X16" i="2"/>
  <c r="E16" i="2"/>
  <c r="M16" i="2"/>
  <c r="P16" i="2"/>
  <c r="G16" i="2"/>
  <c r="W16" i="2"/>
  <c r="D16" i="2"/>
  <c r="L16" i="2"/>
  <c r="N16" i="2"/>
  <c r="F16" i="2"/>
  <c r="K16" i="2"/>
  <c r="I16" i="2"/>
  <c r="B16" i="2"/>
  <c r="S16" i="2"/>
  <c r="Y16" i="2" l="1"/>
  <c r="BG15" i="1" s="1"/>
  <c r="AZ16" i="1"/>
  <c r="A17" i="2"/>
  <c r="DG16" i="1"/>
  <c r="F16" i="1"/>
  <c r="A17" i="1"/>
  <c r="U17" i="2"/>
  <c r="C17" i="2"/>
  <c r="R17" i="2"/>
  <c r="I17" i="2"/>
  <c r="F17" i="2"/>
  <c r="S17" i="2"/>
  <c r="D17" i="2"/>
  <c r="K17" i="2"/>
  <c r="B17" i="2"/>
  <c r="T17" i="2"/>
  <c r="W17" i="2"/>
  <c r="L17" i="2"/>
  <c r="Q17" i="2"/>
  <c r="M17" i="2"/>
  <c r="G17" i="2"/>
  <c r="E17" i="2"/>
  <c r="J17" i="2"/>
  <c r="H17" i="2"/>
  <c r="V17" i="2"/>
  <c r="O17" i="2"/>
  <c r="X17" i="2"/>
  <c r="P17" i="2"/>
  <c r="N17" i="2"/>
  <c r="Y17" i="2" l="1"/>
  <c r="BG16" i="1" s="1"/>
  <c r="AZ17" i="1"/>
  <c r="A18" i="2"/>
  <c r="DG17" i="1"/>
  <c r="F17" i="1"/>
  <c r="A18" i="1"/>
  <c r="X18" i="2"/>
  <c r="L18" i="2"/>
  <c r="I18" i="2"/>
  <c r="G18" i="2"/>
  <c r="B18" i="2"/>
  <c r="W18" i="2"/>
  <c r="Q18" i="2"/>
  <c r="J18" i="2"/>
  <c r="S18" i="2"/>
  <c r="V18" i="2"/>
  <c r="D18" i="2"/>
  <c r="E18" i="2"/>
  <c r="H18" i="2"/>
  <c r="M18" i="2"/>
  <c r="U18" i="2"/>
  <c r="T18" i="2"/>
  <c r="F18" i="2"/>
  <c r="N18" i="2"/>
  <c r="O18" i="2"/>
  <c r="P18" i="2"/>
  <c r="K18" i="2"/>
  <c r="R18" i="2"/>
  <c r="C18" i="2"/>
  <c r="Y18" i="2" l="1"/>
  <c r="BG17" i="1" s="1"/>
  <c r="AZ18" i="1"/>
  <c r="A19" i="2"/>
  <c r="DG18" i="1"/>
  <c r="F18" i="1"/>
  <c r="A19" i="1"/>
  <c r="O19" i="2"/>
  <c r="N19" i="2"/>
  <c r="W19" i="2"/>
  <c r="K19" i="2"/>
  <c r="V19" i="2"/>
  <c r="X19" i="2"/>
  <c r="P19" i="2"/>
  <c r="J19" i="2"/>
  <c r="B19" i="2"/>
  <c r="U19" i="2"/>
  <c r="S19" i="2"/>
  <c r="D19" i="2"/>
  <c r="F19" i="2"/>
  <c r="E19" i="2"/>
  <c r="T19" i="2"/>
  <c r="I19" i="2"/>
  <c r="R19" i="2"/>
  <c r="M19" i="2"/>
  <c r="L19" i="2"/>
  <c r="H19" i="2"/>
  <c r="C19" i="2"/>
  <c r="Q19" i="2"/>
  <c r="G19" i="2"/>
  <c r="Y19" i="2" l="1"/>
  <c r="BG18" i="1" s="1"/>
  <c r="AZ19" i="1"/>
  <c r="A20" i="2"/>
  <c r="DG19" i="1"/>
  <c r="F19" i="1"/>
  <c r="A20" i="1"/>
  <c r="H20" i="2"/>
  <c r="W20" i="2"/>
  <c r="J20" i="2"/>
  <c r="S20" i="2"/>
  <c r="U20" i="2"/>
  <c r="B20" i="2"/>
  <c r="F20" i="2"/>
  <c r="N20" i="2"/>
  <c r="G20" i="2"/>
  <c r="E20" i="2"/>
  <c r="L20" i="2"/>
  <c r="M20" i="2"/>
  <c r="I20" i="2"/>
  <c r="Q20" i="2"/>
  <c r="T20" i="2"/>
  <c r="V20" i="2"/>
  <c r="X20" i="2"/>
  <c r="R20" i="2"/>
  <c r="D20" i="2"/>
  <c r="O20" i="2"/>
  <c r="C20" i="2"/>
  <c r="P20" i="2"/>
  <c r="K20" i="2"/>
  <c r="Y20" i="2" l="1"/>
  <c r="BG19" i="1" s="1"/>
  <c r="AZ20" i="1"/>
  <c r="A21" i="2"/>
  <c r="DG20" i="1"/>
  <c r="F20" i="1"/>
  <c r="A21" i="1"/>
  <c r="N21" i="2"/>
  <c r="X21" i="2"/>
  <c r="B21" i="2"/>
  <c r="P21" i="2"/>
  <c r="E21" i="2"/>
  <c r="J21" i="2"/>
  <c r="V21" i="2"/>
  <c r="F21" i="2"/>
  <c r="C21" i="2"/>
  <c r="G21" i="2"/>
  <c r="U21" i="2"/>
  <c r="D21" i="2"/>
  <c r="H21" i="2"/>
  <c r="L21" i="2"/>
  <c r="Q21" i="2"/>
  <c r="S21" i="2"/>
  <c r="T21" i="2"/>
  <c r="O21" i="2"/>
  <c r="K21" i="2"/>
  <c r="M21" i="2"/>
  <c r="W21" i="2"/>
  <c r="R21" i="2"/>
  <c r="I21" i="2"/>
  <c r="Y21" i="2" l="1"/>
  <c r="BG20" i="1" s="1"/>
  <c r="AZ21" i="1"/>
  <c r="A22" i="2"/>
  <c r="DG21" i="1"/>
  <c r="F21" i="1"/>
  <c r="A22" i="1"/>
  <c r="D22" i="2"/>
  <c r="N22" i="2"/>
  <c r="T22" i="2"/>
  <c r="K22" i="2"/>
  <c r="O22" i="2"/>
  <c r="F22" i="2"/>
  <c r="I22" i="2"/>
  <c r="W22" i="2"/>
  <c r="C22" i="2"/>
  <c r="G22" i="2"/>
  <c r="S22" i="2"/>
  <c r="V22" i="2"/>
  <c r="Q22" i="2"/>
  <c r="B22" i="2"/>
  <c r="M22" i="2"/>
  <c r="R22" i="2"/>
  <c r="X22" i="2"/>
  <c r="E22" i="2"/>
  <c r="J22" i="2"/>
  <c r="H22" i="2"/>
  <c r="P22" i="2"/>
  <c r="U22" i="2"/>
  <c r="L22" i="2"/>
  <c r="Y22" i="2" l="1"/>
  <c r="BG21" i="1" s="1"/>
  <c r="AZ22" i="1"/>
  <c r="A23" i="2"/>
  <c r="DG22" i="1"/>
  <c r="F22" i="1"/>
  <c r="A23" i="1"/>
  <c r="D23" i="2"/>
  <c r="Q23" i="2"/>
  <c r="L23" i="2"/>
  <c r="B23" i="2"/>
  <c r="H23" i="2"/>
  <c r="K23" i="2"/>
  <c r="T23" i="2"/>
  <c r="N23" i="2"/>
  <c r="I23" i="2"/>
  <c r="X23" i="2"/>
  <c r="W23" i="2"/>
  <c r="U23" i="2"/>
  <c r="E23" i="2"/>
  <c r="O23" i="2"/>
  <c r="S23" i="2"/>
  <c r="G23" i="2"/>
  <c r="V23" i="2"/>
  <c r="C23" i="2"/>
  <c r="P23" i="2"/>
  <c r="F23" i="2"/>
  <c r="M23" i="2"/>
  <c r="J23" i="2"/>
  <c r="R23" i="2"/>
  <c r="Y23" i="2" l="1"/>
  <c r="BG22" i="1" s="1"/>
  <c r="AZ23" i="1"/>
  <c r="A24" i="2"/>
  <c r="DG23" i="1"/>
  <c r="F23" i="1"/>
  <c r="A24" i="1"/>
  <c r="V24" i="2"/>
  <c r="N24" i="2"/>
  <c r="P24" i="2"/>
  <c r="U24" i="2"/>
  <c r="Q24" i="2"/>
  <c r="R24" i="2"/>
  <c r="G24" i="2"/>
  <c r="E24" i="2"/>
  <c r="T24" i="2"/>
  <c r="F24" i="2"/>
  <c r="W24" i="2"/>
  <c r="K24" i="2"/>
  <c r="M24" i="2"/>
  <c r="O24" i="2"/>
  <c r="D24" i="2"/>
  <c r="X24" i="2"/>
  <c r="H24" i="2"/>
  <c r="C24" i="2"/>
  <c r="L24" i="2"/>
  <c r="B24" i="2"/>
  <c r="J24" i="2"/>
  <c r="S24" i="2"/>
  <c r="I24" i="2"/>
  <c r="Y24" i="2" l="1"/>
  <c r="BG23" i="1" s="1"/>
  <c r="AZ24" i="1"/>
  <c r="A25" i="2"/>
  <c r="DG24" i="1"/>
  <c r="F24" i="1"/>
  <c r="A25" i="1"/>
  <c r="W25" i="2"/>
  <c r="G25" i="2"/>
  <c r="B25" i="2"/>
  <c r="H25" i="2"/>
  <c r="P25" i="2"/>
  <c r="D25" i="2"/>
  <c r="E25" i="2"/>
  <c r="K25" i="2"/>
  <c r="C25" i="2"/>
  <c r="Q25" i="2"/>
  <c r="J25" i="2"/>
  <c r="S25" i="2"/>
  <c r="O25" i="2"/>
  <c r="T25" i="2"/>
  <c r="U25" i="2"/>
  <c r="R25" i="2"/>
  <c r="I25" i="2"/>
  <c r="L25" i="2"/>
  <c r="M25" i="2"/>
  <c r="V25" i="2"/>
  <c r="X25" i="2"/>
  <c r="F25" i="2"/>
  <c r="N25" i="2"/>
  <c r="Y25" i="2" l="1"/>
  <c r="BG24" i="1" s="1"/>
  <c r="AZ25" i="1"/>
  <c r="A26" i="2"/>
  <c r="DG25" i="1"/>
  <c r="F25" i="1"/>
  <c r="A26" i="1"/>
  <c r="CD162" i="1"/>
  <c r="BB85" i="1"/>
  <c r="BB127" i="1"/>
  <c r="BA100" i="1"/>
  <c r="BB109" i="1"/>
  <c r="BB86" i="1"/>
  <c r="BA109" i="1"/>
  <c r="BB92" i="1"/>
  <c r="BA119" i="1"/>
  <c r="BA116" i="1"/>
  <c r="BA129" i="1"/>
  <c r="BB101" i="1"/>
  <c r="BB94" i="1"/>
  <c r="BB91" i="1"/>
  <c r="BA105" i="1"/>
  <c r="BB90" i="1"/>
  <c r="BB93" i="1"/>
  <c r="BA163" i="1"/>
  <c r="BB89" i="1"/>
  <c r="BB118" i="1"/>
  <c r="BB125" i="1"/>
  <c r="BA103" i="1"/>
  <c r="BB129" i="1"/>
  <c r="BA107" i="1"/>
  <c r="BB107" i="1"/>
  <c r="BB104" i="1"/>
  <c r="BA114" i="1"/>
  <c r="BA122" i="1"/>
  <c r="CD163" i="1"/>
  <c r="BB115" i="1"/>
  <c r="BA124" i="1"/>
  <c r="BB102" i="1"/>
  <c r="BA108" i="1"/>
  <c r="BA123" i="1"/>
  <c r="BB121" i="1"/>
  <c r="BB87" i="1"/>
  <c r="BA104" i="1"/>
  <c r="BA113" i="1"/>
  <c r="BB122" i="1"/>
  <c r="BB113" i="1"/>
  <c r="BB116" i="1"/>
  <c r="BA97" i="1"/>
  <c r="BB124" i="1"/>
  <c r="BA98" i="1"/>
  <c r="BB120" i="1"/>
  <c r="BA115" i="1"/>
  <c r="BA121" i="1"/>
  <c r="BA118" i="1"/>
  <c r="BA110" i="1"/>
  <c r="BA96" i="1"/>
  <c r="CD161" i="1"/>
  <c r="BB95" i="1"/>
  <c r="BA128" i="1"/>
  <c r="BB106" i="1"/>
  <c r="BA117" i="1"/>
  <c r="BB100" i="1"/>
  <c r="BA125" i="1"/>
  <c r="BB97" i="1"/>
  <c r="CD164" i="1"/>
  <c r="CD165" i="1"/>
  <c r="BA111" i="1"/>
  <c r="BA106" i="1"/>
  <c r="BB98" i="1"/>
  <c r="BA95" i="1"/>
  <c r="BB108" i="1"/>
  <c r="BB123" i="1"/>
  <c r="BB96" i="1"/>
  <c r="BB130" i="1"/>
  <c r="BB117" i="1"/>
  <c r="BA101" i="1"/>
  <c r="BA127" i="1"/>
  <c r="BA99" i="1"/>
  <c r="BB112" i="1"/>
  <c r="BB88" i="1"/>
  <c r="BB126" i="1"/>
  <c r="BB128" i="1"/>
  <c r="BA126" i="1"/>
  <c r="BA120" i="1"/>
  <c r="BA102" i="1"/>
  <c r="BB111" i="1"/>
  <c r="BB119" i="1"/>
  <c r="BB99" i="1"/>
  <c r="BB105" i="1"/>
  <c r="BB114" i="1"/>
  <c r="BA112" i="1"/>
  <c r="BB110" i="1"/>
  <c r="BA94" i="1"/>
  <c r="BA93" i="1"/>
  <c r="BB103" i="1"/>
  <c r="BA168" i="1"/>
  <c r="CD168" i="1"/>
  <c r="AV156" i="1"/>
  <c r="AV155" i="1"/>
  <c r="AU181" i="1"/>
  <c r="EN184" i="1"/>
  <c r="BC129" i="1"/>
  <c r="AU186" i="1"/>
  <c r="EN138" i="1"/>
  <c r="EN188" i="1"/>
  <c r="BC124" i="1"/>
  <c r="BC101" i="1"/>
  <c r="AU140" i="1"/>
  <c r="BC117" i="1"/>
  <c r="BC125" i="1"/>
  <c r="BF168" i="1"/>
  <c r="EN177" i="1"/>
  <c r="EO157" i="1"/>
  <c r="BD87" i="1"/>
  <c r="EN137" i="1"/>
  <c r="BC95" i="1"/>
  <c r="AX176" i="1"/>
  <c r="BC110" i="1"/>
  <c r="EO142" i="1"/>
  <c r="BC93" i="1"/>
  <c r="BC100" i="1"/>
  <c r="AV141" i="1"/>
  <c r="BD91" i="1"/>
  <c r="EO148" i="1"/>
  <c r="AU178" i="1"/>
  <c r="BC112" i="1"/>
  <c r="EO143" i="1"/>
  <c r="BC91" i="1"/>
  <c r="H26" i="2"/>
  <c r="I26" i="2"/>
  <c r="D26" i="2"/>
  <c r="O26" i="2"/>
  <c r="W26" i="2"/>
  <c r="AV172" i="1"/>
  <c r="EO149" i="1"/>
  <c r="BC106" i="1"/>
  <c r="G26" i="2"/>
  <c r="N26" i="2"/>
  <c r="X26" i="2"/>
  <c r="EN183" i="1"/>
  <c r="AV153" i="1"/>
  <c r="EN179" i="1"/>
  <c r="BC98" i="1"/>
  <c r="AV144" i="1"/>
  <c r="EN178" i="1"/>
  <c r="AX172" i="1"/>
  <c r="EO172" i="1"/>
  <c r="EN182" i="1"/>
  <c r="AV150" i="1"/>
  <c r="AV142" i="1"/>
  <c r="AV146" i="1"/>
  <c r="J26" i="2"/>
  <c r="L26" i="2"/>
  <c r="U26" i="2"/>
  <c r="EN181" i="1"/>
  <c r="BC128" i="1"/>
  <c r="BC108" i="1"/>
  <c r="BF163" i="1"/>
  <c r="BC115" i="1"/>
  <c r="EO147" i="1"/>
  <c r="EO146" i="1"/>
  <c r="EO153" i="1"/>
  <c r="EN186" i="1"/>
  <c r="EO154" i="1"/>
  <c r="EO151" i="1"/>
  <c r="EO150" i="1"/>
  <c r="EO173" i="1"/>
  <c r="AV145" i="1"/>
  <c r="BC111" i="1"/>
  <c r="BC109" i="1"/>
  <c r="AX173" i="1"/>
  <c r="AU187" i="1"/>
  <c r="AU179" i="1"/>
  <c r="BC123" i="1"/>
  <c r="AX171" i="1"/>
  <c r="BD92" i="1"/>
  <c r="AU185" i="1"/>
  <c r="AU182" i="1"/>
  <c r="EO156" i="1"/>
  <c r="AX174" i="1"/>
  <c r="AV152" i="1"/>
  <c r="BC122" i="1"/>
  <c r="BC119" i="1"/>
  <c r="EO141" i="1"/>
  <c r="AU183" i="1"/>
  <c r="BD86" i="1"/>
  <c r="T26" i="2"/>
  <c r="F26" i="2"/>
  <c r="B26" i="2"/>
  <c r="Q26" i="2"/>
  <c r="BC126" i="1"/>
  <c r="BC107" i="1"/>
  <c r="BD85" i="1"/>
  <c r="C26" i="2"/>
  <c r="S26" i="2"/>
  <c r="K26" i="2"/>
  <c r="BC105" i="1"/>
  <c r="AV154" i="1"/>
  <c r="EO152" i="1"/>
  <c r="EN139" i="1"/>
  <c r="BC99" i="1"/>
  <c r="EO144" i="1"/>
  <c r="AU139" i="1"/>
  <c r="AV151" i="1"/>
  <c r="BC94" i="1"/>
  <c r="BC130" i="1"/>
  <c r="AX169" i="1"/>
  <c r="R26" i="2"/>
  <c r="V26" i="2"/>
  <c r="BC102" i="1"/>
  <c r="AU184" i="1"/>
  <c r="BD88" i="1"/>
  <c r="BC120" i="1"/>
  <c r="AV157" i="1"/>
  <c r="AV143" i="1"/>
  <c r="BC127" i="1"/>
  <c r="BC114" i="1"/>
  <c r="AU180" i="1"/>
  <c r="BD90" i="1"/>
  <c r="AV147" i="1"/>
  <c r="EN189" i="1"/>
  <c r="BC92" i="1"/>
  <c r="BC113" i="1"/>
  <c r="BC121" i="1"/>
  <c r="EN180" i="1"/>
  <c r="EN185" i="1"/>
  <c r="AX175" i="1"/>
  <c r="BC118" i="1"/>
  <c r="BC103" i="1"/>
  <c r="AX170" i="1"/>
  <c r="BC116" i="1"/>
  <c r="BC104" i="1"/>
  <c r="EO155" i="1"/>
  <c r="AV148" i="1"/>
  <c r="P26" i="2"/>
  <c r="AV173" i="1"/>
  <c r="BC96" i="1"/>
  <c r="AU177" i="1"/>
  <c r="EN187" i="1"/>
  <c r="BD89" i="1"/>
  <c r="AV149" i="1"/>
  <c r="EO145" i="1"/>
  <c r="BC97" i="1"/>
  <c r="EN140" i="1"/>
  <c r="E26" i="2"/>
  <c r="M26" i="2"/>
  <c r="Y26" i="2" l="1"/>
  <c r="BG25" i="1" s="1"/>
  <c r="AZ26" i="1"/>
  <c r="A27" i="2"/>
  <c r="DG26" i="1"/>
  <c r="DU105" i="1"/>
  <c r="DU124" i="1"/>
  <c r="EG189" i="1"/>
  <c r="DZ189" i="1" s="1"/>
  <c r="BL189" i="1" s="1"/>
  <c r="DU89" i="1"/>
  <c r="DU113" i="1"/>
  <c r="DT124" i="1"/>
  <c r="CQ124" i="1"/>
  <c r="DU97" i="1"/>
  <c r="DT103" i="1"/>
  <c r="CQ103" i="1"/>
  <c r="DU106" i="1"/>
  <c r="DU87" i="1"/>
  <c r="CQ121" i="1"/>
  <c r="DT121" i="1"/>
  <c r="CQ118" i="1"/>
  <c r="DT118" i="1"/>
  <c r="EH147" i="1"/>
  <c r="EA147" i="1" s="1"/>
  <c r="BM147" i="1" s="1"/>
  <c r="EH145" i="1"/>
  <c r="EA145" i="1" s="1"/>
  <c r="BM145" i="1" s="1"/>
  <c r="EG185" i="1"/>
  <c r="DZ185" i="1" s="1"/>
  <c r="BL185" i="1" s="1"/>
  <c r="DU108" i="1"/>
  <c r="DT107" i="1"/>
  <c r="CQ107" i="1"/>
  <c r="CQ111" i="1"/>
  <c r="DT111" i="1"/>
  <c r="EG183" i="1"/>
  <c r="DZ183" i="1" s="1"/>
  <c r="BL183" i="1" s="1"/>
  <c r="EH151" i="1"/>
  <c r="EA151" i="1" s="1"/>
  <c r="BM151" i="1" s="1"/>
  <c r="DU126" i="1"/>
  <c r="DU107" i="1"/>
  <c r="DU92" i="1"/>
  <c r="DT127" i="1"/>
  <c r="CQ127" i="1"/>
  <c r="DU91" i="1"/>
  <c r="CQ125" i="1"/>
  <c r="DT125" i="1"/>
  <c r="DU86" i="1"/>
  <c r="DT105" i="1"/>
  <c r="CQ105" i="1"/>
  <c r="DT120" i="1"/>
  <c r="CQ120" i="1"/>
  <c r="EG178" i="1"/>
  <c r="DZ178" i="1" s="1"/>
  <c r="BL178" i="1" s="1"/>
  <c r="DU98" i="1"/>
  <c r="EG138" i="1"/>
  <c r="DZ138" i="1" s="1"/>
  <c r="BL138" i="1" s="1"/>
  <c r="EH172" i="1"/>
  <c r="EA172" i="1" s="1"/>
  <c r="BM172" i="1" s="1"/>
  <c r="DU88" i="1"/>
  <c r="EH157" i="1"/>
  <c r="EA157" i="1" s="1"/>
  <c r="BM157" i="1" s="1"/>
  <c r="CS92" i="1"/>
  <c r="EH148" i="1"/>
  <c r="EA148" i="1" s="1"/>
  <c r="BM148" i="1" s="1"/>
  <c r="DU117" i="1"/>
  <c r="CQ106" i="1"/>
  <c r="DT106" i="1"/>
  <c r="CS91" i="1"/>
  <c r="DT110" i="1"/>
  <c r="CQ110" i="1"/>
  <c r="DT123" i="1"/>
  <c r="CQ123" i="1"/>
  <c r="EH150" i="1"/>
  <c r="EA150" i="1" s="1"/>
  <c r="BM150" i="1" s="1"/>
  <c r="EG187" i="1"/>
  <c r="DZ187" i="1" s="1"/>
  <c r="BL187" i="1" s="1"/>
  <c r="EG180" i="1"/>
  <c r="DZ180" i="1" s="1"/>
  <c r="BL180" i="1" s="1"/>
  <c r="DU93" i="1"/>
  <c r="DU130" i="1"/>
  <c r="CQ130" i="1"/>
  <c r="DU127" i="1"/>
  <c r="DU102" i="1"/>
  <c r="DU110" i="1"/>
  <c r="CQ122" i="1"/>
  <c r="DT122" i="1"/>
  <c r="DT94" i="1"/>
  <c r="CQ94" i="1"/>
  <c r="EG188" i="1"/>
  <c r="DZ188" i="1" s="1"/>
  <c r="BL188" i="1" s="1"/>
  <c r="DU104" i="1"/>
  <c r="DT168" i="1"/>
  <c r="EH142" i="1"/>
  <c r="EA142" i="1" s="1"/>
  <c r="BM142" i="1" s="1"/>
  <c r="EG177" i="1"/>
  <c r="DZ177" i="1" s="1"/>
  <c r="BL177" i="1" s="1"/>
  <c r="DU128" i="1"/>
  <c r="DU103" i="1"/>
  <c r="DT114" i="1"/>
  <c r="CQ114" i="1"/>
  <c r="EG137" i="1"/>
  <c r="DZ137" i="1" s="1"/>
  <c r="BL137" i="1" s="1"/>
  <c r="CQ95" i="1"/>
  <c r="DT95" i="1"/>
  <c r="DU95" i="1"/>
  <c r="EH173" i="1"/>
  <c r="EA173" i="1" s="1"/>
  <c r="BM173" i="1" s="1"/>
  <c r="CQ119" i="1"/>
  <c r="DT119" i="1"/>
  <c r="DT101" i="1"/>
  <c r="CQ101" i="1"/>
  <c r="DU129" i="1"/>
  <c r="CQ108" i="1"/>
  <c r="DT108" i="1"/>
  <c r="DU94" i="1"/>
  <c r="DT117" i="1"/>
  <c r="CQ117" i="1"/>
  <c r="DU119" i="1"/>
  <c r="DU90" i="1"/>
  <c r="DU125" i="1"/>
  <c r="DU118" i="1"/>
  <c r="DT112" i="1"/>
  <c r="CQ112" i="1"/>
  <c r="EH141" i="1"/>
  <c r="EA141" i="1" s="1"/>
  <c r="BM141" i="1" s="1"/>
  <c r="DT113" i="1"/>
  <c r="CQ113" i="1"/>
  <c r="EG182" i="1"/>
  <c r="DZ182" i="1" s="1"/>
  <c r="BL182" i="1" s="1"/>
  <c r="DU121" i="1"/>
  <c r="CQ93" i="1"/>
  <c r="DT93" i="1"/>
  <c r="EG181" i="1"/>
  <c r="DZ181" i="1" s="1"/>
  <c r="BL181" i="1" s="1"/>
  <c r="EG140" i="1"/>
  <c r="DZ140" i="1" s="1"/>
  <c r="BL140" i="1" s="1"/>
  <c r="DU123" i="1"/>
  <c r="DU100" i="1"/>
  <c r="DU122" i="1"/>
  <c r="DU115" i="1"/>
  <c r="DU109" i="1"/>
  <c r="CQ99" i="1"/>
  <c r="DT99" i="1"/>
  <c r="EH146" i="1"/>
  <c r="EA146" i="1" s="1"/>
  <c r="BM146" i="1" s="1"/>
  <c r="DT128" i="1"/>
  <c r="CQ128" i="1"/>
  <c r="EH153" i="1"/>
  <c r="EA153" i="1" s="1"/>
  <c r="BM153" i="1" s="1"/>
  <c r="EH152" i="1"/>
  <c r="EA152" i="1" s="1"/>
  <c r="BM152" i="1" s="1"/>
  <c r="EH144" i="1"/>
  <c r="EA144" i="1" s="1"/>
  <c r="BM144" i="1" s="1"/>
  <c r="DU112" i="1"/>
  <c r="DU114" i="1"/>
  <c r="DU99" i="1"/>
  <c r="DU120" i="1"/>
  <c r="EG179" i="1"/>
  <c r="DZ179" i="1" s="1"/>
  <c r="BL179" i="1" s="1"/>
  <c r="EH143" i="1"/>
  <c r="EA143" i="1" s="1"/>
  <c r="BM143" i="1" s="1"/>
  <c r="DU111" i="1"/>
  <c r="BB84" i="1"/>
  <c r="CQ85" i="1"/>
  <c r="DU85" i="1"/>
  <c r="BB132" i="1"/>
  <c r="DT104" i="1"/>
  <c r="CQ104" i="1"/>
  <c r="EG184" i="1"/>
  <c r="DZ184" i="1" s="1"/>
  <c r="BL184" i="1" s="1"/>
  <c r="EH155" i="1"/>
  <c r="EA155" i="1" s="1"/>
  <c r="BM155" i="1" s="1"/>
  <c r="DT100" i="1"/>
  <c r="CQ100" i="1"/>
  <c r="CQ109" i="1"/>
  <c r="DT109" i="1"/>
  <c r="EG186" i="1"/>
  <c r="DZ186" i="1" s="1"/>
  <c r="BL186" i="1" s="1"/>
  <c r="DU116" i="1"/>
  <c r="EH156" i="1"/>
  <c r="EA156" i="1" s="1"/>
  <c r="BM156" i="1" s="1"/>
  <c r="DT97" i="1"/>
  <c r="CQ97" i="1"/>
  <c r="DT163" i="1"/>
  <c r="DU101" i="1"/>
  <c r="DT116" i="1"/>
  <c r="CQ116" i="1"/>
  <c r="DT102" i="1"/>
  <c r="CQ102" i="1"/>
  <c r="EG139" i="1"/>
  <c r="DZ139" i="1" s="1"/>
  <c r="BL139" i="1" s="1"/>
  <c r="EH149" i="1"/>
  <c r="EA149" i="1" s="1"/>
  <c r="BM149" i="1" s="1"/>
  <c r="CQ126" i="1"/>
  <c r="DT126" i="1"/>
  <c r="DU96" i="1"/>
  <c r="DT115" i="1"/>
  <c r="CQ115" i="1"/>
  <c r="CQ96" i="1"/>
  <c r="DT96" i="1"/>
  <c r="DT129" i="1"/>
  <c r="CQ129" i="1"/>
  <c r="DT98" i="1"/>
  <c r="CQ98" i="1"/>
  <c r="EH154" i="1"/>
  <c r="EA154" i="1" s="1"/>
  <c r="BM154" i="1" s="1"/>
  <c r="F26" i="1"/>
  <c r="A27" i="1"/>
  <c r="O27" i="2"/>
  <c r="H27" i="2"/>
  <c r="I27" i="2"/>
  <c r="N27" i="2"/>
  <c r="T27" i="2"/>
  <c r="W27" i="2"/>
  <c r="G27" i="2"/>
  <c r="U27" i="2"/>
  <c r="L27" i="2"/>
  <c r="D27" i="2"/>
  <c r="J27" i="2"/>
  <c r="F27" i="2"/>
  <c r="C27" i="2"/>
  <c r="R27" i="2"/>
  <c r="B27" i="2"/>
  <c r="E27" i="2"/>
  <c r="V27" i="2"/>
  <c r="X27" i="2"/>
  <c r="S27" i="2"/>
  <c r="K27" i="2"/>
  <c r="M27" i="2"/>
  <c r="Q27" i="2"/>
  <c r="P27" i="2"/>
  <c r="Y27" i="2" l="1"/>
  <c r="BG26" i="1" s="1"/>
  <c r="AZ27" i="1"/>
  <c r="A28" i="2"/>
  <c r="DG27" i="1"/>
  <c r="F27" i="1"/>
  <c r="A28" i="1"/>
  <c r="EN173" i="1"/>
  <c r="EO162" i="1"/>
  <c r="EO161" i="1"/>
  <c r="EN170" i="1"/>
  <c r="EO158" i="1"/>
  <c r="EN168" i="1"/>
  <c r="EN174" i="1"/>
  <c r="EO160" i="1"/>
  <c r="EO167" i="1"/>
  <c r="B28" i="2"/>
  <c r="S28" i="2"/>
  <c r="G28" i="2"/>
  <c r="W28" i="2"/>
  <c r="D28" i="2"/>
  <c r="T28" i="2"/>
  <c r="EO175" i="1"/>
  <c r="O28" i="2"/>
  <c r="EO171" i="1"/>
  <c r="EN169" i="1"/>
  <c r="EO174" i="1"/>
  <c r="BE163" i="1"/>
  <c r="EN166" i="1"/>
  <c r="EO169" i="1"/>
  <c r="EO159" i="1"/>
  <c r="EN167" i="1"/>
  <c r="EO170" i="1"/>
  <c r="K28" i="2"/>
  <c r="P28" i="2"/>
  <c r="F28" i="2"/>
  <c r="U28" i="2"/>
  <c r="J28" i="2"/>
  <c r="R28" i="2"/>
  <c r="EN159" i="1"/>
  <c r="EN163" i="1"/>
  <c r="EN171" i="1"/>
  <c r="EO176" i="1"/>
  <c r="EN162" i="1"/>
  <c r="V28" i="2"/>
  <c r="L28" i="2"/>
  <c r="EN172" i="1"/>
  <c r="EN160" i="1"/>
  <c r="EN164" i="1"/>
  <c r="EN175" i="1"/>
  <c r="EN158" i="1"/>
  <c r="EO166" i="1"/>
  <c r="EO165" i="1"/>
  <c r="EO168" i="1"/>
  <c r="EN176" i="1"/>
  <c r="EN161" i="1"/>
  <c r="Q28" i="2"/>
  <c r="I28" i="2"/>
  <c r="M28" i="2"/>
  <c r="H28" i="2"/>
  <c r="X28" i="2"/>
  <c r="E28" i="2"/>
  <c r="EN165" i="1"/>
  <c r="EO164" i="1"/>
  <c r="EO163" i="1"/>
  <c r="BE168" i="1"/>
  <c r="C28" i="2"/>
  <c r="N28" i="2"/>
  <c r="Y28" i="2" l="1"/>
  <c r="BG27" i="1" s="1"/>
  <c r="AZ28" i="1"/>
  <c r="A29" i="2"/>
  <c r="DG28" i="1"/>
  <c r="EG169" i="1"/>
  <c r="DZ169" i="1" s="1"/>
  <c r="BL169" i="1" s="1"/>
  <c r="EG174" i="1"/>
  <c r="DZ174" i="1" s="1"/>
  <c r="BL174" i="1" s="1"/>
  <c r="EG159" i="1"/>
  <c r="DZ159" i="1" s="1"/>
  <c r="BL159" i="1" s="1"/>
  <c r="EG171" i="1"/>
  <c r="DZ171" i="1" s="1"/>
  <c r="BL171" i="1" s="1"/>
  <c r="EG167" i="1"/>
  <c r="DZ167" i="1" s="1"/>
  <c r="BL167" i="1" s="1"/>
  <c r="CU168" i="1"/>
  <c r="EG168" i="1"/>
  <c r="DZ168" i="1" s="1"/>
  <c r="BL168" i="1" s="1"/>
  <c r="EH175" i="1"/>
  <c r="EA175" i="1" s="1"/>
  <c r="BM175" i="1" s="1"/>
  <c r="EH161" i="1"/>
  <c r="EA161" i="1" s="1"/>
  <c r="BM161" i="1" s="1"/>
  <c r="EH162" i="1"/>
  <c r="EA162" i="1" s="1"/>
  <c r="BM162" i="1" s="1"/>
  <c r="EH158" i="1"/>
  <c r="EA158" i="1" s="1"/>
  <c r="BM158" i="1" s="1"/>
  <c r="EH159" i="1"/>
  <c r="EA159" i="1" s="1"/>
  <c r="BM159" i="1" s="1"/>
  <c r="EH165" i="1"/>
  <c r="EA165" i="1" s="1"/>
  <c r="BM165" i="1" s="1"/>
  <c r="EG170" i="1"/>
  <c r="DZ170" i="1" s="1"/>
  <c r="BL170" i="1" s="1"/>
  <c r="EG158" i="1"/>
  <c r="DZ158" i="1" s="1"/>
  <c r="BL158" i="1" s="1"/>
  <c r="EG160" i="1"/>
  <c r="DZ160" i="1" s="1"/>
  <c r="BL160" i="1" s="1"/>
  <c r="EH176" i="1"/>
  <c r="EA176" i="1" s="1"/>
  <c r="BM176" i="1" s="1"/>
  <c r="EH174" i="1"/>
  <c r="EA174" i="1" s="1"/>
  <c r="BM174" i="1" s="1"/>
  <c r="EH163" i="1"/>
  <c r="EA163" i="1" s="1"/>
  <c r="BM163" i="1" s="1"/>
  <c r="EH170" i="1"/>
  <c r="EA170" i="1" s="1"/>
  <c r="BM170" i="1" s="1"/>
  <c r="EH168" i="1"/>
  <c r="EA168" i="1" s="1"/>
  <c r="BM168" i="1" s="1"/>
  <c r="EG161" i="1"/>
  <c r="DZ161" i="1" s="1"/>
  <c r="BL161" i="1" s="1"/>
  <c r="EG176" i="1"/>
  <c r="DZ176" i="1" s="1"/>
  <c r="BL176" i="1" s="1"/>
  <c r="EG173" i="1"/>
  <c r="DZ173" i="1" s="1"/>
  <c r="BL173" i="1" s="1"/>
  <c r="EG175" i="1"/>
  <c r="DZ175" i="1" s="1"/>
  <c r="BL175" i="1" s="1"/>
  <c r="EG172" i="1"/>
  <c r="DZ172" i="1" s="1"/>
  <c r="BL172" i="1" s="1"/>
  <c r="EH167" i="1"/>
  <c r="EA167" i="1" s="1"/>
  <c r="BM167" i="1" s="1"/>
  <c r="EG163" i="1"/>
  <c r="DZ163" i="1" s="1"/>
  <c r="BL163" i="1" s="1"/>
  <c r="EH169" i="1"/>
  <c r="EA169" i="1" s="1"/>
  <c r="BM169" i="1" s="1"/>
  <c r="EH160" i="1"/>
  <c r="EA160" i="1" s="1"/>
  <c r="BM160" i="1" s="1"/>
  <c r="EG165" i="1"/>
  <c r="DZ165" i="1" s="1"/>
  <c r="BL165" i="1" s="1"/>
  <c r="EG162" i="1"/>
  <c r="DZ162" i="1" s="1"/>
  <c r="BL162" i="1" s="1"/>
  <c r="CU163" i="1"/>
  <c r="EH166" i="1"/>
  <c r="EA166" i="1" s="1"/>
  <c r="BM166" i="1" s="1"/>
  <c r="EH164" i="1"/>
  <c r="EA164" i="1" s="1"/>
  <c r="BM164" i="1" s="1"/>
  <c r="EG164" i="1"/>
  <c r="DZ164" i="1" s="1"/>
  <c r="BL164" i="1" s="1"/>
  <c r="EG166" i="1"/>
  <c r="DZ166" i="1" s="1"/>
  <c r="BL166" i="1" s="1"/>
  <c r="EH171" i="1"/>
  <c r="EA171" i="1" s="1"/>
  <c r="BM171" i="1" s="1"/>
  <c r="F28" i="1"/>
  <c r="A29" i="1"/>
  <c r="AZ29" i="1" l="1"/>
  <c r="A30" i="2"/>
  <c r="DG29" i="1"/>
  <c r="F29" i="1"/>
  <c r="A30" i="1"/>
  <c r="AZ30" i="1" l="1"/>
  <c r="A31" i="2"/>
  <c r="DG30" i="1"/>
  <c r="F30" i="1"/>
  <c r="A31" i="1"/>
  <c r="AZ31" i="1" l="1"/>
  <c r="A32" i="2"/>
  <c r="DG31" i="1"/>
  <c r="F31" i="1"/>
  <c r="A32" i="1"/>
  <c r="BF94" i="1"/>
  <c r="BF85" i="1"/>
  <c r="BF102" i="1"/>
  <c r="BF111" i="1"/>
  <c r="BE121" i="1"/>
  <c r="BF128" i="1"/>
  <c r="BF118" i="1"/>
  <c r="BF126" i="1"/>
  <c r="BF100" i="1"/>
  <c r="BE107" i="1"/>
  <c r="BE127" i="1"/>
  <c r="BF91" i="1"/>
  <c r="BE120" i="1"/>
  <c r="BF99" i="1"/>
  <c r="BF106" i="1"/>
  <c r="DE59" i="1"/>
  <c r="BE97" i="1"/>
  <c r="BF119" i="1"/>
  <c r="BF103" i="1"/>
  <c r="DE47" i="1"/>
  <c r="BE99" i="1"/>
  <c r="EL51" i="1"/>
  <c r="DE45" i="1"/>
  <c r="EM51" i="1"/>
  <c r="BE110" i="1"/>
  <c r="DC62" i="1"/>
  <c r="BF86" i="1"/>
  <c r="DE73" i="1"/>
  <c r="BE104" i="1"/>
  <c r="BE116" i="1"/>
  <c r="AT49" i="1"/>
  <c r="AS56" i="1"/>
  <c r="DE76" i="1"/>
  <c r="DE60" i="1"/>
  <c r="DC52" i="1"/>
  <c r="DE61" i="1"/>
  <c r="DC58" i="1"/>
  <c r="CE165" i="1"/>
  <c r="DE70" i="1"/>
  <c r="AT50" i="1"/>
  <c r="AS50" i="1"/>
  <c r="DC61" i="1"/>
  <c r="DE71" i="1"/>
  <c r="BA88" i="1"/>
  <c r="BB163" i="1"/>
  <c r="DE72" i="1"/>
  <c r="BA91" i="1"/>
  <c r="BF120" i="1"/>
  <c r="BF116" i="1"/>
  <c r="BF125" i="1"/>
  <c r="BE96" i="1"/>
  <c r="DE78" i="1"/>
  <c r="DC60" i="1"/>
  <c r="EM52" i="1"/>
  <c r="DC64" i="1"/>
  <c r="DC56" i="1"/>
  <c r="DE63" i="1"/>
  <c r="AS64" i="1"/>
  <c r="DC79" i="1"/>
  <c r="DC70" i="1"/>
  <c r="DE49" i="1"/>
  <c r="EM53" i="1"/>
  <c r="DC59" i="1"/>
  <c r="BA89" i="1"/>
  <c r="BE103" i="1"/>
  <c r="BF96" i="1"/>
  <c r="BF129" i="1"/>
  <c r="BE115" i="1"/>
  <c r="BE113" i="1"/>
  <c r="BE128" i="1"/>
  <c r="BE95" i="1"/>
  <c r="BE129" i="1"/>
  <c r="BF108" i="1"/>
  <c r="BF121" i="1"/>
  <c r="BF112" i="1"/>
  <c r="BE111" i="1"/>
  <c r="BF97" i="1"/>
  <c r="AT53" i="1"/>
  <c r="BE106" i="1"/>
  <c r="BF93" i="1"/>
  <c r="BF127" i="1"/>
  <c r="BE101" i="1"/>
  <c r="BE94" i="1"/>
  <c r="BE105" i="1"/>
  <c r="BF95" i="1"/>
  <c r="AT51" i="1"/>
  <c r="DE56" i="1"/>
  <c r="CE163" i="1"/>
  <c r="DE58" i="1"/>
  <c r="CE168" i="1"/>
  <c r="DE50" i="1"/>
  <c r="DE74" i="1"/>
  <c r="DC53" i="1"/>
  <c r="AT52" i="1"/>
  <c r="BF92" i="1"/>
  <c r="DC71" i="1"/>
  <c r="EL52" i="1"/>
  <c r="DE75" i="1"/>
  <c r="DC49" i="1"/>
  <c r="CE162" i="1"/>
  <c r="EL49" i="1"/>
  <c r="DE62" i="1"/>
  <c r="DE64" i="1"/>
  <c r="BF104" i="1"/>
  <c r="DC72" i="1"/>
  <c r="DC48" i="1"/>
  <c r="DC74" i="1"/>
  <c r="DE48" i="1"/>
  <c r="BA92" i="1"/>
  <c r="BA86" i="1"/>
  <c r="DC78" i="1"/>
  <c r="BE100" i="1"/>
  <c r="BF130" i="1"/>
  <c r="BF115" i="1"/>
  <c r="BE122" i="1"/>
  <c r="BE126" i="1"/>
  <c r="BF122" i="1"/>
  <c r="BE102" i="1"/>
  <c r="DC47" i="1"/>
  <c r="DC75" i="1"/>
  <c r="EL56" i="1"/>
  <c r="DE51" i="1"/>
  <c r="AS51" i="1"/>
  <c r="EL50" i="1"/>
  <c r="BF87" i="1"/>
  <c r="BA87" i="1"/>
  <c r="BF89" i="1"/>
  <c r="BE123" i="1"/>
  <c r="BE130" i="1"/>
  <c r="BE108" i="1"/>
  <c r="BE98" i="1"/>
  <c r="BF101" i="1"/>
  <c r="BF88" i="1"/>
  <c r="BF113" i="1"/>
  <c r="BE125" i="1"/>
  <c r="BF110" i="1"/>
  <c r="BE112" i="1"/>
  <c r="AT56" i="1"/>
  <c r="BE119" i="1"/>
  <c r="AT64" i="1"/>
  <c r="BF124" i="1"/>
  <c r="BE117" i="1"/>
  <c r="BE114" i="1"/>
  <c r="BF123" i="1"/>
  <c r="BF114" i="1"/>
  <c r="BF90" i="1"/>
  <c r="BF105" i="1"/>
  <c r="EM50" i="1"/>
  <c r="AS49" i="1"/>
  <c r="DE53" i="1"/>
  <c r="DC45" i="1"/>
  <c r="DC63" i="1"/>
  <c r="DE77" i="1"/>
  <c r="EM56" i="1"/>
  <c r="DC51" i="1"/>
  <c r="AT70" i="1"/>
  <c r="DC57" i="1"/>
  <c r="DC46" i="1"/>
  <c r="CE161" i="1"/>
  <c r="AS63" i="1"/>
  <c r="AS52" i="1"/>
  <c r="DC77" i="1"/>
  <c r="DC76" i="1"/>
  <c r="EM49" i="1"/>
  <c r="DE52" i="1"/>
  <c r="BF107" i="1"/>
  <c r="DC50" i="1"/>
  <c r="EL53" i="1"/>
  <c r="BB168" i="1"/>
  <c r="BE124" i="1"/>
  <c r="BF98" i="1"/>
  <c r="BF117" i="1"/>
  <c r="BE109" i="1"/>
  <c r="BE93" i="1"/>
  <c r="BF109" i="1"/>
  <c r="CE164" i="1"/>
  <c r="BE118" i="1"/>
  <c r="DC73" i="1"/>
  <c r="DE46" i="1"/>
  <c r="DE79" i="1"/>
  <c r="AS53" i="1"/>
  <c r="DE57" i="1"/>
  <c r="BA90" i="1"/>
  <c r="CH90" i="1"/>
  <c r="CI95" i="1"/>
  <c r="CI108" i="1"/>
  <c r="AX98" i="1"/>
  <c r="CH99" i="1"/>
  <c r="CH129" i="1"/>
  <c r="AW109" i="1"/>
  <c r="CH118" i="1"/>
  <c r="AW108" i="1"/>
  <c r="CI112" i="1"/>
  <c r="BE85" i="1"/>
  <c r="AW87" i="1"/>
  <c r="AX100" i="1"/>
  <c r="AW93" i="1"/>
  <c r="CH112" i="1"/>
  <c r="CI87" i="1"/>
  <c r="AX120" i="1"/>
  <c r="CI91" i="1"/>
  <c r="AX91" i="1"/>
  <c r="AX90" i="1"/>
  <c r="AW98" i="1"/>
  <c r="CI129" i="1"/>
  <c r="CI106" i="1"/>
  <c r="AW101" i="1"/>
  <c r="CH122" i="1"/>
  <c r="DC123" i="1"/>
  <c r="DF107" i="1"/>
  <c r="DC116" i="1"/>
  <c r="CH96" i="1"/>
  <c r="AS117" i="1"/>
  <c r="DA158" i="1"/>
  <c r="AX118" i="1"/>
  <c r="CI127" i="1"/>
  <c r="AX122" i="1"/>
  <c r="CI86" i="1"/>
  <c r="AX115" i="1"/>
  <c r="DC182" i="1"/>
  <c r="DE126" i="1"/>
  <c r="CH87" i="1"/>
  <c r="AS130" i="1"/>
  <c r="AW123" i="1"/>
  <c r="CH103" i="1"/>
  <c r="CH101" i="1"/>
  <c r="CH128" i="1"/>
  <c r="AW115" i="1"/>
  <c r="AX99" i="1"/>
  <c r="CE86" i="1"/>
  <c r="DA100" i="1"/>
  <c r="DE117" i="1"/>
  <c r="DA113" i="1"/>
  <c r="AX86" i="1"/>
  <c r="CH104" i="1"/>
  <c r="CD119" i="1"/>
  <c r="DC168" i="1"/>
  <c r="DE143" i="1"/>
  <c r="CD100" i="1"/>
  <c r="DA122" i="1"/>
  <c r="AX113" i="1"/>
  <c r="DC118" i="1"/>
  <c r="DE138" i="1"/>
  <c r="AS106" i="1"/>
  <c r="CD112" i="1"/>
  <c r="CE96" i="1"/>
  <c r="DA188" i="1"/>
  <c r="DE95" i="1"/>
  <c r="DE105" i="1"/>
  <c r="CE95" i="1"/>
  <c r="DF156" i="1"/>
  <c r="DA130" i="1"/>
  <c r="DC125" i="1"/>
  <c r="DA172" i="1"/>
  <c r="CE129" i="1"/>
  <c r="DA51" i="1"/>
  <c r="DA45" i="1"/>
  <c r="DD119" i="1"/>
  <c r="DF101" i="1"/>
  <c r="DF179" i="1"/>
  <c r="AX107" i="1"/>
  <c r="DE115" i="1"/>
  <c r="DC156" i="1"/>
  <c r="DD165" i="1"/>
  <c r="DC159" i="1"/>
  <c r="CE91" i="1"/>
  <c r="DA164" i="1"/>
  <c r="DC130" i="1"/>
  <c r="DD117" i="1"/>
  <c r="CD50" i="1"/>
  <c r="DF173" i="1"/>
  <c r="AT105" i="1"/>
  <c r="DB160" i="1"/>
  <c r="DA137" i="1"/>
  <c r="DA138" i="1"/>
  <c r="DE107" i="1"/>
  <c r="AS127" i="1"/>
  <c r="DB117" i="1"/>
  <c r="AS121" i="1"/>
  <c r="DD113" i="1"/>
  <c r="DA183" i="1"/>
  <c r="DF138" i="1"/>
  <c r="DF172" i="1"/>
  <c r="DC149" i="1"/>
  <c r="DD173" i="1"/>
  <c r="CD99" i="1"/>
  <c r="DB116" i="1"/>
  <c r="DA146" i="1"/>
  <c r="DF154" i="1"/>
  <c r="DC95" i="1"/>
  <c r="DE108" i="1"/>
  <c r="DC96" i="1"/>
  <c r="DA108" i="1"/>
  <c r="DD120" i="1"/>
  <c r="DF160" i="1"/>
  <c r="DB128" i="1"/>
  <c r="DB189" i="1"/>
  <c r="DF186" i="1"/>
  <c r="AS92" i="1"/>
  <c r="DD149" i="1"/>
  <c r="DE141" i="1"/>
  <c r="CD96" i="1"/>
  <c r="CI120" i="1"/>
  <c r="AX95" i="1"/>
  <c r="CI89" i="1"/>
  <c r="CH86" i="1"/>
  <c r="AX129" i="1"/>
  <c r="AW106" i="1"/>
  <c r="CI123" i="1"/>
  <c r="AX87" i="1"/>
  <c r="AW130" i="1"/>
  <c r="AW88" i="1"/>
  <c r="AW99" i="1"/>
  <c r="AW97" i="1"/>
  <c r="AW85" i="1"/>
  <c r="AX127" i="1"/>
  <c r="CH100" i="1"/>
  <c r="CI111" i="1"/>
  <c r="AX97" i="1"/>
  <c r="AW125" i="1"/>
  <c r="CH123" i="1"/>
  <c r="AW124" i="1"/>
  <c r="AX89" i="1"/>
  <c r="BE90" i="1"/>
  <c r="CI126" i="1"/>
  <c r="CI102" i="1"/>
  <c r="AX85" i="1"/>
  <c r="AW114" i="1"/>
  <c r="CI121" i="1"/>
  <c r="DE112" i="1"/>
  <c r="CE112" i="1"/>
  <c r="DA119" i="1"/>
  <c r="DA127" i="1"/>
  <c r="AX101" i="1"/>
  <c r="BE88" i="1"/>
  <c r="AX119" i="1"/>
  <c r="AX109" i="1"/>
  <c r="CI90" i="1"/>
  <c r="CH130" i="1"/>
  <c r="CI128" i="1"/>
  <c r="DF87" i="1"/>
  <c r="AS89" i="1"/>
  <c r="DC121" i="1"/>
  <c r="AX96" i="1"/>
  <c r="AS115" i="1"/>
  <c r="CD91" i="1"/>
  <c r="AW113" i="1"/>
  <c r="BE87" i="1"/>
  <c r="CH117" i="1"/>
  <c r="AW107" i="1"/>
  <c r="AX92" i="1"/>
  <c r="CI116" i="1"/>
  <c r="AS116" i="1"/>
  <c r="AW90" i="1"/>
  <c r="AW94" i="1"/>
  <c r="CH88" i="1"/>
  <c r="CH119" i="1"/>
  <c r="CH110" i="1"/>
  <c r="DF155" i="1"/>
  <c r="DB129" i="1"/>
  <c r="CD124" i="1"/>
  <c r="AX110" i="1"/>
  <c r="DC112" i="1"/>
  <c r="AX94" i="1"/>
  <c r="DF86" i="1"/>
  <c r="DD123" i="1"/>
  <c r="DC122" i="1"/>
  <c r="CE97" i="1"/>
  <c r="DF88" i="1"/>
  <c r="DE121" i="1"/>
  <c r="DC187" i="1"/>
  <c r="DB173" i="1"/>
  <c r="DB141" i="1"/>
  <c r="DB137" i="1"/>
  <c r="CE103" i="1"/>
  <c r="DD174" i="1"/>
  <c r="CE102" i="1"/>
  <c r="DE88" i="1"/>
  <c r="DF105" i="1"/>
  <c r="CD123" i="1"/>
  <c r="DF188" i="1"/>
  <c r="DD163" i="1"/>
  <c r="DF123" i="1"/>
  <c r="DF151" i="1"/>
  <c r="DC92" i="1"/>
  <c r="DB146" i="1"/>
  <c r="DB100" i="1"/>
  <c r="DB188" i="1"/>
  <c r="AT107" i="1"/>
  <c r="DE110" i="1"/>
  <c r="CI107" i="1"/>
  <c r="CE71" i="1"/>
  <c r="DE146" i="1"/>
  <c r="CE70" i="1"/>
  <c r="DD138" i="1"/>
  <c r="DF144" i="1"/>
  <c r="AT106" i="1"/>
  <c r="DB166" i="1"/>
  <c r="CD90" i="1"/>
  <c r="DF180" i="1"/>
  <c r="DD183" i="1"/>
  <c r="DB96" i="1"/>
  <c r="DB147" i="1"/>
  <c r="DB171" i="1"/>
  <c r="DB142" i="1"/>
  <c r="DC152" i="1"/>
  <c r="DE114" i="1"/>
  <c r="DF142" i="1"/>
  <c r="DE125" i="1"/>
  <c r="DF98" i="1"/>
  <c r="AT120" i="1"/>
  <c r="DD175" i="1"/>
  <c r="DB181" i="1"/>
  <c r="DF161" i="1"/>
  <c r="AS112" i="1"/>
  <c r="DA178" i="1"/>
  <c r="CD128" i="1"/>
  <c r="DC161" i="1"/>
  <c r="DD126" i="1"/>
  <c r="DB90" i="1"/>
  <c r="CD97" i="1"/>
  <c r="AT88" i="1"/>
  <c r="DF175" i="1"/>
  <c r="DA93" i="1"/>
  <c r="CE120" i="1"/>
  <c r="DB122" i="1"/>
  <c r="DB114" i="1"/>
  <c r="AT98" i="1"/>
  <c r="DA76" i="1"/>
  <c r="DD186" i="1"/>
  <c r="BE91" i="1"/>
  <c r="AW126" i="1"/>
  <c r="AX112" i="1"/>
  <c r="CH106" i="1"/>
  <c r="AX106" i="1"/>
  <c r="AX117" i="1"/>
  <c r="CH85" i="1"/>
  <c r="CH124" i="1"/>
  <c r="AX108" i="1"/>
  <c r="AX125" i="1"/>
  <c r="AW105" i="1"/>
  <c r="AW129" i="1"/>
  <c r="CH107" i="1"/>
  <c r="CI130" i="1"/>
  <c r="CI105" i="1"/>
  <c r="CH95" i="1"/>
  <c r="CI96" i="1"/>
  <c r="CI113" i="1"/>
  <c r="CI114" i="1"/>
  <c r="CH89" i="1"/>
  <c r="CH93" i="1"/>
  <c r="AX104" i="1"/>
  <c r="DB154" i="1"/>
  <c r="DC177" i="1"/>
  <c r="AW96" i="1"/>
  <c r="DF5" i="1"/>
  <c r="AX88" i="1"/>
  <c r="CI115" i="1"/>
  <c r="AW119" i="1"/>
  <c r="CI88" i="1"/>
  <c r="DB87" i="1"/>
  <c r="DF169" i="1"/>
  <c r="DC109" i="1"/>
  <c r="AW110" i="1"/>
  <c r="CI92" i="1"/>
  <c r="AW117" i="1"/>
  <c r="CI100" i="1"/>
  <c r="AW122" i="1"/>
  <c r="AW116" i="1"/>
  <c r="DD154" i="1"/>
  <c r="DF163" i="1"/>
  <c r="DC113" i="1"/>
  <c r="BE86" i="1"/>
  <c r="DD88" i="1"/>
  <c r="AT111" i="1"/>
  <c r="CI119" i="1"/>
  <c r="AX130" i="1"/>
  <c r="AW127" i="1"/>
  <c r="CI110" i="1"/>
  <c r="CI117" i="1"/>
  <c r="DC129" i="1"/>
  <c r="DB107" i="1"/>
  <c r="CH113" i="1"/>
  <c r="DE109" i="1"/>
  <c r="AT122" i="1"/>
  <c r="CD116" i="1"/>
  <c r="DB150" i="1"/>
  <c r="DE128" i="1"/>
  <c r="DF115" i="1"/>
  <c r="CE111" i="1"/>
  <c r="DA124" i="1"/>
  <c r="DD137" i="1"/>
  <c r="DB85" i="1"/>
  <c r="DF164" i="1"/>
  <c r="DB163" i="1"/>
  <c r="DC104" i="1"/>
  <c r="DE187" i="1"/>
  <c r="DA58" i="1"/>
  <c r="DB186" i="1"/>
  <c r="CD88" i="1"/>
  <c r="DA179" i="1"/>
  <c r="AS95" i="1"/>
  <c r="CE123" i="1"/>
  <c r="DE90" i="1"/>
  <c r="DD91" i="1"/>
  <c r="DF146" i="1"/>
  <c r="DC111" i="1"/>
  <c r="DA102" i="1"/>
  <c r="DD130" i="1"/>
  <c r="DD156" i="1"/>
  <c r="DB145" i="1"/>
  <c r="CD93" i="1"/>
  <c r="AS110" i="1"/>
  <c r="AW102" i="1"/>
  <c r="AX102" i="1"/>
  <c r="DF174" i="1"/>
  <c r="CI101" i="1"/>
  <c r="AX93" i="1"/>
  <c r="CE62" i="1"/>
  <c r="CH92" i="1"/>
  <c r="CI103" i="1"/>
  <c r="DA111" i="1"/>
  <c r="DA152" i="1"/>
  <c r="DB182" i="1"/>
  <c r="DC120" i="1"/>
  <c r="CD51" i="1"/>
  <c r="DF171" i="1"/>
  <c r="DC88" i="1"/>
  <c r="DA154" i="1"/>
  <c r="DB105" i="1"/>
  <c r="AX116" i="1"/>
  <c r="DA85" i="1"/>
  <c r="AS109" i="1"/>
  <c r="AT93" i="1"/>
  <c r="DD102" i="1"/>
  <c r="DF108" i="1"/>
  <c r="CE117" i="1"/>
  <c r="CD95" i="1"/>
  <c r="CD130" i="1"/>
  <c r="CE92" i="1"/>
  <c r="DB119" i="1"/>
  <c r="AT119" i="1"/>
  <c r="DF120" i="1"/>
  <c r="DF177" i="1"/>
  <c r="DE182" i="1"/>
  <c r="DC119" i="1"/>
  <c r="DE178" i="1"/>
  <c r="DC90" i="1"/>
  <c r="DB152" i="1"/>
  <c r="DE186" i="1"/>
  <c r="DB151" i="1"/>
  <c r="AT117" i="1"/>
  <c r="DE100" i="1"/>
  <c r="CH127" i="1"/>
  <c r="DA120" i="1"/>
  <c r="AT89" i="1"/>
  <c r="DD159" i="1"/>
  <c r="AS114" i="1"/>
  <c r="DA57" i="1"/>
  <c r="DA147" i="1"/>
  <c r="DE179" i="1"/>
  <c r="DA77" i="1"/>
  <c r="DC86" i="1"/>
  <c r="DD172" i="1"/>
  <c r="CE116" i="1"/>
  <c r="CE90" i="1"/>
  <c r="CE49" i="1"/>
  <c r="DA165" i="1"/>
  <c r="DD142" i="1"/>
  <c r="DC183" i="1"/>
  <c r="DA150" i="1"/>
  <c r="CE93" i="1"/>
  <c r="DC97" i="1"/>
  <c r="AS102" i="1"/>
  <c r="DA186" i="1"/>
  <c r="DE184" i="1"/>
  <c r="DA52" i="1"/>
  <c r="DF93" i="1"/>
  <c r="DC188" i="1"/>
  <c r="DE168" i="1"/>
  <c r="DF148" i="1"/>
  <c r="DA121" i="1"/>
  <c r="DB179" i="1"/>
  <c r="DB91" i="1"/>
  <c r="CE110" i="1"/>
  <c r="DF139" i="1"/>
  <c r="DE164" i="1"/>
  <c r="DA180" i="1"/>
  <c r="DC181" i="1"/>
  <c r="AT102" i="1"/>
  <c r="DC162" i="1"/>
  <c r="DD103" i="1"/>
  <c r="DD179" i="1"/>
  <c r="DA169" i="1"/>
  <c r="DC186" i="1"/>
  <c r="CD118" i="1"/>
  <c r="DE94" i="1"/>
  <c r="DD141" i="1"/>
  <c r="DF150" i="1"/>
  <c r="DA163" i="1"/>
  <c r="DA56" i="1"/>
  <c r="CD89" i="1"/>
  <c r="DE149" i="1"/>
  <c r="AS97" i="1"/>
  <c r="DC94" i="1"/>
  <c r="DE166" i="1"/>
  <c r="DA59" i="1"/>
  <c r="CD109" i="1"/>
  <c r="DB161" i="1"/>
  <c r="DC140" i="1"/>
  <c r="CD127" i="1"/>
  <c r="DE181" i="1"/>
  <c r="AS94" i="1"/>
  <c r="CD114" i="1"/>
  <c r="CE98" i="1"/>
  <c r="CI125" i="1"/>
  <c r="DC173" i="1"/>
  <c r="DE152" i="1"/>
  <c r="DD148" i="1"/>
  <c r="DF91" i="1"/>
  <c r="DF125" i="1"/>
  <c r="AT124" i="1"/>
  <c r="DF149" i="1"/>
  <c r="DB104" i="1"/>
  <c r="DA64" i="1"/>
  <c r="CD94" i="1"/>
  <c r="DB170" i="1"/>
  <c r="DB130" i="1"/>
  <c r="CH115" i="1"/>
  <c r="DE111" i="1"/>
  <c r="CE107" i="1"/>
  <c r="DE92" i="1"/>
  <c r="DD158" i="1"/>
  <c r="DC93" i="1"/>
  <c r="AS122" i="1"/>
  <c r="DE167" i="1"/>
  <c r="AS88" i="1"/>
  <c r="AT118" i="1"/>
  <c r="DF181" i="1"/>
  <c r="CD92" i="1"/>
  <c r="AW118" i="1"/>
  <c r="CH108" i="1"/>
  <c r="CI94" i="1"/>
  <c r="CH126" i="1"/>
  <c r="AW95" i="1"/>
  <c r="DA173" i="1"/>
  <c r="BE92" i="1"/>
  <c r="AX128" i="1"/>
  <c r="AW89" i="1"/>
  <c r="CH121" i="1"/>
  <c r="DE123" i="1"/>
  <c r="DF187" i="1"/>
  <c r="CH91" i="1"/>
  <c r="DC172" i="1"/>
  <c r="CI85" i="1"/>
  <c r="CE89" i="1"/>
  <c r="DA90" i="1"/>
  <c r="CE101" i="1"/>
  <c r="AT90" i="1"/>
  <c r="AS120" i="1"/>
  <c r="DC170" i="1"/>
  <c r="DA117" i="1"/>
  <c r="DC128" i="1"/>
  <c r="CE56" i="1"/>
  <c r="DC171" i="1"/>
  <c r="AS105" i="1"/>
  <c r="DE153" i="1"/>
  <c r="DA88" i="1"/>
  <c r="DC106" i="1"/>
  <c r="DA63" i="1"/>
  <c r="DE113" i="1"/>
  <c r="AT112" i="1"/>
  <c r="DF112" i="1"/>
  <c r="DA62" i="1"/>
  <c r="AX124" i="1"/>
  <c r="DC169" i="1"/>
  <c r="AW104" i="1"/>
  <c r="DC137" i="1"/>
  <c r="AS103" i="1"/>
  <c r="DA176" i="1"/>
  <c r="DA72" i="1"/>
  <c r="DB102" i="1"/>
  <c r="DB127" i="1"/>
  <c r="DB103" i="1"/>
  <c r="AX111" i="1"/>
  <c r="CI97" i="1"/>
  <c r="CH105" i="1"/>
  <c r="AW100" i="1"/>
  <c r="AX126" i="1"/>
  <c r="DE139" i="1"/>
  <c r="CI98" i="1"/>
  <c r="CD120" i="1"/>
  <c r="AX123" i="1"/>
  <c r="CH120" i="1"/>
  <c r="CD122" i="1"/>
  <c r="DE86" i="1"/>
  <c r="AW128" i="1"/>
  <c r="DE177" i="1"/>
  <c r="DE163" i="1"/>
  <c r="CD103" i="1"/>
  <c r="DF110" i="1"/>
  <c r="DB92" i="1"/>
  <c r="DA143" i="1"/>
  <c r="DE129" i="1"/>
  <c r="DC178" i="1"/>
  <c r="DD97" i="1"/>
  <c r="DF99" i="1"/>
  <c r="AS104" i="1"/>
  <c r="AT130" i="1"/>
  <c r="DA161" i="1"/>
  <c r="DA167" i="1"/>
  <c r="AW92" i="1"/>
  <c r="CH94" i="1"/>
  <c r="CI93" i="1"/>
  <c r="DE118" i="1"/>
  <c r="CI118" i="1"/>
  <c r="AW120" i="1"/>
  <c r="DA160" i="1"/>
  <c r="DD157" i="1"/>
  <c r="DF116" i="1"/>
  <c r="DF103" i="1"/>
  <c r="DA159" i="1"/>
  <c r="CH125" i="1"/>
  <c r="CD106" i="1"/>
  <c r="DB174" i="1"/>
  <c r="DA126" i="1"/>
  <c r="DA140" i="1"/>
  <c r="DD153" i="1"/>
  <c r="DD92" i="1"/>
  <c r="DD104" i="1"/>
  <c r="DF119" i="1"/>
  <c r="DB123" i="1"/>
  <c r="AT121" i="1"/>
  <c r="DA87" i="1"/>
  <c r="DA96" i="1"/>
  <c r="DD188" i="1"/>
  <c r="AT86" i="1"/>
  <c r="AT92" i="1"/>
  <c r="AS124" i="1"/>
  <c r="DE144" i="1"/>
  <c r="DC110" i="1"/>
  <c r="DB164" i="1"/>
  <c r="DA149" i="1"/>
  <c r="CD101" i="1"/>
  <c r="DC146" i="1"/>
  <c r="CD85" i="1"/>
  <c r="DB139" i="1"/>
  <c r="CD126" i="1"/>
  <c r="DC99" i="1"/>
  <c r="CD98" i="1"/>
  <c r="DC143" i="1"/>
  <c r="CE63" i="1"/>
  <c r="DB156" i="1"/>
  <c r="DD177" i="1"/>
  <c r="DA47" i="1"/>
  <c r="DF184" i="1"/>
  <c r="DF126" i="1"/>
  <c r="DD101" i="1"/>
  <c r="CD110" i="1"/>
  <c r="DF168" i="1"/>
  <c r="DB120" i="1"/>
  <c r="DB153" i="1"/>
  <c r="CE118" i="1"/>
  <c r="DF183" i="1"/>
  <c r="DB110" i="1"/>
  <c r="AS128" i="1"/>
  <c r="DA162" i="1"/>
  <c r="AT129" i="1"/>
  <c r="DA74" i="1"/>
  <c r="DB94" i="1"/>
  <c r="AS118" i="1"/>
  <c r="DA49" i="1"/>
  <c r="DA46" i="1"/>
  <c r="AS108" i="1"/>
  <c r="DD168" i="1"/>
  <c r="DE127" i="1"/>
  <c r="DA116" i="1"/>
  <c r="DD111" i="1"/>
  <c r="DF165" i="1"/>
  <c r="DD116" i="1"/>
  <c r="DA139" i="1"/>
  <c r="DB99" i="1"/>
  <c r="DB178" i="1"/>
  <c r="DF127" i="1"/>
  <c r="DF140" i="1"/>
  <c r="DA175" i="1"/>
  <c r="DC105" i="1"/>
  <c r="DB89" i="1"/>
  <c r="DE185" i="1"/>
  <c r="DA189" i="1"/>
  <c r="DD181" i="1"/>
  <c r="DD139" i="1"/>
  <c r="DC167" i="1"/>
  <c r="DA185" i="1"/>
  <c r="DE147" i="1"/>
  <c r="DF92" i="1"/>
  <c r="DE106" i="1"/>
  <c r="CE126" i="1"/>
  <c r="DE104" i="1"/>
  <c r="DD176" i="1"/>
  <c r="DA166" i="1"/>
  <c r="DA91" i="1"/>
  <c r="DD94" i="1"/>
  <c r="DE180" i="1"/>
  <c r="DC154" i="1"/>
  <c r="CE104" i="1"/>
  <c r="CE125" i="1"/>
  <c r="DD161" i="1"/>
  <c r="DB140" i="1"/>
  <c r="DE101" i="1"/>
  <c r="DF189" i="1"/>
  <c r="DE99" i="1"/>
  <c r="DF176" i="1"/>
  <c r="DA142" i="1"/>
  <c r="DB162" i="1"/>
  <c r="CD104" i="1"/>
  <c r="DA109" i="1"/>
  <c r="CE128" i="1"/>
  <c r="DE158" i="1"/>
  <c r="AT116" i="1"/>
  <c r="DC180" i="1"/>
  <c r="DA97" i="1"/>
  <c r="DC150" i="1"/>
  <c r="DB112" i="1"/>
  <c r="DD147" i="1"/>
  <c r="DA181" i="1"/>
  <c r="CD53" i="1"/>
  <c r="DC126" i="1"/>
  <c r="AT113" i="1"/>
  <c r="DC166" i="1"/>
  <c r="DB169" i="1"/>
  <c r="DD106" i="1"/>
  <c r="DE98" i="1"/>
  <c r="DF153" i="1"/>
  <c r="DD114" i="1"/>
  <c r="CD64" i="1"/>
  <c r="CE87" i="1"/>
  <c r="BB52" i="1"/>
  <c r="BB53" i="1"/>
  <c r="BA56" i="1"/>
  <c r="BB64" i="1"/>
  <c r="DF129" i="1"/>
  <c r="DA107" i="1"/>
  <c r="DA112" i="1"/>
  <c r="DB180" i="1"/>
  <c r="DA114" i="1"/>
  <c r="DF178" i="1"/>
  <c r="DA155" i="1"/>
  <c r="DA145" i="1"/>
  <c r="DC157" i="1"/>
  <c r="DD170" i="1"/>
  <c r="DD109" i="1"/>
  <c r="DF118" i="1"/>
  <c r="AT128" i="1"/>
  <c r="CD56" i="1"/>
  <c r="DF141" i="1"/>
  <c r="DA177" i="1"/>
  <c r="AS123" i="1"/>
  <c r="CD111" i="1"/>
  <c r="DA86" i="1"/>
  <c r="DC102" i="1"/>
  <c r="AX114" i="1"/>
  <c r="AS111" i="1"/>
  <c r="DE103" i="1"/>
  <c r="CE64" i="1"/>
  <c r="AT99" i="1"/>
  <c r="AT123" i="1"/>
  <c r="DE91" i="1"/>
  <c r="BB50" i="1"/>
  <c r="DB101" i="1"/>
  <c r="DC144" i="1"/>
  <c r="DA105" i="1"/>
  <c r="DA182" i="1"/>
  <c r="DB185" i="1"/>
  <c r="DC164" i="1"/>
  <c r="DE148" i="1"/>
  <c r="DD121" i="1"/>
  <c r="DA79" i="1"/>
  <c r="BA49" i="1"/>
  <c r="DA106" i="1"/>
  <c r="DA128" i="1"/>
  <c r="DF137" i="1"/>
  <c r="CE130" i="1"/>
  <c r="DB97" i="1"/>
  <c r="AT94" i="1"/>
  <c r="AS99" i="1"/>
  <c r="DE87" i="1"/>
  <c r="DF167" i="1"/>
  <c r="DE171" i="1"/>
  <c r="DA153" i="1"/>
  <c r="AW121" i="1"/>
  <c r="DC98" i="1"/>
  <c r="DE176" i="1"/>
  <c r="DA110" i="1"/>
  <c r="DD108" i="1"/>
  <c r="AS90" i="1"/>
  <c r="DD150" i="1"/>
  <c r="DB109" i="1"/>
  <c r="AT95" i="1"/>
  <c r="DD118" i="1"/>
  <c r="AW86" i="1"/>
  <c r="CH98" i="1"/>
  <c r="CH114" i="1"/>
  <c r="CH109" i="1"/>
  <c r="AW111" i="1"/>
  <c r="CH116" i="1"/>
  <c r="DC85" i="1"/>
  <c r="DE161" i="1"/>
  <c r="CE99" i="1"/>
  <c r="DD122" i="1"/>
  <c r="AS93" i="1"/>
  <c r="DE96" i="1"/>
  <c r="DB148" i="1"/>
  <c r="DE162" i="1"/>
  <c r="DD180" i="1"/>
  <c r="DF124" i="1"/>
  <c r="CE53" i="1"/>
  <c r="DC115" i="1"/>
  <c r="DD151" i="1"/>
  <c r="DC138" i="1"/>
  <c r="DD100" i="1"/>
  <c r="DB143" i="1"/>
  <c r="AT108" i="1"/>
  <c r="DB86" i="1"/>
  <c r="DC141" i="1"/>
  <c r="DE122" i="1"/>
  <c r="DE156" i="1"/>
  <c r="DD140" i="1"/>
  <c r="CD49" i="1"/>
  <c r="DB111" i="1"/>
  <c r="DF106" i="1"/>
  <c r="DC139" i="1"/>
  <c r="DE151" i="1"/>
  <c r="DF114" i="1"/>
  <c r="AS125" i="1"/>
  <c r="DF6" i="1"/>
  <c r="AT114" i="1"/>
  <c r="DE183" i="1"/>
  <c r="DB118" i="1"/>
  <c r="DB184" i="1"/>
  <c r="CD107" i="1"/>
  <c r="DF111" i="1"/>
  <c r="CH102" i="1"/>
  <c r="DE170" i="1"/>
  <c r="CE85" i="1"/>
  <c r="DB98" i="1"/>
  <c r="DB5" i="1"/>
  <c r="DD160" i="1"/>
  <c r="AT110" i="1"/>
  <c r="DB165" i="1"/>
  <c r="DF159" i="1"/>
  <c r="DD182" i="1"/>
  <c r="DA48" i="1"/>
  <c r="CD117" i="1"/>
  <c r="DE145" i="1"/>
  <c r="CE106" i="1"/>
  <c r="DA103" i="1"/>
  <c r="DB121" i="1"/>
  <c r="DE93" i="1"/>
  <c r="AT104" i="1"/>
  <c r="DA98" i="1"/>
  <c r="CD62" i="1"/>
  <c r="DE137" i="1"/>
  <c r="DE102" i="1"/>
  <c r="DE174" i="1"/>
  <c r="CE105" i="1"/>
  <c r="DA148" i="1"/>
  <c r="DB138" i="1"/>
  <c r="DA95" i="1"/>
  <c r="DF145" i="1"/>
  <c r="CD52" i="1"/>
  <c r="DA184" i="1"/>
  <c r="DD152" i="1"/>
  <c r="CD125" i="1"/>
  <c r="DC155" i="1"/>
  <c r="CE115" i="1"/>
  <c r="CE113" i="1"/>
  <c r="DA187" i="1"/>
  <c r="DD89" i="1"/>
  <c r="DB88" i="1"/>
  <c r="DB177" i="1"/>
  <c r="AS101" i="1"/>
  <c r="DC158" i="1"/>
  <c r="CE52" i="1"/>
  <c r="DF122" i="1"/>
  <c r="DE120" i="1"/>
  <c r="DD162" i="1"/>
  <c r="CD121" i="1"/>
  <c r="DB187" i="1"/>
  <c r="CI124" i="1"/>
  <c r="CD71" i="1"/>
  <c r="AT103" i="1"/>
  <c r="DF152" i="1"/>
  <c r="DD98" i="1"/>
  <c r="DF89" i="1"/>
  <c r="CE121" i="1"/>
  <c r="DE189" i="1"/>
  <c r="DB95" i="1"/>
  <c r="CE88" i="1"/>
  <c r="DF104" i="1"/>
  <c r="BA52" i="1"/>
  <c r="BB51" i="1"/>
  <c r="DF113" i="1"/>
  <c r="DD146" i="1"/>
  <c r="BE89" i="1"/>
  <c r="CD129" i="1"/>
  <c r="DD115" i="1"/>
  <c r="DC103" i="1"/>
  <c r="DD143" i="1"/>
  <c r="DB183" i="1"/>
  <c r="DC151" i="1"/>
  <c r="DD105" i="1"/>
  <c r="BB56" i="1"/>
  <c r="AX121" i="1"/>
  <c r="AX103" i="1"/>
  <c r="AW91" i="1"/>
  <c r="DF157" i="1"/>
  <c r="AS113" i="1"/>
  <c r="DD90" i="1"/>
  <c r="DC148" i="1"/>
  <c r="DB126" i="1"/>
  <c r="CD102" i="1"/>
  <c r="AS87" i="1"/>
  <c r="DB175" i="1"/>
  <c r="DE157" i="1"/>
  <c r="DC107" i="1"/>
  <c r="DA115" i="1"/>
  <c r="DF100" i="1"/>
  <c r="DA123" i="1"/>
  <c r="AS119" i="1"/>
  <c r="AS100" i="1"/>
  <c r="AT97" i="1"/>
  <c r="AT126" i="1"/>
  <c r="DE154" i="1"/>
  <c r="AS96" i="1"/>
  <c r="DD185" i="1"/>
  <c r="DD187" i="1"/>
  <c r="DB172" i="1"/>
  <c r="DD125" i="1"/>
  <c r="DF121" i="1"/>
  <c r="DC114" i="1"/>
  <c r="CH97" i="1"/>
  <c r="AW112" i="1"/>
  <c r="DE124" i="1"/>
  <c r="DC153" i="1"/>
  <c r="DD6" i="1"/>
  <c r="DA92" i="1"/>
  <c r="DA168" i="1"/>
  <c r="CI99" i="1"/>
  <c r="DF166" i="1"/>
  <c r="DC108" i="1"/>
  <c r="DF147" i="1"/>
  <c r="DC175" i="1"/>
  <c r="DA118" i="1"/>
  <c r="DF162" i="1"/>
  <c r="DA144" i="1"/>
  <c r="DE150" i="1"/>
  <c r="DD96" i="1"/>
  <c r="DA125" i="1"/>
  <c r="DD171" i="1"/>
  <c r="DE175" i="1"/>
  <c r="DD124" i="1"/>
  <c r="DE119" i="1"/>
  <c r="DA60" i="1"/>
  <c r="DB124" i="1"/>
  <c r="DA71" i="1"/>
  <c r="DC87" i="1"/>
  <c r="DE89" i="1"/>
  <c r="DD184" i="1"/>
  <c r="DD144" i="1"/>
  <c r="DE155" i="1"/>
  <c r="DD93" i="1"/>
  <c r="CE94" i="1"/>
  <c r="DC163" i="1"/>
  <c r="CI122" i="1"/>
  <c r="CE50" i="1"/>
  <c r="DC124" i="1"/>
  <c r="CE100" i="1"/>
  <c r="AT96" i="1"/>
  <c r="AT101" i="1"/>
  <c r="DA104" i="1"/>
  <c r="DD169" i="1"/>
  <c r="DB158" i="1"/>
  <c r="CE51" i="1"/>
  <c r="DA75" i="1"/>
  <c r="DD127" i="1"/>
  <c r="DF185" i="1"/>
  <c r="DF90" i="1"/>
  <c r="DE160" i="1"/>
  <c r="DD112" i="1"/>
  <c r="CE109" i="1"/>
  <c r="DC165" i="1"/>
  <c r="AT87" i="1"/>
  <c r="DE116" i="1"/>
  <c r="CE124" i="1"/>
  <c r="DF85" i="1"/>
  <c r="CD63" i="1"/>
  <c r="DB167" i="1"/>
  <c r="CE114" i="1"/>
  <c r="CD87" i="1"/>
  <c r="DC179" i="1"/>
  <c r="DA94" i="1"/>
  <c r="DA89" i="1"/>
  <c r="DC176" i="1"/>
  <c r="CD108" i="1"/>
  <c r="DB149" i="1"/>
  <c r="DF94" i="1"/>
  <c r="DE130" i="1"/>
  <c r="DD99" i="1"/>
  <c r="CE119" i="1"/>
  <c r="AT125" i="1"/>
  <c r="DE159" i="1"/>
  <c r="AX105" i="1"/>
  <c r="AS129" i="1"/>
  <c r="DB144" i="1"/>
  <c r="DB115" i="1"/>
  <c r="DB155" i="1"/>
  <c r="DD167" i="1"/>
  <c r="DD164" i="1"/>
  <c r="DF97" i="1"/>
  <c r="DC145" i="1"/>
  <c r="AS98" i="1"/>
  <c r="DD128" i="1"/>
  <c r="DB176" i="1"/>
  <c r="DC147" i="1"/>
  <c r="CD113" i="1"/>
  <c r="AT109" i="1"/>
  <c r="DD145" i="1"/>
  <c r="DA50" i="1"/>
  <c r="DD95" i="1"/>
  <c r="AT127" i="1"/>
  <c r="CD86" i="1"/>
  <c r="DE169" i="1"/>
  <c r="DA99" i="1"/>
  <c r="DF96" i="1"/>
  <c r="DA129" i="1"/>
  <c r="DA61" i="1"/>
  <c r="DD110" i="1"/>
  <c r="BA50" i="1"/>
  <c r="CI109" i="1"/>
  <c r="AW103" i="1"/>
  <c r="DA174" i="1"/>
  <c r="DA70" i="1"/>
  <c r="DF170" i="1"/>
  <c r="CE108" i="1"/>
  <c r="DC185" i="1"/>
  <c r="DB168" i="1"/>
  <c r="DF143" i="1"/>
  <c r="DF109" i="1"/>
  <c r="DC174" i="1"/>
  <c r="DA141" i="1"/>
  <c r="DA53" i="1"/>
  <c r="DC117" i="1"/>
  <c r="DE188" i="1"/>
  <c r="AT115" i="1"/>
  <c r="DB93" i="1"/>
  <c r="DA156" i="1"/>
  <c r="DC184" i="1"/>
  <c r="DD86" i="1"/>
  <c r="DE142" i="1"/>
  <c r="DB113" i="1"/>
  <c r="DC160" i="1"/>
  <c r="DD87" i="1"/>
  <c r="DA101" i="1"/>
  <c r="AS86" i="1"/>
  <c r="CE127" i="1"/>
  <c r="DB106" i="1"/>
  <c r="AS107" i="1"/>
  <c r="DD85" i="1"/>
  <c r="DE85" i="1"/>
  <c r="AT100" i="1"/>
  <c r="DD129" i="1"/>
  <c r="DC91" i="1"/>
  <c r="DB157" i="1"/>
  <c r="AT91" i="1"/>
  <c r="DD166" i="1"/>
  <c r="DF158" i="1"/>
  <c r="DA171" i="1"/>
  <c r="BB49" i="1"/>
  <c r="BA51" i="1"/>
  <c r="DA78" i="1"/>
  <c r="DF128" i="1"/>
  <c r="DE140" i="1"/>
  <c r="DE165" i="1"/>
  <c r="DC127" i="1"/>
  <c r="DC142" i="1"/>
  <c r="DF130" i="1"/>
  <c r="DF182" i="1"/>
  <c r="DB159" i="1"/>
  <c r="DA157" i="1"/>
  <c r="DA170" i="1"/>
  <c r="DD5" i="1"/>
  <c r="DB6" i="1"/>
  <c r="BA64" i="1"/>
  <c r="CD115" i="1"/>
  <c r="AS91" i="1"/>
  <c r="DE172" i="1"/>
  <c r="DF95" i="1"/>
  <c r="DC100" i="1"/>
  <c r="CI104" i="1"/>
  <c r="DB125" i="1"/>
  <c r="CE122" i="1"/>
  <c r="DA73" i="1"/>
  <c r="DF102" i="1"/>
  <c r="DE97" i="1"/>
  <c r="CD105" i="1"/>
  <c r="CD70" i="1"/>
  <c r="DE173" i="1"/>
  <c r="DD155" i="1"/>
  <c r="DD178" i="1"/>
  <c r="DC89" i="1"/>
  <c r="DA151" i="1"/>
  <c r="AS126" i="1"/>
  <c r="DB108" i="1"/>
  <c r="DC101" i="1"/>
  <c r="CH111" i="1"/>
  <c r="DD107" i="1"/>
  <c r="DF117" i="1"/>
  <c r="BA53" i="1"/>
  <c r="CG113" i="1"/>
  <c r="AV175" i="1"/>
  <c r="AW162" i="1"/>
  <c r="CF126" i="1"/>
  <c r="EP153" i="1"/>
  <c r="EQ148" i="1"/>
  <c r="EO57" i="1"/>
  <c r="EP171" i="1"/>
  <c r="AX53" i="1"/>
  <c r="EN47" i="1"/>
  <c r="EO58" i="1"/>
  <c r="EP70" i="1"/>
  <c r="AX150" i="1"/>
  <c r="EP184" i="1"/>
  <c r="CG88" i="1"/>
  <c r="EO180" i="1"/>
  <c r="EN45" i="1"/>
  <c r="AV104" i="1"/>
  <c r="AU121" i="1"/>
  <c r="CF112" i="1"/>
  <c r="EO75" i="1"/>
  <c r="EQ143" i="1"/>
  <c r="EO51" i="1"/>
  <c r="CF95" i="1"/>
  <c r="AU107" i="1"/>
  <c r="EO137" i="1"/>
  <c r="CG116" i="1"/>
  <c r="AW50" i="1"/>
  <c r="AU96" i="1"/>
  <c r="AU93" i="1"/>
  <c r="BD93" i="1"/>
  <c r="EO46" i="1"/>
  <c r="EN151" i="1"/>
  <c r="AV51" i="1"/>
  <c r="CG126" i="1"/>
  <c r="EO184" i="1"/>
  <c r="AW167" i="1"/>
  <c r="AX145" i="1"/>
  <c r="EO182" i="1"/>
  <c r="AX144" i="1"/>
  <c r="BD103" i="1"/>
  <c r="EQ153" i="1"/>
  <c r="AV103" i="1"/>
  <c r="AW52" i="1"/>
  <c r="EP72" i="1"/>
  <c r="CF53" i="1"/>
  <c r="EP161" i="1"/>
  <c r="EQ52" i="1"/>
  <c r="CG163" i="1"/>
  <c r="BC49" i="1"/>
  <c r="AV165" i="1"/>
  <c r="AU175" i="1"/>
  <c r="AV98" i="1"/>
  <c r="EN74" i="1"/>
  <c r="AV163" i="1"/>
  <c r="AW142" i="1"/>
  <c r="AX152" i="1"/>
  <c r="AW182" i="1"/>
  <c r="EN49" i="1"/>
  <c r="BD52" i="1"/>
  <c r="AU116" i="1"/>
  <c r="AX189" i="1"/>
  <c r="EO47" i="1"/>
  <c r="AV166" i="1"/>
  <c r="AU91" i="1"/>
  <c r="EN63" i="1"/>
  <c r="AX183" i="1"/>
  <c r="EQ165" i="1"/>
  <c r="CG129" i="1"/>
  <c r="EP175" i="1"/>
  <c r="AU88" i="1"/>
  <c r="AX157" i="1"/>
  <c r="AV177" i="1"/>
  <c r="EN73" i="1"/>
  <c r="AV50" i="1"/>
  <c r="AV183" i="1"/>
  <c r="EP49" i="1"/>
  <c r="EQ75" i="1"/>
  <c r="AU85" i="1"/>
  <c r="EQ72" i="1"/>
  <c r="CI71" i="1"/>
  <c r="CG118" i="1"/>
  <c r="CG123" i="1"/>
  <c r="EO138" i="1"/>
  <c r="AV91" i="1"/>
  <c r="AU161" i="1"/>
  <c r="AX142" i="1"/>
  <c r="AX159" i="1"/>
  <c r="EP182" i="1"/>
  <c r="BD106" i="1"/>
  <c r="AX187" i="1"/>
  <c r="BC86" i="1"/>
  <c r="EP142" i="1"/>
  <c r="CF161" i="1"/>
  <c r="CG103" i="1"/>
  <c r="EP60" i="1"/>
  <c r="AX181" i="1"/>
  <c r="AU110" i="1"/>
  <c r="CF128" i="1"/>
  <c r="AV92" i="1"/>
  <c r="EP145" i="1"/>
  <c r="BC52" i="1"/>
  <c r="AX49" i="1"/>
  <c r="CF103" i="1"/>
  <c r="CG104" i="1"/>
  <c r="AW170" i="1"/>
  <c r="AU128" i="1"/>
  <c r="BD51" i="1"/>
  <c r="EO185" i="1"/>
  <c r="AW179" i="1"/>
  <c r="AX149" i="1"/>
  <c r="BD64" i="1"/>
  <c r="EN143" i="1"/>
  <c r="AU126" i="1"/>
  <c r="AU158" i="1"/>
  <c r="EN50" i="1"/>
  <c r="CF115" i="1"/>
  <c r="AV96" i="1"/>
  <c r="CF109" i="1"/>
  <c r="CG109" i="1"/>
  <c r="AU155" i="1"/>
  <c r="BC90" i="1"/>
  <c r="EQ53" i="1"/>
  <c r="EN59" i="1"/>
  <c r="EP61" i="1"/>
  <c r="AU163" i="1"/>
  <c r="EQ78" i="1"/>
  <c r="CF98" i="1"/>
  <c r="BD111" i="1"/>
  <c r="EP172" i="1"/>
  <c r="CF163" i="1"/>
  <c r="AU150" i="1"/>
  <c r="EP74" i="1"/>
  <c r="AV186" i="1"/>
  <c r="EN77" i="1"/>
  <c r="CF94" i="1"/>
  <c r="BC163" i="1"/>
  <c r="AW178" i="1"/>
  <c r="BD117" i="1"/>
  <c r="AW171" i="1"/>
  <c r="BD100" i="1"/>
  <c r="EN155" i="1"/>
  <c r="EP179" i="1"/>
  <c r="EN147" i="1"/>
  <c r="AU97" i="1"/>
  <c r="BD130" i="1"/>
  <c r="BE52" i="1"/>
  <c r="CF116" i="1"/>
  <c r="AU117" i="1"/>
  <c r="AU172" i="1"/>
  <c r="AX146" i="1"/>
  <c r="CG49" i="1"/>
  <c r="AW64" i="1"/>
  <c r="EQ152" i="1"/>
  <c r="EQ140" i="1"/>
  <c r="AV161" i="1"/>
  <c r="EO177" i="1"/>
  <c r="CF86" i="1"/>
  <c r="AU104" i="1"/>
  <c r="AU111" i="1"/>
  <c r="AV126" i="1"/>
  <c r="CF114" i="1"/>
  <c r="CF119" i="1"/>
  <c r="CF100" i="1"/>
  <c r="BD108" i="1"/>
  <c r="AW173" i="1"/>
  <c r="CF162" i="1"/>
  <c r="BE50" i="1"/>
  <c r="CG96" i="1"/>
  <c r="EO48" i="1"/>
  <c r="EP169" i="1"/>
  <c r="AW155" i="1"/>
  <c r="AX153" i="1"/>
  <c r="EP180" i="1"/>
  <c r="EO56" i="1"/>
  <c r="AW168" i="1"/>
  <c r="CF118" i="1"/>
  <c r="CF51" i="1"/>
  <c r="EQ47" i="1"/>
  <c r="EQ184" i="1"/>
  <c r="EQ164" i="1"/>
  <c r="CH168" i="1"/>
  <c r="BC64" i="1"/>
  <c r="AU52" i="1"/>
  <c r="BD118" i="1"/>
  <c r="BD121" i="1"/>
  <c r="EN79" i="1"/>
  <c r="AU123" i="1"/>
  <c r="AV90" i="1"/>
  <c r="EO62" i="1"/>
  <c r="AX70" i="1"/>
  <c r="AW174" i="1"/>
  <c r="CI70" i="1"/>
  <c r="AX56" i="1"/>
  <c r="CH163" i="1"/>
  <c r="EQ173" i="1"/>
  <c r="BD129" i="1"/>
  <c r="AV95" i="1"/>
  <c r="EN71" i="1"/>
  <c r="BD99" i="1"/>
  <c r="BD113" i="1"/>
  <c r="CG99" i="1"/>
  <c r="AU129" i="1"/>
  <c r="BD116" i="1"/>
  <c r="AU165" i="1"/>
  <c r="EO64" i="1"/>
  <c r="CG115" i="1"/>
  <c r="EP71" i="1"/>
  <c r="EP162" i="1"/>
  <c r="AV124" i="1"/>
  <c r="CF168" i="1"/>
  <c r="EQ178" i="1"/>
  <c r="EQ188" i="1"/>
  <c r="AU141" i="1"/>
  <c r="AW172" i="1"/>
  <c r="AX156" i="1"/>
  <c r="AW180" i="1"/>
  <c r="CF122" i="1"/>
  <c r="CH64" i="1"/>
  <c r="AU146" i="1"/>
  <c r="EN154" i="1"/>
  <c r="AW187" i="1"/>
  <c r="AU174" i="1"/>
  <c r="AU99" i="1"/>
  <c r="AV170" i="1"/>
  <c r="CF120" i="1"/>
  <c r="AU147" i="1"/>
  <c r="AV118" i="1"/>
  <c r="EQ60" i="1"/>
  <c r="AW144" i="1"/>
  <c r="AU50" i="1"/>
  <c r="EQ158" i="1"/>
  <c r="AW163" i="1"/>
  <c r="AV110" i="1"/>
  <c r="BE56" i="1"/>
  <c r="AX141" i="1"/>
  <c r="CG95" i="1"/>
  <c r="EP152" i="1"/>
  <c r="AV122" i="1"/>
  <c r="AV114" i="1"/>
  <c r="EP141" i="1"/>
  <c r="AV171" i="1"/>
  <c r="AX166" i="1"/>
  <c r="EP73" i="1"/>
  <c r="BD127" i="1"/>
  <c r="AX160" i="1"/>
  <c r="EN58" i="1"/>
  <c r="AW147" i="1"/>
  <c r="EP64" i="1"/>
  <c r="AU115" i="1"/>
  <c r="EQ138" i="1"/>
  <c r="EO78" i="1"/>
  <c r="AV63" i="1"/>
  <c r="EO178" i="1"/>
  <c r="EN144" i="1"/>
  <c r="AX184" i="1"/>
  <c r="AU106" i="1"/>
  <c r="EQ181" i="1"/>
  <c r="AV140" i="1"/>
  <c r="EQ51" i="1"/>
  <c r="CG165" i="1"/>
  <c r="EO76" i="1"/>
  <c r="CI162" i="1"/>
  <c r="BC85" i="1"/>
  <c r="AU157" i="1"/>
  <c r="AV115" i="1"/>
  <c r="EP164" i="1"/>
  <c r="EO179" i="1"/>
  <c r="EQ161" i="1"/>
  <c r="AU51" i="1"/>
  <c r="EQ185" i="1"/>
  <c r="AU86" i="1"/>
  <c r="CG168" i="1"/>
  <c r="AV164" i="1"/>
  <c r="BF52" i="1"/>
  <c r="AW177" i="1"/>
  <c r="EO63" i="1"/>
  <c r="CF107" i="1"/>
  <c r="EP173" i="1"/>
  <c r="CG164" i="1"/>
  <c r="BD109" i="1"/>
  <c r="EQ157" i="1"/>
  <c r="EP144" i="1"/>
  <c r="CH161" i="1"/>
  <c r="CG105" i="1"/>
  <c r="BD102" i="1"/>
  <c r="EO74" i="1"/>
  <c r="AX154" i="1"/>
  <c r="EP62" i="1"/>
  <c r="CF62" i="1"/>
  <c r="AX188" i="1"/>
  <c r="BD112" i="1"/>
  <c r="AV87" i="1"/>
  <c r="EQ155" i="1"/>
  <c r="CF110" i="1"/>
  <c r="EQ187" i="1"/>
  <c r="CG111" i="1"/>
  <c r="EO139" i="1"/>
  <c r="EQ59" i="1"/>
  <c r="CI62" i="1"/>
  <c r="CF125" i="1"/>
  <c r="BC53" i="1"/>
  <c r="EN149" i="1"/>
  <c r="AV109" i="1"/>
  <c r="EQ48" i="1"/>
  <c r="AW152" i="1"/>
  <c r="CH165" i="1"/>
  <c r="CH63" i="1"/>
  <c r="EN156" i="1"/>
  <c r="AU92" i="1"/>
  <c r="CF105" i="1"/>
  <c r="BD98" i="1"/>
  <c r="BD95" i="1"/>
  <c r="AW156" i="1"/>
  <c r="BD163" i="1"/>
  <c r="CH164" i="1"/>
  <c r="AV158" i="1"/>
  <c r="CG97" i="1"/>
  <c r="AX64" i="1"/>
  <c r="AV64" i="1"/>
  <c r="AW160" i="1"/>
  <c r="EO70" i="1"/>
  <c r="BD50" i="1"/>
  <c r="AV185" i="1"/>
  <c r="AW53" i="1"/>
  <c r="AU112" i="1"/>
  <c r="AU160" i="1"/>
  <c r="AU148" i="1"/>
  <c r="AV93" i="1"/>
  <c r="BC56" i="1"/>
  <c r="EN75" i="1"/>
  <c r="AV184" i="1"/>
  <c r="AU87" i="1"/>
  <c r="AW146" i="1"/>
  <c r="BC87" i="1"/>
  <c r="CG62" i="1"/>
  <c r="EQ167" i="1"/>
  <c r="CF97" i="1"/>
  <c r="EO73" i="1"/>
  <c r="AU171" i="1"/>
  <c r="BF53" i="1"/>
  <c r="EP168" i="1"/>
  <c r="EP165" i="1"/>
  <c r="EQ166" i="1"/>
  <c r="AU162" i="1"/>
  <c r="CG161" i="1"/>
  <c r="AU176" i="1"/>
  <c r="CG128" i="1"/>
  <c r="EO189" i="1"/>
  <c r="EN61" i="1"/>
  <c r="EQ49" i="1"/>
  <c r="CF89" i="1"/>
  <c r="BD110" i="1"/>
  <c r="EP58" i="1"/>
  <c r="CG64" i="1"/>
  <c r="AV85" i="1"/>
  <c r="AU173" i="1"/>
  <c r="EP166" i="1"/>
  <c r="AX179" i="1"/>
  <c r="AW181" i="1"/>
  <c r="EQ174" i="1"/>
  <c r="BD128" i="1"/>
  <c r="AV176" i="1"/>
  <c r="CG85" i="1"/>
  <c r="AX139" i="1"/>
  <c r="CH62" i="1"/>
  <c r="AV180" i="1"/>
  <c r="EN57" i="1"/>
  <c r="AV179" i="1"/>
  <c r="EP157" i="1"/>
  <c r="BF50" i="1"/>
  <c r="EN152" i="1"/>
  <c r="EO140" i="1"/>
  <c r="CF88" i="1"/>
  <c r="AW175" i="1"/>
  <c r="AV89" i="1"/>
  <c r="EP151" i="1"/>
  <c r="AV117" i="1"/>
  <c r="AX140" i="1"/>
  <c r="AU113" i="1"/>
  <c r="CG91" i="1"/>
  <c r="AV162" i="1"/>
  <c r="AW153" i="1"/>
  <c r="EO60" i="1"/>
  <c r="EN146" i="1"/>
  <c r="AV52" i="1"/>
  <c r="EQ160" i="1"/>
  <c r="AX163" i="1"/>
  <c r="AV102" i="1"/>
  <c r="BD115" i="1"/>
  <c r="EQ74" i="1"/>
  <c r="EN78" i="1"/>
  <c r="AU100" i="1"/>
  <c r="AX151" i="1"/>
  <c r="CF124" i="1"/>
  <c r="CH53" i="1"/>
  <c r="EQ177" i="1"/>
  <c r="AW140" i="1"/>
  <c r="CF130" i="1"/>
  <c r="BD122" i="1"/>
  <c r="AV159" i="1"/>
  <c r="CG108" i="1"/>
  <c r="CF99" i="1"/>
  <c r="EO59" i="1"/>
  <c r="EN51" i="1"/>
  <c r="AU101" i="1"/>
  <c r="BD120" i="1"/>
  <c r="CF71" i="1"/>
  <c r="EP52" i="1"/>
  <c r="AW150" i="1"/>
  <c r="EN150" i="1"/>
  <c r="EP178" i="1"/>
  <c r="CF121" i="1"/>
  <c r="EP185" i="1"/>
  <c r="BE53" i="1"/>
  <c r="CF106" i="1"/>
  <c r="EN62" i="1"/>
  <c r="AW138" i="1"/>
  <c r="AW51" i="1"/>
  <c r="AU156" i="1"/>
  <c r="CI165" i="1"/>
  <c r="CF164" i="1"/>
  <c r="CG93" i="1"/>
  <c r="AX185" i="1"/>
  <c r="EO71" i="1"/>
  <c r="AW139" i="1"/>
  <c r="AX162" i="1"/>
  <c r="CF92" i="1"/>
  <c r="EP146" i="1"/>
  <c r="CG86" i="1"/>
  <c r="EN56" i="1"/>
  <c r="CI53" i="1"/>
  <c r="CF70" i="1"/>
  <c r="CG112" i="1"/>
  <c r="CG107" i="1"/>
  <c r="EQ76" i="1"/>
  <c r="CH56" i="1"/>
  <c r="AU166" i="1"/>
  <c r="CG100" i="1"/>
  <c r="CG106" i="1"/>
  <c r="CG120" i="1"/>
  <c r="EQ170" i="1"/>
  <c r="EQ61" i="1"/>
  <c r="CG122" i="1"/>
  <c r="EP75" i="1"/>
  <c r="AU102" i="1"/>
  <c r="EP163" i="1"/>
  <c r="BD49" i="1"/>
  <c r="CF49" i="1"/>
  <c r="AV70" i="1"/>
  <c r="CF111" i="1"/>
  <c r="AX51" i="1"/>
  <c r="EQ139" i="1"/>
  <c r="AV128" i="1"/>
  <c r="CH71" i="1"/>
  <c r="AU109" i="1"/>
  <c r="AX63" i="1"/>
  <c r="AU56" i="1"/>
  <c r="AU118" i="1"/>
  <c r="EP167" i="1"/>
  <c r="BE64" i="1"/>
  <c r="EP45" i="1"/>
  <c r="CG101" i="1"/>
  <c r="AX50" i="1"/>
  <c r="AU144" i="1"/>
  <c r="EN64" i="1"/>
  <c r="EP138" i="1"/>
  <c r="CI52" i="1"/>
  <c r="CG124" i="1"/>
  <c r="EQ71" i="1"/>
  <c r="CG119" i="1"/>
  <c r="AW141" i="1"/>
  <c r="AW165" i="1"/>
  <c r="EN141" i="1"/>
  <c r="AV111" i="1"/>
  <c r="AV53" i="1"/>
  <c r="AX182" i="1"/>
  <c r="AW159" i="1"/>
  <c r="CG162" i="1"/>
  <c r="EQ156" i="1"/>
  <c r="AW169" i="1"/>
  <c r="BC168" i="1"/>
  <c r="EN46" i="1"/>
  <c r="AW158" i="1"/>
  <c r="EQ58" i="1"/>
  <c r="CF50" i="1"/>
  <c r="EQ179" i="1"/>
  <c r="AX165" i="1"/>
  <c r="EO79" i="1"/>
  <c r="AV121" i="1"/>
  <c r="AU64" i="1"/>
  <c r="EQ186" i="1"/>
  <c r="EP154" i="1"/>
  <c r="EP186" i="1"/>
  <c r="EQ175" i="1"/>
  <c r="AW49" i="1"/>
  <c r="EN142" i="1"/>
  <c r="EQ149" i="1"/>
  <c r="AU145" i="1"/>
  <c r="BD56" i="1"/>
  <c r="EQ144" i="1"/>
  <c r="EQ79" i="1"/>
  <c r="EQ189" i="1"/>
  <c r="CG50" i="1"/>
  <c r="EP189" i="1"/>
  <c r="BC51" i="1"/>
  <c r="CG87" i="1"/>
  <c r="EO77" i="1"/>
  <c r="EP150" i="1"/>
  <c r="AU94" i="1"/>
  <c r="AW149" i="1"/>
  <c r="CH49" i="1"/>
  <c r="AU159" i="1"/>
  <c r="CF93" i="1"/>
  <c r="EN72" i="1"/>
  <c r="AV88" i="1"/>
  <c r="AU108" i="1"/>
  <c r="AV178" i="1"/>
  <c r="AW164" i="1"/>
  <c r="EQ141" i="1"/>
  <c r="AV182" i="1"/>
  <c r="AU114" i="1"/>
  <c r="AU167" i="1"/>
  <c r="EP170" i="1"/>
  <c r="EQ154" i="1"/>
  <c r="CG90" i="1"/>
  <c r="AX155" i="1"/>
  <c r="CI64" i="1"/>
  <c r="EO188" i="1"/>
  <c r="BD107" i="1"/>
  <c r="EQ171" i="1"/>
  <c r="AU125" i="1"/>
  <c r="BF51" i="1"/>
  <c r="CF104" i="1"/>
  <c r="AV125" i="1"/>
  <c r="AU98" i="1"/>
  <c r="AX147" i="1"/>
  <c r="CF108" i="1"/>
  <c r="AU154" i="1"/>
  <c r="EQ150" i="1"/>
  <c r="AV94" i="1"/>
  <c r="AV106" i="1"/>
  <c r="AV116" i="1"/>
  <c r="CH51" i="1"/>
  <c r="EP143" i="1"/>
  <c r="AW188" i="1"/>
  <c r="CI63" i="1"/>
  <c r="BD97" i="1"/>
  <c r="CG92" i="1"/>
  <c r="BE49" i="1"/>
  <c r="BC88" i="1"/>
  <c r="CG53" i="1"/>
  <c r="AV107" i="1"/>
  <c r="EO61" i="1"/>
  <c r="AV169" i="1"/>
  <c r="EO52" i="1"/>
  <c r="CG94" i="1"/>
  <c r="EN52" i="1"/>
  <c r="EQ73" i="1"/>
  <c r="AU89" i="1"/>
  <c r="AV174" i="1"/>
  <c r="AV127" i="1"/>
  <c r="CG98" i="1"/>
  <c r="EP63" i="1"/>
  <c r="AW184" i="1"/>
  <c r="EQ172" i="1"/>
  <c r="CH52" i="1"/>
  <c r="CI163" i="1"/>
  <c r="AX186" i="1"/>
  <c r="AV86" i="1"/>
  <c r="EP76" i="1"/>
  <c r="CG71" i="1"/>
  <c r="CG51" i="1"/>
  <c r="AV101" i="1"/>
  <c r="EP176" i="1"/>
  <c r="EP160" i="1"/>
  <c r="AX177" i="1"/>
  <c r="EP59" i="1"/>
  <c r="EQ183" i="1"/>
  <c r="AW189" i="1"/>
  <c r="EP50" i="1"/>
  <c r="BD53" i="1"/>
  <c r="BF56" i="1"/>
  <c r="AU119" i="1"/>
  <c r="AU130" i="1"/>
  <c r="AV112" i="1"/>
  <c r="EQ45" i="1"/>
  <c r="EQ62" i="1"/>
  <c r="EP53" i="1"/>
  <c r="EO50" i="1"/>
  <c r="EP46" i="1"/>
  <c r="CG102" i="1"/>
  <c r="CF96" i="1"/>
  <c r="EQ159" i="1"/>
  <c r="CF129" i="1"/>
  <c r="AX178" i="1"/>
  <c r="EQ176" i="1"/>
  <c r="AW154" i="1"/>
  <c r="EP78" i="1"/>
  <c r="EQ169" i="1"/>
  <c r="CG63" i="1"/>
  <c r="CG89" i="1"/>
  <c r="AX161" i="1"/>
  <c r="EQ151" i="1"/>
  <c r="AV56" i="1"/>
  <c r="CF101" i="1"/>
  <c r="CF117" i="1"/>
  <c r="EQ77" i="1"/>
  <c r="CF52" i="1"/>
  <c r="EQ147" i="1"/>
  <c r="AV123" i="1"/>
  <c r="AU95" i="1"/>
  <c r="BD168" i="1"/>
  <c r="CF127" i="1"/>
  <c r="EN48" i="1"/>
  <c r="AX180" i="1"/>
  <c r="AV49" i="1"/>
  <c r="AU120" i="1"/>
  <c r="EO186" i="1"/>
  <c r="BD123" i="1"/>
  <c r="BD104" i="1"/>
  <c r="BE51" i="1"/>
  <c r="AV130" i="1"/>
  <c r="CF102" i="1"/>
  <c r="EO45" i="1"/>
  <c r="EP177" i="1"/>
  <c r="AV187" i="1"/>
  <c r="EP77" i="1"/>
  <c r="AV113" i="1"/>
  <c r="AU152" i="1"/>
  <c r="CG52" i="1"/>
  <c r="AW56" i="1"/>
  <c r="AW143" i="1"/>
  <c r="CH50" i="1"/>
  <c r="EN53" i="1"/>
  <c r="AX167" i="1"/>
  <c r="CF113" i="1"/>
  <c r="EO53" i="1"/>
  <c r="EQ56" i="1"/>
  <c r="AU127" i="1"/>
  <c r="AU164" i="1"/>
  <c r="AW145" i="1"/>
  <c r="EQ46" i="1"/>
  <c r="EP56" i="1"/>
  <c r="CG70" i="1"/>
  <c r="EN145" i="1"/>
  <c r="EP181" i="1"/>
  <c r="BC89" i="1"/>
  <c r="AW185" i="1"/>
  <c r="AU53" i="1"/>
  <c r="AV120" i="1"/>
  <c r="EO187" i="1"/>
  <c r="EN76" i="1"/>
  <c r="EP158" i="1"/>
  <c r="CF165" i="1"/>
  <c r="AV168" i="1"/>
  <c r="BD101" i="1"/>
  <c r="AX164" i="1"/>
  <c r="CH162" i="1"/>
  <c r="EQ137" i="1"/>
  <c r="J32" i="2"/>
  <c r="U31" i="2"/>
  <c r="P31" i="2"/>
  <c r="N32" i="2"/>
  <c r="L31" i="2"/>
  <c r="P30" i="2"/>
  <c r="E29" i="2"/>
  <c r="G31" i="2"/>
  <c r="M30" i="2"/>
  <c r="X29" i="2"/>
  <c r="W31" i="2"/>
  <c r="Q29" i="2"/>
  <c r="R29" i="2"/>
  <c r="T30" i="2"/>
  <c r="B32" i="2"/>
  <c r="N31" i="2"/>
  <c r="K30" i="2"/>
  <c r="L30" i="2"/>
  <c r="P29" i="2"/>
  <c r="N29" i="2"/>
  <c r="V29" i="2"/>
  <c r="Q30" i="2"/>
  <c r="O29" i="2"/>
  <c r="H32" i="2"/>
  <c r="EP156" i="1"/>
  <c r="EQ182" i="1"/>
  <c r="AV160" i="1"/>
  <c r="EP47" i="1"/>
  <c r="AX148" i="1"/>
  <c r="EN148" i="1"/>
  <c r="CF63" i="1"/>
  <c r="BC50" i="1"/>
  <c r="AW183" i="1"/>
  <c r="EQ145" i="1"/>
  <c r="AU90" i="1"/>
  <c r="AU170" i="1"/>
  <c r="EN60" i="1"/>
  <c r="AW166" i="1"/>
  <c r="CI50" i="1"/>
  <c r="BF49" i="1"/>
  <c r="V32" i="2"/>
  <c r="J31" i="2"/>
  <c r="G29" i="2"/>
  <c r="I30" i="2"/>
  <c r="C31" i="2"/>
  <c r="S32" i="2"/>
  <c r="F29" i="2"/>
  <c r="X32" i="2"/>
  <c r="EP174" i="1"/>
  <c r="AX143" i="1"/>
  <c r="AV181" i="1"/>
  <c r="AV105" i="1"/>
  <c r="AV129" i="1"/>
  <c r="AU49" i="1"/>
  <c r="EP139" i="1"/>
  <c r="BD114" i="1"/>
  <c r="CI164" i="1"/>
  <c r="CF90" i="1"/>
  <c r="AX168" i="1"/>
  <c r="EP183" i="1"/>
  <c r="AU151" i="1"/>
  <c r="EP147" i="1"/>
  <c r="EP140" i="1"/>
  <c r="EQ162" i="1"/>
  <c r="CI49" i="1"/>
  <c r="CF123" i="1"/>
  <c r="BF64" i="1"/>
  <c r="AU124" i="1"/>
  <c r="AU168" i="1"/>
  <c r="AX158" i="1"/>
  <c r="EQ64" i="1"/>
  <c r="BD119" i="1"/>
  <c r="CF64" i="1"/>
  <c r="AX52" i="1"/>
  <c r="EQ70" i="1"/>
  <c r="CF91" i="1"/>
  <c r="EP188" i="1"/>
  <c r="CI161" i="1"/>
  <c r="CG127" i="1"/>
  <c r="EQ168" i="1"/>
  <c r="CH70" i="1"/>
  <c r="CG117" i="1"/>
  <c r="CG114" i="1"/>
  <c r="W29" i="2"/>
  <c r="G30" i="2"/>
  <c r="S30" i="2"/>
  <c r="I29" i="2"/>
  <c r="Q31" i="2"/>
  <c r="O30" i="2"/>
  <c r="O31" i="2"/>
  <c r="U30" i="2"/>
  <c r="R32" i="2"/>
  <c r="J29" i="2"/>
  <c r="N30" i="2"/>
  <c r="L32" i="2"/>
  <c r="S31" i="2"/>
  <c r="Q32" i="2"/>
  <c r="F30" i="2"/>
  <c r="H31" i="2"/>
  <c r="F32" i="2"/>
  <c r="O32" i="2"/>
  <c r="X31" i="2"/>
  <c r="S29" i="2"/>
  <c r="C29" i="2"/>
  <c r="D31" i="2"/>
  <c r="H30" i="2"/>
  <c r="M32" i="2"/>
  <c r="AU105" i="1"/>
  <c r="EQ57" i="1"/>
  <c r="EO181" i="1"/>
  <c r="AW186" i="1"/>
  <c r="CI56" i="1"/>
  <c r="AU142" i="1"/>
  <c r="EQ146" i="1"/>
  <c r="BD126" i="1"/>
  <c r="AX138" i="1"/>
  <c r="AU169" i="1"/>
  <c r="BD125" i="1"/>
  <c r="EP155" i="1"/>
  <c r="EP148" i="1"/>
  <c r="EQ180" i="1"/>
  <c r="EP57" i="1"/>
  <c r="H29" i="2"/>
  <c r="E32" i="2"/>
  <c r="T29" i="2"/>
  <c r="F31" i="2"/>
  <c r="D29" i="2"/>
  <c r="I31" i="2"/>
  <c r="L29" i="2"/>
  <c r="M29" i="2"/>
  <c r="AV100" i="1"/>
  <c r="AU70" i="1"/>
  <c r="AU149" i="1"/>
  <c r="AU103" i="1"/>
  <c r="AU122" i="1"/>
  <c r="CG56" i="1"/>
  <c r="AV119" i="1"/>
  <c r="BD96" i="1"/>
  <c r="AV108" i="1"/>
  <c r="AV97" i="1"/>
  <c r="EP137" i="1"/>
  <c r="EO49" i="1"/>
  <c r="EP187" i="1"/>
  <c r="EP48" i="1"/>
  <c r="EN157" i="1"/>
  <c r="EN70" i="1"/>
  <c r="AV99" i="1"/>
  <c r="EQ63" i="1"/>
  <c r="CI51" i="1"/>
  <c r="EP149" i="1"/>
  <c r="CG121" i="1"/>
  <c r="AV167" i="1"/>
  <c r="EP79" i="1"/>
  <c r="EN153" i="1"/>
  <c r="AW176" i="1"/>
  <c r="EQ50" i="1"/>
  <c r="AW157" i="1"/>
  <c r="CG130" i="1"/>
  <c r="EP51" i="1"/>
  <c r="EQ142" i="1"/>
  <c r="EO72" i="1"/>
  <c r="BD124" i="1"/>
  <c r="AW151" i="1"/>
  <c r="CF56" i="1"/>
  <c r="CG125" i="1"/>
  <c r="CG110" i="1"/>
  <c r="CF85" i="1"/>
  <c r="W32" i="2"/>
  <c r="B29" i="2"/>
  <c r="B31" i="2"/>
  <c r="U29" i="2"/>
  <c r="I32" i="2"/>
  <c r="U32" i="2"/>
  <c r="R30" i="2"/>
  <c r="W30" i="2"/>
  <c r="K29" i="2"/>
  <c r="B30" i="2"/>
  <c r="E30" i="2"/>
  <c r="R31" i="2"/>
  <c r="M31" i="2"/>
  <c r="D30" i="2"/>
  <c r="V31" i="2"/>
  <c r="J30" i="2"/>
  <c r="C32" i="2"/>
  <c r="V30" i="2"/>
  <c r="G32" i="2"/>
  <c r="X30" i="2"/>
  <c r="C30" i="2"/>
  <c r="K32" i="2"/>
  <c r="BD94" i="1"/>
  <c r="AW161" i="1"/>
  <c r="AU153" i="1"/>
  <c r="AU63" i="1"/>
  <c r="CF87" i="1"/>
  <c r="BD105" i="1"/>
  <c r="CI168" i="1"/>
  <c r="AW148" i="1"/>
  <c r="AU143" i="1"/>
  <c r="EO183" i="1"/>
  <c r="EP159" i="1"/>
  <c r="T32" i="2"/>
  <c r="K31" i="2"/>
  <c r="T31" i="2"/>
  <c r="P32" i="2"/>
  <c r="E31" i="2"/>
  <c r="D32" i="2"/>
  <c r="DI120" i="1" l="1"/>
  <c r="DK120" i="1"/>
  <c r="DO120" i="1"/>
  <c r="DW120" i="1" s="1"/>
  <c r="EI78" i="1"/>
  <c r="EB78" i="1" s="1"/>
  <c r="BN78" i="1" s="1"/>
  <c r="DO110" i="1"/>
  <c r="DW110" i="1" s="1"/>
  <c r="DK110" i="1"/>
  <c r="DI110" i="1"/>
  <c r="EI170" i="1"/>
  <c r="EB170" i="1" s="1"/>
  <c r="BN170" i="1" s="1"/>
  <c r="EJ79" i="1"/>
  <c r="EC79" i="1" s="1"/>
  <c r="BO79" i="1" s="1"/>
  <c r="DJ90" i="1"/>
  <c r="DH90" i="1"/>
  <c r="DN90" i="1"/>
  <c r="C155" i="1"/>
  <c r="DO104" i="1"/>
  <c r="DW104" i="1" s="1"/>
  <c r="DK104" i="1"/>
  <c r="DI104" i="1"/>
  <c r="B130" i="1"/>
  <c r="AY130" i="1"/>
  <c r="CK130" i="1"/>
  <c r="EG58" i="1"/>
  <c r="DZ58" i="1" s="1"/>
  <c r="BL58" i="1" s="1"/>
  <c r="CH84" i="1"/>
  <c r="BH52" i="1"/>
  <c r="DT52" i="1"/>
  <c r="CQ52" i="1"/>
  <c r="EH177" i="1"/>
  <c r="EA177" i="1" s="1"/>
  <c r="BM177" i="1" s="1"/>
  <c r="BS177" i="1" s="1"/>
  <c r="CK112" i="1"/>
  <c r="B112" i="1"/>
  <c r="AY112" i="1"/>
  <c r="EJ156" i="1"/>
  <c r="EC156" i="1" s="1"/>
  <c r="BO156" i="1" s="1"/>
  <c r="C153" i="1"/>
  <c r="C125" i="1"/>
  <c r="CM125" i="1"/>
  <c r="CU89" i="1"/>
  <c r="EF53" i="1"/>
  <c r="DY53" i="1" s="1"/>
  <c r="BK53" i="1" s="1"/>
  <c r="BH118" i="1"/>
  <c r="CS118" i="1"/>
  <c r="CO112" i="1"/>
  <c r="D112" i="1"/>
  <c r="EI148" i="1"/>
  <c r="EB148" i="1" s="1"/>
  <c r="BN148" i="1" s="1"/>
  <c r="EJ184" i="1"/>
  <c r="EC184" i="1" s="1"/>
  <c r="BO184" i="1" s="1"/>
  <c r="CD84" i="1"/>
  <c r="DO102" i="1"/>
  <c r="DW102" i="1" s="1"/>
  <c r="DK102" i="1"/>
  <c r="DI102" i="1"/>
  <c r="CM112" i="1"/>
  <c r="C112" i="1"/>
  <c r="D147" i="1"/>
  <c r="D153" i="1"/>
  <c r="Y30" i="2"/>
  <c r="BG29" i="1" s="1"/>
  <c r="CS127" i="1"/>
  <c r="BH127" i="1"/>
  <c r="CU120" i="1"/>
  <c r="D176" i="1"/>
  <c r="CM91" i="1"/>
  <c r="C91" i="1"/>
  <c r="D143" i="1"/>
  <c r="EI158" i="1"/>
  <c r="EB158" i="1" s="1"/>
  <c r="BN158" i="1" s="1"/>
  <c r="DC136" i="1"/>
  <c r="DI88" i="1"/>
  <c r="DK88" i="1"/>
  <c r="DO88" i="1"/>
  <c r="DW88" i="1" s="1"/>
  <c r="EH75" i="1"/>
  <c r="EA75" i="1" s="1"/>
  <c r="BM75" i="1" s="1"/>
  <c r="BH64" i="1"/>
  <c r="BI65" i="1" s="1"/>
  <c r="CQ64" i="1"/>
  <c r="DT64" i="1"/>
  <c r="CO49" i="1"/>
  <c r="D49" i="1"/>
  <c r="C187" i="1"/>
  <c r="CK113" i="1"/>
  <c r="B113" i="1"/>
  <c r="AY113" i="1"/>
  <c r="EI57" i="1"/>
  <c r="EB57" i="1" s="1"/>
  <c r="BN57" i="1" s="1"/>
  <c r="B51" i="1"/>
  <c r="CK51" i="1"/>
  <c r="AY51" i="1"/>
  <c r="D169" i="1"/>
  <c r="CO89" i="1"/>
  <c r="D89" i="1"/>
  <c r="DJ120" i="1"/>
  <c r="DH120" i="1"/>
  <c r="DN120" i="1"/>
  <c r="DV120" i="1" s="1"/>
  <c r="CU96" i="1"/>
  <c r="CM102" i="1"/>
  <c r="C102" i="1"/>
  <c r="D155" i="1"/>
  <c r="CM114" i="1"/>
  <c r="C114" i="1"/>
  <c r="EI159" i="1"/>
  <c r="EB159" i="1" s="1"/>
  <c r="BN159" i="1" s="1"/>
  <c r="EI52" i="1"/>
  <c r="EB52" i="1" s="1"/>
  <c r="BN52" i="1" s="1"/>
  <c r="DK108" i="1"/>
  <c r="DO108" i="1"/>
  <c r="DW108" i="1" s="1"/>
  <c r="DI108" i="1"/>
  <c r="EJ145" i="1"/>
  <c r="EC145" i="1" s="1"/>
  <c r="BO145" i="1" s="1"/>
  <c r="CK107" i="1"/>
  <c r="B107" i="1"/>
  <c r="AY107" i="1"/>
  <c r="DJ56" i="1"/>
  <c r="DN56" i="1"/>
  <c r="DH56" i="1"/>
  <c r="EG52" i="1"/>
  <c r="DZ52" i="1" s="1"/>
  <c r="BL52" i="1" s="1"/>
  <c r="C183" i="1"/>
  <c r="EI59" i="1"/>
  <c r="EB59" i="1" s="1"/>
  <c r="BN59" i="1" s="1"/>
  <c r="CU117" i="1"/>
  <c r="C147" i="1"/>
  <c r="CK109" i="1"/>
  <c r="B109" i="1"/>
  <c r="AY109" i="1"/>
  <c r="DK124" i="1"/>
  <c r="DI124" i="1"/>
  <c r="DO124" i="1"/>
  <c r="DW124" i="1" s="1"/>
  <c r="DN168" i="1"/>
  <c r="DV168" i="1" s="1"/>
  <c r="DJ168" i="1"/>
  <c r="DH168" i="1"/>
  <c r="DH122" i="1"/>
  <c r="DJ122" i="1"/>
  <c r="DN122" i="1"/>
  <c r="DV122" i="1" s="1"/>
  <c r="DO89" i="1"/>
  <c r="DW89" i="1" s="1"/>
  <c r="DI89" i="1"/>
  <c r="DK89" i="1"/>
  <c r="D90" i="1"/>
  <c r="CO90" i="1"/>
  <c r="D150" i="1"/>
  <c r="B64" i="1"/>
  <c r="CK64" i="1"/>
  <c r="AY64" i="1"/>
  <c r="EI46" i="1"/>
  <c r="EB46" i="1" s="1"/>
  <c r="BN46" i="1" s="1"/>
  <c r="D151" i="1"/>
  <c r="C130" i="1"/>
  <c r="CM130" i="1"/>
  <c r="CO122" i="1"/>
  <c r="D122" i="1"/>
  <c r="EJ171" i="1"/>
  <c r="EC171" i="1" s="1"/>
  <c r="BO171" i="1" s="1"/>
  <c r="EH188" i="1"/>
  <c r="EA188" i="1" s="1"/>
  <c r="BM188" i="1" s="1"/>
  <c r="CM86" i="1"/>
  <c r="C86" i="1"/>
  <c r="CS121" i="1"/>
  <c r="BH121" i="1"/>
  <c r="DI49" i="1"/>
  <c r="DO49" i="1"/>
  <c r="DU49" i="1"/>
  <c r="DK49" i="1"/>
  <c r="DJ53" i="1"/>
  <c r="DH53" i="1"/>
  <c r="DN53" i="1"/>
  <c r="C110" i="1"/>
  <c r="CM110" i="1"/>
  <c r="CU111" i="1"/>
  <c r="AY119" i="1"/>
  <c r="B119" i="1"/>
  <c r="CK119" i="1"/>
  <c r="EG150" i="1"/>
  <c r="DZ150" i="1" s="1"/>
  <c r="BL150" i="1" s="1"/>
  <c r="BS150" i="1" s="1"/>
  <c r="DN115" i="1"/>
  <c r="DV115" i="1" s="1"/>
  <c r="DH115" i="1"/>
  <c r="DJ115" i="1"/>
  <c r="EI63" i="1"/>
  <c r="EB63" i="1" s="1"/>
  <c r="BN63" i="1" s="1"/>
  <c r="DI87" i="1"/>
  <c r="DO87" i="1"/>
  <c r="DW87" i="1" s="1"/>
  <c r="DK87" i="1"/>
  <c r="CK89" i="1"/>
  <c r="AY89" i="1"/>
  <c r="B89" i="1"/>
  <c r="D159" i="1"/>
  <c r="EJ77" i="1"/>
  <c r="EC77" i="1" s="1"/>
  <c r="BO77" i="1" s="1"/>
  <c r="DO52" i="1"/>
  <c r="DK52" i="1"/>
  <c r="DU52" i="1"/>
  <c r="DI52" i="1"/>
  <c r="CU64" i="1"/>
  <c r="EI167" i="1"/>
  <c r="EB167" i="1" s="1"/>
  <c r="BN167" i="1" s="1"/>
  <c r="C159" i="1"/>
  <c r="BS159" i="1"/>
  <c r="EJ155" i="1"/>
  <c r="EC155" i="1" s="1"/>
  <c r="BO155" i="1" s="1"/>
  <c r="DA136" i="1"/>
  <c r="DH108" i="1"/>
  <c r="DJ108" i="1"/>
  <c r="DN108" i="1"/>
  <c r="DV108" i="1" s="1"/>
  <c r="EI152" i="1"/>
  <c r="EB152" i="1" s="1"/>
  <c r="BN152" i="1" s="1"/>
  <c r="EH140" i="1"/>
  <c r="EA140" i="1" s="1"/>
  <c r="BM140" i="1" s="1"/>
  <c r="BS140" i="1" s="1"/>
  <c r="CM126" i="1"/>
  <c r="C126" i="1"/>
  <c r="EJ162" i="1"/>
  <c r="EC162" i="1" s="1"/>
  <c r="BO162" i="1" s="1"/>
  <c r="DK90" i="1"/>
  <c r="DI90" i="1"/>
  <c r="DO90" i="1"/>
  <c r="DW90" i="1" s="1"/>
  <c r="EJ47" i="1"/>
  <c r="EC47" i="1" s="1"/>
  <c r="BO47" i="1" s="1"/>
  <c r="DN99" i="1"/>
  <c r="DV99" i="1" s="1"/>
  <c r="DJ99" i="1"/>
  <c r="DH99" i="1"/>
  <c r="DK105" i="1"/>
  <c r="DI105" i="1"/>
  <c r="DO105" i="1"/>
  <c r="DW105" i="1" s="1"/>
  <c r="EJ74" i="1"/>
  <c r="EC74" i="1" s="1"/>
  <c r="BO74" i="1" s="1"/>
  <c r="DJ96" i="1"/>
  <c r="DH96" i="1"/>
  <c r="DN96" i="1"/>
  <c r="DV96" i="1" s="1"/>
  <c r="EI177" i="1"/>
  <c r="EB177" i="1" s="1"/>
  <c r="BN177" i="1" s="1"/>
  <c r="EI49" i="1"/>
  <c r="EB49" i="1" s="1"/>
  <c r="BN49" i="1" s="1"/>
  <c r="D156" i="1"/>
  <c r="CS51" i="1"/>
  <c r="EI189" i="1"/>
  <c r="EB189" i="1" s="1"/>
  <c r="BN189" i="1" s="1"/>
  <c r="AY97" i="1"/>
  <c r="B97" i="1"/>
  <c r="CK97" i="1"/>
  <c r="DH95" i="1"/>
  <c r="DJ95" i="1"/>
  <c r="DN95" i="1"/>
  <c r="DV95" i="1" s="1"/>
  <c r="DH85" i="1"/>
  <c r="DJ85" i="1"/>
  <c r="DA84" i="1"/>
  <c r="DN85" i="1"/>
  <c r="DV85" i="1" s="1"/>
  <c r="EI149" i="1"/>
  <c r="EB149" i="1" s="1"/>
  <c r="BN149" i="1" s="1"/>
  <c r="CU94" i="1"/>
  <c r="EJ178" i="1"/>
  <c r="EC178" i="1" s="1"/>
  <c r="BO178" i="1" s="1"/>
  <c r="CO100" i="1"/>
  <c r="D100" i="1"/>
  <c r="CM87" i="1"/>
  <c r="C87" i="1"/>
  <c r="DO168" i="1"/>
  <c r="DI168" i="1"/>
  <c r="DK168" i="1"/>
  <c r="CQ90" i="1"/>
  <c r="DT90" i="1"/>
  <c r="BH90" i="1"/>
  <c r="EG78" i="1"/>
  <c r="DZ78" i="1" s="1"/>
  <c r="BL78" i="1" s="1"/>
  <c r="EJ182" i="1"/>
  <c r="EC182" i="1" s="1"/>
  <c r="BO182" i="1" s="1"/>
  <c r="EG70" i="1"/>
  <c r="DZ70" i="1" s="1"/>
  <c r="BL70" i="1" s="1"/>
  <c r="C53" i="1"/>
  <c r="CM53" i="1"/>
  <c r="CS49" i="1"/>
  <c r="DN125" i="1"/>
  <c r="DV125" i="1" s="1"/>
  <c r="DJ125" i="1"/>
  <c r="DH125" i="1"/>
  <c r="D123" i="1"/>
  <c r="CO123" i="1"/>
  <c r="CU53" i="1"/>
  <c r="CK99" i="1"/>
  <c r="B99" i="1"/>
  <c r="AY99" i="1"/>
  <c r="DI116" i="1"/>
  <c r="DK116" i="1"/>
  <c r="DO116" i="1"/>
  <c r="DW116" i="1" s="1"/>
  <c r="EJ138" i="1"/>
  <c r="EC138" i="1" s="1"/>
  <c r="BO138" i="1" s="1"/>
  <c r="EJ143" i="1"/>
  <c r="EC143" i="1" s="1"/>
  <c r="BO143" i="1" s="1"/>
  <c r="DI163" i="1"/>
  <c r="DO163" i="1"/>
  <c r="DK163" i="1"/>
  <c r="CS89" i="1"/>
  <c r="Y31" i="2"/>
  <c r="BG30" i="1" s="1"/>
  <c r="D124" i="1"/>
  <c r="CO124" i="1"/>
  <c r="C124" i="1"/>
  <c r="CM124" i="1"/>
  <c r="C70" i="1"/>
  <c r="CM70" i="1"/>
  <c r="DJ121" i="1"/>
  <c r="DN121" i="1"/>
  <c r="DV121" i="1" s="1"/>
  <c r="DH121" i="1"/>
  <c r="CU115" i="1"/>
  <c r="EJ71" i="1"/>
  <c r="EC71" i="1" s="1"/>
  <c r="BO71" i="1" s="1"/>
  <c r="DK86" i="1"/>
  <c r="DI86" i="1"/>
  <c r="DO86" i="1"/>
  <c r="DW86" i="1" s="1"/>
  <c r="DN130" i="1"/>
  <c r="DV130" i="1" s="1"/>
  <c r="DJ130" i="1"/>
  <c r="DH130" i="1"/>
  <c r="EG156" i="1"/>
  <c r="DZ156" i="1" s="1"/>
  <c r="BL156" i="1" s="1"/>
  <c r="BS156" i="1" s="1"/>
  <c r="DI93" i="1"/>
  <c r="DK93" i="1"/>
  <c r="DO93" i="1"/>
  <c r="DW93" i="1" s="1"/>
  <c r="D95" i="1"/>
  <c r="CO95" i="1"/>
  <c r="CO108" i="1"/>
  <c r="D108" i="1"/>
  <c r="CO168" i="1"/>
  <c r="D168" i="1"/>
  <c r="DO107" i="1"/>
  <c r="DW107" i="1" s="1"/>
  <c r="DK107" i="1"/>
  <c r="DI107" i="1"/>
  <c r="DH129" i="1"/>
  <c r="DJ129" i="1"/>
  <c r="DN129" i="1"/>
  <c r="DV129" i="1" s="1"/>
  <c r="EG71" i="1"/>
  <c r="DZ71" i="1" s="1"/>
  <c r="BL71" i="1" s="1"/>
  <c r="D106" i="1"/>
  <c r="CO106" i="1"/>
  <c r="EG59" i="1"/>
  <c r="DZ59" i="1" s="1"/>
  <c r="BL59" i="1" s="1"/>
  <c r="DO127" i="1"/>
  <c r="DW127" i="1" s="1"/>
  <c r="DI127" i="1"/>
  <c r="DK127" i="1"/>
  <c r="EJ140" i="1"/>
  <c r="EC140" i="1" s="1"/>
  <c r="BO140" i="1" s="1"/>
  <c r="DK123" i="1"/>
  <c r="DO123" i="1"/>
  <c r="DW123" i="1" s="1"/>
  <c r="DI123" i="1"/>
  <c r="C104" i="1"/>
  <c r="CM104" i="1"/>
  <c r="DN93" i="1"/>
  <c r="DV93" i="1" s="1"/>
  <c r="DH93" i="1"/>
  <c r="DJ93" i="1"/>
  <c r="AY88" i="1"/>
  <c r="B88" i="1"/>
  <c r="CK88" i="1"/>
  <c r="CS50" i="1"/>
  <c r="D107" i="1"/>
  <c r="CO107" i="1"/>
  <c r="B127" i="1"/>
  <c r="CK127" i="1"/>
  <c r="AY127" i="1"/>
  <c r="C151" i="1"/>
  <c r="DH97" i="1"/>
  <c r="DN97" i="1"/>
  <c r="DV97" i="1" s="1"/>
  <c r="DJ97" i="1"/>
  <c r="EJ169" i="1"/>
  <c r="EC169" i="1" s="1"/>
  <c r="BO169" i="1" s="1"/>
  <c r="C105" i="1"/>
  <c r="CM105" i="1"/>
  <c r="D99" i="1"/>
  <c r="CO99" i="1"/>
  <c r="EI137" i="1"/>
  <c r="EB137" i="1" s="1"/>
  <c r="BN137" i="1" s="1"/>
  <c r="EP136" i="1"/>
  <c r="EJ181" i="1"/>
  <c r="EC181" i="1" s="1"/>
  <c r="BO181" i="1" s="1"/>
  <c r="CM115" i="1"/>
  <c r="C115" i="1"/>
  <c r="EH186" i="1"/>
  <c r="EA186" i="1" s="1"/>
  <c r="BM186" i="1" s="1"/>
  <c r="BS186" i="1" s="1"/>
  <c r="CQ51" i="1"/>
  <c r="DT51" i="1"/>
  <c r="BH51" i="1"/>
  <c r="DU51" i="1"/>
  <c r="DO51" i="1"/>
  <c r="DK51" i="1"/>
  <c r="DI51" i="1"/>
  <c r="EJ72" i="1"/>
  <c r="EC72" i="1" s="1"/>
  <c r="BO72" i="1" s="1"/>
  <c r="D172" i="1"/>
  <c r="BH113" i="1"/>
  <c r="CS113" i="1"/>
  <c r="CO109" i="1"/>
  <c r="D109" i="1"/>
  <c r="EJ60" i="1"/>
  <c r="EC60" i="1" s="1"/>
  <c r="BO60" i="1" s="1"/>
  <c r="CU108" i="1"/>
  <c r="CO87" i="1"/>
  <c r="D87" i="1"/>
  <c r="EJ146" i="1"/>
  <c r="EC146" i="1" s="1"/>
  <c r="BO146" i="1" s="1"/>
  <c r="DN51" i="1"/>
  <c r="DJ51" i="1"/>
  <c r="DH51" i="1"/>
  <c r="AV84" i="1"/>
  <c r="EH183" i="1"/>
  <c r="EA183" i="1" s="1"/>
  <c r="BM183" i="1" s="1"/>
  <c r="BS183" i="1" s="1"/>
  <c r="CS87" i="1"/>
  <c r="DI113" i="1"/>
  <c r="DK113" i="1"/>
  <c r="DO113" i="1"/>
  <c r="DW113" i="1" s="1"/>
  <c r="EE49" i="1"/>
  <c r="DX49" i="1" s="1"/>
  <c r="DH111" i="1"/>
  <c r="DJ111" i="1"/>
  <c r="DN111" i="1"/>
  <c r="DV111" i="1" s="1"/>
  <c r="EJ139" i="1"/>
  <c r="EC139" i="1" s="1"/>
  <c r="BO139" i="1" s="1"/>
  <c r="B129" i="1"/>
  <c r="CK129" i="1"/>
  <c r="AY129" i="1"/>
  <c r="DF84" i="1"/>
  <c r="EH59" i="1"/>
  <c r="EA59" i="1" s="1"/>
  <c r="BM59" i="1" s="1"/>
  <c r="EI182" i="1"/>
  <c r="EB182" i="1" s="1"/>
  <c r="BN182" i="1" s="1"/>
  <c r="CO130" i="1"/>
  <c r="D130" i="1"/>
  <c r="CM98" i="1"/>
  <c r="C98" i="1"/>
  <c r="DJ109" i="1"/>
  <c r="DN109" i="1"/>
  <c r="DV109" i="1" s="1"/>
  <c r="DH109" i="1"/>
  <c r="EI71" i="1"/>
  <c r="EB71" i="1" s="1"/>
  <c r="BN71" i="1" s="1"/>
  <c r="EI141" i="1"/>
  <c r="EB141" i="1" s="1"/>
  <c r="BN141" i="1" s="1"/>
  <c r="EJ152" i="1"/>
  <c r="EC152" i="1" s="1"/>
  <c r="BO152" i="1" s="1"/>
  <c r="AY102" i="1"/>
  <c r="CK102" i="1"/>
  <c r="B102" i="1"/>
  <c r="EG49" i="1"/>
  <c r="DZ49" i="1" s="1"/>
  <c r="BL49" i="1" s="1"/>
  <c r="CU87" i="1"/>
  <c r="DO114" i="1"/>
  <c r="DW114" i="1" s="1"/>
  <c r="DI114" i="1"/>
  <c r="DK114" i="1"/>
  <c r="DN103" i="1"/>
  <c r="DV103" i="1" s="1"/>
  <c r="DH103" i="1"/>
  <c r="DJ103" i="1"/>
  <c r="D97" i="1"/>
  <c r="CO97" i="1"/>
  <c r="CF84" i="1"/>
  <c r="EI180" i="1"/>
  <c r="EB180" i="1" s="1"/>
  <c r="BN180" i="1" s="1"/>
  <c r="C148" i="1"/>
  <c r="DK85" i="1"/>
  <c r="DB84" i="1"/>
  <c r="DO85" i="1"/>
  <c r="DW85" i="1" s="1"/>
  <c r="DI85" i="1"/>
  <c r="EI140" i="1"/>
  <c r="EB140" i="1" s="1"/>
  <c r="BN140" i="1" s="1"/>
  <c r="EI64" i="1"/>
  <c r="EB64" i="1" s="1"/>
  <c r="BN64" i="1" s="1"/>
  <c r="EI176" i="1"/>
  <c r="EB176" i="1" s="1"/>
  <c r="BN176" i="1" s="1"/>
  <c r="EE53" i="1"/>
  <c r="DX53" i="1" s="1"/>
  <c r="EJ187" i="1"/>
  <c r="EC187" i="1" s="1"/>
  <c r="BO187" i="1" s="1"/>
  <c r="CU95" i="1"/>
  <c r="CM128" i="1"/>
  <c r="C128" i="1"/>
  <c r="DO99" i="1"/>
  <c r="DW99" i="1" s="1"/>
  <c r="DK99" i="1"/>
  <c r="DI99" i="1"/>
  <c r="EJ183" i="1"/>
  <c r="EC183" i="1" s="1"/>
  <c r="BO183" i="1" s="1"/>
  <c r="B115" i="1"/>
  <c r="AY115" i="1"/>
  <c r="CK115" i="1"/>
  <c r="B105" i="1"/>
  <c r="CK105" i="1"/>
  <c r="AY105" i="1"/>
  <c r="CU110" i="1"/>
  <c r="C116" i="1"/>
  <c r="CM116" i="1"/>
  <c r="CQ53" i="1"/>
  <c r="BH53" i="1"/>
  <c r="BI54" i="1" s="1"/>
  <c r="DT53" i="1"/>
  <c r="EG63" i="1"/>
  <c r="DZ63" i="1" s="1"/>
  <c r="BL63" i="1" s="1"/>
  <c r="C146" i="1"/>
  <c r="EJ52" i="1"/>
  <c r="EC52" i="1" s="1"/>
  <c r="BO52" i="1" s="1"/>
  <c r="DA44" i="1"/>
  <c r="EJ137" i="1"/>
  <c r="EC137" i="1" s="1"/>
  <c r="BO137" i="1" s="1"/>
  <c r="EQ136" i="1"/>
  <c r="CO165" i="1"/>
  <c r="D165" i="1"/>
  <c r="DK92" i="1"/>
  <c r="DO92" i="1"/>
  <c r="DW92" i="1" s="1"/>
  <c r="DI92" i="1"/>
  <c r="B108" i="1"/>
  <c r="AY108" i="1"/>
  <c r="CK108" i="1"/>
  <c r="D180" i="1"/>
  <c r="DN104" i="1"/>
  <c r="DV104" i="1" s="1"/>
  <c r="DJ104" i="1"/>
  <c r="DH104" i="1"/>
  <c r="CK111" i="1"/>
  <c r="AY111" i="1"/>
  <c r="B111" i="1"/>
  <c r="DJ126" i="1"/>
  <c r="DN126" i="1"/>
  <c r="DV126" i="1" s="1"/>
  <c r="DH126" i="1"/>
  <c r="EJ165" i="1"/>
  <c r="EC165" i="1" s="1"/>
  <c r="BO165" i="1" s="1"/>
  <c r="CM121" i="1"/>
  <c r="C121" i="1"/>
  <c r="C184" i="1"/>
  <c r="EI77" i="1"/>
  <c r="EB77" i="1" s="1"/>
  <c r="BN77" i="1" s="1"/>
  <c r="CQ56" i="1"/>
  <c r="BH56" i="1"/>
  <c r="BI56" i="1" s="1"/>
  <c r="DT56" i="1"/>
  <c r="DJ127" i="1"/>
  <c r="DN127" i="1"/>
  <c r="DV127" i="1" s="1"/>
  <c r="DH127" i="1"/>
  <c r="C154" i="1"/>
  <c r="C93" i="1"/>
  <c r="CM93" i="1"/>
  <c r="EI61" i="1"/>
  <c r="EB61" i="1" s="1"/>
  <c r="BN61" i="1" s="1"/>
  <c r="C94" i="1"/>
  <c r="CM94" i="1"/>
  <c r="EG48" i="1"/>
  <c r="DZ48" i="1" s="1"/>
  <c r="BL48" i="1" s="1"/>
  <c r="EI73" i="1"/>
  <c r="EB73" i="1" s="1"/>
  <c r="BN73" i="1" s="1"/>
  <c r="CS94" i="1"/>
  <c r="BH94" i="1"/>
  <c r="AU84" i="1"/>
  <c r="C85" i="1"/>
  <c r="CM85" i="1"/>
  <c r="DH91" i="1"/>
  <c r="DN91" i="1"/>
  <c r="DJ91" i="1"/>
  <c r="EJ154" i="1"/>
  <c r="EC154" i="1" s="1"/>
  <c r="BO154" i="1" s="1"/>
  <c r="C106" i="1"/>
  <c r="CM106" i="1"/>
  <c r="EI160" i="1"/>
  <c r="EB160" i="1" s="1"/>
  <c r="BN160" i="1" s="1"/>
  <c r="BH119" i="1"/>
  <c r="CS119" i="1"/>
  <c r="CO103" i="1"/>
  <c r="D103" i="1"/>
  <c r="D186" i="1"/>
  <c r="DN64" i="1"/>
  <c r="DJ64" i="1"/>
  <c r="DH64" i="1"/>
  <c r="BS158" i="1"/>
  <c r="C158" i="1"/>
  <c r="DN50" i="1"/>
  <c r="DJ50" i="1"/>
  <c r="DH50" i="1"/>
  <c r="C178" i="1"/>
  <c r="EI184" i="1"/>
  <c r="EB184" i="1" s="1"/>
  <c r="BN184" i="1" s="1"/>
  <c r="CS96" i="1"/>
  <c r="BH96" i="1"/>
  <c r="CU98" i="1"/>
  <c r="D121" i="1"/>
  <c r="CO121" i="1"/>
  <c r="EH187" i="1"/>
  <c r="EA187" i="1" s="1"/>
  <c r="BM187" i="1" s="1"/>
  <c r="BS187" i="1" s="1"/>
  <c r="D179" i="1"/>
  <c r="EH62" i="1"/>
  <c r="EA62" i="1" s="1"/>
  <c r="BM62" i="1" s="1"/>
  <c r="EG148" i="1"/>
  <c r="DZ148" i="1" s="1"/>
  <c r="BL148" i="1" s="1"/>
  <c r="BS148" i="1" s="1"/>
  <c r="CO128" i="1"/>
  <c r="D128" i="1"/>
  <c r="EI154" i="1"/>
  <c r="EB154" i="1" s="1"/>
  <c r="BN154" i="1" s="1"/>
  <c r="EJ176" i="1"/>
  <c r="EC176" i="1" s="1"/>
  <c r="BO176" i="1" s="1"/>
  <c r="DN117" i="1"/>
  <c r="DV117" i="1" s="1"/>
  <c r="DJ117" i="1"/>
  <c r="DH117" i="1"/>
  <c r="EJ142" i="1"/>
  <c r="EC142" i="1" s="1"/>
  <c r="BO142" i="1" s="1"/>
  <c r="C111" i="1"/>
  <c r="CM111" i="1"/>
  <c r="EH71" i="1"/>
  <c r="EA71" i="1" s="1"/>
  <c r="BM71" i="1" s="1"/>
  <c r="DO101" i="1"/>
  <c r="DW101" i="1" s="1"/>
  <c r="DK101" i="1"/>
  <c r="DI101" i="1"/>
  <c r="DB136" i="1"/>
  <c r="CM127" i="1"/>
  <c r="C127" i="1"/>
  <c r="DK103" i="1"/>
  <c r="DI103" i="1"/>
  <c r="DO103" i="1"/>
  <c r="DW103" i="1" s="1"/>
  <c r="C96" i="1"/>
  <c r="CM96" i="1"/>
  <c r="D187" i="1"/>
  <c r="C157" i="1"/>
  <c r="DE44" i="1"/>
  <c r="CU51" i="1"/>
  <c r="CO50" i="1"/>
  <c r="D50" i="1"/>
  <c r="EI142" i="1"/>
  <c r="EB142" i="1" s="1"/>
  <c r="BN142" i="1" s="1"/>
  <c r="CU49" i="1"/>
  <c r="DJ128" i="1"/>
  <c r="DN128" i="1"/>
  <c r="DV128" i="1" s="1"/>
  <c r="DH128" i="1"/>
  <c r="EJ172" i="1"/>
  <c r="EC172" i="1" s="1"/>
  <c r="BO172" i="1" s="1"/>
  <c r="CU122" i="1"/>
  <c r="DI128" i="1"/>
  <c r="DK128" i="1"/>
  <c r="DO128" i="1"/>
  <c r="DW128" i="1" s="1"/>
  <c r="EI183" i="1"/>
  <c r="EB183" i="1" s="1"/>
  <c r="BN183" i="1" s="1"/>
  <c r="EJ49" i="1"/>
  <c r="EC49" i="1" s="1"/>
  <c r="BO49" i="1" s="1"/>
  <c r="DK100" i="1"/>
  <c r="DI100" i="1"/>
  <c r="DO100" i="1"/>
  <c r="DW100" i="1" s="1"/>
  <c r="C92" i="1"/>
  <c r="CM92" i="1"/>
  <c r="D110" i="1"/>
  <c r="CO110" i="1"/>
  <c r="CM120" i="1"/>
  <c r="C120" i="1"/>
  <c r="EI145" i="1"/>
  <c r="EB145" i="1" s="1"/>
  <c r="BN145" i="1" s="1"/>
  <c r="BH128" i="1"/>
  <c r="CS128" i="1"/>
  <c r="CO104" i="1"/>
  <c r="D104" i="1"/>
  <c r="B95" i="1"/>
  <c r="CK95" i="1"/>
  <c r="AY95" i="1"/>
  <c r="D166" i="1"/>
  <c r="EI171" i="1"/>
  <c r="EB171" i="1" s="1"/>
  <c r="BN171" i="1" s="1"/>
  <c r="EJ157" i="1"/>
  <c r="EC157" i="1" s="1"/>
  <c r="BO157" i="1" s="1"/>
  <c r="EJ45" i="1"/>
  <c r="EC45" i="1" s="1"/>
  <c r="BO45" i="1" s="1"/>
  <c r="EQ44" i="1"/>
  <c r="D167" i="1"/>
  <c r="EH180" i="1"/>
  <c r="EA180" i="1" s="1"/>
  <c r="BM180" i="1" s="1"/>
  <c r="BS180" i="1" s="1"/>
  <c r="CM97" i="1"/>
  <c r="C97" i="1"/>
  <c r="EI138" i="1"/>
  <c r="EB138" i="1" s="1"/>
  <c r="BN138" i="1" s="1"/>
  <c r="B101" i="1"/>
  <c r="CK101" i="1"/>
  <c r="AY101" i="1"/>
  <c r="CO92" i="1"/>
  <c r="D92" i="1"/>
  <c r="EI58" i="1"/>
  <c r="EB58" i="1" s="1"/>
  <c r="BN58" i="1" s="1"/>
  <c r="EI79" i="1"/>
  <c r="EB79" i="1" s="1"/>
  <c r="BN79" i="1" s="1"/>
  <c r="DE84" i="1"/>
  <c r="C95" i="1"/>
  <c r="CM95" i="1"/>
  <c r="D119" i="1"/>
  <c r="CO119" i="1"/>
  <c r="CO53" i="1"/>
  <c r="D53" i="1"/>
  <c r="DN101" i="1"/>
  <c r="DV101" i="1" s="1"/>
  <c r="DH101" i="1"/>
  <c r="DJ101" i="1"/>
  <c r="CU56" i="1"/>
  <c r="EJ167" i="1"/>
  <c r="EC167" i="1" s="1"/>
  <c r="BO167" i="1" s="1"/>
  <c r="EI62" i="1"/>
  <c r="EB62" i="1" s="1"/>
  <c r="BN62" i="1" s="1"/>
  <c r="BA132" i="1"/>
  <c r="BA84" i="1"/>
  <c r="CQ86" i="1"/>
  <c r="BH86" i="1"/>
  <c r="DT86" i="1"/>
  <c r="C172" i="1"/>
  <c r="BS172" i="1"/>
  <c r="DF136" i="1"/>
  <c r="DK112" i="1"/>
  <c r="DI112" i="1"/>
  <c r="DO112" i="1"/>
  <c r="DW112" i="1" s="1"/>
  <c r="CU113" i="1"/>
  <c r="B96" i="1"/>
  <c r="CK96" i="1"/>
  <c r="AY96" i="1"/>
  <c r="DD136" i="1"/>
  <c r="D101" i="1"/>
  <c r="CO101" i="1"/>
  <c r="C176" i="1"/>
  <c r="BS176" i="1"/>
  <c r="AY110" i="1"/>
  <c r="CK110" i="1"/>
  <c r="B110" i="1"/>
  <c r="DH92" i="1"/>
  <c r="DN92" i="1"/>
  <c r="DJ92" i="1"/>
  <c r="BH50" i="1"/>
  <c r="DT50" i="1"/>
  <c r="CQ50" i="1"/>
  <c r="CS100" i="1"/>
  <c r="BH100" i="1"/>
  <c r="AY124" i="1"/>
  <c r="B124" i="1"/>
  <c r="CK124" i="1"/>
  <c r="EJ168" i="1"/>
  <c r="EC168" i="1" s="1"/>
  <c r="BO168" i="1" s="1"/>
  <c r="EJ150" i="1"/>
  <c r="EC150" i="1" s="1"/>
  <c r="BO150" i="1" s="1"/>
  <c r="CS90" i="1"/>
  <c r="D170" i="1"/>
  <c r="DN89" i="1"/>
  <c r="DJ89" i="1"/>
  <c r="DH89" i="1"/>
  <c r="CS110" i="1"/>
  <c r="BH110" i="1"/>
  <c r="DH114" i="1"/>
  <c r="DN114" i="1"/>
  <c r="DV114" i="1" s="1"/>
  <c r="DJ114" i="1"/>
  <c r="BH123" i="1"/>
  <c r="CS123" i="1"/>
  <c r="C142" i="1"/>
  <c r="DK121" i="1"/>
  <c r="DI121" i="1"/>
  <c r="DO121" i="1"/>
  <c r="DW121" i="1" s="1"/>
  <c r="D111" i="1"/>
  <c r="CO111" i="1"/>
  <c r="EG56" i="1"/>
  <c r="DZ56" i="1" s="1"/>
  <c r="BL56" i="1" s="1"/>
  <c r="EH50" i="1"/>
  <c r="EA50" i="1" s="1"/>
  <c r="BM50" i="1" s="1"/>
  <c r="EJ59" i="1"/>
  <c r="EC59" i="1" s="1"/>
  <c r="BO59" i="1" s="1"/>
  <c r="C186" i="1"/>
  <c r="EI187" i="1"/>
  <c r="EB187" i="1" s="1"/>
  <c r="BN187" i="1" s="1"/>
  <c r="EJ170" i="1"/>
  <c r="EC170" i="1" s="1"/>
  <c r="BO170" i="1" s="1"/>
  <c r="EJ151" i="1"/>
  <c r="EC151" i="1" s="1"/>
  <c r="BO151" i="1" s="1"/>
  <c r="CK122" i="1"/>
  <c r="AY122" i="1"/>
  <c r="B122" i="1"/>
  <c r="CU105" i="1"/>
  <c r="EI74" i="1"/>
  <c r="EB74" i="1" s="1"/>
  <c r="BN74" i="1" s="1"/>
  <c r="EI139" i="1"/>
  <c r="EB139" i="1" s="1"/>
  <c r="BN139" i="1" s="1"/>
  <c r="EG61" i="1"/>
  <c r="DZ61" i="1" s="1"/>
  <c r="BL61" i="1" s="1"/>
  <c r="D96" i="1"/>
  <c r="CO96" i="1"/>
  <c r="EI165" i="1"/>
  <c r="EB165" i="1" s="1"/>
  <c r="BN165" i="1" s="1"/>
  <c r="EG74" i="1"/>
  <c r="DZ74" i="1" s="1"/>
  <c r="BL74" i="1" s="1"/>
  <c r="EG51" i="1"/>
  <c r="DZ51" i="1" s="1"/>
  <c r="BL51" i="1" s="1"/>
  <c r="C113" i="1"/>
  <c r="CM113" i="1"/>
  <c r="D129" i="1"/>
  <c r="CO129" i="1"/>
  <c r="EH63" i="1"/>
  <c r="EA63" i="1" s="1"/>
  <c r="BM63" i="1" s="1"/>
  <c r="EI151" i="1"/>
  <c r="EB151" i="1" s="1"/>
  <c r="BN151" i="1" s="1"/>
  <c r="EJ177" i="1"/>
  <c r="EC177" i="1" s="1"/>
  <c r="BO177" i="1" s="1"/>
  <c r="DO97" i="1"/>
  <c r="DW97" i="1" s="1"/>
  <c r="DK97" i="1"/>
  <c r="DI97" i="1"/>
  <c r="DO109" i="1"/>
  <c r="DW109" i="1" s="1"/>
  <c r="DI109" i="1"/>
  <c r="DK109" i="1"/>
  <c r="CS122" i="1"/>
  <c r="BH122" i="1"/>
  <c r="DJ88" i="1"/>
  <c r="DN88" i="1"/>
  <c r="DH88" i="1"/>
  <c r="C145" i="1"/>
  <c r="CU125" i="1"/>
  <c r="C109" i="1"/>
  <c r="CM109" i="1"/>
  <c r="BH105" i="1"/>
  <c r="CS105" i="1"/>
  <c r="EH57" i="1"/>
  <c r="EA57" i="1" s="1"/>
  <c r="BM57" i="1" s="1"/>
  <c r="AY103" i="1"/>
  <c r="B103" i="1"/>
  <c r="CK103" i="1"/>
  <c r="D146" i="1"/>
  <c r="AY94" i="1"/>
  <c r="B94" i="1"/>
  <c r="CK94" i="1"/>
  <c r="CK121" i="1"/>
  <c r="AY121" i="1"/>
  <c r="B121" i="1"/>
  <c r="B100" i="1"/>
  <c r="CK100" i="1"/>
  <c r="AY100" i="1"/>
  <c r="D177" i="1"/>
  <c r="DJ116" i="1"/>
  <c r="DH116" i="1"/>
  <c r="DN116" i="1"/>
  <c r="DV116" i="1" s="1"/>
  <c r="C167" i="1"/>
  <c r="BS167" i="1"/>
  <c r="D93" i="1"/>
  <c r="CO93" i="1"/>
  <c r="D148" i="1"/>
  <c r="DJ87" i="1"/>
  <c r="DN87" i="1"/>
  <c r="DH87" i="1"/>
  <c r="DO98" i="1"/>
  <c r="DW98" i="1" s="1"/>
  <c r="DK98" i="1"/>
  <c r="DI98" i="1"/>
  <c r="EH181" i="1"/>
  <c r="CK118" i="1"/>
  <c r="B118" i="1"/>
  <c r="AY118" i="1"/>
  <c r="CO105" i="1"/>
  <c r="D105" i="1"/>
  <c r="EG47" i="1"/>
  <c r="DZ47" i="1" s="1"/>
  <c r="BL47" i="1" s="1"/>
  <c r="C173" i="1"/>
  <c r="BS173" i="1"/>
  <c r="CU86" i="1"/>
  <c r="DN163" i="1"/>
  <c r="DV163" i="1" s="1"/>
  <c r="DH163" i="1"/>
  <c r="DJ163" i="1"/>
  <c r="EJ70" i="1"/>
  <c r="EC70" i="1" s="1"/>
  <c r="BO70" i="1" s="1"/>
  <c r="CO91" i="1"/>
  <c r="D91" i="1"/>
  <c r="C103" i="1"/>
  <c r="CM103" i="1"/>
  <c r="B128" i="1"/>
  <c r="CK128" i="1"/>
  <c r="AY128" i="1"/>
  <c r="D127" i="1"/>
  <c r="CO127" i="1"/>
  <c r="EH61" i="1"/>
  <c r="EA61" i="1" s="1"/>
  <c r="BM61" i="1" s="1"/>
  <c r="DN94" i="1"/>
  <c r="DV94" i="1" s="1"/>
  <c r="DH94" i="1"/>
  <c r="DJ94" i="1"/>
  <c r="CK163" i="1"/>
  <c r="EG50" i="1"/>
  <c r="DZ50" i="1" s="1"/>
  <c r="BL50" i="1" s="1"/>
  <c r="CO98" i="1"/>
  <c r="D98" i="1"/>
  <c r="CS117" i="1"/>
  <c r="BH117" i="1"/>
  <c r="DN52" i="1"/>
  <c r="DH52" i="1"/>
  <c r="DJ52" i="1"/>
  <c r="CS53" i="1"/>
  <c r="EN136" i="1"/>
  <c r="EG141" i="1"/>
  <c r="DZ141" i="1" s="1"/>
  <c r="BL141" i="1" s="1"/>
  <c r="BS141" i="1" s="1"/>
  <c r="DI130" i="1"/>
  <c r="DK130" i="1"/>
  <c r="DO130" i="1"/>
  <c r="DW130" i="1" s="1"/>
  <c r="CE84" i="1"/>
  <c r="C129" i="1"/>
  <c r="CM129" i="1"/>
  <c r="EI166" i="1"/>
  <c r="EB166" i="1" s="1"/>
  <c r="BN166" i="1" s="1"/>
  <c r="DI122" i="1"/>
  <c r="DO122" i="1"/>
  <c r="DW122" i="1" s="1"/>
  <c r="DK122" i="1"/>
  <c r="CM101" i="1"/>
  <c r="C101" i="1"/>
  <c r="DO96" i="1"/>
  <c r="DW96" i="1" s="1"/>
  <c r="DI96" i="1"/>
  <c r="DK96" i="1"/>
  <c r="EP44" i="1"/>
  <c r="EI45" i="1"/>
  <c r="EB45" i="1" s="1"/>
  <c r="BN45" i="1" s="1"/>
  <c r="D88" i="1"/>
  <c r="CO88" i="1"/>
  <c r="DK94" i="1"/>
  <c r="DO94" i="1"/>
  <c r="DW94" i="1" s="1"/>
  <c r="DI94" i="1"/>
  <c r="B116" i="1"/>
  <c r="CK116" i="1"/>
  <c r="AY116" i="1"/>
  <c r="EG154" i="1"/>
  <c r="DZ154" i="1" s="1"/>
  <c r="BL154" i="1" s="1"/>
  <c r="BS154" i="1" s="1"/>
  <c r="CS98" i="1"/>
  <c r="BH98" i="1"/>
  <c r="EI47" i="1"/>
  <c r="EB47" i="1" s="1"/>
  <c r="BN47" i="1" s="1"/>
  <c r="CI84" i="1"/>
  <c r="DN113" i="1"/>
  <c r="DV113" i="1" s="1"/>
  <c r="DH113" i="1"/>
  <c r="DJ113" i="1"/>
  <c r="EJ158" i="1"/>
  <c r="EC158" i="1" s="1"/>
  <c r="BO158" i="1" s="1"/>
  <c r="EI186" i="1"/>
  <c r="EB186" i="1" s="1"/>
  <c r="BN186" i="1" s="1"/>
  <c r="DC84" i="1"/>
  <c r="DI117" i="1"/>
  <c r="DK117" i="1"/>
  <c r="DO117" i="1"/>
  <c r="DW117" i="1" s="1"/>
  <c r="EG157" i="1"/>
  <c r="DZ157" i="1" s="1"/>
  <c r="BL157" i="1" s="1"/>
  <c r="BS157" i="1" s="1"/>
  <c r="CO64" i="1"/>
  <c r="D64" i="1"/>
  <c r="CS88" i="1"/>
  <c r="DO115" i="1"/>
  <c r="DW115" i="1" s="1"/>
  <c r="DK115" i="1"/>
  <c r="DI115" i="1"/>
  <c r="DJ98" i="1"/>
  <c r="DN98" i="1"/>
  <c r="DV98" i="1" s="1"/>
  <c r="DH98" i="1"/>
  <c r="DH102" i="1"/>
  <c r="DN102" i="1"/>
  <c r="DV102" i="1" s="1"/>
  <c r="DJ102" i="1"/>
  <c r="EG145" i="1"/>
  <c r="DZ145" i="1" s="1"/>
  <c r="BL145" i="1" s="1"/>
  <c r="BS145" i="1" s="1"/>
  <c r="DJ106" i="1"/>
  <c r="DN106" i="1"/>
  <c r="DV106" i="1" s="1"/>
  <c r="DH106" i="1"/>
  <c r="C117" i="1"/>
  <c r="CM117" i="1"/>
  <c r="CU119" i="1"/>
  <c r="EI181" i="1"/>
  <c r="EB181" i="1" s="1"/>
  <c r="BN181" i="1" s="1"/>
  <c r="CK104" i="1"/>
  <c r="AY104" i="1"/>
  <c r="B104" i="1"/>
  <c r="D162" i="1"/>
  <c r="CO162" i="1"/>
  <c r="CU124" i="1"/>
  <c r="EG76" i="1"/>
  <c r="DZ76" i="1" s="1"/>
  <c r="BL76" i="1" s="1"/>
  <c r="BH163" i="1"/>
  <c r="DU163" i="1"/>
  <c r="CQ163" i="1"/>
  <c r="EE51" i="1"/>
  <c r="DX51" i="1" s="1"/>
  <c r="D52" i="1"/>
  <c r="CO52" i="1"/>
  <c r="D184" i="1"/>
  <c r="EJ78" i="1"/>
  <c r="EC78" i="1" s="1"/>
  <c r="BO78" i="1" s="1"/>
  <c r="D114" i="1"/>
  <c r="CO114" i="1"/>
  <c r="EJ51" i="1"/>
  <c r="EC51" i="1" s="1"/>
  <c r="BO51" i="1" s="1"/>
  <c r="C179" i="1"/>
  <c r="EJ64" i="1"/>
  <c r="EC64" i="1" s="1"/>
  <c r="BO64" i="1" s="1"/>
  <c r="CG84" i="1"/>
  <c r="CU127" i="1"/>
  <c r="EI173" i="1"/>
  <c r="EB173" i="1" s="1"/>
  <c r="BN173" i="1" s="1"/>
  <c r="BE132" i="1"/>
  <c r="CU85" i="1"/>
  <c r="BE84" i="1"/>
  <c r="BS175" i="1"/>
  <c r="C175" i="1"/>
  <c r="D139" i="1"/>
  <c r="D145" i="1"/>
  <c r="CU90" i="1"/>
  <c r="DO50" i="1"/>
  <c r="DK50" i="1"/>
  <c r="DI50" i="1"/>
  <c r="DU50" i="1"/>
  <c r="DH118" i="1"/>
  <c r="DJ118" i="1"/>
  <c r="DN118" i="1"/>
  <c r="DV118" i="1" s="1"/>
  <c r="BF84" i="1"/>
  <c r="BF132" i="1"/>
  <c r="D125" i="1"/>
  <c r="CO125" i="1"/>
  <c r="EJ58" i="1"/>
  <c r="EC58" i="1" s="1"/>
  <c r="BO58" i="1" s="1"/>
  <c r="EH185" i="1"/>
  <c r="EA185" i="1" s="1"/>
  <c r="BM185" i="1" s="1"/>
  <c r="BS185" i="1" s="1"/>
  <c r="AY53" i="1"/>
  <c r="B53" i="1"/>
  <c r="CK53" i="1"/>
  <c r="AX136" i="1"/>
  <c r="EJ180" i="1"/>
  <c r="EC180" i="1" s="1"/>
  <c r="BO180" i="1" s="1"/>
  <c r="EJ173" i="1"/>
  <c r="EC173" i="1" s="1"/>
  <c r="BO173" i="1" s="1"/>
  <c r="EE52" i="1"/>
  <c r="DX52" i="1" s="1"/>
  <c r="EI179" i="1"/>
  <c r="EB179" i="1" s="1"/>
  <c r="BN179" i="1" s="1"/>
  <c r="EJ185" i="1"/>
  <c r="EC185" i="1" s="1"/>
  <c r="BO185" i="1" s="1"/>
  <c r="EI175" i="1"/>
  <c r="EB175" i="1" s="1"/>
  <c r="BN175" i="1" s="1"/>
  <c r="EJ53" i="1"/>
  <c r="EC53" i="1" s="1"/>
  <c r="BO53" i="1" s="1"/>
  <c r="EI70" i="1"/>
  <c r="EB70" i="1" s="1"/>
  <c r="BN70" i="1" s="1"/>
  <c r="EI76" i="1"/>
  <c r="EB76" i="1" s="1"/>
  <c r="BN76" i="1" s="1"/>
  <c r="CS125" i="1"/>
  <c r="BH125" i="1"/>
  <c r="CO163" i="1"/>
  <c r="D163" i="1"/>
  <c r="CK168" i="1"/>
  <c r="EH77" i="1"/>
  <c r="EA77" i="1" s="1"/>
  <c r="BM77" i="1" s="1"/>
  <c r="EH72" i="1"/>
  <c r="EA72" i="1" s="1"/>
  <c r="BM72" i="1" s="1"/>
  <c r="EG57" i="1"/>
  <c r="DZ57" i="1" s="1"/>
  <c r="BL57" i="1" s="1"/>
  <c r="EH60" i="1"/>
  <c r="EA60" i="1" s="1"/>
  <c r="BM60" i="1" s="1"/>
  <c r="EJ50" i="1"/>
  <c r="EC50" i="1" s="1"/>
  <c r="BO50" i="1" s="1"/>
  <c r="EG46" i="1"/>
  <c r="DZ46" i="1" s="1"/>
  <c r="BL46" i="1" s="1"/>
  <c r="CU88" i="1"/>
  <c r="CU123" i="1"/>
  <c r="CS116" i="1"/>
  <c r="BH116" i="1"/>
  <c r="C123" i="1"/>
  <c r="CM123" i="1"/>
  <c r="CO164" i="1"/>
  <c r="D164" i="1"/>
  <c r="EH46" i="1"/>
  <c r="EA46" i="1" s="1"/>
  <c r="BM46" i="1" s="1"/>
  <c r="EJ75" i="1"/>
  <c r="EC75" i="1" s="1"/>
  <c r="BO75" i="1" s="1"/>
  <c r="C149" i="1"/>
  <c r="EJ161" i="1"/>
  <c r="EC161" i="1" s="1"/>
  <c r="BO161" i="1" s="1"/>
  <c r="D158" i="1"/>
  <c r="D171" i="1"/>
  <c r="B125" i="1"/>
  <c r="CK125" i="1"/>
  <c r="AY125" i="1"/>
  <c r="C56" i="1"/>
  <c r="CM56" i="1"/>
  <c r="EJ189" i="1"/>
  <c r="EC189" i="1" s="1"/>
  <c r="BO189" i="1" s="1"/>
  <c r="EI60" i="1"/>
  <c r="EB60" i="1" s="1"/>
  <c r="BN60" i="1" s="1"/>
  <c r="BS163" i="1"/>
  <c r="CM163" i="1"/>
  <c r="AY163" i="1"/>
  <c r="C163" i="1"/>
  <c r="D144" i="1"/>
  <c r="EI50" i="1"/>
  <c r="EB50" i="1" s="1"/>
  <c r="BN50" i="1" s="1"/>
  <c r="EJ149" i="1"/>
  <c r="EC149" i="1" s="1"/>
  <c r="BO149" i="1" s="1"/>
  <c r="DH107" i="1"/>
  <c r="DN107" i="1"/>
  <c r="DV107" i="1" s="1"/>
  <c r="DJ107" i="1"/>
  <c r="D86" i="1"/>
  <c r="CO86" i="1"/>
  <c r="DJ105" i="1"/>
  <c r="DH105" i="1"/>
  <c r="DN105" i="1"/>
  <c r="DV105" i="1" s="1"/>
  <c r="D126" i="1"/>
  <c r="CO126" i="1"/>
  <c r="DO111" i="1"/>
  <c r="DW111" i="1" s="1"/>
  <c r="DI111" i="1"/>
  <c r="DK111" i="1"/>
  <c r="C140" i="1"/>
  <c r="EH45" i="1"/>
  <c r="EA45" i="1" s="1"/>
  <c r="BM45" i="1" s="1"/>
  <c r="EO44" i="1"/>
  <c r="EG72" i="1"/>
  <c r="DZ72" i="1" s="1"/>
  <c r="BL72" i="1" s="1"/>
  <c r="EH76" i="1"/>
  <c r="EA76" i="1" s="1"/>
  <c r="BM76" i="1" s="1"/>
  <c r="D178" i="1"/>
  <c r="EI143" i="1"/>
  <c r="EB143" i="1" s="1"/>
  <c r="BN143" i="1" s="1"/>
  <c r="CK106" i="1"/>
  <c r="B106" i="1"/>
  <c r="AY106" i="1"/>
  <c r="EG73" i="1"/>
  <c r="DZ73" i="1" s="1"/>
  <c r="BL73" i="1" s="1"/>
  <c r="EG62" i="1"/>
  <c r="DZ62" i="1" s="1"/>
  <c r="BL62" i="1" s="1"/>
  <c r="B126" i="1"/>
  <c r="AY126" i="1"/>
  <c r="CK126" i="1"/>
  <c r="EG151" i="1"/>
  <c r="DZ151" i="1" s="1"/>
  <c r="BL151" i="1" s="1"/>
  <c r="BS151" i="1" s="1"/>
  <c r="DI118" i="1"/>
  <c r="DO118" i="1"/>
  <c r="DW118" i="1" s="1"/>
  <c r="DK118" i="1"/>
  <c r="EJ144" i="1"/>
  <c r="EC144" i="1" s="1"/>
  <c r="BO144" i="1" s="1"/>
  <c r="EI150" i="1"/>
  <c r="EB150" i="1" s="1"/>
  <c r="BN150" i="1" s="1"/>
  <c r="EJ164" i="1"/>
  <c r="EC164" i="1" s="1"/>
  <c r="BO164" i="1" s="1"/>
  <c r="DN100" i="1"/>
  <c r="DV100" i="1" s="1"/>
  <c r="DH100" i="1"/>
  <c r="DJ100" i="1"/>
  <c r="CU52" i="1"/>
  <c r="EH182" i="1"/>
  <c r="EA182" i="1" s="1"/>
  <c r="BM182" i="1" s="1"/>
  <c r="BS182" i="1" s="1"/>
  <c r="CS115" i="1"/>
  <c r="BH115" i="1"/>
  <c r="CS108" i="1"/>
  <c r="BH108" i="1"/>
  <c r="EJ160" i="1"/>
  <c r="EC160" i="1" s="1"/>
  <c r="BO160" i="1" s="1"/>
  <c r="CS95" i="1"/>
  <c r="BH95" i="1"/>
  <c r="DJ124" i="1"/>
  <c r="DN124" i="1"/>
  <c r="DV124" i="1" s="1"/>
  <c r="DH124" i="1"/>
  <c r="C143" i="1"/>
  <c r="BS166" i="1"/>
  <c r="C166" i="1"/>
  <c r="EH79" i="1"/>
  <c r="EA79" i="1" s="1"/>
  <c r="BM79" i="1" s="1"/>
  <c r="EH178" i="1"/>
  <c r="EA178" i="1" s="1"/>
  <c r="BM178" i="1" s="1"/>
  <c r="BS178" i="1" s="1"/>
  <c r="C162" i="1"/>
  <c r="BS162" i="1"/>
  <c r="CM162" i="1"/>
  <c r="DO129" i="1"/>
  <c r="DW129" i="1" s="1"/>
  <c r="DK129" i="1"/>
  <c r="DI129" i="1"/>
  <c r="CS101" i="1"/>
  <c r="BH101" i="1"/>
  <c r="DK125" i="1"/>
  <c r="DO125" i="1"/>
  <c r="DW125" i="1" s="1"/>
  <c r="DI125" i="1"/>
  <c r="CS56" i="1"/>
  <c r="DU53" i="1"/>
  <c r="DO53" i="1"/>
  <c r="DK53" i="1"/>
  <c r="DI53" i="1"/>
  <c r="DH86" i="1"/>
  <c r="DJ86" i="1"/>
  <c r="DN86" i="1"/>
  <c r="C108" i="1"/>
  <c r="CM108" i="1"/>
  <c r="D102" i="1"/>
  <c r="CO102" i="1"/>
  <c r="D161" i="1"/>
  <c r="CO161" i="1"/>
  <c r="CU116" i="1"/>
  <c r="CU50" i="1"/>
  <c r="DJ123" i="1"/>
  <c r="DH123" i="1"/>
  <c r="DN123" i="1"/>
  <c r="DV123" i="1" s="1"/>
  <c r="B98" i="1"/>
  <c r="CK98" i="1"/>
  <c r="AY98" i="1"/>
  <c r="EG149" i="1"/>
  <c r="DZ149" i="1" s="1"/>
  <c r="BL149" i="1" s="1"/>
  <c r="BS149" i="1" s="1"/>
  <c r="CU101" i="1"/>
  <c r="BS161" i="1"/>
  <c r="C161" i="1"/>
  <c r="CM161" i="1"/>
  <c r="DC44" i="1"/>
  <c r="CS64" i="1"/>
  <c r="DK95" i="1"/>
  <c r="DO95" i="1"/>
  <c r="DW95" i="1" s="1"/>
  <c r="DI95" i="1"/>
  <c r="CU129" i="1"/>
  <c r="EI168" i="1"/>
  <c r="EB168" i="1" s="1"/>
  <c r="BN168" i="1" s="1"/>
  <c r="EH78" i="1"/>
  <c r="EA78" i="1" s="1"/>
  <c r="BM78" i="1" s="1"/>
  <c r="EH184" i="1"/>
  <c r="EA184" i="1" s="1"/>
  <c r="BM184" i="1" s="1"/>
  <c r="BS184" i="1" s="1"/>
  <c r="CK92" i="1"/>
  <c r="B92" i="1"/>
  <c r="AY92" i="1"/>
  <c r="BH49" i="1"/>
  <c r="DT49" i="1"/>
  <c r="CQ49" i="1"/>
  <c r="CU114" i="1"/>
  <c r="EG152" i="1"/>
  <c r="DZ152" i="1" s="1"/>
  <c r="BL152" i="1" s="1"/>
  <c r="BS152" i="1" s="1"/>
  <c r="D188" i="1"/>
  <c r="EI153" i="1"/>
  <c r="EB153" i="1" s="1"/>
  <c r="BN153" i="1" s="1"/>
  <c r="EJ62" i="1"/>
  <c r="EC62" i="1" s="1"/>
  <c r="BO62" i="1" s="1"/>
  <c r="CO118" i="1"/>
  <c r="D118" i="1"/>
  <c r="EJ175" i="1"/>
  <c r="EC175" i="1" s="1"/>
  <c r="BO175" i="1" s="1"/>
  <c r="EJ153" i="1"/>
  <c r="EC153" i="1" s="1"/>
  <c r="BO153" i="1" s="1"/>
  <c r="EI188" i="1"/>
  <c r="EB188" i="1" s="1"/>
  <c r="BN188" i="1" s="1"/>
  <c r="DH49" i="1"/>
  <c r="DN49" i="1"/>
  <c r="DJ49" i="1"/>
  <c r="DI56" i="1"/>
  <c r="DU56" i="1"/>
  <c r="DO56" i="1"/>
  <c r="DK56" i="1"/>
  <c r="CS168" i="1"/>
  <c r="BZ168" i="1"/>
  <c r="EG146" i="1"/>
  <c r="DZ146" i="1" s="1"/>
  <c r="BL146" i="1" s="1"/>
  <c r="BS146" i="1" s="1"/>
  <c r="D94" i="1"/>
  <c r="CO94" i="1"/>
  <c r="CS104" i="1"/>
  <c r="BH104" i="1"/>
  <c r="B93" i="1"/>
  <c r="AY93" i="1"/>
  <c r="CK93" i="1"/>
  <c r="AY50" i="1"/>
  <c r="B50" i="1"/>
  <c r="CK50" i="1"/>
  <c r="BH112" i="1"/>
  <c r="CS112" i="1"/>
  <c r="D149" i="1"/>
  <c r="DI91" i="1"/>
  <c r="DK91" i="1"/>
  <c r="DO91" i="1"/>
  <c r="DW91" i="1" s="1"/>
  <c r="Y29" i="2"/>
  <c r="BG28" i="1" s="1"/>
  <c r="BH102" i="1"/>
  <c r="CS102" i="1"/>
  <c r="EI157" i="1"/>
  <c r="EB157" i="1" s="1"/>
  <c r="BN157" i="1" s="1"/>
  <c r="C118" i="1"/>
  <c r="CM118" i="1"/>
  <c r="EI172" i="1"/>
  <c r="EB172" i="1" s="1"/>
  <c r="BN172" i="1" s="1"/>
  <c r="CM63" i="1"/>
  <c r="C63" i="1"/>
  <c r="EI53" i="1"/>
  <c r="EB53" i="1" s="1"/>
  <c r="BN53" i="1" s="1"/>
  <c r="CU109" i="1"/>
  <c r="CS130" i="1"/>
  <c r="BH130" i="1"/>
  <c r="CU103" i="1"/>
  <c r="DE136" i="1"/>
  <c r="BS174" i="1"/>
  <c r="C174" i="1"/>
  <c r="C185" i="1"/>
  <c r="EG144" i="1"/>
  <c r="DZ144" i="1" s="1"/>
  <c r="BL144" i="1" s="1"/>
  <c r="BS144" i="1" s="1"/>
  <c r="CU104" i="1"/>
  <c r="D142" i="1"/>
  <c r="D185" i="1"/>
  <c r="CU100" i="1"/>
  <c r="EG147" i="1"/>
  <c r="DZ147" i="1" s="1"/>
  <c r="BL147" i="1" s="1"/>
  <c r="BS147" i="1" s="1"/>
  <c r="C141" i="1"/>
  <c r="D141" i="1"/>
  <c r="EJ147" i="1"/>
  <c r="EC147" i="1" s="1"/>
  <c r="BO147" i="1" s="1"/>
  <c r="AY90" i="1"/>
  <c r="B90" i="1"/>
  <c r="CK90" i="1"/>
  <c r="EH139" i="1"/>
  <c r="EA139" i="1" s="1"/>
  <c r="BM139" i="1" s="1"/>
  <c r="B117" i="1"/>
  <c r="AY117" i="1"/>
  <c r="CK117" i="1"/>
  <c r="EG155" i="1"/>
  <c r="DZ155" i="1" s="1"/>
  <c r="BL155" i="1" s="1"/>
  <c r="BS155" i="1" s="1"/>
  <c r="DJ112" i="1"/>
  <c r="DN112" i="1"/>
  <c r="DV112" i="1" s="1"/>
  <c r="DH112" i="1"/>
  <c r="EG60" i="1"/>
  <c r="DZ60" i="1" s="1"/>
  <c r="BL60" i="1" s="1"/>
  <c r="EH52" i="1"/>
  <c r="EA52" i="1" s="1"/>
  <c r="BM52" i="1" s="1"/>
  <c r="C182" i="1"/>
  <c r="EG143" i="1"/>
  <c r="DZ143" i="1" s="1"/>
  <c r="BL143" i="1" s="1"/>
  <c r="BS143" i="1" s="1"/>
  <c r="D152" i="1"/>
  <c r="D173" i="1"/>
  <c r="BH103" i="1"/>
  <c r="CS103" i="1"/>
  <c r="C89" i="1"/>
  <c r="CM89" i="1"/>
  <c r="CU92" i="1"/>
  <c r="EH58" i="1"/>
  <c r="EA58" i="1" s="1"/>
  <c r="BM58" i="1" s="1"/>
  <c r="D175" i="1"/>
  <c r="DI106" i="1"/>
  <c r="DK106" i="1"/>
  <c r="DO106" i="1"/>
  <c r="DW106" i="1" s="1"/>
  <c r="D160" i="1"/>
  <c r="EI178" i="1"/>
  <c r="EB178" i="1" s="1"/>
  <c r="BN178" i="1" s="1"/>
  <c r="B87" i="1"/>
  <c r="CK87" i="1"/>
  <c r="AY87" i="1"/>
  <c r="C171" i="1"/>
  <c r="BS171" i="1"/>
  <c r="DT92" i="1"/>
  <c r="BH92" i="1"/>
  <c r="CQ92" i="1"/>
  <c r="EJ148" i="1"/>
  <c r="EC148" i="1" s="1"/>
  <c r="BO148" i="1" s="1"/>
  <c r="EJ56" i="1"/>
  <c r="EC56" i="1" s="1"/>
  <c r="BO56" i="1" s="1"/>
  <c r="EJ76" i="1"/>
  <c r="EC76" i="1" s="1"/>
  <c r="BO76" i="1" s="1"/>
  <c r="D138" i="1"/>
  <c r="AW136" i="1"/>
  <c r="EI169" i="1"/>
  <c r="EB169" i="1" s="1"/>
  <c r="BN169" i="1" s="1"/>
  <c r="CU97" i="1"/>
  <c r="EH47" i="1"/>
  <c r="EA47" i="1" s="1"/>
  <c r="BM47" i="1" s="1"/>
  <c r="DU168" i="1"/>
  <c r="BH168" i="1"/>
  <c r="CQ168" i="1"/>
  <c r="CQ87" i="1"/>
  <c r="DT87" i="1"/>
  <c r="BH87" i="1"/>
  <c r="D189" i="1"/>
  <c r="CS86" i="1"/>
  <c r="EF49" i="1"/>
  <c r="DY49" i="1" s="1"/>
  <c r="BK49" i="1" s="1"/>
  <c r="EH51" i="1"/>
  <c r="EA51" i="1" s="1"/>
  <c r="BM51" i="1" s="1"/>
  <c r="CO120" i="1"/>
  <c r="D120" i="1"/>
  <c r="EF56" i="1"/>
  <c r="DY56" i="1" s="1"/>
  <c r="BK56" i="1" s="1"/>
  <c r="DT91" i="1"/>
  <c r="BH91" i="1"/>
  <c r="CQ91" i="1"/>
  <c r="CU91" i="1"/>
  <c r="BH106" i="1"/>
  <c r="CS106" i="1"/>
  <c r="CM100" i="1"/>
  <c r="C100" i="1"/>
  <c r="BS160" i="1"/>
  <c r="C160" i="1"/>
  <c r="EH49" i="1"/>
  <c r="EA49" i="1" s="1"/>
  <c r="BM49" i="1" s="1"/>
  <c r="D154" i="1"/>
  <c r="CS93" i="1"/>
  <c r="BD132" i="1"/>
  <c r="BD84" i="1"/>
  <c r="BH93" i="1"/>
  <c r="EJ166" i="1"/>
  <c r="EC166" i="1" s="1"/>
  <c r="BO166" i="1" s="1"/>
  <c r="CM165" i="1"/>
  <c r="BS165" i="1"/>
  <c r="C165" i="1"/>
  <c r="CU112" i="1"/>
  <c r="CS114" i="1"/>
  <c r="BH114" i="1"/>
  <c r="EI147" i="1"/>
  <c r="EB147" i="1" s="1"/>
  <c r="BN147" i="1" s="1"/>
  <c r="EJ174" i="1"/>
  <c r="EC174" i="1" s="1"/>
  <c r="BO174" i="1" s="1"/>
  <c r="D56" i="1"/>
  <c r="CO56" i="1"/>
  <c r="EJ141" i="1"/>
  <c r="EC141" i="1" s="1"/>
  <c r="BO141" i="1" s="1"/>
  <c r="EI75" i="1"/>
  <c r="EB75" i="1" s="1"/>
  <c r="BN75" i="1" s="1"/>
  <c r="EI164" i="1"/>
  <c r="EB164" i="1" s="1"/>
  <c r="BN164" i="1" s="1"/>
  <c r="C152" i="1"/>
  <c r="CM49" i="1"/>
  <c r="C49" i="1"/>
  <c r="EG64" i="1"/>
  <c r="DZ64" i="1" s="1"/>
  <c r="BL64" i="1" s="1"/>
  <c r="EI174" i="1"/>
  <c r="EB174" i="1" s="1"/>
  <c r="BN174" i="1" s="1"/>
  <c r="D51" i="1"/>
  <c r="CO51" i="1"/>
  <c r="EH189" i="1"/>
  <c r="EA189" i="1" s="1"/>
  <c r="BM189" i="1" s="1"/>
  <c r="DI126" i="1"/>
  <c r="DK126" i="1"/>
  <c r="DO126" i="1"/>
  <c r="DW126" i="1" s="1"/>
  <c r="EI48" i="1"/>
  <c r="EB48" i="1" s="1"/>
  <c r="BN48" i="1" s="1"/>
  <c r="D117" i="1"/>
  <c r="CO117" i="1"/>
  <c r="CU102" i="1"/>
  <c r="C122" i="1"/>
  <c r="CM122" i="1"/>
  <c r="CU126" i="1"/>
  <c r="DD84" i="1"/>
  <c r="EE56" i="1"/>
  <c r="DX56" i="1" s="1"/>
  <c r="EG153" i="1"/>
  <c r="DZ153" i="1" s="1"/>
  <c r="BL153" i="1" s="1"/>
  <c r="BS153" i="1" s="1"/>
  <c r="CU107" i="1"/>
  <c r="CS124" i="1"/>
  <c r="BH124" i="1"/>
  <c r="EI163" i="1"/>
  <c r="EB163" i="1" s="1"/>
  <c r="BN163" i="1" s="1"/>
  <c r="BU163" i="1" s="1"/>
  <c r="B56" i="1"/>
  <c r="CK56" i="1"/>
  <c r="AY56" i="1"/>
  <c r="C156" i="1"/>
  <c r="BH97" i="1"/>
  <c r="CS97" i="1"/>
  <c r="EH179" i="1"/>
  <c r="EA179" i="1" s="1"/>
  <c r="BM179" i="1" s="1"/>
  <c r="BS179" i="1" s="1"/>
  <c r="D85" i="1"/>
  <c r="AW84" i="1"/>
  <c r="CO85" i="1"/>
  <c r="EI161" i="1"/>
  <c r="EB161" i="1" s="1"/>
  <c r="BN161" i="1" s="1"/>
  <c r="CS126" i="1"/>
  <c r="BH126" i="1"/>
  <c r="EI185" i="1"/>
  <c r="EB185" i="1" s="1"/>
  <c r="BN185" i="1" s="1"/>
  <c r="D174" i="1"/>
  <c r="EI155" i="1"/>
  <c r="EB155" i="1" s="1"/>
  <c r="BN155" i="1" s="1"/>
  <c r="EI162" i="1"/>
  <c r="EB162" i="1" s="1"/>
  <c r="BN162" i="1" s="1"/>
  <c r="EJ159" i="1"/>
  <c r="EC159" i="1" s="1"/>
  <c r="BO159" i="1" s="1"/>
  <c r="EJ46" i="1"/>
  <c r="EC46" i="1" s="1"/>
  <c r="BO46" i="1" s="1"/>
  <c r="D115" i="1"/>
  <c r="CO115" i="1"/>
  <c r="CS107" i="1"/>
  <c r="BH107" i="1"/>
  <c r="BH120" i="1"/>
  <c r="CS120" i="1"/>
  <c r="CM90" i="1"/>
  <c r="C90" i="1"/>
  <c r="C181" i="1"/>
  <c r="CU99" i="1"/>
  <c r="BH109" i="1"/>
  <c r="CS109" i="1"/>
  <c r="EJ186" i="1"/>
  <c r="EC186" i="1" s="1"/>
  <c r="BO186" i="1" s="1"/>
  <c r="EG53" i="1"/>
  <c r="DZ53" i="1" s="1"/>
  <c r="BL53" i="1" s="1"/>
  <c r="CK52" i="1"/>
  <c r="B52" i="1"/>
  <c r="AY52" i="1"/>
  <c r="EJ63" i="1"/>
  <c r="EC63" i="1" s="1"/>
  <c r="BO63" i="1" s="1"/>
  <c r="EH56" i="1"/>
  <c r="EA56" i="1" s="1"/>
  <c r="BM56" i="1" s="1"/>
  <c r="B123" i="1"/>
  <c r="AY123" i="1"/>
  <c r="CK123" i="1"/>
  <c r="C150" i="1"/>
  <c r="CU130" i="1"/>
  <c r="EH53" i="1"/>
  <c r="EA53" i="1" s="1"/>
  <c r="BM53" i="1" s="1"/>
  <c r="EJ188" i="1"/>
  <c r="EC188" i="1" s="1"/>
  <c r="BO188" i="1" s="1"/>
  <c r="C170" i="1"/>
  <c r="BS170" i="1"/>
  <c r="CQ89" i="1"/>
  <c r="DT89" i="1"/>
  <c r="BH89" i="1"/>
  <c r="EO136" i="1"/>
  <c r="EH137" i="1"/>
  <c r="EA137" i="1" s="1"/>
  <c r="BM137" i="1" s="1"/>
  <c r="EH64" i="1"/>
  <c r="EA64" i="1" s="1"/>
  <c r="BM64" i="1" s="1"/>
  <c r="CO113" i="1"/>
  <c r="D113" i="1"/>
  <c r="C177" i="1"/>
  <c r="BC132" i="1"/>
  <c r="BH85" i="1"/>
  <c r="CS85" i="1"/>
  <c r="BC84" i="1"/>
  <c r="EJ73" i="1"/>
  <c r="EC73" i="1" s="1"/>
  <c r="BO73" i="1" s="1"/>
  <c r="CS163" i="1"/>
  <c r="BZ163" i="1"/>
  <c r="B49" i="1"/>
  <c r="AY49" i="1"/>
  <c r="CK49" i="1"/>
  <c r="DJ110" i="1"/>
  <c r="DN110" i="1"/>
  <c r="DV110" i="1" s="1"/>
  <c r="DH110" i="1"/>
  <c r="C180" i="1"/>
  <c r="DT88" i="1"/>
  <c r="BH88" i="1"/>
  <c r="CQ88" i="1"/>
  <c r="CM88" i="1"/>
  <c r="C88" i="1"/>
  <c r="EG75" i="1"/>
  <c r="DZ75" i="1" s="1"/>
  <c r="BL75" i="1" s="1"/>
  <c r="EI144" i="1"/>
  <c r="EB144" i="1" s="1"/>
  <c r="BN144" i="1" s="1"/>
  <c r="EE50" i="1"/>
  <c r="DX50" i="1" s="1"/>
  <c r="EI156" i="1"/>
  <c r="EB156" i="1" s="1"/>
  <c r="BN156" i="1" s="1"/>
  <c r="EH73" i="1"/>
  <c r="EA73" i="1" s="1"/>
  <c r="BM73" i="1" s="1"/>
  <c r="D116" i="1"/>
  <c r="CO116" i="1"/>
  <c r="CU118" i="1"/>
  <c r="CM64" i="1"/>
  <c r="C64" i="1"/>
  <c r="EG142" i="1"/>
  <c r="D140" i="1"/>
  <c r="EJ179" i="1"/>
  <c r="EC179" i="1" s="1"/>
  <c r="BO179" i="1" s="1"/>
  <c r="CK86" i="1"/>
  <c r="AY86" i="1"/>
  <c r="B86" i="1"/>
  <c r="CU121" i="1"/>
  <c r="EJ57" i="1"/>
  <c r="EC57" i="1" s="1"/>
  <c r="BO57" i="1" s="1"/>
  <c r="D183" i="1"/>
  <c r="EI72" i="1"/>
  <c r="EB72" i="1" s="1"/>
  <c r="BN72" i="1" s="1"/>
  <c r="EF51" i="1"/>
  <c r="DY51" i="1" s="1"/>
  <c r="BK51" i="1" s="1"/>
  <c r="EH74" i="1"/>
  <c r="EA74" i="1" s="1"/>
  <c r="BM74" i="1" s="1"/>
  <c r="DH119" i="1"/>
  <c r="DN119" i="1"/>
  <c r="DV119" i="1" s="1"/>
  <c r="DJ119" i="1"/>
  <c r="C119" i="1"/>
  <c r="CM119" i="1"/>
  <c r="CM107" i="1"/>
  <c r="C107" i="1"/>
  <c r="EI146" i="1"/>
  <c r="EB146" i="1" s="1"/>
  <c r="BN146" i="1" s="1"/>
  <c r="BS169" i="1"/>
  <c r="C169" i="1"/>
  <c r="CU93" i="1"/>
  <c r="B91" i="1"/>
  <c r="AY91" i="1"/>
  <c r="CK91" i="1"/>
  <c r="CM51" i="1"/>
  <c r="C51" i="1"/>
  <c r="EH48" i="1"/>
  <c r="EA48" i="1" s="1"/>
  <c r="BM48" i="1" s="1"/>
  <c r="D157" i="1"/>
  <c r="CK114" i="1"/>
  <c r="AY114" i="1"/>
  <c r="B114" i="1"/>
  <c r="EJ61" i="1"/>
  <c r="EC61" i="1" s="1"/>
  <c r="BO61" i="1" s="1"/>
  <c r="CS129" i="1"/>
  <c r="BH129" i="1"/>
  <c r="CS52" i="1"/>
  <c r="EH138" i="1"/>
  <c r="EA138" i="1" s="1"/>
  <c r="BM138" i="1" s="1"/>
  <c r="DO119" i="1"/>
  <c r="DW119" i="1" s="1"/>
  <c r="DK119" i="1"/>
  <c r="DI119" i="1"/>
  <c r="DU64" i="1"/>
  <c r="DK64" i="1"/>
  <c r="DI64" i="1"/>
  <c r="DO64" i="1"/>
  <c r="C144" i="1"/>
  <c r="BS164" i="1"/>
  <c r="C164" i="1"/>
  <c r="CM164" i="1"/>
  <c r="EG77" i="1"/>
  <c r="DZ77" i="1" s="1"/>
  <c r="BL77" i="1" s="1"/>
  <c r="EI56" i="1"/>
  <c r="EB56" i="1" s="1"/>
  <c r="BN56" i="1" s="1"/>
  <c r="EJ48" i="1"/>
  <c r="EC48" i="1" s="1"/>
  <c r="BO48" i="1" s="1"/>
  <c r="EF50" i="1"/>
  <c r="DY50" i="1" s="1"/>
  <c r="BK50" i="1" s="1"/>
  <c r="EI51" i="1"/>
  <c r="EB51" i="1" s="1"/>
  <c r="BN51" i="1" s="1"/>
  <c r="BH99" i="1"/>
  <c r="CS99" i="1"/>
  <c r="AX84" i="1"/>
  <c r="CK120" i="1"/>
  <c r="AY120" i="1"/>
  <c r="B120" i="1"/>
  <c r="EG79" i="1"/>
  <c r="DZ79" i="1" s="1"/>
  <c r="BL79" i="1" s="1"/>
  <c r="CM99" i="1"/>
  <c r="C99" i="1"/>
  <c r="C50" i="1"/>
  <c r="CM50" i="1"/>
  <c r="CU106" i="1"/>
  <c r="D181" i="1"/>
  <c r="EH70" i="1"/>
  <c r="EA70" i="1" s="1"/>
  <c r="BM70" i="1" s="1"/>
  <c r="CU128" i="1"/>
  <c r="CS111" i="1"/>
  <c r="BH111" i="1"/>
  <c r="C52" i="1"/>
  <c r="CM52" i="1"/>
  <c r="EF52" i="1"/>
  <c r="DY52" i="1" s="1"/>
  <c r="BK52" i="1" s="1"/>
  <c r="BS168" i="1"/>
  <c r="AY168" i="1"/>
  <c r="CM168" i="1"/>
  <c r="C168" i="1"/>
  <c r="EG45" i="1"/>
  <c r="DZ45" i="1" s="1"/>
  <c r="BL45" i="1" s="1"/>
  <c r="EN44" i="1"/>
  <c r="D182" i="1"/>
  <c r="Y32" i="2"/>
  <c r="BG31" i="1" s="1"/>
  <c r="AZ32" i="1"/>
  <c r="A33" i="2"/>
  <c r="DG32" i="1"/>
  <c r="F32" i="1"/>
  <c r="A33" i="1"/>
  <c r="T33" i="2"/>
  <c r="C33" i="2"/>
  <c r="X33" i="2"/>
  <c r="G33" i="2"/>
  <c r="W33" i="2"/>
  <c r="R33" i="2"/>
  <c r="H33" i="2"/>
  <c r="F33" i="2"/>
  <c r="Q33" i="2"/>
  <c r="P33" i="2"/>
  <c r="I33" i="2"/>
  <c r="N33" i="2"/>
  <c r="S33" i="2"/>
  <c r="V33" i="2"/>
  <c r="K33" i="2"/>
  <c r="B33" i="2"/>
  <c r="J33" i="2"/>
  <c r="D33" i="2"/>
  <c r="U33" i="2"/>
  <c r="M33" i="2"/>
  <c r="E33" i="2"/>
  <c r="L33" i="2"/>
  <c r="O33" i="2"/>
  <c r="BJ56" i="1" l="1"/>
  <c r="DR56" i="1" s="1"/>
  <c r="BJ52" i="1"/>
  <c r="DR52" i="1" s="1"/>
  <c r="BJ51" i="1"/>
  <c r="BQ51" i="1" s="1"/>
  <c r="BJ50" i="1"/>
  <c r="BX50" i="1" s="1"/>
  <c r="BJ53" i="1"/>
  <c r="BQ53" i="1" s="1"/>
  <c r="BJ49" i="1"/>
  <c r="DR49" i="1" s="1"/>
  <c r="ED105" i="1"/>
  <c r="ED114" i="1"/>
  <c r="ED100" i="1"/>
  <c r="ED102" i="1"/>
  <c r="ED124" i="1"/>
  <c r="ED110" i="1"/>
  <c r="ED104" i="1"/>
  <c r="ED112" i="1"/>
  <c r="ED127" i="1"/>
  <c r="ED98" i="1"/>
  <c r="ED108" i="1"/>
  <c r="ED116" i="1"/>
  <c r="ED107" i="1"/>
  <c r="ED113" i="1"/>
  <c r="ED123" i="1"/>
  <c r="ED120" i="1"/>
  <c r="ED101" i="1"/>
  <c r="ED128" i="1"/>
  <c r="ED126" i="1"/>
  <c r="ED111" i="1"/>
  <c r="ED121" i="1"/>
  <c r="ED115" i="1"/>
  <c r="ED122" i="1"/>
  <c r="ED106" i="1"/>
  <c r="ED93" i="1"/>
  <c r="ED130" i="1"/>
  <c r="ED96" i="1"/>
  <c r="ED119" i="1"/>
  <c r="ED118" i="1"/>
  <c r="ED94" i="1"/>
  <c r="ED103" i="1"/>
  <c r="ED125" i="1"/>
  <c r="ED95" i="1"/>
  <c r="ED99" i="1"/>
  <c r="ED117" i="1"/>
  <c r="ED109" i="1"/>
  <c r="ED97" i="1"/>
  <c r="ED129" i="1"/>
  <c r="ED85" i="1"/>
  <c r="BT173" i="1"/>
  <c r="DQ114" i="1"/>
  <c r="BT187" i="1"/>
  <c r="ES115" i="1"/>
  <c r="ES100" i="1"/>
  <c r="ES110" i="1"/>
  <c r="ES125" i="1"/>
  <c r="ES102" i="1"/>
  <c r="ES119" i="1"/>
  <c r="ES118" i="1"/>
  <c r="ES122" i="1"/>
  <c r="ES109" i="1"/>
  <c r="ES104" i="1"/>
  <c r="ES121" i="1"/>
  <c r="ES101" i="1"/>
  <c r="ES98" i="1"/>
  <c r="ES126" i="1"/>
  <c r="ES113" i="1"/>
  <c r="ES93" i="1"/>
  <c r="ES123" i="1"/>
  <c r="ES130" i="1"/>
  <c r="ES96" i="1"/>
  <c r="ES120" i="1"/>
  <c r="ES94" i="1"/>
  <c r="ES128" i="1"/>
  <c r="ES127" i="1"/>
  <c r="ES85" i="1"/>
  <c r="ES95" i="1"/>
  <c r="ES99" i="1"/>
  <c r="ES124" i="1"/>
  <c r="ES97" i="1"/>
  <c r="ES129" i="1"/>
  <c r="ES108" i="1"/>
  <c r="ES117" i="1"/>
  <c r="ES114" i="1"/>
  <c r="ES116" i="1"/>
  <c r="ES111" i="1"/>
  <c r="ES107" i="1"/>
  <c r="ES105" i="1"/>
  <c r="ES112" i="1"/>
  <c r="ES106" i="1"/>
  <c r="ES103" i="1"/>
  <c r="BT168" i="1"/>
  <c r="BT178" i="1"/>
  <c r="BT141" i="1"/>
  <c r="BT147" i="1"/>
  <c r="BT179" i="1"/>
  <c r="BT146" i="1"/>
  <c r="BT155" i="1"/>
  <c r="BT170" i="1"/>
  <c r="BT144" i="1"/>
  <c r="BT161" i="1"/>
  <c r="BT164" i="1"/>
  <c r="BT153" i="1"/>
  <c r="BT174" i="1"/>
  <c r="BT157" i="1"/>
  <c r="BT151" i="1"/>
  <c r="BT185" i="1"/>
  <c r="BT180" i="1"/>
  <c r="BT159" i="1"/>
  <c r="BT165" i="1"/>
  <c r="BT167" i="1"/>
  <c r="BT183" i="1"/>
  <c r="BT175" i="1"/>
  <c r="BT176" i="1"/>
  <c r="BT150" i="1"/>
  <c r="BT169" i="1"/>
  <c r="BT160" i="1"/>
  <c r="BT152" i="1"/>
  <c r="BT184" i="1"/>
  <c r="BT163" i="1"/>
  <c r="BT154" i="1"/>
  <c r="BT172" i="1"/>
  <c r="BT156" i="1"/>
  <c r="BT166" i="1"/>
  <c r="BT148" i="1"/>
  <c r="BT171" i="1"/>
  <c r="BT149" i="1"/>
  <c r="BT162" i="1"/>
  <c r="BT145" i="1"/>
  <c r="BT158" i="1"/>
  <c r="BT186" i="1"/>
  <c r="BT177" i="1"/>
  <c r="DP98" i="1"/>
  <c r="BU144" i="1"/>
  <c r="DV52" i="1"/>
  <c r="E92" i="1"/>
  <c r="DS129" i="1"/>
  <c r="DM116" i="1"/>
  <c r="DS95" i="1"/>
  <c r="DL123" i="1"/>
  <c r="DQ115" i="1"/>
  <c r="DL56" i="1"/>
  <c r="DQ122" i="1"/>
  <c r="DP88" i="1"/>
  <c r="DS90" i="1"/>
  <c r="DQ90" i="1"/>
  <c r="DW168" i="1"/>
  <c r="ES168" i="1" s="1"/>
  <c r="DW50" i="1"/>
  <c r="DW49" i="1"/>
  <c r="DW52" i="1"/>
  <c r="DV64" i="1"/>
  <c r="DW163" i="1"/>
  <c r="ES163" i="1" s="1"/>
  <c r="DW51" i="1"/>
  <c r="DW53" i="1"/>
  <c r="DV49" i="1"/>
  <c r="DW64" i="1"/>
  <c r="DW56" i="1"/>
  <c r="DV51" i="1"/>
  <c r="DV50" i="1"/>
  <c r="DV53" i="1"/>
  <c r="DV56" i="1"/>
  <c r="E50" i="1"/>
  <c r="BU171" i="1"/>
  <c r="DQ117" i="1"/>
  <c r="DQ163" i="1"/>
  <c r="DP90" i="1"/>
  <c r="DP130" i="1"/>
  <c r="CP86" i="1"/>
  <c r="CP50" i="1"/>
  <c r="DP106" i="1"/>
  <c r="BU187" i="1"/>
  <c r="DV86" i="1"/>
  <c r="ED86" i="1" s="1"/>
  <c r="C84" i="1"/>
  <c r="DV88" i="1"/>
  <c r="ED88" i="1" s="1"/>
  <c r="BU52" i="1"/>
  <c r="DH131" i="1"/>
  <c r="DI84" i="1"/>
  <c r="BU176" i="1"/>
  <c r="DV89" i="1"/>
  <c r="ED89" i="1" s="1"/>
  <c r="BU170" i="1"/>
  <c r="DI131" i="1"/>
  <c r="BU177" i="1"/>
  <c r="CP51" i="1"/>
  <c r="DI132" i="1"/>
  <c r="DM114" i="1"/>
  <c r="DQ110" i="1"/>
  <c r="DP105" i="1"/>
  <c r="DM107" i="1"/>
  <c r="DQ53" i="1"/>
  <c r="DL96" i="1"/>
  <c r="DL121" i="1"/>
  <c r="DL126" i="1"/>
  <c r="DP86" i="1"/>
  <c r="DP122" i="1"/>
  <c r="DM87" i="1"/>
  <c r="DL89" i="1"/>
  <c r="BI125" i="1"/>
  <c r="BU156" i="1"/>
  <c r="CP113" i="1"/>
  <c r="CP90" i="1"/>
  <c r="DV87" i="1"/>
  <c r="ED87" i="1" s="1"/>
  <c r="DM93" i="1"/>
  <c r="BU164" i="1"/>
  <c r="BV164" i="1" s="1"/>
  <c r="DS96" i="1"/>
  <c r="DQ93" i="1"/>
  <c r="DS93" i="1"/>
  <c r="DP104" i="1"/>
  <c r="DQ118" i="1"/>
  <c r="DL110" i="1"/>
  <c r="DH84" i="1"/>
  <c r="E89" i="1"/>
  <c r="BI96" i="1"/>
  <c r="E113" i="1"/>
  <c r="DL130" i="1"/>
  <c r="CP122" i="1"/>
  <c r="CP127" i="1"/>
  <c r="DM108" i="1"/>
  <c r="DQ120" i="1"/>
  <c r="DM97" i="1"/>
  <c r="BI128" i="1"/>
  <c r="DM86" i="1"/>
  <c r="DL115" i="1"/>
  <c r="DS97" i="1"/>
  <c r="DP85" i="1"/>
  <c r="CP89" i="1"/>
  <c r="E93" i="1"/>
  <c r="CP104" i="1"/>
  <c r="E108" i="1"/>
  <c r="CP100" i="1"/>
  <c r="DV91" i="1"/>
  <c r="ED91" i="1" s="1"/>
  <c r="DP125" i="1"/>
  <c r="DS127" i="1"/>
  <c r="CP53" i="1"/>
  <c r="DM127" i="1"/>
  <c r="E51" i="1"/>
  <c r="CP163" i="1"/>
  <c r="DV90" i="1"/>
  <c r="ED90" i="1" s="1"/>
  <c r="E87" i="1"/>
  <c r="DQ130" i="1"/>
  <c r="DM109" i="1"/>
  <c r="DS114" i="1"/>
  <c r="DP50" i="1"/>
  <c r="DL112" i="1"/>
  <c r="BI120" i="1"/>
  <c r="BS49" i="1"/>
  <c r="DM101" i="1"/>
  <c r="D136" i="1"/>
  <c r="DL128" i="1"/>
  <c r="DM92" i="1"/>
  <c r="DM123" i="1"/>
  <c r="DQ89" i="1"/>
  <c r="DS99" i="1"/>
  <c r="E119" i="1"/>
  <c r="DL100" i="1"/>
  <c r="DP113" i="1"/>
  <c r="DQ96" i="1"/>
  <c r="CP101" i="1"/>
  <c r="BI122" i="1"/>
  <c r="E110" i="1"/>
  <c r="DP89" i="1"/>
  <c r="DQ91" i="1"/>
  <c r="E105" i="1"/>
  <c r="DQ129" i="1"/>
  <c r="CP97" i="1"/>
  <c r="DL122" i="1"/>
  <c r="DQ95" i="1"/>
  <c r="DP107" i="1"/>
  <c r="DS102" i="1"/>
  <c r="DP109" i="1"/>
  <c r="BI119" i="1"/>
  <c r="DS104" i="1"/>
  <c r="DS128" i="1"/>
  <c r="E91" i="1"/>
  <c r="BU138" i="1"/>
  <c r="E64" i="1"/>
  <c r="E115" i="1"/>
  <c r="E97" i="1"/>
  <c r="E127" i="1"/>
  <c r="E121" i="1"/>
  <c r="CP120" i="1"/>
  <c r="DQ109" i="1"/>
  <c r="CP91" i="1"/>
  <c r="DM102" i="1"/>
  <c r="E114" i="1"/>
  <c r="DS109" i="1"/>
  <c r="DQ101" i="1"/>
  <c r="E100" i="1"/>
  <c r="DM96" i="1"/>
  <c r="DL106" i="1"/>
  <c r="CP119" i="1"/>
  <c r="BI109" i="1"/>
  <c r="CP87" i="1"/>
  <c r="E98" i="1"/>
  <c r="E106" i="1"/>
  <c r="DP102" i="1"/>
  <c r="E120" i="1"/>
  <c r="E116" i="1"/>
  <c r="DQ94" i="1"/>
  <c r="DS118" i="1"/>
  <c r="DP123" i="1"/>
  <c r="DM129" i="1"/>
  <c r="DM94" i="1"/>
  <c r="DM95" i="1"/>
  <c r="DL86" i="1"/>
  <c r="DS94" i="1"/>
  <c r="BI116" i="1"/>
  <c r="DV92" i="1"/>
  <c r="ED92" i="1" s="1"/>
  <c r="BI106" i="1"/>
  <c r="BS70" i="1"/>
  <c r="BT70" i="1" s="1"/>
  <c r="BU148" i="1"/>
  <c r="DL107" i="1"/>
  <c r="BU184" i="1"/>
  <c r="CB50" i="1"/>
  <c r="CB49" i="1"/>
  <c r="BI52" i="1"/>
  <c r="DL114" i="1"/>
  <c r="DP108" i="1"/>
  <c r="DQ107" i="1"/>
  <c r="DQ112" i="1"/>
  <c r="DP49" i="1"/>
  <c r="CB52" i="1"/>
  <c r="BI53" i="1"/>
  <c r="BU137" i="1"/>
  <c r="BI103" i="1"/>
  <c r="E94" i="1"/>
  <c r="BI105" i="1"/>
  <c r="CP106" i="1"/>
  <c r="CP121" i="1"/>
  <c r="E117" i="1"/>
  <c r="BI104" i="1"/>
  <c r="BI108" i="1"/>
  <c r="BI91" i="1"/>
  <c r="DM98" i="1"/>
  <c r="DL95" i="1"/>
  <c r="BI110" i="1"/>
  <c r="CP114" i="1"/>
  <c r="DS111" i="1"/>
  <c r="DP95" i="1"/>
  <c r="BU50" i="1"/>
  <c r="DQ99" i="1"/>
  <c r="DS106" i="1"/>
  <c r="DM113" i="1"/>
  <c r="DL87" i="1"/>
  <c r="DM89" i="1"/>
  <c r="DP96" i="1"/>
  <c r="BI121" i="1"/>
  <c r="DS91" i="1"/>
  <c r="DL118" i="1"/>
  <c r="BI92" i="1"/>
  <c r="DL105" i="1"/>
  <c r="CP88" i="1"/>
  <c r="CP118" i="1"/>
  <c r="DP114" i="1"/>
  <c r="DP92" i="1"/>
  <c r="BI126" i="1"/>
  <c r="CP128" i="1"/>
  <c r="DL97" i="1"/>
  <c r="DQ127" i="1"/>
  <c r="E126" i="1"/>
  <c r="DP101" i="1"/>
  <c r="DM110" i="1"/>
  <c r="BU158" i="1"/>
  <c r="DP64" i="1"/>
  <c r="BU162" i="1"/>
  <c r="BU141" i="1"/>
  <c r="DM56" i="1"/>
  <c r="DQ49" i="1"/>
  <c r="DS52" i="1"/>
  <c r="BU49" i="1"/>
  <c r="BU178" i="1"/>
  <c r="DP126" i="1"/>
  <c r="BI89" i="1"/>
  <c r="EJ136" i="1"/>
  <c r="DS103" i="1"/>
  <c r="DS120" i="1"/>
  <c r="DS110" i="1"/>
  <c r="DQ108" i="1"/>
  <c r="CS84" i="1"/>
  <c r="DS101" i="1"/>
  <c r="DP128" i="1"/>
  <c r="BU180" i="1"/>
  <c r="BI112" i="1"/>
  <c r="CQ84" i="1"/>
  <c r="DS119" i="1"/>
  <c r="BU139" i="1"/>
  <c r="BI131" i="1"/>
  <c r="CO84" i="1"/>
  <c r="CO132" i="1" s="1"/>
  <c r="BI88" i="1"/>
  <c r="BI102" i="1"/>
  <c r="BI115" i="1"/>
  <c r="CP123" i="1"/>
  <c r="CP168" i="1"/>
  <c r="BI117" i="1"/>
  <c r="E103" i="1"/>
  <c r="E122" i="1"/>
  <c r="CP92" i="1"/>
  <c r="CP110" i="1"/>
  <c r="CP103" i="1"/>
  <c r="CP93" i="1"/>
  <c r="CP108" i="1"/>
  <c r="BI114" i="1"/>
  <c r="CP115" i="1"/>
  <c r="CP107" i="1"/>
  <c r="CP95" i="1"/>
  <c r="BI90" i="1"/>
  <c r="E130" i="1"/>
  <c r="E102" i="1"/>
  <c r="CP125" i="1"/>
  <c r="D84" i="1"/>
  <c r="E90" i="1"/>
  <c r="BI130" i="1"/>
  <c r="E118" i="1"/>
  <c r="E123" i="1"/>
  <c r="CU84" i="1"/>
  <c r="BI123" i="1"/>
  <c r="CP96" i="1"/>
  <c r="CP111" i="1"/>
  <c r="E128" i="1"/>
  <c r="BI95" i="1"/>
  <c r="E111" i="1"/>
  <c r="CP116" i="1"/>
  <c r="CP105" i="1"/>
  <c r="CP98" i="1"/>
  <c r="E99" i="1"/>
  <c r="CP124" i="1"/>
  <c r="CP126" i="1"/>
  <c r="E86" i="1"/>
  <c r="E125" i="1"/>
  <c r="CP130" i="1"/>
  <c r="DP94" i="1"/>
  <c r="DM112" i="1"/>
  <c r="DM91" i="1"/>
  <c r="BU142" i="1"/>
  <c r="DS87" i="1"/>
  <c r="DS112" i="1"/>
  <c r="DQ87" i="1"/>
  <c r="DS116" i="1"/>
  <c r="BZ51" i="1"/>
  <c r="DQ106" i="1"/>
  <c r="DL94" i="1"/>
  <c r="DL117" i="1"/>
  <c r="DQ126" i="1"/>
  <c r="DM111" i="1"/>
  <c r="DP127" i="1"/>
  <c r="DP129" i="1"/>
  <c r="DP93" i="1"/>
  <c r="DS121" i="1"/>
  <c r="DM125" i="1"/>
  <c r="DL99" i="1"/>
  <c r="DP87" i="1"/>
  <c r="DS168" i="1"/>
  <c r="DQ124" i="1"/>
  <c r="DL108" i="1"/>
  <c r="BU160" i="1"/>
  <c r="DM118" i="1"/>
  <c r="DQ50" i="1"/>
  <c r="DQ92" i="1"/>
  <c r="DK131" i="1"/>
  <c r="DL109" i="1"/>
  <c r="DL111" i="1"/>
  <c r="DL113" i="1"/>
  <c r="DQ97" i="1"/>
  <c r="DS122" i="1"/>
  <c r="DQ102" i="1"/>
  <c r="DQ98" i="1"/>
  <c r="DS107" i="1"/>
  <c r="DS98" i="1"/>
  <c r="BU157" i="1"/>
  <c r="CP56" i="1"/>
  <c r="DL49" i="1"/>
  <c r="DZ142" i="1"/>
  <c r="BL142" i="1" s="1"/>
  <c r="BS142" i="1" s="1"/>
  <c r="BT142" i="1" s="1"/>
  <c r="EG136" i="1"/>
  <c r="DL50" i="1"/>
  <c r="DS126" i="1"/>
  <c r="DL92" i="1"/>
  <c r="DP99" i="1"/>
  <c r="DM130" i="1"/>
  <c r="DS130" i="1"/>
  <c r="DK84" i="1"/>
  <c r="DM119" i="1"/>
  <c r="DS86" i="1"/>
  <c r="DQ86" i="1"/>
  <c r="DS100" i="1"/>
  <c r="DM100" i="1"/>
  <c r="DQ105" i="1"/>
  <c r="DM105" i="1"/>
  <c r="EA181" i="1"/>
  <c r="BM181" i="1" s="1"/>
  <c r="BS181" i="1" s="1"/>
  <c r="BT181" i="1" s="1"/>
  <c r="EH136" i="1"/>
  <c r="CP102" i="1"/>
  <c r="DL168" i="1"/>
  <c r="DP168" i="1"/>
  <c r="DJ84" i="1"/>
  <c r="BH131" i="1"/>
  <c r="DM126" i="1"/>
  <c r="DL93" i="1"/>
  <c r="BI129" i="1"/>
  <c r="BI97" i="1"/>
  <c r="BI98" i="1"/>
  <c r="DL129" i="1"/>
  <c r="BU165" i="1"/>
  <c r="CR82" i="1"/>
  <c r="DS117" i="1"/>
  <c r="DQ123" i="1"/>
  <c r="DS123" i="1"/>
  <c r="DM99" i="1"/>
  <c r="BI82" i="1"/>
  <c r="BI107" i="1"/>
  <c r="DK132" i="1"/>
  <c r="DL104" i="1"/>
  <c r="DL88" i="1"/>
  <c r="DP117" i="1"/>
  <c r="DS89" i="1"/>
  <c r="DM120" i="1"/>
  <c r="DL85" i="1"/>
  <c r="DM163" i="1"/>
  <c r="BI87" i="1"/>
  <c r="DL125" i="1"/>
  <c r="DM124" i="1"/>
  <c r="CS82" i="1"/>
  <c r="DQ125" i="1"/>
  <c r="DP110" i="1"/>
  <c r="DP97" i="1"/>
  <c r="DQ111" i="1"/>
  <c r="DP118" i="1"/>
  <c r="DM85" i="1"/>
  <c r="DP119" i="1"/>
  <c r="DL124" i="1"/>
  <c r="DP124" i="1"/>
  <c r="CP129" i="1"/>
  <c r="CM84" i="1"/>
  <c r="CM131" i="1" s="1"/>
  <c r="DS88" i="1"/>
  <c r="DQ88" i="1"/>
  <c r="DQ168" i="1"/>
  <c r="DS163" i="1"/>
  <c r="DP112" i="1"/>
  <c r="DP115" i="1"/>
  <c r="BI94" i="1"/>
  <c r="BI93" i="1"/>
  <c r="DS115" i="1"/>
  <c r="DM115" i="1"/>
  <c r="DS113" i="1"/>
  <c r="DQ113" i="1"/>
  <c r="DP91" i="1"/>
  <c r="DL91" i="1"/>
  <c r="CP94" i="1"/>
  <c r="DM104" i="1"/>
  <c r="DQ104" i="1"/>
  <c r="DM122" i="1"/>
  <c r="E107" i="1"/>
  <c r="BI127" i="1"/>
  <c r="DL90" i="1"/>
  <c r="DH132" i="1"/>
  <c r="DS105" i="1"/>
  <c r="EI136" i="1"/>
  <c r="DS92" i="1"/>
  <c r="DL98" i="1"/>
  <c r="DL119" i="1"/>
  <c r="DL101" i="1"/>
  <c r="DP121" i="1"/>
  <c r="DQ100" i="1"/>
  <c r="DQ103" i="1"/>
  <c r="BI113" i="1"/>
  <c r="DM117" i="1"/>
  <c r="DL102" i="1"/>
  <c r="DM103" i="1"/>
  <c r="DQ121" i="1"/>
  <c r="DS124" i="1"/>
  <c r="DM88" i="1"/>
  <c r="DM106" i="1"/>
  <c r="DM168" i="1"/>
  <c r="DS108" i="1"/>
  <c r="DP100" i="1"/>
  <c r="BI111" i="1"/>
  <c r="BI100" i="1"/>
  <c r="DJ132" i="1"/>
  <c r="DP111" i="1"/>
  <c r="DL52" i="1"/>
  <c r="DM121" i="1"/>
  <c r="E168" i="1"/>
  <c r="CP99" i="1"/>
  <c r="BI124" i="1"/>
  <c r="BI101" i="1"/>
  <c r="E104" i="1"/>
  <c r="E124" i="1"/>
  <c r="DL127" i="1"/>
  <c r="BU168" i="1"/>
  <c r="BU149" i="1"/>
  <c r="BU181" i="1"/>
  <c r="BU146" i="1"/>
  <c r="E56" i="1"/>
  <c r="DS53" i="1"/>
  <c r="DM53" i="1"/>
  <c r="CB56" i="1"/>
  <c r="CC56" i="1" s="1"/>
  <c r="BU51" i="1"/>
  <c r="DQ116" i="1"/>
  <c r="BU188" i="1"/>
  <c r="BU167" i="1"/>
  <c r="BU145" i="1"/>
  <c r="BS51" i="1"/>
  <c r="BU152" i="1"/>
  <c r="E52" i="1"/>
  <c r="CB51" i="1"/>
  <c r="E49" i="1"/>
  <c r="BU175" i="1"/>
  <c r="BU161" i="1"/>
  <c r="BO44" i="1"/>
  <c r="BS64" i="1"/>
  <c r="CP49" i="1"/>
  <c r="BU147" i="1"/>
  <c r="BU183" i="1"/>
  <c r="BU182" i="1"/>
  <c r="BU140" i="1"/>
  <c r="DL51" i="1"/>
  <c r="DQ51" i="1"/>
  <c r="BH82" i="1"/>
  <c r="DQ119" i="1"/>
  <c r="DJ131" i="1"/>
  <c r="BH84" i="1"/>
  <c r="BI99" i="1"/>
  <c r="CP52" i="1"/>
  <c r="E53" i="1"/>
  <c r="CP64" i="1"/>
  <c r="BS52" i="1"/>
  <c r="DP53" i="1"/>
  <c r="DP56" i="1"/>
  <c r="BI50" i="1"/>
  <c r="BU172" i="1"/>
  <c r="BS63" i="1"/>
  <c r="DQ52" i="1"/>
  <c r="BU179" i="1"/>
  <c r="BI51" i="1"/>
  <c r="DM50" i="1"/>
  <c r="BU153" i="1"/>
  <c r="DL53" i="1"/>
  <c r="DS56" i="1"/>
  <c r="DM52" i="1"/>
  <c r="DP51" i="1"/>
  <c r="DP52" i="1"/>
  <c r="BU166" i="1"/>
  <c r="EH44" i="1"/>
  <c r="DS51" i="1"/>
  <c r="DQ56" i="1"/>
  <c r="DM51" i="1"/>
  <c r="DM64" i="1"/>
  <c r="BZ49" i="1"/>
  <c r="CB168" i="1"/>
  <c r="BU155" i="1"/>
  <c r="DM49" i="1"/>
  <c r="DS49" i="1"/>
  <c r="EJ44" i="1"/>
  <c r="BZ56" i="1"/>
  <c r="CA56" i="1" s="1"/>
  <c r="EG44" i="1"/>
  <c r="DL64" i="1"/>
  <c r="BU185" i="1"/>
  <c r="BS50" i="1"/>
  <c r="BU154" i="1"/>
  <c r="CB64" i="1"/>
  <c r="CC65" i="1" s="1"/>
  <c r="BU143" i="1"/>
  <c r="BZ52" i="1"/>
  <c r="BZ64" i="1"/>
  <c r="CA65" i="1" s="1"/>
  <c r="DQ64" i="1"/>
  <c r="EI44" i="1"/>
  <c r="BL44" i="1"/>
  <c r="BO136" i="1"/>
  <c r="BZ53" i="1"/>
  <c r="CA54" i="1" s="1"/>
  <c r="BU186" i="1"/>
  <c r="BN136" i="1"/>
  <c r="BU174" i="1"/>
  <c r="BU189" i="1"/>
  <c r="BU64" i="1"/>
  <c r="BU159" i="1"/>
  <c r="BU169" i="1"/>
  <c r="CB53" i="1"/>
  <c r="CC54" i="1" s="1"/>
  <c r="BU150" i="1"/>
  <c r="BZ50" i="1"/>
  <c r="DS64" i="1"/>
  <c r="DM128" i="1"/>
  <c r="BM44" i="1"/>
  <c r="BU173" i="1"/>
  <c r="BU151" i="1"/>
  <c r="BU56" i="1"/>
  <c r="BS53" i="1"/>
  <c r="BN44" i="1"/>
  <c r="BU53" i="1"/>
  <c r="BS56" i="1"/>
  <c r="BT56" i="1" s="1"/>
  <c r="CB163" i="1"/>
  <c r="DQ85" i="1"/>
  <c r="E163" i="1"/>
  <c r="DP163" i="1"/>
  <c r="DL163" i="1"/>
  <c r="E95" i="1"/>
  <c r="DS50" i="1"/>
  <c r="BI118" i="1"/>
  <c r="DL103" i="1"/>
  <c r="DP103" i="1"/>
  <c r="E88" i="1"/>
  <c r="DS125" i="1"/>
  <c r="DS85" i="1"/>
  <c r="E112" i="1"/>
  <c r="CP112" i="1"/>
  <c r="DL116" i="1"/>
  <c r="DP116" i="1"/>
  <c r="DQ128" i="1"/>
  <c r="E129" i="1"/>
  <c r="E109" i="1"/>
  <c r="DP120" i="1"/>
  <c r="DL120" i="1"/>
  <c r="DM90" i="1"/>
  <c r="CP117" i="1"/>
  <c r="E96" i="1"/>
  <c r="E101" i="1"/>
  <c r="CP109" i="1"/>
  <c r="Y33" i="2"/>
  <c r="BG32" i="1" s="1"/>
  <c r="AZ33" i="1"/>
  <c r="A34" i="2"/>
  <c r="DG33" i="1"/>
  <c r="F33" i="1"/>
  <c r="A34" i="1"/>
  <c r="T34" i="2"/>
  <c r="V34" i="2"/>
  <c r="K34" i="2"/>
  <c r="I34" i="2"/>
  <c r="P34" i="2"/>
  <c r="Q34" i="2"/>
  <c r="G34" i="2"/>
  <c r="E34" i="2"/>
  <c r="W34" i="2"/>
  <c r="H34" i="2"/>
  <c r="B34" i="2"/>
  <c r="N34" i="2"/>
  <c r="J34" i="2"/>
  <c r="S34" i="2"/>
  <c r="R34" i="2"/>
  <c r="M34" i="2"/>
  <c r="L34" i="2"/>
  <c r="D34" i="2"/>
  <c r="F34" i="2"/>
  <c r="U34" i="2"/>
  <c r="O34" i="2"/>
  <c r="C34" i="2"/>
  <c r="X34" i="2"/>
  <c r="BX53" i="1" l="1"/>
  <c r="BY54" i="1" s="1"/>
  <c r="BX49" i="1"/>
  <c r="BY50" i="1" s="1"/>
  <c r="BQ52" i="1"/>
  <c r="EK56" i="1"/>
  <c r="BX52" i="1"/>
  <c r="BY53" i="1" s="1"/>
  <c r="BQ49" i="1"/>
  <c r="BX51" i="1"/>
  <c r="CY51" i="1" s="1"/>
  <c r="DR51" i="1"/>
  <c r="BX56" i="1"/>
  <c r="BY56" i="1" s="1"/>
  <c r="EK53" i="1"/>
  <c r="BQ56" i="1"/>
  <c r="DR53" i="1"/>
  <c r="EK50" i="1"/>
  <c r="EK49" i="1"/>
  <c r="EK52" i="1"/>
  <c r="EK51" i="1"/>
  <c r="BQ50" i="1"/>
  <c r="DR50" i="1"/>
  <c r="ED132" i="1"/>
  <c r="ED131" i="1"/>
  <c r="ED56" i="1"/>
  <c r="ED168" i="1"/>
  <c r="ED163" i="1"/>
  <c r="ED53" i="1"/>
  <c r="ED49" i="1"/>
  <c r="ED50" i="1"/>
  <c r="ED64" i="1"/>
  <c r="ED52" i="1"/>
  <c r="ED51" i="1"/>
  <c r="ES91" i="1"/>
  <c r="ES86" i="1"/>
  <c r="ES90" i="1"/>
  <c r="ES87" i="1"/>
  <c r="ES89" i="1"/>
  <c r="ES88" i="1"/>
  <c r="ES92" i="1"/>
  <c r="BV185" i="1"/>
  <c r="BV157" i="1"/>
  <c r="BT50" i="1"/>
  <c r="BT52" i="1"/>
  <c r="ES56" i="1"/>
  <c r="ES53" i="1"/>
  <c r="ES49" i="1"/>
  <c r="ES51" i="1"/>
  <c r="ES50" i="1"/>
  <c r="ES64" i="1"/>
  <c r="ES52" i="1"/>
  <c r="BV140" i="1"/>
  <c r="BV161" i="1"/>
  <c r="BV178" i="1"/>
  <c r="CC52" i="1"/>
  <c r="BV147" i="1"/>
  <c r="BV166" i="1"/>
  <c r="BV182" i="1"/>
  <c r="BV177" i="1"/>
  <c r="BV159" i="1"/>
  <c r="BV189" i="1"/>
  <c r="BV145" i="1"/>
  <c r="BV143" i="1"/>
  <c r="BV153" i="1"/>
  <c r="BV181" i="1"/>
  <c r="BV165" i="1"/>
  <c r="BT53" i="1"/>
  <c r="BT54" i="1"/>
  <c r="BT64" i="1"/>
  <c r="BT65" i="1"/>
  <c r="BT51" i="1"/>
  <c r="BR54" i="1"/>
  <c r="BV172" i="1"/>
  <c r="BV151" i="1"/>
  <c r="BV174" i="1"/>
  <c r="BV169" i="1"/>
  <c r="BV179" i="1"/>
  <c r="BV183" i="1"/>
  <c r="BV162" i="1"/>
  <c r="BV187" i="1"/>
  <c r="BV149" i="1"/>
  <c r="BV167" i="1"/>
  <c r="BV173" i="1"/>
  <c r="BV142" i="1"/>
  <c r="BV139" i="1"/>
  <c r="BV146" i="1"/>
  <c r="BV168" i="1"/>
  <c r="BV160" i="1"/>
  <c r="BV184" i="1"/>
  <c r="BV176" i="1"/>
  <c r="BV171" i="1"/>
  <c r="BV150" i="1"/>
  <c r="BV175" i="1"/>
  <c r="BV152" i="1"/>
  <c r="BV188" i="1"/>
  <c r="BV180" i="1"/>
  <c r="BV158" i="1"/>
  <c r="BV144" i="1"/>
  <c r="BV163" i="1"/>
  <c r="BV186" i="1"/>
  <c r="BV154" i="1"/>
  <c r="BV155" i="1"/>
  <c r="BV141" i="1"/>
  <c r="BV148" i="1"/>
  <c r="BV138" i="1"/>
  <c r="BV156" i="1"/>
  <c r="BV170" i="1"/>
  <c r="BT143" i="1"/>
  <c r="BT182" i="1"/>
  <c r="DP131" i="1"/>
  <c r="DL132" i="1"/>
  <c r="DP84" i="1"/>
  <c r="DP132" i="1"/>
  <c r="CO131" i="1"/>
  <c r="CC50" i="1"/>
  <c r="CM132" i="1"/>
  <c r="CQ82" i="1"/>
  <c r="CA52" i="1"/>
  <c r="BM136" i="1"/>
  <c r="BL136" i="1"/>
  <c r="DS132" i="1"/>
  <c r="DQ132" i="1"/>
  <c r="DL84" i="1"/>
  <c r="DL131" i="1"/>
  <c r="DM131" i="1"/>
  <c r="DQ131" i="1"/>
  <c r="DQ84" i="1"/>
  <c r="CW51" i="1"/>
  <c r="DM132" i="1"/>
  <c r="CC51" i="1"/>
  <c r="CY50" i="1"/>
  <c r="DS84" i="1"/>
  <c r="DS131" i="1"/>
  <c r="DM84" i="1"/>
  <c r="CC53" i="1"/>
  <c r="CW53" i="1"/>
  <c r="CA50" i="1"/>
  <c r="CA51" i="1"/>
  <c r="CA53" i="1"/>
  <c r="BU136" i="1"/>
  <c r="BU191" i="1" s="1"/>
  <c r="Y34" i="2"/>
  <c r="BG33" i="1" s="1"/>
  <c r="AZ34" i="1"/>
  <c r="A35" i="2"/>
  <c r="DG34" i="1"/>
  <c r="F34" i="1"/>
  <c r="A35" i="1"/>
  <c r="U35" i="2"/>
  <c r="F35" i="2"/>
  <c r="H35" i="2"/>
  <c r="X35" i="2"/>
  <c r="D35" i="2"/>
  <c r="E35" i="2"/>
  <c r="P35" i="2"/>
  <c r="J35" i="2"/>
  <c r="N35" i="2"/>
  <c r="S35" i="2"/>
  <c r="R35" i="2"/>
  <c r="M35" i="2"/>
  <c r="Q35" i="2"/>
  <c r="G35" i="2"/>
  <c r="B35" i="2"/>
  <c r="I35" i="2"/>
  <c r="K35" i="2"/>
  <c r="O35" i="2"/>
  <c r="L35" i="2"/>
  <c r="C35" i="2"/>
  <c r="V35" i="2"/>
  <c r="T35" i="2"/>
  <c r="W35" i="2"/>
  <c r="CY53" i="1" l="1"/>
  <c r="CZ54" i="1" s="1"/>
  <c r="ET53" i="1"/>
  <c r="ET51" i="1"/>
  <c r="ET50" i="1"/>
  <c r="BR56" i="1"/>
  <c r="ET56" i="1"/>
  <c r="BR52" i="1"/>
  <c r="ET52" i="1"/>
  <c r="CW49" i="1"/>
  <c r="ET49" i="1"/>
  <c r="CY49" i="1"/>
  <c r="CZ50" i="1" s="1"/>
  <c r="BR53" i="1"/>
  <c r="CW52" i="1"/>
  <c r="CY52" i="1"/>
  <c r="BY52" i="1"/>
  <c r="BR50" i="1"/>
  <c r="BY51" i="1"/>
  <c r="CY56" i="1"/>
  <c r="CZ56" i="1" s="1"/>
  <c r="CW56" i="1"/>
  <c r="CW50" i="1"/>
  <c r="BR51" i="1"/>
  <c r="DN132" i="1"/>
  <c r="CZ51" i="1"/>
  <c r="BU190" i="1"/>
  <c r="Y35" i="2"/>
  <c r="BG34" i="1" s="1"/>
  <c r="AZ35" i="1"/>
  <c r="A36" i="2"/>
  <c r="DG35" i="1"/>
  <c r="F35" i="1"/>
  <c r="A36" i="1"/>
  <c r="M36" i="2"/>
  <c r="C36" i="2"/>
  <c r="R36" i="2"/>
  <c r="O36" i="2"/>
  <c r="J36" i="2"/>
  <c r="G36" i="2"/>
  <c r="U36" i="2"/>
  <c r="P36" i="2"/>
  <c r="N36" i="2"/>
  <c r="B36" i="2"/>
  <c r="F36" i="2"/>
  <c r="E36" i="2"/>
  <c r="I36" i="2"/>
  <c r="L36" i="2"/>
  <c r="Q36" i="2"/>
  <c r="T36" i="2"/>
  <c r="S36" i="2"/>
  <c r="D36" i="2"/>
  <c r="V36" i="2"/>
  <c r="X36" i="2"/>
  <c r="W36" i="2"/>
  <c r="H36" i="2"/>
  <c r="K36" i="2"/>
  <c r="CZ53" i="1" l="1"/>
  <c r="CZ52" i="1"/>
  <c r="Y36" i="2"/>
  <c r="BG35" i="1" s="1"/>
  <c r="AZ36" i="1"/>
  <c r="A37" i="2"/>
  <c r="DG36" i="1"/>
  <c r="F36" i="1"/>
  <c r="A37" i="1"/>
  <c r="T37" i="2"/>
  <c r="V37" i="2"/>
  <c r="O37" i="2"/>
  <c r="G37" i="2"/>
  <c r="Q37" i="2"/>
  <c r="F37" i="2"/>
  <c r="X37" i="2"/>
  <c r="P37" i="2"/>
  <c r="S37" i="2"/>
  <c r="U37" i="2"/>
  <c r="B37" i="2"/>
  <c r="H37" i="2"/>
  <c r="M37" i="2"/>
  <c r="K37" i="2"/>
  <c r="I37" i="2"/>
  <c r="C37" i="2"/>
  <c r="N37" i="2"/>
  <c r="J37" i="2"/>
  <c r="E37" i="2"/>
  <c r="L37" i="2"/>
  <c r="D37" i="2"/>
  <c r="W37" i="2"/>
  <c r="R37" i="2"/>
  <c r="Y37" i="2" l="1"/>
  <c r="BG36" i="1" s="1"/>
  <c r="AZ37" i="1"/>
  <c r="A38" i="2"/>
  <c r="DG37" i="1"/>
  <c r="F37" i="1"/>
  <c r="A38" i="1"/>
  <c r="G38" i="2"/>
  <c r="J38" i="2"/>
  <c r="E38" i="2"/>
  <c r="S38" i="2"/>
  <c r="M38" i="2"/>
  <c r="T38" i="2"/>
  <c r="K38" i="2"/>
  <c r="N38" i="2"/>
  <c r="Q38" i="2"/>
  <c r="L38" i="2"/>
  <c r="R38" i="2"/>
  <c r="X38" i="2"/>
  <c r="U38" i="2"/>
  <c r="I38" i="2"/>
  <c r="P38" i="2"/>
  <c r="O38" i="2"/>
  <c r="B38" i="2"/>
  <c r="H38" i="2"/>
  <c r="F38" i="2"/>
  <c r="V38" i="2"/>
  <c r="C38" i="2"/>
  <c r="D38" i="2"/>
  <c r="W38" i="2"/>
  <c r="Y38" i="2" l="1"/>
  <c r="BG37" i="1" s="1"/>
  <c r="AZ38" i="1"/>
  <c r="A39" i="2"/>
  <c r="DG38" i="1"/>
  <c r="F38" i="1"/>
  <c r="U39" i="2"/>
  <c r="W39" i="2"/>
  <c r="N39" i="2"/>
  <c r="M39" i="2"/>
  <c r="D39" i="2"/>
  <c r="K39" i="2"/>
  <c r="G39" i="2"/>
  <c r="O39" i="2"/>
  <c r="X39" i="2"/>
  <c r="R39" i="2"/>
  <c r="L39" i="2"/>
  <c r="B39" i="2"/>
  <c r="H39" i="2"/>
  <c r="T39" i="2"/>
  <c r="F39" i="2"/>
  <c r="V39" i="2"/>
  <c r="J39" i="2"/>
  <c r="P39" i="2"/>
  <c r="I39" i="2"/>
  <c r="S39" i="2"/>
  <c r="C39" i="2"/>
  <c r="E39" i="2"/>
  <c r="Q39" i="2"/>
  <c r="Y39" i="2" l="1"/>
  <c r="BG38" i="1" s="1"/>
  <c r="DH137" i="1"/>
  <c r="DT137" i="1"/>
  <c r="DN137" i="1"/>
  <c r="DJ137" i="1"/>
  <c r="DV137" i="1" l="1"/>
  <c r="B188" i="1"/>
  <c r="AY178" i="1"/>
  <c r="B178" i="1"/>
  <c r="E178" i="1" s="1"/>
  <c r="AY182" i="1"/>
  <c r="B182" i="1"/>
  <c r="E182" i="1" s="1"/>
  <c r="AY162" i="1"/>
  <c r="B162" i="1"/>
  <c r="E162" i="1" s="1"/>
  <c r="CK162" i="1"/>
  <c r="CP162" i="1" s="1"/>
  <c r="AY151" i="1"/>
  <c r="B151" i="1"/>
  <c r="E151" i="1" s="1"/>
  <c r="B187" i="1"/>
  <c r="E187" i="1" s="1"/>
  <c r="AY187" i="1"/>
  <c r="B137" i="1"/>
  <c r="AS136" i="1"/>
  <c r="B184" i="1"/>
  <c r="E184" i="1" s="1"/>
  <c r="AY184" i="1"/>
  <c r="AY140" i="1"/>
  <c r="B140" i="1"/>
  <c r="E140" i="1" s="1"/>
  <c r="B139" i="1"/>
  <c r="AY155" i="1"/>
  <c r="B155" i="1"/>
  <c r="E155" i="1" s="1"/>
  <c r="AY173" i="1"/>
  <c r="B173" i="1"/>
  <c r="E173" i="1" s="1"/>
  <c r="AY147" i="1"/>
  <c r="B147" i="1"/>
  <c r="E147" i="1" s="1"/>
  <c r="B148" i="1"/>
  <c r="E148" i="1" s="1"/>
  <c r="AY148" i="1"/>
  <c r="AY161" i="1"/>
  <c r="B161" i="1"/>
  <c r="E161" i="1" s="1"/>
  <c r="CK161" i="1"/>
  <c r="CP161" i="1" s="1"/>
  <c r="B159" i="1"/>
  <c r="E159" i="1" s="1"/>
  <c r="AY159" i="1"/>
  <c r="B167" i="1"/>
  <c r="E167" i="1" s="1"/>
  <c r="AY167" i="1"/>
  <c r="AY141" i="1"/>
  <c r="B141" i="1"/>
  <c r="E141" i="1" s="1"/>
  <c r="B176" i="1"/>
  <c r="E176" i="1" s="1"/>
  <c r="AY176" i="1"/>
  <c r="AY160" i="1"/>
  <c r="B160" i="1"/>
  <c r="E160" i="1" s="1"/>
  <c r="B170" i="1"/>
  <c r="E170" i="1" s="1"/>
  <c r="AY170" i="1"/>
  <c r="B186" i="1"/>
  <c r="E186" i="1" s="1"/>
  <c r="AY186" i="1"/>
  <c r="B174" i="1"/>
  <c r="E174" i="1" s="1"/>
  <c r="AY174" i="1"/>
  <c r="B164" i="1"/>
  <c r="E164" i="1" s="1"/>
  <c r="AY164" i="1"/>
  <c r="CK164" i="1"/>
  <c r="CP164" i="1" s="1"/>
  <c r="AY166" i="1"/>
  <c r="B166" i="1"/>
  <c r="E166" i="1" s="1"/>
  <c r="B185" i="1"/>
  <c r="E185" i="1" s="1"/>
  <c r="AY185" i="1"/>
  <c r="AY183" i="1"/>
  <c r="B183" i="1"/>
  <c r="E183" i="1" s="1"/>
  <c r="AY143" i="1"/>
  <c r="B143" i="1"/>
  <c r="E143" i="1" s="1"/>
  <c r="B157" i="1"/>
  <c r="E157" i="1" s="1"/>
  <c r="AY157" i="1"/>
  <c r="AY149" i="1"/>
  <c r="B149" i="1"/>
  <c r="E149" i="1" s="1"/>
  <c r="AT136" i="1"/>
  <c r="B177" i="1"/>
  <c r="E177" i="1" s="1"/>
  <c r="AY177" i="1"/>
  <c r="AY150" i="1"/>
  <c r="B150" i="1"/>
  <c r="E150" i="1" s="1"/>
  <c r="AY153" i="1"/>
  <c r="B153" i="1"/>
  <c r="E153" i="1" s="1"/>
  <c r="B138" i="1"/>
  <c r="B144" i="1"/>
  <c r="E144" i="1" s="1"/>
  <c r="AY144" i="1"/>
  <c r="B145" i="1"/>
  <c r="E145" i="1" s="1"/>
  <c r="AY145" i="1"/>
  <c r="B152" i="1"/>
  <c r="E152" i="1" s="1"/>
  <c r="AY152" i="1"/>
  <c r="B171" i="1"/>
  <c r="E171" i="1" s="1"/>
  <c r="AY171" i="1"/>
  <c r="AY165" i="1"/>
  <c r="CK165" i="1"/>
  <c r="CP165" i="1" s="1"/>
  <c r="B165" i="1"/>
  <c r="E165" i="1" s="1"/>
  <c r="AY154" i="1"/>
  <c r="B154" i="1"/>
  <c r="E154" i="1" s="1"/>
  <c r="B181" i="1"/>
  <c r="E181" i="1" s="1"/>
  <c r="AY181" i="1"/>
  <c r="B175" i="1"/>
  <c r="E175" i="1" s="1"/>
  <c r="AY175" i="1"/>
  <c r="AY158" i="1"/>
  <c r="B158" i="1"/>
  <c r="E158" i="1" s="1"/>
  <c r="B156" i="1"/>
  <c r="E156" i="1" s="1"/>
  <c r="AY156" i="1"/>
  <c r="B179" i="1"/>
  <c r="E179" i="1" s="1"/>
  <c r="AY179" i="1"/>
  <c r="B142" i="1"/>
  <c r="E142" i="1" s="1"/>
  <c r="AY142" i="1"/>
  <c r="AY169" i="1"/>
  <c r="B169" i="1"/>
  <c r="E169" i="1" s="1"/>
  <c r="B189" i="1"/>
  <c r="AY172" i="1"/>
  <c r="B172" i="1"/>
  <c r="E172" i="1" s="1"/>
  <c r="B146" i="1"/>
  <c r="E146" i="1" s="1"/>
  <c r="AY146" i="1"/>
  <c r="AY180" i="1"/>
  <c r="B180" i="1"/>
  <c r="E180" i="1" s="1"/>
  <c r="B136" i="1" l="1"/>
  <c r="DN131" i="1" l="1"/>
  <c r="EL159" i="1"/>
  <c r="EL166" i="1"/>
  <c r="BA167" i="1"/>
  <c r="EL160" i="1"/>
  <c r="BA162" i="1"/>
  <c r="EL167" i="1"/>
  <c r="EL165" i="1"/>
  <c r="EL162" i="1"/>
  <c r="BA164" i="1"/>
  <c r="EL161" i="1"/>
  <c r="EL163" i="1"/>
  <c r="EL164" i="1"/>
  <c r="BA166" i="1"/>
  <c r="BA165" i="1"/>
  <c r="BA161" i="1"/>
  <c r="EL168" i="1"/>
  <c r="BD150" i="1"/>
  <c r="CG157" i="1"/>
  <c r="BF176" i="1"/>
  <c r="CG153" i="1"/>
  <c r="CG149" i="1"/>
  <c r="CG152" i="1"/>
  <c r="BC179" i="1"/>
  <c r="CF179" i="1"/>
  <c r="BF170" i="1"/>
  <c r="BF171" i="1"/>
  <c r="BD149" i="1"/>
  <c r="BE158" i="1"/>
  <c r="BE159" i="1"/>
  <c r="CF182" i="1"/>
  <c r="BD155" i="1"/>
  <c r="BD157" i="1"/>
  <c r="BE160" i="1"/>
  <c r="BF175" i="1"/>
  <c r="BE156" i="1"/>
  <c r="BD156" i="1"/>
  <c r="BE155" i="1"/>
  <c r="BF173" i="1"/>
  <c r="CG151" i="1"/>
  <c r="CF180" i="1"/>
  <c r="BD151" i="1"/>
  <c r="CG155" i="1"/>
  <c r="BD154" i="1"/>
  <c r="CG156" i="1"/>
  <c r="CF181" i="1"/>
  <c r="BC180" i="1"/>
  <c r="BD153" i="1"/>
  <c r="BD152" i="1"/>
  <c r="CG150" i="1"/>
  <c r="BF174" i="1"/>
  <c r="BE154" i="1"/>
  <c r="CF183" i="1"/>
  <c r="CF184" i="1"/>
  <c r="BE153" i="1"/>
  <c r="CG154" i="1"/>
  <c r="BF169" i="1"/>
  <c r="BE157" i="1"/>
  <c r="EE165" i="1" l="1"/>
  <c r="DX165" i="1" s="1"/>
  <c r="EE168" i="1"/>
  <c r="DX168" i="1" s="1"/>
  <c r="EE167" i="1"/>
  <c r="DX167" i="1" s="1"/>
  <c r="DJ166" i="1"/>
  <c r="DH166" i="1"/>
  <c r="DT166" i="1"/>
  <c r="DN166" i="1"/>
  <c r="DN165" i="1"/>
  <c r="DJ165" i="1"/>
  <c r="DH165" i="1"/>
  <c r="DT165" i="1"/>
  <c r="EE163" i="1"/>
  <c r="DX163" i="1" s="1"/>
  <c r="DN167" i="1"/>
  <c r="DH167" i="1"/>
  <c r="DT167" i="1"/>
  <c r="DJ167" i="1"/>
  <c r="EE159" i="1"/>
  <c r="DX159" i="1" s="1"/>
  <c r="DH162" i="1"/>
  <c r="DJ162" i="1"/>
  <c r="DN162" i="1"/>
  <c r="DT162" i="1"/>
  <c r="DJ161" i="1"/>
  <c r="DT161" i="1"/>
  <c r="DN161" i="1"/>
  <c r="DH161" i="1"/>
  <c r="EE166" i="1"/>
  <c r="DX166" i="1" s="1"/>
  <c r="EE164" i="1"/>
  <c r="DX164" i="1" s="1"/>
  <c r="DJ164" i="1"/>
  <c r="DT164" i="1"/>
  <c r="DN164" i="1"/>
  <c r="DH164" i="1"/>
  <c r="EE160" i="1"/>
  <c r="DX160" i="1" s="1"/>
  <c r="EE161" i="1"/>
  <c r="DX161" i="1" s="1"/>
  <c r="EE162" i="1"/>
  <c r="DX162" i="1" s="1"/>
  <c r="EM144" i="1"/>
  <c r="EL143" i="1"/>
  <c r="EM183" i="1"/>
  <c r="EL184" i="1"/>
  <c r="EL183" i="1"/>
  <c r="EL179" i="1"/>
  <c r="EM181" i="1"/>
  <c r="EL137" i="1"/>
  <c r="EL182" i="1"/>
  <c r="EM182" i="1"/>
  <c r="EM140" i="1"/>
  <c r="EM138" i="1"/>
  <c r="EM180" i="1"/>
  <c r="EM137" i="1"/>
  <c r="EM178" i="1"/>
  <c r="EL177" i="1"/>
  <c r="EM139" i="1"/>
  <c r="EL144" i="1"/>
  <c r="EM143" i="1"/>
  <c r="EL138" i="1"/>
  <c r="EM141" i="1"/>
  <c r="EM177" i="1"/>
  <c r="EM142" i="1"/>
  <c r="EM179" i="1"/>
  <c r="EL139" i="1"/>
  <c r="EM184" i="1"/>
  <c r="EL178" i="1"/>
  <c r="EL140" i="1"/>
  <c r="EL181" i="1"/>
  <c r="EL141" i="1"/>
  <c r="EL180" i="1"/>
  <c r="EL142" i="1"/>
  <c r="BE170" i="1"/>
  <c r="BE173" i="1"/>
  <c r="BE176" i="1"/>
  <c r="BE167" i="1"/>
  <c r="BE162" i="1"/>
  <c r="BF152" i="1"/>
  <c r="BF149" i="1"/>
  <c r="BE175" i="1"/>
  <c r="BE174" i="1"/>
  <c r="BF167" i="1"/>
  <c r="BF166" i="1"/>
  <c r="BE149" i="1"/>
  <c r="BF164" i="1"/>
  <c r="BE171" i="1"/>
  <c r="BE150" i="1"/>
  <c r="BE166" i="1"/>
  <c r="BE169" i="1"/>
  <c r="BE152" i="1"/>
  <c r="BF165" i="1"/>
  <c r="BF172" i="1"/>
  <c r="BE161" i="1"/>
  <c r="BF162" i="1"/>
  <c r="BE151" i="1"/>
  <c r="BF161" i="1"/>
  <c r="BE165" i="1"/>
  <c r="BF189" i="1"/>
  <c r="BE189" i="1"/>
  <c r="BF150" i="1"/>
  <c r="BE172" i="1"/>
  <c r="BF151" i="1"/>
  <c r="BE164" i="1"/>
  <c r="BJ161" i="1" l="1"/>
  <c r="BJ160" i="1"/>
  <c r="BJ163" i="1"/>
  <c r="BJ164" i="1"/>
  <c r="BJ167" i="1"/>
  <c r="BJ162" i="1"/>
  <c r="BJ166" i="1"/>
  <c r="BJ168" i="1"/>
  <c r="BJ159" i="1"/>
  <c r="BJ165" i="1"/>
  <c r="EE138" i="1"/>
  <c r="DX138" i="1" s="1"/>
  <c r="CU165" i="1"/>
  <c r="CB165" i="1"/>
  <c r="CB162" i="1"/>
  <c r="CC163" i="1" s="1"/>
  <c r="CU162" i="1"/>
  <c r="EE144" i="1"/>
  <c r="DX144" i="1" s="1"/>
  <c r="EE137" i="1"/>
  <c r="DX137" i="1" s="1"/>
  <c r="EE181" i="1"/>
  <c r="DX181" i="1" s="1"/>
  <c r="CB170" i="1"/>
  <c r="CU170" i="1"/>
  <c r="CU161" i="1"/>
  <c r="CB161" i="1"/>
  <c r="EE182" i="1"/>
  <c r="DX182" i="1" s="1"/>
  <c r="EF180" i="1"/>
  <c r="DY180" i="1" s="1"/>
  <c r="BK180" i="1" s="1"/>
  <c r="EF138" i="1"/>
  <c r="DY138" i="1" s="1"/>
  <c r="BK138" i="1" s="1"/>
  <c r="EF141" i="1"/>
  <c r="DY141" i="1" s="1"/>
  <c r="BK141" i="1" s="1"/>
  <c r="EF144" i="1"/>
  <c r="DY144" i="1" s="1"/>
  <c r="BK144" i="1" s="1"/>
  <c r="EF139" i="1"/>
  <c r="DY139" i="1" s="1"/>
  <c r="BK139" i="1" s="1"/>
  <c r="CB176" i="1"/>
  <c r="CU176" i="1"/>
  <c r="CU169" i="1"/>
  <c r="CB169" i="1"/>
  <c r="CC169" i="1" s="1"/>
  <c r="CB172" i="1"/>
  <c r="CU172" i="1"/>
  <c r="CU164" i="1"/>
  <c r="CB164" i="1"/>
  <c r="EE143" i="1"/>
  <c r="DX143" i="1" s="1"/>
  <c r="CU166" i="1"/>
  <c r="CB166" i="1"/>
  <c r="EF137" i="1"/>
  <c r="EF142" i="1"/>
  <c r="DY142" i="1" s="1"/>
  <c r="BK142" i="1" s="1"/>
  <c r="CU150" i="1"/>
  <c r="CB150" i="1"/>
  <c r="EF177" i="1"/>
  <c r="DY177" i="1" s="1"/>
  <c r="BK177" i="1" s="1"/>
  <c r="CU189" i="1"/>
  <c r="CB189" i="1"/>
  <c r="CU149" i="1"/>
  <c r="CB149" i="1"/>
  <c r="EF143" i="1"/>
  <c r="DY143" i="1" s="1"/>
  <c r="BK143" i="1" s="1"/>
  <c r="EE184" i="1"/>
  <c r="DX184" i="1" s="1"/>
  <c r="EF182" i="1"/>
  <c r="DY182" i="1" s="1"/>
  <c r="BK182" i="1" s="1"/>
  <c r="EF181" i="1"/>
  <c r="DY181" i="1" s="1"/>
  <c r="BK181" i="1" s="1"/>
  <c r="EF179" i="1"/>
  <c r="DY179" i="1" s="1"/>
  <c r="BK179" i="1" s="1"/>
  <c r="EF140" i="1"/>
  <c r="DY140" i="1" s="1"/>
  <c r="BK140" i="1" s="1"/>
  <c r="EE180" i="1"/>
  <c r="DX180" i="1" s="1"/>
  <c r="EE179" i="1"/>
  <c r="DX179" i="1" s="1"/>
  <c r="CU151" i="1"/>
  <c r="CB151" i="1"/>
  <c r="EF184" i="1"/>
  <c r="DY184" i="1" s="1"/>
  <c r="BK184" i="1" s="1"/>
  <c r="CB174" i="1"/>
  <c r="CU174" i="1"/>
  <c r="CU171" i="1"/>
  <c r="CB171" i="1"/>
  <c r="EE142" i="1"/>
  <c r="DX142" i="1" s="1"/>
  <c r="EE183" i="1"/>
  <c r="DX183" i="1" s="1"/>
  <c r="EE139" i="1"/>
  <c r="DX139" i="1" s="1"/>
  <c r="EE141" i="1"/>
  <c r="DX141" i="1" s="1"/>
  <c r="EE140" i="1"/>
  <c r="DX140" i="1" s="1"/>
  <c r="CU175" i="1"/>
  <c r="CB175" i="1"/>
  <c r="CU173" i="1"/>
  <c r="CB173" i="1"/>
  <c r="CU167" i="1"/>
  <c r="CB167" i="1"/>
  <c r="CC168" i="1" s="1"/>
  <c r="EE178" i="1"/>
  <c r="DX178" i="1" s="1"/>
  <c r="EE177" i="1"/>
  <c r="DX177" i="1" s="1"/>
  <c r="CB152" i="1"/>
  <c r="CU152" i="1"/>
  <c r="EF183" i="1"/>
  <c r="DY183" i="1" s="1"/>
  <c r="BK183" i="1" s="1"/>
  <c r="EF178" i="1"/>
  <c r="DY178" i="1" s="1"/>
  <c r="BK178" i="1" s="1"/>
  <c r="DV164" i="1"/>
  <c r="DV165" i="1"/>
  <c r="DV166" i="1"/>
  <c r="DV161" i="1"/>
  <c r="DV167" i="1"/>
  <c r="DV162" i="1"/>
  <c r="BJ177" i="1" l="1"/>
  <c r="BQ177" i="1" s="1"/>
  <c r="BJ179" i="1"/>
  <c r="BQ179" i="1" s="1"/>
  <c r="BJ144" i="1"/>
  <c r="BQ144" i="1" s="1"/>
  <c r="BJ141" i="1"/>
  <c r="BQ141" i="1" s="1"/>
  <c r="BJ180" i="1"/>
  <c r="BQ180" i="1" s="1"/>
  <c r="BJ138" i="1"/>
  <c r="BQ138" i="1" s="1"/>
  <c r="BJ139" i="1"/>
  <c r="BQ139" i="1" s="1"/>
  <c r="BJ184" i="1"/>
  <c r="BQ184" i="1" s="1"/>
  <c r="BJ181" i="1"/>
  <c r="BQ181" i="1" s="1"/>
  <c r="BJ140" i="1"/>
  <c r="BQ140" i="1" s="1"/>
  <c r="BJ178" i="1"/>
  <c r="BQ178" i="1" s="1"/>
  <c r="BJ182" i="1"/>
  <c r="BQ182" i="1" s="1"/>
  <c r="BJ183" i="1"/>
  <c r="BQ183" i="1" s="1"/>
  <c r="BJ143" i="1"/>
  <c r="BQ143" i="1" s="1"/>
  <c r="BJ142" i="1"/>
  <c r="BQ142" i="1" s="1"/>
  <c r="BJ137" i="1"/>
  <c r="CC175" i="1"/>
  <c r="CC171" i="1"/>
  <c r="CC166" i="1"/>
  <c r="CC152" i="1"/>
  <c r="CC150" i="1"/>
  <c r="CC170" i="1"/>
  <c r="CC162" i="1"/>
  <c r="CC172" i="1"/>
  <c r="DY137" i="1"/>
  <c r="BK137" i="1" s="1"/>
  <c r="CC174" i="1"/>
  <c r="CC176" i="1"/>
  <c r="CC151" i="1"/>
  <c r="CC164" i="1"/>
  <c r="CC165" i="1"/>
  <c r="CC167" i="1"/>
  <c r="CC173" i="1"/>
  <c r="CW183" i="1" l="1"/>
  <c r="BR183" i="1"/>
  <c r="CW143" i="1"/>
  <c r="BR143" i="1"/>
  <c r="CW144" i="1"/>
  <c r="BR144" i="1"/>
  <c r="CW184" i="1"/>
  <c r="BR184" i="1"/>
  <c r="CW177" i="1"/>
  <c r="CW178" i="1"/>
  <c r="BR178" i="1"/>
  <c r="CW182" i="1"/>
  <c r="BR182" i="1"/>
  <c r="CW141" i="1"/>
  <c r="BR141" i="1"/>
  <c r="CW181" i="1"/>
  <c r="BR181" i="1"/>
  <c r="CW180" i="1"/>
  <c r="BR180" i="1"/>
  <c r="CW142" i="1"/>
  <c r="BR142" i="1"/>
  <c r="CW179" i="1"/>
  <c r="BR179" i="1"/>
  <c r="BR139" i="1"/>
  <c r="CW140" i="1"/>
  <c r="BR140" i="1"/>
  <c r="BQ137" i="1"/>
  <c r="EM162" i="1"/>
  <c r="EQ88" i="1"/>
  <c r="EP115" i="1"/>
  <c r="EL125" i="1"/>
  <c r="EQ89" i="1"/>
  <c r="EQ92" i="1"/>
  <c r="AT4" i="1"/>
  <c r="EP121" i="1"/>
  <c r="CD138" i="1"/>
  <c r="EM64" i="1"/>
  <c r="AT46" i="1"/>
  <c r="CE175" i="1"/>
  <c r="EP113" i="1"/>
  <c r="EQ121" i="1"/>
  <c r="CE147" i="1"/>
  <c r="EL36" i="1"/>
  <c r="EM33" i="1"/>
  <c r="AS27" i="1"/>
  <c r="EP120" i="1"/>
  <c r="EL129" i="1"/>
  <c r="EP122" i="1"/>
  <c r="EL128" i="1"/>
  <c r="CD151" i="1"/>
  <c r="AS33" i="1"/>
  <c r="EL63" i="1"/>
  <c r="EM21" i="1"/>
  <c r="EM34" i="1"/>
  <c r="EL147" i="1"/>
  <c r="AT28" i="1"/>
  <c r="EM5" i="1"/>
  <c r="EL124" i="1"/>
  <c r="EM48" i="1"/>
  <c r="EM174" i="1"/>
  <c r="CE182" i="1"/>
  <c r="AS71" i="1"/>
  <c r="CE180" i="1"/>
  <c r="AT61" i="1"/>
  <c r="CD184" i="1"/>
  <c r="AT12" i="1"/>
  <c r="EL60" i="1"/>
  <c r="CE158" i="1"/>
  <c r="EM92" i="1"/>
  <c r="CE143" i="1"/>
  <c r="EM38" i="1"/>
  <c r="EM149" i="1"/>
  <c r="EM32" i="1"/>
  <c r="EM145" i="1"/>
  <c r="AT75" i="1"/>
  <c r="AT18" i="1"/>
  <c r="CE142" i="1"/>
  <c r="AT30" i="1"/>
  <c r="EM63" i="1"/>
  <c r="EL10" i="1"/>
  <c r="EL146" i="1"/>
  <c r="EL28" i="1"/>
  <c r="EM36" i="1"/>
  <c r="EL185" i="1"/>
  <c r="EM150" i="1"/>
  <c r="EM147" i="1"/>
  <c r="AT36" i="1"/>
  <c r="EM20" i="1"/>
  <c r="AS76" i="1"/>
  <c r="EL92" i="1"/>
  <c r="EL22" i="1"/>
  <c r="EM156" i="1"/>
  <c r="EM126" i="1"/>
  <c r="EM89" i="1"/>
  <c r="AT19" i="1"/>
  <c r="CE177" i="1"/>
  <c r="EL186" i="1"/>
  <c r="EM170" i="1"/>
  <c r="AT20" i="1"/>
  <c r="EM30" i="1"/>
  <c r="BB140" i="1"/>
  <c r="BA138" i="1"/>
  <c r="EL61" i="1"/>
  <c r="CD185" i="1"/>
  <c r="EM4" i="1"/>
  <c r="EL32" i="1"/>
  <c r="AS79" i="1"/>
  <c r="AS23" i="1"/>
  <c r="CE151" i="1"/>
  <c r="EM7" i="1"/>
  <c r="EM158" i="1"/>
  <c r="AS20" i="1"/>
  <c r="AS16" i="1"/>
  <c r="CD186" i="1"/>
  <c r="AT35" i="1"/>
  <c r="BB139" i="1"/>
  <c r="AS62" i="1"/>
  <c r="EM57" i="1"/>
  <c r="CE140" i="1"/>
  <c r="EM123" i="1"/>
  <c r="EM17" i="1"/>
  <c r="AS34" i="1"/>
  <c r="AS6" i="1"/>
  <c r="EM10" i="1"/>
  <c r="AS14" i="1"/>
  <c r="AT11" i="1"/>
  <c r="CD146" i="1"/>
  <c r="BB146" i="1"/>
  <c r="BA154" i="1"/>
  <c r="BA146" i="1"/>
  <c r="BB148" i="1"/>
  <c r="BB147" i="1"/>
  <c r="BB183" i="1"/>
  <c r="BA159" i="1"/>
  <c r="BB185" i="1"/>
  <c r="BB153" i="1"/>
  <c r="BB156" i="1"/>
  <c r="BB164" i="1"/>
  <c r="BB174" i="1"/>
  <c r="BA176" i="1"/>
  <c r="BB188" i="1"/>
  <c r="BA150" i="1"/>
  <c r="BA183" i="1"/>
  <c r="BB180" i="1"/>
  <c r="BA186" i="1"/>
  <c r="BB167" i="1"/>
  <c r="BA160" i="1"/>
  <c r="BB179" i="1"/>
  <c r="BB143" i="1"/>
  <c r="BB141" i="1"/>
  <c r="EM161" i="1"/>
  <c r="AT62" i="1"/>
  <c r="CD183" i="1"/>
  <c r="AS18" i="1"/>
  <c r="EM160" i="1"/>
  <c r="EQ116" i="1"/>
  <c r="EQ117" i="1"/>
  <c r="AT78" i="1"/>
  <c r="AT57" i="1"/>
  <c r="EM154" i="1"/>
  <c r="CE160" i="1"/>
  <c r="EQ90" i="1"/>
  <c r="EQ91" i="1"/>
  <c r="AS25" i="1"/>
  <c r="EL26" i="1"/>
  <c r="AS58" i="1"/>
  <c r="AT48" i="1"/>
  <c r="EQ118" i="1"/>
  <c r="AS29" i="1"/>
  <c r="EL9" i="1"/>
  <c r="EL87" i="1"/>
  <c r="EP114" i="1"/>
  <c r="EQ114" i="1"/>
  <c r="EM87" i="1"/>
  <c r="AT77" i="1"/>
  <c r="EQ122" i="1"/>
  <c r="CD148" i="1"/>
  <c r="EM167" i="1"/>
  <c r="AS11" i="1"/>
  <c r="AS4" i="1"/>
  <c r="EL157" i="1"/>
  <c r="CE179" i="1"/>
  <c r="EM130" i="1"/>
  <c r="EM168" i="1"/>
  <c r="EM129" i="1"/>
  <c r="CD179" i="1"/>
  <c r="CD155" i="1"/>
  <c r="AT31" i="1"/>
  <c r="EL145" i="1"/>
  <c r="AT38" i="1"/>
  <c r="AS37" i="1"/>
  <c r="EM16" i="1"/>
  <c r="AT13" i="1"/>
  <c r="AT33" i="1"/>
  <c r="AS30" i="1"/>
  <c r="EM176" i="1"/>
  <c r="EL16" i="1"/>
  <c r="EM24" i="1"/>
  <c r="AT37" i="1"/>
  <c r="AS28" i="1"/>
  <c r="EL158" i="1"/>
  <c r="EM90" i="1"/>
  <c r="EL37" i="1"/>
  <c r="EL89" i="1"/>
  <c r="AS21" i="1"/>
  <c r="AS5" i="1"/>
  <c r="EM60" i="1"/>
  <c r="AT34" i="1"/>
  <c r="EL18" i="1"/>
  <c r="CD147" i="1"/>
  <c r="AT59" i="1"/>
  <c r="EL7" i="1"/>
  <c r="AT71" i="1"/>
  <c r="AT6" i="1"/>
  <c r="AS31" i="1"/>
  <c r="EM27" i="1"/>
  <c r="EL88" i="1"/>
  <c r="AS57" i="1"/>
  <c r="AT16" i="1"/>
  <c r="EM13" i="1"/>
  <c r="EM62" i="1"/>
  <c r="EL14" i="1"/>
  <c r="EM14" i="1"/>
  <c r="AS9" i="1"/>
  <c r="CE166" i="1"/>
  <c r="EL90" i="1"/>
  <c r="EL150" i="1"/>
  <c r="EL19" i="1"/>
  <c r="EM19" i="1"/>
  <c r="EM146" i="1"/>
  <c r="EM9" i="1"/>
  <c r="CD145" i="1"/>
  <c r="BB138" i="1"/>
  <c r="CE150" i="1"/>
  <c r="EL151" i="1"/>
  <c r="CD166" i="1"/>
  <c r="CE188" i="1"/>
  <c r="EM159" i="1"/>
  <c r="EM6" i="1"/>
  <c r="EM12" i="1"/>
  <c r="EL13" i="1"/>
  <c r="EM166" i="1"/>
  <c r="EM37" i="1"/>
  <c r="EL17" i="1"/>
  <c r="AS8" i="1"/>
  <c r="AS47" i="1"/>
  <c r="EL176" i="1"/>
  <c r="EM15" i="1"/>
  <c r="CE187" i="1"/>
  <c r="EL23" i="1"/>
  <c r="EL156" i="1"/>
  <c r="CE167" i="1"/>
  <c r="AT9" i="1"/>
  <c r="AS72" i="1"/>
  <c r="BB149" i="1"/>
  <c r="BB150" i="1"/>
  <c r="BA145" i="1"/>
  <c r="BB152" i="1"/>
  <c r="BB161" i="1"/>
  <c r="BA148" i="1"/>
  <c r="BB145" i="1"/>
  <c r="BB155" i="1"/>
  <c r="BA182" i="1"/>
  <c r="BB172" i="1"/>
  <c r="BA189" i="1"/>
  <c r="BA185" i="1"/>
  <c r="BB182" i="1"/>
  <c r="BB162" i="1"/>
  <c r="BA151" i="1"/>
  <c r="AS45" i="1"/>
  <c r="EQ120" i="1"/>
  <c r="EP117" i="1"/>
  <c r="EQ86" i="1"/>
  <c r="BB137" i="1"/>
  <c r="BA139" i="1"/>
  <c r="CE149" i="1"/>
  <c r="CE159" i="1"/>
  <c r="EQ113" i="1"/>
  <c r="EL30" i="1"/>
  <c r="EL27" i="1"/>
  <c r="AS10" i="1"/>
  <c r="EM127" i="1"/>
  <c r="AS32" i="1"/>
  <c r="EQ85" i="1"/>
  <c r="CE185" i="1"/>
  <c r="EL85" i="1"/>
  <c r="AT23" i="1"/>
  <c r="CE155" i="1"/>
  <c r="EP118" i="1"/>
  <c r="EL152" i="1"/>
  <c r="AT58" i="1"/>
  <c r="EL123" i="1"/>
  <c r="EL34" i="1"/>
  <c r="AT22" i="1"/>
  <c r="EM28" i="1"/>
  <c r="CD160" i="1"/>
  <c r="EM25" i="1"/>
  <c r="CD137" i="1"/>
  <c r="AS26" i="1"/>
  <c r="CD178" i="1"/>
  <c r="EL153" i="1"/>
  <c r="EM86" i="1"/>
  <c r="AT14" i="1"/>
  <c r="EL31" i="1"/>
  <c r="EL127" i="1"/>
  <c r="AS19" i="1"/>
  <c r="EL86" i="1"/>
  <c r="AS36" i="1"/>
  <c r="EL91" i="1"/>
  <c r="EM175" i="1"/>
  <c r="EM185" i="1"/>
  <c r="EL24" i="1"/>
  <c r="CD176" i="1"/>
  <c r="CD154" i="1"/>
  <c r="CD167" i="1"/>
  <c r="CD159" i="1"/>
  <c r="EM171" i="1"/>
  <c r="EM8" i="1"/>
  <c r="AS70" i="1"/>
  <c r="EL6" i="1"/>
  <c r="EM22" i="1"/>
  <c r="EM164" i="1"/>
  <c r="AT79" i="1"/>
  <c r="EL33" i="1"/>
  <c r="EL25" i="1"/>
  <c r="EL189" i="1"/>
  <c r="AS75" i="1"/>
  <c r="CD150" i="1"/>
  <c r="AS7" i="1"/>
  <c r="EM124" i="1"/>
  <c r="AS59" i="1"/>
  <c r="AT25" i="1"/>
  <c r="AS73" i="1"/>
  <c r="AT10" i="1"/>
  <c r="EM128" i="1"/>
  <c r="EM85" i="1"/>
  <c r="AS17" i="1"/>
  <c r="CE176" i="1"/>
  <c r="CE184" i="1"/>
  <c r="EM29" i="1"/>
  <c r="EM148" i="1"/>
  <c r="AT73" i="1"/>
  <c r="EM151" i="1"/>
  <c r="EL154" i="1"/>
  <c r="CE178" i="1"/>
  <c r="AS38" i="1"/>
  <c r="EL48" i="1"/>
  <c r="EM88" i="1"/>
  <c r="AT29" i="1"/>
  <c r="AT27" i="1"/>
  <c r="CE152" i="1"/>
  <c r="CD157" i="1"/>
  <c r="EM153" i="1"/>
  <c r="EL4" i="1"/>
  <c r="AT8" i="1"/>
  <c r="CE148" i="1"/>
  <c r="CE157" i="1"/>
  <c r="AS77" i="1"/>
  <c r="CD139" i="1"/>
  <c r="AT15" i="1"/>
  <c r="EM169" i="1"/>
  <c r="EM165" i="1"/>
  <c r="EL35" i="1"/>
  <c r="CE170" i="1"/>
  <c r="EM91" i="1"/>
  <c r="CD153" i="1"/>
  <c r="EM31" i="1"/>
  <c r="CE169" i="1"/>
  <c r="EL148" i="1"/>
  <c r="BB175" i="1"/>
  <c r="BA147" i="1"/>
  <c r="BB171" i="1"/>
  <c r="BB157" i="1"/>
  <c r="BA157" i="1"/>
  <c r="BB189" i="1"/>
  <c r="BA188" i="1"/>
  <c r="BB173" i="1"/>
  <c r="BB151" i="1"/>
  <c r="BA177" i="1"/>
  <c r="BB165" i="1"/>
  <c r="BB154" i="1"/>
  <c r="BA178" i="1"/>
  <c r="BB169" i="1"/>
  <c r="BA179" i="1"/>
  <c r="BB142" i="1"/>
  <c r="BB158" i="1"/>
  <c r="BA156" i="1"/>
  <c r="BB187" i="1"/>
  <c r="BB144" i="1"/>
  <c r="AW58" i="1"/>
  <c r="EM163" i="1"/>
  <c r="EQ119" i="1"/>
  <c r="EM172" i="1"/>
  <c r="CD158" i="1"/>
  <c r="CE138" i="1"/>
  <c r="EM155" i="1"/>
  <c r="EP119" i="1"/>
  <c r="CE173" i="1"/>
  <c r="CD177" i="1"/>
  <c r="CD143" i="1"/>
  <c r="CE154" i="1"/>
  <c r="CE137" i="1"/>
  <c r="EM61" i="1"/>
  <c r="EL20" i="1"/>
  <c r="EL15" i="1"/>
  <c r="AS74" i="1"/>
  <c r="CD188" i="1"/>
  <c r="AT47" i="1"/>
  <c r="CD144" i="1"/>
  <c r="AS60" i="1"/>
  <c r="CE172" i="1"/>
  <c r="AS15" i="1"/>
  <c r="AT5" i="1"/>
  <c r="EL21" i="1"/>
  <c r="CD182" i="1"/>
  <c r="AT76" i="1"/>
  <c r="AS61" i="1"/>
  <c r="BA149" i="1"/>
  <c r="BA184" i="1"/>
  <c r="BA143" i="1"/>
  <c r="BB186" i="1"/>
  <c r="BA144" i="1"/>
  <c r="AS35" i="1"/>
  <c r="EM152" i="1"/>
  <c r="CE181" i="1"/>
  <c r="EL5" i="1"/>
  <c r="CE144" i="1"/>
  <c r="EL126" i="1"/>
  <c r="AT60" i="1"/>
  <c r="BB181" i="1"/>
  <c r="BB178" i="1"/>
  <c r="EM188" i="1"/>
  <c r="EM157" i="1"/>
  <c r="EQ87" i="1"/>
  <c r="EM186" i="1"/>
  <c r="EL62" i="1"/>
  <c r="EL11" i="1"/>
  <c r="AT63" i="1"/>
  <c r="AS78" i="1"/>
  <c r="EL57" i="1"/>
  <c r="CD152" i="1"/>
  <c r="EL38" i="1"/>
  <c r="EM26" i="1"/>
  <c r="CD189" i="1"/>
  <c r="EL188" i="1"/>
  <c r="CE186" i="1"/>
  <c r="AS24" i="1"/>
  <c r="EM11" i="1"/>
  <c r="EM18" i="1"/>
  <c r="CD156" i="1"/>
  <c r="CE145" i="1"/>
  <c r="AT24" i="1"/>
  <c r="CE183" i="1"/>
  <c r="EL8" i="1"/>
  <c r="BA155" i="1"/>
  <c r="BB170" i="1"/>
  <c r="BB177" i="1"/>
  <c r="BA187" i="1"/>
  <c r="BB176" i="1"/>
  <c r="AS12" i="1"/>
  <c r="AT21" i="1"/>
  <c r="CE174" i="1"/>
  <c r="AT26" i="1"/>
  <c r="EM125" i="1"/>
  <c r="CD187" i="1"/>
  <c r="EM189" i="1"/>
  <c r="BB160" i="1"/>
  <c r="BA158" i="1"/>
  <c r="EP116" i="1"/>
  <c r="AS48" i="1"/>
  <c r="EQ115" i="1"/>
  <c r="AS13" i="1"/>
  <c r="AS46" i="1"/>
  <c r="EL187" i="1"/>
  <c r="AT72" i="1"/>
  <c r="CD149" i="1"/>
  <c r="EL29" i="1"/>
  <c r="AT17" i="1"/>
  <c r="CE189" i="1"/>
  <c r="AT45" i="1"/>
  <c r="EL12" i="1"/>
  <c r="CE139" i="1"/>
  <c r="CE146" i="1"/>
  <c r="EL130" i="1"/>
  <c r="CE156" i="1"/>
  <c r="AT7" i="1"/>
  <c r="EL149" i="1"/>
  <c r="EM35" i="1"/>
  <c r="EM23" i="1"/>
  <c r="CE153" i="1"/>
  <c r="BB159" i="1"/>
  <c r="BB184" i="1"/>
  <c r="BA153" i="1"/>
  <c r="BA152" i="1"/>
  <c r="EM187" i="1"/>
  <c r="EM173" i="1"/>
  <c r="EL155" i="1"/>
  <c r="CE141" i="1"/>
  <c r="AT32" i="1"/>
  <c r="AS22" i="1"/>
  <c r="AT74" i="1"/>
  <c r="CE171" i="1"/>
  <c r="BB166" i="1"/>
  <c r="EQ112" i="1"/>
  <c r="EQ95" i="1"/>
  <c r="EQ126" i="1"/>
  <c r="EP92" i="1"/>
  <c r="EQ101" i="1"/>
  <c r="EP97" i="1"/>
  <c r="EQ108" i="1"/>
  <c r="EP96" i="1"/>
  <c r="EQ129" i="1"/>
  <c r="CE73" i="1"/>
  <c r="EL108" i="1"/>
  <c r="EM79" i="1"/>
  <c r="CE48" i="1"/>
  <c r="EP87" i="1"/>
  <c r="DE19" i="1"/>
  <c r="CD171" i="1"/>
  <c r="CE76" i="1"/>
  <c r="EM119" i="1"/>
  <c r="EQ97" i="1"/>
  <c r="DC29" i="1"/>
  <c r="EL115" i="1"/>
  <c r="EP109" i="1"/>
  <c r="CD30" i="1"/>
  <c r="EP126" i="1"/>
  <c r="EL171" i="1"/>
  <c r="EM118" i="1"/>
  <c r="EP99" i="1"/>
  <c r="EP110" i="1"/>
  <c r="EM106" i="1"/>
  <c r="EL122" i="1"/>
  <c r="EM111" i="1"/>
  <c r="CE16" i="1"/>
  <c r="DB24" i="1"/>
  <c r="EM101" i="1"/>
  <c r="DA16" i="1"/>
  <c r="DB11" i="1"/>
  <c r="DF10" i="1"/>
  <c r="DB20" i="1"/>
  <c r="DE35" i="1"/>
  <c r="AS85" i="1"/>
  <c r="DE18" i="1"/>
  <c r="DA31" i="1"/>
  <c r="CD140" i="1"/>
  <c r="EL107" i="1"/>
  <c r="EL70" i="1"/>
  <c r="DA6" i="1"/>
  <c r="EM100" i="1"/>
  <c r="EM114" i="1"/>
  <c r="DE28" i="1"/>
  <c r="DA7" i="1"/>
  <c r="DB7" i="1"/>
  <c r="EM47" i="1"/>
  <c r="CD141" i="1"/>
  <c r="CD73" i="1"/>
  <c r="DF12" i="1"/>
  <c r="CD19" i="1"/>
  <c r="CE78" i="1"/>
  <c r="DE15" i="1"/>
  <c r="EL59" i="1"/>
  <c r="DA12" i="1"/>
  <c r="DC26" i="1"/>
  <c r="DA15" i="1"/>
  <c r="DA26" i="1"/>
  <c r="CD21" i="1"/>
  <c r="EL175" i="1"/>
  <c r="DC18" i="1"/>
  <c r="DB31" i="1"/>
  <c r="DC7" i="1"/>
  <c r="DE22" i="1"/>
  <c r="DA38" i="1"/>
  <c r="CE15" i="1"/>
  <c r="EL76" i="1"/>
  <c r="EM58" i="1"/>
  <c r="EL113" i="1"/>
  <c r="CD48" i="1"/>
  <c r="DF14" i="1"/>
  <c r="DB15" i="1"/>
  <c r="DD9" i="1"/>
  <c r="DE27" i="1"/>
  <c r="CD33" i="1"/>
  <c r="DC8" i="1"/>
  <c r="DB14" i="1"/>
  <c r="DA19" i="1"/>
  <c r="EL110" i="1"/>
  <c r="CD32" i="1"/>
  <c r="DC19" i="1"/>
  <c r="EL97" i="1"/>
  <c r="CE75" i="1"/>
  <c r="EL72" i="1"/>
  <c r="CE9" i="1"/>
  <c r="DF31" i="1"/>
  <c r="CD34" i="1"/>
  <c r="DC5" i="1"/>
  <c r="DA23" i="1"/>
  <c r="DB18" i="1"/>
  <c r="CE20" i="1"/>
  <c r="DD15" i="1"/>
  <c r="CD60" i="1"/>
  <c r="EL104" i="1"/>
  <c r="DA32" i="1"/>
  <c r="CE25" i="1"/>
  <c r="DC28" i="1"/>
  <c r="DC10" i="1"/>
  <c r="EL100" i="1"/>
  <c r="DB33" i="1"/>
  <c r="DA27" i="1"/>
  <c r="DF24" i="1"/>
  <c r="EM120" i="1"/>
  <c r="CD74" i="1"/>
  <c r="DE37" i="1"/>
  <c r="DD12" i="1"/>
  <c r="DB28" i="1"/>
  <c r="EL74" i="1"/>
  <c r="DD22" i="1"/>
  <c r="EL75" i="1"/>
  <c r="DC21" i="1"/>
  <c r="DF25" i="1"/>
  <c r="DF36" i="1"/>
  <c r="DD35" i="1"/>
  <c r="DA34" i="1"/>
  <c r="CE31" i="1"/>
  <c r="CD169" i="1"/>
  <c r="DE10" i="1"/>
  <c r="DA11" i="1"/>
  <c r="DF7" i="1"/>
  <c r="BB70" i="1"/>
  <c r="BB31" i="1"/>
  <c r="BA57" i="1"/>
  <c r="BA47" i="1"/>
  <c r="BA172" i="1"/>
  <c r="BB21" i="1"/>
  <c r="BA18" i="1"/>
  <c r="BB18" i="1"/>
  <c r="BA23" i="1"/>
  <c r="BA36" i="1"/>
  <c r="BB59" i="1"/>
  <c r="BB63" i="1"/>
  <c r="BB17" i="1"/>
  <c r="BA28" i="1"/>
  <c r="BB60" i="1"/>
  <c r="BA34" i="1"/>
  <c r="BA174" i="1"/>
  <c r="BA61" i="1"/>
  <c r="BA32" i="1"/>
  <c r="BB16" i="1"/>
  <c r="BA48" i="1"/>
  <c r="BA73" i="1"/>
  <c r="BB8" i="1"/>
  <c r="BB32" i="1"/>
  <c r="BA6" i="1"/>
  <c r="BB62" i="1"/>
  <c r="BA175" i="1"/>
  <c r="BB19" i="1"/>
  <c r="BA71" i="1"/>
  <c r="BA75" i="1"/>
  <c r="BA4" i="1"/>
  <c r="BA8" i="1"/>
  <c r="BA33" i="1"/>
  <c r="BA26" i="1"/>
  <c r="DB37" i="1"/>
  <c r="DE25" i="1"/>
  <c r="DD14" i="1"/>
  <c r="CE6" i="1"/>
  <c r="CE27" i="1"/>
  <c r="EL47" i="1"/>
  <c r="DE11" i="1"/>
  <c r="DE36" i="1"/>
  <c r="CD59" i="1"/>
  <c r="CE47" i="1"/>
  <c r="DD34" i="1"/>
  <c r="DD17" i="1"/>
  <c r="DF9" i="1"/>
  <c r="EM71" i="1"/>
  <c r="EL102" i="1"/>
  <c r="BB38" i="1"/>
  <c r="BB12" i="1"/>
  <c r="BB9" i="1"/>
  <c r="BA60" i="1"/>
  <c r="BB73" i="1"/>
  <c r="BA19" i="1"/>
  <c r="BB47" i="1"/>
  <c r="BA10" i="1"/>
  <c r="BB61" i="1"/>
  <c r="BB79" i="1"/>
  <c r="BB36" i="1"/>
  <c r="EQ100" i="1"/>
  <c r="EQ104" i="1"/>
  <c r="EP125" i="1"/>
  <c r="EQ110" i="1"/>
  <c r="EP90" i="1"/>
  <c r="EL64" i="1"/>
  <c r="EQ123" i="1"/>
  <c r="EP129" i="1"/>
  <c r="EQ96" i="1"/>
  <c r="DE9" i="1"/>
  <c r="EQ103" i="1"/>
  <c r="CD38" i="1"/>
  <c r="CE79" i="1"/>
  <c r="DE30" i="1"/>
  <c r="EM70" i="1"/>
  <c r="EM73" i="1"/>
  <c r="EQ128" i="1"/>
  <c r="CE46" i="1"/>
  <c r="EP108" i="1"/>
  <c r="CE74" i="1"/>
  <c r="EL170" i="1"/>
  <c r="EL173" i="1"/>
  <c r="CE10" i="1"/>
  <c r="EM94" i="1"/>
  <c r="DF17" i="1"/>
  <c r="DE21" i="1"/>
  <c r="DB38" i="1"/>
  <c r="EP101" i="1"/>
  <c r="EQ99" i="1"/>
  <c r="DC13" i="1"/>
  <c r="EL106" i="1"/>
  <c r="DF30" i="1"/>
  <c r="EL121" i="1"/>
  <c r="CE7" i="1"/>
  <c r="CE11" i="1"/>
  <c r="CD24" i="1"/>
  <c r="DA10" i="1"/>
  <c r="DB34" i="1"/>
  <c r="DF34" i="1"/>
  <c r="EM98" i="1"/>
  <c r="DF26" i="1"/>
  <c r="CD75" i="1"/>
  <c r="DA9" i="1"/>
  <c r="EL94" i="1"/>
  <c r="CE33" i="1"/>
  <c r="DB36" i="1"/>
  <c r="CD5" i="1"/>
  <c r="EM115" i="1"/>
  <c r="EL79" i="1"/>
  <c r="CE35" i="1"/>
  <c r="DD24" i="1"/>
  <c r="DE31" i="1"/>
  <c r="CD35" i="1"/>
  <c r="DE16" i="1"/>
  <c r="DD26" i="1"/>
  <c r="DF28" i="1"/>
  <c r="CD4" i="1"/>
  <c r="DB9" i="1"/>
  <c r="EL169" i="1"/>
  <c r="DC17" i="1"/>
  <c r="DF13" i="1"/>
  <c r="CD174" i="1"/>
  <c r="CD37" i="1"/>
  <c r="CD15" i="1"/>
  <c r="CD180" i="1"/>
  <c r="DB32" i="1"/>
  <c r="CE58" i="1"/>
  <c r="CD9" i="1"/>
  <c r="EL105" i="1"/>
  <c r="CD6" i="1"/>
  <c r="DE4" i="1"/>
  <c r="DA21" i="1"/>
  <c r="EL117" i="1"/>
  <c r="DA35" i="1"/>
  <c r="DF18" i="1"/>
  <c r="CD72" i="1"/>
  <c r="EM96" i="1"/>
  <c r="EL114" i="1"/>
  <c r="DB16" i="1"/>
  <c r="DF21" i="1"/>
  <c r="CD18" i="1"/>
  <c r="DB8" i="1"/>
  <c r="EM107" i="1"/>
  <c r="CE59" i="1"/>
  <c r="CE28" i="1"/>
  <c r="DF35" i="1"/>
  <c r="DA14" i="1"/>
  <c r="DB30" i="1"/>
  <c r="DC35" i="1"/>
  <c r="DC9" i="1"/>
  <c r="CD58" i="1"/>
  <c r="DF16" i="1"/>
  <c r="DF15" i="1"/>
  <c r="DD36" i="1"/>
  <c r="DB23" i="1"/>
  <c r="BA140" i="1"/>
  <c r="CD173" i="1"/>
  <c r="DD27" i="1"/>
  <c r="EL96" i="1"/>
  <c r="DA37" i="1"/>
  <c r="DA4" i="1"/>
  <c r="CD29" i="1"/>
  <c r="EM109" i="1"/>
  <c r="DD37" i="1"/>
  <c r="CD78" i="1"/>
  <c r="EM59" i="1"/>
  <c r="CD14" i="1"/>
  <c r="DA28" i="1"/>
  <c r="CE5" i="1"/>
  <c r="CE19" i="1"/>
  <c r="EM93" i="1"/>
  <c r="DD13" i="1"/>
  <c r="DC24" i="1"/>
  <c r="CE12" i="1"/>
  <c r="DB25" i="1"/>
  <c r="EM113" i="1"/>
  <c r="CE61" i="1"/>
  <c r="CE4" i="1"/>
  <c r="DF37" i="1"/>
  <c r="DA5" i="1"/>
  <c r="DA30" i="1"/>
  <c r="DC36" i="1"/>
  <c r="DD23" i="1"/>
  <c r="DD10" i="1"/>
  <c r="CD28" i="1"/>
  <c r="BB48" i="1"/>
  <c r="BB6" i="1"/>
  <c r="BA35" i="1"/>
  <c r="BA7" i="1"/>
  <c r="BA181" i="1"/>
  <c r="BA29" i="1"/>
  <c r="BB77" i="1"/>
  <c r="BB29" i="1"/>
  <c r="BA11" i="1"/>
  <c r="BA62" i="1"/>
  <c r="BA38" i="1"/>
  <c r="BB24" i="1"/>
  <c r="BA74" i="1"/>
  <c r="BA37" i="1"/>
  <c r="BB35" i="1"/>
  <c r="BA171" i="1"/>
  <c r="BA141" i="1"/>
  <c r="BA63" i="1"/>
  <c r="BB28" i="1"/>
  <c r="BA58" i="1"/>
  <c r="BA24" i="1"/>
  <c r="BB78" i="1"/>
  <c r="BA25" i="1"/>
  <c r="BA72" i="1"/>
  <c r="BB11" i="1"/>
  <c r="BA14" i="1"/>
  <c r="BB76" i="1"/>
  <c r="BB58" i="1"/>
  <c r="BA77" i="1"/>
  <c r="CE26" i="1"/>
  <c r="DE14" i="1"/>
  <c r="BB71" i="1"/>
  <c r="BB15" i="1"/>
  <c r="BA21" i="1"/>
  <c r="BB14" i="1"/>
  <c r="BA17" i="1"/>
  <c r="BA30" i="1"/>
  <c r="BB45" i="1"/>
  <c r="BB4" i="1"/>
  <c r="BB74" i="1"/>
  <c r="BB20" i="1"/>
  <c r="BA59" i="1"/>
  <c r="BB33" i="1"/>
  <c r="BB27" i="1"/>
  <c r="BB13" i="1"/>
  <c r="EP124" i="1"/>
  <c r="EP123" i="1"/>
  <c r="EP130" i="1"/>
  <c r="EP106" i="1"/>
  <c r="EP127" i="1"/>
  <c r="EP91" i="1"/>
  <c r="EQ124" i="1"/>
  <c r="EP98" i="1"/>
  <c r="DE23" i="1"/>
  <c r="EP107" i="1"/>
  <c r="DE29" i="1"/>
  <c r="CD172" i="1"/>
  <c r="DC4" i="1"/>
  <c r="EM74" i="1"/>
  <c r="EQ130" i="1"/>
  <c r="EQ125" i="1"/>
  <c r="EL119" i="1"/>
  <c r="EL174" i="1"/>
  <c r="EL116" i="1"/>
  <c r="EQ94" i="1"/>
  <c r="EL172" i="1"/>
  <c r="EQ107" i="1"/>
  <c r="CE8" i="1"/>
  <c r="EM77" i="1"/>
  <c r="CD170" i="1"/>
  <c r="EL95" i="1"/>
  <c r="EL46" i="1"/>
  <c r="EP95" i="1"/>
  <c r="CE30" i="1"/>
  <c r="EP88" i="1"/>
  <c r="EP89" i="1"/>
  <c r="EQ111" i="1"/>
  <c r="CE77" i="1"/>
  <c r="EM108" i="1"/>
  <c r="CD175" i="1"/>
  <c r="CD57" i="1"/>
  <c r="CD20" i="1"/>
  <c r="EM75" i="1"/>
  <c r="EM122" i="1"/>
  <c r="DC38" i="1"/>
  <c r="DF20" i="1"/>
  <c r="DB13" i="1"/>
  <c r="DA33" i="1"/>
  <c r="CE24" i="1"/>
  <c r="DC22" i="1"/>
  <c r="CE57" i="1"/>
  <c r="CD26" i="1"/>
  <c r="CD22" i="1"/>
  <c r="DC12" i="1"/>
  <c r="DC37" i="1"/>
  <c r="DC31" i="1"/>
  <c r="EM105" i="1"/>
  <c r="EL73" i="1"/>
  <c r="DD19" i="1"/>
  <c r="CD77" i="1"/>
  <c r="DF38" i="1"/>
  <c r="EM99" i="1"/>
  <c r="DB17" i="1"/>
  <c r="DD21" i="1"/>
  <c r="EM110" i="1"/>
  <c r="DB26" i="1"/>
  <c r="EL78" i="1"/>
  <c r="DE26" i="1"/>
  <c r="CD8" i="1"/>
  <c r="CE17" i="1"/>
  <c r="CE23" i="1"/>
  <c r="EL71" i="1"/>
  <c r="DD16" i="1"/>
  <c r="CE18" i="1"/>
  <c r="CD46" i="1"/>
  <c r="EM97" i="1"/>
  <c r="CE38" i="1"/>
  <c r="CD79" i="1"/>
  <c r="DF22" i="1"/>
  <c r="DE7" i="1"/>
  <c r="BA46" i="1"/>
  <c r="BA16" i="1"/>
  <c r="BA169" i="1"/>
  <c r="BA173" i="1"/>
  <c r="BB46" i="1"/>
  <c r="BB26" i="1"/>
  <c r="BB75" i="1"/>
  <c r="BA15" i="1"/>
  <c r="BB25" i="1"/>
  <c r="BA180" i="1"/>
  <c r="EP85" i="1"/>
  <c r="EQ127" i="1"/>
  <c r="EP93" i="1"/>
  <c r="EP112" i="1"/>
  <c r="EL93" i="1"/>
  <c r="EQ102" i="1"/>
  <c r="EP104" i="1"/>
  <c r="EQ105" i="1"/>
  <c r="EP103" i="1"/>
  <c r="DD30" i="1"/>
  <c r="EL112" i="1"/>
  <c r="EL120" i="1"/>
  <c r="EQ106" i="1"/>
  <c r="EM102" i="1"/>
  <c r="EL111" i="1"/>
  <c r="EL118" i="1"/>
  <c r="EP102" i="1"/>
  <c r="EP105" i="1"/>
  <c r="EM95" i="1"/>
  <c r="DE32" i="1"/>
  <c r="EQ98" i="1"/>
  <c r="CD45" i="1"/>
  <c r="DC32" i="1"/>
  <c r="DD28" i="1"/>
  <c r="AT85" i="1"/>
  <c r="DF32" i="1"/>
  <c r="EQ93" i="1"/>
  <c r="CE60" i="1"/>
  <c r="EP94" i="1"/>
  <c r="EP86" i="1"/>
  <c r="EQ109" i="1"/>
  <c r="EP100" i="1"/>
  <c r="EL109" i="1"/>
  <c r="DD20" i="1"/>
  <c r="EM76" i="1"/>
  <c r="DE13" i="1"/>
  <c r="EM112" i="1"/>
  <c r="CE45" i="1"/>
  <c r="DD8" i="1"/>
  <c r="DA36" i="1"/>
  <c r="DE33" i="1"/>
  <c r="DC25" i="1"/>
  <c r="DF27" i="1"/>
  <c r="EM121" i="1"/>
  <c r="CD12" i="1"/>
  <c r="CE36" i="1"/>
  <c r="DA20" i="1"/>
  <c r="DC14" i="1"/>
  <c r="CD76" i="1"/>
  <c r="CE34" i="1"/>
  <c r="DB22" i="1"/>
  <c r="CD47" i="1"/>
  <c r="CD17" i="1"/>
  <c r="DA25" i="1"/>
  <c r="DC33" i="1"/>
  <c r="DA29" i="1"/>
  <c r="CE72" i="1"/>
  <c r="DC30" i="1"/>
  <c r="CE32" i="1"/>
  <c r="DD18" i="1"/>
  <c r="CD181" i="1"/>
  <c r="DC16" i="1"/>
  <c r="CD27" i="1"/>
  <c r="EL58" i="1"/>
  <c r="DF29" i="1"/>
  <c r="EM117" i="1"/>
  <c r="CE13" i="1"/>
  <c r="DB21" i="1"/>
  <c r="DD32" i="1"/>
  <c r="CE21" i="1"/>
  <c r="DA17" i="1"/>
  <c r="EM72" i="1"/>
  <c r="DE6" i="1"/>
  <c r="DE12" i="1"/>
  <c r="CD16" i="1"/>
  <c r="EL98" i="1"/>
  <c r="CD10" i="1"/>
  <c r="DB10" i="1"/>
  <c r="CD36" i="1"/>
  <c r="DF8" i="1"/>
  <c r="DB29" i="1"/>
  <c r="DE8" i="1"/>
  <c r="DC6" i="1"/>
  <c r="DA13" i="1"/>
  <c r="CE29" i="1"/>
  <c r="CD31" i="1"/>
  <c r="CD61" i="1"/>
  <c r="DE17" i="1"/>
  <c r="DD33" i="1"/>
  <c r="DE38" i="1"/>
  <c r="DE20" i="1"/>
  <c r="DD7" i="1"/>
  <c r="DB35" i="1"/>
  <c r="EL77" i="1"/>
  <c r="CE14" i="1"/>
  <c r="CD11" i="1"/>
  <c r="EM46" i="1"/>
  <c r="CD13" i="1"/>
  <c r="DE24" i="1"/>
  <c r="DC20" i="1"/>
  <c r="DA8" i="1"/>
  <c r="CD142" i="1"/>
  <c r="EL99" i="1"/>
  <c r="CE22" i="1"/>
  <c r="DF23" i="1"/>
  <c r="DC27" i="1"/>
  <c r="EL45" i="1"/>
  <c r="DE34" i="1"/>
  <c r="DA18" i="1"/>
  <c r="DC23" i="1"/>
  <c r="DF19" i="1"/>
  <c r="EL103" i="1"/>
  <c r="BA45" i="1"/>
  <c r="BA27" i="1"/>
  <c r="BA170" i="1"/>
  <c r="BB10" i="1"/>
  <c r="BA78" i="1"/>
  <c r="BA31" i="1"/>
  <c r="BA79" i="1"/>
  <c r="BA76" i="1"/>
  <c r="BB57" i="1"/>
  <c r="BB30" i="1"/>
  <c r="BA142" i="1"/>
  <c r="BB72" i="1"/>
  <c r="BB34" i="1"/>
  <c r="BB22" i="1"/>
  <c r="EP128" i="1"/>
  <c r="EM116" i="1"/>
  <c r="EM103" i="1"/>
  <c r="EP111" i="1"/>
  <c r="EL101" i="1"/>
  <c r="DB12" i="1"/>
  <c r="DB19" i="1"/>
  <c r="DB27" i="1"/>
  <c r="DE5" i="1"/>
  <c r="DF33" i="1"/>
  <c r="EM45" i="1"/>
  <c r="DD31" i="1"/>
  <c r="DD29" i="1"/>
  <c r="DC34" i="1"/>
  <c r="DF11" i="1"/>
  <c r="DA22" i="1"/>
  <c r="DC11" i="1"/>
  <c r="DD38" i="1"/>
  <c r="DC15" i="1"/>
  <c r="CD25" i="1"/>
  <c r="CE37" i="1"/>
  <c r="DA24" i="1"/>
  <c r="CD7" i="1"/>
  <c r="CD23" i="1"/>
  <c r="EM78" i="1"/>
  <c r="DD25" i="1"/>
  <c r="EM104" i="1"/>
  <c r="DD11" i="1"/>
  <c r="BB37" i="1"/>
  <c r="BA12" i="1"/>
  <c r="BA5" i="1"/>
  <c r="BA9" i="1"/>
  <c r="BA22" i="1"/>
  <c r="BB5" i="1"/>
  <c r="BA13" i="1"/>
  <c r="BB23" i="1"/>
  <c r="BA20" i="1"/>
  <c r="BA70" i="1"/>
  <c r="BB7" i="1"/>
  <c r="BE185" i="1"/>
  <c r="BD172" i="1"/>
  <c r="EN25" i="1"/>
  <c r="EN107" i="1"/>
  <c r="AV139" i="1"/>
  <c r="CH175" i="1"/>
  <c r="CG6" i="1"/>
  <c r="EN35" i="1"/>
  <c r="CF77" i="1"/>
  <c r="CF9" i="1"/>
  <c r="CI182" i="1"/>
  <c r="AV22" i="1"/>
  <c r="AW17" i="1"/>
  <c r="CI166" i="1"/>
  <c r="AV6" i="1"/>
  <c r="EP31" i="1"/>
  <c r="CI189" i="1"/>
  <c r="AV189" i="1"/>
  <c r="BD25" i="1"/>
  <c r="BF62" i="1"/>
  <c r="BF153" i="1"/>
  <c r="BE70" i="1"/>
  <c r="BD165" i="1"/>
  <c r="AW10" i="1"/>
  <c r="AU13" i="1"/>
  <c r="EO16" i="1"/>
  <c r="AX71" i="1"/>
  <c r="CG26" i="1"/>
  <c r="EN99" i="1"/>
  <c r="EN18" i="1"/>
  <c r="BC26" i="1"/>
  <c r="EO17" i="1"/>
  <c r="BF8" i="1"/>
  <c r="CF14" i="1"/>
  <c r="AV47" i="1"/>
  <c r="EN85" i="1"/>
  <c r="CI23" i="1"/>
  <c r="CH173" i="1"/>
  <c r="BD61" i="1"/>
  <c r="BD173" i="1"/>
  <c r="BD164" i="1"/>
  <c r="AW15" i="1"/>
  <c r="AX11" i="1"/>
  <c r="EN88" i="1"/>
  <c r="EN92" i="1"/>
  <c r="CI151" i="1"/>
  <c r="CH145" i="1"/>
  <c r="EQ8" i="1"/>
  <c r="CH47" i="1"/>
  <c r="CG20" i="1"/>
  <c r="CI75" i="1"/>
  <c r="CI12" i="1"/>
  <c r="CI15" i="1"/>
  <c r="BE38" i="1"/>
  <c r="CF36" i="1"/>
  <c r="BE145" i="1"/>
  <c r="EO97" i="1"/>
  <c r="BD21" i="1"/>
  <c r="BD166" i="1"/>
  <c r="CI181" i="1"/>
  <c r="CG159" i="1"/>
  <c r="EO29" i="1"/>
  <c r="CH4" i="1"/>
  <c r="EO33" i="1"/>
  <c r="EO108" i="1"/>
  <c r="BD73" i="1"/>
  <c r="EO129" i="1"/>
  <c r="CH171" i="1"/>
  <c r="EO119" i="1"/>
  <c r="CH177" i="1"/>
  <c r="CG73" i="1"/>
  <c r="CG182" i="1"/>
  <c r="BD162" i="1"/>
  <c r="CF35" i="1"/>
  <c r="BE179" i="1"/>
  <c r="BF138" i="1"/>
  <c r="CH155" i="1"/>
  <c r="AW11" i="1"/>
  <c r="CH73" i="1"/>
  <c r="BD189" i="1"/>
  <c r="CG75" i="1"/>
  <c r="EO100" i="1"/>
  <c r="AV27" i="1"/>
  <c r="CH36" i="1"/>
  <c r="BE78" i="1"/>
  <c r="BD10" i="1"/>
  <c r="CI140" i="1"/>
  <c r="BD75" i="1"/>
  <c r="CF144" i="1"/>
  <c r="CH138" i="1"/>
  <c r="EO104" i="1"/>
  <c r="CG144" i="1"/>
  <c r="EO19" i="1"/>
  <c r="EO88" i="1"/>
  <c r="CF7" i="1"/>
  <c r="CF12" i="1"/>
  <c r="AV24" i="1"/>
  <c r="EN98" i="1"/>
  <c r="BF180" i="1"/>
  <c r="BD24" i="1"/>
  <c r="CG138" i="1"/>
  <c r="EN7" i="1"/>
  <c r="BD185" i="1"/>
  <c r="CI144" i="1"/>
  <c r="CG4" i="1"/>
  <c r="AU24" i="1"/>
  <c r="EQ34" i="1"/>
  <c r="BF183" i="1"/>
  <c r="BC78" i="1"/>
  <c r="EQ12" i="1"/>
  <c r="EN127" i="1"/>
  <c r="BC30" i="1"/>
  <c r="AW77" i="1"/>
  <c r="BC175" i="1"/>
  <c r="AW28" i="1"/>
  <c r="CI73" i="1"/>
  <c r="EP14" i="1"/>
  <c r="AX21" i="1"/>
  <c r="CI170" i="1"/>
  <c r="BF79" i="1"/>
  <c r="EN115" i="1"/>
  <c r="AV31" i="1"/>
  <c r="AX10" i="1"/>
  <c r="CF186" i="1"/>
  <c r="EN11" i="1"/>
  <c r="CF146" i="1"/>
  <c r="CI6" i="1"/>
  <c r="EO9" i="1"/>
  <c r="EP5" i="1"/>
  <c r="AW19" i="1"/>
  <c r="AV30" i="1"/>
  <c r="AW7" i="1"/>
  <c r="AW21" i="1"/>
  <c r="AV60" i="1"/>
  <c r="EN16" i="1"/>
  <c r="AX20" i="1"/>
  <c r="CI158" i="1"/>
  <c r="CF170" i="1"/>
  <c r="EN91" i="1"/>
  <c r="CG31" i="1"/>
  <c r="CH14" i="1"/>
  <c r="AX32" i="1"/>
  <c r="CF19" i="1"/>
  <c r="AW26" i="1"/>
  <c r="EQ17" i="1"/>
  <c r="CG175" i="1"/>
  <c r="EN87" i="1"/>
  <c r="EO90" i="1"/>
  <c r="EQ14" i="1"/>
  <c r="CI147" i="1"/>
  <c r="AW12" i="1"/>
  <c r="AW74" i="1"/>
  <c r="BE36" i="1"/>
  <c r="EO4" i="1"/>
  <c r="BF158" i="1"/>
  <c r="CF174" i="1"/>
  <c r="BC164" i="1"/>
  <c r="BF28" i="1"/>
  <c r="CG28" i="1"/>
  <c r="BE19" i="1"/>
  <c r="EP34" i="1"/>
  <c r="BE12" i="1"/>
  <c r="CG25" i="1"/>
  <c r="BD45" i="1"/>
  <c r="BF187" i="1"/>
  <c r="AU9" i="1"/>
  <c r="CF33" i="1"/>
  <c r="AU15" i="1"/>
  <c r="BC58" i="1"/>
  <c r="AX19" i="1"/>
  <c r="CF18" i="1"/>
  <c r="EN124" i="1"/>
  <c r="CF4" i="1"/>
  <c r="CI72" i="1"/>
  <c r="EO92" i="1"/>
  <c r="EQ7" i="1"/>
  <c r="CH158" i="1"/>
  <c r="CH38" i="1"/>
  <c r="AV13" i="1"/>
  <c r="AU27" i="1"/>
  <c r="CG179" i="1"/>
  <c r="CI143" i="1"/>
  <c r="EP16" i="1"/>
  <c r="AX47" i="1"/>
  <c r="BF63" i="1"/>
  <c r="CI20" i="1"/>
  <c r="AV21" i="1"/>
  <c r="BD26" i="1"/>
  <c r="CF148" i="1"/>
  <c r="EN31" i="1"/>
  <c r="AX77" i="1"/>
  <c r="CI180" i="1"/>
  <c r="AU4" i="1"/>
  <c r="BE74" i="1"/>
  <c r="BC148" i="1"/>
  <c r="AW13" i="1"/>
  <c r="CH30" i="1"/>
  <c r="EN21" i="1"/>
  <c r="EP15" i="1"/>
  <c r="AW24" i="1"/>
  <c r="EN90" i="1"/>
  <c r="EN38" i="1"/>
  <c r="BD186" i="1"/>
  <c r="AW14" i="1"/>
  <c r="CG139" i="1"/>
  <c r="BD137" i="1"/>
  <c r="AX17" i="1"/>
  <c r="BC169" i="1"/>
  <c r="CF138" i="1"/>
  <c r="BC74" i="1"/>
  <c r="AX33" i="1"/>
  <c r="CG183" i="1"/>
  <c r="AV25" i="1"/>
  <c r="EN128" i="1"/>
  <c r="CI48" i="1"/>
  <c r="EQ15" i="1"/>
  <c r="BF58" i="1"/>
  <c r="BC18" i="1"/>
  <c r="EN120" i="1"/>
  <c r="AU57" i="1"/>
  <c r="CG147" i="1"/>
  <c r="EN96" i="1"/>
  <c r="BE58" i="1"/>
  <c r="CI31" i="1"/>
  <c r="CG34" i="1"/>
  <c r="EQ33" i="1"/>
  <c r="CH170" i="1"/>
  <c r="AW63" i="1"/>
  <c r="AV5" i="1"/>
  <c r="CG37" i="1"/>
  <c r="CG78" i="1"/>
  <c r="AX24" i="1"/>
  <c r="BD9" i="1"/>
  <c r="BD70" i="1"/>
  <c r="CH166" i="1"/>
  <c r="CI28" i="1"/>
  <c r="CF156" i="1"/>
  <c r="EO130" i="1"/>
  <c r="AW29" i="1"/>
  <c r="AU47" i="1"/>
  <c r="EQ16" i="1"/>
  <c r="EN119" i="1"/>
  <c r="CI173" i="1"/>
  <c r="BE24" i="1"/>
  <c r="BC160" i="1"/>
  <c r="BD13" i="1"/>
  <c r="AV23" i="1"/>
  <c r="BF159" i="1"/>
  <c r="BE183" i="1"/>
  <c r="CG176" i="1"/>
  <c r="AW20" i="1"/>
  <c r="BD177" i="1"/>
  <c r="CH5" i="1"/>
  <c r="CF173" i="1"/>
  <c r="EN118" i="1"/>
  <c r="BE186" i="1"/>
  <c r="BC79" i="1"/>
  <c r="CG32" i="1"/>
  <c r="CH75" i="1"/>
  <c r="EO95" i="1"/>
  <c r="AW32" i="1"/>
  <c r="CH183" i="1"/>
  <c r="BE139" i="1"/>
  <c r="BE25" i="1"/>
  <c r="AU62" i="1"/>
  <c r="AV12" i="1"/>
  <c r="CI7" i="1"/>
  <c r="BF32" i="1"/>
  <c r="BC156" i="1"/>
  <c r="CH17" i="1"/>
  <c r="EN111" i="1"/>
  <c r="EO103" i="1"/>
  <c r="BC28" i="1"/>
  <c r="BF38" i="1"/>
  <c r="AW48" i="1"/>
  <c r="BC77" i="1"/>
  <c r="EO6" i="1"/>
  <c r="CI139" i="1"/>
  <c r="BD32" i="1"/>
  <c r="CG170" i="1"/>
  <c r="EN94" i="1"/>
  <c r="EO87" i="1"/>
  <c r="EN36" i="1"/>
  <c r="BC153" i="1"/>
  <c r="CF24" i="1"/>
  <c r="BD63" i="1"/>
  <c r="EN122" i="1"/>
  <c r="BD74" i="1"/>
  <c r="EN104" i="1"/>
  <c r="BC176" i="1"/>
  <c r="EN102" i="1"/>
  <c r="CH72" i="1"/>
  <c r="BF76" i="1"/>
  <c r="BD159" i="1"/>
  <c r="CF158" i="1"/>
  <c r="BF36" i="1"/>
  <c r="CH137" i="1"/>
  <c r="CI138" i="1"/>
  <c r="AX48" i="1"/>
  <c r="AX16" i="1"/>
  <c r="CG18" i="1"/>
  <c r="CF57" i="1"/>
  <c r="BD147" i="1"/>
  <c r="AV57" i="1"/>
  <c r="AV45" i="1"/>
  <c r="AX30" i="1"/>
  <c r="CH13" i="1"/>
  <c r="BF186" i="1"/>
  <c r="CH74" i="1"/>
  <c r="EO91" i="1"/>
  <c r="AW9" i="1"/>
  <c r="CH150" i="1"/>
  <c r="CI155" i="1"/>
  <c r="AU76" i="1"/>
  <c r="BC46" i="1"/>
  <c r="BC151" i="1"/>
  <c r="CG13" i="1"/>
  <c r="EN24" i="1"/>
  <c r="AV18" i="1"/>
  <c r="EO128" i="1"/>
  <c r="BD62" i="1"/>
  <c r="BE46" i="1"/>
  <c r="AV9" i="1"/>
  <c r="CG177" i="1"/>
  <c r="EQ20" i="1"/>
  <c r="BC184" i="1"/>
  <c r="AW16" i="1"/>
  <c r="AX61" i="1"/>
  <c r="CI154" i="1"/>
  <c r="CG60" i="1"/>
  <c r="CF189" i="1"/>
  <c r="CH186" i="1"/>
  <c r="AV10" i="1"/>
  <c r="BD59" i="1"/>
  <c r="AX18" i="1"/>
  <c r="EN103" i="1"/>
  <c r="CF178" i="1"/>
  <c r="BD143" i="1"/>
  <c r="CI29" i="1"/>
  <c r="EQ9" i="1"/>
  <c r="CI186" i="1"/>
  <c r="AV79" i="1"/>
  <c r="CG180" i="1"/>
  <c r="EO101" i="1"/>
  <c r="BF160" i="1"/>
  <c r="BF35" i="1"/>
  <c r="BF178" i="1"/>
  <c r="BC137" i="1"/>
  <c r="BE180" i="1"/>
  <c r="AX57" i="1"/>
  <c r="CG186" i="1"/>
  <c r="CG160" i="1"/>
  <c r="EN121" i="1"/>
  <c r="EN30" i="1"/>
  <c r="CI77" i="1"/>
  <c r="AW22" i="1"/>
  <c r="BF179" i="1"/>
  <c r="BC76" i="1"/>
  <c r="BC140" i="1"/>
  <c r="EO5" i="1"/>
  <c r="CG72" i="1"/>
  <c r="CF185" i="1"/>
  <c r="AV72" i="1"/>
  <c r="CF188" i="1"/>
  <c r="CH21" i="1"/>
  <c r="EP7" i="1"/>
  <c r="CF152" i="1"/>
  <c r="AV11" i="1"/>
  <c r="CI26" i="1"/>
  <c r="BC144" i="1"/>
  <c r="BF4" i="1"/>
  <c r="AV26" i="1"/>
  <c r="CG181" i="1"/>
  <c r="AU61" i="1"/>
  <c r="AW72" i="1"/>
  <c r="EO111" i="1"/>
  <c r="BF74" i="1"/>
  <c r="CF59" i="1"/>
  <c r="BF21" i="1"/>
  <c r="BC31" i="1"/>
  <c r="CG61" i="1"/>
  <c r="EO112" i="1"/>
  <c r="CH61" i="1"/>
  <c r="CH149" i="1"/>
  <c r="CG171" i="1"/>
  <c r="CG57" i="1"/>
  <c r="BC138" i="1"/>
  <c r="AX6" i="1"/>
  <c r="BC16" i="1"/>
  <c r="CH33" i="1"/>
  <c r="BC73" i="1"/>
  <c r="EO102" i="1"/>
  <c r="BE77" i="1"/>
  <c r="EO38" i="1"/>
  <c r="CH15" i="1"/>
  <c r="EQ23" i="1"/>
  <c r="CI25" i="1"/>
  <c r="AX62" i="1"/>
  <c r="BF141" i="1"/>
  <c r="AU78" i="1"/>
  <c r="EN6" i="1"/>
  <c r="BC172" i="1"/>
  <c r="BC13" i="1"/>
  <c r="AU16" i="1"/>
  <c r="BC165" i="1"/>
  <c r="BF25" i="1"/>
  <c r="BC142" i="1"/>
  <c r="BE28" i="1"/>
  <c r="EQ24" i="1"/>
  <c r="BE184" i="1"/>
  <c r="AW38" i="1"/>
  <c r="AX8" i="1"/>
  <c r="BF26" i="1"/>
  <c r="CH143" i="1"/>
  <c r="EQ37" i="1"/>
  <c r="BE22" i="1"/>
  <c r="AV38" i="1"/>
  <c r="BD18" i="1"/>
  <c r="CI24" i="1"/>
  <c r="EN14" i="1"/>
  <c r="AU29" i="1"/>
  <c r="EP12" i="1"/>
  <c r="BE146" i="1"/>
  <c r="CI184" i="1"/>
  <c r="CI185" i="1"/>
  <c r="AW76" i="1"/>
  <c r="EQ27" i="1"/>
  <c r="CG158" i="1"/>
  <c r="CH139" i="1"/>
  <c r="CF32" i="1"/>
  <c r="BC63" i="1"/>
  <c r="EN93" i="1"/>
  <c r="CG148" i="1"/>
  <c r="AW23" i="1"/>
  <c r="CI16" i="1"/>
  <c r="CI33" i="1"/>
  <c r="CI58" i="1"/>
  <c r="AV34" i="1"/>
  <c r="BD35" i="1"/>
  <c r="CF145" i="1"/>
  <c r="BD78" i="1"/>
  <c r="BE30" i="1"/>
  <c r="BD160" i="1"/>
  <c r="BE63" i="1"/>
  <c r="CI45" i="1"/>
  <c r="AV71" i="1"/>
  <c r="AW75" i="1"/>
  <c r="CH179" i="1"/>
  <c r="EN19" i="1"/>
  <c r="BC48" i="1"/>
  <c r="BF182" i="1"/>
  <c r="BF60" i="1"/>
  <c r="BC15" i="1"/>
  <c r="EO8" i="1"/>
  <c r="BF72" i="1"/>
  <c r="AX5" i="1"/>
  <c r="BC147" i="1"/>
  <c r="EO115" i="1"/>
  <c r="BD141" i="1"/>
  <c r="EQ21" i="1"/>
  <c r="EQ25" i="1"/>
  <c r="BF146" i="1"/>
  <c r="AU189" i="1"/>
  <c r="AW34" i="1"/>
  <c r="CG74" i="1"/>
  <c r="CH153" i="1"/>
  <c r="EP6" i="1"/>
  <c r="AX26" i="1"/>
  <c r="BD169" i="1"/>
  <c r="CH19" i="1"/>
  <c r="AU17" i="1"/>
  <c r="CG30" i="1"/>
  <c r="CI79" i="1"/>
  <c r="AU25" i="1"/>
  <c r="EO21" i="1"/>
  <c r="AU8" i="1"/>
  <c r="AU30" i="1"/>
  <c r="BE71" i="1"/>
  <c r="AV33" i="1"/>
  <c r="CH45" i="1"/>
  <c r="CF153" i="1"/>
  <c r="BE188" i="1"/>
  <c r="BD47" i="1"/>
  <c r="BE9" i="1"/>
  <c r="CI4" i="1"/>
  <c r="CI145" i="1"/>
  <c r="BC159" i="1"/>
  <c r="CG9" i="1"/>
  <c r="AV62" i="1"/>
  <c r="BC161" i="1"/>
  <c r="BC141" i="1"/>
  <c r="BC9" i="1"/>
  <c r="AU23" i="1"/>
  <c r="BC38" i="1"/>
  <c r="EO35" i="1"/>
  <c r="EN108" i="1"/>
  <c r="AW57" i="1"/>
  <c r="CH59" i="1"/>
  <c r="BF10" i="1"/>
  <c r="CI74" i="1"/>
  <c r="BD38" i="1"/>
  <c r="CH18" i="1"/>
  <c r="CF73" i="1"/>
  <c r="CH187" i="1"/>
  <c r="BE73" i="1"/>
  <c r="CF26" i="1"/>
  <c r="EN106" i="1"/>
  <c r="BD179" i="1"/>
  <c r="BC139" i="1"/>
  <c r="CI47" i="1"/>
  <c r="BD174" i="1"/>
  <c r="BD170" i="1"/>
  <c r="AV4" i="1"/>
  <c r="CI19" i="1"/>
  <c r="AU33" i="1"/>
  <c r="CF28" i="1"/>
  <c r="CG27" i="1"/>
  <c r="BE61" i="1"/>
  <c r="EO26" i="1"/>
  <c r="EQ18" i="1"/>
  <c r="CI13" i="1"/>
  <c r="CI61" i="1"/>
  <c r="CH37" i="1"/>
  <c r="BC62" i="1"/>
  <c r="CF79" i="1"/>
  <c r="EN34" i="1"/>
  <c r="CI10" i="1"/>
  <c r="BF22" i="1"/>
  <c r="BC34" i="1"/>
  <c r="EP20" i="1"/>
  <c r="BC174" i="1"/>
  <c r="CF10" i="1"/>
  <c r="BF73" i="1"/>
  <c r="CF166" i="1"/>
  <c r="AU137" i="1"/>
  <c r="BF143" i="1"/>
  <c r="CG12" i="1"/>
  <c r="CI142" i="1"/>
  <c r="BD178" i="1"/>
  <c r="BC23" i="1"/>
  <c r="BE75" i="1"/>
  <c r="CH76" i="1"/>
  <c r="CI57" i="1"/>
  <c r="BF16" i="1"/>
  <c r="BF47" i="1"/>
  <c r="CF171" i="1"/>
  <c r="AX27" i="1"/>
  <c r="CG141" i="1"/>
  <c r="CF58" i="1"/>
  <c r="BD14" i="1"/>
  <c r="EN27" i="1"/>
  <c r="EO124" i="1"/>
  <c r="EO85" i="1"/>
  <c r="CI60" i="1"/>
  <c r="CG35" i="1"/>
  <c r="AU12" i="1"/>
  <c r="BD48" i="1"/>
  <c r="BD20" i="1"/>
  <c r="CH27" i="1"/>
  <c r="BC33" i="1"/>
  <c r="CH141" i="1"/>
  <c r="BC14" i="1"/>
  <c r="CF159" i="1"/>
  <c r="AU73" i="1"/>
  <c r="CF15" i="1"/>
  <c r="BE72" i="1"/>
  <c r="BF70" i="1"/>
  <c r="BE23" i="1"/>
  <c r="CI175" i="1"/>
  <c r="BC8" i="1"/>
  <c r="CF46" i="1"/>
  <c r="CI174" i="1"/>
  <c r="BC178" i="1"/>
  <c r="EQ19" i="1"/>
  <c r="EQ30" i="1"/>
  <c r="CH188" i="1"/>
  <c r="BC155" i="1"/>
  <c r="BE20" i="1"/>
  <c r="AW59" i="1"/>
  <c r="CH167" i="1"/>
  <c r="BE48" i="1"/>
  <c r="EQ13" i="1"/>
  <c r="AX73" i="1"/>
  <c r="CG187" i="1"/>
  <c r="CH32" i="1"/>
  <c r="BD57" i="1"/>
  <c r="BF18" i="1"/>
  <c r="BF13" i="1"/>
  <c r="AX23" i="1"/>
  <c r="CF8" i="1"/>
  <c r="EO113" i="1"/>
  <c r="CG188" i="1"/>
  <c r="EP28" i="1"/>
  <c r="AV58" i="1"/>
  <c r="CI8" i="1"/>
  <c r="AU19" i="1"/>
  <c r="CG59" i="1"/>
  <c r="BF184" i="1"/>
  <c r="BE62" i="1"/>
  <c r="AV46" i="1"/>
  <c r="BF14" i="1"/>
  <c r="BC11" i="1"/>
  <c r="BD140" i="1"/>
  <c r="BF154" i="1"/>
  <c r="EN117" i="1"/>
  <c r="BE138" i="1"/>
  <c r="CH181" i="1"/>
  <c r="CG48" i="1"/>
  <c r="CI188" i="1"/>
  <c r="EN109" i="1"/>
  <c r="BD77" i="1"/>
  <c r="EO109" i="1"/>
  <c r="CI141" i="1"/>
  <c r="CH11" i="1"/>
  <c r="CF75" i="1"/>
  <c r="CF23" i="1"/>
  <c r="AX46" i="1"/>
  <c r="BF29" i="1"/>
  <c r="AX31" i="1"/>
  <c r="EO89" i="1"/>
  <c r="AU26" i="1"/>
  <c r="BC143" i="1"/>
  <c r="AU77" i="1"/>
  <c r="BF9" i="1"/>
  <c r="BD182" i="1"/>
  <c r="BF148" i="1"/>
  <c r="BE6" i="1"/>
  <c r="CI149" i="1"/>
  <c r="CF6" i="1"/>
  <c r="CF137" i="1"/>
  <c r="BF59" i="1"/>
  <c r="CF151" i="1"/>
  <c r="CG21" i="1"/>
  <c r="CH182" i="1"/>
  <c r="CH26" i="1"/>
  <c r="BD15" i="1"/>
  <c r="CI187" i="1"/>
  <c r="BF139" i="1"/>
  <c r="BC157" i="1"/>
  <c r="CH10" i="1"/>
  <c r="CF45" i="1"/>
  <c r="CG19" i="1"/>
  <c r="CG5" i="1"/>
  <c r="CH147" i="1"/>
  <c r="CG8" i="1"/>
  <c r="AU45" i="1"/>
  <c r="EO13" i="1"/>
  <c r="CI22" i="1"/>
  <c r="BE15" i="1"/>
  <c r="AU18" i="1"/>
  <c r="BC167" i="1"/>
  <c r="AX9" i="1"/>
  <c r="BE147" i="1"/>
  <c r="BD161" i="1"/>
  <c r="BD29" i="1"/>
  <c r="CI46" i="1"/>
  <c r="CH159" i="1"/>
  <c r="CI152" i="1"/>
  <c r="BF188" i="1"/>
  <c r="BC57" i="1"/>
  <c r="BC35" i="1"/>
  <c r="BD167" i="1"/>
  <c r="BE148" i="1"/>
  <c r="AW60" i="1"/>
  <c r="BE141" i="1"/>
  <c r="BF17" i="1"/>
  <c r="AW71" i="1"/>
  <c r="BE5" i="1"/>
  <c r="CF20" i="1"/>
  <c r="BC186" i="1"/>
  <c r="EO22" i="1"/>
  <c r="CF38" i="1"/>
  <c r="BD46" i="1"/>
  <c r="BC59" i="1"/>
  <c r="BC25" i="1"/>
  <c r="CI148" i="1"/>
  <c r="BD158" i="1"/>
  <c r="EO126" i="1"/>
  <c r="BE59" i="1"/>
  <c r="CH178" i="1"/>
  <c r="CH22" i="1"/>
  <c r="AV14" i="1"/>
  <c r="BD34" i="1"/>
  <c r="CH176" i="1"/>
  <c r="EO93" i="1"/>
  <c r="EQ29" i="1"/>
  <c r="EP35" i="1"/>
  <c r="BE177" i="1"/>
  <c r="CG143" i="1"/>
  <c r="CG17" i="1"/>
  <c r="CF147" i="1"/>
  <c r="AX34" i="1"/>
  <c r="EN110" i="1"/>
  <c r="BC60" i="1"/>
  <c r="BE142" i="1"/>
  <c r="CH57" i="1"/>
  <c r="CG167" i="1"/>
  <c r="BD12" i="1"/>
  <c r="BD5" i="1"/>
  <c r="BC173" i="1"/>
  <c r="CH35" i="1"/>
  <c r="EN113" i="1"/>
  <c r="EN97" i="1"/>
  <c r="EO118" i="1"/>
  <c r="BD72" i="1"/>
  <c r="BC45" i="1"/>
  <c r="EQ38" i="1"/>
  <c r="EP25" i="1"/>
  <c r="CF155" i="1"/>
  <c r="AV138" i="1"/>
  <c r="BF140" i="1"/>
  <c r="EP4" i="1"/>
  <c r="CH185" i="1"/>
  <c r="EO27" i="1"/>
  <c r="CI78" i="1"/>
  <c r="CF150" i="1"/>
  <c r="BC162" i="1"/>
  <c r="BC182" i="1"/>
  <c r="EP36" i="1"/>
  <c r="BC72" i="1"/>
  <c r="BC17" i="1"/>
  <c r="BD22" i="1"/>
  <c r="BF75" i="1"/>
  <c r="AV29" i="1"/>
  <c r="EQ6" i="1"/>
  <c r="AW79" i="1"/>
  <c r="BC70" i="1"/>
  <c r="BE33" i="1"/>
  <c r="BE76" i="1"/>
  <c r="BC20" i="1"/>
  <c r="BC166" i="1"/>
  <c r="EO96" i="1"/>
  <c r="BD19" i="1"/>
  <c r="CI169" i="1"/>
  <c r="CF74" i="1"/>
  <c r="EO94" i="1"/>
  <c r="BC170" i="1"/>
  <c r="BC37" i="1"/>
  <c r="AX7" i="1"/>
  <c r="BC154" i="1"/>
  <c r="CG11" i="1"/>
  <c r="BD30" i="1"/>
  <c r="CG23" i="1"/>
  <c r="CI150" i="1"/>
  <c r="BC12" i="1"/>
  <c r="EN22" i="1"/>
  <c r="EN17" i="1"/>
  <c r="CF60" i="1"/>
  <c r="AU5" i="1"/>
  <c r="AU32" i="1"/>
  <c r="AU37" i="1"/>
  <c r="AU20" i="1"/>
  <c r="CG77" i="1"/>
  <c r="BD58" i="1"/>
  <c r="CH156" i="1"/>
  <c r="AW4" i="1"/>
  <c r="CG145" i="1"/>
  <c r="CF160" i="1"/>
  <c r="EP26" i="1"/>
  <c r="BF142" i="1"/>
  <c r="BF181" i="1"/>
  <c r="EN89" i="1"/>
  <c r="AU48" i="1"/>
  <c r="CI5" i="1"/>
  <c r="EN105" i="1"/>
  <c r="AV75" i="1"/>
  <c r="CG29" i="1"/>
  <c r="CG16" i="1"/>
  <c r="BF46" i="1"/>
  <c r="CI177" i="1"/>
  <c r="AX76" i="1"/>
  <c r="EO117" i="1"/>
  <c r="BC187" i="1"/>
  <c r="CI38" i="1"/>
  <c r="AX13" i="1"/>
  <c r="BF11" i="1"/>
  <c r="EP8" i="1"/>
  <c r="AW31" i="1"/>
  <c r="AU75" i="1"/>
  <c r="CG33" i="1"/>
  <c r="BF7" i="1"/>
  <c r="BE8" i="1"/>
  <c r="AV20" i="1"/>
  <c r="AV17" i="1"/>
  <c r="AW61" i="1"/>
  <c r="CG22" i="1"/>
  <c r="CF17" i="1"/>
  <c r="BF61" i="1"/>
  <c r="BC177" i="1"/>
  <c r="AX36" i="1"/>
  <c r="BF155" i="1"/>
  <c r="EN126" i="1"/>
  <c r="CH16" i="1"/>
  <c r="EP37" i="1"/>
  <c r="BC10" i="1"/>
  <c r="CI179" i="1"/>
  <c r="EO127" i="1"/>
  <c r="BC4" i="1"/>
  <c r="CF72" i="1"/>
  <c r="CI178" i="1"/>
  <c r="BC36" i="1"/>
  <c r="CI9" i="1"/>
  <c r="AX60" i="1"/>
  <c r="BE181" i="1"/>
  <c r="EN130" i="1"/>
  <c r="AU74" i="1"/>
  <c r="AX14" i="1"/>
  <c r="BE143" i="1"/>
  <c r="AX29" i="1"/>
  <c r="BC7" i="1"/>
  <c r="BD138" i="1"/>
  <c r="CF29" i="1"/>
  <c r="AW73" i="1"/>
  <c r="BE27" i="1"/>
  <c r="AU60" i="1"/>
  <c r="BF177" i="1"/>
  <c r="BC61" i="1"/>
  <c r="AV59" i="1"/>
  <c r="AU72" i="1"/>
  <c r="BD31" i="1"/>
  <c r="CI137" i="1"/>
  <c r="CH189" i="1"/>
  <c r="EN28" i="1"/>
  <c r="BE10" i="1"/>
  <c r="BE32" i="1"/>
  <c r="CH151" i="1"/>
  <c r="AU31" i="1"/>
  <c r="CH148" i="1"/>
  <c r="CF142" i="1"/>
  <c r="CH140" i="1"/>
  <c r="CF176" i="1"/>
  <c r="CF177" i="1"/>
  <c r="CG47" i="1"/>
  <c r="BD37" i="1"/>
  <c r="EO123" i="1"/>
  <c r="BF48" i="1"/>
  <c r="EP24" i="1"/>
  <c r="CH78" i="1"/>
  <c r="EO25" i="1"/>
  <c r="AU28" i="1"/>
  <c r="BF31" i="1"/>
  <c r="CF167" i="1"/>
  <c r="CH34" i="1"/>
  <c r="BF19" i="1"/>
  <c r="EN5" i="1"/>
  <c r="CH12" i="1"/>
  <c r="BC146" i="1"/>
  <c r="EN37" i="1"/>
  <c r="EO15" i="1"/>
  <c r="BD27" i="1"/>
  <c r="BD187" i="1"/>
  <c r="BE35" i="1"/>
  <c r="AU59" i="1"/>
  <c r="EO125" i="1"/>
  <c r="AW36" i="1"/>
  <c r="CI36" i="1"/>
  <c r="EN112" i="1"/>
  <c r="CI37" i="1"/>
  <c r="CI157" i="1"/>
  <c r="AX75" i="1"/>
  <c r="EP18" i="1"/>
  <c r="EN4" i="1"/>
  <c r="CI30" i="1"/>
  <c r="BD145" i="1"/>
  <c r="CI153" i="1"/>
  <c r="CI34" i="1"/>
  <c r="BD146" i="1"/>
  <c r="EO122" i="1"/>
  <c r="AW70" i="1"/>
  <c r="BF77" i="1"/>
  <c r="CH172" i="1"/>
  <c r="EO24" i="1"/>
  <c r="CH184" i="1"/>
  <c r="EQ26" i="1"/>
  <c r="AU36" i="1"/>
  <c r="BF137" i="1"/>
  <c r="AU46" i="1"/>
  <c r="BE187" i="1"/>
  <c r="CI176" i="1"/>
  <c r="CF27" i="1"/>
  <c r="EN100" i="1"/>
  <c r="EP23" i="1"/>
  <c r="CG166" i="1"/>
  <c r="BE57" i="1"/>
  <c r="AX59" i="1"/>
  <c r="BE34" i="1"/>
  <c r="EP38" i="1"/>
  <c r="AX25" i="1"/>
  <c r="AV73" i="1"/>
  <c r="BD11" i="1"/>
  <c r="AX35" i="1"/>
  <c r="CH6" i="1"/>
  <c r="CF31" i="1"/>
  <c r="EN9" i="1"/>
  <c r="BF15" i="1"/>
  <c r="AV76" i="1"/>
  <c r="EQ4" i="1"/>
  <c r="CF172" i="1"/>
  <c r="CI156" i="1"/>
  <c r="AV8" i="1"/>
  <c r="EO10" i="1"/>
  <c r="CH142" i="1"/>
  <c r="CF61" i="1"/>
  <c r="BC183" i="1"/>
  <c r="BD6" i="1"/>
  <c r="BE47" i="1"/>
  <c r="BE37" i="1"/>
  <c r="CG58" i="1"/>
  <c r="CI21" i="1"/>
  <c r="CF16" i="1"/>
  <c r="CG178" i="1"/>
  <c r="BF24" i="1"/>
  <c r="AV15" i="1"/>
  <c r="BD79" i="1"/>
  <c r="BE144" i="1"/>
  <c r="EN101" i="1"/>
  <c r="AV35" i="1"/>
  <c r="CG36" i="1"/>
  <c r="CF76" i="1"/>
  <c r="BC149" i="1"/>
  <c r="EQ36" i="1"/>
  <c r="AV48" i="1"/>
  <c r="AU38" i="1"/>
  <c r="CG173" i="1"/>
  <c r="AW47" i="1"/>
  <c r="CH7" i="1"/>
  <c r="CI76" i="1"/>
  <c r="CH8" i="1"/>
  <c r="BC189" i="1"/>
  <c r="AW6" i="1"/>
  <c r="BF71" i="1"/>
  <c r="EO99" i="1"/>
  <c r="CF21" i="1"/>
  <c r="CF34" i="1"/>
  <c r="EN23" i="1"/>
  <c r="EO110" i="1"/>
  <c r="BC71" i="1"/>
  <c r="CG142" i="1"/>
  <c r="AX58" i="1"/>
  <c r="BF20" i="1"/>
  <c r="EO121" i="1"/>
  <c r="AV16" i="1"/>
  <c r="AU11" i="1"/>
  <c r="CF22" i="1"/>
  <c r="CF139" i="1"/>
  <c r="EO116" i="1"/>
  <c r="BF78" i="1"/>
  <c r="AV137" i="1"/>
  <c r="AU79" i="1"/>
  <c r="EP17" i="1"/>
  <c r="CH77" i="1"/>
  <c r="BC21" i="1"/>
  <c r="BD176" i="1"/>
  <c r="BC150" i="1"/>
  <c r="CH58" i="1"/>
  <c r="BE140" i="1"/>
  <c r="CG189" i="1"/>
  <c r="BC22" i="1"/>
  <c r="EO36" i="1"/>
  <c r="CG15" i="1"/>
  <c r="EQ35" i="1"/>
  <c r="BF30" i="1"/>
  <c r="BC5" i="1"/>
  <c r="AU6" i="1"/>
  <c r="CF175" i="1"/>
  <c r="AW35" i="1"/>
  <c r="BF33" i="1"/>
  <c r="CG169" i="1"/>
  <c r="CH180" i="1"/>
  <c r="EO14" i="1"/>
  <c r="AU35" i="1"/>
  <c r="CI17" i="1"/>
  <c r="CI27" i="1"/>
  <c r="EN12" i="1"/>
  <c r="BE18" i="1"/>
  <c r="EO98" i="1"/>
  <c r="CF37" i="1"/>
  <c r="AV28" i="1"/>
  <c r="BD139" i="1"/>
  <c r="AU21" i="1"/>
  <c r="AV7" i="1"/>
  <c r="BC185" i="1"/>
  <c r="CH144" i="1"/>
  <c r="AU14" i="1"/>
  <c r="EN10" i="1"/>
  <c r="CH28" i="1"/>
  <c r="CI171" i="1"/>
  <c r="BC47" i="1"/>
  <c r="EO11" i="1"/>
  <c r="EN116" i="1"/>
  <c r="BE178" i="1"/>
  <c r="CF5" i="1"/>
  <c r="BC145" i="1"/>
  <c r="CF47" i="1"/>
  <c r="BF144" i="1"/>
  <c r="EN20" i="1"/>
  <c r="BD8" i="1"/>
  <c r="CI14" i="1"/>
  <c r="BF185" i="1"/>
  <c r="BE16" i="1"/>
  <c r="AU22" i="1"/>
  <c r="AV61" i="1"/>
  <c r="CG38" i="1"/>
  <c r="AX12" i="1"/>
  <c r="CF48" i="1"/>
  <c r="CF140" i="1"/>
  <c r="AX72" i="1"/>
  <c r="CH9" i="1"/>
  <c r="BC188" i="1"/>
  <c r="AV78" i="1"/>
  <c r="BE4" i="1"/>
  <c r="AX74" i="1"/>
  <c r="BC29" i="1"/>
  <c r="EN15" i="1"/>
  <c r="AU138" i="1"/>
  <c r="CF149" i="1"/>
  <c r="EO37" i="1"/>
  <c r="BD4" i="1"/>
  <c r="BF27" i="1"/>
  <c r="CH160" i="1"/>
  <c r="AW27" i="1"/>
  <c r="CI18" i="1"/>
  <c r="EN32" i="1"/>
  <c r="BF147" i="1"/>
  <c r="EN125" i="1"/>
  <c r="CH60" i="1"/>
  <c r="BE31" i="1"/>
  <c r="BF23" i="1"/>
  <c r="BC19" i="1"/>
  <c r="AV19" i="1"/>
  <c r="BF45" i="1"/>
  <c r="CF169" i="1"/>
  <c r="EN95" i="1"/>
  <c r="EQ31" i="1"/>
  <c r="AV32" i="1"/>
  <c r="EN129" i="1"/>
  <c r="CH31" i="1"/>
  <c r="BC75" i="1"/>
  <c r="CH25" i="1"/>
  <c r="BE45" i="1"/>
  <c r="AW78" i="1"/>
  <c r="BC24" i="1"/>
  <c r="CH154" i="1"/>
  <c r="BD33" i="1"/>
  <c r="EO7" i="1"/>
  <c r="CI159" i="1"/>
  <c r="BD23" i="1"/>
  <c r="CH48" i="1"/>
  <c r="CG46" i="1"/>
  <c r="BE13" i="1"/>
  <c r="EQ11" i="1"/>
  <c r="CI35" i="1"/>
  <c r="AW45" i="1"/>
  <c r="AX78" i="1"/>
  <c r="CI160" i="1"/>
  <c r="BE21" i="1"/>
  <c r="CG140" i="1"/>
  <c r="CH157" i="1"/>
  <c r="EO106" i="1"/>
  <c r="CH152" i="1"/>
  <c r="CH23" i="1"/>
  <c r="AW8" i="1"/>
  <c r="EP9" i="1"/>
  <c r="CF13" i="1"/>
  <c r="BD76" i="1"/>
  <c r="AW25" i="1"/>
  <c r="BD16" i="1"/>
  <c r="CG137" i="1"/>
  <c r="EO107" i="1"/>
  <c r="AW62" i="1"/>
  <c r="BD144" i="1"/>
  <c r="EO86" i="1"/>
  <c r="BD183" i="1"/>
  <c r="AV36" i="1"/>
  <c r="EO23" i="1"/>
  <c r="BD71" i="1"/>
  <c r="BE11" i="1"/>
  <c r="BC32" i="1"/>
  <c r="CF25" i="1"/>
  <c r="EP32" i="1"/>
  <c r="AW5" i="1"/>
  <c r="EP11" i="1"/>
  <c r="CF154" i="1"/>
  <c r="CF11" i="1"/>
  <c r="CG14" i="1"/>
  <c r="AW37" i="1"/>
  <c r="AV74" i="1"/>
  <c r="EP13" i="1"/>
  <c r="EO105" i="1"/>
  <c r="CG185" i="1"/>
  <c r="CI59" i="1"/>
  <c r="AW46" i="1"/>
  <c r="BC6" i="1"/>
  <c r="AV188" i="1"/>
  <c r="EO28" i="1"/>
  <c r="EO18" i="1"/>
  <c r="CI172" i="1"/>
  <c r="BC152" i="1"/>
  <c r="AU188" i="1"/>
  <c r="EP19" i="1"/>
  <c r="CF187" i="1"/>
  <c r="EN86" i="1"/>
  <c r="AV37" i="1"/>
  <c r="EP30" i="1"/>
  <c r="CG7" i="1"/>
  <c r="BD7" i="1"/>
  <c r="AX79" i="1"/>
  <c r="EP33" i="1"/>
  <c r="BD28" i="1"/>
  <c r="BC181" i="1"/>
  <c r="BD60" i="1"/>
  <c r="EQ22" i="1"/>
  <c r="AX37" i="1"/>
  <c r="BD36" i="1"/>
  <c r="BF6" i="1"/>
  <c r="CH46" i="1"/>
  <c r="EN33" i="1"/>
  <c r="EP22" i="1"/>
  <c r="CF157" i="1"/>
  <c r="CG174" i="1"/>
  <c r="BF156" i="1"/>
  <c r="EP10" i="1"/>
  <c r="EO30" i="1"/>
  <c r="AX28" i="1"/>
  <c r="CI183" i="1"/>
  <c r="BD142" i="1"/>
  <c r="BE17" i="1"/>
  <c r="BE79" i="1"/>
  <c r="CF143" i="1"/>
  <c r="CH24" i="1"/>
  <c r="CH29" i="1"/>
  <c r="BF37" i="1"/>
  <c r="BE29" i="1"/>
  <c r="EO114" i="1"/>
  <c r="CG76" i="1"/>
  <c r="BC171" i="1"/>
  <c r="AU7" i="1"/>
  <c r="BF145" i="1"/>
  <c r="BE7" i="1"/>
  <c r="CH174" i="1"/>
  <c r="EN123" i="1"/>
  <c r="CI32" i="1"/>
  <c r="AU10" i="1"/>
  <c r="BD180" i="1"/>
  <c r="BD184" i="1"/>
  <c r="BD171" i="1"/>
  <c r="EO32" i="1"/>
  <c r="BF57" i="1"/>
  <c r="AW30" i="1"/>
  <c r="BD175" i="1"/>
  <c r="CH146" i="1"/>
  <c r="EO34" i="1"/>
  <c r="EQ32" i="1"/>
  <c r="AX38" i="1"/>
  <c r="EP27" i="1"/>
  <c r="EO120" i="1"/>
  <c r="BD181" i="1"/>
  <c r="CH169" i="1"/>
  <c r="EN26" i="1"/>
  <c r="AU34" i="1"/>
  <c r="CG24" i="1"/>
  <c r="CG184" i="1"/>
  <c r="BD188" i="1"/>
  <c r="CG10" i="1"/>
  <c r="CI146" i="1"/>
  <c r="BD17" i="1"/>
  <c r="CF30" i="1"/>
  <c r="CI11" i="1"/>
  <c r="BF12" i="1"/>
  <c r="BC27" i="1"/>
  <c r="EQ5" i="1"/>
  <c r="AX4" i="1"/>
  <c r="CF141" i="1"/>
  <c r="BF157" i="1"/>
  <c r="AX22" i="1"/>
  <c r="AV77" i="1"/>
  <c r="CH79" i="1"/>
  <c r="BC158" i="1"/>
  <c r="CG45" i="1"/>
  <c r="EO12" i="1"/>
  <c r="CF78" i="1"/>
  <c r="EN13" i="1"/>
  <c r="AW33" i="1"/>
  <c r="BF34" i="1"/>
  <c r="BE60" i="1"/>
  <c r="BD148" i="1"/>
  <c r="AX45" i="1"/>
  <c r="CG79" i="1"/>
  <c r="CG172" i="1"/>
  <c r="EN8" i="1"/>
  <c r="EQ10" i="1"/>
  <c r="EO20" i="1"/>
  <c r="AX15" i="1"/>
  <c r="CG146" i="1"/>
  <c r="CH20" i="1"/>
  <c r="EO31" i="1"/>
  <c r="EQ28" i="1"/>
  <c r="EN29" i="1"/>
  <c r="CI167" i="1"/>
  <c r="EN114" i="1"/>
  <c r="BE14" i="1"/>
  <c r="EP29" i="1"/>
  <c r="BF5" i="1"/>
  <c r="BE26" i="1"/>
  <c r="AW18" i="1"/>
  <c r="EP21" i="1"/>
  <c r="AU71" i="1"/>
  <c r="BE182" i="1"/>
  <c r="BR138" i="1" l="1"/>
  <c r="DJ144" i="1"/>
  <c r="DJ70" i="1"/>
  <c r="DJ150" i="1"/>
  <c r="DK59" i="1"/>
  <c r="DJ169" i="1"/>
  <c r="DJ46" i="1"/>
  <c r="DJ71" i="1"/>
  <c r="DK6" i="1"/>
  <c r="DJ143" i="1"/>
  <c r="DJ139" i="1"/>
  <c r="DK71" i="1"/>
  <c r="DJ59" i="1"/>
  <c r="DJ176" i="1"/>
  <c r="DK5" i="1"/>
  <c r="DK139" i="1"/>
  <c r="DJ152" i="1"/>
  <c r="DJ140" i="1"/>
  <c r="DK46" i="1"/>
  <c r="DK184" i="1"/>
  <c r="DJ157" i="1"/>
  <c r="DK141" i="1"/>
  <c r="DJ58" i="1"/>
  <c r="DJ186" i="1"/>
  <c r="DJ57" i="1"/>
  <c r="DK153" i="1"/>
  <c r="DJ188" i="1"/>
  <c r="DK144" i="1"/>
  <c r="DK45" i="1"/>
  <c r="DJ158" i="1"/>
  <c r="DJ151" i="1"/>
  <c r="DJ184" i="1"/>
  <c r="DK167" i="1"/>
  <c r="DQ167" i="1" s="1"/>
  <c r="BH167" i="1"/>
  <c r="BI168" i="1" s="1"/>
  <c r="DK171" i="1"/>
  <c r="DJ180" i="1"/>
  <c r="DK150" i="1"/>
  <c r="DJ178" i="1"/>
  <c r="DK142" i="1"/>
  <c r="DK152" i="1"/>
  <c r="DK170" i="1"/>
  <c r="DJ148" i="1"/>
  <c r="DJ75" i="1"/>
  <c r="DJ153" i="1"/>
  <c r="DK151" i="1"/>
  <c r="DJ154" i="1"/>
  <c r="DK179" i="1"/>
  <c r="DJ155" i="1"/>
  <c r="DJ156" i="1"/>
  <c r="DK157" i="1"/>
  <c r="DJ63" i="1"/>
  <c r="DK173" i="1"/>
  <c r="BA136" i="1"/>
  <c r="DJ138" i="1"/>
  <c r="DJ160" i="1"/>
  <c r="DJ145" i="1"/>
  <c r="DJ141" i="1"/>
  <c r="DK145" i="1"/>
  <c r="DK183" i="1"/>
  <c r="DK158" i="1"/>
  <c r="DJ79" i="1"/>
  <c r="DJ61" i="1"/>
  <c r="DK162" i="1"/>
  <c r="DS162" i="1" s="1"/>
  <c r="BH162" i="1"/>
  <c r="DJ45" i="1"/>
  <c r="DK160" i="1"/>
  <c r="DK187" i="1"/>
  <c r="DK140" i="1"/>
  <c r="DJ77" i="1"/>
  <c r="DK181" i="1"/>
  <c r="DK143" i="1"/>
  <c r="DK156" i="1"/>
  <c r="DJ147" i="1"/>
  <c r="DJ142" i="1"/>
  <c r="DJ48" i="1"/>
  <c r="DK138" i="1"/>
  <c r="DK174" i="1"/>
  <c r="DJ181" i="1"/>
  <c r="DK177" i="1"/>
  <c r="DK74" i="1"/>
  <c r="DJ173" i="1"/>
  <c r="DK77" i="1"/>
  <c r="DK155" i="1"/>
  <c r="DJ183" i="1"/>
  <c r="DK154" i="1"/>
  <c r="DJ172" i="1"/>
  <c r="DJ175" i="1"/>
  <c r="DK188" i="1"/>
  <c r="DK189" i="1"/>
  <c r="DK185" i="1"/>
  <c r="DJ159" i="1"/>
  <c r="DK180" i="1"/>
  <c r="DJ146" i="1"/>
  <c r="DK182" i="1"/>
  <c r="DK166" i="1"/>
  <c r="DM166" i="1" s="1"/>
  <c r="BH166" i="1"/>
  <c r="DK149" i="1"/>
  <c r="DK178" i="1"/>
  <c r="BH161" i="1"/>
  <c r="DK161" i="1"/>
  <c r="DS161" i="1" s="1"/>
  <c r="DK186" i="1"/>
  <c r="DJ149" i="1"/>
  <c r="DJ174" i="1"/>
  <c r="DK57" i="1"/>
  <c r="DK58" i="1"/>
  <c r="DK73" i="1"/>
  <c r="DK72" i="1"/>
  <c r="DK63" i="1"/>
  <c r="DK61" i="1"/>
  <c r="DK169" i="1"/>
  <c r="DK47" i="1"/>
  <c r="DJ47" i="1"/>
  <c r="DJ179" i="1"/>
  <c r="DJ185" i="1"/>
  <c r="DJ177" i="1"/>
  <c r="DJ72" i="1"/>
  <c r="DJ60" i="1"/>
  <c r="DK147" i="1"/>
  <c r="DJ73" i="1"/>
  <c r="DK146" i="1"/>
  <c r="DJ189" i="1"/>
  <c r="DQ189" i="1" s="1"/>
  <c r="DK79" i="1"/>
  <c r="DJ170" i="1"/>
  <c r="DJ182" i="1"/>
  <c r="DK76" i="1"/>
  <c r="DK148" i="1"/>
  <c r="DK75" i="1"/>
  <c r="DK159" i="1"/>
  <c r="DJ74" i="1"/>
  <c r="BH164" i="1"/>
  <c r="BI164" i="1" s="1"/>
  <c r="DK164" i="1"/>
  <c r="DS164" i="1" s="1"/>
  <c r="DK176" i="1"/>
  <c r="DK4" i="1"/>
  <c r="DJ62" i="1"/>
  <c r="DK172" i="1"/>
  <c r="BH137" i="1"/>
  <c r="DK137" i="1"/>
  <c r="DR137" i="1" s="1"/>
  <c r="DJ187" i="1"/>
  <c r="DJ78" i="1"/>
  <c r="DJ76" i="1"/>
  <c r="DK165" i="1"/>
  <c r="DQ165" i="1" s="1"/>
  <c r="BH165" i="1"/>
  <c r="BI165" i="1" s="1"/>
  <c r="DK175" i="1"/>
  <c r="DK48" i="1"/>
  <c r="DJ171" i="1"/>
  <c r="DK70" i="1"/>
  <c r="DK62" i="1"/>
  <c r="DK60" i="1"/>
  <c r="DK78" i="1"/>
  <c r="EJ35" i="1"/>
  <c r="EC35" i="1" s="1"/>
  <c r="BO35" i="1" s="1"/>
  <c r="EI16" i="1"/>
  <c r="EB16" i="1" s="1"/>
  <c r="BN16" i="1" s="1"/>
  <c r="EG129" i="1"/>
  <c r="DZ129" i="1" s="1"/>
  <c r="BL129" i="1" s="1"/>
  <c r="EI36" i="1"/>
  <c r="EB36" i="1" s="1"/>
  <c r="BN36" i="1" s="1"/>
  <c r="EG115" i="1"/>
  <c r="DZ115" i="1" s="1"/>
  <c r="BL115" i="1" s="1"/>
  <c r="CO35" i="1"/>
  <c r="D35" i="1"/>
  <c r="CS11" i="1"/>
  <c r="EG26" i="1"/>
  <c r="DZ26" i="1" s="1"/>
  <c r="BL26" i="1" s="1"/>
  <c r="EI105" i="1"/>
  <c r="EB105" i="1" s="1"/>
  <c r="BN105" i="1" s="1"/>
  <c r="EH105" i="1"/>
  <c r="EA105" i="1" s="1"/>
  <c r="BM105" i="1" s="1"/>
  <c r="EI104" i="1"/>
  <c r="EB104" i="1" s="1"/>
  <c r="BN104" i="1" s="1"/>
  <c r="CO34" i="1"/>
  <c r="D34" i="1"/>
  <c r="CU19" i="1"/>
  <c r="CM177" i="1"/>
  <c r="CM7" i="1"/>
  <c r="C7" i="1"/>
  <c r="EJ10" i="1"/>
  <c r="EC10" i="1" s="1"/>
  <c r="BO10" i="1" s="1"/>
  <c r="EJ130" i="1"/>
  <c r="EC130" i="1" s="1"/>
  <c r="BO130" i="1" s="1"/>
  <c r="CM18" i="1"/>
  <c r="C18" i="1"/>
  <c r="CI3" i="1"/>
  <c r="EI128" i="1"/>
  <c r="EB128" i="1" s="1"/>
  <c r="BN128" i="1" s="1"/>
  <c r="EJ99" i="1"/>
  <c r="EC99" i="1" s="1"/>
  <c r="BO99" i="1" s="1"/>
  <c r="EJ30" i="1"/>
  <c r="EC30" i="1" s="1"/>
  <c r="BO30" i="1" s="1"/>
  <c r="BS72" i="1"/>
  <c r="C72" i="1"/>
  <c r="CM72" i="1"/>
  <c r="CO144" i="1"/>
  <c r="CU16" i="1"/>
  <c r="CM188" i="1"/>
  <c r="BS188" i="1"/>
  <c r="BT188" i="1" s="1"/>
  <c r="C188" i="1"/>
  <c r="E188" i="1" s="1"/>
  <c r="AY188" i="1"/>
  <c r="EJ6" i="1"/>
  <c r="EC6" i="1" s="1"/>
  <c r="BO6" i="1" s="1"/>
  <c r="BS61" i="1"/>
  <c r="C61" i="1"/>
  <c r="CM61" i="1"/>
  <c r="EI122" i="1"/>
  <c r="EB122" i="1" s="1"/>
  <c r="BN122" i="1" s="1"/>
  <c r="CM159" i="1"/>
  <c r="EH121" i="1"/>
  <c r="EA121" i="1" s="1"/>
  <c r="BM121" i="1" s="1"/>
  <c r="EJ89" i="1"/>
  <c r="EC89" i="1" s="1"/>
  <c r="BO89" i="1" s="1"/>
  <c r="C10" i="1"/>
  <c r="CM10" i="1"/>
  <c r="C30" i="1"/>
  <c r="CM30" i="1"/>
  <c r="CM167" i="1"/>
  <c r="CM35" i="1"/>
  <c r="C35" i="1"/>
  <c r="EJ22" i="1"/>
  <c r="EC22" i="1" s="1"/>
  <c r="BO22" i="1" s="1"/>
  <c r="CS7" i="1"/>
  <c r="CU73" i="1"/>
  <c r="CB73" i="1"/>
  <c r="EH35" i="1"/>
  <c r="EA35" i="1" s="1"/>
  <c r="BM35" i="1" s="1"/>
  <c r="CS58" i="1"/>
  <c r="BZ58" i="1"/>
  <c r="CM176" i="1"/>
  <c r="CB182" i="1"/>
  <c r="CU182" i="1"/>
  <c r="CS150" i="1"/>
  <c r="BZ150" i="1"/>
  <c r="BS57" i="1"/>
  <c r="BT57" i="1" s="1"/>
  <c r="C57" i="1"/>
  <c r="CM57" i="1"/>
  <c r="EO84" i="1"/>
  <c r="EH85" i="1"/>
  <c r="EA85" i="1" s="1"/>
  <c r="BM85" i="1" s="1"/>
  <c r="CU45" i="1"/>
  <c r="CB45" i="1"/>
  <c r="BE44" i="1"/>
  <c r="CS74" i="1"/>
  <c r="BZ74" i="1"/>
  <c r="EJ17" i="1"/>
  <c r="EC17" i="1" s="1"/>
  <c r="BO17" i="1" s="1"/>
  <c r="CO149" i="1"/>
  <c r="CO152" i="1"/>
  <c r="EJ19" i="1"/>
  <c r="EC19" i="1" s="1"/>
  <c r="BO19" i="1" s="1"/>
  <c r="AX3" i="1"/>
  <c r="CM139" i="1"/>
  <c r="EJ107" i="1"/>
  <c r="EC107" i="1" s="1"/>
  <c r="BO107" i="1" s="1"/>
  <c r="CO13" i="1"/>
  <c r="D13" i="1"/>
  <c r="CU9" i="1"/>
  <c r="CM33" i="1"/>
  <c r="C33" i="1"/>
  <c r="BU47" i="1"/>
  <c r="D47" i="1"/>
  <c r="CO47" i="1"/>
  <c r="CO21" i="1"/>
  <c r="D21" i="1"/>
  <c r="CM181" i="1"/>
  <c r="EQ3" i="1"/>
  <c r="EJ4" i="1"/>
  <c r="EC4" i="1" s="1"/>
  <c r="BO4" i="1" s="1"/>
  <c r="EJ111" i="1"/>
  <c r="EC111" i="1" s="1"/>
  <c r="BO111" i="1" s="1"/>
  <c r="CU14" i="1"/>
  <c r="CS14" i="1"/>
  <c r="CO36" i="1"/>
  <c r="D36" i="1"/>
  <c r="EI17" i="1"/>
  <c r="EB17" i="1" s="1"/>
  <c r="BN17" i="1" s="1"/>
  <c r="BS75" i="1"/>
  <c r="CM75" i="1"/>
  <c r="C75" i="1"/>
  <c r="CM179" i="1"/>
  <c r="CO37" i="1"/>
  <c r="D37" i="1"/>
  <c r="CS182" i="1"/>
  <c r="BZ182" i="1"/>
  <c r="CO160" i="1"/>
  <c r="CM175" i="1"/>
  <c r="BS48" i="1"/>
  <c r="BT49" i="1" s="1"/>
  <c r="C48" i="1"/>
  <c r="CM48" i="1"/>
  <c r="CM15" i="1"/>
  <c r="C15" i="1"/>
  <c r="EH34" i="1"/>
  <c r="EA34" i="1" s="1"/>
  <c r="BM34" i="1" s="1"/>
  <c r="AY189" i="1"/>
  <c r="BS189" i="1"/>
  <c r="CM189" i="1"/>
  <c r="C189" i="1"/>
  <c r="E189" i="1" s="1"/>
  <c r="CM151" i="1"/>
  <c r="CO140" i="1"/>
  <c r="EG29" i="1"/>
  <c r="DZ29" i="1" s="1"/>
  <c r="BL29" i="1" s="1"/>
  <c r="EG10" i="1"/>
  <c r="DZ10" i="1" s="1"/>
  <c r="BL10" i="1" s="1"/>
  <c r="BZ177" i="1"/>
  <c r="CS177" i="1"/>
  <c r="EG120" i="1"/>
  <c r="DZ120" i="1" s="1"/>
  <c r="BL120" i="1" s="1"/>
  <c r="EH124" i="1"/>
  <c r="EA124" i="1" s="1"/>
  <c r="BM124" i="1" s="1"/>
  <c r="CO187" i="1"/>
  <c r="CS38" i="1"/>
  <c r="EJ129" i="1"/>
  <c r="EC129" i="1" s="1"/>
  <c r="BO129" i="1" s="1"/>
  <c r="EJ86" i="1"/>
  <c r="EC86" i="1" s="1"/>
  <c r="BO86" i="1" s="1"/>
  <c r="CM8" i="1"/>
  <c r="C8" i="1"/>
  <c r="EI100" i="1"/>
  <c r="EB100" i="1" s="1"/>
  <c r="BN100" i="1" s="1"/>
  <c r="EJ87" i="1"/>
  <c r="EC87" i="1" s="1"/>
  <c r="BO87" i="1" s="1"/>
  <c r="BZ61" i="1"/>
  <c r="CS61" i="1"/>
  <c r="CS185" i="1"/>
  <c r="BZ185" i="1"/>
  <c r="BZ148" i="1"/>
  <c r="CS148" i="1"/>
  <c r="EG13" i="1"/>
  <c r="DZ13" i="1" s="1"/>
  <c r="BL13" i="1" s="1"/>
  <c r="CS187" i="1"/>
  <c r="BZ187" i="1"/>
  <c r="D7" i="1"/>
  <c r="CO7" i="1"/>
  <c r="CS189" i="1"/>
  <c r="BZ189" i="1"/>
  <c r="EH98" i="1"/>
  <c r="EA98" i="1" s="1"/>
  <c r="BM98" i="1" s="1"/>
  <c r="EH14" i="1"/>
  <c r="EA14" i="1" s="1"/>
  <c r="BM14" i="1" s="1"/>
  <c r="CO141" i="1"/>
  <c r="EH125" i="1"/>
  <c r="EA125" i="1" s="1"/>
  <c r="BM125" i="1" s="1"/>
  <c r="BZ160" i="1"/>
  <c r="CS160" i="1"/>
  <c r="EI102" i="1"/>
  <c r="EB102" i="1" s="1"/>
  <c r="BN102" i="1" s="1"/>
  <c r="C138" i="1"/>
  <c r="E138" i="1" s="1"/>
  <c r="CM138" i="1"/>
  <c r="BS138" i="1"/>
  <c r="AY138" i="1"/>
  <c r="CS6" i="1"/>
  <c r="CM27" i="1"/>
  <c r="C27" i="1"/>
  <c r="D5" i="1"/>
  <c r="CO5" i="1"/>
  <c r="CF44" i="1"/>
  <c r="CM28" i="1"/>
  <c r="C28" i="1"/>
  <c r="EI114" i="1"/>
  <c r="EB114" i="1" s="1"/>
  <c r="BN114" i="1" s="1"/>
  <c r="CB62" i="1"/>
  <c r="CU62" i="1"/>
  <c r="CS4" i="1"/>
  <c r="BC3" i="1"/>
  <c r="CO31" i="1"/>
  <c r="D31" i="1"/>
  <c r="CU143" i="1"/>
  <c r="CB143" i="1"/>
  <c r="EH110" i="1"/>
  <c r="EA110" i="1" s="1"/>
  <c r="BM110" i="1" s="1"/>
  <c r="CU15" i="1"/>
  <c r="CS152" i="1"/>
  <c r="BZ152" i="1"/>
  <c r="EJ23" i="1"/>
  <c r="EC23" i="1" s="1"/>
  <c r="BO23" i="1" s="1"/>
  <c r="EH115" i="1"/>
  <c r="EA115" i="1" s="1"/>
  <c r="BM115" i="1" s="1"/>
  <c r="CS164" i="1"/>
  <c r="BZ164" i="1"/>
  <c r="CA164" i="1" s="1"/>
  <c r="CM142" i="1"/>
  <c r="CM157" i="1"/>
  <c r="EI9" i="1"/>
  <c r="EB9" i="1" s="1"/>
  <c r="BN9" i="1" s="1"/>
  <c r="CU75" i="1"/>
  <c r="CB75" i="1"/>
  <c r="EH120" i="1"/>
  <c r="EA120" i="1" s="1"/>
  <c r="BM120" i="1" s="1"/>
  <c r="CS18" i="1"/>
  <c r="EG27" i="1"/>
  <c r="DZ27" i="1" s="1"/>
  <c r="BL27" i="1" s="1"/>
  <c r="EG89" i="1"/>
  <c r="DZ89" i="1" s="1"/>
  <c r="BL89" i="1" s="1"/>
  <c r="CM20" i="1"/>
  <c r="C20" i="1"/>
  <c r="EJ90" i="1"/>
  <c r="EC90" i="1" s="1"/>
  <c r="BO90" i="1" s="1"/>
  <c r="CS169" i="1"/>
  <c r="BZ169" i="1"/>
  <c r="CA169" i="1" s="1"/>
  <c r="CO26" i="1"/>
  <c r="D26" i="1"/>
  <c r="EH112" i="1"/>
  <c r="EA112" i="1" s="1"/>
  <c r="BM112" i="1" s="1"/>
  <c r="EI90" i="1"/>
  <c r="EB90" i="1" s="1"/>
  <c r="BN90" i="1" s="1"/>
  <c r="CU26" i="1"/>
  <c r="CS178" i="1"/>
  <c r="BZ178" i="1"/>
  <c r="CB74" i="1"/>
  <c r="CU74" i="1"/>
  <c r="C23" i="1"/>
  <c r="CM23" i="1"/>
  <c r="CO147" i="1"/>
  <c r="BF3" i="1"/>
  <c r="EH21" i="1"/>
  <c r="EA21" i="1" s="1"/>
  <c r="BM21" i="1" s="1"/>
  <c r="EG32" i="1"/>
  <c r="DZ32" i="1" s="1"/>
  <c r="BL32" i="1" s="1"/>
  <c r="CS33" i="1"/>
  <c r="BS59" i="1"/>
  <c r="CM59" i="1"/>
  <c r="C59" i="1"/>
  <c r="CU24" i="1"/>
  <c r="CS174" i="1"/>
  <c r="BZ174" i="1"/>
  <c r="EG86" i="1"/>
  <c r="DZ86" i="1" s="1"/>
  <c r="BL86" i="1" s="1"/>
  <c r="EH36" i="1"/>
  <c r="EA36" i="1" s="1"/>
  <c r="BM36" i="1" s="1"/>
  <c r="CS154" i="1"/>
  <c r="BZ154" i="1"/>
  <c r="EH117" i="1"/>
  <c r="EA117" i="1" s="1"/>
  <c r="BM117" i="1" s="1"/>
  <c r="CS162" i="1"/>
  <c r="BZ162" i="1"/>
  <c r="EI14" i="1"/>
  <c r="EB14" i="1" s="1"/>
  <c r="BN14" i="1" s="1"/>
  <c r="EH25" i="1"/>
  <c r="EA25" i="1" s="1"/>
  <c r="BM25" i="1" s="1"/>
  <c r="C6" i="1"/>
  <c r="CM6" i="1"/>
  <c r="D33" i="1"/>
  <c r="CO33" i="1"/>
  <c r="C22" i="1"/>
  <c r="CM22" i="1"/>
  <c r="C9" i="1"/>
  <c r="CM9" i="1"/>
  <c r="AV3" i="1"/>
  <c r="EI129" i="1"/>
  <c r="EB129" i="1" s="1"/>
  <c r="BN129" i="1" s="1"/>
  <c r="EI38" i="1"/>
  <c r="EB38" i="1" s="1"/>
  <c r="BN38" i="1" s="1"/>
  <c r="CM174" i="1"/>
  <c r="CO148" i="1"/>
  <c r="BZ171" i="1"/>
  <c r="CS171" i="1"/>
  <c r="EI113" i="1"/>
  <c r="EB113" i="1" s="1"/>
  <c r="BN113" i="1" s="1"/>
  <c r="CO30" i="1"/>
  <c r="D30" i="1"/>
  <c r="BZ183" i="1"/>
  <c r="CS183" i="1"/>
  <c r="CB188" i="1"/>
  <c r="CC189" i="1" s="1"/>
  <c r="CU188" i="1"/>
  <c r="CO185" i="1"/>
  <c r="C60" i="1"/>
  <c r="BS60" i="1"/>
  <c r="CM60" i="1"/>
  <c r="CS23" i="1"/>
  <c r="C79" i="1"/>
  <c r="BS79" i="1"/>
  <c r="CM79" i="1"/>
  <c r="EI116" i="1"/>
  <c r="EB116" i="1" s="1"/>
  <c r="BN116" i="1" s="1"/>
  <c r="EJ11" i="1"/>
  <c r="EC11" i="1" s="1"/>
  <c r="BO11" i="1" s="1"/>
  <c r="AU3" i="1"/>
  <c r="C4" i="1"/>
  <c r="CM4" i="1"/>
  <c r="CM37" i="1"/>
  <c r="C37" i="1"/>
  <c r="EI87" i="1"/>
  <c r="EB87" i="1" s="1"/>
  <c r="BN87" i="1" s="1"/>
  <c r="CS24" i="1"/>
  <c r="D19" i="1"/>
  <c r="CO19" i="1"/>
  <c r="CS144" i="1"/>
  <c r="BZ144" i="1"/>
  <c r="EH96" i="1"/>
  <c r="EA96" i="1" s="1"/>
  <c r="BM96" i="1" s="1"/>
  <c r="CU18" i="1"/>
  <c r="EI111" i="1"/>
  <c r="EB111" i="1" s="1"/>
  <c r="BN111" i="1" s="1"/>
  <c r="CU35" i="1"/>
  <c r="EJ18" i="1"/>
  <c r="EC18" i="1" s="1"/>
  <c r="BO18" i="1" s="1"/>
  <c r="CM34" i="1"/>
  <c r="C34" i="1"/>
  <c r="CB185" i="1"/>
  <c r="CU185" i="1"/>
  <c r="CG44" i="1"/>
  <c r="EI103" i="1"/>
  <c r="EB103" i="1" s="1"/>
  <c r="BN103" i="1" s="1"/>
  <c r="EI11" i="1"/>
  <c r="EB11" i="1" s="1"/>
  <c r="BN11" i="1" s="1"/>
  <c r="EG114" i="1"/>
  <c r="DZ114" i="1" s="1"/>
  <c r="BL114" i="1" s="1"/>
  <c r="EH37" i="1"/>
  <c r="EA37" i="1" s="1"/>
  <c r="BM37" i="1" s="1"/>
  <c r="EJ32" i="1"/>
  <c r="EC32" i="1" s="1"/>
  <c r="BO32" i="1" s="1"/>
  <c r="C74" i="1"/>
  <c r="BS74" i="1"/>
  <c r="CM74" i="1"/>
  <c r="EI108" i="1"/>
  <c r="EB108" i="1" s="1"/>
  <c r="BN108" i="1" s="1"/>
  <c r="CS9" i="1"/>
  <c r="EI96" i="1"/>
  <c r="EB96" i="1" s="1"/>
  <c r="BN96" i="1" s="1"/>
  <c r="CS147" i="1"/>
  <c r="BZ147" i="1"/>
  <c r="CU158" i="1"/>
  <c r="CB158" i="1"/>
  <c r="EH38" i="1"/>
  <c r="EA38" i="1" s="1"/>
  <c r="BM38" i="1" s="1"/>
  <c r="CM31" i="1"/>
  <c r="C31" i="1"/>
  <c r="EI22" i="1"/>
  <c r="EB22" i="1" s="1"/>
  <c r="BN22" i="1" s="1"/>
  <c r="BS71" i="1"/>
  <c r="BT71" i="1" s="1"/>
  <c r="C71" i="1"/>
  <c r="CM71" i="1"/>
  <c r="EI101" i="1"/>
  <c r="EB101" i="1" s="1"/>
  <c r="BN101" i="1" s="1"/>
  <c r="EI20" i="1"/>
  <c r="EB20" i="1" s="1"/>
  <c r="BN20" i="1" s="1"/>
  <c r="EJ15" i="1"/>
  <c r="EC15" i="1" s="1"/>
  <c r="BO15" i="1" s="1"/>
  <c r="CM58" i="1"/>
  <c r="EI109" i="1"/>
  <c r="EB109" i="1" s="1"/>
  <c r="BN109" i="1" s="1"/>
  <c r="EI13" i="1"/>
  <c r="EB13" i="1" s="1"/>
  <c r="BN13" i="1" s="1"/>
  <c r="BD136" i="1"/>
  <c r="CO46" i="1"/>
  <c r="BU46" i="1"/>
  <c r="D46" i="1"/>
  <c r="CS31" i="1"/>
  <c r="CS149" i="1"/>
  <c r="BZ149" i="1"/>
  <c r="CM154" i="1"/>
  <c r="CF136" i="1"/>
  <c r="EI86" i="1"/>
  <c r="EB86" i="1" s="1"/>
  <c r="BN86" i="1" s="1"/>
  <c r="EI95" i="1"/>
  <c r="EB95" i="1" s="1"/>
  <c r="BN95" i="1" s="1"/>
  <c r="EJ5" i="1"/>
  <c r="EC5" i="1" s="1"/>
  <c r="BO5" i="1" s="1"/>
  <c r="EG8" i="1"/>
  <c r="DZ8" i="1" s="1"/>
  <c r="BL8" i="1" s="1"/>
  <c r="CM187" i="1"/>
  <c r="EG118" i="1"/>
  <c r="DZ118" i="1" s="1"/>
  <c r="BL118" i="1" s="1"/>
  <c r="EH127" i="1"/>
  <c r="EA127" i="1" s="1"/>
  <c r="BM127" i="1" s="1"/>
  <c r="CM153" i="1"/>
  <c r="EI5" i="1"/>
  <c r="EB5" i="1" s="1"/>
  <c r="BN5" i="1" s="1"/>
  <c r="CM14" i="1"/>
  <c r="C14" i="1"/>
  <c r="BZ188" i="1"/>
  <c r="CS188" i="1"/>
  <c r="EI8" i="1"/>
  <c r="EB8" i="1" s="1"/>
  <c r="BN8" i="1" s="1"/>
  <c r="EG119" i="1"/>
  <c r="DZ119" i="1" s="1"/>
  <c r="BL119" i="1" s="1"/>
  <c r="CO158" i="1"/>
  <c r="EG23" i="1"/>
  <c r="DZ23" i="1" s="1"/>
  <c r="BL23" i="1" s="1"/>
  <c r="CM150" i="1"/>
  <c r="CO28" i="1"/>
  <c r="D28" i="1"/>
  <c r="CS166" i="1"/>
  <c r="BZ166" i="1"/>
  <c r="EI118" i="1"/>
  <c r="EB118" i="1" s="1"/>
  <c r="BN118" i="1" s="1"/>
  <c r="EJ28" i="1"/>
  <c r="EC28" i="1" s="1"/>
  <c r="BO28" i="1" s="1"/>
  <c r="C19" i="1"/>
  <c r="CM19" i="1"/>
  <c r="EI110" i="1"/>
  <c r="EB110" i="1" s="1"/>
  <c r="BN110" i="1" s="1"/>
  <c r="EH26" i="1"/>
  <c r="EA26" i="1" s="1"/>
  <c r="BM26" i="1" s="1"/>
  <c r="CS22" i="1"/>
  <c r="CM32" i="1"/>
  <c r="C32" i="1"/>
  <c r="BD44" i="1"/>
  <c r="EH4" i="1"/>
  <c r="EA4" i="1" s="1"/>
  <c r="BM4" i="1" s="1"/>
  <c r="EO3" i="1"/>
  <c r="CU77" i="1"/>
  <c r="CB77" i="1"/>
  <c r="CO151" i="1"/>
  <c r="CM184" i="1"/>
  <c r="EG130" i="1"/>
  <c r="DZ130" i="1" s="1"/>
  <c r="BL130" i="1" s="1"/>
  <c r="EJ94" i="1"/>
  <c r="EC94" i="1" s="1"/>
  <c r="BO94" i="1" s="1"/>
  <c r="BZ141" i="1"/>
  <c r="CS141" i="1"/>
  <c r="EI4" i="1"/>
  <c r="EB4" i="1" s="1"/>
  <c r="BN4" i="1" s="1"/>
  <c r="EP3" i="1"/>
  <c r="C25" i="1"/>
  <c r="CM25" i="1"/>
  <c r="EJ93" i="1"/>
  <c r="EC93" i="1" s="1"/>
  <c r="BO93" i="1" s="1"/>
  <c r="C21" i="1"/>
  <c r="CM21" i="1"/>
  <c r="EH106" i="1"/>
  <c r="EA106" i="1" s="1"/>
  <c r="BM106" i="1" s="1"/>
  <c r="CS34" i="1"/>
  <c r="C11" i="1"/>
  <c r="CM11" i="1"/>
  <c r="CM173" i="1"/>
  <c r="EH99" i="1"/>
  <c r="EA99" i="1" s="1"/>
  <c r="BM99" i="1" s="1"/>
  <c r="CS37" i="1"/>
  <c r="EH9" i="1"/>
  <c r="EA9" i="1" s="1"/>
  <c r="BM9" i="1" s="1"/>
  <c r="EJ114" i="1"/>
  <c r="EC114" i="1" s="1"/>
  <c r="BO114" i="1" s="1"/>
  <c r="EJ128" i="1"/>
  <c r="EC128" i="1" s="1"/>
  <c r="BO128" i="1" s="1"/>
  <c r="AX44" i="1"/>
  <c r="EJ98" i="1"/>
  <c r="EC98" i="1" s="1"/>
  <c r="BO98" i="1" s="1"/>
  <c r="EJ16" i="1"/>
  <c r="EC16" i="1" s="1"/>
  <c r="BO16" i="1" s="1"/>
  <c r="EJ106" i="1"/>
  <c r="EC106" i="1" s="1"/>
  <c r="BO106" i="1" s="1"/>
  <c r="CH44" i="1"/>
  <c r="EJ91" i="1"/>
  <c r="EC91" i="1" s="1"/>
  <c r="BO91" i="1" s="1"/>
  <c r="EI32" i="1"/>
  <c r="EB32" i="1" s="1"/>
  <c r="BN32" i="1" s="1"/>
  <c r="CS175" i="1"/>
  <c r="BZ175" i="1"/>
  <c r="CS5" i="1"/>
  <c r="EI24" i="1"/>
  <c r="EB24" i="1" s="1"/>
  <c r="BN24" i="1" s="1"/>
  <c r="BU63" i="1"/>
  <c r="D63" i="1"/>
  <c r="CO63" i="1"/>
  <c r="EJ97" i="1"/>
  <c r="EC97" i="1" s="1"/>
  <c r="BO97" i="1" s="1"/>
  <c r="EG15" i="1"/>
  <c r="DZ15" i="1" s="1"/>
  <c r="BL15" i="1" s="1"/>
  <c r="CM5" i="1"/>
  <c r="C5" i="1"/>
  <c r="CU60" i="1"/>
  <c r="CB60" i="1"/>
  <c r="CU36" i="1"/>
  <c r="EH102" i="1"/>
  <c r="EA102" i="1" s="1"/>
  <c r="BM102" i="1" s="1"/>
  <c r="CU32" i="1"/>
  <c r="AW44" i="1"/>
  <c r="BU45" i="1"/>
  <c r="CO45" i="1"/>
  <c r="D45" i="1"/>
  <c r="D8" i="1"/>
  <c r="CO8" i="1"/>
  <c r="EJ13" i="1"/>
  <c r="EC13" i="1" s="1"/>
  <c r="BO13" i="1" s="1"/>
  <c r="AV136" i="1"/>
  <c r="EG128" i="1"/>
  <c r="DZ128" i="1" s="1"/>
  <c r="BL128" i="1" s="1"/>
  <c r="BZ161" i="1"/>
  <c r="CS161" i="1"/>
  <c r="D14" i="1"/>
  <c r="CO14" i="1"/>
  <c r="EI26" i="1"/>
  <c r="EB26" i="1" s="1"/>
  <c r="BN26" i="1" s="1"/>
  <c r="EJ124" i="1"/>
  <c r="EC124" i="1" s="1"/>
  <c r="BO124" i="1" s="1"/>
  <c r="EJ31" i="1"/>
  <c r="EC31" i="1" s="1"/>
  <c r="BO31" i="1" s="1"/>
  <c r="CS20" i="1"/>
  <c r="EI98" i="1"/>
  <c r="EB98" i="1" s="1"/>
  <c r="BN98" i="1" s="1"/>
  <c r="CS8" i="1"/>
  <c r="CU27" i="1"/>
  <c r="EG125" i="1"/>
  <c r="DZ125" i="1" s="1"/>
  <c r="BL125" i="1" s="1"/>
  <c r="CO61" i="1"/>
  <c r="BU61" i="1"/>
  <c r="D61" i="1"/>
  <c r="CB61" i="1"/>
  <c r="CU61" i="1"/>
  <c r="CO169" i="1"/>
  <c r="EJ113" i="1"/>
  <c r="EC113" i="1" s="1"/>
  <c r="BO113" i="1" s="1"/>
  <c r="CO146" i="1"/>
  <c r="EG31" i="1"/>
  <c r="DZ31" i="1" s="1"/>
  <c r="BL31" i="1" s="1"/>
  <c r="EJ102" i="1"/>
  <c r="EC102" i="1" s="1"/>
  <c r="BO102" i="1" s="1"/>
  <c r="CM172" i="1"/>
  <c r="EH30" i="1"/>
  <c r="EA30" i="1" s="1"/>
  <c r="BM30" i="1" s="1"/>
  <c r="CM152" i="1"/>
  <c r="EH15" i="1"/>
  <c r="EA15" i="1" s="1"/>
  <c r="BM15" i="1" s="1"/>
  <c r="EG12" i="1"/>
  <c r="DZ12" i="1" s="1"/>
  <c r="BL12" i="1" s="1"/>
  <c r="EG127" i="1"/>
  <c r="DZ127" i="1" s="1"/>
  <c r="BL127" i="1" s="1"/>
  <c r="CB181" i="1"/>
  <c r="CU181" i="1"/>
  <c r="CM47" i="1"/>
  <c r="BS47" i="1"/>
  <c r="C47" i="1"/>
  <c r="EJ7" i="1"/>
  <c r="EC7" i="1" s="1"/>
  <c r="BO7" i="1" s="1"/>
  <c r="EH100" i="1"/>
  <c r="EA100" i="1" s="1"/>
  <c r="BM100" i="1" s="1"/>
  <c r="EG20" i="1"/>
  <c r="DZ20" i="1" s="1"/>
  <c r="BL20" i="1" s="1"/>
  <c r="C12" i="1"/>
  <c r="CM12" i="1"/>
  <c r="EI6" i="1"/>
  <c r="EB6" i="1" s="1"/>
  <c r="BN6" i="1" s="1"/>
  <c r="CO180" i="1"/>
  <c r="EI19" i="1"/>
  <c r="EB19" i="1" s="1"/>
  <c r="BN19" i="1" s="1"/>
  <c r="BS58" i="1"/>
  <c r="C58" i="1"/>
  <c r="CO170" i="1"/>
  <c r="BZ181" i="1"/>
  <c r="CS181" i="1"/>
  <c r="CB142" i="1"/>
  <c r="CU142" i="1"/>
  <c r="CO182" i="1"/>
  <c r="CS170" i="1"/>
  <c r="BZ170" i="1"/>
  <c r="D74" i="1"/>
  <c r="CO74" i="1"/>
  <c r="BU74" i="1"/>
  <c r="CS73" i="1"/>
  <c r="BZ73" i="1"/>
  <c r="CU10" i="1"/>
  <c r="CO77" i="1"/>
  <c r="BU77" i="1"/>
  <c r="D77" i="1"/>
  <c r="EH114" i="1"/>
  <c r="EA114" i="1" s="1"/>
  <c r="BM114" i="1" s="1"/>
  <c r="CU48" i="1"/>
  <c r="CB48" i="1"/>
  <c r="CC49" i="1" s="1"/>
  <c r="CS10" i="1"/>
  <c r="EJ123" i="1"/>
  <c r="EC123" i="1" s="1"/>
  <c r="BO123" i="1" s="1"/>
  <c r="CM149" i="1"/>
  <c r="EJ103" i="1"/>
  <c r="EC103" i="1" s="1"/>
  <c r="BO103" i="1" s="1"/>
  <c r="EI27" i="1"/>
  <c r="EB27" i="1" s="1"/>
  <c r="BN27" i="1" s="1"/>
  <c r="EH18" i="1"/>
  <c r="EA18" i="1" s="1"/>
  <c r="BM18" i="1" s="1"/>
  <c r="CM148" i="1"/>
  <c r="CU12" i="1"/>
  <c r="CU76" i="1"/>
  <c r="CB76" i="1"/>
  <c r="BZ180" i="1"/>
  <c r="CS180" i="1"/>
  <c r="CU21" i="1"/>
  <c r="CU34" i="1"/>
  <c r="EG37" i="1"/>
  <c r="DZ37" i="1" s="1"/>
  <c r="BL37" i="1" s="1"/>
  <c r="EJ12" i="1"/>
  <c r="EC12" i="1" s="1"/>
  <c r="BO12" i="1" s="1"/>
  <c r="CO29" i="1"/>
  <c r="D29" i="1"/>
  <c r="EH92" i="1"/>
  <c r="EA92" i="1" s="1"/>
  <c r="BM92" i="1" s="1"/>
  <c r="CM160" i="1"/>
  <c r="EJ25" i="1"/>
  <c r="EC25" i="1" s="1"/>
  <c r="BO25" i="1" s="1"/>
  <c r="EG33" i="1"/>
  <c r="DZ33" i="1" s="1"/>
  <c r="BL33" i="1" s="1"/>
  <c r="EJ92" i="1"/>
  <c r="EC92" i="1" s="1"/>
  <c r="BO92" i="1" s="1"/>
  <c r="EJ119" i="1"/>
  <c r="EC119" i="1" s="1"/>
  <c r="BO119" i="1" s="1"/>
  <c r="EI88" i="1"/>
  <c r="EB88" i="1" s="1"/>
  <c r="BN88" i="1" s="1"/>
  <c r="EI28" i="1"/>
  <c r="EB28" i="1" s="1"/>
  <c r="BN28" i="1" s="1"/>
  <c r="EH123" i="1"/>
  <c r="EA123" i="1" s="1"/>
  <c r="BM123" i="1" s="1"/>
  <c r="EJ33" i="1"/>
  <c r="EC33" i="1" s="1"/>
  <c r="BO33" i="1" s="1"/>
  <c r="EH8" i="1"/>
  <c r="EA8" i="1" s="1"/>
  <c r="BM8" i="1" s="1"/>
  <c r="CS21" i="1"/>
  <c r="CU146" i="1"/>
  <c r="CB146" i="1"/>
  <c r="CO12" i="1"/>
  <c r="D12" i="1"/>
  <c r="EI21" i="1"/>
  <c r="EB21" i="1" s="1"/>
  <c r="BN21" i="1" s="1"/>
  <c r="CO167" i="1"/>
  <c r="EG28" i="1"/>
  <c r="DZ28" i="1" s="1"/>
  <c r="BL28" i="1" s="1"/>
  <c r="CS32" i="1"/>
  <c r="EH20" i="1"/>
  <c r="EA20" i="1" s="1"/>
  <c r="BM20" i="1" s="1"/>
  <c r="BZ143" i="1"/>
  <c r="CS143" i="1"/>
  <c r="EG38" i="1"/>
  <c r="DZ38" i="1" s="1"/>
  <c r="BL38" i="1" s="1"/>
  <c r="EH13" i="1"/>
  <c r="EA13" i="1" s="1"/>
  <c r="BM13" i="1" s="1"/>
  <c r="CO73" i="1"/>
  <c r="BU73" i="1"/>
  <c r="D73" i="1"/>
  <c r="EG91" i="1"/>
  <c r="DZ91" i="1" s="1"/>
  <c r="BL91" i="1" s="1"/>
  <c r="CS27" i="1"/>
  <c r="CM143" i="1"/>
  <c r="CU23" i="1"/>
  <c r="EI97" i="1"/>
  <c r="EB97" i="1" s="1"/>
  <c r="BN97" i="1" s="1"/>
  <c r="EJ85" i="1"/>
  <c r="EC85" i="1" s="1"/>
  <c r="BO85" i="1" s="1"/>
  <c r="EQ84" i="1"/>
  <c r="EI37" i="1"/>
  <c r="EB37" i="1" s="1"/>
  <c r="BN37" i="1" s="1"/>
  <c r="CS139" i="1"/>
  <c r="BZ139" i="1"/>
  <c r="EG17" i="1"/>
  <c r="DZ17" i="1" s="1"/>
  <c r="BL17" i="1" s="1"/>
  <c r="D6" i="1"/>
  <c r="CO6" i="1"/>
  <c r="EI107" i="1"/>
  <c r="EB107" i="1" s="1"/>
  <c r="BN107" i="1" s="1"/>
  <c r="CS17" i="1"/>
  <c r="CM146" i="1"/>
  <c r="EI7" i="1"/>
  <c r="EB7" i="1" s="1"/>
  <c r="BN7" i="1" s="1"/>
  <c r="CS146" i="1"/>
  <c r="BZ146" i="1"/>
  <c r="CU145" i="1"/>
  <c r="CB145" i="1"/>
  <c r="EI10" i="1"/>
  <c r="EB10" i="1" s="1"/>
  <c r="BN10" i="1" s="1"/>
  <c r="BZ78" i="1"/>
  <c r="CS78" i="1"/>
  <c r="EI126" i="1"/>
  <c r="EB126" i="1" s="1"/>
  <c r="BN126" i="1" s="1"/>
  <c r="EI92" i="1"/>
  <c r="EB92" i="1" s="1"/>
  <c r="BN92" i="1" s="1"/>
  <c r="D78" i="1"/>
  <c r="CO78" i="1"/>
  <c r="BU78" i="1"/>
  <c r="EH130" i="1"/>
  <c r="EA130" i="1" s="1"/>
  <c r="BM130" i="1" s="1"/>
  <c r="CU147" i="1"/>
  <c r="CB147" i="1"/>
  <c r="CU33" i="1"/>
  <c r="CU37" i="1"/>
  <c r="CO153" i="1"/>
  <c r="EJ108" i="1"/>
  <c r="EC108" i="1" s="1"/>
  <c r="BO108" i="1" s="1"/>
  <c r="CM155" i="1"/>
  <c r="EI89" i="1"/>
  <c r="EB89" i="1" s="1"/>
  <c r="BN89" i="1" s="1"/>
  <c r="EI121" i="1"/>
  <c r="EB121" i="1" s="1"/>
  <c r="BN121" i="1" s="1"/>
  <c r="CS30" i="1"/>
  <c r="CU29" i="1"/>
  <c r="CS16" i="1"/>
  <c r="CS15" i="1"/>
  <c r="CM171" i="1"/>
  <c r="D59" i="1"/>
  <c r="CO59" i="1"/>
  <c r="BU59" i="1"/>
  <c r="CO189" i="1"/>
  <c r="EH23" i="1"/>
  <c r="EA23" i="1" s="1"/>
  <c r="BM23" i="1" s="1"/>
  <c r="EG90" i="1"/>
  <c r="DZ90" i="1" s="1"/>
  <c r="BL90" i="1" s="1"/>
  <c r="BE3" i="1"/>
  <c r="CU4" i="1"/>
  <c r="CO154" i="1"/>
  <c r="CH136" i="1"/>
  <c r="CM170" i="1"/>
  <c r="EI91" i="1"/>
  <c r="EB91" i="1" s="1"/>
  <c r="BN91" i="1" s="1"/>
  <c r="D20" i="1"/>
  <c r="CO20" i="1"/>
  <c r="EJ109" i="1"/>
  <c r="EC109" i="1" s="1"/>
  <c r="BO109" i="1" s="1"/>
  <c r="CO186" i="1"/>
  <c r="EG34" i="1"/>
  <c r="DZ34" i="1" s="1"/>
  <c r="BL34" i="1" s="1"/>
  <c r="EI34" i="1"/>
  <c r="EB34" i="1" s="1"/>
  <c r="BN34" i="1" s="1"/>
  <c r="CO142" i="1"/>
  <c r="CM38" i="1"/>
  <c r="C38" i="1"/>
  <c r="EG11" i="1"/>
  <c r="DZ11" i="1" s="1"/>
  <c r="BL11" i="1" s="1"/>
  <c r="CU140" i="1"/>
  <c r="CB140" i="1"/>
  <c r="CU79" i="1"/>
  <c r="CB79" i="1"/>
  <c r="EI94" i="1"/>
  <c r="EB94" i="1" s="1"/>
  <c r="BN94" i="1" s="1"/>
  <c r="EI130" i="1"/>
  <c r="EB130" i="1" s="1"/>
  <c r="BN130" i="1" s="1"/>
  <c r="EJ125" i="1"/>
  <c r="EC125" i="1" s="1"/>
  <c r="BO125" i="1" s="1"/>
  <c r="CM156" i="1"/>
  <c r="EH31" i="1"/>
  <c r="EA31" i="1" s="1"/>
  <c r="BM31" i="1" s="1"/>
  <c r="CS157" i="1"/>
  <c r="BZ157" i="1"/>
  <c r="CF3" i="1"/>
  <c r="CM183" i="1"/>
  <c r="EH113" i="1"/>
  <c r="EA113" i="1" s="1"/>
  <c r="BM113" i="1" s="1"/>
  <c r="BZ158" i="1"/>
  <c r="CS158" i="1"/>
  <c r="EJ118" i="1"/>
  <c r="EC118" i="1" s="1"/>
  <c r="BO118" i="1" s="1"/>
  <c r="BZ60" i="1"/>
  <c r="CS60" i="1"/>
  <c r="BZ71" i="1"/>
  <c r="CS71" i="1"/>
  <c r="EH94" i="1"/>
  <c r="EA94" i="1" s="1"/>
  <c r="BM94" i="1" s="1"/>
  <c r="EJ14" i="1"/>
  <c r="EC14" i="1" s="1"/>
  <c r="BO14" i="1" s="1"/>
  <c r="BZ167" i="1"/>
  <c r="CA168" i="1" s="1"/>
  <c r="CS167" i="1"/>
  <c r="EG22" i="1"/>
  <c r="DZ22" i="1" s="1"/>
  <c r="BL22" i="1" s="1"/>
  <c r="EJ121" i="1"/>
  <c r="EC121" i="1" s="1"/>
  <c r="BO121" i="1" s="1"/>
  <c r="CU20" i="1"/>
  <c r="CO24" i="1"/>
  <c r="D24" i="1"/>
  <c r="C137" i="1"/>
  <c r="E137" i="1" s="1"/>
  <c r="AY137" i="1"/>
  <c r="AU136" i="1"/>
  <c r="BS137" i="1"/>
  <c r="CW137" i="1" s="1"/>
  <c r="CM137" i="1"/>
  <c r="CS70" i="1"/>
  <c r="BZ70" i="1"/>
  <c r="CA70" i="1" s="1"/>
  <c r="CO4" i="1"/>
  <c r="D4" i="1"/>
  <c r="AW3" i="1"/>
  <c r="CS159" i="1"/>
  <c r="BZ159" i="1"/>
  <c r="CM140" i="1"/>
  <c r="CM185" i="1"/>
  <c r="CU72" i="1"/>
  <c r="CB72" i="1"/>
  <c r="CU8" i="1"/>
  <c r="CU71" i="1"/>
  <c r="CB71" i="1"/>
  <c r="EJ105" i="1"/>
  <c r="EC105" i="1" s="1"/>
  <c r="BO105" i="1" s="1"/>
  <c r="BZ75" i="1"/>
  <c r="CS75" i="1"/>
  <c r="EJ122" i="1"/>
  <c r="EC122" i="1" s="1"/>
  <c r="BO122" i="1" s="1"/>
  <c r="EJ96" i="1"/>
  <c r="EC96" i="1" s="1"/>
  <c r="BO96" i="1" s="1"/>
  <c r="CM186" i="1"/>
  <c r="EJ34" i="1"/>
  <c r="EC34" i="1" s="1"/>
  <c r="BO34" i="1" s="1"/>
  <c r="EI29" i="1"/>
  <c r="EB29" i="1" s="1"/>
  <c r="BN29" i="1" s="1"/>
  <c r="CU156" i="1"/>
  <c r="CB156" i="1"/>
  <c r="BF44" i="1"/>
  <c r="D57" i="1"/>
  <c r="BU57" i="1"/>
  <c r="CO57" i="1"/>
  <c r="EG124" i="1"/>
  <c r="DZ124" i="1" s="1"/>
  <c r="BL124" i="1" s="1"/>
  <c r="EH27" i="1"/>
  <c r="EA27" i="1" s="1"/>
  <c r="BM27" i="1" s="1"/>
  <c r="EI127" i="1"/>
  <c r="EB127" i="1" s="1"/>
  <c r="BN127" i="1" s="1"/>
  <c r="EI120" i="1"/>
  <c r="EB120" i="1" s="1"/>
  <c r="BN120" i="1" s="1"/>
  <c r="EI93" i="1"/>
  <c r="EB93" i="1" s="1"/>
  <c r="BN93" i="1" s="1"/>
  <c r="BZ179" i="1"/>
  <c r="CS179" i="1"/>
  <c r="CB58" i="1"/>
  <c r="CU58" i="1"/>
  <c r="AV44" i="1"/>
  <c r="EH90" i="1"/>
  <c r="EA90" i="1" s="1"/>
  <c r="BM90" i="1" s="1"/>
  <c r="C45" i="1"/>
  <c r="BS45" i="1"/>
  <c r="CM45" i="1"/>
  <c r="AU44" i="1"/>
  <c r="CS138" i="1"/>
  <c r="BZ138" i="1"/>
  <c r="EJ21" i="1"/>
  <c r="EC21" i="1" s="1"/>
  <c r="BO21" i="1" s="1"/>
  <c r="BZ155" i="1"/>
  <c r="CS155" i="1"/>
  <c r="CH3" i="1"/>
  <c r="CM46" i="1"/>
  <c r="BS46" i="1"/>
  <c r="C46" i="1"/>
  <c r="EI15" i="1"/>
  <c r="EB15" i="1" s="1"/>
  <c r="BN15" i="1" s="1"/>
  <c r="CS186" i="1"/>
  <c r="BZ186" i="1"/>
  <c r="CO11" i="1"/>
  <c r="D11" i="1"/>
  <c r="EG126" i="1"/>
  <c r="DZ126" i="1" s="1"/>
  <c r="BL126" i="1" s="1"/>
  <c r="EI30" i="1"/>
  <c r="EB30" i="1" s="1"/>
  <c r="BN30" i="1" s="1"/>
  <c r="CU144" i="1"/>
  <c r="CB144" i="1"/>
  <c r="EH16" i="1"/>
  <c r="EA16" i="1" s="1"/>
  <c r="BM16" i="1" s="1"/>
  <c r="EG9" i="1"/>
  <c r="DZ9" i="1" s="1"/>
  <c r="BL9" i="1" s="1"/>
  <c r="BZ63" i="1"/>
  <c r="CA64" i="1" s="1"/>
  <c r="CS63" i="1"/>
  <c r="EI25" i="1"/>
  <c r="EB25" i="1" s="1"/>
  <c r="BN25" i="1" s="1"/>
  <c r="CU47" i="1"/>
  <c r="CB47" i="1"/>
  <c r="EG88" i="1"/>
  <c r="DZ88" i="1" s="1"/>
  <c r="BL88" i="1" s="1"/>
  <c r="CS12" i="1"/>
  <c r="EI18" i="1"/>
  <c r="EB18" i="1" s="1"/>
  <c r="BN18" i="1" s="1"/>
  <c r="EI125" i="1"/>
  <c r="EB125" i="1" s="1"/>
  <c r="BN125" i="1" s="1"/>
  <c r="CO18" i="1"/>
  <c r="D18" i="1"/>
  <c r="CU30" i="1"/>
  <c r="C26" i="1"/>
  <c r="CM26" i="1"/>
  <c r="EH111" i="1"/>
  <c r="EA111" i="1" s="1"/>
  <c r="BM111" i="1" s="1"/>
  <c r="BZ156" i="1"/>
  <c r="CS156" i="1"/>
  <c r="EN84" i="1"/>
  <c r="EG85" i="1"/>
  <c r="DZ85" i="1" s="1"/>
  <c r="BL85" i="1" s="1"/>
  <c r="CO159" i="1"/>
  <c r="CU141" i="1"/>
  <c r="CB141" i="1"/>
  <c r="CB186" i="1"/>
  <c r="CU186" i="1"/>
  <c r="EJ116" i="1"/>
  <c r="EC116" i="1" s="1"/>
  <c r="BO116" i="1" s="1"/>
  <c r="CS140" i="1"/>
  <c r="BZ140" i="1"/>
  <c r="EJ115" i="1"/>
  <c r="EC115" i="1" s="1"/>
  <c r="BO115" i="1" s="1"/>
  <c r="EH107" i="1"/>
  <c r="EA107" i="1" s="1"/>
  <c r="BM107" i="1" s="1"/>
  <c r="CO150" i="1"/>
  <c r="EI31" i="1"/>
  <c r="EB31" i="1" s="1"/>
  <c r="BN31" i="1" s="1"/>
  <c r="EJ120" i="1"/>
  <c r="EC120" i="1" s="1"/>
  <c r="BO120" i="1" s="1"/>
  <c r="EG123" i="1"/>
  <c r="DZ123" i="1" s="1"/>
  <c r="BL123" i="1" s="1"/>
  <c r="EJ100" i="1"/>
  <c r="EC100" i="1" s="1"/>
  <c r="BO100" i="1" s="1"/>
  <c r="EH6" i="1"/>
  <c r="EA6" i="1" s="1"/>
  <c r="BM6" i="1" s="1"/>
  <c r="CB183" i="1"/>
  <c r="CU183" i="1"/>
  <c r="EJ26" i="1"/>
  <c r="EC26" i="1" s="1"/>
  <c r="BO26" i="1" s="1"/>
  <c r="CM144" i="1"/>
  <c r="CM166" i="1"/>
  <c r="EH29" i="1"/>
  <c r="EA29" i="1" s="1"/>
  <c r="BM29" i="1" s="1"/>
  <c r="CO155" i="1"/>
  <c r="EH116" i="1"/>
  <c r="EA116" i="1" s="1"/>
  <c r="BM116" i="1" s="1"/>
  <c r="BZ57" i="1"/>
  <c r="CA57" i="1" s="1"/>
  <c r="CS57" i="1"/>
  <c r="EH126" i="1"/>
  <c r="EA126" i="1" s="1"/>
  <c r="BM126" i="1" s="1"/>
  <c r="CU6" i="1"/>
  <c r="EG35" i="1"/>
  <c r="DZ35" i="1" s="1"/>
  <c r="BL35" i="1" s="1"/>
  <c r="C13" i="1"/>
  <c r="CM13" i="1"/>
  <c r="EI35" i="1"/>
  <c r="EB35" i="1" s="1"/>
  <c r="BN35" i="1" s="1"/>
  <c r="EJ27" i="1"/>
  <c r="EC27" i="1" s="1"/>
  <c r="BO27" i="1" s="1"/>
  <c r="EJ95" i="1"/>
  <c r="EC95" i="1" s="1"/>
  <c r="BO95" i="1" s="1"/>
  <c r="CB180" i="1"/>
  <c r="CU180" i="1"/>
  <c r="CU31" i="1"/>
  <c r="CU28" i="1"/>
  <c r="BU79" i="1"/>
  <c r="CO79" i="1"/>
  <c r="D79" i="1"/>
  <c r="EG24" i="1"/>
  <c r="DZ24" i="1" s="1"/>
  <c r="BL24" i="1" s="1"/>
  <c r="CU57" i="1"/>
  <c r="CB57" i="1"/>
  <c r="CC57" i="1" s="1"/>
  <c r="EH122" i="1"/>
  <c r="EA122" i="1" s="1"/>
  <c r="BM122" i="1" s="1"/>
  <c r="EH86" i="1"/>
  <c r="EA86" i="1" s="1"/>
  <c r="BM86" i="1" s="1"/>
  <c r="EG5" i="1"/>
  <c r="DZ5" i="1" s="1"/>
  <c r="BL5" i="1" s="1"/>
  <c r="CO171" i="1"/>
  <c r="CS76" i="1"/>
  <c r="BZ76" i="1"/>
  <c r="CU17" i="1"/>
  <c r="CO9" i="1"/>
  <c r="D9" i="1"/>
  <c r="CO16" i="1"/>
  <c r="D16" i="1"/>
  <c r="CM29" i="1"/>
  <c r="C29" i="1"/>
  <c r="CM24" i="1"/>
  <c r="C24" i="1"/>
  <c r="EG113" i="1"/>
  <c r="DZ113" i="1" s="1"/>
  <c r="BL113" i="1" s="1"/>
  <c r="CO183" i="1"/>
  <c r="BZ77" i="1"/>
  <c r="CS77" i="1"/>
  <c r="CS36" i="1"/>
  <c r="CO166" i="1"/>
  <c r="EJ126" i="1"/>
  <c r="EC126" i="1" s="1"/>
  <c r="BO126" i="1" s="1"/>
  <c r="BZ47" i="1"/>
  <c r="CS47" i="1"/>
  <c r="D62" i="1"/>
  <c r="CO62" i="1"/>
  <c r="BU62" i="1"/>
  <c r="CI44" i="1"/>
  <c r="CO10" i="1"/>
  <c r="D10" i="1"/>
  <c r="EH28" i="1"/>
  <c r="EA28" i="1" s="1"/>
  <c r="BM28" i="1" s="1"/>
  <c r="EI106" i="1"/>
  <c r="EB106" i="1" s="1"/>
  <c r="BN106" i="1" s="1"/>
  <c r="EJ38" i="1"/>
  <c r="EC38" i="1" s="1"/>
  <c r="BO38" i="1" s="1"/>
  <c r="CO156" i="1"/>
  <c r="CO15" i="1"/>
  <c r="D15" i="1"/>
  <c r="EG117" i="1"/>
  <c r="DZ117" i="1" s="1"/>
  <c r="BL117" i="1" s="1"/>
  <c r="CB59" i="1"/>
  <c r="CU59" i="1"/>
  <c r="BC136" i="1"/>
  <c r="CS137" i="1"/>
  <c r="BZ137" i="1"/>
  <c r="CO181" i="1"/>
  <c r="CS48" i="1"/>
  <c r="BZ48" i="1"/>
  <c r="CA49" i="1" s="1"/>
  <c r="CU22" i="1"/>
  <c r="BU76" i="1"/>
  <c r="D76" i="1"/>
  <c r="CO76" i="1"/>
  <c r="CB137" i="1"/>
  <c r="CU137" i="1"/>
  <c r="BF136" i="1"/>
  <c r="EJ36" i="1"/>
  <c r="EC36" i="1" s="1"/>
  <c r="BO36" i="1" s="1"/>
  <c r="EG6" i="1"/>
  <c r="DZ6" i="1" s="1"/>
  <c r="BL6" i="1" s="1"/>
  <c r="D60" i="1"/>
  <c r="BU60" i="1"/>
  <c r="CO60" i="1"/>
  <c r="EJ88" i="1"/>
  <c r="EC88" i="1" s="1"/>
  <c r="BO88" i="1" s="1"/>
  <c r="EJ9" i="1"/>
  <c r="EC9" i="1" s="1"/>
  <c r="BO9" i="1" s="1"/>
  <c r="EI99" i="1"/>
  <c r="EB99" i="1" s="1"/>
  <c r="BN99" i="1" s="1"/>
  <c r="BU99" i="1" s="1"/>
  <c r="EH91" i="1"/>
  <c r="EA91" i="1" s="1"/>
  <c r="BM91" i="1" s="1"/>
  <c r="BZ184" i="1"/>
  <c r="CS184" i="1"/>
  <c r="BD3" i="1"/>
  <c r="CS19" i="1"/>
  <c r="EI112" i="1"/>
  <c r="EB112" i="1" s="1"/>
  <c r="BN112" i="1" s="1"/>
  <c r="CO32" i="1"/>
  <c r="D32" i="1"/>
  <c r="CO48" i="1"/>
  <c r="D48" i="1"/>
  <c r="BU48" i="1"/>
  <c r="EJ29" i="1"/>
  <c r="EC29" i="1" s="1"/>
  <c r="BO29" i="1" s="1"/>
  <c r="EJ117" i="1"/>
  <c r="EC117" i="1" s="1"/>
  <c r="BO117" i="1" s="1"/>
  <c r="EG102" i="1"/>
  <c r="DZ102" i="1" s="1"/>
  <c r="BL102" i="1" s="1"/>
  <c r="CB179" i="1"/>
  <c r="CU179" i="1"/>
  <c r="EG96" i="1"/>
  <c r="DZ96" i="1" s="1"/>
  <c r="BL96" i="1" s="1"/>
  <c r="EG110" i="1"/>
  <c r="DZ110" i="1" s="1"/>
  <c r="BL110" i="1" s="1"/>
  <c r="EG100" i="1"/>
  <c r="DZ100" i="1" s="1"/>
  <c r="BL100" i="1" s="1"/>
  <c r="CO175" i="1"/>
  <c r="EG105" i="1"/>
  <c r="DZ105" i="1" s="1"/>
  <c r="BL105" i="1" s="1"/>
  <c r="CO139" i="1"/>
  <c r="EG101" i="1"/>
  <c r="DZ101" i="1" s="1"/>
  <c r="BL101" i="1" s="1"/>
  <c r="EG108" i="1"/>
  <c r="DZ108" i="1" s="1"/>
  <c r="BL108" i="1" s="1"/>
  <c r="EI123" i="1"/>
  <c r="EB123" i="1" s="1"/>
  <c r="BN123" i="1" s="1"/>
  <c r="CM147" i="1"/>
  <c r="EH32" i="1"/>
  <c r="EA32" i="1" s="1"/>
  <c r="BM32" i="1" s="1"/>
  <c r="CS13" i="1"/>
  <c r="BZ153" i="1"/>
  <c r="CS153" i="1"/>
  <c r="BZ142" i="1"/>
  <c r="CS142" i="1"/>
  <c r="EG87" i="1"/>
  <c r="CB184" i="1"/>
  <c r="CU184" i="1"/>
  <c r="BC44" i="1"/>
  <c r="BZ45" i="1"/>
  <c r="CS45" i="1"/>
  <c r="EJ127" i="1"/>
  <c r="EC127" i="1" s="1"/>
  <c r="BO127" i="1" s="1"/>
  <c r="EH24" i="1"/>
  <c r="EA24" i="1" s="1"/>
  <c r="BM24" i="1" s="1"/>
  <c r="D23" i="1"/>
  <c r="CO23" i="1"/>
  <c r="EJ24" i="1"/>
  <c r="EC24" i="1" s="1"/>
  <c r="BO24" i="1" s="1"/>
  <c r="CB24" i="1" s="1"/>
  <c r="EH88" i="1"/>
  <c r="EA88" i="1" s="1"/>
  <c r="BM88" i="1" s="1"/>
  <c r="D22" i="1"/>
  <c r="CO22" i="1"/>
  <c r="EI119" i="1"/>
  <c r="EB119" i="1" s="1"/>
  <c r="BN119" i="1" s="1"/>
  <c r="BU119" i="1" s="1"/>
  <c r="EH129" i="1"/>
  <c r="EA129" i="1" s="1"/>
  <c r="BM129" i="1" s="1"/>
  <c r="EJ20" i="1"/>
  <c r="EC20" i="1" s="1"/>
  <c r="BO20" i="1" s="1"/>
  <c r="CU5" i="1"/>
  <c r="EG14" i="1"/>
  <c r="DZ14" i="1" s="1"/>
  <c r="BL14" i="1" s="1"/>
  <c r="CU13" i="1"/>
  <c r="D17" i="1"/>
  <c r="CO17" i="1"/>
  <c r="EH95" i="1"/>
  <c r="EA95" i="1" s="1"/>
  <c r="BM95" i="1" s="1"/>
  <c r="CO188" i="1"/>
  <c r="EG7" i="1"/>
  <c r="DZ7" i="1" s="1"/>
  <c r="BL7" i="1" s="1"/>
  <c r="CS62" i="1"/>
  <c r="BZ62" i="1"/>
  <c r="EI117" i="1"/>
  <c r="EB117" i="1" s="1"/>
  <c r="BN117" i="1" s="1"/>
  <c r="BZ176" i="1"/>
  <c r="CS176" i="1"/>
  <c r="EG21" i="1"/>
  <c r="DZ21" i="1" s="1"/>
  <c r="BL21" i="1" s="1"/>
  <c r="AY139" i="1"/>
  <c r="BS139" i="1"/>
  <c r="C139" i="1"/>
  <c r="E139" i="1" s="1"/>
  <c r="CB70" i="1"/>
  <c r="CC70" i="1" s="1"/>
  <c r="CU70" i="1"/>
  <c r="EI33" i="1"/>
  <c r="EB33" i="1" s="1"/>
  <c r="BN33" i="1" s="1"/>
  <c r="CU63" i="1"/>
  <c r="CB63" i="1"/>
  <c r="EG19" i="1"/>
  <c r="DZ19" i="1" s="1"/>
  <c r="BL19" i="1" s="1"/>
  <c r="EH10" i="1"/>
  <c r="EA10" i="1" s="1"/>
  <c r="BM10" i="1" s="1"/>
  <c r="EH93" i="1"/>
  <c r="EA93" i="1" s="1"/>
  <c r="BM93" i="1" s="1"/>
  <c r="CM169" i="1"/>
  <c r="CU38" i="1"/>
  <c r="EG36" i="1"/>
  <c r="DZ36" i="1" s="1"/>
  <c r="BL36" i="1" s="1"/>
  <c r="C17" i="1"/>
  <c r="CM17" i="1"/>
  <c r="EN3" i="1"/>
  <c r="EG4" i="1"/>
  <c r="CM145" i="1"/>
  <c r="BU72" i="1"/>
  <c r="CO72" i="1"/>
  <c r="D72" i="1"/>
  <c r="BZ151" i="1"/>
  <c r="CS151" i="1"/>
  <c r="EH89" i="1"/>
  <c r="EA89" i="1" s="1"/>
  <c r="BM89" i="1" s="1"/>
  <c r="EH11" i="1"/>
  <c r="EA11" i="1" s="1"/>
  <c r="BM11" i="1" s="1"/>
  <c r="EJ37" i="1"/>
  <c r="EC37" i="1" s="1"/>
  <c r="BO37" i="1" s="1"/>
  <c r="EH17" i="1"/>
  <c r="EA17" i="1" s="1"/>
  <c r="BM17" i="1" s="1"/>
  <c r="C62" i="1"/>
  <c r="BS62" i="1"/>
  <c r="CM62" i="1"/>
  <c r="EJ112" i="1"/>
  <c r="EC112" i="1" s="1"/>
  <c r="BO112" i="1" s="1"/>
  <c r="CU148" i="1"/>
  <c r="CB148" i="1"/>
  <c r="EG16" i="1"/>
  <c r="DZ16" i="1" s="1"/>
  <c r="BL16" i="1" s="1"/>
  <c r="EH19" i="1"/>
  <c r="EA19" i="1" s="1"/>
  <c r="BM19" i="1" s="1"/>
  <c r="BS73" i="1"/>
  <c r="CM73" i="1"/>
  <c r="C73" i="1"/>
  <c r="EH5" i="1"/>
  <c r="EA5" i="1" s="1"/>
  <c r="BM5" i="1" s="1"/>
  <c r="BZ5" i="1" s="1"/>
  <c r="CB157" i="1"/>
  <c r="CU157" i="1"/>
  <c r="EG116" i="1"/>
  <c r="DZ116" i="1" s="1"/>
  <c r="BL116" i="1" s="1"/>
  <c r="CO70" i="1"/>
  <c r="BU70" i="1"/>
  <c r="D70" i="1"/>
  <c r="CU159" i="1"/>
  <c r="CB159" i="1"/>
  <c r="CC159" i="1" s="1"/>
  <c r="CS28" i="1"/>
  <c r="CO157" i="1"/>
  <c r="CU78" i="1"/>
  <c r="CB78" i="1"/>
  <c r="CC79" i="1" s="1"/>
  <c r="EH7" i="1"/>
  <c r="EA7" i="1" s="1"/>
  <c r="BM7" i="1" s="1"/>
  <c r="CG136" i="1"/>
  <c r="CI136" i="1"/>
  <c r="EG104" i="1"/>
  <c r="DZ104" i="1" s="1"/>
  <c r="BL104" i="1" s="1"/>
  <c r="EG106" i="1"/>
  <c r="DZ106" i="1" s="1"/>
  <c r="BL106" i="1" s="1"/>
  <c r="EG107" i="1"/>
  <c r="DZ107" i="1" s="1"/>
  <c r="BL107" i="1" s="1"/>
  <c r="CB153" i="1"/>
  <c r="CC153" i="1" s="1"/>
  <c r="CU153" i="1"/>
  <c r="CB155" i="1"/>
  <c r="CU155" i="1"/>
  <c r="EG95" i="1"/>
  <c r="DZ95" i="1" s="1"/>
  <c r="BL95" i="1" s="1"/>
  <c r="CU7" i="1"/>
  <c r="EI12" i="1"/>
  <c r="EB12" i="1" s="1"/>
  <c r="BN12" i="1" s="1"/>
  <c r="EH87" i="1"/>
  <c r="EA87" i="1" s="1"/>
  <c r="BM87" i="1" s="1"/>
  <c r="EH12" i="1"/>
  <c r="EA12" i="1" s="1"/>
  <c r="BM12" i="1" s="1"/>
  <c r="EI124" i="1"/>
  <c r="EB124" i="1" s="1"/>
  <c r="BN124" i="1" s="1"/>
  <c r="CU160" i="1"/>
  <c r="CB160" i="1"/>
  <c r="CS46" i="1"/>
  <c r="BZ46" i="1"/>
  <c r="CS26" i="1"/>
  <c r="EJ8" i="1"/>
  <c r="EC8" i="1" s="1"/>
  <c r="BO8" i="1" s="1"/>
  <c r="CU25" i="1"/>
  <c r="CO58" i="1"/>
  <c r="BU58" i="1"/>
  <c r="D58" i="1"/>
  <c r="CM141" i="1"/>
  <c r="CS72" i="1"/>
  <c r="BZ72" i="1"/>
  <c r="CM178" i="1"/>
  <c r="EG30" i="1"/>
  <c r="DZ30" i="1" s="1"/>
  <c r="BL30" i="1" s="1"/>
  <c r="EH108" i="1"/>
  <c r="EA108" i="1" s="1"/>
  <c r="BM108" i="1" s="1"/>
  <c r="CG3" i="1"/>
  <c r="EH22" i="1"/>
  <c r="EA22" i="1" s="1"/>
  <c r="BM22" i="1" s="1"/>
  <c r="CO71" i="1"/>
  <c r="D71" i="1"/>
  <c r="BU71" i="1"/>
  <c r="CS29" i="1"/>
  <c r="EJ104" i="1"/>
  <c r="EC104" i="1" s="1"/>
  <c r="BO104" i="1" s="1"/>
  <c r="D27" i="1"/>
  <c r="CO27" i="1"/>
  <c r="BZ173" i="1"/>
  <c r="CS173" i="1"/>
  <c r="CO184" i="1"/>
  <c r="CM182" i="1"/>
  <c r="CO38" i="1"/>
  <c r="D38" i="1"/>
  <c r="EG25" i="1"/>
  <c r="DZ25" i="1" s="1"/>
  <c r="BL25" i="1" s="1"/>
  <c r="BS25" i="1" s="1"/>
  <c r="EG111" i="1"/>
  <c r="DZ111" i="1" s="1"/>
  <c r="BL111" i="1" s="1"/>
  <c r="CO179" i="1"/>
  <c r="EG98" i="1"/>
  <c r="DZ98" i="1" s="1"/>
  <c r="BL98" i="1" s="1"/>
  <c r="CO176" i="1"/>
  <c r="CO178" i="1"/>
  <c r="CO174" i="1"/>
  <c r="CO177" i="1"/>
  <c r="CO173" i="1"/>
  <c r="EG94" i="1"/>
  <c r="DZ94" i="1" s="1"/>
  <c r="BL94" i="1" s="1"/>
  <c r="CO137" i="1"/>
  <c r="CB178" i="1"/>
  <c r="CU178" i="1"/>
  <c r="CU154" i="1"/>
  <c r="CB154" i="1"/>
  <c r="EH101" i="1"/>
  <c r="EA101" i="1" s="1"/>
  <c r="BM101" i="1" s="1"/>
  <c r="CU11" i="1"/>
  <c r="D75" i="1"/>
  <c r="BU75" i="1"/>
  <c r="CO75" i="1"/>
  <c r="BS76" i="1"/>
  <c r="C76" i="1"/>
  <c r="CM76" i="1"/>
  <c r="C36" i="1"/>
  <c r="CM36" i="1"/>
  <c r="CO143" i="1"/>
  <c r="EG18" i="1"/>
  <c r="DZ18" i="1" s="1"/>
  <c r="BL18" i="1" s="1"/>
  <c r="CO145" i="1"/>
  <c r="CB187" i="1"/>
  <c r="CU187" i="1"/>
  <c r="EI85" i="1"/>
  <c r="EB85" i="1" s="1"/>
  <c r="BN85" i="1" s="1"/>
  <c r="EP84" i="1"/>
  <c r="BS78" i="1"/>
  <c r="C78" i="1"/>
  <c r="CM78" i="1"/>
  <c r="CS165" i="1"/>
  <c r="BZ165" i="1"/>
  <c r="CM158" i="1"/>
  <c r="EH104" i="1"/>
  <c r="EA104" i="1" s="1"/>
  <c r="BM104" i="1" s="1"/>
  <c r="EI115" i="1"/>
  <c r="EB115" i="1" s="1"/>
  <c r="BN115" i="1" s="1"/>
  <c r="EG121" i="1"/>
  <c r="DZ121" i="1" s="1"/>
  <c r="BL121" i="1" s="1"/>
  <c r="CS35" i="1"/>
  <c r="EH33" i="1"/>
  <c r="EA33" i="1" s="1"/>
  <c r="BM33" i="1" s="1"/>
  <c r="CB46" i="1"/>
  <c r="CU46" i="1"/>
  <c r="BZ79" i="1"/>
  <c r="CS79" i="1"/>
  <c r="EH103" i="1"/>
  <c r="EA103" i="1" s="1"/>
  <c r="BM103" i="1" s="1"/>
  <c r="EG92" i="1"/>
  <c r="DZ92" i="1" s="1"/>
  <c r="BL92" i="1" s="1"/>
  <c r="CM16" i="1"/>
  <c r="C16" i="1"/>
  <c r="EJ110" i="1"/>
  <c r="EC110" i="1" s="1"/>
  <c r="BO110" i="1" s="1"/>
  <c r="EH97" i="1"/>
  <c r="EA97" i="1" s="1"/>
  <c r="BM97" i="1" s="1"/>
  <c r="EG122" i="1"/>
  <c r="DZ122" i="1" s="1"/>
  <c r="BL122" i="1" s="1"/>
  <c r="CS25" i="1"/>
  <c r="EH128" i="1"/>
  <c r="EA128" i="1" s="1"/>
  <c r="BM128" i="1" s="1"/>
  <c r="BZ172" i="1"/>
  <c r="CS172" i="1"/>
  <c r="EH109" i="1"/>
  <c r="EA109" i="1" s="1"/>
  <c r="BM109" i="1" s="1"/>
  <c r="C77" i="1"/>
  <c r="CM77" i="1"/>
  <c r="BS77" i="1"/>
  <c r="EI23" i="1"/>
  <c r="EB23" i="1" s="1"/>
  <c r="BN23" i="1" s="1"/>
  <c r="BZ145" i="1"/>
  <c r="CS145" i="1"/>
  <c r="EJ101" i="1"/>
  <c r="EC101" i="1" s="1"/>
  <c r="BO101" i="1" s="1"/>
  <c r="EH119" i="1"/>
  <c r="EA119" i="1" s="1"/>
  <c r="BM119" i="1" s="1"/>
  <c r="D25" i="1"/>
  <c r="CO25" i="1"/>
  <c r="CS59" i="1"/>
  <c r="BZ59" i="1"/>
  <c r="CM180" i="1"/>
  <c r="EH118" i="1"/>
  <c r="EA118" i="1" s="1"/>
  <c r="BM118" i="1" s="1"/>
  <c r="BS118" i="1" s="1"/>
  <c r="CO172" i="1"/>
  <c r="EG93" i="1"/>
  <c r="DZ93" i="1" s="1"/>
  <c r="BL93" i="1" s="1"/>
  <c r="EG97" i="1"/>
  <c r="DZ97" i="1" s="1"/>
  <c r="BL97" i="1" s="1"/>
  <c r="EG109" i="1"/>
  <c r="DZ109" i="1" s="1"/>
  <c r="BL109" i="1" s="1"/>
  <c r="EG99" i="1"/>
  <c r="DZ99" i="1" s="1"/>
  <c r="BL99" i="1" s="1"/>
  <c r="CB177" i="1"/>
  <c r="CC177" i="1" s="1"/>
  <c r="CU177" i="1"/>
  <c r="CU139" i="1"/>
  <c r="CB139" i="1"/>
  <c r="EG112" i="1"/>
  <c r="DZ112" i="1" s="1"/>
  <c r="BL112" i="1" s="1"/>
  <c r="CU138" i="1"/>
  <c r="CB138" i="1"/>
  <c r="BE136" i="1"/>
  <c r="CO138" i="1"/>
  <c r="EG103" i="1"/>
  <c r="DZ103" i="1" s="1"/>
  <c r="BL103" i="1" s="1"/>
  <c r="DO15" i="1"/>
  <c r="DK15" i="1"/>
  <c r="DI15" i="1"/>
  <c r="DO8" i="1"/>
  <c r="DK8" i="1"/>
  <c r="DI8" i="1"/>
  <c r="DJ22" i="1"/>
  <c r="DN22" i="1"/>
  <c r="DH22" i="1"/>
  <c r="DN18" i="1"/>
  <c r="DJ18" i="1"/>
  <c r="DH18" i="1"/>
  <c r="DH21" i="1"/>
  <c r="DJ21" i="1"/>
  <c r="DN21" i="1"/>
  <c r="DJ26" i="1"/>
  <c r="DN26" i="1"/>
  <c r="DH26" i="1"/>
  <c r="DJ29" i="1"/>
  <c r="DH29" i="1"/>
  <c r="DN29" i="1"/>
  <c r="DH23" i="1"/>
  <c r="DN23" i="1"/>
  <c r="DJ23" i="1"/>
  <c r="DI27" i="1"/>
  <c r="DK27" i="1"/>
  <c r="DO27" i="1"/>
  <c r="DJ33" i="1"/>
  <c r="DH33" i="1"/>
  <c r="DN33" i="1"/>
  <c r="DI34" i="1"/>
  <c r="DK34" i="1"/>
  <c r="DO34" i="1"/>
  <c r="DI36" i="1"/>
  <c r="DK36" i="1"/>
  <c r="DO36" i="1"/>
  <c r="DK10" i="1"/>
  <c r="DO10" i="1"/>
  <c r="DI10" i="1"/>
  <c r="DN27" i="1"/>
  <c r="DJ27" i="1"/>
  <c r="DH27" i="1"/>
  <c r="DK35" i="1"/>
  <c r="DO35" i="1"/>
  <c r="DI35" i="1"/>
  <c r="DN32" i="1"/>
  <c r="DJ32" i="1"/>
  <c r="DH32" i="1"/>
  <c r="DH7" i="1"/>
  <c r="DJ7" i="1"/>
  <c r="DN7" i="1"/>
  <c r="DH19" i="1"/>
  <c r="DN19" i="1"/>
  <c r="DJ19" i="1"/>
  <c r="DH17" i="1"/>
  <c r="DJ17" i="1"/>
  <c r="DN17" i="1"/>
  <c r="DI29" i="1"/>
  <c r="DO29" i="1"/>
  <c r="DK29" i="1"/>
  <c r="DI32" i="1"/>
  <c r="DO32" i="1"/>
  <c r="DK32" i="1"/>
  <c r="DK37" i="1"/>
  <c r="DO37" i="1"/>
  <c r="DI37" i="1"/>
  <c r="DI9" i="1"/>
  <c r="DO9" i="1"/>
  <c r="DK9" i="1"/>
  <c r="DO21" i="1"/>
  <c r="DK21" i="1"/>
  <c r="DI21" i="1"/>
  <c r="DJ36" i="1"/>
  <c r="DN36" i="1"/>
  <c r="DH36" i="1"/>
  <c r="DJ20" i="1"/>
  <c r="DH20" i="1"/>
  <c r="DN20" i="1"/>
  <c r="DO20" i="1"/>
  <c r="DK20" i="1"/>
  <c r="DI20" i="1"/>
  <c r="DN8" i="1"/>
  <c r="DJ8" i="1"/>
  <c r="DH8" i="1"/>
  <c r="DN6" i="1"/>
  <c r="DH6" i="1"/>
  <c r="DJ6" i="1"/>
  <c r="EF97" i="1"/>
  <c r="DY97" i="1" s="1"/>
  <c r="BK97" i="1" s="1"/>
  <c r="EF109" i="1"/>
  <c r="DY109" i="1" s="1"/>
  <c r="BK109" i="1" s="1"/>
  <c r="EF149" i="1"/>
  <c r="DY149" i="1" s="1"/>
  <c r="BK149" i="1" s="1"/>
  <c r="EE151" i="1"/>
  <c r="DX151" i="1" s="1"/>
  <c r="DU19" i="1"/>
  <c r="EF168" i="1"/>
  <c r="DY168" i="1" s="1"/>
  <c r="EF37" i="1"/>
  <c r="DY37" i="1" s="1"/>
  <c r="BK37" i="1" s="1"/>
  <c r="EE104" i="1"/>
  <c r="DX104" i="1" s="1"/>
  <c r="EF128" i="1"/>
  <c r="DY128" i="1" s="1"/>
  <c r="BK128" i="1" s="1"/>
  <c r="CQ12" i="1"/>
  <c r="BH12" i="1"/>
  <c r="DT12" i="1"/>
  <c r="EF22" i="1"/>
  <c r="DY22" i="1" s="1"/>
  <c r="BK22" i="1" s="1"/>
  <c r="EE73" i="1"/>
  <c r="DX73" i="1" s="1"/>
  <c r="EE103" i="1"/>
  <c r="DX103" i="1" s="1"/>
  <c r="EF185" i="1"/>
  <c r="DY185" i="1" s="1"/>
  <c r="BK185" i="1" s="1"/>
  <c r="CQ22" i="1"/>
  <c r="DT22" i="1"/>
  <c r="BH22" i="1"/>
  <c r="EF5" i="1"/>
  <c r="DY5" i="1" s="1"/>
  <c r="BK5" i="1" s="1"/>
  <c r="CQ59" i="1"/>
  <c r="DN59" i="1"/>
  <c r="DH59" i="1"/>
  <c r="DT59" i="1"/>
  <c r="BH59" i="1"/>
  <c r="EE31" i="1"/>
  <c r="DX31" i="1" s="1"/>
  <c r="EF6" i="1"/>
  <c r="DY6" i="1" s="1"/>
  <c r="BK6" i="1" s="1"/>
  <c r="EE97" i="1"/>
  <c r="DX97" i="1" s="1"/>
  <c r="EF93" i="1"/>
  <c r="DY93" i="1" s="1"/>
  <c r="BK93" i="1" s="1"/>
  <c r="BH176" i="1"/>
  <c r="DH176" i="1"/>
  <c r="DT176" i="1"/>
  <c r="DN176" i="1"/>
  <c r="DV176" i="1" s="1"/>
  <c r="CQ176" i="1"/>
  <c r="DO5" i="1"/>
  <c r="DI5" i="1"/>
  <c r="DU5" i="1"/>
  <c r="CK30" i="1"/>
  <c r="B30" i="1"/>
  <c r="AY30" i="1"/>
  <c r="B21" i="1"/>
  <c r="AY21" i="1"/>
  <c r="CK21" i="1"/>
  <c r="CK146" i="1"/>
  <c r="EE101" i="1"/>
  <c r="DX101" i="1" s="1"/>
  <c r="B61" i="1"/>
  <c r="AY61" i="1"/>
  <c r="CK61" i="1"/>
  <c r="CQ20" i="1"/>
  <c r="BH20" i="1"/>
  <c r="DT20" i="1"/>
  <c r="DO139" i="1"/>
  <c r="DU139" i="1"/>
  <c r="DI139" i="1"/>
  <c r="BH152" i="1"/>
  <c r="DT152" i="1"/>
  <c r="DH152" i="1"/>
  <c r="CQ152" i="1"/>
  <c r="DN152" i="1"/>
  <c r="DH140" i="1"/>
  <c r="BH140" i="1"/>
  <c r="BX140" i="1"/>
  <c r="DT140" i="1"/>
  <c r="DN140" i="1"/>
  <c r="CQ140" i="1"/>
  <c r="CK185" i="1"/>
  <c r="AY60" i="1"/>
  <c r="B60" i="1"/>
  <c r="CK60" i="1"/>
  <c r="AY20" i="1"/>
  <c r="B20" i="1"/>
  <c r="CK20" i="1"/>
  <c r="DO46" i="1"/>
  <c r="DI46" i="1"/>
  <c r="DU46" i="1"/>
  <c r="EM44" i="1"/>
  <c r="EF45" i="1"/>
  <c r="EF156" i="1"/>
  <c r="DY156" i="1" s="1"/>
  <c r="BK156" i="1" s="1"/>
  <c r="DU184" i="1"/>
  <c r="DI184" i="1"/>
  <c r="DO184" i="1"/>
  <c r="EE158" i="1"/>
  <c r="DX158" i="1" s="1"/>
  <c r="EE185" i="1"/>
  <c r="DX185" i="1" s="1"/>
  <c r="EF35" i="1"/>
  <c r="DY35" i="1" s="1"/>
  <c r="BK35" i="1" s="1"/>
  <c r="B26" i="1"/>
  <c r="CK26" i="1"/>
  <c r="AY26" i="1"/>
  <c r="EF29" i="1"/>
  <c r="DY29" i="1" s="1"/>
  <c r="BK29" i="1" s="1"/>
  <c r="EF161" i="1"/>
  <c r="DY161" i="1" s="1"/>
  <c r="DT157" i="1"/>
  <c r="CQ157" i="1"/>
  <c r="DN157" i="1"/>
  <c r="BH157" i="1"/>
  <c r="DH157" i="1"/>
  <c r="DO141" i="1"/>
  <c r="DU141" i="1"/>
  <c r="DI141" i="1"/>
  <c r="EE71" i="1"/>
  <c r="DX71" i="1" s="1"/>
  <c r="DT58" i="1"/>
  <c r="BH58" i="1"/>
  <c r="DH58" i="1"/>
  <c r="DN58" i="1"/>
  <c r="CQ58" i="1"/>
  <c r="CK9" i="1"/>
  <c r="AY9" i="1"/>
  <c r="B9" i="1"/>
  <c r="EF130" i="1"/>
  <c r="DY130" i="1" s="1"/>
  <c r="BK130" i="1" s="1"/>
  <c r="DT28" i="1"/>
  <c r="CQ28" i="1"/>
  <c r="BH28" i="1"/>
  <c r="EE15" i="1"/>
  <c r="DX15" i="1" s="1"/>
  <c r="CQ23" i="1"/>
  <c r="DT23" i="1"/>
  <c r="BH23" i="1"/>
  <c r="CK72" i="1"/>
  <c r="B72" i="1"/>
  <c r="AY72" i="1"/>
  <c r="AT44" i="1"/>
  <c r="EE70" i="1"/>
  <c r="DX70" i="1" s="1"/>
  <c r="EE149" i="1"/>
  <c r="DX149" i="1" s="1"/>
  <c r="EE29" i="1"/>
  <c r="DX29" i="1" s="1"/>
  <c r="DT186" i="1"/>
  <c r="BH186" i="1"/>
  <c r="DH186" i="1"/>
  <c r="CQ186" i="1"/>
  <c r="DN186" i="1"/>
  <c r="DV186" i="1" s="1"/>
  <c r="BH57" i="1"/>
  <c r="BI57" i="1" s="1"/>
  <c r="DT57" i="1"/>
  <c r="DN57" i="1"/>
  <c r="CQ57" i="1"/>
  <c r="DH57" i="1"/>
  <c r="B14" i="1"/>
  <c r="AY14" i="1"/>
  <c r="CK14" i="1"/>
  <c r="CK149" i="1"/>
  <c r="EM136" i="1"/>
  <c r="EF145" i="1"/>
  <c r="DY145" i="1" s="1"/>
  <c r="BK145" i="1" s="1"/>
  <c r="DU153" i="1"/>
  <c r="DI153" i="1"/>
  <c r="DO153" i="1"/>
  <c r="DB3" i="1"/>
  <c r="DO7" i="1"/>
  <c r="DK7" i="1"/>
  <c r="DI7" i="1"/>
  <c r="DO25" i="1"/>
  <c r="DK25" i="1"/>
  <c r="DI25" i="1"/>
  <c r="DJ15" i="1"/>
  <c r="DN15" i="1"/>
  <c r="DH15" i="1"/>
  <c r="DH24" i="1"/>
  <c r="DJ24" i="1"/>
  <c r="DN24" i="1"/>
  <c r="DN11" i="1"/>
  <c r="DH11" i="1"/>
  <c r="DJ11" i="1"/>
  <c r="DI30" i="1"/>
  <c r="DK30" i="1"/>
  <c r="DO30" i="1"/>
  <c r="DO13" i="1"/>
  <c r="DI13" i="1"/>
  <c r="DK13" i="1"/>
  <c r="DI26" i="1"/>
  <c r="DP26" i="1" s="1"/>
  <c r="DO26" i="1"/>
  <c r="DK26" i="1"/>
  <c r="DN30" i="1"/>
  <c r="DH30" i="1"/>
  <c r="DJ30" i="1"/>
  <c r="DH38" i="1"/>
  <c r="DJ38" i="1"/>
  <c r="DN38" i="1"/>
  <c r="DI33" i="1"/>
  <c r="DK33" i="1"/>
  <c r="DO33" i="1"/>
  <c r="DJ25" i="1"/>
  <c r="DN25" i="1"/>
  <c r="DH25" i="1"/>
  <c r="DK23" i="1"/>
  <c r="DI23" i="1"/>
  <c r="DL23" i="1" s="1"/>
  <c r="DO23" i="1"/>
  <c r="DK19" i="1"/>
  <c r="DI19" i="1"/>
  <c r="DO19" i="1"/>
  <c r="DO14" i="1"/>
  <c r="DI14" i="1"/>
  <c r="DK14" i="1"/>
  <c r="DH10" i="1"/>
  <c r="DJ10" i="1"/>
  <c r="DN10" i="1"/>
  <c r="EF15" i="1"/>
  <c r="DY15" i="1" s="1"/>
  <c r="BK15" i="1" s="1"/>
  <c r="DT36" i="1"/>
  <c r="BH36" i="1"/>
  <c r="CQ36" i="1"/>
  <c r="DD3" i="1"/>
  <c r="DU26" i="1"/>
  <c r="BH8" i="1"/>
  <c r="CQ8" i="1"/>
  <c r="DT8" i="1"/>
  <c r="BH188" i="1"/>
  <c r="DN188" i="1"/>
  <c r="DV188" i="1" s="1"/>
  <c r="DH188" i="1"/>
  <c r="DT188" i="1"/>
  <c r="CQ188" i="1"/>
  <c r="DU23" i="1"/>
  <c r="EE20" i="1"/>
  <c r="DX20" i="1" s="1"/>
  <c r="DI144" i="1"/>
  <c r="DU144" i="1"/>
  <c r="DO144" i="1"/>
  <c r="EF175" i="1"/>
  <c r="DY175" i="1" s="1"/>
  <c r="BK175" i="1" s="1"/>
  <c r="CK77" i="1"/>
  <c r="B77" i="1"/>
  <c r="AY77" i="1"/>
  <c r="EL3" i="1"/>
  <c r="EE4" i="1"/>
  <c r="DX4" i="1" s="1"/>
  <c r="BB44" i="1"/>
  <c r="DO45" i="1"/>
  <c r="DU45" i="1"/>
  <c r="DI45" i="1"/>
  <c r="DN158" i="1"/>
  <c r="CQ158" i="1"/>
  <c r="DT158" i="1"/>
  <c r="DH158" i="1"/>
  <c r="BH158" i="1"/>
  <c r="DU37" i="1"/>
  <c r="AY57" i="1"/>
  <c r="B57" i="1"/>
  <c r="CK57" i="1"/>
  <c r="DU32" i="1"/>
  <c r="EE186" i="1"/>
  <c r="DX186" i="1" s="1"/>
  <c r="CK141" i="1"/>
  <c r="DH151" i="1"/>
  <c r="BH151" i="1"/>
  <c r="CQ151" i="1"/>
  <c r="DN151" i="1"/>
  <c r="DT151" i="1"/>
  <c r="BH37" i="1"/>
  <c r="DT37" i="1"/>
  <c r="CQ37" i="1"/>
  <c r="EE6" i="1"/>
  <c r="DX6" i="1" s="1"/>
  <c r="DH184" i="1"/>
  <c r="BX184" i="1"/>
  <c r="DT184" i="1"/>
  <c r="DN184" i="1"/>
  <c r="DV184" i="1" s="1"/>
  <c r="BH184" i="1"/>
  <c r="CQ184" i="1"/>
  <c r="EF17" i="1"/>
  <c r="DY17" i="1" s="1"/>
  <c r="BK17" i="1" s="1"/>
  <c r="EE94" i="1"/>
  <c r="DX94" i="1" s="1"/>
  <c r="B46" i="1"/>
  <c r="CK46" i="1"/>
  <c r="AY46" i="1"/>
  <c r="CK157" i="1"/>
  <c r="EF166" i="1"/>
  <c r="DY166" i="1" s="1"/>
  <c r="CQ11" i="1"/>
  <c r="DT11" i="1"/>
  <c r="BH11" i="1"/>
  <c r="BH15" i="1"/>
  <c r="CQ15" i="1"/>
  <c r="DT15" i="1"/>
  <c r="DU27" i="1"/>
  <c r="DI167" i="1"/>
  <c r="DP167" i="1" s="1"/>
  <c r="DO167" i="1"/>
  <c r="CQ167" i="1"/>
  <c r="DU167" i="1"/>
  <c r="EE189" i="1"/>
  <c r="DX189" i="1" s="1"/>
  <c r="EE98" i="1"/>
  <c r="DX98" i="1" s="1"/>
  <c r="EF105" i="1"/>
  <c r="DY105" i="1" s="1"/>
  <c r="BK105" i="1" s="1"/>
  <c r="EE89" i="1"/>
  <c r="DX89" i="1" s="1"/>
  <c r="DO171" i="1"/>
  <c r="DI171" i="1"/>
  <c r="DU171" i="1"/>
  <c r="EF104" i="1"/>
  <c r="DY104" i="1" s="1"/>
  <c r="BK104" i="1" s="1"/>
  <c r="EE45" i="1"/>
  <c r="DX45" i="1" s="1"/>
  <c r="EL44" i="1"/>
  <c r="EE107" i="1"/>
  <c r="DX107" i="1" s="1"/>
  <c r="DT180" i="1"/>
  <c r="BX180" i="1"/>
  <c r="BH180" i="1"/>
  <c r="CQ180" i="1"/>
  <c r="DN180" i="1"/>
  <c r="DV180" i="1" s="1"/>
  <c r="DH180" i="1"/>
  <c r="DU21" i="1"/>
  <c r="DT14" i="1"/>
  <c r="CQ14" i="1"/>
  <c r="BH14" i="1"/>
  <c r="CK137" i="1"/>
  <c r="B23" i="1"/>
  <c r="AY23" i="1"/>
  <c r="CK23" i="1"/>
  <c r="CK147" i="1"/>
  <c r="DU150" i="1"/>
  <c r="DI150" i="1"/>
  <c r="DO150" i="1"/>
  <c r="EE8" i="1"/>
  <c r="DX8" i="1" s="1"/>
  <c r="EF189" i="1"/>
  <c r="DY189" i="1" s="1"/>
  <c r="BK189" i="1" s="1"/>
  <c r="EE22" i="1"/>
  <c r="DX22" i="1" s="1"/>
  <c r="CK38" i="1"/>
  <c r="AY38" i="1"/>
  <c r="B38" i="1"/>
  <c r="EF152" i="1"/>
  <c r="DY152" i="1" s="1"/>
  <c r="BK152" i="1" s="1"/>
  <c r="DT178" i="1"/>
  <c r="DH178" i="1"/>
  <c r="DN178" i="1"/>
  <c r="DV178" i="1" s="1"/>
  <c r="BH178" i="1"/>
  <c r="CQ178" i="1"/>
  <c r="BX178" i="1"/>
  <c r="DO142" i="1"/>
  <c r="DU142" i="1"/>
  <c r="DI142" i="1"/>
  <c r="DI152" i="1"/>
  <c r="DU152" i="1"/>
  <c r="DO152" i="1"/>
  <c r="DI170" i="1"/>
  <c r="DO170" i="1"/>
  <c r="DU170" i="1"/>
  <c r="DU13" i="1"/>
  <c r="EF160" i="1"/>
  <c r="DY160" i="1" s="1"/>
  <c r="DT148" i="1"/>
  <c r="BH148" i="1"/>
  <c r="DH148" i="1"/>
  <c r="DN148" i="1"/>
  <c r="CQ148" i="1"/>
  <c r="BH75" i="1"/>
  <c r="DT75" i="1"/>
  <c r="CQ75" i="1"/>
  <c r="DN75" i="1"/>
  <c r="DH75" i="1"/>
  <c r="EF159" i="1"/>
  <c r="DY159" i="1" s="1"/>
  <c r="CK166" i="1"/>
  <c r="DH153" i="1"/>
  <c r="CQ153" i="1"/>
  <c r="DT153" i="1"/>
  <c r="BH153" i="1"/>
  <c r="DN153" i="1"/>
  <c r="EE188" i="1"/>
  <c r="DX188" i="1" s="1"/>
  <c r="EE35" i="1"/>
  <c r="DX35" i="1" s="1"/>
  <c r="CD3" i="1"/>
  <c r="DU35" i="1"/>
  <c r="EF146" i="1"/>
  <c r="DY146" i="1" s="1"/>
  <c r="BK146" i="1" s="1"/>
  <c r="DT35" i="1"/>
  <c r="CQ35" i="1"/>
  <c r="BH35" i="1"/>
  <c r="DU20" i="1"/>
  <c r="DU33" i="1"/>
  <c r="EF110" i="1"/>
  <c r="DY110" i="1" s="1"/>
  <c r="BK110" i="1" s="1"/>
  <c r="DU151" i="1"/>
  <c r="DI151" i="1"/>
  <c r="DO151" i="1"/>
  <c r="DK11" i="1"/>
  <c r="DI11" i="1"/>
  <c r="DO11" i="1"/>
  <c r="DI22" i="1"/>
  <c r="DO22" i="1"/>
  <c r="DK22" i="1"/>
  <c r="DI17" i="1"/>
  <c r="DK17" i="1"/>
  <c r="DO17" i="1"/>
  <c r="DJ9" i="1"/>
  <c r="DH9" i="1"/>
  <c r="DN9" i="1"/>
  <c r="DA3" i="1"/>
  <c r="DH4" i="1"/>
  <c r="DJ4" i="1"/>
  <c r="DM4" i="1" s="1"/>
  <c r="DN4" i="1"/>
  <c r="DH34" i="1"/>
  <c r="DJ34" i="1"/>
  <c r="DN34" i="1"/>
  <c r="EE60" i="1"/>
  <c r="DX60" i="1" s="1"/>
  <c r="DT154" i="1"/>
  <c r="CQ154" i="1"/>
  <c r="BH154" i="1"/>
  <c r="DH154" i="1"/>
  <c r="DN154" i="1"/>
  <c r="EE176" i="1"/>
  <c r="DX176" i="1" s="1"/>
  <c r="CK73" i="1"/>
  <c r="AY73" i="1"/>
  <c r="B73" i="1"/>
  <c r="DU179" i="1"/>
  <c r="DI179" i="1"/>
  <c r="DO179" i="1"/>
  <c r="EF47" i="1"/>
  <c r="DY47" i="1" s="1"/>
  <c r="BK47" i="1" s="1"/>
  <c r="EE148" i="1"/>
  <c r="DX148" i="1" s="1"/>
  <c r="CQ31" i="1"/>
  <c r="BH31" i="1"/>
  <c r="DT31" i="1"/>
  <c r="EF31" i="1"/>
  <c r="DY31" i="1" s="1"/>
  <c r="BK31" i="1" s="1"/>
  <c r="DH155" i="1"/>
  <c r="BH155" i="1"/>
  <c r="DT155" i="1"/>
  <c r="DN155" i="1"/>
  <c r="CQ155" i="1"/>
  <c r="EF158" i="1"/>
  <c r="DY158" i="1" s="1"/>
  <c r="BK158" i="1" s="1"/>
  <c r="EF123" i="1"/>
  <c r="DY123" i="1" s="1"/>
  <c r="BK123" i="1" s="1"/>
  <c r="DT13" i="1"/>
  <c r="CQ13" i="1"/>
  <c r="BH13" i="1"/>
  <c r="EE88" i="1"/>
  <c r="DX88" i="1" s="1"/>
  <c r="DF3" i="1"/>
  <c r="EE61" i="1"/>
  <c r="DX61" i="1" s="1"/>
  <c r="CK180" i="1"/>
  <c r="EF36" i="1"/>
  <c r="DY36" i="1" s="1"/>
  <c r="BK36" i="1" s="1"/>
  <c r="CK140" i="1"/>
  <c r="EE156" i="1"/>
  <c r="DX156" i="1" s="1"/>
  <c r="CK78" i="1"/>
  <c r="AY78" i="1"/>
  <c r="B78" i="1"/>
  <c r="EF34" i="1"/>
  <c r="DY34" i="1" s="1"/>
  <c r="BK34" i="1" s="1"/>
  <c r="EF23" i="1"/>
  <c r="DY23" i="1" s="1"/>
  <c r="BK23" i="1" s="1"/>
  <c r="DU34" i="1"/>
  <c r="B27" i="1"/>
  <c r="CK27" i="1"/>
  <c r="AY27" i="1"/>
  <c r="EF11" i="1"/>
  <c r="DY11" i="1" s="1"/>
  <c r="BK11" i="1" s="1"/>
  <c r="EF14" i="1"/>
  <c r="DY14" i="1" s="1"/>
  <c r="BK14" i="1" s="1"/>
  <c r="CQ9" i="1"/>
  <c r="DT9" i="1"/>
  <c r="BH9" i="1"/>
  <c r="DT6" i="1"/>
  <c r="BH6" i="1"/>
  <c r="CQ6" i="1"/>
  <c r="B70" i="1"/>
  <c r="AY70" i="1"/>
  <c r="CK70" i="1"/>
  <c r="CP70" i="1" s="1"/>
  <c r="CK156" i="1"/>
  <c r="CD136" i="1"/>
  <c r="CK154" i="1"/>
  <c r="DU38" i="1"/>
  <c r="DU10" i="1"/>
  <c r="DW10" i="1" s="1"/>
  <c r="EE74" i="1"/>
  <c r="DX74" i="1" s="1"/>
  <c r="DU11" i="1"/>
  <c r="EE92" i="1"/>
  <c r="DX92" i="1" s="1"/>
  <c r="BX144" i="1"/>
  <c r="CQ144" i="1"/>
  <c r="DN144" i="1"/>
  <c r="BH144" i="1"/>
  <c r="DH144" i="1"/>
  <c r="DT144" i="1"/>
  <c r="EE100" i="1"/>
  <c r="DX100" i="1" s="1"/>
  <c r="CK177" i="1"/>
  <c r="EF10" i="1"/>
  <c r="DY10" i="1" s="1"/>
  <c r="BK10" i="1" s="1"/>
  <c r="EF187" i="1"/>
  <c r="DY187" i="1" s="1"/>
  <c r="BK187" i="1" s="1"/>
  <c r="DN156" i="1"/>
  <c r="BH156" i="1"/>
  <c r="CQ156" i="1"/>
  <c r="DT156" i="1"/>
  <c r="DH156" i="1"/>
  <c r="DU157" i="1"/>
  <c r="DO157" i="1"/>
  <c r="DI157" i="1"/>
  <c r="EE91" i="1"/>
  <c r="DX91" i="1" s="1"/>
  <c r="EF165" i="1"/>
  <c r="DY165" i="1" s="1"/>
  <c r="EF121" i="1"/>
  <c r="DY121" i="1" s="1"/>
  <c r="BK121" i="1" s="1"/>
  <c r="EF112" i="1"/>
  <c r="DY112" i="1" s="1"/>
  <c r="BK112" i="1" s="1"/>
  <c r="DU9" i="1"/>
  <c r="EE46" i="1"/>
  <c r="DX46" i="1" s="1"/>
  <c r="EF19" i="1"/>
  <c r="DY19" i="1" s="1"/>
  <c r="BK19" i="1" s="1"/>
  <c r="EF26" i="1"/>
  <c r="DY26" i="1" s="1"/>
  <c r="BK26" i="1" s="1"/>
  <c r="EE37" i="1"/>
  <c r="DX37" i="1" s="1"/>
  <c r="DT25" i="1"/>
  <c r="BH25" i="1"/>
  <c r="CQ25" i="1"/>
  <c r="DT63" i="1"/>
  <c r="DH63" i="1"/>
  <c r="CQ63" i="1"/>
  <c r="BH63" i="1"/>
  <c r="BI64" i="1" s="1"/>
  <c r="DN63" i="1"/>
  <c r="DI173" i="1"/>
  <c r="DU173" i="1"/>
  <c r="DO173" i="1"/>
  <c r="CK160" i="1"/>
  <c r="DU17" i="1"/>
  <c r="CQ138" i="1"/>
  <c r="DT138" i="1"/>
  <c r="BH138" i="1"/>
  <c r="DH138" i="1"/>
  <c r="DN138" i="1"/>
  <c r="BX138" i="1"/>
  <c r="DE3" i="1"/>
  <c r="DH160" i="1"/>
  <c r="BH160" i="1"/>
  <c r="DT160" i="1"/>
  <c r="DN160" i="1"/>
  <c r="CQ160" i="1"/>
  <c r="DT17" i="1"/>
  <c r="BH17" i="1"/>
  <c r="CQ17" i="1"/>
  <c r="DH14" i="1"/>
  <c r="DJ14" i="1"/>
  <c r="DN14" i="1"/>
  <c r="DJ31" i="1"/>
  <c r="DH31" i="1"/>
  <c r="DN31" i="1"/>
  <c r="DN16" i="1"/>
  <c r="DH16" i="1"/>
  <c r="DJ16" i="1"/>
  <c r="DJ13" i="1"/>
  <c r="DN13" i="1"/>
  <c r="DH13" i="1"/>
  <c r="DO31" i="1"/>
  <c r="DI31" i="1"/>
  <c r="DK31" i="1"/>
  <c r="DN28" i="1"/>
  <c r="DJ28" i="1"/>
  <c r="DH28" i="1"/>
  <c r="DI24" i="1"/>
  <c r="DK24" i="1"/>
  <c r="DO24" i="1"/>
  <c r="DN35" i="1"/>
  <c r="DJ35" i="1"/>
  <c r="DH35" i="1"/>
  <c r="DI12" i="1"/>
  <c r="DO12" i="1"/>
  <c r="DK12" i="1"/>
  <c r="DK16" i="1"/>
  <c r="DO16" i="1"/>
  <c r="DI16" i="1"/>
  <c r="DI38" i="1"/>
  <c r="DK38" i="1"/>
  <c r="DO38" i="1"/>
  <c r="DW38" i="1" s="1"/>
  <c r="DO18" i="1"/>
  <c r="DI18" i="1"/>
  <c r="DK18" i="1"/>
  <c r="DK28" i="1"/>
  <c r="DI28" i="1"/>
  <c r="DO28" i="1"/>
  <c r="DJ12" i="1"/>
  <c r="DN12" i="1"/>
  <c r="DH12" i="1"/>
  <c r="DJ37" i="1"/>
  <c r="DN37" i="1"/>
  <c r="DV37" i="1" s="1"/>
  <c r="DH37" i="1"/>
  <c r="DH5" i="1"/>
  <c r="DN5" i="1"/>
  <c r="DJ5" i="1"/>
  <c r="BH4" i="1"/>
  <c r="CQ4" i="1"/>
  <c r="DT4" i="1"/>
  <c r="BA3" i="1"/>
  <c r="BH145" i="1"/>
  <c r="DN145" i="1"/>
  <c r="DT145" i="1"/>
  <c r="DH145" i="1"/>
  <c r="CQ145" i="1"/>
  <c r="CK155" i="1"/>
  <c r="B59" i="1"/>
  <c r="CK59" i="1"/>
  <c r="AY59" i="1"/>
  <c r="EE25" i="1"/>
  <c r="DX25" i="1" s="1"/>
  <c r="CQ141" i="1"/>
  <c r="DN141" i="1"/>
  <c r="DH141" i="1"/>
  <c r="BH141" i="1"/>
  <c r="BX141" i="1"/>
  <c r="DT141" i="1"/>
  <c r="EF24" i="1"/>
  <c r="DY24" i="1" s="1"/>
  <c r="BK24" i="1" s="1"/>
  <c r="DT21" i="1"/>
  <c r="CQ21" i="1"/>
  <c r="BH21" i="1"/>
  <c r="DI145" i="1"/>
  <c r="DU145" i="1"/>
  <c r="DO145" i="1"/>
  <c r="DW145" i="1" s="1"/>
  <c r="EE87" i="1"/>
  <c r="DX87" i="1" s="1"/>
  <c r="CK153" i="1"/>
  <c r="DU12" i="1"/>
  <c r="CK159" i="1"/>
  <c r="DU29" i="1"/>
  <c r="EE147" i="1"/>
  <c r="DX147" i="1" s="1"/>
  <c r="B4" i="1"/>
  <c r="CK4" i="1"/>
  <c r="AY4" i="1"/>
  <c r="AS3" i="1"/>
  <c r="CK31" i="1"/>
  <c r="B31" i="1"/>
  <c r="AY31" i="1"/>
  <c r="EE18" i="1"/>
  <c r="DX18" i="1" s="1"/>
  <c r="EF174" i="1"/>
  <c r="DY174" i="1" s="1"/>
  <c r="BK174" i="1" s="1"/>
  <c r="DT38" i="1"/>
  <c r="CQ38" i="1"/>
  <c r="BH38" i="1"/>
  <c r="EE102" i="1"/>
  <c r="DX102" i="1" s="1"/>
  <c r="EF33" i="1"/>
  <c r="DY33" i="1" s="1"/>
  <c r="BK33" i="1" s="1"/>
  <c r="DI183" i="1"/>
  <c r="DO183" i="1"/>
  <c r="DU183" i="1"/>
  <c r="DU158" i="1"/>
  <c r="DO158" i="1"/>
  <c r="DI158" i="1"/>
  <c r="DL158" i="1" s="1"/>
  <c r="EE154" i="1"/>
  <c r="DX154" i="1" s="1"/>
  <c r="CK181" i="1"/>
  <c r="EF153" i="1"/>
  <c r="DY153" i="1" s="1"/>
  <c r="BK153" i="1" s="1"/>
  <c r="DU25" i="1"/>
  <c r="B36" i="1"/>
  <c r="AY36" i="1"/>
  <c r="CK36" i="1"/>
  <c r="EF46" i="1"/>
  <c r="DY46" i="1" s="1"/>
  <c r="BK46" i="1" s="1"/>
  <c r="EF21" i="1"/>
  <c r="DY21" i="1" s="1"/>
  <c r="BK21" i="1" s="1"/>
  <c r="EF20" i="1"/>
  <c r="DY20" i="1" s="1"/>
  <c r="BK20" i="1" s="1"/>
  <c r="CK47" i="1"/>
  <c r="AY47" i="1"/>
  <c r="B47" i="1"/>
  <c r="AY48" i="1"/>
  <c r="CK48" i="1"/>
  <c r="B48" i="1"/>
  <c r="BH70" i="1"/>
  <c r="BI70" i="1" s="1"/>
  <c r="CQ70" i="1"/>
  <c r="DH70" i="1"/>
  <c r="DT70" i="1"/>
  <c r="DN70" i="1"/>
  <c r="CQ79" i="1"/>
  <c r="DN79" i="1"/>
  <c r="DH79" i="1"/>
  <c r="DT79" i="1"/>
  <c r="BH79" i="1"/>
  <c r="BH61" i="1"/>
  <c r="DN61" i="1"/>
  <c r="DH61" i="1"/>
  <c r="DT61" i="1"/>
  <c r="CQ61" i="1"/>
  <c r="CK187" i="1"/>
  <c r="EE19" i="1"/>
  <c r="DX19" i="1" s="1"/>
  <c r="BH19" i="1"/>
  <c r="CQ19" i="1"/>
  <c r="DT19" i="1"/>
  <c r="CQ162" i="1"/>
  <c r="DO162" i="1"/>
  <c r="DU162" i="1"/>
  <c r="DI162" i="1"/>
  <c r="DL162" i="1" s="1"/>
  <c r="BA44" i="1"/>
  <c r="DH45" i="1"/>
  <c r="DN45" i="1"/>
  <c r="CQ45" i="1"/>
  <c r="DT45" i="1"/>
  <c r="BH45" i="1"/>
  <c r="DI160" i="1"/>
  <c r="DO160" i="1"/>
  <c r="DU160" i="1"/>
  <c r="DU28" i="1"/>
  <c r="CE44" i="1"/>
  <c r="DO187" i="1"/>
  <c r="DU187" i="1"/>
  <c r="DI187" i="1"/>
  <c r="EE59" i="1"/>
  <c r="DX59" i="1" s="1"/>
  <c r="EF16" i="1"/>
  <c r="DY16" i="1" s="1"/>
  <c r="BK16" i="1" s="1"/>
  <c r="EF163" i="1"/>
  <c r="DY163" i="1" s="1"/>
  <c r="B79" i="1"/>
  <c r="CK79" i="1"/>
  <c r="AY79" i="1"/>
  <c r="DU14" i="1"/>
  <c r="DU140" i="1"/>
  <c r="DI140" i="1"/>
  <c r="DO140" i="1"/>
  <c r="DW140" i="1" s="1"/>
  <c r="DU15" i="1"/>
  <c r="BH77" i="1"/>
  <c r="CQ77" i="1"/>
  <c r="DT77" i="1"/>
  <c r="DN77" i="1"/>
  <c r="DH77" i="1"/>
  <c r="EE28" i="1"/>
  <c r="DX28" i="1" s="1"/>
  <c r="EF173" i="1"/>
  <c r="DY173" i="1" s="1"/>
  <c r="BK173" i="1" s="1"/>
  <c r="EE12" i="1"/>
  <c r="DX12" i="1" s="1"/>
  <c r="CK184" i="1"/>
  <c r="EL84" i="1"/>
  <c r="EE85" i="1"/>
  <c r="DX85" i="1" s="1"/>
  <c r="EF38" i="1"/>
  <c r="DY38" i="1" s="1"/>
  <c r="BK38" i="1" s="1"/>
  <c r="AY28" i="1"/>
  <c r="CK28" i="1"/>
  <c r="B28" i="1"/>
  <c r="EE23" i="1"/>
  <c r="DX23" i="1" s="1"/>
  <c r="DT7" i="1"/>
  <c r="BH7" i="1"/>
  <c r="CQ7" i="1"/>
  <c r="CV7" i="1" s="1"/>
  <c r="EF18" i="1"/>
  <c r="DY18" i="1" s="1"/>
  <c r="BK18" i="1" s="1"/>
  <c r="B74" i="1"/>
  <c r="AY74" i="1"/>
  <c r="CK74" i="1"/>
  <c r="EF28" i="1"/>
  <c r="DY28" i="1" s="1"/>
  <c r="BK28" i="1" s="1"/>
  <c r="DU30" i="1"/>
  <c r="EE95" i="1"/>
  <c r="DX95" i="1" s="1"/>
  <c r="EF124" i="1"/>
  <c r="DY124" i="1" s="1"/>
  <c r="BK124" i="1" s="1"/>
  <c r="EE14" i="1"/>
  <c r="DX14" i="1" s="1"/>
  <c r="DU181" i="1"/>
  <c r="DI181" i="1"/>
  <c r="DO181" i="1"/>
  <c r="AY22" i="1"/>
  <c r="CK22" i="1"/>
  <c r="B22" i="1"/>
  <c r="DO143" i="1"/>
  <c r="DI143" i="1"/>
  <c r="DU143" i="1"/>
  <c r="EE33" i="1"/>
  <c r="DX33" i="1" s="1"/>
  <c r="EE155" i="1"/>
  <c r="DX155" i="1" s="1"/>
  <c r="EF27" i="1"/>
  <c r="DY27" i="1" s="1"/>
  <c r="BK27" i="1" s="1"/>
  <c r="DI156" i="1"/>
  <c r="DU156" i="1"/>
  <c r="DO156" i="1"/>
  <c r="DT147" i="1"/>
  <c r="DN147" i="1"/>
  <c r="CQ147" i="1"/>
  <c r="BH147" i="1"/>
  <c r="DH147" i="1"/>
  <c r="BX142" i="1"/>
  <c r="DN142" i="1"/>
  <c r="BH142" i="1"/>
  <c r="DH142" i="1"/>
  <c r="DT142" i="1"/>
  <c r="CQ142" i="1"/>
  <c r="AS84" i="1"/>
  <c r="CK85" i="1"/>
  <c r="CK84" i="1" s="1"/>
  <c r="AY85" i="1"/>
  <c r="AY84" i="1" s="1"/>
  <c r="B85" i="1"/>
  <c r="E85" i="1" s="1"/>
  <c r="AY6" i="1"/>
  <c r="CK6" i="1"/>
  <c r="B6" i="1"/>
  <c r="EE86" i="1"/>
  <c r="DX86" i="1" s="1"/>
  <c r="BH48" i="1"/>
  <c r="BI49" i="1" s="1"/>
  <c r="DH48" i="1"/>
  <c r="CQ48" i="1"/>
  <c r="DT48" i="1"/>
  <c r="DN48" i="1"/>
  <c r="DU18" i="1"/>
  <c r="DI138" i="1"/>
  <c r="DU138" i="1"/>
  <c r="DO138" i="1"/>
  <c r="DW138" i="1" s="1"/>
  <c r="EF151" i="1"/>
  <c r="DY151" i="1" s="1"/>
  <c r="BK151" i="1" s="1"/>
  <c r="EF32" i="1"/>
  <c r="DY32" i="1" s="1"/>
  <c r="BK32" i="1" s="1"/>
  <c r="BH26" i="1"/>
  <c r="CQ26" i="1"/>
  <c r="DT26" i="1"/>
  <c r="EE146" i="1"/>
  <c r="DX146" i="1" s="1"/>
  <c r="DU174" i="1"/>
  <c r="DO174" i="1"/>
  <c r="DI174" i="1"/>
  <c r="EE57" i="1"/>
  <c r="DX57" i="1" s="1"/>
  <c r="DT181" i="1"/>
  <c r="CQ181" i="1"/>
  <c r="BX181" i="1"/>
  <c r="BH181" i="1"/>
  <c r="DH181" i="1"/>
  <c r="DN181" i="1"/>
  <c r="DV181" i="1" s="1"/>
  <c r="EF122" i="1"/>
  <c r="DY122" i="1" s="1"/>
  <c r="BK122" i="1" s="1"/>
  <c r="EF101" i="1"/>
  <c r="DY101" i="1" s="1"/>
  <c r="BK101" i="1" s="1"/>
  <c r="EE13" i="1"/>
  <c r="DX13" i="1" s="1"/>
  <c r="CK11" i="1"/>
  <c r="AY11" i="1"/>
  <c r="B11" i="1"/>
  <c r="EE32" i="1"/>
  <c r="DX32" i="1" s="1"/>
  <c r="EF169" i="1"/>
  <c r="DY169" i="1" s="1"/>
  <c r="BK169" i="1" s="1"/>
  <c r="DU31" i="1"/>
  <c r="EE150" i="1"/>
  <c r="DX150" i="1" s="1"/>
  <c r="CK17" i="1"/>
  <c r="AY17" i="1"/>
  <c r="B17" i="1"/>
  <c r="EE96" i="1"/>
  <c r="DX96" i="1" s="1"/>
  <c r="BH10" i="1"/>
  <c r="DT10" i="1"/>
  <c r="CQ10" i="1"/>
  <c r="AY76" i="1"/>
  <c r="CK76" i="1"/>
  <c r="B76" i="1"/>
  <c r="CK37" i="1"/>
  <c r="AY37" i="1"/>
  <c r="B37" i="1"/>
  <c r="EE63" i="1"/>
  <c r="DX63" i="1" s="1"/>
  <c r="B15" i="1"/>
  <c r="CK15" i="1"/>
  <c r="AY15" i="1"/>
  <c r="AY8" i="1"/>
  <c r="CK8" i="1"/>
  <c r="B8" i="1"/>
  <c r="EE9" i="1"/>
  <c r="DX9" i="1" s="1"/>
  <c r="DU7" i="1"/>
  <c r="EF30" i="1"/>
  <c r="DY30" i="1" s="1"/>
  <c r="BK30" i="1" s="1"/>
  <c r="EF162" i="1"/>
  <c r="DY162" i="1" s="1"/>
  <c r="CK189" i="1"/>
  <c r="EE105" i="1"/>
  <c r="DX105" i="1" s="1"/>
  <c r="DO177" i="1"/>
  <c r="DI177" i="1"/>
  <c r="DU177" i="1"/>
  <c r="CK176" i="1"/>
  <c r="EF114" i="1"/>
  <c r="DY114" i="1" s="1"/>
  <c r="BK114" i="1" s="1"/>
  <c r="EE187" i="1"/>
  <c r="DX187" i="1" s="1"/>
  <c r="EE62" i="1"/>
  <c r="DX62" i="1" s="1"/>
  <c r="EE72" i="1"/>
  <c r="DX72" i="1" s="1"/>
  <c r="CK186" i="1"/>
  <c r="B13" i="1"/>
  <c r="CK13" i="1"/>
  <c r="AY13" i="1"/>
  <c r="CK7" i="1"/>
  <c r="CP7" i="1" s="1"/>
  <c r="B7" i="1"/>
  <c r="AY7" i="1"/>
  <c r="DI74" i="1"/>
  <c r="DU74" i="1"/>
  <c r="DO74" i="1"/>
  <c r="CK170" i="1"/>
  <c r="CK173" i="1"/>
  <c r="CP173" i="1" s="1"/>
  <c r="BH173" i="1"/>
  <c r="CQ173" i="1"/>
  <c r="DT173" i="1"/>
  <c r="DN173" i="1"/>
  <c r="DH173" i="1"/>
  <c r="DO77" i="1"/>
  <c r="DI77" i="1"/>
  <c r="DU77" i="1"/>
  <c r="EF57" i="1"/>
  <c r="DY57" i="1" s="1"/>
  <c r="BK57" i="1" s="1"/>
  <c r="EF62" i="1"/>
  <c r="DY62" i="1" s="1"/>
  <c r="BK62" i="1" s="1"/>
  <c r="EE113" i="1"/>
  <c r="DX113" i="1" s="1"/>
  <c r="EF71" i="1"/>
  <c r="DY71" i="1" s="1"/>
  <c r="BK71" i="1" s="1"/>
  <c r="DU155" i="1"/>
  <c r="DO155" i="1"/>
  <c r="DI155" i="1"/>
  <c r="CK174" i="1"/>
  <c r="BH183" i="1"/>
  <c r="DN183" i="1"/>
  <c r="DH183" i="1"/>
  <c r="DT183" i="1"/>
  <c r="BX183" i="1"/>
  <c r="CQ183" i="1"/>
  <c r="EF88" i="1"/>
  <c r="DY88" i="1" s="1"/>
  <c r="BK88" i="1" s="1"/>
  <c r="EE130" i="1"/>
  <c r="DX130" i="1" s="1"/>
  <c r="EF86" i="1"/>
  <c r="DY86" i="1" s="1"/>
  <c r="BK86" i="1" s="1"/>
  <c r="DO154" i="1"/>
  <c r="DI154" i="1"/>
  <c r="DU154" i="1"/>
  <c r="EF60" i="1"/>
  <c r="DY60" i="1" s="1"/>
  <c r="BK60" i="1" s="1"/>
  <c r="EF59" i="1"/>
  <c r="DY59" i="1" s="1"/>
  <c r="BK59" i="1" s="1"/>
  <c r="EE121" i="1"/>
  <c r="DX121" i="1" s="1"/>
  <c r="CQ172" i="1"/>
  <c r="DN172" i="1"/>
  <c r="DV172" i="1" s="1"/>
  <c r="DH172" i="1"/>
  <c r="DT172" i="1"/>
  <c r="BH172" i="1"/>
  <c r="EF89" i="1"/>
  <c r="DY89" i="1" s="1"/>
  <c r="BK89" i="1" s="1"/>
  <c r="AT84" i="1"/>
  <c r="CK169" i="1"/>
  <c r="CK182" i="1"/>
  <c r="CQ175" i="1"/>
  <c r="BH175" i="1"/>
  <c r="DN175" i="1"/>
  <c r="DT175" i="1"/>
  <c r="DH175" i="1"/>
  <c r="EF91" i="1"/>
  <c r="DY91" i="1" s="1"/>
  <c r="BK91" i="1" s="1"/>
  <c r="DU188" i="1"/>
  <c r="DO188" i="1"/>
  <c r="DI188" i="1"/>
  <c r="CK145" i="1"/>
  <c r="EE58" i="1"/>
  <c r="DX58" i="1" s="1"/>
  <c r="CK179" i="1"/>
  <c r="EF25" i="1"/>
  <c r="DY25" i="1" s="1"/>
  <c r="BK25" i="1" s="1"/>
  <c r="DI189" i="1"/>
  <c r="DO189" i="1"/>
  <c r="DU189" i="1"/>
  <c r="EE79" i="1"/>
  <c r="DX79" i="1" s="1"/>
  <c r="DN46" i="1"/>
  <c r="DT46" i="1"/>
  <c r="BH46" i="1"/>
  <c r="CQ46" i="1"/>
  <c r="DH46" i="1"/>
  <c r="EF147" i="1"/>
  <c r="DY147" i="1" s="1"/>
  <c r="BK147" i="1" s="1"/>
  <c r="DI185" i="1"/>
  <c r="DU185" i="1"/>
  <c r="DO185" i="1"/>
  <c r="DH71" i="1"/>
  <c r="BH71" i="1"/>
  <c r="CQ71" i="1"/>
  <c r="DT71" i="1"/>
  <c r="DN71" i="1"/>
  <c r="EF94" i="1"/>
  <c r="DY94" i="1" s="1"/>
  <c r="BK94" i="1" s="1"/>
  <c r="EE16" i="1"/>
  <c r="DX16" i="1" s="1"/>
  <c r="EE99" i="1"/>
  <c r="DX99" i="1" s="1"/>
  <c r="EF7" i="1"/>
  <c r="DY7" i="1" s="1"/>
  <c r="BK7" i="1" s="1"/>
  <c r="CE3" i="1"/>
  <c r="EE90" i="1"/>
  <c r="DX90" i="1" s="1"/>
  <c r="CK144" i="1"/>
  <c r="DU8" i="1"/>
  <c r="DT27" i="1"/>
  <c r="CQ27" i="1"/>
  <c r="BH27" i="1"/>
  <c r="EF167" i="1"/>
  <c r="DY167" i="1" s="1"/>
  <c r="CK188" i="1"/>
  <c r="EF118" i="1"/>
  <c r="DY118" i="1" s="1"/>
  <c r="BK118" i="1" s="1"/>
  <c r="CQ24" i="1"/>
  <c r="DT24" i="1"/>
  <c r="BH24" i="1"/>
  <c r="CK19" i="1"/>
  <c r="AY19" i="1"/>
  <c r="B19" i="1"/>
  <c r="CK167" i="1"/>
  <c r="CP167" i="1" s="1"/>
  <c r="DT159" i="1"/>
  <c r="CQ159" i="1"/>
  <c r="DN159" i="1"/>
  <c r="DH159" i="1"/>
  <c r="BH159" i="1"/>
  <c r="EE157" i="1"/>
  <c r="DX157" i="1" s="1"/>
  <c r="EM3" i="1"/>
  <c r="EF4" i="1"/>
  <c r="DY4" i="1" s="1"/>
  <c r="BK4" i="1" s="1"/>
  <c r="EE10" i="1"/>
  <c r="DX10" i="1" s="1"/>
  <c r="EF103" i="1"/>
  <c r="DY103" i="1" s="1"/>
  <c r="BK103" i="1" s="1"/>
  <c r="CK150" i="1"/>
  <c r="EF8" i="1"/>
  <c r="DY8" i="1" s="1"/>
  <c r="BK8" i="1" s="1"/>
  <c r="EF127" i="1"/>
  <c r="DY127" i="1" s="1"/>
  <c r="BK127" i="1" s="1"/>
  <c r="DI180" i="1"/>
  <c r="DU180" i="1"/>
  <c r="DO180" i="1"/>
  <c r="EF98" i="1"/>
  <c r="DY98" i="1" s="1"/>
  <c r="BK98" i="1" s="1"/>
  <c r="EF172" i="1"/>
  <c r="DY172" i="1" s="1"/>
  <c r="BK172" i="1" s="1"/>
  <c r="DN146" i="1"/>
  <c r="BH146" i="1"/>
  <c r="DT146" i="1"/>
  <c r="CQ146" i="1"/>
  <c r="DH146" i="1"/>
  <c r="AY33" i="1"/>
  <c r="CK33" i="1"/>
  <c r="B33" i="1"/>
  <c r="EE47" i="1"/>
  <c r="DX47" i="1" s="1"/>
  <c r="DU36" i="1"/>
  <c r="EE36" i="1"/>
  <c r="DX36" i="1" s="1"/>
  <c r="DO182" i="1"/>
  <c r="DU182" i="1"/>
  <c r="DI182" i="1"/>
  <c r="DU16" i="1"/>
  <c r="B58" i="1"/>
  <c r="CK58" i="1"/>
  <c r="AY58" i="1"/>
  <c r="CQ166" i="1"/>
  <c r="DI166" i="1"/>
  <c r="DL166" i="1" s="1"/>
  <c r="DU166" i="1"/>
  <c r="DO166" i="1"/>
  <c r="EE7" i="1"/>
  <c r="DX7" i="1" s="1"/>
  <c r="EE17" i="1"/>
  <c r="DX17" i="1" s="1"/>
  <c r="DU149" i="1"/>
  <c r="DI149" i="1"/>
  <c r="DO149" i="1"/>
  <c r="DU22" i="1"/>
  <c r="AY24" i="1"/>
  <c r="B24" i="1"/>
  <c r="CK24" i="1"/>
  <c r="EF186" i="1"/>
  <c r="DY186" i="1" s="1"/>
  <c r="BK186" i="1" s="1"/>
  <c r="DO178" i="1"/>
  <c r="DU178" i="1"/>
  <c r="DI178" i="1"/>
  <c r="EF157" i="1"/>
  <c r="DY157" i="1" s="1"/>
  <c r="BK157" i="1" s="1"/>
  <c r="EF115" i="1"/>
  <c r="DY115" i="1" s="1"/>
  <c r="BK115" i="1" s="1"/>
  <c r="DI161" i="1"/>
  <c r="DL161" i="1" s="1"/>
  <c r="DO161" i="1"/>
  <c r="DU161" i="1"/>
  <c r="CQ161" i="1"/>
  <c r="DU186" i="1"/>
  <c r="DI186" i="1"/>
  <c r="DO186" i="1"/>
  <c r="DH149" i="1"/>
  <c r="DN149" i="1"/>
  <c r="CQ149" i="1"/>
  <c r="DT149" i="1"/>
  <c r="BH149" i="1"/>
  <c r="AY62" i="1"/>
  <c r="B62" i="1"/>
  <c r="CK62" i="1"/>
  <c r="EE21" i="1"/>
  <c r="DX21" i="1" s="1"/>
  <c r="CK175" i="1"/>
  <c r="EE117" i="1"/>
  <c r="DX117" i="1" s="1"/>
  <c r="EF148" i="1"/>
  <c r="DY148" i="1" s="1"/>
  <c r="BK148" i="1" s="1"/>
  <c r="EE114" i="1"/>
  <c r="DX114" i="1" s="1"/>
  <c r="DH174" i="1"/>
  <c r="BH174" i="1"/>
  <c r="DT174" i="1"/>
  <c r="CQ174" i="1"/>
  <c r="DN174" i="1"/>
  <c r="EF61" i="1"/>
  <c r="DY61" i="1" s="1"/>
  <c r="BK61" i="1" s="1"/>
  <c r="EF90" i="1"/>
  <c r="DY90" i="1" s="1"/>
  <c r="BK90" i="1" s="1"/>
  <c r="EE171" i="1"/>
  <c r="DX171" i="1" s="1"/>
  <c r="DI57" i="1"/>
  <c r="DU57" i="1"/>
  <c r="DO57" i="1"/>
  <c r="EF75" i="1"/>
  <c r="DY75" i="1" s="1"/>
  <c r="BK75" i="1" s="1"/>
  <c r="EF188" i="1"/>
  <c r="DY188" i="1" s="1"/>
  <c r="BK188" i="1" s="1"/>
  <c r="DI58" i="1"/>
  <c r="DO58" i="1"/>
  <c r="DU58" i="1"/>
  <c r="DI73" i="1"/>
  <c r="DU73" i="1"/>
  <c r="DO73" i="1"/>
  <c r="DU72" i="1"/>
  <c r="DO72" i="1"/>
  <c r="DI72" i="1"/>
  <c r="CK172" i="1"/>
  <c r="EE126" i="1"/>
  <c r="DX126" i="1" s="1"/>
  <c r="B63" i="1"/>
  <c r="AY63" i="1"/>
  <c r="CK63" i="1"/>
  <c r="EF76" i="1"/>
  <c r="DY76" i="1" s="1"/>
  <c r="BK76" i="1" s="1"/>
  <c r="DO63" i="1"/>
  <c r="DI63" i="1"/>
  <c r="DU63" i="1"/>
  <c r="EF85" i="1"/>
  <c r="DY85" i="1" s="1"/>
  <c r="BK85" i="1" s="1"/>
  <c r="EM84" i="1"/>
  <c r="EF77" i="1"/>
  <c r="DY77" i="1" s="1"/>
  <c r="BK77" i="1" s="1"/>
  <c r="EF58" i="1"/>
  <c r="DY58" i="1" s="1"/>
  <c r="BK58" i="1" s="1"/>
  <c r="EE119" i="1"/>
  <c r="DX119" i="1" s="1"/>
  <c r="EE175" i="1"/>
  <c r="DX175" i="1" s="1"/>
  <c r="EF48" i="1"/>
  <c r="DY48" i="1" s="1"/>
  <c r="BK48" i="1" s="1"/>
  <c r="EE112" i="1"/>
  <c r="DX112" i="1" s="1"/>
  <c r="DU61" i="1"/>
  <c r="DO61" i="1"/>
  <c r="DI61" i="1"/>
  <c r="EE127" i="1"/>
  <c r="DX127" i="1" s="1"/>
  <c r="DU169" i="1"/>
  <c r="DO169" i="1"/>
  <c r="DI169" i="1"/>
  <c r="DO47" i="1"/>
  <c r="DU47" i="1"/>
  <c r="DI47" i="1"/>
  <c r="CQ5" i="1"/>
  <c r="BH5" i="1"/>
  <c r="DT5" i="1"/>
  <c r="EF120" i="1"/>
  <c r="DY120" i="1" s="1"/>
  <c r="BK120" i="1" s="1"/>
  <c r="EE75" i="1"/>
  <c r="DX75" i="1" s="1"/>
  <c r="EE78" i="1"/>
  <c r="DX78" i="1" s="1"/>
  <c r="EE48" i="1"/>
  <c r="DX48" i="1" s="1"/>
  <c r="EF99" i="1"/>
  <c r="DY99" i="1" s="1"/>
  <c r="BK99" i="1" s="1"/>
  <c r="AY10" i="1"/>
  <c r="B10" i="1"/>
  <c r="CK10" i="1"/>
  <c r="EF150" i="1"/>
  <c r="DY150" i="1" s="1"/>
  <c r="BK150" i="1" s="1"/>
  <c r="DH47" i="1"/>
  <c r="CQ47" i="1"/>
  <c r="BH47" i="1"/>
  <c r="DN47" i="1"/>
  <c r="DT47" i="1"/>
  <c r="EE145" i="1"/>
  <c r="DX145" i="1" s="1"/>
  <c r="EL136" i="1"/>
  <c r="EE77" i="1"/>
  <c r="DX77" i="1" s="1"/>
  <c r="EF111" i="1"/>
  <c r="DY111" i="1" s="1"/>
  <c r="BK111" i="1" s="1"/>
  <c r="CQ179" i="1"/>
  <c r="BX179" i="1"/>
  <c r="DH179" i="1"/>
  <c r="DL179" i="1" s="1"/>
  <c r="DT179" i="1"/>
  <c r="BH179" i="1"/>
  <c r="DN179" i="1"/>
  <c r="DV179" i="1" s="1"/>
  <c r="EF13" i="1"/>
  <c r="DY13" i="1" s="1"/>
  <c r="BK13" i="1" s="1"/>
  <c r="DT33" i="1"/>
  <c r="BH33" i="1"/>
  <c r="CQ33" i="1"/>
  <c r="CQ30" i="1"/>
  <c r="DT30" i="1"/>
  <c r="BH30" i="1"/>
  <c r="EE26" i="1"/>
  <c r="DX26" i="1" s="1"/>
  <c r="EF9" i="1"/>
  <c r="DY9" i="1" s="1"/>
  <c r="BK9" i="1" s="1"/>
  <c r="DT185" i="1"/>
  <c r="DN185" i="1"/>
  <c r="DV185" i="1" s="1"/>
  <c r="BH185" i="1"/>
  <c r="DH185" i="1"/>
  <c r="DL185" i="1" s="1"/>
  <c r="CQ185" i="1"/>
  <c r="AT3" i="1"/>
  <c r="CQ177" i="1"/>
  <c r="DN177" i="1"/>
  <c r="DV177" i="1" s="1"/>
  <c r="DT177" i="1"/>
  <c r="BH177" i="1"/>
  <c r="DH177" i="1"/>
  <c r="BX177" i="1"/>
  <c r="EE11" i="1"/>
  <c r="DX11" i="1" s="1"/>
  <c r="EF108" i="1"/>
  <c r="DY108" i="1" s="1"/>
  <c r="BK108" i="1" s="1"/>
  <c r="CQ29" i="1"/>
  <c r="DT29" i="1"/>
  <c r="BH29" i="1"/>
  <c r="EF164" i="1"/>
  <c r="DY164" i="1" s="1"/>
  <c r="EE5" i="1"/>
  <c r="DX5" i="1" s="1"/>
  <c r="BH72" i="1"/>
  <c r="CQ72" i="1"/>
  <c r="DT72" i="1"/>
  <c r="DH72" i="1"/>
  <c r="DN72" i="1"/>
  <c r="EF119" i="1"/>
  <c r="DY119" i="1" s="1"/>
  <c r="BK119" i="1" s="1"/>
  <c r="BH150" i="1"/>
  <c r="DT150" i="1"/>
  <c r="DH150" i="1"/>
  <c r="DN150" i="1"/>
  <c r="CQ150" i="1"/>
  <c r="CK142" i="1"/>
  <c r="CQ32" i="1"/>
  <c r="BH32" i="1"/>
  <c r="DT32" i="1"/>
  <c r="AY45" i="1"/>
  <c r="CK45" i="1"/>
  <c r="B45" i="1"/>
  <c r="AS44" i="1"/>
  <c r="DU24" i="1"/>
  <c r="CQ60" i="1"/>
  <c r="DH60" i="1"/>
  <c r="DN60" i="1"/>
  <c r="BH60" i="1"/>
  <c r="DT60" i="1"/>
  <c r="DU147" i="1"/>
  <c r="DI147" i="1"/>
  <c r="DO147" i="1"/>
  <c r="DT73" i="1"/>
  <c r="CQ73" i="1"/>
  <c r="DN73" i="1"/>
  <c r="BH73" i="1"/>
  <c r="DH73" i="1"/>
  <c r="DP73" i="1" s="1"/>
  <c r="EF126" i="1"/>
  <c r="DY126" i="1" s="1"/>
  <c r="BK126" i="1" s="1"/>
  <c r="DO146" i="1"/>
  <c r="DU146" i="1"/>
  <c r="DI146" i="1"/>
  <c r="AY5" i="1"/>
  <c r="B5" i="1"/>
  <c r="CK5" i="1"/>
  <c r="CK152" i="1"/>
  <c r="EE34" i="1"/>
  <c r="DX34" i="1" s="1"/>
  <c r="EF100" i="1"/>
  <c r="DY100" i="1" s="1"/>
  <c r="BK100" i="1" s="1"/>
  <c r="EE153" i="1"/>
  <c r="DX153" i="1" s="1"/>
  <c r="B29" i="1"/>
  <c r="CK29" i="1"/>
  <c r="AY29" i="1"/>
  <c r="CK75" i="1"/>
  <c r="B75" i="1"/>
  <c r="AY75" i="1"/>
  <c r="CK139" i="1"/>
  <c r="EF12" i="1"/>
  <c r="DY12" i="1" s="1"/>
  <c r="BK12" i="1" s="1"/>
  <c r="EE24" i="1"/>
  <c r="DX24" i="1" s="1"/>
  <c r="EF107" i="1"/>
  <c r="DY107" i="1" s="1"/>
  <c r="BK107" i="1" s="1"/>
  <c r="EF113" i="1"/>
  <c r="DY113" i="1" s="1"/>
  <c r="BK113" i="1" s="1"/>
  <c r="EF171" i="1"/>
  <c r="DY171" i="1" s="1"/>
  <c r="BK171" i="1" s="1"/>
  <c r="EE106" i="1"/>
  <c r="DX106" i="1" s="1"/>
  <c r="DT16" i="1"/>
  <c r="CQ16" i="1"/>
  <c r="BH16" i="1"/>
  <c r="EF129" i="1"/>
  <c r="DY129" i="1" s="1"/>
  <c r="BK129" i="1" s="1"/>
  <c r="DN189" i="1"/>
  <c r="DV189" i="1" s="1"/>
  <c r="DT189" i="1"/>
  <c r="BH189" i="1"/>
  <c r="CQ189" i="1"/>
  <c r="DH189" i="1"/>
  <c r="EE76" i="1"/>
  <c r="DX76" i="1" s="1"/>
  <c r="CK71" i="1"/>
  <c r="B71" i="1"/>
  <c r="AY71" i="1"/>
  <c r="B16" i="1"/>
  <c r="AY16" i="1"/>
  <c r="CK16" i="1"/>
  <c r="EF176" i="1"/>
  <c r="EF125" i="1"/>
  <c r="DY125" i="1" s="1"/>
  <c r="BK125" i="1" s="1"/>
  <c r="DO6" i="1"/>
  <c r="DI6" i="1"/>
  <c r="DU6" i="1"/>
  <c r="AY34" i="1"/>
  <c r="B34" i="1"/>
  <c r="CK34" i="1"/>
  <c r="EE110" i="1"/>
  <c r="DX110" i="1" s="1"/>
  <c r="DU79" i="1"/>
  <c r="DO79" i="1"/>
  <c r="DI79" i="1"/>
  <c r="CQ170" i="1"/>
  <c r="DN170" i="1"/>
  <c r="DV170" i="1" s="1"/>
  <c r="DH170" i="1"/>
  <c r="BH170" i="1"/>
  <c r="DT170" i="1"/>
  <c r="EE124" i="1"/>
  <c r="DX124" i="1" s="1"/>
  <c r="EE111" i="1"/>
  <c r="DX111" i="1" s="1"/>
  <c r="EE118" i="1"/>
  <c r="DX118" i="1" s="1"/>
  <c r="DH182" i="1"/>
  <c r="BX182" i="1"/>
  <c r="BH182" i="1"/>
  <c r="CQ182" i="1"/>
  <c r="DN182" i="1"/>
  <c r="DV182" i="1" s="1"/>
  <c r="DT182" i="1"/>
  <c r="DU76" i="1"/>
  <c r="DI76" i="1"/>
  <c r="DO76" i="1"/>
  <c r="CK183" i="1"/>
  <c r="EE128" i="1"/>
  <c r="DX128" i="1" s="1"/>
  <c r="EF63" i="1"/>
  <c r="DY63" i="1" s="1"/>
  <c r="BK63" i="1" s="1"/>
  <c r="EF72" i="1"/>
  <c r="DY72" i="1" s="1"/>
  <c r="BK72" i="1" s="1"/>
  <c r="EE122" i="1"/>
  <c r="DX122" i="1" s="1"/>
  <c r="EF92" i="1"/>
  <c r="DY92" i="1" s="1"/>
  <c r="BK92" i="1" s="1"/>
  <c r="CE136" i="1"/>
  <c r="EE169" i="1"/>
  <c r="EF70" i="1"/>
  <c r="DY70" i="1" s="1"/>
  <c r="BK70" i="1" s="1"/>
  <c r="EE173" i="1"/>
  <c r="DX173" i="1" s="1"/>
  <c r="DU148" i="1"/>
  <c r="DO148" i="1"/>
  <c r="DI148" i="1"/>
  <c r="EE108" i="1"/>
  <c r="DX108" i="1" s="1"/>
  <c r="DO75" i="1"/>
  <c r="DI75" i="1"/>
  <c r="DU75" i="1"/>
  <c r="EF73" i="1"/>
  <c r="DY73" i="1" s="1"/>
  <c r="BK73" i="1" s="1"/>
  <c r="DI59" i="1"/>
  <c r="DU59" i="1"/>
  <c r="DO59" i="1"/>
  <c r="EF78" i="1"/>
  <c r="DY78" i="1" s="1"/>
  <c r="BK78" i="1" s="1"/>
  <c r="CK143" i="1"/>
  <c r="BX143" i="1"/>
  <c r="DT143" i="1"/>
  <c r="DH143" i="1"/>
  <c r="BH143" i="1"/>
  <c r="DN143" i="1"/>
  <c r="CQ143" i="1"/>
  <c r="CQ169" i="1"/>
  <c r="DN169" i="1"/>
  <c r="DT169" i="1"/>
  <c r="DH169" i="1"/>
  <c r="BH169" i="1"/>
  <c r="BI169" i="1" s="1"/>
  <c r="EF170" i="1"/>
  <c r="DY170" i="1" s="1"/>
  <c r="BK170" i="1" s="1"/>
  <c r="DI159" i="1"/>
  <c r="DU159" i="1"/>
  <c r="DO159" i="1"/>
  <c r="BH74" i="1"/>
  <c r="CQ74" i="1"/>
  <c r="DT74" i="1"/>
  <c r="DH74" i="1"/>
  <c r="DN74" i="1"/>
  <c r="CK158" i="1"/>
  <c r="EF96" i="1"/>
  <c r="DY96" i="1" s="1"/>
  <c r="BK96" i="1" s="1"/>
  <c r="CK148" i="1"/>
  <c r="EF117" i="1"/>
  <c r="DY117" i="1" s="1"/>
  <c r="BK117" i="1" s="1"/>
  <c r="EE38" i="1"/>
  <c r="DX38" i="1" s="1"/>
  <c r="AY12" i="1"/>
  <c r="CK12" i="1"/>
  <c r="B12" i="1"/>
  <c r="DU164" i="1"/>
  <c r="DO164" i="1"/>
  <c r="DI164" i="1"/>
  <c r="DP164" i="1" s="1"/>
  <c r="CQ164" i="1"/>
  <c r="DT34" i="1"/>
  <c r="BH34" i="1"/>
  <c r="CQ34" i="1"/>
  <c r="CK35" i="1"/>
  <c r="AY35" i="1"/>
  <c r="B35" i="1"/>
  <c r="DO176" i="1"/>
  <c r="DU176" i="1"/>
  <c r="DI176" i="1"/>
  <c r="DP176" i="1" s="1"/>
  <c r="EF116" i="1"/>
  <c r="DY116" i="1" s="1"/>
  <c r="BK116" i="1" s="1"/>
  <c r="DI4" i="1"/>
  <c r="DO4" i="1"/>
  <c r="BB3" i="1"/>
  <c r="DU4" i="1"/>
  <c r="CK178" i="1"/>
  <c r="DH139" i="1"/>
  <c r="DP139" i="1" s="1"/>
  <c r="BH139" i="1"/>
  <c r="CQ139" i="1"/>
  <c r="DT139" i="1"/>
  <c r="BX139" i="1"/>
  <c r="DN139" i="1"/>
  <c r="DH62" i="1"/>
  <c r="DT62" i="1"/>
  <c r="BH62" i="1"/>
  <c r="CQ62" i="1"/>
  <c r="DN62" i="1"/>
  <c r="EE27" i="1"/>
  <c r="DX27" i="1" s="1"/>
  <c r="EF95" i="1"/>
  <c r="DY95" i="1" s="1"/>
  <c r="BK95" i="1" s="1"/>
  <c r="CK138" i="1"/>
  <c r="DU172" i="1"/>
  <c r="DI172" i="1"/>
  <c r="DO172" i="1"/>
  <c r="CK151" i="1"/>
  <c r="EF102" i="1"/>
  <c r="DY102" i="1" s="1"/>
  <c r="BK102" i="1" s="1"/>
  <c r="DI137" i="1"/>
  <c r="DL137" i="1" s="1"/>
  <c r="CQ137" i="1"/>
  <c r="BB136" i="1"/>
  <c r="BX137" i="1"/>
  <c r="DU137" i="1"/>
  <c r="DO137" i="1"/>
  <c r="DW137" i="1" s="1"/>
  <c r="EE93" i="1"/>
  <c r="DX93" i="1" s="1"/>
  <c r="CD44" i="1"/>
  <c r="DT18" i="1"/>
  <c r="BH18" i="1"/>
  <c r="CQ18" i="1"/>
  <c r="DT187" i="1"/>
  <c r="CQ187" i="1"/>
  <c r="DN187" i="1"/>
  <c r="DV187" i="1" s="1"/>
  <c r="BH187" i="1"/>
  <c r="DH187" i="1"/>
  <c r="EF106" i="1"/>
  <c r="DY106" i="1" s="1"/>
  <c r="BK106" i="1" s="1"/>
  <c r="EE152" i="1"/>
  <c r="DX152" i="1" s="1"/>
  <c r="B25" i="1"/>
  <c r="CK25" i="1"/>
  <c r="AY25" i="1"/>
  <c r="CQ78" i="1"/>
  <c r="DN78" i="1"/>
  <c r="DT78" i="1"/>
  <c r="DH78" i="1"/>
  <c r="BH78" i="1"/>
  <c r="DT76" i="1"/>
  <c r="DH76" i="1"/>
  <c r="BH76" i="1"/>
  <c r="DN76" i="1"/>
  <c r="CQ76" i="1"/>
  <c r="CK32" i="1"/>
  <c r="B32" i="1"/>
  <c r="AY32" i="1"/>
  <c r="DI165" i="1"/>
  <c r="CQ165" i="1"/>
  <c r="DU165" i="1"/>
  <c r="DO165" i="1"/>
  <c r="DC3" i="1"/>
  <c r="DI175" i="1"/>
  <c r="DO175" i="1"/>
  <c r="DU175" i="1"/>
  <c r="EE30" i="1"/>
  <c r="DX30" i="1" s="1"/>
  <c r="B18" i="1"/>
  <c r="AY18" i="1"/>
  <c r="CK18" i="1"/>
  <c r="EE64" i="1"/>
  <c r="DX64" i="1" s="1"/>
  <c r="DU48" i="1"/>
  <c r="DO48" i="1"/>
  <c r="DI48" i="1"/>
  <c r="EE170" i="1"/>
  <c r="DX170" i="1" s="1"/>
  <c r="CQ171" i="1"/>
  <c r="DN171" i="1"/>
  <c r="DH171" i="1"/>
  <c r="DT171" i="1"/>
  <c r="BH171" i="1"/>
  <c r="EF64" i="1"/>
  <c r="DY64" i="1" s="1"/>
  <c r="BK64" i="1" s="1"/>
  <c r="DI71" i="1"/>
  <c r="DU71" i="1"/>
  <c r="DO71" i="1"/>
  <c r="EF87" i="1"/>
  <c r="DY87" i="1" s="1"/>
  <c r="BK87" i="1" s="1"/>
  <c r="EE174" i="1"/>
  <c r="DX174" i="1" s="1"/>
  <c r="EF79" i="1"/>
  <c r="DY79" i="1" s="1"/>
  <c r="BK79" i="1" s="1"/>
  <c r="EE115" i="1"/>
  <c r="DX115" i="1" s="1"/>
  <c r="DO70" i="1"/>
  <c r="DI70" i="1"/>
  <c r="DU70" i="1"/>
  <c r="EE123" i="1"/>
  <c r="DX123" i="1" s="1"/>
  <c r="CK171" i="1"/>
  <c r="EF74" i="1"/>
  <c r="DY74" i="1" s="1"/>
  <c r="BK74" i="1" s="1"/>
  <c r="DU62" i="1"/>
  <c r="DO62" i="1"/>
  <c r="DI62" i="1"/>
  <c r="EF155" i="1"/>
  <c r="DY155" i="1" s="1"/>
  <c r="BK155" i="1" s="1"/>
  <c r="EE125" i="1"/>
  <c r="DX125" i="1" s="1"/>
  <c r="EE120" i="1"/>
  <c r="DX120" i="1" s="1"/>
  <c r="DU60" i="1"/>
  <c r="DO60" i="1"/>
  <c r="DI60" i="1"/>
  <c r="EF154" i="1"/>
  <c r="DY154" i="1" s="1"/>
  <c r="BK154" i="1" s="1"/>
  <c r="DO78" i="1"/>
  <c r="DI78" i="1"/>
  <c r="DU78" i="1"/>
  <c r="EE129" i="1"/>
  <c r="DX129" i="1" s="1"/>
  <c r="EE109" i="1"/>
  <c r="DX109" i="1" s="1"/>
  <c r="EE172" i="1"/>
  <c r="DX172" i="1" s="1"/>
  <c r="EE116" i="1"/>
  <c r="DX116" i="1" s="1"/>
  <c r="DR181" i="1"/>
  <c r="DQ178" i="1"/>
  <c r="DV175" i="1" l="1"/>
  <c r="BT61" i="1"/>
  <c r="E70" i="1"/>
  <c r="CP170" i="1"/>
  <c r="DW141" i="1"/>
  <c r="CP29" i="1"/>
  <c r="DW143" i="1"/>
  <c r="BS115" i="1"/>
  <c r="CB35" i="1"/>
  <c r="DW46" i="1"/>
  <c r="DQ7" i="1"/>
  <c r="DW144" i="1"/>
  <c r="BZ99" i="1"/>
  <c r="DW45" i="1"/>
  <c r="DW142" i="1"/>
  <c r="DW150" i="1"/>
  <c r="DW148" i="1"/>
  <c r="DW146" i="1"/>
  <c r="DW151" i="1"/>
  <c r="DW152" i="1"/>
  <c r="DW153" i="1"/>
  <c r="DV35" i="1"/>
  <c r="CA176" i="1"/>
  <c r="CA79" i="1"/>
  <c r="BI13" i="1"/>
  <c r="DQ181" i="1"/>
  <c r="CP38" i="1"/>
  <c r="DV154" i="1"/>
  <c r="CP159" i="1"/>
  <c r="E15" i="1"/>
  <c r="DV171" i="1"/>
  <c r="DP184" i="1"/>
  <c r="DV174" i="1"/>
  <c r="C3" i="1"/>
  <c r="DV169" i="1"/>
  <c r="CP154" i="1"/>
  <c r="DR177" i="1"/>
  <c r="DM185" i="1"/>
  <c r="BZ127" i="1"/>
  <c r="CA184" i="1"/>
  <c r="DV160" i="1"/>
  <c r="DW5" i="1"/>
  <c r="DQ75" i="1"/>
  <c r="DV63" i="1"/>
  <c r="CB123" i="1"/>
  <c r="DW177" i="1"/>
  <c r="ES177" i="1" s="1"/>
  <c r="DW178" i="1"/>
  <c r="ES178" i="1" s="1"/>
  <c r="DW149" i="1"/>
  <c r="DV38" i="1"/>
  <c r="ED38" i="1" s="1"/>
  <c r="DW158" i="1"/>
  <c r="DV173" i="1"/>
  <c r="DQ169" i="1"/>
  <c r="DV79" i="1"/>
  <c r="DW174" i="1"/>
  <c r="DV72" i="1"/>
  <c r="DW181" i="1"/>
  <c r="EK181" i="1" s="1"/>
  <c r="ET181" i="1" s="1"/>
  <c r="DW154" i="1"/>
  <c r="DV142" i="1"/>
  <c r="DV148" i="1"/>
  <c r="DV28" i="1"/>
  <c r="DM169" i="1"/>
  <c r="DW147" i="1"/>
  <c r="DV159" i="1"/>
  <c r="DW139" i="1"/>
  <c r="DV71" i="1"/>
  <c r="DW12" i="1"/>
  <c r="DV144" i="1"/>
  <c r="DV158" i="1"/>
  <c r="DV138" i="1"/>
  <c r="ED138" i="1" s="1"/>
  <c r="DV141" i="1"/>
  <c r="DV140" i="1"/>
  <c r="ED140" i="1" s="1"/>
  <c r="DW8" i="1"/>
  <c r="DW176" i="1"/>
  <c r="ES176" i="1" s="1"/>
  <c r="DW186" i="1"/>
  <c r="ES186" i="1" s="1"/>
  <c r="DW14" i="1"/>
  <c r="DW160" i="1"/>
  <c r="DW162" i="1"/>
  <c r="ED162" i="1" s="1"/>
  <c r="DW161" i="1"/>
  <c r="ES161" i="1" s="1"/>
  <c r="DV12" i="1"/>
  <c r="DW188" i="1"/>
  <c r="ED188" i="1" s="1"/>
  <c r="DW180" i="1"/>
  <c r="ED180" i="1" s="1"/>
  <c r="DW189" i="1"/>
  <c r="EK189" i="1" s="1"/>
  <c r="DW164" i="1"/>
  <c r="ES164" i="1" s="1"/>
  <c r="DW171" i="1"/>
  <c r="DW47" i="1"/>
  <c r="DW175" i="1"/>
  <c r="DV153" i="1"/>
  <c r="DW185" i="1"/>
  <c r="EK185" i="1" s="1"/>
  <c r="DW187" i="1"/>
  <c r="EK187" i="1" s="1"/>
  <c r="DW184" i="1"/>
  <c r="EK184" i="1" s="1"/>
  <c r="ET184" i="1" s="1"/>
  <c r="DW173" i="1"/>
  <c r="DW172" i="1"/>
  <c r="ED172" i="1" s="1"/>
  <c r="DW182" i="1"/>
  <c r="EK182" i="1" s="1"/>
  <c r="ET182" i="1" s="1"/>
  <c r="DV150" i="1"/>
  <c r="DW165" i="1"/>
  <c r="ED165" i="1" s="1"/>
  <c r="DW179" i="1"/>
  <c r="ES179" i="1" s="1"/>
  <c r="DW183" i="1"/>
  <c r="DV139" i="1"/>
  <c r="DW166" i="1"/>
  <c r="ED166" i="1" s="1"/>
  <c r="DW156" i="1"/>
  <c r="DW167" i="1"/>
  <c r="ED167" i="1" s="1"/>
  <c r="DW15" i="1"/>
  <c r="DV156" i="1"/>
  <c r="DW169" i="1"/>
  <c r="DW159" i="1"/>
  <c r="DW155" i="1"/>
  <c r="DW11" i="1"/>
  <c r="DW157" i="1"/>
  <c r="DV152" i="1"/>
  <c r="DW6" i="1"/>
  <c r="DV155" i="1"/>
  <c r="DV149" i="1"/>
  <c r="DV14" i="1"/>
  <c r="DV145" i="1"/>
  <c r="ED145" i="1" s="1"/>
  <c r="DV31" i="1"/>
  <c r="DV146" i="1"/>
  <c r="DV73" i="1"/>
  <c r="DW19" i="1"/>
  <c r="DW7" i="1"/>
  <c r="DV143" i="1"/>
  <c r="DV151" i="1"/>
  <c r="DV147" i="1"/>
  <c r="DV60" i="1"/>
  <c r="DV157" i="1"/>
  <c r="DV77" i="1"/>
  <c r="DV70" i="1"/>
  <c r="DV78" i="1"/>
  <c r="DW170" i="1"/>
  <c r="EK170" i="1" s="1"/>
  <c r="DV36" i="1"/>
  <c r="DV27" i="1"/>
  <c r="DV9" i="1"/>
  <c r="DV33" i="1"/>
  <c r="DV75" i="1"/>
  <c r="DV46" i="1"/>
  <c r="DV13" i="1"/>
  <c r="DW76" i="1"/>
  <c r="DV34" i="1"/>
  <c r="DW79" i="1"/>
  <c r="DV45" i="1"/>
  <c r="DV10" i="1"/>
  <c r="EK10" i="1" s="1"/>
  <c r="DV5" i="1"/>
  <c r="DW22" i="1"/>
  <c r="DV23" i="1"/>
  <c r="DW18" i="1"/>
  <c r="DW30" i="1"/>
  <c r="DV8" i="1"/>
  <c r="DW21" i="1"/>
  <c r="DW16" i="1"/>
  <c r="DW24" i="1"/>
  <c r="DW31" i="1"/>
  <c r="DW33" i="1"/>
  <c r="DV11" i="1"/>
  <c r="DV6" i="1"/>
  <c r="DW37" i="1"/>
  <c r="ES37" i="1" s="1"/>
  <c r="DV26" i="1"/>
  <c r="DW71" i="1"/>
  <c r="DW77" i="1"/>
  <c r="DW32" i="1"/>
  <c r="DV47" i="1"/>
  <c r="DV24" i="1"/>
  <c r="DV15" i="1"/>
  <c r="DW25" i="1"/>
  <c r="DV57" i="1"/>
  <c r="DW35" i="1"/>
  <c r="DW36" i="1"/>
  <c r="DV22" i="1"/>
  <c r="DW78" i="1"/>
  <c r="DW70" i="1"/>
  <c r="DW62" i="1"/>
  <c r="DV62" i="1"/>
  <c r="DW59" i="1"/>
  <c r="DW73" i="1"/>
  <c r="DW58" i="1"/>
  <c r="DW57" i="1"/>
  <c r="DW74" i="1"/>
  <c r="DW28" i="1"/>
  <c r="DV16" i="1"/>
  <c r="DW23" i="1"/>
  <c r="DV25" i="1"/>
  <c r="DW26" i="1"/>
  <c r="DW20" i="1"/>
  <c r="DW29" i="1"/>
  <c r="DW27" i="1"/>
  <c r="DV21" i="1"/>
  <c r="DV20" i="1"/>
  <c r="DV18" i="1"/>
  <c r="DW60" i="1"/>
  <c r="DW75" i="1"/>
  <c r="DW61" i="1"/>
  <c r="DW63" i="1"/>
  <c r="DW72" i="1"/>
  <c r="DV48" i="1"/>
  <c r="DV61" i="1"/>
  <c r="DV30" i="1"/>
  <c r="DV58" i="1"/>
  <c r="DV59" i="1"/>
  <c r="DV17" i="1"/>
  <c r="DV19" i="1"/>
  <c r="DW34" i="1"/>
  <c r="DV29" i="1"/>
  <c r="DQ148" i="1"/>
  <c r="BT58" i="1"/>
  <c r="CB28" i="1"/>
  <c r="CW138" i="1"/>
  <c r="CB6" i="1"/>
  <c r="BS100" i="1"/>
  <c r="DR143" i="1"/>
  <c r="BI148" i="1"/>
  <c r="DS154" i="1"/>
  <c r="DM141" i="1"/>
  <c r="DV7" i="1"/>
  <c r="CC63" i="1"/>
  <c r="DQ144" i="1"/>
  <c r="DM139" i="1"/>
  <c r="DQ70" i="1"/>
  <c r="DM71" i="1"/>
  <c r="DS189" i="1"/>
  <c r="DM167" i="1"/>
  <c r="DR141" i="1"/>
  <c r="DM165" i="1"/>
  <c r="DM150" i="1"/>
  <c r="DS137" i="1"/>
  <c r="DQ71" i="1"/>
  <c r="DM45" i="1"/>
  <c r="DS59" i="1"/>
  <c r="DM149" i="1"/>
  <c r="DS71" i="1"/>
  <c r="DQ150" i="1"/>
  <c r="DQ149" i="1"/>
  <c r="DM137" i="1"/>
  <c r="DQ45" i="1"/>
  <c r="CP140" i="1"/>
  <c r="DM6" i="1"/>
  <c r="CP150" i="1"/>
  <c r="CP160" i="1"/>
  <c r="DQ137" i="1"/>
  <c r="DS165" i="1"/>
  <c r="CP181" i="1"/>
  <c r="DS150" i="1"/>
  <c r="DM189" i="1"/>
  <c r="DS167" i="1"/>
  <c r="CV8" i="1"/>
  <c r="BU25" i="1"/>
  <c r="DL181" i="1"/>
  <c r="DQ157" i="1"/>
  <c r="DR178" i="1"/>
  <c r="BU106" i="1"/>
  <c r="DL183" i="1"/>
  <c r="DS169" i="1"/>
  <c r="DM178" i="1"/>
  <c r="DQ185" i="1"/>
  <c r="CP72" i="1"/>
  <c r="DM147" i="1"/>
  <c r="DS149" i="1"/>
  <c r="DM157" i="1"/>
  <c r="DQ141" i="1"/>
  <c r="DS181" i="1"/>
  <c r="DM181" i="1"/>
  <c r="DS141" i="1"/>
  <c r="CB30" i="1"/>
  <c r="DQ154" i="1"/>
  <c r="DM148" i="1"/>
  <c r="DS178" i="1"/>
  <c r="DS185" i="1"/>
  <c r="CP188" i="1"/>
  <c r="DQ59" i="1"/>
  <c r="DS45" i="1"/>
  <c r="DS187" i="1"/>
  <c r="DS160" i="1"/>
  <c r="CA186" i="1"/>
  <c r="CC61" i="1"/>
  <c r="DQ34" i="1"/>
  <c r="DP158" i="1"/>
  <c r="BI145" i="1"/>
  <c r="BI34" i="1"/>
  <c r="CA156" i="1"/>
  <c r="BZ18" i="1"/>
  <c r="DP60" i="1"/>
  <c r="E26" i="1"/>
  <c r="DS147" i="1"/>
  <c r="DS157" i="1"/>
  <c r="DM154" i="1"/>
  <c r="DS148" i="1"/>
  <c r="DL34" i="1"/>
  <c r="DQ147" i="1"/>
  <c r="BZ123" i="1"/>
  <c r="DS70" i="1"/>
  <c r="BZ102" i="1"/>
  <c r="DS79" i="1"/>
  <c r="DS61" i="1"/>
  <c r="DQ142" i="1"/>
  <c r="DM171" i="1"/>
  <c r="DS143" i="1"/>
  <c r="CP19" i="1"/>
  <c r="DM59" i="1"/>
  <c r="CV22" i="1"/>
  <c r="CA77" i="1"/>
  <c r="CL82" i="1"/>
  <c r="CA76" i="1"/>
  <c r="CA151" i="1"/>
  <c r="BU87" i="1"/>
  <c r="CC180" i="1"/>
  <c r="CB34" i="1"/>
  <c r="CB113" i="1"/>
  <c r="BU113" i="1"/>
  <c r="CP85" i="1"/>
  <c r="CP132" i="1" s="1"/>
  <c r="DL167" i="1"/>
  <c r="DL155" i="1"/>
  <c r="CP184" i="1"/>
  <c r="C136" i="1"/>
  <c r="BU24" i="1"/>
  <c r="CB7" i="1"/>
  <c r="D3" i="1"/>
  <c r="DP162" i="1"/>
  <c r="E37" i="1"/>
  <c r="CP32" i="1"/>
  <c r="E7" i="1"/>
  <c r="DL154" i="1"/>
  <c r="DP148" i="1"/>
  <c r="CP172" i="1"/>
  <c r="CP146" i="1"/>
  <c r="CP143" i="1"/>
  <c r="DP150" i="1"/>
  <c r="CP175" i="1"/>
  <c r="DQ22" i="1"/>
  <c r="E21" i="1"/>
  <c r="CB102" i="1"/>
  <c r="DP20" i="1"/>
  <c r="CC46" i="1"/>
  <c r="CA59" i="1"/>
  <c r="B84" i="1"/>
  <c r="BZ29" i="1"/>
  <c r="CB119" i="1"/>
  <c r="CB104" i="1"/>
  <c r="BZ100" i="1"/>
  <c r="CC64" i="1"/>
  <c r="E79" i="1"/>
  <c r="E72" i="1"/>
  <c r="BU36" i="1"/>
  <c r="DL20" i="1"/>
  <c r="CP13" i="1"/>
  <c r="CP59" i="1"/>
  <c r="DS4" i="1"/>
  <c r="CP25" i="1"/>
  <c r="CP15" i="1"/>
  <c r="E11" i="1"/>
  <c r="CB122" i="1"/>
  <c r="DL157" i="1"/>
  <c r="DP159" i="1"/>
  <c r="DL182" i="1"/>
  <c r="DL173" i="1"/>
  <c r="DP144" i="1"/>
  <c r="DQ4" i="1"/>
  <c r="DQ171" i="1"/>
  <c r="CP28" i="1"/>
  <c r="E8" i="1"/>
  <c r="CP138" i="1"/>
  <c r="CP158" i="1"/>
  <c r="DP174" i="1"/>
  <c r="DS28" i="1"/>
  <c r="BI76" i="1"/>
  <c r="DP74" i="1"/>
  <c r="BI149" i="1"/>
  <c r="CA75" i="1"/>
  <c r="CA74" i="1"/>
  <c r="CB128" i="1"/>
  <c r="DQ28" i="1"/>
  <c r="BS103" i="1"/>
  <c r="CP14" i="1"/>
  <c r="BZ26" i="1"/>
  <c r="DL37" i="1"/>
  <c r="CV13" i="1"/>
  <c r="CV17" i="1"/>
  <c r="CV15" i="1"/>
  <c r="DV32" i="1"/>
  <c r="E6" i="1"/>
  <c r="E14" i="1"/>
  <c r="CP20" i="1"/>
  <c r="BU93" i="1"/>
  <c r="CA183" i="1"/>
  <c r="DP75" i="1"/>
  <c r="CA47" i="1"/>
  <c r="BU34" i="1"/>
  <c r="CA167" i="1"/>
  <c r="CV27" i="1"/>
  <c r="DM28" i="1"/>
  <c r="CP36" i="1"/>
  <c r="E27" i="1"/>
  <c r="CV11" i="1"/>
  <c r="B44" i="1"/>
  <c r="DP46" i="1"/>
  <c r="DL22" i="1"/>
  <c r="CV38" i="1"/>
  <c r="CV20" i="1"/>
  <c r="CV21" i="1"/>
  <c r="DP37" i="1"/>
  <c r="DM79" i="1"/>
  <c r="BI48" i="1"/>
  <c r="DL160" i="1"/>
  <c r="DM138" i="1"/>
  <c r="DR140" i="1"/>
  <c r="DS153" i="1"/>
  <c r="DL138" i="1"/>
  <c r="DM172" i="1"/>
  <c r="DS170" i="1"/>
  <c r="DS174" i="1"/>
  <c r="DM70" i="1"/>
  <c r="CP18" i="1"/>
  <c r="CP34" i="1"/>
  <c r="DM160" i="1"/>
  <c r="DQ184" i="1"/>
  <c r="DP147" i="1"/>
  <c r="DQ187" i="1"/>
  <c r="DS179" i="1"/>
  <c r="DS171" i="1"/>
  <c r="DL170" i="1"/>
  <c r="DS175" i="1"/>
  <c r="CA158" i="1"/>
  <c r="DP137" i="1"/>
  <c r="DP160" i="1"/>
  <c r="DL164" i="1"/>
  <c r="DL146" i="1"/>
  <c r="DP12" i="1"/>
  <c r="DL59" i="1"/>
  <c r="DP6" i="1"/>
  <c r="E75" i="1"/>
  <c r="DP57" i="1"/>
  <c r="DQ25" i="1"/>
  <c r="DP27" i="1"/>
  <c r="CV18" i="1"/>
  <c r="DP48" i="1"/>
  <c r="BI71" i="1"/>
  <c r="DQ166" i="1"/>
  <c r="DL150" i="1"/>
  <c r="DM164" i="1"/>
  <c r="DS166" i="1"/>
  <c r="DP179" i="1"/>
  <c r="BZ111" i="1"/>
  <c r="DS25" i="1"/>
  <c r="BS5" i="1"/>
  <c r="CA139" i="1"/>
  <c r="CA143" i="1"/>
  <c r="CC142" i="1"/>
  <c r="CA166" i="1"/>
  <c r="BZ118" i="1"/>
  <c r="BS32" i="1"/>
  <c r="BZ98" i="1"/>
  <c r="BZ86" i="1"/>
  <c r="BU95" i="1"/>
  <c r="BU6" i="1"/>
  <c r="BZ25" i="1"/>
  <c r="BZ32" i="1"/>
  <c r="BU8" i="1"/>
  <c r="BZ96" i="1"/>
  <c r="BZ117" i="1"/>
  <c r="BU18" i="1"/>
  <c r="CA160" i="1"/>
  <c r="CC76" i="1"/>
  <c r="BU19" i="1"/>
  <c r="CA161" i="1"/>
  <c r="BI177" i="1"/>
  <c r="BI6" i="1"/>
  <c r="BI28" i="1"/>
  <c r="BZ110" i="1"/>
  <c r="CB101" i="1"/>
  <c r="BZ106" i="1"/>
  <c r="CC158" i="1"/>
  <c r="BT74" i="1"/>
  <c r="BZ89" i="1"/>
  <c r="CA179" i="1"/>
  <c r="DS158" i="1"/>
  <c r="DM152" i="1"/>
  <c r="DM145" i="1"/>
  <c r="DS186" i="1"/>
  <c r="DP155" i="1"/>
  <c r="DP146" i="1"/>
  <c r="DL184" i="1"/>
  <c r="DP157" i="1"/>
  <c r="CB125" i="1"/>
  <c r="CP176" i="1"/>
  <c r="DQ158" i="1"/>
  <c r="CP142" i="1"/>
  <c r="DP166" i="1"/>
  <c r="CC139" i="1"/>
  <c r="BZ115" i="1"/>
  <c r="DS7" i="1"/>
  <c r="DL26" i="1"/>
  <c r="DL63" i="1"/>
  <c r="E60" i="1"/>
  <c r="BU85" i="1"/>
  <c r="DL31" i="1"/>
  <c r="DS13" i="1"/>
  <c r="DP22" i="1"/>
  <c r="DL27" i="1"/>
  <c r="DQ27" i="1"/>
  <c r="CA72" i="1"/>
  <c r="CB12" i="1"/>
  <c r="BU31" i="1"/>
  <c r="DS77" i="1"/>
  <c r="BZ88" i="1"/>
  <c r="CA140" i="1"/>
  <c r="CB109" i="1"/>
  <c r="CB4" i="1"/>
  <c r="CP27" i="1"/>
  <c r="CV12" i="1"/>
  <c r="CB86" i="1"/>
  <c r="CB106" i="1"/>
  <c r="DQ61" i="1"/>
  <c r="CB118" i="1"/>
  <c r="BS111" i="1"/>
  <c r="BT78" i="1"/>
  <c r="BS126" i="1"/>
  <c r="BS120" i="1"/>
  <c r="BU12" i="1"/>
  <c r="BU109" i="1"/>
  <c r="DM62" i="1"/>
  <c r="DQ79" i="1"/>
  <c r="DM77" i="1"/>
  <c r="DM27" i="1"/>
  <c r="BI155" i="1"/>
  <c r="CC187" i="1"/>
  <c r="BZ130" i="1"/>
  <c r="DM61" i="1"/>
  <c r="BS89" i="1"/>
  <c r="DP153" i="1"/>
  <c r="DM159" i="1"/>
  <c r="DS146" i="1"/>
  <c r="DM183" i="1"/>
  <c r="DQ156" i="1"/>
  <c r="DS173" i="1"/>
  <c r="DQ152" i="1"/>
  <c r="DM180" i="1"/>
  <c r="DL180" i="1"/>
  <c r="DP154" i="1"/>
  <c r="DM7" i="1"/>
  <c r="DP23" i="1"/>
  <c r="BZ108" i="1"/>
  <c r="DQ58" i="1"/>
  <c r="DR180" i="1"/>
  <c r="DQ140" i="1"/>
  <c r="DM156" i="1"/>
  <c r="DP183" i="1"/>
  <c r="DL153" i="1"/>
  <c r="DP181" i="1"/>
  <c r="DM146" i="1"/>
  <c r="DS144" i="1"/>
  <c r="DQ146" i="1"/>
  <c r="DL142" i="1"/>
  <c r="DQ143" i="1"/>
  <c r="DS27" i="1"/>
  <c r="BU122" i="1"/>
  <c r="DS172" i="1"/>
  <c r="DP173" i="1"/>
  <c r="DQ174" i="1"/>
  <c r="DQ162" i="1"/>
  <c r="CM82" i="1"/>
  <c r="DM158" i="1"/>
  <c r="DL144" i="1"/>
  <c r="DP185" i="1"/>
  <c r="DQ172" i="1"/>
  <c r="E32" i="1"/>
  <c r="CP182" i="1"/>
  <c r="E57" i="1"/>
  <c r="BS19" i="1"/>
  <c r="BI23" i="1"/>
  <c r="BS108" i="1"/>
  <c r="CB29" i="1"/>
  <c r="CC71" i="1"/>
  <c r="BS17" i="1"/>
  <c r="BZ28" i="1"/>
  <c r="BS14" i="1"/>
  <c r="CB100" i="1"/>
  <c r="CP46" i="1"/>
  <c r="BS128" i="1"/>
  <c r="BU110" i="1"/>
  <c r="BZ13" i="1"/>
  <c r="BU101" i="1"/>
  <c r="BS106" i="1"/>
  <c r="BS127" i="1"/>
  <c r="CC62" i="1"/>
  <c r="CB25" i="1"/>
  <c r="CC25" i="1" s="1"/>
  <c r="BU128" i="1"/>
  <c r="BU29" i="1"/>
  <c r="BZ14" i="1"/>
  <c r="E62" i="1"/>
  <c r="BS36" i="1"/>
  <c r="BT139" i="1"/>
  <c r="BU35" i="1"/>
  <c r="DL74" i="1"/>
  <c r="DM38" i="1"/>
  <c r="DM13" i="1"/>
  <c r="DM14" i="1"/>
  <c r="DL76" i="1"/>
  <c r="DP33" i="1"/>
  <c r="DP7" i="1"/>
  <c r="BK164" i="1"/>
  <c r="BQ164" i="1" s="1"/>
  <c r="BJ145" i="1"/>
  <c r="DR145" i="1" s="1"/>
  <c r="BJ157" i="1"/>
  <c r="BX157" i="1" s="1"/>
  <c r="BJ148" i="1"/>
  <c r="BX148" i="1" s="1"/>
  <c r="BJ176" i="1"/>
  <c r="BJ186" i="1"/>
  <c r="BQ186" i="1" s="1"/>
  <c r="BK161" i="1"/>
  <c r="BX161" i="1" s="1"/>
  <c r="CY161" i="1" s="1"/>
  <c r="BJ170" i="1"/>
  <c r="DR170" i="1" s="1"/>
  <c r="BJ187" i="1"/>
  <c r="DR187" i="1" s="1"/>
  <c r="BK162" i="1"/>
  <c r="BQ162" i="1" s="1"/>
  <c r="BJ150" i="1"/>
  <c r="DR150" i="1" s="1"/>
  <c r="BJ146" i="1"/>
  <c r="BX146" i="1" s="1"/>
  <c r="CY146" i="1" s="1"/>
  <c r="BK160" i="1"/>
  <c r="DR160" i="1" s="1"/>
  <c r="BJ189" i="1"/>
  <c r="DR189" i="1" s="1"/>
  <c r="BK166" i="1"/>
  <c r="BQ166" i="1" s="1"/>
  <c r="BJ149" i="1"/>
  <c r="BX149" i="1" s="1"/>
  <c r="CY149" i="1" s="1"/>
  <c r="BJ151" i="1"/>
  <c r="DR151" i="1" s="1"/>
  <c r="BJ172" i="1"/>
  <c r="BQ172" i="1" s="1"/>
  <c r="BJ174" i="1"/>
  <c r="BQ174" i="1" s="1"/>
  <c r="BJ152" i="1"/>
  <c r="BQ152" i="1" s="1"/>
  <c r="BJ175" i="1"/>
  <c r="DR175" i="1" s="1"/>
  <c r="BK163" i="1"/>
  <c r="BX163" i="1" s="1"/>
  <c r="CY163" i="1" s="1"/>
  <c r="EK163" i="1"/>
  <c r="BJ154" i="1"/>
  <c r="BQ154" i="1" s="1"/>
  <c r="BK159" i="1"/>
  <c r="BX159" i="1" s="1"/>
  <c r="CY159" i="1" s="1"/>
  <c r="BJ185" i="1"/>
  <c r="DR185" i="1" s="1"/>
  <c r="BJ173" i="1"/>
  <c r="BQ173" i="1" s="1"/>
  <c r="BJ153" i="1"/>
  <c r="BX153" i="1" s="1"/>
  <c r="BJ171" i="1"/>
  <c r="BX171" i="1" s="1"/>
  <c r="CY171" i="1" s="1"/>
  <c r="BK167" i="1"/>
  <c r="BJ155" i="1"/>
  <c r="BQ155" i="1" s="1"/>
  <c r="BJ147" i="1"/>
  <c r="DR147" i="1" s="1"/>
  <c r="BK165" i="1"/>
  <c r="BJ156" i="1"/>
  <c r="DR156" i="1" s="1"/>
  <c r="BJ188" i="1"/>
  <c r="BX188" i="1" s="1"/>
  <c r="BJ158" i="1"/>
  <c r="DR158" i="1" s="1"/>
  <c r="BK168" i="1"/>
  <c r="EK168" i="1"/>
  <c r="ED137" i="1"/>
  <c r="EK137" i="1"/>
  <c r="ET137" i="1" s="1"/>
  <c r="DL159" i="1"/>
  <c r="DS30" i="1"/>
  <c r="DP31" i="1"/>
  <c r="BJ109" i="1"/>
  <c r="DR109" i="1" s="1"/>
  <c r="EK109" i="1"/>
  <c r="BJ129" i="1"/>
  <c r="DR129" i="1" s="1"/>
  <c r="EK129" i="1"/>
  <c r="BJ120" i="1"/>
  <c r="BQ120" i="1" s="1"/>
  <c r="EK120" i="1"/>
  <c r="BJ123" i="1"/>
  <c r="BQ123" i="1" s="1"/>
  <c r="EK123" i="1"/>
  <c r="BJ115" i="1"/>
  <c r="BX115" i="1" s="1"/>
  <c r="EK115" i="1"/>
  <c r="BJ122" i="1"/>
  <c r="BQ122" i="1" s="1"/>
  <c r="EK122" i="1"/>
  <c r="BJ124" i="1"/>
  <c r="BX124" i="1" s="1"/>
  <c r="EK124" i="1"/>
  <c r="BI150" i="1"/>
  <c r="BJ127" i="1"/>
  <c r="DR127" i="1" s="1"/>
  <c r="EK127" i="1"/>
  <c r="BJ112" i="1"/>
  <c r="BQ112" i="1" s="1"/>
  <c r="EK112" i="1"/>
  <c r="BJ99" i="1"/>
  <c r="BQ99" i="1" s="1"/>
  <c r="EK99" i="1"/>
  <c r="BJ121" i="1"/>
  <c r="BX121" i="1" s="1"/>
  <c r="EK121" i="1"/>
  <c r="BJ113" i="1"/>
  <c r="BX113" i="1" s="1"/>
  <c r="EK113" i="1"/>
  <c r="BJ86" i="1"/>
  <c r="DR86" i="1" s="1"/>
  <c r="EK86" i="1"/>
  <c r="BJ95" i="1"/>
  <c r="BQ95" i="1" s="1"/>
  <c r="EK95" i="1"/>
  <c r="BJ87" i="1"/>
  <c r="BX87" i="1" s="1"/>
  <c r="EK87" i="1"/>
  <c r="BJ91" i="1"/>
  <c r="BQ91" i="1" s="1"/>
  <c r="EK91" i="1"/>
  <c r="BJ100" i="1"/>
  <c r="BQ100" i="1" s="1"/>
  <c r="EK100" i="1"/>
  <c r="BJ98" i="1"/>
  <c r="BX98" i="1" s="1"/>
  <c r="EK98" i="1"/>
  <c r="BJ101" i="1"/>
  <c r="BQ101" i="1" s="1"/>
  <c r="EK101" i="1"/>
  <c r="BZ101" i="1"/>
  <c r="CC48" i="1"/>
  <c r="BJ116" i="1"/>
  <c r="DR116" i="1" s="1"/>
  <c r="EK116" i="1"/>
  <c r="BJ125" i="1"/>
  <c r="BQ125" i="1" s="1"/>
  <c r="EK125" i="1"/>
  <c r="BJ93" i="1"/>
  <c r="BQ93" i="1" s="1"/>
  <c r="EK93" i="1"/>
  <c r="BJ110" i="1"/>
  <c r="DR110" i="1" s="1"/>
  <c r="EK110" i="1"/>
  <c r="BJ117" i="1"/>
  <c r="DR117" i="1" s="1"/>
  <c r="EK117" i="1"/>
  <c r="BJ90" i="1"/>
  <c r="BQ90" i="1" s="1"/>
  <c r="EK90" i="1"/>
  <c r="BJ96" i="1"/>
  <c r="BQ96" i="1" s="1"/>
  <c r="EK96" i="1"/>
  <c r="BJ88" i="1"/>
  <c r="BX88" i="1" s="1"/>
  <c r="EK88" i="1"/>
  <c r="BJ97" i="1"/>
  <c r="BX97" i="1" s="1"/>
  <c r="EK97" i="1"/>
  <c r="BJ104" i="1"/>
  <c r="BX104" i="1" s="1"/>
  <c r="EK104" i="1"/>
  <c r="BS114" i="1"/>
  <c r="CB111" i="1"/>
  <c r="BJ118" i="1"/>
  <c r="BQ118" i="1" s="1"/>
  <c r="EK118" i="1"/>
  <c r="BJ106" i="1"/>
  <c r="BQ106" i="1" s="1"/>
  <c r="EK106" i="1"/>
  <c r="BJ102" i="1"/>
  <c r="BQ102" i="1" s="1"/>
  <c r="EK102" i="1"/>
  <c r="BJ89" i="1"/>
  <c r="DR89" i="1" s="1"/>
  <c r="EK89" i="1"/>
  <c r="BJ94" i="1"/>
  <c r="BX94" i="1" s="1"/>
  <c r="EK94" i="1"/>
  <c r="BJ103" i="1"/>
  <c r="BQ103" i="1" s="1"/>
  <c r="EK103" i="1"/>
  <c r="BJ108" i="1"/>
  <c r="BQ108" i="1" s="1"/>
  <c r="EK108" i="1"/>
  <c r="BJ128" i="1"/>
  <c r="BQ128" i="1" s="1"/>
  <c r="EK128" i="1"/>
  <c r="BJ111" i="1"/>
  <c r="DR111" i="1" s="1"/>
  <c r="EK111" i="1"/>
  <c r="BJ119" i="1"/>
  <c r="DR119" i="1" s="1"/>
  <c r="EK119" i="1"/>
  <c r="BJ126" i="1"/>
  <c r="BQ126" i="1" s="1"/>
  <c r="EK126" i="1"/>
  <c r="BJ114" i="1"/>
  <c r="BX114" i="1" s="1"/>
  <c r="EK114" i="1"/>
  <c r="BJ130" i="1"/>
  <c r="BQ130" i="1" s="1"/>
  <c r="EK130" i="1"/>
  <c r="BJ105" i="1"/>
  <c r="BQ105" i="1" s="1"/>
  <c r="EK105" i="1"/>
  <c r="BJ92" i="1"/>
  <c r="BQ92" i="1" s="1"/>
  <c r="EK92" i="1"/>
  <c r="BJ107" i="1"/>
  <c r="DR107" i="1" s="1"/>
  <c r="EK107" i="1"/>
  <c r="EK85" i="1"/>
  <c r="BI31" i="1"/>
  <c r="BI11" i="1"/>
  <c r="E78" i="1"/>
  <c r="CV36" i="1"/>
  <c r="CV28" i="1"/>
  <c r="CA146" i="1"/>
  <c r="BZ30" i="1"/>
  <c r="BS16" i="1"/>
  <c r="CB88" i="1"/>
  <c r="CC60" i="1"/>
  <c r="BZ37" i="1"/>
  <c r="DS14" i="1"/>
  <c r="DL6" i="1"/>
  <c r="DL61" i="1"/>
  <c r="DV4" i="1"/>
  <c r="DL24" i="1"/>
  <c r="DS15" i="1"/>
  <c r="CP9" i="1"/>
  <c r="DS21" i="1"/>
  <c r="BS119" i="1"/>
  <c r="BT119" i="1" s="1"/>
  <c r="CB20" i="1"/>
  <c r="BU27" i="1"/>
  <c r="BT47" i="1"/>
  <c r="BZ38" i="1"/>
  <c r="DQ14" i="1"/>
  <c r="BJ85" i="1"/>
  <c r="BQ85" i="1" s="1"/>
  <c r="CY138" i="1"/>
  <c r="BZ11" i="1"/>
  <c r="BU33" i="1"/>
  <c r="BI144" i="1"/>
  <c r="CB31" i="1"/>
  <c r="EK64" i="1"/>
  <c r="BU97" i="1"/>
  <c r="BT77" i="1"/>
  <c r="BI186" i="1"/>
  <c r="BJ78" i="1"/>
  <c r="BQ78" i="1" s="1"/>
  <c r="BJ58" i="1"/>
  <c r="BQ58" i="1" s="1"/>
  <c r="BI26" i="1"/>
  <c r="BJ59" i="1"/>
  <c r="BQ59" i="1" s="1"/>
  <c r="BS116" i="1"/>
  <c r="BJ76" i="1"/>
  <c r="BQ76" i="1" s="1"/>
  <c r="BJ62" i="1"/>
  <c r="DR62" i="1" s="1"/>
  <c r="BJ64" i="1"/>
  <c r="DR64" i="1" s="1"/>
  <c r="BI32" i="1"/>
  <c r="BJ75" i="1"/>
  <c r="BX75" i="1" s="1"/>
  <c r="BI159" i="1"/>
  <c r="BJ79" i="1"/>
  <c r="DR79" i="1" s="1"/>
  <c r="BJ57" i="1"/>
  <c r="BQ57" i="1" s="1"/>
  <c r="BJ74" i="1"/>
  <c r="BX74" i="1" s="1"/>
  <c r="CY74" i="1" s="1"/>
  <c r="BI153" i="1"/>
  <c r="BJ45" i="1"/>
  <c r="BJ70" i="1"/>
  <c r="BQ70" i="1" s="1"/>
  <c r="BJ77" i="1"/>
  <c r="BX77" i="1" s="1"/>
  <c r="CY77" i="1" s="1"/>
  <c r="BJ60" i="1"/>
  <c r="BX60" i="1" s="1"/>
  <c r="BJ48" i="1"/>
  <c r="BX48" i="1" s="1"/>
  <c r="BY49" i="1" s="1"/>
  <c r="BJ47" i="1"/>
  <c r="DR47" i="1" s="1"/>
  <c r="BJ72" i="1"/>
  <c r="BX72" i="1" s="1"/>
  <c r="CY72" i="1" s="1"/>
  <c r="BJ63" i="1"/>
  <c r="BX63" i="1" s="1"/>
  <c r="CY63" i="1" s="1"/>
  <c r="BJ46" i="1"/>
  <c r="BQ46" i="1" s="1"/>
  <c r="BJ61" i="1"/>
  <c r="BQ61" i="1" s="1"/>
  <c r="BJ71" i="1"/>
  <c r="BJ73" i="1"/>
  <c r="BQ73" i="1" s="1"/>
  <c r="DL71" i="1"/>
  <c r="DP79" i="1"/>
  <c r="BI7" i="1"/>
  <c r="DP16" i="1"/>
  <c r="BS88" i="1"/>
  <c r="BU13" i="1"/>
  <c r="DQ60" i="1"/>
  <c r="BI167" i="1"/>
  <c r="DS73" i="1"/>
  <c r="DQ24" i="1"/>
  <c r="CP60" i="1"/>
  <c r="CB37" i="1"/>
  <c r="DQ72" i="1"/>
  <c r="BS95" i="1"/>
  <c r="BJ17" i="1"/>
  <c r="BQ17" i="1" s="1"/>
  <c r="BJ9" i="1"/>
  <c r="BQ9" i="1" s="1"/>
  <c r="BJ32" i="1"/>
  <c r="BQ32" i="1" s="1"/>
  <c r="BJ13" i="1"/>
  <c r="DR13" i="1" s="1"/>
  <c r="BJ33" i="1"/>
  <c r="DR33" i="1" s="1"/>
  <c r="BJ28" i="1"/>
  <c r="DR28" i="1" s="1"/>
  <c r="BJ37" i="1"/>
  <c r="BQ37" i="1" s="1"/>
  <c r="BJ8" i="1"/>
  <c r="BQ8" i="1" s="1"/>
  <c r="BJ20" i="1"/>
  <c r="BX20" i="1" s="1"/>
  <c r="BJ29" i="1"/>
  <c r="BQ29" i="1" s="1"/>
  <c r="BJ30" i="1"/>
  <c r="BQ30" i="1" s="1"/>
  <c r="BJ38" i="1"/>
  <c r="BX38" i="1" s="1"/>
  <c r="BJ34" i="1"/>
  <c r="DR34" i="1" s="1"/>
  <c r="BJ11" i="1"/>
  <c r="BX11" i="1" s="1"/>
  <c r="BJ7" i="1"/>
  <c r="DR7" i="1" s="1"/>
  <c r="BJ36" i="1"/>
  <c r="DR36" i="1" s="1"/>
  <c r="BJ10" i="1"/>
  <c r="DR10" i="1" s="1"/>
  <c r="BJ16" i="1"/>
  <c r="BX16" i="1" s="1"/>
  <c r="BJ24" i="1"/>
  <c r="DR24" i="1" s="1"/>
  <c r="BJ14" i="1"/>
  <c r="BQ14" i="1" s="1"/>
  <c r="BJ23" i="1"/>
  <c r="BQ23" i="1" s="1"/>
  <c r="BJ12" i="1"/>
  <c r="DR12" i="1" s="1"/>
  <c r="BJ19" i="1"/>
  <c r="BX19" i="1" s="1"/>
  <c r="BJ25" i="1"/>
  <c r="BX25" i="1" s="1"/>
  <c r="BJ35" i="1"/>
  <c r="BQ35" i="1" s="1"/>
  <c r="BJ22" i="1"/>
  <c r="BX22" i="1" s="1"/>
  <c r="BJ6" i="1"/>
  <c r="DR6" i="1" s="1"/>
  <c r="BJ15" i="1"/>
  <c r="DR15" i="1" s="1"/>
  <c r="BJ27" i="1"/>
  <c r="DR27" i="1" s="1"/>
  <c r="BJ5" i="1"/>
  <c r="BQ5" i="1" s="1"/>
  <c r="BJ26" i="1"/>
  <c r="BX26" i="1" s="1"/>
  <c r="BJ21" i="1"/>
  <c r="BX21" i="1" s="1"/>
  <c r="BJ18" i="1"/>
  <c r="BQ18" i="1" s="1"/>
  <c r="BJ31" i="1"/>
  <c r="BX31" i="1" s="1"/>
  <c r="DL156" i="1"/>
  <c r="DL188" i="1"/>
  <c r="DL25" i="1"/>
  <c r="DP30" i="1"/>
  <c r="DL141" i="1"/>
  <c r="DP8" i="1"/>
  <c r="DP32" i="1"/>
  <c r="DP29" i="1"/>
  <c r="BZ97" i="1"/>
  <c r="CP180" i="1"/>
  <c r="CO136" i="1"/>
  <c r="CO190" i="1" s="1"/>
  <c r="CP177" i="1"/>
  <c r="CP141" i="1"/>
  <c r="BZ6" i="1"/>
  <c r="CA6" i="1" s="1"/>
  <c r="CP156" i="1"/>
  <c r="CP186" i="1"/>
  <c r="CP148" i="1"/>
  <c r="CP149" i="1"/>
  <c r="CP169" i="1"/>
  <c r="CP187" i="1"/>
  <c r="CP185" i="1"/>
  <c r="DQ145" i="1"/>
  <c r="DQ173" i="1"/>
  <c r="DQ155" i="1"/>
  <c r="DS180" i="1"/>
  <c r="DM186" i="1"/>
  <c r="DL172" i="1"/>
  <c r="DL177" i="1"/>
  <c r="DP170" i="1"/>
  <c r="DP180" i="1"/>
  <c r="DL140" i="1"/>
  <c r="CP174" i="1"/>
  <c r="CP178" i="1"/>
  <c r="CP183" i="1"/>
  <c r="CP189" i="1"/>
  <c r="CP153" i="1"/>
  <c r="CP179" i="1"/>
  <c r="CP144" i="1"/>
  <c r="DQ78" i="1"/>
  <c r="DM187" i="1"/>
  <c r="DQ160" i="1"/>
  <c r="DQ179" i="1"/>
  <c r="DR142" i="1"/>
  <c r="DP175" i="1"/>
  <c r="DL147" i="1"/>
  <c r="DL148" i="1"/>
  <c r="DL151" i="1"/>
  <c r="BS20" i="1"/>
  <c r="CB17" i="1"/>
  <c r="BJ4" i="1"/>
  <c r="BQ4" i="1" s="1"/>
  <c r="BY138" i="1"/>
  <c r="DL62" i="1"/>
  <c r="DS31" i="1"/>
  <c r="DM29" i="1"/>
  <c r="CV26" i="1"/>
  <c r="DS78" i="1"/>
  <c r="BU30" i="1"/>
  <c r="DP14" i="1"/>
  <c r="DP38" i="1"/>
  <c r="DS17" i="1"/>
  <c r="DP19" i="1"/>
  <c r="DL18" i="1"/>
  <c r="E36" i="1"/>
  <c r="CV25" i="1"/>
  <c r="E17" i="1"/>
  <c r="CP23" i="1"/>
  <c r="E4" i="1"/>
  <c r="E20" i="1"/>
  <c r="CP6" i="1"/>
  <c r="CP21" i="1"/>
  <c r="CV9" i="1"/>
  <c r="CV14" i="1"/>
  <c r="CP30" i="1"/>
  <c r="DQ30" i="1"/>
  <c r="DQ36" i="1"/>
  <c r="BS104" i="1"/>
  <c r="CC75" i="1"/>
  <c r="BU90" i="1"/>
  <c r="CB112" i="1"/>
  <c r="CC146" i="1"/>
  <c r="BZ15" i="1"/>
  <c r="CB5" i="1"/>
  <c r="CB11" i="1"/>
  <c r="CA144" i="1"/>
  <c r="CB114" i="1"/>
  <c r="CV6" i="1"/>
  <c r="BT75" i="1"/>
  <c r="DS58" i="1"/>
  <c r="CP16" i="1"/>
  <c r="CV33" i="1"/>
  <c r="CP12" i="1"/>
  <c r="E19" i="1"/>
  <c r="CP37" i="1"/>
  <c r="DP72" i="1"/>
  <c r="DW17" i="1"/>
  <c r="DW13" i="1"/>
  <c r="BI58" i="1"/>
  <c r="DL5" i="1"/>
  <c r="DP17" i="1"/>
  <c r="DL10" i="1"/>
  <c r="DP15" i="1"/>
  <c r="CP78" i="1"/>
  <c r="CP73" i="1"/>
  <c r="BS7" i="1"/>
  <c r="CP10" i="1"/>
  <c r="C44" i="1"/>
  <c r="CV34" i="1"/>
  <c r="D44" i="1"/>
  <c r="CV37" i="1"/>
  <c r="E34" i="1"/>
  <c r="CP26" i="1"/>
  <c r="E61" i="1"/>
  <c r="DQ62" i="1"/>
  <c r="DM78" i="1"/>
  <c r="BZ17" i="1"/>
  <c r="CA73" i="1"/>
  <c r="BS130" i="1"/>
  <c r="BT79" i="1"/>
  <c r="DS62" i="1"/>
  <c r="BS99" i="1"/>
  <c r="CB99" i="1"/>
  <c r="BT48" i="1"/>
  <c r="CC188" i="1"/>
  <c r="BI189" i="1"/>
  <c r="E76" i="1"/>
  <c r="BI142" i="1"/>
  <c r="BS109" i="1"/>
  <c r="BZ122" i="1"/>
  <c r="BI74" i="1"/>
  <c r="CA157" i="1"/>
  <c r="CP58" i="1"/>
  <c r="E71" i="1"/>
  <c r="DL46" i="1"/>
  <c r="DL78" i="1"/>
  <c r="BI5" i="1"/>
  <c r="CP17" i="1"/>
  <c r="E10" i="1"/>
  <c r="E5" i="1"/>
  <c r="CV35" i="1"/>
  <c r="CV24" i="1"/>
  <c r="CV23" i="1"/>
  <c r="E9" i="1"/>
  <c r="E33" i="1"/>
  <c r="E23" i="1"/>
  <c r="CP8" i="1"/>
  <c r="CV16" i="1"/>
  <c r="CV19" i="1"/>
  <c r="E35" i="1"/>
  <c r="CP76" i="1"/>
  <c r="E22" i="1"/>
  <c r="CP79" i="1"/>
  <c r="E18" i="1"/>
  <c r="E16" i="1"/>
  <c r="E58" i="1"/>
  <c r="CB18" i="1"/>
  <c r="BU28" i="1"/>
  <c r="DP34" i="1"/>
  <c r="BI18" i="1"/>
  <c r="BI62" i="1"/>
  <c r="CP35" i="1"/>
  <c r="E12" i="1"/>
  <c r="DV74" i="1"/>
  <c r="DP76" i="1"/>
  <c r="E29" i="1"/>
  <c r="CV32" i="1"/>
  <c r="CV30" i="1"/>
  <c r="E63" i="1"/>
  <c r="E24" i="1"/>
  <c r="BI173" i="1"/>
  <c r="CV10" i="1"/>
  <c r="E47" i="1"/>
  <c r="CP31" i="1"/>
  <c r="DL12" i="1"/>
  <c r="BI156" i="1"/>
  <c r="DM25" i="1"/>
  <c r="BI27" i="1"/>
  <c r="DM32" i="1"/>
  <c r="DP62" i="1"/>
  <c r="BI61" i="1"/>
  <c r="CP74" i="1"/>
  <c r="B3" i="1"/>
  <c r="DL145" i="1"/>
  <c r="DP145" i="1"/>
  <c r="DL152" i="1"/>
  <c r="DP152" i="1"/>
  <c r="CP145" i="1"/>
  <c r="CM136" i="1"/>
  <c r="CM190" i="1" s="1"/>
  <c r="DK44" i="1"/>
  <c r="DQ176" i="1"/>
  <c r="DM176" i="1"/>
  <c r="DP188" i="1"/>
  <c r="DP141" i="1"/>
  <c r="E25" i="1"/>
  <c r="CP151" i="1"/>
  <c r="DL58" i="1"/>
  <c r="CP33" i="1"/>
  <c r="E13" i="1"/>
  <c r="BI181" i="1"/>
  <c r="CP22" i="1"/>
  <c r="DL187" i="1"/>
  <c r="DP187" i="1"/>
  <c r="AY44" i="1"/>
  <c r="E31" i="1"/>
  <c r="EJ84" i="1"/>
  <c r="DP172" i="1"/>
  <c r="CP152" i="1"/>
  <c r="DP61" i="1"/>
  <c r="CP155" i="1"/>
  <c r="CM134" i="1"/>
  <c r="CP147" i="1"/>
  <c r="CU136" i="1"/>
  <c r="CM44" i="1"/>
  <c r="CM81" i="1" s="1"/>
  <c r="DL165" i="1"/>
  <c r="DP165" i="1"/>
  <c r="DL189" i="1"/>
  <c r="DP189" i="1"/>
  <c r="E45" i="1"/>
  <c r="CQ3" i="1"/>
  <c r="DP169" i="1"/>
  <c r="DL169" i="1"/>
  <c r="DP186" i="1"/>
  <c r="DL186" i="1"/>
  <c r="DL178" i="1"/>
  <c r="CP24" i="1"/>
  <c r="CR42" i="1"/>
  <c r="E74" i="1"/>
  <c r="DH44" i="1"/>
  <c r="DH81" i="1" s="1"/>
  <c r="DP182" i="1"/>
  <c r="DP156" i="1"/>
  <c r="DM57" i="1"/>
  <c r="DQ57" i="1"/>
  <c r="DR184" i="1"/>
  <c r="DQ183" i="1"/>
  <c r="DR183" i="1"/>
  <c r="DS183" i="1"/>
  <c r="DQ180" i="1"/>
  <c r="DJ190" i="1"/>
  <c r="DS145" i="1"/>
  <c r="DR144" i="1"/>
  <c r="DS140" i="1"/>
  <c r="DP171" i="1"/>
  <c r="DM182" i="1"/>
  <c r="DQ182" i="1"/>
  <c r="DQ186" i="1"/>
  <c r="DM36" i="1"/>
  <c r="DS36" i="1"/>
  <c r="CP166" i="1"/>
  <c r="CV4" i="1"/>
  <c r="E28" i="1"/>
  <c r="AY136" i="1"/>
  <c r="CP139" i="1"/>
  <c r="DQ159" i="1"/>
  <c r="DM175" i="1"/>
  <c r="DQ177" i="1"/>
  <c r="DM63" i="1"/>
  <c r="DS75" i="1"/>
  <c r="DM75" i="1"/>
  <c r="DQ151" i="1"/>
  <c r="DS151" i="1"/>
  <c r="DM188" i="1"/>
  <c r="DS46" i="1"/>
  <c r="DQ46" i="1"/>
  <c r="DP161" i="1"/>
  <c r="DL79" i="1"/>
  <c r="EF84" i="1"/>
  <c r="DM140" i="1"/>
  <c r="DL175" i="1"/>
  <c r="DM21" i="1"/>
  <c r="DQ175" i="1"/>
  <c r="DM143" i="1"/>
  <c r="DR182" i="1"/>
  <c r="DS182" i="1"/>
  <c r="DJ136" i="1"/>
  <c r="DM174" i="1"/>
  <c r="DM142" i="1"/>
  <c r="DQ188" i="1"/>
  <c r="DS184" i="1"/>
  <c r="DL139" i="1"/>
  <c r="DM162" i="1"/>
  <c r="DM177" i="1"/>
  <c r="DS155" i="1"/>
  <c r="DS188" i="1"/>
  <c r="DS152" i="1"/>
  <c r="DM161" i="1"/>
  <c r="DQ170" i="1"/>
  <c r="DR179" i="1"/>
  <c r="CP171" i="1"/>
  <c r="DP143" i="1"/>
  <c r="DL149" i="1"/>
  <c r="DP28" i="1"/>
  <c r="DL28" i="1"/>
  <c r="CP157" i="1"/>
  <c r="DP10" i="1"/>
  <c r="DM151" i="1"/>
  <c r="DH136" i="1"/>
  <c r="DH191" i="1" s="1"/>
  <c r="DQ13" i="1"/>
  <c r="DQ164" i="1"/>
  <c r="DL143" i="1"/>
  <c r="DK81" i="1"/>
  <c r="DS142" i="1"/>
  <c r="DQ6" i="1"/>
  <c r="DP149" i="1"/>
  <c r="DM144" i="1"/>
  <c r="DS156" i="1"/>
  <c r="DP59" i="1"/>
  <c r="DM184" i="1"/>
  <c r="DP140" i="1"/>
  <c r="DP151" i="1"/>
  <c r="DQ73" i="1"/>
  <c r="DM46" i="1"/>
  <c r="DQ161" i="1"/>
  <c r="DP142" i="1"/>
  <c r="DS159" i="1"/>
  <c r="DM155" i="1"/>
  <c r="DR139" i="1"/>
  <c r="DM173" i="1"/>
  <c r="DP45" i="1"/>
  <c r="DL45" i="1"/>
  <c r="DK3" i="1"/>
  <c r="CK136" i="1"/>
  <c r="CK191" i="1" s="1"/>
  <c r="DS26" i="1"/>
  <c r="CU3" i="1"/>
  <c r="DS60" i="1"/>
  <c r="DM60" i="1"/>
  <c r="DQ138" i="1"/>
  <c r="DS138" i="1"/>
  <c r="DL38" i="1"/>
  <c r="DP18" i="1"/>
  <c r="DK190" i="1"/>
  <c r="CS134" i="1"/>
  <c r="CR134" i="1"/>
  <c r="CM42" i="1"/>
  <c r="CL42" i="1"/>
  <c r="CK132" i="1"/>
  <c r="CJ132" i="1" s="1"/>
  <c r="CK131" i="1"/>
  <c r="CJ131" i="1" s="1"/>
  <c r="DS35" i="1"/>
  <c r="DM35" i="1"/>
  <c r="DS10" i="1"/>
  <c r="DQ10" i="1"/>
  <c r="DQ11" i="1"/>
  <c r="DM8" i="1"/>
  <c r="DQ8" i="1"/>
  <c r="DL9" i="1"/>
  <c r="DP9" i="1"/>
  <c r="CV29" i="1"/>
  <c r="CS136" i="1"/>
  <c r="CV31" i="1"/>
  <c r="DK80" i="1"/>
  <c r="DS48" i="1"/>
  <c r="DQ63" i="1"/>
  <c r="CL134" i="1"/>
  <c r="DK191" i="1"/>
  <c r="DI136" i="1"/>
  <c r="DI190" i="1" s="1"/>
  <c r="CQ136" i="1"/>
  <c r="BI143" i="1"/>
  <c r="DP5" i="1"/>
  <c r="DL33" i="1"/>
  <c r="DQ35" i="1"/>
  <c r="DM10" i="1"/>
  <c r="DQ21" i="1"/>
  <c r="DL72" i="1"/>
  <c r="EI3" i="1"/>
  <c r="DS6" i="1"/>
  <c r="DM48" i="1"/>
  <c r="DL73" i="1"/>
  <c r="DM11" i="1"/>
  <c r="DP178" i="1"/>
  <c r="DL57" i="1"/>
  <c r="DP63" i="1"/>
  <c r="DP177" i="1"/>
  <c r="DS57" i="1"/>
  <c r="DL176" i="1"/>
  <c r="DX169" i="1"/>
  <c r="EE136" i="1"/>
  <c r="DY176" i="1"/>
  <c r="BK176" i="1" s="1"/>
  <c r="EF136" i="1"/>
  <c r="DH3" i="1"/>
  <c r="DH39" i="1" s="1"/>
  <c r="DS74" i="1"/>
  <c r="DQ74" i="1"/>
  <c r="DM74" i="1"/>
  <c r="BZ128" i="1"/>
  <c r="DK136" i="1"/>
  <c r="DS176" i="1"/>
  <c r="DP70" i="1"/>
  <c r="DL70" i="1"/>
  <c r="DQ15" i="1"/>
  <c r="DM15" i="1"/>
  <c r="DL36" i="1"/>
  <c r="DP36" i="1"/>
  <c r="DS32" i="1"/>
  <c r="DQ32" i="1"/>
  <c r="DM22" i="1"/>
  <c r="DZ4" i="1"/>
  <c r="BL4" i="1" s="1"/>
  <c r="BS4" i="1" s="1"/>
  <c r="EG3" i="1"/>
  <c r="DZ87" i="1"/>
  <c r="BL87" i="1" s="1"/>
  <c r="BZ87" i="1" s="1"/>
  <c r="EG84" i="1"/>
  <c r="BZ90" i="1"/>
  <c r="BS90" i="1"/>
  <c r="CA182" i="1"/>
  <c r="E30" i="1"/>
  <c r="EE84" i="1"/>
  <c r="EI84" i="1"/>
  <c r="EH84" i="1"/>
  <c r="DL7" i="1"/>
  <c r="DM30" i="1"/>
  <c r="DL15" i="1"/>
  <c r="DS8" i="1"/>
  <c r="BU17" i="1"/>
  <c r="CP137" i="1"/>
  <c r="DS11" i="1"/>
  <c r="DR138" i="1"/>
  <c r="DP138" i="1"/>
  <c r="DL75" i="1"/>
  <c r="DS139" i="1"/>
  <c r="DM73" i="1"/>
  <c r="DS177" i="1"/>
  <c r="DM170" i="1"/>
  <c r="DJ191" i="1"/>
  <c r="DQ48" i="1"/>
  <c r="DQ139" i="1"/>
  <c r="DS63" i="1"/>
  <c r="DM179" i="1"/>
  <c r="BZ92" i="1"/>
  <c r="CB107" i="1"/>
  <c r="BS85" i="1"/>
  <c r="BI73" i="1"/>
  <c r="BI17" i="1"/>
  <c r="BY180" i="1"/>
  <c r="BZ94" i="1"/>
  <c r="BZ113" i="1"/>
  <c r="CC181" i="1"/>
  <c r="BU26" i="1"/>
  <c r="BV42" i="1"/>
  <c r="BU94" i="1"/>
  <c r="CC78" i="1"/>
  <c r="BS8" i="1"/>
  <c r="CB15" i="1"/>
  <c r="CA147" i="1"/>
  <c r="BU108" i="1"/>
  <c r="BU32" i="1"/>
  <c r="CB103" i="1"/>
  <c r="BT60" i="1"/>
  <c r="BU9" i="1"/>
  <c r="BZ124" i="1"/>
  <c r="CC74" i="1"/>
  <c r="BZ121" i="1"/>
  <c r="BI172" i="1"/>
  <c r="BI178" i="1"/>
  <c r="BU112" i="1"/>
  <c r="BS33" i="1"/>
  <c r="CA185" i="1"/>
  <c r="BZ104" i="1"/>
  <c r="BS102" i="1"/>
  <c r="BS94" i="1"/>
  <c r="CB32" i="1"/>
  <c r="CB108" i="1"/>
  <c r="BI12" i="1"/>
  <c r="BZ19" i="1"/>
  <c r="BZ126" i="1"/>
  <c r="CA71" i="1"/>
  <c r="BS28" i="1"/>
  <c r="BU118" i="1"/>
  <c r="BV119" i="1" s="1"/>
  <c r="CA170" i="1"/>
  <c r="BU100" i="1"/>
  <c r="BV100" i="1" s="1"/>
  <c r="BZ120" i="1"/>
  <c r="BK3" i="1"/>
  <c r="BI15" i="1"/>
  <c r="BZ22" i="1"/>
  <c r="CB105" i="1"/>
  <c r="BS121" i="1"/>
  <c r="BS26" i="1"/>
  <c r="BT26" i="1" s="1"/>
  <c r="BZ109" i="1"/>
  <c r="BZ36" i="1"/>
  <c r="BU111" i="1"/>
  <c r="BY144" i="1"/>
  <c r="CY142" i="1"/>
  <c r="BY142" i="1"/>
  <c r="BZ34" i="1"/>
  <c r="BS34" i="1"/>
  <c r="BZ95" i="1"/>
  <c r="BT76" i="1"/>
  <c r="BI24" i="1"/>
  <c r="BI25" i="1"/>
  <c r="BY181" i="1"/>
  <c r="BY182" i="1"/>
  <c r="BI152" i="1"/>
  <c r="BI151" i="1"/>
  <c r="BZ112" i="1"/>
  <c r="BS112" i="1"/>
  <c r="BZ105" i="1"/>
  <c r="CB130" i="1"/>
  <c r="BU130" i="1"/>
  <c r="BZ10" i="1"/>
  <c r="BS86" i="1"/>
  <c r="BS124" i="1"/>
  <c r="BZ114" i="1"/>
  <c r="CA48" i="1"/>
  <c r="CB8" i="1"/>
  <c r="CB44" i="1"/>
  <c r="CB81" i="1" s="1"/>
  <c r="CC77" i="1"/>
  <c r="CA58" i="1"/>
  <c r="CB87" i="1"/>
  <c r="BZ8" i="1"/>
  <c r="BY141" i="1"/>
  <c r="BS122" i="1"/>
  <c r="BS113" i="1"/>
  <c r="CB27" i="1"/>
  <c r="BZ125" i="1"/>
  <c r="BZ119" i="1"/>
  <c r="BS29" i="1"/>
  <c r="BN3" i="1"/>
  <c r="BS98" i="1"/>
  <c r="BS117" i="1"/>
  <c r="BT118" i="1" s="1"/>
  <c r="BS96" i="1"/>
  <c r="BZ116" i="1"/>
  <c r="BS10" i="1"/>
  <c r="BS37" i="1"/>
  <c r="BS38" i="1"/>
  <c r="BU123" i="1"/>
  <c r="BI72" i="1"/>
  <c r="CB19" i="1"/>
  <c r="BI179" i="1"/>
  <c r="BT138" i="1"/>
  <c r="CY179" i="1"/>
  <c r="CB93" i="1"/>
  <c r="CS42" i="1"/>
  <c r="BY179" i="1"/>
  <c r="BI157" i="1"/>
  <c r="BI141" i="1"/>
  <c r="BI60" i="1"/>
  <c r="E77" i="1"/>
  <c r="CP75" i="1"/>
  <c r="CC178" i="1"/>
  <c r="E73" i="1"/>
  <c r="CP62" i="1"/>
  <c r="E48" i="1"/>
  <c r="CC138" i="1"/>
  <c r="BZ24" i="1"/>
  <c r="BS107" i="1"/>
  <c r="E46" i="1"/>
  <c r="CC58" i="1"/>
  <c r="CB120" i="1"/>
  <c r="CP57" i="1"/>
  <c r="CC157" i="1"/>
  <c r="E59" i="1"/>
  <c r="BU126" i="1"/>
  <c r="CC145" i="1"/>
  <c r="BZ91" i="1"/>
  <c r="BU21" i="1"/>
  <c r="CB92" i="1"/>
  <c r="BS92" i="1"/>
  <c r="CY180" i="1"/>
  <c r="CU44" i="1"/>
  <c r="CP77" i="1"/>
  <c r="BO3" i="1"/>
  <c r="BV43" i="1"/>
  <c r="BU124" i="1"/>
  <c r="CP45" i="1"/>
  <c r="BU91" i="1"/>
  <c r="CB98" i="1"/>
  <c r="CA142" i="1"/>
  <c r="BZ23" i="1"/>
  <c r="CA174" i="1"/>
  <c r="BS21" i="1"/>
  <c r="BS27" i="1"/>
  <c r="CC144" i="1"/>
  <c r="BU114" i="1"/>
  <c r="BS125" i="1"/>
  <c r="CA189" i="1"/>
  <c r="CA148" i="1"/>
  <c r="CA61" i="1"/>
  <c r="CA178" i="1"/>
  <c r="CP48" i="1"/>
  <c r="CP47" i="1"/>
  <c r="BZ85" i="1"/>
  <c r="CY182" i="1"/>
  <c r="BZ35" i="1"/>
  <c r="BU22" i="1"/>
  <c r="CB89" i="1"/>
  <c r="CP61" i="1"/>
  <c r="BT73" i="1"/>
  <c r="BU10" i="1"/>
  <c r="BS105" i="1"/>
  <c r="BZ129" i="1"/>
  <c r="BH134" i="1"/>
  <c r="AY3" i="1"/>
  <c r="CS1" i="1"/>
  <c r="CR1" i="1"/>
  <c r="CV5" i="1"/>
  <c r="DL77" i="1"/>
  <c r="DP77" i="1"/>
  <c r="CP4" i="1"/>
  <c r="CL1" i="1"/>
  <c r="DM5" i="1"/>
  <c r="DS5" i="1"/>
  <c r="DQ18" i="1"/>
  <c r="DM18" i="1"/>
  <c r="DS18" i="1"/>
  <c r="DL35" i="1"/>
  <c r="DP35" i="1"/>
  <c r="DS9" i="1"/>
  <c r="DQ9" i="1"/>
  <c r="DI3" i="1"/>
  <c r="DI40" i="1" s="1"/>
  <c r="DP11" i="1"/>
  <c r="DQ19" i="1"/>
  <c r="DS19" i="1"/>
  <c r="DM19" i="1"/>
  <c r="DQ20" i="1"/>
  <c r="DM20" i="1"/>
  <c r="DS33" i="1"/>
  <c r="BZ12" i="1"/>
  <c r="BS12" i="1"/>
  <c r="E38" i="1"/>
  <c r="CS3" i="1"/>
  <c r="CP71" i="1"/>
  <c r="CO3" i="1"/>
  <c r="CO39" i="1" s="1"/>
  <c r="CP5" i="1"/>
  <c r="CA145" i="1"/>
  <c r="DL14" i="1"/>
  <c r="CB10" i="1"/>
  <c r="BU120" i="1"/>
  <c r="BV120" i="1" s="1"/>
  <c r="BU88" i="1"/>
  <c r="CA78" i="1"/>
  <c r="BZ20" i="1"/>
  <c r="CO44" i="1"/>
  <c r="CO81" i="1" s="1"/>
  <c r="BZ27" i="1"/>
  <c r="CA180" i="1"/>
  <c r="CA159" i="1"/>
  <c r="BZ16" i="1"/>
  <c r="CB22" i="1"/>
  <c r="CA62" i="1"/>
  <c r="DQ33" i="1"/>
  <c r="DS22" i="1"/>
  <c r="DM9" i="1"/>
  <c r="CY178" i="1"/>
  <c r="DL8" i="1"/>
  <c r="DP25" i="1"/>
  <c r="DP47" i="1"/>
  <c r="DL47" i="1"/>
  <c r="DQ12" i="1"/>
  <c r="DS12" i="1"/>
  <c r="DM12" i="1"/>
  <c r="DQ16" i="1"/>
  <c r="DK40" i="1"/>
  <c r="DL13" i="1"/>
  <c r="DP13" i="1"/>
  <c r="DL4" i="1"/>
  <c r="DP4" i="1"/>
  <c r="DW9" i="1"/>
  <c r="DQ26" i="1"/>
  <c r="DM26" i="1"/>
  <c r="DM76" i="1"/>
  <c r="DQ76" i="1"/>
  <c r="DQ47" i="1"/>
  <c r="DJ80" i="1"/>
  <c r="DM47" i="1"/>
  <c r="DJ44" i="1"/>
  <c r="DS47" i="1"/>
  <c r="DJ81" i="1"/>
  <c r="BK84" i="1"/>
  <c r="CM1" i="1"/>
  <c r="DJ3" i="1"/>
  <c r="CB95" i="1"/>
  <c r="CB91" i="1"/>
  <c r="BU5" i="1"/>
  <c r="BS110" i="1"/>
  <c r="BS91" i="1"/>
  <c r="BS123" i="1"/>
  <c r="BZ107" i="1"/>
  <c r="BS129" i="1"/>
  <c r="BZ103" i="1"/>
  <c r="BT72" i="1"/>
  <c r="BU98" i="1"/>
  <c r="CA63" i="1"/>
  <c r="EJ3" i="1"/>
  <c r="CC59" i="1"/>
  <c r="DM34" i="1"/>
  <c r="EE44" i="1"/>
  <c r="BS30" i="1"/>
  <c r="DL11" i="1"/>
  <c r="CB13" i="1"/>
  <c r="CC143" i="1"/>
  <c r="DL29" i="1"/>
  <c r="DL19" i="1"/>
  <c r="DS24" i="1"/>
  <c r="DM16" i="1"/>
  <c r="DL30" i="1"/>
  <c r="CA175" i="1"/>
  <c r="DQ5" i="1"/>
  <c r="CB110" i="1"/>
  <c r="DS20" i="1"/>
  <c r="BI188" i="1"/>
  <c r="BI187" i="1"/>
  <c r="BH3" i="1"/>
  <c r="DQ38" i="1"/>
  <c r="DS38" i="1"/>
  <c r="DM31" i="1"/>
  <c r="DQ31" i="1"/>
  <c r="DY45" i="1"/>
  <c r="BK45" i="1" s="1"/>
  <c r="EF44" i="1"/>
  <c r="DL21" i="1"/>
  <c r="DP21" i="1"/>
  <c r="DQ37" i="1"/>
  <c r="DS37" i="1"/>
  <c r="DS29" i="1"/>
  <c r="DQ29" i="1"/>
  <c r="DM17" i="1"/>
  <c r="DQ17" i="1"/>
  <c r="DM23" i="1"/>
  <c r="DS23" i="1"/>
  <c r="CS44" i="1"/>
  <c r="CP11" i="1"/>
  <c r="CM3" i="1"/>
  <c r="CM40" i="1" s="1"/>
  <c r="CB14" i="1"/>
  <c r="DM72" i="1"/>
  <c r="DS72" i="1"/>
  <c r="BI163" i="1"/>
  <c r="BI162" i="1"/>
  <c r="DJ40" i="1"/>
  <c r="EH3" i="1"/>
  <c r="EF3" i="1"/>
  <c r="DS76" i="1"/>
  <c r="EE3" i="1"/>
  <c r="CK44" i="1"/>
  <c r="CK81" i="1" s="1"/>
  <c r="BU86" i="1"/>
  <c r="BT43" i="1"/>
  <c r="BN84" i="1"/>
  <c r="CK3" i="1"/>
  <c r="CK39" i="1" s="1"/>
  <c r="CA141" i="1"/>
  <c r="BH1" i="1"/>
  <c r="BH39" i="1"/>
  <c r="BZ44" i="1"/>
  <c r="BZ81" i="1" s="1"/>
  <c r="DL32" i="1"/>
  <c r="DK39" i="1"/>
  <c r="DJ39" i="1"/>
  <c r="DS16" i="1"/>
  <c r="DQ23" i="1"/>
  <c r="DS34" i="1"/>
  <c r="DM33" i="1"/>
  <c r="DV76" i="1"/>
  <c r="BI78" i="1"/>
  <c r="DW4" i="1"/>
  <c r="CQ44" i="1"/>
  <c r="CY177" i="1"/>
  <c r="CY141" i="1"/>
  <c r="DM37" i="1"/>
  <c r="BI14" i="1"/>
  <c r="BS93" i="1"/>
  <c r="BU44" i="1"/>
  <c r="BU81" i="1" s="1"/>
  <c r="CC154" i="1"/>
  <c r="BZ7" i="1"/>
  <c r="CB117" i="1"/>
  <c r="BU38" i="1"/>
  <c r="BS35" i="1"/>
  <c r="CC183" i="1"/>
  <c r="BZ9" i="1"/>
  <c r="CA155" i="1"/>
  <c r="CA188" i="1"/>
  <c r="CP63" i="1"/>
  <c r="DI44" i="1"/>
  <c r="DI80" i="1" s="1"/>
  <c r="DL48" i="1"/>
  <c r="DP58" i="1"/>
  <c r="DL60" i="1"/>
  <c r="ES137" i="1"/>
  <c r="DP71" i="1"/>
  <c r="BH190" i="1"/>
  <c r="BI33" i="1"/>
  <c r="BI174" i="1"/>
  <c r="BI182" i="1"/>
  <c r="BI77" i="1"/>
  <c r="BI19" i="1"/>
  <c r="BI134" i="1"/>
  <c r="BI35" i="1"/>
  <c r="BI180" i="1"/>
  <c r="BI158" i="1"/>
  <c r="BS97" i="1"/>
  <c r="BS101" i="1"/>
  <c r="BS24" i="1"/>
  <c r="CC156" i="1"/>
  <c r="CB97" i="1"/>
  <c r="CB21" i="1"/>
  <c r="BU92" i="1"/>
  <c r="BS15" i="1"/>
  <c r="CB124" i="1"/>
  <c r="BU11" i="1"/>
  <c r="CY144" i="1"/>
  <c r="BZ21" i="1"/>
  <c r="CB90" i="1"/>
  <c r="CA149" i="1"/>
  <c r="BU107" i="1"/>
  <c r="BU89" i="1"/>
  <c r="BI166" i="1"/>
  <c r="BY183" i="1"/>
  <c r="BI183" i="1"/>
  <c r="BI16" i="1"/>
  <c r="CA173" i="1"/>
  <c r="CA46" i="1"/>
  <c r="BT46" i="1"/>
  <c r="CC147" i="1"/>
  <c r="CB26" i="1"/>
  <c r="CB94" i="1"/>
  <c r="BU15" i="1"/>
  <c r="BU103" i="1"/>
  <c r="CB9" i="1"/>
  <c r="BI161" i="1"/>
  <c r="DP78" i="1"/>
  <c r="DW48" i="1"/>
  <c r="DL171" i="1"/>
  <c r="BI29" i="1"/>
  <c r="BI30" i="1"/>
  <c r="BI175" i="1"/>
  <c r="BI176" i="1"/>
  <c r="BH80" i="1"/>
  <c r="BH44" i="1"/>
  <c r="BI80" i="1"/>
  <c r="BI79" i="1"/>
  <c r="BI22" i="1"/>
  <c r="BI21" i="1"/>
  <c r="BY178" i="1"/>
  <c r="CY184" i="1"/>
  <c r="BY184" i="1"/>
  <c r="BI59" i="1"/>
  <c r="BU115" i="1"/>
  <c r="CB115" i="1"/>
  <c r="CC185" i="1"/>
  <c r="CC184" i="1"/>
  <c r="CY137" i="1"/>
  <c r="CA138" i="1"/>
  <c r="BZ136" i="1"/>
  <c r="CB121" i="1"/>
  <c r="BU121" i="1"/>
  <c r="CB126" i="1"/>
  <c r="BM3" i="1"/>
  <c r="BS23" i="1"/>
  <c r="BU14" i="1"/>
  <c r="BI139" i="1"/>
  <c r="BI146" i="1"/>
  <c r="BI147" i="1"/>
  <c r="BI47" i="1"/>
  <c r="BI46" i="1"/>
  <c r="BI10" i="1"/>
  <c r="BI9" i="1"/>
  <c r="BI185" i="1"/>
  <c r="BI184" i="1"/>
  <c r="BI38" i="1"/>
  <c r="BI37" i="1"/>
  <c r="BI1" i="1"/>
  <c r="BI36" i="1"/>
  <c r="BU23" i="1"/>
  <c r="CB23" i="1"/>
  <c r="CC161" i="1"/>
  <c r="CC160" i="1"/>
  <c r="CC149" i="1"/>
  <c r="CC148" i="1"/>
  <c r="BT63" i="1"/>
  <c r="BT62" i="1"/>
  <c r="BT140" i="1"/>
  <c r="CW139" i="1"/>
  <c r="CA153" i="1"/>
  <c r="CA154" i="1"/>
  <c r="BU127" i="1"/>
  <c r="CB127" i="1"/>
  <c r="CB96" i="1"/>
  <c r="BU96" i="1"/>
  <c r="CC72" i="1"/>
  <c r="CC73" i="1"/>
  <c r="BS22" i="1"/>
  <c r="CA60" i="1"/>
  <c r="CY140" i="1"/>
  <c r="CC140" i="1"/>
  <c r="CC141" i="1"/>
  <c r="BU37" i="1"/>
  <c r="BZ33" i="1"/>
  <c r="CA181" i="1"/>
  <c r="BS31" i="1"/>
  <c r="BZ31" i="1"/>
  <c r="BT59" i="1"/>
  <c r="BY140" i="1"/>
  <c r="CY139" i="1"/>
  <c r="BY139" i="1"/>
  <c r="BI171" i="1"/>
  <c r="BI170" i="1"/>
  <c r="BZ93" i="1"/>
  <c r="CB136" i="1"/>
  <c r="BI39" i="1"/>
  <c r="CB85" i="1"/>
  <c r="CC47" i="1"/>
  <c r="BU20" i="1"/>
  <c r="BI42" i="1"/>
  <c r="BH42" i="1"/>
  <c r="BO84" i="1"/>
  <c r="BI190" i="1"/>
  <c r="CB33" i="1"/>
  <c r="BS6" i="1"/>
  <c r="BI154" i="1"/>
  <c r="CY183" i="1"/>
  <c r="BU125" i="1"/>
  <c r="BI160" i="1"/>
  <c r="BS9" i="1"/>
  <c r="BU117" i="1"/>
  <c r="CY143" i="1"/>
  <c r="BY143" i="1"/>
  <c r="BT42" i="1"/>
  <c r="CY181" i="1"/>
  <c r="BS136" i="1"/>
  <c r="BT137" i="1" s="1"/>
  <c r="CA152" i="1"/>
  <c r="BS44" i="1"/>
  <c r="BS80" i="1" s="1"/>
  <c r="BS11" i="1"/>
  <c r="BH136" i="1"/>
  <c r="BI8" i="1"/>
  <c r="BI63" i="1"/>
  <c r="CB36" i="1"/>
  <c r="BU104" i="1"/>
  <c r="BS13" i="1"/>
  <c r="BS18" i="1"/>
  <c r="BU116" i="1"/>
  <c r="CB38" i="1"/>
  <c r="CA187" i="1"/>
  <c r="CA177" i="1"/>
  <c r="CC182" i="1"/>
  <c r="CA172" i="1"/>
  <c r="CA171" i="1"/>
  <c r="BU129" i="1"/>
  <c r="CB129" i="1"/>
  <c r="CA163" i="1"/>
  <c r="CA162" i="1"/>
  <c r="BU102" i="1"/>
  <c r="BU105" i="1"/>
  <c r="BU16" i="1"/>
  <c r="CB16" i="1"/>
  <c r="CA165" i="1"/>
  <c r="CB116" i="1"/>
  <c r="CC155" i="1"/>
  <c r="CC186" i="1"/>
  <c r="DV183" i="1"/>
  <c r="DL16" i="1"/>
  <c r="BU7" i="1"/>
  <c r="DM153" i="1"/>
  <c r="DQ153" i="1"/>
  <c r="CA150" i="1"/>
  <c r="DM58" i="1"/>
  <c r="CC179" i="1"/>
  <c r="BU4" i="1"/>
  <c r="DQ77" i="1"/>
  <c r="BI140" i="1"/>
  <c r="DL174" i="1"/>
  <c r="DM24" i="1"/>
  <c r="DL17" i="1"/>
  <c r="DP24" i="1"/>
  <c r="BI75" i="1"/>
  <c r="BI20" i="1"/>
  <c r="BM84" i="1"/>
  <c r="ES175" i="1" l="1"/>
  <c r="ES141" i="1"/>
  <c r="ES143" i="1"/>
  <c r="BT115" i="1"/>
  <c r="BT116" i="1"/>
  <c r="CC35" i="1"/>
  <c r="CC36" i="1"/>
  <c r="ES46" i="1"/>
  <c r="ED144" i="1"/>
  <c r="ED45" i="1"/>
  <c r="CA99" i="1"/>
  <c r="CA100" i="1"/>
  <c r="ED150" i="1"/>
  <c r="ES142" i="1"/>
  <c r="ED148" i="1"/>
  <c r="ED151" i="1"/>
  <c r="ES146" i="1"/>
  <c r="ED152" i="1"/>
  <c r="EK153" i="1"/>
  <c r="EK35" i="1"/>
  <c r="ES22" i="1"/>
  <c r="ES154" i="1"/>
  <c r="ES171" i="1"/>
  <c r="ED174" i="1"/>
  <c r="ES169" i="1"/>
  <c r="CA128" i="1"/>
  <c r="ED78" i="1"/>
  <c r="EK160" i="1"/>
  <c r="ES63" i="1"/>
  <c r="EK5" i="1"/>
  <c r="EK61" i="1"/>
  <c r="CC123" i="1"/>
  <c r="CC124" i="1"/>
  <c r="EK177" i="1"/>
  <c r="ET177" i="1" s="1"/>
  <c r="ED177" i="1"/>
  <c r="ED178" i="1"/>
  <c r="EK178" i="1"/>
  <c r="ET178" i="1" s="1"/>
  <c r="EK149" i="1"/>
  <c r="ES38" i="1"/>
  <c r="EK38" i="1"/>
  <c r="EK173" i="1"/>
  <c r="EK158" i="1"/>
  <c r="ES19" i="1"/>
  <c r="ED28" i="1"/>
  <c r="EK60" i="1"/>
  <c r="EK79" i="1"/>
  <c r="EK7" i="1"/>
  <c r="ED72" i="1"/>
  <c r="EK174" i="1"/>
  <c r="ES174" i="1"/>
  <c r="EK154" i="1"/>
  <c r="ES181" i="1"/>
  <c r="ED181" i="1"/>
  <c r="ED154" i="1"/>
  <c r="ED142" i="1"/>
  <c r="EK142" i="1"/>
  <c r="ET142" i="1" s="1"/>
  <c r="EK148" i="1"/>
  <c r="ES148" i="1"/>
  <c r="ED141" i="1"/>
  <c r="EK147" i="1"/>
  <c r="EK141" i="1"/>
  <c r="ET141" i="1" s="1"/>
  <c r="ED186" i="1"/>
  <c r="ES159" i="1"/>
  <c r="ED12" i="1"/>
  <c r="EK20" i="1"/>
  <c r="ES162" i="1"/>
  <c r="EK162" i="1"/>
  <c r="ED139" i="1"/>
  <c r="ES138" i="1"/>
  <c r="EK138" i="1"/>
  <c r="ET138" i="1" s="1"/>
  <c r="ED176" i="1"/>
  <c r="EK71" i="1"/>
  <c r="EK186" i="1"/>
  <c r="ES144" i="1"/>
  <c r="ES165" i="1"/>
  <c r="ES166" i="1"/>
  <c r="EK140" i="1"/>
  <c r="ET140" i="1" s="1"/>
  <c r="EK12" i="1"/>
  <c r="ES140" i="1"/>
  <c r="EK144" i="1"/>
  <c r="ET144" i="1" s="1"/>
  <c r="ED158" i="1"/>
  <c r="ES158" i="1"/>
  <c r="EK8" i="1"/>
  <c r="ED14" i="1"/>
  <c r="ES36" i="1"/>
  <c r="EK77" i="1"/>
  <c r="ES180" i="1"/>
  <c r="ES14" i="1"/>
  <c r="ED159" i="1"/>
  <c r="EK152" i="1"/>
  <c r="EK180" i="1"/>
  <c r="ET180" i="1" s="1"/>
  <c r="EK159" i="1"/>
  <c r="ED20" i="1"/>
  <c r="EK17" i="1"/>
  <c r="ES30" i="1"/>
  <c r="ES12" i="1"/>
  <c r="ED164" i="1"/>
  <c r="ES45" i="1"/>
  <c r="EK157" i="1"/>
  <c r="ED76" i="1"/>
  <c r="EK172" i="1"/>
  <c r="EK146" i="1"/>
  <c r="ED160" i="1"/>
  <c r="ES160" i="1"/>
  <c r="EK14" i="1"/>
  <c r="EK175" i="1"/>
  <c r="ED189" i="1"/>
  <c r="EK46" i="1"/>
  <c r="EK161" i="1"/>
  <c r="ED161" i="1"/>
  <c r="ES79" i="1"/>
  <c r="ED79" i="1"/>
  <c r="ES184" i="1"/>
  <c r="ES24" i="1"/>
  <c r="ES11" i="1"/>
  <c r="ED156" i="1"/>
  <c r="ES157" i="1"/>
  <c r="ED143" i="1"/>
  <c r="ED146" i="1"/>
  <c r="ES10" i="1"/>
  <c r="ED10" i="1"/>
  <c r="ED169" i="1"/>
  <c r="ES172" i="1"/>
  <c r="ES170" i="1"/>
  <c r="ED157" i="1"/>
  <c r="ES48" i="1"/>
  <c r="ED179" i="1"/>
  <c r="EK188" i="1"/>
  <c r="ES188" i="1"/>
  <c r="EK143" i="1"/>
  <c r="ET143" i="1" s="1"/>
  <c r="ES185" i="1"/>
  <c r="ED170" i="1"/>
  <c r="EK28" i="1"/>
  <c r="EK179" i="1"/>
  <c r="ET179" i="1" s="1"/>
  <c r="EK18" i="1"/>
  <c r="ES139" i="1"/>
  <c r="ED175" i="1"/>
  <c r="EK150" i="1"/>
  <c r="ES150" i="1"/>
  <c r="ES189" i="1"/>
  <c r="ED184" i="1"/>
  <c r="EK139" i="1"/>
  <c r="ET139" i="1" s="1"/>
  <c r="CA29" i="1"/>
  <c r="ES155" i="1"/>
  <c r="EK156" i="1"/>
  <c r="ED173" i="1"/>
  <c r="ES156" i="1"/>
  <c r="EK166" i="1"/>
  <c r="EK164" i="1"/>
  <c r="ES153" i="1"/>
  <c r="ED153" i="1"/>
  <c r="ED21" i="1"/>
  <c r="ED24" i="1"/>
  <c r="ED11" i="1"/>
  <c r="ED18" i="1"/>
  <c r="ES28" i="1"/>
  <c r="ES149" i="1"/>
  <c r="ED185" i="1"/>
  <c r="EK33" i="1"/>
  <c r="ED71" i="1"/>
  <c r="ED35" i="1"/>
  <c r="EK21" i="1"/>
  <c r="EK171" i="1"/>
  <c r="ED149" i="1"/>
  <c r="ED171" i="1"/>
  <c r="ES71" i="1"/>
  <c r="ES35" i="1"/>
  <c r="EK11" i="1"/>
  <c r="ES173" i="1"/>
  <c r="ES9" i="1"/>
  <c r="EK165" i="1"/>
  <c r="ED26" i="1"/>
  <c r="EK47" i="1"/>
  <c r="ES18" i="1"/>
  <c r="ES29" i="1"/>
  <c r="EK16" i="1"/>
  <c r="EK24" i="1"/>
  <c r="ES75" i="1"/>
  <c r="ES73" i="1"/>
  <c r="ED62" i="1"/>
  <c r="EK30" i="1"/>
  <c r="EK36" i="1"/>
  <c r="ED77" i="1"/>
  <c r="ES187" i="1"/>
  <c r="ES61" i="1"/>
  <c r="ES77" i="1"/>
  <c r="ES5" i="1"/>
  <c r="ED30" i="1"/>
  <c r="ES182" i="1"/>
  <c r="ES20" i="1"/>
  <c r="ED61" i="1"/>
  <c r="ED36" i="1"/>
  <c r="ED5" i="1"/>
  <c r="ED75" i="1"/>
  <c r="ED73" i="1"/>
  <c r="ED182" i="1"/>
  <c r="ES151" i="1"/>
  <c r="ED187" i="1"/>
  <c r="EK167" i="1"/>
  <c r="EK151" i="1"/>
  <c r="ED16" i="1"/>
  <c r="ES16" i="1"/>
  <c r="ES167" i="1"/>
  <c r="ES152" i="1"/>
  <c r="ES23" i="1"/>
  <c r="ES62" i="1"/>
  <c r="EK31" i="1"/>
  <c r="ED22" i="1"/>
  <c r="ED70" i="1"/>
  <c r="ED19" i="1"/>
  <c r="EK6" i="1"/>
  <c r="ES15" i="1"/>
  <c r="ED147" i="1"/>
  <c r="ES70" i="1"/>
  <c r="ED63" i="1"/>
  <c r="ED46" i="1"/>
  <c r="EK15" i="1"/>
  <c r="EK22" i="1"/>
  <c r="EK19" i="1"/>
  <c r="EK37" i="1"/>
  <c r="EK63" i="1"/>
  <c r="EK62" i="1"/>
  <c r="ED29" i="1"/>
  <c r="ED15" i="1"/>
  <c r="ED37" i="1"/>
  <c r="ES8" i="1"/>
  <c r="ED8" i="1"/>
  <c r="ES147" i="1"/>
  <c r="EK145" i="1"/>
  <c r="ED6" i="1"/>
  <c r="ES145" i="1"/>
  <c r="ES6" i="1"/>
  <c r="BT17" i="1"/>
  <c r="EK32" i="1"/>
  <c r="ED33" i="1"/>
  <c r="EK75" i="1"/>
  <c r="EK73" i="1"/>
  <c r="ED34" i="1"/>
  <c r="EK27" i="1"/>
  <c r="ES25" i="1"/>
  <c r="ES59" i="1"/>
  <c r="EK57" i="1"/>
  <c r="EK26" i="1"/>
  <c r="ES21" i="1"/>
  <c r="EK155" i="1"/>
  <c r="EK23" i="1"/>
  <c r="ES31" i="1"/>
  <c r="ED47" i="1"/>
  <c r="ES34" i="1"/>
  <c r="ED31" i="1"/>
  <c r="ES26" i="1"/>
  <c r="ED25" i="1"/>
  <c r="ES47" i="1"/>
  <c r="ES72" i="1"/>
  <c r="ES33" i="1"/>
  <c r="ED155" i="1"/>
  <c r="EK13" i="1"/>
  <c r="ES27" i="1"/>
  <c r="ED23" i="1"/>
  <c r="EK29" i="1"/>
  <c r="EK70" i="1"/>
  <c r="EK34" i="1"/>
  <c r="ED58" i="1"/>
  <c r="EK25" i="1"/>
  <c r="EK59" i="1"/>
  <c r="ED57" i="1"/>
  <c r="ES74" i="1"/>
  <c r="EK72" i="1"/>
  <c r="EK58" i="1"/>
  <c r="ED60" i="1"/>
  <c r="ES58" i="1"/>
  <c r="ES57" i="1"/>
  <c r="EK78" i="1"/>
  <c r="ED27" i="1"/>
  <c r="ES60" i="1"/>
  <c r="ES78" i="1"/>
  <c r="ED59" i="1"/>
  <c r="BT101" i="1"/>
  <c r="CC28" i="1"/>
  <c r="BT100" i="1"/>
  <c r="CC6" i="1"/>
  <c r="CW155" i="1"/>
  <c r="CW173" i="1"/>
  <c r="CW186" i="1"/>
  <c r="CW164" i="1"/>
  <c r="CW174" i="1"/>
  <c r="CW166" i="1"/>
  <c r="CW76" i="1"/>
  <c r="CW58" i="1"/>
  <c r="CW61" i="1"/>
  <c r="BR70" i="1"/>
  <c r="BR57" i="1"/>
  <c r="CW78" i="1"/>
  <c r="CW46" i="1"/>
  <c r="CW59" i="1"/>
  <c r="CW73" i="1"/>
  <c r="CC7" i="1"/>
  <c r="CC104" i="1"/>
  <c r="BT103" i="1"/>
  <c r="BT104" i="1"/>
  <c r="ES7" i="1"/>
  <c r="ED7" i="1"/>
  <c r="BV25" i="1"/>
  <c r="BV106" i="1"/>
  <c r="CC30" i="1"/>
  <c r="CC31" i="1"/>
  <c r="BV13" i="1"/>
  <c r="CC101" i="1"/>
  <c r="CA18" i="1"/>
  <c r="CA103" i="1"/>
  <c r="BV114" i="1"/>
  <c r="CA124" i="1"/>
  <c r="CA123" i="1"/>
  <c r="BV110" i="1"/>
  <c r="CK82" i="1"/>
  <c r="CP131" i="1"/>
  <c r="BV88" i="1"/>
  <c r="CC114" i="1"/>
  <c r="BV113" i="1"/>
  <c r="BV24" i="1"/>
  <c r="CC8" i="1"/>
  <c r="CC102" i="1"/>
  <c r="CC120" i="1"/>
  <c r="CA30" i="1"/>
  <c r="CA89" i="1"/>
  <c r="CA101" i="1"/>
  <c r="BV37" i="1"/>
  <c r="BV36" i="1"/>
  <c r="CC119" i="1"/>
  <c r="ES32" i="1"/>
  <c r="CC128" i="1"/>
  <c r="CC129" i="1"/>
  <c r="CA115" i="1"/>
  <c r="BQ110" i="1"/>
  <c r="DR92" i="1"/>
  <c r="CA97" i="1"/>
  <c r="BV9" i="1"/>
  <c r="CA26" i="1"/>
  <c r="BV129" i="1"/>
  <c r="BV20" i="1"/>
  <c r="CC126" i="1"/>
  <c r="BV12" i="1"/>
  <c r="BT111" i="1"/>
  <c r="ED32" i="1"/>
  <c r="BV93" i="1"/>
  <c r="CA87" i="1"/>
  <c r="CA33" i="1"/>
  <c r="BV34" i="1"/>
  <c r="BV19" i="1"/>
  <c r="CA14" i="1"/>
  <c r="CA90" i="1"/>
  <c r="CA118" i="1"/>
  <c r="CA111" i="1"/>
  <c r="BV95" i="1"/>
  <c r="BV7" i="1"/>
  <c r="BV96" i="1"/>
  <c r="BT5" i="1"/>
  <c r="BT33" i="1"/>
  <c r="CA116" i="1"/>
  <c r="DI191" i="1"/>
  <c r="DN190" i="1"/>
  <c r="CC12" i="1"/>
  <c r="CC110" i="1"/>
  <c r="CC107" i="1"/>
  <c r="CC106" i="1"/>
  <c r="CC86" i="1"/>
  <c r="ED13" i="1"/>
  <c r="BT112" i="1"/>
  <c r="BV109" i="1"/>
  <c r="BT121" i="1"/>
  <c r="BT127" i="1"/>
  <c r="ES17" i="1"/>
  <c r="BT89" i="1"/>
  <c r="BT90" i="1"/>
  <c r="CA108" i="1"/>
  <c r="BX99" i="1"/>
  <c r="BY99" i="1" s="1"/>
  <c r="BX110" i="1"/>
  <c r="CY110" i="1" s="1"/>
  <c r="DR102" i="1"/>
  <c r="CA130" i="1"/>
  <c r="ES13" i="1"/>
  <c r="BX92" i="1"/>
  <c r="CY92" i="1" s="1"/>
  <c r="DR173" i="1"/>
  <c r="BX155" i="1"/>
  <c r="CY155" i="1" s="1"/>
  <c r="BX186" i="1"/>
  <c r="CY186" i="1" s="1"/>
  <c r="BX160" i="1"/>
  <c r="CY160" i="1" s="1"/>
  <c r="CZ161" i="1" s="1"/>
  <c r="DR122" i="1"/>
  <c r="BT20" i="1"/>
  <c r="BQ150" i="1"/>
  <c r="DR125" i="1"/>
  <c r="BX90" i="1"/>
  <c r="CY90" i="1" s="1"/>
  <c r="BQ175" i="1"/>
  <c r="DR126" i="1"/>
  <c r="DR32" i="1"/>
  <c r="DR99" i="1"/>
  <c r="CA102" i="1"/>
  <c r="DR113" i="1"/>
  <c r="BX174" i="1"/>
  <c r="CY174" i="1" s="1"/>
  <c r="DR118" i="1"/>
  <c r="CA98" i="1"/>
  <c r="DR154" i="1"/>
  <c r="DR174" i="1"/>
  <c r="BX154" i="1"/>
  <c r="CY154" i="1" s="1"/>
  <c r="BQ88" i="1"/>
  <c r="BX175" i="1"/>
  <c r="CY175" i="1" s="1"/>
  <c r="BX118" i="1"/>
  <c r="CY118" i="1" s="1"/>
  <c r="BX32" i="1"/>
  <c r="CY32" i="1" s="1"/>
  <c r="CC26" i="1"/>
  <c r="BX150" i="1"/>
  <c r="CY150" i="1" s="1"/>
  <c r="BX111" i="1"/>
  <c r="BX46" i="1"/>
  <c r="CY46" i="1" s="1"/>
  <c r="BQ127" i="1"/>
  <c r="DR161" i="1"/>
  <c r="BQ151" i="1"/>
  <c r="DR94" i="1"/>
  <c r="DR90" i="1"/>
  <c r="BX166" i="1"/>
  <c r="CY166" i="1" s="1"/>
  <c r="BQ185" i="1"/>
  <c r="BQ160" i="1"/>
  <c r="DR95" i="1"/>
  <c r="DR35" i="1"/>
  <c r="BQ161" i="1"/>
  <c r="DR98" i="1"/>
  <c r="BX126" i="1"/>
  <c r="CY126" i="1" s="1"/>
  <c r="BX151" i="1"/>
  <c r="CY151" i="1" s="1"/>
  <c r="BX187" i="1"/>
  <c r="CY187" i="1" s="1"/>
  <c r="BX125" i="1"/>
  <c r="BY125" i="1" s="1"/>
  <c r="DR48" i="1"/>
  <c r="BT21" i="1"/>
  <c r="BQ48" i="1"/>
  <c r="DR46" i="1"/>
  <c r="BX95" i="1"/>
  <c r="BY95" i="1" s="1"/>
  <c r="BQ98" i="1"/>
  <c r="DR91" i="1"/>
  <c r="DR88" i="1"/>
  <c r="BQ187" i="1"/>
  <c r="DR166" i="1"/>
  <c r="BQ104" i="1"/>
  <c r="DH80" i="1"/>
  <c r="BV35" i="1"/>
  <c r="BT120" i="1"/>
  <c r="BV102" i="1"/>
  <c r="BT18" i="1"/>
  <c r="BQ94" i="1"/>
  <c r="DR104" i="1"/>
  <c r="BQ111" i="1"/>
  <c r="BT7" i="1"/>
  <c r="BX102" i="1"/>
  <c r="CY102" i="1" s="1"/>
  <c r="BX127" i="1"/>
  <c r="CY127" i="1" s="1"/>
  <c r="BX185" i="1"/>
  <c r="BX91" i="1"/>
  <c r="BX108" i="1"/>
  <c r="CY108" i="1" s="1"/>
  <c r="DR153" i="1"/>
  <c r="BV123" i="1"/>
  <c r="DR149" i="1"/>
  <c r="BV111" i="1"/>
  <c r="BV30" i="1"/>
  <c r="BT128" i="1"/>
  <c r="CC29" i="1"/>
  <c r="CM191" i="1"/>
  <c r="BT14" i="1"/>
  <c r="BQ189" i="1"/>
  <c r="BQ163" i="1"/>
  <c r="ET163" i="1" s="1"/>
  <c r="BX162" i="1"/>
  <c r="BQ170" i="1"/>
  <c r="DR186" i="1"/>
  <c r="BV128" i="1"/>
  <c r="BX120" i="1"/>
  <c r="BY121" i="1" s="1"/>
  <c r="BX57" i="1"/>
  <c r="BY57" i="1" s="1"/>
  <c r="BT106" i="1"/>
  <c r="BT107" i="1"/>
  <c r="BT129" i="1"/>
  <c r="CA28" i="1"/>
  <c r="BT37" i="1"/>
  <c r="BX61" i="1"/>
  <c r="CY61" i="1" s="1"/>
  <c r="DR164" i="1"/>
  <c r="BQ157" i="1"/>
  <c r="CC21" i="1"/>
  <c r="DR124" i="1"/>
  <c r="BT109" i="1"/>
  <c r="DR23" i="1"/>
  <c r="BQ129" i="1"/>
  <c r="BX10" i="1"/>
  <c r="BY11" i="1" s="1"/>
  <c r="BQ10" i="1"/>
  <c r="DR37" i="1"/>
  <c r="DR30" i="1"/>
  <c r="BX33" i="1"/>
  <c r="CY33" i="1" s="1"/>
  <c r="BX129" i="1"/>
  <c r="CY129" i="1" s="1"/>
  <c r="CA15" i="1"/>
  <c r="DR123" i="1"/>
  <c r="ES4" i="1"/>
  <c r="BQ148" i="1"/>
  <c r="BX145" i="1"/>
  <c r="CY145" i="1" s="1"/>
  <c r="CZ146" i="1" s="1"/>
  <c r="BX18" i="1"/>
  <c r="BY19" i="1" s="1"/>
  <c r="DR108" i="1"/>
  <c r="BX23" i="1"/>
  <c r="BY23" i="1" s="1"/>
  <c r="BX35" i="1"/>
  <c r="ET35" i="1" s="1"/>
  <c r="BX123" i="1"/>
  <c r="CY123" i="1" s="1"/>
  <c r="BX122" i="1"/>
  <c r="CY122" i="1" s="1"/>
  <c r="BQ20" i="1"/>
  <c r="BX37" i="1"/>
  <c r="BY38" i="1" s="1"/>
  <c r="BX30" i="1"/>
  <c r="DR26" i="1"/>
  <c r="DR19" i="1"/>
  <c r="DR148" i="1"/>
  <c r="BX9" i="1"/>
  <c r="CY9" i="1" s="1"/>
  <c r="CA11" i="1"/>
  <c r="CA37" i="1"/>
  <c r="CC112" i="1"/>
  <c r="BQ19" i="1"/>
  <c r="BX34" i="1"/>
  <c r="CY34" i="1" s="1"/>
  <c r="BX27" i="1"/>
  <c r="CY27" i="1" s="1"/>
  <c r="DR20" i="1"/>
  <c r="BX7" i="1"/>
  <c r="CY7" i="1" s="1"/>
  <c r="BQ33" i="1"/>
  <c r="BQ27" i="1"/>
  <c r="CC38" i="1"/>
  <c r="BQ26" i="1"/>
  <c r="BQ145" i="1"/>
  <c r="DR18" i="1"/>
  <c r="DR9" i="1"/>
  <c r="BQ34" i="1"/>
  <c r="BQ7" i="1"/>
  <c r="ED183" i="1"/>
  <c r="EK183" i="1"/>
  <c r="ET183" i="1" s="1"/>
  <c r="BX152" i="1"/>
  <c r="CY152" i="1" s="1"/>
  <c r="DR152" i="1"/>
  <c r="DR155" i="1"/>
  <c r="BX170" i="1"/>
  <c r="CY170" i="1" s="1"/>
  <c r="CZ171" i="1" s="1"/>
  <c r="BX117" i="1"/>
  <c r="DR162" i="1"/>
  <c r="BQ146" i="1"/>
  <c r="BX172" i="1"/>
  <c r="CY172" i="1" s="1"/>
  <c r="CZ172" i="1" s="1"/>
  <c r="BR174" i="1"/>
  <c r="BQ114" i="1"/>
  <c r="DR172" i="1"/>
  <c r="BX100" i="1"/>
  <c r="ET100" i="1" s="1"/>
  <c r="BX189" i="1"/>
  <c r="CY189" i="1" s="1"/>
  <c r="BV98" i="1"/>
  <c r="BQ149" i="1"/>
  <c r="BQ159" i="1"/>
  <c r="BQ188" i="1"/>
  <c r="DR188" i="1"/>
  <c r="DR163" i="1"/>
  <c r="CZ138" i="1"/>
  <c r="DR159" i="1"/>
  <c r="DR171" i="1"/>
  <c r="CC32" i="1"/>
  <c r="BT97" i="1"/>
  <c r="CC115" i="1"/>
  <c r="DR146" i="1"/>
  <c r="CC88" i="1"/>
  <c r="BX173" i="1"/>
  <c r="CY173" i="1" s="1"/>
  <c r="BQ171" i="1"/>
  <c r="DR61" i="1"/>
  <c r="DR57" i="1"/>
  <c r="BQ115" i="1"/>
  <c r="ET115" i="1" s="1"/>
  <c r="DR70" i="1"/>
  <c r="BX164" i="1"/>
  <c r="BY164" i="1" s="1"/>
  <c r="BX78" i="1"/>
  <c r="CY78" i="1" s="1"/>
  <c r="CZ78" i="1" s="1"/>
  <c r="DR78" i="1"/>
  <c r="BX47" i="1"/>
  <c r="BY48" i="1" s="1"/>
  <c r="DR120" i="1"/>
  <c r="BX70" i="1"/>
  <c r="BY70" i="1" s="1"/>
  <c r="BQ109" i="1"/>
  <c r="DR115" i="1"/>
  <c r="BX109" i="1"/>
  <c r="DR157" i="1"/>
  <c r="BQ124" i="1"/>
  <c r="BX176" i="1"/>
  <c r="BY177" i="1" s="1"/>
  <c r="BQ158" i="1"/>
  <c r="BX130" i="1"/>
  <c r="ET130" i="1" s="1"/>
  <c r="CY188" i="1"/>
  <c r="CY153" i="1"/>
  <c r="BQ113" i="1"/>
  <c r="ET113" i="1" s="1"/>
  <c r="BX158" i="1"/>
  <c r="BY159" i="1" s="1"/>
  <c r="BQ153" i="1"/>
  <c r="DR130" i="1"/>
  <c r="DR168" i="1"/>
  <c r="BQ168" i="1"/>
  <c r="BX168" i="1"/>
  <c r="BQ165" i="1"/>
  <c r="BX165" i="1"/>
  <c r="DR165" i="1"/>
  <c r="BQ156" i="1"/>
  <c r="BX156" i="1"/>
  <c r="BX147" i="1"/>
  <c r="BY147" i="1" s="1"/>
  <c r="BQ147" i="1"/>
  <c r="EK176" i="1"/>
  <c r="BJ169" i="1"/>
  <c r="BQ169" i="1" s="1"/>
  <c r="EK169" i="1"/>
  <c r="BQ167" i="1"/>
  <c r="BX167" i="1"/>
  <c r="DR167" i="1"/>
  <c r="CA38" i="1"/>
  <c r="DR74" i="1"/>
  <c r="DR112" i="1"/>
  <c r="CC121" i="1"/>
  <c r="DR22" i="1"/>
  <c r="BQ119" i="1"/>
  <c r="BX112" i="1"/>
  <c r="CY112" i="1" s="1"/>
  <c r="DR87" i="1"/>
  <c r="BQ89" i="1"/>
  <c r="DR96" i="1"/>
  <c r="BQ72" i="1"/>
  <c r="DR114" i="1"/>
  <c r="DR106" i="1"/>
  <c r="DR93" i="1"/>
  <c r="BQ87" i="1"/>
  <c r="BX116" i="1"/>
  <c r="BY116" i="1" s="1"/>
  <c r="BX93" i="1"/>
  <c r="ET93" i="1" s="1"/>
  <c r="BX85" i="1"/>
  <c r="CY85" i="1" s="1"/>
  <c r="BV31" i="1"/>
  <c r="BX106" i="1"/>
  <c r="CY106" i="1" s="1"/>
  <c r="BQ86" i="1"/>
  <c r="BQ116" i="1"/>
  <c r="BJ84" i="1"/>
  <c r="BX128" i="1"/>
  <c r="CY128" i="1" s="1"/>
  <c r="BX96" i="1"/>
  <c r="BY97" i="1" s="1"/>
  <c r="BX119" i="1"/>
  <c r="CY119" i="1" s="1"/>
  <c r="DR72" i="1"/>
  <c r="BX36" i="1"/>
  <c r="DR97" i="1"/>
  <c r="BX89" i="1"/>
  <c r="BX86" i="1"/>
  <c r="DR58" i="1"/>
  <c r="BX58" i="1"/>
  <c r="BQ74" i="1"/>
  <c r="BX107" i="1"/>
  <c r="CY107" i="1" s="1"/>
  <c r="BQ117" i="1"/>
  <c r="BX8" i="1"/>
  <c r="CY8" i="1" s="1"/>
  <c r="DR128" i="1"/>
  <c r="BX101" i="1"/>
  <c r="CY101" i="1" s="1"/>
  <c r="BX29" i="1"/>
  <c r="CY29" i="1" s="1"/>
  <c r="DR100" i="1"/>
  <c r="BQ107" i="1"/>
  <c r="BQ75" i="1"/>
  <c r="DR76" i="1"/>
  <c r="DR121" i="1"/>
  <c r="DR85" i="1"/>
  <c r="BQ97" i="1"/>
  <c r="BV27" i="1"/>
  <c r="BX76" i="1"/>
  <c r="CY76" i="1" s="1"/>
  <c r="CZ77" i="1" s="1"/>
  <c r="BX28" i="1"/>
  <c r="CY28" i="1" s="1"/>
  <c r="EK84" i="1"/>
  <c r="DR75" i="1"/>
  <c r="BX14" i="1"/>
  <c r="CY14" i="1" s="1"/>
  <c r="DR101" i="1"/>
  <c r="BQ121" i="1"/>
  <c r="BX103" i="1"/>
  <c r="ET103" i="1" s="1"/>
  <c r="CW85" i="1"/>
  <c r="DR103" i="1"/>
  <c r="BV28" i="1"/>
  <c r="BR103" i="1"/>
  <c r="BR93" i="1"/>
  <c r="CW103" i="1"/>
  <c r="BR92" i="1"/>
  <c r="DR105" i="1"/>
  <c r="BX105" i="1"/>
  <c r="BY105" i="1" s="1"/>
  <c r="DR60" i="1"/>
  <c r="BX62" i="1"/>
  <c r="BY63" i="1" s="1"/>
  <c r="CM80" i="1"/>
  <c r="BQ62" i="1"/>
  <c r="BQ13" i="1"/>
  <c r="DR73" i="1"/>
  <c r="ED17" i="1"/>
  <c r="BT16" i="1"/>
  <c r="BQ63" i="1"/>
  <c r="BQ60" i="1"/>
  <c r="DR63" i="1"/>
  <c r="BX73" i="1"/>
  <c r="BX64" i="1"/>
  <c r="BY64" i="1" s="1"/>
  <c r="BX79" i="1"/>
  <c r="CY79" i="1" s="1"/>
  <c r="BQ64" i="1"/>
  <c r="BQ79" i="1"/>
  <c r="EK48" i="1"/>
  <c r="EK74" i="1"/>
  <c r="BV33" i="1"/>
  <c r="EK76" i="1"/>
  <c r="EK45" i="1"/>
  <c r="BJ44" i="1"/>
  <c r="BT113" i="1"/>
  <c r="ED74" i="1"/>
  <c r="ES183" i="1"/>
  <c r="DR59" i="1"/>
  <c r="BX59" i="1"/>
  <c r="CY59" i="1" s="1"/>
  <c r="DH190" i="1"/>
  <c r="CO191" i="1"/>
  <c r="CY60" i="1"/>
  <c r="BQ47" i="1"/>
  <c r="BQ77" i="1"/>
  <c r="BQ45" i="1"/>
  <c r="BX13" i="1"/>
  <c r="CY75" i="1"/>
  <c r="DR17" i="1"/>
  <c r="BX71" i="1"/>
  <c r="BY72" i="1" s="1"/>
  <c r="BQ71" i="1"/>
  <c r="BX17" i="1"/>
  <c r="DR71" i="1"/>
  <c r="DR77" i="1"/>
  <c r="CW17" i="1"/>
  <c r="CC108" i="1"/>
  <c r="ED48" i="1"/>
  <c r="BV124" i="1"/>
  <c r="BQ28" i="1"/>
  <c r="BQ12" i="1"/>
  <c r="DR5" i="1"/>
  <c r="DR21" i="1"/>
  <c r="DR11" i="1"/>
  <c r="BQ25" i="1"/>
  <c r="BQ38" i="1"/>
  <c r="CA7" i="1"/>
  <c r="DR16" i="1"/>
  <c r="BQ22" i="1"/>
  <c r="CC18" i="1"/>
  <c r="BX5" i="1"/>
  <c r="CY5" i="1" s="1"/>
  <c r="BQ36" i="1"/>
  <c r="DR14" i="1"/>
  <c r="BT10" i="1"/>
  <c r="BQ21" i="1"/>
  <c r="DR29" i="1"/>
  <c r="DR25" i="1"/>
  <c r="BQ11" i="1"/>
  <c r="DR38" i="1"/>
  <c r="DR31" i="1"/>
  <c r="BQ16" i="1"/>
  <c r="BT8" i="1"/>
  <c r="BX12" i="1"/>
  <c r="CY12" i="1" s="1"/>
  <c r="DR8" i="1"/>
  <c r="BQ31" i="1"/>
  <c r="BT96" i="1"/>
  <c r="BR18" i="1"/>
  <c r="CY25" i="1"/>
  <c r="BX6" i="1"/>
  <c r="BQ6" i="1"/>
  <c r="EK9" i="1"/>
  <c r="BQ24" i="1"/>
  <c r="BX24" i="1"/>
  <c r="CY31" i="1"/>
  <c r="BQ15" i="1"/>
  <c r="BX15" i="1"/>
  <c r="BY16" i="1" s="1"/>
  <c r="EK4" i="1"/>
  <c r="DR4" i="1"/>
  <c r="DI39" i="1"/>
  <c r="BX4" i="1"/>
  <c r="CC113" i="1"/>
  <c r="BJ3" i="1"/>
  <c r="CQ134" i="1"/>
  <c r="DL136" i="1"/>
  <c r="DL191" i="1" s="1"/>
  <c r="DM136" i="1"/>
  <c r="DM191" i="1" s="1"/>
  <c r="DQ136" i="1"/>
  <c r="DQ191" i="1" s="1"/>
  <c r="BV91" i="1"/>
  <c r="BV90" i="1"/>
  <c r="BT91" i="1"/>
  <c r="CC5" i="1"/>
  <c r="CC100" i="1"/>
  <c r="CW70" i="1"/>
  <c r="CY48" i="1"/>
  <c r="CZ49" i="1" s="1"/>
  <c r="ED4" i="1"/>
  <c r="CC99" i="1"/>
  <c r="BV17" i="1"/>
  <c r="CC11" i="1"/>
  <c r="CW130" i="1"/>
  <c r="CY157" i="1"/>
  <c r="CC98" i="1"/>
  <c r="BR106" i="1"/>
  <c r="CQ1" i="1"/>
  <c r="BT27" i="1"/>
  <c r="CY113" i="1"/>
  <c r="BT110" i="1"/>
  <c r="CW99" i="1"/>
  <c r="BR102" i="1"/>
  <c r="BS87" i="1"/>
  <c r="BT88" i="1" s="1"/>
  <c r="BT99" i="1"/>
  <c r="CY121" i="1"/>
  <c r="BV94" i="1"/>
  <c r="CA25" i="1"/>
  <c r="BZ4" i="1"/>
  <c r="CA5" i="1" s="1"/>
  <c r="CA121" i="1"/>
  <c r="CC96" i="1"/>
  <c r="CA122" i="1"/>
  <c r="CA35" i="1"/>
  <c r="BT108" i="1"/>
  <c r="BR9" i="1"/>
  <c r="DN80" i="1"/>
  <c r="CQ42" i="1"/>
  <c r="CA95" i="1"/>
  <c r="CC37" i="1"/>
  <c r="CC109" i="1"/>
  <c r="CK40" i="1"/>
  <c r="CJ40" i="1" s="1"/>
  <c r="CC103" i="1"/>
  <c r="DI81" i="1"/>
  <c r="CW123" i="1"/>
  <c r="BT30" i="1"/>
  <c r="BU42" i="1"/>
  <c r="CA107" i="1"/>
  <c r="CA96" i="1"/>
  <c r="CW106" i="1"/>
  <c r="CA27" i="1"/>
  <c r="BT12" i="1"/>
  <c r="BT22" i="1"/>
  <c r="BR126" i="1"/>
  <c r="CA125" i="1"/>
  <c r="CP40" i="1"/>
  <c r="CK80" i="1"/>
  <c r="CW108" i="1"/>
  <c r="BV29" i="1"/>
  <c r="BU80" i="1"/>
  <c r="CC117" i="1"/>
  <c r="BS42" i="1"/>
  <c r="BY21" i="1"/>
  <c r="BT93" i="1"/>
  <c r="CC15" i="1"/>
  <c r="DP3" i="1"/>
  <c r="DP39" i="1" s="1"/>
  <c r="DP44" i="1"/>
  <c r="DP81" i="1" s="1"/>
  <c r="BV22" i="1"/>
  <c r="CA23" i="1"/>
  <c r="DH40" i="1"/>
  <c r="BY88" i="1"/>
  <c r="BL84" i="1"/>
  <c r="BT35" i="1"/>
  <c r="CZ142" i="1"/>
  <c r="BV5" i="1"/>
  <c r="DM3" i="1"/>
  <c r="DM39" i="1" s="1"/>
  <c r="CK1" i="1"/>
  <c r="BV10" i="1"/>
  <c r="CP81" i="1"/>
  <c r="CC93" i="1"/>
  <c r="BV127" i="1"/>
  <c r="CA126" i="1"/>
  <c r="CA127" i="1"/>
  <c r="CO80" i="1"/>
  <c r="CJ80" i="1" s="1"/>
  <c r="BT24" i="1"/>
  <c r="CY21" i="1"/>
  <c r="DL44" i="1"/>
  <c r="DL80" i="1" s="1"/>
  <c r="DN39" i="1"/>
  <c r="DM44" i="1"/>
  <c r="DM81" i="1" s="1"/>
  <c r="CP39" i="1"/>
  <c r="CP190" i="1"/>
  <c r="DS136" i="1"/>
  <c r="DS44" i="1"/>
  <c r="DS3" i="1"/>
  <c r="DS39" i="1" s="1"/>
  <c r="CK42" i="1"/>
  <c r="CA129" i="1"/>
  <c r="CA104" i="1"/>
  <c r="DP136" i="1"/>
  <c r="DP191" i="1" s="1"/>
  <c r="CK134" i="1"/>
  <c r="DQ3" i="1"/>
  <c r="DQ40" i="1" s="1"/>
  <c r="BV6" i="1"/>
  <c r="BT6" i="1"/>
  <c r="BV32" i="1"/>
  <c r="CP191" i="1"/>
  <c r="BZ80" i="1"/>
  <c r="CP80" i="1"/>
  <c r="BV97" i="1"/>
  <c r="DR176" i="1"/>
  <c r="CJ39" i="1"/>
  <c r="CJ81" i="1"/>
  <c r="CO40" i="1"/>
  <c r="BV101" i="1"/>
  <c r="CK190" i="1"/>
  <c r="CJ190" i="1" s="1"/>
  <c r="BV18" i="1"/>
  <c r="BT36" i="1"/>
  <c r="ES76" i="1"/>
  <c r="ED9" i="1"/>
  <c r="BL3" i="1"/>
  <c r="CA93" i="1"/>
  <c r="CA91" i="1"/>
  <c r="BQ176" i="1"/>
  <c r="CP136" i="1"/>
  <c r="CP44" i="1"/>
  <c r="CA32" i="1"/>
  <c r="CW172" i="1"/>
  <c r="BK136" i="1"/>
  <c r="BV26" i="1"/>
  <c r="BS191" i="1"/>
  <c r="BR58" i="1"/>
  <c r="BT15" i="1"/>
  <c r="CM39" i="1"/>
  <c r="CJ191" i="1"/>
  <c r="CC122" i="1"/>
  <c r="CW57" i="1"/>
  <c r="CA31" i="1"/>
  <c r="DQ44" i="1"/>
  <c r="DQ81" i="1" s="1"/>
  <c r="DL3" i="1"/>
  <c r="DL39" i="1" s="1"/>
  <c r="CZ179" i="1"/>
  <c r="BT38" i="1"/>
  <c r="CW120" i="1"/>
  <c r="CW122" i="1"/>
  <c r="CA22" i="1"/>
  <c r="BT102" i="1"/>
  <c r="CA24" i="1"/>
  <c r="BT125" i="1"/>
  <c r="CA109" i="1"/>
  <c r="CA110" i="1"/>
  <c r="CY19" i="1"/>
  <c r="CA20" i="1"/>
  <c r="BV112" i="1"/>
  <c r="CW35" i="1"/>
  <c r="CY11" i="1"/>
  <c r="CY38" i="1"/>
  <c r="CC91" i="1"/>
  <c r="BV86" i="1"/>
  <c r="BV87" i="1"/>
  <c r="CW105" i="1"/>
  <c r="BT105" i="1"/>
  <c r="CC89" i="1"/>
  <c r="CA119" i="1"/>
  <c r="CA120" i="1"/>
  <c r="CA112" i="1"/>
  <c r="CA114" i="1"/>
  <c r="BT122" i="1"/>
  <c r="CY97" i="1"/>
  <c r="BT117" i="1"/>
  <c r="CW118" i="1"/>
  <c r="CA19" i="1"/>
  <c r="BT98" i="1"/>
  <c r="BT34" i="1"/>
  <c r="BT95" i="1"/>
  <c r="CC105" i="1"/>
  <c r="CW152" i="1"/>
  <c r="CB191" i="1"/>
  <c r="CB190" i="1"/>
  <c r="BV14" i="1"/>
  <c r="CW14" i="1"/>
  <c r="BV122" i="1"/>
  <c r="CW37" i="1"/>
  <c r="CA113" i="1"/>
  <c r="CW8" i="1"/>
  <c r="BV121" i="1"/>
  <c r="CW91" i="1"/>
  <c r="CC90" i="1"/>
  <c r="CC125" i="1"/>
  <c r="CC10" i="1"/>
  <c r="CC130" i="1"/>
  <c r="BV99" i="1"/>
  <c r="CC97" i="1"/>
  <c r="CW126" i="1"/>
  <c r="BV16" i="1"/>
  <c r="BT123" i="1"/>
  <c r="CC92" i="1"/>
  <c r="BT13" i="1"/>
  <c r="BT28" i="1"/>
  <c r="CA8" i="1"/>
  <c r="CZ143" i="1"/>
  <c r="BY149" i="1"/>
  <c r="CB80" i="1"/>
  <c r="CZ140" i="1"/>
  <c r="BY98" i="1"/>
  <c r="BR101" i="1"/>
  <c r="CW101" i="1"/>
  <c r="CZ178" i="1"/>
  <c r="CC14" i="1"/>
  <c r="BT92" i="1"/>
  <c r="BV89" i="1"/>
  <c r="CZ182" i="1"/>
  <c r="CZ181" i="1"/>
  <c r="BT29" i="1"/>
  <c r="CA10" i="1"/>
  <c r="CY114" i="1"/>
  <c r="BY115" i="1"/>
  <c r="BY114" i="1"/>
  <c r="CY26" i="1"/>
  <c r="CC34" i="1"/>
  <c r="BT32" i="1"/>
  <c r="BT31" i="1"/>
  <c r="BZ191" i="1"/>
  <c r="BZ190" i="1"/>
  <c r="CW154" i="1"/>
  <c r="BR155" i="1"/>
  <c r="BV107" i="1"/>
  <c r="CY148" i="1"/>
  <c r="CW162" i="1"/>
  <c r="CA17" i="1"/>
  <c r="CA16" i="1"/>
  <c r="CC19" i="1"/>
  <c r="CC20" i="1"/>
  <c r="BT11" i="1"/>
  <c r="BT86" i="1"/>
  <c r="CW30" i="1"/>
  <c r="BV92" i="1"/>
  <c r="CA36" i="1"/>
  <c r="BT23" i="1"/>
  <c r="CA9" i="1"/>
  <c r="BT1" i="1"/>
  <c r="BV126" i="1"/>
  <c r="BV125" i="1"/>
  <c r="CW95" i="1"/>
  <c r="CC23" i="1"/>
  <c r="CW112" i="1"/>
  <c r="CC94" i="1"/>
  <c r="CY94" i="1"/>
  <c r="BR91" i="1"/>
  <c r="CW90" i="1"/>
  <c r="CC118" i="1"/>
  <c r="DR45" i="1"/>
  <c r="BK44" i="1"/>
  <c r="CC95" i="1"/>
  <c r="CC22" i="1"/>
  <c r="CY22" i="1"/>
  <c r="CA12" i="1"/>
  <c r="CA13" i="1"/>
  <c r="BT126" i="1"/>
  <c r="CW125" i="1"/>
  <c r="BY20" i="1"/>
  <c r="CY20" i="1"/>
  <c r="BT114" i="1"/>
  <c r="CW9" i="1"/>
  <c r="CA106" i="1"/>
  <c r="BT124" i="1"/>
  <c r="BR59" i="1"/>
  <c r="CZ180" i="1"/>
  <c r="BV108" i="1"/>
  <c r="BV11" i="1"/>
  <c r="CC24" i="1"/>
  <c r="CC13" i="1"/>
  <c r="CW32" i="1"/>
  <c r="CC87" i="1"/>
  <c r="CC27" i="1"/>
  <c r="CC111" i="1"/>
  <c r="BV15" i="1"/>
  <c r="BU3" i="1"/>
  <c r="BU39" i="1" s="1"/>
  <c r="CY16" i="1"/>
  <c r="BX45" i="1"/>
  <c r="CY45" i="1" s="1"/>
  <c r="CZ183" i="1"/>
  <c r="CC9" i="1"/>
  <c r="CW92" i="1"/>
  <c r="CA105" i="1"/>
  <c r="CA92" i="1"/>
  <c r="CA117" i="1"/>
  <c r="CY104" i="1"/>
  <c r="CZ139" i="1"/>
  <c r="CW23" i="1"/>
  <c r="BT25" i="1"/>
  <c r="CZ144" i="1"/>
  <c r="BY22" i="1"/>
  <c r="CA86" i="1"/>
  <c r="BT130" i="1"/>
  <c r="CY124" i="1"/>
  <c r="BT94" i="1"/>
  <c r="BS190" i="1"/>
  <c r="CW29" i="1"/>
  <c r="CA21" i="1"/>
  <c r="CW102" i="1"/>
  <c r="CZ141" i="1"/>
  <c r="BV38" i="1"/>
  <c r="BS3" i="1"/>
  <c r="BS40" i="1" s="1"/>
  <c r="BV117" i="1"/>
  <c r="BR123" i="1"/>
  <c r="CB84" i="1"/>
  <c r="CB131" i="1" s="1"/>
  <c r="BR96" i="1"/>
  <c r="BV116" i="1"/>
  <c r="BV21" i="1"/>
  <c r="BU84" i="1"/>
  <c r="BU131" i="1" s="1"/>
  <c r="CW128" i="1"/>
  <c r="CW96" i="1"/>
  <c r="CC127" i="1"/>
  <c r="CY98" i="1"/>
  <c r="CW93" i="1"/>
  <c r="CC16" i="1"/>
  <c r="BY26" i="1"/>
  <c r="BR5" i="1"/>
  <c r="BV104" i="1"/>
  <c r="CW100" i="1"/>
  <c r="CY115" i="1"/>
  <c r="BY75" i="1"/>
  <c r="BT9" i="1"/>
  <c r="CZ184" i="1"/>
  <c r="CW4" i="1"/>
  <c r="BV115" i="1"/>
  <c r="CC17" i="1"/>
  <c r="BV23" i="1"/>
  <c r="BV105" i="1"/>
  <c r="CC116" i="1"/>
  <c r="BV118" i="1"/>
  <c r="BT19" i="1"/>
  <c r="BR30" i="1"/>
  <c r="BR100" i="1"/>
  <c r="BV130" i="1"/>
  <c r="CA34" i="1"/>
  <c r="BR173" i="1"/>
  <c r="BV2" i="1"/>
  <c r="BV1" i="1"/>
  <c r="CW5" i="1"/>
  <c r="CA94" i="1"/>
  <c r="CY88" i="1"/>
  <c r="BT2" i="1"/>
  <c r="BS81" i="1"/>
  <c r="CB3" i="1"/>
  <c r="CB40" i="1" s="1"/>
  <c r="CC33" i="1"/>
  <c r="CW18" i="1"/>
  <c r="BV103" i="1"/>
  <c r="BV8" i="1"/>
  <c r="BZ84" i="1"/>
  <c r="BZ132" i="1" s="1"/>
  <c r="CA88" i="1"/>
  <c r="CY87" i="1"/>
  <c r="ET76" i="1" l="1"/>
  <c r="BY91" i="1"/>
  <c r="ET90" i="1"/>
  <c r="ET32" i="1"/>
  <c r="ET122" i="1"/>
  <c r="ET120" i="1"/>
  <c r="ET125" i="1"/>
  <c r="ET108" i="1"/>
  <c r="ET9" i="1"/>
  <c r="ET116" i="1"/>
  <c r="ET119" i="1"/>
  <c r="ET168" i="1"/>
  <c r="ET10" i="1"/>
  <c r="ET95" i="1"/>
  <c r="ET118" i="1"/>
  <c r="ET106" i="1"/>
  <c r="ET85" i="1"/>
  <c r="ET29" i="1"/>
  <c r="ET37" i="1"/>
  <c r="ET166" i="1"/>
  <c r="ET46" i="1"/>
  <c r="ET123" i="1"/>
  <c r="ET91" i="1"/>
  <c r="ET102" i="1"/>
  <c r="ET92" i="1"/>
  <c r="ET101" i="1"/>
  <c r="ET18" i="1"/>
  <c r="ET8" i="1"/>
  <c r="ET162" i="1"/>
  <c r="ET154" i="1"/>
  <c r="ET61" i="1"/>
  <c r="ET4" i="1"/>
  <c r="ET128" i="1"/>
  <c r="ET23" i="1"/>
  <c r="ET57" i="1"/>
  <c r="ET17" i="1"/>
  <c r="ET152" i="1"/>
  <c r="ET5" i="1"/>
  <c r="ET99" i="1"/>
  <c r="ET126" i="1"/>
  <c r="ET112" i="1"/>
  <c r="ET96" i="1"/>
  <c r="ET105" i="1"/>
  <c r="ET78" i="1"/>
  <c r="ET58" i="1"/>
  <c r="ET59" i="1"/>
  <c r="ET70" i="1"/>
  <c r="ET155" i="1"/>
  <c r="ET73" i="1"/>
  <c r="ET30" i="1"/>
  <c r="ET164" i="1"/>
  <c r="ET14" i="1"/>
  <c r="ET172" i="1"/>
  <c r="ET186" i="1"/>
  <c r="ET174" i="1"/>
  <c r="ET173" i="1"/>
  <c r="ET160" i="1"/>
  <c r="CZ173" i="1"/>
  <c r="ET20" i="1"/>
  <c r="ET159" i="1"/>
  <c r="ET165" i="1"/>
  <c r="ET47" i="1"/>
  <c r="ET11" i="1"/>
  <c r="ET16" i="1"/>
  <c r="ET167" i="1"/>
  <c r="ET27" i="1"/>
  <c r="ET33" i="1"/>
  <c r="ET26" i="1"/>
  <c r="ET25" i="1"/>
  <c r="ED191" i="1"/>
  <c r="ET34" i="1"/>
  <c r="CW169" i="1"/>
  <c r="CW171" i="1"/>
  <c r="ET171" i="1"/>
  <c r="CW188" i="1"/>
  <c r="ET188" i="1"/>
  <c r="CW189" i="1"/>
  <c r="ET189" i="1"/>
  <c r="CW161" i="1"/>
  <c r="ET161" i="1"/>
  <c r="BR185" i="1"/>
  <c r="ET185" i="1"/>
  <c r="CW151" i="1"/>
  <c r="ET151" i="1"/>
  <c r="CW176" i="1"/>
  <c r="ET176" i="1"/>
  <c r="CW156" i="1"/>
  <c r="ET156" i="1"/>
  <c r="CW153" i="1"/>
  <c r="ET153" i="1"/>
  <c r="CW157" i="1"/>
  <c r="ET157" i="1"/>
  <c r="CW170" i="1"/>
  <c r="ET170" i="1"/>
  <c r="CW150" i="1"/>
  <c r="ET150" i="1"/>
  <c r="CW147" i="1"/>
  <c r="ET147" i="1"/>
  <c r="CW149" i="1"/>
  <c r="ET149" i="1"/>
  <c r="CW146" i="1"/>
  <c r="ET146" i="1"/>
  <c r="CW148" i="1"/>
  <c r="ET148" i="1"/>
  <c r="BR187" i="1"/>
  <c r="ET187" i="1"/>
  <c r="CW175" i="1"/>
  <c r="ET175" i="1"/>
  <c r="CW158" i="1"/>
  <c r="ET158" i="1"/>
  <c r="BR145" i="1"/>
  <c r="ET145" i="1"/>
  <c r="BR118" i="1"/>
  <c r="ET117" i="1"/>
  <c r="BR130" i="1"/>
  <c r="ET129" i="1"/>
  <c r="CW111" i="1"/>
  <c r="ET111" i="1"/>
  <c r="BR105" i="1"/>
  <c r="ET104" i="1"/>
  <c r="BR122" i="1"/>
  <c r="ET121" i="1"/>
  <c r="CW97" i="1"/>
  <c r="ET97" i="1"/>
  <c r="ET87" i="1"/>
  <c r="BR124" i="1"/>
  <c r="ET124" i="1"/>
  <c r="BR109" i="1"/>
  <c r="ET109" i="1"/>
  <c r="BR99" i="1"/>
  <c r="ET98" i="1"/>
  <c r="BR108" i="1"/>
  <c r="ET107" i="1"/>
  <c r="BR95" i="1"/>
  <c r="ET94" i="1"/>
  <c r="BR127" i="1"/>
  <c r="ET127" i="1"/>
  <c r="CW88" i="1"/>
  <c r="ET88" i="1"/>
  <c r="BR86" i="1"/>
  <c r="ET86" i="1"/>
  <c r="BR90" i="1"/>
  <c r="ET89" i="1"/>
  <c r="CW114" i="1"/>
  <c r="ET114" i="1"/>
  <c r="CW110" i="1"/>
  <c r="ET110" i="1"/>
  <c r="CW71" i="1"/>
  <c r="ET71" i="1"/>
  <c r="CW60" i="1"/>
  <c r="ET60" i="1"/>
  <c r="CW75" i="1"/>
  <c r="ET75" i="1"/>
  <c r="CW72" i="1"/>
  <c r="ET72" i="1"/>
  <c r="BR49" i="1"/>
  <c r="ET48" i="1"/>
  <c r="CW45" i="1"/>
  <c r="ET45" i="1"/>
  <c r="CW63" i="1"/>
  <c r="ET63" i="1"/>
  <c r="CW74" i="1"/>
  <c r="ET74" i="1"/>
  <c r="CW77" i="1"/>
  <c r="ET77" i="1"/>
  <c r="CW79" i="1"/>
  <c r="ET79" i="1"/>
  <c r="CW62" i="1"/>
  <c r="ET62" i="1"/>
  <c r="CW64" i="1"/>
  <c r="ET64" i="1"/>
  <c r="BR6" i="1"/>
  <c r="ET6" i="1"/>
  <c r="BR38" i="1"/>
  <c r="ET38" i="1"/>
  <c r="BR8" i="1"/>
  <c r="ET7" i="1"/>
  <c r="BR32" i="1"/>
  <c r="ET31" i="1"/>
  <c r="CW22" i="1"/>
  <c r="CX23" i="1" s="1"/>
  <c r="ET22" i="1"/>
  <c r="CW12" i="1"/>
  <c r="ET12" i="1"/>
  <c r="CW19" i="1"/>
  <c r="CX19" i="1" s="1"/>
  <c r="ET19" i="1"/>
  <c r="BR24" i="1"/>
  <c r="ET24" i="1"/>
  <c r="CW36" i="1"/>
  <c r="CX37" i="1" s="1"/>
  <c r="ET36" i="1"/>
  <c r="CW28" i="1"/>
  <c r="CX29" i="1" s="1"/>
  <c r="ET28" i="1"/>
  <c r="BR15" i="1"/>
  <c r="ET15" i="1"/>
  <c r="CW21" i="1"/>
  <c r="ET21" i="1"/>
  <c r="CW13" i="1"/>
  <c r="CX14" i="1" s="1"/>
  <c r="ET13" i="1"/>
  <c r="CY99" i="1"/>
  <c r="CZ99" i="1" s="1"/>
  <c r="BY166" i="1"/>
  <c r="BY156" i="1"/>
  <c r="DM190" i="1"/>
  <c r="DQ190" i="1"/>
  <c r="ED190" i="1"/>
  <c r="CY120" i="1"/>
  <c r="CZ121" i="1" s="1"/>
  <c r="BY151" i="1"/>
  <c r="BR175" i="1"/>
  <c r="BY127" i="1"/>
  <c r="BY150" i="1"/>
  <c r="BR129" i="1"/>
  <c r="CW94" i="1"/>
  <c r="BY100" i="1"/>
  <c r="BY186" i="1"/>
  <c r="BY111" i="1"/>
  <c r="CY125" i="1"/>
  <c r="CZ125" i="1" s="1"/>
  <c r="CY95" i="1"/>
  <c r="CZ95" i="1" s="1"/>
  <c r="CW127" i="1"/>
  <c r="BR19" i="1"/>
  <c r="CW187" i="1"/>
  <c r="BR161" i="1"/>
  <c r="CY30" i="1"/>
  <c r="CZ31" i="1" s="1"/>
  <c r="BY90" i="1"/>
  <c r="BY124" i="1"/>
  <c r="CW31" i="1"/>
  <c r="CX31" i="1" s="1"/>
  <c r="BY61" i="1"/>
  <c r="CZ160" i="1"/>
  <c r="BR46" i="1"/>
  <c r="BY161" i="1"/>
  <c r="BY160" i="1"/>
  <c r="BY33" i="1"/>
  <c r="CW7" i="1"/>
  <c r="CX8" i="1" s="1"/>
  <c r="CW98" i="1"/>
  <c r="BR162" i="1"/>
  <c r="CZ152" i="1"/>
  <c r="CW145" i="1"/>
  <c r="BR128" i="1"/>
  <c r="CW104" i="1"/>
  <c r="CY18" i="1"/>
  <c r="CZ19" i="1" s="1"/>
  <c r="BR98" i="1"/>
  <c r="CZ102" i="1"/>
  <c r="BR88" i="1"/>
  <c r="BY175" i="1"/>
  <c r="BY185" i="1"/>
  <c r="BR104" i="1"/>
  <c r="CW185" i="1"/>
  <c r="CY111" i="1"/>
  <c r="CZ112" i="1" s="1"/>
  <c r="BR152" i="1"/>
  <c r="BR186" i="1"/>
  <c r="CW129" i="1"/>
  <c r="CW27" i="1"/>
  <c r="BR94" i="1"/>
  <c r="BY109" i="1"/>
  <c r="CW115" i="1"/>
  <c r="CW109" i="1"/>
  <c r="BR47" i="1"/>
  <c r="CY100" i="1"/>
  <c r="CZ101" i="1" s="1"/>
  <c r="BY162" i="1"/>
  <c r="BR73" i="1"/>
  <c r="BY145" i="1"/>
  <c r="BY94" i="1"/>
  <c r="CY91" i="1"/>
  <c r="CZ92" i="1" s="1"/>
  <c r="BY32" i="1"/>
  <c r="BY12" i="1"/>
  <c r="BY155" i="1"/>
  <c r="CW11" i="1"/>
  <c r="BR164" i="1"/>
  <c r="BY126" i="1"/>
  <c r="CZ46" i="1"/>
  <c r="BY188" i="1"/>
  <c r="CY57" i="1"/>
  <c r="CZ57" i="1" s="1"/>
  <c r="BR111" i="1"/>
  <c r="BY187" i="1"/>
  <c r="CW48" i="1"/>
  <c r="CY185" i="1"/>
  <c r="CZ185" i="1" s="1"/>
  <c r="BY154" i="1"/>
  <c r="ED81" i="1"/>
  <c r="BY36" i="1"/>
  <c r="CZ154" i="1"/>
  <c r="CZ189" i="1"/>
  <c r="BY118" i="1"/>
  <c r="CZ123" i="1"/>
  <c r="BR89" i="1"/>
  <c r="BR112" i="1"/>
  <c r="CW160" i="1"/>
  <c r="BR163" i="1"/>
  <c r="CW107" i="1"/>
  <c r="BR31" i="1"/>
  <c r="CW163" i="1"/>
  <c r="BR150" i="1"/>
  <c r="BY92" i="1"/>
  <c r="BY146" i="1"/>
  <c r="BR10" i="1"/>
  <c r="BR151" i="1"/>
  <c r="CY47" i="1"/>
  <c r="CZ47" i="1" s="1"/>
  <c r="BR171" i="1"/>
  <c r="CY17" i="1"/>
  <c r="BR188" i="1"/>
  <c r="BR20" i="1"/>
  <c r="DQ80" i="1"/>
  <c r="BR33" i="1"/>
  <c r="BY18" i="1"/>
  <c r="BY148" i="1"/>
  <c r="DL190" i="1"/>
  <c r="CW20" i="1"/>
  <c r="CY10" i="1"/>
  <c r="CZ10" i="1" s="1"/>
  <c r="CY117" i="1"/>
  <c r="CZ118" i="1" s="1"/>
  <c r="CW10" i="1"/>
  <c r="CX10" i="1" s="1"/>
  <c r="BX169" i="1"/>
  <c r="BY169" i="1" s="1"/>
  <c r="BR7" i="1"/>
  <c r="CY162" i="1"/>
  <c r="CZ163" i="1" s="1"/>
  <c r="BR172" i="1"/>
  <c r="BY163" i="1"/>
  <c r="BY62" i="1"/>
  <c r="CZ114" i="1"/>
  <c r="BR110" i="1"/>
  <c r="BY31" i="1"/>
  <c r="CY176" i="1"/>
  <c r="CZ177" i="1" s="1"/>
  <c r="ED39" i="1"/>
  <c r="BY119" i="1"/>
  <c r="CY62" i="1"/>
  <c r="CZ62" i="1" s="1"/>
  <c r="BY189" i="1"/>
  <c r="BY10" i="1"/>
  <c r="CY89" i="1"/>
  <c r="CZ89" i="1" s="1"/>
  <c r="CW34" i="1"/>
  <c r="CX35" i="1" s="1"/>
  <c r="BR35" i="1"/>
  <c r="ED40" i="1"/>
  <c r="BY7" i="1"/>
  <c r="BY120" i="1"/>
  <c r="DL40" i="1"/>
  <c r="BR75" i="1"/>
  <c r="BY89" i="1"/>
  <c r="BY47" i="1"/>
  <c r="CW116" i="1"/>
  <c r="BY153" i="1"/>
  <c r="BR27" i="1"/>
  <c r="BY122" i="1"/>
  <c r="BY152" i="1"/>
  <c r="CW26" i="1"/>
  <c r="CY158" i="1"/>
  <c r="CZ159" i="1" s="1"/>
  <c r="BR146" i="1"/>
  <c r="BY37" i="1"/>
  <c r="BY35" i="1"/>
  <c r="CX18" i="1"/>
  <c r="BR74" i="1"/>
  <c r="BY34" i="1"/>
  <c r="BR119" i="1"/>
  <c r="BR120" i="1"/>
  <c r="CW119" i="1"/>
  <c r="BY123" i="1"/>
  <c r="BY176" i="1"/>
  <c r="BR107" i="1"/>
  <c r="CZ122" i="1"/>
  <c r="BY158" i="1"/>
  <c r="BR26" i="1"/>
  <c r="BY86" i="1"/>
  <c r="BR34" i="1"/>
  <c r="BY28" i="1"/>
  <c r="BY130" i="1"/>
  <c r="CY35" i="1"/>
  <c r="CZ35" i="1" s="1"/>
  <c r="CY116" i="1"/>
  <c r="BY103" i="1"/>
  <c r="BY78" i="1"/>
  <c r="CY70" i="1"/>
  <c r="CZ70" i="1" s="1"/>
  <c r="BY74" i="1"/>
  <c r="BR148" i="1"/>
  <c r="CY37" i="1"/>
  <c r="CZ38" i="1" s="1"/>
  <c r="BR65" i="1"/>
  <c r="CY23" i="1"/>
  <c r="CZ23" i="1" s="1"/>
  <c r="BR17" i="1"/>
  <c r="CW16" i="1"/>
  <c r="CX17" i="1" s="1"/>
  <c r="CW47" i="1"/>
  <c r="CW121" i="1"/>
  <c r="BY71" i="1"/>
  <c r="CY164" i="1"/>
  <c r="CZ164" i="1" s="1"/>
  <c r="CZ145" i="1"/>
  <c r="CZ153" i="1"/>
  <c r="BY24" i="1"/>
  <c r="CZ61" i="1"/>
  <c r="BR23" i="1"/>
  <c r="BY107" i="1"/>
  <c r="BR97" i="1"/>
  <c r="CW117" i="1"/>
  <c r="BY27" i="1"/>
  <c r="BR48" i="1"/>
  <c r="BY104" i="1"/>
  <c r="CZ32" i="1"/>
  <c r="BR149" i="1"/>
  <c r="CW33" i="1"/>
  <c r="CX33" i="1" s="1"/>
  <c r="CW6" i="1"/>
  <c r="CX6" i="1" s="1"/>
  <c r="CY130" i="1"/>
  <c r="CZ130" i="1" s="1"/>
  <c r="BY17" i="1"/>
  <c r="BR11" i="1"/>
  <c r="BR76" i="1"/>
  <c r="BY87" i="1"/>
  <c r="BR154" i="1"/>
  <c r="BR153" i="1"/>
  <c r="CY109" i="1"/>
  <c r="CZ109" i="1" s="1"/>
  <c r="BR121" i="1"/>
  <c r="BR158" i="1"/>
  <c r="BR157" i="1"/>
  <c r="BY108" i="1"/>
  <c r="BY101" i="1"/>
  <c r="BY112" i="1"/>
  <c r="BY110" i="1"/>
  <c r="BR156" i="1"/>
  <c r="BY102" i="1"/>
  <c r="BY113" i="1"/>
  <c r="CY86" i="1"/>
  <c r="CZ86" i="1" s="1"/>
  <c r="EK136" i="1"/>
  <c r="BY165" i="1"/>
  <c r="BR114" i="1"/>
  <c r="BY73" i="1"/>
  <c r="BR116" i="1"/>
  <c r="CY93" i="1"/>
  <c r="CZ93" i="1" s="1"/>
  <c r="BS82" i="1"/>
  <c r="BR113" i="1"/>
  <c r="CW113" i="1"/>
  <c r="BY9" i="1"/>
  <c r="CW89" i="1"/>
  <c r="BY93" i="1"/>
  <c r="CW124" i="1"/>
  <c r="CW159" i="1"/>
  <c r="BR159" i="1"/>
  <c r="BY173" i="1"/>
  <c r="BY172" i="1"/>
  <c r="CY58" i="1"/>
  <c r="CZ59" i="1" s="1"/>
  <c r="BR125" i="1"/>
  <c r="BR60" i="1"/>
  <c r="BZ3" i="1"/>
  <c r="BZ40" i="1" s="1"/>
  <c r="BY171" i="1"/>
  <c r="BR160" i="1"/>
  <c r="BR115" i="1"/>
  <c r="CY96" i="1"/>
  <c r="CZ97" i="1" s="1"/>
  <c r="BY174" i="1"/>
  <c r="ED80" i="1"/>
  <c r="CZ79" i="1"/>
  <c r="DR84" i="1"/>
  <c r="BR62" i="1"/>
  <c r="BY129" i="1"/>
  <c r="CY64" i="1"/>
  <c r="CZ65" i="1" s="1"/>
  <c r="CY103" i="1"/>
  <c r="CZ103" i="1" s="1"/>
  <c r="DR169" i="1"/>
  <c r="DR136" i="1" s="1"/>
  <c r="DR191" i="1" s="1"/>
  <c r="BR170" i="1"/>
  <c r="BR169" i="1"/>
  <c r="CY36" i="1"/>
  <c r="BY60" i="1"/>
  <c r="BY157" i="1"/>
  <c r="DQ39" i="1"/>
  <c r="DP80" i="1"/>
  <c r="BR72" i="1"/>
  <c r="BR43" i="1"/>
  <c r="BR63" i="1"/>
  <c r="DR131" i="1"/>
  <c r="CY105" i="1"/>
  <c r="CZ106" i="1" s="1"/>
  <c r="BY128" i="1"/>
  <c r="BR64" i="1"/>
  <c r="BY29" i="1"/>
  <c r="CZ29" i="1"/>
  <c r="CZ115" i="1"/>
  <c r="BR117" i="1"/>
  <c r="BX84" i="1"/>
  <c r="BX132" i="1" s="1"/>
  <c r="BY106" i="1"/>
  <c r="BZ82" i="1"/>
  <c r="BY117" i="1"/>
  <c r="BY30" i="1"/>
  <c r="BJ136" i="1"/>
  <c r="CY73" i="1"/>
  <c r="BR147" i="1"/>
  <c r="CW165" i="1"/>
  <c r="BR166" i="1"/>
  <c r="BR165" i="1"/>
  <c r="CY147" i="1"/>
  <c r="CZ147" i="1" s="1"/>
  <c r="CY168" i="1"/>
  <c r="BY168" i="1"/>
  <c r="CY167" i="1"/>
  <c r="BY167" i="1"/>
  <c r="CY156" i="1"/>
  <c r="CZ156" i="1" s="1"/>
  <c r="CW168" i="1"/>
  <c r="BR168" i="1"/>
  <c r="CW167" i="1"/>
  <c r="BR167" i="1"/>
  <c r="CY165" i="1"/>
  <c r="CZ166" i="1" s="1"/>
  <c r="CZ60" i="1"/>
  <c r="BR13" i="1"/>
  <c r="BR61" i="1"/>
  <c r="DP40" i="1"/>
  <c r="DL81" i="1"/>
  <c r="BQ84" i="1"/>
  <c r="BQ132" i="1" s="1"/>
  <c r="BY96" i="1"/>
  <c r="BY59" i="1"/>
  <c r="BT87" i="1"/>
  <c r="BR14" i="1"/>
  <c r="CZ27" i="1"/>
  <c r="BY65" i="1"/>
  <c r="CW87" i="1"/>
  <c r="BY14" i="1"/>
  <c r="BS84" i="1"/>
  <c r="BS132" i="1" s="1"/>
  <c r="CY24" i="1"/>
  <c r="BY82" i="1"/>
  <c r="DS40" i="1"/>
  <c r="BR82" i="1"/>
  <c r="CW86" i="1"/>
  <c r="BR87" i="1"/>
  <c r="BY58" i="1"/>
  <c r="BY8" i="1"/>
  <c r="CY13" i="1"/>
  <c r="CZ14" i="1" s="1"/>
  <c r="BR79" i="1"/>
  <c r="BY77" i="1"/>
  <c r="BY76" i="1"/>
  <c r="DR132" i="1"/>
  <c r="CZ76" i="1"/>
  <c r="BY79" i="1"/>
  <c r="BY1" i="1"/>
  <c r="CZ108" i="1"/>
  <c r="BR29" i="1"/>
  <c r="BR177" i="1"/>
  <c r="BR28" i="1"/>
  <c r="BX3" i="1"/>
  <c r="BX40" i="1" s="1"/>
  <c r="BR21" i="1"/>
  <c r="EK44" i="1"/>
  <c r="CX5" i="1"/>
  <c r="BR12" i="1"/>
  <c r="BQ3" i="1"/>
  <c r="BQ40" i="1" s="1"/>
  <c r="BY6" i="1"/>
  <c r="CW25" i="1"/>
  <c r="BY5" i="1"/>
  <c r="BZ1" i="1"/>
  <c r="BR22" i="1"/>
  <c r="CZ75" i="1"/>
  <c r="BR71" i="1"/>
  <c r="DR3" i="1"/>
  <c r="DR40" i="1" s="1"/>
  <c r="DR44" i="1"/>
  <c r="DR81" i="1" s="1"/>
  <c r="BR1" i="1"/>
  <c r="BR36" i="1"/>
  <c r="CW24" i="1"/>
  <c r="CX24" i="1" s="1"/>
  <c r="BR77" i="1"/>
  <c r="BR25" i="1"/>
  <c r="BY13" i="1"/>
  <c r="BQ44" i="1"/>
  <c r="BQ81" i="1" s="1"/>
  <c r="BP81" i="1" s="1"/>
  <c r="CZ28" i="1"/>
  <c r="CZ26" i="1"/>
  <c r="CW15" i="1"/>
  <c r="CX15" i="1" s="1"/>
  <c r="BR78" i="1"/>
  <c r="CW38" i="1"/>
  <c r="CX38" i="1" s="1"/>
  <c r="BR42" i="1"/>
  <c r="BR16" i="1"/>
  <c r="BR2" i="1"/>
  <c r="BR37" i="1"/>
  <c r="CY71" i="1"/>
  <c r="CZ72" i="1" s="1"/>
  <c r="CY15" i="1"/>
  <c r="CZ15" i="1" s="1"/>
  <c r="BU40" i="1"/>
  <c r="EK3" i="1"/>
  <c r="BY15" i="1"/>
  <c r="CY6" i="1"/>
  <c r="CZ7" i="1" s="1"/>
  <c r="BY25" i="1"/>
  <c r="BY42" i="1"/>
  <c r="BX44" i="1"/>
  <c r="BX81" i="1" s="1"/>
  <c r="CZ8" i="1"/>
  <c r="CY4" i="1"/>
  <c r="CZ5" i="1" s="1"/>
  <c r="CZ128" i="1"/>
  <c r="CZ21" i="1"/>
  <c r="BS1" i="1"/>
  <c r="CZ127" i="1"/>
  <c r="DM80" i="1"/>
  <c r="BZ42" i="1"/>
  <c r="CZ129" i="1"/>
  <c r="CZ12" i="1"/>
  <c r="CZ155" i="1"/>
  <c r="CB132" i="1"/>
  <c r="CZ22" i="1"/>
  <c r="CZ9" i="1"/>
  <c r="CZ119" i="1"/>
  <c r="DM40" i="1"/>
  <c r="DP190" i="1"/>
  <c r="BR176" i="1"/>
  <c r="CZ33" i="1"/>
  <c r="BY46" i="1"/>
  <c r="BS134" i="1"/>
  <c r="CZ20" i="1"/>
  <c r="CZ124" i="1"/>
  <c r="CX9" i="1"/>
  <c r="CZ113" i="1"/>
  <c r="BR134" i="1"/>
  <c r="BQ136" i="1"/>
  <c r="CB39" i="1"/>
  <c r="CX30" i="1"/>
  <c r="CZ107" i="1"/>
  <c r="CZ188" i="1"/>
  <c r="CZ187" i="1"/>
  <c r="CZ149" i="1"/>
  <c r="CZ175" i="1"/>
  <c r="CZ174" i="1"/>
  <c r="CZ151" i="1"/>
  <c r="CZ150" i="1"/>
  <c r="BU132" i="1"/>
  <c r="CZ98" i="1"/>
  <c r="CZ34" i="1"/>
  <c r="BS39" i="1"/>
  <c r="CZ88" i="1"/>
  <c r="BU1" i="1"/>
  <c r="BZ131" i="1"/>
  <c r="ET169" i="1" l="1"/>
  <c r="DN191" i="1"/>
  <c r="CX36" i="1"/>
  <c r="CX20" i="1"/>
  <c r="CX13" i="1"/>
  <c r="CX22" i="1"/>
  <c r="CX28" i="1"/>
  <c r="CX12" i="1"/>
  <c r="CZ168" i="1"/>
  <c r="CZ96" i="1"/>
  <c r="CZ120" i="1"/>
  <c r="CZ91" i="1"/>
  <c r="CZ126" i="1"/>
  <c r="DN40" i="1"/>
  <c r="CX32" i="1"/>
  <c r="CX27" i="1"/>
  <c r="CZ111" i="1"/>
  <c r="CZ18" i="1"/>
  <c r="CZ30" i="1"/>
  <c r="CX7" i="1"/>
  <c r="BY170" i="1"/>
  <c r="BY190" i="1" s="1"/>
  <c r="CZ63" i="1"/>
  <c r="CZ36" i="1"/>
  <c r="DN81" i="1"/>
  <c r="BY134" i="1"/>
  <c r="BZ134" i="1"/>
  <c r="BQ131" i="1"/>
  <c r="CZ17" i="1"/>
  <c r="CZ58" i="1"/>
  <c r="CZ158" i="1"/>
  <c r="CW44" i="1"/>
  <c r="CZ162" i="1"/>
  <c r="CX21" i="1"/>
  <c r="CZ100" i="1"/>
  <c r="CX11" i="1"/>
  <c r="BX136" i="1"/>
  <c r="BX191" i="1" s="1"/>
  <c r="CZ48" i="1"/>
  <c r="CZ11" i="1"/>
  <c r="CZ87" i="1"/>
  <c r="CY169" i="1"/>
  <c r="CY136" i="1" s="1"/>
  <c r="CY191" i="1" s="1"/>
  <c r="CZ186" i="1"/>
  <c r="CZ117" i="1"/>
  <c r="CX34" i="1"/>
  <c r="CZ110" i="1"/>
  <c r="CZ176" i="1"/>
  <c r="BZ39" i="1"/>
  <c r="CZ94" i="1"/>
  <c r="CX26" i="1"/>
  <c r="CZ148" i="1"/>
  <c r="CZ105" i="1"/>
  <c r="CZ90" i="1"/>
  <c r="CY42" i="1"/>
  <c r="BQ82" i="1"/>
  <c r="CZ37" i="1"/>
  <c r="CX42" i="1"/>
  <c r="BY131" i="1"/>
  <c r="BP132" i="1"/>
  <c r="CW80" i="1"/>
  <c r="CZ13" i="1"/>
  <c r="BS131" i="1"/>
  <c r="CZ165" i="1"/>
  <c r="CW81" i="1"/>
  <c r="CZ116" i="1"/>
  <c r="CZ24" i="1"/>
  <c r="CZ25" i="1"/>
  <c r="CX82" i="1"/>
  <c r="CW132" i="1"/>
  <c r="BX82" i="1"/>
  <c r="CY81" i="1"/>
  <c r="BX131" i="1"/>
  <c r="BW131" i="1" s="1"/>
  <c r="BQ42" i="1"/>
  <c r="BW132" i="1"/>
  <c r="CZ157" i="1"/>
  <c r="CZ64" i="1"/>
  <c r="CY134" i="1"/>
  <c r="BY132" i="1"/>
  <c r="CY132" i="1"/>
  <c r="CW136" i="1"/>
  <c r="CW190" i="1" s="1"/>
  <c r="CX134" i="1"/>
  <c r="CY84" i="1"/>
  <c r="CY131" i="1"/>
  <c r="CZ104" i="1"/>
  <c r="CY82" i="1"/>
  <c r="CZ167" i="1"/>
  <c r="CZ74" i="1"/>
  <c r="CZ73" i="1"/>
  <c r="BY81" i="1"/>
  <c r="CW84" i="1"/>
  <c r="CW131" i="1"/>
  <c r="DR190" i="1"/>
  <c r="BX1" i="1"/>
  <c r="BW40" i="1"/>
  <c r="CY44" i="1"/>
  <c r="CX16" i="1"/>
  <c r="BY40" i="1"/>
  <c r="CY80" i="1"/>
  <c r="BX39" i="1"/>
  <c r="DR39" i="1"/>
  <c r="DR80" i="1"/>
  <c r="CW3" i="1"/>
  <c r="CW39" i="1" s="1"/>
  <c r="BQ39" i="1"/>
  <c r="BP39" i="1" s="1"/>
  <c r="BP40" i="1"/>
  <c r="CY1" i="1"/>
  <c r="CX1" i="1"/>
  <c r="BP80" i="1"/>
  <c r="BQ80" i="1"/>
  <c r="BX80" i="1"/>
  <c r="BW80" i="1" s="1"/>
  <c r="CZ71" i="1"/>
  <c r="BQ1" i="1"/>
  <c r="CZ16" i="1"/>
  <c r="BW81" i="1"/>
  <c r="CX25" i="1"/>
  <c r="BY39" i="1"/>
  <c r="BX42" i="1"/>
  <c r="CZ6" i="1"/>
  <c r="CY3" i="1"/>
  <c r="BQ134" i="1"/>
  <c r="BY80" i="1"/>
  <c r="BR137" i="1"/>
  <c r="BQ191" i="1"/>
  <c r="BP191" i="1" s="1"/>
  <c r="BQ190" i="1"/>
  <c r="BP190" i="1" s="1"/>
  <c r="BP131" i="1" l="1"/>
  <c r="BW39" i="1"/>
  <c r="CZ170" i="1"/>
  <c r="BY191" i="1"/>
  <c r="CC134" i="1" s="1"/>
  <c r="FE4" i="1"/>
  <c r="BX134" i="1"/>
  <c r="BX190" i="1"/>
  <c r="BW190" i="1" s="1"/>
  <c r="CZ169" i="1"/>
  <c r="BW191" i="1"/>
  <c r="FD4" i="1"/>
  <c r="CW134" i="1"/>
  <c r="CC82" i="1"/>
  <c r="EZ4" i="1" s="1"/>
  <c r="CW42" i="1"/>
  <c r="CW191" i="1"/>
  <c r="CW82" i="1"/>
  <c r="FF4" i="1"/>
  <c r="CC42" i="1"/>
  <c r="EX4" i="1" s="1"/>
  <c r="FC4" i="1"/>
  <c r="CY190" i="1"/>
  <c r="CW40" i="1"/>
  <c r="CW1" i="1"/>
  <c r="CC1" i="1"/>
  <c r="CY40" i="1"/>
  <c r="CY39" i="1"/>
  <c r="FB4" i="1" l="1"/>
  <c r="EV4" i="1"/>
</calcChain>
</file>

<file path=xl/sharedStrings.xml><?xml version="1.0" encoding="utf-8"?>
<sst xmlns="http://schemas.openxmlformats.org/spreadsheetml/2006/main" count="10109" uniqueCount="9864">
  <si>
    <t>/ES:XCME</t>
  </si>
  <si>
    <t>OPEN_INT</t>
  </si>
  <si>
    <t>QQQ</t>
  </si>
  <si>
    <t>/NQ:XCME</t>
  </si>
  <si>
    <t>0DTE</t>
  </si>
  <si>
    <t>NEXT_FRIDAY</t>
  </si>
  <si>
    <t>NEXT_OPEX</t>
  </si>
  <si>
    <t>VOLUME</t>
  </si>
  <si>
    <t>ABS</t>
  </si>
  <si>
    <t>SPX</t>
  </si>
  <si>
    <t>SPXW</t>
  </si>
  <si>
    <t>GAMMA</t>
  </si>
  <si>
    <t>NET OI</t>
  </si>
  <si>
    <t>SPY</t>
  </si>
  <si>
    <t>NDX</t>
  </si>
  <si>
    <t>NET VOL</t>
  </si>
  <si>
    <t>VOL C-P</t>
  </si>
  <si>
    <t>CALL</t>
  </si>
  <si>
    <t>PUTS</t>
  </si>
  <si>
    <t>DELTA</t>
  </si>
  <si>
    <t>DEX</t>
  </si>
  <si>
    <t>IMPL_VOL</t>
  </si>
  <si>
    <t>E:\GEX\Sync</t>
  </si>
  <si>
    <t xml:space="preserve">=SI(Put_Last &lt;= Put_Bid + (Put_Ask - Put_Bid)*0.4, "BUY", SI(Put_Last &gt;= Put_Bid + (Put_Ask - Put_Bid)*0.6, "SELL", "NEUTRAL"))
</t>
  </si>
  <si>
    <t xml:space="preserve">=SI(Call_Last &gt;= Call_Bid + (Call_Ask - Call_Bid)*0.6, "BUY", SI(Call_Last &lt;= Call_Bid + (Call_Ask - Call_Bid)*0.4, "SELL", "NEUTRAL"))
</t>
  </si>
  <si>
    <t>LAST</t>
  </si>
  <si>
    <t>BID</t>
  </si>
  <si>
    <t>ASK</t>
  </si>
  <si>
    <t>C_VOLPRESS</t>
  </si>
  <si>
    <t>P_VOLPRESS</t>
  </si>
  <si>
    <t>BUYCAL</t>
  </si>
  <si>
    <t>BUYPUT</t>
  </si>
  <si>
    <t>VOLPRESS</t>
  </si>
  <si>
    <t>BUYSEL</t>
  </si>
  <si>
    <t>PREM_VOLPRE</t>
  </si>
  <si>
    <t>PREM_BUYSELL</t>
  </si>
  <si>
    <t>GAMM_BUYSELL</t>
  </si>
  <si>
    <t>spy</t>
  </si>
  <si>
    <t>qqq</t>
  </si>
  <si>
    <t>spx</t>
  </si>
  <si>
    <t>ndx</t>
  </si>
  <si>
    <t>DELTA_BUYSELL</t>
  </si>
  <si>
    <t>CALLFLOW</t>
  </si>
  <si>
    <t>PUTFLOW</t>
  </si>
  <si>
    <t>CALLPRES</t>
  </si>
  <si>
    <t>BUYPRESS</t>
  </si>
  <si>
    <t>NETPRESS</t>
  </si>
  <si>
    <t>NETFLOW</t>
  </si>
  <si>
    <t>PREM_FLOW</t>
  </si>
  <si>
    <t>PREM_PRESS</t>
  </si>
  <si>
    <t>GAMMA_FLOW</t>
  </si>
  <si>
    <t>DELTA_FLOW</t>
  </si>
  <si>
    <t>spy_flow</t>
  </si>
  <si>
    <t>qqq_flow</t>
  </si>
  <si>
    <t>spx_flow</t>
  </si>
  <si>
    <t>ndx_flow</t>
  </si>
  <si>
    <t>CALLINVENTORY</t>
  </si>
  <si>
    <t>PUT INVENTORY</t>
  </si>
  <si>
    <t>NDXP</t>
  </si>
  <si>
    <t>2025-05-07 17:54:00,,555,565,,,555,559.5,,561,,,570,550,557,562</t>
  </si>
  <si>
    <t>2025-05-07 17:54:00,490,,,480,470,,481,483,,,,490,470,482,475</t>
  </si>
  <si>
    <t>2025-05-07 17:54:00,5800,,5700,,,5700,5620,,,,,5700,5500,5630,5620</t>
  </si>
  <si>
    <t>2025-05-07 17:54:00,19475,,,,19475,,19775,,,,,20200,19200,19400,19300</t>
  </si>
  <si>
    <t>2025-05-07 17:54:00,-111820930.258195,1254602401.98588,-913787.793851966,-1025294,-1965259.4617984,-1491422.91,53145.154843004,-370878.61</t>
  </si>
  <si>
    <t>2025-05-07 17:54:00,757189335.301336,-206770192.132754,699550.193713413,931160,912560.986621941,2245375.26,23841.8712005475,353407.98</t>
  </si>
  <si>
    <t>2025-05-07 17:54:00,9702599.17691577,17791742.8143746,-2777251.13767066,-830863,-48186997.3368176,-12008026.36,-525.429371362727,-249108.36</t>
  </si>
  <si>
    <t>2025-05-07 17:54:00,26751153.041978,90865.0227681191,40573.1317574456,13599,2645490.51199232,573210.22,0.691646886468118,2963.68</t>
  </si>
  <si>
    <t>2025-05-07 17:55:00,,555,565,,,555,559.5,,,,,570,550,557,562</t>
  </si>
  <si>
    <t>2025-05-07 17:55:00,490,,,480,470,,481,,,,,490,470,482,475</t>
  </si>
  <si>
    <t>2025-05-07 17:55:00,5800,,5700,,,5700,5620,,,,,5700,5500,5630,5620</t>
  </si>
  <si>
    <t>2025-05-07 17:55:00,19475,,,,19475,,19775,,,,,20200,19200,19400,19300</t>
  </si>
  <si>
    <t>2025-05-07 17:55:00,-96253900.8603339,1338348309.10208,0,0,0,0,0,0</t>
  </si>
  <si>
    <t>2025-05-07 17:55:00,754249806.277831,-216690148.538996,0,0,0,0,0,0</t>
  </si>
  <si>
    <t>2025-05-07 17:55:00,9706435.29972547,17792419.0525007,0,0,0,0,0,0</t>
  </si>
  <si>
    <t>2025-05-07 17:55:00,26749670.6749347,90820.5773300683,0,0,0,0,0,0</t>
  </si>
  <si>
    <t>2025-05-07 17:56:00,,555,565,,,555,559.5,,,,,570,550,557,562</t>
  </si>
  <si>
    <t>2025-05-07 17:56:00,490,,,480,470,,481,,,,,490,470,482,475</t>
  </si>
  <si>
    <t>2025-05-07 17:56:00,5800,,5700,,,5700,5620,,,,,5700,5500,5630,5620</t>
  </si>
  <si>
    <t>2025-05-07 17:56:00,19475,,,,19475,,19775,,,,,20200,19200,19400,19300</t>
  </si>
  <si>
    <t>2025-05-07 17:56:00,-96359216.3954849,1338612286.77883,0,0,0,0,0,0</t>
  </si>
  <si>
    <t>2025-05-07 17:56:00,759865990.672486,-197574921.128917,0,0,0,0,0,0</t>
  </si>
  <si>
    <t>2025-05-07 17:56:00,9702498.67830805,17794462.0208692,0,0,0,0,0,0</t>
  </si>
  <si>
    <t>2025-05-07 17:56:00,26754655.4983084,90888.3277976596,0,0,0,0,0,0</t>
  </si>
  <si>
    <t>2025-05-07 17:57:00,,555,565,,,555,559.5,,,,,570,550,557,562</t>
  </si>
  <si>
    <t>2025-05-07 17:57:00,490,,,480,470,,481,,,,,490,470,482,475</t>
  </si>
  <si>
    <t>2025-05-07 17:57:00,5800,,5700,,,5700,5620,,,,,5700,5500,5630,5620</t>
  </si>
  <si>
    <t>2025-05-07 17:57:00,19475,,,,19475,,19775,,,,,20200,19200,19400,19300</t>
  </si>
  <si>
    <t>2025-05-07 17:57:00,-101806561.266293,1310032877.80187,0,0,0,0,0,0</t>
  </si>
  <si>
    <t>2025-05-07 17:57:00,754144877.210889,-216835331.731209,0,0,0,0,0,0</t>
  </si>
  <si>
    <t>2025-05-07 17:57:00,9701477.31398958,17788235.1633255,0,0,0,0,0,0</t>
  </si>
  <si>
    <t>2025-05-07 17:57:00,26754302.0472002,90847.7387709415,0,0,0,0,0,0</t>
  </si>
  <si>
    <t>2025-05-07 17:58:00,,555,565,,,555,559.5,,,,,570,550,557,562</t>
  </si>
  <si>
    <t>2025-05-07 17:58:00,490,,,480,470,,481,,,,,490,470,482,475</t>
  </si>
  <si>
    <t>2025-05-07 17:58:00,5800,,5700,,,5700,5620,,,,,5700,5500,5630,5620</t>
  </si>
  <si>
    <t>2025-05-07 17:58:00,19475,,,,19475,,19775,,,,,20200,19200,19400,19300</t>
  </si>
  <si>
    <t>2025-05-07 17:58:00,-96831867.3708951,1337924724.29054,0,0,0,0,0,0</t>
  </si>
  <si>
    <t>2025-05-07 17:58:00,759831729.364173,-197546485.166802,0,0,0,0,0,0</t>
  </si>
  <si>
    <t>2025-05-07 17:58:00,9698097.3507539,17787235.6919703,0,0,0,0,0,0</t>
  </si>
  <si>
    <t>2025-05-07 17:58:00,26752650.9928298,90820.989324954,0,0,0,0,0,0</t>
  </si>
  <si>
    <t>2025-05-07 17:59:00,,555,565,,,555,559.5,,,,,570,550,557,562</t>
  </si>
  <si>
    <t>2025-05-07 17:59:00,490,,,480,470,,481,,,,,490,470,482,475</t>
  </si>
  <si>
    <t>2025-05-07 17:59:00,5800,,5700,,,5700,5620,,,,,5700,5500,5630,5620</t>
  </si>
  <si>
    <t>2025-05-07 17:59:00,19475,,,,19475,,19775,,,,,20200,19200,19400,19300</t>
  </si>
  <si>
    <t>2025-05-07 17:59:00,-96814076.7330925,1337381389.59745,0,0,0,0,0,0</t>
  </si>
  <si>
    <t>2025-05-07 17:59:00,759855945.902958,-197626665.269063,0,0,0,0,0,0</t>
  </si>
  <si>
    <t>2025-05-07 17:59:00,9693740.49435293,17787760.4959245,0,0,0,0,0,0</t>
  </si>
  <si>
    <t>2025-05-07 17:59:00,26757232.1264225,90876.3992718037,0,0,0,0,0,0</t>
  </si>
  <si>
    <t>2025-05-07 18:00:00,,555,565,,,555,559.5,,,,,570,550,557,562</t>
  </si>
  <si>
    <t>2025-05-07 18:00:00,490,,,480,470,,481,,,,,490,470,482,475</t>
  </si>
  <si>
    <t>2025-05-07 18:00:00,5800,,5700,,,5700,5620,,,,,5700,5500,5630,5620</t>
  </si>
  <si>
    <t>2025-05-07 18:00:00,19475,,,,19475,,19775,,,,,20200,19200,19400,19300</t>
  </si>
  <si>
    <t>2025-05-07 18:00:00,-64369474.1823965,1506339609.40021,0,0,0,0,0,0</t>
  </si>
  <si>
    <t>2025-05-07 18:00:00,781677293.802521,-120874847.055484,0,0,0,0,0,0</t>
  </si>
  <si>
    <t>2025-05-07 18:00:00,9694499.67594155,17788622.4684527,0,0,0,0,0,0</t>
  </si>
  <si>
    <t>2025-05-07 18:00:00,26756045.3981384,90847.7213312109,0,0,0,0,0,0</t>
  </si>
  <si>
    <t>2025-05-07 18:01:00,,555,565,,,555,559.5,,,,,570,550,557,562</t>
  </si>
  <si>
    <t>2025-05-07 18:01:00,490,,,480,470,,481,,,,,490,470,482,475</t>
  </si>
  <si>
    <t>2025-05-07 18:01:00,5800,,5700,,,5700,5620,,,,,5700,5500,5630,5620</t>
  </si>
  <si>
    <t>2025-05-07 18:01:00,19475,,,,19475,,19775,,,,,20200,19200,19400,19300</t>
  </si>
  <si>
    <t>2025-05-07 18:01:00,-97153524.4373163,1337219665.25842,0,0,0,0,0,0</t>
  </si>
  <si>
    <t>2025-05-07 18:01:00,773464513.195127,-149780948.576526,0,0,0,0,0,0</t>
  </si>
  <si>
    <t>2025-05-07 18:01:00,9688522.39300353,17786989.3577662,0,0,0,0,0,0</t>
  </si>
  <si>
    <t>2025-05-07 18:01:00,26761065.7573188,90897.2020747017,0,0,0,0,0,0</t>
  </si>
  <si>
    <t>2025-05-07 18:02:00,,555,565,,,555,559.5,,,,,570,550,557,562</t>
  </si>
  <si>
    <t>2025-05-07 18:02:00,490,,,480,470,,481,,,,,490,470,482,475</t>
  </si>
  <si>
    <t>2025-05-07 18:02:00,5800,,5700,,,5700,5620,,,,,5700,5500,5630,5620</t>
  </si>
  <si>
    <t>2025-05-07 18:02:00,19475,,,,19475,,19775,,,,,20200,19200,19400,19300</t>
  </si>
  <si>
    <t>2025-05-07 18:02:00,-49537832.2435438,1589240798.97523,0,0,0,0,0,0</t>
  </si>
  <si>
    <t>2025-05-07 18:02:00,792628165.679254,-82708851.3260424,0,0,0,0,0,0</t>
  </si>
  <si>
    <t>2025-05-07 18:02:00,9694207.21339383,17792690.5033848,0,0,0,0,0,0</t>
  </si>
  <si>
    <t>2025-05-07 18:02:00,26761410.8760697,90892.8631052962,0,0,0,0,0,0</t>
  </si>
  <si>
    <t>2025-05-07 18:03:00,,555,565,,,555,559.5,,,,,570,550,557,562</t>
  </si>
  <si>
    <t>2025-05-07 18:03:00,490,,,480,470,,481,,,,,490,470,482,475</t>
  </si>
  <si>
    <t>2025-05-07 18:03:00,5800,,5700,,,5700,5620,,,,,5700,5500,5630,5620</t>
  </si>
  <si>
    <t>2025-05-07 18:03:00,19475,,,,19475,,19775,,,,,20200,19200,19400,19300</t>
  </si>
  <si>
    <t>2025-05-07 18:03:00,-69743138.9702654,1478867533.07378,0,0,0,0,0,0</t>
  </si>
  <si>
    <t>2025-05-07 18:03:00,801359340.300369,-53906332.8832708,0,0,0,0,0,0</t>
  </si>
  <si>
    <t>2025-05-07 18:03:00,9692319.63247735,17791402.7781187,0,0,0,0,0,0</t>
  </si>
  <si>
    <t>2025-05-07 18:03:00,26761581.6991345,90865.9278808,0,0,0,0,0,0</t>
  </si>
  <si>
    <t>2025-05-07 18:05:00,,555,565,,,555,558.5,,,,,570,550,557,562</t>
  </si>
  <si>
    <t>2025-05-07 18:05:00,490,,485,,470,,481,,,,,490,470,482,475</t>
  </si>
  <si>
    <t>2025-05-07 18:05:00,5800,,5700,,,5700,5620,,,,,5700,5500,5630,5620</t>
  </si>
  <si>
    <t>2025-05-07 18:05:00,19475,,,,19475,,19775,,,,,20200,19200,19400,19300</t>
  </si>
  <si>
    <t>2025-05-07 18:05:00,-12995060.5473805,1785355081.3718,0,0,0,0,0,0</t>
  </si>
  <si>
    <t>2025-05-07 18:05:00,844656523.801391,99872249.9369761,0,0,0,0,0,0</t>
  </si>
  <si>
    <t>2025-05-07 18:05:00,9694304.61566963,17803719.5608036,0,0,0,0,0,0</t>
  </si>
  <si>
    <t>2025-05-07 18:05:00,26766238.7340669,90982.5620468112,0,0,0,0,0,0</t>
  </si>
  <si>
    <t>2025-05-07 18:06:00,,,565,,,555,558.5,,,,,570,550,557,562</t>
  </si>
  <si>
    <t>2025-05-07 18:06:00,490,,485,,470,,481,,,,,490,470,482,475</t>
  </si>
  <si>
    <t>2025-05-07 18:06:00,5800,,5700,,,5700,5620,,,,,5700,5500,5630,5620</t>
  </si>
  <si>
    <t>2025-05-07 18:06:00,19475,,,,19475,,19775,,,,,20200,19200,19400,19300</t>
  </si>
  <si>
    <t>2025-05-07 18:06:00,27812838.116546,2006486895.0897,0,0,0,0,0,0</t>
  </si>
  <si>
    <t>2025-05-07 18:06:00,855872240.931541,138076457.322927,0,0,0,0,0,0</t>
  </si>
  <si>
    <t>2025-05-07 18:06:00,9694143.68301349,17800650.4034807,0,0,0,0,0,0</t>
  </si>
  <si>
    <t>2025-05-07 18:06:00,26764929.9667954,90959.1178014955,0,0,0,0,0,0</t>
  </si>
  <si>
    <t>2025-05-07 18:07:00,,555,565,,,555,558.5,,,,,570,550,557,562</t>
  </si>
  <si>
    <t>2025-05-07 18:07:00,490,,,480,470,,481,,,,,490,470,482,475</t>
  </si>
  <si>
    <t>2025-05-07 18:07:00,5800,,5700,,,5700,5620,,,,,5700,5500,5630,5620</t>
  </si>
  <si>
    <t>2025-05-07 18:07:00,19475,,,,19475,,19775,,,,,20200,19200,19400,19300</t>
  </si>
  <si>
    <t>2025-05-07 18:07:00,-13258062.7651348,1785246958.70104,0,0,0,0,0,0</t>
  </si>
  <si>
    <t>2025-05-07 18:07:00,823223395.342993,22502733.841574,0,0,0,0,0,0</t>
  </si>
  <si>
    <t>2025-05-07 18:07:00,9684954.47082637,17792345.6941576,0,0,0,0,0,0</t>
  </si>
  <si>
    <t>2025-05-07 18:07:00,26769531.9892408,90969.7984670152,0,0,0,0,0,0</t>
  </si>
  <si>
    <t>2025-05-07 18:08:00,,555,565,,,555,559.5,,,,,570,550,557,562</t>
  </si>
  <si>
    <t>2025-05-07 18:08:00,490,,,480,470,,481,,,,,490,470,482,475</t>
  </si>
  <si>
    <t>2025-05-07 18:08:00,5800,,5700,,,5700,5620,,,,,5700,5500,5630,5620</t>
  </si>
  <si>
    <t>2025-05-07 18:08:00,19475,,,,19475,,19775,,,,,20200,19200,19400,19300</t>
  </si>
  <si>
    <t>2025-05-07 18:08:00,-50258842.0942177,1587841364.43694,0,0,0,0,0,0</t>
  </si>
  <si>
    <t>2025-05-07 18:08:00,809800208.916929,-25339803.1804574,0,0,0,0,0,0</t>
  </si>
  <si>
    <t>2025-05-07 18:08:00,9684390.04871472,17789665.7070022,0,0,0,0,0,0</t>
  </si>
  <si>
    <t>2025-05-07 18:08:00,26767793.4341608,90889.1902990085,0,0,0,0,0,0</t>
  </si>
  <si>
    <t>2025-05-07 18:09:00,,555,565,,,555,558.5,,,,,570,550,557,562</t>
  </si>
  <si>
    <t>2025-05-07 18:09:00,490,,485,,470,,481,,,,,490,470,482,475</t>
  </si>
  <si>
    <t>2025-05-07 18:09:00,5800,,5700,,,5700,5620,,,,,5700,5500,5630,5620</t>
  </si>
  <si>
    <t>2025-05-07 18:09:00,19475,,,,19475,,19775,,,,,20200,19200,19400,19300</t>
  </si>
  <si>
    <t>2025-05-07 18:09:00,-13453045.8108815,1785092022.93323,0,0,0,0,0,0</t>
  </si>
  <si>
    <t>2025-05-07 18:09:00,847675357.68117,109052637.669156,0,0,0,0,0,0</t>
  </si>
  <si>
    <t>2025-05-07 18:09:00,9691517.35407293,17793745.5156598,0,0,0,0,0,0</t>
  </si>
  <si>
    <t>2025-05-07 18:09:00,26767069.0805438,90903.9626767145,0,0,0,0,0,0</t>
  </si>
  <si>
    <t>2025-05-07 18:10:00,,555,565,,,555,558.5,,,,,570,550,557,562</t>
  </si>
  <si>
    <t>2025-05-07 18:10:00,490,,485,,470,,481,,,,,490,470,482,475</t>
  </si>
  <si>
    <t>2025-05-07 18:10:00,5800,,5700,,,5700,5620,,,,,5700,5500,5630,5620</t>
  </si>
  <si>
    <t>2025-05-07 18:10:00,19475,,,,19475,,19775,,,,,20200,19200,19400,19300</t>
  </si>
  <si>
    <t>2025-05-07 18:10:00,-13670345.1429701,1784798741.60611,0,0,0,0,0,0</t>
  </si>
  <si>
    <t>2025-05-07 18:10:00,844815090.233511,99492247.4323576,0,0,0,0,0,0</t>
  </si>
  <si>
    <t>2025-05-07 18:10:00,9686811.34745937,17793530.1388512,0,0,0,0,0,0</t>
  </si>
  <si>
    <t>2025-05-07 18:10:00,26771593.2816547,90955.133250603,0,0,0,0,0,0</t>
  </si>
  <si>
    <t>2025-05-07 18:11:00,,555,565,,,555,558.5,,,,,570,550,557,562</t>
  </si>
  <si>
    <t>2025-05-07 18:11:00,490,,485,,470,,481,,,,,490,470,482,475</t>
  </si>
  <si>
    <t>2025-05-07 18:11:00,5800,,5700,,,5700,5620,,,,,5700,5500,5630,5620</t>
  </si>
  <si>
    <t>2025-05-07 18:11:00,19475,,,,19475,,19775,,,,,20200,19200,19400,19300</t>
  </si>
  <si>
    <t>2025-05-07 18:11:00,-13722936.0205509,1784253759.13111,0,0,0,0,0,0</t>
  </si>
  <si>
    <t>2025-05-07 18:11:00,847539698.091179,109102079.500704,0,0,0,0,0,0</t>
  </si>
  <si>
    <t>2025-05-07 18:11:00,9685857.03460934,17794511.1103961,0,0,0,0,0,0</t>
  </si>
  <si>
    <t>2025-05-07 18:11:00,26770665.9514211,90924.7674989842,0,0,0,0,0,0</t>
  </si>
  <si>
    <t>2025-05-07 18:12:00,,555,565,,,555,558.5,,,,,570,550,557,562</t>
  </si>
  <si>
    <t>2025-05-07 18:12:00,490,,485,,470,,481,,,,,490,470,482,475</t>
  </si>
  <si>
    <t>2025-05-07 18:12:00,5800,,5700,,,5700,5620,,,,,5700,5500,5630,5620</t>
  </si>
  <si>
    <t>2025-05-07 18:12:00,19475,,,,19475,,19775,,,,,20200,19200,19400,19300</t>
  </si>
  <si>
    <t>2025-05-07 18:12:00,-3826702.85816106,1839104770.44742,0,0,0,0,0,0</t>
  </si>
  <si>
    <t>2025-05-07 18:12:00,868828180.114663,185835431.516879,0,0,0,0,0,0</t>
  </si>
  <si>
    <t>2025-05-07 18:12:00,9684756.47838916,17800921.8873333,0,0,0,0,0,0</t>
  </si>
  <si>
    <t>2025-05-07 18:12:00,26775190.1002183,91009.8414063304,0,0,0,0,0,0</t>
  </si>
  <si>
    <t>2025-05-07 18:13:00,,555,565,,,555,558.5,,,,,570,550,557,562</t>
  </si>
  <si>
    <t>2025-05-07 18:13:00,490,,485,,470,,481,,,,,490,470,482,475</t>
  </si>
  <si>
    <t>2025-05-07 18:13:00,5800,,5700,,,5700,5620,,,,,5700,5500,5630,5620</t>
  </si>
  <si>
    <t>2025-05-07 18:13:00,19475,,,,19475,,19775,,,,,20200,19200,19400,19300</t>
  </si>
  <si>
    <t>2025-05-07 18:13:00,-13884000.8358498,1783774532.94038,0,0,0,0,0,0</t>
  </si>
  <si>
    <t>2025-05-07 18:13:00,834187667.589051,61347793.9235491,0,0,0,0,0,0</t>
  </si>
  <si>
    <t>2025-05-07 18:13:00,9677946.06666126,17784323.8170971,0,0,0,0,0,0</t>
  </si>
  <si>
    <t>2025-05-07 18:13:00,26775486.2164155,90929.4075092818,0,0,0,0,0,0</t>
  </si>
  <si>
    <t>2025-05-07 18:14:00,,555,565,,,555,558.5,,,,,570,550,557,562</t>
  </si>
  <si>
    <t>2025-05-07 18:14:00,490,,485,,470,,481,,,,,490,470,482,475</t>
  </si>
  <si>
    <t>2025-05-07 18:14:00,5800,,5700,,,5700,5620,,,,,5700,5500,5630,5620</t>
  </si>
  <si>
    <t>2025-05-07 18:14:00,19475,,,,19475,,19775,,,,,20200,19200,19400,19300</t>
  </si>
  <si>
    <t>2025-05-07 18:14:00,-14165360.6270494,1783813816.41587,0,0,0,0,0,0</t>
  </si>
  <si>
    <t>2025-05-07 18:14:00,842144282.767696,89719060.1571321,0,0,0,0,0,0</t>
  </si>
  <si>
    <t>2025-05-07 18:14:00,9679012.81151682,17787157.9847969,0,0,0,0,0,0</t>
  </si>
  <si>
    <t>2025-05-07 18:14:00,26775120.9746417,90878.0864138446,0,0,0,0,0,0</t>
  </si>
  <si>
    <t>2025-05-07 18:15:00,,555,565,,,555,558.5,,,,,570,550,557,562</t>
  </si>
  <si>
    <t>2025-05-07 18:15:00,490,,485,,470,,481,,,,,490,470,482,475</t>
  </si>
  <si>
    <t>2025-05-07 18:15:00,5800,,5700,,,5700,5620,,,,,5700,5500,5630,5620</t>
  </si>
  <si>
    <t>2025-05-07 18:15:00,19475,,,,19475,,19775,,,,,20200,19200,19400,19300</t>
  </si>
  <si>
    <t>2025-05-07 18:15:00,-14276133.6347541,1783596687.11944,0,0,0,0,0,0</t>
  </si>
  <si>
    <t>2025-05-07 18:15:00,847661962.782668,108790669.916237,0,0,0,0,0,0</t>
  </si>
  <si>
    <t>2025-05-07 18:15:00,9675353.07006443,17789172.6929644,0,0,0,0,0,0</t>
  </si>
  <si>
    <t>2025-05-07 18:15:00,26779810.4087868,90942.6159108094,0,0,0,0,0,0</t>
  </si>
  <si>
    <t>2025-05-07 18:16:00,,555,565,,,555,558.5,,,,,570,550,557,562</t>
  </si>
  <si>
    <t>2025-05-07 18:16:00,490,,485,,470,,481,,,,,490,470,482,475</t>
  </si>
  <si>
    <t>2025-05-07 18:16:00,5800,,5700,,,5700,5620,,,,,5700,5500,5630,5620</t>
  </si>
  <si>
    <t>2025-05-07 18:16:00,19475,,,,19475,,19775,,,,,20200,19200,19400,19300</t>
  </si>
  <si>
    <t>2025-05-07 18:16:00,-14501566.2798306,1783607723.93095,0,0,0,0,0,0</t>
  </si>
  <si>
    <t>2025-05-07 18:16:00,847667534.046872,108777559.215899,0,0,0,0,0,0</t>
  </si>
  <si>
    <t>2025-05-07 18:16:00,9673495.84939371,17782892.7551883,0,0,0,0,0,0</t>
  </si>
  <si>
    <t>2025-05-07 18:16:00,26777299.0084894,90908.2968055714,0,0,0,0,0,0</t>
  </si>
  <si>
    <t>2025-05-07 18:17:00,,555,565,,,555,558.5,,,,,570,550,557,562</t>
  </si>
  <si>
    <t>2025-05-07 18:17:00,490,,485,,470,,481,,,,,490,470,482,475</t>
  </si>
  <si>
    <t>2025-05-07 18:17:00,5800,,5700,,,5700,5620,,,,,5700,5500,5630,5620</t>
  </si>
  <si>
    <t>2025-05-07 18:17:00,19475,,,,19475,,19775,,,,,20200,19200,19400,19300</t>
  </si>
  <si>
    <t>2025-05-07 18:17:00,-4506706.93365032,1838886700.91126,0,0,0,0,0,0</t>
  </si>
  <si>
    <t>2025-05-07 18:17:00,858474214.623476,146918053.563391,0,0,0,0,0,0</t>
  </si>
  <si>
    <t>2025-05-07 18:17:00,9675616.58740095,17785030.2696922,0,0,0,0,0,0</t>
  </si>
  <si>
    <t>2025-05-07 18:17:00,26780845.8762573,90986.1588001159,0,0,0,0,0,0</t>
  </si>
  <si>
    <t>2025-05-07 18:18:00,,555,565,,,555,558.5,,,,,570,550,557,562</t>
  </si>
  <si>
    <t>2025-05-07 18:18:00,490,,485,,470,,481,,,,,490,470,482,475</t>
  </si>
  <si>
    <t>2025-05-07 18:18:00,5800,,5700,,,5700,5620,,,,,5700,5500,5630,5620</t>
  </si>
  <si>
    <t>2025-05-07 18:18:00,19475,,,,19475,,19775,,,,,20200,19200,19400,19300</t>
  </si>
  <si>
    <t>2025-05-07 18:18:00,-9726624.98260406,1810498395.71084,0,0,0,0,0,0</t>
  </si>
  <si>
    <t>2025-05-07 18:18:00,836875785.267022,70517635.1757956,0,0,0,0,0,0</t>
  </si>
  <si>
    <t>2025-05-07 18:18:00,9668033.61841358,17779681.4426771,0,0,0,0,0,0</t>
  </si>
  <si>
    <t>2025-05-07 18:18:00,26781740.7273633,90915.6526105205,0,0,0,0,0,0</t>
  </si>
  <si>
    <t>2025-05-07 18:19:00,,555,565,,,555,558.5,,,,,570,550,557,562</t>
  </si>
  <si>
    <t>2025-05-07 18:19:00,490,,485,,470,,481,,,,,490,470,482,475</t>
  </si>
  <si>
    <t>2025-05-07 18:19:00,5800,,5700,,,5700,5620,,,,,5700,5500,5630,5620</t>
  </si>
  <si>
    <t>2025-05-07 18:19:00,19475,,,,19475,,19775,,,,,20200,19200,19400,19300</t>
  </si>
  <si>
    <t>2025-05-07 18:19:00,-9702953.02882819,1810762112.51575,0,0,0,0,0,0</t>
  </si>
  <si>
    <t>2025-05-07 18:19:00,839693481.286163,79993381.6553763,0,0,0,0,0,0</t>
  </si>
  <si>
    <t>2025-05-07 18:19:00,9663851.51983799,17774381.6466008,0,0,0,0,0,0</t>
  </si>
  <si>
    <t>2025-05-07 18:19:00,26780352.2586289,90874.1198997953,0,0,0,0,0,0</t>
  </si>
  <si>
    <t>2025-05-07 18:20:00,,555,565,,,555,558.5,,,,,570,550,557,562</t>
  </si>
  <si>
    <t>2025-05-07 18:20:00,490,,485,,470,,481,,,,,490,470,482,475</t>
  </si>
  <si>
    <t>2025-05-07 18:20:00,5800,,5700,,,5700,5620,,,,,5700,5500,5630,5620</t>
  </si>
  <si>
    <t>2025-05-07 18:20:00,19475,,,,19475,,19775,,,,,20200,19200,19400,19300</t>
  </si>
  <si>
    <t>2025-05-07 18:20:00,-9878921.67555176,1810213117.85108,0,0,0,0,0,0</t>
  </si>
  <si>
    <t>2025-05-07 18:20:00,841597616.780264,87625737.4003779,0,0,0,0,0,0</t>
  </si>
  <si>
    <t>2025-05-07 18:20:00,9659860.84455517,17775652.4948423,0,0,0,0,0,0</t>
  </si>
  <si>
    <t>2025-05-07 18:20:00,26784968.8698314,90934.0858950257,0,0,0,0,0,0</t>
  </si>
  <si>
    <t>2025-05-07 18:21:00,,555,565,,,555,558.5,,,,,570,550,557,562</t>
  </si>
  <si>
    <t>2025-05-07 18:21:00,490,,485,,470,,481,,,,,490,470,482,475</t>
  </si>
  <si>
    <t>2025-05-07 18:21:00,5800,,5700,,,5700,5620,,,,,5700,5500,5630,5620</t>
  </si>
  <si>
    <t>2025-05-07 18:21:00,19475,,,,19475,,19775,,,,,20200,19200,19400,19300</t>
  </si>
  <si>
    <t>2025-05-07 18:21:00,-10131068.096276,1809808289.08968,0,0,0,0,0,0</t>
  </si>
  <si>
    <t>2025-05-07 18:21:00,839502905.035392,79708164.5353283,0,0,0,0,0,0</t>
  </si>
  <si>
    <t>2025-05-07 18:21:00,9659995.59781515,17777922.5889766,0,0,0,0,0,0</t>
  </si>
  <si>
    <t>2025-05-07 18:21:00,26784790.461643,90873.8475109378,0,0,0,0,0,0</t>
  </si>
  <si>
    <t>2025-05-07 18:22:00,,,565,,,555,558.5,,,,,570,550,557,562</t>
  </si>
  <si>
    <t>2025-05-07 18:22:00,490,,485,,470,,481,,,,,490,470,482,475</t>
  </si>
  <si>
    <t>2025-05-07 18:22:00,5800,,5700,,,5700,5620,,,,,5700,5500,5630,5620</t>
  </si>
  <si>
    <t>2025-05-07 18:22:00,19475,,,,19475,,19775,,,,,20200,19200,19400,19300</t>
  </si>
  <si>
    <t>2025-05-07 18:22:00,5030352.69193387,1893034919.49561,0,0,0,0,0,0</t>
  </si>
  <si>
    <t>2025-05-07 18:22:00,839512662.688542,79608559.1373186,0,0,0,0,0,0</t>
  </si>
  <si>
    <t>2025-05-07 18:22:00,9658718.18004638,17772616.3086163,0,0,0,0,0,0</t>
  </si>
  <si>
    <t>2025-05-07 18:22:00,26784835.0172876,90840.0325239201,0,0,0,0,0,0</t>
  </si>
  <si>
    <t>2025-05-07 18:23:00,,555,565,,,555,558.5,,,,,570,550,557,562</t>
  </si>
  <si>
    <t>2025-05-07 18:23:00,490,,,480,470,,481,,,,,490,470,482,475</t>
  </si>
  <si>
    <t>2025-05-07 18:23:00,5800,,5700,,,5700,5620,,,,,5700,5500,5630,5620</t>
  </si>
  <si>
    <t>2025-05-07 18:23:00,19475,,,,19475,,19775,,,,,20200,19200,19400,19300</t>
  </si>
  <si>
    <t>2025-05-07 18:23:00,-15322862.3715762,1782212641.65903,0,0,0,0,0,0</t>
  </si>
  <si>
    <t>2025-05-07 18:23:00,814987964.5477,-6376652.69368956,0,0,0,0,0,0</t>
  </si>
  <si>
    <t>2025-05-07 18:23:00,9650801.8199754,17766529.1933688,0,0,0,0,0,0</t>
  </si>
  <si>
    <t>2025-05-07 18:23:00,26789381.7397545,90861.5851300476,0,0,0,0,0,0</t>
  </si>
  <si>
    <t>2025-05-07 18:24:00,,555,565,,,555,558.5,,,,,570,550,557,562</t>
  </si>
  <si>
    <t>2025-05-07 18:24:00,490,,,480,470,,481,,,,,490,470,482,475</t>
  </si>
  <si>
    <t>2025-05-07 18:24:00,5800,,5700,,,5700,5620,,,,,5700,5500,5630,5620</t>
  </si>
  <si>
    <t>2025-05-07 18:24:00,19475,,,,19475,,19775,,,,,20200,19200,19400,19300</t>
  </si>
  <si>
    <t>2025-05-07 18:24:00,-15357882.1550666,1781996037.47226,0,0,0,0,0,0</t>
  </si>
  <si>
    <t>2025-05-07 18:24:00,823375467.173666,21441557.1102717,0,0,0,0,0,0</t>
  </si>
  <si>
    <t>2025-05-07 18:24:00,9655140.62485769,17764591.2444983,0,0,0,0,0,0</t>
  </si>
  <si>
    <t>2025-05-07 18:24:00,26787102.9596304,90840.292100698,0,0,0,0,0,0</t>
  </si>
  <si>
    <t>2025-05-07 18:25:00,,555,565,,,555,558.5,,,,,570,550,557,562</t>
  </si>
  <si>
    <t>2025-05-07 18:25:00,490,,485,,470,,481,,,,,490,470,482,475</t>
  </si>
  <si>
    <t>2025-05-07 18:25:00,5800,,5700,,,5700,5620,,,,,5700,5500,5630,5620</t>
  </si>
  <si>
    <t>2025-05-07 18:25:00,19475,,,,19475,,19775,,,,,20200,19200,19400,19300</t>
  </si>
  <si>
    <t>2025-05-07 18:25:00,-15533840.3859378,1781730842.56483,0,0,0,0,0,0</t>
  </si>
  <si>
    <t>2025-05-07 18:25:00,842275477.630784,89051916.1721384,0,0,0,0,0,0</t>
  </si>
  <si>
    <t>2025-05-07 18:25:00,9653535.97719406,17770275.387538,0,0,0,0,0,0</t>
  </si>
  <si>
    <t>2025-05-07 18:25:00,26791732.2198782,90923.0396063592,0,0,0,0,0,0</t>
  </si>
  <si>
    <t>2025-05-07 18:26:00,,555,565,,,555,558.5,,,,,570,550,557,562</t>
  </si>
  <si>
    <t>2025-05-07 18:26:00,490,,485,,470,,481,,,,,490,470,482,475</t>
  </si>
  <si>
    <t>2025-05-07 18:26:00,5800,,5700,,,5700,5620,,,,,5700,5500,5630,5620</t>
  </si>
  <si>
    <t>2025-05-07 18:26:00,19475,,,,19475,,19775,,,,,20200,19200,19400,19300</t>
  </si>
  <si>
    <t>2025-05-07 18:26:00,-548440.962974663,1864630536.56752,0,0,0,0,0,0</t>
  </si>
  <si>
    <t>2025-05-07 18:26:00,858473718.812051,146325744.600169,0,0,0,0,0,0</t>
  </si>
  <si>
    <t>2025-05-07 18:26:00,9655023.34393543,17774440.7555215,0,0,0,0,0,0</t>
  </si>
  <si>
    <t>2025-05-07 18:26:00,26791044.3281191,90882.9399910369,0,0,0,0,0,0</t>
  </si>
  <si>
    <t>2025-05-07 18:27:00,,,565,,,555,558.5,,,,,570,550,557,562</t>
  </si>
  <si>
    <t>2025-05-07 18:27:00,490,,485,,470,,481,,,,,490,470,482,475</t>
  </si>
  <si>
    <t>2025-05-07 18:27:00,5800,,5700,,,5700,5620,,,,,5700,5500,5630,5620</t>
  </si>
  <si>
    <t>2025-05-07 18:27:00,19475,,,,19475,,19775,,,,,20200,19200,19400,19300</t>
  </si>
  <si>
    <t>2025-05-07 18:27:00,46184749.4041485,2117435323.13289,0,0,0,0,0,0</t>
  </si>
  <si>
    <t>2025-05-07 18:27:00,868888332.462506,184770537.3496,0,0,0,0,0,0</t>
  </si>
  <si>
    <t>2025-05-07 18:27:00,9657294.62546978,17773717.5632898,0,0,0,0,0,0</t>
  </si>
  <si>
    <t>2025-05-07 18:27:00,26791112.4641958,90867.4052037413,0,0,0,0,0,0</t>
  </si>
  <si>
    <t>2025-05-07 18:28:00,,,565,,,555,558.5,,,,,570,550,557,562</t>
  </si>
  <si>
    <t>2025-05-07 18:28:00,490,,485,,470,,481,,,,,490,470,482,475</t>
  </si>
  <si>
    <t>2025-05-07 18:28:00,5800,,5700,,,5700,5620,,,,,5700,5500,5630,5620</t>
  </si>
  <si>
    <t>2025-05-07 18:28:00,19475,,,,19475,,19775,,,,,20200,19200,19400,19300</t>
  </si>
  <si>
    <t>2025-05-07 18:28:00,81685746.7034825,2302186866.64428,0,0,0,0,0,0</t>
  </si>
  <si>
    <t>2025-05-07 18:28:00,866332978.949504,175123896.285969,0,0,0,0,0,0</t>
  </si>
  <si>
    <t>2025-05-07 18:28:00,9652341.34968051,17773543.6942878,0,0,0,0,0,0</t>
  </si>
  <si>
    <t>2025-05-07 18:28:00,26795902.7827404,90922.1045343855,0,0,0,0,0,0</t>
  </si>
  <si>
    <t>2025-05-07 18:29:00,,,565,,,555,558.5,,,,,570,550,557,562</t>
  </si>
  <si>
    <t>2025-05-07 18:29:00,490,,485,,470,,481,,,,,490,470,482,475</t>
  </si>
  <si>
    <t>2025-05-07 18:29:00,5800,,5700,,,5700,5620,,,,,5700,5500,5630,5620</t>
  </si>
  <si>
    <t>2025-05-07 18:29:00,19475,,,,19475,,19775,,,,,20200,19200,19400,19300</t>
  </si>
  <si>
    <t>2025-05-07 18:29:00,61596805.2747514,2200925207.53513,0,0,0,0,0,0</t>
  </si>
  <si>
    <t>2025-05-07 18:29:00,871608749.852287,197589402.324287,0,0,0,0,0,0</t>
  </si>
  <si>
    <t>2025-05-07 18:29:00,9650798.4035593,17771971.1188628,0,0,0,0,0,0</t>
  </si>
  <si>
    <t>2025-05-07 18:29:00,26795126.3634448,90895.3373117297,0,0,0,0,0,0</t>
  </si>
  <si>
    <t>2025-05-07 18:30:00,,,565,,,555,558.5,,,,,570,550,557,562</t>
  </si>
  <si>
    <t>2025-05-07 18:30:00,490,,485,,470,,480,,,,,490,470,482,475</t>
  </si>
  <si>
    <t>2025-05-07 18:30:00,5800,,5700,,,5700,5620,,,,,5700,5500,5630,5620</t>
  </si>
  <si>
    <t>2025-05-07 18:30:00,19475,,,,19475,,19775,,,,,20200,19200,19400,19300</t>
  </si>
  <si>
    <t>2025-05-07 18:30:00,82237603.0986566,2312056645.19678,0,0,0,0,0,0</t>
  </si>
  <si>
    <t>2025-05-07 18:30:00,884830385.694502,242072695.63559,0,0,0,0,0,0</t>
  </si>
  <si>
    <t>2025-05-07 18:30:00,9647908.36637408,17775463.6199524,0,0,0,0,0,0</t>
  </si>
  <si>
    <t>2025-05-07 18:30:00,26799844.1822921,90968.0079444499,0,0,0,0,0,0</t>
  </si>
  <si>
    <t>2025-05-07 18:31:00,,,565,,,555,558.5,,,,,570,550,557,562</t>
  </si>
  <si>
    <t>2025-05-07 18:31:00,490,,485,,470,,480,,,,,490,470,482,475</t>
  </si>
  <si>
    <t>2025-05-07 18:31:00,5800,,5700,,,5700,5620,,,,,5700,5500,5630,5620</t>
  </si>
  <si>
    <t>2025-05-07 18:31:00,19475,,,,19475,,19775,,,,,20200,19200,19400,19300</t>
  </si>
  <si>
    <t>2025-05-07 18:31:00,98536432.0824771,2397287287.42574,0,0,0,0,0,0</t>
  </si>
  <si>
    <t>2025-05-07 18:31:00,892701682.345498,270843875.301969,0,0,0,0,0,0</t>
  </si>
  <si>
    <t>2025-05-07 18:31:00,9648933.25742278,17774618.9376212,0,0,0,0,0,0</t>
  </si>
  <si>
    <t>2025-05-07 18:31:00,26799290.37839,90937.5851753919,0,0,0,0,0,0</t>
  </si>
  <si>
    <t>2025-05-07 18:32:00,,,565,,,555,558.5,,,,,570,550,557,562</t>
  </si>
  <si>
    <t>2025-05-07 18:32:00,490,,485,,470,,480,,,,,490,470,482,475</t>
  </si>
  <si>
    <t>2025-05-07 18:32:00,5800,,5700,,,5700,5620,,,,,5700,5500,5630,5620</t>
  </si>
  <si>
    <t>2025-05-07 18:32:00,19475,,,,19475,,19775,,,,,20200,19200,19400,19300</t>
  </si>
  <si>
    <t>2025-05-07 18:32:00,160333400.525251,2736920018.23206,0,0,0,0,0,0</t>
  </si>
  <si>
    <t>2025-05-07 18:32:00,934091379.419138,425344086.459668,0,0,0,0,0,0</t>
  </si>
  <si>
    <t>2025-05-07 18:32:00,9654032.12064,17784385.8490796,0,0,0,0,0,0</t>
  </si>
  <si>
    <t>2025-05-07 18:32:00,26798416.9282096,90942.9399057347,0,0,0,0,0,0</t>
  </si>
  <si>
    <t>2025-05-07 18:33:00,,,565,,,555,558.5,,,,,570,550,557,562</t>
  </si>
  <si>
    <t>2025-05-07 18:33:00,490,,485,,470,,480,,,,,490,470,482,475</t>
  </si>
  <si>
    <t>2025-05-07 18:33:00,5800,,5700,,,5700,5620,,,,,5700,5500,5630,5620</t>
  </si>
  <si>
    <t>2025-05-07 18:33:00,19475,,,,19475,,19775,,,,,20200,19200,19400,19300</t>
  </si>
  <si>
    <t>2025-05-07 18:33:00,98311775.000764,2397038964.36021,0,0,0,0,0,0</t>
  </si>
  <si>
    <t>2025-05-07 18:33:00,900590763.583344,299625914.733188,0,0,0,0,0,0</t>
  </si>
  <si>
    <t>2025-05-07 18:33:00,9644348.54491962,17775386.7787555,0,0,0,0,0,0</t>
  </si>
  <si>
    <t>2025-05-07 18:33:00,26803144.9155676,90951.889364864,0,0,0,0,0,0</t>
  </si>
  <si>
    <t>2025-05-07 18:34:00,,,565,,,555,558.5,,,,,570,550,557,562</t>
  </si>
  <si>
    <t>2025-05-07 18:34:00,490,,485,,470,,481,,,,,490,470,482,475</t>
  </si>
  <si>
    <t>2025-05-07 18:34:00,5800,,5700,,,5700,5620,,,,,5700,5500,5630,5620</t>
  </si>
  <si>
    <t>2025-05-07 18:34:00,19475,,,,19475,,19775,,,,,20200,19200,19400,19300</t>
  </si>
  <si>
    <t>2025-05-07 18:34:00,53273753.121588,2187470917.64386,0,0,0,0,0,0</t>
  </si>
  <si>
    <t>2025-05-07 18:34:00,867869039.915599,184019111.185471,0,0,0,0,0,0</t>
  </si>
  <si>
    <t>2025-05-07 18:34:00,9637428.49055866,17765126.0621531,0,0,0,0,0,0</t>
  </si>
  <si>
    <t>2025-05-07 18:34:00,26799867.5182409,90867.4610535888,0,0,0,0,0,0</t>
  </si>
  <si>
    <t>2025-05-07 18:35:00,,,565,,,555,558.5,,,,,570,550,557,562</t>
  </si>
  <si>
    <t>2025-05-07 18:35:00,490,,485,,470,,481,,,,,490,470,482,475</t>
  </si>
  <si>
    <t>2025-05-07 18:35:00,5800,,5700,,,5700,5620,,,,,5700,5500,5630,5620</t>
  </si>
  <si>
    <t>2025-05-07 18:35:00,19475,,,,19475,,19775,,,,,20200,19200,19400,19300</t>
  </si>
  <si>
    <t>2025-05-07 18:35:00,8357576.69069941,1918225853.042,0,0,0,0,0,0</t>
  </si>
  <si>
    <t>2025-05-07 18:35:00,858509643.341172,145727984.673071,0,0,0,0,0,0</t>
  </si>
  <si>
    <t>2025-05-07 18:35:00,9636969.31787622,17766516.5747055,0,0,0,0,0,0</t>
  </si>
  <si>
    <t>2025-05-07 18:35:00,26804522.2590895,90909.3400743924,0,0,0,0,0,0</t>
  </si>
  <si>
    <t>2025-05-07 18:36:00,,,565,,,555,558.5,,,,,570,550,557,562</t>
  </si>
  <si>
    <t>2025-05-07 18:36:00,490,,485,,470,,481,,,,,490,470,482,475</t>
  </si>
  <si>
    <t>2025-05-07 18:36:00,5800,,5700,,,5700,5620,,,,,5700,5500,5630,5620</t>
  </si>
  <si>
    <t>2025-05-07 18:36:00,19475,,,,19475,,19775,,,,,20200,19200,19400,19300</t>
  </si>
  <si>
    <t>2025-05-07 18:36:00,39571971.3642594,2088202393.04849,0,0,0,0,0,0</t>
  </si>
  <si>
    <t>2025-05-07 18:36:00,866370179.90449,174605138.374703,0,0,0,0,0,0</t>
  </si>
  <si>
    <t>2025-05-07 18:36:00,9631997.5830362,17760835.5625595,0,0,0,0,0,0</t>
  </si>
  <si>
    <t>2025-05-07 18:36:00,26804591.3438927,90880.7003688507,0,0,0,0,0,0</t>
  </si>
  <si>
    <t>2025-05-07 18:37:00,,,565,,,555,558.5,,,,,570,550,557,562</t>
  </si>
  <si>
    <t>2025-05-07 18:37:00,490,,485,,470,,480,,,,,490,470,482,475</t>
  </si>
  <si>
    <t>2025-05-07 18:37:00,5800,,5700,,,5700,5620,,,,,5700,5500,5630,5620</t>
  </si>
  <si>
    <t>2025-05-07 18:37:00,19475,,,,19475,,19775,,,,,20200,19200,19400,19300</t>
  </si>
  <si>
    <t>2025-05-07 18:37:00,54989469.6029045,2171855873.59903,0,0,0,0,0,0</t>
  </si>
  <si>
    <t>2025-05-07 18:37:00,887630914.895888,251195178.233323,0,0,0,0,0,0</t>
  </si>
  <si>
    <t>2025-05-07 18:37:00,9638904.76996354,17761483.9493247,0,0,0,0,0,0</t>
  </si>
  <si>
    <t>2025-05-07 18:37:00,26804880.3896816,90858.7500977239,0,0,0,0,0,0</t>
  </si>
  <si>
    <t>2025-05-07 18:38:00,,,565,,,555,558.5,,,,,570,550,557,562</t>
  </si>
  <si>
    <t>2025-05-07 18:38:00,490,,485,,470,,480,,,,,490,470,482,475</t>
  </si>
  <si>
    <t>2025-05-07 18:38:00,5800,,5700,,,5700,5620,,,,,5700,5500,5630,5620</t>
  </si>
  <si>
    <t>2025-05-07 18:38:00,19475,,,,19475,,19775,,,,,20200,19200,19400,19300</t>
  </si>
  <si>
    <t>2025-05-07 18:38:00,70953288.9511595,2254850245.19393,0,0,0,0,0,0</t>
  </si>
  <si>
    <t>2025-05-07 18:38:00,887473869.072328,251059045.530379,0,0,0,0,0,0</t>
  </si>
  <si>
    <t>2025-05-07 18:38:00,9634472.45090749,17762031.730222,0,0,0,0,0,0</t>
  </si>
  <si>
    <t>2025-05-07 18:38:00,26809543.1123494,90915.827287005,0,0,0,0,0,0</t>
  </si>
  <si>
    <t>2025-05-07 18:39:00,,,565,,,555,558.5,,,,,570,550,557,562</t>
  </si>
  <si>
    <t>2025-05-07 18:39:00,490,,485,,470,,480,,,,,490,470,482,475</t>
  </si>
  <si>
    <t>2025-05-07 18:39:00,5800,,5700,,,5700,5620,,,,,5700,5500,5630,5620</t>
  </si>
  <si>
    <t>2025-05-07 18:39:00,19475,,,,19475,,19775,,,,,20200,19200,19400,19300</t>
  </si>
  <si>
    <t>2025-05-07 18:39:00,86169314.0908832,2338953114.71982,0,0,0,0,0,0</t>
  </si>
  <si>
    <t>2025-05-07 18:39:00,882221317.063442,231746787.8659,0,0,0,0,0,0</t>
  </si>
  <si>
    <t>2025-05-07 18:39:00,9632347.36057616,17759641.5303371,0,0,0,0,0,0</t>
  </si>
  <si>
    <t>2025-05-07 18:39:00,26809188.0628366,90877.8558849718,0,0,0,0,0,0</t>
  </si>
  <si>
    <t>2025-05-07 18:40:00,,555,565,,,555,558.5,,,,,570,550,557,562</t>
  </si>
  <si>
    <t>2025-05-07 18:40:00,490,,485,,470,,481,,,,,490,470,482,475</t>
  </si>
  <si>
    <t>2025-05-07 18:40:00,5800,,5700,,,5700,5620,,,,,5700,5500,5630,5620</t>
  </si>
  <si>
    <t>2025-05-07 18:40:00,19475,,,,19475,,19775,,,,,20200,19200,19400,19300</t>
  </si>
  <si>
    <t>2025-05-07 18:40:00,-7557119.27669112,1834797408.81744,0,0,0,0,0,0</t>
  </si>
  <si>
    <t>2025-05-07 18:40:00,853420791.470995,126184998.267289,0,0,0,0,0,0</t>
  </si>
  <si>
    <t>2025-05-07 18:40:00,9627877.81243556,17749217.4615918,0,0,0,0,0,0</t>
  </si>
  <si>
    <t>2025-05-07 18:40:00,26810173.4461268,90802.3625064001,0,0,0,0,0,0</t>
  </si>
  <si>
    <t>2025-05-07 18:41:00,,,565,,,555,558.5,,,,,570,550,557,562</t>
  </si>
  <si>
    <t>2025-05-07 18:41:00,490,,485,,470,,481,,,,,490,470,482,475</t>
  </si>
  <si>
    <t>2025-05-07 18:41:00,5800,,5700,,,5700,5620,,,,,5700,5500,5630,5620</t>
  </si>
  <si>
    <t>2025-05-07 18:41:00,19475,,,,19475,,19775,,,,,20200,19200,19400,19300</t>
  </si>
  <si>
    <t>2025-05-07 18:41:00,12850729.3392927,1944901790.98171,0,0,0,0,0,0</t>
  </si>
  <si>
    <t>2025-05-07 18:41:00,834286335.732321,59549493.5298679,0,0,0,0,0,0</t>
  </si>
  <si>
    <t>2025-05-07 18:41:00,9620591.90590339,17744637.6935888,0,0,0,0,0,0</t>
  </si>
  <si>
    <t>2025-05-07 18:41:00,26814910.7632297,90834.0672650138,0,0,0,0,0,0</t>
  </si>
  <si>
    <t>2025-05-07 18:42:00,,555,565,,,555,558.5,,,,,570,550,557,562</t>
  </si>
  <si>
    <t>2025-05-07 18:42:00,490,,485,,470,,481,,,,,490,470,482,475</t>
  </si>
  <si>
    <t>2025-05-07 18:42:00,5800,,5700,,,5700,5620,,,,,5700,5500,5630,5620</t>
  </si>
  <si>
    <t>2025-05-07 18:42:00,19475,,,,19475,,19775,,,,,20200,19200,19400,19300</t>
  </si>
  <si>
    <t>2025-05-07 18:42:00,-2788846.69190793,1862106050.36263,0,0,0,0,0,0</t>
  </si>
  <si>
    <t>2025-05-07 18:42:00,845023073.376198,97507733.9542496,0,0,0,0,0,0</t>
  </si>
  <si>
    <t>2025-05-07 18:42:00,9620863.50227549,17746464.4533295,0,0,0,0,0,0</t>
  </si>
  <si>
    <t>2025-05-07 18:42:00,26811457.1531154,90781.8909853817,0,0,0,0,0,0</t>
  </si>
  <si>
    <t>2025-05-07 18:43:00,,555,565,,,555,559.5,,,,,570,550,557,562</t>
  </si>
  <si>
    <t>2025-05-07 18:43:00,490,,,480,470,,481,,,,,490,470,482,475</t>
  </si>
  <si>
    <t>2025-05-07 18:43:00,5800,,5700,,,5700,5620,,,,,5700,5500,5630,5620</t>
  </si>
  <si>
    <t>2025-05-07 18:43:00,19475,,,,19475,,19775,,,,,20200,19200,19400,19300</t>
  </si>
  <si>
    <t>2025-05-07 18:43:00,-44685234.1852856,1637672109.27968,0,0,0,0,0,0</t>
  </si>
  <si>
    <t>2025-05-07 18:43:00,809808105.243925,-27652885.574574,0,0,0,0,0,0</t>
  </si>
  <si>
    <t>2025-05-07 18:43:00,9611251.77453197,17737476.3424498,0,0,0,0,0,0</t>
  </si>
  <si>
    <t>2025-05-07 18:43:00,26816134.7758296,90790.3512440003,0,0,0,0,0,0</t>
  </si>
  <si>
    <t>2025-05-07 18:44:00,,555,565,,,555,559.5,,,,,570,550,557,562</t>
  </si>
  <si>
    <t>2025-05-07 18:44:00,490,,,480,470,,481,,,,,490,470,482,475</t>
  </si>
  <si>
    <t>2025-05-07 18:44:00,5800,,5700,,,5700,5620,,,,,5700,5500,5630,5620</t>
  </si>
  <si>
    <t>2025-05-07 18:44:00,19475,,,,19475,,19775,,,,,20200,19200,19400,19300</t>
  </si>
  <si>
    <t>2025-05-07 18:44:00,-102692704.590772,1330914588.07036,0,0,0,0,0,0</t>
  </si>
  <si>
    <t>2025-05-07 18:44:00,781851958.887682,-124029251.623781,0,0,0,0,0,0</t>
  </si>
  <si>
    <t>2025-05-07 18:44:00,9604098.39791093,17721444.8751847,0,0,0,0,0,0</t>
  </si>
  <si>
    <t>2025-05-07 18:44:00,26814049.3003969,90714.5165799616,0,0,0,0,0,0</t>
  </si>
  <si>
    <t>2025-05-07 18:45:00,,555,565,,,555,559.5,,,,,570,550,557,562</t>
  </si>
  <si>
    <t>2025-05-07 18:45:00,490,,,480,470,,481,,,,,490,470,482,475</t>
  </si>
  <si>
    <t>2025-05-07 18:45:00,5800,,5700,,,5700,5620,,,,,5700,5500,5630,5620</t>
  </si>
  <si>
    <t>2025-05-07 18:45:00,19475,,,,19475,,19775,,,,,20200,19200,19400,19300</t>
  </si>
  <si>
    <t>2025-05-07 18:45:00,-118404528.901346,1247179262.42713,0,0,0,0,0,0</t>
  </si>
  <si>
    <t>2025-05-07 18:45:00,773724253.477907,-152773959.628053,0,0,0,0,0,0</t>
  </si>
  <si>
    <t>2025-05-07 18:45:00,9603235.42808152,17720837.748046,0,0,0,0,0,0</t>
  </si>
  <si>
    <t>2025-05-07 18:45:00,26814564.2877949,90674.1237086004,0,0,0,0,0,0</t>
  </si>
  <si>
    <t>2025-05-07 18:46:00,,555,565,,,555,559.5,,,,,570,550,557,562</t>
  </si>
  <si>
    <t>2025-05-07 18:46:00,490,,,480,470,,481,,,,,490,470,482,475</t>
  </si>
  <si>
    <t>2025-05-07 18:46:00,5800,,5700,,,5700,5620,,,,,5700,5500,5630,5620</t>
  </si>
  <si>
    <t>2025-05-07 18:46:00,19475,,,,19475,,19775,,,,,20200,19200,19400,19300</t>
  </si>
  <si>
    <t>2025-05-07 18:46:00,-93515696.1054391,1377227368.32251,0,0,0,0,0,0</t>
  </si>
  <si>
    <t>2025-05-07 18:46:00,781943914.14194,-124043957.142953,0,0,0,0,0,0</t>
  </si>
  <si>
    <t>2025-05-07 18:46:00,9599987.62955942,17723592.1116303,0,0,0,0,0,0</t>
  </si>
  <si>
    <t>2025-05-07 18:46:00,26819244.6331882,90742.7126145478,0,0,0,0,0,0</t>
  </si>
  <si>
    <t>2025-05-07 18:47:00,,555,565,,,555,559.5,,,,,570,550,557,562</t>
  </si>
  <si>
    <t>2025-05-07 18:47:00,490,,,480,470,,481,,,,,490,470,482,475</t>
  </si>
  <si>
    <t>2025-05-07 18:47:00,5800,,5700,,,5700,5620,,,,,5700,5500,5630,5620</t>
  </si>
  <si>
    <t>2025-05-07 18:47:00,19475,,,,19475,,19775,,,,,20200,19200,19400,19300</t>
  </si>
  <si>
    <t>2025-05-07 18:47:00,-97889455.0668952,1358094164.33392,0,0,0,0,0,0</t>
  </si>
  <si>
    <t>2025-05-07 18:47:00,781962060.74213,-124012253.295233,0,0,0,0,0,0</t>
  </si>
  <si>
    <t>2025-05-07 18:47:00,9600134.7454142,17718763.1479002,0,0,0,0,0,0</t>
  </si>
  <si>
    <t>2025-05-07 18:47:00,26818492.248141,90685.8545498716,0,0,0,0,0,0</t>
  </si>
  <si>
    <t>2025-05-07 18:48:00,,555,565,,,555,559.5,,,,,570,550,557,562</t>
  </si>
  <si>
    <t>2025-05-07 18:48:00,490,,,480,470,,481,,,,,490,470,482,475</t>
  </si>
  <si>
    <t>2025-05-07 18:48:00,5800,,5700,,,5700,5620,,,,,5700,5500,5630,5620</t>
  </si>
  <si>
    <t>2025-05-07 18:48:00,19475,,,,19475,,19775,,,,,20200,19200,19400,19300</t>
  </si>
  <si>
    <t>2025-05-07 18:48:00,-55683372.3423673,1582003049.17856,0,0,0,0,0,0</t>
  </si>
  <si>
    <t>2025-05-07 18:48:00,789981692.697608,-95367666.6150996,0,0,0,0,0,0</t>
  </si>
  <si>
    <t>2025-05-07 18:48:00,9596884.39147775,17721517.8643084,0,0,0,0,0,0</t>
  </si>
  <si>
    <t>2025-05-07 18:48:00,26823175.4690686,90754.5195937207,0,0,0,0,0,0</t>
  </si>
  <si>
    <t>2025-05-07 18:49:00,,555,565,,,555,559.5,,,,,570,550,557,562</t>
  </si>
  <si>
    <t>2025-05-07 18:49:00,490,,,480,470,,481,,,,,490,470,482,475</t>
  </si>
  <si>
    <t>2025-05-07 18:49:00,5800,,5700,,,5700,5620,,,,,5700,5500,5630,5620</t>
  </si>
  <si>
    <t>2025-05-07 18:49:00,19475,,,,19475,,19775,,,,,20200,19200,19400,19300</t>
  </si>
  <si>
    <t>2025-05-07 18:49:00,-70940488.5104373,1499022633.77401,0,0,0,0,0,0</t>
  </si>
  <si>
    <t>2025-05-07 18:49:00,781844151.102472,-124191486.000433,0,0,0,0,0,0</t>
  </si>
  <si>
    <t>2025-05-07 18:49:00,9590309.75824769,17716160.7326539,0,0,0,0,0,0</t>
  </si>
  <si>
    <t>2025-05-07 18:49:00,26823202.7701724,90710.1232777342,0,0,0,0,0,0</t>
  </si>
  <si>
    <t>2025-05-07 18:50:00,,555,565,,,555,559.5,,,,,570,550,557,562</t>
  </si>
  <si>
    <t>2025-05-07 18:50:00,490,,,480,470,,481,,,,,490,470,482,475</t>
  </si>
  <si>
    <t>2025-05-07 18:50:00,5800,,5700,,,5700,5620,,,,,5700,5500,5630,5620</t>
  </si>
  <si>
    <t>2025-05-07 18:50:00,19475,,,,19475,,19775,,,,,20200,19200,19400,19300</t>
  </si>
  <si>
    <t>2025-05-07 18:50:00,-113857971.468357,1274501307.83546,0,0,0,0,0,0</t>
  </si>
  <si>
    <t>2025-05-07 18:50:00,782050595.286698,-124277236.564798,0,0,0,0,0,0</t>
  </si>
  <si>
    <t>2025-05-07 18:50:00,9590561.46639606,17713444.8904763,0,0,0,0,0,0</t>
  </si>
  <si>
    <t>2025-05-07 18:50:00,26821616.0142283,90679.752790499,0,0,0,0,0,0</t>
  </si>
  <si>
    <t>2025-05-07 18:51:00,,555,565,,,555,559.5,,,,,570,550,557,562</t>
  </si>
  <si>
    <t>2025-05-07 18:51:00,490,,,480,470,,481,,,,,490,470,482,475</t>
  </si>
  <si>
    <t>2025-05-07 18:51:00,5800,,5700,,,5700,5620,,,,,5700,5500,5630,5620</t>
  </si>
  <si>
    <t>2025-05-07 18:51:00,19475,,,,19475,,19775,,,,,20200,19200,19400,19300</t>
  </si>
  <si>
    <t>2025-05-07 18:51:00,-85805785.2986402,1416683840.83072,0,0,0,0,0,0</t>
  </si>
  <si>
    <t>2025-05-07 18:51:00,790131657.997705,-95622273.9137449,0,0,0,0,0,0</t>
  </si>
  <si>
    <t>2025-05-07 18:51:00,9587239.41111833,17716209.0665106,0,0,0,0,0,0</t>
  </si>
  <si>
    <t>2025-05-07 18:51:00,26826374.0532227,90749.3827374664,0,0,0,0,0,0</t>
  </si>
  <si>
    <t>2025-05-07 18:52:00,,555,565,,,555,559.5,,,,,570,550,557,562</t>
  </si>
  <si>
    <t>2025-05-07 18:52:00,490,,,480,470,,481,,,,,490,470,482,475</t>
  </si>
  <si>
    <t>2025-05-07 18:52:00,5800,,5700,,,5700,5620,,,,,5700,5500,5630,5620</t>
  </si>
  <si>
    <t>2025-05-07 18:52:00,19475,,,,19475,,19775,,,,,20200,19200,19400,19300</t>
  </si>
  <si>
    <t>2025-05-07 18:52:00,-92278046.0218141,1385589678.87426,0,0,0,0,0,0</t>
  </si>
  <si>
    <t>2025-05-07 18:52:00,790109532.953381,-95583271.1756848,0,0,0,0,0,0</t>
  </si>
  <si>
    <t>2025-05-07 18:52:00,9593148.42524812,17715342.1466409,0,0,0,0,0,0</t>
  </si>
  <si>
    <t>2025-05-07 18:52:00,26826598.0692326,90686.3553298254,0,0,0,0,0,0</t>
  </si>
  <si>
    <t>2025-05-07 18:53:00,,555,565,,,555,559.5,,,,,570,550,557,562</t>
  </si>
  <si>
    <t>2025-05-07 18:53:00,490,,,480,470,,481,,,,,490,470,482,475</t>
  </si>
  <si>
    <t>2025-05-07 18:53:00,5800,,5700,,,5700,5620,,,,,5700,5500,5630,5620</t>
  </si>
  <si>
    <t>2025-05-07 18:53:00,19475,,,,19475,,19775,,,,,20200,19200,19400,19300</t>
  </si>
  <si>
    <t>2025-05-07 18:53:00,-98724702.3885159,1357015006.09962,0,0,0,0,0,0</t>
  </si>
  <si>
    <t>2025-05-07 18:53:00,795571818.175291,-76583562.782824,0,0,0,0,0,0</t>
  </si>
  <si>
    <t>2025-05-07 18:53:00,9589479.39435357,17717368.8494553,0,0,0,0,0,0</t>
  </si>
  <si>
    <t>2025-05-07 18:53:00,26831304.0670311,90751.6250140894,0,0,0,0,0,0</t>
  </si>
  <si>
    <t>2025-05-07 18:54:00,,555,565,,,555,559.5,,,,,570,550,557,562</t>
  </si>
  <si>
    <t>2025-05-07 18:54:00,490,,,480,470,,481,,,,,490,470,482,475</t>
  </si>
  <si>
    <t>2025-05-07 18:54:00,5800,,5700,,,5700,5620,,,,,5700,5500,5630,5620</t>
  </si>
  <si>
    <t>2025-05-07 18:54:00,19475,,,,19475,,19775,,,,,20200,19200,19400,19300</t>
  </si>
  <si>
    <t>2025-05-07 18:54:00,-56241740.0104018,1581034686.9646,0,0,0,0,0,0</t>
  </si>
  <si>
    <t>2025-05-07 18:54:00,804320715.371528,-47799298.3255144,0,0,0,0,0,0</t>
  </si>
  <si>
    <t>2025-05-07 18:54:00,9588334.49278547,17713106.6722498,0,0,0,0,0,0</t>
  </si>
  <si>
    <t>2025-05-07 18:54:00,26829309.6609631,90721.5074867973,0,0,0,0,0,0</t>
  </si>
  <si>
    <t>2025-05-07 18:55:00,,555,565,,,555,559.5,,,,,570,550,557,562</t>
  </si>
  <si>
    <t>2025-05-07 18:55:00,490,,,480,470,,481,,,,,490,470,482,475</t>
  </si>
  <si>
    <t>2025-05-07 18:55:00,5800,,5700,,,5700,5620,,,,,5700,5500,5630,5620</t>
  </si>
  <si>
    <t>2025-05-07 18:55:00,19475,,,,19475,,19775,,,,,20200,19200,19400,19300</t>
  </si>
  <si>
    <t>2025-05-07 18:55:00,-98864804.5762909,1356881498.04565,0,0,0,0,0,0</t>
  </si>
  <si>
    <t>2025-05-07 18:55:00,804433994.969509,-47629303.6758812,0,0,0,0,0,0</t>
  </si>
  <si>
    <t>2025-05-07 18:55:00,9585829.92589356,17710870.8525513,0,0,0,0,0,0</t>
  </si>
  <si>
    <t>2025-05-07 18:55:00,26828095.5324131,90665.8365601052,0,0,0,0,0,0</t>
  </si>
  <si>
    <t>2025-05-07 18:56:00,,555,565,,,555,559.5,,,,,570,550,557,562</t>
  </si>
  <si>
    <t>2025-05-07 18:56:00,490,,,480,470,,481,,,,,490,470,482,475</t>
  </si>
  <si>
    <t>2025-05-07 18:56:00,5800,,5700,,,5700,5620,,,,,5700,5500,5630,5620</t>
  </si>
  <si>
    <t>2025-05-07 18:56:00,19475,,,,19475,,19775,,,,,20200,19200,19400,19300</t>
  </si>
  <si>
    <t>2025-05-07 18:56:00,-56582366.1254703,1580908597.71025,0,0,0,0,0,0</t>
  </si>
  <si>
    <t>2025-05-07 18:56:00,804344974.55926,-47871533.7604075,0,0,0,0,0,0</t>
  </si>
  <si>
    <t>2025-05-07 18:56:00,9581370.98178875,17711431.6825587,0,0,0,0,0,0</t>
  </si>
  <si>
    <t>2025-05-07 18:56:00,26832796.6250696,90723.6002400722,0,0,0,0,0,0</t>
  </si>
  <si>
    <t>2025-05-07 18:57:00,,555,565,,,555,559.5,,,,,570,550,557,562</t>
  </si>
  <si>
    <t>2025-05-07 18:57:00,490,,,480,470,,481,,,,,490,470,482,475</t>
  </si>
  <si>
    <t>2025-05-07 18:57:00,5800,,5700,,,5700,5620,,,,,5700,5500,5630,5620</t>
  </si>
  <si>
    <t>2025-05-07 18:57:00,19475,,,,19475,,19775,,,,,20200,19200,19400,19300</t>
  </si>
  <si>
    <t>2025-05-07 18:57:00,-71801381.2160589,1498101076.61097,0,0,0,0,0,0</t>
  </si>
  <si>
    <t>2025-05-07 18:57:00,804285123.854654,-47774136.6418203,0,0,0,0,0,0</t>
  </si>
  <si>
    <t>2025-05-07 18:57:00,9582332.50182771,17710869.1886222,0,0,0,0,0,0</t>
  </si>
  <si>
    <t>2025-05-07 18:57:00,26832536.388686,90687.3562320388,0,0,0,0,0,0</t>
  </si>
  <si>
    <t>2025-05-07 18:58:00,,555,565,,,555,559.5,,,,,570,550,557,562</t>
  </si>
  <si>
    <t>2025-05-07 18:58:00,490,,,480,470,,481,,,,,490,470,482,475</t>
  </si>
  <si>
    <t>2025-05-07 18:58:00,5800,,5700,,,5700,5620,,,,,5700,5500,5630,5620</t>
  </si>
  <si>
    <t>2025-05-07 18:58:00,19475,,,,19475,,19775,,,,,20200,19200,19400,19300</t>
  </si>
  <si>
    <t>2025-05-07 18:58:00,-67117918.8585534,1524810898.05612,0,0,0,0,0,0</t>
  </si>
  <si>
    <t>2025-05-07 18:58:00,801762131.221591,-57318828.8855433,0,0,0,0,0,0</t>
  </si>
  <si>
    <t>2025-05-07 18:58:00,9577482.49073658,17710697.4947199,0,0,0,0,0,0</t>
  </si>
  <si>
    <t>2025-05-07 18:58:00,26837234.0167528,90741.3590682634,0,0,0,0,0,0</t>
  </si>
  <si>
    <t>2025-05-07 18:59:00,,555,565,,,555,559.5,,,,,570,550,557,562</t>
  </si>
  <si>
    <t>2025-05-07 18:59:00,490,,,480,470,,481,,,,,490,470,482,475</t>
  </si>
  <si>
    <t>2025-05-07 18:59:00,5800,,5700,,,5700,5620,,,,,5700,5500,5630,5620</t>
  </si>
  <si>
    <t>2025-05-07 18:59:00,19475,,,,19475,,19775,,,,,20200,19200,19400,19300</t>
  </si>
  <si>
    <t>2025-05-07 18:59:00,-92454697.1677768,1394117623.64618,0,0,0,0,0,0</t>
  </si>
  <si>
    <t>2025-05-07 18:59:00,795471505.287427,-77074933.3571214,0,0,0,0,0,0</t>
  </si>
  <si>
    <t>2025-05-07 18:59:00,9574968.8061536,17702904.4700276,0,0,0,0,0,0</t>
  </si>
  <si>
    <t>2025-05-07 18:59:00,26835605.3351237,90700.0479238458,0,0,0,0,0,0</t>
  </si>
  <si>
    <t>2025-05-07 19:00:00,,,565,,,555,558.5,,,,,570,550,557,562</t>
  </si>
  <si>
    <t>2025-05-07 19:00:00,490,,485,,470,,480,,,,,490,470,482,475</t>
  </si>
  <si>
    <t>2025-05-07 19:00:00,5800,,,,,5700,,,,,,,,5630,5620</t>
  </si>
  <si>
    <t>2025-05-07 19:00:00,19475,,,,19475,,19775,,,,,20200,19200,19400,19300</t>
  </si>
  <si>
    <t>2025-05-07 19:00:00,51911655.5702972,2167695498.19863,0,0,0,0,0,0</t>
  </si>
  <si>
    <t>2025-05-07 19:00:00,905764784.451404,317016841.166533,0,0,0,0,0,0</t>
  </si>
  <si>
    <t>2025-05-07 19:00:00,9590420.69353142,0,-273455.322292733,-80542,-5074829.50314005,-1534788.37,-5.83407392232427,-26050.45</t>
  </si>
  <si>
    <t>2025-05-07 19:00:00,26834981.3387101,90795.9144349997,0,0,0,0,0,0</t>
  </si>
  <si>
    <t>2025-05-07 19:01:00,,,565,,,555,558.5,,,,,570,550,557,562</t>
  </si>
  <si>
    <t>2025-05-07 19:01:00,490,,485,,470,,480,,,,,490,470,482,475</t>
  </si>
  <si>
    <t>2025-05-07 19:01:00,5800,,,,,5700,,,,,,,,5630,5620</t>
  </si>
  <si>
    <t>2025-05-07 19:01:00,19475,,,,19475,,19775,,,,,20200,19200,19400,19300</t>
  </si>
  <si>
    <t>2025-05-07 19:01:00,102993816.272845,2415824968.78796,0,0,0,0,0,0</t>
  </si>
  <si>
    <t>2025-05-07 19:01:00,939332992.139401,442567222.046432,0,0,0,0,0,0</t>
  </si>
  <si>
    <t>2025-05-07 19:01:00,9591016.00919939,0,0,0,0,0,0,0</t>
  </si>
  <si>
    <t>2025-05-07 19:01:00,26839780.7501731,90903.897371909,0,0,0,0,0,0</t>
  </si>
  <si>
    <t>2025-05-07 19:02:00,,,565,,,555,558.5,,,,,570,550,557,562</t>
  </si>
  <si>
    <t>2025-05-07 19:02:00,490,,485,,470,,480,,,,,490,470,482,475</t>
  </si>
  <si>
    <t>2025-05-07 19:02:00,5800,,,,,5700,,,,,,,,5630,5620</t>
  </si>
  <si>
    <t>2025-05-07 19:02:00,19475,,,,19475,,19775,,,,,20200,19200,19400,19300</t>
  </si>
  <si>
    <t>2025-05-07 19:02:00,115059255.088978,2504019565.82616,0,0,0,0,0,0</t>
  </si>
  <si>
    <t>2025-05-07 19:02:00,946473156.638573,471639568.698463,0,0,0,0,0,0</t>
  </si>
  <si>
    <t>2025-05-07 19:02:00,9589983.53056367,0,0,0,0,0,0,0</t>
  </si>
  <si>
    <t>2025-05-07 19:02:00,26837678.7846565,90884.3785649755,0,0,0,0,0,0</t>
  </si>
  <si>
    <t>2025-05-07 19:03:00,,,565,,,555,558.5,,,,,570,550,557,562</t>
  </si>
  <si>
    <t>2025-05-07 19:03:00,490,,485,,470,,480,,,,,490,470,482,475</t>
  </si>
  <si>
    <t>2025-05-07 19:03:00,5800,,,,,5700,,,,,,,,5630,5620</t>
  </si>
  <si>
    <t>2025-05-07 19:03:00,19475,,,,19475,,19775,,,,,20200,19200,19400,19300</t>
  </si>
  <si>
    <t>2025-05-07 19:03:00,72874990.7751985,2278984238.01659,0,0,0,0,0,0</t>
  </si>
  <si>
    <t>2025-05-07 19:03:00,941649993.620129,452089706.312662,0,0,0,0,0,0</t>
  </si>
  <si>
    <t>2025-05-07 19:03:00,9584722.52490859,0,0,0,0,0,0,0</t>
  </si>
  <si>
    <t>2025-05-07 19:03:00,26842383.1200929,90934.9197887454,0,0,0,0,0,0</t>
  </si>
  <si>
    <t>2025-05-07 19:04:00,,,565,,,555,558.5,,,,,570,550,557,562</t>
  </si>
  <si>
    <t>2025-05-07 19:04:00,490,,485,,470,,480,,,,,490,470,482,475</t>
  </si>
  <si>
    <t>2025-05-07 19:04:00,5800,,,,,5700,,,,,,,,5630,5620</t>
  </si>
  <si>
    <t>2025-05-07 19:04:00,19475,,,,19475,,19775,,,,,20200,19200,19400,19300</t>
  </si>
  <si>
    <t>2025-05-07 19:04:00,124929395.940445,2560480426.93212,0,0,0,0,0,0</t>
  </si>
  <si>
    <t>2025-05-07 19:04:00,953165802.997244,500338820.09702,0,0,0,0,0,0</t>
  </si>
  <si>
    <t>2025-05-07 19:04:00,9584379.70637303,0,0,0,0,0,0,0</t>
  </si>
  <si>
    <t>2025-05-07 19:04:00,26844134.9291741,90892.2176924154,0,0,0,0,0,0</t>
  </si>
  <si>
    <t>2025-05-07 19:06:00,,,565,,,555,558.5,,,,,570,550,557,562</t>
  </si>
  <si>
    <t>2025-05-07 19:06:00,490,,485,,470,,480,,,,,490,470,482,475</t>
  </si>
  <si>
    <t>2025-05-07 19:06:00,5800,,,,,5700,,,,,,,,5630,5620</t>
  </si>
  <si>
    <t>2025-05-07 19:06:00,19475,,,,19475,,19775,,,,,20200,19200,19400,19300</t>
  </si>
  <si>
    <t>2025-05-07 19:06:00,145490820.967365,2674457041.87096,0,0,0,0,0,0</t>
  </si>
  <si>
    <t>2025-05-07 19:06:00,970287042.932835,567827074.324424,0,0,0,0,0,0</t>
  </si>
  <si>
    <t>2025-05-07 19:06:00,9591866.58892694,0,0,0,0,0,0,0</t>
  </si>
  <si>
    <t>2025-05-07 19:06:00,26842375.7786659,90879.6692085091,0,0,0,0,0,0</t>
  </si>
  <si>
    <t>2025-05-07 19:07:00,,,565,,,555,558.5,,,,,570,550,557,562</t>
  </si>
  <si>
    <t>2025-05-07 19:07:00,490,,485,,470,,480,,,,,490,470,482,475</t>
  </si>
  <si>
    <t>2025-05-07 19:07:00,5800,,,,,5700,,,,,,,,5630,5620</t>
  </si>
  <si>
    <t>2025-05-07 19:07:00,19475,,,,19475,,19775,,,,,20200,19200,19400,19300</t>
  </si>
  <si>
    <t>2025-05-07 19:07:00,109307582.364186,2475649313.13257,0,0,0,0,0,0</t>
  </si>
  <si>
    <t>2025-05-07 19:07:00,946420710.775725,471255859.291549,0,0,0,0,0,0</t>
  </si>
  <si>
    <t>2025-05-07 19:07:00,9583409.17259856,0,0,0,0,0,0,0</t>
  </si>
  <si>
    <t>2025-05-07 19:07:00,26847107.2662313,90900.5528975958,0,0,0,0,0,0</t>
  </si>
  <si>
    <t>2025-05-07 19:08:00,,,565,,,555,558.5,,,,,570,550,557,562</t>
  </si>
  <si>
    <t>2025-05-07 19:08:00,490,,485,,470,,480,,,,,490,470,482,475</t>
  </si>
  <si>
    <t>2025-05-07 19:08:00,5800,,,,,5700,,,,,,,,5630,5620</t>
  </si>
  <si>
    <t>2025-05-07 19:08:00,19475,,,,19475,,19775,,,,,20200,19200,19400,19300</t>
  </si>
  <si>
    <t>2025-05-07 19:08:00,139911458.007715,2644957560.55699,0,0,0,0,0,0</t>
  </si>
  <si>
    <t>2025-05-07 19:08:00,963272304.443696,539053711.010518,0,0,0,0,0,0</t>
  </si>
  <si>
    <t>2025-05-07 19:08:00,9587628.9662037,0,0,0,0,0,0,0</t>
  </si>
  <si>
    <t>2025-05-07 19:08:00,26846144.8221345,90890.2695917115,0,0,0,0,0,0</t>
  </si>
  <si>
    <t>2025-05-07 19:09:00,,,565,,,555,558.5,,,,,570,550,557,562</t>
  </si>
  <si>
    <t>2025-05-07 19:09:00,490,,485,,470,,480,,,,,490,470,482,475</t>
  </si>
  <si>
    <t>2025-05-07 19:09:00,5800,,,,,5700,,,,,,,,5630,5620</t>
  </si>
  <si>
    <t>2025-05-07 19:09:00,19475,,,,19475,,19775,,,,,20200,19200,19400,19300</t>
  </si>
  <si>
    <t>2025-05-07 19:09:00,209519964.715914,2942975034.47531,0,0,0,0,0,0</t>
  </si>
  <si>
    <t>2025-05-07 19:09:00,997561565.494309,653434111.284227,0,0,0,0,0,0</t>
  </si>
  <si>
    <t>2025-05-07 19:09:00,9586394.83531674,0,0,0,0,0,0,0</t>
  </si>
  <si>
    <t>2025-05-07 19:09:00,26846724.3179377,90873.2871125584,0,0,0,0,0,0</t>
  </si>
  <si>
    <t>2025-05-07 19:10:00,,,565,,,555,558.5,,,,,570,550,557,562</t>
  </si>
  <si>
    <t>2025-05-07 19:10:00,490,,485,,470,,480,,,,,490,470,482,475</t>
  </si>
  <si>
    <t>2025-05-07 19:10:00,5800,,,,,5700,,,,,,,,5630,5620</t>
  </si>
  <si>
    <t>2025-05-07 19:10:00,19475,,,,19475,,19775,,,,,20200,19200,19400,19300</t>
  </si>
  <si>
    <t>2025-05-07 19:10:00,211351177.869443,3043369707.77944,0,0,0,0,0,0</t>
  </si>
  <si>
    <t>2025-05-07 19:10:00,1000387200.63768,674909565.048927,0,0,0,0,0,0</t>
  </si>
  <si>
    <t>2025-05-07 19:10:00,9583417.33458232,0,0,0,0,0,0,0</t>
  </si>
  <si>
    <t>2025-05-07 19:10:00,26851523.9424742,90947.6758202162,0,0,0,0,0,0</t>
  </si>
  <si>
    <t>2025-05-07 19:11:00,,,565,,,555,558.5,,,,,570,550,557,562</t>
  </si>
  <si>
    <t>2025-05-07 19:11:00,490,,485,,470,,480,,,,,490,470,482,475</t>
  </si>
  <si>
    <t>2025-05-07 19:11:00,5800,,,,,5700,,,,,,,,5630,5620</t>
  </si>
  <si>
    <t>2025-05-07 19:11:00,19475,,,,19475,,19775,,,,,20200,19200,19400,19300</t>
  </si>
  <si>
    <t>2025-05-07 19:11:00,103537097.033836,2446713975.04638,0,0,0,0,0,0</t>
  </si>
  <si>
    <t>2025-05-07 19:11:00,934292519.539911,422725771.668489,0,0,0,0,0,0</t>
  </si>
  <si>
    <t>2025-05-07 19:11:00,9572240.39131981,0,0,0,0,0,0,0</t>
  </si>
  <si>
    <t>2025-05-07 19:11:00,26850366.2130793,90816.3608453129,0,0,0,0,0,0</t>
  </si>
  <si>
    <t>2025-05-07 19:12:00,,,565,,,555,558.5,,,,,570,550,557,562</t>
  </si>
  <si>
    <t>2025-05-07 19:12:00,490,,485,,470,,480,,,,,490,470,482,475</t>
  </si>
  <si>
    <t>2025-05-07 19:12:00,5800,,,,,5700,,,,,,,,5630,5620</t>
  </si>
  <si>
    <t>2025-05-07 19:12:00,19475,,,,19475,,19775,,,,,20200,19200,19400,19300</t>
  </si>
  <si>
    <t>2025-05-07 19:12:00,45330097.2249587,2138426401.35933,0,0,0,0,0,0</t>
  </si>
  <si>
    <t>2025-05-07 19:12:00,929286429.253602,403208063.142714,0,0,0,0,0,0</t>
  </si>
  <si>
    <t>2025-05-07 19:12:00,9566882.04361404,0,0,0,0,0,0,0</t>
  </si>
  <si>
    <t>2025-05-07 19:12:00,26855177.4233518,90868.3402381378,0,0,0,0,0,0</t>
  </si>
  <si>
    <t>2025-05-07 19:13:00,,,565,,,555,558.5,,,,,570,550,557,562</t>
  </si>
  <si>
    <t>2025-05-07 19:13:00,490,,485,,470,,480,,,,,490,470,482,475</t>
  </si>
  <si>
    <t>2025-05-07 19:13:00,5800,,,,,5700,,,,,,,,5630,5620</t>
  </si>
  <si>
    <t>2025-05-07 19:13:00,19475,,,,19475,,19775,,,,,20200,19200,19400,19300</t>
  </si>
  <si>
    <t>2025-05-07 19:13:00,81766637.3727314,2333036807.72351,0,0,0,0,0,0</t>
  </si>
  <si>
    <t>2025-05-07 19:13:00,948739998.021557,480456179.569151,0,0,0,0,0,0</t>
  </si>
  <si>
    <t>2025-05-07 19:13:00,9571347.75679409,0,0,0,0,0,0,0</t>
  </si>
  <si>
    <t>2025-05-07 19:13:00,26852673.6594774,90840.6733576616,0,0,0,0,0,0</t>
  </si>
  <si>
    <t>2025-05-07 19:14:00,,,565,,,555,558.5,,,,,570,550,557,562</t>
  </si>
  <si>
    <t>2025-05-07 19:14:00,490,,485,,470,,480,,,,,490,470,482,475</t>
  </si>
  <si>
    <t>2025-05-07 19:14:00,5800,,,,,5700,,,,,,,,5630,5620</t>
  </si>
  <si>
    <t>2025-05-07 19:14:00,19475,,,,19475,,19775,,,,,20200,19200,19400,19300</t>
  </si>
  <si>
    <t>2025-05-07 19:14:00,60952992.8952707,2221667744.07931,0,0,0,0,0,0</t>
  </si>
  <si>
    <t>2025-05-07 19:14:00,936611712.605833,431831485.760346,0,0,0,0,0,0</t>
  </si>
  <si>
    <t>2025-05-07 19:14:00,9566151.93482853,0,0,0,0,0,0,0</t>
  </si>
  <si>
    <t>2025-05-07 19:14:00,26850704.5039959,90787.8305720777,0,0,0,0,0,0</t>
  </si>
  <si>
    <t>2025-05-07 19:15:00,,,565,,,555,558.5,,,,,570,550,557,562</t>
  </si>
  <si>
    <t>2025-05-07 19:15:00,490,,485,,470,,480,,,,,490,470,482,475</t>
  </si>
  <si>
    <t>2025-05-07 19:15:00,5800,,5650,,,5700,,,,,,5850,5500,5630,5620</t>
  </si>
  <si>
    <t>2025-05-07 19:15:00,19475,,,,19475,,19775,,,,,20200,19200,19400,19300</t>
  </si>
  <si>
    <t>2025-05-07 19:15:00,39638738.2513172,2109613441.40614,0,0,0,0,0,0</t>
  </si>
  <si>
    <t>2025-05-07 19:15:00,934222451.619076,422198387.397229,0,0,0,0,0,0</t>
  </si>
  <si>
    <t>2025-05-07 19:15:00,7927253.15001931,1287.9888621342,2.72333333333334,-2,217.0628,15.36,0.0483882309938404,0.28</t>
  </si>
  <si>
    <t>2025-05-07 19:15:00,26855518.6743851,90843.6528175107,0,0,0,0,0,0</t>
  </si>
  <si>
    <t>2025-05-07 19:16:00,,555,565,,,555,558.5,,,,,570,550,557,562</t>
  </si>
  <si>
    <t>2025-05-07 19:16:00,490,,485,,470,,481,,,,,490,470,482,475</t>
  </si>
  <si>
    <t>2025-05-07 19:16:00,5800,,5650,,,5700,5640,,,,,5850,5420,5630,5620</t>
  </si>
  <si>
    <t>2025-05-07 19:16:00,19475,,,,19475,,19775,,,,,20200,19200,19400,19300</t>
  </si>
  <si>
    <t>2025-05-07 19:16:00,-22316269.627035,1774302036.07458,0,0,0,0,0,0</t>
  </si>
  <si>
    <t>2025-05-07 19:16:00,879863883.272661,219821178.722037,0,0,0,0,0,0</t>
  </si>
  <si>
    <t>2025-05-07 19:16:00,8380763.32328469,2367.63214004504,-19.2,-19,4.56100000000008,-25.77,0.0121281287542985,-0.41</t>
  </si>
  <si>
    <t>2025-05-07 19:16:00,26856547.0755103,90737.08818564,0,0,0,0,0,0</t>
  </si>
  <si>
    <t>2025-05-07 19:17:00,,555,565,,,555,558.5,,,,,570,550,557,562</t>
  </si>
  <si>
    <t>2025-05-07 19:17:00,490,,485,,470,,481,,,,,490,470,482,475</t>
  </si>
  <si>
    <t>2025-05-07 19:17:00,5800,,5670,,,5700,5640,,,,,5850,5420,5630,5620</t>
  </si>
  <si>
    <t>2025-05-07 19:17:00,19475,,,,19475,,19775,,,,,20200,19200,19400,19300</t>
  </si>
  <si>
    <t>2025-05-07 19:17:00,-22372966.138007,1774024526.31504,0,0,0,0,0,0</t>
  </si>
  <si>
    <t>2025-05-07 19:17:00,858644692.957886,142818068.922949,0,0,0,0,0,0</t>
  </si>
  <si>
    <t>2025-05-07 19:17:00,8796299.72710649,4973.23382686338,13.0666666666667,2,224.101333333334,36.33,0.0144912902213826,0.72</t>
  </si>
  <si>
    <t>2025-05-07 19:17:00,26861294.1946273,90765.7880750756,0,0,0,0,0,0</t>
  </si>
  <si>
    <t>2025-05-07 19:18:00,,555,565,,,555,558.5,,,,,570,550,557,562</t>
  </si>
  <si>
    <t>2025-05-07 19:18:00,490,,485,,470,,481,,,,,490,470,482,475</t>
  </si>
  <si>
    <t>2025-05-07 19:18:00,5800,,5640,,,5700,,,,,,5850,5420,5630,5620</t>
  </si>
  <si>
    <t>2025-05-07 19:18:00,19475,,,,19475,,19775,,,,,20200,19200,19400,19300</t>
  </si>
  <si>
    <t>2025-05-07 19:18:00,-22612301.9713979,1773981895.60078,0,0,0,0,0,0</t>
  </si>
  <si>
    <t>2025-05-07 19:18:00,871766645.856768,190900311.200303,0,0,0,0,0,0</t>
  </si>
  <si>
    <t>2025-05-07 19:18:00,8434541.71361873,11790.9126823202,49.6033333333333,8,938.479466666667,135.34,0.0684232283206673,3.23</t>
  </si>
  <si>
    <t>2025-05-07 19:18:00,26861723.2187142,90726.5256269388,0,0,0,0,0,0</t>
  </si>
  <si>
    <t>2025-05-07 19:19:00,,555,565,,,555,558.5,,,,,570,550,557,562</t>
  </si>
  <si>
    <t>2025-05-07 19:19:00,490,,485,,470,,480,,,,,490,470,482,475</t>
  </si>
  <si>
    <t>2025-05-07 19:19:00,5800,,5640,,,5700,,,,,,5850,5420,5630,5620</t>
  </si>
  <si>
    <t>2025-05-07 19:19:00,19475,,,,19475,,19775,,,,,20200,19200,19400,19300</t>
  </si>
  <si>
    <t>2025-05-07 19:19:00,-12524542.4645443,1828816820.19453,0,0,0,0,0,0</t>
  </si>
  <si>
    <t>2025-05-07 19:19:00,890322251.864823,258189222.633042,0,0,0,0,0,0</t>
  </si>
  <si>
    <t>2025-05-07 19:19:00,8135703.5581231,15882.239412798,33.5666666666666,6,554.481333333332,127.67,0.0444165104724161,2.4</t>
  </si>
  <si>
    <t>2025-05-07 19:19:00,26860966.4434387,90719.9659834355,0,0,0,0,0,0</t>
  </si>
  <si>
    <t>2025-05-07 19:20:00,,555,565,,,555,558.5,,,,,570,550,557,562</t>
  </si>
  <si>
    <t>2025-05-07 19:20:00,490,,485,,470,,481,,,,,490,470,482,475</t>
  </si>
  <si>
    <t>2025-05-07 19:20:00,5800,,5640,,,5700,,,,,,5850,5420,5630,5620</t>
  </si>
  <si>
    <t>2025-05-07 19:20:00,19475,,,,19475,,19775,,,,,20200,19200,19400,19300</t>
  </si>
  <si>
    <t>2025-05-07 19:20:00,-22936715.8864975,1773711673.58303,0,0,0,0,0,0</t>
  </si>
  <si>
    <t>2025-05-07 19:20:00,866435579.964551,171573721.175083,0,0,0,0,0,0</t>
  </si>
  <si>
    <t>2025-05-07 19:20:00,8466565.73967693,17626.8484196044,-2.10000000000001,0,139.622,25.97,0.0070882005704669,0.47</t>
  </si>
  <si>
    <t>2025-05-07 19:20:00,26865720.4853549,90745.0639121899,0,0,0,0,0,0</t>
  </si>
  <si>
    <t>2025-05-07 19:21:00,,555,565,,,555,558.5,,,,,570,550,557,562</t>
  </si>
  <si>
    <t>2025-05-07 19:21:00,490,,485,,470,,481,,,,,490,470,482,475</t>
  </si>
  <si>
    <t>2025-05-07 19:21:00,5800,,5640,,,5700,,,,,,5850,5500,5630,5620</t>
  </si>
  <si>
    <t>2025-05-07 19:21:00,19475,,,,19475,,19775,,,,,20200,19200,19400,19300</t>
  </si>
  <si>
    <t>2025-05-07 19:21:00,-22950550.1161205,1773676797.83526,0,0,0,0,0,0</t>
  </si>
  <si>
    <t>2025-05-07 19:21:00,839812119.404628,75816476.3156256,0,0,0,0,0,0</t>
  </si>
  <si>
    <t>2025-05-07 19:21:00,8684373.98505307,13741.7241100701,-29.4,-15,-38.132,-21.58,0.0267854801475351,-0.56</t>
  </si>
  <si>
    <t>2025-05-07 19:21:00,26865273.7982144,90652.7240848129,0,0,0,0,0,0</t>
  </si>
  <si>
    <t>2025-05-07 19:22:00,,555,565,,,555,559.5,,,,,570,550,557,562</t>
  </si>
  <si>
    <t>2025-05-07 19:22:00,490,,,480,470,,481,,,,,490,470,482,475</t>
  </si>
  <si>
    <t>2025-05-07 19:22:00,5800,,,5500,,5700,,,,,,5850,5500,5630,5620</t>
  </si>
  <si>
    <t>2025-05-07 19:22:00,19475,,,,19475,,19775,,,,,20200,19200,19400,19300</t>
  </si>
  <si>
    <t>2025-05-07 19:22:00,-85170475.8460383,1439505936.19658,0,0,0,0,0,0</t>
  </si>
  <si>
    <t>2025-05-07 19:22:00,784796633.912801,-116815371.122749,0,0,0,0,0,0</t>
  </si>
  <si>
    <t>2025-05-07 19:22:00,9458226.06682421,12562.2048272071,-9.69166666666664,-9,49.8119166666668,-4.4,0.0293676811539878,-0.13</t>
  </si>
  <si>
    <t>2025-05-07 19:22:00,26870032.6615188,90636.6200600967,0,0,0,0,0,0</t>
  </si>
  <si>
    <t>2025-05-07 19:23:00,,555,565,,,555,558.5,,,,,570,550,557,562</t>
  </si>
  <si>
    <t>2025-05-07 19:23:00,490,,,480,470,,481,,,,,490,470,482,475</t>
  </si>
  <si>
    <t>2025-05-07 19:23:00,5800,,,5500,,5700,,,,,,5850,5500,5630,5620</t>
  </si>
  <si>
    <t>2025-05-07 19:23:00,19475,,,,19475,,19775,,,,,20200,19200,19400,19300</t>
  </si>
  <si>
    <t>2025-05-07 19:23:00,-29154337.7721892,1743007354.95761,0,0,0,0,0,0</t>
  </si>
  <si>
    <t>2025-05-07 19:23:00,815387886.724132,-11279510.867392,0,0,0,0,0,0</t>
  </si>
  <si>
    <t>2025-05-07 19:23:00,8565454.80166195,9572.58488383827,11.0333333333333,6,61.8906666666667,69.33,-0.00643724311682602,1.55</t>
  </si>
  <si>
    <t>2025-05-07 19:23:00,26868652.1948585,90647.6006355022,0,0,0,0,0,0</t>
  </si>
  <si>
    <t>2025-05-07 19:24:00,,555,565,,,555,558.5,,,,,570,550,557,562</t>
  </si>
  <si>
    <t>2025-05-07 19:24:00,490,,485,,470,,481,,,,,490,470,482,475</t>
  </si>
  <si>
    <t>2025-05-07 19:24:00,5800,,,5500,,5700,5610,,,,,5850,5500,5630,5620</t>
  </si>
  <si>
    <t>2025-05-07 19:24:00,19475,,,,19475,,19775,,,,,20200,19200,19400,19300</t>
  </si>
  <si>
    <t>2025-05-07 19:24:00,-18490295.1343304,1800314694.91372,0,0,0,0,0,0</t>
  </si>
  <si>
    <t>2025-05-07 19:24:00,861232543.881107,151774172.974469,0,0,0,0,0,0</t>
  </si>
  <si>
    <t>2025-05-07 19:24:00,8142758.62763421,2177.33864164447,-24.79,-12,59.6722000000001,-15.43,0.0353714162165133,-0.33</t>
  </si>
  <si>
    <t>2025-05-07 19:24:00,26865587.7993942,90650.4833210788,0,0,0,0,0,0</t>
  </si>
  <si>
    <t>2025-05-07 19:25:00,,,565,,,555,558.5,,,,,570,550,557,562</t>
  </si>
  <si>
    <t>2025-05-07 19:25:00,490,,485,,470,,480,,,,,490,470,482,475</t>
  </si>
  <si>
    <t>2025-05-07 19:25:00,5800,,,5600,,5700,5610,,,,,5750,5500,5630,5620</t>
  </si>
  <si>
    <t>2025-05-07 19:25:00,19475,,,,19475,,19775,,,,,20200,19200,19400,19300</t>
  </si>
  <si>
    <t>2025-05-07 19:25:00,43475931.984063,2135897896.64559,0,0,0,0,0,0</t>
  </si>
  <si>
    <t>2025-05-07 19:25:00,882537087.467496,228798433.625061,0,0,0,0,0,0</t>
  </si>
  <si>
    <t>2025-05-07 19:25:00,7734094.18107427,9475.25127571229,273.963095238095,49,-150.890797619048,-50.94,0.141655084956058,-0.7</t>
  </si>
  <si>
    <t>2025-05-07 19:25:00,26871704.7589877,90756.3269766749,0,0,0,0,0,0</t>
  </si>
  <si>
    <t>2025-05-07 19:26:00,,,565,,,555,558.5,,,,,570,550,557,562</t>
  </si>
  <si>
    <t>2025-05-07 19:26:00,490,,485,,470,,481,,,,,490,470,482,475</t>
  </si>
  <si>
    <t>2025-05-07 19:26:00,5800,,,5600,,5700,5610,,,,,5750,5600,5630,5620</t>
  </si>
  <si>
    <t>2025-05-07 19:26:00,19475,,,,19475,,19775,,,,,20200,19200,19400,19300</t>
  </si>
  <si>
    <t>2025-05-07 19:26:00,48414579.3133477,2163576872.29303,0,0,0,0,0,0</t>
  </si>
  <si>
    <t>2025-05-07 19:26:00,874376200.978623,199770198.871307,0,0,0,0,0,0</t>
  </si>
  <si>
    <t>2025-05-07 19:26:00,7733973.19708099,-13046.6429491973,-43.1,-22,-602.9895,-308.44,0.105614378619523,-6.7</t>
  </si>
  <si>
    <t>2025-05-07 19:26:00,26871536.1853201,90714.7161980937,0,0,0,0,0,0</t>
  </si>
  <si>
    <t>2025-05-07 19:27:00,,,565,,,555,558.5,,,,,570,550,557,562</t>
  </si>
  <si>
    <t>2025-05-07 19:27:00,490,,485,,470,,481,,,,,490,470,482,475</t>
  </si>
  <si>
    <t>2025-05-07 19:27:00,5800,,,5600,,5700,5610,,,,,5750,5600,5630,5620</t>
  </si>
  <si>
    <t>2025-05-07 19:27:00,19475,,,,19475,,19775,,,,,20200,19200,19400,19300</t>
  </si>
  <si>
    <t>2025-05-07 19:27:00,53859318.6796051,2191306854.07025,0,0,0,0,0,0</t>
  </si>
  <si>
    <t>2025-05-07 19:27:00,879964458.610859,218986037.056812,0,0,0,0,0,0</t>
  </si>
  <si>
    <t>2025-05-07 19:27:00,7657561.75047177,-13834.2298115524,38.0999999999999,-3,337.742999999998,-36.72,0.0982003641226661,-0.92</t>
  </si>
  <si>
    <t>2025-05-07 19:27:00,26871993.8233105,90671.1151755597,0,0,0,0,0,0</t>
  </si>
  <si>
    <t>2025-05-07 19:28:00,,,565,,,555,558.5,,,,,570,550,557,562</t>
  </si>
  <si>
    <t>2025-05-07 19:28:00,490,,485,,470,,481,,,,,490,470,482,475</t>
  </si>
  <si>
    <t>2025-05-07 19:28:00,5800,,,5600,,5700,5610,,,,,5750,5600,5630,5620</t>
  </si>
  <si>
    <t>2025-05-07 19:28:00,19475,,,,19475,,19775,,,,,20200,19200,19400,19300</t>
  </si>
  <si>
    <t>2025-05-07 19:28:00,48273157.2707279,2163037219.24616,0,0,0,0,0,0</t>
  </si>
  <si>
    <t>2025-05-07 19:28:00,871823254.6369,190014934.967626,0,0,0,0,0,0</t>
  </si>
  <si>
    <t>2025-05-07 19:28:00,7698555.61941829,-9685.44515338779,4.31666666666668,2,-1.44716666666662,1.32,0.0386071960588329,0.17</t>
  </si>
  <si>
    <t>2025-05-07 19:28:00,26876620.0345386,90717.2854516918,0,0,0,0,0,0</t>
  </si>
  <si>
    <t>2025-05-07 19:29:00,,,565,,,555,558.5,,,,,570,550,557,562</t>
  </si>
  <si>
    <t>2025-05-07 19:29:00,490,,485,,470,,480,,,,,490,470,482,475</t>
  </si>
  <si>
    <t>2025-05-07 19:29:00,5800,,,5600,,5700,5610,,,,,5750,5600,5630,5620</t>
  </si>
  <si>
    <t>2025-05-07 19:29:00,19475,,,,19475,,19775,,,,,20200,19200,19400,19300</t>
  </si>
  <si>
    <t>2025-05-07 19:29:00,172960695.358311,2840231757.33459,0,0,0,0,0,0</t>
  </si>
  <si>
    <t>2025-05-07 19:29:00,948598891.792679,479125882.810708,0,0,0,0,0,0</t>
  </si>
  <si>
    <t>2025-05-07 19:29:00,7012220.05669785,-15490.9569735996,-22.5983333333333,-8,-244.80655,-134.91,0.013876454307911,-2.62</t>
  </si>
  <si>
    <t>2025-05-07 19:29:00,26878018.0621269,90795.6508527825,0,0,0,0,0,0</t>
  </si>
  <si>
    <t>2025-05-07 19:30:00,,,565,,,555,558.5,,,,,570,550,557,562</t>
  </si>
  <si>
    <t>2025-05-07 19:30:00,490,,485,,470,,480,,,,,490,470,482,475</t>
  </si>
  <si>
    <t>2025-05-07 19:30:00,5800,,,5600,,5700,5610,,,,,5750,5600,5630,5620</t>
  </si>
  <si>
    <t>2025-05-07 19:30:00,19475,,,,19475,,19775,,,,,20200,19200,19400,19300</t>
  </si>
  <si>
    <t>2025-05-07 19:30:00,142117265.264893,2669516177.69146,0,0,0,0,0,0</t>
  </si>
  <si>
    <t>2025-05-07 19:30:00,929347321.657256,401763109.429439,0,0,0,0,0,0</t>
  </si>
  <si>
    <t>2025-05-07 19:30:00,7291633.26311817,-11983.1919409844,12.25,3,40.6000000000001,13.4,0.00921741594046717,0.35</t>
  </si>
  <si>
    <t>2025-05-07 19:30:00,26875707.0070507,90717.9549530405,0,0,0,0,0,0</t>
  </si>
  <si>
    <t>2025-05-07 19:31:00,,,565,,,555,558.5,,,,,570,550,557,562</t>
  </si>
  <si>
    <t>2025-05-07 19:31:00,490,,485,,470,,480,,,,,490,470,482,475</t>
  </si>
  <si>
    <t>2025-05-07 19:31:00,5800,,,5600,,5700,5610,,,,,5750,5600,5630,5620</t>
  </si>
  <si>
    <t>2025-05-07 19:31:00,19475,,,,19475,,19775,,,,,20200,19200,19400,19300</t>
  </si>
  <si>
    <t>2025-05-07 19:31:00,142051624.355415,2669499141.58556,0,0,0,0,0,0</t>
  </si>
  <si>
    <t>2025-05-07 19:31:00,934471178.952843,421201410.060838,0,0,0,0,0,0</t>
  </si>
  <si>
    <t>2025-05-07 19:31:00,7438572.73441844,-7446.49795380308,2.26666666666666,3,28.855,16.1,0.020367561548785,0.48</t>
  </si>
  <si>
    <t>2025-05-07 19:31:00,26880637.9534195,90786.7578007601,0,0,0,0,0,0</t>
  </si>
  <si>
    <t>2025-05-07 19:32:00,,,565,,,555,558.5,,,,,570,550,557,562</t>
  </si>
  <si>
    <t>2025-05-07 19:32:00,490,,485,,470,,480,,,,,490,470,482,475</t>
  </si>
  <si>
    <t>2025-05-07 19:32:00,5800,,,5600,,5700,5610,,,,,5750,5600,5630,5620</t>
  </si>
  <si>
    <t>2025-05-07 19:32:00,19475,,,,19475,,19775,,,,,20200,19200,19400,19300</t>
  </si>
  <si>
    <t>2025-05-07 19:32:00,188010494.387464,2925391217.3125,0,0,0,0,0,0</t>
  </si>
  <si>
    <t>2025-05-07 19:32:00,944045641.133553,459677951.149448,0,0,0,0,0,0</t>
  </si>
  <si>
    <t>2025-05-07 19:32:00,7168927.4973956,-16361.9634909868,-84.8,-17,-252.6785,-49.91,0.0412814791067905,-1.05</t>
  </si>
  <si>
    <t>2025-05-07 19:32:00,26878811.3956884,90759.3634623962,0,0,0,0,0,0</t>
  </si>
  <si>
    <t>2025-05-07 19:33:00,,,565,,,555,558.5,,,,,570,550,557,562</t>
  </si>
  <si>
    <t>2025-05-07 19:33:00,490,,485,,470,,480,,,,,490,470,482,475</t>
  </si>
  <si>
    <t>2025-05-07 19:33:00,5800,,,5600,,5700,5610,,,,,5750,5600,5630,5620</t>
  </si>
  <si>
    <t>2025-05-07 19:33:00,19475,,,,19475,,19775,,,,,20200,19200,19400,19300</t>
  </si>
  <si>
    <t>2025-05-07 19:33:00,187795532.078225,2925234169.20704,0,0,0,0,0,0</t>
  </si>
  <si>
    <t>2025-05-07 19:33:00,953509196.375389,498390941.249292,0,0,0,0,0,0</t>
  </si>
  <si>
    <t>2025-05-07 19:33:00,6904574.5163616,-12868.5410523337,14.85,6,56.44,28.8,0.0193573410981076,0.78</t>
  </si>
  <si>
    <t>2025-05-07 19:33:00,26883518.4932254,90832.9488875295,0,0,0,0,0,0</t>
  </si>
  <si>
    <t>2025-05-07 19:34:00,,,565,,,555,558.5,,,,,570,550,557,562</t>
  </si>
  <si>
    <t>2025-05-07 19:34:00,490,,485,,470,,480,,,,,490,470,482,475</t>
  </si>
  <si>
    <t>2025-05-07 19:34:00,5800,,,5600,,5700,5610,,,,,5750,5600,5630,5620</t>
  </si>
  <si>
    <t>2025-05-07 19:34:00,19475,,,,19475,,19775,,,,,20200,19200,19400,19300</t>
  </si>
  <si>
    <t>2025-05-07 19:34:00,177777477.443995,2867892894.12732,0,0,0,0,0,0</t>
  </si>
  <si>
    <t>2025-05-07 19:34:00,944193636.128555,459536155.986335,0,0,0,0,0,0</t>
  </si>
  <si>
    <t>2025-05-07 19:34:00,7123274.63472363,-16688.1496232235,-53.6333333333333,-9,-192.101,-32.95,0.0261772223411582,-0.66</t>
  </si>
  <si>
    <t>2025-05-07 19:34:00,26881551.5047534,90758.8057952819,0,0,0,0,0,0</t>
  </si>
  <si>
    <t>2025-05-07 19:35:00,,,565,,,555,558.5,,,,,570,550,557,562</t>
  </si>
  <si>
    <t>2025-05-07 19:35:00,490,,485,,470,,480,,,,,490,470,482,475</t>
  </si>
  <si>
    <t>2025-05-07 19:35:00,5800,,,5600,,5700,5610,,,,,5750,5600,5630,5620</t>
  </si>
  <si>
    <t>2025-05-07 19:35:00,19475,,,,19475,,19775,,,,,20200,19200,19400,19300</t>
  </si>
  <si>
    <t>2025-05-07 19:35:00,156735846.71607,2753906322.94959,0,0,0,0,0,0</t>
  </si>
  <si>
    <t>2025-05-07 19:35:00,919083137.044398,362850683.709027,0,0,0,0,0,0</t>
  </si>
  <si>
    <t>2025-05-07 19:35:00,7503614.86927516,-21565.264351556,-70.5266666666666,-17,147.105133333334,44.09,0.142907109569297,0.52</t>
  </si>
  <si>
    <t>2025-05-07 19:35:00,26881839.6021395,90685.1599316259,0,0,0,0,0,0</t>
  </si>
  <si>
    <t>2025-05-07 19:36:00,,,565,,,555,558.5,,,,,570,550,557,562</t>
  </si>
  <si>
    <t>2025-05-07 19:36:00,490,,485,,470,,480,,,,,490,470,482,475</t>
  </si>
  <si>
    <t>2025-05-07 19:36:00,5800,,,5600,,5700,5610,,,,,5750,5600,5630,5620</t>
  </si>
  <si>
    <t>2025-05-07 19:36:00,19475,,,,19475,,19775,,,,,20200,19200,19400,19300</t>
  </si>
  <si>
    <t>2025-05-07 19:36:00,63232549.4892031,2245759792.59915,0,0,0,0,0,0</t>
  </si>
  <si>
    <t>2025-05-07 19:36:00,887756733.669377,247174668.359198,0,0,0,0,0,0</t>
  </si>
  <si>
    <t>2025-05-07 19:36:00,7729517.33475088,-17450.5467949492,6.63333333333333,2,21.5866666666667,6.4,0.00921123557001986,0.18</t>
  </si>
  <si>
    <t>2025-05-07 19:36:00,26886556.3540832,90698.8744041813,0,0,0,0,0,0</t>
  </si>
  <si>
    <t>2025-05-07 19:37:00,,555,565,,,555,558.5,,,,,570,550,557,562</t>
  </si>
  <si>
    <t>2025-05-07 19:37:00,490,,,480,470,,481,,,,,490,470,482,475</t>
  </si>
  <si>
    <t>2025-05-07 19:37:00,5800,,,5600,,5700,5610,,,,,5750,5600,5630,5620</t>
  </si>
  <si>
    <t>2025-05-07 19:37:00,19475,,,,19475,,19775,,,,,20200,19200,19400,19300</t>
  </si>
  <si>
    <t>2025-05-07 19:37:00,-25331924.4658615,1771207829.06895,0,0,0,0,0,0</t>
  </si>
  <si>
    <t>2025-05-07 19:37:00,799256028.70399,-69708194.5073742,0,0,0,0,0,0</t>
  </si>
  <si>
    <t>2025-05-07 19:37:00,8408119.81052682,-4356.81235932353,56.2,9,327.3,54.3,0.0361992761965091,1.4</t>
  </si>
  <si>
    <t>2025-05-07 19:37:00,26885151.4175038,90520.1828329793,0,0,0,0,0,0</t>
  </si>
  <si>
    <t>2025-05-07 19:39:00,,555,565,,,555,558.5,,,,,570,550,557,562</t>
  </si>
  <si>
    <t>2025-05-07 19:39:00,490,,,480,470,,481,,,,,490,470,482,475</t>
  </si>
  <si>
    <t>2025-05-07 19:39:00,5800,,,5600,,5700,5610,,,,,5750,5600,5630,5620</t>
  </si>
  <si>
    <t>2025-05-07 19:39:00,19475,,,,19475,,19775,,,,,20200,19200,19400,19300</t>
  </si>
  <si>
    <t>2025-05-07 19:39:00,-25473100.5875251,1771071793.94895,0,0,0,0,0,0</t>
  </si>
  <si>
    <t>2025-05-07 19:39:00,801813867.07497,-60214987.5410078,0,0,0,0,0,0</t>
  </si>
  <si>
    <t>2025-05-07 19:39:00,8446512.13663805,-1583.58303877596,2.34333333333343,-9,859.403733333335,112.68,0.064279957987877,2.08</t>
  </si>
  <si>
    <t>2025-05-07 19:39:00,26890094.2014011,90585.383546612,0,0,0,0,0,0</t>
  </si>
  <si>
    <t>2025-05-07 19:40:00,,555,565,,,555,558.5,,,,,570,550,557,562</t>
  </si>
  <si>
    <t>2025-05-07 19:40:00,490,,,480,470,,481,,,,,490,470,482,475</t>
  </si>
  <si>
    <t>2025-05-07 19:40:00,5800,,,5600,,5700,5610,,,,,5750,5600,5630,5620</t>
  </si>
  <si>
    <t>2025-05-07 19:40:00,19475,,,,19475,,19775,,,,,20200,19200,19400,19300</t>
  </si>
  <si>
    <t>2025-05-07 19:40:00,-25587272.7150118,1770096991.64047,0,0,0,0,0,0</t>
  </si>
  <si>
    <t>2025-05-07 19:40:00,804545276.953565,-50683983.0489898,0,0,0,0,0,0</t>
  </si>
  <si>
    <t>2025-05-07 19:40:00,8380526.12050038,-3351.96923996869,13.57,3,125.0414,40.64,0.00298754465155027,0.87</t>
  </si>
  <si>
    <t>2025-05-07 19:40:00,26892981.611819,90561.189890378,0,0,0,0,0,0</t>
  </si>
  <si>
    <t>2025-05-07 19:41:00,,555,565,,,555,558.5,,,,,570,550,557,562</t>
  </si>
  <si>
    <t>2025-05-07 19:41:00,490,,,480,470,,481,,,,,490,470,482,475</t>
  </si>
  <si>
    <t>2025-05-07 19:41:00,5800,,,5600,,5700,5630,,,,,5750,5600,5630,5620</t>
  </si>
  <si>
    <t>2025-05-07 19:41:00,19475,,,,19475,,19775,,,,,20200,19200,19400,19300</t>
  </si>
  <si>
    <t>2025-05-07 19:41:00,-31813664.5564704,1740184478.07355,0,0,0,0,0,0</t>
  </si>
  <si>
    <t>2025-05-07 19:41:00,790328347.560064,-98877825.3726641,0,0,0,0,0,0</t>
  </si>
  <si>
    <t>2025-05-07 19:41:00,8627718.04525686,-49005.2282790935,271.799999999996,50,6756.7399999999,918.7,-0.210613367515359,18.76</t>
  </si>
  <si>
    <t>2025-05-07 19:41:00,26890113.9762057,90481.8194387114,0,0,0,0,0,0</t>
  </si>
  <si>
    <t>2025-05-07 19:42:00,,555,565,,,555,559.5,,,,,570,550,557,562</t>
  </si>
  <si>
    <t>2025-05-07 19:42:00,490,,,480,470,,481,,,,,490,470,482,475</t>
  </si>
  <si>
    <t>2025-05-07 19:42:00,5800,,,5630,,5700,5630,,,,,5750,5630,5630,5620</t>
  </si>
  <si>
    <t>2025-05-07 19:42:00,19475,,,,19475,,19775,,,,,20200,19200,19400,19300</t>
  </si>
  <si>
    <t>2025-05-07 19:42:00,-136430985.549039,1183107784.37112,0,0,0,0,0,0</t>
  </si>
  <si>
    <t>2025-05-07 19:42:00,763095739.10973,-194743748.060993,0,0,0,0,0,0</t>
  </si>
  <si>
    <t>2025-05-07 19:42:00,9605588.80704951,-114146.738189314,354.324999999999,84,7265.90274999998,1971.73,-0.292848166718879,38.11</t>
  </si>
  <si>
    <t>2025-05-07 19:42:00,26894890.5324902,90503.7812345024,0,0,0,0,0,0</t>
  </si>
  <si>
    <t>2025-05-07 19:43:00,,555,565,,,555,559.5,,,,,570,550,557,562</t>
  </si>
  <si>
    <t>2025-05-07 19:43:00,490,,,480,470,,481,,,,,490,470,482,475</t>
  </si>
  <si>
    <t>2025-05-07 19:43:00,5800,,,5630,,5700,5630,,,,,5750,5630,5630,5620</t>
  </si>
  <si>
    <t>2025-05-07 19:43:00,19475,,,,19475,,19775,,,,,20200,19200,19400,19300</t>
  </si>
  <si>
    <t>2025-05-07 19:43:00,-177202349.446018,989613715.72763,0,0,0,0,0,0</t>
  </si>
  <si>
    <t>2025-05-07 19:43:00,735490115.25609,-291033670.346463,0,0,0,0,0,0</t>
  </si>
  <si>
    <t>2025-05-07 19:43:00,9923949.45311584,-109143.580616176,28.5916666666667,1,69.63325,-1.63,0.0159456910107339,-0.02</t>
  </si>
  <si>
    <t>2025-05-07 19:43:00,26890702.415836,90410.6178803131,0,0,0,0,0,0</t>
  </si>
  <si>
    <t>2025-05-07 19:44:00,,555,,,,555,559.5,,,,,570,550,557,562</t>
  </si>
  <si>
    <t>2025-05-07 19:44:00,490,,,480,470,,482,,,,,490,470,482,475</t>
  </si>
  <si>
    <t>2025-05-07 19:44:00,5650,,,5630,,5700,5630,,,,,5750,5630,5630,5620</t>
  </si>
  <si>
    <t>2025-05-07 19:44:00,19475,,,,19475,,19775,,,,,20200,19200,19400,19300</t>
  </si>
  <si>
    <t>2025-05-07 19:44:00,-260911232.813621,543987223.924215,0,0,0,0,0,0</t>
  </si>
  <si>
    <t>2025-05-07 19:44:00,697817607.2169,-425755232.801856,0,0,0,0,0,0</t>
  </si>
  <si>
    <t>2025-05-07 19:44:00,10536773.0520661,-97972.9751588446,41.9,6,109.95,16.1,0.017145887094286,0.4</t>
  </si>
  <si>
    <t>2025-05-07 19:44:00,26895521.0805609,90418.1340606263,0,0,0,0,0,0</t>
  </si>
  <si>
    <t>2025-05-07 19:45:00,,555,,,,555,559.5,,,,,570,550,557,562</t>
  </si>
  <si>
    <t>2025-05-07 19:45:00,490,,,480,470,,482,,,,,490,470,482,475</t>
  </si>
  <si>
    <t>2025-05-07 19:45:00,5650,,,5630,,5700,5630,,,,,5750,5630,5630,5620</t>
  </si>
  <si>
    <t>2025-05-07 19:45:00,19475,,,,19475,,19775,,,,,20200,19200,19400,19300</t>
  </si>
  <si>
    <t>2025-05-07 19:45:00,-256096564.109982,570748408.008884,0,0,0,0,0,0</t>
  </si>
  <si>
    <t>2025-05-07 19:45:00,701894135.540693,-415328926.895716,0,0,0,0,0,0</t>
  </si>
  <si>
    <t>2025-05-07 19:45:00,10499389.691593,-98642.701200729,23.1083333333333,4,91.3825833333333,20.55,5.46469691500037E-05,0.51</t>
  </si>
  <si>
    <t>2025-05-07 19:45:00,26894937.5718024,90382.6388054396,0,0,0,0,0,0</t>
  </si>
  <si>
    <t>2025-05-07 19:46:00,,555,,,,555,559.5,,,,,570,550,557,562</t>
  </si>
  <si>
    <t>2025-05-07 19:46:00,490,,,480,470,,482,,,,,490,470,482,475</t>
  </si>
  <si>
    <t>2025-05-07 19:46:00,5650,,,5630,,5700,5630,,,,,5750,5630,5630,5620</t>
  </si>
  <si>
    <t>2025-05-07 19:46:00,19475,,,,19475,,19775,,,,,20200,19200,19400,19300</t>
  </si>
  <si>
    <t>2025-05-07 19:46:00,-245880319.243455,626595263.598652,0,0,0,0,0,0</t>
  </si>
  <si>
    <t>2025-05-07 19:46:00,697789670.812325,-425865494.981659,0,0,0,0,0,0</t>
  </si>
  <si>
    <t>2025-05-07 19:46:00,10548724.017122,-94692.8596822378,22.41,2,461.6522,50.5,0.00722634040512309,0.99</t>
  </si>
  <si>
    <t>2025-05-07 19:46:00,26894966.2250764,90325.9459516256,0,0,0,0,0,0</t>
  </si>
  <si>
    <t>2025-05-07 19:47:00,,555,565,,,555,559.5,,,,,570,550,557,562</t>
  </si>
  <si>
    <t>2025-05-07 19:47:00,490,,,480,470,,481,,,,,490,470,482,475</t>
  </si>
  <si>
    <t>2025-05-07 19:47:00,5750,,,5630,,5700,5630,,,,,5750,5630,5630,5620</t>
  </si>
  <si>
    <t>2025-05-07 19:47:00,19475,,,,19475,,19775,,,,,20200,19200,19400,19300</t>
  </si>
  <si>
    <t>2025-05-07 19:47:00,-199270926.212118,876454544.686847,0,0,0,0,0,0</t>
  </si>
  <si>
    <t>2025-05-07 19:47:00,727544620.719956,-320025589.892109,0,0,0,0,0,0</t>
  </si>
  <si>
    <t>2025-05-07 19:47:00,10033019.9003331,-101145.146273031,56.4666666666668,5,1231.32933333334,103.27,-0.0111469586319726,2.04</t>
  </si>
  <si>
    <t>2025-05-07 19:47:00,26899703.1547007,90426.0523551324,0,0,0,0,0,0</t>
  </si>
  <si>
    <t>2025-05-07 19:48:00,,555,,,,555,559.5,,,,,570,550,557,562</t>
  </si>
  <si>
    <t>2025-05-07 19:48:00,490,,,480,470,,482,,,,,490,470,482,475</t>
  </si>
  <si>
    <t>2025-05-07 19:48:00,5650,,,5630,,5700,5630,,,,,5750,5630,5630,5620</t>
  </si>
  <si>
    <t>2025-05-07 19:48:00,19475,,,,19475,,19775,,,,,20200,19200,19400,19300</t>
  </si>
  <si>
    <t>2025-05-07 19:48:00,-230653227.62947,709383570.534853,0,0,0,0,0,0</t>
  </si>
  <si>
    <t>2025-05-07 19:48:00,697840710.399495,-425936685.334765,0,0,0,0,0,0</t>
  </si>
  <si>
    <t>2025-05-07 19:48:00,10419587.0862586,-104594.506174985,36.4500000000001,10,672.357500000002,148.24,-0.0244094253477826,2.99</t>
  </si>
  <si>
    <t>2025-05-07 19:48:00,26899376.4910598,90343.7397880809,0,0,0,0,0,0</t>
  </si>
  <si>
    <t>2025-05-07 19:49:00,,555,565,,,555,559.5,,,,,570,550,557,562</t>
  </si>
  <si>
    <t>2025-05-07 19:49:00,490,,,480,470,,481,,,,,490,470,482,475</t>
  </si>
  <si>
    <t>2025-05-07 19:49:00,5750,,,5630,,5700,5630,,,,,5750,5630,5630,5620</t>
  </si>
  <si>
    <t>2025-05-07 19:49:00,19475,,,,19475,,19775,,,,,20200,19200,19400,19300</t>
  </si>
  <si>
    <t>2025-05-07 19:49:00,-193925592.9229,904924536.581767,0,0,0,0,0,0</t>
  </si>
  <si>
    <t>2025-05-07 19:49:00,716652598.871328,-358715851.545386,0,0,0,0,0,0</t>
  </si>
  <si>
    <t>2025-05-07 19:49:00,10091158.6100042,-108653.080886903,1.9,-1,61.1205,7.46,0.00838850088164901,0.17</t>
  </si>
  <si>
    <t>2025-05-07 19:49:00,26904117.9005006,90428.9759787725,0,0,0,0,0,0</t>
  </si>
  <si>
    <t>2025-05-07 19:50:00,,555,565,,,555,559.5,,,,,570,550,557,562</t>
  </si>
  <si>
    <t>2025-05-07 19:50:00,490,,,480,470,,481,,,,,490,470,482,475</t>
  </si>
  <si>
    <t>2025-05-07 19:50:00,5800,,,5630,,5700,5630,,,,,5750,5630,5630,5620</t>
  </si>
  <si>
    <t>2025-05-07 19:50:00,19475,,,,19475,,19775,,,,,20200,19200,19400,19300</t>
  </si>
  <si>
    <t>2025-05-07 19:50:00,-122065171.881811,1265330056.52163,0,0,0,0,0,0</t>
  </si>
  <si>
    <t>2025-05-07 19:50:00,782048052.610003,-128240339.922504,0,0,0,0,0,0</t>
  </si>
  <si>
    <t>2025-05-07 19:50:00,9509874.84313535,-111010.986632109,20.675,1,251.35325,22.3,0.0129806322460997,0.39</t>
  </si>
  <si>
    <t>2025-05-07 19:50:00,26904052.8463982,90468.0452361096,0,0,0,0,0,0</t>
  </si>
  <si>
    <t>2025-05-07 19:51:00,,555,565,,,555,559.5,,,,,570,550,557,562</t>
  </si>
  <si>
    <t>2025-05-07 19:51:00,490,,,480,470,,481,,,,,490,470,482,475</t>
  </si>
  <si>
    <t>2025-05-07 19:51:00,5800,,,5630,,5700,5630,,,,,5750,5630,5630,5620</t>
  </si>
  <si>
    <t>2025-05-07 19:51:00,19475,,,,19475,,19775,,,,,20200,19200,19400,19300</t>
  </si>
  <si>
    <t>2025-05-07 19:51:00,-163124482.239075,1044151655.33992,0,0,0,0,0,0</t>
  </si>
  <si>
    <t>2025-05-07 19:51:00,743672964.92726,-262801494.282893,0,0,0,0,0,0</t>
  </si>
  <si>
    <t>2025-05-07 19:51:00,9946372.60893114,-106048.291122989,5,0,71.2,9.6,0.00612355036549567,0.22</t>
  </si>
  <si>
    <t>2025-05-07 19:51:00,26902875.0329795,90387.4378426523,0,0,0,0,0,0</t>
  </si>
  <si>
    <t>2025-05-07 19:52:00,,555,565,,,555,559.5,,,,,570,550,557,562</t>
  </si>
  <si>
    <t>2025-05-07 19:52:00,490,,,480,470,,481,,,,,490,470,482,475</t>
  </si>
  <si>
    <t>2025-05-07 19:52:00,5800,,,5630,,5700,5630,,,,,5750,5630,5630,5620</t>
  </si>
  <si>
    <t>2025-05-07 19:52:00,19475,,,,19475,,19775,,,,,20200,19200,19400,19300</t>
  </si>
  <si>
    <t>2025-05-07 19:52:00,-158345779.143263,1071743740.54222,0,0,0,0,0,0</t>
  </si>
  <si>
    <t>2025-05-07 19:52:00,743810102.346129,-262783773.343326,0,0,0,0,0,0</t>
  </si>
  <si>
    <t>2025-05-07 19:52:00,9876001.1196499,-107088.133655456,-0.350000000000001,1,-1.77450000000001,5.07,-0.002885929026679,0.13</t>
  </si>
  <si>
    <t>2025-05-07 19:52:00,26907624.4215878,90446.6568524751,0,0,0,0,0,0</t>
  </si>
  <si>
    <t>2025-05-07 19:53:00,,555,565,,,555,559.5,,,,,570,550,557,562</t>
  </si>
  <si>
    <t>2025-05-07 19:53:00,490,,,480,470,,481,,,,,490,470,482,475</t>
  </si>
  <si>
    <t>2025-05-07 19:53:00,5800,,,5630,,5700,5630,,,,,5750,5630,5630,5620</t>
  </si>
  <si>
    <t>2025-05-07 19:53:00,19475,,,,19475,,19775,,,,,20200,19200,19400,19300</t>
  </si>
  <si>
    <t>2025-05-07 19:53:00,-84194597.0407186,1462162364.78141,0,0,0,0,0,0</t>
  </si>
  <si>
    <t>2025-05-07 19:53:00,782269370.779006,-128339907.367809,0,0,0,0,0,0</t>
  </si>
  <si>
    <t>2025-05-07 19:53:00,9352675.11744699,-104379.431377,29.4333333333332,1,654.806999999997,52.28,0.0185186953444117,0.98</t>
  </si>
  <si>
    <t>2025-05-07 19:53:00,26905939.1333966,90437.549266721,0,0,0,0,0,0</t>
  </si>
  <si>
    <t>2025-05-07 19:54:00,,555,565,,,555,559.5,,,,,570,550,557,562</t>
  </si>
  <si>
    <t>2025-05-07 19:54:00,490,,,480,470,,481,,,,,490,470,482,475</t>
  </si>
  <si>
    <t>2025-05-07 19:54:00,5750,,,5630,,5700,5630,,,,,5750,5630,5630,5620</t>
  </si>
  <si>
    <t>2025-05-07 19:54:00,19475,,,,19475,,19775,,,,,20200,19200,19400,19300</t>
  </si>
  <si>
    <t>2025-05-07 19:54:00,-158374395.854812,1071195874.63674,0,0,0,0,0,0</t>
  </si>
  <si>
    <t>2025-05-07 19:54:00,754590386.280668,-224648770.659082,0,0,0,0,0,0</t>
  </si>
  <si>
    <t>2025-05-07 19:54:00,9905833.44511824,-97802.5854518074,7.2,0,34.344,1.98,0.00533253613850327,0.05</t>
  </si>
  <si>
    <t>2025-05-07 19:54:00,26910693.7246534,90459.4614188463,0,0,0,0,0,0</t>
  </si>
  <si>
    <t>2025-05-07 19:55:00,,555,565,,,555,559.5,,,,,570,550,557,562</t>
  </si>
  <si>
    <t>2025-05-07 19:55:00,490,,,480,470,,481,,,,,490,470,482,475</t>
  </si>
  <si>
    <t>2025-05-07 19:55:00,5800,,,5630,,5700,5630,,,,,5750,5630,5630,5620</t>
  </si>
  <si>
    <t>2025-05-07 19:55:00,19475,,,,19475,,19775,,,,,20200,19200,19400,19300</t>
  </si>
  <si>
    <t>2025-05-07 19:55:00,-178743336.842062,988025654.009784,0,0,0,0,0,0</t>
  </si>
  <si>
    <t>2025-05-07 19:55:00,743826608.782756,-262901153.576913,0,0,0,0,0,0</t>
  </si>
  <si>
    <t>2025-05-07 19:55:00,9943624.64064883,-98686.8372466468,-5.8,-2,-17.894,-8.06,0.00448351211230427,-0.19</t>
  </si>
  <si>
    <t>2025-05-07 19:55:00,26911058.9824447,90412.9231875109,0,0,0,0,0,0</t>
  </si>
  <si>
    <t>2025-05-07 19:56:00,,555,565,,,555,559.5,,,,,570,550,557,562</t>
  </si>
  <si>
    <t>2025-05-07 19:56:00,490,,,480,470,,481,,,,,490,470,482,475</t>
  </si>
  <si>
    <t>2025-05-07 19:56:00,5800,,,5630,,5700,5630,,,,,5750,5630,5630,5620</t>
  </si>
  <si>
    <t>2025-05-07 19:56:00,19475,,,,19475,,19775,,,,,20200,19200,19400,19300</t>
  </si>
  <si>
    <t>2025-05-07 19:56:00,-122657274.966976,1264837512.81333,0,0,0,0,0,0</t>
  </si>
  <si>
    <t>2025-05-07 19:56:00,782175656.844528,-128583084.963927,0,0,0,0,0,0</t>
  </si>
  <si>
    <t>2025-05-07 19:56:00,9610700.19583421,-101528.954818746,3.65,0,5.9605,-0.57,0.0045019642824094,-0.02</t>
  </si>
  <si>
    <t>2025-05-07 19:56:00,26908856.3624757,90406.6560697687,0,0,0,0,0,0</t>
  </si>
  <si>
    <t>2025-05-07 19:57:00,,,565,,,555,558.5,,,,,570,550,557,562</t>
  </si>
  <si>
    <t>2025-05-07 19:57:00,490,,485,,470,,480,,,,,490,470,482,475</t>
  </si>
  <si>
    <t>2025-05-07 19:57:00,5800,,,5630,,5700,5630,,,,,5700,5630,5630,5620</t>
  </si>
  <si>
    <t>2025-05-07 19:57:00,19475,,,,19475,,19775,,,,,20200,19200,19400,19300</t>
  </si>
  <si>
    <t>2025-05-07 19:57:00,317624431.528686,3672924908.29227,0,0,0,0,0,0</t>
  </si>
  <si>
    <t>2025-05-07 19:57:00,1008981680.33307,709558583.528827,0,0,0,0,0,0</t>
  </si>
  <si>
    <t>2025-05-07 19:57:00,6277325.93074446,-166771.950984177,-242.928571428571,-48,-2359.76292857143,-602.69,0.330038061014892,-11.24</t>
  </si>
  <si>
    <t>2025-05-07 19:57:00,26913788.0547297,90794.2768004642,0,0,0,0,0,0</t>
  </si>
  <si>
    <t>2025-05-07 19:58:00,,,565,,550,,557.5,,,,,570,550,557,562</t>
  </si>
  <si>
    <t>2025-05-07 19:58:00,490,,485,,470,,480,,,,,490,470,482,475</t>
  </si>
  <si>
    <t>2025-05-07 19:58:00,5800,,,5630,,5800,5630,,,,,5700,5630,5630,5620</t>
  </si>
  <si>
    <t>2025-05-07 19:58:00,19475,,,,19475,,19775,,,,,20200,19200,19400,19300</t>
  </si>
  <si>
    <t>2025-05-07 19:58:00,793376160.575298,6491437193.2797,0,0,0,0,0,0</t>
  </si>
  <si>
    <t>2025-05-07 19:58:00,1212952878.42876,1463230927.09838,0,0,0,0,0,0</t>
  </si>
  <si>
    <t>2025-05-07 19:58:00,3564283.9839961,-192140.034671447,-502.245476190476,-81,-8370.11053333333,-1066.56,-0.0427313125987955,-23.91</t>
  </si>
  <si>
    <t>2025-05-07 19:58:00,26914141.5161247,91058.1239685242,0,0,0,0,0,0</t>
  </si>
  <si>
    <t>2025-05-07 19:59:00,,,565,,550,,557.5,,,,,570,550,557,562</t>
  </si>
  <si>
    <t>2025-05-07 19:59:00,490,,485,,470,,480,,,,,490,470,482,475</t>
  </si>
  <si>
    <t>2025-05-07 19:59:00,5800,,,5630,,5800,5660,,,,,5700,5630,5630,5620</t>
  </si>
  <si>
    <t>2025-05-07 19:59:00,19475,,,,19475,,19775,,,,,20200,19200,19400,19300</t>
  </si>
  <si>
    <t>2025-05-07 19:59:00,826265690.008767,6609748746.63886,0,0,0,0,0,0</t>
  </si>
  <si>
    <t>2025-05-07 19:59:00,1255312569.85586,1498191012.01037,0,0,0,0,0,0</t>
  </si>
  <si>
    <t>2025-05-07 19:59:00,3318792.71295022,-193443.851161561,-486.043174603174,-72,-5792.36876825396,-727.16,-0.0189581201126202,-16.81</t>
  </si>
  <si>
    <t>2025-05-07 19:59:00,26918955.9876615,91216.4601884357,0,0,0,0,0,0</t>
  </si>
  <si>
    <t>2025-05-07 20:00:00,,,565,,550,,557.5,,,,,570,550,557,562</t>
  </si>
  <si>
    <t>2025-05-07 20:00:00,490,,485,,470,,480,,,,,490,470,482,475</t>
  </si>
  <si>
    <t>2025-05-07 20:00:00,5800,,,5630,,5700,5660,,,,,5720,5630,5630,5620</t>
  </si>
  <si>
    <t>2025-05-07 20:00:00,19475,,,,19475,,19775,,,,,20200,19200,19400,19300</t>
  </si>
  <si>
    <t>2025-05-07 20:00:00,896764490.82321,7152334462.67306,0,0,0,0,0,0</t>
  </si>
  <si>
    <t>2025-05-07 20:00:00,1302412301.02484,1864957569.05488,0,0,0,0,0,0</t>
  </si>
  <si>
    <t>2025-05-07 20:00:00,3387866.72201339,-174340.12864481,-299.825,-57,-1098.09658333333,-183.98,-0.108033903184458,-6.72</t>
  </si>
  <si>
    <t>2025-05-07 20:00:00,26915933.0965495,91204.7265568413,0,0,0,0,0,0</t>
  </si>
  <si>
    <t>2025-05-07 20:01:00,,,565,,550,,557.5,,,,,570,550,557,562</t>
  </si>
  <si>
    <t>2025-05-07 20:01:00,490,,485,,470,,480,,,,,490,470,482,475</t>
  </si>
  <si>
    <t>2025-05-07 20:01:00,5800,,,5630,,5800,5660,,,,,5720,5630,5630,5620</t>
  </si>
  <si>
    <t>2025-05-07 20:01:00,19475,,,,19475,,19775,,,,,20200,19200,19400,19300</t>
  </si>
  <si>
    <t>2025-05-07 20:01:00,787934365.957823,6458625854.32662,0,0,0,0,0,0</t>
  </si>
  <si>
    <t>2025-05-07 20:01:00,1249219749.16893,1659458170.61093,0,0,0,0,0,0</t>
  </si>
  <si>
    <t>2025-05-07 20:01:00,3430818.31190645,-152798.566644693,-56.95,-15,-205.249166666667,-46.87,-0.0207875888189249,-1.64</t>
  </si>
  <si>
    <t>2025-05-07 20:01:00,26913859.4511643,91076.6296943758,0,0,0,0,0,0</t>
  </si>
  <si>
    <t>2025-05-07 20:02:00,,,565,,550,,557.5,,,,,570,550,557,562</t>
  </si>
  <si>
    <t>2025-05-07 20:02:00,490,,485,,470,,480,,,,,490,470,482,475</t>
  </si>
  <si>
    <t>2025-05-07 20:02:00,5800,,,5630,,5700,5660,,,,,5720,5630,5630,5620</t>
  </si>
  <si>
    <t>2025-05-07 20:02:00,19475,,,,19475,,19775,,,,,20200,19200,19400,19300</t>
  </si>
  <si>
    <t>2025-05-07 20:02:00,846712731.557601,6821139046.5391,0,0,0,0,0,0</t>
  </si>
  <si>
    <t>2025-05-07 20:02:00,1249030720.25423,1659334177.58857,0,0,0,0,0,0</t>
  </si>
  <si>
    <t>2025-05-07 20:02:00,2930213.84836334,-55420.754836347,-564.324310776942,-173,-2235.15249373434,-500.64,-0.45207441178631,-19.41</t>
  </si>
  <si>
    <t>2025-05-07 20:02:00,26918651.8502539,91137.0660826829,0,0,0,0,0,0</t>
  </si>
  <si>
    <t>2025-05-07 20:03:00,,,565,,550,,558.5,,,,,570,550,557,562</t>
  </si>
  <si>
    <t>2025-05-07 20:03:00,490,,485,,470,,480,,,,,490,470,482,475</t>
  </si>
  <si>
    <t>2025-05-07 20:03:00,5800,,,5630,,5800,5660,,,,,5720,5630,5630,5620</t>
  </si>
  <si>
    <t>2025-05-07 20:03:00,19475,,,,19475,,19775,,,,,20200,19200,19400,19300</t>
  </si>
  <si>
    <t>2025-05-07 20:03:00,930843252.27478,7417210707.3419,0,0,0,0,0,0</t>
  </si>
  <si>
    <t>2025-05-07 20:03:00,1373425626.06338,2139227813.31137,0,0,0,0,0,0</t>
  </si>
  <si>
    <t>2025-05-07 20:03:00,1725225.76798299,-91648.0598473521,-454.592023809524,-63,-3431.5994547619,-390.51,0.0614884421554575,-8.42</t>
  </si>
  <si>
    <t>2025-05-07 20:03:00,26919897.0138031,91303.252560663,0,0,0,0,0,0</t>
  </si>
  <si>
    <t>2025-05-07 20:04:00,,,565,,550,,557.5,,,,,570,550,557,562</t>
  </si>
  <si>
    <t>2025-05-07 20:04:00,490,,485,,470,,480,,,,,490,470,482,475</t>
  </si>
  <si>
    <t>2025-05-07 20:04:00,5800,,,5630,,5800,5660,,,,,5720,5630,5630,5620</t>
  </si>
  <si>
    <t>2025-05-07 20:04:00,19475,,,,19475,,19775,,,,,20200,19200,19400,19300</t>
  </si>
  <si>
    <t>2025-05-07 20:04:00,964294942.899418,7644918421.70889,0,0,0,0,0,0</t>
  </si>
  <si>
    <t>2025-05-07 20:04:00,1330728858.07438,1980394629.69719,0,0,0,0,0,0</t>
  </si>
  <si>
    <t>2025-05-07 20:04:00,2624765.21248404,-78241.1005877702,-150.088888888889,-26,-1196.41155555555,-154.47,0.00924325177441117,-3.1</t>
  </si>
  <si>
    <t>2025-05-07 20:04:00,26924685.4570555,91292.3358923517,0,0,0,0,0,0</t>
  </si>
  <si>
    <t>2025-05-07 20:05:00,,,565,,550,,557.5,,,,,570,550,557,562</t>
  </si>
  <si>
    <t>2025-05-07 20:05:00,490,,485,,470,,480,,,,,490,470,482,475</t>
  </si>
  <si>
    <t>2025-05-07 20:05:00,5800,,5670,,,5700,5660,,,,,5710,5630,5630,5620</t>
  </si>
  <si>
    <t>2025-05-07 20:05:00,19475,,,,19475,,19775,,,,,20200,19200,19400,19300</t>
  </si>
  <si>
    <t>2025-05-07 20:05:00,936691277.414697,7473812922.97027,0,0,0,0,0,0</t>
  </si>
  <si>
    <t>2025-05-07 20:05:00,1328627633.89413,1973858695.25996,0,0,0,0,0,0</t>
  </si>
  <si>
    <t>2025-05-07 20:05:00,2186504.63925582,280158.845875626,-3658.93523809524,-463,-30511.7532761905,-3031,-1.54498175838607,-104.19</t>
  </si>
  <si>
    <t>2025-05-07 20:05:00,26924415.283656,91231.4388517971,0,0,0,0,0,0</t>
  </si>
  <si>
    <t>2025-05-07 20:06:00,,,565,,550,,557.5,,,,,570,550,557,562</t>
  </si>
  <si>
    <t>2025-05-07 20:06:00,490,,485,,470,,480,,,,,490,470,482,475</t>
  </si>
  <si>
    <t>2025-05-07 20:06:00,5800,,5670,,,5800,5660,,,,,5710,5630,5630,5620</t>
  </si>
  <si>
    <t>2025-05-07 20:06:00,19475,,,,19475,,19775,,,,,20200,19200,19400,19300</t>
  </si>
  <si>
    <t>2025-05-07 20:06:00,763633249.525024,6327527866.93317,0,0,0,0,0,0</t>
  </si>
  <si>
    <t>2025-05-07 20:06:00,1247280316.6135,1653838680.46777,0,0,0,0,0,0</t>
  </si>
  <si>
    <t>2025-05-07 20:06:00,4060118.32966604,322503.017990085,-207.624047619048,-30,-3972.1139452381,-475.09,0.0125074111130172,-9.95</t>
  </si>
  <si>
    <t>2025-05-07 20:06:00,26924339.4622698,91065.9475835942,0,0,0,0,0,0</t>
  </si>
  <si>
    <t>2025-05-07 20:07:00,,,565,,550,,558.5,,,,,570,550,557,562</t>
  </si>
  <si>
    <t>2025-05-07 20:07:00,490,,485,,470,,481,,,,,490,470,482,475</t>
  </si>
  <si>
    <t>2025-05-07 20:07:00,5800,,5670,,,5800,5660,,,,,5710,5630,5630,5620</t>
  </si>
  <si>
    <t>2025-05-07 20:07:00,19475,,,,19475,,19775,,,,,20200,19200,19400,19300</t>
  </si>
  <si>
    <t>2025-05-07 20:07:00,966436406.102014,7667254530.33839,0,0,0,0,0,0</t>
  </si>
  <si>
    <t>2025-05-07 20:07:00,1344277667.91534,1775544560.17445,0,0,0,0,0,0</t>
  </si>
  <si>
    <t>2025-05-07 20:07:00,1894575.68979527,261986.456084396,-219.125163398693,-30,-2812.13518627451,-319.58,0.0138626715620696,-6.66</t>
  </si>
  <si>
    <t>2025-05-07 20:07:00,26929197.5997363,91296.4195102411,0,0,0,0,0,0</t>
  </si>
  <si>
    <t>2025-05-07 20:08:00,,,565,,550,,559.5,,,,,570,550,557,562</t>
  </si>
  <si>
    <t>2025-05-07 20:08:00,490,,485,,470,,480,,,,,490,470,482,475</t>
  </si>
  <si>
    <t>2025-05-07 20:08:00,5800,,5670,,,5800,5660,,,,,5710,5520,5630,5620</t>
  </si>
  <si>
    <t>2025-05-07 20:08:00,19475,,,,19475,,19775,,,,,20200,19200,19400,19300</t>
  </si>
  <si>
    <t>2025-05-07 20:08:00,1137978977.68986,7477454741.3949,0,0,0,0,0,0</t>
  </si>
  <si>
    <t>2025-05-07 20:08:00,1480655657.71478,2517458515.26324,0,0,0,0,0,0</t>
  </si>
  <si>
    <t>2025-05-07 20:08:00,-2281381.70902033,203033.622600786,-939.966666666666,-65,-3945.21828571428,-311.73,0.0520574462722587,-7.02</t>
  </si>
  <si>
    <t>2025-05-07 20:08:00,26928689.8193147,91473.946794818,0,0,0,0,0,0</t>
  </si>
  <si>
    <t>2025-05-07 20:09:00,,,565,,550,,558.5,,,,,570,550,557,562</t>
  </si>
  <si>
    <t>2025-05-07 20:09:00,490,,485,,470,,480,,,,,490,470,482,475</t>
  </si>
  <si>
    <t>2025-05-07 20:09:00,5800,,5710,,,5800,5660,,,,,5710,5520,5630,5620</t>
  </si>
  <si>
    <t>2025-05-07 20:09:00,19475,,,,19475,,19775,,,,,20200,19200,19400,19300</t>
  </si>
  <si>
    <t>2025-05-07 20:09:00,1366487764.72427,9414668242.57692,0,0,0,0,0,0</t>
  </si>
  <si>
    <t>2025-05-07 20:09:00,1549441554.94187,2712178675.03036,0,0,0,0,0,0</t>
  </si>
  <si>
    <t>2025-05-07 20:09:00,-3795576.82471322,126264.706541306,-1563.38785714286,-149,-29489.1718285715,-1696.2,0.142382456928773,-39.73</t>
  </si>
  <si>
    <t>2025-05-07 20:09:00,26933501.0946336,91659.3078347208,0,0,0,0,0,0</t>
  </si>
  <si>
    <t>2025-05-07 20:10:00,,,565,,550,,558.5,,,,,570,550,557,562</t>
  </si>
  <si>
    <t>2025-05-07 20:10:00,490,,485,,470,,480,,,,,490,470,482,475</t>
  </si>
  <si>
    <t>2025-05-07 20:10:00,5800,,5710,,,5800,5660,,,,,5710,5520,5630,5620</t>
  </si>
  <si>
    <t>2025-05-07 20:10:00,19475,,,,19475,,19775,,,,,20200,19200,19400,19300</t>
  </si>
  <si>
    <t>2025-05-07 20:10:00,1420202541.21429,9761878031.55185,0,0,0,0,0,0</t>
  </si>
  <si>
    <t>2025-05-07 20:10:00,1575846790.89485,2830150484.62453,0,0,0,0,0,0</t>
  </si>
  <si>
    <t>2025-05-07 20:10:00,-4100781.61132386,119235.707128121,-371.85893939394,-36,-5799.30555000002,-430.29,-0.00958164323503348,-9.74</t>
  </si>
  <si>
    <t>2025-05-07 20:10:00,26929510.6538,91634.2055339474,0,0,0,0,0,0</t>
  </si>
  <si>
    <t>2025-05-07 20:11:00,,,565,,550,,558.5,,,,,570,550,557,562</t>
  </si>
  <si>
    <t>2025-05-07 20:11:00,490,,485,,470,,480,,,,,490,470,482,475</t>
  </si>
  <si>
    <t>2025-05-07 20:11:00,5800,,5710,,,5800,5660,,,,,5710,5520,5630,5620</t>
  </si>
  <si>
    <t>2025-05-07 20:11:00,19475,,,,19475,,19775,,,,,20200,19200,19400,19300</t>
  </si>
  <si>
    <t>2025-05-07 20:11:00,1342126990.61961,9465288534.25111,0,0,0,0,0,0</t>
  </si>
  <si>
    <t>2025-05-07 20:11:00,1517087840.99527,2603311932.00135,0,0,0,0,0,0</t>
  </si>
  <si>
    <t>2025-05-07 20:11:00,-3378576.99135265,152504.861740081,-260.543636363636,-28,-4118.7511,-267.8,-0.0305024038821879,-6.71</t>
  </si>
  <si>
    <t>2025-05-07 20:11:00,26928275.2151745,91523.1041881735,0,0,0,0,0,0</t>
  </si>
  <si>
    <t>2025-05-07 20:12:00,,,565,,550,,558.5,,,,,570,550,557,562</t>
  </si>
  <si>
    <t>2025-05-07 20:12:00,490,,485,,470,,480,,,,,490,470,482,475</t>
  </si>
  <si>
    <t>2025-05-07 20:12:00,5800,,5710,,,5800,5650,,,,,5710,5520,5630,5620</t>
  </si>
  <si>
    <t>2025-05-07 20:12:00,19475,,,,19475,,19775,,,,,20200,19200,19400,19300</t>
  </si>
  <si>
    <t>2025-05-07 20:12:00,1497604658.69328,10281745835.1205,0,0,0,0,0,0</t>
  </si>
  <si>
    <t>2025-05-07 20:12:00,1625263990.09513,2896793317.4937,0,0,0,0,0,0</t>
  </si>
  <si>
    <t>2025-05-07 20:12:00,-4600986.01948258,120759.100240955,-341.891666666667,-34,-2983.7065,-179.39,-0.0231381427407443,-5.76</t>
  </si>
  <si>
    <t>2025-05-07 20:12:00,26933263.9493191,91733.4397894631,0,0,0,0,0,0</t>
  </si>
  <si>
    <t>2025-05-07 20:13:00,,,565,,550,,558.5,,,,,570,550,557,562</t>
  </si>
  <si>
    <t>2025-05-07 20:13:00,490,,485,,470,,480,,,,,490,470,482,475</t>
  </si>
  <si>
    <t>2025-05-07 20:13:00,5800,,5710,,,5800,5660,,,,,5710,5520,5630,5620</t>
  </si>
  <si>
    <t>2025-05-07 20:13:00,19475,,,,19475,,19775,,,,,20200,19200,19400,19300</t>
  </si>
  <si>
    <t>2025-05-07 20:13:00,1287720390.48596,9289406263.5269,0,0,0,0,0,0</t>
  </si>
  <si>
    <t>2025-05-07 20:13:00,1504361984.45644,2543943927.17599,0,0,0,0,0,0</t>
  </si>
  <si>
    <t>2025-05-07 20:13:00,-2780430.15338611,178250.551628939,-167.05,-22,-1152.33066666667,-96.39,-0.0195988141846887,-2.96</t>
  </si>
  <si>
    <t>2025-05-07 20:13:00,26932223.9892092,91537.2713648414,0,0,0,0,0,0</t>
  </si>
  <si>
    <t>2025-05-07 20:14:00,,,565,,550,,558.5,,,,,570,550,557,562</t>
  </si>
  <si>
    <t>2025-05-07 20:14:00,490,,485,,470,,480,,,,,490,470,482,475</t>
  </si>
  <si>
    <t>2025-05-07 20:14:00,5800,,5710,,,5800,5660,,,,,5710,5520,5630,5620</t>
  </si>
  <si>
    <t>2025-05-07 20:14:00,19475,,,,19475,,19775,,,,,20200,19200,19400,19300</t>
  </si>
  <si>
    <t>2025-05-07 20:14:00,1264238702.62381,9196337521.0578,0,0,0,0,0,0</t>
  </si>
  <si>
    <t>2025-05-07 20:14:00,1517213086.49679,2603884130.50494,0,0,0,0,0,0</t>
  </si>
  <si>
    <t>2025-05-07 20:14:00,-2738128.2041107,182431.165785058,-108.371428571429,-14,-737.068999999999,-67.35,-0.00975839782605808,-2.04</t>
  </si>
  <si>
    <t>2025-05-07 20:14:00,26937160.9212567,91622.6795257078,0,0,0,0,0,0</t>
  </si>
  <si>
    <t>2025-05-07 20:15:00,,,565,,550,,558.5,,,,,570,550,557,562</t>
  </si>
  <si>
    <t>2025-05-07 20:15:00,490,,485,,470,,480,,,,,490,470,482,475</t>
  </si>
  <si>
    <t>2025-05-07 20:15:00,5800,,5710,,,5800,5660,,,,,5710,5520,5630,5620</t>
  </si>
  <si>
    <t>2025-05-07 20:15:00,19475,,,,19475,,19775,,,,,20200,19200,19400,19300</t>
  </si>
  <si>
    <t>2025-05-07 20:15:00,1365912320.82844,9418295420.46287,0,0,0,0,0,0</t>
  </si>
  <si>
    <t>2025-05-07 20:15:00,1584188634.76512,2799422020.50073,0,0,0,0,0,0</t>
  </si>
  <si>
    <t>2025-05-07 20:15:00,-3758088.37345392,147667.070194148,-152.925,-17,-882.3015,-86.71,0.0283025147569314,-1.96</t>
  </si>
  <si>
    <t>2025-05-07 20:15:00,26938550.8278056,91667.5578008151,0,0,0,0,0,0</t>
  </si>
  <si>
    <t>2025-05-07 20:16:00,,,565,,550,,558.5,,,,,570,550,557,562</t>
  </si>
  <si>
    <t>2025-05-07 20:16:00,490,,485,,470,,480,,,,,490,470,482,475</t>
  </si>
  <si>
    <t>2025-05-07 20:16:00,5800,,5710,,,5800,5660,,,,,5710,5520,5630,5620</t>
  </si>
  <si>
    <t>2025-05-07 20:16:00,19475,,,,19475,,19775,,,,,20200,19200,19400,19300</t>
  </si>
  <si>
    <t>2025-05-07 20:16:00,1355973478.43573,9348638210.785,0,0,0,0,0,0</t>
  </si>
  <si>
    <t>2025-05-07 20:16:00,1582503720.90968,2812890304.50492,0,0,0,0,0,0</t>
  </si>
  <si>
    <t>2025-05-07 20:16:00,-3711707.31177052,151960.908368929,-118.879166666667,-22,-1016.91679166667,-72.94,-0.00369630570107063,-2.06</t>
  </si>
  <si>
    <t>2025-05-07 20:16:00,26938201.5067753,91642.5233021681,0,0,0,0,0,0</t>
  </si>
  <si>
    <t>2025-05-07 20:17:00,,,565,,550,,558.5,,,,,570,550,557,562</t>
  </si>
  <si>
    <t>2025-05-07 20:17:00,490,,485,,470,,484,,,,,490,470,482,475</t>
  </si>
  <si>
    <t>2025-05-07 20:17:00,5800,,5710,,,5800,5660,,,,,5710,5520,5630,5620</t>
  </si>
  <si>
    <t>2025-05-07 20:17:00,19475,,,,19475,,19775,,,,,20200,19200,19400,19300</t>
  </si>
  <si>
    <t>2025-05-07 20:17:00,1385458025.81515,9560645144.33271,0,0,0,0,0,0</t>
  </si>
  <si>
    <t>2025-05-07 20:17:00,1592619574.8631,2548815353.57972,0,0,0,0,0,0</t>
  </si>
  <si>
    <t>2025-05-07 20:17:00,-3725697.55712797,125291.469352699,-283.510714285714,-21,-7491.33905952381,-491.29,0.101023387957522,-9.97</t>
  </si>
  <si>
    <t>2025-05-07 20:17:00,26943008.2413018,91730.1929298251,0,0,0,0,0,0</t>
  </si>
  <si>
    <t>2025-05-07 20:18:00,,,565,,550,,558.5,,,,,570,550,557,562</t>
  </si>
  <si>
    <t>2025-05-07 20:18:00,490,,485,,470,,480,,,,,490,470,482,475</t>
  </si>
  <si>
    <t>2025-05-07 20:18:00,5800,,5710,,,5800,5660,,,,,5710,5520,5630,5620</t>
  </si>
  <si>
    <t>2025-05-07 20:18:00,19475,,,,19475,,19775,,,,,20200,19200,19400,19300</t>
  </si>
  <si>
    <t>2025-05-07 20:18:00,1429061217.69945,9834968790.23153,0,0,0,0,0,0</t>
  </si>
  <si>
    <t>2025-05-07 20:18:00,1586045449.93353,2769904015.63838,0,0,0,0,0,0</t>
  </si>
  <si>
    <t>2025-05-07 20:18:00,-3959787.2346678,113937.138388869,-164.923809523809,-21,-1695.63061904762,-116.92,0.00297336869216608,-2.84</t>
  </si>
  <si>
    <t>2025-05-07 20:18:00,26941704.8280523,91651.6138442442,0,0,0,0,0,0</t>
  </si>
  <si>
    <t>2025-05-07 20:19:00,,,565,,550,,558.5,,,,,570,550,557,562</t>
  </si>
  <si>
    <t>2025-05-07 20:19:00,490,,485,,470,,484,,,,,490,470,482,475</t>
  </si>
  <si>
    <t>2025-05-07 20:19:00,5800,,5710,,,5800,5660,,,,,5710,5520,5630,5620</t>
  </si>
  <si>
    <t>2025-05-07 20:19:00,19475,,,,19475,,19775,,,,,20200,19200,19400,19300</t>
  </si>
  <si>
    <t>2025-05-07 20:19:00,1471373718.54592,10133335871.5266,0,0,0,0,0,0</t>
  </si>
  <si>
    <t>2025-05-07 20:19:00,1588059991.7419,2528899453.70242,0,0,0,0,0,0</t>
  </si>
  <si>
    <t>2025-05-07 20:19:00,-4062358.93124778,111576.887562177,-49.4500000000001,-5,-337.860666666668,-20.64,0.000194270532157294,-0.58</t>
  </si>
  <si>
    <t>2025-05-07 20:19:00,26946631.5293684,91725.78099581,0,0,0,0,0,0</t>
  </si>
  <si>
    <t>2025-05-07 20:20:00,575,,565,,550,,558.5,,,,,570,550,557,562</t>
  </si>
  <si>
    <t>2025-05-07 20:20:00,490,,485,,470,,480,,,,,490,470,482,475</t>
  </si>
  <si>
    <t>2025-05-07 20:20:00,5800,,5710,,,5800,5650,,,,,5710,5520,5630,5620</t>
  </si>
  <si>
    <t>2025-05-07 20:20:00,19475,,,,19475,,19775,,,,,20200,19200,19400,19300</t>
  </si>
  <si>
    <t>2025-05-07 20:20:00,1544875084.412,10258623275.3966,0,0,0,0,0,0</t>
  </si>
  <si>
    <t>2025-05-07 20:20:00,1679239363.95672,2990393857.7867,0,0,0,0,0,0</t>
  </si>
  <si>
    <t>2025-05-07 20:20:00,-4981369.19614499,90624.2432573138,-862.719047619047,-78,-6396.67445238096,-427.04,-0.0043387909749975,-12.28</t>
  </si>
  <si>
    <t>2025-05-07 20:20:00,26944770.0584868,91780.0284085692,0,0,0,0,0,0</t>
  </si>
  <si>
    <t>2025-05-07 20:21:00,575,,565,,550,,558.5,,,,,570,550,557,562</t>
  </si>
  <si>
    <t>2025-05-07 20:21:00,490,,485,,470,,480,,,,,490,470,482,475</t>
  </si>
  <si>
    <t>2025-05-07 20:21:00,5800,,,5630,,5700,5650,,,,,5710,5520,5630,5620</t>
  </si>
  <si>
    <t>2025-05-07 20:21:00,19475,,,,19475,,19775,,,,,20200,19200,19400,19300</t>
  </si>
  <si>
    <t>2025-05-07 20:21:00,1586556055.30016,10160201821.7597,0,0,0,0,0,0</t>
  </si>
  <si>
    <t>2025-05-07 20:21:00,1731807606.38593,2888670143.91645,0,0,0,0,0,0</t>
  </si>
  <si>
    <t>2025-05-07 20:21:00,-5779043.85854213,46787.7198856728,-303.046428571429,-42,-2552.04333333333,-177.82,0.0522042558813509,-3.99</t>
  </si>
  <si>
    <t>2025-05-07 20:21:00,26944178.5801228,91834.025463652,0,0,0,0,0,0</t>
  </si>
  <si>
    <t>2025-05-07 20:22:00,575,,565,,550,,558.5,,,,,570,550,557,562</t>
  </si>
  <si>
    <t>2025-05-07 20:22:00,490,,485,,470,,480,,,,,490,470,482,475</t>
  </si>
  <si>
    <t>2025-05-07 20:22:00,5800,,,5630,,5700,5650,,,,,5710,5520,5630,5620</t>
  </si>
  <si>
    <t>2025-05-07 20:22:00,19475,,,,19475,,19775,,,,,20200,19200,19400,19300</t>
  </si>
  <si>
    <t>2025-05-07 20:22:00,1579907450.76126,10101704490.1405,0,0,0,0,0,0</t>
  </si>
  <si>
    <t>2025-05-07 20:22:00,1747605121.03422,2938903497.80472,0,0,0,0,0,0</t>
  </si>
  <si>
    <t>2025-05-07 20:22:00,-5409854.90072263,49420.6686007497,-251.403157894737,-17,-3063.62722105263,-212.63,0.0463714464997697,-4.04</t>
  </si>
  <si>
    <t>2025-05-07 20:22:00,26949130.0624759,91920.0363248605,0,0,0,0,0,0</t>
  </si>
  <si>
    <t>2025-05-07 20:23:00,575,,565,,550,,558.5,,,,,570,550,557,562</t>
  </si>
  <si>
    <t>2025-05-07 20:23:00,490,,485,,470,,480,,,,,490,470,482,475</t>
  </si>
  <si>
    <t>2025-05-07 20:23:00,5800,,,5630,,5700,5650,,,,,5710,5520,5630,5620</t>
  </si>
  <si>
    <t>2025-05-07 20:23:00,19475,,,,19475,,19775,,,,,20200,19200,19400,19300</t>
  </si>
  <si>
    <t>2025-05-07 20:23:00,1577273065.02,10337010395.5673,0,0,0,0,0,0</t>
  </si>
  <si>
    <t>2025-05-07 20:23:00,1764506007.2202,2993442361.60234,0,0,0,0,0,0</t>
  </si>
  <si>
    <t>2025-05-07 20:23:00,-5696123.606303,36312.3797499263,-70.2388888888889,-5,-753.955000000001,-44.93,0.00434198276803062,-1</t>
  </si>
  <si>
    <t>2025-05-07 20:23:00,26947864.6318298,91890.2985222888,0,0,0,0,0,0</t>
  </si>
  <si>
    <t>2025-05-07 20:24:00,575,,565,,550,,558.5,,,,,570,550,557,562</t>
  </si>
  <si>
    <t>2025-05-07 20:24:00,490,,485,,470,,480,,,,,490,470,482,475</t>
  </si>
  <si>
    <t>2025-05-07 20:24:00,5800,,5710,,,5700,5650,,,,,5710,5520,5630,5620</t>
  </si>
  <si>
    <t>2025-05-07 20:24:00,19475,,,,19475,,19775,,,,,20200,19200,19400,19300</t>
  </si>
  <si>
    <t>2025-05-07 20:24:00,1560811776.30007,9947512809.92975,0,0,0,0,0,0</t>
  </si>
  <si>
    <t>2025-05-07 20:24:00,1726564099.62542,2872853804.25916,0,0,0,0,0,0</t>
  </si>
  <si>
    <t>2025-05-07 20:24:00,-5213819.49029013,55968.211280631,-501.3,-35,-3181.29083333333,-177.14,0.0116965283131842,-4.93</t>
  </si>
  <si>
    <t>2025-05-07 20:24:00,26952742.9758735,91896.2344789782,0,0,0,0,0,0</t>
  </si>
  <si>
    <t>2025-05-07 20:25:00,575,,565,,550,,558.5,,,,,570,550,557,562</t>
  </si>
  <si>
    <t>2025-05-07 20:25:00,490,,485,,470,,480,,,,,490,470,482,475</t>
  </si>
  <si>
    <t>2025-05-07 20:25:00,5800,,5710,,,5700,5650,,,,,5710,5520,5630,5620</t>
  </si>
  <si>
    <t>2025-05-07 20:25:00,19475,,,,19475,,19775,,,,,20200,19200,19400,19300</t>
  </si>
  <si>
    <t>2025-05-07 20:25:00,1516821130.56102,10163067805.5915,0,0,0,0,0,0</t>
  </si>
  <si>
    <t>2025-05-07 20:25:00,1693788046.21171,3028491205.16484,0,0,0,0,0,0</t>
  </si>
  <si>
    <t>2025-05-07 20:25:00,-4800787.74056211,63553.7982698388,-250.683333333333,-27,-997.513666666667,-90.22,0.035255271930108,-2.12</t>
  </si>
  <si>
    <t>2025-05-07 20:25:00,26953443.2337252,91796.7991736,0,0,0,0,0,0</t>
  </si>
  <si>
    <t>2025-05-07 20:26:00,,,565,,550,,558.5,,,,,570,550,557,562</t>
  </si>
  <si>
    <t>2025-05-07 20:26:00,490,,485,,470,,480,,,,,490,470,482,475</t>
  </si>
  <si>
    <t>2025-05-07 20:26:00,5800,,5710,,,5800,5650,,,,,5710,5520,5630,5620</t>
  </si>
  <si>
    <t>2025-05-07 20:26:00,19475,,,,19475,,19775,,,,,20200,19200,19400,19300</t>
  </si>
  <si>
    <t>2025-05-07 20:26:00,1483892163.88151,10221997210.4753,0,0,0,0,0,0</t>
  </si>
  <si>
    <t>2025-05-07 20:26:00,1662376184.75005,3035932927.57814,0,0,0,0,0,0</t>
  </si>
  <si>
    <t>2025-05-07 20:26:00,-4398251.10496724,81255.9871944573,-441.857142857142,-26,-7648.39311904761,-370.36,-0.0163169118195678,-8.74</t>
  </si>
  <si>
    <t>2025-05-07 20:26:00,26953817.0207848,91708.4496398459,0,0,0,0,0,0</t>
  </si>
  <si>
    <t>2025-05-07 20:27:00,,,565,,550,,558.5,,,,,570,550,557,562</t>
  </si>
  <si>
    <t>2025-05-07 20:27:00,490,,485,,470,,480,,,,,490,470,482,475</t>
  </si>
  <si>
    <t>2025-05-07 20:27:00,5800,,5710,,,5800,5650,,,,,5710,5520,5630,5620</t>
  </si>
  <si>
    <t>2025-05-07 20:27:00,19475,,,,19475,,19775,,,,,20200,19200,19400,19300</t>
  </si>
  <si>
    <t>2025-05-07 20:27:00,1483635462.04333,10221473242.9194,0,0,0,0,0,0</t>
  </si>
  <si>
    <t>2025-05-07 20:27:00,1652255177.34632,3003316376.31443,0,0,0,0,0,0</t>
  </si>
  <si>
    <t>2025-05-07 20:27:00,-4173917.89593301,71987.6219167438,-208.936666666667,-16,-3451.8064,-238.42,0.0793424897415439,-4.54</t>
  </si>
  <si>
    <t>2025-05-07 20:27:00,26958694.8146091,91755.8227615676,0,0,0,0,0,0</t>
  </si>
  <si>
    <t>2025-05-07 20:28:00,,,565,,550,,558.5,,,,,570,550,557,562</t>
  </si>
  <si>
    <t>2025-05-07 20:28:00,490,,485,,470,,480,,,,,490,470,482,475</t>
  </si>
  <si>
    <t>2025-05-07 20:28:00,5800,,5710,,,5800,5650,,,,,5710,5520,5630,5620</t>
  </si>
  <si>
    <t>2025-05-07 20:28:00,19475,,,,19475,,19775,,,,,20200,19200,19400,19300</t>
  </si>
  <si>
    <t>2025-05-07 20:28:00,1483553993.45631,10223241291.1448,0,0,0,0,0,0</t>
  </si>
  <si>
    <t>2025-05-07 20:28:00,1657390228.00792,3020364846.30765,0,0,0,0,0,0</t>
  </si>
  <si>
    <t>2025-05-07 20:28:00,-4193617.13013871,65272.0391202763,-252.006666666666,-18,-3252.27313333333,-194.85,0.0475415932713452,-4.21</t>
  </si>
  <si>
    <t>2025-05-07 20:28:00,26954715.7595848,91713.0936475231,0,0,0,0,0,0</t>
  </si>
  <si>
    <t>2025-05-07 20:29:00,,,565,,550,,558.5,,,,,570,550,557,562</t>
  </si>
  <si>
    <t>2025-05-07 20:29:00,490,,485,,470,,480,,,,,490,470,482,475</t>
  </si>
  <si>
    <t>2025-05-07 20:29:00,5800,,5710,,,5800,5660,,,,,5710,5520,5630,5620</t>
  </si>
  <si>
    <t>2025-05-07 20:29:00,19475,,,,19475,,19775,,,,,20200,19200,19400,19300</t>
  </si>
  <si>
    <t>2025-05-07 20:29:00,1364226782.95754,9426412810.35491,0,0,0,0,0,0</t>
  </si>
  <si>
    <t>2025-05-07 20:29:00,1586218479.0355,2773302033.39733,0,0,0,0,0,0</t>
  </si>
  <si>
    <t>2025-05-07 20:29:00,-3256487.55000577,94189.2594004455,-181.541666666667,-19,-1771.483,-121.53,-0.00711903866552828,-3.51</t>
  </si>
  <si>
    <t>2025-05-07 20:29:00,26959666.3336772,91686.0928012547,0,0,0,0,0,0</t>
  </si>
  <si>
    <t>2025-05-07 20:30:00,,,565,,550,,558.5,,,,,570,550,557,562</t>
  </si>
  <si>
    <t>2025-05-07 20:30:00,490,,485,,470,,480,,,,,490,470,482,475</t>
  </si>
  <si>
    <t>2025-05-07 20:30:00,5800,,5710,,,5800,5650,,,,,5710,5520,5630,5620</t>
  </si>
  <si>
    <t>2025-05-07 20:30:00,19475,,,,19475,,19775,,,,,20200,19200,19400,19300</t>
  </si>
  <si>
    <t>2025-05-07 20:30:00,1349047972.76121,9319713477.68927,0,0,0,0,0,0</t>
  </si>
  <si>
    <t>2025-05-07 20:30:00,1586880728.19918,2695946787.71165,0,0,0,0,0,0</t>
  </si>
  <si>
    <t>2025-05-07 20:30:00,-3341170.16591738,52067.9664677587,-1237.13206349206,-86,-29436.3042285714,-1575.45,0.147002081831972,-33.66</t>
  </si>
  <si>
    <t>2025-05-07 20:30:00,26960287.9278566,91635.2648365127,0,0,0,0,0,0</t>
  </si>
  <si>
    <t>2025-05-07 20:31:00,,,565,,550,,558.5,,,,,570,550,557,562</t>
  </si>
  <si>
    <t>2025-05-07 20:31:00,490,,485,,470,,480,,,,,490,470,482,475</t>
  </si>
  <si>
    <t>2025-05-07 20:31:00,5800,,5710,,,5800,5650,,,,,5710,5520,5630,5620</t>
  </si>
  <si>
    <t>2025-05-07 20:31:00,19475,,,,19475,,19775,,,,,20200,19200,19400,19300</t>
  </si>
  <si>
    <t>2025-05-07 20:31:00,1474544298.69716,10169018623.6262,0,0,0,0,0,0</t>
  </si>
  <si>
    <t>2025-05-07 20:31:00,1649873683.61496,2994961930.08476,0,0,0,0,0,0</t>
  </si>
  <si>
    <t>2025-05-07 20:31:00,-4019525.03542957,27399.6492420157,-123.866149825784,-14,-1977.19687264808,-185.56,0.00541852165214057,-3.51</t>
  </si>
  <si>
    <t>2025-05-07 20:31:00,26959543.7193719,91659.9751716843,0,0,0,0,0,0</t>
  </si>
  <si>
    <t>2025-05-07 20:32:00,,,565,,550,,558.5,,,,,570,550,557,562</t>
  </si>
  <si>
    <t>2025-05-07 20:32:00,490,,485,,470,,480,,,,,490,470,482,475</t>
  </si>
  <si>
    <t>2025-05-07 20:32:00,5800,,5710,,,5800,5650,,,,,5710,5520,5630,5620</t>
  </si>
  <si>
    <t>2025-05-07 20:32:00,19475,,,,19475,,19775,,,,,20200,19200,19400,19300</t>
  </si>
  <si>
    <t>2025-05-07 20:32:00,1474455862.60636,10170687537.0604,0,0,0,0,0,0</t>
  </si>
  <si>
    <t>2025-05-07 20:32:00,1657445390.88641,3021246332.02279,0,0,0,0,0,0</t>
  </si>
  <si>
    <t>2025-05-07 20:32:00,-4187889.05645813,-9801.08029589407,-578.880952380953,-60,-5728.66190476191,-427.85,0.145948294591879,-8.6</t>
  </si>
  <si>
    <t>2025-05-07 20:32:00,26964456.3919207,91734.2565374096,0,0,0,0,0,0</t>
  </si>
  <si>
    <t>2025-05-07 20:33:00,,,565,,550,,558.5,,,,,570,550,557,562</t>
  </si>
  <si>
    <t>2025-05-07 20:33:00,490,,485,,470,,480,,,,,490,470,482,475</t>
  </si>
  <si>
    <t>2025-05-07 20:33:00,5800,,5710,,,5800,5650,,,,,5710,5520,5630,5620</t>
  </si>
  <si>
    <t>2025-05-07 20:33:00,19475,,,,19475,,19775,,,,,20200,19200,19400,19300</t>
  </si>
  <si>
    <t>2025-05-07 20:33:00,1451341771.4061,10012415726.5857,0,0,0,0,0,0</t>
  </si>
  <si>
    <t>2025-05-07 20:33:00,1642598748.98919,2967793011.97653,0,0,0,0,0,0</t>
  </si>
  <si>
    <t>2025-05-07 20:33:00,-3992493.67805437,795.298417820484,-120.866666666667,-15,-800.833333333333,-57.55,-0.0186761743931991,-2.04</t>
  </si>
  <si>
    <t>2025-05-07 20:33:00,26962932.4133345,91670.7195450904,0,0,0,0,0,0</t>
  </si>
  <si>
    <t>2025-05-07 20:34:00,,,565,,550,,558.5,,,,,570,550,557,562</t>
  </si>
  <si>
    <t>2025-05-07 20:34:00,490,,485,,470,,480,,,,,490,470,482,475</t>
  </si>
  <si>
    <t>2025-05-07 20:34:00,5800,,5710,,,5800,5650,,,,,5710,5520,5630,5620</t>
  </si>
  <si>
    <t>2025-05-07 20:34:00,19475,,,,19475,,19775,,,,,20200,19200,19400,19300</t>
  </si>
  <si>
    <t>2025-05-07 20:34:00,1504490804.3504,10321802315.0757,0,0,0,0,0,0</t>
  </si>
  <si>
    <t>2025-05-07 20:34:00,1683210033.42123,3006731632.4307,0,0,0,0,0,0</t>
  </si>
  <si>
    <t>2025-05-07 20:34:00,-4669175.21545899,-28181.2288130565,-572.126190476191,-42,-6200.57638095239,-362.27,-0.0075304278279287,-8.85</t>
  </si>
  <si>
    <t>2025-05-07 20:34:00,26962417.7226495,91689.0741286509,0,0,0,0,0,0</t>
  </si>
  <si>
    <t>2025-05-07 20:35:00,,,565,,550,,558.5,,,,,570,550,557,562</t>
  </si>
  <si>
    <t>2025-05-07 20:35:00,490,,485,,470,,480,,,,,490,470,482,475</t>
  </si>
  <si>
    <t>2025-05-07 20:35:00,5800,,5710,,,5800,5650,,,,,5710,5520,5630,5620</t>
  </si>
  <si>
    <t>2025-05-07 20:35:00,19475,,,,19475,,19775,,,,,20200,19200,19400,19300</t>
  </si>
  <si>
    <t>2025-05-07 20:35:00,1427035466.52307,9844112536.16531,0,0,0,0,0,0</t>
  </si>
  <si>
    <t>2025-05-07 20:35:00,1635560019.49114,2939647510.27986,0,0,0,0,0,0</t>
  </si>
  <si>
    <t>2025-05-07 20:35:00,-3903060.95249795,10419.9824474641,-90.9976190476191,-12,-1235.27719047619,-65.78,0.000750130060798591,-1.71</t>
  </si>
  <si>
    <t>2025-05-07 20:35:00,26967393.8886518,91673.8672613408,0,0,0,0,0,0</t>
  </si>
  <si>
    <t>2025-05-07 20:36:00,,,565,,550,,558.5,,,,,570,550,557,562</t>
  </si>
  <si>
    <t>2025-05-07 20:36:00,490,,485,,470,,480,,,,,490,470,482,475</t>
  </si>
  <si>
    <t>2025-05-07 20:36:00,5800,,5710,,,5800,5650,,,,,5710,5520,5630,5620</t>
  </si>
  <si>
    <t>2025-05-07 20:36:00,19475,,,,19475,,19775,,,,,20200,19200,19400,19300</t>
  </si>
  <si>
    <t>2025-05-07 20:36:00,1422045248.27695,9809915204.25359,0,0,0,0,0,0</t>
  </si>
  <si>
    <t>2025-05-07 20:36:00,1623480649.76168,2891272725.00859,0,0,0,0,0,0</t>
  </si>
  <si>
    <t>2025-05-07 20:36:00,-3804512.57079612,9837.39710780542,-52.1428571428572,-3,-1941.97857142857,-90.6,0.0120973640597921,-2.08</t>
  </si>
  <si>
    <t>2025-05-07 20:36:00,26967430.9588205,91625.1506572141,0,0,0,0,0,0</t>
  </si>
  <si>
    <t>2025-05-07 20:37:00,,,565,,550,,558.5,,,,,570,550,557,562</t>
  </si>
  <si>
    <t>2025-05-07 20:37:00,490,,485,,470,,484,,,,,490,470,482,475</t>
  </si>
  <si>
    <t>2025-05-07 20:37:00,5800,,5710,,,5800,5650,,,,,5710,5520,5630,5620</t>
  </si>
  <si>
    <t>2025-05-07 20:37:00,19475,,,,19475,,19775,,,,,20200,19200,19400,19300</t>
  </si>
  <si>
    <t>2025-05-07 20:37:00,1421932807.46935,9810485851.65379,0,0,0,0,0,0</t>
  </si>
  <si>
    <t>2025-05-07 20:37:00,1590719283.24795,2540223603.53228,0,0,0,0,0,0</t>
  </si>
  <si>
    <t>2025-05-07 20:37:00,-3654882.28765636,12020.2986947475,-128.916666666667,-9,-1920.30333333333,-113.3,-0.0104434824493358,-2.68</t>
  </si>
  <si>
    <t>2025-05-07 20:37:00,26972415.3443431,91666.5307907074,0,0,0,0,0,0</t>
  </si>
  <si>
    <t>2025-05-07 20:38:00,,,565,,550,,558.5,,,,,570,550,557,562</t>
  </si>
  <si>
    <t>2025-05-07 20:38:00,490,,485,,470,,480,,,,,490,470,482,475</t>
  </si>
  <si>
    <t>2025-05-07 20:38:00,5800,,5710,,,5800,5650,,,,,5710,5520,5630,5620</t>
  </si>
  <si>
    <t>2025-05-07 20:38:00,19475,,,,19475,,19775,,,,,20200,19200,19400,19300</t>
  </si>
  <si>
    <t>2025-05-07 20:38:00,1367853911.5099,9465129757.46102,0,0,0,0,0,0</t>
  </si>
  <si>
    <t>2025-05-07 20:38:00,1618762883.03758,2871507941.80564,0,0,0,0,0,0</t>
  </si>
  <si>
    <t>2025-05-07 20:38:00,-3752157.21430789,4598.41762870754,-132.175,-12,-1535.09725,-140.27,0.0498625688394504,-2.72</t>
  </si>
  <si>
    <t>2025-05-07 20:38:00,26970742.9977083,91620.2358136749,0,0,0,0,0,0</t>
  </si>
  <si>
    <t>2025-05-07 20:39:00,,,565,,550,,558.5,,,,,570,550,557,562</t>
  </si>
  <si>
    <t>2025-05-07 20:39:00,490,,485,,470,,484,,,,,490,470,482,475</t>
  </si>
  <si>
    <t>2025-05-07 20:39:00,5800,,5710,,,5800,5660,,,,,5710,5520,5630,5620</t>
  </si>
  <si>
    <t>2025-05-07 20:39:00,19475,,,,19475,,19775,,,,,20200,19200,19400,19300</t>
  </si>
  <si>
    <t>2025-05-07 20:39:00,1362895103.95758,9432475388.53981,0,0,0,0,0,0</t>
  </si>
  <si>
    <t>2025-05-07 20:39:00,1590698855.79823,2540444238.78073,0,0,0,0,0,0</t>
  </si>
  <si>
    <t>2025-05-07 20:39:00,-3427056.47600652,13832.3440469906,-161.6,-14,-995.479999999998,-67.3,-0.0356842777932678,-2.84</t>
  </si>
  <si>
    <t>2025-05-07 20:39:00,26969823.2128231,91560.5703642945,0,0,0,0,0,0</t>
  </si>
  <si>
    <t>2025-05-07 20:40:00,,,565,,550,,558.5,,,,,570,550,557,562</t>
  </si>
  <si>
    <t>2025-05-07 20:40:00,490,,485,,470,,480,,,,,490,470,482,475</t>
  </si>
  <si>
    <t>2025-05-07 20:40:00,5800,,5710,,,5800,5660,,,,,5710,5520,5630,5620</t>
  </si>
  <si>
    <t>2025-05-07 20:40:00,19475,,,,19475,,19775,,,,,20200,19200,19400,19300</t>
  </si>
  <si>
    <t>2025-05-07 20:40:00,1298546828.30983,9387428341.46956,0,0,0,0,0,0</t>
  </si>
  <si>
    <t>2025-05-07 20:40:00,1581524476.05462,2853986704.49216,0,0,0,0,0,0</t>
  </si>
  <si>
    <t>2025-05-07 20:40:00,-2709962.67609329,22249.1907480025,-160.551428571428,-15,-3750.53205238094,-231.22,0.0515583457906301,-4.71</t>
  </si>
  <si>
    <t>2025-05-07 20:40:00,26974736.9863519,91570.9830620121,0,0,0,0,0,0</t>
  </si>
  <si>
    <t>2025-05-07 20:41:00,,,565,,550,,558.5,,,,,570,550,557,562</t>
  </si>
  <si>
    <t>2025-05-07 20:41:00,490,,485,,470,,480,,,,,490,470,482,475</t>
  </si>
  <si>
    <t>2025-05-07 20:41:00,5800,,5710,,,5800,5660,,,,,5710,5520,5630,5620</t>
  </si>
  <si>
    <t>2025-05-07 20:41:00,19475,,,,19475,,19775,,,,,20200,19200,19400,19300</t>
  </si>
  <si>
    <t>2025-05-07 20:41:00,1293404660.19971,9359507617.89561,0,0,0,0,0,0</t>
  </si>
  <si>
    <t>2025-05-07 20:41:00,1570116877.51184,2809146051.64996,0,0,0,0,0,0</t>
  </si>
  <si>
    <t>2025-05-07 20:41:00,-2798046.3276999,24515.1789052763,-104.078571428572,-10,-1004.85480952381,-74.99,-0.0149898039928631,-2.21</t>
  </si>
  <si>
    <t>2025-05-07 20:41:00,26972801.8315495,91486.3758442872,0,0,0,0,0,0</t>
  </si>
  <si>
    <t>2025-05-07 20:42:00,,,565,,550,,558.5,,,,,570,550,557,562</t>
  </si>
  <si>
    <t>2025-05-07 20:42:00,490,,485,,470,,480,,,,,490,470,482,475</t>
  </si>
  <si>
    <t>2025-05-07 20:42:00,5800,,5710,,,5800,5660,,,,,5710,5520,5630,5620</t>
  </si>
  <si>
    <t>2025-05-07 20:42:00,19475,,,,19475,,19775,,,,,20200,19200,19400,19300</t>
  </si>
  <si>
    <t>2025-05-07 20:42:00,1320770301.26173,9503115847.64907,0,0,0,0,0,0</t>
  </si>
  <si>
    <t>2025-05-07 20:42:00,1572117883.53222,2817871005.80538,0,0,0,0,0,0</t>
  </si>
  <si>
    <t>2025-05-07 20:42:00,-2983433.32315417,11147.7034099868,-71.8899999999999,-4,-2137.9933,-99.97,0.0202584639106813,-2.09</t>
  </si>
  <si>
    <t>2025-05-07 20:42:00,26977747.9036276,91553.6583673325,0,0,0,0,0,0</t>
  </si>
  <si>
    <t>2025-05-07 20:43:00,,,565,,550,,558.5,,,,,570,550,557,562</t>
  </si>
  <si>
    <t>2025-05-07 20:43:00,490,,485,,470,,480,,,,,490,470,482,475</t>
  </si>
  <si>
    <t>2025-05-07 20:43:00,5800,,5710,,,5800,5660,,,,,5710,5520,5630,5620</t>
  </si>
  <si>
    <t>2025-05-07 20:43:00,19475,,,,19475,,19775,,,,,20200,19200,19400,19300</t>
  </si>
  <si>
    <t>2025-05-07 20:43:00,1316222516.47579,9485994517.02285,0,0,0,0,0,0</t>
  </si>
  <si>
    <t>2025-05-07 20:43:00,1570798076.55912,2811836554.6807,0,0,0,0,0,0</t>
  </si>
  <si>
    <t>2025-05-07 20:43:00,-2773293.38605423,15992.5369421335,-190.866666666667,-23,-1593.99,-119.4,0.0200427167136231,-2.85</t>
  </si>
  <si>
    <t>2025-05-07 20:43:00,26976210.6837057,91484.2393711026,0,0,0,0,0,0</t>
  </si>
  <si>
    <t>2025-05-07 20:44:00,,,565,,550,,558.5,,,,,570,550,557,562</t>
  </si>
  <si>
    <t>2025-05-07 20:44:00,490,,485,,470,,480,,,,,490,470,482,475</t>
  </si>
  <si>
    <t>2025-05-07 20:44:00,5800,,5710,,,5800,5660,,,,,5710,5520,5630,5620</t>
  </si>
  <si>
    <t>2025-05-07 20:44:00,19475,,,,19475,,19775,,,,,20200,19200,19400,19300</t>
  </si>
  <si>
    <t>2025-05-07 20:44:00,1308298494.98124,9472319615.07423,0,0,0,0,0,0</t>
  </si>
  <si>
    <t>2025-05-07 20:44:00,1586424083.98733,2867359096.17291,0,0,0,0,0,0</t>
  </si>
  <si>
    <t>2025-05-07 20:44:00,-3026732.58257503,8346.46752895918,-192.041666666667,-21,-1162.77258333333,-99.64,-0.0104213409013772,-3.07</t>
  </si>
  <si>
    <t>2025-05-07 20:44:00,26978066.2355594,91507.8481845337,0,0,0,0,0,0</t>
  </si>
  <si>
    <t>2025-05-07 20:45:00,,,565,,550,,558.5,,,,,570,550,557,562</t>
  </si>
  <si>
    <t>2025-05-07 20:45:00,490,,485,,470,,480,,,,,490,470,482,475</t>
  </si>
  <si>
    <t>2025-05-07 20:45:00,5800,,5710,,,5800,5660,,,,,5710,5520,5630,5620</t>
  </si>
  <si>
    <t>2025-05-07 20:45:00,19475,,,,19475,,19775,,,,,20200,19200,19400,19300</t>
  </si>
  <si>
    <t>2025-05-07 20:45:00,1338242077.17988,9485948115.94065,0,0,0,0,0,0</t>
  </si>
  <si>
    <t>2025-05-07 20:45:00,1588590885.7056,2862145164.46019,0,0,0,0,0,0</t>
  </si>
  <si>
    <t>2025-05-07 20:45:00,-3070024.41025834,16106.07075189,-88.65,-17,-217.301,-29.06,-0.0402020256150129,-1.68</t>
  </si>
  <si>
    <t>2025-05-07 20:45:00,26983026.2093297,91582.9095738406,0,0,0,0,0,0</t>
  </si>
  <si>
    <t>2025-05-07 20:46:00,,,565,,550,,558.5,,,,,570,550,557,562</t>
  </si>
  <si>
    <t>2025-05-07 20:46:00,490,,485,,470,,480,,,,,490,470,482,475</t>
  </si>
  <si>
    <t>2025-05-07 20:46:00,5800,,5710,,,5800,5660,,,,,5710,5520,5630,5620</t>
  </si>
  <si>
    <t>2025-05-07 20:46:00,19475,,,,19475,,19775,,,,,20200,19200,19400,19300</t>
  </si>
  <si>
    <t>2025-05-07 20:46:00,1328271484.16703,9527138322.62395,0,0,0,0,0,0</t>
  </si>
  <si>
    <t>2025-05-07 20:46:00,1561489925.18731,2770004086.39864,0,0,0,0,0,0</t>
  </si>
  <si>
    <t>2025-05-07 20:46:00,-2614823.5965731,31819.7732478252,-142.433333333333,-13,-1612.16,-124.11,0.0105995681100307,-3.06</t>
  </si>
  <si>
    <t>2025-05-07 20:46:00,26982598.0232585,91461.6515028455,0,0,0,0,0,0</t>
  </si>
  <si>
    <t>2025-05-07 20:47:00,,,565,,550,,558.5,,,,,570,550,557,562</t>
  </si>
  <si>
    <t>2025-05-07 20:47:00,490,,485,,470,,480,,,,,490,470,482,475</t>
  </si>
  <si>
    <t>2025-05-07 20:47:00,5800,,5710,,,5800,5660,,,,,5710,5520,5630,5620</t>
  </si>
  <si>
    <t>2025-05-07 20:47:00,19475,,,,19475,,19775,,,,,20200,19200,19400,19300</t>
  </si>
  <si>
    <t>2025-05-07 20:47:00,1328074831.27265,9526253685.13671,0,0,0,0,0,0</t>
  </si>
  <si>
    <t>2025-05-07 20:47:00,1572255794.01351,2818192250.33099,0,0,0,0,0,0</t>
  </si>
  <si>
    <t>2025-05-07 20:47:00,-2789936.92989679,17833.8144271227,-63.1166666666667,-6,-1169.613,-62.17,0.0195678398003381,-1.21</t>
  </si>
  <si>
    <t>2025-05-07 20:47:00,26987482.4923883,91547.0426692973,0,0,0,0,0,0</t>
  </si>
  <si>
    <t>2025-05-07 20:48:00,,,565,,550,,558.5,,,,,570,550,557,562</t>
  </si>
  <si>
    <t>2025-05-07 20:48:00,490,,485,,470,,480,,,,,490,470,482,475</t>
  </si>
  <si>
    <t>2025-05-07 20:48:00,5800,,5710,,,5800,5660,,,,,5710,5520,5630,5620</t>
  </si>
  <si>
    <t>2025-05-07 20:48:00,19475,,,,19475,,19775,,,,,20200,19200,19400,19300</t>
  </si>
  <si>
    <t>2025-05-07 20:48:00,1327939228.70928,9527906923.11901,0,0,0,0,0,0</t>
  </si>
  <si>
    <t>2025-05-07 20:48:00,1559980639.99061,2764443866.07642,0,0,0,0,0,0</t>
  </si>
  <si>
    <t>2025-05-07 20:48:00,-2596378.47505793,23301.7815759299,-11.6,-1,-170.52,-14.7,0.00542783560971968,-0.27</t>
  </si>
  <si>
    <t>2025-05-07 20:48:00,26984616.663787,91471.0185927436,0,0,0,0,0,0</t>
  </si>
  <si>
    <t>2025-05-07 20:49:00,,,565,,550,,558.5,,,,,570,550,557,562</t>
  </si>
  <si>
    <t>2025-05-07 20:49:00,490,,485,,470,,480,,,,,490,470,482,475</t>
  </si>
  <si>
    <t>2025-05-07 20:49:00,5800,,5710,,,5800,5660,,,,,5710,5520,5630,5620</t>
  </si>
  <si>
    <t>2025-05-07 20:49:00,19475,,,,19475,,19775,,,,,20200,19200,19400,19300</t>
  </si>
  <si>
    <t>2025-05-07 20:49:00,1327828604.81764,9528227872.75136,0,0,0,0,0,0</t>
  </si>
  <si>
    <t>2025-05-07 20:49:00,1574141060.28332,2826746611.4862,0,0,0,0,0,0</t>
  </si>
  <si>
    <t>2025-05-07 20:49:00,-2822590.14842344,15873.2909137232,-17,-3,-45.1,-6.1,-0.00758556160918418,-0.34</t>
  </si>
  <si>
    <t>2025-05-07 20:49:00,26984049.1654066,91456.2550975762,0,0,0,0,0,0</t>
  </si>
  <si>
    <t>2025-05-07 20:50:00,,,565,,550,,558.5,,,,,570,550,557,562</t>
  </si>
  <si>
    <t>2025-05-07 20:50:00,490,,485,,470,,480,,,,,490,470,482,475</t>
  </si>
  <si>
    <t>2025-05-07 20:50:00,5800,,5710,,,5800,5660,,,,,5710,5520,5630,5620</t>
  </si>
  <si>
    <t>2025-05-07 20:50:00,19475,,,,19475,,19775,,,,,20200,19200,19400,19300</t>
  </si>
  <si>
    <t>2025-05-07 20:50:00,1315336993.54874,9488566462.57945,0,0,0,0,0,0</t>
  </si>
  <si>
    <t>2025-05-07 20:50:00,1579907001.09031,2848895808.10337,0,0,0,0,0,0</t>
  </si>
  <si>
    <t>2025-05-07 20:50:00,-2938107.56590384,12151.125148248,-6.35,-1,-16.3195,-2.57,0.00187037488716113,-0.05</t>
  </si>
  <si>
    <t>2025-05-07 20:50:00,26989026.4527709,91531.6239656572,0,0,0,0,0,0</t>
  </si>
  <si>
    <t>2025-05-07 20:51:00,,,565,,550,,558.5,,,,,570,550,557,562</t>
  </si>
  <si>
    <t>2025-05-07 20:51:00,490,,485,,470,,480,,,,,490,470,482,475</t>
  </si>
  <si>
    <t>2025-05-07 20:51:00,5800,,5710,,,5800,5660,,,,,5710,5520,5630,5620</t>
  </si>
  <si>
    <t>2025-05-07 20:51:00,19475,,,,19475,,19775,,,,,20200,19200,19400,19300</t>
  </si>
  <si>
    <t>2025-05-07 20:51:00,1282608712.58682,9302349980.58365,0,0,0,0,0,0</t>
  </si>
  <si>
    <t>2025-05-07 20:51:00,1549579800.80437,2717127422.27538,0,0,0,0,0,0</t>
  </si>
  <si>
    <t>2025-05-07 20:51:00,-2681570.55731543,20422.4877473785,-62.1,-5,-1535.17,-72.6,0.0163151578148872,-1.41</t>
  </si>
  <si>
    <t>2025-05-07 20:51:00,26989460.2656564,91437.6259423753,0,0,0,0,0,0</t>
  </si>
  <si>
    <t>2025-05-07 20:52:00,,,565,,550,,558.5,,,,,570,550,557,562</t>
  </si>
  <si>
    <t>2025-05-07 20:52:00,490,,485,,470,,480,,,,,490,470,482,475</t>
  </si>
  <si>
    <t>2025-05-07 20:52:00,5800,,5710,,,5800,5660,,,,,5710,5520,5630,5620</t>
  </si>
  <si>
    <t>2025-05-07 20:52:00,19475,,,,19475,,19775,,,,,20200,19200,19400,19300</t>
  </si>
  <si>
    <t>2025-05-07 20:52:00,1219501595.01574,8890587793.14388,0,0,0,0,0,0</t>
  </si>
  <si>
    <t>2025-05-07 20:52:00,1504074618.72622,2548267475.95057,0,0,0,0,0,0</t>
  </si>
  <si>
    <t>2025-05-07 20:52:00,-2247058.42572119,45045.5042566875,-19.65,-2,-278.678,-18.82,-0.0056425265658488,-0.49</t>
  </si>
  <si>
    <t>2025-05-07 20:52:00,26989156.0307691,91343.137364423,0,0,0,0,0,0</t>
  </si>
  <si>
    <t>2025-05-07 20:54:00,,,565,,550,,558.5,,,,,570,550,557,562</t>
  </si>
  <si>
    <t>2025-05-07 20:54:00,490,,485,,470,,480,,,,,490,470,482,475</t>
  </si>
  <si>
    <t>2025-05-07 20:54:00,5800,,5710,,,5800,5660,,,,,5710,5520,5630,5620</t>
  </si>
  <si>
    <t>2025-05-07 20:54:00,19475,,,,19475,,19775,,,,,20200,19200,19400,19300</t>
  </si>
  <si>
    <t>2025-05-07 20:54:00,1219268774.16472,8890444502.84258,0,0,0,0,0,0</t>
  </si>
  <si>
    <t>2025-05-07 20:54:00,1519358074.9166,2617254283.86915,0,0,0,0,0,0</t>
  </si>
  <si>
    <t>2025-05-07 20:54:00,-2138909.88255657,54564.6274467871,-202.104761904762,-16,-3013.73069047619,-206.75,-0.0313277351595699,-5.01</t>
  </si>
  <si>
    <t>2025-05-07 20:54:00,26994122.6027708,91433.3896416888,0,0,0,0,0,0</t>
  </si>
  <si>
    <t>2025-05-07 20:55:00,,,565,,550,,558.5,,,,,570,550,557,562</t>
  </si>
  <si>
    <t>2025-05-07 20:55:00,490,,485,,470,,480,,,,,490,470,482,475</t>
  </si>
  <si>
    <t>2025-05-07 20:55:00,5800,,5710,,,5800,5660,,,,,5710,5520,5630,5620</t>
  </si>
  <si>
    <t>2025-05-07 20:55:00,19475,,,,19475,,19775,,,,,20200,19200,19400,19300</t>
  </si>
  <si>
    <t>2025-05-07 20:55:00,1202657415.80819,8759442215.20987,0,0,0,0,0,0</t>
  </si>
  <si>
    <t>2025-05-07 20:55:00,1512905658.74315,2587962218.09997,0,0,0,0,0,0</t>
  </si>
  <si>
    <t>2025-05-07 20:55:00,-2035349.86935153,72776.7628158625,-252.442857142858,-19,-4075.84295238096,-239.54,-0.0584707570135905,-5.93</t>
  </si>
  <si>
    <t>2025-05-07 20:55:00,26992918.6855901,91375.0041162491,0,0,0,0,0,0</t>
  </si>
  <si>
    <t>2025-05-07 20:56:00,,,565,,550,,558.5,,,,,570,550,557,562</t>
  </si>
  <si>
    <t>2025-05-07 20:56:00,490,,485,,470,,480,,,,,490,470,482,475</t>
  </si>
  <si>
    <t>2025-05-07 20:56:00,5800,,5710,,,5800,5660,,,,,5710,5520,5630,5620</t>
  </si>
  <si>
    <t>2025-05-07 20:56:00,19475,,,,19475,,19775,,,,,20200,19200,19400,19300</t>
  </si>
  <si>
    <t>2025-05-07 20:56:00,1183580313.50847,8624588518.30243,0,0,0,0,0,0</t>
  </si>
  <si>
    <t>2025-05-07 20:56:00,1506530397.84683,2558723763.88735,0,0,0,0,0,0</t>
  </si>
  <si>
    <t>2025-05-07 20:56:00,-2176011.46698701,24291.6981150946,-1415.15904761905,-129,-32469.7897285714,-1810.84,0.175263375816129,-38.76</t>
  </si>
  <si>
    <t>2025-05-07 20:56:00,26997905.8317514,91427.9943687236,0,0,0,0,0,0</t>
  </si>
  <si>
    <t>2025-05-07 20:57:00,,,565,,550,,558.5,,,,,570,550,557,562</t>
  </si>
  <si>
    <t>2025-05-07 20:57:00,490,,485,,470,,480,,,,,490,470,482,475</t>
  </si>
  <si>
    <t>2025-05-07 20:57:00,5800,,5710,,,5800,5660,,,,,5710,5520,5630,5620</t>
  </si>
  <si>
    <t>2025-05-07 20:57:00,19475,,,,19475,,19775,,,,,20200,19200,19400,19300</t>
  </si>
  <si>
    <t>2025-05-07 20:57:00,1137115008.8661,8523356197.62215,0,0,0,0,0,0</t>
  </si>
  <si>
    <t>2025-05-07 20:57:00,1495051537.97212,2570053913.62498,0,0,0,0,0,0</t>
  </si>
  <si>
    <t>2025-05-07 20:57:00,-1711462.57115714,43795.900812995,-85,-6,-1423.8,-87.9,0.0100887995002019,-1.98</t>
  </si>
  <si>
    <t>2025-05-07 20:57:00,26995334.9363294,91314.4259731559,0,0,0,0,0,0</t>
  </si>
  <si>
    <t>2025-05-07 20:58:00,,,565,,550,,558.5,,,,,570,550,557,562</t>
  </si>
  <si>
    <t>2025-05-07 20:58:00,490,,485,,470,,480,,,,,490,470,482,475</t>
  </si>
  <si>
    <t>2025-05-07 20:58:00,5800,,5710,,,5800,5660,,,,,5710,5520,5630,5620</t>
  </si>
  <si>
    <t>2025-05-07 20:58:00,19475,,,,19475,,19775,,,,,20200,19200,19400,19300</t>
  </si>
  <si>
    <t>2025-05-07 20:58:00,1100551333.83101,8475449025.88582,0,0,0,0,0,0</t>
  </si>
  <si>
    <t>2025-05-07 20:58:00,1469749891.39879,2476922541.06037,0,0,0,0,0,0</t>
  </si>
  <si>
    <t>2025-05-07 20:58:00,-1216569.66007475,85941.3112131959,-295.183333333334,-27,-4810.89533333334,-408.93,-0.0752818994676657,-9.66</t>
  </si>
  <si>
    <t>2025-05-07 20:58:00,26993895.0728503,91226.555101174,0,0,0,0,0,0</t>
  </si>
  <si>
    <t>2025-05-07 20:59:00,,,565,,550,,558.5,,,,,570,550,557,562</t>
  </si>
  <si>
    <t>2025-05-07 20:59:00,490,,485,,470,,480,,,,,490,470,482,475</t>
  </si>
  <si>
    <t>2025-05-07 20:59:00,5800,,5710,,,5800,5660,,,,,5710,5520,5630,5620</t>
  </si>
  <si>
    <t>2025-05-07 20:59:00,19475,,,,19475,,19775,,,,,20200,19200,19400,19300</t>
  </si>
  <si>
    <t>2025-05-07 20:59:00,1068962392.07441,8261202340.02554,0,0,0,0,0,0</t>
  </si>
  <si>
    <t>2025-05-07 20:59:00,1454847947.22823,2405718761.4451,0,0,0,0,0,0</t>
  </si>
  <si>
    <t>2025-05-07 20:59:00,1215363.85279709,94248.5881112838,-40.4166666666667,-6,-665.050666666669,-46.66,0.00197233160420596,-1.06</t>
  </si>
  <si>
    <t>2025-05-07 20:59:00,26998888.6774355,91257.081605826,0,0,0,0,0,0</t>
  </si>
  <si>
    <t>2025-05-07 21:00:00,,,565,,550,,558.5,,,,,570,550,557,562</t>
  </si>
  <si>
    <t>2025-05-07 21:00:00,490,,485,,470,,480,,,,,490,470,482,475</t>
  </si>
  <si>
    <t>2025-05-07 21:00:00,5800,,5710,,,5800,5660,,,,,5710,5520,5630,5620</t>
  </si>
  <si>
    <t>2025-05-07 21:00:00,19475,,,,19475,,19775,,,,,20200,19200,19400,19300</t>
  </si>
  <si>
    <t>2025-05-07 21:00:00,1168786535.04924,8655636530.59217,0,0,0,0,0,0</t>
  </si>
  <si>
    <t>2025-05-07 21:00:00,1495224482.83133,2574997533.7327,0,0,0,0,0,0</t>
  </si>
  <si>
    <t>2025-05-07 21:00:00,-1671145.91243671,62833.3109217941,-276.365476190475,-23,-5687.15032142855,-298.92,0.00515831817803187,-6.81</t>
  </si>
  <si>
    <t>2025-05-07 21:00:00,26997420.8919474,91262.2568744059,0,0,0,0,0,0</t>
  </si>
  <si>
    <t>2025-05-07 21:01:00,,,565,,550,,558.5,,,,,570,550,557,562</t>
  </si>
  <si>
    <t>2025-05-07 21:01:00,490,,485,,470,,480,,,,,490,470,482,475</t>
  </si>
  <si>
    <t>2025-05-07 21:01:00,5800,,5710,,,5800,5660,,,,,5710,5520,5630,5620</t>
  </si>
  <si>
    <t>2025-05-07 21:01:00,19475,,,,19475,,19775,,,,,20200,19200,19400,19300</t>
  </si>
  <si>
    <t>2025-05-07 21:01:00,1187809105.6008,8660446749.73879,0,0,0,0,0,0</t>
  </si>
  <si>
    <t>2025-05-07 21:01:00,1509032687.24712,2567842788.8139,0,0,0,0,0,0</t>
  </si>
  <si>
    <t>2025-05-07 21:01:00,-2159542.31729962,383304.982355947,-3918.09999999999,-455,-31912.1744999999,-3040.33,-1.48924429606231,-106.14</t>
  </si>
  <si>
    <t>2025-05-07 21:01:00,27002526.447027,91373.1739598954,0,0,0,0,0,0</t>
  </si>
  <si>
    <t>2025-05-07 21:02:00,,,565,,550,,558.5,,,,,570,550,557,562</t>
  </si>
  <si>
    <t>2025-05-07 21:02:00,490,,485,,470,,480,,,,,490,470,482,475</t>
  </si>
  <si>
    <t>2025-05-07 21:02:00,5800,,5710,,,5800,5660,,,,,5710,5520,5630,5620</t>
  </si>
  <si>
    <t>2025-05-07 21:02:00,19475,,,,19475,,19775,,,,,20200,19200,19400,19300</t>
  </si>
  <si>
    <t>2025-05-07 21:02:00,1197038726.29018,8728836218.26268,0,0,0,0,0,0</t>
  </si>
  <si>
    <t>2025-05-07 21:02:00,1507537134.98074,2578368932.57366,0,0,0,0,0,0</t>
  </si>
  <si>
    <t>2025-05-07 21:02:00,-2226688.60661547,380518.226563963,-20.5,-1,-84.0499999999999,-4.1,0.00249017492966212,-0.07</t>
  </si>
  <si>
    <t>2025-05-07 21:02:00,27004231.4855825,91316.3206240218,0,0,0,0,0,0</t>
  </si>
  <si>
    <t>2025-05-07 21:03:00,,,565,,550,,558.5,,,,,570,550,557,562</t>
  </si>
  <si>
    <t>2025-05-07 21:03:00,490,,485,,470,,480,,,,,490,470,482,475</t>
  </si>
  <si>
    <t>2025-05-07 21:03:00,5800,,5710,,,5800,5660,,,,,5710,5520,5630,5620</t>
  </si>
  <si>
    <t>2025-05-07 21:03:00,19475,,,,19475,,19775,,,,,20200,19200,19400,19300</t>
  </si>
  <si>
    <t>2025-05-07 21:03:00,1233079494.39344,9044475808.83072,0,0,0,0,0,0</t>
  </si>
  <si>
    <t>2025-05-07 21:03:00,1517208539.84147,2582949980.01057,0,0,0,0,0,0</t>
  </si>
  <si>
    <t>2025-05-07 21:03:00,-2592627.82083537,363289.577559964,-120.866666666667,-12,-1914.24533333333,-126.94,0.00590296973175504,-3.04</t>
  </si>
  <si>
    <t>2025-05-07 21:03:00,27003266.9295102,91297.718959046,0,0,0,0,0,0</t>
  </si>
  <si>
    <t>2025-05-07 21:04:00,,,565,,550,,558.5,,,,,570,550,557,562</t>
  </si>
  <si>
    <t>2025-05-07 21:04:00,490,,485,,470,,480,,,,,490,470,482,475</t>
  </si>
  <si>
    <t>2025-05-07 21:04:00,5800,,5710,,,5800,5660,,,,,5710,5520,5630,5620</t>
  </si>
  <si>
    <t>2025-05-07 21:04:00,19475,,,,19475,,19775,,,,,20200,19200,19400,19300</t>
  </si>
  <si>
    <t>2025-05-07 21:04:00,1218183800.92467,8895355922.83863,0,0,0,0,0,0</t>
  </si>
  <si>
    <t>2025-05-07 21:04:00,1514863352.50321,2598911324.26205,0,0,0,0,0,0</t>
  </si>
  <si>
    <t>2025-05-07 21:04:00,-2587988.30598269,376759.011494741,-202.183333333333,-19,-2984.82199999999,-190.12,-0.045332162199169,-4.65</t>
  </si>
  <si>
    <t>2025-05-07 21:04:00,27008223.3742945,91391.7918265055,0,0,0,0,0,0</t>
  </si>
  <si>
    <t>2025-05-07 21:05:00,,,565,,550,,558.5,,,,,570,550,557,562</t>
  </si>
  <si>
    <t>2025-05-07 21:05:00,490,,485,,470,,480,,,,,490,470,482,475</t>
  </si>
  <si>
    <t>2025-05-07 21:05:00,5800,,5710,,,5800,5660,,,,,5710,5520,5630,5620</t>
  </si>
  <si>
    <t>2025-05-07 21:05:00,19475,,,,19475,,19775,,,,,20200,19200,19400,19300</t>
  </si>
  <si>
    <t>2025-05-07 21:05:00,1225070017.0779,8978013501.24442,0,0,0,0,0,0</t>
  </si>
  <si>
    <t>2025-05-07 21:05:00,1551760908.58361,2717298328.62297,0,0,0,0,0,0</t>
  </si>
  <si>
    <t>2025-05-07 21:05:00,-2604166.04947395,375190.193332709,-114.991666666667,-11,-802.243416666667,-70.03,-0.00449099723564558,-1.95</t>
  </si>
  <si>
    <t>2025-05-07 21:05:00,27007525.1618537,91345.3022766026,0,0,0,0,0,0</t>
  </si>
  <si>
    <t>2025-05-07 21:06:00,,,565,,550,,558.5,,,,,570,550,557,562</t>
  </si>
  <si>
    <t>2025-05-07 21:06:00,490,,485,,470,,480,,,,,490,470,482,475</t>
  </si>
  <si>
    <t>2025-05-07 21:06:00,5800,,5710,,,5800,5640,,,,,5710,5520,5630,5620</t>
  </si>
  <si>
    <t>2025-05-07 21:06:00,19475,,,,19475,,19775,,,,,20200,19200,19400,19300</t>
  </si>
  <si>
    <t>2025-05-07 21:06:00,1295223743.34587,9395271281.25792,0,0,0,0,0,0</t>
  </si>
  <si>
    <t>2025-05-07 21:06:00,1572261879.43271,2819932920.63253,0,0,0,0,0,0</t>
  </si>
  <si>
    <t>2025-05-07 21:06:00,-3083536.90064546,368801.712397267,-88.05,-17,-403.522666666667,-38.95,0.000760796502157125,-1.01</t>
  </si>
  <si>
    <t>2025-05-07 21:06:00,27012521.2699118,91454.9942453251,0,0,0,0,0,0</t>
  </si>
  <si>
    <t>2025-05-07 21:07:00,,,565,,550,,558.5,,,,,570,550,557,562</t>
  </si>
  <si>
    <t>2025-05-07 21:07:00,490,,485,,470,,480,,,,,490,470,482,475</t>
  </si>
  <si>
    <t>2025-05-07 21:07:00,5800,,5710,,,5800,5660,,,,,5710,5520,5630,5620</t>
  </si>
  <si>
    <t>2025-05-07 21:07:00,19475,,,,19475,,19775,,,,,20200,19200,19400,19300</t>
  </si>
  <si>
    <t>2025-05-07 21:07:00,1232494180.41534,9044170886.49395,0,0,0,0,0,0</t>
  </si>
  <si>
    <t>2025-05-07 21:07:00,1519337601.55727,2618750027.88773,0,0,0,0,0,0</t>
  </si>
  <si>
    <t>2025-05-07 21:07:00,-2683703.16716214,368347.883504403,-46.2228571428572,-3,-1361.28417142857,-77.57,0.0213843427204096,-1.51</t>
  </si>
  <si>
    <t>2025-05-07 21:07:00,27008905.6157296,91345.3154032023,0,0,0,0,0,0</t>
  </si>
  <si>
    <t>2025-05-07 21:08:00,,,565,,550,,558.5,,,,,570,550,557,562</t>
  </si>
  <si>
    <t>2025-05-07 21:08:00,490,,485,,470,,480,,,,,490,470,482,475</t>
  </si>
  <si>
    <t>2025-05-07 21:08:00,5800,,5710,,,5800,5660,,,,,5710,5520,5630,5620</t>
  </si>
  <si>
    <t>2025-05-07 21:08:00,19475,,,,19475,,19775,,,,,20200,19200,19400,19300</t>
  </si>
  <si>
    <t>2025-05-07 21:08:00,1220541278.79303,8925842919.13562,0,0,0,0,0,0</t>
  </si>
  <si>
    <t>2025-05-07 21:08:00,1510647216.0756,2579335349.04298,0,0,0,0,0,0</t>
  </si>
  <si>
    <t>2025-05-07 21:08:00,-2562927.08310767,361266.260762325,-225.68,-22,-1887.4506,-143.42,0.0505830948957981,-2.77</t>
  </si>
  <si>
    <t>2025-05-07 21:08:00,27013930.2690434,91395.2917761554,0,0,0,0,0,0</t>
  </si>
  <si>
    <t>2025-05-07 21:09:00,,,565,,550,,558.5,,,,,570,550,557,562</t>
  </si>
  <si>
    <t>2025-05-07 21:09:00,490,,485,,470,,480,,,,,490,470,482,475</t>
  </si>
  <si>
    <t>2025-05-07 21:09:00,5800,,5710,,,5800,5660,,,,,5710,5520,5630,5620</t>
  </si>
  <si>
    <t>2025-05-07 21:09:00,19475,,,,19475,,19775,,,,,20200,19200,19400,19300</t>
  </si>
  <si>
    <t>2025-05-07 21:09:00,1195897103.18127,8730403345.72338,0,0,0,0,0,0</t>
  </si>
  <si>
    <t>2025-05-07 21:09:00,1509647712.25935,2386997866.31215,0,0,0,0,0,0</t>
  </si>
  <si>
    <t>2025-05-07 21:09:00,-2215070.72603867,377032.576226045,-5.53333333333333,-1,-8.466,-1.53,0.00134513447010998,-0.03</t>
  </si>
  <si>
    <t>2025-05-07 21:09:00,27013872.3871108,91294.212238838,0,0,0,0,0,0</t>
  </si>
  <si>
    <t>2025-05-07 21:10:00,,,565,,550,,558.5,,,,,570,550,557,562</t>
  </si>
  <si>
    <t>2025-05-07 21:10:00,490,,485,,470,,480,,,,,490,470,482,475</t>
  </si>
  <si>
    <t>2025-05-07 21:10:00,5800,,5710,,,5800,5660,,,,,5710,5520,5630,5620</t>
  </si>
  <si>
    <t>2025-05-07 21:10:00,19475,,,,19475,,19775,,,,,20200,19200,19400,19300</t>
  </si>
  <si>
    <t>2025-05-07 21:10:00,1222067616.80826,8977815546.79939,0,0,0,0,0,0</t>
  </si>
  <si>
    <t>2025-05-07 21:10:00,1549435192.76143,2718996555.75326,0,0,0,0,0,0</t>
  </si>
  <si>
    <t>2025-05-07 21:10:00,-2676947.35267546,353612.914639478,-11.5384615384615,-2,-534.230769230769,-92.6,-0.00568247720731204,-1.24</t>
  </si>
  <si>
    <t>2025-05-07 21:10:00,27013228.9457283,91342.3665788932,0,0,0,0,0,0</t>
  </si>
  <si>
    <t>2025-05-07 21:11:00,,,565,,550,,558.5,,,,,570,550,557,562</t>
  </si>
  <si>
    <t>2025-05-07 21:11:00,490,,485,,470,,480,,,,,490,470,482,475</t>
  </si>
  <si>
    <t>2025-05-07 21:11:00,5800,,5710,,,5800,5660,,,,,5710,5520,5630,5620</t>
  </si>
  <si>
    <t>2025-05-07 21:11:00,19475,,,,19475,,19775,,,,,20200,19200,19400,19300</t>
  </si>
  <si>
    <t>2025-05-07 21:11:00,1217012584.04913,8897057826.94605,0,0,0,0,0,0</t>
  </si>
  <si>
    <t>2025-05-07 21:11:00,1506277479.10887,2560079836.95454,0,0,0,0,0,0</t>
  </si>
  <si>
    <t>2025-05-07 21:11:00,-2551476.90170249,362716.629684496,-6.35000000000001,-2,-16.891,-3.26,-0.0043051482353669,-0.16</t>
  </si>
  <si>
    <t>2025-05-07 21:11:00,27018263.4056907,91381.2716084322,0,0,0,0,0,0</t>
  </si>
  <si>
    <t>2025-05-07 21:12:00,,,565,,550,,558.5,,,,,570,550,557,562</t>
  </si>
  <si>
    <t>2025-05-07 21:12:00,490,,485,,470,,480,,,,,490,470,482,475</t>
  </si>
  <si>
    <t>2025-05-07 21:12:00,5800,,5710,,,5800,5660,,,,,5710,5520,5630,5620</t>
  </si>
  <si>
    <t>2025-05-07 21:12:00,19475,,,,19475,,19775,,,,,20200,19200,19400,19300</t>
  </si>
  <si>
    <t>2025-05-07 21:12:00,1231773506.72402,9046847094.35859,0,0,0,0,0,0</t>
  </si>
  <si>
    <t>2025-05-07 21:12:00,1504015894.11057,2550427104.18828,0,0,0,0,0,0</t>
  </si>
  <si>
    <t>2025-05-07 21:12:00,-2752047.008319,347954.548950057,-38.675,-3,-439.23225,-33.87,0.0142254598541594,-0.62</t>
  </si>
  <si>
    <t>2025-05-07 21:12:00,27016149.1280686,91311.7557153009,0,0,0,0,0,0</t>
  </si>
  <si>
    <t>2025-05-07 21:13:00,,,565,,550,,558.5,,,,,570,550,557,562</t>
  </si>
  <si>
    <t>2025-05-07 21:13:00,490,,485,,470,,480,,,,,490,470,482,475</t>
  </si>
  <si>
    <t>2025-05-07 21:13:00,5800,,5710,,,5800,5660,,,,,5710,5520,5630,5620</t>
  </si>
  <si>
    <t>2025-05-07 21:13:00,19475,,,,19475,,19775,,,,,20200,19200,19400,19300</t>
  </si>
  <si>
    <t>2025-05-07 21:13:00,1221678334.00066,8978329355.51527,0,0,0,0,0,0</t>
  </si>
  <si>
    <t>2025-05-07 21:13:00,1517783504.28936,2582880322.31922,0,0,0,0,0,0</t>
  </si>
  <si>
    <t>2025-05-07 21:13:00,-2591057.92814903,353694.719956782,-7,-1,-4.9,-0.7,-0.00174505338828641,-0.04</t>
  </si>
  <si>
    <t>2025-05-07 21:13:00,27021125.4542026,91361.2121787661,0,0,0,0,0,0</t>
  </si>
  <si>
    <t>2025-05-07 21:14:00,,,565,,550,,558.5,,,,,570,550,557,562</t>
  </si>
  <si>
    <t>2025-05-07 21:14:00,490,,485,,470,,483,,,,,490,470,482,475</t>
  </si>
  <si>
    <t>2025-05-07 21:14:00,5800,,5710,,,5800,5660,,,,,5710,5520,5630,5620</t>
  </si>
  <si>
    <t>2025-05-07 21:14:00,19475,,,,19475,,19775,,,,,20200,19200,19400,19300</t>
  </si>
  <si>
    <t>2025-05-07 21:14:00,1212764684.41285,8864855346.10674,0,0,0,0,0,0</t>
  </si>
  <si>
    <t>2025-05-07 21:14:00,1509824813.92481,2283251615.70917,0,0,0,0,0,0</t>
  </si>
  <si>
    <t>2025-05-07 21:14:00,-2485949.46883904,360210.856650662,-21.85,-4,-73.6,-9.8,-0.00469818233499823,-0.36</t>
  </si>
  <si>
    <t>2025-05-07 21:14:00,27022066.4411708,91304.7903469548,0,0,0,0,0,0</t>
  </si>
  <si>
    <t>2025-05-07 21:15:00,,,565,,550,,558.5,,,,,570,550,557,562</t>
  </si>
  <si>
    <t>2025-05-07 21:15:00,490,,485,,470,,480,,,,,490,470,482,475</t>
  </si>
  <si>
    <t>2025-05-07 21:15:00,5800,,5710,,,5800,5650,,,,,5710,5520,5630,5620</t>
  </si>
  <si>
    <t>2025-05-07 21:15:00,19475,,,,19475,,19775,,,,,20200,19200,19400,19300</t>
  </si>
  <si>
    <t>2025-05-07 21:15:00,1279511460.38863,9309296906.57724,0,0,0,0,0,0</t>
  </si>
  <si>
    <t>2025-05-07 21:15:00,1517204876.21495,2609605442.4643,0,0,0,0,0,0</t>
  </si>
  <si>
    <t>2025-05-07 21:15:00,-2916389.40922191,378714.865925725,-38.8333333333333,-6,-118.98,-15.45,0.0104276346381325,-0.29</t>
  </si>
  <si>
    <t>2025-05-07 21:15:00,27020443.6957688,91302.8111018421,0,0,0,0,0,0</t>
  </si>
  <si>
    <t>2025-05-07 21:16:00,,,565,,550,,558.5,,,,,570,550,557,562</t>
  </si>
  <si>
    <t>2025-05-07 21:16:00,490,,485,,470,,480,,,,,490,470,482,475</t>
  </si>
  <si>
    <t>2025-05-07 21:16:00,5800,,5710,,,5800,5650,,,,,5710,5520,5630,5620</t>
  </si>
  <si>
    <t>2025-05-07 21:16:00,19475,,,,19475,,19775,,,,,20200,19200,19400,19300</t>
  </si>
  <si>
    <t>2025-05-07 21:16:00,1320507031.42382,9530077710.58725,0,0,0,0,0,0</t>
  </si>
  <si>
    <t>2025-05-07 21:16:00,1576370390.45156,2837183435.04803,0,0,0,0,0,0</t>
  </si>
  <si>
    <t>2025-05-07 21:16:00,-3443987.52720132,325052.40843154,-72.7666666666667,-11,-493.726333333334,-44.07,-0.0130969143370453,-1.37</t>
  </si>
  <si>
    <t>2025-05-07 21:16:00,27025401.0555468,91423.4633823785,0,0,0,0,0,0</t>
  </si>
  <si>
    <t>2025-05-07 21:17:00,,,565,,550,,558.5,,,,,570,550,557,562</t>
  </si>
  <si>
    <t>2025-05-07 21:17:00,490,,485,,470,,480,,,,,490,470,482,475</t>
  </si>
  <si>
    <t>2025-05-07 21:17:00,5800,,5710,,,5800,5650,,,,,5710,5520,5630,5620</t>
  </si>
  <si>
    <t>2025-05-07 21:17:00,19475,,,,19475,,19775,,,,,20200,19200,19400,19300</t>
  </si>
  <si>
    <t>2025-05-07 21:17:00,1324426915.61184,9540043190.128,0,0,0,0,0,0</t>
  </si>
  <si>
    <t>2025-05-07 21:17:00,1568467895.9382,2804074629.16253,0,0,0,0,0,0</t>
  </si>
  <si>
    <t>2025-05-07 21:17:00,-3374671.83006992,325908.852194806,-111.475,-11,-516.86625,-45.66,0.0175615632275942,-0.94</t>
  </si>
  <si>
    <t>2025-05-07 21:17:00,27023572.7558568,91351.2798715959,0,0,0,0,0,0</t>
  </si>
  <si>
    <t>2025-05-07 21:18:00,,,565,,550,,558.5,,,,,570,550,557,562</t>
  </si>
  <si>
    <t>2025-05-07 21:18:00,490,,485,,470,,480,,,,,490,470,482,475</t>
  </si>
  <si>
    <t>2025-05-07 21:18:00,5800,,5710,,,5800,5650,,,,,5710,5520,5630,5620</t>
  </si>
  <si>
    <t>2025-05-07 21:18:00,19475,,,,19475,,19775,,,,,20200,19200,19400,19300</t>
  </si>
  <si>
    <t>2025-05-07 21:18:00,1293732299.75168,9400139180.72972,0,0,0,0,0,0</t>
  </si>
  <si>
    <t>2025-05-07 21:18:00,1515035130.48741,2600346495.31902,0,0,0,0,0,0</t>
  </si>
  <si>
    <t>2025-05-07 21:18:00,-3058120.06615384,344046.434339713,-73.3966666666667,-12,-151.3936,-22.37,0.0133149420673565,-0.5</t>
  </si>
  <si>
    <t>2025-05-07 21:18:00,27023503.739044,91253.7228150615,0,0,0,0,0,0</t>
  </si>
  <si>
    <t>2025-05-07 21:19:00,,,565,,550,,558.5,,,,,570,550,557,562</t>
  </si>
  <si>
    <t>2025-05-07 21:19:00,490,,485,,470,,480,,,,,490,470,482,475</t>
  </si>
  <si>
    <t>2025-05-07 21:19:00,5800,,5710,,,5800,5650,,,,,5710,5520,5630,5620</t>
  </si>
  <si>
    <t>2025-05-07 21:19:00,19475,,,,19475,,19775,,,,,20200,19200,19400,19300</t>
  </si>
  <si>
    <t>2025-05-07 21:19:00,1324112103.82761,9539317957.52587,0,0,0,0,0,0</t>
  </si>
  <si>
    <t>2025-05-07 21:19:00,1558827076.24635,2760974599.27185,0,0,0,0,0,0</t>
  </si>
  <si>
    <t>2025-05-07 21:19:00,-3318234.24249495,331275.411333238,-57.1666666666667,-5,-561.206000000001,-39.02,-0.0164255756852487,-1.26</t>
  </si>
  <si>
    <t>2025-05-07 21:19:00,27028671.9343061,91347.0980086825,0,0,0,0,0,0</t>
  </si>
  <si>
    <t>2025-05-07 21:20:00,,,565,,550,,558.5,,,,,570,550,557,562</t>
  </si>
  <si>
    <t>2025-05-07 21:20:00,490,,485,,470,,480,,,,,490,470,482,475</t>
  </si>
  <si>
    <t>2025-05-07 21:20:00,5800,,5710,,,5800,5650,,,,,5710,5520,5630,5620</t>
  </si>
  <si>
    <t>2025-05-07 21:20:00,19475,,,,19475,,19775,,,,,20200,19200,19400,19300</t>
  </si>
  <si>
    <t>2025-05-07 21:20:00,1335732319.95916,9450826253.91627,0,0,0,0,0,0</t>
  </si>
  <si>
    <t>2025-05-07 21:20:00,1564336950.74764,2786018912.96458,0,0,0,0,0,0</t>
  </si>
  <si>
    <t>2025-05-07 21:20:00,-3387263.098449,320439.447619048,-49.1333333333333,-3,-1080.42666666667,-48.4,0.0117963383701005,-0.97</t>
  </si>
  <si>
    <t>2025-05-07 21:20:00,27028547.2809744,91341.7040080438,0,0,0,0,0,0</t>
  </si>
  <si>
    <t>2025-05-07 21:21:00,,,565,,550,,558.5,,,,,570,550,557,562</t>
  </si>
  <si>
    <t>2025-05-07 21:21:00,490,,485,,470,,480,,,,,490,470,482,475</t>
  </si>
  <si>
    <t>2025-05-07 21:21:00,5800,,5710,,,5800,5650,,,,,5710,5520,5630,5620</t>
  </si>
  <si>
    <t>2025-05-07 21:21:00,19475,,,,19475,,19775,,,,,20200,19200,19400,19300</t>
  </si>
  <si>
    <t>2025-05-07 21:21:00,1335385125.32916,9449166497.88069,0,0,0,0,0,0</t>
  </si>
  <si>
    <t>2025-05-07 21:21:00,1551301449.47868,2729838281.43895,0,0,0,0,0,0</t>
  </si>
  <si>
    <t>2025-05-07 21:21:00,-3297753.33291439,326993.60974894,-65.435,-7,-766.70245,-49.61,0.0110600307019976,-1.06</t>
  </si>
  <si>
    <t>2025-05-07 21:21:00,27028421.6000726,91268.8005147756,0,0,0,0,0,0</t>
  </si>
  <si>
    <t>2025-05-07 21:22:00,,,565,,550,,560.5,,,,,570,550,557,562</t>
  </si>
  <si>
    <t>2025-05-07 21:22:00,490,,485,,470,,480,,,,,490,470,482,475</t>
  </si>
  <si>
    <t>2025-05-07 21:22:00,5800,,5710,,,5800,5650,,,,,5710,5520,5630,5620</t>
  </si>
  <si>
    <t>2025-05-07 21:22:00,19475,,,,19475,,19775,,,,,20200,19200,19400,19300</t>
  </si>
  <si>
    <t>2025-05-07 21:22:00,1318797365.54755,8551393778.52512,0,0,0,0,0,0</t>
  </si>
  <si>
    <t>2025-05-07 21:22:00,1564162271.2288,2786508426.97603,0,0,0,0,0,0</t>
  </si>
  <si>
    <t>2025-05-07 21:22:00,-3495706.81492875,311725.691326351,-171.321428571428,-8,-5770.92678571427,-262.95,0.0483499253407279,-5.69</t>
  </si>
  <si>
    <t>2025-05-07 21:22:00,27033461.7305126,91356.8457103818,0,0,0,0,0,0</t>
  </si>
  <si>
    <t>2025-05-07 21:23:00,,,565,,550,,558.5,,,,,570,550,557,562</t>
  </si>
  <si>
    <t>2025-05-07 21:23:00,490,,485,,470,,480,,,,,490,470,482,475</t>
  </si>
  <si>
    <t>2025-05-07 21:23:00,5800,,5710,,,5800,5650,,,,,5710,5520,5630,5620</t>
  </si>
  <si>
    <t>2025-05-07 21:23:00,19475,,,,19475,,19775,,,,,20200,19200,19400,19300</t>
  </si>
  <si>
    <t>2025-05-07 21:23:00,1345443703.41047,9380072281.92503,0,0,0,0,0,0</t>
  </si>
  <si>
    <t>2025-05-07 21:23:00,1585270506.66022,2868850097.97714,0,0,0,0,0,0</t>
  </si>
  <si>
    <t>2025-05-07 21:23:00,-3764595.09393484,291418.552281721,-131.55,-12,-1134.26483333333,-65.98,-0.0198883952223693,-2.35</t>
  </si>
  <si>
    <t>2025-05-07 21:23:00,27032094.8615412,91348.7716479546,0,0,0,0,0,0</t>
  </si>
  <si>
    <t>2025-05-07 21:24:00,,,565,,550,,558.5,,,,,570,550,557,562</t>
  </si>
  <si>
    <t>2025-05-07 21:24:00,490,,485,,470,,480,,,,,490,470,482,475</t>
  </si>
  <si>
    <t>2025-05-07 21:24:00,5800,,5710,,,5800,5650,,,,,5710,5520,5630,5620</t>
  </si>
  <si>
    <t>2025-05-07 21:24:00,19475,,,,19475,,19775,,,,,20200,19200,19400,19300</t>
  </si>
  <si>
    <t>2025-05-07 21:24:00,1335347635.34725,9453253120.7425,0,0,0,0,0,0</t>
  </si>
  <si>
    <t>2025-05-07 21:24:00,1519276823.55176,2620470942.71477,0,0,0,0,0,0</t>
  </si>
  <si>
    <t>2025-05-07 21:24:00,-3247733.52158001,328047.967642991,-48.7428571428572,-5,-365.453714285715,-27.92,-0.0151952239738369,-0.97</t>
  </si>
  <si>
    <t>2025-05-07 21:24:00,27037236.9642495,91344.3389367072,0,0,0,0,0,0</t>
  </si>
  <si>
    <t>2025-05-07 21:25:00,,,565,,550,,558.5,,,,,570,550,557,562</t>
  </si>
  <si>
    <t>2025-05-07 21:25:00,490,,485,,470,,480,,,,,490,470,482,475</t>
  </si>
  <si>
    <t>2025-05-07 21:25:00,5800,,5710,,,5800,5650,,,,,5710,5520,5630,5620</t>
  </si>
  <si>
    <t>2025-05-07 21:25:00,19475,,,,19475,,19775,,,,,20200,19200,19400,19300</t>
  </si>
  <si>
    <t>2025-05-07 21:25:00,1352984800.207,9391718049.60118,0,0,0,0,0,0</t>
  </si>
  <si>
    <t>2025-05-07 21:25:00,1579014228.49613,2848886308.13479,0,0,0,0,0,0</t>
  </si>
  <si>
    <t>2025-05-07 21:25:00,-3820130.16629805,288936.866184121,-356.588095238095,-20,-5614.51919047618,-309.12,0.00230353011683457,-6.84</t>
  </si>
  <si>
    <t>2025-05-07 21:25:00,27036676.9886474,91348.4251786272,0,0,0,0,0,0</t>
  </si>
  <si>
    <t>2025-05-07 21:26:00,,,565,,550,,558.5,,,,,570,550,557,562</t>
  </si>
  <si>
    <t>2025-05-07 21:26:00,490,,485,,470,,480,,,,,490,470,482,475</t>
  </si>
  <si>
    <t>2025-05-07 21:26:00,5800,,5710,,,5800,5640,,,,,5710,5520,5630,5620</t>
  </si>
  <si>
    <t>2025-05-07 21:26:00,19475,,,,19475,,19775,,,,,20200,19200,19400,19300</t>
  </si>
  <si>
    <t>2025-05-07 21:26:00,1335043888.1558,9455203048.63513,0,0,0,0,0,0</t>
  </si>
  <si>
    <t>2025-05-07 21:26:00,1559948844.65949,2768110954.07173,0,0,0,0,0,0</t>
  </si>
  <si>
    <t>2025-05-07 21:26:00,-3075193.16903577,316850.601719586,-202.183333333333,-13,-3075.67133333333,-174.87,0.0388099160303038,-3.69</t>
  </si>
  <si>
    <t>2025-05-07 21:26:00,27036101.8803748,91266.2375181528,0,0,0,0,0,0</t>
  </si>
  <si>
    <t>2025-05-07 21:27:00,,,565,,550,,558.5,,,,,570,550,557,562</t>
  </si>
  <si>
    <t>2025-05-07 21:27:00,490,,485,,470,,480,,,,,490,470,482,475</t>
  </si>
  <si>
    <t>2025-05-07 21:27:00,5800,,5710,,,5800,5640,,,,,5710,5520,5630,5620</t>
  </si>
  <si>
    <t>2025-05-07 21:27:00,19475,,,,19475,,19775,,,,,20200,19200,19400,19300</t>
  </si>
  <si>
    <t>2025-05-07 21:27:00,1335010888.99367,9455287219.14651,0,0,0,0,0,0</t>
  </si>
  <si>
    <t>2025-05-07 21:27:00,1562197852.5524,2777721156.16921,0,0,0,0,0,0</t>
  </si>
  <si>
    <t>2025-05-07 21:27:00,-2933660.30921089,324454.834808697,-31.8333333333333,-2,-195.433333333333,-9.9,-0.00634326488506921,-0.4</t>
  </si>
  <si>
    <t>2025-05-07 21:27:00,27041257.520087,91337.128013715,0,0,0,0,0,0</t>
  </si>
  <si>
    <t>2025-05-07 21:28:00,,,565,,550,,558.5,,,,,570,550,557,562</t>
  </si>
  <si>
    <t>2025-05-07 21:28:00,490,,485,,470,,480,,,,,490,470,482,475</t>
  </si>
  <si>
    <t>2025-05-07 21:28:00,5800,,5710,,,5800,5650,,,,,5710,5520,5630,5620</t>
  </si>
  <si>
    <t>2025-05-07 21:28:00,19475,,,,19475,,19775,,,,,20200,19200,19400,19300</t>
  </si>
  <si>
    <t>2025-05-07 21:28:00,1334925907.6855,9456252117.85796,0,0,0,0,0,0</t>
  </si>
  <si>
    <t>2025-05-07 21:28:00,1581887621.87457,2858989168.63116,0,0,0,0,0,0</t>
  </si>
  <si>
    <t>2025-05-07 21:28:00,-3498346.89880736,301456.209746015,-252.5,-17,-4121.62999999999,-211.2,-0.00363349494413941,-5.2</t>
  </si>
  <si>
    <t>2025-05-07 21:28:00,27039048.847477,91306.672045652,0,0,0,0,0,0</t>
  </si>
  <si>
    <t>2025-05-07 21:29:00,,,565,,550,,558.5,,,,,570,550,557,562</t>
  </si>
  <si>
    <t>2025-05-07 21:29:00,490,,485,,470,,480,,,,,490,470,482,475</t>
  </si>
  <si>
    <t>2025-05-07 21:29:00,5800,,5710,,,5800,5650,,,,,5710,5520,5630,5620</t>
  </si>
  <si>
    <t>2025-05-07 21:29:00,19475,,,,19475,,19775,,,,,20200,19200,19400,19300</t>
  </si>
  <si>
    <t>2025-05-07 21:29:00,1334582827.28819,9456307548.45383,0,0,0,0,0,0</t>
  </si>
  <si>
    <t>2025-05-07 21:29:00,1576249833.53905,2838442261.23316,0,0,0,0,0,0</t>
  </si>
  <si>
    <t>2025-05-07 21:29:00,-3195772.80886607,301340.459932444,-70.0666666666666,-4,-1695.11333333333,-88.5,0.0197216935113333,-1.77</t>
  </si>
  <si>
    <t>2025-05-07 21:29:00,27044199.4754406,91362.5556599174,0,0,0,0,0,0</t>
  </si>
  <si>
    <t>2025-05-07 21:30:00,,,565,,550,,558.5,,,,,570,550,557,562</t>
  </si>
  <si>
    <t>2025-05-07 21:30:00,490,,485,,470,,484,,,,,490,470,482,475</t>
  </si>
  <si>
    <t>2025-05-07 21:30:00,5800,,5710,,,5800,5640,,,,,5710,5520,5630,5620</t>
  </si>
  <si>
    <t>2025-05-07 21:30:00,19475,,,,19475,,19775,,,,,20200,19200,19400,19300</t>
  </si>
  <si>
    <t>2025-05-07 21:30:00,1400904618.43247,9732991408.37756,0,0,0,0,0,0</t>
  </si>
  <si>
    <t>2025-05-07 21:30:00,1586204876.33368,2523907346.10415,0,0,0,0,0,0</t>
  </si>
  <si>
    <t>2025-05-07 21:30:00,-4068403.433691,276247.372203663,-374.085714285715,-23,-6235.07742857144,-368.32,-0.0725435169700198,-9.04</t>
  </si>
  <si>
    <t>2025-05-07 21:30:00,27043192.5789959,91372.7590466362,0,0,0,0,0,0</t>
  </si>
  <si>
    <t>2025-05-07 21:31:00,,,565,,550,,558.5,,,,,570,550,557,562</t>
  </si>
  <si>
    <t>2025-05-07 21:31:00,490,,485,,470,,480,,,,,490,470,482,475</t>
  </si>
  <si>
    <t>2025-05-07 21:31:00,5800,,5710,,,5800,5640,,,,,5710,5520,5630,5620</t>
  </si>
  <si>
    <t>2025-05-07 21:31:00,19475,,,,19475,,19775,,,,,20200,19200,19400,19300</t>
  </si>
  <si>
    <t>2025-05-07 21:31:00,1415309881.84704,9839313689.54835,0,0,0,0,0,0</t>
  </si>
  <si>
    <t>2025-05-07 21:31:00,1617215378.57533,2870330827.61004,0,0,0,0,0,0</t>
  </si>
  <si>
    <t>2025-05-07 21:31:00,-4159839.7130802,263077.673682359,-87.3333333333334,-7,-1073.24733333333,-72.92,0.00550698648370898,-1.73</t>
  </si>
  <si>
    <t>2025-05-07 21:31:00,27044456.6686697,91351.4615277671,0,0,0,0,0,0</t>
  </si>
  <si>
    <t>2025-05-07 21:32:00,,,565,,550,,558.5,,,,,570,550,557,562</t>
  </si>
  <si>
    <t>2025-05-07 21:32:00,490,,485,,470,,480,,,,,490,470,482,475</t>
  </si>
  <si>
    <t>2025-05-07 21:32:00,5800,,5710,,,5800,5650,,,,,5710,5520,5630,5620</t>
  </si>
  <si>
    <t>2025-05-07 21:32:00,19475,,,,19475,,19775,,,,,20200,19200,19400,19300</t>
  </si>
  <si>
    <t>2025-05-07 21:32:00,1494765578.86758,10210812831.0944,0,0,0,0,0,0</t>
  </si>
  <si>
    <t>2025-05-07 21:32:00,1673216315.73348,3069126747.43156,0,0,0,0,0,0</t>
  </si>
  <si>
    <t>2025-05-07 21:32:00,-5174782.50009246,182010.759086582,-525.25,-66,-2155.538,-178.1,0.0619559031212243,-3.95</t>
  </si>
  <si>
    <t>2025-05-07 21:32:00,27049530.017223,91504.1028489018,0,0,0,0,0,0</t>
  </si>
  <si>
    <t>2025-05-07 21:33:00,,,565,,550,,558.5,,,,,570,550,557,562</t>
  </si>
  <si>
    <t>2025-05-07 21:33:00,490,,485,,470,,480,,,,,490,470,482,475</t>
  </si>
  <si>
    <t>2025-05-07 21:33:00,5800,,5710,,,5800,5650,,,,,5710,5520,5630,5620</t>
  </si>
  <si>
    <t>2025-05-07 21:33:00,19475,,,,19475,,19775,,,,,20200,19200,19400,19300</t>
  </si>
  <si>
    <t>2025-05-07 21:33:00,1410032004.23297,9804901389.79418,0,0,0,0,0,0</t>
  </si>
  <si>
    <t>2025-05-07 21:33:00,1617040136.74013,2870434531.17974,0,0,0,0,0,0</t>
  </si>
  <si>
    <t>2025-05-07 21:33:00,-4374356.85926819,246259.661749709,-107.533333333333,-11,-607.133333333332,-62,-0.0371389783585082,-2.7</t>
  </si>
  <si>
    <t>2025-05-07 21:33:00,27047566.3500415,91357.7453736214,0,0,0,0,0,0</t>
  </si>
  <si>
    <t>2025-05-07 21:34:00,,,565,,550,,558.5,,,,,570,550,557,562</t>
  </si>
  <si>
    <t>2025-05-07 21:34:00,490,,485,,470,,480,,,,,490,470,482,475</t>
  </si>
  <si>
    <t>2025-05-07 21:34:00,5800,,5710,,,5800,5650,,,,,5710,5520,5630,5620</t>
  </si>
  <si>
    <t>2025-05-07 21:34:00,19475,,,,19475,,19775,,,,,20200,19200,19400,19300</t>
  </si>
  <si>
    <t>2025-05-07 21:34:00,1424541653.29687,9911131172.92366,0,0,0,0,0,0</t>
  </si>
  <si>
    <t>2025-05-07 21:34:00,1617022035.69724,2870649347.70628,0,0,0,0,0,0</t>
  </si>
  <si>
    <t>2025-05-07 21:34:00,-4368793.49082317,250178.69671254,-27.2857142857143,-6,-38.8,-7.6,-0.0139232696058664,-0.49</t>
  </si>
  <si>
    <t>2025-05-07 21:34:00,27053117.1563064,91430.2797824431,0,0,0,0,0,0</t>
  </si>
  <si>
    <t>2025-05-07 21:35:00,,,565,,550,,558.5,,,,,570,550,557,562</t>
  </si>
  <si>
    <t>2025-05-07 21:35:00,490,,485,,470,,480,,,,,490,470,482,475</t>
  </si>
  <si>
    <t>2025-05-07 21:35:00,5800,,5710,,,5800,5640,,,,,5710,5520,5630,5620</t>
  </si>
  <si>
    <t>2025-05-07 21:35:00,19475,,,,19475,,19775,,,,,20200,19200,19400,19300</t>
  </si>
  <si>
    <t>2025-05-07 21:35:00,1405003977.96085,9771434490.99104,0,0,0,0,0,0</t>
  </si>
  <si>
    <t>2025-05-07 21:35:00,1587835133.71006,2738135886.29618,0,0,0,0,0,0</t>
  </si>
  <si>
    <t>2025-05-07 21:35:00,-4121556.22847373,262852.331073239,-57.8833333333333,-4,-1332.9,-55.25,0.0118982169951977,-1.23</t>
  </si>
  <si>
    <t>2025-05-07 21:35:00,27051096.7762166,91359.6351498361,0,0,0,0,0,0</t>
  </si>
  <si>
    <t>2025-05-07 21:36:00,,,565,,550,,558.5,,,,,570,550,557,562</t>
  </si>
  <si>
    <t>2025-05-07 21:36:00,490,,485,,470,,480,,,,,490,470,482,475</t>
  </si>
  <si>
    <t>2025-05-07 21:36:00,5800,,5710,,,5800,5650,,,,,5710,5520,5630,5620</t>
  </si>
  <si>
    <t>2025-05-07 21:36:00,19475,,,,19475,,19775,,,,,20200,19200,19400,19300</t>
  </si>
  <si>
    <t>2025-05-07 21:36:00,1443581097.2092,10046172347.0549,0,0,0,0,0,0</t>
  </si>
  <si>
    <t>2025-05-07 21:36:00,1619576144.97372,2880719709.78324,0,0,0,0,0,0</t>
  </si>
  <si>
    <t>2025-05-07 21:36:00,-4459894.26227665,240564.716264418,-18.8,-2,-75.2,-8,-0.00649686325534524,-0.4</t>
  </si>
  <si>
    <t>2025-05-07 21:36:00,27051898.6388501,91351.832090704,0,0,0,0,0,0</t>
  </si>
  <si>
    <t>2025-05-07 21:38:00,,,565,,550,,558.5,,,,,570,550,557,562</t>
  </si>
  <si>
    <t>2025-05-07 21:38:00,490,,485,,470,,480,,,,,490,470,482,475</t>
  </si>
  <si>
    <t>2025-05-07 21:38:00,5800,,5710,,,5800,5650,,,,,5710,5520,5630,5620</t>
  </si>
  <si>
    <t>2025-05-07 21:38:00,19475,,,,19475,,19775,,,,,20200,19200,19400,19300</t>
  </si>
  <si>
    <t>2025-05-07 21:38:00,1475212023.65308,10259906010.4086,0,0,0,0,0,0</t>
  </si>
  <si>
    <t>2025-05-07 21:38:00,1633847064.07872,2939173081.71507,0,0,0,0,0,0</t>
  </si>
  <si>
    <t>2025-05-07 21:38:00,-4776411.24876816,219311.6305727,-33.3666666666666,-2,-298.203,-17.77,0.000997748852953201,-0.46</t>
  </si>
  <si>
    <t>2025-05-07 21:38:00,27057000.2784022,91441.1112412124,0,0,0,0,0,0</t>
  </si>
  <si>
    <t>2025-05-07 21:39:00,,,565,,550,,558.5,,,,,570,550,557,562</t>
  </si>
  <si>
    <t>2025-05-07 21:39:00,490,,485,,470,,480,,,,,490,470,482,475</t>
  </si>
  <si>
    <t>2025-05-07 21:39:00,5800,,5710,,,5800,5650,,,,,5710,5520,5630,5620</t>
  </si>
  <si>
    <t>2025-05-07 21:39:00,19475,,,,19475,,19775,,,,,20200,19200,19400,19300</t>
  </si>
  <si>
    <t>2025-05-07 21:39:00,1498112168.09911,10228093251.2597,0,0,0,0,0,0</t>
  </si>
  <si>
    <t>2025-05-07 21:39:00,1666134747.39314,3053193991.7624,0,0,0,0,0,0</t>
  </si>
  <si>
    <t>2025-05-07 21:39:00,-5263696.54256085,179621.989312181,-147.416666666667,-9,-2284.36266666666,-86.28,0.0228273726627947,-1.66</t>
  </si>
  <si>
    <t>2025-05-07 21:39:00,27055542.2191189,91437.5424303569,0,0,0,0,0,0</t>
  </si>
  <si>
    <t>2025-05-07 21:40:00,575,,565,,550,,558.5,,,,,570,550,557,562</t>
  </si>
  <si>
    <t>2025-05-07 21:40:00,490,,485,,470,,480,,,,,490,470,482,475</t>
  </si>
  <si>
    <t>2025-05-07 21:40:00,5800,,5710,,,5800,5650,,,,,5710,5520,5630,5620</t>
  </si>
  <si>
    <t>2025-05-07 21:40:00,19475,,,,19475,,19775,,,,,20200,19200,19400,19300</t>
  </si>
  <si>
    <t>2025-05-07 21:40:00,1512784532.14722,10122306606.346,0,0,0,0,0,0</t>
  </si>
  <si>
    <t>2025-05-07 21:40:00,1669360890.70006,3058752093.15026,0,0,0,0,0,0</t>
  </si>
  <si>
    <t>2025-05-07 21:40:00,-5463210.13647337,163834.555733487,-223,-15,-3076,-178.5,0.032008063142749,-4.02</t>
  </si>
  <si>
    <t>2025-05-07 21:40:00,27054417.4532691,91392.2784864793,0,0,0,0,0,0</t>
  </si>
  <si>
    <t>2025-05-07 21:41:00,575,,565,,550,,558.5,,,,,570,550,557,562</t>
  </si>
  <si>
    <t>2025-05-07 21:41:00,490,,485,,470,,480,,,,,490,470,482,475</t>
  </si>
  <si>
    <t>2025-05-07 21:41:00,5800,,5710,,,5700,5650,,,,,5710,5520,5630,5620</t>
  </si>
  <si>
    <t>2025-05-07 21:41:00,19475,,,,19475,,19775,,,,,20200,19200,19400,19300</t>
  </si>
  <si>
    <t>2025-05-07 21:41:00,1587529831.91889,10374907138.9958,0,0,0,0,0,0</t>
  </si>
  <si>
    <t>2025-05-07 21:41:00,1728580894.17337,2892829043.14496,0,0,0,0,0,0</t>
  </si>
  <si>
    <t>2025-05-07 21:41:00,-6433189.97255581,73661.5123391573,-1112.47571428571,-100,-11780.4347285714,-557.65,0.0826166973799984,-13.39</t>
  </si>
  <si>
    <t>2025-05-07 21:41:00,27059459.7865793,91556.0323344861,0,0,0,0,0,0</t>
  </si>
  <si>
    <t>2025-05-07 21:42:00,575,,565,,550,,558.5,,,,,570,550,557,562</t>
  </si>
  <si>
    <t>2025-05-07 21:42:00,490,,485,,470,,480,,,,,490,470,482,475</t>
  </si>
  <si>
    <t>2025-05-07 21:42:00,5800,,5710,,,5700,5650,,,,,5710,5520,5630,5620</t>
  </si>
  <si>
    <t>2025-05-07 21:42:00,19475,,,,19475,,19775,,,,,20200,19200,19400,19300</t>
  </si>
  <si>
    <t>2025-05-07 21:42:00,1589390317.85091,10336730687.6008,0,0,0,0,0,0</t>
  </si>
  <si>
    <t>2025-05-07 21:42:00,1728328155.66456,2893156375.95484,0,0,0,0,0,0</t>
  </si>
  <si>
    <t>2025-05-07 21:42:00,-6290768.15570418,82155.0640915994,-187.294444444445,-18,-1919.12894444445,-161.57,0.00954328241435068,-2.7</t>
  </si>
  <si>
    <t>2025-05-07 21:42:00,27058599.2442294,91513.3758267419,0,0,0,0,0,0</t>
  </si>
  <si>
    <t>2025-05-07 21:43:00,575,,565,,550,,558.5,,,,,570,550,557,562</t>
  </si>
  <si>
    <t>2025-05-07 21:43:00,490,,485,,470,,480,,,,,490,470,482,475</t>
  </si>
  <si>
    <t>2025-05-07 21:43:00,5800,,5710,,,5700,5650,,,,,5710,5520,5630,5620</t>
  </si>
  <si>
    <t>2025-05-07 21:43:00,19475,,,,19475,,19775,,,,,20200,19200,19400,19300</t>
  </si>
  <si>
    <t>2025-05-07 21:43:00,1512195879.20126,10124293350.9483,0,0,0,0,0,0</t>
  </si>
  <si>
    <t>2025-05-07 21:43:00,1681068755.86953,3056034683.96156,0,0,0,0,0,0</t>
  </si>
  <si>
    <t>2025-05-07 21:43:00,-5482945.27155712,149818.080455018,-288.616833890747,-25,-9371.16433667783,-919.7,-0.0405085502492686,-13.53</t>
  </si>
  <si>
    <t>2025-05-07 21:43:00,27063700.771268,91505.2000241227,0,0,0,0,0,0</t>
  </si>
  <si>
    <t>2025-05-07 21:44:00,575,,565,,550,,558.5,,,,,570,550,557,562</t>
  </si>
  <si>
    <t>2025-05-07 21:44:00,490,,485,,470,,480,,,,,490,470,482,475</t>
  </si>
  <si>
    <t>2025-05-07 21:44:00,5800,,5710,,,5700,5650,,,,,5710,5520,5630,5620</t>
  </si>
  <si>
    <t>2025-05-07 21:44:00,19475,,,,19475,,19775,,,,,20200,19200,19400,19300</t>
  </si>
  <si>
    <t>2025-05-07 21:44:00,1525350431.05431,9992014393.9139,0,0,0,0,0,0</t>
  </si>
  <si>
    <t>2025-05-07 21:44:00,1671261945.95294,3066099503.3553,0,0,0,0,0,0</t>
  </si>
  <si>
    <t>2025-05-07 21:44:00,-5521532.18350941,142373.813273382,-214.258333333333,-16,-5156.13958333333,-168.69,0.0174839794665369,-4.06</t>
  </si>
  <si>
    <t>2025-05-07 21:44:00,27061763.7217065,91425.7503987731,0,0,0,0,0,0</t>
  </si>
  <si>
    <t>2025-05-07 21:45:00,575,,565,,550,,558.5,,,,,570,550,557,562</t>
  </si>
  <si>
    <t>2025-05-07 21:45:00,490,,485,,470,,480,,,,,490,470,482,475</t>
  </si>
  <si>
    <t>2025-05-07 21:45:00,5800,,5710,,,5700,5650,,,,,5710,5520,5630,5620</t>
  </si>
  <si>
    <t>2025-05-07 21:45:00,19475,,,,19475,,19775,,,,,20200,19200,19400,19300</t>
  </si>
  <si>
    <t>2025-05-07 21:45:00,1512269414.47106,10126661017.3223,0,0,0,0,0,0</t>
  </si>
  <si>
    <t>2025-05-07 21:45:00,1668600717.08878,3060444609.68885,0,0,0,0,0,0</t>
  </si>
  <si>
    <t>2025-05-07 21:45:00,-5461645.38186486,145459.473330432,-13.5,-1,-54,-4,-0.00320040226051027,-0.21</t>
  </si>
  <si>
    <t>2025-05-07 21:45:00,27061664.5200744,91375.7672512077,0,0,0,0,0,0</t>
  </si>
  <si>
    <t>2025-05-07 21:46:00,575,,565,,550,,561.5,,,,,570,550,557,562</t>
  </si>
  <si>
    <t>2025-05-07 21:46:00,490,,485,,470,,480,,,,,490,470,482,475</t>
  </si>
  <si>
    <t>2025-05-07 21:46:00,5800,,5710,,,5700,5650,,,,,5710,5520,5630,5620</t>
  </si>
  <si>
    <t>2025-05-07 21:46:00,19475,,,,19475,,19775,,,,,20200,19200,19400,19300</t>
  </si>
  <si>
    <t>2025-05-07 21:46:00,1502852655.1535,8941269133.15653,0,0,0,0,0,0</t>
  </si>
  <si>
    <t>2025-05-07 21:46:00,1673633056.52866,3071085195.84808,0,0,0,0,0,0</t>
  </si>
  <si>
    <t>2025-05-07 21:46:00,-5591261.80354316,128402.61827505,-85.9999999999999,-5,-1134.6,-65.4,0.0271311616466154,-1.1</t>
  </si>
  <si>
    <t>2025-05-07 21:46:00,27066704.3406813,91449.4443154065,0,0,0,0,0,0</t>
  </si>
  <si>
    <t>2025-05-07 21:47:00,575,,565,,550,,558.5,,,,,570,550,557,562</t>
  </si>
  <si>
    <t>2025-05-07 21:47:00,490,,485,,470,,480,,,,,490,470,482,475</t>
  </si>
  <si>
    <t>2025-05-07 21:47:00,5800,,5710,,,5700,5650,,,,,5710,5520,5630,5620</t>
  </si>
  <si>
    <t>2025-05-07 21:47:00,19475,,,,19475,,19775,,,,,20200,19200,19400,19300</t>
  </si>
  <si>
    <t>2025-05-07 21:47:00,1525211073.81,9996352888.1433,0,0,0,0,0,0</t>
  </si>
  <si>
    <t>2025-05-07 21:47:00,1658587670.87698,3031126712.49981,0,0,0,0,0,0</t>
  </si>
  <si>
    <t>2025-05-07 21:47:00,-5522956.37790802,131444.461965908,-90.1499999999999,-8,-380.841,-29.21,0.0118193483653381,-0.57</t>
  </si>
  <si>
    <t>2025-05-07 21:47:00,27065234.2472681,91372.7594200759,0,0,0,0,0,0</t>
  </si>
  <si>
    <t>2025-05-07 21:48:00,575,,565,,550,,558.5,,,,,570,550,557,562</t>
  </si>
  <si>
    <t>2025-05-07 21:48:00,490,,485,,470,,480,,,,,490,470,482,475</t>
  </si>
  <si>
    <t>2025-05-07 21:48:00,5800,,5710,,,5700,5650,,,,,5710,5520,5630,5620</t>
  </si>
  <si>
    <t>2025-05-07 21:48:00,19475,,,,19475,,19775,,,,,20200,19200,19400,19300</t>
  </si>
  <si>
    <t>2025-05-07 21:48:00,1543938763.06707,9955291968.75874,0,0,0,0,0,0</t>
  </si>
  <si>
    <t>2025-05-07 21:48:00,1671435887.2008,3066841364.58794,0,0,0,0,0,0</t>
  </si>
  <si>
    <t>2025-05-07 21:48:00,-5750793.7099119,114342.564453575,-29.25,-2,-311.975,-17.6,0.00289577487639601,-0.42</t>
  </si>
  <si>
    <t>2025-05-07 21:48:00,27070516.274486,91460.9228675037,0,0,0,0,0,0</t>
  </si>
  <si>
    <t>2025-05-07 21:49:00,575,,565,,550,,561.5,,,,,570,550,557,562</t>
  </si>
  <si>
    <t>2025-05-07 21:49:00,490,,485,,470,,480,,,,,490,470,482,475</t>
  </si>
  <si>
    <t>2025-05-07 21:49:00,5800,,5710,,,5700,5650,,,,,5710,5520,5630,5620</t>
  </si>
  <si>
    <t>2025-05-07 21:49:00,19475,,,,19475,,19775,,,,,20200,19200,19400,19300</t>
  </si>
  <si>
    <t>2025-05-07 21:49:00,1509958814.2452,8961024274.5596,0,0,0,0,0,0</t>
  </si>
  <si>
    <t>2025-05-07 21:49:00,1657772913.27614,3030455053.56406,0,0,0,0,0,0</t>
  </si>
  <si>
    <t>2025-05-07 21:49:00,-5617459.91161282,125866.015546224,-29.2,-2,-148.044,-10.14,0.00569815370592972,-0.16</t>
  </si>
  <si>
    <t>2025-05-07 21:49:00,27071219.9605599,91400.6564711479,0,0,0,0,0,0</t>
  </si>
  <si>
    <t>2025-05-07 21:50:00,575,,565,,550,,558.5,,,,,570,550,557,562</t>
  </si>
  <si>
    <t>2025-05-07 21:50:00,490,,485,,470,,480,,,,,490,470,482,475</t>
  </si>
  <si>
    <t>2025-05-07 21:50:00,5800,,5710,,,5700,5650,,,,,5710,5520,5630,5620</t>
  </si>
  <si>
    <t>2025-05-07 21:50:00,19475,,,,19475,,19775,,,,,20200,19200,19400,19300</t>
  </si>
  <si>
    <t>2025-05-07 21:50:00,1511671480.62793,10014803364.0849,0,0,0,0,0,0</t>
  </si>
  <si>
    <t>2025-05-07 21:50:00,1658779813.08418,3031624013.73554,0,0,0,0,0,0</t>
  </si>
  <si>
    <t>2025-05-07 21:50:00,-5615102.27255806,122112.30807865,-19.8,-3,-39.996,-6.06,0.00450260869588412,-0.09</t>
  </si>
  <si>
    <t>2025-05-07 21:50:00,27070382.0989953,91343.7286956669,0,0,0,0,0,0</t>
  </si>
  <si>
    <t>2025-05-07 21:51:00,,,565,,550,,558.5,,,,,570,550,557,562</t>
  </si>
  <si>
    <t>2025-05-07 21:51:00,490,,485,,470,,480,,,,,490,470,482,475</t>
  </si>
  <si>
    <t>2025-05-07 21:51:00,5800,,5710,,,5700,5650,,,,,5710,5520,5630,5620</t>
  </si>
  <si>
    <t>2025-05-07 21:51:00,19475,,,,19475,,19775,,,,,20200,19200,19400,19300</t>
  </si>
  <si>
    <t>2025-05-07 21:51:00,1504168471.12514,10240086752.6005,0,0,0,0,0,0</t>
  </si>
  <si>
    <t>2025-05-07 21:51:00,1631787469.22183,2931461091.48424,0,0,0,0,0,0</t>
  </si>
  <si>
    <t>2025-05-07 21:51:00,-5338563.48673451,147061.765708405,-78.7166666666672,-6,-1221.62750000001,-51.6,-0.0018673760729311,-1.05</t>
  </si>
  <si>
    <t>2025-05-07 21:51:00,27075573.4685944,91370.6990158947,0,0,0,0,0,0</t>
  </si>
  <si>
    <t>2025-05-07 21:52:00,,,565,,550,,558.5,,,,,570,550,557,562</t>
  </si>
  <si>
    <t>2025-05-07 21:52:00,490,,485,,470,,480,,,,,490,470,482,475</t>
  </si>
  <si>
    <t>2025-05-07 21:52:00,5800,,5710,,,5800,5650,,,,,5710,5520,5630,5620</t>
  </si>
  <si>
    <t>2025-05-07 21:52:00,19475,,,,19475,,19775,,,,,20200,19200,19400,19300</t>
  </si>
  <si>
    <t>2025-05-07 21:52:00,1497643378.41443,10361602725.3768,0,0,0,0,0,0</t>
  </si>
  <si>
    <t>2025-05-07 21:52:00,1622115951.38769,2892371829.32242,0,0,0,0,0,0</t>
  </si>
  <si>
    <t>2025-05-07 21:52:00,-5120322.89874163,163487.139221308,-47.3833333333332,-3,-484.152666666666,-24.72,-0.00952828317409511,-0.79</t>
  </si>
  <si>
    <t>2025-05-07 21:52:00,27075384.7825733,91310.9707882048,0,0,0,0,0,0</t>
  </si>
  <si>
    <t>2025-05-07 21:53:00,,,565,,550,,558.5,,,,,570,550,557,562</t>
  </si>
  <si>
    <t>2025-05-07 21:53:00,490,,485,,470,,480,,,,,490,470,482,475</t>
  </si>
  <si>
    <t>2025-05-07 21:53:00,5800,,5710,,,5800,5650,,,,,5710,5520,5630,5620</t>
  </si>
  <si>
    <t>2025-05-07 21:53:00,19475,,,,19475,,19775,,,,,20200,19200,19400,19300</t>
  </si>
  <si>
    <t>2025-05-07 21:53:00,1496366913.89559,10234872857.8391,0,0,0,0,0,0</t>
  </si>
  <si>
    <t>2025-05-07 21:53:00,1629128869.96643,2921855696.38568,0,0,0,0,0,0</t>
  </si>
  <si>
    <t>2025-05-07 21:53:00,-5367156.3617807,147886.207463378,-97.0728070175438,-8,-1097.88994736842,-71.53,-0.0130763512392684,-1.74</t>
  </si>
  <si>
    <t>2025-05-07 21:53:00,27073637.3564444,91270.4459649106,0,0,0,0,0,0</t>
  </si>
  <si>
    <t>2025-05-07 21:54:00,,,565,,550,,558.5,,,,,570,550,557,562</t>
  </si>
  <si>
    <t>2025-05-07 21:54:00,490,,485,,470,,480,,,,,490,470,482,475</t>
  </si>
  <si>
    <t>2025-05-07 21:54:00,5800,,5710,,,5700,5650,,,,,5710,5520,5630,5620</t>
  </si>
  <si>
    <t>2025-05-07 21:54:00,19475,,,,19475,,19775,,,,,20200,19200,19400,19300</t>
  </si>
  <si>
    <t>2025-05-07 21:54:00,1503428331.01989,10240384829.1023,0,0,0,0,0,0</t>
  </si>
  <si>
    <t>2025-05-07 21:54:00,1631453587.21453,2931678751.16156,0,0,0,0,0,0</t>
  </si>
  <si>
    <t>2025-05-07 21:54:00,-5538510.4786417,128481.249460284,-301.458333333333,-23,-2553.99325,-149.28,0.0451686202038342,-3.14</t>
  </si>
  <si>
    <t>2025-05-07 21:54:00,27078765.7153675,91341.6605607439,0,0,0,0,0,0</t>
  </si>
  <si>
    <t>2025-05-07 21:55:00,575,,565,,550,,558.5,,,,,570,550,557,562</t>
  </si>
  <si>
    <t>2025-05-07 21:55:00,490,,485,,470,,480,,,,,490,470,482,475</t>
  </si>
  <si>
    <t>2025-05-07 21:55:00,5800,,5710,,,5700,5650,,,,,5710,5520,5630,5620</t>
  </si>
  <si>
    <t>2025-05-07 21:55:00,19475,,,,19475,,19775,,,,,20200,19200,19400,19300</t>
  </si>
  <si>
    <t>2025-05-07 21:55:00,1539194514.38079,9929921258.20751,0,0,0,0,0,0</t>
  </si>
  <si>
    <t>2025-05-07 21:55:00,1643966927.52058,2979370874.91664,0,0,0,0,0,0</t>
  </si>
  <si>
    <t>2025-05-07 21:55:00,-5701905.99668457,117804.780283909,-18.2333333333333,-1,-179.963,-9.87,0.00444991413451252,-0.16</t>
  </si>
  <si>
    <t>2025-05-07 21:55:00,27077315.0846429,91312.4648437016,0,0,0,0,0,0</t>
  </si>
  <si>
    <t>2025-05-07 21:56:00,,,565,,550,,558.5,,,,,570,550,557,562</t>
  </si>
  <si>
    <t>2025-05-07 21:56:00,490,,485,,470,,480,,,,,490,470,482,475</t>
  </si>
  <si>
    <t>2025-05-07 21:56:00,5800,,5710,,,5700,5650,,,,,5710,5520,5630,5620</t>
  </si>
  <si>
    <t>2025-05-07 21:56:00,19475,,,,19475,,19775,,,,,20200,19200,19400,19300</t>
  </si>
  <si>
    <t>2025-05-07 21:56:00,1503273474.77716,10243333335.1713,0,0,0,0,0,0</t>
  </si>
  <si>
    <t>2025-05-07 21:56:00,1641495650.65392,2970062303.44353,0,0,0,0,0,0</t>
  </si>
  <si>
    <t>2025-05-07 21:56:00,-5588778.17213201,114226.022840628,-200.033333333334,-12,-3197.22866666667,-112.71,0.0403333212659823,-2.11</t>
  </si>
  <si>
    <t>2025-05-07 21:56:00,27082571.7003337,91377.9310315191,0,0,0,0,0,0</t>
  </si>
  <si>
    <t>2025-05-07 21:57:00,575,,565,,550,,558.5,,,,,570,550,557,562</t>
  </si>
  <si>
    <t>2025-05-07 21:57:00,490,,485,,470,,480,,,,,490,470,482,475</t>
  </si>
  <si>
    <t>2025-05-07 21:57:00,5800,,5710,,,5700,5650,,,,,5710,5520,5630,5620</t>
  </si>
  <si>
    <t>2025-05-07 21:57:00,19475,,,,19475,,19775,,,,,20200,19200,19400,19300</t>
  </si>
  <si>
    <t>2025-05-07 21:57:00,1538942325.13873,9931358783.17683,0,0,0,0,0,0</t>
  </si>
  <si>
    <t>2025-05-07 21:57:00,1641579951.75135,2970206269.89997,0,0,0,0,0,0</t>
  </si>
  <si>
    <t>2025-05-07 21:57:00,-5672978.71192514,108463.747913128,-93.9500000000001,-10,-1269.8645,-52.52,-0.00536905485234505,-1.67</t>
  </si>
  <si>
    <t>2025-05-07 21:57:00,27081063.5853064,91318.687020725,0,0,0,0,0,0</t>
  </si>
  <si>
    <t>2025-05-07 21:58:00,575,,565,,550,,558.5,,,,,570,550,557,562</t>
  </si>
  <si>
    <t>2025-05-07 21:58:00,490,,485,,470,,480,,,,,490,470,482,475</t>
  </si>
  <si>
    <t>2025-05-07 21:58:00,5800,,5710,,,5700,5650,,,,,5710,5520,5630,5620</t>
  </si>
  <si>
    <t>2025-05-07 21:58:00,19475,,,,19475,,19775,,,,,20200,19200,19400,19300</t>
  </si>
  <si>
    <t>2025-05-07 21:58:00,1524499796.03966,10019600520.7721,0,0,0,0,0,0</t>
  </si>
  <si>
    <t>2025-05-07 21:58:00,1641535286.80353,2970049392.94959,0,0,0,0,0,0</t>
  </si>
  <si>
    <t>2025-05-07 21:58:00,-5660785.41446419,101794.837748664,-339.4,-11,-4775.56,-134.9,0.0384634659084203,-2.62</t>
  </si>
  <si>
    <t>2025-05-07 21:58:00,27081508.9206772,91280.7589297784,0,0,0,0,0,0</t>
  </si>
  <si>
    <t>2025-05-07 21:59:00,575,,565,,550,,558.5,,,,,570,550,557,562</t>
  </si>
  <si>
    <t>2025-05-07 21:59:00,490,,485,,470,,480,,,,,490,470,482,475</t>
  </si>
  <si>
    <t>2025-05-07 21:59:00,5800,,5710,,,5700,5650,,,,,5710,5520,5630,5620</t>
  </si>
  <si>
    <t>2025-05-07 21:59:00,19475,,,,19475,,19775,,,,,20200,19200,19400,19300</t>
  </si>
  <si>
    <t>2025-05-07 21:59:00,1524286475.24405,10019544665.165,0,0,0,0,0,0</t>
  </si>
  <si>
    <t>2025-05-07 21:59:00,1642815020.30632,2977183136.03215,0,0,0,0,0,0</t>
  </si>
  <si>
    <t>2025-05-07 21:59:00,-5683108.12059892,97606.6136068441,-43.6,-3,-621.24,-28.8,0.00183305721578465,-0.65</t>
  </si>
  <si>
    <t>2025-05-07 21:59:00,27086684.7256208,91352.7312181631,0,0,0,0,0,0</t>
  </si>
  <si>
    <t>2025-05-07 22:00:00,575,,565,,550,,558.5,,,,,570,550,557,562</t>
  </si>
  <si>
    <t>2025-05-07 22:00:00,490,,485,,470,,480,,,,,490,470,482,475</t>
  </si>
  <si>
    <t>2025-05-07 22:00:00,5800,,5710,,,5700,5650,,,,,5710,5520,5630,5620</t>
  </si>
  <si>
    <t>2025-05-07 22:00:00,19475,,,,19475,,19775,,,,,20200,19200,19400,19300</t>
  </si>
  <si>
    <t>2025-05-07 22:00:00,1550898240.29758,10027507466.4004,0,0,0,0,0,0</t>
  </si>
  <si>
    <t>2025-05-07 22:00:00,1653798328.40214,3015971782.65135,0,0,0,0,0,0</t>
  </si>
  <si>
    <t>2025-05-07 22:00:00,-5886975.27283297,73748.262959694,-368.95,-33,-2539.31566666667,-123.2,0.00302721655037277,-3.11</t>
  </si>
  <si>
    <t>2025-05-07 22:00:00,27085999.9775351,91309.9240023899,0,0,0,0,0,0</t>
  </si>
  <si>
    <t>2025-05-07 22:01:00,575,,565,,550,,561.5,,,,,570,550,557,562</t>
  </si>
  <si>
    <t>2025-05-07 22:01:00,490,,485,,470,,480,,,,,490,470,482,475</t>
  </si>
  <si>
    <t>2025-05-07 22:01:00,5800,,5710,,,5700,5650,,,,,5710,5520,5630,5620</t>
  </si>
  <si>
    <t>2025-05-07 22:01:00,19475,,,,19475,,19775,,,,,20200,19200,19400,19300</t>
  </si>
  <si>
    <t>2025-05-07 22:01:00,1491897088.09028,8885076088.94816,0,0,0,0,0,0</t>
  </si>
  <si>
    <t>2025-05-07 22:01:00,1661596366.25163,3041463987.87396,0,0,0,0,0,0</t>
  </si>
  <si>
    <t>2025-05-07 22:01:00,-5611411.69858779,94547.5858150989,-121.413333333333,-11,-1191.4816,-60.03,0.0109830994933637,-1.28</t>
  </si>
  <si>
    <t>2025-05-07 22:01:00,27091165.2124095,91389.3332930883,0,0,0,0,0,0</t>
  </si>
  <si>
    <t>2025-05-07 22:02:00,,,565,,550,,558.5,,,,,570,550,557,562</t>
  </si>
  <si>
    <t>2025-05-07 22:02:00,490,,485,,470,,480,,,,,490,470,482,475</t>
  </si>
  <si>
    <t>2025-05-07 22:02:00,5800,,5710,,,5800,5650,,,,,5710,5520,5630,5620</t>
  </si>
  <si>
    <t>2025-05-07 22:02:00,19475,,,,19475,,19775,,,,,20200,19200,19400,19300</t>
  </si>
  <si>
    <t>2025-05-07 22:02:00,1510286743.44367,10143382735.4345,0,0,0,0,0,0</t>
  </si>
  <si>
    <t>2025-05-07 22:02:00,1651564099.77291,3007561302.11003,0,0,0,0,0,0</t>
  </si>
  <si>
    <t>2025-05-07 22:02:00,-5468598.71856848,106002.402248325,-306.913333333333,-28,-3495.26160000001,-142.67,-0.0340364100889562,-4.37</t>
  </si>
  <si>
    <t>2025-05-07 22:02:00,27089478.1933777,91324.234874497,0,0,0,0,0,0</t>
  </si>
  <si>
    <t>2025-05-07 22:03:00,,,565,,550,,558.5,,,,,570,550,557,562</t>
  </si>
  <si>
    <t>2025-05-07 22:03:00,490,,485,,470,,480,,,,,490,470,482,475</t>
  </si>
  <si>
    <t>2025-05-07 22:03:00,5800,,5710,,,5800,5650,,,,,5710,5520,5630,5620</t>
  </si>
  <si>
    <t>2025-05-07 22:03:00,19475,,,,19475,,19775,,,,,20200,19200,19400,19300</t>
  </si>
  <si>
    <t>2025-05-07 22:03:00,1510065214.71753,10144639113.5407,0,0,0,0,0,0</t>
  </si>
  <si>
    <t>2025-05-07 22:03:00,1669156208.84023,3063064197.79222,0,0,0,0,0,0</t>
  </si>
  <si>
    <t>2025-05-07 22:03:00,-5508123.44813696,84222.7797986427,-405.508333333333,-22,-6759.33275,-309.33,0.111842493959373,-5.54</t>
  </si>
  <si>
    <t>2025-05-07 22:03:00,27089061.0268064,91310.9724841903,0,0,0,0,0,0</t>
  </si>
  <si>
    <t>2025-05-07 22:04:00,575,,565,,550,,558.5,,,,,570,550,557,562</t>
  </si>
  <si>
    <t>2025-05-07 22:04:00,490,,490,,470,,485,,,,,490,470,482,475</t>
  </si>
  <si>
    <t>2025-05-07 22:04:00,5800,,5710,,,5700,5660,,,,,5710,5520,5630,5620</t>
  </si>
  <si>
    <t>2025-05-07 22:04:00,19475,,,,19475,,19775,,,,,20200,19200,19400,19300</t>
  </si>
  <si>
    <t>2025-05-07 22:04:00,1514152762.79263,10396225684.3531,0,0,0,0,0,0</t>
  </si>
  <si>
    <t>2025-05-07 22:04:00,1711512345.82324,2491423685.61929,0,0,0,0,0,0</t>
  </si>
  <si>
    <t>2025-05-07 22:04:00,-6604083.00097592,-9188.38463150486,-335.272463768116,-20,-5596.7097826087,-286.85,0.0377614854185304,-5.86</t>
  </si>
  <si>
    <t>2025-05-07 22:04:00,27090025.8681962,91394.8038454429,0,0,0,0,0,0</t>
  </si>
  <si>
    <t>2025-05-07 22:05:00,575,,565,,550,,558.5,,,,,570,550,557,562</t>
  </si>
  <si>
    <t>2025-05-07 22:05:00,490,,490,,470,,485,,,,,490,470,482,475</t>
  </si>
  <si>
    <t>2025-05-07 22:05:00,5800,,5710,,,5700,5660,,,,,5710,5520,5630,5620</t>
  </si>
  <si>
    <t>2025-05-07 22:05:00,19475,,,,19475,,19775,,,,,20200,19200,19400,19300</t>
  </si>
  <si>
    <t>2025-05-07 22:05:00,1588782031.87368,10382133068.6014,0,0,0,0,0,0</t>
  </si>
  <si>
    <t>2025-05-07 22:05:00,1703249490.38176,2466602717.0585,0,0,0,0,0,0</t>
  </si>
  <si>
    <t>2025-05-07 22:05:00,-6490785.71758829,1022.26616884239,-45.9666666666667,-3,-581.612666666666,-27.12,-0.00892533019464408,-0.83</t>
  </si>
  <si>
    <t>2025-05-07 22:05:00,27094179.9406553,91415.5442253415,0,0,0,0,0,0</t>
  </si>
  <si>
    <t>2025-05-07 22:06:00,575,,565,,550,,558.5,,,,,570,550,557,562</t>
  </si>
  <si>
    <t>2025-05-07 22:06:00,490,,485,,470,,480,,,,,490,470,482,475</t>
  </si>
  <si>
    <t>2025-05-07 22:06:00,5800,,5710,,,5700,5660,,,,,5710,5520,5630,5620</t>
  </si>
  <si>
    <t>2025-05-07 22:06:00,19475,,,,19475,,19775,,,,,20200,19200,19400,19300</t>
  </si>
  <si>
    <t>2025-05-07 22:06:00,1583499269.83106,10507024342.4386,0,0,0,0,0,0</t>
  </si>
  <si>
    <t>2025-05-07 22:06:00,1744647883.42324,2947873559.95291,0,0,0,0,0,0</t>
  </si>
  <si>
    <t>2025-05-07 22:06:00,-6905746.90129995,-25939.5551107085,-81.7428571428569,-4,-1626.87807142856,-62.97,-0.00584788535933378,-1.27</t>
  </si>
  <si>
    <t>2025-05-07 22:06:00,27091765.9450347,91373.6225117336,0,0,0,0,0,0</t>
  </si>
  <si>
    <t>2025-05-07 22:07:00,575,,565,,550,,558.5,,,,,570,550,557,562</t>
  </si>
  <si>
    <t>2025-05-07 22:07:00,490,,485,,470,,480,,,,,490,470,482,475</t>
  </si>
  <si>
    <t>2025-05-07 22:07:00,5800,,5710,,,5700,5660,,,,,5710,5520,5630,5620</t>
  </si>
  <si>
    <t>2025-05-07 22:07:00,19475,,,,19475,,19775,,,,,20200,19200,19400,19300</t>
  </si>
  <si>
    <t>2025-05-07 22:07:00,1489371024.21751,10218934473.8172,0,0,0,0,0,0</t>
  </si>
  <si>
    <t>2025-05-07 22:07:00,1744745275.53887,2948327740.14169,0,0,0,0,0,0</t>
  </si>
  <si>
    <t>2025-05-07 22:07:00,-6836677.06834462,-72355.8839969759,-661.416666666667,-25,-20535.9666666667,-698.4,0.227219353084016,-15.33</t>
  </si>
  <si>
    <t>2025-05-07 22:07:00,27097027.1014769,91443.2686577352,0,0,0,0,0,0</t>
  </si>
  <si>
    <t>2025-05-07 22:08:00,575,,565,,550,,558.5,,,,,570,550,557,562</t>
  </si>
  <si>
    <t>2025-05-07 22:08:00,490,,485,,470,,480,,,,,490,470,482,475</t>
  </si>
  <si>
    <t>2025-05-07 22:08:00,5800,,5710,,,5700,5660,,,,,5710,5520,5630,5620</t>
  </si>
  <si>
    <t>2025-05-07 22:08:00,19475,,,,19475,,19775,,,,,20200,19200,19400,19300</t>
  </si>
  <si>
    <t>2025-05-07 22:08:00,1630003858.42739,10861836150.2852,0,0,0,0,0,0</t>
  </si>
  <si>
    <t>2025-05-07 22:08:00,1771564443.39739,3030869273.0717,0,0,0,0,0,0</t>
  </si>
  <si>
    <t>2025-05-07 22:08:00,-7171155.86952825,-107625.963048372,-87.7166666666667,-5,-1375.791,-51.42,0.0172969150558399,-0.94</t>
  </si>
  <si>
    <t>2025-05-07 22:08:00,27097006.3717873,91434.3322702692,0,0,0,0,0,0</t>
  </si>
  <si>
    <t>2025-05-07 22:09:00,575,,565,,550,,558.5,,,,,570,550,557,562</t>
  </si>
  <si>
    <t>2025-05-07 22:09:00,490,,485,,470,,480,,,,,490,470,482,475</t>
  </si>
  <si>
    <t>2025-05-07 22:09:00,5800,,5710,,,5700,5660,,,,,5710,5520,5630,5620</t>
  </si>
  <si>
    <t>2025-05-07 22:09:00,19475,,,,19475,,19775,,,,,20200,19200,19400,19300</t>
  </si>
  <si>
    <t>2025-05-07 22:09:00,1662260163.89325,11066485809.3501,0,0,0,0,0,0</t>
  </si>
  <si>
    <t>2025-05-07 22:09:00,1762607638.1441,3003820009.09431,0,0,0,0,0,0</t>
  </si>
  <si>
    <t>2025-05-07 22:09:00,-7292151.14279754,-86984.2225825605,-1044.1,-75,-6550.52816666667,-410.85,-0.126772317003548,-15.27</t>
  </si>
  <si>
    <t>2025-05-07 22:09:00,27102346.6669837,91490.0958483945,0,0,0,0,0,0</t>
  </si>
  <si>
    <t>2025-05-07 22:10:00,575,,565,,550,,558.5,,,,,570,550,557,562</t>
  </si>
  <si>
    <t>2025-05-07 22:10:00,490,,485,,470,,480,,,,,490,470,482,475</t>
  </si>
  <si>
    <t>2025-05-07 22:10:00,5800,,5710,,,5700,5660,,,,,5710,5520,5630,5620</t>
  </si>
  <si>
    <t>2025-05-07 22:10:00,19475,,,,19475,,19775,,,,,20200,19200,19400,19300</t>
  </si>
  <si>
    <t>2025-05-07 22:10:00,1652737207.24384,10995069577.7522,0,0,0,0,0,0</t>
  </si>
  <si>
    <t>2025-05-07 22:10:00,1773485523.40996,3034575439.51276,0,0,0,0,0,0</t>
  </si>
  <si>
    <t>2025-05-07 22:10:00,-7336792.34038296,-94908.6654034961,-220.933333333333,-13,-4497.32483333333,-275.42,0.0373611578786198,-3.91</t>
  </si>
  <si>
    <t>2025-05-07 22:10:00,27101565.0999384,91462.7603798361,0,0,0,0,0,0</t>
  </si>
  <si>
    <t>2025-05-07 22:11:00,575,,565,,550,,558.5,,,,,570,550,557,562</t>
  </si>
  <si>
    <t>2025-05-07 22:11:00,490,,485,,470,,480,,,,,490,470,482,475</t>
  </si>
  <si>
    <t>2025-05-07 22:11:00,5800,,5710,,,5700,5660,,,,,5710,5520,5630,5620</t>
  </si>
  <si>
    <t>2025-05-07 22:11:00,19475,,,,19475,,19775,,,,,20200,19200,19400,19300</t>
  </si>
  <si>
    <t>2025-05-07 22:11:00,1678797838.60539,11060232924.7799,0,0,0,0,0,0</t>
  </si>
  <si>
    <t>2025-05-07 22:11:00,1881759754.40274,3186878382.71553,0,0,0,0,0,0</t>
  </si>
  <si>
    <t>2025-05-07 22:11:00,-7956167.86250223,-131459.737646858,-906.701507936507,-45,-14171.1446968254,-592.71,0.0267423948166596,-11.45</t>
  </si>
  <si>
    <t>2025-05-07 22:11:00,27099692.5658053,91476.0832747265,0,0,0,0,0,0</t>
  </si>
  <si>
    <t>2025-05-07 22:12:00,575,,565,,550,,558.5,,,,,570,550,557,562</t>
  </si>
  <si>
    <t>2025-05-07 22:12:00,490,,485,,470,,480,,,,,490,470,482,475</t>
  </si>
  <si>
    <t>2025-05-07 22:12:00,5800,,5710,,,5700,5660,,,,,5710,5520,5630,5620</t>
  </si>
  <si>
    <t>2025-05-07 22:12:00,19475,,,,19475,,19775,,,,,20200,19200,19400,19300</t>
  </si>
  <si>
    <t>2025-05-07 22:12:00,1661649355.33078,11049921832.7657,0,0,0,0,0,0</t>
  </si>
  <si>
    <t>2025-05-07 22:12:00,1839688912.78033,3035731951.52558,0,0,0,0,0,0</t>
  </si>
  <si>
    <t>2025-05-07 22:12:00,-7774329.09239841,-118469.538167703,-91.1,-9,-237.947666666667,-15.72,0.00123049882193912,-0.45</t>
  </si>
  <si>
    <t>2025-05-07 22:12:00,27105050.5275404,91505.9323854787,0,0,0,0,0,0</t>
  </si>
  <si>
    <t>2025-05-07 22:13:00,575,,565,,550,,558.5,,,,,570,550,557,562</t>
  </si>
  <si>
    <t>2025-05-07 22:13:00,490,,485,,470,,480,,,,,490,470,482,475</t>
  </si>
  <si>
    <t>2025-05-07 22:13:00,5800,,5710,,,5700,5660,,,,,5710,5520,5630,5620</t>
  </si>
  <si>
    <t>2025-05-07 22:13:00,19475,,,,19475,,19775,,,,,20200,19200,19400,19300</t>
  </si>
  <si>
    <t>2025-05-07 22:13:00,1676504897.20299,11093477205.0267,0,0,0,0,0,0</t>
  </si>
  <si>
    <t>2025-05-07 22:13:00,1854389017.46542,3085004988.85391,0,0,0,0,0,0</t>
  </si>
  <si>
    <t>2025-05-07 22:13:00,-7869612.31565638,-117750.906439483,-72.0833333333333,-3,-1877.031,-50.67,0.00390586137134834,-1.27</t>
  </si>
  <si>
    <t>2025-05-07 22:13:00,27103830.2094215,91465.8543576616,0,0,0,0,0,0</t>
  </si>
  <si>
    <t>2025-05-07 22:14:00,575,,565,,550,,558.5,,,,,570,550,557,562</t>
  </si>
  <si>
    <t>2025-05-07 22:14:00,490,,485,,470,,480,,,,,490,470,482,475</t>
  </si>
  <si>
    <t>2025-05-07 22:14:00,5800,,5710,,,5700,5660,,,,,5710,5520,5630,5620</t>
  </si>
  <si>
    <t>2025-05-07 22:14:00,19475,,,,19475,,19775,,,,,20200,19200,19400,19300</t>
  </si>
  <si>
    <t>2025-05-07 22:14:00,1682837085.0777,10608336010.6112,0,0,0,0,0,0</t>
  </si>
  <si>
    <t>2025-05-07 22:14:00,1848807024.29545,3066829447.26924,0,0,0,0,0,0</t>
  </si>
  <si>
    <t>2025-05-07 22:14:00,-7424424.07072411,-57352.2461814068,-270.229433008307,-34,-2610.95362441315,-299.12,-0.0422821951966285,-8.14</t>
  </si>
  <si>
    <t>2025-05-07 22:14:00,27110138.6436668,91542.1591184457,0,0,0,0,0,0</t>
  </si>
  <si>
    <t>2025-05-07 22:15:00,575,,565,,550,,558.5,,,,,570,550,557,562</t>
  </si>
  <si>
    <t>2025-05-07 22:15:00,490,,485,,470,,480,,,,,490,470,482,475</t>
  </si>
  <si>
    <t>2025-05-07 22:15:00,5800,,5710,,,5700,5660,,,,,5710,5520,5630,5620</t>
  </si>
  <si>
    <t>2025-05-07 22:15:00,19475,,,,19475,,19775,,,,,20200,19200,19400,19300</t>
  </si>
  <si>
    <t>2025-05-07 22:15:00,1682790001.06152,10609803240.9785,0,0,0,0,0,0</t>
  </si>
  <si>
    <t>2025-05-07 22:15:00,1868365748.84683,3143864340.42652,0,0,0,0,0,0</t>
  </si>
  <si>
    <t>2025-05-07 22:15:00,-8030736.63694681,-129957.784417915,-32.1333333333333,-2,-419.16,-15.4,0.00423035647934657,-0.3</t>
  </si>
  <si>
    <t>2025-05-07 22:15:00,27108869.4456927,91501.2391043346,0,0,0,0,0,0</t>
  </si>
  <si>
    <t>2025-05-07 22:16:00,575,,565,,550,,558.5,,,,,570,550,557,562</t>
  </si>
  <si>
    <t>2025-05-07 22:16:00,490,,485,,470,,480,,,,,490,470,482,475</t>
  </si>
  <si>
    <t>2025-05-07 22:16:00,5800,,5710,,,5700,5660,,,,,5710,5520,5630,5620</t>
  </si>
  <si>
    <t>2025-05-07 22:16:00,19475,,,,19475,,19775,,,,,20200,19200,19400,19300</t>
  </si>
  <si>
    <t>2025-05-07 22:16:00,1709289249.2485,10783538555.6247,0,0,0,0,0,0</t>
  </si>
  <si>
    <t>2025-05-07 22:16:00,1886884512.74419,3204631084.85359,0,0,0,0,0,0</t>
  </si>
  <si>
    <t>2025-05-07 22:16:00,-8047951.55394902,-137507.326765282,-1180.13333333333,-98,-10235.119,-447.74,0.174739021105827,-8.2</t>
  </si>
  <si>
    <t>2025-05-07 22:16:00,27107988.0564632,91473.4808742204,0,0,0,0,0,0</t>
  </si>
  <si>
    <t>2025-05-07 22:17:00,575,,565,,550,,558.5,,,,,570,550,557,562</t>
  </si>
  <si>
    <t>2025-05-07 22:17:00,490,,485,,470,,480,,,,,490,470,482,475</t>
  </si>
  <si>
    <t>2025-05-07 22:17:00,5800,,5710,,,5700,5660,,,,,5710,5520,5630,5620</t>
  </si>
  <si>
    <t>2025-05-07 22:17:00,19475,,,,19475,,19775,,,,,20200,19200,19400,19300</t>
  </si>
  <si>
    <t>2025-05-07 22:17:00,1712989587.09175,10806463058.0461,0,0,0,0,0,0</t>
  </si>
  <si>
    <t>2025-05-07 22:17:00,1910129740.71897,3212831142.98539,0,0,0,0,0,0</t>
  </si>
  <si>
    <t>2025-05-07 22:17:00,-7930386.59038434,-85091.8816987867,-319.608333333333,-10,-6636.10724999999,-186.82,-0.0128655593725376,-4.33</t>
  </si>
  <si>
    <t>2025-05-07 22:17:00,27113280.135219,91581.4336361892,0,0,0,0,0,0</t>
  </si>
  <si>
    <t>2025-05-07 22:18:00,575,,565,,550,,558.5,,,,,570,550,557,562</t>
  </si>
  <si>
    <t>2025-05-07 22:18:00,490,,485,,470,,480,,,,,490,470,482,475</t>
  </si>
  <si>
    <t>2025-05-07 22:18:00,5800,,5710,,,5700,5660,,,,,5710,5520,5630,5620</t>
  </si>
  <si>
    <t>2025-05-07 22:18:00,19475,,,,19475,,19775,,,,,20200,19200,19400,19300</t>
  </si>
  <si>
    <t>2025-05-07 22:18:00,1708201141.70118,10701882690.1061,0,0,0,0,0,0</t>
  </si>
  <si>
    <t>2025-05-07 22:18:00,1910718548.52419,3179401290.74067,0,0,0,0,0,0</t>
  </si>
  <si>
    <t>2025-05-07 22:18:00,-8029632.13118992,-101472.661833854,-586.5,-19,-15466,-428.6,0.0431792872021134,-12.09</t>
  </si>
  <si>
    <t>2025-05-07 22:18:00,27111605.269424,91516.1521543455,0,0,0,0,0,0</t>
  </si>
  <si>
    <t>2025-05-07 22:20:00,575,,565,,550,,558.5,,,,,570,550,557,562</t>
  </si>
  <si>
    <t>2025-05-07 22:20:00,490,,485,,470,,480,,,,,490,470,482,475</t>
  </si>
  <si>
    <t>2025-05-07 22:20:00,5800,,5710,,,5700,5660,,,,,5710,5520,5630,5620</t>
  </si>
  <si>
    <t>2025-05-07 22:20:00,19475,,,,19475,,19775,,,,,20200,19200,19400,19300</t>
  </si>
  <si>
    <t>2025-05-07 22:20:00,1713686150.90472,10740090583.279,0,0,0,0,0,0</t>
  </si>
  <si>
    <t>2025-05-07 22:20:00,1908504040.85092,3230395385.46809,0,0,0,0,0,0</t>
  </si>
  <si>
    <t>2025-05-07 22:20:00,-7983892.60688189,-101470.577597769,-230.183333333333,-10,-5703.35616666666,-148.42,0.0217345644852581,-2.6</t>
  </si>
  <si>
    <t>2025-05-07 22:20:00,27116903.9989403,91579.205869866,0,0,0,0,0,0</t>
  </si>
  <si>
    <t>2025-05-07 22:21:00,575,,565,,550,,558.5,,,,,570,550,557,562</t>
  </si>
  <si>
    <t>2025-05-07 22:21:00,490,,485,,470,,480,,,,,490,470,482,475</t>
  </si>
  <si>
    <t>2025-05-07 22:21:00,5800,,5710,,,5700,5660,,,,,5710,5520,5630,5620</t>
  </si>
  <si>
    <t>2025-05-07 22:21:00,19475,,,,19475,,19775,,,,,20200,19200,19400,19300</t>
  </si>
  <si>
    <t>2025-05-07 22:21:00,1820808276.51485,11465306695.5656,0,0,0,0,0,0</t>
  </si>
  <si>
    <t>2025-05-07 22:21:00,1941179181.50327,3133609698.28646,0,0,0,0,0,0</t>
  </si>
  <si>
    <t>2025-05-07 22:21:00,-8708897.92554435,-168528.452881491,-814.233333333335,-28,-12188.3956666667,-314.43,0.054015778359664,-7.81</t>
  </si>
  <si>
    <t>2025-05-07 22:21:00,27114949.3658341,91597.4029432517,0,0,0,0,0,0</t>
  </si>
  <si>
    <t>2025-05-07 22:22:00,575,,565,,550,,558.5,,,,,570,550,557,562</t>
  </si>
  <si>
    <t>2025-05-07 22:22:00,490,,490,,470,,480,,,,,490,470,482,475</t>
  </si>
  <si>
    <t>2025-05-07 22:22:00,5800,,5710,,,5700,5660,,,,,5710,5520,5630,5620</t>
  </si>
  <si>
    <t>2025-05-07 22:22:00,19475,,,,19475,,19775,,,,,20200,19200,19400,19300</t>
  </si>
  <si>
    <t>2025-05-07 22:22:00,2105821597.2499,11546907766.3147,0,0,0,0,0,0</t>
  </si>
  <si>
    <t>2025-05-07 22:22:00,2025795498.41306,3391831992.31846,0,0,0,0,0,0</t>
  </si>
  <si>
    <t>2025-05-07 22:22:00,-10678578.2053093,-343831.71755176,-2672.43095238095,-115,-21983.2642380952,-728.33,0.159191155896909,-15.51</t>
  </si>
  <si>
    <t>2025-05-07 22:22:00,27116386.9394683,91660.5538557817,0,0,0,0,0,0</t>
  </si>
  <si>
    <t>2025-05-07 22:23:00,575,,565,,550,,558.5,,,,,570,550,557,562</t>
  </si>
  <si>
    <t>2025-05-07 22:23:00,490,,490,,470,,480,,,,,490,470,482,475</t>
  </si>
  <si>
    <t>2025-05-07 22:23:00,5800,,5710,,,5700,5660,,,,,5710,5520,5630,5620</t>
  </si>
  <si>
    <t>2025-05-07 22:23:00,19475,,,,19475,,19775,,,,,20200,19200,19400,19300</t>
  </si>
  <si>
    <t>2025-05-07 22:23:00,2175540381.62121,12018601382.6125,0,0,0,0,0,0</t>
  </si>
  <si>
    <t>2025-05-07 22:23:00,2035201178.14007,3425996069.31891,0,0,0,0,0,0</t>
  </si>
  <si>
    <t>2025-05-07 22:23:00,-11247836.185053,-393239.893136975,-991.570000000001,-41,-19430.9402,-373.91,0.0239819863836914,-8.88</t>
  </si>
  <si>
    <t>2025-05-07 22:23:00,27121525.3181343,91766.7709153372,0,0,0,0,0,0</t>
  </si>
  <si>
    <t>2025-05-07 22:24:00,575,,565,,550,,558.5,,,,,570,550,557,562</t>
  </si>
  <si>
    <t>2025-05-07 22:24:00,490,,490,,470,,480,,,,,490,470,482,475</t>
  </si>
  <si>
    <t>2025-05-07 22:24:00,5800,,5710,,,5700,5660,,,,,5710,5600,5630,5620</t>
  </si>
  <si>
    <t>2025-05-07 22:24:00,19475,,,,19475,,19775,,,,,20200,19200,19400,19300</t>
  </si>
  <si>
    <t>2025-05-07 22:24:00,2172253906.10572,12047207609.6933,0,0,0,0,0,0</t>
  </si>
  <si>
    <t>2025-05-07 22:24:00,2020822465.89759,3395366265.40749,0,0,0,0,0,0</t>
  </si>
  <si>
    <t>2025-05-07 22:24:00,-11398482.6338829,-411907.222917489,-364.583333333333,-18,-3615.55816666667,-123.49,0.0221000359714437,-2.82</t>
  </si>
  <si>
    <t>2025-05-07 22:24:00,27121238.6321668,91727.8897504926,0,0,0,0,0,0</t>
  </si>
  <si>
    <t>2025-05-07 22:25:00,575,,565,,550,,558.5,,,,,570,550,557,562</t>
  </si>
  <si>
    <t>2025-05-07 22:25:00,490,,490,,470,,480,,,,,490,470,482,475</t>
  </si>
  <si>
    <t>2025-05-07 22:25:00,5800,,5710,,,5700,5660,,,,,5710,5600,5630,5620</t>
  </si>
  <si>
    <t>2025-05-07 22:25:00,19475,,,,19475,,19775,,,,,20200,19200,19400,19300</t>
  </si>
  <si>
    <t>2025-05-07 22:25:00,2118576156.25189,11661397693.2935,0,0,0,0,0,0</t>
  </si>
  <si>
    <t>2025-05-07 22:25:00,2027297592.02568,3398122513.49165,0,0,0,0,0,0</t>
  </si>
  <si>
    <t>2025-05-07 22:25:00,-10793283.3454037,-353046.166913889,-292.614285714286,-24,-2272.648,-107.62,-0.0215444669264913,-3.45</t>
  </si>
  <si>
    <t>2025-05-07 22:25:00,27126468.9545196,91760.2579427805,0,0,0,0,0,0</t>
  </si>
  <si>
    <t>2025-05-07 22:26:00,575,,565,,550,,558.5,,,,,570,550,557,562</t>
  </si>
  <si>
    <t>2025-05-07 22:26:00,490,,490,,470,,480,,,,,490,470,482,475</t>
  </si>
  <si>
    <t>2025-05-07 22:26:00,5800,,5710,,,5700,5660,,,,,5710,5600,5630,5620</t>
  </si>
  <si>
    <t>2025-05-07 22:26:00,19475,,,,19475,,19775,,,,,20200,19200,19400,19300</t>
  </si>
  <si>
    <t>2025-05-07 22:26:00,1921921428.7718,11037757541.5831,0,0,0,0,0,0</t>
  </si>
  <si>
    <t>2025-05-07 22:26:00,2028918997.00051,3402302023.09889,0,0,0,0,0,0</t>
  </si>
  <si>
    <t>2025-05-07 22:26:00,-10660844.8035031,-335467.794219246,-245.1,-15,-1942.34166666667,-82.61,0.00231349473411821,-2.31</t>
  </si>
  <si>
    <t>2025-05-07 22:26:00,27124683.2776421,91707.5671368648,0,0,0,0,0,0</t>
  </si>
  <si>
    <t>2025-05-07 22:27:00,575,,565,,550,,558.5,,,,,570,550,557,562</t>
  </si>
  <si>
    <t>2025-05-07 22:27:00,490,,490,,470,,480,,,,,490,470,482,475</t>
  </si>
  <si>
    <t>2025-05-07 22:27:00,5800,,5710,,,5700,5660,,,,,5710,5600,5630,5620</t>
  </si>
  <si>
    <t>2025-05-07 22:27:00,19475,,,,19475,,19775,,,,,20200,19200,19400,19300</t>
  </si>
  <si>
    <t>2025-05-07 22:27:00,1928008743.11437,11046965676.0687,0,0,0,0,0,0</t>
  </si>
  <si>
    <t>2025-05-07 22:27:00,2029557208.19185,3404812291.53831,0,0,0,0,0,0</t>
  </si>
  <si>
    <t>2025-05-07 22:27:00,-10615041.0481291,-333219.181517383,-363.533333333333,-18,-2173.51933333333,-91.67,0.0181915037374034,-2.05</t>
  </si>
  <si>
    <t>2025-05-07 22:27:00,27122913.6268919,91642.3395622096,0,0,0,0,0,0</t>
  </si>
  <si>
    <t>2025-05-07 22:28:00,575,,565,,550,,558.5,,,,,570,550,557,562</t>
  </si>
  <si>
    <t>2025-05-07 22:28:00,490,,490,,470,,480,,,,,490,470,482,475</t>
  </si>
  <si>
    <t>2025-05-07 22:28:00,5800,,5710,,,5700,5660,,,,,5710,5600,5630,5620</t>
  </si>
  <si>
    <t>2025-05-07 22:28:00,19475,,,,19475,,19775,,,,,20200,19200,19400,19300</t>
  </si>
  <si>
    <t>2025-05-07 22:28:00,1933368692.26004,11085360343.3914,0,0,0,0,0,0</t>
  </si>
  <si>
    <t>2025-05-07 22:28:00,2027729345.08404,3398816280.98375,0,0,0,0,0,0</t>
  </si>
  <si>
    <t>2025-05-07 22:28:00,-10484829.5771118,-335500.62827983,-85.7999999999999,-4,-1425.714,-46.5,0.0164087615884537,-0.96</t>
  </si>
  <si>
    <t>2025-05-07 22:28:00,27128311.5073637,91710.8158292768,0,0,0,0,0,0</t>
  </si>
  <si>
    <t>2025-05-07 22:29:00,575,,565,,550,,558.5,,,,,570,550,557,562</t>
  </si>
  <si>
    <t>2025-05-07 22:29:00,490,,490,,470,,480,,,,,490,470,482,475</t>
  </si>
  <si>
    <t>2025-05-07 22:29:00,5800,,5710,,,5700,5660,,,,,5710,5600,5630,5620</t>
  </si>
  <si>
    <t>2025-05-07 22:29:00,19475,,,,19475,,19775,,,,,20200,19200,19400,19300</t>
  </si>
  <si>
    <t>2025-05-07 22:29:00,1933417320.98676,11088338741.122,0,0,0,0,0,0</t>
  </si>
  <si>
    <t>2025-05-07 22:29:00,2010107442.46201,3343611558.00029,0,0,0,0,0,0</t>
  </si>
  <si>
    <t>2025-05-07 22:29:00,-10537177.2014814,-330323.680977752,-226.766666666667,-8,-2283.953,-75.47,0.013061664925654,-1.85</t>
  </si>
  <si>
    <t>2025-05-07 22:29:00,27127398.6075225,91635.7589158238,0,0,0,0,0,0</t>
  </si>
  <si>
    <t>2025-05-07 22:30:00,575,,565,,550,,558.5,,,,,570,550,557,562</t>
  </si>
  <si>
    <t>2025-05-07 22:30:00,490,,485,,470,,480,,,,,490,470,482,475</t>
  </si>
  <si>
    <t>2025-05-07 22:30:00,5800,,5710,,,5700,5660,,,,,5710,5600,5630,5620</t>
  </si>
  <si>
    <t>2025-05-07 22:30:00,19475,,,,19475,,19775,,,,,20200,19200,19400,19300</t>
  </si>
  <si>
    <t>2025-05-07 22:30:00,1933374409.90385,11087617390.715,0,0,0,0,0,0</t>
  </si>
  <si>
    <t>2025-05-07 22:30:00,2007199991.74981,3335283543.01168,0,0,0,0,0,0</t>
  </si>
  <si>
    <t>2025-05-07 22:30:00,-10572901.5113748,-336147.656993481,-64.8,-4,-244.332666666667,-9.17,-0.00289726763149313,-0.29</t>
  </si>
  <si>
    <t>2025-05-07 22:30:00,27132726.5685544,91703.3399195112,0,0,0,0,0,0</t>
  </si>
  <si>
    <t>2025-05-07 22:31:00,575,,565,,550,,558.5,,,,,570,550,557,562</t>
  </si>
  <si>
    <t>2025-05-07 22:31:00,490,,485,,470,,480,,,,,490,470,482,475</t>
  </si>
  <si>
    <t>2025-05-07 22:31:00,5800,,5710,,,5700,5660,,,,,5710,5600,5630,5620</t>
  </si>
  <si>
    <t>2025-05-07 22:31:00,19475,,,,19475,,19775,,,,,20200,19200,19400,19300</t>
  </si>
  <si>
    <t>2025-05-07 22:31:00,1964578080.80419,12243879610.5414,0,0,0,0,0,0</t>
  </si>
  <si>
    <t>2025-05-07 22:31:00,1975438963.77954,3236008412.44541,0,0,0,0,0,0</t>
  </si>
  <si>
    <t>2025-05-07 22:31:00,-10131231.0846114,-303186.851014702,-27.05,-2,-77.956,-5.42,-0.000780865786663751,-0.19</t>
  </si>
  <si>
    <t>2025-05-07 22:31:00,27128868.989831,91601.7825609091,0,0,0,0,0,0</t>
  </si>
  <si>
    <t>2025-05-07 22:32:00,575,,565,,550,,558.5,,,,,570,550,557,562</t>
  </si>
  <si>
    <t>2025-05-07 22:32:00,490,,490,,470,,480,,,,,490,470,482,475</t>
  </si>
  <si>
    <t>2025-05-07 22:32:00,5800,,5710,,,5700,5660,,,,,5710,5600,5630,5620</t>
  </si>
  <si>
    <t>2025-05-07 22:32:00,19475,,,,19475,,19775,,,,,20200,19200,19400,19300</t>
  </si>
  <si>
    <t>2025-05-07 22:32:00,2056046043.41077,11265820439.2133,0,0,0,0,0,0</t>
  </si>
  <si>
    <t>2025-05-07 22:32:00,2033218208.46504,3420137159.1722,0,0,0,0,0,0</t>
  </si>
  <si>
    <t>2025-05-07 22:32:00,-11034876.7601278,-385478.466027545,-841.002380952384,-26,-13342.8822619048,-325.32,0.0160459721785143,-7.54</t>
  </si>
  <si>
    <t>2025-05-07 22:32:00,27129694.2104676,91640.5738519841,0,0,0,0,0,0</t>
  </si>
  <si>
    <t>2025-05-07 22:33:00,575,,565,,550,,558.5,,,,,570,550,557,562</t>
  </si>
  <si>
    <t>2025-05-07 22:33:00,490,,490,,470,,480,,,,,490,470,482,475</t>
  </si>
  <si>
    <t>2025-05-07 22:33:00,5800,,5710,,,5700,5660,,,,,5710,5600,5630,5620</t>
  </si>
  <si>
    <t>2025-05-07 22:33:00,19475,,,,19475,,19775,,,,,20200,19200,19400,19300</t>
  </si>
  <si>
    <t>2025-05-07 22:33:00,2106177945.13385,11588944946.1182,0,0,0,0,0,0</t>
  </si>
  <si>
    <t>2025-05-07 22:33:00,2021130373.92544,3397558636.82071,0,0,0,0,0,0</t>
  </si>
  <si>
    <t>2025-05-07 22:33:00,-10992342.1963779,-378189.183094116,-630.454761904763,-12,-30626.0374285715,-325.54,0.0141210417568494,-5.49</t>
  </si>
  <si>
    <t>2025-05-07 22:33:00,27134873.225931,91732.5704517676,0,0,0,0,0,0</t>
  </si>
  <si>
    <t>2025-05-07 22:34:00,575,,565,,550,,558.5,,,,,570,550,557,562</t>
  </si>
  <si>
    <t>2025-05-07 22:34:00,490,,490,,470,,480,,,,,490,470,482,475</t>
  </si>
  <si>
    <t>2025-05-07 22:34:00,5800,,5710,,,5700,5660,,,,,5710,5600,5630,5620</t>
  </si>
  <si>
    <t>2025-05-07 22:34:00,19475,,,,19475,,19775,,,,,20200,19200,19400,19300</t>
  </si>
  <si>
    <t>2025-05-07 22:34:00,2117957353.02412,11671682868.0277,0,0,0,0,0,0</t>
  </si>
  <si>
    <t>2025-05-07 22:34:00,1793050569.07946,2787350643.5872,0,0,0,0,0,0</t>
  </si>
  <si>
    <t>2025-05-07 22:34:00,-11022963.4083569,-387618.545407628,-127.65,-6,-1141.9985,-31.7,0.00470753931852938,-0.77</t>
  </si>
  <si>
    <t>2025-05-07 22:34:00,27136391.7983074,91724.0118988939,0,0,0,0,0,0</t>
  </si>
  <si>
    <t>2025-05-07 22:35:00,575,,565,,550,,558.5,,,,,570,550,557,562</t>
  </si>
  <si>
    <t>2025-05-07 22:35:00,490,,490,,470,,480,,,,,490,470,482,475</t>
  </si>
  <si>
    <t>2025-05-07 22:35:00,5800,,5710,,,5700,5660,,,,,5710,5600,5630,5620</t>
  </si>
  <si>
    <t>2025-05-07 22:35:00,19475,,,,19475,,19775,,,,,20200,19200,19400,19300</t>
  </si>
  <si>
    <t>2025-05-07 22:35:00,2055751091.12105,11266832295.8451,0,0,0,0,0,0</t>
  </si>
  <si>
    <t>2025-05-07 22:35:00,2033348094.11579,3423365383.64639,0,0,0,0,0,0</t>
  </si>
  <si>
    <t>2025-05-07 22:35:00,-10795966.6521936,-361857.543530469,-49.9333333333333,-4,-188.678666666667,-10.28,-0.00441972839867684,-0.41</t>
  </si>
  <si>
    <t>2025-05-07 22:35:00,27135384.2818587,91600.6389790864,0,0,0,0,0,0</t>
  </si>
  <si>
    <t>2025-05-07 22:36:00,575,,565,,550,,558.5,,,,,570,550,557,562</t>
  </si>
  <si>
    <t>2025-05-07 22:36:00,490,,490,,470,,480,,,,,490,470,482,475</t>
  </si>
  <si>
    <t>2025-05-07 22:36:00,5800,,5710,,,5700,5660,,,,,5710,5600,5630,5620</t>
  </si>
  <si>
    <t>2025-05-07 22:36:00,19475,,,,19475,,19775,,,,,20200,19200,19400,19300</t>
  </si>
  <si>
    <t>2025-05-07 22:36:00,2094128458.33144,11511964547.5374,0,0,0,0,0,0</t>
  </si>
  <si>
    <t>2025-05-07 22:36:00,2033526515.87607,3424878972.7873,0,0,0,0,0,0</t>
  </si>
  <si>
    <t>2025-05-07 22:36:00,-10809636.8792421,-365419.633226151,-262.600000000001,-7,-8813.24100000003,-139.95,0.0125960270216175,-2.91</t>
  </si>
  <si>
    <t>2025-05-07 22:36:00,27140587.647327,91674.2333428474,0,0,0,0,0,0</t>
  </si>
  <si>
    <t>2025-05-07 22:37:00,575,,565,,550,,558.5,,,,,570,550,557,562</t>
  </si>
  <si>
    <t>2025-05-07 22:37:00,490,,490,,470,,480,,,,,490,470,482,475</t>
  </si>
  <si>
    <t>2025-05-07 22:37:00,5800,,5710,,,5700,5660,,,,,5710,5600,5630,5620</t>
  </si>
  <si>
    <t>2025-05-07 22:37:00,19475,,,,19475,,19775,,,,,20200,19200,19400,19300</t>
  </si>
  <si>
    <t>2025-05-07 22:37:00,2135456381.65545,11801236485.8834,0,0,0,0,0,0</t>
  </si>
  <si>
    <t>2025-05-07 22:37:00,1981261570.6634,3279811737.83483,0,0,0,0,0,0</t>
  </si>
  <si>
    <t>2025-05-07 22:37:00,-11151869.1723028,-399133.665085379,-299.399999999999,-7,-9648.45199999996,-148.4,0.0235875186386522,-2.81</t>
  </si>
  <si>
    <t>2025-05-07 22:37:00,27139983.545891,91652.6921857483,0,0,0,0,0,0</t>
  </si>
  <si>
    <t>2025-05-07 22:38:00,575,,565,,550,,558.5,,,,,570,550,557,562</t>
  </si>
  <si>
    <t>2025-05-07 22:38:00,490,,490,,470,,480,,,,,490,470,482,475</t>
  </si>
  <si>
    <t>2025-05-07 22:38:00,5800,,5710,,,5700,5660,,,,,5710,5600,5630,5620</t>
  </si>
  <si>
    <t>2025-05-07 22:38:00,19475,,,,19475,,19775,,,,,20200,19200,19400,19300</t>
  </si>
  <si>
    <t>2025-05-07 22:38:00,2129483321.3334,11761770231.3943,0,0,0,0,0,0</t>
  </si>
  <si>
    <t>2025-05-07 22:38:00,2014344925.93325,3378017706.39415,0,0,0,0,0,0</t>
  </si>
  <si>
    <t>2025-05-07 22:38:00,-10757503.5774686,-371346.539410778,-452.533333333333,-22,-3534.36033333333,-147.06,-0.0140485478183775,-4.93</t>
  </si>
  <si>
    <t>2025-05-07 22:38:00,27145505.0850831,91719.3744909826,0,0,0,0,0,0</t>
  </si>
  <si>
    <t>2025-05-07 22:39:00,575,,565,,550,,558.5,,,,,570,550,557,562</t>
  </si>
  <si>
    <t>2025-05-07 22:39:00,490,,490,,470,,480,,,,,490,470,482,475</t>
  </si>
  <si>
    <t>2025-05-07 22:39:00,5800,,5710,,,5700,5660,,,,,5710,5600,5630,5620</t>
  </si>
  <si>
    <t>2025-05-07 22:39:00,19475,,,,19475,,19775,,,,,20200,19200,19400,19300</t>
  </si>
  <si>
    <t>2025-05-07 22:39:00,2141164276.52559,11844133793.5685,0,0,0,0,0,0</t>
  </si>
  <si>
    <t>2025-05-07 22:39:00,2032295485.0519,3423924116.16192,0,0,0,0,0,0</t>
  </si>
  <si>
    <t>2025-05-07 22:39:00,-10562218.1600594,-347233.215262819,-37.4,-3,-215.403,-9.02,0.000220608721917872,-0.22</t>
  </si>
  <si>
    <t>2025-05-07 22:39:00,27143049.0873031,91654.7239379263,0,0,0,0,0,0</t>
  </si>
  <si>
    <t>2025-05-07 22:40:00,575,,565,,550,,558.5,,,,,570,550,557,562</t>
  </si>
  <si>
    <t>2025-05-07 22:40:00,490,,490,,470,,480,,,,,490,470,482,475</t>
  </si>
  <si>
    <t>2025-05-07 22:40:00,5800,,5710,,,5700,5660,,,,,5710,5600,5630,5620</t>
  </si>
  <si>
    <t>2025-05-07 22:40:00,19475,,,,19475,,19775,,,,,20200,19200,19400,19300</t>
  </si>
  <si>
    <t>2025-05-07 22:40:00,2055062375.62221,11272815571.4056,0,0,0,0,0,0</t>
  </si>
  <si>
    <t>2025-05-07 22:40:00,2023644690.61204,3386382427.53466,0,0,0,0,0,0</t>
  </si>
  <si>
    <t>2025-05-07 22:40:00,-10300668.2157414,-324280.558017427,-80.9999999999999,-3,-639.733333333333,-21.6,0.000573937679272406,-0.64</t>
  </si>
  <si>
    <t>2025-05-07 22:40:00,27140412.7313911,91569.266264172,0,0,0,0,0,0</t>
  </si>
  <si>
    <t>2025-05-07 22:41:00,575,,565,,550,,558.5,,,,,570,550,557,562</t>
  </si>
  <si>
    <t>2025-05-07 22:41:00,490,,485,,470,,480,,,,,490,470,482,475</t>
  </si>
  <si>
    <t>2025-05-07 22:41:00,5800,,5710,,,5700,5660,,,,,5710,5600,5630,5620</t>
  </si>
  <si>
    <t>2025-05-07 22:41:00,19475,,,,19475,,19775,,,,,20200,19200,19400,19300</t>
  </si>
  <si>
    <t>2025-05-07 22:41:00,1955561201.85784,12222138578.3892,0,0,0,0,0,0</t>
  </si>
  <si>
    <t>2025-05-07 22:41:00,1993094674.20094,3292350681.73555,0,0,0,0,0,0</t>
  </si>
  <si>
    <t>2025-05-07 22:41:00,-9818784.01664587,-280077.305404805,-324.474999999999,-12,-3760.43608333334,-91.49,-0.000985036352307097,-2.39</t>
  </si>
  <si>
    <t>2025-05-07 22:41:00,27145768.0125452,91599.9879589308,0,0,0,0,0,0</t>
  </si>
  <si>
    <t>2025-05-07 22:42:00,575,,565,,550,,558.5,,,,,570,550,557,562</t>
  </si>
  <si>
    <t>2025-05-07 22:42:00,490,,490,,470,,480,,,,,490,470,482,475</t>
  </si>
  <si>
    <t>2025-05-07 22:42:00,5800,,5710,,,5700,5660,,,,,5710,5600,5630,5620</t>
  </si>
  <si>
    <t>2025-05-07 22:42:00,19475,,,,19475,,19775,,,,,20200,19200,19400,19300</t>
  </si>
  <si>
    <t>2025-05-07 22:42:00,1967537448.73891,11892030453.7511,0,0,0,0,0,0</t>
  </si>
  <si>
    <t>2025-05-07 22:42:00,2015938858.10007,3363079047.24924,0,0,0,0,0,0</t>
  </si>
  <si>
    <t>2025-05-07 22:42:00,-10106834.4238317,-290582.581079989,-231.216666666666,-17,-919.902666666666,-38.62,-0.0178668979352962,-1.4</t>
  </si>
  <si>
    <t>2025-05-07 22:42:00,27144327.6511546,91581.8144948699,0,0,0,0,0,0</t>
  </si>
  <si>
    <t>2025-05-07 22:43:00,575,,565,,550,,558.5,,,,,570,550,557,562</t>
  </si>
  <si>
    <t>2025-05-07 22:43:00,490,,490,,470,,480,,,,,490,470,482,475</t>
  </si>
  <si>
    <t>2025-05-07 22:43:00,5800,,5710,,,5700,5660,,,,,5710,5600,5630,5620</t>
  </si>
  <si>
    <t>2025-05-07 22:43:00,19475,,,,19475,,19775,,,,,20200,19200,19400,19300</t>
  </si>
  <si>
    <t>2025-05-07 22:43:00,1948807989.4303,11254710731.5741,0,0,0,0,0,0</t>
  </si>
  <si>
    <t>2025-05-07 22:43:00,2031352894.95229,3413177245.71084,0,0,0,0,0,0</t>
  </si>
  <si>
    <t>2025-05-07 22:43:00,-10402004.2534152,-325201.141722656,-348.63,-11,-11242.2907,-235.85,0.0490203907793677,-5.19</t>
  </si>
  <si>
    <t>2025-05-07 22:43:00,27149700.8389322,91680.3976733708,0,0,0,0,0,0</t>
  </si>
  <si>
    <t>2025-05-07 22:44:00,575,,565,,550,,558.5,,,,,570,550,557,562</t>
  </si>
  <si>
    <t>2025-05-07 22:44:00,490,,490,,470,,480,,,,,490,470,482,475</t>
  </si>
  <si>
    <t>2025-05-07 22:44:00,5800,,5710,,,5700,5660,,,,,5710,5600,5630,5620</t>
  </si>
  <si>
    <t>2025-05-07 22:44:00,19475,,,,19475,,19775,,,,,20200,19200,19400,19300</t>
  </si>
  <si>
    <t>2025-05-07 22:44:00,2048992870.04068,11236973344.1046,0,0,0,0,0,0</t>
  </si>
  <si>
    <t>2025-05-07 22:44:00,2030370130.40335,3421011957.32209,0,0,0,0,0,0</t>
  </si>
  <si>
    <t>2025-05-07 22:44:00,-10648681.4862375,-360450.768693107,-527.560714285715,-19,-25213.8920357143,-464.06,0.0167272770760826,-8.33</t>
  </si>
  <si>
    <t>2025-05-07 22:44:00,27151036.5689508,91641.887120995,0,0,0,0,0,0</t>
  </si>
  <si>
    <t>2025-05-07 22:45:00,565,,565,,550,,558.5,,,,,570,550,557,562</t>
  </si>
  <si>
    <t>2025-05-07 22:45:00,490,,490,,470,,480,,,,,490,470,482,475</t>
  </si>
  <si>
    <t>2025-05-07 22:45:00,5800,,5710,,,5700,5660,,,,,5710,5600,5630,5620</t>
  </si>
  <si>
    <t>2025-05-07 22:45:00,19475,,,,19475,,19775,,,,,20200,19200,19400,19300</t>
  </si>
  <si>
    <t>2025-05-07 22:45:00,2264808538.56195,12532008175.6932,0,0,0,0,0,0</t>
  </si>
  <si>
    <t>2025-05-07 22:45:00,1803714635.4039,2821751867.50767,0,0,0,0,0,0</t>
  </si>
  <si>
    <t>2025-05-07 22:45:00,-11460084.0522818,-449293.662301197,-1144.88214285714,-28,-37058.7445357143,-719.51,0.103303480924461,-19.25</t>
  </si>
  <si>
    <t>2025-05-07 22:45:00,27151957.2831131,91644.8668521385,0,0,0,0,0,0</t>
  </si>
  <si>
    <t>2025-05-07 22:46:00,565,,565,,550,,558.5,,,,,570,550,557,562</t>
  </si>
  <si>
    <t>2025-05-07 22:46:00,490,,490,,470,,480,,,,,490,470,482,475</t>
  </si>
  <si>
    <t>2025-05-07 22:46:00,5800,,5710,,,5700,5660,,,,,5710,5600,5630,5620</t>
  </si>
  <si>
    <t>2025-05-07 22:46:00,19475,,,,19475,,19775,,,,,20200,19200,19400,19300</t>
  </si>
  <si>
    <t>2025-05-07 22:46:00,2252648394.95111,12436511984.6558,0,0,0,0,0,0</t>
  </si>
  <si>
    <t>2025-05-07 22:46:00,1945833538.26556,3128693727.40986,0,0,0,0,0,0</t>
  </si>
  <si>
    <t>2025-05-07 22:46:00,-11466706.6240898,-434794.876853901,-466.954761904762,-27,-3853.00269047619,-146.21,-0.0449377612910088,-5.59</t>
  </si>
  <si>
    <t>2025-05-07 22:46:00,27157155.2355942,91733.7204494567,0,0,0,0,0,0</t>
  </si>
  <si>
    <t>2025-05-07 22:47:00,575,,565,,550,,558.5,,,,,570,550,557,562</t>
  </si>
  <si>
    <t>2025-05-07 22:47:00,490,,490,,470,,487,,,,,490,470,482,475</t>
  </si>
  <si>
    <t>2025-05-07 22:47:00,5800,,5710,,,5700,5660,,,,,5710,5600,5630,5620</t>
  </si>
  <si>
    <t>2025-05-07 22:47:00,19475,,,,19475,,19775,,,,,20200,19200,19400,19300</t>
  </si>
  <si>
    <t>2025-05-07 22:47:00,2194709930.27288,12252024223.9648,0,0,0,0,0,0</t>
  </si>
  <si>
    <t>2025-05-07 22:47:00,1847810868.85854,2807952511.8056,0,0,0,0,0,0</t>
  </si>
  <si>
    <t>2025-05-07 22:47:00,-11231420.7295446,-415156.975066392,-143.266666666667,-8,-3025.76266666668,-71.99,0.00238831055693696,-1.59</t>
  </si>
  <si>
    <t>2025-05-07 22:47:00,27156397.0636523,91645.0966974894,0,0,0,0,0,0</t>
  </si>
  <si>
    <t>2025-05-07 22:48:00,565,,565,,550,,558.5,,,,,570,550,557,562</t>
  </si>
  <si>
    <t>2025-05-07 22:48:00,490,,490,,470,,487,,,,,490,470,482,475</t>
  </si>
  <si>
    <t>2025-05-07 22:48:00,5800,,5710,,,5700,5660,,,,,5710,5600,5630,5620</t>
  </si>
  <si>
    <t>2025-05-07 22:48:00,19475,,,,19475,,19775,,,,,20200,19200,19400,19300</t>
  </si>
  <si>
    <t>2025-05-07 22:48:00,2294822048.0762,12777882625.504,0,0,0,0,0,0</t>
  </si>
  <si>
    <t>2025-05-07 22:48:00,1848745613.24017,2811635686.41665,0,0,0,0,0,0</t>
  </si>
  <si>
    <t>2025-05-07 22:48:00,-11277016.2118388,-426148.692791242,-55.1071428571432,-2,-3591.54642857145,-73.65,0.00131119105622481,-1.09</t>
  </si>
  <si>
    <t>2025-05-07 22:48:00,27161639.9389428,91712.064667554,0,0,0,0,0,0</t>
  </si>
  <si>
    <t>2025-05-07 22:49:00,565,,565,,550,,558.5,,,,,570,550,557,562</t>
  </si>
  <si>
    <t>2025-05-07 22:49:00,490,,490,,470,,480,,,,,490,470,482,475</t>
  </si>
  <si>
    <t>2025-05-07 22:49:00,5800,,5710,,,5700,5660,,,,,5710,5600,5630,5620</t>
  </si>
  <si>
    <t>2025-05-07 22:49:00,19475,,,,19475,,19775,,,,,20200,19200,19400,19300</t>
  </si>
  <si>
    <t>2025-05-07 22:49:00,2282771576.50861,12679862133.8991,0,0,0,0,0,0</t>
  </si>
  <si>
    <t>2025-05-07 22:49:00,1804118892.3364,2822210827.5325,0,0,0,0,0,0</t>
  </si>
  <si>
    <t>2025-05-07 22:49:00,-11567637.6485519,-445927.957389846,-62.65,-4,-378.648,-17.37,-0.00258850286837297,-0.58</t>
  </si>
  <si>
    <t>2025-05-07 22:49:00,27158751.1562727,91670.3939308132,0,0,0,0,0,0</t>
  </si>
  <si>
    <t>2025-05-07 22:50:00,565,,565,,550,,558.5,,,,,570,550,557,562</t>
  </si>
  <si>
    <t>2025-05-07 22:50:00,490,,490,,470,,480,,,,,490,470,482,475</t>
  </si>
  <si>
    <t>2025-05-07 22:50:00,5800,,5710,,,5700,5660,,,,,5710,5600,5630,5620</t>
  </si>
  <si>
    <t>2025-05-07 22:50:00,19475,,,,19475,,19775,,,,,20200,19200,19400,19300</t>
  </si>
  <si>
    <t>2025-05-07 22:50:00,2302396083.33322,12781802038.3749,0,0,0,0,0,0</t>
  </si>
  <si>
    <t>2025-05-07 22:50:00,1932860452.26542,3087823321.94735,0,0,0,0,0,0</t>
  </si>
  <si>
    <t>2025-05-07 22:50:00,-11532750.6738933,-443454.072623371,-38.3,-4,-177.7585,-8.59,-0.00190751008801435,-0.24</t>
  </si>
  <si>
    <t>2025-05-07 22:50:00,27158081.6022611,91616.0008617758,0,0,0,0,0,0</t>
  </si>
  <si>
    <t>2025-05-07 22:51:00,565,,565,,550,,558.5,,,,,570,550,557,562</t>
  </si>
  <si>
    <t>2025-05-07 22:51:00,490,,490,,470,,480,,,,,490,470,482,475</t>
  </si>
  <si>
    <t>2025-05-07 22:51:00,5800,,5710,,,5700,5660,,,,,5710,5600,5630,5620</t>
  </si>
  <si>
    <t>2025-05-07 22:51:00,19475,,,,19475,,19775,,,,,20200,19200,19400,19300</t>
  </si>
  <si>
    <t>2025-05-07 22:51:00,2328149642.16817,13069848874.3667,0,0,0,0,0,0</t>
  </si>
  <si>
    <t>2025-05-07 22:51:00,1965770637.18513,3195805832.4545,0,0,0,0,0,0</t>
  </si>
  <si>
    <t>2025-05-07 22:51:00,-11913855.3562998,-466564.471943182,-882.666666666668,-25,-26177.9186666667,-539.17,0.0931234034803909,-12.41</t>
  </si>
  <si>
    <t>2025-05-07 22:51:00,27163295.1028233,91738.9749460324,0,0,0,0,0,0</t>
  </si>
  <si>
    <t>2025-05-07 22:52:00,565,,565,,550,,558.5,,,,,570,550,557,562</t>
  </si>
  <si>
    <t>2025-05-07 22:52:00,490,,490,,470,,480,,,,,490,470,482,475</t>
  </si>
  <si>
    <t>2025-05-07 22:52:00,5800,,5710,,,5700,5660,,,,,5710,5600,5630,5620</t>
  </si>
  <si>
    <t>2025-05-07 22:52:00,19475,,,,19475,,19775,,,,,20200,19200,19400,19300</t>
  </si>
  <si>
    <t>2025-05-07 22:52:00,2328049726.90554,13071846979.0659,0,0,0,0,0,0</t>
  </si>
  <si>
    <t>2025-05-07 22:52:00,1959550859.50953,3173071684.74137,0,0,0,0,0,0</t>
  </si>
  <si>
    <t>2025-05-07 22:52:00,-11900745.7774515,-482139.210091885,-1526.07142857143,-51,-49477.1248571429,-1074.48,0.0527313267778703,-25.46</t>
  </si>
  <si>
    <t>2025-05-07 22:52:00,27160608.6364539,91675.0758264492,0,0,0,0,0,0</t>
  </si>
  <si>
    <t>2025-05-07 22:53:00,565,,565,,550,,558.5,,,,,570,550,557,562</t>
  </si>
  <si>
    <t>2025-05-07 22:53:00,490,,490,,470,,480,,,,,490,470,482,475</t>
  </si>
  <si>
    <t>2025-05-07 22:53:00,5800,,5710,,,5700,5660,,,,,5710,5600,5630,5620</t>
  </si>
  <si>
    <t>2025-05-07 22:53:00,19475,,,,19475,,19775,,,,,20200,19200,19400,19300</t>
  </si>
  <si>
    <t>2025-05-07 22:53:00,2300197591.92918,12829870860.9985,0,0,0,0,0,0</t>
  </si>
  <si>
    <t>2025-05-07 22:53:00,1943498358.73563,3121502600.76039,0,0,0,0,0,0</t>
  </si>
  <si>
    <t>2025-05-07 22:53:00,-11316423.8257187,-454589.443300466,-927.730952380953,-37,-11517.3195714286,-397.19,0.0882293208086114,-8.67</t>
  </si>
  <si>
    <t>2025-05-07 22:53:00,27163115.8902441,91716.9581359118,0,0,0,0,0,0</t>
  </si>
  <si>
    <t>2025-05-07 22:54:00,565,,565,,550,,558.5,,,,,570,550,557,562</t>
  </si>
  <si>
    <t>2025-05-07 22:54:00,490,,490,,470,,480,,,,,490,470,482,475</t>
  </si>
  <si>
    <t>2025-05-07 22:54:00,5800,,5710,,,5700,5660,,,,,5710,5600,5630,5620</t>
  </si>
  <si>
    <t>2025-05-07 22:54:00,19475,,,,19475,,19775,,,,,20200,19200,19400,19300</t>
  </si>
  <si>
    <t>2025-05-07 22:54:00,2330630510.66667,13248663834.1695,0,0,0,0,0,0</t>
  </si>
  <si>
    <t>2025-05-07 22:54:00,2083918146.86448,3260889396.97965,0,0,0,0,0,0</t>
  </si>
  <si>
    <t>2025-05-07 22:54:00,-11765871.0295473,-469195.408856307,-924.63,-41,-7471.8192,-201.6,-0.0789942510971685,-9.19</t>
  </si>
  <si>
    <t>2025-05-07 22:54:00,27165539.1344916,91735.5015784103,0,0,0,0,0,0</t>
  </si>
  <si>
    <t>2025-05-07 22:55:00,565,,565,,550,,558.5,,,,,570,550,557,562</t>
  </si>
  <si>
    <t>2025-05-07 22:55:00,490,,490,,470,,480,,,,,490,470,482,475</t>
  </si>
  <si>
    <t>2025-05-07 22:55:00,5800,,5710,,,5700,5660,,,,,5710,5600,5630,5620</t>
  </si>
  <si>
    <t>2025-05-07 22:55:00,19475,,,,19475,,19775,,,,,20200,19200,19400,19300</t>
  </si>
  <si>
    <t>2025-05-07 22:55:00,2318115619.20674,13152970538.2471,0,0,0,0,0,0</t>
  </si>
  <si>
    <t>2025-05-07 22:55:00,1956800328.99229,3164581058.44819,0,0,0,0,0,0</t>
  </si>
  <si>
    <t>2025-05-07 22:55:00,-11625706.892289,-424215.726176817,-483.626666666667,-95,-598.960033333334,-56.24,-0.132303302174568,-4.49</t>
  </si>
  <si>
    <t>2025-05-07 22:55:00,27165121.0563204,91630.1226487384,0,0,0,0,0,0</t>
  </si>
  <si>
    <t>2025-05-07 22:56:00,565,,565,,550,,558.5,,,,,570,550,557,562</t>
  </si>
  <si>
    <t>2025-05-07 22:56:00,490,,490,,470,,480,,,,,490,470,482,475</t>
  </si>
  <si>
    <t>2025-05-07 22:56:00,5800,,5710,,,5700,5660,,,,,5710,5600,5630,5620</t>
  </si>
  <si>
    <t>2025-05-07 22:56:00,19475,,,,19475,,19775,,,,,20200,19200,19400,19300</t>
  </si>
  <si>
    <t>2025-05-07 22:56:00,2340697372.76455,13201994761.7836,0,0,0,0,0,0</t>
  </si>
  <si>
    <t>2025-05-07 22:56:00,1962363112.00737,3182950260.26314,0,0,0,0,0,0</t>
  </si>
  <si>
    <t>2025-05-07 22:56:00,-11539305.754965,-414829.536217873,-717.041666666666,-35,-14644.2655833333,-312.29,-0.0165330480513431,-10.52</t>
  </si>
  <si>
    <t>2025-05-07 22:56:00,27170410.5662445,91709.2379497303,0,0,0,0,0,0</t>
  </si>
  <si>
    <t>2025-05-07 22:57:00,565,,565,,550,,558.5,,,,,570,550,557,562</t>
  </si>
  <si>
    <t>2025-05-07 22:57:00,490,,490,,470,,480,,,,,490,470,482,475</t>
  </si>
  <si>
    <t>2025-05-07 22:57:00,5800,,5710,,,5700,5660,,,,,5710,5600,5630,5620</t>
  </si>
  <si>
    <t>2025-05-07 22:57:00,19475,,,,19475,,19775,,,,,20200,19200,19400,19300</t>
  </si>
  <si>
    <t>2025-05-07 22:57:00,2344472691.6101,13311572594.6328,0,0,0,0,0,0</t>
  </si>
  <si>
    <t>2025-05-07 22:57:00,1961023138.26335,3180723375.32621,0,0,0,0,0,0</t>
  </si>
  <si>
    <t>2025-05-07 22:57:00,-11565454.5179401,-416509.928771096,-195.175,-8,-2765.30508333333,-72.82,0.00213005422580777,-2.31</t>
  </si>
  <si>
    <t>2025-05-07 22:57:00,27170905.7995828,91669.8910585104,0,0,0,0,0,0</t>
  </si>
  <si>
    <t>2025-05-07 22:58:00,565,,565,,550,,558.5,,,,,570,550,557,562</t>
  </si>
  <si>
    <t>2025-05-07 22:58:00,490,,490,,470,,480,,,,,490,470,482,475</t>
  </si>
  <si>
    <t>2025-05-07 22:58:00,5800,,5710,,,5700,5660,,,,,5710,5600,5630,5620</t>
  </si>
  <si>
    <t>2025-05-07 22:58:00,19475,,,,19475,,19775,,,,,20200,19200,19400,19300</t>
  </si>
  <si>
    <t>2025-05-07 22:58:00,2342141591.38369,13252396104.948,0,0,0,0,0,0</t>
  </si>
  <si>
    <t>2025-05-07 22:58:00,1959685238.39929,3174197973.76302,0,0,0,0,0,0</t>
  </si>
  <si>
    <t>2025-05-07 22:58:00,-11545897.7757926,-441368.047955407,-489.25,-21,-6450.54166666666,-265.1,0.109958838916654,-4.19</t>
  </si>
  <si>
    <t>2025-05-07 22:58:00,27169268.4401302,91617.696676193,0,0,0,0,0,0</t>
  </si>
  <si>
    <t>2025-05-07 23:00:00,565,,565,,550,,558.5,,,,,570,550,557,562</t>
  </si>
  <si>
    <t>2025-05-07 23:00:00,490,,490,,470,,480,,,,,490,470,482,475</t>
  </si>
  <si>
    <t>2025-05-07 23:00:00,5800,,5710,,,5700,5660,,,,,5710,5600,5630,5620</t>
  </si>
  <si>
    <t>2025-05-07 23:00:00,19475,,,,19475,,19775,,,,,20200,19200,19400,19300</t>
  </si>
  <si>
    <t>2025-05-07 23:00:00,2342722240.78147,13237667727.5264,0,0,0,0,0,0</t>
  </si>
  <si>
    <t>2025-05-07 23:00:00,1944036807.91285,3122747206.16592,0,0,0,0,0,0</t>
  </si>
  <si>
    <t>2025-05-07 23:00:00,-11408436.7840233,-432306.109751415,-103.766666666667,-5,-972.159333333333,-24.96,-0.00239203542811775,-0.79</t>
  </si>
  <si>
    <t>2025-05-07 23:00:00,27174634.6893635,91667.903955629,0,0,0,0,0,0</t>
  </si>
  <si>
    <t>2025-05-07 23:01:00,565,,565,,550,,558.5,,,,,570,550,557,562</t>
  </si>
  <si>
    <t>2025-05-07 23:01:00,490,,490,,470,,480,,,,,490,470,482,475</t>
  </si>
  <si>
    <t>2025-05-07 23:01:00,5800,,5710,,,5700,5660,,,,,5710,5600,5630,5620</t>
  </si>
  <si>
    <t>2025-05-07 23:01:00,19475,,,,19475,,19775,,,,,20200,19200,19400,19300</t>
  </si>
  <si>
    <t>2025-05-07 23:01:00,2327537458.7183,13078287778.8105,0,0,0,0,0,0</t>
  </si>
  <si>
    <t>2025-05-07 23:01:00,1796249279.36415,2799892388.41348,0,0,0,0,0,0</t>
  </si>
  <si>
    <t>2025-05-07 23:01:00,-11016189.4774607,-395822.873209132,-202.575,-8,-3104.87275,-75.18,0.0136612048559994,-1.89</t>
  </si>
  <si>
    <t>2025-05-07 23:01:00,27174567.5574783,91572.8674629248,0,0,0,0,0,0</t>
  </si>
  <si>
    <t>2025-05-07 23:02:00,565,,565,,550,,558.5,,,,,570,550,557,562</t>
  </si>
  <si>
    <t>2025-05-07 23:02:00,490,,490,,470,,480,,,,,490,470,482,475</t>
  </si>
  <si>
    <t>2025-05-07 23:02:00,5800,,5710,,,5700,5660,,,,,5710,5600,5630,5620</t>
  </si>
  <si>
    <t>2025-05-07 23:02:00,19475,,,,19475,,19775,,,,,20200,19200,19400,19300</t>
  </si>
  <si>
    <t>2025-05-07 23:02:00,2256510814.64947,12579539173.6098,0,0,0,0,0,0</t>
  </si>
  <si>
    <t>2025-05-07 23:02:00,1972229587.99652,3217207143.17612,0,0,0,0,0,0</t>
  </si>
  <si>
    <t>2025-05-07 23:02:00,-10963410.8655259,-386277.405899734,-137.183333333333,-7,-923.262833333333,-32.17,-0.000342625853695995,-1.01</t>
  </si>
  <si>
    <t>2025-05-07 23:02:00,27179900.5056364,91626.396988701,0,0,0,0,0,0</t>
  </si>
  <si>
    <t>2025-05-07 23:03:00,565,,565,,550,,558.5,,,,,570,550,557,562</t>
  </si>
  <si>
    <t>2025-05-07 23:03:00,490,,490,,470,,480,,,,,490,470,482,475</t>
  </si>
  <si>
    <t>2025-05-07 23:03:00,5800,,5710,,,5700,5660,,,,,5710,5600,5630,5620</t>
  </si>
  <si>
    <t>2025-05-07 23:03:00,19475,,,,19475,,19775,,,,,20200,19200,19400,19300</t>
  </si>
  <si>
    <t>2025-05-07 23:03:00,2263458235.68711,12550592662.7779,0,0,0,0,0,0</t>
  </si>
  <si>
    <t>2025-05-07 23:03:00,2003951924.92797,3350913435.09461,0,0,0,0,0,0</t>
  </si>
  <si>
    <t>2025-05-07 23:03:00,-10735029.7209075,-375460.92947177,-279.875,-11,-4647.31875000001,-102.15,0.0128213650128825,-2.52</t>
  </si>
  <si>
    <t>2025-05-07 23:03:00,27178870.0749819,91575.2071596997,0,0,0,0,0,0</t>
  </si>
  <si>
    <t>2025-05-07 23:04:00,565,,565,,550,,558.5,,,,,570,550,557,562</t>
  </si>
  <si>
    <t>2025-05-07 23:04:00,490,,490,,470,,480,,,,,490,470,482,475</t>
  </si>
  <si>
    <t>2025-05-07 23:04:00,5800,,5710,,,5700,5660,,,,,5710,5600,5630,5620</t>
  </si>
  <si>
    <t>2025-05-07 23:04:00,19475,,,,19475,,19775,,,,,20200,19200,19400,19300</t>
  </si>
  <si>
    <t>2025-05-07 23:04:00,2269405363.75288,12598588099.4261,0,0,0,0,0,0</t>
  </si>
  <si>
    <t>2025-05-07 23:04:00,1794060748.64113,2792291551.79856,0,0,0,0,0,0</t>
  </si>
  <si>
    <t>2025-05-07 23:04:00,-10948511.1723476,-404936.431679156,-2380.66666666664,-14,-143715.013333331,-410.2,0.0356766971548506,-6.52</t>
  </si>
  <si>
    <t>2025-05-07 23:04:00,27175755.6423482,91542.6554560365,0,0,0,0,0,0</t>
  </si>
  <si>
    <t>2025-05-07 23:05:00,565,,565,,550,,558.5,,,,,570,550,557,562</t>
  </si>
  <si>
    <t>2025-05-07 23:05:00,490,,490,,470,,480,,,,,490,470,482,475</t>
  </si>
  <si>
    <t>2025-05-07 23:05:00,5800,,5710,,,5700,5660,,,,,5710,5600,5630,5620</t>
  </si>
  <si>
    <t>2025-05-07 23:05:00,19475,,,,19475,,19775,,,,,20200,19200,19400,19300</t>
  </si>
  <si>
    <t>2025-05-07 23:05:00,2281742771.09214,12694518318.5562,0,0,0,0,0,0</t>
  </si>
  <si>
    <t>2025-05-07 23:05:00,1938742573.32834,3107262823.17193,0,0,0,0,0,0</t>
  </si>
  <si>
    <t>2025-05-07 23:05:00,-10886955.007335,-446586.782447804,-7988.15333333336,-55,-526165.748400002,-2700.2,0.170270361128676,-40.99</t>
  </si>
  <si>
    <t>2025-05-07 23:05:00,27181115.2223319,91637.9020563079,0,0,0,0,0,0</t>
  </si>
  <si>
    <t>2025-05-07 23:06:00,565,,565,,550,,558.5,,,,,570,550,557,562</t>
  </si>
  <si>
    <t>2025-05-07 23:06:00,490,,490,,470,,480,,,,,490,470,482,475</t>
  </si>
  <si>
    <t>2025-05-07 23:06:00,5800,,,5600,,5700,5660,,,,,5710,5600,5630,5620</t>
  </si>
  <si>
    <t>2025-05-07 23:06:00,19475,,,,19475,,19775,,,,,20200,19200,19400,19300</t>
  </si>
  <si>
    <t>2025-05-07 23:06:00,2293101102.62127,12793632477.726,0,0,0,0,0,0</t>
  </si>
  <si>
    <t>2025-05-07 23:06:00,1941760243.67577,3115590326.88353,0,0,0,0,0,0</t>
  </si>
  <si>
    <t>2025-05-07 23:06:00,-10872654.9454281,-450634.223370392,-208.466666666667,-6,-3391.7135,-90.71,0.0417314024065222,-1.51</t>
  </si>
  <si>
    <t>2025-05-07 23:06:00,27182147.7427539,91582.4878206073,0,0,0,0,0,0</t>
  </si>
  <si>
    <t>2025-05-07 23:07:00,565,,565,,550,,558.5,,,,,570,550,557,562</t>
  </si>
  <si>
    <t>2025-05-07 23:07:00,490,,490,,470,,480,,,,,490,470,482,475</t>
  </si>
  <si>
    <t>2025-05-07 23:07:00,5800,,,5600,,5700,5680,,,,,5710,5600,5630,5620</t>
  </si>
  <si>
    <t>2025-05-07 23:07:00,19475,,,,19475,,19775,,,,,20200,19200,19400,19300</t>
  </si>
  <si>
    <t>2025-05-07 23:07:00,2304815257.92248,12892947495.1734,0,0,0,0,0,0</t>
  </si>
  <si>
    <t>2025-05-07 23:07:00,1967904824.29145,3202577732.4491,0,0,0,0,0,0</t>
  </si>
  <si>
    <t>2025-05-07 23:07:00,-10823138.3522972,-485807.468160381,-3540.66666666668,-38,-239456.352333334,-2356.51,0.147175394845345,-34.62</t>
  </si>
  <si>
    <t>2025-05-07 23:07:00,27187513.6959648,91692.9105561079,0,0,0,0,0,0</t>
  </si>
  <si>
    <t>2025-05-07 23:08:00,565,,565,,550,,558.5,,,,,570,550,557,562</t>
  </si>
  <si>
    <t>2025-05-07 23:08:00,490,,490,,470,,480,,,,,490,470,482,475</t>
  </si>
  <si>
    <t>2025-05-07 23:08:00,5800,,,5600,,5700,5680,,,,,5710,5600,5630,5620</t>
  </si>
  <si>
    <t>2025-05-07 23:08:00,19475,,,,19475,,19775,,,,,20200,19200,19400,19300</t>
  </si>
  <si>
    <t>2025-05-07 23:08:00,2316932768.10501,13162254869.8988,0,0,0,0,0,0</t>
  </si>
  <si>
    <t>2025-05-07 23:08:00,2084383780.84068,3263261794.55874,0,0,0,0,0,0</t>
  </si>
  <si>
    <t>2025-05-07 23:08:00,-11276990.4816129,-544818.358251318,-1961.71333333333,-50,-121078.351533333,-1809.59,0.0845148277684935,-28.49</t>
  </si>
  <si>
    <t>2025-05-07 23:08:00,27185435.1051838,91676.7149829229,0,0,0,0,0,0</t>
  </si>
  <si>
    <t>2025-05-07 23:09:00,565,,565,,550,,558.5,,,,,570,550,557,562</t>
  </si>
  <si>
    <t>2025-05-07 23:09:00,490,,490,,470,,480,,,,,490,470,482,475</t>
  </si>
  <si>
    <t>2025-05-07 23:09:00,5800,,,5600,,5700,5680,,,,,5710,5600,5630,5620</t>
  </si>
  <si>
    <t>2025-05-07 23:09:00,19475,,,,19475,,19775,,,,,20200,19200,19400,19300</t>
  </si>
  <si>
    <t>2025-05-07 23:09:00,2402423615.32639,13547329157.7328,0,0,0,0,0,0</t>
  </si>
  <si>
    <t>2025-05-07 23:09:00,2104180665.72596,3342266480.09731,0,0,0,0,0,0</t>
  </si>
  <si>
    <t>2025-05-07 23:09:00,-11558548.0025494,-572298.06784262,-224.55,-7,-8210.75249999998,-172.79,0.0107975354462129,-3.59</t>
  </si>
  <si>
    <t>2025-05-07 23:09:00,27185661.3580983,91632.5714550466,0,0,0,0,0,0</t>
  </si>
  <si>
    <t>2025-05-07 23:10:00,570,,570,,550,,564.5,,,,,570,550,557,562</t>
  </si>
  <si>
    <t>2025-05-07 23:10:00,490,,490,,470,,480,,,,,490,470,482,475</t>
  </si>
  <si>
    <t>2025-05-07 23:10:00,5800,,,5600,,5700,5680,,,,,5710,5600,5630,5620</t>
  </si>
  <si>
    <t>2025-05-07 23:10:00,19475,,,,19475,,19775,,,,,20200,19200,19400,19300</t>
  </si>
  <si>
    <t>2025-05-07 23:10:00,2345260206.23672,10286431079.2436,0,0,0,0,0,0</t>
  </si>
  <si>
    <t>2025-05-07 23:10:00,2122917857.70186,3458770969.14015,0,0,0,0,0,0</t>
  </si>
  <si>
    <t>2025-05-07 23:10:00,-11914829.1732858,-616385.929321334,-1036.05,-19,-8721.60700000002,-120.31,0.0409904215061796,-2.17</t>
  </si>
  <si>
    <t>2025-05-07 23:10:00,27189427.3796504,91769.5739697318,0,0,0,0,0,0</t>
  </si>
  <si>
    <t>2025-05-07 23:11:00,570,,570,,550,,564.5,,,,,570,550,557,562</t>
  </si>
  <si>
    <t>2025-05-07 23:11:00,490,,490,,470,,480,,,,,490,470,482,475</t>
  </si>
  <si>
    <t>2025-05-07 23:11:00,5800,,,5600,,5700,5680,,,,,5710,5600,5630,5620</t>
  </si>
  <si>
    <t>2025-05-07 23:11:00,19475,,,,19475,,19775,,,,,20200,19200,19400,19300</t>
  </si>
  <si>
    <t>2025-05-07 23:11:00,2339111893.91403,10254784981.3086,0,0,0,0,0,0</t>
  </si>
  <si>
    <t>2025-05-07 23:11:00,2120642948.45621,3447421795.36296,0,0,0,0,0,0</t>
  </si>
  <si>
    <t>2025-05-07 23:11:00,-11781742.7757659,-598047.740298141,-189.666666666667,-13,-677.944,-31.02,-0.0159215187823687,-1.58</t>
  </si>
  <si>
    <t>2025-05-07 23:11:00,27188565.4832951,91697.1552740381,0,0,0,0,0,0</t>
  </si>
  <si>
    <t>2025-05-07 23:12:00,570,,565,,550,,558.5,,,,,570,550,557,562</t>
  </si>
  <si>
    <t>2025-05-07 23:12:00,490,,490,,470,,480,,,,,490,470,482,475</t>
  </si>
  <si>
    <t>2025-05-07 23:12:00,5800,,,5600,,5700,5680,,,,,5710,5600,5630,5620</t>
  </si>
  <si>
    <t>2025-05-07 23:12:00,19475,,,,19475,,19775,,,,,20200,19200,19400,19300</t>
  </si>
  <si>
    <t>2025-05-07 23:12:00,2377137904.28323,11230367297.2171,0,0,0,0,0,0</t>
  </si>
  <si>
    <t>2025-05-07 23:12:00,2130011909.24188,3486606219.1233,0,0,0,0,0,0</t>
  </si>
  <si>
    <t>2025-05-07 23:12:00,-11873633.3074468,-614493.247309746,-348.579999999999,-9,-8405.62919999999,-140.34,0.0342844608771862,-3.2</t>
  </si>
  <si>
    <t>2025-05-07 23:12:00,27193839.984453,91784.08470912,0,0,0,0,0,0</t>
  </si>
  <si>
    <t>2025-05-07 23:13:00,570,,570,,550,,564.5,,,,,570,550,557,562</t>
  </si>
  <si>
    <t>2025-05-07 23:13:00,490,,490,,470,,480,,,,,490,470,482,475</t>
  </si>
  <si>
    <t>2025-05-07 23:13:00,5800,,,5600,,5700,5680,,,,,5710,5600,5630,5620</t>
  </si>
  <si>
    <t>2025-05-07 23:13:00,19475,,,,19475,,19775,,,,,20200,19200,19400,19300</t>
  </si>
  <si>
    <t>2025-05-07 23:13:00,2338767873.65097,10256179200.471,0,0,0,0,0,0</t>
  </si>
  <si>
    <t>2025-05-07 23:13:00,2132883278.97317,3484379572.14098,0,0,0,0,0,0</t>
  </si>
  <si>
    <t>2025-05-07 23:13:00,-11715373.0479481,-610481.270075246,-257.833333333333,-10,-2733.404,-92.57,0.0308084062153986,-1.73</t>
  </si>
  <si>
    <t>2025-05-07 23:13:00,27191181.7875968,91687.3541830607,0,0,0,0,0,0</t>
  </si>
  <si>
    <t>2025-05-07 23:14:00,565,,565,,550,,558.5,,,,,570,550,557,562</t>
  </si>
  <si>
    <t>2025-05-07 23:14:00,490,,490,,470,,480,,,,,490,470,482,475</t>
  </si>
  <si>
    <t>2025-05-07 23:14:00,5800,,,5600,,5700,5680,,,,,5710,5600,5630,5620</t>
  </si>
  <si>
    <t>2025-05-07 23:14:00,19475,,,,19475,,19775,,,,,20200,19200,19400,19300</t>
  </si>
  <si>
    <t>2025-05-07 23:14:00,2407957736.77227,13404341006.7564,0,0,0,0,0,0</t>
  </si>
  <si>
    <t>2025-05-07 23:14:00,2135351329.93254,3489179496.52649,0,0,0,0,0,0</t>
  </si>
  <si>
    <t>2025-05-07 23:14:00,-11706923.2585822,-607094.57500269,-153.74,-6,-1969.42146666667,-67.76,0.028121264263903,-1.11</t>
  </si>
  <si>
    <t>2025-05-07 23:14:00,27196535.167515,91756.6461480696,0,0,0,0,0,0</t>
  </si>
  <si>
    <t>2025-05-07 23:15:00,565,,565,,550,,558.5,,,,,570,550,557,562</t>
  </si>
  <si>
    <t>2025-05-07 23:15:00,490,,490,,470,,480,,,,,490,470,482,475</t>
  </si>
  <si>
    <t>2025-05-07 23:15:00,5800,,,5600,,5700,5680,,,,,5710,5600,5630,5620</t>
  </si>
  <si>
    <t>2025-05-07 23:15:00,19475,,,,19475,,19775,,,,,20200,19200,19400,19300</t>
  </si>
  <si>
    <t>2025-05-07 23:15:00,2401834599.20907,13553651760.1719,0,0,0,0,0,0</t>
  </si>
  <si>
    <t>2025-05-07 23:15:00,2134777837.96337,3488623026.17932,0,0,0,0,0,0</t>
  </si>
  <si>
    <t>2025-05-07 23:15:00,-11639914.5338653,-604348.68320378,-47.4333333333334,-4,-50.3913333333334,-3.58,-0.00797957994403385,-0.36</t>
  </si>
  <si>
    <t>2025-05-07 23:15:00,27193070.0128252,91636.211439465,0,0,0,0,0,0</t>
  </si>
  <si>
    <t>2025-05-07 23:16:00,570,,565,,550,,558.5,,,,,570,550,557,562</t>
  </si>
  <si>
    <t>2025-05-07 23:16:00,490,,490,,470,,480,,,,,490,470,482,475</t>
  </si>
  <si>
    <t>2025-05-07 23:16:00,5800,,,5600,,5700,5680,,,,,5710,5600,5630,5620</t>
  </si>
  <si>
    <t>2025-05-07 23:16:00,19475,,,,19475,,19775,,,,,20200,19200,19400,19300</t>
  </si>
  <si>
    <t>2025-05-07 23:16:00,2376934600.2389,11235733913.9901,0,0,0,0,0,0</t>
  </si>
  <si>
    <t>2025-05-07 23:16:00,2127729375.37025,3478544685.61319,0,0,0,0,0,0</t>
  </si>
  <si>
    <t>2025-05-07 23:16:00,-11851102.2670298,-630146.816798112,-299.6,-12,-4299.51333333333,-83.59,0.0239354683363833,-1.65</t>
  </si>
  <si>
    <t>2025-05-07 23:16:00,27198440.864341,91732.0346648565,0,0,0,0,0,0</t>
  </si>
  <si>
    <t>2025-05-07 23:17:00,570,,565,,550,,558.5,,,,,570,550,557,562</t>
  </si>
  <si>
    <t>2025-05-07 23:17:00,490,,490,,470,,480,,,,,490,470,482,475</t>
  </si>
  <si>
    <t>2025-05-07 23:17:00,5800,,,5600,,5700,5680,,,,,5710,5600,5630,5620</t>
  </si>
  <si>
    <t>2025-05-07 23:17:00,19475,,,,19475,,19775,,,,,20200,19200,19400,19300</t>
  </si>
  <si>
    <t>2025-05-07 23:17:00,2408110001.68123,11401830820.2812,0,0,0,0,0,0</t>
  </si>
  <si>
    <t>2025-05-07 23:17:00,2139058623.03787,3194215332.75951,0,0,0,0,0,0</t>
  </si>
  <si>
    <t>2025-05-07 23:17:00,-12399114.2109694,-711569.405629527,-1307.07619047619,-35,-30869.4227142857,-751.31,0.0948518465084362,-18.18</t>
  </si>
  <si>
    <t>2025-05-07 23:17:00,27199041.7076887,91791.0841850377,0,0,0,0,0,0</t>
  </si>
  <si>
    <t>2025-05-07 23:18:00,570,,565,,550,,558.5,,,,,570,550,557,562</t>
  </si>
  <si>
    <t>2025-05-07 23:18:00,490,,490,,470,,480,,,,,490,470,482,475</t>
  </si>
  <si>
    <t>2025-05-07 23:18:00,5800,,,5600,,5700,5680,,,,,5710,5600,5630,5620</t>
  </si>
  <si>
    <t>2025-05-07 23:18:00,19475,,,,19475,,19775,,,,,20200,19200,19400,19300</t>
  </si>
  <si>
    <t>2025-05-07 23:18:00,2395293316.53862,11337483115.4955,0,0,0,0,0,0</t>
  </si>
  <si>
    <t>2025-05-07 23:18:00,2136676113.60702,3186061267.7147,0,0,0,0,0,0</t>
  </si>
  <si>
    <t>2025-05-07 23:18:00,-12375025.0559428,-716979.943258876,-27.0666666666667,-2,-82.514666666667,-4.52,-0.00455625586295343,-0.32</t>
  </si>
  <si>
    <t>2025-05-07 23:18:00,27197345.551609,91708.8655979346,0,0,0,0,0,0</t>
  </si>
  <si>
    <t>2025-05-07 23:19:00,570,,565,,550,,558.5,,,,,570,550,557,562</t>
  </si>
  <si>
    <t>2025-05-07 23:19:00,490,,490,,470,,480,,,,,490,470,482,475</t>
  </si>
  <si>
    <t>2025-05-07 23:19:00,5800,,,5600,,5700,5680,,,,,5710,5600,5630,5620</t>
  </si>
  <si>
    <t>2025-05-07 23:19:00,19475,,,,19475,,19775,,,,,20200,19200,19400,19300</t>
  </si>
  <si>
    <t>2025-05-07 23:19:00,2420269801.13459,11472460480.2499,0,0,0,0,0,0</t>
  </si>
  <si>
    <t>2025-05-07 23:19:00,2145939856.89649,3219693412.33952,0,0,0,0,0,0</t>
  </si>
  <si>
    <t>2025-05-07 23:19:00,-12374267.34529,-746391.47049192,-252.090476190477,-11,-1999.84323809524,-86.45,0.0137801019221465,-2.31</t>
  </si>
  <si>
    <t>2025-05-07 23:19:00,27202727.304212,91797.49737509,0,0,0,0,0,0</t>
  </si>
  <si>
    <t>2025-05-07 23:20:00,570,,565,,550,,558.5,,,,,570,550,557,562</t>
  </si>
  <si>
    <t>2025-05-07 23:20:00,490,,490,,470,,480,,,,,490,470,482,475</t>
  </si>
  <si>
    <t>2025-05-07 23:20:00,5800,,,5600,,5700,5680,,,,,5710,5600,5630,5620</t>
  </si>
  <si>
    <t>2025-05-07 23:20:00,19475,,,,19475,,19775,,,,,20200,19200,19400,19300</t>
  </si>
  <si>
    <t>2025-05-07 23:20:00,2445472530.33683,11610215640.7145,0,0,0,0,0,0</t>
  </si>
  <si>
    <t>2025-05-07 23:20:00,2147594068.9758,3228427852.06425,0,0,0,0,0,0</t>
  </si>
  <si>
    <t>2025-05-07 23:20:00,-12279415.5098933,-732283.784423348,-41.5,-2,-540.725000000001,-19.3,0.00538006152973331,-0.42</t>
  </si>
  <si>
    <t>2025-05-07 23:20:00,27202631.471434,91726.4159019549,0,0,0,0,0,0</t>
  </si>
  <si>
    <t>2025-05-07 23:21:00,565,,565,,550,,558.5,,,,,570,550,557,562</t>
  </si>
  <si>
    <t>2025-05-07 23:21:00,490,,490,,470,,480,,,,,490,470,482,475</t>
  </si>
  <si>
    <t>2025-05-07 23:21:00,5800,,,5600,,5700,5680,,,,,5710,5600,5630,5620</t>
  </si>
  <si>
    <t>2025-05-07 23:21:00,19475,,,,19475,,19775,,,,,20200,19200,19400,19300</t>
  </si>
  <si>
    <t>2025-05-07 23:21:00,2363043363.32767,13432709394.7538,0,0,0,0,0,0</t>
  </si>
  <si>
    <t>2025-05-07 23:21:00,2135313493.20395,3489209301.0987,0,0,0,0,0,0</t>
  </si>
  <si>
    <t>2025-05-07 23:21:00,-11783988.9518009,-678613.12301407,-254.800000000001,-16,-2493.23750000001,-76.72,-0.00243049349078107,-2.09</t>
  </si>
  <si>
    <t>2025-05-07 23:21:00,27207978.9449073,91702.0742512836,0,0,0,0,0,0</t>
  </si>
  <si>
    <t>2025-05-07 23:22:00,570,,570,,550,,564.5,,,,,570,550,557,562</t>
  </si>
  <si>
    <t>2025-05-07 23:22:00,490,,490,,470,,480,,,,,490,470,482,475</t>
  </si>
  <si>
    <t>2025-05-07 23:22:00,5800,,,5600,,5700,5680,,,,,5710,5600,5630,5620</t>
  </si>
  <si>
    <t>2025-05-07 23:22:00,19475,,,,19475,,19775,,,,,20200,19200,19400,19300</t>
  </si>
  <si>
    <t>2025-05-07 23:22:00,2338223307.60741,10265420249.4276,0,0,0,0,0,0</t>
  </si>
  <si>
    <t>2025-05-07 23:22:00,2123204989.92281,3459471316.75362,0,0,0,0,0,0</t>
  </si>
  <si>
    <t>2025-05-07 23:22:00,-11702014.8620473,-674385.711425379,-265.366666666666,-7,-7857.37033333333,-152.99,0.0208179240885281,-4.23</t>
  </si>
  <si>
    <t>2025-05-07 23:22:00,27205732.7551443,91676.6371527339,0,0,0,0,0,0</t>
  </si>
  <si>
    <t>2025-05-07 23:23:00,565,,565,,550,,558.5,,,,,570,550,557,562</t>
  </si>
  <si>
    <t>2025-05-07 23:23:00,490,,490,,470,,480,,,,,490,470,482,475</t>
  </si>
  <si>
    <t>2025-05-07 23:23:00,5800,,,5600,,5700,5680,,,,,5710,5600,5630,5620</t>
  </si>
  <si>
    <t>2025-05-07 23:23:00,19475,,,,19475,,19775,,,,,20200,19200,19400,19300</t>
  </si>
  <si>
    <t>2025-05-07 23:23:00,2325360591.07154,13098197147.43,0,0,0,0,0,0</t>
  </si>
  <si>
    <t>2025-05-07 23:23:00,2123687587.37139,3426245082.00118,0,0,0,0,0,0</t>
  </si>
  <si>
    <t>2025-05-07 23:23:00,-11165963.8113027,-642478.871518884,-552.781960784313,-25,-14339.8979843137,-352.01,0.0374944265553198,-5.71</t>
  </si>
  <si>
    <t>2025-05-07 23:23:00,27211143.2600267,91705.6892193494,0,0,0,0,0,0</t>
  </si>
  <si>
    <t>2025-05-07 23:24:00,565,,565,,550,,558.5,,,,,570,550,557,562</t>
  </si>
  <si>
    <t>2025-05-07 23:24:00,490,,490,,470,,480,,,,,490,470,482,475</t>
  </si>
  <si>
    <t>2025-05-07 23:24:00,5800,,,5600,,5700,5680,,,,,5710,5600,5630,5620</t>
  </si>
  <si>
    <t>2025-05-07 23:24:00,19475,,,,19475,,19775,,,,,20200,19200,19400,19300</t>
  </si>
  <si>
    <t>2025-05-07 23:24:00,2303402191.99552,12909741164.8568,0,0,0,0,0,0</t>
  </si>
  <si>
    <t>2025-05-07 23:24:00,2121162819.60997,3416095070.92953,0,0,0,0,0,0</t>
  </si>
  <si>
    <t>2025-05-07 23:24:00,-11084371.8295137,-633109.548208659,-279.833333333333,-20,-820.151,-56.22,0.00487647488503575,-1.58</t>
  </si>
  <si>
    <t>2025-05-07 23:24:00,27209708.6204157,91631.5271036954,0,0,0,0,0,0</t>
  </si>
  <si>
    <t>2025-05-07 23:25:00,565,,565,,550,,558.5,,,,,570,550,557,562</t>
  </si>
  <si>
    <t>2025-05-07 23:25:00,490,,490,,470,,480,,,,,490,470,482,475</t>
  </si>
  <si>
    <t>2025-05-07 23:25:00,5800,,,5600,,5700,5680,,,,,5710,5600,5630,5620</t>
  </si>
  <si>
    <t>2025-05-07 23:25:00,19475,,,,19475,,19775,,,,,20200,19200,19400,19300</t>
  </si>
  <si>
    <t>2025-05-07 23:25:00,2303199177.34552,12907668822.7519,0,0,0,0,0,0</t>
  </si>
  <si>
    <t>2025-05-07 23:25:00,2121256586.13652,3416324684.80214,0,0,0,0,0,0</t>
  </si>
  <si>
    <t>2025-05-07 23:25:00,-11233776.1581648,-657464.145651817,-5.6,-1,-2.016,-0.36,-0.00150651762384372,-0.04</t>
  </si>
  <si>
    <t>2025-05-07 23:25:00,27207482.1236925,91584.7201897729,0,0,0,0,0,0</t>
  </si>
  <si>
    <t>2025-05-07 23:26:00,565,,565,,550,,558.5,,,,,570,550,557,562</t>
  </si>
  <si>
    <t>2025-05-07 23:26:00,490,,490,,470,,480,,,,,490,470,482,475</t>
  </si>
  <si>
    <t>2025-05-07 23:26:00,5800,,,5600,,5700,5680,,,,,5710,5600,5630,5620</t>
  </si>
  <si>
    <t>2025-05-07 23:26:00,19475,,,,19475,,19775,,,,,20200,19200,19400,19300</t>
  </si>
  <si>
    <t>2025-05-07 23:26:00,2191546529.75204,12288255210.5976,0,0,0,0,0,0</t>
  </si>
  <si>
    <t>2025-05-07 23:26:00,2079680072.66088,3246722877.84741,0,0,0,0,0,0</t>
  </si>
  <si>
    <t>2025-05-07 23:26:00,-10495989.3141007,-599503.279053518,-360.983333333333,-15,-4442.316,-138.63,0.0454473808045087,-2.84</t>
  </si>
  <si>
    <t>2025-05-07 23:26:00,27212797.483388,91593.8024979078,0,0,0,0,0,0</t>
  </si>
  <si>
    <t>2025-05-07 23:27:00,565,,565,,550,,558.5,,,,,570,550,557,562</t>
  </si>
  <si>
    <t>2025-05-07 23:27:00,490,,490,,470,,480,,,,,490,470,482,475</t>
  </si>
  <si>
    <t>2025-05-07 23:27:00,5800,,,5600,,5700,5680,,,,,5710,5600,5630,5620</t>
  </si>
  <si>
    <t>2025-05-07 23:27:00,19475,,,,19475,,19775,,,,,20200,19200,19400,19300</t>
  </si>
  <si>
    <t>2025-05-07 23:27:00,2279206583.8876,12715849217.8681,0,0,0,0,0,0</t>
  </si>
  <si>
    <t>2025-05-07 23:27:00,2106904035.51375,3354761457.79718,0,0,0,0,0,0</t>
  </si>
  <si>
    <t>2025-05-07 23:27:00,-10923606.0272338,-641746.34802824,-150.866666666667,-7,-2153.05266666667,-70.39,0.0282213715085489,-1.37</t>
  </si>
  <si>
    <t>2025-05-07 23:27:00,27213121.722752,91570.4046157414,0,0,0,0,0,0</t>
  </si>
  <si>
    <t>2025-05-07 23:28:00,565,,565,,550,,558.5,,,,,570,550,557,562</t>
  </si>
  <si>
    <t>2025-05-07 23:28:00,490,,490,,470,,480,,,,,490,470,482,475</t>
  </si>
  <si>
    <t>2025-05-07 23:28:00,5800,,,5600,,5700,5680,,,,,5710,5600,5630,5620</t>
  </si>
  <si>
    <t>2025-05-07 23:28:00,19475,,,,19475,,19775,,,,,20200,19200,19400,19300</t>
  </si>
  <si>
    <t>2025-05-07 23:28:00,2297328267.41358,12865013152.7862,0,0,0,0,0,0</t>
  </si>
  <si>
    <t>2025-05-07 23:28:00,2116980420.09235,3396114698.09284,0,0,0,0,0,0</t>
  </si>
  <si>
    <t>2025-05-07 23:28:00,-11196912.3597825,-697347.435234515,-759.716666666666,-25,-20714.7326666667,-534.97,0.111712267957564,-13.9</t>
  </si>
  <si>
    <t>2025-05-07 23:28:00,27218562.5617159,91659.9866356087,0,0,0,0,0,0</t>
  </si>
  <si>
    <t>2025-05-07 23:29:00,565,,565,,550,,558.5,,,,,570,550,557,562</t>
  </si>
  <si>
    <t>2025-05-07 23:29:00,490,,490,,470,,480,,,,,490,470,482,475</t>
  </si>
  <si>
    <t>2025-05-07 23:29:00,5800,,,5600,,5700,5680,,,,,5710,5600,5630,5620</t>
  </si>
  <si>
    <t>2025-05-07 23:29:00,19475,,,,19475,,19775,,,,,20200,19200,19400,19300</t>
  </si>
  <si>
    <t>2025-05-07 23:29:00,2279187901.53846,12718040154.3035,0,0,0,0,0,0</t>
  </si>
  <si>
    <t>2025-05-07 23:29:00,2106887626.77519,3355107422.44516,0,0,0,0,0,0</t>
  </si>
  <si>
    <t>2025-05-07 23:29:00,-11109413.2190817,-687583.025584442,-28.1166666666666,-2,-163.0005,-7.13,0.0018178381577411,-0.13</t>
  </si>
  <si>
    <t>2025-05-07 23:29:00,27217813.2320878,91599.4585161576,0,0,0,0,0,0</t>
  </si>
  <si>
    <t>2025-05-07 23:30:00,565,,565,,550,,558.5,,,,,570,550,557,562</t>
  </si>
  <si>
    <t>2025-05-07 23:30:00,490,,490,,470,,480,,,,,490,470,482,475</t>
  </si>
  <si>
    <t>2025-05-07 23:30:00,5800,,,5600,,5700,5680,,,,,5710,5600,5630,5620</t>
  </si>
  <si>
    <t>2025-05-07 23:30:00,19475,,,,19475,,19775,,,,,20200,19200,19400,19300</t>
  </si>
  <si>
    <t>2025-05-07 23:30:00,2290877052.86028,12815632826.7541,0,0,0,0,0,0</t>
  </si>
  <si>
    <t>2025-05-07 23:30:00,2104492396.66549,3344625834.1031,0,0,0,0,0,0</t>
  </si>
  <si>
    <t>2025-05-07 23:30:00,-11227345.2358578,-695249.679247892,-17,-1,-11.9,-0.7,-0.0019988117082202,-0.07</t>
  </si>
  <si>
    <t>2025-05-07 23:30:00,27217292.1274839,91527.384080453,0,0,0,0,0,0</t>
  </si>
  <si>
    <t>2025-05-07 23:31:00,565,,565,,550,,558.5,,,,,570,550,557,562</t>
  </si>
  <si>
    <t>2025-05-07 23:31:00,490,,490,,470,,480,,,,,490,470,482,475</t>
  </si>
  <si>
    <t>2025-05-07 23:31:00,5800,,,5600,,5700,5680,,,,,5710,5600,5630,5620</t>
  </si>
  <si>
    <t>2025-05-07 23:31:00,19475,,,,19475,,19775,,,,,20200,19200,19400,19300</t>
  </si>
  <si>
    <t>2025-05-07 23:31:00,2296919099.4511,12867758623.5315,0,0,0,0,0,0</t>
  </si>
  <si>
    <t>2025-05-07 23:31:00,2119228422.88208,3407074433.15678,0,0,0,0,0,0</t>
  </si>
  <si>
    <t>2025-05-07 23:31:00,-11288281.6041369,-703372.803713787,-17,-1,-11.9,-0.7,-0.00199887470212302,-0.07</t>
  </si>
  <si>
    <t>2025-05-07 23:31:00,27222880.5869939,91626.5497929215,0,0,0,0,0,0</t>
  </si>
  <si>
    <t>2025-05-07 23:32:00,565,,565,,550,,558.5,,,,,570,550,557,562</t>
  </si>
  <si>
    <t>2025-05-07 23:32:00,490,,490,,470,,480,,,,,490,470,482,475</t>
  </si>
  <si>
    <t>2025-05-07 23:32:00,5800,,,5600,,5700,5680,,,,,5710,5600,5630,5620</t>
  </si>
  <si>
    <t>2025-05-07 23:32:00,19475,,,,19475,,19775,,,,,20200,19200,19400,19300</t>
  </si>
  <si>
    <t>2025-05-07 23:32:00,2296633380.80144,12866652021.686,0,0,0,0,0,0</t>
  </si>
  <si>
    <t>2025-05-07 23:32:00,2119163016.78131,3406439782.93997,0,0,0,0,0,0</t>
  </si>
  <si>
    <t>2025-05-07 23:32:00,-11215506.233214,-697342.290107731,-88.7505747126437,-5,-1444.79127586207,-75.47,0.00629261874225232,-1.14</t>
  </si>
  <si>
    <t>2025-05-07 23:32:00,27222307.4993045,91572.3776803463,0,0,0,0,0,0</t>
  </si>
  <si>
    <t>2025-05-07 23:33:00,565,,565,,550,,558.5,,,,,570,550,557,562</t>
  </si>
  <si>
    <t>2025-05-07 23:33:00,490,,490,,470,,480,,,,,490,470,482,475</t>
  </si>
  <si>
    <t>2025-05-07 23:33:00,5800,,,5600,,5700,5680,,,,,5710,5600,5630,5620</t>
  </si>
  <si>
    <t>2025-05-07 23:33:00,19475,,,,19475,,19775,,,,,20200,19200,19400,19300</t>
  </si>
  <si>
    <t>2025-05-07 23:33:00,2324554579.98884,13109005103.0146,0,0,0,0,0,0</t>
  </si>
  <si>
    <t>2025-05-07 23:33:00,2123517168.38592,3426995371.21939,0,0,0,0,0,0</t>
  </si>
  <si>
    <t>2025-05-07 23:33:00,-11430987.9866936,-711850.653820482,-40.3333333333334,-2,-474.166666666667,-15.7,0.00417136982460325,-0.32</t>
  </si>
  <si>
    <t>2025-05-07 23:33:00,27227645.9335359,91653.2146536141,0,0,0,0,0,0</t>
  </si>
  <si>
    <t>2025-05-07 23:34:00,565,,565,,550,,558.5,,,,,570,550,557,562</t>
  </si>
  <si>
    <t>2025-05-07 23:34:00,490,,490,,470,,480,,,,,490,470,482,475</t>
  </si>
  <si>
    <t>2025-05-07 23:34:00,5800,,,5600,,5700,5680,,,,,5710,5600,5630,5620</t>
  </si>
  <si>
    <t>2025-05-07 23:34:00,19475,,,,19475,,19775,,,,,20200,19200,19400,19300</t>
  </si>
  <si>
    <t>2025-05-07 23:34:00,2340190313.61827,13292197317.4301,0,0,0,0,0,0</t>
  </si>
  <si>
    <t>2025-05-07 23:34:00,2134217728.98736,3488034982.18871,0,0,0,0,0,0</t>
  </si>
  <si>
    <t>2025-05-07 23:34:00,-11767495.9581331,-742145.748556416,-246.833333333333,-19,-2155.47666666666,-27.84,-0.0233017622214485,-1.23</t>
  </si>
  <si>
    <t>2025-05-07 23:34:00,27226849.1219493,91621.8540174235,0,0,0,0,0,0</t>
  </si>
  <si>
    <t>2025-05-07 23:35:00,565,,565,,550,,558.5,,,,,570,550,557,562</t>
  </si>
  <si>
    <t>2025-05-07 23:35:00,490,,490,,470,,480,,,,,490,470,482,475</t>
  </si>
  <si>
    <t>2025-05-07 23:35:00,5800,,,5600,,5700,5680,,,,,5710,5600,5630,5620</t>
  </si>
  <si>
    <t>2025-05-07 23:35:00,19475,,,,19475,,19775,,,,,20200,19200,19400,19300</t>
  </si>
  <si>
    <t>2025-05-07 23:35:00,2329801345.05126,13265326877.6542,0,0,0,0,0,0</t>
  </si>
  <si>
    <t>2025-05-07 23:35:00,2130658217.42043,3488885618.04847,0,0,0,0,0,0</t>
  </si>
  <si>
    <t>2025-05-07 23:35:00,-11920623.0064573,-770866.19677792,-241.4,-9,-4191.264,-143.56,0.0613961939592766,-2.28</t>
  </si>
  <si>
    <t>2025-05-07 23:35:00,27224149.2952466,91600.5637722076,0,0,0,0,0,0</t>
  </si>
  <si>
    <t>2025-05-07 23:36:00,565,,565,,550,,558.5,,,,,570,550,557,562</t>
  </si>
  <si>
    <t>2025-05-07 23:36:00,490,,490,,470,,480,,,,,490,470,482,475</t>
  </si>
  <si>
    <t>2025-05-07 23:36:00,5800,,,5600,,5700,5680,,,,,5710,5600,5630,5620</t>
  </si>
  <si>
    <t>2025-05-07 23:36:00,19475,,,,19475,,19775,,,,,20200,19200,19400,19300</t>
  </si>
  <si>
    <t>2025-05-07 23:36:00,2329706101.14434,13264165766.5824,0,0,0,0,0,0</t>
  </si>
  <si>
    <t>2025-05-07 23:36:00,2130629815.83328,3488641190.04384,0,0,0,0,0,0</t>
  </si>
  <si>
    <t>2025-05-07 23:36:00,-11945973.7260169,-769233.224501955,-151.566666666666,-4,-844.854666666664,-13.97,-0.00361736116320046,-0.52</t>
  </si>
  <si>
    <t>2025-05-07 23:36:00,27226266.4056122,91605.8858900566,0,0,0,0,0,0</t>
  </si>
  <si>
    <t>2025-05-07 23:37:00,565,,565,,550,,558.5,,,,,570,550,557,562</t>
  </si>
  <si>
    <t>2025-05-07 23:37:00,490,,490,,470,,480,,,,,490,470,482,475</t>
  </si>
  <si>
    <t>2025-05-07 23:37:00,5800,,,5600,,5700,5680,,,,,5710,5600,5630,5620</t>
  </si>
  <si>
    <t>2025-05-07 23:37:00,19475,,,,19475,,19775,,,,,20200,19200,19400,19300</t>
  </si>
  <si>
    <t>2025-05-07 23:37:00,2355580151.24563,13415357367.8427,0,0,0,0,0,0</t>
  </si>
  <si>
    <t>2025-05-07 23:37:00,2151972586.68562,3541256756.68305,0,0,0,0,0,0</t>
  </si>
  <si>
    <t>2025-05-07 23:37:00,-12062038.8454161,-783222.076698687,-355.55,-15,-6436.19599999999,-124.16,-0.0036103079008062,-3.12</t>
  </si>
  <si>
    <t>2025-05-07 23:37:00,27228085.4998417,91625.9065684315,0,0,0,0,0,0</t>
  </si>
  <si>
    <t>2025-05-07 23:38:00,565,,565,,550,,558.5,,,,,570,550,557,562</t>
  </si>
  <si>
    <t>2025-05-07 23:38:00,490,,490,,470,,480,,,,,490,470,482,475</t>
  </si>
  <si>
    <t>2025-05-07 23:38:00,5800,,,5600,,5700,5680,,,,,5710,5600,5630,5620</t>
  </si>
  <si>
    <t>2025-05-07 23:38:00,19475,,,,19475,,19775,,,,,20200,19200,19400,19300</t>
  </si>
  <si>
    <t>2025-05-07 23:38:00,2355536216.59229,13416587988.4294,0,0,0,0,0,0</t>
  </si>
  <si>
    <t>2025-05-07 23:38:00,2130775372.63916,3488915699.44539,0,0,0,0,0,0</t>
  </si>
  <si>
    <t>2025-05-07 23:38:00,-11993678.7333651,-780434.950426616,-81.89,-6,-674.0436,-33.84,-0.0138263446807511,-1.15</t>
  </si>
  <si>
    <t>2025-05-07 23:38:00,27233439.5560129,91684.6524854434,0,0,0,0,0,0</t>
  </si>
  <si>
    <t>2025-05-07 23:39:00,565,,565,,550,,558.5,,,,,570,550,557,562</t>
  </si>
  <si>
    <t>2025-05-07 23:39:00,490,,490,,470,,488,,,,,490,470,482,475</t>
  </si>
  <si>
    <t>2025-05-07 23:39:00,5800,,,5600,,5700,5680,,,,,5710,5600,5630,5620</t>
  </si>
  <si>
    <t>2025-05-07 23:39:00,19475,,,,19475,,19775,,,,,20200,19200,19400,19300</t>
  </si>
  <si>
    <t>2025-05-07 23:39:00,2406352095.63235,13448349373.1542,0,0,0,0,0,0</t>
  </si>
  <si>
    <t>2025-05-07 23:39:00,2110941014.16342,2971396230.73008,0,0,0,0,0,0</t>
  </si>
  <si>
    <t>2025-05-07 23:39:00,-12236785.4515714,-800705.27377727,-65.6666666666667,-4,-313.379333333333,-11.77,-0.00280531817643985,-0.43</t>
  </si>
  <si>
    <t>2025-05-07 23:39:00,27231968.1820836,91648.2785993697,0,0,0,0,0,0</t>
  </si>
  <si>
    <t>2025-05-07 23:40:00,570,,565,,550,,558.5,,,,,570,550,557,562</t>
  </si>
  <si>
    <t>2025-05-07 23:40:00,490,,490,,470,,480,,,,,490,470,482,475</t>
  </si>
  <si>
    <t>2025-05-07 23:40:00,5800,,,5600,,5700,5680,,,,,5710,5600,5630,5620</t>
  </si>
  <si>
    <t>2025-05-07 23:40:00,19475,,,,19475,,19775,,,,,20200,19200,19400,19300</t>
  </si>
  <si>
    <t>2025-05-07 23:40:00,2418726275.23041,11499364804.6646,0,0,0,0,0,0</t>
  </si>
  <si>
    <t>2025-05-07 23:40:00,2157605095.05076,3266748626.32887,0,0,0,0,0,0</t>
  </si>
  <si>
    <t>2025-05-07 23:40:00,-12675558.7060962,-859534.388858901,-551.583333333332,-21,-15338.37,-245.3,0.0355062239087218,-6.37</t>
  </si>
  <si>
    <t>2025-05-07 23:40:00,27230577.8136336,91656.1051805264,0,0,0,0,0,0</t>
  </si>
  <si>
    <t>2025-05-07 23:41:00,570,,565,,550,,558.5,,,,,570,550,557,562</t>
  </si>
  <si>
    <t>2025-05-07 23:41:00,490,,490,,470,,480,,,,,490,470,482,475</t>
  </si>
  <si>
    <t>2025-05-07 23:41:00,5800,,,5600,,5700,5680,,,,,5710,5600,5630,5620</t>
  </si>
  <si>
    <t>2025-05-07 23:41:00,19475,,,,19475,,19775,,,,,20200,19200,19400,19300</t>
  </si>
  <si>
    <t>2025-05-07 23:41:00,2387250967.35649,11335714590.7971,0,0,0,0,0,0</t>
  </si>
  <si>
    <t>2025-05-07 23:41:00,2146341266.42692,3222766550.1488,0,0,0,0,0,0</t>
  </si>
  <si>
    <t>2025-05-07 23:41:00,-12570842.1547562,-846499.17119977,-206.33880952381,-9,-4167.6708357143,-116.02,0.0253456183919115,-2.55</t>
  </si>
  <si>
    <t>2025-05-07 23:41:00,27233848.9573759,91644.5919656114,0,0,0,0,0,0</t>
  </si>
  <si>
    <t>2025-05-07 23:42:00,570,,565,,550,,558.5,,,,,570,550,557,562</t>
  </si>
  <si>
    <t>2025-05-07 23:42:00,490,,490,,470,,480,,,,,490,470,482,475</t>
  </si>
  <si>
    <t>2025-05-07 23:42:00,5800,,,5600,,5700,5680,,,,,5710,5600,5630,5620</t>
  </si>
  <si>
    <t>2025-05-07 23:42:00,19475,,,,19475,,19775,,,,,20200,19200,19400,19300</t>
  </si>
  <si>
    <t>2025-05-07 23:42:00,2399590410.34121,11401881012.6999,0,0,0,0,0,0</t>
  </si>
  <si>
    <t>2025-05-07 23:42:00,2157072097.64702,3266818311.98788,0,0,0,0,0,0</t>
  </si>
  <si>
    <t>2025-05-07 23:42:00,-12615220.197938,-846862.203131737,-29,-2,-93.728,-4.52,-0.00456047378903955,-0.32</t>
  </si>
  <si>
    <t>2025-05-07 23:42:00,27236669.5612219,91657.1009075855,0,0,0,0,0,0</t>
  </si>
  <si>
    <t>2025-05-07 23:43:00,570,,565,,550,,558.5,,,,,570,550,557,562</t>
  </si>
  <si>
    <t>2025-05-07 23:43:00,490,,490,,470,,480,,,,,490,470,482,475</t>
  </si>
  <si>
    <t>2025-05-07 23:43:00,5800,,,5600,,5700,5680,,,,,5710,5600,5630,5620</t>
  </si>
  <si>
    <t>2025-05-07 23:43:00,19475,,,,19475,,19775,,,,,20200,19200,19400,19300</t>
  </si>
  <si>
    <t>2025-05-07 23:43:00,2437446203.09394,11606293254.169,0,0,0,0,0,0</t>
  </si>
  <si>
    <t>2025-05-07 23:43:00,2155456541.05766,3257296853.20267,0,0,0,0,0,0</t>
  </si>
  <si>
    <t>2025-05-07 23:43:00,-12830825.8341424,-874876.150469892,-21.5,-5,-32.05,-2.95,-0.00597330805002895,-0.28</t>
  </si>
  <si>
    <t>2025-05-07 23:43:00,27235968.2849866,91612.8959945447,0,0,0,0,0,0</t>
  </si>
  <si>
    <t>2025-05-07 23:44:00,570,,565,,550,,558.5,,,,,570,550,557,562</t>
  </si>
  <si>
    <t>2025-05-07 23:44:00,490,,490,,470,,480,,,,,490,470,482,475</t>
  </si>
  <si>
    <t>2025-05-07 23:44:00,5800,,,5600,,5700,5680,,,,,5710,5600,5630,5620</t>
  </si>
  <si>
    <t>2025-05-07 23:44:00,19475,,,,19475,,19775,,,,,20200,19200,19400,19300</t>
  </si>
  <si>
    <t>2025-05-07 23:44:00,2431023673.85202,11573216494.8902,0,0,0,0,0,0</t>
  </si>
  <si>
    <t>2025-05-07 23:44:00,2153053751.80174,3249081894.62954,0,0,0,0,0,0</t>
  </si>
  <si>
    <t>2025-05-07 23:44:00,-12626468.7270022,-856524.557729596,-346,-19,-7784.70833333333,-197.7,-0.00151883104751239,-4.57</t>
  </si>
  <si>
    <t>2025-05-07 23:44:00,27241337.7308624,91683.3341157894,0,0,0,0,0,0</t>
  </si>
  <si>
    <t>2025-05-07 23:45:00,570,,565,,550,,558.5,,,,,570,550,557,562</t>
  </si>
  <si>
    <t>2025-05-07 23:45:00,490,,490,,470,,480,,,,,490,470,482,475</t>
  </si>
  <si>
    <t>2025-05-07 23:45:00,5800,,,5600,,5700,5680,,,,,5710,5600,5630,5620</t>
  </si>
  <si>
    <t>2025-05-07 23:45:00,19475,,,,19475,,19775,,,,,20200,19200,19400,19300</t>
  </si>
  <si>
    <t>2025-05-07 23:45:00,2431038687.88985,11575153492.3707,0,0,0,0,0,0</t>
  </si>
  <si>
    <t>2025-05-07 23:45:00,2150967512.31832,3240678856.12543,0,0,0,0,0,0</t>
  </si>
  <si>
    <t>2025-05-07 23:45:00,-12676774.7335577,-861005.075962458,-200.696428571429,-5,-3865.59553571429,-81.15,0.00501247732100503,-1.99</t>
  </si>
  <si>
    <t>2025-05-07 23:45:00,27241391.965771,91623.6993348369,0,0,0,0,0,0</t>
  </si>
  <si>
    <t>2025-05-07 23:46:00,570,,565,,550,,558.5,,,,,570,550,557,562</t>
  </si>
  <si>
    <t>2025-05-07 23:46:00,490,,490,,470,,480,,,,,490,470,482,475</t>
  </si>
  <si>
    <t>2025-05-07 23:46:00,5800,,,5600,,5700,5680,,,,,5710,5600,5630,5620</t>
  </si>
  <si>
    <t>2025-05-07 23:46:00,19475,,,,19475,,19775,,,,,20200,19200,19400,19300</t>
  </si>
  <si>
    <t>2025-05-07 23:46:00,2437181487.55387,11609827888.1992,0,0,0,0,0,0</t>
  </si>
  <si>
    <t>2025-05-07 23:46:00,2151205390.98693,3240412735.93503,0,0,0,0,0,0</t>
  </si>
  <si>
    <t>2025-05-07 23:46:00,-12746829.5764978,-882798.054274076,-519.13238095238,-19,-20041.5004380952,-349.9,0.0384410545259639,-5.33</t>
  </si>
  <si>
    <t>2025-05-07 23:46:00,27247027.4461537,91701.603464435,0,0,0,0,0,0</t>
  </si>
  <si>
    <t>2025-05-07 23:47:00,570,,565,,550,,558.5,,,,,570,550,557,562</t>
  </si>
  <si>
    <t>2025-05-07 23:47:00,490,,490,,470,,480,,,,,490,470,482,475</t>
  </si>
  <si>
    <t>2025-05-07 23:47:00,5800,,,5600,,5700,5680,,,,,5710,5600,5630,5620</t>
  </si>
  <si>
    <t>2025-05-07 23:47:00,19475,,,,19475,,19775,,,,,20200,19200,19400,19300</t>
  </si>
  <si>
    <t>2025-05-07 23:47:00,2443576032.70028,11645949968.7207,0,0,0,0,0,0</t>
  </si>
  <si>
    <t>2025-05-07 23:47:00,2151193848.65497,3240508624.86024,0,0,0,0,0,0</t>
  </si>
  <si>
    <t>2025-05-07 23:47:00,-12706005.1113942,-870229.377379369,-135.13,-4,-4075.8852,-77.96,0.00987425877590643,-1.7</t>
  </si>
  <si>
    <t>2025-05-07 23:47:00,27244029.3778247,91648.5992520561,0,0,0,0,0,0</t>
  </si>
  <si>
    <t>2025-05-07 23:48:00,570,,565,,550,,558.5,,,,,570,550,557,562</t>
  </si>
  <si>
    <t>2025-05-07 23:48:00,490,,490,,470,,488,,,,,490,470,482,475</t>
  </si>
  <si>
    <t>2025-05-07 23:48:00,5800,,,5600,,5700,5680,,,,,5710,5600,5630,5620</t>
  </si>
  <si>
    <t>2025-05-07 23:48:00,19475,,,,19475,,19775,,,,,20200,19200,19400,19300</t>
  </si>
  <si>
    <t>2025-05-07 23:48:00,2443663761.28718,11649186160.5283,0,0,0,0,0,0</t>
  </si>
  <si>
    <t>2025-05-07 23:48:00,2115695954.87963,2987457104.07417,0,0,0,0,0,0</t>
  </si>
  <si>
    <t>2025-05-07 23:48:00,-12466682.855936,-854589.858770349,-642.308333333332,-15,-33477.7775833333,-515.3,0.0413668281412574,-7.49</t>
  </si>
  <si>
    <t>2025-05-07 23:48:00,27242729.7814979,91543.4263612952,0,0,0,0,0,0</t>
  </si>
  <si>
    <t>2025-05-07 23:50:00,570,,565,,550,,558.5,,,,,570,550,557,562</t>
  </si>
  <si>
    <t>2025-05-07 23:50:00,490,,490,,470,,480,,,,,490,470,482,475</t>
  </si>
  <si>
    <t>2025-05-07 23:50:00,5800,,,5600,,5700,5680,,,,,5710,5600,5630,5620</t>
  </si>
  <si>
    <t>2025-05-07 23:50:00,19475,,,,19475,,19775,,,,,20200,19200,19400,19300</t>
  </si>
  <si>
    <t>2025-05-07 23:50:00,2443293352.08829,11648138234.9736,0,0,0,0,0,0</t>
  </si>
  <si>
    <t>2025-05-07 23:50:00,2144776131.04782,3215368923.60142,0,0,0,0,0,0</t>
  </si>
  <si>
    <t>2025-05-07 23:50:00,-12525219.3301991,-858018.836330576,-11.25,-1,-15.75,-1.4,-0.00248760911133354,-0.14</t>
  </si>
  <si>
    <t>2025-05-07 23:50:00,27248372.5133495,91647.7223872352,0,0,0,0,0,0</t>
  </si>
  <si>
    <t>2025-05-07 23:51:00,570,,565,,550,,558.5,,,,,570,550,557,562</t>
  </si>
  <si>
    <t>2025-05-07 23:51:00,490,,490,,470,,480,,,,,490,470,482,475</t>
  </si>
  <si>
    <t>2025-05-07 23:51:00,5800,,,5600,,5700,5680,,,,,5710,5600,5630,5620</t>
  </si>
  <si>
    <t>2025-05-07 23:51:00,19475,,,,19475,,19775,,,,,20200,19200,19400,19300</t>
  </si>
  <si>
    <t>2025-05-07 23:51:00,2392658143.25812,11379480017.7784,0,0,0,0,0,0</t>
  </si>
  <si>
    <t>2025-05-07 23:51:00,2157988719.89308,3267868453.07556,0,0,0,0,0,0</t>
  </si>
  <si>
    <t>2025-05-07 23:51:00,-12640412.13149,-877835.640422399,-518.7,-13,-3499.154,-76.01,0.0280860946252165,-1.18</t>
  </si>
  <si>
    <t>2025-05-07 23:51:00,27247876.9100979,91626.4316454705,0,0,0,0,0,0</t>
  </si>
  <si>
    <t>2025-05-07 23:52:00,570,,565,,550,,558.5,,,,,570,550,557,562</t>
  </si>
  <si>
    <t>2025-05-07 23:52:00,490,,490,,470,,480,,,,,490,470,482,475</t>
  </si>
  <si>
    <t>2025-05-07 23:52:00,5800,,,5600,,5700,5680,,,,,5710,5600,5630,5620</t>
  </si>
  <si>
    <t>2025-05-07 23:52:00,19475,,,,19475,,19775,,,,,20200,19200,19400,19300</t>
  </si>
  <si>
    <t>2025-05-07 23:52:00,2430469686.06558,11582991160.9993,0,0,0,0,0,0</t>
  </si>
  <si>
    <t>2025-05-07 23:52:00,2166356810.53079,3303955153.97052,0,0,0,0,0,0</t>
  </si>
  <si>
    <t>2025-05-07 23:52:00,-12814403.0759692,-911789.385643455,-306.633333333333,-10,-3637.231,-98.56,0.0337373940316286,-1.79</t>
  </si>
  <si>
    <t>2025-05-07 23:52:00,27253269.6443102,91716.1602850872,0,0,0,0,0,0</t>
  </si>
  <si>
    <t>2025-05-07 23:53:00,570,,565,,550,,558.5,,,,,570,550,557,562</t>
  </si>
  <si>
    <t>2025-05-07 23:53:00,490,,490,,470,,480,,,,,490,470,482,475</t>
  </si>
  <si>
    <t>2025-05-07 23:53:00,5800,,,5600,,5700,5680,,,,,5710,5600,5630,5620</t>
  </si>
  <si>
    <t>2025-05-07 23:53:00,19475,,,,19475,,19775,,,,,20200,19200,19400,19300</t>
  </si>
  <si>
    <t>2025-05-07 23:53:00,2392620478.228,11382785388.3939,0,0,0,0,0,0</t>
  </si>
  <si>
    <t>2025-05-07 23:53:00,2162234763.68277,3286007198.61589,0,0,0,0,0,0</t>
  </si>
  <si>
    <t>2025-05-07 23:53:00,-12668856.1296773,-887400.224412966,-141.966666666666,-5,-1848.73133333333,-46.26,-0.00834289254944292,-1.34</t>
  </si>
  <si>
    <t>2025-05-07 23:53:00,27253778.3783552,91646.387769442,0,0,0,0,0,0</t>
  </si>
  <si>
    <t>2025-05-07 23:54:00,570,,565,,550,,558.5,,,,,570,550,557,562</t>
  </si>
  <si>
    <t>2025-05-07 23:54:00,490,,490,,470,,488,,,,,490,470,482,475</t>
  </si>
  <si>
    <t>2025-05-07 23:54:00,5800,,,5600,,5700,5680,,,,,5710,5600,5630,5620</t>
  </si>
  <si>
    <t>2025-05-07 23:54:00,19475,,,,19475,,19775,,,,,20200,19200,19400,19300</t>
  </si>
  <si>
    <t>2025-05-07 23:54:00,2395177670.831,12758248090.2068,0,0,0,0,0,0</t>
  </si>
  <si>
    <t>2025-05-07 23:54:00,2111330443.97069,2972702243.82761,0,0,0,0,0,0</t>
  </si>
  <si>
    <t>2025-05-07 23:54:00,-12197130.5117894,-831953.482497738,-33.4,-1,-263.86,-7.9,-0.00277124498683531,-0.34</t>
  </si>
  <si>
    <t>2025-05-07 23:54:00,27250896.6510555,91512.9927152375,0,0,0,0,0,0</t>
  </si>
  <si>
    <t>2025-05-07 23:55:00,570,,570,,550,,564.5,,,,,570,550,557,562</t>
  </si>
  <si>
    <t>2025-05-07 23:55:00,490,,490,,470,,488,,,,,490,470,482,475</t>
  </si>
  <si>
    <t>2025-05-07 23:55:00,5800,,,5600,,5700,5680,,,,,5710,5600,5630,5620</t>
  </si>
  <si>
    <t>2025-05-07 23:55:00,19475,,,,19475,,19775,,,,,20200,19200,19400,19300</t>
  </si>
  <si>
    <t>2025-05-07 23:55:00,2341504804.06599,10327215316.2443,0,0,0,0,0,0</t>
  </si>
  <si>
    <t>2025-05-07 23:55:00,2115461946.35013,2988018372.08742,0,0,0,0,0,0</t>
  </si>
  <si>
    <t>2025-05-07 23:55:00,-12193805.2504397,-839102.125539674,-426.306666666667,-27,-8239.5576,-147.8,0.0128219723102396,-3.16</t>
  </si>
  <si>
    <t>2025-05-07 23:55:00,27256298.0005214,91595.3561822636,0,0,0,0,0,0</t>
  </si>
  <si>
    <t>2025-05-07 23:56:00,570,,565,,550,,558.5,,,,,570,550,557,562</t>
  </si>
  <si>
    <t>2025-05-07 23:56:00,490,,490,,470,,480,,,,,490,470,482,475</t>
  </si>
  <si>
    <t>2025-05-07 23:56:00,5800,,,5600,,5700,5680,,,,,5710,5600,5630,5620</t>
  </si>
  <si>
    <t>2025-05-07 23:56:00,19475,,,,19475,,19775,,,,,20200,19200,19400,19300</t>
  </si>
  <si>
    <t>2025-05-07 23:56:00,2398717740.60825,11419372549.187,0,0,0,0,0,0</t>
  </si>
  <si>
    <t>2025-05-07 23:56:00,2157599889.60535,3267502790.43012,0,0,0,0,0,0</t>
  </si>
  <si>
    <t>2025-05-07 23:56:00,-12563301.5412795,-884522.654501988,-194.453333333333,-5,-8300.59753333333,-135.21,0.020975978258162,-2.52</t>
  </si>
  <si>
    <t>2025-05-07 23:56:00,27256525.3196677,91599.4907126927,0,0,0,0,0,0</t>
  </si>
  <si>
    <t>2025-05-07 23:57:00,570,,565,,550,,558.5,,,,,570,550,557,562</t>
  </si>
  <si>
    <t>2025-05-07 23:57:00,490,,490,,470,,480,,,,,490,470,482,475</t>
  </si>
  <si>
    <t>2025-05-07 23:57:00,5800,,,5600,,5700,5680,,,,,5710,5600,5630,5620</t>
  </si>
  <si>
    <t>2025-05-07 23:57:00,19475,,,,19475,,19775,,,,,20200,19200,19400,19300</t>
  </si>
  <si>
    <t>2025-05-07 23:57:00,2430369398.96138,11589867775.1361,0,0,0,0,0,0</t>
  </si>
  <si>
    <t>2025-05-07 23:57:00,2179845809.35078,3362732987.78197,0,0,0,0,0,0</t>
  </si>
  <si>
    <t>2025-05-07 23:57:00,-12823993.5837929,-902017.637983061,-229.25,-11,-545.675,-23.8,-0.0253021005389439,-1.73</t>
  </si>
  <si>
    <t>2025-05-07 23:57:00,27261934.485598,91712.0715384426,0,0,0,0,0,0</t>
  </si>
  <si>
    <t>2025-05-07 23:58:00,570,,565,,550,,558.5,,,,,570,550,557,562</t>
  </si>
  <si>
    <t>2025-05-07 23:58:00,490,,490,,470,,480,,,,,490,470,482,475</t>
  </si>
  <si>
    <t>2025-05-07 23:58:00,5800,,,5600,,5700,5680,,,,,5710,5600,5630,5620</t>
  </si>
  <si>
    <t>2025-05-07 23:58:00,19475,,,,19475,,19775,,,,,20200,19200,19400,19300</t>
  </si>
  <si>
    <t>2025-05-07 23:58:00,2379656429.85218,11323859638.2694,0,0,0,0,0,0</t>
  </si>
  <si>
    <t>2025-05-07 23:58:00,2153592811.09707,3250935154.73823,0,0,0,0,0,0</t>
  </si>
  <si>
    <t>2025-05-07 23:58:00,-12246726.8679563,-860360.253671912,-137.5,-5,-3201.75000000001,-66.9,0.0274881726582669,-1.72</t>
  </si>
  <si>
    <t>2025-05-07 23:58:00,27259512.5297144,91602.4638832859,0,0,0,0,0,0</t>
  </si>
  <si>
    <t>2025-05-07 23:59:00,570,,565,,550,,558.5,,,,,570,550,557,562</t>
  </si>
  <si>
    <t>2025-05-07 23:59:00,490,,490,,470,,480,,,,,490,470,482,475</t>
  </si>
  <si>
    <t>2025-05-07 23:59:00,5800,,,5600,,5700,5680,,,,,5710,5600,5630,5620</t>
  </si>
  <si>
    <t>2025-05-07 23:59:00,19475,,,,19475,,19775,,,,,20200,19200,19400,19300</t>
  </si>
  <si>
    <t>2025-05-07 23:59:00,2385802502.12728,11358361849.0539,0,0,0,0,0,0</t>
  </si>
  <si>
    <t>2025-05-07 23:59:00,2144729765.95558,3216089787.33368,0,0,0,0,0,0</t>
  </si>
  <si>
    <t>2025-05-07 23:59:00,-12331206.376247,-866945.853230418,-7.49999999999999,-1,-7.49999999999999,-1,-0.00227723914278887,-0.1</t>
  </si>
  <si>
    <t>2025-05-07 23:59:00,27258741.901156,91550.2218525065,0,0,0,0,0,0</t>
  </si>
  <si>
    <t>2025-05-08 00:00:00,570,,570,,550,,564.5,,,,,570,550,557,562</t>
  </si>
  <si>
    <t>2025-05-08 00:00:00,490,,490,,470,,480,,,,,490,470,482,475</t>
  </si>
  <si>
    <t>2025-05-08 00:00:00,5800,,,5600,,5700,5680,,,,,5710,5600,5630,5620</t>
  </si>
  <si>
    <t>2025-05-08 00:00:00,19475,,,,19475,,19775,,,,,20200,19200,19400,19300</t>
  </si>
  <si>
    <t>2025-05-08 00:00:00,2328550503.7509,10268296472.1699,0,0,0,0,0,0</t>
  </si>
  <si>
    <t>2025-05-08 00:00:00,2136471022.69778,3508461375.29264,0,0,0,0,0,0</t>
  </si>
  <si>
    <t>2025-05-08 00:00:00,-12010422.6626733,-836659.640054588,-317.523983739838,-7,-4324.02916260164,-116.91,0.0160679646122311,-1.78</t>
  </si>
  <si>
    <t>2025-05-08 00:00:00,27264244.9483628,91570.5096046165,0,0,0,0,0,0</t>
  </si>
  <si>
    <t>2025-05-08 00:01:00,565,,565,,550,,558.5,,,,,570,550,557,562</t>
  </si>
  <si>
    <t>2025-05-08 00:01:00,490,,490,,470,,480,,,,,490,470,482,475</t>
  </si>
  <si>
    <t>2025-05-08 00:01:00,5800,,,5600,,5700,5680,,,,,5710,5600,5630,5620</t>
  </si>
  <si>
    <t>2025-05-08 00:01:00,19475,,,,19475,,19775,,,,,20200,19200,19400,19300</t>
  </si>
  <si>
    <t>2025-05-08 00:01:00,2404856409.49,13484807025.0011,0,0,0,0,0,0</t>
  </si>
  <si>
    <t>2025-05-08 00:01:00,2132023128.01758,3167427035.70637,0,0,0,0,0,0</t>
  </si>
  <si>
    <t>2025-05-08 00:01:00,-11851620.6094934,-825685.328830954,-870.049999999996,-12,-52587.8729999997,-513.42,0.0387979421546417,-7.65</t>
  </si>
  <si>
    <t>2025-05-08 00:01:00,27266347.8724524,91546.0724008948,0,0,0,0,0,0</t>
  </si>
  <si>
    <t>2025-05-08 00:02:00,565,,565,,550,,558.5,,,,,570,550,557,562</t>
  </si>
  <si>
    <t>2025-05-08 00:02:00,490,,490,,470,,480,,,,,490,470,482,475</t>
  </si>
  <si>
    <t>2025-05-08 00:02:00,5800,,,5600,,5700,5680,,,,,5710,5600,5630,5620</t>
  </si>
  <si>
    <t>2025-05-08 00:02:00,19475,,,,19475,,19775,,,,,20200,19200,19400,19300</t>
  </si>
  <si>
    <t>2025-05-08 00:02:00,2329937243.85547,13299611437.4553,0,0,0,0,0,0</t>
  </si>
  <si>
    <t>2025-05-08 00:02:00,2152971788.19062,3545431617.22496,0,0,0,0,0,0</t>
  </si>
  <si>
    <t>2025-05-08 00:02:00,-11657989.8803248,-829265.787632613,-773.933333333332,-26,-18553.7533333333,-323.3,0.0760142021536976,-7.89</t>
  </si>
  <si>
    <t>2025-05-08 00:02:00,27271841.2635149,91596.219324673,0,0,0,0,0,0</t>
  </si>
  <si>
    <t>2025-05-08 00:03:00,565,,565,,550,,558.5,,,,,570,550,557,562</t>
  </si>
  <si>
    <t>2025-05-08 00:03:00,490,,490,,470,,480,,,,,490,470,482,475</t>
  </si>
  <si>
    <t>2025-05-08 00:03:00,5800,,,5600,,5700,5680,,,,,5710,5600,5630,5620</t>
  </si>
  <si>
    <t>2025-05-08 00:03:00,19475,,,,19475,,19775,,,,,20200,19200,19400,19300</t>
  </si>
  <si>
    <t>2025-05-08 00:03:00,2329945784.03551,13303186718.8323,0,0,0,0,0,0</t>
  </si>
  <si>
    <t>2025-05-08 00:03:00,2136913614.83997,3502319747.20699,0,0,0,0,0,0</t>
  </si>
  <si>
    <t>2025-05-08 00:03:00,-11489900.40541,-832524.288799703,-532.82,-19,-10087.9477,-204.91,0.0695653559769882,-3.21</t>
  </si>
  <si>
    <t>2025-05-08 00:03:00,27267246.8611088,91514.8666427726,0,0,0,0,0,0</t>
  </si>
  <si>
    <t>2025-05-08 00:04:00,565,,565,,550,,558.5,,,,,570,550,557,562</t>
  </si>
  <si>
    <t>2025-05-08 00:04:00,490,,490,,470,,480,,,,,490,470,482,475</t>
  </si>
  <si>
    <t>2025-05-08 00:04:00,5800,,,5600,,5700,5680,,,,,5710,5600,5630,5620</t>
  </si>
  <si>
    <t>2025-05-08 00:04:00,19475,,,,19475,,19775,,,,,20200,19200,19400,19300</t>
  </si>
  <si>
    <t>2025-05-08 00:04:00,2397920994.42093,13615177650.1982,0,0,0,0,0,0</t>
  </si>
  <si>
    <t>2025-05-08 00:04:00,2138693129.32003,3191955772.31464,0,0,0,0,0,0</t>
  </si>
  <si>
    <t>2025-05-08 00:04:00,-11735979.1510118,-857098.165240254,-57.1333333333333,-4,-239.495999999999,-8.92,0.00133208077985042,-0.21</t>
  </si>
  <si>
    <t>2025-05-08 00:04:00,27265900.9349008,91493.4369014739,0,0,0,0,0,0</t>
  </si>
  <si>
    <t>2025-05-08 00:05:00,570,,570,,550,,564.5,,,,,570,550,557,562</t>
  </si>
  <si>
    <t>2025-05-08 00:05:00,490,,490,,470,,480,,,,,490,470,482,475</t>
  </si>
  <si>
    <t>2025-05-08 00:05:00,5800,,,5600,,5700,5680,,,,,5710,5600,5630,5620</t>
  </si>
  <si>
    <t>2025-05-08 00:05:00,19475,,,,19475,,19775,,,,,20200,19200,19400,19300</t>
  </si>
  <si>
    <t>2025-05-08 00:05:00,2328143159.30086,10273892189.3983,0,0,0,0,0,0</t>
  </si>
  <si>
    <t>2025-05-08 00:05:00,2132249017.05649,3167974139.91306,0,0,0,0,0,0</t>
  </si>
  <si>
    <t>2025-05-08 00:05:00,-11868256.4728084,-871772.668548564,-107.666666666667,-6,-1415.402,-32.4,0.0136844898343274,-0.65</t>
  </si>
  <si>
    <t>2025-05-08 00:05:00,27271427.0555697,91559.1352648341,0,0,0,0,0,0</t>
  </si>
  <si>
    <t>2025-05-08 00:06:00,565,,565,,550,,558.5,,,,,570,550,557,562</t>
  </si>
  <si>
    <t>2025-05-08 00:06:00,490,,490,,470,,488,,,,,490,470,482,475</t>
  </si>
  <si>
    <t>2025-05-08 00:06:00,5800,,,5600,,5700,5680,,,,,5710,5600,5630,5620</t>
  </si>
  <si>
    <t>2025-05-08 00:06:00,19475,,,,19475,,19775,,,,,20200,19200,19400,19300</t>
  </si>
  <si>
    <t>2025-05-08 00:06:00,2340443233.16143,13361611349.8478,0,0,0,0,0,0</t>
  </si>
  <si>
    <t>2025-05-08 00:06:00,2115733500.9523,2988671564.59829,0,0,0,0,0,0</t>
  </si>
  <si>
    <t>2025-05-08 00:06:00,-11781056.4718148,-860172.316134489,-52.9733333333333,-3,-525.3716,-27.34,0.000609736739905851,-0.54</t>
  </si>
  <si>
    <t>2025-05-08 00:06:00,27271390.6268046,91511.3233534902,0,0,0,0,0,0</t>
  </si>
  <si>
    <t>2025-05-08 00:07:00,565,,565,,550,,558.5,,,,,570,550,557,562</t>
  </si>
  <si>
    <t>2025-05-08 00:07:00,490,,490,,470,,488,,,,,490,470,482,475</t>
  </si>
  <si>
    <t>2025-05-08 00:07:00,5800,,,5600,,5700,5680,,,,,5710,5600,5630,5620</t>
  </si>
  <si>
    <t>2025-05-08 00:07:00,19475,,,,19475,,19775,,,,,20200,19200,19400,19300</t>
  </si>
  <si>
    <t>2025-05-08 00:07:00,2364386917.49122,13502851513.6711,0,0,0,0,0,0</t>
  </si>
  <si>
    <t>2025-05-08 00:07:00,2115812260.6809,2988551084.90973,0,0,0,0,0,0</t>
  </si>
  <si>
    <t>2025-05-08 00:07:00,-11896921.0633567,-865727.16292732,-57.8666666666666,-7,-321.830666666666,-8.07,-0.00271377695811598,-0.2</t>
  </si>
  <si>
    <t>2025-05-08 00:07:00,27276919.7666803,91588.3558849658,0,0,0,0,0,0</t>
  </si>
  <si>
    <t>2025-05-08 00:08:00,565,,565,,550,,558.5,,,,,570,550,557,562</t>
  </si>
  <si>
    <t>2025-05-08 00:08:00,490,,490,,470,,488,,,,,490,470,482,475</t>
  </si>
  <si>
    <t>2025-05-08 00:08:00,5800,,,5600,,5700,5680,,,,,5710,5600,5630,5620</t>
  </si>
  <si>
    <t>2025-05-08 00:08:00,19475,,,,19475,,19775,,,,,20200,19200,19400,19300</t>
  </si>
  <si>
    <t>2025-05-08 00:08:00,2397773651.26966,13620383754.605,0,0,0,0,0,0</t>
  </si>
  <si>
    <t>2025-05-08 00:08:00,2115827806.27619,2988523989.72855,0,0,0,0,0,0</t>
  </si>
  <si>
    <t>2025-05-08 00:08:00,-11430310.5170758,-860546.753276729,-169.542857142857,-4,-7459.34935714285,-151.99,0.0234331862882049,-2.5</t>
  </si>
  <si>
    <t>2025-05-08 00:08:00,27275514.9172199,91520.8332169506,0,0,0,0,0,0</t>
  </si>
  <si>
    <t>2025-05-08 00:09:00,565,,565,,550,,558.5,,,,,570,550,557,562</t>
  </si>
  <si>
    <t>2025-05-08 00:09:00,490,,490,,470,,480,,,,,490,470,482,475</t>
  </si>
  <si>
    <t>2025-05-08 00:09:00,5800,,,5600,,5700,5680,,,,,5710,5600,5630,5620</t>
  </si>
  <si>
    <t>2025-05-08 00:09:00,19475,,,,19475,,19775,,,,,20200,19200,19400,19300</t>
  </si>
  <si>
    <t>2025-05-08 00:09:00,2404279415.45075,13497299610.0542,0,0,0,0,0,0</t>
  </si>
  <si>
    <t>2025-05-08 00:09:00,2140813041.5443,3200628990.4216,0,0,0,0,0,0</t>
  </si>
  <si>
    <t>2025-05-08 00:09:00,-11958799.6719592,-883392.880537176,-44.9999999999999,-2,-479.499999999999,-15.4,0.00444845902281385,-0.3</t>
  </si>
  <si>
    <t>2025-05-08 00:09:00,27274832.6253102,91485.9489019017,0,0,0,0,0,0</t>
  </si>
  <si>
    <t>2025-05-08 00:10:00,570,,565,,550,,558.5,,,,,570,550,557,562</t>
  </si>
  <si>
    <t>2025-05-08 00:10:00,490,,490,,470,,480,,,,,490,470,482,475</t>
  </si>
  <si>
    <t>2025-05-08 00:10:00,5800,,,5600,,5700,5680,,,,,5710,5600,5630,5620</t>
  </si>
  <si>
    <t>2025-05-08 00:10:00,19475,,,,19475,,19775,,,,,20200,19200,19400,19300</t>
  </si>
  <si>
    <t>2025-05-08 00:10:00,2416280112.44905,11538565846.5812,0,0,0,0,0,0</t>
  </si>
  <si>
    <t>2025-05-08 00:10:00,2151743663.55896,3243449814.66675,0,0,0,0,0,0</t>
  </si>
  <si>
    <t>2025-05-08 00:10:00,-12059171.6472795,-897601.948685358,-53,-2,-512.399999999999,-16.7,0.00381889454059709,-0.39</t>
  </si>
  <si>
    <t>2025-05-08 00:10:00,27280282.1789386,91580.6847630525,0,0,0,0,0,0</t>
  </si>
  <si>
    <t>2025-05-08 00:11:00,570,,570,,550,,564.5,,,,,570,550,557,562</t>
  </si>
  <si>
    <t>2025-05-08 00:11:00,490,,490,,470,,480,,,,,490,470,482,475</t>
  </si>
  <si>
    <t>2025-05-08 00:11:00,5800,,,5600,,5700,5680,,,,,5710,5600,5630,5620</t>
  </si>
  <si>
    <t>2025-05-08 00:11:00,19475,,,,19475,,19775,,,,,20200,19200,19400,19300</t>
  </si>
  <si>
    <t>2025-05-08 00:11:00,2339911658.76507,10343173321.8731,0,0,0,0,0,0</t>
  </si>
  <si>
    <t>2025-05-08 00:11:00,2154120172.55423,3251964438.14597,0,0,0,0,0,0</t>
  </si>
  <si>
    <t>2025-05-08 00:11:00,-12036545.926901,-896722.14428708,-49.1333333333334,-5,-21.0213333333333,-2.02,-0.00751833485541057,-0.22</t>
  </si>
  <si>
    <t>2025-05-08 00:11:00,27280596.9287351,91521.7641895842,0,0,0,0,0,0</t>
  </si>
  <si>
    <t>2025-05-08 00:12:00,570,,570,,550,,564.5,,,,,570,550,557,562</t>
  </si>
  <si>
    <t>2025-05-08 00:12:00,490,,490,,470,,480,,,,,490,470,482,475</t>
  </si>
  <si>
    <t>2025-05-08 00:12:00,5800,,,5600,,5700,5680,,,,,5710,5600,5630,5620</t>
  </si>
  <si>
    <t>2025-05-08 00:12:00,19475,,,,19475,,19775,,,,,20200,19200,19400,19300</t>
  </si>
  <si>
    <t>2025-05-08 00:12:00,2339938690.42582,10343130899.2603,0,0,0,0,0,0</t>
  </si>
  <si>
    <t>2025-05-08 00:12:00,2138854521.81499,3193313981.04497,0,0,0,0,0,0</t>
  </si>
  <si>
    <t>2025-05-08 00:12:00,-11886510.7605606,-880687.02517487,-47.5,-1,-698.249999999999,-14.7,0.00645492586200895,-0.22</t>
  </si>
  <si>
    <t>2025-05-08 00:12:00,27286164.1430355,91573.29191912,0,0,0,0,0,0</t>
  </si>
  <si>
    <t>2025-05-08 00:13:00,565,,565,,550,,558.5,,,,,570,550,557,562</t>
  </si>
  <si>
    <t>2025-05-08 00:13:00,490,,490,,470,,480,,,,,490,470,482,475</t>
  </si>
  <si>
    <t>2025-05-08 00:13:00,5800,,,5600,,5700,5680,,,,,5710,5600,5630,5620</t>
  </si>
  <si>
    <t>2025-05-08 00:13:00,19475,,,,19475,,19775,,,,,20200,19200,19400,19300</t>
  </si>
  <si>
    <t>2025-05-08 00:13:00,2336823205.28759,13307176901.175,0,0,0,0,0,0</t>
  </si>
  <si>
    <t>2025-05-08 00:13:00,2122038954.83056,3451648671.29399,0,0,0,0,0,0</t>
  </si>
  <si>
    <t>2025-05-08 00:13:00,-11191405.3667833,-816466.495753414,-424.783333333334,-12,-4924.17566666668,-87.91,0.00168729313623571,-2.14</t>
  </si>
  <si>
    <t>2025-05-08 00:13:00,27283551.2746042,91449.8931134491,0,0,0,0,0,0</t>
  </si>
  <si>
    <t>2025-05-08 00:14:00,565,,565,,550,,558.5,,,,,570,550,557,562</t>
  </si>
  <si>
    <t>2025-05-08 00:14:00,490,,490,,470,,480,,,,,490,470,482,475</t>
  </si>
  <si>
    <t>2025-05-08 00:14:00,5800,,,5600,,5700,5680,,,,,5710,5600,5630,5620</t>
  </si>
  <si>
    <t>2025-05-08 00:14:00,19475,,,,19475,,19775,,,,,20200,19200,19400,19300</t>
  </si>
  <si>
    <t>2025-05-08 00:14:00,2316774555.73824,13271372963.004,0,0,0,0,0,0</t>
  </si>
  <si>
    <t>2025-05-08 00:14:00,2122165423.91413,3452148580.31103,0,0,0,0,0,0</t>
  </si>
  <si>
    <t>2025-05-08 00:14:00,-11556612.0584126,-846840.240257503,-421.250000000001,-6,-20241.7200000001,-275.9,0.0309429636430359,-5.22</t>
  </si>
  <si>
    <t>2025-05-08 00:14:00,27281408.0200613,91385.2089478726,0,0,0,0,0,0</t>
  </si>
  <si>
    <t>2025-05-08 00:15:00,565,,565,,550,,558.5,,,,,570,550,557,562</t>
  </si>
  <si>
    <t>2025-05-08 00:15:00,490,,490,,470,,480,,,,,490,470,482,475</t>
  </si>
  <si>
    <t>2025-05-08 00:15:00,5800,,,5600,,5700,5680,,,,,5710,5600,5630,5620</t>
  </si>
  <si>
    <t>2025-05-08 00:15:00,19475,,,,19475,,19775,,,,,20200,19200,19400,19300</t>
  </si>
  <si>
    <t>2025-05-08 00:15:00,2345761502.38705,13412099967.4254,0,0,0,0,0,0</t>
  </si>
  <si>
    <t>2025-05-08 00:15:00,2129718630.88396,3482929258.28501,0,0,0,0,0,0</t>
  </si>
  <si>
    <t>2025-05-08 00:15:00,-11763735.4913979,-870616.802444365,-420.983333333335,-9,-19745.9963333334,-265.69,0.0204208100366114,-5.22</t>
  </si>
  <si>
    <t>2025-05-08 00:15:00,27286984.9637521,91474.3385140518,0,0,0,0,0,0</t>
  </si>
  <si>
    <t>2025-05-08 00:16:00,565,,565,,550,,558.5,,,,,570,550,557,562</t>
  </si>
  <si>
    <t>2025-05-08 00:16:00,490,,490,,470,,480,,,,,490,470,482,475</t>
  </si>
  <si>
    <t>2025-05-08 00:16:00,5800,,,5600,,5700,5680,,,,,5710,5600,5630,5620</t>
  </si>
  <si>
    <t>2025-05-08 00:16:00,19475,,,,19475,,19775,,,,,20200,19200,19400,19300</t>
  </si>
  <si>
    <t>2025-05-08 00:16:00,2337188604.69488,13334725707.5424,0,0,0,0,0,0</t>
  </si>
  <si>
    <t>2025-05-08 00:16:00,2129325575.59047,3451457193.45198,0,0,0,0,0,0</t>
  </si>
  <si>
    <t>2025-05-08 00:16:00,-11520264.6847305,-853168.030547405,-97.1666666666665,-8,-1359.06666666666,-31.2,0.0166259318751347,-0.54</t>
  </si>
  <si>
    <t>2025-05-08 00:16:00,27286604.5654158,91364.0008934604,0,0,0,0,0,0</t>
  </si>
  <si>
    <t>2025-05-08 00:17:00,565,,565,,550,,558.5,,,,,570,550,557,562</t>
  </si>
  <si>
    <t>2025-05-08 00:17:00,490,,490,,470,,480,,,,,490,470,482,475</t>
  </si>
  <si>
    <t>2025-05-08 00:17:00,5800,,,5600,,5700,5680,,,,,5710,5600,5630,5620</t>
  </si>
  <si>
    <t>2025-05-08 00:17:00,19475,,,,19475,,19775,,,,,20200,19200,19400,19300</t>
  </si>
  <si>
    <t>2025-05-08 00:17:00,2341465502.00196,13314912557.2876,0,0,0,0,0,0</t>
  </si>
  <si>
    <t>2025-05-08 00:17:00,2127403080.76911,3473411037.79599,0,0,0,0,0,0</t>
  </si>
  <si>
    <t>2025-05-08 00:17:00,-11715637.9717609,-870558.876781715,-592.758333333333,-20,-5508.25725,-141.72,-0.0150933370028321,-5.21</t>
  </si>
  <si>
    <t>2025-05-08 00:17:00,27292154.1620582,91482.6963288762,0,0,0,0,0,0</t>
  </si>
  <si>
    <t>2025-05-08 00:18:00,565,,565,,550,,558.5,,,,,570,550,557,562</t>
  </si>
  <si>
    <t>2025-05-08 00:18:00,490,,490,,470,,480,,,,,490,470,482,475</t>
  </si>
  <si>
    <t>2025-05-08 00:18:00,5800,,,5600,,5700,5680,,,,,5710,5600,5630,5620</t>
  </si>
  <si>
    <t>2025-05-08 00:18:00,19475,,,,19475,,19775,,,,,20200,19200,19400,19300</t>
  </si>
  <si>
    <t>2025-05-08 00:18:00,2345483481.79805,13415603247.7468,0,0,0,0,0,0</t>
  </si>
  <si>
    <t>2025-05-08 00:18:00,2127381037.01721,3473205422.99467,0,0,0,0,0,0</t>
  </si>
  <si>
    <t>2025-05-08 00:18:00,-11703020.6794918,-882844.944134915,-268.033333333333,-9,-3753.694,-119.62,0.0529223192234825,-1.79</t>
  </si>
  <si>
    <t>2025-05-08 00:18:00,27292107.1718984,91425.7164323377,0,0,0,0,0,0</t>
  </si>
  <si>
    <t>2025-05-08 00:19:00,565,,565,,550,,558.5,,,,,570,550,557,562</t>
  </si>
  <si>
    <t>2025-05-08 00:19:00,490,,490,,470,,480,,,,,490,470,482,475</t>
  </si>
  <si>
    <t>2025-05-08 00:19:00,5800,,,5600,,5700,5680,,,,,5710,5600,5630,5620</t>
  </si>
  <si>
    <t>2025-05-08 00:19:00,19475,,,,19475,,19775,,,,,20200,19200,19400,19300</t>
  </si>
  <si>
    <t>2025-05-08 00:19:00,2329663698.74817,13322925471.072,0,0,0,0,0,0</t>
  </si>
  <si>
    <t>2025-05-08 00:19:00,2115649399.22562,3390796353.54023,0,0,0,0,0,0</t>
  </si>
  <si>
    <t>2025-05-08 00:19:00,-11195786.997763,-873161.478117125,-880.020000000003,-18,-21342.7164000001,-422.54,0.166242116955583,-8.16</t>
  </si>
  <si>
    <t>2025-05-08 00:19:00,27291387.0660926,91301.4941791846,0,0,0,0,0,0</t>
  </si>
  <si>
    <t>2025-05-08 00:20:00,565,,565,,550,,558.5,,,,,570,550,557,562</t>
  </si>
  <si>
    <t>2025-05-08 00:20:00,490,,490,,470,,480,,,,,490,470,482,475</t>
  </si>
  <si>
    <t>2025-05-08 00:20:00,5800,,,5600,,5700,5680,,,,,5710,5600,5630,5620</t>
  </si>
  <si>
    <t>2025-05-08 00:20:00,19475,,,,19475,,19775,,,,,20200,19200,19400,19300</t>
  </si>
  <si>
    <t>2025-05-08 00:20:00,2316108522.6414,13277898196.1682,0,0,0,0,0,0</t>
  </si>
  <si>
    <t>2025-05-08 00:20:00,2136249336.31275,3485996410.92068,0,0,0,0,0,0</t>
  </si>
  <si>
    <t>2025-05-08 00:20:00,-11652438.4733022,-917541.827928876,-474.999999999999,-11,-18344.004,-232.77,0.0115440304565216,-4.61</t>
  </si>
  <si>
    <t>2025-05-08 00:20:00,27296971.9597571,91417.000475118,0,0,0,0,0,0</t>
  </si>
  <si>
    <t>2025-05-08 00:21:00,565,,565,,550,,558.5,,,,,570,550,557,562</t>
  </si>
  <si>
    <t>2025-05-08 00:21:00,490,,490,,470,,480,,,,,490,470,482,475</t>
  </si>
  <si>
    <t>2025-05-08 00:21:00,5800,,,5600,,5700,5680,,,,,5710,5600,5630,5620</t>
  </si>
  <si>
    <t>2025-05-08 00:21:00,19475,,,,19475,,19775,,,,,20200,19200,19400,19300</t>
  </si>
  <si>
    <t>2025-05-08 00:21:00,2329748767.99184,13324819593.7045,0,0,0,0,0,0</t>
  </si>
  <si>
    <t>2025-05-08 00:21:00,2129486277.83178,3451280446.78931,0,0,0,0,0,0</t>
  </si>
  <si>
    <t>2025-05-08 00:21:00,-11540308.4647657,-899122.457548282,-32.85,-1,-324.2295,-9.87,0.00456939227727204,-0.14</t>
  </si>
  <si>
    <t>2025-05-08 00:21:00,27294840.2826344,91333.0377775501,0,0,0,0,0,0</t>
  </si>
  <si>
    <t>2025-05-08 00:22:00,565,,565,,550,,558.5,,,,,570,550,557,562</t>
  </si>
  <si>
    <t>2025-05-08 00:22:00,490,,490,,470,,480,,,,,490,470,482,475</t>
  </si>
  <si>
    <t>2025-05-08 00:22:00,5800,,,5600,,5700,5680,,,,,5710,5600,5630,5620</t>
  </si>
  <si>
    <t>2025-05-08 00:22:00,19475,,,,19475,,19775,,,,,20200,19200,19400,19300</t>
  </si>
  <si>
    <t>2025-05-08 00:22:00,2329710493.93252,13328362929.9951,0,0,0,0,0,0</t>
  </si>
  <si>
    <t>2025-05-08 00:22:00,2135313441.07345,3478979325.18873,0,0,0,0,0,0</t>
  </si>
  <si>
    <t>2025-05-08 00:22:00,-11185862.4788693,-871092.210186132,-108.7,-3,-1112.489,-25.97,0.00844291503718787,-0.5</t>
  </si>
  <si>
    <t>2025-05-08 00:22:00,27300413.826974,91422.2968525739,0,0,0,0,0,0</t>
  </si>
  <si>
    <t>2025-05-08 00:23:00,565,,565,,550,,558.5,,,,,570,550,557,562</t>
  </si>
  <si>
    <t>2025-05-08 00:23:00,490,,490,,470,,480,,,,,490,470,482,475</t>
  </si>
  <si>
    <t>2025-05-08 00:23:00,5800,,,5600,,5700,5680,,,,,5710,5600,5630,5620</t>
  </si>
  <si>
    <t>2025-05-08 00:23:00,19475,,,,19475,,19775,,,,,20200,19200,19400,19300</t>
  </si>
  <si>
    <t>2025-05-08 00:23:00,2292106299.02763,12916508999.8306,0,0,0,0,0,0</t>
  </si>
  <si>
    <t>2025-05-08 00:23:00,2115906587.59906,3391072382.18706,0,0,0,0,0,0</t>
  </si>
  <si>
    <t>2025-05-08 00:23:00,-11121930.3617525,-877709.31702041,-509.433333333333,-21,-4680.13966666667,-122,0.0436276955993835,-1.97</t>
  </si>
  <si>
    <t>2025-05-08 00:23:00,27298503.0694138,91324.4075368225,0,0,0,0,0,0</t>
  </si>
  <si>
    <t>2025-05-08 00:24:00,565,,565,,550,,558.5,,,,,570,550,557,562</t>
  </si>
  <si>
    <t>2025-05-08 00:24:00,490,,490,,470,,480,,,,,490,470,482,475</t>
  </si>
  <si>
    <t>2025-05-08 00:24:00,5800,,,5600,,5700,5680,,,,,5710,5600,5630,5620</t>
  </si>
  <si>
    <t>2025-05-08 00:24:00,19475,,,,19475,,19775,,,,,20200,19200,19400,19300</t>
  </si>
  <si>
    <t>2025-05-08 00:24:00,2320021371.24192,13159392535.8866,0,0,0,0,0,0</t>
  </si>
  <si>
    <t>2025-05-08 00:24:00,2133596618.60412,3470749762.47948,0,0,0,0,0,0</t>
  </si>
  <si>
    <t>2025-05-08 00:24:00,-11469459.3123242,-904349.531972102,-572.136666666668,-11,-22928.7410666667,-339.5,0.0334285375012825,-6.79</t>
  </si>
  <si>
    <t>2025-05-08 00:24:00,27296790.166115,91301.9563461479,0,0,0,0,0,0</t>
  </si>
  <si>
    <t>2025-05-08 00:25:00,565,,565,,550,,558.5,,,,,570,550,557,562</t>
  </si>
  <si>
    <t>2025-05-08 00:25:00,490,,490,,470,,480,,,,,490,470,482,475</t>
  </si>
  <si>
    <t>2025-05-08 00:25:00,5800,,,5600,,5700,5680,,,,,5710,5600,5630,5620</t>
  </si>
  <si>
    <t>2025-05-08 00:25:00,19475,,,,19475,,19775,,,,,20200,19200,19400,19300</t>
  </si>
  <si>
    <t>2025-05-08 00:25:00,2297788919.51731,12967965590.6329,0,0,0,0,0,0</t>
  </si>
  <si>
    <t>2025-05-08 00:25:00,2123044320.82298,3421641368.15786,0,0,0,0,0,0</t>
  </si>
  <si>
    <t>2025-05-08 00:25:00,-11191301.0960786,-893784.402212147,-899.883333333329,-10,-57961.2464999997,-568.55,0.0445897055337352,-8.25</t>
  </si>
  <si>
    <t>2025-05-08 00:25:00,27302287.1547737,91360.3428738064,0,0,0,0,0,0</t>
  </si>
  <si>
    <t>2025-05-08 00:26:00,565,,565,,550,,558.5,,,,,570,550,557,562</t>
  </si>
  <si>
    <t>2025-05-08 00:26:00,490,,490,,470,,480,,,,,490,470,482,475</t>
  </si>
  <si>
    <t>2025-05-08 00:26:00,5800,,,5600,,5700,5680,,,,,5710,5600,5630,5620</t>
  </si>
  <si>
    <t>2025-05-08 00:26:00,19475,,,,19475,,19775,,,,,20200,19200,19400,19300</t>
  </si>
  <si>
    <t>2025-05-08 00:26:00,2261859558.55701,12678243381.5089,0,0,0,0,0,0</t>
  </si>
  <si>
    <t>2025-05-08 00:26:00,2114623803.24676,3377359933.2106,0,0,0,0,0,0</t>
  </si>
  <si>
    <t>2025-05-08 00:26:00,-11079601.5969695,-877514.161565702,-136.756140350877,-4,-4458.040122807,-85.15,0.0012272846171811,-1.84</t>
  </si>
  <si>
    <t>2025-05-08 00:26:00,27301530.3737967,91294.506779892,0,0,0,0,0,0</t>
  </si>
  <si>
    <t>2025-05-08 00:27:00,565,,565,,550,,558.5,,,,,570,550,557,562</t>
  </si>
  <si>
    <t>2025-05-08 00:27:00,490,,490,,470,,480,,,,,490,470,482,475</t>
  </si>
  <si>
    <t>2025-05-08 00:27:00,5800,,,5600,,5700,5680,,,,,5710,5600,5630,5620</t>
  </si>
  <si>
    <t>2025-05-08 00:27:00,19475,,,,19475,,19775,,,,,20200,19200,19400,19300</t>
  </si>
  <si>
    <t>2025-05-08 00:27:00,2273897687.39534,12774164942.079,0,0,0,0,0,0</t>
  </si>
  <si>
    <t>2025-05-08 00:27:00,2106170909.35502,3351034462.9183,0,0,0,0,0,0</t>
  </si>
  <si>
    <t>2025-05-08 00:27:00,-11029401.0453622,-877656.309327907,-135.973076923077,-7,-1360.80496153846,-79.75,0.0084881056114915,-1.15</t>
  </si>
  <si>
    <t>2025-05-08 00:27:00,27303712.2237164,91228.5869709722,0,0,0,0,0,0</t>
  </si>
  <si>
    <t>2025-05-08 00:28:00,565,,565,,550,,558.5,,,,,570,550,557,562</t>
  </si>
  <si>
    <t>2025-05-08 00:28:00,490,,490,,470,,480,,,,,490,470,482,475</t>
  </si>
  <si>
    <t>2025-05-08 00:28:00,5800,,,5600,,5700,5680,,,,,5710,5600,5630,5620</t>
  </si>
  <si>
    <t>2025-05-08 00:28:00,19475,,,,19475,,19775,,,,,20200,19200,19400,19300</t>
  </si>
  <si>
    <t>2025-05-08 00:28:00,2329953671.03765,13335970319.2234,0,0,0,0,0,0</t>
  </si>
  <si>
    <t>2025-05-08 00:28:00,2108851502.99354,3361053486.09557,0,0,0,0,0,0</t>
  </si>
  <si>
    <t>2025-05-08 00:28:00,-11362853.0056499,-919806.895414766,-231,-5,-4600.06666666666,-79.2,0.0298556434735292,-1.93</t>
  </si>
  <si>
    <t>2025-05-08 00:28:00,27309306.1540502,91310.7915975453,0,0,0,0,0,0</t>
  </si>
  <si>
    <t>2025-05-08 00:29:00,565,,565,,550,,558.5,,,,,570,550,557,562</t>
  </si>
  <si>
    <t>2025-05-08 00:29:00,490,,490,,470,,480,,,,,490,470,482,475</t>
  </si>
  <si>
    <t>2025-05-08 00:29:00,5800,,,5600,,5700,5680,,,,,5710,5600,5630,5620</t>
  </si>
  <si>
    <t>2025-05-08 00:29:00,19475,,,,19475,,19775,,,,,20200,19200,19400,19300</t>
  </si>
  <si>
    <t>2025-05-08 00:29:00,2395564806.28499,13646404509.0158,0,0,0,0,0,0</t>
  </si>
  <si>
    <t>2025-05-08 00:29:00,2128787205.12738,3471577463.1483,0,0,0,0,0,0</t>
  </si>
  <si>
    <t>2025-05-08 00:29:00,-11951910.7396009,-987548.381844616,-172.625,-7,-3283.91625000001,-74.19,0.0180170009269422,-1.79</t>
  </si>
  <si>
    <t>2025-05-08 00:29:00,27306467.4444616,91300.5156576881,0,0,0,0,0,0</t>
  </si>
  <si>
    <t>2025-05-08 00:30:00,565,,565,,550,,558.5,,,,,570,550,557,562</t>
  </si>
  <si>
    <t>2025-05-08 00:30:00,490,,490,,470,,480,,,,,490,470,482,475</t>
  </si>
  <si>
    <t>2025-05-08 00:30:00,5800,,,5600,,5700,5680,,,,,5710,5600,5630,5620</t>
  </si>
  <si>
    <t>2025-05-08 00:30:00,19475,,,,19475,,19775,,,,,20200,19200,19400,19300</t>
  </si>
  <si>
    <t>2025-05-08 00:30:00,2315366405.55137,13290101317.7196,0,0,0,0,0,0</t>
  </si>
  <si>
    <t>2025-05-08 00:30:00,2129125786.87703,3472156526.59992,0,0,0,0,0,0</t>
  </si>
  <si>
    <t>2025-05-08 00:30:00,-11739284.5444564,-968372.815737785,-142.666666666667,-2,-4046.73333333335,-57.3,0.0282321943663348,-1.14</t>
  </si>
  <si>
    <t>2025-05-08 00:30:00,27312053.8163832,91379.0162956032,0,0,0,0,0,0</t>
  </si>
  <si>
    <t>2025-05-08 00:31:00,565,,565,,550,,558.5,,,,,570,550,557,562</t>
  </si>
  <si>
    <t>2025-05-08 00:31:00,490,,490,,470,,480,,,,,490,470,482,475</t>
  </si>
  <si>
    <t>2025-05-08 00:31:00,5800,,,5600,,5700,5680,,,,,5710,5600,5630,5620</t>
  </si>
  <si>
    <t>2025-05-08 00:31:00,19475,,,,19475,,19775,,,,,20200,19200,19400,19300</t>
  </si>
  <si>
    <t>2025-05-08 00:31:00,2336119057.17656,13351065648.2689,0,0,0,0,0,0</t>
  </si>
  <si>
    <t>2025-05-08 00:31:00,2129320061.99611,3473048953.09053,0,0,0,0,0,0</t>
  </si>
  <si>
    <t>2025-05-08 00:31:00,-11696816.1121391,-976857.462637003,-299.666666666667,-11,-4428.93333333333,-122.2,0.0438180057961393,-2.13</t>
  </si>
  <si>
    <t>2025-05-08 00:31:00,27310800.5329202,91320.0627724121,0,0,0,0,0,0</t>
  </si>
  <si>
    <t>2025-05-08 00:32:00,575,,565,,550,,558.5,,,,,570,550,557,562</t>
  </si>
  <si>
    <t>2025-05-08 00:32:00,490,,490,,470,,480,,,,,490,470,482,475</t>
  </si>
  <si>
    <t>2025-05-08 00:32:00,5800,,,5600,,5700,5680,,,,,5710,5600,5630,5620</t>
  </si>
  <si>
    <t>2025-05-08 00:32:00,19475,,,,19475,,19775,,,,,20200,19200,19400,19300</t>
  </si>
  <si>
    <t>2025-05-08 00:32:00,2033818356.17299,11317740686.4489,0,0,0,0,0,0</t>
  </si>
  <si>
    <t>2025-05-08 00:32:00,1798875034.17398,2813586543.32512,0,0,0,0,0,0</t>
  </si>
  <si>
    <t>2025-05-08 00:32:00,-9937437.91672983,-810262.164105292,-976.683391812865,-44,-19003.8701210526,-545.25,0.100653072983066,-10.01</t>
  </si>
  <si>
    <t>2025-05-08 00:32:00,27309059.1559715,91073.104708631,0,0,0,0,0,0</t>
  </si>
  <si>
    <t>2025-05-08 00:33:00,575,,565,,550,,558.5,,,,,570,550,557,562</t>
  </si>
  <si>
    <t>2025-05-08 00:33:00,490,,490,,470,,480,,,,,490,470,482,475</t>
  </si>
  <si>
    <t>2025-05-08 00:33:00,5800,,,5600,,5700,5680,,,,,5710,5600,5630,5620</t>
  </si>
  <si>
    <t>2025-05-08 00:33:00,19475,,,,19475,,19775,,,,,20200,19200,19400,19300</t>
  </si>
  <si>
    <t>2025-05-08 00:33:00,2102313905.79854,11762451575.5226,0,0,0,0,0,0</t>
  </si>
  <si>
    <t>2025-05-08 00:33:00,1804374727.39614,2829376653.138,0,0,0,0,0,0</t>
  </si>
  <si>
    <t>2025-05-08 00:33:00,-10260626.0556508,-844497.760401167,-71.9999999999999,-6,-687.149999999999,-17.7,-0.00232096964891902,-0.48</t>
  </si>
  <si>
    <t>2025-05-08 00:33:00,27314582.8054122,91158.1264074644,0,0,0,0,0,0</t>
  </si>
  <si>
    <t>2025-05-08 00:34:00,570,,565,,550,,558.5,,,,,570,550,557,562</t>
  </si>
  <si>
    <t>2025-05-08 00:34:00,490,,490,,470,,480,,,,,490,470,482,475</t>
  </si>
  <si>
    <t>2025-05-08 00:34:00,5800,,,5600,,5700,5680,,,,,5710,5600,5630,5620</t>
  </si>
  <si>
    <t>2025-05-08 00:34:00,19475,,,,19475,,19775,,,,,20200,19200,19400,19300</t>
  </si>
  <si>
    <t>2025-05-08 00:34:00,2125738854.16894,11925810213.9728,0,0,0,0,0,0</t>
  </si>
  <si>
    <t>2025-05-08 00:34:00,1953932798.68573,3156290684.0118,0,0,0,0,0,0</t>
  </si>
  <si>
    <t>2025-05-08 00:34:00,-10427549.8271997,-863761.867532529,-213.7,-6,-2138.897,-61.7,0.0278735043973038,-0.93</t>
  </si>
  <si>
    <t>2025-05-08 00:34:00,27314176.6858928,91146.7582662303,0,0,0,0,0,0</t>
  </si>
  <si>
    <t>2025-05-08 00:35:00,575,,565,,550,,558.5,,,,,570,550,557,562</t>
  </si>
  <si>
    <t>2025-05-08 00:35:00,490,,490,,470,,480,,,,,490,470,482,475</t>
  </si>
  <si>
    <t>2025-05-08 00:35:00,5800,,,5600,,5700,5680,,,,,5710,5600,5630,5620</t>
  </si>
  <si>
    <t>2025-05-08 00:35:00,19475,,,,19475,,19775,,,,,20200,19200,19400,19300</t>
  </si>
  <si>
    <t>2025-05-08 00:35:00,2113884381.38048,11845873765.064,0,0,0,0,0,0</t>
  </si>
  <si>
    <t>2025-05-08 00:35:00,1951642884.46092,3147941916.42532,0,0,0,0,0,0</t>
  </si>
  <si>
    <t>2025-05-08 00:35:00,-10496780.5199219,-880567.990017031,-159.483333333333,-8,-1462.1005,-50.19,0.0146147347440085,-0.97</t>
  </si>
  <si>
    <t>2025-05-08 00:35:00,27319813.7166976,91222.2899228159,0,0,0,0,0,0</t>
  </si>
  <si>
    <t>2025-05-08 00:36:00,575,,565,,550,,558.5,,,,,570,550,557,562</t>
  </si>
  <si>
    <t>2025-05-08 00:36:00,490,,490,,470,,480,,,,,490,470,482,475</t>
  </si>
  <si>
    <t>2025-05-08 00:36:00,5800,,,5600,,5700,5680,,,,,5710,5600,5630,5620</t>
  </si>
  <si>
    <t>2025-05-08 00:36:00,19475,,,,19475,,19775,,,,,20200,19200,19400,19300</t>
  </si>
  <si>
    <t>2025-05-08 00:36:00,2096178901.84448,11725718209.7795,0,0,0,0,0,0</t>
  </si>
  <si>
    <t>2025-05-08 00:36:00,1804513382.26063,2829814197.70986,0,0,0,0,0,0</t>
  </si>
  <si>
    <t>2025-05-08 00:36:00,-10310860.0735303,-855420.573850156,-47.2499999999999,-2,-260.75,-10.7,0.00100713415057947,-0.31</t>
  </si>
  <si>
    <t>2025-05-08 00:36:00,27319367.9883333,91142.4314231246,0,0,0,0,0,0</t>
  </si>
  <si>
    <t>2025-05-08 00:37:00,575,,565,,550,,558.5,,,,,570,550,557,562</t>
  </si>
  <si>
    <t>2025-05-08 00:37:00,490,,490,,470,,487,,,,,490,470,482,475</t>
  </si>
  <si>
    <t>2025-05-08 00:37:00,5800,,,5600,,5700,5680,,,,,5710,5600,5630,5620</t>
  </si>
  <si>
    <t>2025-05-08 00:37:00,19475,,,,19475,,19775,,,,,20200,19200,19400,19300</t>
  </si>
  <si>
    <t>2025-05-08 00:37:00,2033644242.68183,11322643124.9333,0,0,0,0,0,0</t>
  </si>
  <si>
    <t>2025-05-08 00:37:00,1881019709.2278,2882384552.07947,0,0,0,0,0,0</t>
  </si>
  <si>
    <t>2025-05-08 00:37:00,-10033670.5259339,-844026.2572294,-288.033333333334,-9,-4891.18233333335,-111.94,0.0408606219394109,-2.19</t>
  </si>
  <si>
    <t>2025-05-08 00:37:00,27317898.7344274,91049.2159784294,0,0,0,0,0,0</t>
  </si>
  <si>
    <t>2025-05-08 00:38:00,575,,565,,550,,558.5,,,,,570,550,557,562</t>
  </si>
  <si>
    <t>2025-05-08 00:38:00,490,,490,,470,,487,,,,,490,470,482,475</t>
  </si>
  <si>
    <t>2025-05-08 00:38:00,5800,,,5600,,5700,5680,,,,,5710,5600,5630,5620</t>
  </si>
  <si>
    <t>2025-05-08 00:38:00,19475,,,,19475,,19775,,,,,20200,19200,19400,19300</t>
  </si>
  <si>
    <t>2025-05-08 00:38:00,2045182924.68151,11402071343.0552,0,0,0,0,0,0</t>
  </si>
  <si>
    <t>2025-05-08 00:38:00,1767884847.88213,2651470694.58468,0,0,0,0,0,0</t>
  </si>
  <si>
    <t>2025-05-08 00:38:00,-10156038.7871633,-878689.14804459,-1126.44551282051,-43,-30405.1000320511,-671.55,0.102289027189593,-17.44</t>
  </si>
  <si>
    <t>2025-05-08 00:38:00,27323475.4646209,91131.4008107995,0,0,0,0,0,0</t>
  </si>
  <si>
    <t>2025-05-08 00:39:00,575,,565,,550,,558.5,,,,,570,550,557,562</t>
  </si>
  <si>
    <t>2025-05-08 00:39:00,490,,490,,470,,480,,,,,490,470,482,475</t>
  </si>
  <si>
    <t>2025-05-08 00:39:00,5800,,,5600,,5700,5680,,,,,5710,5600,5630,5620</t>
  </si>
  <si>
    <t>2025-05-08 00:39:00,19475,,,,19475,,19775,,,,,20200,19200,19400,19300</t>
  </si>
  <si>
    <t>2025-05-08 00:39:00,2044893598.41099,11400893743.4821,0,0,0,0,0,0</t>
  </si>
  <si>
    <t>2025-05-08 00:39:00,1799410819.0498,2814839006.62677,0,0,0,0,0,0</t>
  </si>
  <si>
    <t>2025-05-08 00:39:00,-10265439.7725493,-894182.147300498,-506.086666666667,-19,-6543.72706666669,-153.01,0.00777721887146775,-3.93</t>
  </si>
  <si>
    <t>2025-05-08 00:39:00,27320592.0021341,91081.0509788798,0,0,0,0,0,0</t>
  </si>
  <si>
    <t>2025-05-08 00:40:00,575,,565,,550,,558.5,,,,,570,550,557,562</t>
  </si>
  <si>
    <t>2025-05-08 00:40:00,490,,490,,470,,480,,,,,490,470,482,475</t>
  </si>
  <si>
    <t>2025-05-08 00:40:00,5800,,,5600,,5700,5680,,,,,5710,5600,5630,5620</t>
  </si>
  <si>
    <t>2025-05-08 00:40:00,19475,,,,19475,,19775,,,,,20200,19200,19400,19300</t>
  </si>
  <si>
    <t>2025-05-08 00:40:00,2107575180.17645,11811359553.1003,0,0,0,0,0,0</t>
  </si>
  <si>
    <t>2025-05-08 00:40:00,1809966975.75484,2846180181.09479,0,0,0,0,0,0</t>
  </si>
  <si>
    <t>2025-05-08 00:40:00,-10394415.1691813,-909508.993985123,-71.8333333333334,-3,-912.1,-30.4,0.0104413319111364,-0.55</t>
  </si>
  <si>
    <t>2025-05-08 00:40:00,27326334.6712049,91176.8612939992,0,0,0,0,0,0</t>
  </si>
  <si>
    <t>2025-05-08 00:41:00,570,,565,,550,,558.5,,,,,570,550,557,562</t>
  </si>
  <si>
    <t>2025-05-08 00:41:00,490,,490,,470,,480,,,,,490,470,482,475</t>
  </si>
  <si>
    <t>2025-05-08 00:41:00,5800,,,5600,,5700,5680,,,,,5710,5600,5630,5620</t>
  </si>
  <si>
    <t>2025-05-08 00:41:00,19475,,,,19475,,19775,,,,,20200,19200,19400,19300</t>
  </si>
  <si>
    <t>2025-05-08 00:41:00,2113386180.11995,11853354637.0261,0,0,0,0,0,0</t>
  </si>
  <si>
    <t>2025-05-08 00:41:00,1810012272.56915,2846425615.34358,0,0,0,0,0,0</t>
  </si>
  <si>
    <t>2025-05-08 00:41:00,-10424711.2815559,-929544.066337349,-1106.13333333334,-23,-42092.2096666668,-627.07,0.0851525093535349,-11.96</t>
  </si>
  <si>
    <t>2025-05-08 00:41:00,27326474.8584812,91118.496311748,0,0,0,0,0,0</t>
  </si>
  <si>
    <t>2025-05-08 00:42:00,575,,565,,550,,558.5,,,,,570,550,557,562</t>
  </si>
  <si>
    <t>2025-05-08 00:42:00,490,,490,,470,,480,,,,,490,470,482,475</t>
  </si>
  <si>
    <t>2025-05-08 00:42:00,5800,,,5600,,5700,5680,,,,,5710,5600,5630,5620</t>
  </si>
  <si>
    <t>2025-05-08 00:42:00,19475,,,,19475,,19775,,,,,20200,19200,19400,19300</t>
  </si>
  <si>
    <t>2025-05-08 00:42:00,2044568831.71367,11406943753.8445,0,0,0,0,0,0</t>
  </si>
  <si>
    <t>2025-05-08 00:42:00,1796935991.57451,2807475474.33269,0,0,0,0,0,0</t>
  </si>
  <si>
    <t>2025-05-08 00:42:00,-10199044.8056145,-909832.066713875,-320.585714285715,-11,-10271.7997380953,-174.45,0.0104892400070179,-3.05</t>
  </si>
  <si>
    <t>2025-05-08 00:42:00,27326505.4253996,91039.94558004,0,0,0,0,0,0</t>
  </si>
  <si>
    <t>2025-05-08 00:43:00,575,,565,,550,,558.5,,,,,570,550,557,562</t>
  </si>
  <si>
    <t>2025-05-08 00:43:00,490,,490,,470,,487,,,,,490,470,482,475</t>
  </si>
  <si>
    <t>2025-05-08 00:43:00,5800,,,5600,,5700,5680,,,,,5710,5600,5630,5620</t>
  </si>
  <si>
    <t>2025-05-08 00:43:00,19475,,,,19475,,19775,,,,,20200,19200,19400,19300</t>
  </si>
  <si>
    <t>2025-05-08 00:43:00,1918831800.88527,11199214334.2543,0,0,0,0,0,0</t>
  </si>
  <si>
    <t>2025-05-08 00:43:00,1882575385.39324,2886188834.16313,0,0,0,0,0,0</t>
  </si>
  <si>
    <t>2025-05-08 00:43:00,-9995852.59217532,-890067.107492042,-107.233333333333,-4,-553.572999999999,-21.87,-0.00435200427091462,-0.86</t>
  </si>
  <si>
    <t>2025-05-08 00:43:00,27326902.4926901,91000.2546249021,0,0,0,0,0,0</t>
  </si>
  <si>
    <t>2025-05-08 00:44:00,575,,565,,550,,558.5,,,,,570,550,557,562</t>
  </si>
  <si>
    <t>2025-05-08 00:44:00,490,,490,,470,,487,,,,,490,470,482,475</t>
  </si>
  <si>
    <t>2025-05-08 00:44:00,5800,,,5600,,5700,5680,,,,,5710,5600,5630,5620</t>
  </si>
  <si>
    <t>2025-05-08 00:44:00,19475,,,,19475,,19775,,,,,20200,19200,19400,19300</t>
  </si>
  <si>
    <t>2025-05-08 00:44:00,2032619414.43622,11330017568.6533,0,0,0,0,0,0</t>
  </si>
  <si>
    <t>2025-05-08 00:44:00,1883205981.35341,2887307217.99148,0,0,0,0,0,0</t>
  </si>
  <si>
    <t>2025-05-08 00:44:00,-10104193.5484712,-897682.031067667,-95.9666666666666,-5,-327.248666666666,-12.83,0.000300345033314106,-0.41</t>
  </si>
  <si>
    <t>2025-05-08 00:44:00,27332031.5468266,91048.6067285712,0,0,0,0,0,0</t>
  </si>
  <si>
    <t>2025-05-08 00:45:00,575,,565,,550,,563.5,,,,,570,550,557,562</t>
  </si>
  <si>
    <t>2025-05-08 00:45:00,490,,490,,470,,487,,,,,490,470,482,475</t>
  </si>
  <si>
    <t>2025-05-08 00:45:00,5800,,,5600,,5700,5680,,,,,5710,5600,5630,5620</t>
  </si>
  <si>
    <t>2025-05-08 00:45:00,19475,,,,19475,,19775,,,,,20200,19200,19400,19300</t>
  </si>
  <si>
    <t>2025-05-08 00:45:00,1887146295.3642,10504375199.1144,0,0,0,0,0,0</t>
  </si>
  <si>
    <t>2025-05-08 00:45:00,1883178433.90499,2887314088.14228,0,0,0,0,0,0</t>
  </si>
  <si>
    <t>2025-05-08 00:45:00,-9976509.1602114,-889764.379695536,-535.883333333334,-11,-23359.1555,-330.51,0.0253015985643883,-6.82</t>
  </si>
  <si>
    <t>2025-05-08 00:45:00,27337610.7564811,91127.3339314897,0,0,0,0,0,0</t>
  </si>
  <si>
    <t>2025-05-08 00:46:00,575,,565,,550,,558.5,,,,,570,550,557,562</t>
  </si>
  <si>
    <t>2025-05-08 00:46:00,490,,490,,470,,487,,,,,490,470,482,475</t>
  </si>
  <si>
    <t>2025-05-08 00:46:00,5800,,,5600,,5700,5680,,,,,5710,5600,5630,5620</t>
  </si>
  <si>
    <t>2025-05-08 00:46:00,19475,,,,19475,,19775,,,,,20200,19200,19400,19300</t>
  </si>
  <si>
    <t>2025-05-08 00:46:00,2032593802.98933,11334194618.8075,0,0,0,0,0,0</t>
  </si>
  <si>
    <t>2025-05-08 00:46:00,1767758700.74775,2651946233.07523,0,0,0,0,0,0</t>
  </si>
  <si>
    <t>2025-05-08 00:46:00,-10149755.5981833,-910841.872660559,-113.1,-4,-2700.24433333333,-45.81,0.00555282481614018,-1.26</t>
  </si>
  <si>
    <t>2025-05-08 00:46:00,27337479.9104326,91068.0896298165,0,0,0,0,0,0</t>
  </si>
  <si>
    <t>2025-05-08 00:47:00,575,,565,,550,,558.5,,,,,570,550,557,562</t>
  </si>
  <si>
    <t>2025-05-08 00:47:00,490,,490,,470,,480,,,,,490,470,482,475</t>
  </si>
  <si>
    <t>2025-05-08 00:47:00,5800,,,5600,,5700,5680,,,,,5710,5600,5630,5620</t>
  </si>
  <si>
    <t>2025-05-08 00:47:00,19475,,,,19475,,19775,,,,,20200,19200,19400,19300</t>
  </si>
  <si>
    <t>2025-05-08 00:47:00,2048201501.06613,11500944499.0311,0,0,0,0,0,0</t>
  </si>
  <si>
    <t>2025-05-08 00:47:00,1947028242.71174,3133796404.4836,0,0,0,0,0,0</t>
  </si>
  <si>
    <t>2025-05-08 00:47:00,-10414177.2956628,-936257.542281681,-251.8,-26,-2734.48266666667,-65.46,0.00236723172520624,-1.43</t>
  </si>
  <si>
    <t>2025-05-08 00:47:00,27343126.5761185,91181.4369452207,0,0,0,0,0,0</t>
  </si>
  <si>
    <t>2025-05-08 00:48:00,575,,565,,550,,558.5,,,,,570,550,557,562</t>
  </si>
  <si>
    <t>2025-05-08 00:48:00,490,,490,,470,,487,,,,,490,470,482,475</t>
  </si>
  <si>
    <t>2025-05-08 00:48:00,5800,,,5600,,5700,5680,,,,,5710,5600,5630,5620</t>
  </si>
  <si>
    <t>2025-05-08 00:48:00,19475,,,,19475,,19775,,,,,20200,19200,19400,19300</t>
  </si>
  <si>
    <t>2025-05-08 00:48:00,2043806910.80254,11411835028.2379,0,0,0,0,0,0</t>
  </si>
  <si>
    <t>2025-05-08 00:48:00,1767781493.63046,2651588786.68642,0,0,0,0,0,0</t>
  </si>
  <si>
    <t>2025-05-08 00:48:00,-10280507.1576303,-927524.783514479,-130.4,-6,-3908.93000000001,-61.86,0.00529784674745316,-1.21</t>
  </si>
  <si>
    <t>2025-05-08 00:48:00,27331335.7406561,90967.6770817427,0,0,0,0,0,0</t>
  </si>
  <si>
    <t>2025-05-08 00:50:00,575,,565,,550,,558.5,,,,,570,550,557,562</t>
  </si>
  <si>
    <t>2025-05-08 00:50:00,490,,490,,470,,487,,,,,490,470,482,475</t>
  </si>
  <si>
    <t>2025-05-08 00:50:00,5800,,,5600,,5700,5680,,,,,5710,5600,5630,5620</t>
  </si>
  <si>
    <t>2025-05-08 00:50:00,19475,,,,19475,,19775,,,,,20200,19200,19400,19300</t>
  </si>
  <si>
    <t>2025-05-08 00:50:00,2095296093.13437,11740941933.775,0,0,0,0,0,0</t>
  </si>
  <si>
    <t>2025-05-08 00:50:00,1767913208.19073,2652408244.45114,0,0,0,0,0,0</t>
  </si>
  <si>
    <t>2025-05-08 00:50:00,-10377902.5858365,-939980.832645939,-113.5,-2,-3123.07499999999,-50.95,0.0119304939437473,-1.23</t>
  </si>
  <si>
    <t>2025-05-08 00:50:00,27335810.5394174,91030.8787868346,0,0,0,0,0,0</t>
  </si>
  <si>
    <t>2025-05-08 00:51:00,575,,565,,550,,558.5,,,,,570,550,557,562</t>
  </si>
  <si>
    <t>2025-05-08 00:51:00,490,,490,,470,,480,,,,,490,470,482,475</t>
  </si>
  <si>
    <t>2025-05-08 00:51:00,5800,,,5600,,5700,5680,,,,,5710,5600,5630,5620</t>
  </si>
  <si>
    <t>2025-05-08 00:51:00,19475,,,,19475,,19775,,,,,20200,19200,19400,19300</t>
  </si>
  <si>
    <t>2025-05-08 00:51:00,2117685517.73823,11867069433.6288,0,0,0,0,0,0</t>
  </si>
  <si>
    <t>2025-05-08 00:51:00,1808339241.29079,2841108133.37422,0,0,0,0,0,0</t>
  </si>
  <si>
    <t>2025-05-08 00:51:00,-10549682.4347735,-958370.983936405,-122.566666666667,-3,-3749.07566666667,-62.21,0.0155919464387383,-1.51</t>
  </si>
  <si>
    <t>2025-05-08 00:51:00,27336579.0838111,91005.7688892539,0,0,0,0,0,0</t>
  </si>
  <si>
    <t>2025-05-08 00:52:00,575,,565,,550,,558.5,,,,,570,550,557,562</t>
  </si>
  <si>
    <t>2025-05-08 00:52:00,490,,490,,470,,487,,,,,490,470,482,475</t>
  </si>
  <si>
    <t>2025-05-08 00:52:00,5800,,,5600,,5700,5680,,,,,5710,5600,5630,5620</t>
  </si>
  <si>
    <t>2025-05-08 00:52:00,19475,,,,19475,,19775,,,,,20200,19200,19400,19300</t>
  </si>
  <si>
    <t>2025-05-08 00:52:00,2043812893.52644,11417264665.7467,0,0,0,0,0,0</t>
  </si>
  <si>
    <t>2025-05-08 00:52:00,1767999165.66695,2652140523.64341,0,0,0,0,0,0</t>
  </si>
  <si>
    <t>2025-05-08 00:52:00,-10318393.9493746,-925868.868736574,-205.666666666667,-14,-148.786666666667,-9.6,-0.0254992115858571,-0.76</t>
  </si>
  <si>
    <t>2025-05-08 00:52:00,27339228.862889,90970.2934372774,0,0,0,0,0,0</t>
  </si>
  <si>
    <t>2025-05-08 00:53:00,575,,565,,550,,558.5,,,,,570,550,557,562</t>
  </si>
  <si>
    <t>2025-05-08 00:53:00,490,,490,,470,,487,,,,,490,470,482,475</t>
  </si>
  <si>
    <t>2025-05-08 00:53:00,5800,,,5600,,5700,5680,,,,,5710,5600,5630,5620</t>
  </si>
  <si>
    <t>2025-05-08 00:53:00,19475,,,,19475,,19775,,,,,20200,19200,19400,19300</t>
  </si>
  <si>
    <t>2025-05-08 00:53:00,2094836246.84253,11745952270.5258,0,0,0,0,0,0</t>
  </si>
  <si>
    <t>2025-05-08 00:53:00,1768208702.0314,2652515631.07198,0,0,0,0,0,0</t>
  </si>
  <si>
    <t>2025-05-08 00:53:00,-10460578.2272931,-939989.075094021,-12.2,-3,-5.64000000000001,-0.93,-0.00338663219921705,-0.07</t>
  </si>
  <si>
    <t>2025-05-08 00:53:00,27344905.6623815,91050.6334404655,0,0,0,0,0,0</t>
  </si>
  <si>
    <t>2025-05-08 00:54:00,575,,565,,550,,558.5,,,,,570,550,557,562</t>
  </si>
  <si>
    <t>2025-05-08 00:54:00,490,,490,,470,,480,,,,,490,470,482,475</t>
  </si>
  <si>
    <t>2025-05-08 00:54:00,5800,,,5600,,5700,5680,,,,,5710,5600,5630,5620</t>
  </si>
  <si>
    <t>2025-05-08 00:54:00,19475,,,,19475,,19775,,,,,20200,19200,19400,19300</t>
  </si>
  <si>
    <t>2025-05-08 00:54:00,1959077532.39446,12356308183.1694,0,0,0,0,0,0</t>
  </si>
  <si>
    <t>2025-05-08 00:54:00,2037489741.18929,3445261377.95452,0,0,0,0,0,0</t>
  </si>
  <si>
    <t>2025-05-08 00:54:00,-9783377.96080282,-874700.980527071,-232.05,-10,-2336.302,-73.24,0.0155453492240776,-1.56</t>
  </si>
  <si>
    <t>2025-05-08 00:54:00,27350588.496694,91097.540427903,0,0,0,0,0,0</t>
  </si>
  <si>
    <t>2025-05-08 00:55:00,575,,565,,550,,558.5,,,,,570,550,557,562</t>
  </si>
  <si>
    <t>2025-05-08 00:55:00,490,,490,,470,,480,,,,,490,470,482,475</t>
  </si>
  <si>
    <t>2025-05-08 00:55:00,5800,,,5600,,5700,5680,,,,,5710,5600,5630,5620</t>
  </si>
  <si>
    <t>2025-05-08 00:55:00,19475,,,,19475,,19775,,,,,20200,19200,19400,19300</t>
  </si>
  <si>
    <t>2025-05-08 00:55:00,1967828310.50804,12245627100.0329,0,0,0,0,0,0</t>
  </si>
  <si>
    <t>2025-05-08 00:55:00,2035242560.97023,3428464329.13356,0,0,0,0,0,0</t>
  </si>
  <si>
    <t>2025-05-08 00:55:00,-9802703.54802878,-882320.912416149,-163.433333333333,-3,-5589.79066666665,-80.74,0.0130623863370561,-1.67</t>
  </si>
  <si>
    <t>2025-05-08 00:55:00,27347742.3074104,90943.0455559327,0,0,0,0,0,0</t>
  </si>
  <si>
    <t>2025-05-08 00:56:00,575,,565,,550,,558.5,,,,,570,550,557,562</t>
  </si>
  <si>
    <t>2025-05-08 00:56:00,490,,490,,470,,480,,,,,490,470,482,475</t>
  </si>
  <si>
    <t>2025-05-08 00:56:00,5800,,,5600,,5700,5680,,,,,5710,5600,5630,5620</t>
  </si>
  <si>
    <t>2025-05-08 00:56:00,19475,,,,19475,,19775,,,,,20200,19200,19400,19300</t>
  </si>
  <si>
    <t>2025-05-08 00:56:00,1954608340.52408,11811859364.3001,0,0,0,0,0,0</t>
  </si>
  <si>
    <t>2025-05-08 00:56:00,2033554188.0145,3437643854.1207,0,0,0,0,0,0</t>
  </si>
  <si>
    <t>2025-05-08 00:56:00,-9956486.61123649,-893955.605340352,-381,-23,-3022.42500000001,-76.15,-0.00630927745428847,-2.48</t>
  </si>
  <si>
    <t>2025-05-08 00:56:00,27348201.6578921,90928.8643012734,0,0,0,0,0,0</t>
  </si>
  <si>
    <t>2025-05-08 00:57:00,575,,565,,550,,558.5,,,,,570,550,557,562</t>
  </si>
  <si>
    <t>2025-05-08 00:57:00,490,,485,,470,,480,,,,,490,470,482,475</t>
  </si>
  <si>
    <t>2025-05-08 00:57:00,5800,,,5600,,5700,5680,,,,,5710,5600,5630,5620</t>
  </si>
  <si>
    <t>2025-05-08 00:57:00,19475,,,,19475,,19775,,,,,20200,19200,19400,19300</t>
  </si>
  <si>
    <t>2025-05-08 00:57:00,1950595516.34654,12378436675.2813,0,0,0,0,0,0</t>
  </si>
  <si>
    <t>2025-05-08 00:57:00,2029002728.88586,3412563851.604,0,0,0,0,0,0</t>
  </si>
  <si>
    <t>2025-05-08 00:57:00,-9587251.47928485,-872382.233343072,-932.216666666667,-29,-19686.6605,-315.02,0.0563133229428862,-6.67</t>
  </si>
  <si>
    <t>2025-05-08 00:57:00,27353898.5943534,90972.3129229808,0,0,0,0,0,0</t>
  </si>
  <si>
    <t>2025-05-08 00:58:00,575,,565,,550,,558.5,,,,,570,550,557,562</t>
  </si>
  <si>
    <t>2025-05-08 00:58:00,490,,490,,470,,480,,,,,490,470,482,475</t>
  </si>
  <si>
    <t>2025-05-08 00:58:00,5800,,,5600,,5700,5680,,,,,5710,5600,5630,5620</t>
  </si>
  <si>
    <t>2025-05-08 00:58:00,19475,,,,19475,,19775,,,,,20200,19200,19400,19300</t>
  </si>
  <si>
    <t>2025-05-08 00:58:00,1959135368.07986,12401655321.5889,0,0,0,0,0,0</t>
  </si>
  <si>
    <t>2025-05-08 00:58:00,2036403192.29444,3436933930.99916,0,0,0,0,0,0</t>
  </si>
  <si>
    <t>2025-05-08 00:58:00,-9731647.04907913,-883140.725347861,-149,-7,-686.666666666666,-18.9,-0.0176286263123747,-1.02</t>
  </si>
  <si>
    <t>2025-05-08 00:58:00,27348751.5075305,90933.2815810408,0,0,0,0,0,0</t>
  </si>
  <si>
    <t>2025-05-08 00:59:00,575,,565,,550,,558.5,,,,,570,550,557,562</t>
  </si>
  <si>
    <t>2025-05-08 00:59:00,490,,490,,470,,480,,,,,490,470,482,475</t>
  </si>
  <si>
    <t>2025-05-08 00:59:00,5800,,,5600,,5700,5680,,,,,5710,5600,5630,5620</t>
  </si>
  <si>
    <t>2025-05-08 00:59:00,19475,,,,19475,,19775,,,,,20200,19200,19400,19300</t>
  </si>
  <si>
    <t>2025-05-08 00:59:00,1966013066.8928,12309548416.5658,0,0,0,0,0,0</t>
  </si>
  <si>
    <t>2025-05-08 00:59:00,2029720340.96909,3428563296.4765,0,0,0,0,0,0</t>
  </si>
  <si>
    <t>2025-05-08 00:59:00,-9838725.06960985,-899003.776039288,-144.466666666667,-3,-3808.45733333334,-58.83,0.0262962786608038,-1.14</t>
  </si>
  <si>
    <t>2025-05-08 00:59:00,27354454.7795518,91040.2693604658,0,0,0,0,0,0</t>
  </si>
  <si>
    <t>2025-05-08 01:00:00,575,,565,,550,,558.5,,,,,570,550,557,562</t>
  </si>
  <si>
    <t>2025-05-08 01:00:00,490,,485,,470,,480,,,,,490,470,482,475</t>
  </si>
  <si>
    <t>2025-05-08 01:00:00,5800,,,5600,,5700,5680,,,,,5710,5600,5630,5620</t>
  </si>
  <si>
    <t>2025-05-08 01:00:00,19475,,,,19475,,19775,,,,,20200,19200,19400,19300</t>
  </si>
  <si>
    <t>2025-05-08 01:00:00,1865253488.44911,11857310630.5324,0,0,0,0,0,0</t>
  </si>
  <si>
    <t>2025-05-08 01:00:00,2021877774.65978,3390369218.9002,0,0,0,0,0,0</t>
  </si>
  <si>
    <t>2025-05-08 01:00:00,-9336515.59890675,-811924.468175306,-168.5,-13,-1348.95866666666,-38.25,-0.011510954737349,-1.37</t>
  </si>
  <si>
    <t>2025-05-08 01:00:00,27353644.4918207,90913.8608966551,0,0,0,0,0,0</t>
  </si>
  <si>
    <t>2025-05-08 01:01:00,575,,565,,550,,558.5,,,,,570,550,557,562</t>
  </si>
  <si>
    <t>2025-05-08 01:01:00,490,,485,,470,,480,,,,,490,470,482,475</t>
  </si>
  <si>
    <t>2025-05-08 01:01:00,5800,,,5600,,5700,5680,,,,,5710,5600,5630,5620</t>
  </si>
  <si>
    <t>2025-05-08 01:01:00,19475,,,,19475,,19775,,,,,20200,19200,19400,19300</t>
  </si>
  <si>
    <t>2025-05-08 01:01:00,1853472822.55131,11877593057.996,0,0,0,0,0,0</t>
  </si>
  <si>
    <t>2025-05-08 01:01:00,2015850656.24829,3374291839.51808,0,0,0,0,0,0</t>
  </si>
  <si>
    <t>2025-05-08 01:01:00,-8737663.94231116,-806257.943259312,-713.799999999999,-30,-10806.043,-233.42,-0.009380661930697,-6.4</t>
  </si>
  <si>
    <t>2025-05-08 01:01:00,27351918.3533532,90840.1701847258,0,0,0,0,0,0</t>
  </si>
  <si>
    <t>2025-05-08 01:02:00,575,,565,,550,,558.5,,,,,570,550,557,562</t>
  </si>
  <si>
    <t>2025-05-08 01:02:00,490,,490,,470,,480,,,,,490,470,482,475</t>
  </si>
  <si>
    <t>2025-05-08 01:02:00,5800,,,5600,,5700,5680,,,,,5710,5600,5630,5620</t>
  </si>
  <si>
    <t>2025-05-08 01:02:00,19475,,,,19475,,19775,,,,,20200,19200,19400,19300</t>
  </si>
  <si>
    <t>2025-05-08 01:02:00,1880792574.78219,12045736889.5158,0,0,0,0,0,0</t>
  </si>
  <si>
    <t>2025-05-08 01:02:00,2038327320.22808,3444800905.12126,0,0,0,0,0,0</t>
  </si>
  <si>
    <t>2025-05-08 01:02:00,-9224079.93534601,-905629.872885448,-2513.2,-75,-27445.1393333334,-694.18,0.279188810481282,-12.23</t>
  </si>
  <si>
    <t>2025-05-08 01:02:00,27357623.7101172,90962.132402778,0,0,0,0,0,0</t>
  </si>
  <si>
    <t>2025-05-08 01:03:00,575,,565,,550,,558.5,,,,,570,550,557,562</t>
  </si>
  <si>
    <t>2025-05-08 01:03:00,490,,485,,470,,480,,,,,490,470,482,475</t>
  </si>
  <si>
    <t>2025-05-08 01:03:00,5800,,,5600,,5700,5680,,,,,5710,5600,5630,5620</t>
  </si>
  <si>
    <t>2025-05-08 01:03:00,19475,,,,19475,,19775,,,,,20200,19200,19400,19300</t>
  </si>
  <si>
    <t>2025-05-08 01:03:00,1834663589.7512,11725219576.2297,0,0,0,0,0,0</t>
  </si>
  <si>
    <t>2025-05-08 01:03:00,1995315549.60568,3314411040.19122,0,0,0,0,0,0</t>
  </si>
  <si>
    <t>2025-05-08 01:03:00,-8385254.00542042,-897203.888369687,-1768.16,-73,-18235.9984,-634.28,0.23109152922583,-11.52</t>
  </si>
  <si>
    <t>2025-05-08 01:03:00,27359361.372177,90837.8288785029,0,0,0,0,0,0</t>
  </si>
  <si>
    <t>2025-05-08 01:04:00,575,,565,,550,,558.5,,,,,570,550,557,562</t>
  </si>
  <si>
    <t>2025-05-08 01:04:00,490,,485,,470,,480,,,,,490,470,482,475</t>
  </si>
  <si>
    <t>2025-05-08 01:04:00,5800,,,5600,,5700,5680,,,,,5710,5600,5630,5620</t>
  </si>
  <si>
    <t>2025-05-08 01:04:00,19475,,,,19475,,19775,,,,,20200,19200,19400,19300</t>
  </si>
  <si>
    <t>2025-05-08 01:04:00,1834557749.60838,11724895660.334,0,0,0,0,0,0</t>
  </si>
  <si>
    <t>2025-05-08 01:04:00,1998424525.87934,3323141524.77046,0,0,0,0,0,0</t>
  </si>
  <si>
    <t>2025-05-08 01:04:00,-8402817.76548938,-902455.445912282,-103.666666666667,-4,-2461.03333333334,-47,0.0168259410718985,-0.91</t>
  </si>
  <si>
    <t>2025-05-08 01:04:00,27359467.6811344,90787.8641803791,0,0,0,0,0,0</t>
  </si>
  <si>
    <t>2025-05-08 01:05:00,575,,565,,550,,558.5,,,,,570,550,557,562</t>
  </si>
  <si>
    <t>2025-05-08 01:05:00,490,,485,,470,,480,,,,,490,470,482,475</t>
  </si>
  <si>
    <t>2025-05-08 01:05:00,5800,,,5600,,5700,5680,,,,,5710,5600,5630,5620</t>
  </si>
  <si>
    <t>2025-05-08 01:05:00,19475,,,,19475,,19775,,,,,20200,19200,19400,19300</t>
  </si>
  <si>
    <t>2025-05-08 01:05:00,1834520026.94651,11727350145.6538,0,0,0,0,0,0</t>
  </si>
  <si>
    <t>2025-05-08 01:05:00,2001295150.48865,3332047607.25538,0,0,0,0,0,0</t>
  </si>
  <si>
    <t>2025-05-08 01:05:00,-8386170.74539791,-913837.883665924,-661.166666666667,-14,-8531.42833333334,-140.77,0.0540753968711391,-2.58</t>
  </si>
  <si>
    <t>2025-05-08 01:05:00,27365194.1838851,90872.9321054102,0,0,0,0,0,0</t>
  </si>
  <si>
    <t>2025-05-08 01:06:00,575,,565,,550,,558.5,,,,,570,550,557,562</t>
  </si>
  <si>
    <t>2025-05-08 01:06:00,490,,485,,470,,480,,,,,490,470,482,475</t>
  </si>
  <si>
    <t>2025-05-08 01:06:00,5800,,,5600,,5700,5680,,,,,5710,5600,5630,5620</t>
  </si>
  <si>
    <t>2025-05-08 01:06:00,19475,,,,19475,,19775,,,,,20200,19200,19400,19300</t>
  </si>
  <si>
    <t>2025-05-08 01:06:00,1749442380.15594,11095428030.9511,0,0,0,0,0,0</t>
  </si>
  <si>
    <t>2025-05-08 01:06:00,1989570597.99748,3297422653.39888,0,0,0,0,0,0</t>
  </si>
  <si>
    <t>2025-05-08 01:06:00,-8298011.11915801,-907315.047363307,-231.033333333333,-8,-2480.449,-73.07,0.0253316412211953,-1.36</t>
  </si>
  <si>
    <t>2025-05-08 01:06:00,27362983.3324583,90788.1548110044,0,0,0,0,0,0</t>
  </si>
  <si>
    <t>2025-05-08 01:07:00,575,,565,,550,,558.5,,,,,570,550,557,562</t>
  </si>
  <si>
    <t>2025-05-08 01:07:00,490,,490,,470,,480,,,,,490,470,482,475</t>
  </si>
  <si>
    <t>2025-05-08 01:07:00,5800,,,5600,,5700,5680,,,,,5710,5520,5630,5620</t>
  </si>
  <si>
    <t>2025-05-08 01:07:00,19475,,,,19475,,19775,,,,,20200,19200,19400,19300</t>
  </si>
  <si>
    <t>2025-05-08 01:07:00,1828532612.96904,11688363278.8708,0,0,0,0,0,0</t>
  </si>
  <si>
    <t>2025-05-08 01:07:00,2035186033.72362,3432788221.52188,0,0,0,0,0,0</t>
  </si>
  <si>
    <t>2025-05-08 01:07:00,-8863511.68576061,-1023675.42924442,-1760.49166666667,-130,-9139.89025,-415.86,0.226753959910943,-6.04</t>
  </si>
  <si>
    <t>2025-05-08 01:07:00,27368794.6933657,90934.0925307175,0,0,0,0,0,0</t>
  </si>
  <si>
    <t>2025-05-08 01:08:00,575,,565,,550,,558.5,,,,,570,550,557,562</t>
  </si>
  <si>
    <t>2025-05-08 01:08:00,490,,485,,470,,480,,,,,490,470,482,475</t>
  </si>
  <si>
    <t>2025-05-08 01:08:00,5800,,,5600,,5700,5680,,,,,5710,5520,5630,5620</t>
  </si>
  <si>
    <t>2025-05-08 01:08:00,19475,,,,19475,,19775,,,,,20200,19200,19400,19300</t>
  </si>
  <si>
    <t>2025-05-08 01:08:00,1811136060.72616,11571372864.938,0,0,0,0,0,0</t>
  </si>
  <si>
    <t>2025-05-08 01:08:00,2010401297.22555,3358381058.0272,0,0,0,0,0,0</t>
  </si>
  <si>
    <t>2025-05-08 01:08:00,-8537402.09032702,-1001983.98895195,-804.483333333333,-33,-7340.62766666667,-153.19,0.045788642747938,-3.02</t>
  </si>
  <si>
    <t>2025-05-08 01:08:00,27366274.5931701,90838.0885955705,0,0,0,0,0,0</t>
  </si>
  <si>
    <t>2025-05-08 01:09:00,575,,565,,550,,558.5,,,,,570,550,557,562</t>
  </si>
  <si>
    <t>2025-05-08 01:09:00,490,,485,,470,,480,,,,,490,470,482,475</t>
  </si>
  <si>
    <t>2025-05-08 01:09:00,5800,,,5600,,5700,5680,,,,,5710,5520,5630,5620</t>
  </si>
  <si>
    <t>2025-05-08 01:09:00,19475,,,,19475,,19775,,,,,20200,19200,19400,19300</t>
  </si>
  <si>
    <t>2025-05-08 01:09:00,1788361329.07133,11415577420.1773,0,0,0,0,0,0</t>
  </si>
  <si>
    <t>2025-05-08 01:09:00,2002631823.87776,3337659211.75748,0,0,0,0,0,0</t>
  </si>
  <si>
    <t>2025-05-08 01:09:00,-8365350.44095079,-986959.66915227,-223.15,-9,-4437.93750000001,-80.26,0.0195017494648119,-1.88</t>
  </si>
  <si>
    <t>2025-05-08 01:09:00,27365296.7428284,90775.4951806614,0,0,0,0,0,0</t>
  </si>
  <si>
    <t>2025-05-08 01:10:00,575,,565,,550,,558.5,,,,,570,550,557,562</t>
  </si>
  <si>
    <t>2025-05-08 01:10:00,490,,485,,470,,480,,,,,490,470,482,475</t>
  </si>
  <si>
    <t>2025-05-08 01:10:00,5800,,,5600,,5700,5680,,,,,5710,5520,5630,5620</t>
  </si>
  <si>
    <t>2025-05-08 01:10:00,19475,,,,19475,,19775,,,,,20200,19200,19400,19300</t>
  </si>
  <si>
    <t>2025-05-08 01:10:00,1794192500.53132,11455197468.3898,0,0,0,0,0,0</t>
  </si>
  <si>
    <t>2025-05-08 01:10:00,2013123254.1067,3366822180.53823,0,0,0,0,0,0</t>
  </si>
  <si>
    <t>2025-05-08 01:10:00,-8443464.25539674,-1003210.51034218,-571.1,-15,-10672.005,-194.51,0.0211829827398655,-4.54</t>
  </si>
  <si>
    <t>2025-05-08 01:10:00,27371096.5711119,90869.2527263804,0,0,0,0,0,0</t>
  </si>
  <si>
    <t>2025-05-08 01:11:00,575,,565,,550,,558.5,,,,,570,550,557,562</t>
  </si>
  <si>
    <t>2025-05-08 01:11:00,490,,485,,470,,480,,,,,490,470,482,475</t>
  </si>
  <si>
    <t>2025-05-08 01:11:00,5800,,,5600,,5700,5680,,,,,5710,5520,5630,5620</t>
  </si>
  <si>
    <t>2025-05-08 01:11:00,19475,,,,19475,,19775,,,,,20200,19200,19400,19300</t>
  </si>
  <si>
    <t>2025-05-08 01:11:00,1749394071.54557,11100683473.4675,0,0,0,0,0,0</t>
  </si>
  <si>
    <t>2025-05-08 01:11:00,1998372783.03835,3323973091.84707,0,0,0,0,0,0</t>
  </si>
  <si>
    <t>2025-05-08 01:11:00,-8174944.14640744,-987108.473024826,-862.866666666665,-27,-10685.9956666667,-248.97,0.0494231856255714,-5.85</t>
  </si>
  <si>
    <t>2025-05-08 01:11:00,27370376.4707438,90791.2653582228,0,0,0,0,0,0</t>
  </si>
  <si>
    <t>2025-05-08 01:12:00,575,,565,,550,,558.5,,,,,570,550,557,562</t>
  </si>
  <si>
    <t>2025-05-08 01:12:00,490,,485,,470,,480,,,,,490,470,482,475</t>
  </si>
  <si>
    <t>2025-05-08 01:12:00,5800,,,5600,,5700,5680,,,,,5710,5520,5630,5620</t>
  </si>
  <si>
    <t>2025-05-08 01:12:00,19475,,,,19475,,19775,,,,,20200,19200,19400,19300</t>
  </si>
  <si>
    <t>2025-05-08 01:12:00,1749180634.45047,11101860212.9868,0,0,0,0,0,0</t>
  </si>
  <si>
    <t>2025-05-08 01:12:00,2010323997.85589,3358973660.79875,0,0,0,0,0,0</t>
  </si>
  <si>
    <t>2025-05-08 01:12:00,-8285294.8317708,-1020661.37169531,-697.000000000001,-16,-20245.1640000001,-359.7,0.0940382768536449,-6.64</t>
  </si>
  <si>
    <t>2025-05-08 01:12:00,27376216.0325703,90889.3905479174,0,0,0,0,0,0</t>
  </si>
  <si>
    <t>2025-05-08 01:13:00,575,,565,,550,,558.5,,,,,570,550,557,562</t>
  </si>
  <si>
    <t>2025-05-08 01:13:00,490,,485,,470,,480,,,,,490,470,482,475</t>
  </si>
  <si>
    <t>2025-05-08 01:13:00,5800,,,5600,,5700,5680,,,,,5710,5520,5630,5620</t>
  </si>
  <si>
    <t>2025-05-08 01:13:00,19475,,,,19475,,19775,,,,,20200,19200,19400,19300</t>
  </si>
  <si>
    <t>2025-05-08 01:13:00,1754626809.84746,11139294436.0182,0,0,0,0,0,0</t>
  </si>
  <si>
    <t>2025-05-08 01:13:00,1998743759.19835,3324398215.10738,0,0,0,0,0,0</t>
  </si>
  <si>
    <t>2025-05-08 01:13:00,-8435216.16827583,-1040106.17626768,-282.366666666666,-8,-7659.15666666665,-116.65,0.0140124538072638,-2.7</t>
  </si>
  <si>
    <t>2025-05-08 01:13:00,27377065.8967108,90814.8024033498,0,0,0,0,0,0</t>
  </si>
  <si>
    <t>2025-05-08 01:14:00,575,,565,,550,,558.5,,,,,570,550,557,562</t>
  </si>
  <si>
    <t>2025-05-08 01:14:00,490,,485,,470,,480,,,,,490,470,482,475</t>
  </si>
  <si>
    <t>2025-05-08 01:14:00,5800,,,5600,,5700,5680,,,,,5710,5520,5630,5620</t>
  </si>
  <si>
    <t>2025-05-08 01:14:00,19475,,,,19475,,19775,,,,,20200,19200,19400,19300</t>
  </si>
  <si>
    <t>2025-05-08 01:14:00,1748857226.46548,11103755017.1005,0,0,0,0,0,0</t>
  </si>
  <si>
    <t>2025-05-08 01:14:00,1998634449.59323,3324630498.80077,0,0,0,0,0,0</t>
  </si>
  <si>
    <t>2025-05-08 01:14:00,-8320761.63092744,-1043344.10544924,-796.333333333335,-31,-11125.0233333334,-236.25,0.0536755110339852,-5.11</t>
  </si>
  <si>
    <t>2025-05-08 01:14:00,27375190.3066092,90747.4833774256,0,0,0,0,0,0</t>
  </si>
  <si>
    <t>2025-05-08 01:15:00,575,,565,,550,,558.5,,,,,570,550,557,562</t>
  </si>
  <si>
    <t>2025-05-08 01:15:00,490,,485,,470,,480,,,,,490,470,482,475</t>
  </si>
  <si>
    <t>2025-05-08 01:15:00,5800,,,5600,,5700,5680,,,,,5710,5520,5630,5620</t>
  </si>
  <si>
    <t>2025-05-08 01:15:00,19475,,,,19475,,19775,,,,,20200,19200,19400,19300</t>
  </si>
  <si>
    <t>2025-05-08 01:15:00,1694208077.3745,10950442365.7117,0,0,0,0,0,0</t>
  </si>
  <si>
    <t>2025-05-08 01:15:00,1974688109.34885,3255205137.511,0,0,0,0,0,0</t>
  </si>
  <si>
    <t>2025-05-08 01:15:00,-7894771.14370535,-994717.047039326,-446.883333333333,-12,-12019.1803333333,-216.73,0.0393877042138671,-4.86</t>
  </si>
  <si>
    <t>2025-05-08 01:15:00,27380958.8443806,90800.0295270172,0,0,0,0,0,0</t>
  </si>
  <si>
    <t>2025-05-08 01:16:00,575,,565,,550,,558.5,,,,,570,550,557,562</t>
  </si>
  <si>
    <t>2025-05-08 01:16:00,490,,485,,470,,480,,,,,490,470,482,475</t>
  </si>
  <si>
    <t>2025-05-08 01:16:00,5800,,,5600,,5700,5680,,,,,5710,5520,5630,5620</t>
  </si>
  <si>
    <t>2025-05-08 01:16:00,19475,,,,19475,,19775,,,,,20200,19200,19400,19300</t>
  </si>
  <si>
    <t>2025-05-08 01:16:00,1719035882.504,11030940695.6259,0,0,0,0,0,0</t>
  </si>
  <si>
    <t>2025-05-08 01:16:00,2010617358.10615,3359182269.06658,0,0,0,0,0,0</t>
  </si>
  <si>
    <t>2025-05-08 01:16:00,-8277402.07461075,-1043772.9366429,-239.999999999999,-9,-2750.39999999999,-63.7,0.00829987808181171,-1.65</t>
  </si>
  <si>
    <t>2025-05-08 01:16:00,27377847.9973838,90782.1737799175,0,0,0,0,0,0</t>
  </si>
  <si>
    <t>2025-05-08 01:17:00,575,,565,,550,,558.5,,,,,570,550,557,562</t>
  </si>
  <si>
    <t>2025-05-08 01:17:00,490,,485,,470,,480,,,,,490,470,482,475</t>
  </si>
  <si>
    <t>2025-05-08 01:17:00,5800,,,5600,,5700,5680,,,,,5710,5520,5630,5620</t>
  </si>
  <si>
    <t>2025-05-08 01:17:00,19475,,,,19475,,19775,,,,,20200,19200,19400,19300</t>
  </si>
  <si>
    <t>2025-05-08 01:17:00,1724714080.27635,11068739557.0138,0,0,0,0,0,0</t>
  </si>
  <si>
    <t>2025-05-08 01:17:00,1998753383.24251,3324764304.84337,0,0,0,0,0,0</t>
  </si>
  <si>
    <t>2025-05-08 01:17:00,-8345519.19610904,-1076997.61456934,-681.033333333332,-57,-14868.4073333333,-329.87,0.0958978997653985,-6.94</t>
  </si>
  <si>
    <t>2025-05-08 01:17:00,27383610.312316,90849.6137703652,0,0,0,0,0,0</t>
  </si>
  <si>
    <t>2025-05-08 01:18:00,575,,565,,550,,558.5,,,,,570,550,557,562</t>
  </si>
  <si>
    <t>2025-05-08 01:18:00,490,,485,,470,,480,,,,,490,470,482,475</t>
  </si>
  <si>
    <t>2025-05-08 01:18:00,5800,,,5600,,5700,5680,,,,,5710,5520,5630,5620</t>
  </si>
  <si>
    <t>2025-05-08 01:18:00,19475,,,,19475,,19775,,,,,20200,19200,19400,19300</t>
  </si>
  <si>
    <t>2025-05-08 01:18:00,1693894551.60765,10955485608.2677,0,0,0,0,0,0</t>
  </si>
  <si>
    <t>2025-05-08 01:18:00,1972061346.61514,3247020681.90331,0,0,0,0,0,0</t>
  </si>
  <si>
    <t>2025-05-08 01:18:00,-7887201.60853312,-1016275.68774029,-97.8000000000001,-10,-133.836,-12.52,0.0070446118406165,-0.17</t>
  </si>
  <si>
    <t>2025-05-08 01:18:00,27383093.9414824,90745.3761801881,0,0,0,0,0,0</t>
  </si>
  <si>
    <t>2025-05-08 01:19:00,575,,565,,550,,558.5,,,,,570,550,557,562</t>
  </si>
  <si>
    <t>2025-05-08 01:19:00,490,,485,,470,,480,,,,,490,470,482,475</t>
  </si>
  <si>
    <t>2025-05-08 01:19:00,5800,,,5600,,5700,5680,,,,,5710,5520,5630,5620</t>
  </si>
  <si>
    <t>2025-05-08 01:19:00,19475,,,,19475,,19775,,,,,20200,19200,19400,19300</t>
  </si>
  <si>
    <t>2025-05-08 01:19:00,1689554353.33678,10930571124.3013,0,0,0,0,0,0</t>
  </si>
  <si>
    <t>2025-05-08 01:19:00,1948847747.06748,3147217693.00646,0,0,0,0,0,0</t>
  </si>
  <si>
    <t>2025-05-08 01:19:00,-8019090.74403611,-1269675.20246553,-1400.15,-40,-25460.5188333332,-505.99,0.172591999352493,-9.81</t>
  </si>
  <si>
    <t>2025-05-08 01:19:00,27382382.6957092,90677.3309585452,0,0,0,0,0,0</t>
  </si>
  <si>
    <t>2025-05-08 01:20:00,575,,565,,550,,558.5,,,,,570,550,557,562</t>
  </si>
  <si>
    <t>2025-05-08 01:20:00,490,,485,,470,,480,,,,,490,470,482,475</t>
  </si>
  <si>
    <t>2025-05-08 01:20:00,5800,,,5600,,5700,5680,,,,,5710,5520,5630,5620</t>
  </si>
  <si>
    <t>2025-05-08 01:20:00,19475,,,,19475,,19775,,,,,20200,19200,19400,19300</t>
  </si>
  <si>
    <t>2025-05-08 01:20:00,1670865177.31114,10812736384.551,0,0,0,0,0,0</t>
  </si>
  <si>
    <t>2025-05-08 01:20:00,1946157076.42202,3139132481.37385,0,0,0,0,0,0</t>
  </si>
  <si>
    <t>2025-05-08 01:20:00,-8019594.39877472,-1306919.45299157,-2432.83951612903,-73,-100338.098846774,-2934.58,0.340938100595869,-54.49</t>
  </si>
  <si>
    <t>2025-05-08 01:20:00,27388091.6752373,90755.2093993902,0,0,0,0,0,0</t>
  </si>
  <si>
    <t>2025-05-08 01:21:00,575,,565,,550,,558.5,,,,,570,550,557,562</t>
  </si>
  <si>
    <t>2025-05-08 01:21:00,490,,485,,470,,480,,,,,490,470,482,475</t>
  </si>
  <si>
    <t>2025-05-08 01:21:00,5800,,,5630,,5700,5680,,,,,5710,5520,5630,5620</t>
  </si>
  <si>
    <t>2025-05-08 01:21:00,19475,,,,19475,,19775,,,,,20200,19200,19400,19300</t>
  </si>
  <si>
    <t>2025-05-08 01:21:00,1693656096.30734,10959365284.9758,0,0,0,0,0,0</t>
  </si>
  <si>
    <t>2025-05-08 01:21:00,1983906447.29103,3282061985.55159,0,0,0,0,0,0</t>
  </si>
  <si>
    <t>2025-05-08 01:21:00,-7919128.74129616,-1189689.35636668,-2161.08333333333,-43,-48706.2474999999,-714.76,0.2589498886891,-14.17</t>
  </si>
  <si>
    <t>2025-05-08 01:21:00,27386654.7751756,90721.2678042412,0,0,0,0,0,0</t>
  </si>
  <si>
    <t>2025-05-08 01:22:00,575,,565,,550,,558.5,,,,,570,550,557,562</t>
  </si>
  <si>
    <t>2025-05-08 01:22:00,490,,485,,470,,480,,,,,490,470,482,475</t>
  </si>
  <si>
    <t>2025-05-08 01:22:00,5800,,,5630,,5700,5680,,,,,5710,5520,5630,5620</t>
  </si>
  <si>
    <t>2025-05-08 01:22:00,19475,,,,19475,,19775,,,,,20200,19200,19400,19300</t>
  </si>
  <si>
    <t>2025-05-08 01:22:00,1705734058.10656,11029733751.0778,0,0,0,0,0,0</t>
  </si>
  <si>
    <t>2025-05-08 01:22:00,1977676201.71268,3264740534.2098,0,0,0,0,0,0</t>
  </si>
  <si>
    <t>2025-05-08 01:22:00,-8008945.70696257,-1295617.4271142,-4017.35,-86,-57038.4375000001,-975,0.380099122063014,-18.16</t>
  </si>
  <si>
    <t>2025-05-08 01:22:00,27385914.9127318,90661.871420457,0,0,0,0,0,0</t>
  </si>
  <si>
    <t>2025-05-08 01:23:00,575,,565,,550,,558.5,,,,,570,550,557,562</t>
  </si>
  <si>
    <t>2025-05-08 01:23:00,490,,485,,470,,480,,,,,490,470,482,475</t>
  </si>
  <si>
    <t>2025-05-08 01:23:00,5800,,,5630,,5700,5680,,,,,5710,5520,5630,5620</t>
  </si>
  <si>
    <t>2025-05-08 01:23:00,19475,,,,19475,,19775,,,,,20200,19200,19400,19300</t>
  </si>
  <si>
    <t>2025-05-08 01:23:00,1655546976.04591,11283078387.8422,0,0,0,0,0,0</t>
  </si>
  <si>
    <t>2025-05-08 01:23:00,1930457817.54159,3144254523.12256,0,0,0,0,0,0</t>
  </si>
  <si>
    <t>2025-05-08 01:23:00,-7983863.54982519,-1623268.03969204,-1605.36666666667,-57,-15140.919,-434.35,0.188989794084589,-7.22</t>
  </si>
  <si>
    <t>2025-05-08 01:23:00,27391826.0123945,90679.5684289189,0,0,0,0,0,0</t>
  </si>
  <si>
    <t>2025-05-08 01:24:00,575,,565,,550,,558.5,,,,,570,550,557,562</t>
  </si>
  <si>
    <t>2025-05-08 01:24:00,490,,485,,470,,480,,,,,490,470,482,475</t>
  </si>
  <si>
    <t>2025-05-08 01:24:00,5800,,,5630,,5700,5680,,,,,5710,5570,5630,5620</t>
  </si>
  <si>
    <t>2025-05-08 01:24:00,19475,,,,19475,,19775,,,,,20200,19200,19400,19300</t>
  </si>
  <si>
    <t>2025-05-08 01:24:00,1679828596.16948,10877208571.099,0,0,0,0,0,0</t>
  </si>
  <si>
    <t>2025-05-08 01:24:00,1975010425.28818,3256510192.39237,0,0,0,0,0,0</t>
  </si>
  <si>
    <t>2025-05-08 01:24:00,-7833174.29812424,-1494869.16316548,-6060.25000000001,-227,-66938.8330000001,-1979.17,0.833963071607737,-31.27</t>
  </si>
  <si>
    <t>2025-05-08 01:24:00,27392399.1751456,90686.2525977265,0,0,0,0,0,0</t>
  </si>
  <si>
    <t>2025-05-08 01:25:00,575,,565,,550,,558.5,,,,,570,550,557,562</t>
  </si>
  <si>
    <t>2025-05-08 01:25:00,490,,485,,470,,480,,,,,490,470,482,475</t>
  </si>
  <si>
    <t>2025-05-08 01:25:00,5800,,,5630,,5700,5680,,,,,5710,5570,5630,5620</t>
  </si>
  <si>
    <t>2025-05-08 01:25:00,19475,,,,19475,,19775,,,,,20200,19200,19400,19300</t>
  </si>
  <si>
    <t>2025-05-08 01:25:00,1711376137.46903,11058997828.2631,0,0,0,0,0,0</t>
  </si>
  <si>
    <t>2025-05-08 01:25:00,1986867112.76831,3290904564.21362,0,0,0,0,0,0</t>
  </si>
  <si>
    <t>2025-05-08 01:25:00,-8024876.90444545,-1628396.9687887,-5684.73333333332,-180,-39980.5176666666,-829.01,0.406182257815603,-13.16</t>
  </si>
  <si>
    <t>2025-05-08 01:25:00,27398128.1564346,90783.217618145,0,0,0,0,0,0</t>
  </si>
  <si>
    <t>2025-05-08 01:26:00,575,,565,,550,,558.5,,,,,570,550,557,562</t>
  </si>
  <si>
    <t>2025-05-08 01:26:00,490,,485,,470,,480,,,,,490,470,482,475</t>
  </si>
  <si>
    <t>2025-05-08 01:26:00,5800,,,5630,,5700,5680,,,,,5710,5570,5630,5620</t>
  </si>
  <si>
    <t>2025-05-08 01:26:00,19475,,,,19475,,19775,,,,,20200,19200,19400,19300</t>
  </si>
  <si>
    <t>2025-05-08 01:26:00,1697883552.75843,10990247249.8601,0,0,0,0,0,0</t>
  </si>
  <si>
    <t>2025-05-08 01:26:00,1995606673.2158,3317061392.67102,0,0,0,0,0,0</t>
  </si>
  <si>
    <t>2025-05-08 01:26:00,-8012750.05229412,-1661204.70221828,-1081.5,-23,-13978.174,-260.76,0.0880441200774899,-4.36</t>
  </si>
  <si>
    <t>2025-05-08 01:26:00,27395784.9393974,90715.2710474148,0,0,0,0,0,0</t>
  </si>
  <si>
    <t>2025-05-08 01:27:00,575,,565,,550,,558.5,,,,,570,550,557,562</t>
  </si>
  <si>
    <t>2025-05-08 01:27:00,490,,485,,470,,480,,,,,490,470,482,475</t>
  </si>
  <si>
    <t>2025-05-08 01:27:00,5800,,,5570,,5700,5680,,,,,5710,5570,5630,5620</t>
  </si>
  <si>
    <t>2025-05-08 01:27:00,19475,,,,19475,,19775,,,,,20200,19200,19400,19300</t>
  </si>
  <si>
    <t>2025-05-08 01:27:00,1711129524.55616,11060730345.5689,0,0,0,0,0,0</t>
  </si>
  <si>
    <t>2025-05-08 01:27:00,1998824946.72004,3326110842.3344,0,0,0,0,0,0</t>
  </si>
  <si>
    <t>2025-05-08 01:27:00,-8039579.2531421,-1707031.76638824,-3905.66666666667,-195,-26146.2166666667,-708.1,0.180819990489975,-16.13</t>
  </si>
  <si>
    <t>2025-05-08 01:27:00,27393915.3386198,90648.5957995939,0,0,0,0,0,0</t>
  </si>
  <si>
    <t>2025-05-08 01:28:00,575,,565,,550,,558.5,,,,,570,550,557,562</t>
  </si>
  <si>
    <t>2025-05-08 01:28:00,490,,485,,470,,480,,,,,490,470,482,475</t>
  </si>
  <si>
    <t>2025-05-08 01:28:00,5800,,,5570,,5700,5680,,,,,5710,5570,5630,5620</t>
  </si>
  <si>
    <t>2025-05-08 01:28:00,19475,,,,19475,,19775,,,,,20200,19200,19400,19300</t>
  </si>
  <si>
    <t>2025-05-08 01:28:00,1703290853.79274,10962906546.5852,0,0,0,0,0,0</t>
  </si>
  <si>
    <t>2025-05-08 01:28:00,2004929961.42471,3343547816.5187,0,0,0,0,0,0</t>
  </si>
  <si>
    <t>2025-05-08 01:28:00,-8135527.34533625,-1722106.22297622,-340.366666666667,-10,-3218.52066666667,-72.72,0.0270992861131966,-1.37</t>
  </si>
  <si>
    <t>2025-05-08 01:28:00,27399629.7502569,90738.0308793148,0,0,0,0,0,0</t>
  </si>
  <si>
    <t>2025-05-08 01:29:00,575,,565,,550,,558.5,,,,,570,550,557,562</t>
  </si>
  <si>
    <t>2025-05-08 01:29:00,490,,485,,470,,480,,,,,490,470,482,475</t>
  </si>
  <si>
    <t>2025-05-08 01:29:00,5800,,,5570,,5700,5680,,,,,5710,5570,5630,5620</t>
  </si>
  <si>
    <t>2025-05-08 01:29:00,19475,,,,19475,,19775,,,,,20200,19200,19400,19300</t>
  </si>
  <si>
    <t>2025-05-08 01:29:00,1705318476.58507,11038803227.1407,0,0,0,0,0,0</t>
  </si>
  <si>
    <t>2025-05-08 01:29:00,2001714903.63812,3334826922.9242,0,0,0,0,0,0</t>
  </si>
  <si>
    <t>2025-05-08 01:29:00,-7947988.96977489,-1724680.36944093,-521.499999999999,-14,-5007.74299999998,-101.72,0.0434321557904727,-1.75</t>
  </si>
  <si>
    <t>2025-05-08 01:29:00,27399086.913512,90686.9752682012,0,0,0,0,0,0</t>
  </si>
  <si>
    <t>2025-05-08 01:30:00,575,,565,,550,,558.5,,,,,570,550,557,562</t>
  </si>
  <si>
    <t>2025-05-08 01:30:00,490,,485,,470,,480,,,,,490,470,482,475</t>
  </si>
  <si>
    <t>2025-05-08 01:30:00,5800,,,5570,,5700,5680,,,,,5710,5570,5630,5620</t>
  </si>
  <si>
    <t>2025-05-08 01:30:00,19475,,,,19475,,19775,,,,,20200,19200,19400,19300</t>
  </si>
  <si>
    <t>2025-05-08 01:30:00,1701646258.32059,10934502079.3113,0,0,0,0,0,0</t>
  </si>
  <si>
    <t>2025-05-08 01:30:00,2021986937.40236,3393383492.96091,0,0,0,0,0,0</t>
  </si>
  <si>
    <t>2025-05-08 01:30:00,-8229504.37649947,-1755073.65598244,-380.733333333333,-10,-2441.82133333333,-59.64,0.0141166343188716,-1.41</t>
  </si>
  <si>
    <t>2025-05-08 01:30:00,27404901.2222799,90796.5411382018,0,0,0,0,0,0</t>
  </si>
  <si>
    <t>2025-05-08 01:31:00,575,,565,,550,,558.5,,,,,570,550,557,562</t>
  </si>
  <si>
    <t>2025-05-08 01:31:00,490,,485,,470,,480,,,,,490,470,482,475</t>
  </si>
  <si>
    <t>2025-05-08 01:31:00,5800,,,5570,,5700,5680,,,,,5710,5570,5630,5620</t>
  </si>
  <si>
    <t>2025-05-08 01:31:00,19475,,,,19475,,19775,,,,,20200,19200,19400,19300</t>
  </si>
  <si>
    <t>2025-05-08 01:31:00,1693211664.55782,10970061102.9515,0,0,0,0,0,0</t>
  </si>
  <si>
    <t>2025-05-08 01:31:00,1998991719.9321,3326443509.4221,0,0,0,0,0,0</t>
  </si>
  <si>
    <t>2025-05-08 01:31:00,-7932661.23350584,-1721501.08000844,-610.666666666666,-14,-6231.23333333334,-131.5,0.0451668206756289,-2.6</t>
  </si>
  <si>
    <t>2025-05-08 01:31:00,27403478.4840949,90706.8596061428,0,0,0,0,0,0</t>
  </si>
  <si>
    <t>2025-05-08 01:32:00,575,,565,,550,,558.5,,,,,570,550,557,562</t>
  </si>
  <si>
    <t>2025-05-08 01:32:00,490,,485,,470,,480,,,,,490,470,482,475</t>
  </si>
  <si>
    <t>2025-05-08 01:32:00,5800,,,5630,,5700,5680,,,,,5710,5570,5630,5620</t>
  </si>
  <si>
    <t>2025-05-08 01:32:00,19475,,,,19475,,19775,,,,,20200,19200,19400,19300</t>
  </si>
  <si>
    <t>2025-05-08 01:32:00,1641372476.39748,11229026329.989,0,0,0,0,0,0</t>
  </si>
  <si>
    <t>2025-05-08 01:32:00,1932857962.01075,3150681841.53905,0,0,0,0,0,0</t>
  </si>
  <si>
    <t>2025-05-08 01:32:00,-7891099.73909036,-2197156.79305572,-4916.54166666666,-114,-78777.7554166667,-1725.06,0.670812125384781,-30.54</t>
  </si>
  <si>
    <t>2025-05-08 01:32:00,27401460.8111443,90543.2671402605,0,0,0,0,0,0</t>
  </si>
  <si>
    <t>2025-05-08 01:33:00,575,,565,,550,,558.5,,,,,570,550,557,562</t>
  </si>
  <si>
    <t>2025-05-08 01:33:00,490,,485,,470,,480,,,,,490,470,482,475</t>
  </si>
  <si>
    <t>2025-05-08 01:33:00,5800,,,5630,,5700,5680,,,,,5710,5570,5630,5620</t>
  </si>
  <si>
    <t>2025-05-08 01:33:00,19475,,,,19475,,19775,,,,,20200,19200,19400,19300</t>
  </si>
  <si>
    <t>2025-05-08 01:33:00,1666719004.5454,11164091764.8873,0,0,0,0,0,0</t>
  </si>
  <si>
    <t>2025-05-08 01:33:00,1939872730.06944,3155909844.5755,0,0,0,0,0,0</t>
  </si>
  <si>
    <t>2025-05-08 01:33:00,-7994247.95134275,-2172890.41858904,-433.633333333335,-12,-5507.48266666668,-137.94,0.0537620292970569,-2.39</t>
  </si>
  <si>
    <t>2025-05-08 01:33:00,27407284.2010212,90641.8096320868,0,0,0,0,0,0</t>
  </si>
  <si>
    <t>2025-05-08 01:34:00,575,,565,,550,,558.5,,,,,570,550,557,562</t>
  </si>
  <si>
    <t>2025-05-08 01:34:00,490,,485,,470,,486,,,,,490,470,482,475</t>
  </si>
  <si>
    <t>2025-05-08 01:34:00,5800,,,5630,,5700,5680,,,,,5710,5570,5630,5620</t>
  </si>
  <si>
    <t>2025-05-08 01:34:00,19475,,,,19475,,19775,,,,,20200,19200,19400,19300</t>
  </si>
  <si>
    <t>2025-05-08 01:34:00,1607496581.66318,11013228616.9362,0,0,0,0,0,0</t>
  </si>
  <si>
    <t>2025-05-08 01:34:00,1901757693.01839,2888230241.99452,0,0,0,0,0,0</t>
  </si>
  <si>
    <t>2025-05-08 01:34:00,-7578759.01366594,-2186059.18076814,-847.504166666668,-29,-13094.1525416667,-296.79,0.00644696352418295,-7.06</t>
  </si>
  <si>
    <t>2025-05-08 01:34:00,27405662.3628951,90530.8820453148,0,0,0,0,0,0</t>
  </si>
  <si>
    <t>2025-05-08 01:35:00,575,,565,,550,,558.5,,,,,570,550,557,562</t>
  </si>
  <si>
    <t>2025-05-08 01:35:00,490,,485,,470,,480,,,,,490,470,482,475</t>
  </si>
  <si>
    <t>2025-05-08 01:35:00,5800,,,5570,,5700,5680,,,,,5710,5570,5630,5620</t>
  </si>
  <si>
    <t>2025-05-08 01:35:00,19475,,,,19475,,19775,,,,,20200,19200,19400,19300</t>
  </si>
  <si>
    <t>2025-05-08 01:35:00,1551896072.60539,10642506734.4953,0,0,0,0,0,0</t>
  </si>
  <si>
    <t>2025-05-08 01:35:00,1877916800.98524,3212737908.96769,0,0,0,0,0,0</t>
  </si>
  <si>
    <t>2025-05-08 01:35:00,-7311932.64122406,-2188787.59517887,-4543.64999999999,-150,-66775.8658333332,-1453.33,0.140397674771993,-35.5</t>
  </si>
  <si>
    <t>2025-05-08 01:35:00,27411604.3514318,90556.8861985545,0,0,0,0,0,0</t>
  </si>
  <si>
    <t>2025-05-08 01:36:00,575,,565,,550,,558.5,,,,,570,550,557,562</t>
  </si>
  <si>
    <t>2025-05-08 01:36:00,490,,485,,470,,480,,,,,490,470,482,475</t>
  </si>
  <si>
    <t>2025-05-08 01:36:00,5800,,,5570,,5700,5680,,,,,5710,5570,5630,5620</t>
  </si>
  <si>
    <t>2025-05-08 01:36:00,19475,,,,19475,,19775,,,,,20200,19200,19400,19300</t>
  </si>
  <si>
    <t>2025-05-08 01:36:00,1551756133.45317,10642606687.1402,0,0,0,0,0,0</t>
  </si>
  <si>
    <t>2025-05-08 01:36:00,1867129208.37107,3178685639.35803,0,0,0,0,0,0</t>
  </si>
  <si>
    <t>2025-05-08 01:36:00,-7132679.90039555,-2197794.71550343,-2090.88333333333,-51,-18057.0801666666,-402.43,0.149148613863311,-7.48</t>
  </si>
  <si>
    <t>2025-05-08 01:36:00,27410964.1770174,90480.4991700452,0,0,0,0,0,0</t>
  </si>
  <si>
    <t>2025-05-08 01:37:00,575,,565,,550,,558.5,,,,,570,550,557,562</t>
  </si>
  <si>
    <t>2025-05-08 01:37:00,490,,485,,470,,480,,,,,490,470,482,475</t>
  </si>
  <si>
    <t>2025-05-08 01:37:00,5800,,,5570,,5700,5680,,,,,5710,5570,5630,5620</t>
  </si>
  <si>
    <t>2025-05-08 01:37:00,19475,,,,19475,,19775,,,,,20200,19200,19400,19300</t>
  </si>
  <si>
    <t>2025-05-08 01:37:00,1476864205.56718,10466640563.8389,0,0,0,0,0,0</t>
  </si>
  <si>
    <t>2025-05-08 01:37:00,1867140705.89889,3178835492.662,0,0,0,0,0,0</t>
  </si>
  <si>
    <t>2025-05-08 01:37:00,-7100586.66102114,-2222772.48552309,-883.199999999995,-24,-27106.6293333332,-550.11,0.0758452529155656,-12.73</t>
  </si>
  <si>
    <t>2025-05-08 01:37:00,27410874.7166319,90412.08730347,0,0,0,0,0,0</t>
  </si>
  <si>
    <t>2025-05-08 01:38:00,575,,565,,550,,558.5,,,,,570,550,557,562</t>
  </si>
  <si>
    <t>2025-05-08 01:38:00,490,,485,,470,,480,,,,,490,470,482,475</t>
  </si>
  <si>
    <t>2025-05-08 01:38:00,5800,,,5630,,5700,5680,,,,,5710,5570,5630,5620</t>
  </si>
  <si>
    <t>2025-05-08 01:38:00,19475,,,,19475,,19775,,,,,20200,19200,19400,19300</t>
  </si>
  <si>
    <t>2025-05-08 01:38:00,1481719723.44034,10503471361.2738,0,0,0,0,0,0</t>
  </si>
  <si>
    <t>2025-05-08 01:38:00,1898946399.39492,3270236304.99272,0,0,0,0,0,0</t>
  </si>
  <si>
    <t>2025-05-08 01:38:00,-7381035.13085447,-2319040.64896875,-3353.35833333332,-64,-30433.0100833333,-615.63,0.242199020302535,-11.31</t>
  </si>
  <si>
    <t>2025-05-08 01:38:00,27416798.4085767,90541.8349181386,0,0,0,0,0,0</t>
  </si>
  <si>
    <t>2025-05-08 01:39:00,575,,565,,550,,558.5,,,,,570,550,557,562</t>
  </si>
  <si>
    <t>2025-05-08 01:39:00,490,,485,,470,,480,,,,,490,470,482,475</t>
  </si>
  <si>
    <t>2025-05-08 01:39:00,5800,,,5630,,5700,5680,,,,,5710,5570,5630,5620</t>
  </si>
  <si>
    <t>2025-05-08 01:39:00,19475,,,,19475,,19775,,,,,20200,19200,19400,19300</t>
  </si>
  <si>
    <t>2025-05-08 01:39:00,1491592745.68344,10574165206.117,0,0,0,0,0,0</t>
  </si>
  <si>
    <t>2025-05-08 01:39:00,1912369620.82304,3198032315.33666,0,0,0,0,0,0</t>
  </si>
  <si>
    <t>2025-05-08 01:39:00,-7423485.17512323,-2342587.00503101,-963.266666666664,-23,-6029.69033333332,-130.18,0.0639817259483764,-2.18</t>
  </si>
  <si>
    <t>2025-05-08 01:39:00,27414706.1166222,90501.7536153569,0,0,0,0,0,0</t>
  </si>
  <si>
    <t>2025-05-08 01:40:00,575,,565,,550,,558.5,,,,,570,550,557,562</t>
  </si>
  <si>
    <t>2025-05-08 01:40:00,490,,485,,470,,480,,,,,490,470,482,475</t>
  </si>
  <si>
    <t>2025-05-08 01:40:00,5800,,,5630,,5700,5680,,,,,5710,5570,5630,5620</t>
  </si>
  <si>
    <t>2025-05-08 01:40:00,19475,,,,19475,,19775,,,,,20200,19200,19400,19300</t>
  </si>
  <si>
    <t>2025-05-08 01:40:00,1653900125.51307,11300430067.6264,0,0,0,0,0,0</t>
  </si>
  <si>
    <t>2025-05-08 01:40:00,1939808084.47778,3126580421.05115,0,0,0,0,0,0</t>
  </si>
  <si>
    <t>2025-05-08 01:40:00,-7851130.5230532,-2379195.20658464,-1107.4,-34,-7522.87800000002,-182.84,0.0670422711062404,-3.42</t>
  </si>
  <si>
    <t>2025-05-08 01:40:00,27418692.7493643,90650.9556164421,0,0,0,0,0,0</t>
  </si>
  <si>
    <t>2025-05-08 01:41:00,575,,565,,550,,562.5,,,,,570,550,557,562</t>
  </si>
  <si>
    <t>2025-05-08 01:41:00,490,,485,,470,,480,,,,,490,470,482,475</t>
  </si>
  <si>
    <t>2025-05-08 01:41:00,5800,,,5630,,5700,5680,,,,,5710,5570,5630,5620</t>
  </si>
  <si>
    <t>2025-05-08 01:41:00,19475,,,,19475,,19775,,,,,20200,19200,19400,19300</t>
  </si>
  <si>
    <t>2025-05-08 01:41:00,1627304354.06329,10106656318.553,0,0,0,0,0,0</t>
  </si>
  <si>
    <t>2025-05-08 01:41:00,1978269672.83572,3267762381.60641,0,0,0,0,0,0</t>
  </si>
  <si>
    <t>2025-05-08 01:41:00,-7896774.46272392,-2126242.10179646,-2296.46666666666,-51,-27453.1876666666,-602.46,0.255989352836884,-10.58</t>
  </si>
  <si>
    <t>2025-05-08 01:41:00,27420359.5354257,90636.4215642315,0,0,0,0,0,0</t>
  </si>
  <si>
    <t>2025-05-08 01:42:00,575,,565,,550,,558.5,,,,,570,550,557,562</t>
  </si>
  <si>
    <t>2025-05-08 01:42:00,490,,490,,470,,480,,,,,490,470,482,475</t>
  </si>
  <si>
    <t>2025-05-08 01:42:00,5800,,,5630,,5700,5680,,,,,5710,5570,5630,5620</t>
  </si>
  <si>
    <t>2025-05-08 01:42:00,19475,,,,19475,,19775,,,,,20200,19200,19400,19300</t>
  </si>
  <si>
    <t>2025-05-08 01:42:00,1786204138.21407,11451794566.6569,0,0,0,0,0,0</t>
  </si>
  <si>
    <t>2025-05-08 01:42:00,2037212699.4436,3441037950.74291,0,0,0,0,0,0</t>
  </si>
  <si>
    <t>2025-05-08 01:42:00,-8584197.41585651,-2284244.47361238,-2821.45,-66,-33067.4911666667,-688.87,0.214015393970462,-13.63</t>
  </si>
  <si>
    <t>2025-05-08 01:42:00,27419867.7803126,90642.3069851132,0,0,0,0,0,0</t>
  </si>
  <si>
    <t>2025-05-08 01:43:00,575,,565,,550,,558.5,,,,,570,550,557,562</t>
  </si>
  <si>
    <t>2025-05-08 01:43:00,490,,490,,470,,480,,,,,490,470,482,475</t>
  </si>
  <si>
    <t>2025-05-08 01:43:00,5800,,,5630,,5700,5680,,,,,5710,5570,5630,5620</t>
  </si>
  <si>
    <t>2025-05-08 01:43:00,19475,,,,19475,,19775,,,,,20200,19200,19400,19300</t>
  </si>
  <si>
    <t>2025-05-08 01:43:00,1808945905.0315,11607339913.53,0,0,0,0,0,0</t>
  </si>
  <si>
    <t>2025-05-08 01:43:00,2039575048.62251,3448843729.78643,0,0,0,0,0,0</t>
  </si>
  <si>
    <t>2025-05-08 01:43:00,-8854418.78092999,-2343741.77031581,-1309.63333333334,-30,-32382.6053333334,-488.23,0.111067017276672,-9.41</t>
  </si>
  <si>
    <t>2025-05-08 01:43:00,27425729.1246172,90734.4752467478,0,0,0,0,0,0</t>
  </si>
  <si>
    <t>2025-05-08 01:44:00,575,,565,,550,,558.5,,,,,570,550,557,562</t>
  </si>
  <si>
    <t>2025-05-08 01:44:00,490,,485,,470,,480,,,,,490,470,482,475</t>
  </si>
  <si>
    <t>2025-05-08 01:44:00,5800,,,5630,,5700,5680,,,,,5710,5570,5630,5620</t>
  </si>
  <si>
    <t>2025-05-08 01:44:00,19475,,,,19475,,19775,,,,,20200,19200,19400,19300</t>
  </si>
  <si>
    <t>2025-05-08 01:44:00,1808864108.52634,11608866792.1484,0,0,0,0,0,0</t>
  </si>
  <si>
    <t>2025-05-08 01:44:00,2032008098.28854,3424262222.58283,0,0,0,0,0,0</t>
  </si>
  <si>
    <t>2025-05-08 01:44:00,-8958005.18517985,-2370512.69914631,-1282.6,-34,-10160.4076666667,-173.28,0.0271962923940042,-3.75</t>
  </si>
  <si>
    <t>2025-05-08 01:44:00,27421758.2193043,90651.5438625822,0,0,0,0,0,0</t>
  </si>
  <si>
    <t>2025-05-08 01:45:00,575,,565,,550,,558.5,,,,,570,550,557,562</t>
  </si>
  <si>
    <t>2025-05-08 01:45:00,490,,485,,470,,480,,,,,490,470,482,475</t>
  </si>
  <si>
    <t>2025-05-08 01:45:00,5800,,,5630,,5700,5680,,,,,5710,5570,5630,5620</t>
  </si>
  <si>
    <t>2025-05-08 01:45:00,19475,,,,19475,,19775,,,,,20200,19200,19400,19300</t>
  </si>
  <si>
    <t>2025-05-08 01:45:00,1820103552.0659,11688333214.9206,0,0,0,0,0,0</t>
  </si>
  <si>
    <t>2025-05-08 01:45:00,2027409346.21023,3409940779.77473,0,0,0,0,0,0</t>
  </si>
  <si>
    <t>2025-05-08 01:45:00,-8924175.02957072,-2370859.01719908,-868.866666666663,-22,-6898.10399999998,-139.82,0.0227485636114195,-3.46</t>
  </si>
  <si>
    <t>2025-05-08 01:45:00,27421559.8749645,90594.1763784996,0,0,0,0,0,0</t>
  </si>
  <si>
    <t>2025-05-08 01:46:00,575,,565,,550,,558.5,,,,,570,550,557,562</t>
  </si>
  <si>
    <t>2025-05-08 01:46:00,490,,485,,470,,480,,,,,490,470,482,475</t>
  </si>
  <si>
    <t>2025-05-08 01:46:00,5800,,,5630,,5700,5680,,,,,5710,5570,5630,5620</t>
  </si>
  <si>
    <t>2025-05-08 01:46:00,19475,,,,19475,,19775,,,,,20200,19200,19400,19300</t>
  </si>
  <si>
    <t>2025-05-08 01:46:00,1811620256.01674,11588083426.1761,0,0,0,0,0,0</t>
  </si>
  <si>
    <t>2025-05-08 01:46:00,2015284698.4813,3375662711.06746,0,0,0,0,0,0</t>
  </si>
  <si>
    <t>2025-05-08 01:46:00,-8947448.75867966,-2460262.96924614,-3947.08892339544,-99,-86189.1945910971,-2886.81,0.347452785719478,-38.03</t>
  </si>
  <si>
    <t>2025-05-08 01:46:00,27427377.771724,90663.5258105201,0,0,0,0,0,0</t>
  </si>
  <si>
    <t>2025-05-08 01:47:00,575,,565,,550,,558.5,,,,,570,550,557,562</t>
  </si>
  <si>
    <t>2025-05-08 01:47:00,490,,485,,470,,480,,,,,490,470,482,475</t>
  </si>
  <si>
    <t>2025-05-08 01:47:00,5800,,,5630,,5700,5680,,,,,5710,5570,5630,5620</t>
  </si>
  <si>
    <t>2025-05-08 01:47:00,19475,,,,19475,,19775,,,,,20200,19200,19400,19300</t>
  </si>
  <si>
    <t>2025-05-08 01:47:00,1797177209.76068,11533187236.9053,0,0,0,0,0,0</t>
  </si>
  <si>
    <t>2025-05-08 01:47:00,1993052167.16054,3311304711.52551,0,0,0,0,0,0</t>
  </si>
  <si>
    <t>2025-05-08 01:47:00,-8940774.57990209,-2470096.51866273,-908.299999999996,-16,-12222.4526666666,-172.49,0.0538846872570705,-3.61</t>
  </si>
  <si>
    <t>2025-05-08 01:47:00,27426219.8663195,90548.1778209795,0,0,0,0,0,0</t>
  </si>
  <si>
    <t>2025-05-08 01:48:00,575,,565,,550,,558.5,,,,,570,550,557,562</t>
  </si>
  <si>
    <t>2025-05-08 01:48:00,490,,485,,470,,480,,,,,490,470,482,475</t>
  </si>
  <si>
    <t>2025-05-08 01:48:00,5800,,,5630,,5700,5680,,,,,5710,5570,5630,5620</t>
  </si>
  <si>
    <t>2025-05-08 01:48:00,19475,,,,19475,,19775,,,,,20200,19200,19400,19300</t>
  </si>
  <si>
    <t>2025-05-08 01:48:00,1837324855.03831,11810602171.3486,0,0,0,0,0,0</t>
  </si>
  <si>
    <t>2025-05-08 01:48:00,2005045221.98155,3345206510.69563,0,0,0,0,0,0</t>
  </si>
  <si>
    <t>2025-05-08 01:48:00,-9071664.89166942,-2493620.38352934,-364.1,-7,-4108.41866666667,-54.59,0.0234712705612534,-0.91</t>
  </si>
  <si>
    <t>2025-05-08 01:48:00,27432097.7905899,90648.1538191711,0,0,0,0,0,0</t>
  </si>
  <si>
    <t>2025-05-08 01:49:00,575,,565,,550,,558.5,,,,,570,550,557,562</t>
  </si>
  <si>
    <t>2025-05-08 01:49:00,490,,485,,470,,480,,,,,490,470,482,475</t>
  </si>
  <si>
    <t>2025-05-08 01:49:00,5800,,,5630,,5700,5680,,,,,5710,5570,5630,5620</t>
  </si>
  <si>
    <t>2025-05-08 01:49:00,19475,,,,19475,,19775,,,,,20200,19200,19400,19300</t>
  </si>
  <si>
    <t>2025-05-08 01:49:00,1837336888.96873,11812091177.369,0,0,0,0,0,0</t>
  </si>
  <si>
    <t>2025-05-08 01:49:00,2017074394.79839,3379230742.48923,0,0,0,0,0,0</t>
  </si>
  <si>
    <t>2025-05-08 01:49:00,-9085139.37500915,-2515545.83104249,-1827.96666666666,-52,-11545.7776666667,-281.8,0.0801316651391892,-5.58</t>
  </si>
  <si>
    <t>2025-05-08 01:49:00,27431960.5202555,90615.7101681855,0,0,0,0,0,0</t>
  </si>
  <si>
    <t>2025-05-08 01:50:00,575,,565,,550,,558.5,,,,,570,550,557,562</t>
  </si>
  <si>
    <t>2025-05-08 01:50:00,490,,485,,470,,480,,,,,490,470,482,475</t>
  </si>
  <si>
    <t>2025-05-08 01:50:00,5800,,,5630,,5700,5680,,,,,5710,5570,5630,5620</t>
  </si>
  <si>
    <t>2025-05-08 01:50:00,19475,,,,19475,,19775,,,,,20200,19200,19400,19300</t>
  </si>
  <si>
    <t>2025-05-08 01:50:00,1825384281.59035,11731545576.7823,0,0,0,0,0,0</t>
  </si>
  <si>
    <t>2025-05-08 01:50:00,2034013338.86496,3430503051.44608,0,0,0,0,0,0</t>
  </si>
  <si>
    <t>2025-05-08 01:50:00,-9088465.77062308,-2516154.43984514,-43.5333333333333,-5,-72.2,-5.63,-0.00276485970423992,-0.19</t>
  </si>
  <si>
    <t>2025-05-08 01:50:00,27430741.594753,90568.369539708,0,0,0,0,0,0</t>
  </si>
  <si>
    <t>2025-05-08 01:51:00,575,,565,,550,,558.5,,,,,570,550,557,562</t>
  </si>
  <si>
    <t>2025-05-08 01:51:00,490,,490,,470,,480,,,,,490,470,482,475</t>
  </si>
  <si>
    <t>2025-05-08 01:51:00,5800,,,5630,,5700,5680,,,,,5710,5570,5630,5620</t>
  </si>
  <si>
    <t>2025-05-08 01:51:00,19475,,,,19475,,19775,,,,,20200,19200,19400,19300</t>
  </si>
  <si>
    <t>2025-05-08 01:51:00,1937135853.08601,12384639021.9079,0,0,0,0,0,0</t>
  </si>
  <si>
    <t>2025-05-08 01:51:00,2039991708.85434,3457919178.02405,0,0,0,0,0,0</t>
  </si>
  <si>
    <t>2025-05-08 01:51:00,-9477638.21318465,-2554060.9506854,-388.000000000001,-5,-3654.30000000001,-52.8,0.0242642391629995,-0.79</t>
  </si>
  <si>
    <t>2025-05-08 01:51:00,27436780.5336309,90663.408050453,0,0,0,0,0,0</t>
  </si>
  <si>
    <t>2025-05-08 01:53:00,575,,565,,550,,558.5,,,,,570,550,557,562</t>
  </si>
  <si>
    <t>2025-05-08 01:53:00,490,,490,,470,,480,,,,,490,470,482,475</t>
  </si>
  <si>
    <t>2025-05-08 01:53:00,5800,,,5630,,5700,5680,,,,,5710,5570,5630,5620</t>
  </si>
  <si>
    <t>2025-05-08 01:53:00,19475,,,,19475,,19775,,,,,20200,19200,19400,19300</t>
  </si>
  <si>
    <t>2025-05-08 01:53:00,1961486188.99877,12436357206.4425,0,0,0,0,0,0</t>
  </si>
  <si>
    <t>2025-05-08 01:53:00,2039290292.47257,3451786701.10921,0,0,0,0,0,0</t>
  </si>
  <si>
    <t>2025-05-08 01:53:00,-9671440.3992765,-2584901.9094073,-1282.06666666666,-32,-12349.9706666666,-192.67,0.0435293140031869,-3.8</t>
  </si>
  <si>
    <t>2025-05-08 01:53:00,27435370.4661986,90615.5835253621,0,0,0,0,0,0</t>
  </si>
  <si>
    <t>2025-05-08 01:54:00,575,,565,,550,,558.5,,,,,570,550,557,562</t>
  </si>
  <si>
    <t>2025-05-08 01:54:00,490,,490,,470,,480,,,,,490,470,482,475</t>
  </si>
  <si>
    <t>2025-05-08 01:54:00,5800,,,5630,,5700,5680,,,,,5710,5570,5630,5620</t>
  </si>
  <si>
    <t>2025-05-08 01:54:00,19475,,,,19475,,19775,,,,,20200,19200,19400,19300</t>
  </si>
  <si>
    <t>2025-05-08 01:54:00,1865586151.6247,12014829638.5735,0,0,0,0,0,0</t>
  </si>
  <si>
    <t>2025-05-08 01:54:00,2038880092.06021,3446494104.24813,0,0,0,0,0,0</t>
  </si>
  <si>
    <t>2025-05-08 01:54:00,-9476848.04290548,-2561337.91939098,-315.399999999999,-10,-2547.48799999999,-63.38,0.0189057986374427,-1.17</t>
  </si>
  <si>
    <t>2025-05-08 01:54:00,27441270.0573309,90690.1471729091,0,0,0,0,0,0</t>
  </si>
  <si>
    <t>2025-05-08 01:55:00,575,,565,,550,,558.5,,,,,570,550,557,562</t>
  </si>
  <si>
    <t>2025-05-08 01:55:00,490,,490,,470,,480,,,,,490,470,482,475</t>
  </si>
  <si>
    <t>2025-05-08 01:55:00,5800,,,5630,,5700,5680,,,,,5710,5570,5630,5620</t>
  </si>
  <si>
    <t>2025-05-08 01:55:00,19475,,,,19475,,19775,,,,,20200,19200,19400,19300</t>
  </si>
  <si>
    <t>2025-05-08 01:55:00,1955073021.35098,12462480945.7641,0,0,0,0,0,0</t>
  </si>
  <si>
    <t>2025-05-08 01:55:00,2038837057.50381,3446244981.94404,0,0,0,0,0,0</t>
  </si>
  <si>
    <t>2025-05-08 01:55:00,-9494299.35238925,-2563766.64555236,-172.366666666667,-7,-1108.05566666667,-25.17,0.00335485502394451,-0.55</t>
  </si>
  <si>
    <t>2025-05-08 01:55:00,27438462.391404,90612.5595828304,0,0,0,0,0,0</t>
  </si>
  <si>
    <t>2025-05-08 01:56:00,575,,565,,550,,558.5,,,,,570,550,557,562</t>
  </si>
  <si>
    <t>2025-05-08 01:56:00,490,,485,,470,,480,,,,,490,470,482,475</t>
  </si>
  <si>
    <t>2025-05-08 01:56:00,5800,,,5630,,5700,5680,,,,,5710,5570,5630,5620</t>
  </si>
  <si>
    <t>2025-05-08 01:56:00,19475,,,,19475,,19775,,,,,20200,19200,19400,19300</t>
  </si>
  <si>
    <t>2025-05-08 01:56:00,1883003223.01442,12137305322.8637,0,0,0,0,0,0</t>
  </si>
  <si>
    <t>2025-05-08 01:56:00,2016998257.34375,3379535481.62667,0,0,0,0,0,0</t>
  </si>
  <si>
    <t>2025-05-08 01:56:00,-8974701.00984855,-2588073.0351875,-2554.79999999999,-46,-57297.8159999997,-807.38,0.299491013978819,-16.14</t>
  </si>
  <si>
    <t>2025-05-08 01:56:00,27438619.3548518,90525.0479490351,0,0,0,0,0,0</t>
  </si>
  <si>
    <t>2025-05-08 01:57:00,575,,565,,550,,558.5,,,,,570,550,557,562</t>
  </si>
  <si>
    <t>2025-05-08 01:57:00,490,,490,,470,,480,,,,,490,470,482,475</t>
  </si>
  <si>
    <t>2025-05-08 01:57:00,5800,,,5630,,5700,5680,,,,,5710,5570,5630,5620</t>
  </si>
  <si>
    <t>2025-05-08 01:57:00,19475,,,,19475,,19775,,,,,20200,19200,19400,19300</t>
  </si>
  <si>
    <t>2025-05-08 01:57:00,1920669161.91682,12288719339.2436,0,0,0,0,0,0</t>
  </si>
  <si>
    <t>2025-05-08 01:57:00,2035984995.29304,3445286275.41738,0,0,0,0,0,0</t>
  </si>
  <si>
    <t>2025-05-08 01:57:00,-9460501.73407049,-2634375.34206898,-312.350000000001,-10,-1950.8095,-32.57,-0.00289052185724848,-0.92</t>
  </si>
  <si>
    <t>2025-05-08 01:57:00,27444526.2527753,90666.6118408114,0,0,0,0,0,0</t>
  </si>
  <si>
    <t>2025-05-08 01:58:00,575,,565,,550,,558.5,,,,,570,550,557,562</t>
  </si>
  <si>
    <t>2025-05-08 01:58:00,490,,490,,470,,480,,,,,490,470,482,475</t>
  </si>
  <si>
    <t>2025-05-08 01:58:00,5800,,,5630,,5700,5680,,,,,5710,5570,5630,5620</t>
  </si>
  <si>
    <t>2025-05-08 01:58:00,19475,,,,19475,,19775,,,,,20200,19200,19400,19300</t>
  </si>
  <si>
    <t>2025-05-08 01:58:00,1920714749.56722,12290574432.3016,0,0,0,0,0,0</t>
  </si>
  <si>
    <t>2025-05-08 01:58:00,2039985961.1983,3452206871.23757,0,0,0,0,0,0</t>
  </si>
  <si>
    <t>2025-05-08 01:58:00,-9349892.98933046,-2629457.18982946,-318.333333333333,-8,-4928.03333333332,-101.9,0.0402218237106296,-1.91</t>
  </si>
  <si>
    <t>2025-05-08 01:58:00,27443371.6536377,90576.3502578241,0,0,0,0,0,0</t>
  </si>
  <si>
    <t>2025-05-08 01:59:00,575,,565,,550,,558.5,,,,,570,550,557,562</t>
  </si>
  <si>
    <t>2025-05-08 01:59:00,490,,485,,470,,480,,,,,490,470,482,475</t>
  </si>
  <si>
    <t>2025-05-08 01:59:00,5800,,,5630,,5700,5680,,,,,5710,5570,5630,5620</t>
  </si>
  <si>
    <t>2025-05-08 01:59:00,19475,,,,19475,,19775,,,,,20200,19200,19400,19300</t>
  </si>
  <si>
    <t>2025-05-08 01:59:00,1784990057.35989,11467732459.8957,0,0,0,0,0,0</t>
  </si>
  <si>
    <t>2025-05-08 01:59:00,2002305097.44852,3337822001.48599,0,0,0,0,0,0</t>
  </si>
  <si>
    <t>2025-05-08 01:59:00,-8711289.86563015,-2632531.51059734,-2433.8,-73,-41525.5260000001,-657.17,0.27874978602793,-12.31</t>
  </si>
  <si>
    <t>2025-05-08 01:59:00,27449294.9521517,90599.4728852498,0,0,0,0,0,0</t>
  </si>
  <si>
    <t>2025-05-08 02:00:00,575,,570,,550,,577.5,,,,,570,550,557,562</t>
  </si>
  <si>
    <t>2025-05-08 02:00:00,490,,490,,470,,495,,,,,490,475,482,475</t>
  </si>
  <si>
    <t>2025-05-08 02:00:00,5800,,,5630,,5700,5680,,,,,5710,5570,5630,5620</t>
  </si>
  <si>
    <t>2025-05-08 02:00:00,19475,,20100,,19475,,20300,,,,,20200,19600,19400,19300</t>
  </si>
  <si>
    <t>2025-05-08 02:00:00,1710264934.76463,8927479760.89843,-32303.1210851651,-18452,-41244.5846620888,131572.21,13074.4176311187,68597.55</t>
  </si>
  <si>
    <t>2025-05-08 02:00:00,1984037595.8155,3040774780.20604,86028.7904305428,24000,216660.758064411,129372.82,584.076068078228,27854.95</t>
  </si>
  <si>
    <t>2025-05-08 02:00:00,-8400306.33054566,-2634315.88055582,-1184.6,-29,-26901.722,-577.52,0.212898644555089,-11.22</t>
  </si>
  <si>
    <t>2025-05-08 02:00:00,27448097.1719821,123510.770030203,3322.51444960777,761,44173.3882604187,4770.24,-0.221435868376437,14.02</t>
  </si>
  <si>
    <t>2025-05-08 02:01:00,575,,,,550,,,,,,,,,557,562</t>
  </si>
  <si>
    <t>2025-05-08 02:01:00,490,,,,470,,,,488,,,,,482,475</t>
  </si>
  <si>
    <t>2025-05-08 02:01:00,5800,,,5630,,5700,5680,,,,,5710,5570,5630,5620</t>
  </si>
  <si>
    <t>2025-05-08 02:01:00,19475,,,,19475,,,,,,,,,19400,19300</t>
  </si>
  <si>
    <t>2025-05-08 02:01:00,1656334512.10218,0,-155600.099000899,-71843,-228982.149835124,-291991.98,4116.19234726002,-106255.02</t>
  </si>
  <si>
    <t>2025-05-08 02:01:00,1928496804.20055,0,124143.797807372,198342,72823.1751443454,448803.32,6420.79496122431,133208.26</t>
  </si>
  <si>
    <t>2025-05-08 02:01:00,-8116772.16485308,-2816807.71806678,-4803.03939393943,-102,-121053.865515153,-1589.96,-0.0265577168070885,-31.52</t>
  </si>
  <si>
    <t>2025-05-08 02:01:00,27449510.7506571,0,2490.06541927182,1043,199892.447285573,56406.06,0.196957277307299,286.33</t>
  </si>
  <si>
    <t>2025-05-08 02:02:00,575,,,,550,,,,,,,,,557,562</t>
  </si>
  <si>
    <t>2025-05-08 02:02:00,490,,,,470,,,,,,,,,482,475</t>
  </si>
  <si>
    <t>2025-05-08 02:02:00,5800,,,5630,,5700,5680,,,,,5710,5570,5630,5620</t>
  </si>
  <si>
    <t>2025-05-08 02:02:00,19475,,,,19475,,,,,,,,,19400,19300</t>
  </si>
  <si>
    <t>2025-05-08 02:02:00,1808599180.58102,0,0,0,0,0,0,0</t>
  </si>
  <si>
    <t>2025-05-08 02:02:00,2034707816.17002,0,0,0,0,0,0,0</t>
  </si>
  <si>
    <t>2025-05-08 02:02:00,-9027360.41448393,-2698174.91589486,-3526.99999999996,-70,-57296.601666666,-958.48,-0.0808288502442559,-23.71</t>
  </si>
  <si>
    <t>2025-05-08 02:02:00,27448570.4135181,0,0,0,0,0,0,0</t>
  </si>
  <si>
    <t>2025-05-08 02:03:00,575,,,,550,,,,,,,,,557,562</t>
  </si>
  <si>
    <t>2025-05-08 02:03:00,490,,,,470,,,,,,,,,482,475</t>
  </si>
  <si>
    <t>2025-05-08 02:03:00,5800,,,5630,,5700,5680,,,,,5710,5570,5630,5620</t>
  </si>
  <si>
    <t>2025-05-08 02:03:00,19475,,,,19475,,,,,,,,,19400,19300</t>
  </si>
  <si>
    <t>2025-05-08 02:03:00,1882250855.40518,0,0,0,0,0,0,0</t>
  </si>
  <si>
    <t>2025-05-08 02:03:00,2026728386.59828,0,0,0,0,0,0,0</t>
  </si>
  <si>
    <t>2025-05-08 02:03:00,-9680716.57740228,-2785788.11337727,-952.03333333333,-39,-10078.2773333333,-177.16,0.0315418989268464,-3.94</t>
  </si>
  <si>
    <t>2025-05-08 02:03:00,27449704.9460885,0,0,0,0,0,0,0</t>
  </si>
  <si>
    <t>2025-05-08 02:04:00,575,,,,550,,,,,,,,,557,562</t>
  </si>
  <si>
    <t>2025-05-08 02:04:00,490,,,,470,,,,,,,,,482,475</t>
  </si>
  <si>
    <t>2025-05-08 02:04:00,5800,,,5630,,5700,5680,,,,,5710,5570,5630,5620</t>
  </si>
  <si>
    <t>2025-05-08 02:04:00,19475,,,,19475,,,,,,,,,19400,19300</t>
  </si>
  <si>
    <t>2025-05-08 02:04:00,1818839861.35134,0,0,0,0,0,0,0</t>
  </si>
  <si>
    <t>2025-05-08 02:04:00,2039975375.81172,0,0,0,0,0,0,0</t>
  </si>
  <si>
    <t>2025-05-08 02:04:00,-9520329.70679125,-2770177.09802942,-760.983333333334,-18,-6027.27216666667,-116.17,0.0410220140122406,-2.11</t>
  </si>
  <si>
    <t>2025-05-08 02:04:00,27455607.5561168,0,0,0,0,0,0,0</t>
  </si>
  <si>
    <t>2025-05-08 02:05:00,575,,,,550,,,,,,,,,557,562</t>
  </si>
  <si>
    <t>2025-05-08 02:05:00,490,,,,470,,,,,,,,,482,475</t>
  </si>
  <si>
    <t>2025-05-08 02:05:00,5800,,,5630,,5700,5680,,,,,5710,5570,5630,5620</t>
  </si>
  <si>
    <t>2025-05-08 02:05:00,19475,,,,19475,,,,,,,,,19400,19300</t>
  </si>
  <si>
    <t>2025-05-08 02:05:00,1963840342.80601,0,0,0,0,0,0,0</t>
  </si>
  <si>
    <t>2025-05-08 02:05:00,1809210251.13081,0,0,0,0,0,0,0</t>
  </si>
  <si>
    <t>2025-05-08 02:05:00,-10431770.6175405,-2914548.38510887,-1079.08333333333,-31,-17970.517,-289.17,0.0148056689602413,-7.74</t>
  </si>
  <si>
    <t>2025-05-08 02:05:00,27454977.8561818,0,0,0,0,0,0,0</t>
  </si>
  <si>
    <t>2025-05-08 02:06:00,570,,,,550,,,,,,,,,557,562</t>
  </si>
  <si>
    <t>2025-05-08 02:06:00,490,,,,470,,,,,,,,,482,475</t>
  </si>
  <si>
    <t>2025-05-08 02:06:00,5800,,,5630,,5700,5680,,,,,5710,5570,5630,5620</t>
  </si>
  <si>
    <t>2025-05-08 02:06:00,19475,,,,19475,,,,,,,,,19400,19300</t>
  </si>
  <si>
    <t>2025-05-08 02:06:00,1907048171.12404,0,0,0,0,0,0,0</t>
  </si>
  <si>
    <t>2025-05-08 02:06:00,1948277412.40315,0,0,0,0,0,0,0</t>
  </si>
  <si>
    <t>2025-05-08 02:06:00,-10568455.3918072,-2970693.55510886,-1339.96666666667,-30,-26559.9723333334,-388.79,0.151710645480658,-7.64</t>
  </si>
  <si>
    <t>2025-05-08 02:06:00,27455435.3001737,0,0,0,0,0,0,0</t>
  </si>
  <si>
    <t>2025-05-08 02:07:00,570,,,,550,,,,,,,,,557,562</t>
  </si>
  <si>
    <t>2025-05-08 02:07:00,490,,,,470,,,,,,,,,482,475</t>
  </si>
  <si>
    <t>2025-05-08 02:07:00,5800,,,5630,,5700,5680,,,,,5710,5570,5630,5620</t>
  </si>
  <si>
    <t>2025-05-08 02:07:00,19475,,,,19475,,,,,,,,,19400,19300</t>
  </si>
  <si>
    <t>2025-05-08 02:07:00,1912725138.0908,0,0,0,0,0,0,0</t>
  </si>
  <si>
    <t>2025-05-08 02:07:00,1966729285.26354,0,0,0,0,0,0,0</t>
  </si>
  <si>
    <t>2025-05-08 02:07:00,-10674373.4171736,-3021690.9481697,-1964.5,-45,-15967.3916666667,-304.95,0.0868895057534008,-6.37</t>
  </si>
  <si>
    <t>2025-05-08 02:07:00,27456509.5013779,0,0,0,0,0,0,0</t>
  </si>
  <si>
    <t>2025-05-08 02:08:00,565,,,,550,,,,,,,,,557,562</t>
  </si>
  <si>
    <t>2025-05-08 02:08:00,490,,,,470,,,,,,,,,482,475</t>
  </si>
  <si>
    <t>2025-05-08 02:08:00,5800,,,5630,,5700,5680,,,,,5710,5570,5630,5620</t>
  </si>
  <si>
    <t>2025-05-08 02:08:00,19475,,,,19475,,,,,,,,,19400,19300</t>
  </si>
  <si>
    <t>2025-05-08 02:08:00,2159295900.31877,0,0,0,0,0,0,0</t>
  </si>
  <si>
    <t>2025-05-08 02:08:00,2121238837.12966,0,0,0,0,0,0,0</t>
  </si>
  <si>
    <t>2025-05-08 02:08:00,-11449472.1277975,-3172777.86001454,-1709.96666666667,-31,-32995.9366666668,-363.88,0.0883121885640106,-6.88</t>
  </si>
  <si>
    <t>2025-05-08 02:08:00,27457738.2620193,0,0,0,0,0,0,0</t>
  </si>
  <si>
    <t>2025-05-08 02:09:00,570,,,,550,,,,,,,,,557,562</t>
  </si>
  <si>
    <t>2025-05-08 02:09:00,490,,,,470,,,,,,,,,482,475</t>
  </si>
  <si>
    <t>2025-05-08 02:09:00,5800,,,5630,,5700,5680,,,,,5710,5570,5630,5620</t>
  </si>
  <si>
    <t>2025-05-08 02:09:00,19475,,,,19475,,,,,,,,,19400,19300</t>
  </si>
  <si>
    <t>2025-05-08 02:09:00,2082343319.70653,0,0,0,0,0,0,0</t>
  </si>
  <si>
    <t>2025-05-08 02:09:00,2091447297.44584,0,0,0,0,0,0,0</t>
  </si>
  <si>
    <t>2025-05-08 02:09:00,-11117533.7403278,-3131429.76373488,-1544.55,-34,-24676.1198333333,-353.67,0.0752411382593603,-6.64</t>
  </si>
  <si>
    <t>2025-05-08 02:09:00,27463704.9433198,0,0,0,0,0,0,0</t>
  </si>
  <si>
    <t>2025-05-08 02:10:00,570,,,,550,,,,,,,,,557,562</t>
  </si>
  <si>
    <t>2025-05-08 02:10:00,490,,,,470,,,,,,,,,482,475</t>
  </si>
  <si>
    <t>2025-05-08 02:10:00,5800,,,5630,,5700,5680,,,,,5710,5570,5630,5620</t>
  </si>
  <si>
    <t>2025-05-08 02:10:00,19475,,,,19475,,,,,,,,,19400,19300</t>
  </si>
  <si>
    <t>2025-05-08 02:10:00,2019043455.50275,0,0,0,0,0,0,0</t>
  </si>
  <si>
    <t>2025-05-08 02:10:00,1977423327.34382,0,0,0,0,0,0,0</t>
  </si>
  <si>
    <t>2025-05-08 02:10:00,-10841913.7684888,-3112974.4856819,-1439.06666666667,-31,-24056.5830000001,-396.29,0.11465055954455,-7.12</t>
  </si>
  <si>
    <t>2025-05-08 02:10:00,27465046.5003549,0,0,0,0,0,0,0</t>
  </si>
  <si>
    <t>2025-05-08 02:11:00,565,,,,550,,,,,,,,,557,562</t>
  </si>
  <si>
    <t>2025-05-08 02:11:00,490,,,,470,,,,,,,,,482,475</t>
  </si>
  <si>
    <t>2025-05-08 02:11:00,5800,,,5630,,5700,5680,,,,,5710,5570,5630,5620</t>
  </si>
  <si>
    <t>2025-05-08 02:11:00,19475,,,,19475,,,,,,,,,19400,19300</t>
  </si>
  <si>
    <t>2025-05-08 02:11:00,2221598045.08309,0,0,0,0,0,0,0</t>
  </si>
  <si>
    <t>2025-05-08 02:11:00,2118924371.65402,0,0,0,0,0,0,0</t>
  </si>
  <si>
    <t>2025-05-08 02:11:00,-11656580.4178748,-3241348.83424423,-522,-25,-3936.67500000001,-83.65,-0.0505388094444793,-4.16</t>
  </si>
  <si>
    <t>2025-05-08 02:11:00,27465598.9334268,0,0,0,0,0,0,0</t>
  </si>
  <si>
    <t>2025-05-08 02:12:00,565,,,,550,,,,,,,,,557,562</t>
  </si>
  <si>
    <t>2025-05-08 02:12:00,490,,,,470,,,,,,,,,482,475</t>
  </si>
  <si>
    <t>2025-05-08 02:12:00,5800,,,5630,,5700,5680,,,,,5710,5570,5630,5620</t>
  </si>
  <si>
    <t>2025-05-08 02:12:00,19475,,,,19475,,,,,,,,,19400,19300</t>
  </si>
  <si>
    <t>2025-05-08 02:12:00,2128988955.68852,0,0,0,0,0,0,0</t>
  </si>
  <si>
    <t>2025-05-08 02:12:00,2086399476.92861,0,0,0,0,0,0,0</t>
  </si>
  <si>
    <t>2025-05-08 02:12:00,-11245162.6562301,-3173049.0872551,-1208.66666666667,-19,-32920.1190000001,-410.28,0.0220983162953199,-9.06</t>
  </si>
  <si>
    <t>2025-05-08 02:12:00,27465726.1562572,0,0,0,0,0,0,0</t>
  </si>
  <si>
    <t>2025-05-08 02:13:00,565,,,,550,,,,,,,,,557,562</t>
  </si>
  <si>
    <t>2025-05-08 02:13:00,490,,,,470,,,,,,,,,482,475</t>
  </si>
  <si>
    <t>2025-05-08 02:13:00,5800,,,5630,,5700,5680,,,,,5710,5570,5630,5620</t>
  </si>
  <si>
    <t>2025-05-08 02:13:00,19475,,,,19475,,,,,,,,,19400,19300</t>
  </si>
  <si>
    <t>2025-05-08 02:13:00,2146931069.94164,0,0,0,0,0,0,0</t>
  </si>
  <si>
    <t>2025-05-08 02:13:00,2104200939.32268,0,0,0,0,0,0,0</t>
  </si>
  <si>
    <t>2025-05-08 02:13:00,-11335802.8804982,-3191282.9571537,-859.399999999999,-21,-20303.041,-248.41,0.0314652299126351,-5.38</t>
  </si>
  <si>
    <t>2025-05-08 02:13:00,27464772.1429606,0,0,0,0,0,0,0</t>
  </si>
  <si>
    <t>2025-05-08 02:14:00,565,,,,550,,,,,,,,,557,562</t>
  </si>
  <si>
    <t>2025-05-08 02:14:00,490,,,,470,,,,,,,,,482,475</t>
  </si>
  <si>
    <t>2025-05-08 02:14:00,5800,,,5630,,5700,5680,,,,,5710,5570,5630,5620</t>
  </si>
  <si>
    <t>2025-05-08 02:14:00,19475,,,,19475,,,,,,,,,19400,19300</t>
  </si>
  <si>
    <t>2025-05-08 02:14:00,2215325099.74494,0,0,0,0,0,0,0</t>
  </si>
  <si>
    <t>2025-05-08 02:14:00,2113920508.73694,0,0,0,0,0,0,0</t>
  </si>
  <si>
    <t>2025-05-08 02:14:00,-11374665.9292531,-3204394.67287669,-248.033333333333,-10,-2122.094,-52.42,0.0132135905660505,-1.04</t>
  </si>
  <si>
    <t>2025-05-08 02:14:00,27470770.4096157,0,0,0,0,0,0,0</t>
  </si>
  <si>
    <t>2025-05-08 02:15:00,565,,,,550,,,,,,,,,557,562</t>
  </si>
  <si>
    <t>2025-05-08 02:15:00,490,,,,470,,,,,,,,,482,475</t>
  </si>
  <si>
    <t>2025-05-08 02:15:00,5800,,,5630,,5700,5680,,,,,5710,5570,5630,5620</t>
  </si>
  <si>
    <t>2025-05-08 02:15:00,19475,,,,19475,,,,,,,,,19400,19300</t>
  </si>
  <si>
    <t>2025-05-08 02:15:00,2122933503.57623,0,0,0,0,0,0,0</t>
  </si>
  <si>
    <t>2025-05-08 02:15:00,1983422893.47732,0,0,0,0,0,0,0</t>
  </si>
  <si>
    <t>2025-05-08 02:15:00,-10776428.5108685,-3111593.15181955,-406.833333333334,-14,-6714.93933333338,-103.26,0.0094795684191815,-2.35</t>
  </si>
  <si>
    <t>2025-05-08 02:15:00,27471664.8920339,0,0,0,0,0,0,0</t>
  </si>
  <si>
    <t>2025-05-08 02:16:00,565,,,,550,,,,,,,,,557,562</t>
  </si>
  <si>
    <t>2025-05-08 02:16:00,490,,,,470,,,,,,,,,482,475</t>
  </si>
  <si>
    <t>2025-05-08 02:16:00,5800,,,5630,,5700,5680,,,,,5710,5570,5630,5620</t>
  </si>
  <si>
    <t>2025-05-08 02:16:00,19475,,,,19475,,,,,,,,,19400,19300</t>
  </si>
  <si>
    <t>2025-05-08 02:16:00,2122860907.08066,0,0,0,0,0,0,0</t>
  </si>
  <si>
    <t>2025-05-08 02:16:00,2111397517.22128,0,0,0,0,0,0,0</t>
  </si>
  <si>
    <t>2025-05-08 02:16:00,-11134110.2746798,-3269662.46507949,-1563.3,-32,-10783.312,-205.25,0.0955487160167319,-2.59</t>
  </si>
  <si>
    <t>2025-05-08 02:16:00,27472941.5744966,0,0,0,0,0,0,0</t>
  </si>
  <si>
    <t>2025-05-08 02:17:00,565,,,,550,,,,,,,,,557,562</t>
  </si>
  <si>
    <t>2025-05-08 02:17:00,490,,,,470,,,,,,,,,482,475</t>
  </si>
  <si>
    <t>2025-05-08 02:17:00,5800,,,5630,,5700,5680,,,,,5710,5570,5630,5620</t>
  </si>
  <si>
    <t>2025-05-08 02:17:00,19475,,,,19475,,,,,,,,,19400,19300</t>
  </si>
  <si>
    <t>2025-05-08 02:17:00,2176459717.61967,0,0,0,0,0,0,0</t>
  </si>
  <si>
    <t>2025-05-08 02:17:00,2125979810.82653,0,0,0,0,0,0,0</t>
  </si>
  <si>
    <t>2025-05-08 02:17:00,-11497667.68406,-3346384.98688186,-1105.56666666667,-23,-10184.5313333334,-185.52,0.0782891808576011,-3</t>
  </si>
  <si>
    <t>2025-05-08 02:17:00,27475064.3948043,0,0,0,0,0,0,0</t>
  </si>
  <si>
    <t>2025-05-08 02:18:00,565,,,,550,,,,,,,,,557,562</t>
  </si>
  <si>
    <t>2025-05-08 02:18:00,490,,,,470,,,,,,,,,482,475</t>
  </si>
  <si>
    <t>2025-05-08 02:18:00,5800,,,5630,,5700,5680,,,,,5710,5570,5630,5620</t>
  </si>
  <si>
    <t>2025-05-08 02:18:00,19475,,,,19475,,,,,,,,,19400,19300</t>
  </si>
  <si>
    <t>2025-05-08 02:18:00,2140300475.67788,0,0,0,0,0,0,0</t>
  </si>
  <si>
    <t>2025-05-08 02:18:00,2123351982.23028,0,0,0,0,0,0,0</t>
  </si>
  <si>
    <t>2025-05-08 02:18:00,-11446170.739637,-3344476.47409966,-135,-9,-2069.30000000001,-32.2,0.0148110620227705,-0.63</t>
  </si>
  <si>
    <t>2025-05-08 02:18:00,27474556.6234328,0,0,0,0,0,0,0</t>
  </si>
  <si>
    <t>2025-05-08 02:19:00,565,,,,550,,,,,,,,,557,562</t>
  </si>
  <si>
    <t>2025-05-08 02:19:00,490,,,,470,,,,,,,,,482,475</t>
  </si>
  <si>
    <t>2025-05-08 02:19:00,5800,,,5630,,5700,5680,,,,,5710,5570,5630,5620</t>
  </si>
  <si>
    <t>2025-05-08 02:19:00,19475,,,,19475,,,,,,,,,19400,19300</t>
  </si>
  <si>
    <t>2025-05-08 02:19:00,2158264617.63969,0,0,0,0,0,0,0</t>
  </si>
  <si>
    <t>2025-05-08 02:19:00,2128545072.36533,0,0,0,0,0,0,0</t>
  </si>
  <si>
    <t>2025-05-08 02:19:00,-11570224.8118118,-3373946.7318625,-1827.53333333333,-40,-102422.323333333,-778.58,0.0457608564710695,-12.16</t>
  </si>
  <si>
    <t>2025-05-08 02:19:00,27472992.2127686,0,0,0,0,0,0,0</t>
  </si>
  <si>
    <t>2025-05-08 02:20:00,565,,,,550,,,,,,,,,557,562</t>
  </si>
  <si>
    <t>2025-05-08 02:20:00,490,,,,470,,,,,,,,,482,475</t>
  </si>
  <si>
    <t>2025-05-08 02:20:00,,5630,,5630,,5700,5680,,,,,5710,5570,5630,5620</t>
  </si>
  <si>
    <t>2025-05-08 02:20:00,19475,,,,19475,,,,,,,,,19400,19300</t>
  </si>
  <si>
    <t>2025-05-08 02:20:00,2298001098.42413,0,0,0,0,0,0,0</t>
  </si>
  <si>
    <t>2025-05-08 02:20:00,2157566345.97756,0,0,0,0,0,0,0</t>
  </si>
  <si>
    <t>2025-05-08 02:20:00,-12399237.7075013,-3596727.3479356,-3407.86666666665,-57,-79392.4539999996,-904.43,0.387476889862229,-19.53</t>
  </si>
  <si>
    <t>2025-05-08 02:20:00,27478994.5891247,0,0,0,0,0,0,0</t>
  </si>
  <si>
    <t>2025-05-08 02:21:00,565,,,,550,,,,,,,,,557,562</t>
  </si>
  <si>
    <t>2025-05-08 02:21:00,490,,,,470,,,,,,,,,482,475</t>
  </si>
  <si>
    <t>2025-05-08 02:21:00,,5630,,5630,,5700,5680,,,,,5710,5570,5630,5620</t>
  </si>
  <si>
    <t>2025-05-08 02:21:00,19475,,,,19475,,,,,,,,,19400,19300</t>
  </si>
  <si>
    <t>2025-05-08 02:21:00,2244271703.45203,0,0,0,0,0,0,0</t>
  </si>
  <si>
    <t>2025-05-08 02:21:00,2141259133.06852,0,0,0,0,0,0,0</t>
  </si>
  <si>
    <t>2025-05-08 02:21:00,-11957930.0908052,-3562314.79177368,-2875.66666666666,-81,-20549.8633333333,-450.97,0.208891736170745,-6.49</t>
  </si>
  <si>
    <t>2025-05-08 02:21:00,27480741.0967127,0,0,0,0,0,0,0</t>
  </si>
  <si>
    <t>2025-05-08 02:22:00,565,,,,550,,,,,,,,,557,562</t>
  </si>
  <si>
    <t>2025-05-08 02:22:00,490,,,,470,,,,,,,,,482,475</t>
  </si>
  <si>
    <t>2025-05-08 02:22:00,5800,,,5630,,5700,5680,,,,,5710,5570,5630,5620</t>
  </si>
  <si>
    <t>2025-05-08 02:22:00,19475,,,,19475,,,,,,,,,19400,19300</t>
  </si>
  <si>
    <t>2025-05-08 02:22:00,2244182806.92749,0,0,0,0,0,0,0</t>
  </si>
  <si>
    <t>2025-05-08 02:22:00,2134578821.46079,0,0,0,0,0,0,0</t>
  </si>
  <si>
    <t>2025-05-08 02:22:00,-11698454.114106,-3528376.34651447,-210.849999999999,-5,-7605.19949999991,-87.67,0.00970965122475283,-1.48</t>
  </si>
  <si>
    <t>2025-05-08 02:22:00,27481350.383346,0,0,0,0,0,0,0</t>
  </si>
  <si>
    <t>2025-05-08 02:23:00,565,,,,550,,,,,,,,,557,562</t>
  </si>
  <si>
    <t>2025-05-08 02:23:00,490,,,,470,,,,,,,,,482,475</t>
  </si>
  <si>
    <t>2025-05-08 02:23:00,,5630,,5630,,5700,5680,,,,,5710,5570,5630,5620</t>
  </si>
  <si>
    <t>2025-05-08 02:23:00,19475,,,,19475,,,,,,,,,19400,19300</t>
  </si>
  <si>
    <t>2025-05-08 02:23:00,2318150880.66012,0,0,0,0,0,0,0</t>
  </si>
  <si>
    <t>2025-05-08 02:23:00,2120155858.39142,0,0,0,0,0,0,0</t>
  </si>
  <si>
    <t>2025-05-08 02:23:00,-12489339.4229986,-3664424.78212021,-512.650000000001,-10,-9843.26150000003,-97.91,0.0250221367014829,-2.28</t>
  </si>
  <si>
    <t>2025-05-08 02:23:00,27482729.7246197,0,0,0,0,0,0,0</t>
  </si>
  <si>
    <t>2025-05-08 02:24:00,565,,,,550,,,,,,,,,557,562</t>
  </si>
  <si>
    <t>2025-05-08 02:24:00,490,,,,470,,,,,,,,,482,475</t>
  </si>
  <si>
    <t>2025-05-08 02:24:00,,5630,,5630,,5700,5680,,,,,5710,5570,5630,5620</t>
  </si>
  <si>
    <t>2025-05-08 02:24:00,19475,,,,19475,,,,,,,,,19400,19300</t>
  </si>
  <si>
    <t>2025-05-08 02:24:00,2325222125.02194,0,0,0,0,0,0,0</t>
  </si>
  <si>
    <t>2025-05-08 02:24:00,2157601769.64712,0,0,0,0,0,0,0</t>
  </si>
  <si>
    <t>2025-05-08 02:24:00,-12492663.6071985,-3682391.02075654,-735.583333333333,-14,-26003.5488333334,-192.96,0.0330219343106487,-3.48</t>
  </si>
  <si>
    <t>2025-05-08 02:24:00,27483843.3455777,0,0,0,0,0,0,0</t>
  </si>
  <si>
    <t>2025-05-08 02:25:00,565,,,,550,,,,,,,,,557,562</t>
  </si>
  <si>
    <t>2025-05-08 02:25:00,490,,,,470,,,,,,,,,482,475</t>
  </si>
  <si>
    <t>2025-05-08 02:25:00,,5630,,5630,,5700,5680,,,,,5710,5570,5630,5620</t>
  </si>
  <si>
    <t>2025-05-08 02:25:00,19475,,,,19475,,,,,,,,,19400,19300</t>
  </si>
  <si>
    <t>2025-05-08 02:25:00,2262335369.48872,0,0,0,0,0,0,0</t>
  </si>
  <si>
    <t>2025-05-08 02:25:00,2138737296.17666,0,0,0,0,0,0,0</t>
  </si>
  <si>
    <t>2025-05-08 02:25:00,-12102165.5785936,-3610988.80393642,-1190.28333333333,-19,-62589.8973333328,-594.14,0.0239596630274973,-9.06</t>
  </si>
  <si>
    <t>2025-05-08 02:25:00,27489864.4209501,0,0,0,0,0,0,0</t>
  </si>
  <si>
    <t>2025-05-08 02:26:00,565,,,,550,,,,,,,,,557,562</t>
  </si>
  <si>
    <t>2025-05-08 02:26:00,490,,,,470,,,,,,,,,482,475</t>
  </si>
  <si>
    <t>2025-05-08 02:26:00,,5630,,5630,,5700,5680,,,,,5710,5570,5630,5620</t>
  </si>
  <si>
    <t>2025-05-08 02:26:00,19475,,,,19475,,,,,,,,,19400,19300</t>
  </si>
  <si>
    <t>2025-05-08 02:26:00,2302660727.54289,0,0,0,0,0,0,0</t>
  </si>
  <si>
    <t>2025-05-08 02:26:00,2141727053.49052,0,0,0,0,0,0,0</t>
  </si>
  <si>
    <t>2025-05-08 02:26:00,-12297428.7700936,-3673560.20760912,-999.683333333332,-19,-21751.7678333333,-327.27,0.124244472032963,-5.19</t>
  </si>
  <si>
    <t>2025-05-08 02:26:00,27490715.5270458,0,0,0,0,0,0,0</t>
  </si>
  <si>
    <t>2025-05-08 02:27:00,565,,,,550,,,,,,,,,557,562</t>
  </si>
  <si>
    <t>2025-05-08 02:27:00,490,,,,470,,,,,,,,,482,475</t>
  </si>
  <si>
    <t>2025-05-08 02:27:00,,5630,,5630,,5700,5680,,,,,5710,5570,5630,5620</t>
  </si>
  <si>
    <t>2025-05-08 02:27:00,19475,,,,19475,,,,,,,,,19400,19300</t>
  </si>
  <si>
    <t>2025-05-08 02:27:00,2329078697.67766,0,0,0,0,0,0,0</t>
  </si>
  <si>
    <t>2025-05-08 02:27:00,2155843895.65323,0,0,0,0,0,0,0</t>
  </si>
  <si>
    <t>2025-05-08 02:27:00,-12529721.1897981,-3750346.71092712,-2874.62500000001,-33,-27904.931,-327.75,0.104042360348376,-4.25</t>
  </si>
  <si>
    <t>2025-05-08 02:27:00,27492058.0052794,0,0,0,0,0,0,0</t>
  </si>
  <si>
    <t>2025-05-08 02:28:00,565,,,,550,,,,,,,,,557,562</t>
  </si>
  <si>
    <t>2025-05-08 02:28:00,490,,,,470,,,,,,,,,482,475</t>
  </si>
  <si>
    <t>2025-05-08 02:28:00,,5630,,5630,,5700,5680,,,,,5710,5570,5630,5620</t>
  </si>
  <si>
    <t>2025-05-08 02:28:00,19475,,,,19475,,,,,,,,,19400,19300</t>
  </si>
  <si>
    <t>2025-05-08 02:28:00,2384955306.16953,0,0,0,0,0,0,0</t>
  </si>
  <si>
    <t>2025-05-08 02:28:00,2120498381.74724,0,0,0,0,0,0,0</t>
  </si>
  <si>
    <t>2025-05-08 02:28:00,-12950570.1326789,-3922618.13193612,-5316.63162393162,-133,-66193.2919230769,-985.86,0.29741495458027,-16.2</t>
  </si>
  <si>
    <t>2025-05-08 02:28:00,27490534.2190686,0,0,0,0,0,0,0</t>
  </si>
  <si>
    <t>2025-05-08 02:29:00,565,,,,550,,,,,,,,,557,562</t>
  </si>
  <si>
    <t>2025-05-08 02:29:00,490,,,,470,,,,,,,,,482,475</t>
  </si>
  <si>
    <t>2025-05-08 02:29:00,,5630,,5630,,5700,5680,,,,,5710,5570,5630,5620</t>
  </si>
  <si>
    <t>2025-05-08 02:29:00,19475,,,,19475,,,,,,,,,19400,19300</t>
  </si>
  <si>
    <t>2025-05-08 02:29:00,2296998966.34266,0,0,0,0,0,0,0</t>
  </si>
  <si>
    <t>2025-05-08 02:29:00,2138838766.1762,0,0,0,0,0,0,0</t>
  </si>
  <si>
    <t>2025-05-08 02:29:00,-12323310.8551368,-3793004.96263784,-640.766666666667,-22,-11152.6103333334,-143.26,0.023794863584969,-3.38</t>
  </si>
  <si>
    <t>2025-05-08 02:29:00,27490123.750829,0,0,0,0,0,0,0</t>
  </si>
  <si>
    <t>2025-05-08 02:30:00,565,,,,550,,,,,,,,,557,562</t>
  </si>
  <si>
    <t>2025-05-08 02:30:00,490,,,,470,,,,,,,,,482,475</t>
  </si>
  <si>
    <t>2025-05-08 02:30:00,,5630,,5630,,5700,5680,,,,,5710,5570,5630,5620</t>
  </si>
  <si>
    <t>2025-05-08 02:30:00,19475,,,,19475,,,,,,,,,19400,19300</t>
  </si>
  <si>
    <t>2025-05-08 02:30:00,2302908753.31278,0,0,0,0,0,0,0</t>
  </si>
  <si>
    <t>2025-05-08 02:30:00,2140224136.56451,0,0,0,0,0,0,0</t>
  </si>
  <si>
    <t>2025-05-08 02:30:00,-12549744.6252678,-3871056.68325685,-2410.43333333334,-56,-82514.187,-889.82,0.158100434999933,-16.18</t>
  </si>
  <si>
    <t>2025-05-08 02:30:00,27490264.2151171,0,0,0,0,0,0,0</t>
  </si>
  <si>
    <t>2025-05-08 02:31:00,565,,,,550,,,,,,,,,557,562</t>
  </si>
  <si>
    <t>2025-05-08 02:31:00,490,,,,470,,,,,,,,,482,475</t>
  </si>
  <si>
    <t>2025-05-08 02:31:00,,5630,,5630,,5700,5680,,,,,5710,5570,5630,5620</t>
  </si>
  <si>
    <t>2025-05-08 02:31:00,19475,,,,19475,,,,,,,,,19400,19300</t>
  </si>
  <si>
    <t>2025-05-08 02:31:00,2249537551.56014,0,0,0,0,0,0,0</t>
  </si>
  <si>
    <t>2025-05-08 02:31:00,2123716214.38758,0,0,0,0,0,0,0</t>
  </si>
  <si>
    <t>2025-05-08 02:31:00,-12111049.7065156,-3774197.0873321,-237.3,-13,-1589.216,-35.62,-0.0118710134216683,-1.27</t>
  </si>
  <si>
    <t>2025-05-08 02:31:00,27496309.5342922,0,0,0,0,0,0,0</t>
  </si>
  <si>
    <t>2025-05-08 02:32:00,565,,,,550,,,,,,,,,557,562</t>
  </si>
  <si>
    <t>2025-05-08 02:32:00,490,,,,470,,,,,,,,,482,475</t>
  </si>
  <si>
    <t>2025-05-08 02:32:00,5800,,,5630,,5700,5680,,,,,5710,5570,5630,5620</t>
  </si>
  <si>
    <t>2025-05-08 02:32:00,19475,,,,19475,,,,,,,,,19400,19300</t>
  </si>
  <si>
    <t>2025-05-08 02:32:00,2184112964.40817,0,0,0,0,0,0,0</t>
  </si>
  <si>
    <t>2025-05-08 02:32:00,2094743824.86771,0,0,0,0,0,0,0</t>
  </si>
  <si>
    <t>2025-05-08 02:32:00,-11537573.2170586,-3713521.88643277,-821.055555555555,-22,-15803.4446666666,-201.23,0.033840000919598,-3.66</t>
  </si>
  <si>
    <t>2025-05-08 02:32:00,27499228.0798832,0,0,0,0,0,0,0</t>
  </si>
  <si>
    <t>2025-05-08 02:33:00,565,,,,550,,,,,,,,,557,562</t>
  </si>
  <si>
    <t>2025-05-08 02:33:00,490,,,,470,,,,,,,,,482,475</t>
  </si>
  <si>
    <t>2025-05-08 02:33:00,5800,,,5630,,5700,5680,,,,,5710,5570,5630,5620</t>
  </si>
  <si>
    <t>2025-05-08 02:33:00,19475,,,,19475,,,,,,,,,19400,19300</t>
  </si>
  <si>
    <t>2025-05-08 02:33:00,2144768195.03854,0,0,0,0,0,0,0</t>
  </si>
  <si>
    <t>2025-05-08 02:33:00,2090000175.85445,0,0,0,0,0,0,0</t>
  </si>
  <si>
    <t>2025-05-08 02:33:00,-11264393.4006695,-3688949.61416653,-2044,-62,-55701.4499999999,-536.9,0.0890386799662004,-8.29</t>
  </si>
  <si>
    <t>2025-05-08 02:33:00,27500548.2239191,0,0,0,0,0,0,0</t>
  </si>
  <si>
    <t>2025-05-08 02:34:00,565,,,,550,,,,,,,,,557,562</t>
  </si>
  <si>
    <t>2025-05-08 02:34:00,490,,,,470,,,,,,,,,482,475</t>
  </si>
  <si>
    <t>2025-05-08 02:34:00,5800,,,5630,,5700,5680,,,,,5710,5570,5630,5620</t>
  </si>
  <si>
    <t>2025-05-08 02:34:00,19475,,,,19475,,,,,,,,,19400,19300</t>
  </si>
  <si>
    <t>2025-05-08 02:34:00,2174888507.51645,0,0,0,0,0,0,0</t>
  </si>
  <si>
    <t>2025-05-08 02:34:00,2092673938.53838,0,0,0,0,0,0,0</t>
  </si>
  <si>
    <t>2025-05-08 02:34:00,-11493007.1328258,-3747217.03244142,-1729.36666666667,-55,-47200.8386666666,-448.08,0.0825120902736194,-6.74</t>
  </si>
  <si>
    <t>2025-05-08 02:34:00,27502179.7850624,0,0,0,0,0,0,0</t>
  </si>
  <si>
    <t>2025-05-08 02:35:00,565,,,,550,,,,,,,,,557,562</t>
  </si>
  <si>
    <t>2025-05-08 02:35:00,490,,,,470,,,,,,,,,482,475</t>
  </si>
  <si>
    <t>2025-05-08 02:35:00,5800,,,5630,,5700,5680,,,,,5710,5570,5630,5620</t>
  </si>
  <si>
    <t>2025-05-08 02:35:00,19475,,,,19475,,,,,,,,,19400,19300</t>
  </si>
  <si>
    <t>2025-05-08 02:35:00,2150918865.58979,0,0,0,0,0,0,0</t>
  </si>
  <si>
    <t>2025-05-08 02:35:00,1983955370.68433,0,0,0,0,0,0,0</t>
  </si>
  <si>
    <t>2025-05-08 02:35:00,-11336562.6925001,-3735266.09954227,-462.48,-9,-13041.7514,-186.47,0.0193589793305355,-3</t>
  </si>
  <si>
    <t>2025-05-08 02:35:00,27503011.0106031,0,0,0,0,0,0,0</t>
  </si>
  <si>
    <t>2025-05-08 02:36:00,565,,,,550,,,,,,,,,557,562</t>
  </si>
  <si>
    <t>2025-05-08 02:36:00,490,,,,470,,,,,,,,,482,475</t>
  </si>
  <si>
    <t>2025-05-08 02:36:00,5800,,,5630,,5700,5680,,,,,5710,5570,5630,5620</t>
  </si>
  <si>
    <t>2025-05-08 02:36:00,19475,,,,19475,,,,,,,,,19400,19300</t>
  </si>
  <si>
    <t>2025-05-08 02:36:00,2120927027.79733,0,0,0,0,0,0,0</t>
  </si>
  <si>
    <t>2025-05-08 02:36:00,1957807479.14573,0,0,0,0,0,0,0</t>
  </si>
  <si>
    <t>2025-05-08 02:36:00,-10917126.1265437,-3678983.40731683,-3054.59999999999,-37,-182502.469,-1377.13,0.0813755820172495,-20.97</t>
  </si>
  <si>
    <t>2025-05-08 02:36:00,27504439.4688187,0,0,0,0,0,0,0</t>
  </si>
  <si>
    <t>2025-05-08 02:37:00,565,,,,550,,,,,,,,,557,562</t>
  </si>
  <si>
    <t>2025-05-08 02:37:00,490,,,,470,,,,,,,,,482,475</t>
  </si>
  <si>
    <t>2025-05-08 02:37:00,5800,,,5630,,5700,5680,,,,,5710,5570,5630,5620</t>
  </si>
  <si>
    <t>2025-05-08 02:37:00,19475,,,,19475,,,,,,,,,19400,19300</t>
  </si>
  <si>
    <t>2025-05-08 02:37:00,2120743653.77572,0,0,0,0,0,0,0</t>
  </si>
  <si>
    <t>2025-05-08 02:37:00,1968460697.09108,0,0,0,0,0,0,0</t>
  </si>
  <si>
    <t>2025-05-08 02:37:00,-11023890.5025733,-3702288.82364541,-669.075,-16,-16931.7575,-251.51,0.0396037119129176,-4.54</t>
  </si>
  <si>
    <t>2025-05-08 02:37:00,27508499.6627858,0,0,0,0,0,0,0</t>
  </si>
  <si>
    <t>2025-05-08 02:38:00,565,,,,550,,,,,,,,,557,562</t>
  </si>
  <si>
    <t>2025-05-08 02:38:00,490,,,,470,,,,,,,,,482,475</t>
  </si>
  <si>
    <t>2025-05-08 02:38:00,5800,,,5630,,5700,5680,,,,,5710,5570,5630,5620</t>
  </si>
  <si>
    <t>2025-05-08 02:38:00,19475,,,,19475,,,,,,,,,19400,19300</t>
  </si>
  <si>
    <t>2025-05-08 02:38:00,2126364150.93913,0,0,0,0,0,0,0</t>
  </si>
  <si>
    <t>2025-05-08 02:38:00,1984157335.2235,0,0,0,0,0,0,0</t>
  </si>
  <si>
    <t>2025-05-08 02:38:00,-11144153.1837288,-3740302.00484463,-1216.5,-24,-31194.967,-275.5,0.0503701777100405,-5.06</t>
  </si>
  <si>
    <t>2025-05-08 02:38:00,27506977.5418899,0,0,0,0,0,0,0</t>
  </si>
  <si>
    <t>2025-05-08 02:39:00,565,,,,550,,,,,,,,,557,562</t>
  </si>
  <si>
    <t>2025-05-08 02:39:00,490,,,,470,,,,,,,,,482,475</t>
  </si>
  <si>
    <t>2025-05-08 02:39:00,5800,,,5630,,5700,5680,,,,,5710,5570,5630,5620</t>
  </si>
  <si>
    <t>2025-05-08 02:39:00,19475,,,,19475,,,,,,,,,19400,19300</t>
  </si>
  <si>
    <t>2025-05-08 02:39:00,2212548992.13903,0,0,0,0,0,0,0</t>
  </si>
  <si>
    <t>2025-05-08 02:39:00,2102336579.78115,0,0,0,0,0,0,0</t>
  </si>
  <si>
    <t>2025-05-08 02:39:00,-11604557.7395324,-3850502.60453238,-2278.38333333334,-80,-13916.7568333334,-312.44,0.150090469436911,-5.28</t>
  </si>
  <si>
    <t>2025-05-08 02:39:00,27507472.7991286,0,0,0,0,0,0,0</t>
  </si>
  <si>
    <t>2025-05-08 02:40:00,565,,,,550,,,,,,,,,557,562</t>
  </si>
  <si>
    <t>2025-05-08 02:40:00,490,,,,470,,,,,,,,,482,475</t>
  </si>
  <si>
    <t>2025-05-08 02:40:00,,5630,,5630,,5700,5680,,,,,5710,5570,5630,5620</t>
  </si>
  <si>
    <t>2025-05-08 02:40:00,19475,,,,19475,,,,,,,,,19400,19300</t>
  </si>
  <si>
    <t>2025-05-08 02:40:00,2278423915.252,0,0,0,0,0,0,0</t>
  </si>
  <si>
    <t>2025-05-08 02:40:00,2130014871.00683,0,0,0,0,0,0,0</t>
  </si>
  <si>
    <t>2025-05-08 02:40:00,-12087467.5202099,-3949356.36562067,-1861.06666666667,-55,-7713.82533333332,-179.58,0.0497434186356162,-3.73</t>
  </si>
  <si>
    <t>2025-05-08 02:40:00,27507775.506198,0,0,0,0,0,0,0</t>
  </si>
  <si>
    <t>2025-05-08 02:41:00,565,,,,550,,,,,,,,,557,562</t>
  </si>
  <si>
    <t>2025-05-08 02:41:00,490,,,,470,,,,,,,,,482,475</t>
  </si>
  <si>
    <t>2025-05-08 02:41:00,,5630,,5630,,5700,5680,,,,,5710,5570,5630,5620</t>
  </si>
  <si>
    <t>2025-05-08 02:41:00,19475,,,,19475,,,,,,,,,19400,19300</t>
  </si>
  <si>
    <t>2025-05-08 02:41:00,2383371573.3727,0,0,0,0,0,0,0</t>
  </si>
  <si>
    <t>2025-05-08 02:41:00,2158420518.8721,0,0,0,0,0,0,0</t>
  </si>
  <si>
    <t>2025-05-08 02:41:00,-12961302.7160913,-4143727.91642627,-1342.6,-34,-21017.285,-275.56,0.0277323902945645,-6.85</t>
  </si>
  <si>
    <t>2025-05-08 02:41:00,27509058.3698132,0,0,0,0,0,0,0</t>
  </si>
  <si>
    <t>2025-05-08 02:42:00,565,,,,550,,,,,,,,,557,562</t>
  </si>
  <si>
    <t>2025-05-08 02:42:00,490,,,,470,,,,,,,,,482,475</t>
  </si>
  <si>
    <t>2025-05-08 02:42:00,,5630,,5630,,5700,5680,,,,,5710,5570,5630,5620</t>
  </si>
  <si>
    <t>2025-05-08 02:42:00,19475,,,,19475,,,,,,,,,19400,19300</t>
  </si>
  <si>
    <t>2025-05-08 02:42:00,2311611600.87391,0,0,0,0,0,0,0</t>
  </si>
  <si>
    <t>2025-05-08 02:42:00,2125927454.01512,0,0,0,0,0,0,0</t>
  </si>
  <si>
    <t>2025-05-08 02:42:00,-12508364.3652251,-4057977.99591339,-1219.3,-23,-23529.9983333333,-274.14,0.050152813481537,-5.12</t>
  </si>
  <si>
    <t>2025-05-08 02:42:00,27515145.4741398,0,0,0,0,0,0,0</t>
  </si>
  <si>
    <t>2025-05-08 02:43:00,565,,,,550,,,,,,,,,557,562</t>
  </si>
  <si>
    <t>2025-05-08 02:43:00,490,,,,470,,,,,,,,,482,475</t>
  </si>
  <si>
    <t>2025-05-08 02:43:00,,5630,,5630,,5700,5680,,,,,5710,5570,5630,5620</t>
  </si>
  <si>
    <t>2025-05-08 02:43:00,19475,,,,19475,,,,,,,,,19400,19300</t>
  </si>
  <si>
    <t>2025-05-08 02:43:00,2227256496.67683,0,0,0,0,0,0,0</t>
  </si>
  <si>
    <t>2025-05-08 02:43:00,2122636858.37508,0,0,0,0,0,0,0</t>
  </si>
  <si>
    <t>2025-05-08 02:43:00,-11774029.6594486,-3954666.06631052,-936.510000000002,-24,-21314.1202333334,-250.04,0.0253615106115158,-5.57</t>
  </si>
  <si>
    <t>2025-05-08 02:43:00,27518108.5806627,0,0,0,0,0,0,0</t>
  </si>
  <si>
    <t>2025-05-08 02:44:00,565,,,,550,,,,,,,,,557,562</t>
  </si>
  <si>
    <t>2025-05-08 02:44:00,490,,,,470,,,,,,,,,482,475</t>
  </si>
  <si>
    <t>2025-05-08 02:44:00,,5630,,5630,,5700,5680,,,,,5710,5570,5630,5620</t>
  </si>
  <si>
    <t>2025-05-08 02:44:00,19475,,,,19475,,,,,,,,,19400,19300</t>
  </si>
  <si>
    <t>2025-05-08 02:44:00,2254068141.18276,0,0,0,0,0,0,0</t>
  </si>
  <si>
    <t>2025-05-08 02:44:00,2139197126.98324,0,0,0,0,0,0,0</t>
  </si>
  <si>
    <t>2025-05-08 02:44:00,-11995502.4458617,-3982966.33865057,-449.316666666666,-13,-12373.7131666666,-129.47,0.0168424822190957,-2.21</t>
  </si>
  <si>
    <t>2025-05-08 02:44:00,27519404.1566321,0,0,0,0,0,0,0</t>
  </si>
  <si>
    <t>2025-05-08 02:45:00,565,,,,550,,,,,,,,,557,562</t>
  </si>
  <si>
    <t>2025-05-08 02:45:00,490,,,,470,,,,,,,,,482,475</t>
  </si>
  <si>
    <t>2025-05-08 02:45:00,,5630,,5630,,5700,5680,,,,,5710,5570,5630,5620</t>
  </si>
  <si>
    <t>2025-05-08 02:45:00,19475,,,,19475,,,,,,,,,19400,19300</t>
  </si>
  <si>
    <t>2025-05-08 02:45:00,2223953287.80791,0,0,0,0,0,0,0</t>
  </si>
  <si>
    <t>2025-05-08 02:45:00,2141870174.8175,0,0,0,0,0,0,0</t>
  </si>
  <si>
    <t>2025-05-08 02:45:00,-11863255.1020564,-3971080.9869313,-311.666666666666,-8,-3318.46666666665,-55,0.00964538261179116,-1.46</t>
  </si>
  <si>
    <t>2025-05-08 02:45:00,27520675.2425181,0,0,0,0,0,0,0</t>
  </si>
  <si>
    <t>2025-05-08 02:46:00,565,,,,550,,,,,,,,,557,562</t>
  </si>
  <si>
    <t>2025-05-08 02:46:00,490,,,,470,,,,,,,,,482,475</t>
  </si>
  <si>
    <t>2025-05-08 02:46:00,,5630,,5630,,5700,5680,,,,,5710,5570,5630,5620</t>
  </si>
  <si>
    <t>2025-05-08 02:46:00,19475,,,,19475,,,,,,,,,19400,19300</t>
  </si>
  <si>
    <t>2025-05-08 02:46:00,2236100861.21758,0,0,0,0,0,0,0</t>
  </si>
  <si>
    <t>2025-05-08 02:46:00,2141979971.49448,0,0,0,0,0,0,0</t>
  </si>
  <si>
    <t>2025-05-08 02:46:00,-11932368.0284536,-4014637.01400209,-1260.25,-20,-27608.7031666668,-312.38,0.077232862704669,-5.58</t>
  </si>
  <si>
    <t>2025-05-08 02:46:00,27518464.2771294,0,0,0,0,0,0,0</t>
  </si>
  <si>
    <t>2025-05-08 02:47:00,565,,,,550,,,,,,,,,557,562</t>
  </si>
  <si>
    <t>2025-05-08 02:47:00,490,,,,470,,,,,,,,,482,475</t>
  </si>
  <si>
    <t>2025-05-08 02:47:00,5800,,,5630,,5700,5680,,,,,5710,5570,5630,5620</t>
  </si>
  <si>
    <t>2025-05-08 02:47:00,19475,,,,19475,,,,,,,,,19400,19300</t>
  </si>
  <si>
    <t>2025-05-08 02:47:00,2119689829.6471,0,0,0,0,0,0,0</t>
  </si>
  <si>
    <t>2025-05-08 02:47:00,2102754084.18234,0,0,0,0,0,0,0</t>
  </si>
  <si>
    <t>2025-05-08 02:47:00,-11048320.4418088,-3870984.94170386,-1028,-23,-30097.7300000001,-340.45,0.102710369934364,-6.87</t>
  </si>
  <si>
    <t>2025-05-08 02:47:00,27519250.7500101,0,0,0,0,0,0,0</t>
  </si>
  <si>
    <t>2025-05-08 02:48:00,570,,,,550,,,,,,,,,557,562</t>
  </si>
  <si>
    <t>2025-05-08 02:48:00,490,,,,470,,,,,,,,,482,475</t>
  </si>
  <si>
    <t>2025-05-08 02:48:00,5800,,,5630,,5700,5680,,,,,5710,5570,5630,5620</t>
  </si>
  <si>
    <t>2025-05-08 02:48:00,19475,,,,19475,,,,,,,,,19400,19300</t>
  </si>
  <si>
    <t>2025-05-08 02:48:00,1909964569.44344,0,0,0,0,0,0,0</t>
  </si>
  <si>
    <t>2025-05-08 02:48:00,1982374505.63407,0,0,0,0,0,0,0</t>
  </si>
  <si>
    <t>2025-05-08 02:48:00,-10655042.4853833,-3803264.83965709,-539.633333333333,-17,-5222.43866666665,-97.24,0.00520088334806353,-2.58</t>
  </si>
  <si>
    <t>2025-05-08 02:48:00,27525364.6404964,0,0,0,0,0,0,0</t>
  </si>
  <si>
    <t>2025-05-08 02:49:00,570,,,,550,,,,,,,,,557,562</t>
  </si>
  <si>
    <t>2025-05-08 02:49:00,490,,,,470,,,,,,,,,482,475</t>
  </si>
  <si>
    <t>2025-05-08 02:49:00,5800,,,5630,,5700,5680,,,,,5710,5570,5630,5620</t>
  </si>
  <si>
    <t>2025-05-08 02:49:00,19475,,,,19475,,,,,,,,,19400,19300</t>
  </si>
  <si>
    <t>2025-05-08 02:49:00,1904025650.89302,0,0,0,0,0,0,0</t>
  </si>
  <si>
    <t>2025-05-08 02:49:00,1982402755.76783,0,0,0,0,0,0,0</t>
  </si>
  <si>
    <t>2025-05-08 02:49:00,-10834618.9328642,-3860615.86351245,-739.135555555554,-27,-15212.0688444444,-946.65,0.0700342267117988,-9.04</t>
  </si>
  <si>
    <t>2025-05-08 02:49:00,27524933.3800236,0,0,0,0,0,0,0</t>
  </si>
  <si>
    <t>2025-05-08 02:50:00,570,,,,550,,,,,,,,,557,562</t>
  </si>
  <si>
    <t>2025-05-08 02:50:00,490,,,,470,,,,,,,,,482,475</t>
  </si>
  <si>
    <t>2025-05-08 02:50:00,,5630,,5630,,5700,5680,,,,,5710,5570,5630,5620</t>
  </si>
  <si>
    <t>2025-05-08 02:50:00,19475,,,,19475,,,,,,,,,19400,19300</t>
  </si>
  <si>
    <t>2025-05-08 02:50:00,1914074175.8393,0,0,0,0,0,0,0</t>
  </si>
  <si>
    <t>2025-05-08 02:50:00,2088084501.02182,0,0,0,0,0,0,0</t>
  </si>
  <si>
    <t>2025-05-08 02:50:00,-10902560.5770818,-3932756.56569841,-3561.86666666667,-75,-36176.8456666667,-618.82,0.252737249734676,-9.49</t>
  </si>
  <si>
    <t>2025-05-08 02:50:00,27525938.8370931,0,0,0,0,0,0,0</t>
  </si>
  <si>
    <t>2025-05-08 02:51:00,570,,,,550,,,,,,,,,557,562</t>
  </si>
  <si>
    <t>2025-05-08 02:51:00,490,,,,470,,,,,,,,,482,475</t>
  </si>
  <si>
    <t>2025-05-08 02:51:00,5800,,,5630,,5700,5680,,,,,5710,5570,5630,5620</t>
  </si>
  <si>
    <t>2025-05-08 02:51:00,19475,,,,19475,,,,,,,,,19400,19300</t>
  </si>
  <si>
    <t>2025-05-08 02:51:00,1937819899.16416,0,0,0,0,0,0,0</t>
  </si>
  <si>
    <t>2025-05-08 02:51:00,1979707513.55426,0,0,0,0,0,0,0</t>
  </si>
  <si>
    <t>2025-05-08 02:51:00,-10246649.0979478,-3888394.47652893,-2293.08333333334,-29,-63029.8708333335,-695.15,0.315332838591812,-14.12</t>
  </si>
  <si>
    <t>2025-05-08 02:51:00,27527877.085743,0,0,0,0,0,0,0</t>
  </si>
  <si>
    <t>2025-05-08 02:52:00,570,,,,550,,,,,,,,,557,562</t>
  </si>
  <si>
    <t>2025-05-08 02:52:00,490,,,,470,,,,,,,,,482,475</t>
  </si>
  <si>
    <t>2025-05-08 02:52:00,5800,,,5630,,5700,5680,,,,,5710,5570,5630,5620</t>
  </si>
  <si>
    <t>2025-05-08 02:52:00,19475,,,,19475,,,,,,,,,19400,19300</t>
  </si>
  <si>
    <t>2025-05-08 02:52:00,1927401842.99788,0,0,0,0,0,0,0</t>
  </si>
  <si>
    <t>2025-05-08 02:52:00,1979776109.10414,0,0,0,0,0,0,0</t>
  </si>
  <si>
    <t>2025-05-08 02:52:00,-10145537.5932771,-3891818.02068293,-604.150000000001,-16,-7704.90383333333,-133.39,0.0295554149366633,-2.94</t>
  </si>
  <si>
    <t>2025-05-08 02:52:00,27528291.4060006,0,0,0,0,0,0,0</t>
  </si>
  <si>
    <t>2025-05-08 02:54:00,575,,,,550,,,,,,,,,557,562</t>
  </si>
  <si>
    <t>2025-05-08 02:54:00,490,,,,470,,,,,,,,,482,475</t>
  </si>
  <si>
    <t>2025-05-08 02:54:00,5800,,,5630,,5700,5680,,,,,5710,5570,5630,5620</t>
  </si>
  <si>
    <t>2025-05-08 02:54:00,19475,,,,19475,,,,,,,,,19400,19300</t>
  </si>
  <si>
    <t>2025-05-08 02:54:00,1905322243.46165,0,0,0,0,0,0,0</t>
  </si>
  <si>
    <t>2025-05-08 02:54:00,1953686380.17912,0,0,0,0,0,0,0</t>
  </si>
  <si>
    <t>2025-05-08 02:54:00,-9890333.69422547,-3855393.11516496,-854.833333333334,-13,-22884.1696666667,-215.39,0.0427773154755464,-4.15</t>
  </si>
  <si>
    <t>2025-05-08 02:54:00,27534529.8326058,0,0,0,0,0,0,0</t>
  </si>
  <si>
    <t>2025-05-08 02:55:00,570,,,,550,,,,,,,,,557,562</t>
  </si>
  <si>
    <t>2025-05-08 02:55:00,490,,,,470,,,,,,,,,482,475</t>
  </si>
  <si>
    <t>2025-05-08 02:55:00,5800,,,5630,,5700,5680,,,,,5710,5570,5630,5620</t>
  </si>
  <si>
    <t>2025-05-08 02:55:00,19475,,,,19475,,,,,,,,,19400,19300</t>
  </si>
  <si>
    <t>2025-05-08 02:55:00,1957421960.75541,0,0,0,0,0,0,0</t>
  </si>
  <si>
    <t>2025-05-08 02:55:00,2090435321.27721,0,0,0,0,0,0,0</t>
  </si>
  <si>
    <t>2025-05-08 02:55:00,-10626212.5815528,-3979343.64131157,-321.5,-10,-1785.885,-36.35,0.00455894309065122,-0.85</t>
  </si>
  <si>
    <t>2025-05-08 02:55:00,27536278.1124181,0,0,0,0,0,0,0</t>
  </si>
  <si>
    <t>2025-05-08 02:56:00,570,,,,550,,,,,,,,,557,562</t>
  </si>
  <si>
    <t>2025-05-08 02:56:00,490,,,,470,,,,,,,,,482,475</t>
  </si>
  <si>
    <t>2025-05-08 02:56:00,5800,,,5630,,5700,5680,,,,,5710,5570,5630,5620</t>
  </si>
  <si>
    <t>2025-05-08 02:56:00,19475,,,,19475,,,,,,,,,19400,19300</t>
  </si>
  <si>
    <t>2025-05-08 02:56:00,1912633319.01204,0,0,0,0,0,0,0</t>
  </si>
  <si>
    <t>2025-05-08 02:56:00,2104937719.32839,0,0,0,0,0,0,0</t>
  </si>
  <si>
    <t>2025-05-08 02:56:00,-10697009.8570977,-4011100.3961543,-342.483333333333,-9,-4855.44049999998,-88.41,0.0299577411063737,-1.77</t>
  </si>
  <si>
    <t>2025-05-08 02:56:00,27534899.5820666,0,0,0,0,0,0,0</t>
  </si>
  <si>
    <t>2025-05-08 02:57:00,570,,,,550,,,,,,,,,557,562</t>
  </si>
  <si>
    <t>2025-05-08 02:57:00,490,,,,470,,,,,,,,,482,475</t>
  </si>
  <si>
    <t>2025-05-08 02:57:00,5800,,,5630,,5700,5680,,,,,5710,5570,5630,5620</t>
  </si>
  <si>
    <t>2025-05-08 02:57:00,19475,,,,19475,,,,,,,,,19400,19300</t>
  </si>
  <si>
    <t>2025-05-08 02:57:00,1958790029.35592,0,0,0,0,0,0,0</t>
  </si>
  <si>
    <t>2025-05-08 02:57:00,2100041373.30256,0,0,0,0,0,0,0</t>
  </si>
  <si>
    <t>2025-05-08 02:57:00,-10629254.2342386,-4030217.67791545,-1758.09999999998,-14,-43781.9319999994,-290.44,0.130216372018864,-5.47</t>
  </si>
  <si>
    <t>2025-05-08 02:57:00,27535489.9163063,0,0,0,0,0,0,0</t>
  </si>
  <si>
    <t>2025-05-08 02:58:00,570,,,,550,,,,,,,,,557,562</t>
  </si>
  <si>
    <t>2025-05-08 02:58:00,490,,,,470,,,,,,,,,482,475</t>
  </si>
  <si>
    <t>2025-05-08 02:58:00,,5630,,5630,,5700,5680,,,,,5710,5570,5630,5620</t>
  </si>
  <si>
    <t>2025-05-08 02:58:00,19475,,,,19475,,,,,,,,,19400,19300</t>
  </si>
  <si>
    <t>2025-05-08 02:58:00,1912282262.86988,0,0,0,0,0,0,0</t>
  </si>
  <si>
    <t>2025-05-08 02:58:00,2117225435.03863,0,0,0,0,0,0,0</t>
  </si>
  <si>
    <t>2025-05-08 02:58:00,-10896583.0132211,-4080417.04930923,-54,-2,-413.6,-8,0.00308435334689899,-0.12</t>
  </si>
  <si>
    <t>2025-05-08 02:58:00,27535427.1382256,0,0,0,0,0,0,0</t>
  </si>
  <si>
    <t>2025-05-08 02:59:00,570,,,,550,,,,,,,,,557,562</t>
  </si>
  <si>
    <t>2025-05-08 02:59:00,490,,,,470,,,,,,,,,482,475</t>
  </si>
  <si>
    <t>2025-05-08 02:59:00,5800,,,5630,,5700,5680,,,,,5710,5570,5630,5620</t>
  </si>
  <si>
    <t>2025-05-08 02:59:00,19475,,,,19475,,,,,,,,,19400,19300</t>
  </si>
  <si>
    <t>2025-05-08 02:59:00,2020303867.6622,0,0,0,0,0,0,0</t>
  </si>
  <si>
    <t>2025-05-08 02:59:00,2115219778.70936,0,0,0,0,0,0,0</t>
  </si>
  <si>
    <t>2025-05-08 02:59:00,-10660060.4008824,-4044240.43548163,-123.5,-3,-2270.26666666666,-34.4,0.013482416410884,-0.67</t>
  </si>
  <si>
    <t>2025-05-08 02:59:00,27541580.0068449,0,0,0,0,0,0,0</t>
  </si>
  <si>
    <t>2025-05-08 03:00:00,570,,,,550,,,,,,,,,557,562</t>
  </si>
  <si>
    <t>2025-05-08 03:00:00,490,,,,470,,,,,,,,,482,475</t>
  </si>
  <si>
    <t>2025-05-08 03:00:00,5800,,,5630,,5700,5680,,,,,5710,5570,5630,5620</t>
  </si>
  <si>
    <t>2025-05-08 03:00:00,19475,,,,19475,,,,,,,,,19400,19300</t>
  </si>
  <si>
    <t>2025-05-08 03:00:00,1958586936.00233,0,0,0,0,0,0,0</t>
  </si>
  <si>
    <t>2025-05-08 03:00:00,2119923906.27718,0,0,0,0,0,0,0</t>
  </si>
  <si>
    <t>2025-05-08 03:00:00,-10685823.9553161,-4046811.1902047,0,0,0,0,0,0</t>
  </si>
  <si>
    <t>2025-05-08 03:00:00,27541941.8323667,0,0,0,0,0,0,0</t>
  </si>
  <si>
    <t>2025-05-08 03:01:00,570,,,,550,,,,,,,,,557,562</t>
  </si>
  <si>
    <t>2025-05-08 03:01:00,490,,,,470,,,,,,,,,482,475</t>
  </si>
  <si>
    <t>2025-05-08 03:01:00,5800,,,5630,,5700,5680,,,,,5710,5570,5630,5620</t>
  </si>
  <si>
    <t>2025-05-08 03:01:00,19475,,,,19475,,,,,,,,,19400,19300</t>
  </si>
  <si>
    <t>2025-05-08 03:01:00,1926446388.62707,0,0,0,0,0,0,0</t>
  </si>
  <si>
    <t>2025-05-08 03:01:00,1964704632.94454,0,0,0,0,0,0,0</t>
  </si>
  <si>
    <t>2025-05-08 03:01:00,-10283624.1453529,-3958689.02731689,-139.999999999999,-3,-1535.79999999999,-19.7,0.00115899327425262,-0.52</t>
  </si>
  <si>
    <t>2025-05-08 03:01:00,27543376.1736445,0,0,0,0,0,0,0</t>
  </si>
  <si>
    <t>2025-05-08 03:02:00,570,,,,550,,,,,,,,,557,562</t>
  </si>
  <si>
    <t>2025-05-08 03:02:00,490,,,,470,,,,,,,,,482,475</t>
  </si>
  <si>
    <t>2025-05-08 03:02:00,5800,,,5630,,5700,5680,,,,,5710,5570,5630,5620</t>
  </si>
  <si>
    <t>2025-05-08 03:02:00,19475,,,,19475,,,,,,,,,19400,19300</t>
  </si>
  <si>
    <t>2025-05-08 03:02:00,1945731134.28208,0,0,0,0,0,0,0</t>
  </si>
  <si>
    <t>2025-05-08 03:02:00,1963312194.74677,0,0,0,0,0,0,0</t>
  </si>
  <si>
    <t>2025-05-08 03:02:00,-10524186.3324081,-4044214.69111035,-1074.85,-19,-19582.8174999999,-286.97,0.13088221225391,-5.08</t>
  </si>
  <si>
    <t>2025-05-08 03:02:00,27544109.5692986,0,0,0,0,0,0,0</t>
  </si>
  <si>
    <t>2025-05-08 03:03:00,570,,,,550,,,,,,,,,557,562</t>
  </si>
  <si>
    <t>2025-05-08 03:03:00,490,,,,470,,,,,,,,,482,475</t>
  </si>
  <si>
    <t>2025-05-08 03:03:00,,5630,,5630,,5700,5680,,,,,5710,5570,5630,5620</t>
  </si>
  <si>
    <t>2025-05-08 03:03:00,19475,,,,19475,,,,,,,,,19400,19300</t>
  </si>
  <si>
    <t>2025-05-08 03:03:00,1908846576.59685,0,0,0,0,0,0,0</t>
  </si>
  <si>
    <t>2025-05-08 03:03:00,2091035435.58277,0,0,0,0,0,0,0</t>
  </si>
  <si>
    <t>2025-05-08 03:03:00,-10967583.3479523,-4150370.52425344,-434.866666666667,-12,-8117.47166666666,-116.28,0.0298043294787139,-2.05</t>
  </si>
  <si>
    <t>2025-05-08 03:03:00,27545283.5582381,0,0,0,0,0,0,0</t>
  </si>
  <si>
    <t>2025-05-08 03:04:00,570,,,,550,,,,,,,,,557,562</t>
  </si>
  <si>
    <t>2025-05-08 03:04:00,490,,,,470,,,,,,,,,482,475</t>
  </si>
  <si>
    <t>2025-05-08 03:04:00,,5630,,5630,,5700,5680,,,,,5710,5570,5630,5620</t>
  </si>
  <si>
    <t>2025-05-08 03:04:00,19475,,,,19475,,,,,,,,,19400,19300</t>
  </si>
  <si>
    <t>2025-05-08 03:04:00,1902552247.54808,0,0,0,0,0,0,0</t>
  </si>
  <si>
    <t>2025-05-08 03:04:00,2100813377.63101,0,0,0,0,0,0,0</t>
  </si>
  <si>
    <t>2025-05-08 03:04:00,-11117341.9125704,-4185039.05586708,-123.699999999999,-2,-1109.69899999999,-17.17,0.000274829349090166,-0.44</t>
  </si>
  <si>
    <t>2025-05-08 03:04:00,27547679.8946602,0,0,0,0,0,0,0</t>
  </si>
  <si>
    <t>2025-05-08 03:05:00,570,,,,550,,,,,,,,,557,562</t>
  </si>
  <si>
    <t>2025-05-08 03:05:00,490,,,,470,,,,,,,,,482,475</t>
  </si>
  <si>
    <t>2025-05-08 03:05:00,,5630,,5630,,5700,5680,,,,,5710,5570,5630,5620</t>
  </si>
  <si>
    <t>2025-05-08 03:05:00,19475,,,,19475,,,,,,,,,19400,19300</t>
  </si>
  <si>
    <t>2025-05-08 03:05:00,2077338773.50304,0,0,0,0,0,0,0</t>
  </si>
  <si>
    <t>2025-05-08 03:05:00,2110509266.95274,0,0,0,0,0,0,0</t>
  </si>
  <si>
    <t>2025-05-08 03:05:00,-11257603.812566,-4249384.26890239,-228.166666666666,-5,-6021.25766666665,-69.21,0.00718018899222017,-1.41</t>
  </si>
  <si>
    <t>2025-05-08 03:05:00,27550335.1701293,0,0,0,0,0,0,0</t>
  </si>
  <si>
    <t>2025-05-08 03:06:00,570,,,,550,,,,,,,,,557,562</t>
  </si>
  <si>
    <t>2025-05-08 03:06:00,490,,,,470,,,,,,,,,482,475</t>
  </si>
  <si>
    <t>2025-05-08 03:06:00,5800,,,5630,,5700,5680,,,,,5710,5570,5630,5620</t>
  </si>
  <si>
    <t>2025-05-08 03:06:00,19475,,,,19475,,,,,,,,,19400,19300</t>
  </si>
  <si>
    <t>2025-05-08 03:06:00,1931243702.27171,0,0,0,0,0,0,0</t>
  </si>
  <si>
    <t>2025-05-08 03:06:00,1954316720.75111,0,0,0,0,0,0,0</t>
  </si>
  <si>
    <t>2025-05-08 03:06:00,-10292589.9580627,-4075370.7984425,-382.866666666667,-10,-4321.91233333334,-77.67,0.023278753741899,-1.59</t>
  </si>
  <si>
    <t>2025-05-08 03:06:00,27550825.2144912,0,0,0,0,0,0,0</t>
  </si>
  <si>
    <t>2025-05-08 03:07:00,575,,,,550,,,,,,,,,557,562</t>
  </si>
  <si>
    <t>2025-05-08 03:07:00,490,,,,470,,,,,,,,,482,475</t>
  </si>
  <si>
    <t>2025-05-08 03:07:00,5800,,,5630,,5700,5680,,,,,5710,5570,5630,5620</t>
  </si>
  <si>
    <t>2025-05-08 03:07:00,19475,,,,19475,,,,,,,,,19400,19300</t>
  </si>
  <si>
    <t>2025-05-08 03:07:00,1843072920.16404,0,0,0,0,0,0,0</t>
  </si>
  <si>
    <t>2025-05-08 03:07:00,2040902188.00442,0,0,0,0,0,0,0</t>
  </si>
  <si>
    <t>2025-05-08 03:07:00,-9559064.79260299,-3953370.76440074,-1077.41666666667,-23,-13106.3438333333,-216.45,0.092936162097581,-3.64</t>
  </si>
  <si>
    <t>2025-05-08 03:07:00,27552486.3253522,0,0,0,0,0,0,0</t>
  </si>
  <si>
    <t>2025-05-08 03:08:00,575,,,,550,,,,,,,,,557,562</t>
  </si>
  <si>
    <t>2025-05-08 03:08:00,490,,,,470,,,,,,,,,482,475</t>
  </si>
  <si>
    <t>2025-05-08 03:08:00,5800,,,5630,,5700,5680,,,,,5710,5570,5630,5620</t>
  </si>
  <si>
    <t>2025-05-08 03:08:00,19475,,,,19475,,,,,,,,,19400,19300</t>
  </si>
  <si>
    <t>2025-05-08 03:08:00,1843012676.89419,0,0,0,0,0,0,0</t>
  </si>
  <si>
    <t>2025-05-08 03:08:00,2040994932.87918,0,0,0,0,0,0,0</t>
  </si>
  <si>
    <t>2025-05-08 03:08:00,-9734613.26617904,-3985110.15556728,-537.933333333333,-16,-5952.38966666665,-117.83,0.00355264000865925,-3.09</t>
  </si>
  <si>
    <t>2025-05-08 03:08:00,27552172.018771,0,0,0,0,0,0,0</t>
  </si>
  <si>
    <t>2025-05-08 03:09:00,570,,,,550,,,,,,,,,557,562</t>
  </si>
  <si>
    <t>2025-05-08 03:09:00,490,,,,470,,,,,,,,,482,475</t>
  </si>
  <si>
    <t>2025-05-08 03:09:00,5800,,,5630,,5700,5680,,,,,5710,5570,5630,5620</t>
  </si>
  <si>
    <t>2025-05-08 03:09:00,19475,,,,19475,,,,,,,,,19400,19300</t>
  </si>
  <si>
    <t>2025-05-08 03:09:00,1898331886.639,0,0,0,0,0,0,0</t>
  </si>
  <si>
    <t>2025-05-08 03:09:00,2022538017.85828,0,0,0,0,0,0,0</t>
  </si>
  <si>
    <t>2025-05-08 03:09:00,-9900502.77346242,-4017517.1564149,-254.333333333333,-8,-2252.77166666667,-46.69,0.00321945715328335,-1.13</t>
  </si>
  <si>
    <t>2025-05-08 03:09:00,27552553.029617,0,0,0,0,0,0,0</t>
  </si>
  <si>
    <t>2025-05-08 03:10:00,570,,,,550,,,,,,,,,557,562</t>
  </si>
  <si>
    <t>2025-05-08 03:10:00,490,,,,470,,,,,,,,,482,475</t>
  </si>
  <si>
    <t>2025-05-08 03:10:00,5800,,,5630,,5700,5680,,,,,5710,5570,5630,5620</t>
  </si>
  <si>
    <t>2025-05-08 03:10:00,19475,,,,19475,,,,,,,,,19400,19300</t>
  </si>
  <si>
    <t>2025-05-08 03:10:00,1931001393.3272,0,0,0,0,0,0,0</t>
  </si>
  <si>
    <t>2025-05-08 03:10:00,1811765474.06832,0,0,0,0,0,0,0</t>
  </si>
  <si>
    <t>2025-05-08 03:10:00,-9837476.74205508,-4008384.23853735,-322.700000000001,-7,-2794.19400000001,-50.27,-0.00710248572770187,-1.47</t>
  </si>
  <si>
    <t>2025-05-08 03:10:00,27558692.4546428,0,0,0,0,0,0,0</t>
  </si>
  <si>
    <t>2025-05-08 03:11:00,565,,,,550,,,,,,,,,557,562</t>
  </si>
  <si>
    <t>2025-05-08 03:11:00,490,,,,470,,,,,,,,,482,475</t>
  </si>
  <si>
    <t>2025-05-08 03:11:00,,5630,,5630,,5700,5680,,,,,5710,5570,5630,5620</t>
  </si>
  <si>
    <t>2025-05-08 03:11:00,19475,,,,19475,,,,,,,,,19400,19300</t>
  </si>
  <si>
    <t>2025-05-08 03:11:00,2088559390.27584,0,0,0,0,0,0,0</t>
  </si>
  <si>
    <t>2025-05-08 03:11:00,2086021955.1072,0,0,0,0,0,0,0</t>
  </si>
  <si>
    <t>2025-05-08 03:11:00,-11012831.7057552,-4227677.27073142,-1029.2,-31,-21207.031,-316.92,0.000606606078804346,-7.02</t>
  </si>
  <si>
    <t>2025-05-08 03:11:00,27561251.4512882,0,0,0,0,0,0,0</t>
  </si>
  <si>
    <t>2025-05-08 03:12:00,570,,,,550,,,,,,,,,557,562</t>
  </si>
  <si>
    <t>2025-05-08 03:12:00,490,,,,470,,,,,,,,,482,475</t>
  </si>
  <si>
    <t>2025-05-08 03:12:00,,5630,,5630,,5700,5680,,,,,5710,5570,5630,5620</t>
  </si>
  <si>
    <t>2025-05-08 03:12:00,19475,,,,19475,,,,,,,,,19400,19300</t>
  </si>
  <si>
    <t>2025-05-08 03:12:00,2070996753.7359,0,0,0,0,0,0,0</t>
  </si>
  <si>
    <t>2025-05-08 03:12:00,2105380794.42662,0,0,0,0,0,0,0</t>
  </si>
  <si>
    <t>2025-05-08 03:12:00,-11177748.9314537,-4263779.80341843,-212.7,-7,-1367.999,-32.87,0.00162010859430927,-0.89</t>
  </si>
  <si>
    <t>2025-05-08 03:12:00,27561117.7710722,0,0,0,0,0,0,0</t>
  </si>
  <si>
    <t>2025-05-08 03:13:00,565,,,,550,,,,,,,,,557,562</t>
  </si>
  <si>
    <t>2025-05-08 03:13:00,490,,,,470,,,,,,,,,482,475</t>
  </si>
  <si>
    <t>2025-05-08 03:13:00,,5630,,5630,,5700,5680,,,,,5710,5570,5630,5620</t>
  </si>
  <si>
    <t>2025-05-08 03:13:00,19475,,,,19475,,,,,,,,,19400,19300</t>
  </si>
  <si>
    <t>2025-05-08 03:13:00,2109113565.45035,0,0,0,0,0,0,0</t>
  </si>
  <si>
    <t>2025-05-08 03:13:00,2116930733.13936,0,0,0,0,0,0,0</t>
  </si>
  <si>
    <t>2025-05-08 03:13:00,-11460545.3654052,-4491795.1805414,-5804.50000000001,-92,-147221.535,-1912.9,0.756992282449705,-41.81</t>
  </si>
  <si>
    <t>2025-05-08 03:13:00,27560695.3079948,0,0,0,0,0,0,0</t>
  </si>
  <si>
    <t>2025-05-08 03:14:00,565,,,,550,,,,,,,,,557,562</t>
  </si>
  <si>
    <t>2025-05-08 03:14:00,490,,,,470,,,,,,,,,482,475</t>
  </si>
  <si>
    <t>2025-05-08 03:14:00,,5630,,5630,,5700,5680,,,,,5710,5570,5630,5620</t>
  </si>
  <si>
    <t>2025-05-08 03:14:00,19475,,,,19475,,,,,,,,,19400,19300</t>
  </si>
  <si>
    <t>2025-05-08 03:14:00,2208808030.78378,0,0,0,0,0,0,0</t>
  </si>
  <si>
    <t>2025-05-08 03:14:00,2143587921.90006,0,0,0,0,0,0,0</t>
  </si>
  <si>
    <t>2025-05-08 03:14:00,-12068848.2480171,-4636167.84900559,-547.866666666667,-12,-7983.23900000002,-112.27,0.0432720407926003,-2.27</t>
  </si>
  <si>
    <t>2025-05-08 03:14:00,27559992.8109623,0,0,0,0,0,0,0</t>
  </si>
  <si>
    <t>2025-05-08 03:15:00,565,,,,550,,,,,,,,,557,562</t>
  </si>
  <si>
    <t>2025-05-08 03:15:00,490,,,,470,,,,,,,,,482,475</t>
  </si>
  <si>
    <t>2025-05-08 03:15:00,,5630,,5630,,5700,5680,,,,,5710,5570,5630,5620</t>
  </si>
  <si>
    <t>2025-05-08 03:15:00,19475,,,,19475,,,,,,,,,19400,19300</t>
  </si>
  <si>
    <t>2025-05-08 03:15:00,2170727451.61039,0,0,0,0,0,0,0</t>
  </si>
  <si>
    <t>2025-05-08 03:15:00,2143051682.55311,0,0,0,0,0,0,0</t>
  </si>
  <si>
    <t>2025-05-08 03:15:00,-11929854.9461469,-4600333.65435158,-1414.1,-27,-22743.2269999998,-293.12,0.0605618117796888,-6.38</t>
  </si>
  <si>
    <t>2025-05-08 03:15:00,27566125.7041848,0,0,0,0,0,0,0</t>
  </si>
  <si>
    <t>2025-05-08 03:16:00,565,,,,550,,,,,,,,,557,562</t>
  </si>
  <si>
    <t>2025-05-08 03:16:00,490,,,,470,,,,,,,,,482,475</t>
  </si>
  <si>
    <t>2025-05-08 03:16:00,,5630,,5630,,5700,5680,,,,,5710,5570,5630,5620</t>
  </si>
  <si>
    <t>2025-05-08 03:16:00,19475,,,,19475,,,,,,,,,19400,19300</t>
  </si>
  <si>
    <t>2025-05-08 03:16:00,2302836405.00437,0,0,0,0,0,0,0</t>
  </si>
  <si>
    <t>2025-05-08 03:16:00,2111330348.04308,0,0,0,0,0,0,0</t>
  </si>
  <si>
    <t>2025-05-08 03:16:00,-12722261.9445901,-4864057.10107791,-2781.95000000001,-37,-57160.2865000002,-688.33,0.325229588946146,-12.45</t>
  </si>
  <si>
    <t>2025-05-08 03:16:00,27568680.7676121,0,0,0,0,0,0,0</t>
  </si>
  <si>
    <t>2025-05-08 03:17:00,565,,,,550,,,,,,,,,557,562</t>
  </si>
  <si>
    <t>2025-05-08 03:17:00,490,,,,470,,,,,,,,,482,475</t>
  </si>
  <si>
    <t>2025-05-08 03:17:00,,5630,,5630,,5700,5680,,,,,5710,5570,5630,5620</t>
  </si>
  <si>
    <t>2025-05-08 03:17:00,19475,,,,19475,,,,,,,,,19400,19300</t>
  </si>
  <si>
    <t>2025-05-08 03:17:00,2379855253.67443,0,0,0,0,0,0,0</t>
  </si>
  <si>
    <t>2025-05-08 03:17:00,2177463556.64054,0,0,0,0,0,0,0</t>
  </si>
  <si>
    <t>2025-05-08 03:17:00,-13199781.8732924,-5058861.66301711,-2755.4,-55,-46595.3243333333,-642.59,0.231773432461136,-11.1</t>
  </si>
  <si>
    <t>2025-05-08 03:17:00,27570352.5385869,0,0,0,0,0,0,0</t>
  </si>
  <si>
    <t>2025-05-08 03:18:00,565,,,,550,,,,,,,,,557,562</t>
  </si>
  <si>
    <t>2025-05-08 03:18:00,490,,,,470,,,,,,,,,482,475</t>
  </si>
  <si>
    <t>2025-05-08 03:18:00,,5630,,5630,,5700,5680,,,,,5710,5570,5630,5620</t>
  </si>
  <si>
    <t>2025-05-08 03:18:00,19475,,,,19475,,,,,,,,,19400,19300</t>
  </si>
  <si>
    <t>2025-05-08 03:18:00,2390265832.71088,0,0,0,0,0,0,0</t>
  </si>
  <si>
    <t>2025-05-08 03:18:00,2181766754.37246,0,0,0,0,0,0,0</t>
  </si>
  <si>
    <t>2025-05-08 03:18:00,-13254073.7709877,-5153644.02943959,-3221.7,-63,-74087.7806666666,-902.2,0.175962230685048,-17.07</t>
  </si>
  <si>
    <t>2025-05-08 03:18:00,27570861.8399363,0,0,0,0,0,0,0</t>
  </si>
  <si>
    <t>2025-05-08 03:19:00,570,,,,550,,,,,,,,,557,562</t>
  </si>
  <si>
    <t>2025-05-08 03:19:00,490,,,,470,,,,,,,,,482,475</t>
  </si>
  <si>
    <t>2025-05-08 03:19:00,,5630,,5630,,5700,5680,,,,,5710,5570,5630,5620</t>
  </si>
  <si>
    <t>2025-05-08 03:19:00,19475,,,,19475,,,,,,,,,19400,19300</t>
  </si>
  <si>
    <t>2025-05-08 03:19:00,2361256881.79022,0,0,0,0,0,0,0</t>
  </si>
  <si>
    <t>2025-05-08 03:19:00,2202824205.33208,0,0,0,0,0,0,0</t>
  </si>
  <si>
    <t>2025-05-08 03:19:00,-12866232.9216959,-5191394.28378968,-1159.28888888889,-42,-16712.9503333333,-225.03,-0.0278829687071605,-5.74</t>
  </si>
  <si>
    <t>2025-05-08 03:19:00,27571886.6462453,0,0,0,0,0,0,0</t>
  </si>
  <si>
    <t>2025-05-08 03:20:00,570,,,,550,,,,,,,,,557,562</t>
  </si>
  <si>
    <t>2025-05-08 03:20:00,490,,,,470,,,,,,,,,482,475</t>
  </si>
  <si>
    <t>2025-05-08 03:20:00,,5630,,5630,,5700,5680,,,,,5710,5570,5630,5620</t>
  </si>
  <si>
    <t>2025-05-08 03:20:00,19475,,,,19475,,,,,,,,,19400,19300</t>
  </si>
  <si>
    <t>2025-05-08 03:20:00,2509714501.53346,0,0,0,0,0,0,0</t>
  </si>
  <si>
    <t>2025-05-08 03:20:00,2267709094.55102,0,0,0,0,0,0,0</t>
  </si>
  <si>
    <t>2025-05-08 03:20:00,-13514485.1639186,-5442080.02924337,-4126.70999999999,-83,-68649.9355666664,-784.23,0.239461616652875,-16.36</t>
  </si>
  <si>
    <t>2025-05-08 03:20:00,27571868.896711,0,0,0,0,0,0,0</t>
  </si>
  <si>
    <t>2025-05-08 03:21:00,570,,,,550,,,,,,,,,557,562</t>
  </si>
  <si>
    <t>2025-05-08 03:21:00,490,,,,470,,,,,,,,,482,475</t>
  </si>
  <si>
    <t>2025-05-08 03:21:00,,5630,,5630,,5700,5680,,,,,5710,5570,5630,5620</t>
  </si>
  <si>
    <t>2025-05-08 03:21:00,19475,,,,19475,,,,,,,,,19400,19300</t>
  </si>
  <si>
    <t>2025-05-08 03:21:00,2523182684.72276,0,0,0,0,0,0,0</t>
  </si>
  <si>
    <t>2025-05-08 03:21:00,2267672914.28176,0,0,0,0,0,0,0</t>
  </si>
  <si>
    <t>2025-05-08 03:21:00,-13620682.5288574,-5597266.99526067,-7749.51666666665,-108,-119953.202666666,-1414.45,0.615984608003109,-23.69</t>
  </si>
  <si>
    <t>2025-05-08 03:21:00,27578020.7060086,0,0,0,0,0,0,0</t>
  </si>
  <si>
    <t>2025-05-08 03:22:00,565,,,,550,,,,,,,,,557,562</t>
  </si>
  <si>
    <t>2025-05-08 03:22:00,490,,,,470,,,,,,,,,482,475</t>
  </si>
  <si>
    <t>2025-05-08 03:22:00,,5630,,5630,,5700,5680,,,,,5710,5570,5630,5620</t>
  </si>
  <si>
    <t>2025-05-08 03:22:00,19475,,,,19475,,,,,,,,,19400,19300</t>
  </si>
  <si>
    <t>2025-05-08 03:22:00,2338327482.52717,0,0,0,0,0,0,0</t>
  </si>
  <si>
    <t>2025-05-08 03:22:00,2177372181.49444,0,0,0,0,0,0,0</t>
  </si>
  <si>
    <t>2025-05-08 03:22:00,-13057683.9294735,-5313736.14518325,-1887.7,-38,-40809.8269999999,-528.73,0.140700422169198,-9.23</t>
  </si>
  <si>
    <t>2025-05-08 03:22:00,27578077.491713,0,0,0,0,0,0,0</t>
  </si>
  <si>
    <t>2025-05-08 03:23:00,570,,,,550,,,,,,,,,557,562</t>
  </si>
  <si>
    <t>2025-05-08 03:23:00,490,,,,470,,,,,,,,,482,475</t>
  </si>
  <si>
    <t>2025-05-08 03:23:00,,5630,,5630,,5700,5680,,,,,5710,5570,5630,5620</t>
  </si>
  <si>
    <t>2025-05-08 03:23:00,19475,,,,19475,,,,,,,,,19400,19300</t>
  </si>
  <si>
    <t>2025-05-08 03:23:00,2355860638.84011,0,0,0,0,0,0,0</t>
  </si>
  <si>
    <t>2025-05-08 03:23:00,2193268201.11077,0,0,0,0,0,0,0</t>
  </si>
  <si>
    <t>2025-05-08 03:23:00,-12799177.1190259,-5409478.73023418,-587.499999999999,-23,-5961.54999999998,-97.69,0.00429776458028366,-2.99</t>
  </si>
  <si>
    <t>2025-05-08 03:23:00,27576487.2368593,0,0,0,0,0,0,0</t>
  </si>
  <si>
    <t>2025-05-08 03:24:00,570,,,,550,,,,,,,,,557,562</t>
  </si>
  <si>
    <t>2025-05-08 03:24:00,490,,,,470,,,,,,,,,482,475</t>
  </si>
  <si>
    <t>2025-05-08 03:24:00,,5630,,5630,,5700,5680,,,,,5710,5570,5630,5620</t>
  </si>
  <si>
    <t>2025-05-08 03:24:00,19475,,,,19475,,,,,,,,,19400,19300</t>
  </si>
  <si>
    <t>2025-05-08 03:24:00,2374049794.44824,0,0,0,0,0,0,0</t>
  </si>
  <si>
    <t>2025-05-08 03:24:00,2195852694.86584,0,0,0,0,0,0,0</t>
  </si>
  <si>
    <t>2025-05-08 03:24:00,-12988586.5810838,-5457717.29169704,-651,-23,-3170.63,-77.4,0.00150579269253382,-2.13</t>
  </si>
  <si>
    <t>2025-05-08 03:24:00,27576212.154061,0,0,0,0,0,0,0</t>
  </si>
  <si>
    <t>2025-05-08 03:25:00,570,,,,550,,,,,,,,,557,562</t>
  </si>
  <si>
    <t>2025-05-08 03:25:00,490,,,,470,,,,,,,,,482,475</t>
  </si>
  <si>
    <t>2025-05-08 03:25:00,,5630,,5630,,5700,5680,,,,,5710,5570,5630,5620</t>
  </si>
  <si>
    <t>2025-05-08 03:25:00,19475,,,,19475,,,,,,,,,19400,19300</t>
  </si>
  <si>
    <t>2025-05-08 03:25:00,2392481831.72935,0,0,0,0,0,0,0</t>
  </si>
  <si>
    <t>2025-05-08 03:25:00,2200082086.41397,0,0,0,0,0,0,0</t>
  </si>
  <si>
    <t>2025-05-08 03:25:00,-12901302.3180462,-5470927.48740859,-3063.49999999999,-40,-50928.7539999998,-403.92,0.069778889541928,-6.48</t>
  </si>
  <si>
    <t>2025-05-08 03:25:00,27582470.4988979,0,0,0,0,0,0,0</t>
  </si>
  <si>
    <t>2025-05-08 03:26:00,570,,,,550,,,,,,,,,557,562</t>
  </si>
  <si>
    <t>2025-05-08 03:26:00,490,,,,470,,,,,,,,,482,475</t>
  </si>
  <si>
    <t>2025-05-08 03:26:00,,5630,,5630,,5700,5680,,,,,5710,5570,5630,5620</t>
  </si>
  <si>
    <t>2025-05-08 03:26:00,19475,,,,19475,,,,,,,,,19400,19300</t>
  </si>
  <si>
    <t>2025-05-08 03:26:00,2398909829.64459,0,0,0,0,0,0,0</t>
  </si>
  <si>
    <t>2025-05-08 03:26:00,2206551574.36719,0,0,0,0,0,0,0</t>
  </si>
  <si>
    <t>2025-05-08 03:26:00,-13061966.5332334,-5510982.52738203,-1048.45,-33,-8494.07749999996,-100.15,-0.0368420994254946,-3.91</t>
  </si>
  <si>
    <t>2025-05-08 03:26:00,27585129.3490001,0,0,0,0,0,0,0</t>
  </si>
  <si>
    <t>2025-05-08 03:27:00,570,,,,550,,,,,,,,,557,562</t>
  </si>
  <si>
    <t>2025-05-08 03:27:00,490,,,,470,,,,,,,,,482,475</t>
  </si>
  <si>
    <t>2025-05-08 03:27:00,,5630,,5630,,5700,5680,,,,,5710,5570,5630,5620</t>
  </si>
  <si>
    <t>2025-05-08 03:27:00,19475,,,,19475,,,,,,,,,19400,19300</t>
  </si>
  <si>
    <t>2025-05-08 03:27:00,2456617889.19382,0,0,0,0,0,0,0</t>
  </si>
  <si>
    <t>2025-05-08 03:27:00,2213435444.64148,0,0,0,0,0,0,0</t>
  </si>
  <si>
    <t>2025-05-08 03:27:00,-13330457.0131604,-5601498.62338337,-1212.63333333333,-22,-33237.7943333333,-339.08,0.0371784072201974,-6.7</t>
  </si>
  <si>
    <t>2025-05-08 03:27:00,27586259.6526666,0,0,0,0,0,0,0</t>
  </si>
  <si>
    <t>2025-05-08 03:28:00,570,,,,550,,,,,,,,,557,562</t>
  </si>
  <si>
    <t>2025-05-08 03:28:00,490,,,,470,,,,,,,,,482,475</t>
  </si>
  <si>
    <t>2025-05-08 03:28:00,,5630,,5630,,5700,5680,,,,,5710,5570,5630,5620</t>
  </si>
  <si>
    <t>2025-05-08 03:28:00,19475,,,,19475,,,,,,,,,19400,19300</t>
  </si>
  <si>
    <t>2025-05-08 03:28:00,2482511225.69472,0,0,0,0,0,0,0</t>
  </si>
  <si>
    <t>2025-05-08 03:28:00,2243719677.09735,0,0,0,0,0,0,0</t>
  </si>
  <si>
    <t>2025-05-08 03:28:00,-13512256.3500387,-5666872.06469905,-1548.06666666667,-28,-15425.6246666666,-214.24,0.0794779849079459,-3.95</t>
  </si>
  <si>
    <t>2025-05-08 03:28:00,27586110.8981878,0,0,0,0,0,0,0</t>
  </si>
  <si>
    <t>2025-05-08 03:29:00,570,,,,550,,,,,,,,,557,562</t>
  </si>
  <si>
    <t>2025-05-08 03:29:00,490,,,,470,,,,,,,,,482,475</t>
  </si>
  <si>
    <t>2025-05-08 03:29:00,,5630,,5630,,5700,5680,,,,,5710,5570,5630,5620</t>
  </si>
  <si>
    <t>2025-05-08 03:29:00,19475,,,,19475,,,,,,,,,19400,19300</t>
  </si>
  <si>
    <t>2025-05-08 03:29:00,2462636456.59752,0,0,0,0,0,0,0</t>
  </si>
  <si>
    <t>2025-05-08 03:29:00,2205607140.63527,0,0,0,0,0,0,0</t>
  </si>
  <si>
    <t>2025-05-08 03:29:00,-13321530.5018448,-5623344.10964732,-749.066666666666,-11,-25690.8506666666,-224.42,0.0405068904309988,-3.48</t>
  </si>
  <si>
    <t>2025-05-08 03:29:00,27592399.6360802,0,0,0,0,0,0,0</t>
  </si>
  <si>
    <t>2025-05-08 03:30:00,570,,,,550,,,,,,,,,557,562</t>
  </si>
  <si>
    <t>2025-05-08 03:30:00,490,,,,470,,,,,,,,,482,475</t>
  </si>
  <si>
    <t>2025-05-08 03:30:00,,5630,,5630,,5700,5680,,,,,5710,5570,5630,5620</t>
  </si>
  <si>
    <t>2025-05-08 03:30:00,19475,,,,19475,,,,,,,,,19400,19300</t>
  </si>
  <si>
    <t>2025-05-08 03:30:00,2535553107.59094,0,0,0,0,0,0,0</t>
  </si>
  <si>
    <t>2025-05-08 03:30:00,2268286949.97328,0,0,0,0,0,0,0</t>
  </si>
  <si>
    <t>2025-05-08 03:30:00,-13820601.1643916,-5780769.12932245,-2634.19999999999,-39,-73286.6523333326,-667.49,-0.00304708608850698,-13.54</t>
  </si>
  <si>
    <t>2025-05-08 03:30:00,27592015.7708078,0,0,0,0,0,0,0</t>
  </si>
  <si>
    <t>2025-05-08 03:31:00,570,,,,550,,,,,,,,,557,562</t>
  </si>
  <si>
    <t>2025-05-08 03:31:00,490,,,,470,,,,,,,,,482,475</t>
  </si>
  <si>
    <t>2025-05-08 03:31:00,,5630,,5630,,5700,5680,,,,,5710,5570,5630,5620</t>
  </si>
  <si>
    <t>2025-05-08 03:31:00,19475,,,,19475,,,,,,,,,19400,19300</t>
  </si>
  <si>
    <t>2025-05-08 03:31:00,2541558931.80097,0,0,0,0,0,0,0</t>
  </si>
  <si>
    <t>2025-05-08 03:31:00,2248949115.12199,0,0,0,0,0,0,0</t>
  </si>
  <si>
    <t>2025-05-08 03:31:00,-13852365.0484937,-5794961.96879908,-2138.55,-24,-77937.0881666666,-617.72,0.0548304781690707,-10.08</t>
  </si>
  <si>
    <t>2025-05-08 03:31:00,27593108.0767728,0,0,0,0,0,0,0</t>
  </si>
  <si>
    <t>2025-05-08 03:32:00,570,,,,550,,,,,,,,,557,562</t>
  </si>
  <si>
    <t>2025-05-08 03:32:00,490,,,,470,,,,,,,,,482,475</t>
  </si>
  <si>
    <t>2025-05-08 03:32:00,,5630,,5630,,5700,5680,,,,,5710,5570,5630,5620</t>
  </si>
  <si>
    <t>2025-05-08 03:32:00,19475,,,,19475,,,,,,,,,19400,19300</t>
  </si>
  <si>
    <t>2025-05-08 03:32:00,2541686040.83734,0,0,0,0,0,0,0</t>
  </si>
  <si>
    <t>2025-05-08 03:32:00,2237722888.64996,0,0,0,0,0,0,0</t>
  </si>
  <si>
    <t>2025-05-08 03:32:00,-13862677.1086459,-5847211.41544238,-6332.06666666666,-70,-48076.109,-460.11,0.192623286176812,-6.23</t>
  </si>
  <si>
    <t>2025-05-08 03:32:00,27591362.3042835,0,0,0,0,0,0,0</t>
  </si>
  <si>
    <t>2025-05-08 03:33:00,570,,,,550,,,,,,,,,557,562</t>
  </si>
  <si>
    <t>2025-05-08 03:33:00,490,,,,470,,,,,,,,,482,475</t>
  </si>
  <si>
    <t>2025-05-08 03:33:00,,5630,,5630,,5700,5680,,,,,5710,5570,5630,5620</t>
  </si>
  <si>
    <t>2025-05-08 03:33:00,19475,,,,19475,,,,,,,,,19400,19300</t>
  </si>
  <si>
    <t>2025-05-08 03:33:00,2521527183.78587,0,0,0,0,0,0,0</t>
  </si>
  <si>
    <t>2025-05-08 03:33:00,2237895223.39738,0,0,0,0,0,0,0</t>
  </si>
  <si>
    <t>2025-05-08 03:33:00,-13821673.1854779,-5854447.10283028,-3251.2,-42,-23506.484,-246.22,0.0727189247417143,-4.51</t>
  </si>
  <si>
    <t>2025-05-08 03:33:00,27597670.2634624,0,0,0,0,0,0,0</t>
  </si>
  <si>
    <t>2025-05-08 03:34:00,570,,,,550,,,,,,,,,557,562</t>
  </si>
  <si>
    <t>2025-05-08 03:34:00,490,,,,470,,,,,,,,,482,475</t>
  </si>
  <si>
    <t>2025-05-08 03:34:00,,5630,,5630,,5700,5680,,,,,5710,5570,5630,5620</t>
  </si>
  <si>
    <t>2025-05-08 03:34:00,19475,,,,19475,,,,,,,,,19400,19300</t>
  </si>
  <si>
    <t>2025-05-08 03:34:00,2508721671.02299,0,0,0,0,0,0,0</t>
  </si>
  <si>
    <t>2025-05-08 03:34:00,2209170277.71913,0,0,0,0,0,0,0</t>
  </si>
  <si>
    <t>2025-05-08 03:34:00,-13686689.5607206,-5818123.5171876,-1205.6,-34,-9597.89999999999,-175.49,0.0466719815006133,-3.31</t>
  </si>
  <si>
    <t>2025-05-08 03:34:00,27596708.9802459,0,0,0,0,0,0,0</t>
  </si>
  <si>
    <t>2025-05-08 03:35:00,570,,,,550,,,,,,,,,557,562</t>
  </si>
  <si>
    <t>2025-05-08 03:35:00,490,,,,470,,,,,,,,,482,475</t>
  </si>
  <si>
    <t>2025-05-08 03:35:00,,5630,,5630,,5700,5680,,,,,5710,5570,5630,5620</t>
  </si>
  <si>
    <t>2025-05-08 03:35:00,19475,,,,19475,,,,,,,,,19400,19300</t>
  </si>
  <si>
    <t>2025-05-08 03:35:00,2508301457.75725,0,0,0,0,0,0,0</t>
  </si>
  <si>
    <t>2025-05-08 03:35:00,2208478834.38218,0,0,0,0,0,0,0</t>
  </si>
  <si>
    <t>2025-05-08 03:35:00,-13791829.4830175,-5870990.47346997,-1404.55,-22,-13756.4915,-144.23,0.0405354633433287,-2.88</t>
  </si>
  <si>
    <t>2025-05-08 03:35:00,27596456.8974365,0,0,0,0,0,0,0</t>
  </si>
  <si>
    <t>2025-05-08 03:36:00,570,,,,550,,,,,,,,,557,562</t>
  </si>
  <si>
    <t>2025-05-08 03:36:00,490,,,,470,,,,,,,,,482,475</t>
  </si>
  <si>
    <t>2025-05-08 03:36:00,,5630,,5630,,5700,5680,,,,,5710,5570,5630,5620</t>
  </si>
  <si>
    <t>2025-05-08 03:36:00,19475,,,,19475,,,,,,,,,19400,19300</t>
  </si>
  <si>
    <t>2025-05-08 03:36:00,2508265878.53265,0,0,0,0,0,0,0</t>
  </si>
  <si>
    <t>2025-05-08 03:36:00,2208617465.35614,0,0,0,0,0,0,0</t>
  </si>
  <si>
    <t>2025-05-08 03:36:00,-13758327.3900156,-5848405.94517931,-736.7,-19,-4041.673,-61.56,-0.0119869710334777,-2.21</t>
  </si>
  <si>
    <t>2025-05-08 03:36:00,27597413.7935262,0,0,0,0,0,0,0</t>
  </si>
  <si>
    <t>2025-05-08 03:37:00,570,,,,550,,,,,,,,,557,562</t>
  </si>
  <si>
    <t>2025-05-08 03:37:00,490,,,,470,,,,,,,,,482,475</t>
  </si>
  <si>
    <t>2025-05-08 03:37:00,,5630,,5630,,5700,5680,,,,,5710,5570,5630,5620</t>
  </si>
  <si>
    <t>2025-05-08 03:37:00,19475,,,,19475,,,,,,,,,19400,19300</t>
  </si>
  <si>
    <t>2025-05-08 03:37:00,2528067551.27705,0,0,0,0,0,0,0</t>
  </si>
  <si>
    <t>2025-05-08 03:37:00,2259226267.95473,0,0,0,0,0,0,0</t>
  </si>
  <si>
    <t>2025-05-08 03:37:00,-13933204.3222863,-5914215.77091911,-1210,-14,-11164.16,-117.18,0.0502935492081935,-1.78</t>
  </si>
  <si>
    <t>2025-05-08 03:37:00,27603730.4253951,0,0,0,0,0,0,0</t>
  </si>
  <si>
    <t>2025-05-08 03:38:00,570,,,,550,,,,,,,,,557,562</t>
  </si>
  <si>
    <t>2025-05-08 03:38:00,490,,,,470,,,,,,,,,482,475</t>
  </si>
  <si>
    <t>2025-05-08 03:38:00,,5630,,5630,,5700,5680,,,,,5710,5570,5630,5620</t>
  </si>
  <si>
    <t>2025-05-08 03:38:00,19475,,,,19475,,,,,,,,,19400,19300</t>
  </si>
  <si>
    <t>2025-05-08 03:38:00,2521214687.598,0,0,0,0,0,0,0</t>
  </si>
  <si>
    <t>2025-05-08 03:38:00,2255898762.64662,0,0,0,0,0,0,0</t>
  </si>
  <si>
    <t>2025-05-08 03:38:00,-13863576.4276355,-5914121.86580388,-2973.38043478262,-60,-52110.5625869567,-520.58,0.0306417791958575,-12.82</t>
  </si>
  <si>
    <t>2025-05-08 03:38:00,27605416.9217923,0,0,0,0,0,0,0</t>
  </si>
  <si>
    <t>2025-05-08 03:39:00,570,,,,550,,,,,,,,,557,562</t>
  </si>
  <si>
    <t>2025-05-08 03:39:00,490,,,,470,,,,,,,,,482,475</t>
  </si>
  <si>
    <t>2025-05-08 03:39:00,,5630,,5630,,5700,5680,,,,,5710,5570,5630,5620</t>
  </si>
  <si>
    <t>2025-05-08 03:39:00,19475,,,,19475,,,,,,,,,19400,19300</t>
  </si>
  <si>
    <t>2025-05-08 03:39:00,2560419555.29126,0,0,0,0,0,0,0</t>
  </si>
  <si>
    <t>2025-05-08 03:39:00,2300338203.36528,0,0,0,0,0,0,0</t>
  </si>
  <si>
    <t>2025-05-08 03:39:00,-14067145.7153213,-5971629.92684991,-586.799999999998,-4,-18608.6279999998,-92.26,0.0162726052907989,-1.27</t>
  </si>
  <si>
    <t>2025-05-08 03:39:00,27605557.9432434,0,0,0,0,0,0,0</t>
  </si>
  <si>
    <t>2025-05-08 03:40:00,570,,,,550,,,,,,,,,557,562</t>
  </si>
  <si>
    <t>2025-05-08 03:40:00,490,,,,470,,,,,,,,,482,475</t>
  </si>
  <si>
    <t>2025-05-08 03:40:00,,5630,,5630,,5700,5680,,,,,5710,5570,5630,5620</t>
  </si>
  <si>
    <t>2025-05-08 03:40:00,19475,,,,19475,,,,,,,,,19400,19300</t>
  </si>
  <si>
    <t>2025-05-08 03:40:00,2566018270.30742,0,0,0,0,0,0,0</t>
  </si>
  <si>
    <t>2025-05-08 03:40:00,2282940897.65565,0,0,0,0,0,0,0</t>
  </si>
  <si>
    <t>2025-05-08 03:40:00,-14140975.5189013,-6033811.17529985,-2269.63333333333,-37,-35574.6923333334,-349.6,0.107889713951109,-5.37</t>
  </si>
  <si>
    <t>2025-05-08 03:40:00,27605620.0388647,0,0,0,0,0,0,0</t>
  </si>
  <si>
    <t>2025-05-08 03:41:00,570,,,,550,,,,,,,,,557,562</t>
  </si>
  <si>
    <t>2025-05-08 03:41:00,490,,,,470,,,,,,,,,482,475</t>
  </si>
  <si>
    <t>2025-05-08 03:41:00,,5630,,5630,,5700,5680,,,,,5710,5570,5630,5620</t>
  </si>
  <si>
    <t>2025-05-08 03:41:00,19475,,,,19475,,,,,,,,,19400,19300</t>
  </si>
  <si>
    <t>2025-05-08 03:41:00,2585951617.12447,0,0,0,0,0,0,0</t>
  </si>
  <si>
    <t>2025-05-08 03:41:00,2305218351.06291,0,0,0,0,0,0,0</t>
  </si>
  <si>
    <t>2025-05-08 03:41:00,-14357524.4889263,-6067674.63931387,-1749.93333333334,-52,-22473.1163333334,-280.32,0.0117270557050318,-7.72</t>
  </si>
  <si>
    <t>2025-05-08 03:41:00,27605255.8911556,0,0,0,0,0,0,0</t>
  </si>
  <si>
    <t>2025-05-08 03:42:00,570,,,,550,,,,,,,,,557,562</t>
  </si>
  <si>
    <t>2025-05-08 03:42:00,490,,,,470,,,,,,,,,482,475</t>
  </si>
  <si>
    <t>2025-05-08 03:42:00,,5630,,5630,,5700,5680,,,,,5710,5570,5630,5620</t>
  </si>
  <si>
    <t>2025-05-08 03:42:00,19475,,,,19475,,,,,,,,,19400,19300</t>
  </si>
  <si>
    <t>2025-05-08 03:42:00,2607016946.94937,0,0,0,0,0,0,0</t>
  </si>
  <si>
    <t>2025-05-08 03:42:00,2283049862.41986,0,0,0,0,0,0,0</t>
  </si>
  <si>
    <t>2025-05-08 03:42:00,-14675784.3864061,-6158367.9945636,-1137.43333333334,-43,-16556.9903333334,-204.44,-0.0569086782161199,-5.91</t>
  </si>
  <si>
    <t>2025-05-08 03:42:00,27606829.9709325,0,0,0,0,0,0,0</t>
  </si>
  <si>
    <t>2025-05-08 03:43:00,570,,,,550,,,,,,,,,557,562</t>
  </si>
  <si>
    <t>2025-05-08 03:43:00,490,,,,470,,,,,,,,,482,475</t>
  </si>
  <si>
    <t>2025-05-08 03:43:00,,5630,,5630,,5700,5680,,,,,5710,5570,5630,5620</t>
  </si>
  <si>
    <t>2025-05-08 03:43:00,19475,,,,19475,,,,,,,,,19400,19300</t>
  </si>
  <si>
    <t>2025-05-08 03:43:00,2586131451.22449,0,0,0,0,0,0,0</t>
  </si>
  <si>
    <t>2025-05-08 03:43:00,2303535115.80567,0,0,0,0,0,0,0</t>
  </si>
  <si>
    <t>2025-05-08 03:43:00,-14449796.3762159,-6096582.85683051,-1133.95,-33,-22785.6255,-217.07,0.0474062135712829,-4.02</t>
  </si>
  <si>
    <t>2025-05-08 03:43:00,27613175.2546586,0,0,0,0,0,0,0</t>
  </si>
  <si>
    <t>2025-05-08 03:44:00,570,,,,550,,,,,,,,,557,562</t>
  </si>
  <si>
    <t>2025-05-08 03:44:00,490,,,,470,,,,,,,,,482,475</t>
  </si>
  <si>
    <t>2025-05-08 03:44:00,,5630,,5630,,5700,5680,,,,,5710,5570,5630,5620</t>
  </si>
  <si>
    <t>2025-05-08 03:44:00,19475,,,,19475,,,,,,,,,19400,19300</t>
  </si>
  <si>
    <t>2025-05-08 03:44:00,2599542222.85628,0,0,0,0,0,0,0</t>
  </si>
  <si>
    <t>2025-05-08 03:44:00,2253054195.46175,0,0,0,0,0,0,0</t>
  </si>
  <si>
    <t>2025-05-08 03:44:00,-14715525.7754592,-6180991.55030169,-1067.7,-16,-11552.934,-112.42,0.0333536198446778,-3</t>
  </si>
  <si>
    <t>2025-05-08 03:44:00,27614080.8330213,0,0,0,0,0,0,0</t>
  </si>
  <si>
    <t>2025-05-08 03:45:00,570,,,,550,,,,,,,,,557,562</t>
  </si>
  <si>
    <t>2025-05-08 03:45:00,490,,,,470,,,,,,,,,482,475</t>
  </si>
  <si>
    <t>2025-05-08 03:45:00,,5630,,5630,,5700,5680,,,,,5710,5570,5630,5620</t>
  </si>
  <si>
    <t>2025-05-08 03:45:00,19475,,,,19475,,,,,,,,,19400,19300</t>
  </si>
  <si>
    <t>2025-05-08 03:45:00,2599173251.56187,0,0,0,0,0,0,0</t>
  </si>
  <si>
    <t>2025-05-08 03:45:00,2296648889.20007,0,0,0,0,0,0,0</t>
  </si>
  <si>
    <t>2025-05-08 03:45:00,-14658741.0676585,-6165019.58985722,-1248.46666666666,-28,-12071.8546666666,-141.5,0.0128127903075363,-4.57</t>
  </si>
  <si>
    <t>2025-05-08 03:45:00,27613824.6032868,0,0,0,0,0,0,0</t>
  </si>
  <si>
    <t>2025-05-08 03:46:00,570,,,,550,,,,,,,,,557,562</t>
  </si>
  <si>
    <t>2025-05-08 03:46:00,490,,,,470,,,,,,,,,482,475</t>
  </si>
  <si>
    <t>2025-05-08 03:46:00,,5630,,5630,,5700,5680,,,,,5710,5570,5630,5620</t>
  </si>
  <si>
    <t>2025-05-08 03:46:00,19475,,,,19475,,,,,,,,,19400,19300</t>
  </si>
  <si>
    <t>2025-05-08 03:46:00,2650695012.54852,0,0,0,0,0,0,0</t>
  </si>
  <si>
    <t>2025-05-08 03:46:00,2297003977.52089,0,0,0,0,0,0,0</t>
  </si>
  <si>
    <t>2025-05-08 03:46:00,-14818565.8509638,-6209690.30625646,-448.766666666667,-12,-3057.824,-42.35,0.000214674848304269,-1.21</t>
  </si>
  <si>
    <t>2025-05-08 03:46:00,27613978.5252901,0,0,0,0,0,0,0</t>
  </si>
  <si>
    <t>2025-05-08 03:47:00,570,,,,550,,,,,,,,,557,562</t>
  </si>
  <si>
    <t>2025-05-08 03:47:00,490,,,,470,,,,,,,,,482,475</t>
  </si>
  <si>
    <t>2025-05-08 03:47:00,,5630,,5630,,5700,5680,,,,,5710,5570,5630,5620</t>
  </si>
  <si>
    <t>2025-05-08 03:47:00,19475,,,,19475,,,,,,,,,19400,19300</t>
  </si>
  <si>
    <t>2025-05-08 03:47:00,2689771017.83191,0,0,0,0,0,0,0</t>
  </si>
  <si>
    <t>2025-05-08 03:47:00,2294476950.91483,0,0,0,0,0,0,0</t>
  </si>
  <si>
    <t>2025-05-08 03:47:00,-14977009.1660209,-6284233.31542847,-3076.76111111111,-46,-51734.9255555557,-469.94,0.0406582639204353,-9.66</t>
  </si>
  <si>
    <t>2025-05-08 03:47:00,27614057.5618897,0,0,0,0,0,0,0</t>
  </si>
  <si>
    <t>2025-05-08 03:48:00,570,,,,550,,,,,,,,,557,562</t>
  </si>
  <si>
    <t>2025-05-08 03:48:00,490,,,,470,,,,,,,,,482,475</t>
  </si>
  <si>
    <t>2025-05-08 03:48:00,,5630,,5630,,5700,5680,,,,,5710,5570,5630,5620</t>
  </si>
  <si>
    <t>2025-05-08 03:48:00,19475,,,,19475,,,,,,,,,19400,19300</t>
  </si>
  <si>
    <t>2025-05-08 03:48:00,2713308880.98517,0,0,0,0,0,0,0</t>
  </si>
  <si>
    <t>2025-05-08 03:48:00,2294638296.95778,0,0,0,0,0,0,0</t>
  </si>
  <si>
    <t>2025-05-08 03:48:00,-15189215.1394342,-6359183.49199454,-1827.82,-51,-25292.9538000001,-327.07,0.0391610756211047,-7.74</t>
  </si>
  <si>
    <t>2025-05-08 03:48:00,27620429.6209683,0,0,0,0,0,0,0</t>
  </si>
  <si>
    <t>2025-05-08 03:49:00,570,,,,550,,,,,,,,,557,562</t>
  </si>
  <si>
    <t>2025-05-08 03:49:00,490,,,,470,,,,,,,,,482,475</t>
  </si>
  <si>
    <t>2025-05-08 03:49:00,,5630,,5630,,5700,5680,,,,,5710,5570,5630,5620</t>
  </si>
  <si>
    <t>2025-05-08 03:49:00,19475,,,,19475,,,,,,,,,19400,19300</t>
  </si>
  <si>
    <t>2025-05-08 03:49:00,2767994099.87117,0,0,0,0,0,0,0</t>
  </si>
  <si>
    <t>2025-05-08 03:49:00,2314129343.1672,0,0,0,0,0,0,0</t>
  </si>
  <si>
    <t>2025-05-08 03:49:00,-15442521.8424087,-6516778.08656382,-6949.675,-200,-62410.97,-924.61,0.26804458629472,-14.06</t>
  </si>
  <si>
    <t>2025-05-08 03:49:00,27622608.1505744,0,0,0,0,0,0,0</t>
  </si>
  <si>
    <t>2025-05-08 03:50:00,570,,,,550,,,,,,,,,557,562</t>
  </si>
  <si>
    <t>2025-05-08 03:50:00,490,,,,470,,,,,,,,,482,475</t>
  </si>
  <si>
    <t>2025-05-08 03:50:00,,5630,,5630,,5700,5680,,,,,5710,5570,5630,5620</t>
  </si>
  <si>
    <t>2025-05-08 03:50:00,19475,,,,19475,,,,,,,,,19400,19300</t>
  </si>
  <si>
    <t>2025-05-08 03:50:00,2781463542.16464,0,0,0,0,0,0,0</t>
  </si>
  <si>
    <t>2025-05-08 03:50:00,2320820201.07911,0,0,0,0,0,0,0</t>
  </si>
  <si>
    <t>2025-05-08 03:50:00,-15580045.4323378,-6557283.72623869,-1267.65,-19,-21227.4414999999,-184.93,0.0394566282267703,-3.87</t>
  </si>
  <si>
    <t>2025-05-08 03:50:00,27622350.0757339,0,0,0,0,0,0,0</t>
  </si>
  <si>
    <t>2025-05-08 03:51:00,570,,,,550,,,,,,,,,557,562</t>
  </si>
  <si>
    <t>2025-05-08 03:51:00,490,,,,470,,,,,,,,,482,475</t>
  </si>
  <si>
    <t>2025-05-08 03:51:00,,5630,,5630,,5700,5680,,,,,5710,5570,5630,5620</t>
  </si>
  <si>
    <t>2025-05-08 03:51:00,19475,,,,19475,,,,,,,,,19400,19300</t>
  </si>
  <si>
    <t>2025-05-08 03:51:00,2778929668.06681,0,0,0,0,0,0,0</t>
  </si>
  <si>
    <t>2025-05-08 03:51:00,2329689054.44034,0,0,0,0,0,0,0</t>
  </si>
  <si>
    <t>2025-05-08 03:51:00,-16086856.0646245,-6744836.83543683,-4624.45000000001,-49,-202211.588500001,-988.59,0.0945054229724624,-17.28</t>
  </si>
  <si>
    <t>2025-05-08 03:51:00,27623274.3609139,0,0,0,0,0,0,0</t>
  </si>
  <si>
    <t>2025-05-08 03:52:00,570,,,,550,,,,,,,,,557,562</t>
  </si>
  <si>
    <t>2025-05-08 03:52:00,490,,,,470,,,,,,,,,482,475</t>
  </si>
  <si>
    <t>2025-05-08 03:52:00,,5630,,5630,,5700,5680,,,,,5710,5570,5630,5620</t>
  </si>
  <si>
    <t>2025-05-08 03:52:00,19475,,,,19475,,,,,,,,,19400,19300</t>
  </si>
  <si>
    <t>2025-05-08 03:52:00,2772884770.48826,0,0,0,0,0,0,0</t>
  </si>
  <si>
    <t>2025-05-08 03:52:00,2352549334.1815,0,0,0,0,0,0,0</t>
  </si>
  <si>
    <t>2025-05-08 03:52:00,-16061534.440434,-6765763.43040131,-2141.56666666666,-31,-84241.5053333327,-620.88,0.112211655273207,-10.03</t>
  </si>
  <si>
    <t>2025-05-08 03:52:00,27624921.9662791,0,0,0,0,0,0,0</t>
  </si>
  <si>
    <t>2025-05-08 03:53:00,570,,,,550,,,,,,,,,557,562</t>
  </si>
  <si>
    <t>2025-05-08 03:53:00,490,,,,470,,,,,,,,,482,475</t>
  </si>
  <si>
    <t>2025-05-08 03:53:00,,5630,,5630,,5700,5680,,,,,5710,5570,5630,5620</t>
  </si>
  <si>
    <t>2025-05-08 03:53:00,19475,,,,19475,,,,,,,,,19400,19300</t>
  </si>
  <si>
    <t>2025-05-08 03:53:00,2778673733.66993,0,0,0,0,0,0,0</t>
  </si>
  <si>
    <t>2025-05-08 03:53:00,2306658132.93957,0,0,0,0,0,0,0</t>
  </si>
  <si>
    <t>2025-05-08 03:53:00,-15681086.3411371,-6628595.75679527,-4906.17777777776,-76,-76405.8117777778,-738.81,-0.0434707542678581,-20.87</t>
  </si>
  <si>
    <t>2025-05-08 03:53:00,27631253.2003254,0,0,0,0,0,0,0</t>
  </si>
  <si>
    <t>2025-05-08 03:54:00,570,,,,550,,,,,,,,,557,562</t>
  </si>
  <si>
    <t>2025-05-08 03:54:00,490,,,,470,,,,,,,,,482,475</t>
  </si>
  <si>
    <t>2025-05-08 03:54:00,,5630,,5630,,5700,5680,,,,,5710,5570,5630,5620</t>
  </si>
  <si>
    <t>2025-05-08 03:54:00,19475,,,,19475,,,,,,,,,19400,19300</t>
  </si>
  <si>
    <t>2025-05-08 03:54:00,2778876383.42315,0,0,0,0,0,0,0</t>
  </si>
  <si>
    <t>2025-05-08 03:54:00,2338376168.21595,0,0,0,0,0,0,0</t>
  </si>
  <si>
    <t>2025-05-08 03:54:00,-15757321.1647074,-6688708.46963022,-3106.43333333333,-48,-52653.526,-600.07,0.206153104575274,-11</t>
  </si>
  <si>
    <t>2025-05-08 03:54:00,27630617.7051341,0,0,0,0,0,0,0</t>
  </si>
  <si>
    <t>2025-05-08 03:55:00,570,,,,550,,,,,,,,,557,562</t>
  </si>
  <si>
    <t>2025-05-08 03:55:00,490,,,,470,,,,,,,,,482,475</t>
  </si>
  <si>
    <t>2025-05-08 03:55:00,,5630,,5630,,5700,5680,,,,,5710,5570,5630,5620</t>
  </si>
  <si>
    <t>2025-05-08 03:55:00,19475,,,,19475,,,,,,,,,19400,19300</t>
  </si>
  <si>
    <t>2025-05-08 03:55:00,2788766723.84745,0,0,0,0,0,0,0</t>
  </si>
  <si>
    <t>2025-05-08 03:55:00,2344867436.8172,0,0,0,0,0,0,0</t>
  </si>
  <si>
    <t>2025-05-08 03:55:00,-15596018.7584591,-6642035.4087447,-2559.76666666669,-31,-46061.8726666669,-378.88,0.00403928107682024,-9.19</t>
  </si>
  <si>
    <t>2025-05-08 03:55:00,27632207.4543713,0,0,0,0,0,0,0</t>
  </si>
  <si>
    <t>2025-05-08 03:57:00,570,,,,550,,,,,,,,,557,562</t>
  </si>
  <si>
    <t>2025-05-08 03:57:00,490,,,,470,,,,,,,,,482,475</t>
  </si>
  <si>
    <t>2025-05-08 03:57:00,,5630,,5630,,5700,5680,,,,,5710,5570,5630,5620</t>
  </si>
  <si>
    <t>2025-05-08 03:57:00,19475,,,,19475,,,,,,,,,19400,19300</t>
  </si>
  <si>
    <t>2025-05-08 03:57:00,2780827727.23779,0,0,0,0,0,0,0</t>
  </si>
  <si>
    <t>2025-05-08 03:57:00,2314040523.00272,0,0,0,0,0,0,0</t>
  </si>
  <si>
    <t>2025-05-08 03:57:00,-15448855.801568,-6594818.59571551,-1018.1,-15,-24544.4739999998,-159.82,0.00644324587006658,-3.77</t>
  </si>
  <si>
    <t>2025-05-08 03:57:00,27630963.8741183,0,0,0,0,0,0,0</t>
  </si>
  <si>
    <t>2025-05-08 03:58:00,570,,,,550,,,,,,,,,557,562</t>
  </si>
  <si>
    <t>2025-05-08 03:58:00,490,,,,470,,,,,,,,,482,475</t>
  </si>
  <si>
    <t>2025-05-08 03:58:00,,5630,,5630,,5700,5680,,,,,5710,5570,5630,5620</t>
  </si>
  <si>
    <t>2025-05-08 03:58:00,19475,,,,19475,,,,,,,,,19400,19300</t>
  </si>
  <si>
    <t>2025-05-08 03:58:00,2754290167.52157,0,0,0,0,0,0,0</t>
  </si>
  <si>
    <t>2025-05-08 03:58:00,2352142091.73672,0,0,0,0,0,0,0</t>
  </si>
  <si>
    <t>2025-05-08 03:58:00,-15865177.1854424,-6810384.72408038,-4063.21666666667,-62,-93526.247666667,-938.15,0.207615997687764,-10.59</t>
  </si>
  <si>
    <t>2025-05-08 03:58:00,27632073.0692035,0,0,0,0,0,0,0</t>
  </si>
  <si>
    <t>2025-05-08 03:59:00,570,,,,550,,,,,,,,,557,562</t>
  </si>
  <si>
    <t>2025-05-08 03:59:00,490,,,,470,,,,,,,,,482,475</t>
  </si>
  <si>
    <t>2025-05-08 03:59:00,,5630,,5630,,5700,5680,,,,,5710,5570,5630,5620</t>
  </si>
  <si>
    <t>2025-05-08 03:59:00,19475,,,,19475,,,,,,,,,19400,19300</t>
  </si>
  <si>
    <t>2025-05-08 03:59:00,2772566288.64849,0,0,0,0,0,0,0</t>
  </si>
  <si>
    <t>2025-05-08 03:59:00,2351493726.43089,0,0,0,0,0,0,0</t>
  </si>
  <si>
    <t>2025-05-08 03:59:00,-16004432.8324865,-6834433.8785065,-2375.83333333334,-28,-97535.348666667,-517.68,0.0524512645066288,-9.1</t>
  </si>
  <si>
    <t>2025-05-08 03:59:00,27630876.7856854,0,0,0,0,0,0,0</t>
  </si>
  <si>
    <t>2025-05-08 04:00:00,570,,,,550,,,,,,,,,557,562</t>
  </si>
  <si>
    <t>2025-05-08 04:00:00,490,,,,470,,,,,,,,,482,475</t>
  </si>
  <si>
    <t>2025-05-08 04:00:00,,5630,,5630,,5700,5680,,,,,5710,5570,5630,5620</t>
  </si>
  <si>
    <t>2025-05-08 04:00:00,19475,,,,19475,,,,,,,,,19400,19300</t>
  </si>
  <si>
    <t>2025-05-08 04:00:00,2790433310.99498,0,0,0,0,0,0,0</t>
  </si>
  <si>
    <t>2025-05-08 04:00:00,2333978323.74573,0,0,0,0,0,0,0</t>
  </si>
  <si>
    <t>2025-05-08 04:00:00,-15982886.3124139,-6845576.40502827,-1297.3,-18,-41649.3780000001,-275.46,0.0396647038357423,-4.39</t>
  </si>
  <si>
    <t>2025-05-08 04:00:00,27637370.2142841,0,0,0,0,0,0,0</t>
  </si>
  <si>
    <t>2025-05-08 04:01:00,570,,,,550,,,,,,,,,557,562</t>
  </si>
  <si>
    <t>2025-05-08 04:01:00,490,,,,470,,,,,,,,,482,475</t>
  </si>
  <si>
    <t>2025-05-08 04:01:00,,5630,,5630,,5700,5680,,,,,5710,5570,5630,5620</t>
  </si>
  <si>
    <t>2025-05-08 04:01:00,19475,,,,19475,,,,,,,,,19400,19300</t>
  </si>
  <si>
    <t>2025-05-08 04:01:00,2754110302.72332,0,0,0,0,0,0,0</t>
  </si>
  <si>
    <t>2025-05-08 04:01:00,2332751203.05162,0,0,0,0,0,0,0</t>
  </si>
  <si>
    <t>2025-05-08 04:01:00,-15817279.4357234,-6810119.43880656,-1157.16666666668,-9,-97479.5066666676,-509.1,0.0227824025998504,-5.55</t>
  </si>
  <si>
    <t>2025-05-08 04:01:00,27639798.1591477,0,0,0,0,0,0,0</t>
  </si>
  <si>
    <t>2025-05-08 04:02:00,570,,,,550,,,,,,,,,557,562</t>
  </si>
  <si>
    <t>2025-05-08 04:02:00,490,,,,470,,,,,,,,,482,475</t>
  </si>
  <si>
    <t>2025-05-08 04:02:00,,5630,,5630,,5700,5680,,,,,5740,5570,5630,5620</t>
  </si>
  <si>
    <t>2025-05-08 04:02:00,19475,,,,19475,,,,,,,,,19400,19300</t>
  </si>
  <si>
    <t>2025-05-08 04:02:00,2801756824.50689,0,0,0,0,0,0,0</t>
  </si>
  <si>
    <t>2025-05-08 04:02:00,2352091155.33131,0,0,0,0,0,0,0</t>
  </si>
  <si>
    <t>2025-05-08 04:02:00,-16046963.186593,-6861145.62762316,-611.966666666668,-18,-2521.34000000001,-57.79,-0.0367545112936265,-2.93</t>
  </si>
  <si>
    <t>2025-05-08 04:02:00,27642132.5639804,0,0,0,0,0,0,0</t>
  </si>
  <si>
    <t>2025-05-08 04:03:00,570,,,,550,,,,,,,,,557,562</t>
  </si>
  <si>
    <t>2025-05-08 04:03:00,490,,,,470,,,,,,,,,482,475</t>
  </si>
  <si>
    <t>2025-05-08 04:03:00,,5630,,5630,,5700,5680,,,,,5740,5570,5630,5620</t>
  </si>
  <si>
    <t>2025-05-08 04:03:00,19475,,,,19475,,,,,,,,,19400,19300</t>
  </si>
  <si>
    <t>2025-05-08 04:03:00,2801495627.40278,0,0,0,0,0,0,0</t>
  </si>
  <si>
    <t>2025-05-08 04:03:00,2344461749.46994,0,0,0,0,0,0,0</t>
  </si>
  <si>
    <t>2025-05-08 04:03:00,-16211110.2013101,-6894601.39537679,-1991.50000000001,-28,-86078.6600000003,-392.5,-0.0278290546434319,-8.47</t>
  </si>
  <si>
    <t>2025-05-08 04:03:00,27642321.723538,0,0,0,0,0,0,0</t>
  </si>
  <si>
    <t>2025-05-08 04:04:00,570,,,,550,,,,,,,,,557,562</t>
  </si>
  <si>
    <t>2025-05-08 04:04:00,490,,,,470,,,,,,,,,482,475</t>
  </si>
  <si>
    <t>2025-05-08 04:04:00,,5630,,5630,,5700,5680,,,,,5740,5570,5630,5620</t>
  </si>
  <si>
    <t>2025-05-08 04:04:00,19475,,,,19475,,,,,,,,,19400,19300</t>
  </si>
  <si>
    <t>2025-05-08 04:04:00,2789869497.26801,0,0,0,0,0,0,0</t>
  </si>
  <si>
    <t>2025-05-08 04:04:00,2326968859.92523,0,0,0,0,0,0,0</t>
  </si>
  <si>
    <t>2025-05-08 04:04:00,-16224527.2753858,-6927928.10573062,-1526,-31,-41175.7270000001,-322.28,0.123515012826943,-9.66</t>
  </si>
  <si>
    <t>2025-05-08 04:04:00,27642152.3892773,0,0,0,0,0,0,0</t>
  </si>
  <si>
    <t>2025-05-08 04:05:00,570,,,,550,,,,,,,,,557,562</t>
  </si>
  <si>
    <t>2025-05-08 04:05:00,490,,,,470,,,,,,,,,482,475</t>
  </si>
  <si>
    <t>2025-05-08 04:05:00,,5630,,5630,,5700,5680,,,,,5740,5570,5630,5620</t>
  </si>
  <si>
    <t>2025-05-08 04:05:00,19475,,,,19475,,,,,,,,,19400,19300</t>
  </si>
  <si>
    <t>2025-05-08 04:05:00,2742966304.37638,0,0,0,0,0,0,0</t>
  </si>
  <si>
    <t>2025-05-08 04:05:00,2335077273.23535,0,0,0,0,0,0,0</t>
  </si>
  <si>
    <t>2025-05-08 04:05:00,-15784813.6853489,-6806989.20543381,-765.699999999999,-10,-34286.3579999999,-225,-0.00134933834064567,-4.17</t>
  </si>
  <si>
    <t>2025-05-08 04:05:00,27646191.9724224,0,0,0,0,0,0,0</t>
  </si>
  <si>
    <t>2025-05-08 04:06:00,570,,,,550,,,,,,,,,557,562</t>
  </si>
  <si>
    <t>2025-05-08 04:06:00,490,,,,470,,,,,,,,,482,475</t>
  </si>
  <si>
    <t>2025-05-08 04:06:00,,5630,,5630,,5700,5680,,,,,5740,5570,5630,5620</t>
  </si>
  <si>
    <t>2025-05-08 04:06:00,19475,,,,19475,,,,,,,,,19400,19300</t>
  </si>
  <si>
    <t>2025-05-08 04:06:00,2722197086.17446,0,0,0,0,0,0,0</t>
  </si>
  <si>
    <t>2025-05-08 04:06:00,2325942796.42897,0,0,0,0,0,0,0</t>
  </si>
  <si>
    <t>2025-05-08 04:06:00,-15759601.7262864,-6814095.79469961,-1150.71666666667,-18,-49845.7905000004,-302.28,0.0323942018726423,-4.97</t>
  </si>
  <si>
    <t>2025-05-08 04:06:00,27648608.9300183,0,0,0,0,0,0,0</t>
  </si>
  <si>
    <t>2025-05-08 04:07:00,570,,,,550,,,,,,,,,557,562</t>
  </si>
  <si>
    <t>2025-05-08 04:07:00,490,,,,470,,,,,,,,,482,475</t>
  </si>
  <si>
    <t>2025-05-08 04:07:00,,5630,,5630,,5700,5680,,,,,5740,5570,5630,5620</t>
  </si>
  <si>
    <t>2025-05-08 04:07:00,19475,,,,19475,,,,,,,,,19400,19300</t>
  </si>
  <si>
    <t>2025-05-08 04:07:00,2785259090.23245,0,0,0,0,0,0,0</t>
  </si>
  <si>
    <t>2025-05-08 04:07:00,2303274801.50417,0,0,0,0,0,0,0</t>
  </si>
  <si>
    <t>2025-05-08 04:07:00,-15626361.3117458,-6790524.56397567,-1423.46666666666,-20,-65750.8066666661,-419.36,0.110273913313142,-7.51</t>
  </si>
  <si>
    <t>2025-05-08 04:07:00,27648773.0764572,0,0,0,0,0,0,0</t>
  </si>
  <si>
    <t>2025-05-08 04:08:00,570,,,,550,,,,,,,,,557,562</t>
  </si>
  <si>
    <t>2025-05-08 04:08:00,490,,,,470,,,,,,,,,482,475</t>
  </si>
  <si>
    <t>2025-05-08 04:08:00,,5630,,5630,,5700,5680,,,,,5740,5570,5630,5620</t>
  </si>
  <si>
    <t>2025-05-08 04:08:00,19475,,,,19475,,,,,,,,,19400,19300</t>
  </si>
  <si>
    <t>2025-05-08 04:08:00,2779621311.64115,0,0,0,0,0,0,0</t>
  </si>
  <si>
    <t>2025-05-08 04:08:00,2299617051.0277,0,0,0,0,0,0,0</t>
  </si>
  <si>
    <t>2025-05-08 04:08:00,-15599479.7519443,-6787703.43678506,-1172.3,-15,-32119.8420000001,-248.88,0.0673633494433884,-5.41</t>
  </si>
  <si>
    <t>2025-05-08 04:08:00,27647596.0937071,0,0,0,0,0,0,0</t>
  </si>
  <si>
    <t>2025-05-08 04:09:00,570,,,,550,,,,,,,,,557,562</t>
  </si>
  <si>
    <t>2025-05-08 04:09:00,490,,,,470,,,,,,,,,482,475</t>
  </si>
  <si>
    <t>2025-05-08 04:09:00,,5630,,5630,,5700,5680,,,,,5740,5570,5630,5620</t>
  </si>
  <si>
    <t>2025-05-08 04:09:00,19475,,,,19475,,,,,,,,,19400,19300</t>
  </si>
  <si>
    <t>2025-05-08 04:09:00,2766266080.33586,0,0,0,0,0,0,0</t>
  </si>
  <si>
    <t>2025-05-08 04:09:00,2292891492.52072,0,0,0,0,0,0,0</t>
  </si>
  <si>
    <t>2025-05-08 04:09:00,-15508893.1767383,-6791056.54942334,-1146.8,-17,-25072.172,-276.52,0.151443526808012,-5.42</t>
  </si>
  <si>
    <t>2025-05-08 04:09:00,27649454.6313279,0,0,0,0,0,0,0</t>
  </si>
  <si>
    <t>2025-05-08 04:10:00,570,,,,550,,,,,,,,,557,562</t>
  </si>
  <si>
    <t>2025-05-08 04:10:00,490,,,,470,,,,,,,,,482,475</t>
  </si>
  <si>
    <t>2025-05-08 04:10:00,,5630,,5630,,5700,5680,,,,,5740,5570,5630,5620</t>
  </si>
  <si>
    <t>2025-05-08 04:10:00,19475,,,,19475,,,,,,,,,19400,19300</t>
  </si>
  <si>
    <t>2025-05-08 04:10:00,2758674751.4711,0,0,0,0,0,0,0</t>
  </si>
  <si>
    <t>2025-05-08 04:10:00,2289182367.49171,0,0,0,0,0,0,0</t>
  </si>
  <si>
    <t>2025-05-08 04:10:00,-15398213.7152682,-6764122.68530734,-972.05,-18,-18403.7885,-169.52,0.0196591010938281,-4.47</t>
  </si>
  <si>
    <t>2025-05-08 04:10:00,27649832.0950059,0,0,0,0,0,0,0</t>
  </si>
  <si>
    <t>2025-05-08 04:11:00,570,,,,550,,,,,,,,,557,562</t>
  </si>
  <si>
    <t>2025-05-08 04:11:00,490,,,,470,,,,,,,,,482,475</t>
  </si>
  <si>
    <t>2025-05-08 04:11:00,,5630,,5630,,5700,5680,,,,,5740,5570,5630,5620</t>
  </si>
  <si>
    <t>2025-05-08 04:11:00,19475,,,,19475,,,,,,,,,19400,19300</t>
  </si>
  <si>
    <t>2025-05-08 04:11:00,2784518011.23221,0,0,0,0,0,0,0</t>
  </si>
  <si>
    <t>2025-05-08 04:11:00,2303957216.80499,0,0,0,0,0,0,0</t>
  </si>
  <si>
    <t>2025-05-08 04:11:00,-15591803.1610069,-6856084.1447785,-1181.26666666667,-10,-61282.8546666668,-319.42,0.0344835263052597,-5.02</t>
  </si>
  <si>
    <t>2025-05-08 04:11:00,27656416.2969567,0,0,0,0,0,0,0</t>
  </si>
  <si>
    <t>2025-05-08 04:12:00,570,,,,550,,,,,,,,,557,562</t>
  </si>
  <si>
    <t>2025-05-08 04:12:00,490,,,,470,,,,,,,,,482,475</t>
  </si>
  <si>
    <t>2025-05-08 04:12:00,,5630,,5630,,5700,5680,,,,,5740,5570,5630,5620</t>
  </si>
  <si>
    <t>2025-05-08 04:12:00,19475,,,,19475,,,,,,,,,19400,19300</t>
  </si>
  <si>
    <t>2025-05-08 04:12:00,2758304106.06129,0,0,0,0,0,0,0</t>
  </si>
  <si>
    <t>2025-05-08 04:12:00,2278443505.55744,0,0,0,0,0,0,0</t>
  </si>
  <si>
    <t>2025-05-08 04:12:00,-15503538.1848991,-6818319.28598815,-318.3,-9,-3553.207,-48.09,0.0174595867584397,-0.95</t>
  </si>
  <si>
    <t>2025-05-08 04:12:00,27659557.1652958,0,0,0,0,0,0,0</t>
  </si>
  <si>
    <t>2025-05-08 04:13:00,570,,,,550,,,,,,,,,557,562</t>
  </si>
  <si>
    <t>2025-05-08 04:13:00,490,,,,470,,,,,,,,,482,475</t>
  </si>
  <si>
    <t>2025-05-08 04:13:00,,5630,,5630,,5700,5680,,,,,5740,5570,5630,5620</t>
  </si>
  <si>
    <t>2025-05-08 04:13:00,19475,,,,19475,,,,,,,,,19400,19300</t>
  </si>
  <si>
    <t>2025-05-08 04:13:00,2750561956.91465,0,0,0,0,0,0,0</t>
  </si>
  <si>
    <t>2025-05-08 04:13:00,2293367573.91095,0,0,0,0,0,0,0</t>
  </si>
  <si>
    <t>2025-05-08 04:13:00,-15513828.4444795,-6842392.91764477,-387.033333333334,-11,-2506.91666666667,-42.68,-0.000577140180764342,-1.18</t>
  </si>
  <si>
    <t>2025-05-08 04:13:00,27660141.1966615,0,0,0,0,0,0,0</t>
  </si>
  <si>
    <t>2025-05-08 04:14:00,570,,,,550,,,,,,,,,557,562</t>
  </si>
  <si>
    <t>2025-05-08 04:14:00,490,,,,470,,,,,,,,,482,475</t>
  </si>
  <si>
    <t>2025-05-08 04:14:00,,5630,,5630,,5700,5680,,,,,5740,5570,5630,5620</t>
  </si>
  <si>
    <t>2025-05-08 04:14:00,19475,,,,19475,,,,,,,,,19400,19300</t>
  </si>
  <si>
    <t>2025-05-08 04:14:00,2787442477.62889,0,0,0,0,0,0,0</t>
  </si>
  <si>
    <t>2025-05-08 04:14:00,2326473779.04964,0,0,0,0,0,0,0</t>
  </si>
  <si>
    <t>2025-05-08 04:14:00,-15760167.7056489,-6909835.72261545,-777.1,-15,-22043.4740000001,-180.98,0.0134870344986438,-4.13</t>
  </si>
  <si>
    <t>2025-05-08 04:14:00,27659723.3790336,0,0,0,0,0,0,0</t>
  </si>
  <si>
    <t>2025-05-08 04:15:00,570,,,,550,,,,,,,,,557,562</t>
  </si>
  <si>
    <t>2025-05-08 04:15:00,490,,,,470,,,,,,,,,482,475</t>
  </si>
  <si>
    <t>2025-05-08 04:15:00,,5630,,5630,,5700,5680,,,,,5740,5570,5630,5620</t>
  </si>
  <si>
    <t>2025-05-08 04:15:00,19475,,,,19475,,,,,,,,,19400,19300</t>
  </si>
  <si>
    <t>2025-05-08 04:15:00,2750234442.39354,0,0,0,0,0,0,0</t>
  </si>
  <si>
    <t>2025-05-08 04:15:00,2289730554.062,0,0,0,0,0,0,0</t>
  </si>
  <si>
    <t>2025-05-08 04:15:00,-15484894.7033299,-6827453.57356682,-443.666666666666,-10,-9855.13999999998,-99.2,0.017746678985342,-1.54</t>
  </si>
  <si>
    <t>2025-05-08 04:15:00,27660048.313579,0,0,0,0,0,0,0</t>
  </si>
  <si>
    <t>2025-05-08 04:16:00,570,,,,550,,,,,,,,,557,562</t>
  </si>
  <si>
    <t>2025-05-08 04:16:00,490,,,,470,,,,,,,,,482,475</t>
  </si>
  <si>
    <t>2025-05-08 04:16:00,,5630,,5630,,5700,5680,,,,,5740,5570,5630,5620</t>
  </si>
  <si>
    <t>2025-05-08 04:16:00,19475,,,,19475,,,,,,,,,19400,19300</t>
  </si>
  <si>
    <t>2025-05-08 04:16:00,2742197300.80054,0,0,0,0,0,0,0</t>
  </si>
  <si>
    <t>2025-05-08 04:16:00,2278308648.66382,0,0,0,0,0,0,0</t>
  </si>
  <si>
    <t>2025-05-08 04:16:00,-15399391.6213075,-6820454.27353845,-2509.36666666665,-30,-113118.772333332,-728.41,0.113822081131631,-8.98</t>
  </si>
  <si>
    <t>2025-05-08 04:16:00,27657421.4362785,0,0,0,0,0,0,0</t>
  </si>
  <si>
    <t>2025-05-08 04:17:00,570,,,,550,,,,,,,,,557,562</t>
  </si>
  <si>
    <t>2025-05-08 04:17:00,490,,,,470,,,,,,,,,482,475</t>
  </si>
  <si>
    <t>2025-05-08 04:17:00,,5630,,5630,,5700,5680,,,,,5740,5570,5630,5620</t>
  </si>
  <si>
    <t>2025-05-08 04:17:00,19475,,,,19475,,,,,,,,,19400,19300</t>
  </si>
  <si>
    <t>2025-05-08 04:17:00,2710033388.24504,0,0,0,0,0,0,0</t>
  </si>
  <si>
    <t>2025-05-08 04:17:00,2259494558.78606,0,0,0,0,0,0,0</t>
  </si>
  <si>
    <t>2025-05-08 04:17:00,-15238401.0999303,-6810305.30489494,-1173.6,-8,-27253.4720000001,-163.86,0.104277254712231,-3.42</t>
  </si>
  <si>
    <t>2025-05-08 04:17:00,27663887.975459,0,0,0,0,0,0,0</t>
  </si>
  <si>
    <t>2025-05-08 04:18:00,570,,,,550,,,,,,,,,557,562</t>
  </si>
  <si>
    <t>2025-05-08 04:18:00,490,,,,470,,,,,,,,,482,475</t>
  </si>
  <si>
    <t>2025-05-08 04:18:00,,5630,,5630,,5700,5680,,,,,5740,5570,5630,5620</t>
  </si>
  <si>
    <t>2025-05-08 04:18:00,19475,,,,19475,,,,,,,,,19400,19300</t>
  </si>
  <si>
    <t>2025-05-08 04:18:00,2726117079.02667,0,0,0,0,0,0,0</t>
  </si>
  <si>
    <t>2025-05-08 04:18:00,2278430484.5412,0,0,0,0,0,0,0</t>
  </si>
  <si>
    <t>2025-05-08 04:18:00,-15366962.6169469,-6849665.63542109,-367.5,-10,-2957.65,-48,0.00684766151713335,-1.07</t>
  </si>
  <si>
    <t>2025-05-08 04:18:00,27665008.6624015,0,0,0,0,0,0,0</t>
  </si>
  <si>
    <t>2025-05-08 04:19:00,570,,,,550,,,,,,,,,557,562</t>
  </si>
  <si>
    <t>2025-05-08 04:19:00,490,,,,470,,,,,,,,,482,475</t>
  </si>
  <si>
    <t>2025-05-08 04:19:00,,5630,,5630,,5700,5680,,,,,5740,5570,5630,5620</t>
  </si>
  <si>
    <t>2025-05-08 04:19:00,19475,,,,19475,,,,,,,,,19400,19300</t>
  </si>
  <si>
    <t>2025-05-08 04:19:00,2733551327.2935,0,0,0,0,0,0,0</t>
  </si>
  <si>
    <t>2025-05-08 04:19:00,2286330010.68018,0,0,0,0,0,0,0</t>
  </si>
  <si>
    <t>2025-05-08 04:19:00,-15460686.22727,-6881058.79655379,-768.249999999997,-10,-25412.3064999998,-176.65,0.0424119459715965,-3.03</t>
  </si>
  <si>
    <t>2025-05-08 04:19:00,27666927.1004496,0,0,0,0,0,0,0</t>
  </si>
  <si>
    <t>2025-05-08 04:20:00,570,,,,550,,,,,,,,,557,562</t>
  </si>
  <si>
    <t>2025-05-08 04:20:00,490,,,,470,,,,,,,,,482,475</t>
  </si>
  <si>
    <t>2025-05-08 04:20:00,,5630,,5630,,5700,5680,,,,,5740,5570,5630,5620</t>
  </si>
  <si>
    <t>2025-05-08 04:20:00,19475,,,,19475,,,,,,,,,19400,19300</t>
  </si>
  <si>
    <t>2025-05-08 04:20:00,2776561409.12853,0,0,0,0,0,0,0</t>
  </si>
  <si>
    <t>2025-05-08 04:20:00,2331732605.54625,0,0,0,0,0,0,0</t>
  </si>
  <si>
    <t>2025-05-08 04:20:00,-16208818.823917,-7144965.49782846,-756.916666666666,-14,-12199.5191666666,-129.59,0.0306471489677331,-2.97</t>
  </si>
  <si>
    <t>2025-05-08 04:20:00,27668841.6375732,0,0,0,0,0,0,0</t>
  </si>
  <si>
    <t>2025-05-08 04:21:00,570,,,,550,,,,,,,,,557,562</t>
  </si>
  <si>
    <t>2025-05-08 04:21:00,490,,,,470,,,,,,,,,482,475</t>
  </si>
  <si>
    <t>2025-05-08 04:21:00,,5630,,5630,,5700,5680,,,,,5740,5570,5630,5620</t>
  </si>
  <si>
    <t>2025-05-08 04:21:00,19475,,,,19475,,,,,,,,,19400,19300</t>
  </si>
  <si>
    <t>2025-05-08 04:21:00,2782448452.11924,0,0,0,0,0,0,0</t>
  </si>
  <si>
    <t>2025-05-08 04:21:00,2336022438.97696,0,0,0,0,0,0,0</t>
  </si>
  <si>
    <t>2025-05-08 04:21:00,-16327964.326307,-7200043.28513931,-916.45,-20,-11834.5915,-139.64,0.0354122293635843,-2.96</t>
  </si>
  <si>
    <t>2025-05-08 04:21:00,27669400.9117454,0,0,0,0,0,0,0</t>
  </si>
  <si>
    <t>2025-05-08 04:22:00,570,,,,550,,,,,,,,,557,562</t>
  </si>
  <si>
    <t>2025-05-08 04:22:00,490,,,,470,,,,,,,,,482,475</t>
  </si>
  <si>
    <t>2025-05-08 04:22:00,,5630,,5630,,5700,5680,,,,,5740,5570,5630,5620</t>
  </si>
  <si>
    <t>2025-05-08 04:22:00,19475,,,,19475,,,,,,,,,19400,19300</t>
  </si>
  <si>
    <t>2025-05-08 04:22:00,2745633638.09309,0,0,0,0,0,0,0</t>
  </si>
  <si>
    <t>2025-05-08 04:22:00,2352783649.0015,0,0,0,0,0,0,0</t>
  </si>
  <si>
    <t>2025-05-08 04:22:00,-15989797.3258833,-7108591.7847956,-966.966666666666,-13,-12076.306,-128.7,0.0220045132094987,-2.72</t>
  </si>
  <si>
    <t>2025-05-08 04:22:00,27675948.2332817,0,0,0,0,0,0,0</t>
  </si>
  <si>
    <t>2025-05-08 04:23:00,570,,,,550,,,,,,,,,557,562</t>
  </si>
  <si>
    <t>2025-05-08 04:23:00,490,,,,470,,,,,,,,,482,475</t>
  </si>
  <si>
    <t>2025-05-08 04:23:00,,5630,,5630,,5700,5680,,,,,5740,5570,5630,5620</t>
  </si>
  <si>
    <t>2025-05-08 04:23:00,19475,,,,19475,,,,,,,,,19400,19300</t>
  </si>
  <si>
    <t>2025-05-08 04:23:00,2788011780.63042,0,0,0,0,0,0,0</t>
  </si>
  <si>
    <t>2025-05-08 04:23:00,2328002432.40572,0,0,0,0,0,0,0</t>
  </si>
  <si>
    <t>2025-05-08 04:23:00,-16314677.7923949,-7213524.64726291,-1408.99999999999,-12,-79950.5939999992,-369.24,0.0376342132768222,-6.62</t>
  </si>
  <si>
    <t>2025-05-08 04:23:00,27676469.4354387,0,0,0,0,0,0,0</t>
  </si>
  <si>
    <t>2025-05-08 04:24:00,570,,,,550,,,,,,,,,557,562</t>
  </si>
  <si>
    <t>2025-05-08 04:24:00,490,,,,470,,,,,,,,,482,475</t>
  </si>
  <si>
    <t>2025-05-08 04:24:00,,5630,,5630,,5700,5680,,,,,5740,5570,5630,5620</t>
  </si>
  <si>
    <t>2025-05-08 04:24:00,19475,,,,19475,,,,,,,,,19400,19300</t>
  </si>
  <si>
    <t>2025-05-08 04:24:00,2828599506.58688,0,0,0,0,0,0,0</t>
  </si>
  <si>
    <t>2025-05-08 04:24:00,2572627218.5228,0,0,0,0,0,0,0</t>
  </si>
  <si>
    <t>2025-05-08 04:24:00,-16731473.9506095,-7158784.77701578,-1757.15555555556,-25,-32031.1323333334,-286.57,0.0529919810639481,-5.5</t>
  </si>
  <si>
    <t>2025-05-08 04:24:00,27677420.9546931,0,0,0,0,0,0,0</t>
  </si>
  <si>
    <t>2025-05-08 04:25:00,570,,,,550,,,,,,,,,557,562</t>
  </si>
  <si>
    <t>2025-05-08 04:25:00,490,,,,470,,,,,,,,,482,475</t>
  </si>
  <si>
    <t>2025-05-08 04:25:00,,5630,,5630,,5700,5680,,,,,5750,5570,5630,5620</t>
  </si>
  <si>
    <t>2025-05-08 04:25:00,19475,,,,19475,,,,,,,,,19400,19300</t>
  </si>
  <si>
    <t>2025-05-08 04:25:00,2828577560.48399,0,0,0,0,0,0,0</t>
  </si>
  <si>
    <t>2025-05-08 04:25:00,2576188245.49164,0,0,0,0,0,0,0</t>
  </si>
  <si>
    <t>2025-05-08 04:25:00,-16645363.0103154,-7266915.07863083,-3761.31666666667,-60,-73898.9891666668,-543.95,0.141859621357983,-10.46</t>
  </si>
  <si>
    <t>2025-05-08 04:25:00,27677014.6458131,0,0,0,0,0,0,0</t>
  </si>
  <si>
    <t>2025-05-08 04:26:00,570,,,,550,,,,,,,,,557,562</t>
  </si>
  <si>
    <t>2025-05-08 04:26:00,490,,,,470,,,,,,,,,482,475</t>
  </si>
  <si>
    <t>2025-05-08 04:26:00,,5630,,5630,,5700,5680,,,,,5750,5570,5630,5620</t>
  </si>
  <si>
    <t>2025-05-08 04:26:00,19475,,,,19475,,,,,,,,,19400,19300</t>
  </si>
  <si>
    <t>2025-05-08 04:26:00,2608092630.85886,0,0,0,0,0,0,0</t>
  </si>
  <si>
    <t>2025-05-08 04:26:00,2602194381.54312,0,0,0,0,0,0,0</t>
  </si>
  <si>
    <t>2025-05-08 04:26:00,-16369019.2369124,-6148716.274113,-4805.1,-151,-34257.0830000001,-461.9,-0.113686344227454,-18.66</t>
  </si>
  <si>
    <t>2025-05-08 04:26:00,27677628.7957695,0,0,0,0,0,0,0</t>
  </si>
  <si>
    <t>2025-05-08 04:27:00,570,,,,550,,,,,,,,,557,562</t>
  </si>
  <si>
    <t>2025-05-08 04:27:00,490,,,,470,,,,,,,,,482,475</t>
  </si>
  <si>
    <t>2025-05-08 04:27:00,,5630,,5630,,5700,5680,,,,,5750,5570,5630,5620</t>
  </si>
  <si>
    <t>2025-05-08 04:27:00,19475,,,,19475,,,,,,,,,19400,19300</t>
  </si>
  <si>
    <t>2025-05-08 04:27:00,2614131967.19682,0,0,0,0,0,0,0</t>
  </si>
  <si>
    <t>2025-05-08 04:27:00,2602283003.24377,0,0,0,0,0,0,0</t>
  </si>
  <si>
    <t>2025-05-08 04:27:00,-16384858.2328944,-6160778.46891534,-2649.35,-35,-68461.3785,-573.43,0.0636667099709186,-12.03</t>
  </si>
  <si>
    <t>2025-05-08 04:27:00,27678204.9710927,0,0,0,0,0,0,0</t>
  </si>
  <si>
    <t>2025-05-08 04:28:00,570,,,,550,,,,,,,,,557,562</t>
  </si>
  <si>
    <t>2025-05-08 04:28:00,490,,,,470,,,,,,,,,482,475</t>
  </si>
  <si>
    <t>2025-05-08 04:28:00,,5630,,5630,,5700,5680,,,,,5750,5570,5630,5620</t>
  </si>
  <si>
    <t>2025-05-08 04:28:00,19475,,,,19475,,,,,,,,,19400,19300</t>
  </si>
  <si>
    <t>2025-05-08 04:28:00,2620262671.72333,0,0,0,0,0,0,0</t>
  </si>
  <si>
    <t>2025-05-08 04:28:00,2580855419.5446,0,0,0,0,0,0,0</t>
  </si>
  <si>
    <t>2025-05-08 04:28:00,-16298217.9084962,-6189657.45016463,-3119.10000000001,-27,-76319.7130000003,-458.57,0.216396229389212,-8.52</t>
  </si>
  <si>
    <t>2025-05-08 04:28:00,27684665.5207007,0,0,0,0,0,0,0</t>
  </si>
  <si>
    <t>2025-05-08 04:29:00,570,,,,550,,,,,,,,,557,562</t>
  </si>
  <si>
    <t>2025-05-08 04:29:00,490,,,,470,,,,,,,,,482,475</t>
  </si>
  <si>
    <t>2025-05-08 04:29:00,,5630,,5630,,5700,5680,,,,,5750,5570,5630,5620</t>
  </si>
  <si>
    <t>2025-05-08 04:29:00,19475,,,,19475,,,,,,,,,19400,19300</t>
  </si>
  <si>
    <t>2025-05-08 04:29:00,2607664110.935,0,0,0,0,0,0,0</t>
  </si>
  <si>
    <t>2025-05-08 04:29:00,2607072095.72289,0,0,0,0,0,0,0</t>
  </si>
  <si>
    <t>2025-05-08 04:29:00,-16403967.7433498,-6233346.90168483,-1338.83333333333,-30,-31180.5973333333,-320.47,0.0570243055351043,-6.3</t>
  </si>
  <si>
    <t>2025-05-08 04:29:00,27685528.7305856,0,0,0,0,0,0,0</t>
  </si>
  <si>
    <t>2025-05-08 04:30:00,570,,,,550,,,,,,,,,557,562</t>
  </si>
  <si>
    <t>2025-05-08 04:30:00,490,,,,470,,,,,,,,,482,475</t>
  </si>
  <si>
    <t>2025-05-08 04:30:00,,5630,,5630,,5700,5680,,,,,5750,5570,5630,5620</t>
  </si>
  <si>
    <t>2025-05-08 04:30:00,19475,,,,19475,,,,,,,,,19400,19300</t>
  </si>
  <si>
    <t>2025-05-08 04:30:00,2755934101.07999,0,0,0,0,0,0,0</t>
  </si>
  <si>
    <t>2025-05-08 04:30:00,2643808651.6683,0,0,0,0,0,0,0</t>
  </si>
  <si>
    <t>2025-05-08 04:30:00,-16656414.305923,-6303745.36667974,-1443.38333333333,-17,-37224.4828333332,-291.74,0.0717653086734289,-5.76</t>
  </si>
  <si>
    <t>2025-05-08 04:30:00,27688021.1512795,0,0,0,0,0,0,0</t>
  </si>
  <si>
    <t>2025-05-08 04:31:00,570,,,,550,,,,,,,,,557,562</t>
  </si>
  <si>
    <t>2025-05-08 04:31:00,490,,,,470,,,,,,,,,482,475</t>
  </si>
  <si>
    <t>2025-05-08 04:31:00,,5630,,5630,,5700,5680,,,,,5750,5570,5630,5620</t>
  </si>
  <si>
    <t>2025-05-08 04:31:00,19475,,,,19475,,,,,,,,,19400,19300</t>
  </si>
  <si>
    <t>2025-05-08 04:31:00,2803414659.27276,0,0,0,0,0,0,0</t>
  </si>
  <si>
    <t>2025-05-08 04:31:00,2668967704.76114,0,0,0,0,0,0,0</t>
  </si>
  <si>
    <t>2025-05-08 04:31:00,-16991608.9235576,-6361120.06480776,-1302.63333333334,-35,-16700.8586666667,-186.39,0.00845378401945115,-4.59</t>
  </si>
  <si>
    <t>2025-05-08 04:31:00,27686441.2223922,0,0,0,0,0,0,0</t>
  </si>
  <si>
    <t>2025-05-08 04:32:00,570,,,,550,,,,,,,,,557,562</t>
  </si>
  <si>
    <t>2025-05-08 04:32:00,490,,,,470,,,,,,,,,482,475</t>
  </si>
  <si>
    <t>2025-05-08 04:32:00,,5630,,5630,,5700,5680,,,,,5750,5570,5630,5620</t>
  </si>
  <si>
    <t>2025-05-08 04:32:00,19475,,,,19475,,,,,,,,,19400,19300</t>
  </si>
  <si>
    <t>2025-05-08 04:32:00,2748889969.09106,0,0,0,0,0,0,0</t>
  </si>
  <si>
    <t>2025-05-08 04:32:00,2639233329.34382,0,0,0,0,0,0,0</t>
  </si>
  <si>
    <t>2025-05-08 04:32:00,-16669250.8195866,-6522264.24806777,-6795.28333333333,-93,-183254.565833333,-1617.45,0.882679990789648,-29.67</t>
  </si>
  <si>
    <t>2025-05-08 04:32:00,27686844.6020332,0,0,0,0,0,0,0</t>
  </si>
  <si>
    <t>2025-05-08 04:33:00,570,,,,550,,,,,,,,,557,562</t>
  </si>
  <si>
    <t>2025-05-08 04:33:00,490,,,,470,,,,,,,,,482,475</t>
  </si>
  <si>
    <t>2025-05-08 04:33:00,,5630,,5630,,5700,5680,,,,,5750,5570,5630,5620</t>
  </si>
  <si>
    <t>2025-05-08 04:33:00,19475,,,,19475,,,,,,,,,19400,19300</t>
  </si>
  <si>
    <t>2025-05-08 04:33:00,2625502099.23578,0,0,0,0,0,0,0</t>
  </si>
  <si>
    <t>2025-05-08 04:33:00,2615782060.69589,0,0,0,0,0,0,0</t>
  </si>
  <si>
    <t>2025-05-08 04:33:00,-16499227.4019121,-6517534.68602209,-2042.30000000001,-38,-81312.6910000005,-700.9,0.111911251952141,-12.87</t>
  </si>
  <si>
    <t>2025-05-08 04:33:00,27689221.7692996,0,0,0,0,0,0,0</t>
  </si>
  <si>
    <t>2025-05-08 04:34:00,570,,,,550,,,,,,,,,557,562</t>
  </si>
  <si>
    <t>2025-05-08 04:34:00,490,,,,470,,,,,,,,,482,475</t>
  </si>
  <si>
    <t>2025-05-08 04:34:00,,5630,,5630,,5700,5680,,,,,5750,5570,5630,5620</t>
  </si>
  <si>
    <t>2025-05-08 04:34:00,19475,,,,19475,,,,,,,,,19400,19300</t>
  </si>
  <si>
    <t>2025-05-08 04:34:00,2761771759.33703,0,0,0,0,0,0,0</t>
  </si>
  <si>
    <t>2025-05-08 04:34:00,2648665482.56585,0,0,0,0,0,0,0</t>
  </si>
  <si>
    <t>2025-05-08 04:34:00,-16856757.8156738,-6584092.99745006,-1077.05,-13,-16819.4795,-155.25,0.0551709472292519,-2.32</t>
  </si>
  <si>
    <t>2025-05-08 04:34:00,27695842.6877882,0,0,0,0,0,0,0</t>
  </si>
  <si>
    <t>2025-05-08 04:35:00,570,,,,550,,,,,,,,,557,562</t>
  </si>
  <si>
    <t>2025-05-08 04:35:00,490,,,,470,,,,,,,,,482,475</t>
  </si>
  <si>
    <t>2025-05-08 04:35:00,,5630,,5630,,5700,5680,,,,,5750,5570,5630,5620</t>
  </si>
  <si>
    <t>2025-05-08 04:35:00,19475,,,,19475,,,,,,,,,19400,19300</t>
  </si>
  <si>
    <t>2025-05-08 04:35:00,2607184207.58377,0,0,0,0,0,0,0</t>
  </si>
  <si>
    <t>2025-05-08 04:35:00,2606724982.84671,0,0,0,0,0,0,0</t>
  </si>
  <si>
    <t>2025-05-08 04:35:00,-16506936.143329,-6510819.59589405,-1575.23333333334,-23,-36604.64,-264.97,-0.000214464231818103,-6.84</t>
  </si>
  <si>
    <t>2025-05-08 04:35:00,27694610.1910785,0,0,0,0,0,0,0</t>
  </si>
  <si>
    <t>2025-05-08 04:36:00,570,,,,550,,,,,,,,,557,562</t>
  </si>
  <si>
    <t>2025-05-08 04:36:00,490,,,,470,,,,,,,,,482,475</t>
  </si>
  <si>
    <t>2025-05-08 04:36:00,,5630,,5630,,5700,5680,,,,,5750,5570,5630,5620</t>
  </si>
  <si>
    <t>2025-05-08 04:36:00,19475,,,,19475,,,,,,,,,19400,19300</t>
  </si>
  <si>
    <t>2025-05-08 04:36:00,2781915448.43852,0,0,0,0,0,0,0</t>
  </si>
  <si>
    <t>2025-05-08 04:36:00,2653878523.33702,0,0,0,0,0,0,0</t>
  </si>
  <si>
    <t>2025-05-08 04:36:00,-16990631.5792768,-6656837.41770436,-1814.97,-25,-48711.9452999996,-329.76,0.0356445372634284,-6.35</t>
  </si>
  <si>
    <t>2025-05-08 04:36:00,27695448.2260041,0,0,0,0,0,0,0</t>
  </si>
  <si>
    <t>2025-05-08 04:37:00,570,,,,550,,,,,,,,,557,562</t>
  </si>
  <si>
    <t>2025-05-08 04:37:00,490,,,,470,,,,,,,,,482,475</t>
  </si>
  <si>
    <t>2025-05-08 04:37:00,,5630,,5630,,5700,5680,,,,,5750,5570,5630,5620</t>
  </si>
  <si>
    <t>2025-05-08 04:37:00,19475,,,,19475,,,,,,,,,19400,19300</t>
  </si>
  <si>
    <t>2025-05-08 04:37:00,2817223340.13043,0,0,0,0,0,0,0</t>
  </si>
  <si>
    <t>2025-05-08 04:37:00,2679775301.67776,0,0,0,0,0,0,0</t>
  </si>
  <si>
    <t>2025-05-08 04:37:00,-17160988.5750773,-6697415.85626432,-2589.53333333334,-36,-84539.5463333334,-532.19,0.0328851242087509,-12.21</t>
  </si>
  <si>
    <t>2025-05-08 04:37:00,27696130.7946517,0,0,0,0,0,0,0</t>
  </si>
  <si>
    <t>2025-05-08 04:38:00,570,,,,550,,,,,,,,,557,562</t>
  </si>
  <si>
    <t>2025-05-08 04:38:00,490,,,,470,,,,,,,,,482,475</t>
  </si>
  <si>
    <t>2025-05-08 04:38:00,,5630,,5630,,5700,5680,,,,,5750,5570,5630,5620</t>
  </si>
  <si>
    <t>2025-05-08 04:38:00,19475,,,,19475,,,,,,,,,19400,19300</t>
  </si>
  <si>
    <t>2025-05-08 04:38:00,2838820175.98862,0,0,0,0,0,0,0</t>
  </si>
  <si>
    <t>2025-05-08 04:38:00,2674372742.84966,0,0,0,0,0,0,0</t>
  </si>
  <si>
    <t>2025-05-08 04:38:00,-17230565.1733039,-6731904.35379058,-1312.49183006536,-20,-41695.5640359478,-540.19,0.0435900291009498,-9.63</t>
  </si>
  <si>
    <t>2025-05-08 04:38:00,27697555.1863783,0,0,0,0,0,0,0</t>
  </si>
  <si>
    <t>2025-05-08 04:39:00,570,,,,550,,,,,,,,,557,562</t>
  </si>
  <si>
    <t>2025-05-08 04:39:00,490,,,,490,,,,,,,,,482,475</t>
  </si>
  <si>
    <t>2025-05-08 04:39:00,,5630,,5630,,5700,5680,,,,,5750,5570,5630,5620</t>
  </si>
  <si>
    <t>2025-05-08 04:39:00,19475,,,,19475,,,,,,,,,19400,19300</t>
  </si>
  <si>
    <t>2025-05-08 04:39:00,2901393896.9241,0,0,0,0,0,0,0</t>
  </si>
  <si>
    <t>2025-05-08 04:39:00,2718631962.47825,0,0,0,0,0,0,0</t>
  </si>
  <si>
    <t>2025-05-08 04:39:00,-17481378.0647443,-6808810.91817463,-3924.19696969697,-109,-49485.997181818,-579.38,0.0399331888140055,-14.89</t>
  </si>
  <si>
    <t>2025-05-08 04:39:00,27702427.7625118,0,0,0,0,0,0,0</t>
  </si>
  <si>
    <t>2025-05-08 04:40:00,570,,,,550,,,,,,,,,557,562</t>
  </si>
  <si>
    <t>2025-05-08 04:40:00,490,,,,490,,,,,,,,,482,475</t>
  </si>
  <si>
    <t>2025-05-08 04:40:00,,5630,,5630,,5700,5680,,,,,5750,5570,5630,5620</t>
  </si>
  <si>
    <t>2025-05-08 04:40:00,19475,,,,19475,,,,,,,,,19400,19300</t>
  </si>
  <si>
    <t>2025-05-08 04:40:00,2901710302.93607,0,0,0,0,0,0,0</t>
  </si>
  <si>
    <t>2025-05-08 04:40:00,2570694950.8714,0,0,0,0,0,0,0</t>
  </si>
  <si>
    <t>2025-05-08 04:40:00,-17502337.4864278,-6871013.33353227,-4616.66666666667,-74,-77271.7016666666,-744.09,0.210107064307909,-14.2</t>
  </si>
  <si>
    <t>2025-05-08 04:40:00,27705930.8072421,0,0,0,0,0,0,0</t>
  </si>
  <si>
    <t>2025-05-08 04:41:00,570,,,,550,,,,,,,,,557,562</t>
  </si>
  <si>
    <t>2025-05-08 04:41:00,490,,,,490,,,,,,,,,482,475</t>
  </si>
  <si>
    <t>2025-05-08 04:41:00,,5630,,5630,,5700,5680,,,,,5750,5570,5630,5620</t>
  </si>
  <si>
    <t>2025-05-08 04:41:00,19475,,,,19475,,,,,,,,,19400,19300</t>
  </si>
  <si>
    <t>2025-05-08 04:41:00,2925670150.34505,0,0,0,0,0,0,0</t>
  </si>
  <si>
    <t>2025-05-08 04:41:00,2618845515.63326,0,0,0,0,0,0,0</t>
  </si>
  <si>
    <t>2025-05-08 04:41:00,-17652370.5210645,-6895078.56986694,-1268.9,-26,-50050.2040000002,-280.46,0.00503372174516004,-5.97</t>
  </si>
  <si>
    <t>2025-05-08 04:41:00,27704028.3848873,0,0,0,0,0,0,0</t>
  </si>
  <si>
    <t>2025-05-08 04:42:00,570,,,,550,,,,,,,,,557,562</t>
  </si>
  <si>
    <t>2025-05-08 04:42:00,490,,,,490,,,,,,,,,482,475</t>
  </si>
  <si>
    <t>2025-05-08 04:42:00,,5630,,5630,,5700,5680,,,,,5750,5570,5630,5620</t>
  </si>
  <si>
    <t>2025-05-08 04:42:00,19475,,,,19475,,,,,,,,,19400,19300</t>
  </si>
  <si>
    <t>2025-05-08 04:42:00,2999563918.95953,0,0,0,0,0,0,0</t>
  </si>
  <si>
    <t>2025-05-08 04:42:00,2631116260.45843,0,0,0,0,0,0,0</t>
  </si>
  <si>
    <t>2025-05-08 04:42:00,-17834204.7899576,-6987446.82217523,-3160.88666666666,-45,-141521.997066666,-1042.56,0.037077092743662,-18.56</t>
  </si>
  <si>
    <t>2025-05-08 04:42:00,27705614.0307702,0,0,0,0,0,0,0</t>
  </si>
  <si>
    <t>2025-05-08 04:43:00,570,,,,550,,,,,,,,,557,562</t>
  </si>
  <si>
    <t>2025-05-08 04:43:00,490,,,,490,,,,,,,,,482,475</t>
  </si>
  <si>
    <t>2025-05-08 04:43:00,,5630,,5630,,5700,5680,,,,,5750,5570,5630,5620</t>
  </si>
  <si>
    <t>2025-05-08 04:43:00,19475,,,,19475,,,,,,,,,19400,19300</t>
  </si>
  <si>
    <t>2025-05-08 04:43:00,2902249693.25328,0,0,0,0,0,0,0</t>
  </si>
  <si>
    <t>2025-05-08 04:43:00,2640121900.64987,0,0,0,0,0,0,0</t>
  </si>
  <si>
    <t>2025-05-08 04:43:00,-18028759.2465709,-7156377.94238859,-2968.56060606061,-45,-47665.0593333333,-391.62,-0.0206012642579056,-11.7</t>
  </si>
  <si>
    <t>2025-05-08 04:43:00,27703711.822955,0,0,0,0,0,0,0</t>
  </si>
  <si>
    <t>2025-05-08 04:44:00,570,,,,550,,,,,,,,,557,562</t>
  </si>
  <si>
    <t>2025-05-08 04:44:00,490,,,,490,,,,,,,,,482,475</t>
  </si>
  <si>
    <t>2025-05-08 04:44:00,,5630,,5630,,5700,5680,,,,,5750,5570,5630,5620</t>
  </si>
  <si>
    <t>2025-05-08 04:44:00,19475,,,,19475,,,,,,,,,19400,19300</t>
  </si>
  <si>
    <t>2025-05-08 04:44:00,3038946093.16288,0,0,0,0,0,0,0</t>
  </si>
  <si>
    <t>2025-05-08 04:44:00,2631424668.77906,0,0,0,0,0,0,0</t>
  </si>
  <si>
    <t>2025-05-08 04:44:00,-18005276.7014627,-7181758.47570968,-3246.1,-30,-91843.2316666668,-510.43,0.0952458211738252,-11.07</t>
  </si>
  <si>
    <t>2025-05-08 04:44:00,27705913.0725684,0,0,0,0,0,0,0</t>
  </si>
  <si>
    <t>2025-05-08 04:45:00,570,,,,550,,,,,,,,,557,562</t>
  </si>
  <si>
    <t>2025-05-08 04:45:00,490,,,,490,,,,,,,,,482,475</t>
  </si>
  <si>
    <t>2025-05-08 04:45:00,,5630,,5630,,5700,5680,,,,,5750,5570,5630,5620</t>
  </si>
  <si>
    <t>2025-05-08 04:45:00,19475,,,,19475,,,,,,,,,19400,19300</t>
  </si>
  <si>
    <t>2025-05-08 04:45:00,3030655172.83573,0,0,0,0,0,0,0</t>
  </si>
  <si>
    <t>2025-05-08 04:45:00,2627952270.51237,0,0,0,0,0,0,0</t>
  </si>
  <si>
    <t>2025-05-08 04:45:00,-17854239.8789764,-7130206.48024123,-1754.3,-26,-38746.6289999999,-223.19,0.00850700015441221,-6.88</t>
  </si>
  <si>
    <t>2025-05-08 04:45:00,27712447.1293974,0,0,0,0,0,0,0</t>
  </si>
  <si>
    <t>2025-05-08 04:46:00,570,,,,550,,,,,,,,,557,562</t>
  </si>
  <si>
    <t>2025-05-08 04:46:00,490,,,,490,,,,,,,,,482,475</t>
  </si>
  <si>
    <t>2025-05-08 04:46:00,,5630,,5630,,5700,5680,,,,,5750,5570,5630,5620</t>
  </si>
  <si>
    <t>2025-05-08 04:46:00,19475,,,,19475,,,,,,,,,19400,19300</t>
  </si>
  <si>
    <t>2025-05-08 04:46:00,2901523188.55549,0,0,0,0,0,0,0</t>
  </si>
  <si>
    <t>2025-05-08 04:46:00,2625046042.06875,0,0,0,0,0,0,0</t>
  </si>
  <si>
    <t>2025-05-08 04:46:00,-18019665.587675,-7199869.52474874,-2368.4,-38,-29560.707,-271.5,0.0681874584308552,-5.88</t>
  </si>
  <si>
    <t>2025-05-08 04:46:00,27713396.3536437,0,0,0,0,0,0,0</t>
  </si>
  <si>
    <t>2025-05-08 04:47:00,570,,,,550,,,,,,,,,557,562</t>
  </si>
  <si>
    <t>2025-05-08 04:47:00,490,,,,490,,,,,,,,,482,475</t>
  </si>
  <si>
    <t>2025-05-08 04:47:00,,5630,,5630,,5700,5680,,,,,5750,5570,5630,5620</t>
  </si>
  <si>
    <t>2025-05-08 04:47:00,19475,,,,19475,,,,,,,,,19400,19300</t>
  </si>
  <si>
    <t>2025-05-08 04:47:00,2990992502.53721,0,0,0,0,0,0,0</t>
  </si>
  <si>
    <t>2025-05-08 04:47:00,2604707924.98423,0,0,0,0,0,0,0</t>
  </si>
  <si>
    <t>2025-05-08 04:47:00,-17783905.0157386,-7127198.38063106,-2517.56666666668,-41,-56517.0820000003,-373.24,-0.0556518214412722,-11.1</t>
  </si>
  <si>
    <t>2025-05-08 04:47:00,27715167.7488221,0,0,0,0,0,0,0</t>
  </si>
  <si>
    <t>2025-05-08 04:48:00,570,,,,550,,,,,,,,,557,562</t>
  </si>
  <si>
    <t>2025-05-08 04:48:00,490,,,,490,,,,,,,,,482,475</t>
  </si>
  <si>
    <t>2025-05-08 04:48:00,,5630,,5630,,5700,5680,,,,,5750,5570,5630,5620</t>
  </si>
  <si>
    <t>2025-05-08 04:48:00,19475,,,,19475,,,,,,,,,19400,19300</t>
  </si>
  <si>
    <t>2025-05-08 04:48:00,2907970286.94641,0,0,0,0,0,0,0</t>
  </si>
  <si>
    <t>2025-05-08 04:48:00,2628646169.36397,0,0,0,0,0,0,0</t>
  </si>
  <si>
    <t>2025-05-08 04:48:00,-18078837.6444399,-7195604.94108741,-1071.25,-26,-9506.14450000002,-114.54,-0.00611488638701012,-3.84</t>
  </si>
  <si>
    <t>2025-05-08 04:48:00,27715590.627718,0,0,0,0,0,0,0</t>
  </si>
  <si>
    <t>2025-05-08 04:49:00,570,,,,550,,,,,,,,,557,562</t>
  </si>
  <si>
    <t>2025-05-08 04:49:00,490,,,,490,,,,,,,,,482,475</t>
  </si>
  <si>
    <t>2025-05-08 04:49:00,,5630,,5630,,5700,5680,,,,,5750,5570,5630,5620</t>
  </si>
  <si>
    <t>2025-05-08 04:49:00,19475,,,,19475,,,,,,,,,19400,19300</t>
  </si>
  <si>
    <t>2025-05-08 04:49:00,2951250623.75869,0,0,0,0,0,0,0</t>
  </si>
  <si>
    <t>2025-05-08 04:49:00,2650523729.42737,0,0,0,0,0,0,0</t>
  </si>
  <si>
    <t>2025-05-08 04:49:00,-18183695.3199296,-7334603.99675695,-10815.6416666667,-128,-130540.212833333,-1135.86,0.358702268272471,-18.07</t>
  </si>
  <si>
    <t>2025-05-08 04:49:00,27714913.9615195,0,0,0,0,0,0,0</t>
  </si>
  <si>
    <t>2025-05-08 04:50:00,570,,,,550,,,,,,,,,557,562</t>
  </si>
  <si>
    <t>2025-05-08 04:50:00,490,,,,490,,,,,,,,,482,475</t>
  </si>
  <si>
    <t>2025-05-08 04:50:00,,5630,,5630,,5700,5680,,,,,5750,5570,5630,5620</t>
  </si>
  <si>
    <t>2025-05-08 04:50:00,19475,,,,19475,,,,,,,,,19400,19300</t>
  </si>
  <si>
    <t>2025-05-08 04:50:00,2905308360.22042,0,0,0,0,0,0,0</t>
  </si>
  <si>
    <t>2025-05-08 04:50:00,2675904721.34034,0,0,0,0,0,0,0</t>
  </si>
  <si>
    <t>2025-05-08 04:50:00,-18409562.6264724,-7508617.93446084,-7219.31666666666,-100,-305516.5505,-2455.85,0.382395212526477,-40.49</t>
  </si>
  <si>
    <t>2025-05-08 04:50:00,27715742.8956962,0,0,0,0,0,0,0</t>
  </si>
  <si>
    <t>2025-05-08 04:51:00,570,,,,550,,,,,,,,,557,562</t>
  </si>
  <si>
    <t>2025-05-08 04:51:00,490,,,,490,,,,,,,,,482,475</t>
  </si>
  <si>
    <t>2025-05-08 04:51:00,,5630,,5630,,5700,5680,,,,,5750,5570,5630,5620</t>
  </si>
  <si>
    <t>2025-05-08 04:51:00,19475,,,,19475,,,,,,,,,19400,19300</t>
  </si>
  <si>
    <t>2025-05-08 04:51:00,2905076701.64856,0,0,0,0,0,0,0</t>
  </si>
  <si>
    <t>2025-05-08 04:51:00,2670099385.08839,0,0,0,0,0,0,0</t>
  </si>
  <si>
    <t>2025-05-08 04:51:00,-18431813.0831424,-7520735.09158951,-1519.01666666667,-30,-58513.8168333333,-497.4,0.0460049373548064,-9.3</t>
  </si>
  <si>
    <t>2025-05-08 04:51:00,27722425.9134615,0,0,0,0,0,0,0</t>
  </si>
  <si>
    <t>2025-05-08 04:52:00,570,,,,550,,,,,,,,,557,562</t>
  </si>
  <si>
    <t>2025-05-08 04:52:00,490,,,,490,,,,,,,,,482,475</t>
  </si>
  <si>
    <t>2025-05-08 04:52:00,,5630,,5630,,5700,5680,,,,,5750,5570,5630,5620</t>
  </si>
  <si>
    <t>2025-05-08 04:52:00,19475,,,,19475,,,,,,,,,19400,19300</t>
  </si>
  <si>
    <t>2025-05-08 04:52:00,2964542079.98099,0,0,0,0,0,0,0</t>
  </si>
  <si>
    <t>2025-05-08 04:52:00,2653509178.34037,0,0,0,0,0,0,0</t>
  </si>
  <si>
    <t>2025-05-08 04:52:00,-18274619.9274827,-7478597.26010365,-770.833333333331,-40,-11918.8116666666,-119.1,-0.0273725628458743,-5.07</t>
  </si>
  <si>
    <t>2025-05-08 04:52:00,27722079.7340013,0,0,0,0,0,0,0</t>
  </si>
  <si>
    <t>2025-05-08 04:53:00,570,,,,550,,,,,,,,,557,562</t>
  </si>
  <si>
    <t>2025-05-08 04:53:00,490,,,,490,,,,,,,,,482,475</t>
  </si>
  <si>
    <t>2025-05-08 04:53:00,,5630,,5630,,5700,5680,,,,,5750,5570,5630,5620</t>
  </si>
  <si>
    <t>2025-05-08 04:53:00,19475,,,,19475,,,,,,,,,19400,19300</t>
  </si>
  <si>
    <t>2025-05-08 04:53:00,3029876894.11042,0,0,0,0,0,0,0</t>
  </si>
  <si>
    <t>2025-05-08 04:53:00,2616275689.58138,0,0,0,0,0,0,0</t>
  </si>
  <si>
    <t>2025-05-08 04:53:00,-17873478.9664458,-7350207.43824382,-1262.95,-29,-22786.0883333334,-264.39,0.012250496343428,-6.93</t>
  </si>
  <si>
    <t>2025-05-08 04:53:00,27721870.2667469,0,0,0,0,0,0,0</t>
  </si>
  <si>
    <t>2025-05-08 04:54:00,570,,,,550,,,,,,,,,557,562</t>
  </si>
  <si>
    <t>2025-05-08 04:54:00,490,,,,490,,,,,,,,,482,475</t>
  </si>
  <si>
    <t>2025-05-08 04:54:00,,5630,,5630,,5700,5680,,,,,5750,5570,5630,5620</t>
  </si>
  <si>
    <t>2025-05-08 04:54:00,19475,,,,19475,,,,,,,,,19400,19300</t>
  </si>
  <si>
    <t>2025-05-08 04:54:00,3007390761.42054,0,0,0,0,0,0,0</t>
  </si>
  <si>
    <t>2025-05-08 04:54:00,2569062157.60654,0,0,0,0,0,0,0</t>
  </si>
  <si>
    <t>2025-05-08 04:54:00,-17736472.1634409,-7344731.17634806,-1768.85,-41,-55084.9894999999,-460.32,0.113282965549881,-8.4</t>
  </si>
  <si>
    <t>2025-05-08 04:54:00,27723046.2787441,0,0,0,0,0,0,0</t>
  </si>
  <si>
    <t>2025-05-08 04:55:00,570,,,,550,,,,,,,,,557,562</t>
  </si>
  <si>
    <t>2025-05-08 04:55:00,490,,,,490,,,,,,,,,482,475</t>
  </si>
  <si>
    <t>2025-05-08 04:55:00,,5630,,5630,,5700,5680,,,,,5750,5570,5630,5620</t>
  </si>
  <si>
    <t>2025-05-08 04:55:00,19475,,,,19475,,,,,,,,,19400,19300</t>
  </si>
  <si>
    <t>2025-05-08 04:55:00,3022580117.3747,0,0,0,0,0,0,0</t>
  </si>
  <si>
    <t>2025-05-08 04:55:00,2569187970.32765,0,0,0,0,0,0,0</t>
  </si>
  <si>
    <t>2025-05-08 04:55:00,-17781620.2330967,-7414325.58149822,-1588.76666666666,-21,-53145.2953333332,-469.97,0.101737579990526,-8.6</t>
  </si>
  <si>
    <t>2025-05-08 04:55:00,27726562.5960346,0,0,0,0,0,0,0</t>
  </si>
  <si>
    <t>2025-05-08 04:57:00,570,,,,550,,,,,,,,,557,562</t>
  </si>
  <si>
    <t>2025-05-08 04:57:00,490,,,,470,,,,,,,,,482,475</t>
  </si>
  <si>
    <t>2025-05-08 04:57:00,,5630,,5630,,5700,5680,,,,,5750,5570,5630,5620</t>
  </si>
  <si>
    <t>2025-05-08 04:57:00,19475,,,,19475,,,,,,,,,19400,19300</t>
  </si>
  <si>
    <t>2025-05-08 04:57:00,2908337892.04815,0,0,0,0,0,0,0</t>
  </si>
  <si>
    <t>2025-05-08 04:57:00,2701829930.51519,0,0,0,0,0,0,0</t>
  </si>
  <si>
    <t>2025-05-08 04:57:00,-17340956.0130059,-7329795.89049737,-8990.23333333336,-63,-298542.914333334,-1268.53,0.171000389857805,-36.35</t>
  </si>
  <si>
    <t>2025-05-08 04:57:00,27727057.488783,0,0,0,0,0,0,0</t>
  </si>
  <si>
    <t>2025-05-08 04:58:00,570,,,,550,,,,,,,,,557,562</t>
  </si>
  <si>
    <t>2025-05-08 04:58:00,490,,,,470,,,,,,,,,482,475</t>
  </si>
  <si>
    <t>2025-05-08 04:58:00,,5630,,5630,,5700,5680,,,,,5750,5570,5630,5620</t>
  </si>
  <si>
    <t>2025-05-08 04:58:00,19475,,,,19475,,,,,,,,,19400,19300</t>
  </si>
  <si>
    <t>2025-05-08 04:58:00,2932665448.8496,0,0,0,0,0,0,0</t>
  </si>
  <si>
    <t>2025-05-08 04:58:00,2702069494.43632,0,0,0,0,0,0,0</t>
  </si>
  <si>
    <t>2025-05-08 04:58:00,-17523772.08685,-7383067.74011438,-1023.04166666667,-16,-20587.9412500001,-236.5,0.0720177964924602,-3.69</t>
  </si>
  <si>
    <t>2025-05-08 04:58:00,27733649.0589151,0,0,0,0,0,0,0</t>
  </si>
  <si>
    <t>2025-05-08 04:59:00,570,,,,550,,,,,,,,,557,562</t>
  </si>
  <si>
    <t>2025-05-08 04:59:00,490,,,,470,,,,,,,,,482,475</t>
  </si>
  <si>
    <t>2025-05-08 04:59:00,,5630,,5630,,5700,5680,,,,,5750,5570,5630,5620</t>
  </si>
  <si>
    <t>2025-05-08 04:59:00,19475,,,,19475,,,,,,,,,19400,19300</t>
  </si>
  <si>
    <t>2025-05-08 04:59:00,2924217884.42453,0,0,0,0,0,0,0</t>
  </si>
  <si>
    <t>2025-05-08 04:59:00,2702019686.09804,0,0,0,0,0,0,0</t>
  </si>
  <si>
    <t>2025-05-08 04:59:00,-17467107.8989494,-7386503.15695379,-411.133333333333,-8,-6193.70933333334,-75.94,0.0186178648631932,-2.08</t>
  </si>
  <si>
    <t>2025-05-08 04:59:00,27731679.8360984,0,0,0,0,0,0,0</t>
  </si>
  <si>
    <t>2025-05-08 05:00:00,570,,,,550,,,,,,,,,557,562</t>
  </si>
  <si>
    <t>2025-05-08 05:00:00,490,,,,470,,,,,,,,,482,475</t>
  </si>
  <si>
    <t>2025-05-08 05:00:00,,5630,,5630,,5700,5680,,,,,5750,5570,5630,5620</t>
  </si>
  <si>
    <t>2025-05-08 05:00:00,19475,,,,19475,,,,,,,,,19400,19300</t>
  </si>
  <si>
    <t>2025-05-08 05:00:00,2923965632.76076,0,0,0,0,0,0,0</t>
  </si>
  <si>
    <t>2025-05-08 05:00:00,2696690585.52597,0,0,0,0,0,0,0</t>
  </si>
  <si>
    <t>2025-05-08 05:00:00,-17480180.167424,-7387649.09928792,-629.255555555558,-7,-25960.085888889,-184.91,0.00494226727722636,-3.32</t>
  </si>
  <si>
    <t>2025-05-08 05:00:00,27732125.4951847,0,0,0,0,0,0,0</t>
  </si>
  <si>
    <t>2025-05-08 05:01:00,570,,,,550,,,,,,,,,557,562</t>
  </si>
  <si>
    <t>2025-05-08 05:01:00,490,,,,470,,,,,,,,,482,475</t>
  </si>
  <si>
    <t>2025-05-08 05:01:00,,5630,,5630,,5700,5680,,,,,5750,5570,5630,5620</t>
  </si>
  <si>
    <t>2025-05-08 05:01:00,19475,,,,19475,,,,,,,,,19400,19300</t>
  </si>
  <si>
    <t>2025-05-08 05:01:00,2800765362.38179,0,0,0,0,0,0,0</t>
  </si>
  <si>
    <t>2025-05-08 05:01:00,2640631812.32763,0,0,0,0,0,0,0</t>
  </si>
  <si>
    <t>2025-05-08 05:01:00,-16982515.8919464,-7427235.57461357,-2691.9,-45,-110469.586166667,-917.39,0.0692515662549159,-15.5</t>
  </si>
  <si>
    <t>2025-05-08 05:01:00,27731284.6653214,0,0,0,0,0,0,0</t>
  </si>
  <si>
    <t>2025-05-08 05:02:00,570,,,,550,,,,,,,,,557,562</t>
  </si>
  <si>
    <t>2025-05-08 05:02:00,490,,,,470,,,,,,,,,482,475</t>
  </si>
  <si>
    <t>2025-05-08 05:02:00,,5630,,5630,,5700,5680,,,,,5750,5570,5630,5620</t>
  </si>
  <si>
    <t>2025-05-08 05:02:00,19475,,,,19475,,,,,,,,,19400,19300</t>
  </si>
  <si>
    <t>2025-05-08 05:02:00,2765990253.04509,0,0,0,0,0,0,0</t>
  </si>
  <si>
    <t>2025-05-08 05:02:00,2622115223.61149,0,0,0,0,0,0,0</t>
  </si>
  <si>
    <t>2025-05-08 05:02:00,-16710780.5676474,-7399293.84933078,-3435.25303030303,-59,-115150.61625,-1137.06,0.212805269704682,-19.24</t>
  </si>
  <si>
    <t>2025-05-08 05:02:00,27733441.7548188,0,0,0,0,0,0,0</t>
  </si>
  <si>
    <t>2025-05-08 05:03:00,570,,,,550,,,,,,,,,557,562</t>
  </si>
  <si>
    <t>2025-05-08 05:03:00,490,,,,470,,,,,,,,,482,475</t>
  </si>
  <si>
    <t>2025-05-08 05:03:00,,5630,,5630,,5700,5680,,,,,5750,5570,5630,5620</t>
  </si>
  <si>
    <t>2025-05-08 05:03:00,19475,,,,19475,,,,,,,,,19400,19300</t>
  </si>
  <si>
    <t>2025-05-08 05:03:00,2786628209.45515,0,0,0,0,0,0,0</t>
  </si>
  <si>
    <t>2025-05-08 05:03:00,2622071467.17166,0,0,0,0,0,0,0</t>
  </si>
  <si>
    <t>2025-05-08 05:03:00,-16900943.0260063,-7482240.92549926,-1622.06666666667,-25,-28496.324,-269.75,0.0839465523200477,-4.01</t>
  </si>
  <si>
    <t>2025-05-08 05:03:00,27740079.2147971,0,0,0,0,0,0,0</t>
  </si>
  <si>
    <t>2025-05-08 05:04:00,570,,,,550,,,,,,,,,557,562</t>
  </si>
  <si>
    <t>2025-05-08 05:04:00,490,,,,470,,,,,,,,,482,475</t>
  </si>
  <si>
    <t>2025-05-08 05:04:00,,5630,,5630,,5700,5680,,,,,5750,5570,5630,5620</t>
  </si>
  <si>
    <t>2025-05-08 05:04:00,19475,,,,19475,,,,,,,,,19400,19300</t>
  </si>
  <si>
    <t>2025-05-08 05:04:00,2765936717.37064,0,0,0,0,0,0,0</t>
  </si>
  <si>
    <t>2025-05-08 05:04:00,2612938965.17459,0,0,0,0,0,0,0</t>
  </si>
  <si>
    <t>2025-05-08 05:04:00,-16825315.8650534,-7466544.63310569,-1438.925,-20,-63814.5247500001,-553.54,0.0377018152062934,-9.29</t>
  </si>
  <si>
    <t>2025-05-08 05:04:00,27741473.0809926,0,0,0,0,0,0,0</t>
  </si>
  <si>
    <t>2025-05-08 05:05:00,570,,,,550,,,,,,,,,557,562</t>
  </si>
  <si>
    <t>2025-05-08 05:05:00,490,,,,470,,,,,,,,,482,475</t>
  </si>
  <si>
    <t>2025-05-08 05:05:00,,5630,,5630,,5700,5680,,,,,5750,5570,5630,5620</t>
  </si>
  <si>
    <t>2025-05-08 05:05:00,19475,,,,19475,,,,,,,,,19400,19300</t>
  </si>
  <si>
    <t>2025-05-08 05:05:00,2821911587.27495,0,0,0,0,0,0,0</t>
  </si>
  <si>
    <t>2025-05-08 05:05:00,2665667414.02472,0,0,0,0,0,0,0</t>
  </si>
  <si>
    <t>2025-05-08 05:05:00,-17155659.8394316,-7547883.57486473,-279.1,-11,-3037.97433333333,-52.6,0.0140014342684895,-0.91</t>
  </si>
  <si>
    <t>2025-05-08 05:05:00,27742563.0698622,0,0,0,0,0,0,0</t>
  </si>
  <si>
    <t>2025-05-08 05:06:00,570,,,,550,,,,,,,,,557,562</t>
  </si>
  <si>
    <t>2025-05-08 05:06:00,490,,,,470,,,,,,,,,482,475</t>
  </si>
  <si>
    <t>2025-05-08 05:06:00,,5630,,5630,,5700,5680,,,,,5750,5570,5630,5620</t>
  </si>
  <si>
    <t>2025-05-08 05:06:00,19475,,,,19475,,,,,,,,,19400,19300</t>
  </si>
  <si>
    <t>2025-05-08 05:06:00,2867294270.82011,0,0,0,0,0,0,0</t>
  </si>
  <si>
    <t>2025-05-08 05:06:00,2692118781.85588,0,0,0,0,0,0,0</t>
  </si>
  <si>
    <t>2025-05-08 05:06:00,-17350953.5974053,-7635558.7226583,-1249.36666666667,-22,-44794.4436666667,-448.71,0.0346807922357464,-10.21</t>
  </si>
  <si>
    <t>2025-05-08 05:06:00,27742585.6063714,0,0,0,0,0,0,0</t>
  </si>
  <si>
    <t>2025-05-08 05:07:00,570,,,,550,,,,,,,,,557,562</t>
  </si>
  <si>
    <t>2025-05-08 05:07:00,490,,,,470,,,,,,,,,482,475</t>
  </si>
  <si>
    <t>2025-05-08 05:07:00,,5630,,5630,,5700,5680,,,,,5750,5570,5630,5620</t>
  </si>
  <si>
    <t>2025-05-08 05:07:00,19475,,,,19475,,,,,,,,,19400,19300</t>
  </si>
  <si>
    <t>2025-05-08 05:07:00,2859286100.29711,0,0,0,0,0,0,0</t>
  </si>
  <si>
    <t>2025-05-08 05:07:00,2697393737.34069,0,0,0,0,0,0,0</t>
  </si>
  <si>
    <t>2025-05-08 05:07:00,-17332897.5994728,-7644358.22693462,-939.633333333333,-26,-11226.26,-170.09,0.0465946473700798,-4.28</t>
  </si>
  <si>
    <t>2025-05-08 05:07:00,27743884.8893614,0,0,0,0,0,0,0</t>
  </si>
  <si>
    <t>2025-05-08 05:08:00,570,,,,550,,,,,,,,,557,562</t>
  </si>
  <si>
    <t>2025-05-08 05:08:00,490,,,,490,,,,,,,,,482,475</t>
  </si>
  <si>
    <t>2025-05-08 05:08:00,,5630,,5630,,5700,5680,,,,,5750,5570,5630,5620</t>
  </si>
  <si>
    <t>2025-05-08 05:08:00,19475,,,,19475,,,,,,,,,19400,19300</t>
  </si>
  <si>
    <t>2025-05-08 05:08:00,2923454915.07883,0,0,0,0,0,0,0</t>
  </si>
  <si>
    <t>2025-05-08 05:08:00,2721410359.25681,0,0,0,0,0,0,0</t>
  </si>
  <si>
    <t>2025-05-08 05:08:00,-17506211.5844227,-7702435.40381326,-2463.51666666667,-19,-104374.385166667,-525.87,0.0616699764790887,-8.32</t>
  </si>
  <si>
    <t>2025-05-08 05:08:00,27742198.288979,0,0,0,0,0,0,0</t>
  </si>
  <si>
    <t>2025-05-08 05:09:00,570,,,,550,,,,,,,,,557,562</t>
  </si>
  <si>
    <t>2025-05-08 05:09:00,490,,,,490,,,,,,,,,482,475</t>
  </si>
  <si>
    <t>2025-05-08 05:09:00,,5630,,5630,,5700,5680,,,,,5750,5570,5630,5620</t>
  </si>
  <si>
    <t>2025-05-08 05:09:00,19475,,,,19475,,,,,,,,,19400,19300</t>
  </si>
  <si>
    <t>2025-05-08 05:09:00,2915136452.348,0,0,0,0,0,0,0</t>
  </si>
  <si>
    <t>2025-05-08 05:09:00,2708132429.01209,0,0,0,0,0,0,0</t>
  </si>
  <si>
    <t>2025-05-08 05:09:00,-17560965.3226081,-7758254.64174917,-2870.41538461537,-40,-138464.639410255,-917.97,0.195448880385283,-11.77</t>
  </si>
  <si>
    <t>2025-05-08 05:09:00,27748943.5244791,0,0,0,0,0,0,0</t>
  </si>
  <si>
    <t>2025-05-08 05:10:00,570,,,,550,,,,,,,,,557,562</t>
  </si>
  <si>
    <t>2025-05-08 05:10:00,490,,,,470,,,,,,,,,482,475</t>
  </si>
  <si>
    <t>2025-05-08 05:10:00,,5630,,5630,,5700,5680,,,,,5750,5570,5630,5620</t>
  </si>
  <si>
    <t>2025-05-08 05:10:00,19475,,,,19475,,,,,,,,,19400,19300</t>
  </si>
  <si>
    <t>2025-05-08 05:10:00,2779395894.14612,0,0,0,0,0,0,0</t>
  </si>
  <si>
    <t>2025-05-08 05:10:00,2631791958.54343,0,0,0,0,0,0,0</t>
  </si>
  <si>
    <t>2025-05-08 05:10:00,-16806711.009264,-7560729.70202305,-3139.38666666667,-35,-208905.178866667,-1558.17,0.0371584027208945,-21.16</t>
  </si>
  <si>
    <t>2025-05-08 05:10:00,27749209.3062539,0,0,0,0,0,0,0</t>
  </si>
  <si>
    <t>2025-05-08 05:11:00,570,,,,550,,,,,,,,,557,562</t>
  </si>
  <si>
    <t>2025-05-08 05:11:00,490,,,,470,,,,,,,,,482,475</t>
  </si>
  <si>
    <t>2025-05-08 05:11:00,,5630,,5630,,5700,5680,,,,,5750,5570,5630,5620</t>
  </si>
  <si>
    <t>2025-05-08 05:11:00,19475,,,,19475,,,,,,,,,19400,19300</t>
  </si>
  <si>
    <t>2025-05-08 05:11:00,2765795550.2641,0,0,0,0,0,0,0</t>
  </si>
  <si>
    <t>2025-05-08 05:11:00,2622338152.40512,0,0,0,0,0,0,0</t>
  </si>
  <si>
    <t>2025-05-08 05:11:00,-16856939.6217925,-7566473.40522202,-284.833333333333,-6,-2262.8,-37.1,0.0127491127833446,-0.58</t>
  </si>
  <si>
    <t>2025-05-08 05:11:00,27749984.540355,0,0,0,0,0,0,0</t>
  </si>
  <si>
    <t>2025-05-08 05:12:00,570,,,,550,,,,,,,,,557,562</t>
  </si>
  <si>
    <t>2025-05-08 05:12:00,490,,,,470,,,,,,,,,482,475</t>
  </si>
  <si>
    <t>2025-05-08 05:12:00,,5630,,5630,,5700,5680,,,,,5750,5570,5630,5620</t>
  </si>
  <si>
    <t>2025-05-08 05:12:00,19475,,,,19475,,,,,,,,,19400,19300</t>
  </si>
  <si>
    <t>2025-05-08 05:12:00,2772333755.37332,0,0,0,0,0,0,0</t>
  </si>
  <si>
    <t>2025-05-08 05:12:00,2613701945.93708,0,0,0,0,0,0,0</t>
  </si>
  <si>
    <t>2025-05-08 05:12:00,-16864780.3428881,-7567109.01689957,-663.583333333334,-18,-8037.22083333331,-90.75,-0.0135193678166713,-3.55</t>
  </si>
  <si>
    <t>2025-05-08 05:12:00,27751469.7875165,0,0,0,0,0,0,0</t>
  </si>
  <si>
    <t>2025-05-08 05:13:00,570,,,,550,,,,,,,,,557,562</t>
  </si>
  <si>
    <t>2025-05-08 05:13:00,490,,,,470,,,,,,,,,482,475</t>
  </si>
  <si>
    <t>2025-05-08 05:13:00,,5630,,5630,,5700,5680,,,,,5750,5570,5630,5620</t>
  </si>
  <si>
    <t>2025-05-08 05:13:00,19475,,,,19475,,,,,,,,,19400,19300</t>
  </si>
  <si>
    <t>2025-05-08 05:13:00,2814208642.43831,0,0,0,0,0,0,0</t>
  </si>
  <si>
    <t>2025-05-08 05:13:00,2645806452.03283,0,0,0,0,0,0,0</t>
  </si>
  <si>
    <t>2025-05-08 05:13:00,-17188327.9888639,-7700678.47195448,-918.333333333332,-12,-37626.6833333333,-303.8,0.0323062319514445,-4.85</t>
  </si>
  <si>
    <t>2025-05-08 05:13:00,27753247.9332739,0,0,0,0,0,0,0</t>
  </si>
  <si>
    <t>2025-05-08 05:14:00,570,,,,550,,,,,,,,,557,562</t>
  </si>
  <si>
    <t>2025-05-08 05:14:00,490,,,,490,,,,,,,,,482,475</t>
  </si>
  <si>
    <t>2025-05-08 05:14:00,,5630,,5630,,5700,5680,,,,,5750,5570,5630,5620</t>
  </si>
  <si>
    <t>2025-05-08 05:14:00,19475,,,,19475,,,,,,,,,19400,19300</t>
  </si>
  <si>
    <t>2025-05-08 05:14:00,2955000488.1711,0,0,0,0,0,0,0</t>
  </si>
  <si>
    <t>2025-05-08 05:14:00,2569506941.47299,0,0,0,0,0,0,0</t>
  </si>
  <si>
    <t>2025-05-08 05:14:00,-17702606.0791236,-7852335.66406884,-619.533333333333,-12,-8722.99399999999,-133.94,0.0574329335305348,-2.18</t>
  </si>
  <si>
    <t>2025-05-08 05:14:00,27760051.8954969,0,0,0,0,0,0,0</t>
  </si>
  <si>
    <t>2025-05-08 05:15:00,570,,,,550,,,,,,,,,557,562</t>
  </si>
  <si>
    <t>2025-05-08 05:15:00,490,,,,490,,,,,,,,,482,475</t>
  </si>
  <si>
    <t>2025-05-08 05:15:00,,5630,,5630,,5700,5680,,,,,5750,5570,5630,5620</t>
  </si>
  <si>
    <t>2025-05-08 05:15:00,19475,,,,19475,,,,,,,,,19400,19300</t>
  </si>
  <si>
    <t>2025-05-08 05:15:00,2898487263.79862,0,0,0,0,0,0,0</t>
  </si>
  <si>
    <t>2025-05-08 05:15:00,2712710243.46894,0,0,0,0,0,0,0</t>
  </si>
  <si>
    <t>2025-05-08 05:15:00,-17429452.8983763,-7779576.49949226,-163,-5,-1557.7,-25.7,0.00592953650060738,-0.47</t>
  </si>
  <si>
    <t>2025-05-08 05:15:00,27759052.9443454,0,0,0,0,0,0,0</t>
  </si>
  <si>
    <t>2025-05-08 05:16:00,570,,,,550,,,,,,,,,557,562</t>
  </si>
  <si>
    <t>2025-05-08 05:16:00,490,,,,470,,,,,,,,,482,475</t>
  </si>
  <si>
    <t>2025-05-08 05:16:00,,5630,,5630,,5700,5680,,,,,5750,5570,5630,5620</t>
  </si>
  <si>
    <t>2025-05-08 05:16:00,19475,,,,19475,,,,,,,,,19400,19300</t>
  </si>
  <si>
    <t>2025-05-08 05:16:00,2835379426.01866,0,0,0,0,0,0,0</t>
  </si>
  <si>
    <t>2025-05-08 05:16:00,2676814498.23509,0,0,0,0,0,0,0</t>
  </si>
  <si>
    <t>2025-05-08 05:16:00,-17257566.7178304,-7731720.8334543,-1221.75,-7,-82537.0875000003,-372.45,0.0188541431106848,-5.23</t>
  </si>
  <si>
    <t>2025-05-08 05:16:00,27759253.356619,0,0,0,0,0,0,0</t>
  </si>
  <si>
    <t>2025-05-08 05:17:00,570,,,,550,,,,,,,,,557,562</t>
  </si>
  <si>
    <t>2025-05-08 05:17:00,490,,,,470,,,,,,,,,482,475</t>
  </si>
  <si>
    <t>2025-05-08 05:17:00,,5630,,5630,,5700,5680,,,,,5750,5570,5630,5620</t>
  </si>
  <si>
    <t>2025-05-08 05:17:00,19475,,,,19475,,,,,,,,,19400,19300</t>
  </si>
  <si>
    <t>2025-05-08 05:17:00,2843431057.09681,0,0,0,0,0,0,0</t>
  </si>
  <si>
    <t>2025-05-08 05:17:00,2681388073.18441,0,0,0,0,0,0,0</t>
  </si>
  <si>
    <t>2025-05-08 05:17:00,-17256578.7046213,-7737352.88875172,-398.400000000002,-6,-13699.1040000001,-108.41,0.0270112949929529,-1.84</t>
  </si>
  <si>
    <t>2025-05-08 05:17:00,27759789.7407875,0,0,0,0,0,0,0</t>
  </si>
  <si>
    <t>2025-05-08 05:18:00,570,,,,550,,,,,,,,,557,562</t>
  </si>
  <si>
    <t>2025-05-08 05:18:00,490,,,,490,,,,,,,,,482,475</t>
  </si>
  <si>
    <t>2025-05-08 05:18:00,,5630,,5630,,5700,5680,,,,,5750,5570,5630,5620</t>
  </si>
  <si>
    <t>2025-05-08 05:18:00,19475,,,,19475,,,,,,,,,19400,19300</t>
  </si>
  <si>
    <t>2025-05-08 05:18:00,2962830375.22751,0,0,0,0,0,0,0</t>
  </si>
  <si>
    <t>2025-05-08 05:18:00,2611997456.69676,0,0,0,0,0,0,0</t>
  </si>
  <si>
    <t>2025-05-08 05:18:00,-17676636.3303555,-7882880.98423735,-949.499999999998,-11,-57142.1249999999,-379.85,0.0171987460020681,-5.38</t>
  </si>
  <si>
    <t>2025-05-08 05:18:00,27759588.2647118,0,0,0,0,0,0,0</t>
  </si>
  <si>
    <t>2025-05-08 05:19:00,570,,,,550,,,,,,,,,557,562</t>
  </si>
  <si>
    <t>2025-05-08 05:19:00,490,,,,490,,,,,,,,,482,475</t>
  </si>
  <si>
    <t>2025-05-08 05:19:00,,5630,,5630,,5700,5680,,,,,5750,5570,5630,5620</t>
  </si>
  <si>
    <t>2025-05-08 05:19:00,19475,,,,19475,,,,,,,,,19400,19300</t>
  </si>
  <si>
    <t>2025-05-08 05:19:00,2979721291.76626,0,0,0,0,0,0,0</t>
  </si>
  <si>
    <t>2025-05-08 05:19:00,2624032908.65671,0,0,0,0,0,0,0</t>
  </si>
  <si>
    <t>2025-05-08 05:19:00,-17736946.8106488,-7914117.76536327,-585.500000000001,-14,-12604.343,-150,0.0269691720101878,-3.82</t>
  </si>
  <si>
    <t>2025-05-08 05:19:00,27760328.3386143,0,0,0,0,0,0,0</t>
  </si>
  <si>
    <t>2025-05-08 05:20:00,570,,,,550,,,,,,,,,557,562</t>
  </si>
  <si>
    <t>2025-05-08 05:20:00,490,,,,490,,,,,,,,,482,475</t>
  </si>
  <si>
    <t>2025-05-08 05:20:00,,5630,,5630,,5700,5680,,,,,5750,5570,5630,5620</t>
  </si>
  <si>
    <t>2025-05-08 05:20:00,19475,,,,19475,,,,,,,,,19400,19300</t>
  </si>
  <si>
    <t>2025-05-08 05:20:00,2889748686.75744,0,0,0,0,0,0,0</t>
  </si>
  <si>
    <t>2025-05-08 05:20:00,2717919472.53395,0,0,0,0,0,0,0</t>
  </si>
  <si>
    <t>2025-05-08 05:20:00,-17436888.3537538,-7843726.04242647,-507.2,-9,-11251.26,-106.78,0.0273460790686199,-2.17</t>
  </si>
  <si>
    <t>2025-05-08 05:20:00,27767039.6168042,0,0,0,0,0,0,0</t>
  </si>
  <si>
    <t>2025-05-08 05:21:00,570,,,,550,,,,,,,,,557,562</t>
  </si>
  <si>
    <t>2025-05-08 05:21:00,490,,,,470,,,,,,,,,482,475</t>
  </si>
  <si>
    <t>2025-05-08 05:21:00,,5630,,5630,,5700,5680,,,,,5750,5570,5630,5620</t>
  </si>
  <si>
    <t>2025-05-08 05:21:00,19475,,,,19475,,,,,,,,,19400,19300</t>
  </si>
  <si>
    <t>2025-05-08 05:21:00,2865759854.28687,0,0,0,0,0,0,0</t>
  </si>
  <si>
    <t>2025-05-08 05:21:00,2702809895.49842,0,0,0,0,0,0,0</t>
  </si>
  <si>
    <t>2025-05-08 05:21:00,-17351090.6777478,-7829766.66891563,-566.833333333334,-16,-6397.30000000001,-117.3,0.0556938774234867,-1.46</t>
  </si>
  <si>
    <t>2025-05-08 05:21:00,27767763.4022731,0,0,0,0,0,0,0</t>
  </si>
  <si>
    <t>2025-05-08 05:22:00,570,,,,550,,,,,,,,,557,562</t>
  </si>
  <si>
    <t>2025-05-08 05:22:00,490,,,,470,,,,,,,,,482,475</t>
  </si>
  <si>
    <t>2025-05-08 05:22:00,,5630,,5630,,5700,5680,,,,,5750,5570,5630,5620</t>
  </si>
  <si>
    <t>2025-05-08 05:22:00,19475,,,,19475,,,,,,,,,19400,19300</t>
  </si>
  <si>
    <t>2025-05-08 05:22:00,2858136776.77442,0,0,0,0,0,0,0</t>
  </si>
  <si>
    <t>2025-05-08 05:22:00,2681691174.0645,0,0,0,0,0,0,0</t>
  </si>
  <si>
    <t>2025-05-08 05:22:00,-17267755.0475895,-7811792.77575706,-1394.06666666666,-20,-105995.964999999,-603.17,0.0190974888469687,-7.5</t>
  </si>
  <si>
    <t>2025-05-08 05:22:00,27770192.9632678,0,0,0,0,0,0,0</t>
  </si>
  <si>
    <t>2025-05-08 05:23:00,570,,,,550,,,,,,,,,557,562</t>
  </si>
  <si>
    <t>2025-05-08 05:23:00,490,,,,470,,,,,,,,,482,475</t>
  </si>
  <si>
    <t>2025-05-08 05:23:00,,5630,,5630,,5700,5680,,,,,5750,5570,5630,5620</t>
  </si>
  <si>
    <t>2025-05-08 05:23:00,19475,,,,19475,,,,,,,,,19400,19300</t>
  </si>
  <si>
    <t>2025-05-08 05:23:00,2857945769.57624,0,0,0,0,0,0,0</t>
  </si>
  <si>
    <t>2025-05-08 05:23:00,2703033264.98534,0,0,0,0,0,0,0</t>
  </si>
  <si>
    <t>2025-05-08 05:23:00,-17250960.7897009,-7810287.09035905,-318.600000000001,-4,-14779.652,-86.82,0.0118871203446301,-1.56</t>
  </si>
  <si>
    <t>2025-05-08 05:23:00,27771060.6245106,0,0,0,0,0,0,0</t>
  </si>
  <si>
    <t>2025-05-08 05:24:00,570,,,,550,,,,,,,,,557,562</t>
  </si>
  <si>
    <t>2025-05-08 05:24:00,490,,,,470,,,,,,,,,482,475</t>
  </si>
  <si>
    <t>2025-05-08 05:24:00,,5630,,5630,,5700,5680,,,,,5750,5570,5630,5620</t>
  </si>
  <si>
    <t>2025-05-08 05:24:00,19475,,,,19475,,,,,,,,,19400,19300</t>
  </si>
  <si>
    <t>2025-05-08 05:24:00,2881350671.77955,0,0,0,0,0,0,0</t>
  </si>
  <si>
    <t>2025-05-08 05:24:00,2687386732.62774,0,0,0,0,0,0,0</t>
  </si>
  <si>
    <t>2025-05-08 05:24:00,-17441180.3893462,-7870994.10146882,-256.099999999996,-2,-17374.2139999998,-69.08,0.00377612067794444,-1.02</t>
  </si>
  <si>
    <t>2025-05-08 05:24:00,27771104.8322261,0,0,0,0,0,0,0</t>
  </si>
  <si>
    <t>2025-05-08 05:25:00,570,,,,550,,,,,,,,,557,562</t>
  </si>
  <si>
    <t>2025-05-08 05:25:00,490,,,,470,,,,,,,,,482,475</t>
  </si>
  <si>
    <t>2025-05-08 05:25:00,,5630,,5630,,5700,5680,,,,,5750,5570,5630,5620</t>
  </si>
  <si>
    <t>2025-05-08 05:25:00,19475,,,,19475,,,,,,,,,19400,19300</t>
  </si>
  <si>
    <t>2025-05-08 05:25:00,2889234055.77131,0,0,0,0,0,0,0</t>
  </si>
  <si>
    <t>2025-05-08 05:25:00,2666197192.52688,0,0,0,0,0,0,0</t>
  </si>
  <si>
    <t>2025-05-08 05:25:00,-17323888.7278995,-7822095.16327362,-72.9999999999999,-8,-87.7999999999999,-3.55,-0.00868748144764273,-0.36</t>
  </si>
  <si>
    <t>2025-05-08 05:25:00,27777957.3328715,0,0,0,0,0,0,0</t>
  </si>
  <si>
    <t>2025-05-08 05:26:00,570,,,,550,,,,,,,,,557,562</t>
  </si>
  <si>
    <t>2025-05-08 05:26:00,490,,,,470,,,,,,,,,482,475</t>
  </si>
  <si>
    <t>2025-05-08 05:26:00,,5630,,5630,,5700,5680,,,,,5750,5570,5630,5620</t>
  </si>
  <si>
    <t>2025-05-08 05:26:00,19475,,,,19475,,,,,,,,,19400,19300</t>
  </si>
  <si>
    <t>2025-05-08 05:26:00,2939093438.5381,0,0,0,0,0,0,0</t>
  </si>
  <si>
    <t>2025-05-08 05:26:00,2684209326.77825,0,0,0,0,0,0,0</t>
  </si>
  <si>
    <t>2025-05-08 05:26:00,-17594334.0980842,-7941022.32329874,-713.499999999999,-7,-10514.4,-103,0.0556726994631642,-1.32</t>
  </si>
  <si>
    <t>2025-05-08 05:26:00,27775772.7177235,0,0,0,0,0,0,0</t>
  </si>
  <si>
    <t>2025-05-08 05:27:00,570,,,,550,,,,,,,,,557,562</t>
  </si>
  <si>
    <t>2025-05-08 05:27:00,490,,,,490,,,,,,,,,482,475</t>
  </si>
  <si>
    <t>2025-05-08 05:27:00,,5630,,5630,,5700,5680,,,,,5750,5570,5630,5620</t>
  </si>
  <si>
    <t>2025-05-08 05:27:00,19475,,,,19475,,,,,,,,,19400,19300</t>
  </si>
  <si>
    <t>2025-05-08 05:27:00,3004265728.48173,0,0,0,0,0,0,0</t>
  </si>
  <si>
    <t>2025-05-08 05:27:00,2711485335.17886,0,0,0,0,0,0,0</t>
  </si>
  <si>
    <t>2025-05-08 05:27:00,-17771436.6227978,-8042429.4856306,-2330.58333333333,-35,-110305.7125,-788.55,0.0825966280760983,-12.33</t>
  </si>
  <si>
    <t>2025-05-08 05:27:00,27777179.6601232,0,0,0,0,0,0,0</t>
  </si>
  <si>
    <t>2025-05-08 05:28:00,570,,,,550,,,,,,,,,557,562</t>
  </si>
  <si>
    <t>2025-05-08 05:28:00,490,,,,490,,,,,,,,,482,475</t>
  </si>
  <si>
    <t>2025-05-08 05:28:00,,5630,,5630,,5700,5680,,,,,5750,5570,5630,5620</t>
  </si>
  <si>
    <t>2025-05-08 05:28:00,19475,,,,19475,,,,,,,,,19400,19300</t>
  </si>
  <si>
    <t>2025-05-08 05:28:00,2987161855.37552,0,0,0,0,0,0,0</t>
  </si>
  <si>
    <t>2025-05-08 05:28:00,2717937030.75033,0,0,0,0,0,0,0</t>
  </si>
  <si>
    <t>2025-05-08 05:28:00,-17593254.7819964,-7983961.69890787,-365.566666666667,-15,-2257.76633333334,-37.64,-0.00517254479378602,-1.07</t>
  </si>
  <si>
    <t>2025-05-08 05:28:00,27777645.889234,0,0,0,0,0,0,0</t>
  </si>
  <si>
    <t>2025-05-08 05:29:00,570,,,,550,,,,,,,,,557,562</t>
  </si>
  <si>
    <t>2025-05-08 05:29:00,490,,,,470,,,,,,,,,482,475</t>
  </si>
  <si>
    <t>2025-05-08 05:29:00,,5630,,5630,,5700,5680,,,,,5750,5570,5630,5620</t>
  </si>
  <si>
    <t>2025-05-08 05:29:00,19475,,,,19475,,,,,,,,,19400,19300</t>
  </si>
  <si>
    <t>2025-05-08 05:29:00,2970402855.04636,0,0,0,0,0,0,0</t>
  </si>
  <si>
    <t>2025-05-08 05:29:00,2703536597.78163,0,0,0,0,0,0,0</t>
  </si>
  <si>
    <t>2025-05-08 05:29:00,-17580525.1902045,-7979936.92605813,-405.399999999997,-9,-3712.56799999997,-61.04,0.00137507309628296,-1.64</t>
  </si>
  <si>
    <t>2025-05-08 05:29:00,27778796.5636732,0,0,0,0,0,0,0</t>
  </si>
  <si>
    <t>2025-05-08 05:30:00,570,,,,565,,,,,,,,,557,562</t>
  </si>
  <si>
    <t>2025-05-08 05:30:00,490,,,,490,,,,,,,,,482,475</t>
  </si>
  <si>
    <t>2025-05-08 05:30:00,,5630,,5630,,5700,5680,,,,,5750,5570,5630,5620</t>
  </si>
  <si>
    <t>2025-05-08 05:30:00,,,,,19475,,,,,,,,,19400,19300</t>
  </si>
  <si>
    <t>2025-05-08 05:30:00,4750400873.78036,0,0,0,0,0,0,0</t>
  </si>
  <si>
    <t>2025-05-08 05:30:00,3427790551.03921,0,0,0,0,0,0,0</t>
  </si>
  <si>
    <t>2025-05-08 05:30:00,-23064368.4890837,-7906111.23565453,-566.8,-9,-6049.616,-84.04,0.0122652608719419,-2.4</t>
  </si>
  <si>
    <t>2025-05-08 05:30:00,24495556.8272975,0,0,0,0,0,0,0</t>
  </si>
  <si>
    <t>2025-05-08 05:31:00,570,,,,565,,,,,,,,,557,562</t>
  </si>
  <si>
    <t>2025-05-08 05:31:00,490,,,,490,,,,,,,,,482,475</t>
  </si>
  <si>
    <t>2025-05-08 05:31:00,,5630,,5630,,5700,5680,,,,,5750,5570,5630,5620</t>
  </si>
  <si>
    <t>2025-05-08 05:31:00,,,,,19475,,,,,,,,,19400,19300</t>
  </si>
  <si>
    <t>2025-05-08 05:31:00,4750441413.91883,0,0,0,0,0,0,0</t>
  </si>
  <si>
    <t>2025-05-08 05:31:00,3451008532.49319,0,0,0,0,0,0,0</t>
  </si>
  <si>
    <t>2025-05-08 05:31:00,-26332938.5608881,-7939871.68908778,-458.766666666666,-13,-22536.746,-156.5,-0.0106364178569546,-2.92</t>
  </si>
  <si>
    <t>2025-05-08 05:31:00,24510360.958038,0,0,0,0,0,0,0</t>
  </si>
  <si>
    <t>2025-05-08 05:32:00,570,,,,565,,,,,,,,,557,562</t>
  </si>
  <si>
    <t>2025-05-08 05:32:00,490,,,,490,,,,,,,,,482,475</t>
  </si>
  <si>
    <t>2025-05-08 05:32:00,,5630,,5630,,5700,5680,,,,,5750,5570,5630,5620</t>
  </si>
  <si>
    <t>2025-05-08 05:32:00,,,,,19475,,,,,,,,,19400,19300</t>
  </si>
  <si>
    <t>2025-05-08 05:32:00,4597618663.37158,0,0,0,0,0,0,0</t>
  </si>
  <si>
    <t>2025-05-08 05:32:00,3353939727.04372,0,0,0,0,0,0,0</t>
  </si>
  <si>
    <t>2025-05-08 05:32:00,-25946182.2303961,-7861186.581515,-760.500000000001,-13,-18384.775,-173.9,0.0605575097321718,-4.42</t>
  </si>
  <si>
    <t>2025-05-08 05:32:00,24508383.7205396,0,0,0,0,0,0,0</t>
  </si>
  <si>
    <t>2025-05-08 05:33:00,570,,,,565,,,,,,,,,557,562</t>
  </si>
  <si>
    <t>2025-05-08 05:33:00,490,,,,490,,,,,,,,,482,475</t>
  </si>
  <si>
    <t>2025-05-08 05:33:00,,5630,,5630,,5700,5680,,,,,5750,5570,5630,5620</t>
  </si>
  <si>
    <t>2025-05-08 05:33:00,,,,,19475,,,,,,,,,19400,19300</t>
  </si>
  <si>
    <t>2025-05-08 05:33:00,4565255514.90976,0,0,0,0,0,0,0</t>
  </si>
  <si>
    <t>2025-05-08 05:33:00,3325272624.5467,0,0,0,0,0,0,0</t>
  </si>
  <si>
    <t>2025-05-08 05:33:00,-25684777.352642,-7812847.81636757,-288.437500000001,-5,-10228.7677083334,-180.8,-0.00063336934451254,-2.66</t>
  </si>
  <si>
    <t>2025-05-08 05:33:00,24505483.5706107,0,0,0,0,0,0,0</t>
  </si>
  <si>
    <t>2025-05-08 05:34:00,570,,,,565,,,,,,,,,557,562</t>
  </si>
  <si>
    <t>2025-05-08 05:34:00,490,,,,490,,,,,,,,,482,475</t>
  </si>
  <si>
    <t>2025-05-08 05:34:00,,5630,,5630,,5700,5680,,,,,5750,5570,5630,5620</t>
  </si>
  <si>
    <t>2025-05-08 05:34:00,,,,,19475,,,,,,,,,19400,19300</t>
  </si>
  <si>
    <t>2025-05-08 05:34:00,4597400376.51948,0,0,0,0,0,0,0</t>
  </si>
  <si>
    <t>2025-05-08 05:34:00,3325100777.96207,0,0,0,0,0,0,0</t>
  </si>
  <si>
    <t>2025-05-08 05:34:00,-25667204.410934,-7814718.06613286,-891.860416666674,-11,-58704.4406875005,-480.46,0.00854515932509289,-6.61</t>
  </si>
  <si>
    <t>2025-05-08 05:34:00,24503408.6197233,0,0,0,0,0,0,0</t>
  </si>
  <si>
    <t>2025-05-08 05:35:00,570,,,,565,,,,,,,,,557,562</t>
  </si>
  <si>
    <t>2025-05-08 05:35:00,490,,,,490,,,,,,,,,482,475</t>
  </si>
  <si>
    <t>2025-05-08 05:35:00,,5630,,5630,,5700,5680,,,,,5750,5570,5630,5620</t>
  </si>
  <si>
    <t>2025-05-08 05:35:00,,,,,19475,,,,,,,,,19400,19300</t>
  </si>
  <si>
    <t>2025-05-08 05:35:00,4365183400.66795,0,0,0,0,0,0,0</t>
  </si>
  <si>
    <t>2025-05-08 05:35:00,3055018613.38686,0,0,0,0,0,0,0</t>
  </si>
  <si>
    <t>2025-05-08 05:35:00,-25058829.6674309,-7689188.46856405,-632.5,-21,-5877.74,-86.86,0.0247960912680966,-1.53</t>
  </si>
  <si>
    <t>2025-05-08 05:35:00,24498872.4395849,0,0,0,0,0,0,0</t>
  </si>
  <si>
    <t>2025-05-08 05:36:00,570,,,,565,,,,,,,,,557,562</t>
  </si>
  <si>
    <t>2025-05-08 05:36:00,490,,,,490,,,,,,,,,482,475</t>
  </si>
  <si>
    <t>2025-05-08 05:36:00,,5630,,5630,,5700,5680,,,,,5750,5570,5630,5620</t>
  </si>
  <si>
    <t>2025-05-08 05:36:00,,,,,19475,,,,,,,,,19400,19300</t>
  </si>
  <si>
    <t>2025-05-08 05:36:00,4418179739.82046,0,0,0,0,0,0,0</t>
  </si>
  <si>
    <t>2025-05-08 05:36:00,3078535568.44527,0,0,0,0,0,0,0</t>
  </si>
  <si>
    <t>2025-05-08 05:36:00,-25277865.3462361,-7748457.59354781,-401.783333333333,-13,-4773.70066666665,-58.23,-0.00717434224555845,-2.29</t>
  </si>
  <si>
    <t>2025-05-08 05:36:00,24514081.6894637,0,0,0,0,0,0,0</t>
  </si>
  <si>
    <t>2025-05-08 05:37:00,570,,,,565,,,,,,,,,557,562</t>
  </si>
  <si>
    <t>2025-05-08 05:37:00,490,,,,490,,,,,,,,,482,475</t>
  </si>
  <si>
    <t>2025-05-08 05:37:00,,5630,,5630,,5700,5680,,,,,5750,5570,5630,5620</t>
  </si>
  <si>
    <t>2025-05-08 05:37:00,,,,,19475,,,,,,,,,19400,19300</t>
  </si>
  <si>
    <t>2025-05-08 05:37:00,4167671715.96697,0,0,0,0,0,0,0</t>
  </si>
  <si>
    <t>2025-05-08 05:37:00,2965336871.15323,0,0,0,0,0,0,0</t>
  </si>
  <si>
    <t>2025-05-08 05:37:00,-24583706.296505,-7631182.49772618,-2636.19333333333,-46,-37586.0946666666,-669.88,0.0472662063019117,-12.45</t>
  </si>
  <si>
    <t>2025-05-08 05:37:00,24511874.9854852,0,0,0,0,0,0,0</t>
  </si>
  <si>
    <t>2025-05-08 05:38:00,570,,,,565,,,,,,,,,557,562</t>
  </si>
  <si>
    <t>2025-05-08 05:38:00,490,,,,490,,,,,,,,,482,475</t>
  </si>
  <si>
    <t>2025-05-08 05:38:00,,5630,,5630,,5700,5680,,,,,5750,5570,5630,5620</t>
  </si>
  <si>
    <t>2025-05-08 05:38:00,,,,,19475,,,,,,,,,19400,19300</t>
  </si>
  <si>
    <t>2025-05-08 05:38:00,4418369599.60518,0,0,0,0,0,0,0</t>
  </si>
  <si>
    <t>2025-05-08 05:38:00,3298584617.66686,0,0,0,0,0,0,0</t>
  </si>
  <si>
    <t>2025-05-08 05:38:00,-25333440.7837272,-7812117.70526877,-3229.05,-33,-51002.753,-448.72,0.164909902778337,-6.69</t>
  </si>
  <si>
    <t>2025-05-08 05:38:00,24507839.5893682,0,0,0,0,0,0,0</t>
  </si>
  <si>
    <t>2025-05-08 05:39:00,570,,,,565,,,,,,,,,557,562</t>
  </si>
  <si>
    <t>2025-05-08 05:39:00,490,,,,490,,,,,,,,,482,475</t>
  </si>
  <si>
    <t>2025-05-08 05:39:00,,5630,,5630,,5700,5680,,,,,5750,5570,5630,5620</t>
  </si>
  <si>
    <t>2025-05-08 05:39:00,,,,,19475,,,,,,,,,19400,19300</t>
  </si>
  <si>
    <t>2025-05-08 05:39:00,4504531353.10606,0,0,0,0,0,0,0</t>
  </si>
  <si>
    <t>2025-05-08 05:39:00,3364381582.40577,0,0,0,0,0,0,0</t>
  </si>
  <si>
    <t>2025-05-08 05:39:00,-25714814.9287146,-7880355.24632094,-813.616666666666,-19,-7835.07566666666,-124.46,-0.00476448390244835,-4.82</t>
  </si>
  <si>
    <t>2025-05-08 05:39:00,24507107.6000624,0,0,0,0,0,0,0</t>
  </si>
  <si>
    <t>2025-05-08 05:40:00,570,,,,565,,,,,,,,,557,562</t>
  </si>
  <si>
    <t>2025-05-08 05:40:00,490,,,,490,,,,,,,,,482,475</t>
  </si>
  <si>
    <t>2025-05-08 05:40:00,,5630,,5630,,5700,5680,,,,,5750,5570,5630,5620</t>
  </si>
  <si>
    <t>2025-05-08 05:40:00,,,,,19475,,,,,,,,,19400,19300</t>
  </si>
  <si>
    <t>2025-05-08 05:40:00,4556253082.94841,0,0,0,0,0,0,0</t>
  </si>
  <si>
    <t>2025-05-08 05:40:00,3359066000.64858,0,0,0,0,0,0,0</t>
  </si>
  <si>
    <t>2025-05-08 05:40:00,-25806333.4404066,-7887841.23965346,-630.191666666664,-9,-41249.9155833331,-369.59,0.0175335403693407,-5.22</t>
  </si>
  <si>
    <t>2025-05-08 05:40:00,24505887.8581951,0,0,0,0,0,0,0</t>
  </si>
  <si>
    <t>2025-05-08 05:41:00,570,,,,565,,,,,,,,,557,562</t>
  </si>
  <si>
    <t>2025-05-08 05:41:00,490,,,,490,,,,,,,,,482,475</t>
  </si>
  <si>
    <t>2025-05-08 05:41:00,,5630,,5630,,5700,5680,,,,,5750,5570,5630,5620</t>
  </si>
  <si>
    <t>2025-05-08 05:41:00,,,,,19475,,,,,,,,,19400,19300</t>
  </si>
  <si>
    <t>2025-05-08 05:41:00,4489612327.18102,0,0,0,0,0,0,0</t>
  </si>
  <si>
    <t>2025-05-08 05:41:00,3298727118.04937,0,0,0,0,0,0,0</t>
  </si>
  <si>
    <t>2025-05-08 05:41:00,-25523973.4168933,-7826068.65150797,-298.5,-8,-2361.5,-40.6,0.00219355232710655,-1.25</t>
  </si>
  <si>
    <t>2025-05-08 05:41:00,24501760.8085884,0,0,0,0,0,0,0</t>
  </si>
  <si>
    <t>2025-05-08 05:42:00,570,,,,565,,,,,,,,,557,562</t>
  </si>
  <si>
    <t>2025-05-08 05:42:00,490,,,,490,,,,,,,,,482,475</t>
  </si>
  <si>
    <t>2025-05-08 05:42:00,,5630,,5630,,5700,5680,,,,,5750,5570,5630,5620</t>
  </si>
  <si>
    <t>2025-05-08 05:42:00,,,,,19475,,,,,,,,,19400,19300</t>
  </si>
  <si>
    <t>2025-05-08 05:42:00,4419119969.7805,0,0,0,0,0,0,0</t>
  </si>
  <si>
    <t>2025-05-08 05:42:00,3071202047.08368,0,0,0,0,0,0,0</t>
  </si>
  <si>
    <t>2025-05-08 05:42:00,-25440780.491372,-7819162.49318563,-1267.4,-14,-51167.7513333333,-381.69,0.0205283660234417,-6.09</t>
  </si>
  <si>
    <t>2025-05-08 05:42:00,24503472.400094,0,0,0,0,0,0,0</t>
  </si>
  <si>
    <t>2025-05-08 05:43:00,570,,,,565,,,,,,,,,557,562</t>
  </si>
  <si>
    <t>2025-05-08 05:43:00,490,,,,490,,,,,,,,,482,475</t>
  </si>
  <si>
    <t>2025-05-08 05:43:00,,5630,,5630,,5700,5680,,,,,5750,5570,5630,5620</t>
  </si>
  <si>
    <t>2025-05-08 05:43:00,,,,,19475,,,,,,,,,19400,19300</t>
  </si>
  <si>
    <t>2025-05-08 05:43:00,4564368316.70481,0,0,0,0,0,0,0</t>
  </si>
  <si>
    <t>2025-05-08 05:43:00,3298398903.60252,0,0,0,0,0,0,0</t>
  </si>
  <si>
    <t>2025-05-08 05:43:00,-25888401.2457919,-7888071.79561847,-573.958333333338,-10,-4807.10833333337,-96.5,-0.0237777936725807,-3.31</t>
  </si>
  <si>
    <t>2025-05-08 05:43:00,24515477.9864424,0,0,0,0,0,0,0</t>
  </si>
  <si>
    <t>2025-05-08 05:44:00,570,,,,565,,,,,,,,,557,562</t>
  </si>
  <si>
    <t>2025-05-08 05:44:00,490,,,,490,,,,,,,,,482,475</t>
  </si>
  <si>
    <t>2025-05-08 05:44:00,,5630,,5630,,5700,5680,,,,,5750,5570,5630,5620</t>
  </si>
  <si>
    <t>2025-05-08 05:44:00,,,,,19475,,,,,,,,,19400,19300</t>
  </si>
  <si>
    <t>2025-05-08 05:44:00,4549317307.91905,0,0,0,0,0,0,0</t>
  </si>
  <si>
    <t>2025-05-08 05:44:00,3273574185.67026,0,0,0,0,0,0,0</t>
  </si>
  <si>
    <t>2025-05-08 05:44:00,-25724868.9430789,-7881663.91898807,-256.1,-6,-1586.263,-29.83,0.00100632898339676,-0.94</t>
  </si>
  <si>
    <t>2025-05-08 05:44:00,24512597.9270625,0,0,0,0,0,0,0</t>
  </si>
  <si>
    <t>2025-05-08 05:45:00,570,,,,565,,,,,,,,,557,562</t>
  </si>
  <si>
    <t>2025-05-08 05:45:00,490,,,,490,,,,,,,,,482,475</t>
  </si>
  <si>
    <t>2025-05-08 05:45:00,,5630,,5630,,5700,5680,,,,,5750,5570,5630,5620</t>
  </si>
  <si>
    <t>2025-05-08 05:45:00,,,,,19475,,,,,,,,,19400,19300</t>
  </si>
  <si>
    <t>2025-05-08 05:45:00,4518462287.54261,0,0,0,0,0,0,0</t>
  </si>
  <si>
    <t>2025-05-08 05:45:00,3041137829.81884,0,0,0,0,0,0,0</t>
  </si>
  <si>
    <t>2025-05-08 05:45:00,-25546966.6213332,-7854115.4229804,-2102.8,-41,-55266.2550000002,-627.41,0.10537564788302,-14.45</t>
  </si>
  <si>
    <t>2025-05-08 05:45:00,24510901.202468,0,0,0,0,0,0,0</t>
  </si>
  <si>
    <t>2025-05-08 05:46:00,570,,,,565,,,,,,,,,557,562</t>
  </si>
  <si>
    <t>2025-05-08 05:46:00,490,,,,490,,,,,,,,,482,475</t>
  </si>
  <si>
    <t>2025-05-08 05:46:00,,5630,,5630,,5700,5680,,,,,5750,5570,5630,5620</t>
  </si>
  <si>
    <t>2025-05-08 05:46:00,,,,,19475,,,,,,,,,19400,19300</t>
  </si>
  <si>
    <t>2025-05-08 05:46:00,4548598301.09828,0,0,0,0,0,0,0</t>
  </si>
  <si>
    <t>2025-05-08 05:46:00,3063569356.69016,0,0,0,0,0,0,0</t>
  </si>
  <si>
    <t>2025-05-08 05:46:00,-25764735.6333546,-7923467.29254095,-1174.83333333333,-10,-64230.8333333332,-485.1,0.0483366465011985,-7.87</t>
  </si>
  <si>
    <t>2025-05-08 05:46:00,24506992.6945713,0,0,0,0,0,0,0</t>
  </si>
  <si>
    <t>2025-05-08 05:47:00,570,,,,565,,,,,,,,,557,562</t>
  </si>
  <si>
    <t>2025-05-08 05:47:00,490,,,,490,,,,,,,,,482,475</t>
  </si>
  <si>
    <t>2025-05-08 05:47:00,,5630,,5630,,5700,5680,,,,,5750,5570,5630,5620</t>
  </si>
  <si>
    <t>2025-05-08 05:47:00,,,,,19475,,,,,,,,,19400,19300</t>
  </si>
  <si>
    <t>2025-05-08 05:47:00,4580434384.92629,0,0,0,0,0,0,0</t>
  </si>
  <si>
    <t>2025-05-08 05:47:00,3071572006.91453,0,0,0,0,0,0,0</t>
  </si>
  <si>
    <t>2025-05-08 05:47:00,-25843543.0320907,-7926761.73503754,-192.5,-11,-939.750000000001,-21.7,-0.0135903156462207,-1.08</t>
  </si>
  <si>
    <t>2025-05-08 05:47:00,24503421.3124948,0,0,0,0,0,0,0</t>
  </si>
  <si>
    <t>2025-05-08 05:48:00,570,,,,565,,,,,,,,,557,562</t>
  </si>
  <si>
    <t>2025-05-08 05:48:00,490,,,,490,,,,,,,,,482,475</t>
  </si>
  <si>
    <t>2025-05-08 05:48:00,,5630,,5630,,5700,5680,,,,,5750,5570,5630,5620</t>
  </si>
  <si>
    <t>2025-05-08 05:48:00,,,,,19475,,,,,,,,,19400,19300</t>
  </si>
  <si>
    <t>2025-05-08 05:48:00,4905941546.83321,0,0,0,0,0,0,0</t>
  </si>
  <si>
    <t>2025-05-08 05:48:00,3439448735.80588,0,0,0,0,0,0,0</t>
  </si>
  <si>
    <t>2025-05-08 05:48:00,-26807157.8015485,-8157628.12427694,-3407.41666666667,-90,-34286.0491666667,-357.92,0.10107824450588,-8.18</t>
  </si>
  <si>
    <t>2025-05-08 05:48:00,24518762.0990104,0,0,0,0,0,0,0</t>
  </si>
  <si>
    <t>2025-05-08 05:49:00,570,,,,565,,,,,,,,,557,562</t>
  </si>
  <si>
    <t>2025-05-08 05:49:00,490,,,,490,,,,,,,,,482,475</t>
  </si>
  <si>
    <t>2025-05-08 05:49:00,,5630,,5630,,5700,5680,,,,,5750,5570,5630,5620</t>
  </si>
  <si>
    <t>2025-05-08 05:49:00,,,,,19475,,,,,,,,,19400,19300</t>
  </si>
  <si>
    <t>2025-05-08 05:49:00,4906052390.067,0,0,0,0,0,0,0</t>
  </si>
  <si>
    <t>2025-05-08 05:49:00,3428514575.79088,0,0,0,0,0,0,0</t>
  </si>
  <si>
    <t>2025-05-08 05:49:00,-26794245.5716146,-8168241.08048508,-1507.78333333333,-27,-23293.4728333333,-232.47,0.0106025554562557,-7.44</t>
  </si>
  <si>
    <t>2025-05-08 05:49:00,24515754.8767566,0,0,0,0,0,0,0</t>
  </si>
  <si>
    <t>2025-05-08 05:50:00,570,,,,565,,,,,,,,,557,562</t>
  </si>
  <si>
    <t>2025-05-08 05:50:00,490,,,,490,,,,,,,,,482,475</t>
  </si>
  <si>
    <t>2025-05-08 05:50:00,,5630,,5630,,5700,5680,,,,,5750,5570,5630,5620</t>
  </si>
  <si>
    <t>2025-05-08 05:50:00,,,,,19475,,,,,,,,,19400,19300</t>
  </si>
  <si>
    <t>2025-05-08 05:50:00,4462839971.67534,0,0,0,0,0,0,0</t>
  </si>
  <si>
    <t>2025-05-08 05:50:00,3540813014.04528,0,0,0,0,0,0,0</t>
  </si>
  <si>
    <t>2025-05-08 05:50:00,-27229056.8597167,-8257375.18259158,-2440.1,-19,-74876.6500000002,-344.1,0.0339986331891056,-9.6</t>
  </si>
  <si>
    <t>2025-05-08 05:50:00,24513069.3661727,0,0,0,0,0,0,0</t>
  </si>
  <si>
    <t>2025-05-08 05:51:00,570,,,,565,,,,,,,,,557,562</t>
  </si>
  <si>
    <t>2025-05-08 05:51:00,490,,,,490,,,,,,,,,482,475</t>
  </si>
  <si>
    <t>2025-05-08 05:51:00,,5630,,5630,,5700,5680,,,,,5750,5570,5630,5620</t>
  </si>
  <si>
    <t>2025-05-08 05:51:00,,,,,19475,,,,,,,,,19400,19300</t>
  </si>
  <si>
    <t>2025-05-08 05:51:00,4462651941.1684,0,0,0,0,0,0,0</t>
  </si>
  <si>
    <t>2025-05-08 05:51:00,3514097007.59588,0,0,0,0,0,0,0</t>
  </si>
  <si>
    <t>2025-05-08 05:51:00,-27168325.6273619,-8251992.85321865,-738.6,-12,-9640.27300000001,-101.63,0.0164591429078745,-3.28</t>
  </si>
  <si>
    <t>2025-05-08 05:51:00,24512242.4473068,0,0,0,0,0,0,0</t>
  </si>
  <si>
    <t>2025-05-08 05:52:00,570,,,,565,,,,,,,,,557,562</t>
  </si>
  <si>
    <t>2025-05-08 05:52:00,490,,,,490,,,,,,,,,482,475</t>
  </si>
  <si>
    <t>2025-05-08 05:52:00,,5630,,5630,,5700,5680,,,,,5750,5570,5630,5620</t>
  </si>
  <si>
    <t>2025-05-08 05:52:00,,,,,19475,,,,,,,,,19400,19300</t>
  </si>
  <si>
    <t>2025-05-08 05:52:00,4451433357.31268,0,0,0,0,0,0,0</t>
  </si>
  <si>
    <t>2025-05-08 05:52:00,3553865191.44731,0,0,0,0,0,0,0</t>
  </si>
  <si>
    <t>2025-05-08 05:52:00,-27236927.4499964,-8290173.28757421,-2732.33333333333,-25,-87218.6333333332,-658.1,0.121434369314944,-9.94</t>
  </si>
  <si>
    <t>2025-05-08 05:52:00,24508360.175059,0,0,0,0,0,0,0</t>
  </si>
  <si>
    <t>2025-05-08 05:54:00,570,,,,565,,,,,,,,,557,562</t>
  </si>
  <si>
    <t>2025-05-08 05:54:00,490,,,,490,,,,,,,,,482,475</t>
  </si>
  <si>
    <t>2025-05-08 05:54:00,,5630,,5630,,5700,5680,,,,,5750,5570,5630,5620</t>
  </si>
  <si>
    <t>2025-05-08 05:54:00,,,,,19475,,,,,,,,,19400,19300</t>
  </si>
  <si>
    <t>2025-05-08 05:54:00,4451412500.36258,0,0,0,0,0,0,0</t>
  </si>
  <si>
    <t>2025-05-08 05:54:00,3553517181.56056,0,0,0,0,0,0,0</t>
  </si>
  <si>
    <t>2025-05-08 05:54:00,-27197603.8553559,-8298343.44653863,-1526.23333333333,-22,-55006.4393333332,-502.26,0.0483496127727214,-8.71</t>
  </si>
  <si>
    <t>2025-05-08 05:54:00,24523610.4505341,0,0,0,0,0,0,0</t>
  </si>
  <si>
    <t>2025-05-08 05:55:00,570,,,,565,,,,,,,,,557,562</t>
  </si>
  <si>
    <t>2025-05-08 05:55:00,490,,,,490,,,,,,,,,482,475</t>
  </si>
  <si>
    <t>2025-05-08 05:55:00,,5630,,5630,,5700,5680,,,,,5750,5570,5630,5620</t>
  </si>
  <si>
    <t>2025-05-08 05:55:00,,,,,19475,,,,,,,,,19400,19300</t>
  </si>
  <si>
    <t>2025-05-08 05:55:00,4537928347.04547,0,0,0,0,0,0,0</t>
  </si>
  <si>
    <t>2025-05-08 05:55:00,3607316365.06708,0,0,0,0,0,0,0</t>
  </si>
  <si>
    <t>2025-05-08 05:55:00,-27450647.5308198,-8374353.88786029,-453.800000000001,-5,-11914.466,-66.04,0.0178035921679643,-1.61</t>
  </si>
  <si>
    <t>2025-05-08 05:55:00,24519823.9535343,0,0,0,0,0,0,0</t>
  </si>
  <si>
    <t>2025-05-08 05:56:00,570,,,,565,,,,,,,,,557,562</t>
  </si>
  <si>
    <t>2025-05-08 05:56:00,490,,,,490,,,,,,,,,482,475</t>
  </si>
  <si>
    <t>2025-05-08 05:56:00,,5630,,5630,,5700,5680,,,,,5750,5570,5630,5620</t>
  </si>
  <si>
    <t>2025-05-08 05:56:00,,,,,19475,,,,,,,,,19400,19300</t>
  </si>
  <si>
    <t>2025-05-08 05:56:00,4786897437.61859,0,0,0,0,0,0,0</t>
  </si>
  <si>
    <t>2025-05-08 05:56:00,3133539654.90099,0,0,0,0,0,0,0</t>
  </si>
  <si>
    <t>2025-05-08 05:56:00,-27774701.1616843,-8636336.77850679,-19957.5855555556,-180,-661989.049322224,-3522.81,0.812151500175412,-74.16</t>
  </si>
  <si>
    <t>2025-05-08 05:56:00,24519652.9770743,0,0,0,0,0,0,0</t>
  </si>
  <si>
    <t>2025-05-08 05:57:00,570,,,,565,,,,,,,,,557,562</t>
  </si>
  <si>
    <t>2025-05-08 05:57:00,490,,,,490,,,,,,,,,482,475</t>
  </si>
  <si>
    <t>2025-05-08 05:57:00,,5630,,5630,,5700,5680,,,,,5750,5570,5630,5620</t>
  </si>
  <si>
    <t>2025-05-08 05:57:00,,,,,19475,,,,,,,,,19400,19300</t>
  </si>
  <si>
    <t>2025-05-08 05:57:00,4803308143.56119,0,0,0,0,0,0,0</t>
  </si>
  <si>
    <t>2025-05-08 05:57:00,3129807317.9028,0,0,0,0,0,0,0</t>
  </si>
  <si>
    <t>2025-05-08 05:57:00,-27786473.0390726,-8640741.87941483,-1119.18333333333,-21,-13376.3168333333,-130.45,0.0204923112625355,-3.53</t>
  </si>
  <si>
    <t>2025-05-08 05:57:00,24515238.6813035,0,0,0,0,0,0,0</t>
  </si>
  <si>
    <t>2025-05-08 05:58:00,570,,,,565,,,,,,,,,557,562</t>
  </si>
  <si>
    <t>2025-05-08 05:58:00,490,,,,490,,,,,,,,,482,475</t>
  </si>
  <si>
    <t>2025-05-08 05:58:00,,5630,,5630,,5700,5680,,,,,5750,5570,5630,5620</t>
  </si>
  <si>
    <t>2025-05-08 05:58:00,,,,,19475,,,,,,,,,19400,19300</t>
  </si>
  <si>
    <t>2025-05-08 05:58:00,4542211573.36699,0,0,0,0,0,0,0</t>
  </si>
  <si>
    <t>2025-05-08 05:58:00,3537438353.33324,0,0,0,0,0,0,0</t>
  </si>
  <si>
    <t>2025-05-08 05:58:00,-27480371.1931514,-8593336.44240953,-1338.88333333333,-22,-20594.3085,-268.36,0.100966678018114,-4.89</t>
  </si>
  <si>
    <t>2025-05-08 05:58:00,24511342.1662629,0,0,0,0,0,0,0</t>
  </si>
  <si>
    <t>2025-05-08 05:59:00,570,,,,565,,,,,,,,,557,562</t>
  </si>
  <si>
    <t>2025-05-08 05:59:00,490,,,,490,,,,,,,,,482,475</t>
  </si>
  <si>
    <t>2025-05-08 05:59:00,,5630,,5630,,5700,5680,,,,,5750,5570,5630,5620</t>
  </si>
  <si>
    <t>2025-05-08 05:59:00,,,,,19475,,,,,,,,,19400,19300</t>
  </si>
  <si>
    <t>2025-05-08 05:59:00,4555556083.63224,0,0,0,0,0,0,0</t>
  </si>
  <si>
    <t>2025-05-08 05:59:00,3590714792.89888,0,0,0,0,0,0,0</t>
  </si>
  <si>
    <t>2025-05-08 05:59:00,-27468626.3653608,-8612674.94174764,-2137.53333333334,-22,-97209.7073333342,-716.87,0.0633732530220519,-12.04</t>
  </si>
  <si>
    <t>2025-05-08 05:59:00,24507613.164154,0,0,0,0,0,0,0</t>
  </si>
  <si>
    <t>2025-05-08 06:00:00,570,,,,565,,,,,,,,,557,562</t>
  </si>
  <si>
    <t>2025-05-08 06:00:00,490,,,,490,,,,,,,,,482,475</t>
  </si>
  <si>
    <t>2025-05-08 06:00:00,,5630,,5630,,5700,5680,,,,,5750,5570,5630,5620</t>
  </si>
  <si>
    <t>2025-05-08 06:00:00,,,,,19475,,,,,,,,,19400,19300</t>
  </si>
  <si>
    <t>2025-05-08 06:00:00,4590933501.43035,0,0,0,0,0,0,0</t>
  </si>
  <si>
    <t>2025-05-08 06:00:00,3549988251.08388,0,0,0,0,0,0,0</t>
  </si>
  <si>
    <t>2025-05-08 06:00:00,-27614591.6213675,-8660251.89530127,-1584.56666666666,-48,-8583.756,-152.03,-0.00484313929318574,-5.52</t>
  </si>
  <si>
    <t>2025-05-08 06:00:00,24523430.4686425,0,0,0,0,0,0,0</t>
  </si>
  <si>
    <t>2025-05-08 06:01:00,570,,,,565,,,,,,,,,557,562</t>
  </si>
  <si>
    <t>2025-05-08 06:01:00,490,,,,490,,,,,,,,,482,475</t>
  </si>
  <si>
    <t>2025-05-08 06:01:00,,5630,,5630,,5700,5680,,,,,5750,5570,5630,5620</t>
  </si>
  <si>
    <t>2025-05-08 06:01:00,,,,,19475,,,,,,,,,19400,19300</t>
  </si>
  <si>
    <t>2025-05-08 06:01:00,4550830926.97784,0,0,0,0,0,0,0</t>
  </si>
  <si>
    <t>2025-05-08 06:01:00,3589834351.02197,0,0,0,0,0,0,0</t>
  </si>
  <si>
    <t>2025-05-08 06:01:00,-27489312.3200834,-8604729.96418132,-8099.29999999999,-346,-465761.598333332,-26982.86,-0.00205138710797766,-194.19</t>
  </si>
  <si>
    <t>2025-05-08 06:01:00,24521344.3449994,0,0,0,0,0,0,0</t>
  </si>
  <si>
    <t>2025-05-08 06:02:00,570,,,,565,,,,,,,,,557,562</t>
  </si>
  <si>
    <t>2025-05-08 06:02:00,490,,,,490,,,,,,,,,482,475</t>
  </si>
  <si>
    <t>2025-05-08 06:02:00,,5630,,5630,,5700,5680,,,,,5750,5570,5630,5620</t>
  </si>
  <si>
    <t>2025-05-08 06:02:00,,,,,19475,,,,,,,,,19400,19300</t>
  </si>
  <si>
    <t>2025-05-08 06:02:00,4815006790.38415,0,0,0,0,0,0,0</t>
  </si>
  <si>
    <t>2025-05-08 06:02:00,3114330467.12445,0,0,0,0,0,0,0</t>
  </si>
  <si>
    <t>2025-05-08 06:02:00,-27981921.7600097,-8720805.05937656,-2382.01540404041,-49,-104346.779527778,-1138.05,0.0280541348625843,-20.17</t>
  </si>
  <si>
    <t>2025-05-08 06:02:00,24520910.5171108,0,0,0,0,0,0,0</t>
  </si>
  <si>
    <t>2025-05-08 06:03:00,570,,,,565,,,,,,,,,557,562</t>
  </si>
  <si>
    <t>2025-05-08 06:03:00,490,,,,490,,,,,,,,,482,475</t>
  </si>
  <si>
    <t>2025-05-08 06:03:00,,5630,,5630,,5700,5680,,,,,5750,5570,5630,5620</t>
  </si>
  <si>
    <t>2025-05-08 06:03:00,,,,,19475,,,,,,,,,19400,19300</t>
  </si>
  <si>
    <t>2025-05-08 06:03:00,4856531958.26734,0,0,0,0,0,0,0</t>
  </si>
  <si>
    <t>2025-05-08 06:03:00,3265997162.2788,0,0,0,0,0,0,0</t>
  </si>
  <si>
    <t>2025-05-08 06:03:00,-26428506.3568102,-8400851.78973615,-8203.40858843535,-228,-326943.99260119,-13389.56,0.11596075624576,-116.93</t>
  </si>
  <si>
    <t>2025-05-08 06:03:00,24515592.9316923,0,0,0,0,0,0,0</t>
  </si>
  <si>
    <t>2025-05-08 06:04:00,570,,,,565,,,,,,,,,557,562</t>
  </si>
  <si>
    <t>2025-05-08 06:04:00,490,,,,490,,,,,,,,,482,475</t>
  </si>
  <si>
    <t>2025-05-08 06:04:00,,5630,,5630,,5700,5680,,,,,5750,5570,5630,5620</t>
  </si>
  <si>
    <t>2025-05-08 06:04:00,,,,,19475,,,,,,,,,19400,19300</t>
  </si>
  <si>
    <t>2025-05-08 06:04:00,4856442355.65515,0,0,0,0,0,0,0</t>
  </si>
  <si>
    <t>2025-05-08 06:04:00,3335478286.4749,0,0,0,0,0,0,0</t>
  </si>
  <si>
    <t>2025-05-08 06:04:00,-26584028.0907931,-8443837.15821084,-1775.86233333333,-23,-67272.1403433334,-643.36,0.0871194609553733,-10.3</t>
  </si>
  <si>
    <t>2025-05-08 06:04:00,24514595.7969028,0,0,0,0,0,0,0</t>
  </si>
  <si>
    <t>2025-05-08 06:05:00,570,,,,565,,,,,,,,,557,562</t>
  </si>
  <si>
    <t>2025-05-08 06:05:00,490,,,,490,,,,,,,,,482,475</t>
  </si>
  <si>
    <t>2025-05-08 06:05:00,,5630,,5630,,5700,5680,,,,,5750,5570,5630,5620</t>
  </si>
  <si>
    <t>2025-05-08 06:05:00,,,,,19475,,,,,,,,,19400,19300</t>
  </si>
  <si>
    <t>2025-05-08 06:05:00,4905313250.09863,0,0,0,0,0,0,0</t>
  </si>
  <si>
    <t>2025-05-08 06:05:00,3299798149.2177,0,0,0,0,0,0,0</t>
  </si>
  <si>
    <t>2025-05-08 06:05:00,-26710326.709989,-8511704.58130204,-916.766666666668,-18,-26595.9880000001,-182.9,0.047268887415631,-3.28</t>
  </si>
  <si>
    <t>2025-05-08 06:05:00,24530304.5408016,0,0,0,0,0,0,0</t>
  </si>
  <si>
    <t>2025-05-08 06:06:00,570,,,,565,,,,,,,,,557,562</t>
  </si>
  <si>
    <t>2025-05-08 06:06:00,490,,,,490,,,,,,,,,482,475</t>
  </si>
  <si>
    <t>2025-05-08 06:06:00,,5630,,5630,,5700,5680,,,,,5750,5570,5630,5620</t>
  </si>
  <si>
    <t>2025-05-08 06:06:00,,,,,19475,,,,,,,,,19400,19300</t>
  </si>
  <si>
    <t>2025-05-08 06:06:00,4579551988.25958,0,0,0,0,0,0,0</t>
  </si>
  <si>
    <t>2025-05-08 06:06:00,3385300872.72857,0,0,0,0,0,0,0</t>
  </si>
  <si>
    <t>2025-05-08 06:06:00,-27058422.8744163,-8592408.05472425,-1821.725,-37,-56809.2182500001,-509.05,0.011001969099907,-8.55</t>
  </si>
  <si>
    <t>2025-05-08 06:06:00,24526186.0167661,0,0,0,0,0,0,0</t>
  </si>
  <si>
    <t>2025-05-08 06:07:00,570,,,,565,,,,,,,,,557,562</t>
  </si>
  <si>
    <t>2025-05-08 06:07:00,490,,,,490,,,,,,,,,482,475</t>
  </si>
  <si>
    <t>2025-05-08 06:07:00,,5630,,5630,,5700,5680,,,,,5750,5570,5630,5620</t>
  </si>
  <si>
    <t>2025-05-08 06:07:00,,,,,19475,,,,,,,,,19400,19300</t>
  </si>
  <si>
    <t>2025-05-08 06:07:00,4819860982.65436,0,0,0,0,0,0,0</t>
  </si>
  <si>
    <t>2025-05-08 06:07:00,3282377861.23029,0,0,0,0,0,0,0</t>
  </si>
  <si>
    <t>2025-05-08 06:07:00,-26457337.6048691,-8476121.30042509,-2850.95000000001,-34,-94856.554166667,-672.11,0.122836081595801,-14.9</t>
  </si>
  <si>
    <t>2025-05-08 06:07:00,24522844.5785142,0,0,0,0,0,0,0</t>
  </si>
  <si>
    <t>2025-05-08 06:08:00,570,,,,565,,,,,,,,,557,562</t>
  </si>
  <si>
    <t>2025-05-08 06:08:00,490,,,,490,,,,,,,,,482,475</t>
  </si>
  <si>
    <t>2025-05-08 06:08:00,,5630,,5630,,5700,5680,,,,,5750,5570,5630,5620</t>
  </si>
  <si>
    <t>2025-05-08 06:08:00,,,,,19475,,,,,,,,,19400,19300</t>
  </si>
  <si>
    <t>2025-05-08 06:08:00,4678667285.73993,0,0,0,0,0,0,0</t>
  </si>
  <si>
    <t>2025-05-08 06:08:00,3002060996.28327,0,0,0,0,0,0,0</t>
  </si>
  <si>
    <t>2025-05-08 06:08:00,-26034587.1369909,-8451546.3659217,-9233.91666666666,-134,-63964.9321666666,-706.42,0.216561820355104,-12.73</t>
  </si>
  <si>
    <t>2025-05-08 06:08:00,24519484.5269652,0,0,0,0,0,0,0</t>
  </si>
  <si>
    <t>2025-05-08 06:09:00,570,,,,565,,,,,,,,,557,562</t>
  </si>
  <si>
    <t>2025-05-08 06:09:00,490,,,,490,,,,,,,,,482,475</t>
  </si>
  <si>
    <t>2025-05-08 06:09:00,,5630,,5630,,5700,5680,,,,,5750,5570,5630,5620</t>
  </si>
  <si>
    <t>2025-05-08 06:09:00,,,,,19475,,,,,,,,,19400,19300</t>
  </si>
  <si>
    <t>2025-05-08 06:09:00,4678015110.99732,0,0,0,0,0,0,0</t>
  </si>
  <si>
    <t>2025-05-08 06:09:00,2994771651.39891,0,0,0,0,0,0,0</t>
  </si>
  <si>
    <t>2025-05-08 06:09:00,-25494784.5895123,-8335535.88750528,-1583.29166666667,-25,-63957.8989166669,-566.94,0.0576570678527611,-9.1</t>
  </si>
  <si>
    <t>2025-05-08 06:09:00,24522902.8810163,0,0,0,0,0,0,0</t>
  </si>
  <si>
    <t>2025-05-08 06:12:00,570,,,,565,,,,,,,,,557,562</t>
  </si>
  <si>
    <t>2025-05-08 06:12:00,490,,,,490,,,,,,,,,482,475</t>
  </si>
  <si>
    <t>2025-05-08 06:12:00,,5630,,5630,,5700,5680,,,,,5750,5570,5630,5620</t>
  </si>
  <si>
    <t>2025-05-08 06:12:00,,,,,19475,,,,,,,,,19400,19300</t>
  </si>
  <si>
    <t>2025-05-08 06:12:00,4351273360.72544,0,0,0,0,0,0,0</t>
  </si>
  <si>
    <t>2025-05-08 06:12:00,2952385984.09238,0,0,0,0,0,0,0</t>
  </si>
  <si>
    <t>2025-05-08 06:12:00,-28199342.5454777,-9299354.37498129,-12833.1640316205,-513,-495134.596114624,-26071.73,-0.243712326845692,-274.37</t>
  </si>
  <si>
    <t>2025-05-08 06:12:00,24531761.2579946,0,0,0,0,0,0,0</t>
  </si>
  <si>
    <t>2025-05-08 06:13:00,570,,,,565,,,,,,,,,557,562</t>
  </si>
  <si>
    <t>2025-05-08 06:13:00,490,,,,490,,,,,,,,,482,475</t>
  </si>
  <si>
    <t>2025-05-08 06:13:00,,5630,,5630,,5700,5680,,,,,5750,5570,5630,5620</t>
  </si>
  <si>
    <t>2025-05-08 06:13:00,,,,,19475,,,,,,,,,19400,19300</t>
  </si>
  <si>
    <t>2025-05-08 06:13:00,4431328568.03468,0,0,0,0,0,0,0</t>
  </si>
  <si>
    <t>2025-05-08 06:13:00,2985925529.78627,0,0,0,0,0,0,0</t>
  </si>
  <si>
    <t>2025-05-08 06:13:00,-25220392.8602683,-8217356.53442849,-1300.2,-16,-43701.0999999998,-347.13,0.0713846309434813,-8.02</t>
  </si>
  <si>
    <t>2025-05-08 06:13:00,24528943.3170033,0,0,0,0,0,0,0</t>
  </si>
  <si>
    <t>2025-05-08 06:15:00,570,,,,565,,,,,,,,,557,562</t>
  </si>
  <si>
    <t>2025-05-08 06:15:00,490,,,,490,,,,,,,,,482,475</t>
  </si>
  <si>
    <t>2025-05-08 06:15:00,,5630,,5630,,5700,5680,,,,,5750,5570,5630,5620</t>
  </si>
  <si>
    <t>2025-05-08 06:15:00,,,,,19475,,,,,,,,,19400,19300</t>
  </si>
  <si>
    <t>2025-05-08 06:15:00,4338625530.70627,0,0,0,0,0,0,0</t>
  </si>
  <si>
    <t>2025-05-08 06:15:00,2958934660.3565,0,0,0,0,0,0,0</t>
  </si>
  <si>
    <t>2025-05-08 06:15:00,-28252897.7427995,-9379568.43025746,-2298.32051282052,-44,-57012.9351025643,-551.42,0.0935311686642269,-10.57</t>
  </si>
  <si>
    <t>2025-05-08 06:15:00,24532014.7880194,0,0,0,0,0,0,0</t>
  </si>
  <si>
    <t>2025-05-08 06:15:00,4142605573.76893,0,0,0,0,0,0,0</t>
  </si>
  <si>
    <t>2025-05-08 06:15:00,2936216637.12139,0,0,0,0,0,0,0</t>
  </si>
  <si>
    <t>2025-05-08 06:15:00,-27930670.7652381,-9377323.55481933,-3136.6,-65,-65321.4746666668,-644.08,0.15382086196239,-16.04</t>
  </si>
  <si>
    <t>2025-05-08 06:15:00,24527007.0899971,0,0,0,0,0,0,0</t>
  </si>
  <si>
    <t>2025-05-08 06:18:00,570,,,,565,,,,,,,,,557,562</t>
  </si>
  <si>
    <t>2025-05-08 06:18:00,490,,,,490,,,,,,,,,482,475</t>
  </si>
  <si>
    <t>2025-05-08 06:18:00,,5630,,5630,,5700,5680,,,,,5750,5570,5630,5620</t>
  </si>
  <si>
    <t>2025-05-08 06:18:00,,,,,19475,,,,,,,,,19400,19300</t>
  </si>
  <si>
    <t>2025-05-08 06:18:00,4341258526.68675,0,0,0,0,0,0,0</t>
  </si>
  <si>
    <t>2025-05-08 06:18:00,2930695008.54371,0,0,0,0,0,0,0</t>
  </si>
  <si>
    <t>2025-05-08 06:18:00,-27919424.2429017,-9495295.55814361,-2215.91111111111,-28,-51561.8386666666,-574.25,0.333473137259966,-11.29</t>
  </si>
  <si>
    <t>2025-05-08 06:18:00,24568841.1623378,0,0,0,0,0,0,0</t>
  </si>
  <si>
    <t>2025-05-08 06:19:00,570,,,,565,,,,,,,,,557,562</t>
  </si>
  <si>
    <t>2025-05-08 06:19:00,490,,,,490,,,,,,,,,482,475</t>
  </si>
  <si>
    <t>2025-05-08 06:19:00,,5630,,5630,,5700,5680,,,,,5750,5570,5630,5620</t>
  </si>
  <si>
    <t>2025-05-08 06:19:00,,,,,19475,,,,,,,,,19400,19300</t>
  </si>
  <si>
    <t>2025-05-08 06:19:00,4340859316.26033,0,0,0,0,0,0,0</t>
  </si>
  <si>
    <t>2025-05-08 06:19:00,2947379677.80744,0,0,0,0,0,0,0</t>
  </si>
  <si>
    <t>2025-05-08 06:19:00,-27993169.8241474,-9507077.34117157,-990.791666666659,-13,-20657.7041666666,-237.15,-0.00226660227982262,-5.14</t>
  </si>
  <si>
    <t>2025-05-08 06:19:00,24531079.5628841,0,0,0,0,0,0,0</t>
  </si>
  <si>
    <t>2025-05-08 06:21:00,570,,,,565,,,,,,,,,557,562</t>
  </si>
  <si>
    <t>2025-05-08 06:21:00,490,,,,490,,,,,,,,,482,475</t>
  </si>
  <si>
    <t>2025-05-08 06:21:00,,5630,,5630,,5700,5680,,,,,5750,5570,5630,5620</t>
  </si>
  <si>
    <t>2025-05-08 06:21:00,,,,,19475,,,,,,,,,19400,19300</t>
  </si>
  <si>
    <t>2025-05-08 06:21:00,4349293220.04692,0,0,0,0,0,0,0</t>
  </si>
  <si>
    <t>2025-05-08 06:21:00,2917506479.64915,0,0,0,0,0,0,0</t>
  </si>
  <si>
    <t>2025-05-08 06:21:00,-27879721.9270445,-9503087.77452471,-1658.7,-26,-15749.296,-190.25,0.0583573358036692,-3.42</t>
  </si>
  <si>
    <t>2025-05-08 06:21:00,24532536.5688925,0,0,0,0,0,0,0</t>
  </si>
  <si>
    <t>2025-05-08 06:22:00,570,,,,565,,,,,,,,,557,562</t>
  </si>
  <si>
    <t>2025-05-08 06:22:00,490,,,,490,,,,,,,,,482,475</t>
  </si>
  <si>
    <t>2025-05-08 06:22:00,,5630,,5630,,5700,5680,,,,,5750,5570,5630,5620</t>
  </si>
  <si>
    <t>2025-05-08 06:22:00,,,,,19475,,,,,,,,,19400,19300</t>
  </si>
  <si>
    <t>2025-05-08 06:22:00,4108453362.15539,0,0,0,0,0,0,0</t>
  </si>
  <si>
    <t>2025-05-08 06:22:00,2953726978.35205,0,0,0,0,0,0,0</t>
  </si>
  <si>
    <t>2025-05-08 06:22:00,-27223363.6898564,-9194504.52249099,-2872.76666666667,-66,-60020.5138333334,-403.23,0.0838994012759699,-5.8</t>
  </si>
  <si>
    <t>2025-05-08 06:22:00,24530538.8481635,0,0,0,0,0,0,0</t>
  </si>
  <si>
    <t>2025-05-08 06:23:00,570,,,,565,,,,,,,,,557,562</t>
  </si>
  <si>
    <t>2025-05-08 06:23:00,490,,,,490,,,,,,,,,482,475</t>
  </si>
  <si>
    <t>2025-05-08 06:23:00,,5630,,5630,,5700,5680,,,,,5750,5570,5630,5620</t>
  </si>
  <si>
    <t>2025-05-08 06:23:00,,,,,19475,,,,,,,,,19400,19300</t>
  </si>
  <si>
    <t>2025-05-08 06:23:00,4119713359.46705,0,0,0,0,0,0,0</t>
  </si>
  <si>
    <t>2025-05-08 06:23:00,2965126304.95808,0,0,0,0,0,0,0</t>
  </si>
  <si>
    <t>2025-05-08 06:23:00,-24880310.6844517,-8358388.53737047,-572.266666666667,-11,-4342.66866666667,-67.49,0.00766893272673587,-1.98</t>
  </si>
  <si>
    <t>2025-05-08 06:23:00,24533965.6963831,0,0,0,0,0,0,0</t>
  </si>
  <si>
    <t>2025-05-08 06:24:00,570,,,,565,,,,,,,,,557,562</t>
  </si>
  <si>
    <t>2025-05-08 06:24:00,490,,,,490,,,,,,,,,482,475</t>
  </si>
  <si>
    <t>2025-05-08 06:24:00,,5630,,5630,,5700,5680,,,,,5750,5570,5630,5620</t>
  </si>
  <si>
    <t>2025-05-08 06:24:00,,,,,19475,,,,,,,,,19400,19300</t>
  </si>
  <si>
    <t>2025-05-08 06:24:00,4349575365.30669,0,0,0,0,0,0,0</t>
  </si>
  <si>
    <t>2025-05-08 06:24:00,2924906477.1823,0,0,0,0,0,0,0</t>
  </si>
  <si>
    <t>2025-05-08 06:24:00,-27711023.400209,-9430114.38914029,-968.366666666665,-22,-6683.76333333332,-131.28,-0.00764266285181604,-4.93</t>
  </si>
  <si>
    <t>2025-05-08 06:24:00,24528911.9404627,0,0,0,0,0,0,0</t>
  </si>
  <si>
    <t>2025-05-08 06:26:00,570,,,,565,,,,,,,,,557,562</t>
  </si>
  <si>
    <t>2025-05-08 06:26:00,490,,,,490,,,,,,,,,482,475</t>
  </si>
  <si>
    <t>2025-05-08 06:26:00,,5630,,5630,,5700,5680,,,,,5750,5570,5630,5620</t>
  </si>
  <si>
    <t>2025-05-08 06:26:00,,,,,19475,,,,,,,,,19400,19300</t>
  </si>
  <si>
    <t>2025-05-08 06:26:00,4324430796.12343,0,0,0,0,0,0,0</t>
  </si>
  <si>
    <t>2025-05-08 06:26:00,2912294686.7589,0,0,0,0,0,0,0</t>
  </si>
  <si>
    <t>2025-05-08 06:26:00,-27843727.7785783,-9521457.81735036,-950.866666666665,-17,-20679.077,-180.67,0.0393898856130851,-3.11</t>
  </si>
  <si>
    <t>2025-05-08 06:26:00,24533870.6584324,0,0,0,0,0,0,0</t>
  </si>
  <si>
    <t>2025-05-08 07:04:00,570,,,,565,,,,,,,,,557,562</t>
  </si>
  <si>
    <t>2025-05-08 07:04:00,490,,,,470,,,,,,,,,482,475</t>
  </si>
  <si>
    <t>2025-05-08 07:04:00,,5630,,5630,,5700,5690,,,,,5750,5570,5630,5620</t>
  </si>
  <si>
    <t>2025-05-08 07:04:00,19475,,,,19475,,,,,,,,,19500,19400</t>
  </si>
  <si>
    <t>2025-05-08 07:04:00,4407290641.96519,0,0,0,0,0,0,0</t>
  </si>
  <si>
    <t>2025-05-08 07:04:00,3020481837.88292,0,0,0,0,0,0,0</t>
  </si>
  <si>
    <t>2025-05-08 07:04:00,-26053023.792422,-10942652.4279059,-167917.478711337,-2733,-4994149.67637967,-98999.49,7.31765991709106,-1159.94</t>
  </si>
  <si>
    <t>2025-05-08 07:04:00,32488819.3355343,0,0,0,0,0,0,0</t>
  </si>
  <si>
    <t>2025-05-08 07:05:00,570,,,,565,,,,,,,,,557,562</t>
  </si>
  <si>
    <t>2025-05-08 07:05:00,490,,,,490,,,,,,,,,482,475</t>
  </si>
  <si>
    <t>2025-05-08 07:05:00,,5630,,5630,,5700,5690,,,,,5750,5570,5630,5620</t>
  </si>
  <si>
    <t>2025-05-08 07:05:00,19475,,,,19475,,,,,,,,,19500,19400</t>
  </si>
  <si>
    <t>2025-05-08 07:05:00,4526623687.62935,0,0,0,0,0,0,0</t>
  </si>
  <si>
    <t>2025-05-08 07:05:00,3098078255.11565,0,0,0,0,0,0,0</t>
  </si>
  <si>
    <t>2025-05-08 07:05:00,-26655879.4871539,-11248890.8598356,-8773.09999999999,-157,-154327.996,-1471.06,0.334357762401578,-30.37</t>
  </si>
  <si>
    <t>2025-05-08 07:05:00,32490185.8196383,0,0,0,0,0,0,0</t>
  </si>
  <si>
    <t>2025-05-08 07:06:00,570,,,,565,,,,,,,,,557,562</t>
  </si>
  <si>
    <t>2025-05-08 07:06:00,490,,,,490,,,,,,,,,482,475</t>
  </si>
  <si>
    <t>2025-05-08 07:06:00,,5630,,5630,,5700,5690,,,,,5750,5570,5630,5620</t>
  </si>
  <si>
    <t>2025-05-08 07:06:00,19475,,,,19475,,,,,,,,,19500,19400</t>
  </si>
  <si>
    <t>2025-05-08 07:06:00,4502603518.9923,0,0,0,0,0,0,0</t>
  </si>
  <si>
    <t>2025-05-08 07:06:00,3102380819.61862,0,0,0,0,0,0,0</t>
  </si>
  <si>
    <t>2025-05-08 07:06:00,-26541889.9272673,-11246227.6727379,-1706.75,-35,-31642.2366666666,-325.37,0.0599910134580262,-7.57</t>
  </si>
  <si>
    <t>2025-05-08 07:06:00,32496551.8310754,0,0,0,0,0,0,0</t>
  </si>
  <si>
    <t>2025-05-08 07:07:00,570,,,,550,,,,,,,,,557,562</t>
  </si>
  <si>
    <t>2025-05-08 07:07:00,490,,,,490,,,,,,,,,482,475</t>
  </si>
  <si>
    <t>2025-05-08 07:07:00,,5630,,5630,,5700,5690,,,,,5750,5570,5630,5620</t>
  </si>
  <si>
    <t>2025-05-08 07:07:00,19475,,,,19475,,,,,,,,,19500,19400</t>
  </si>
  <si>
    <t>2025-05-08 07:07:00,4530450213.77312,0,0,0,0,0,0,0</t>
  </si>
  <si>
    <t>2025-05-08 07:07:00,2882534068.56281,0,0,0,0,0,0,0</t>
  </si>
  <si>
    <t>2025-05-08 07:07:00,-26919330.8118725,-11399935.7423955,-2637.83333333334,-42,-43901.7526666668,-422.53,0.103524612764331,-12.58</t>
  </si>
  <si>
    <t>2025-05-08 07:07:00,32497099.8094994,0,0,0,0,0,0,0</t>
  </si>
  <si>
    <t>2025-05-08 07:08:00,570,,,,565,,,,,,,,,557,562</t>
  </si>
  <si>
    <t>2025-05-08 07:08:00,490,,,,490,,,,,,,,,482,475</t>
  </si>
  <si>
    <t>2025-05-08 07:08:00,,5630,,5630,,5700,5690,,,,,5750,5570,5630,5620</t>
  </si>
  <si>
    <t>2025-05-08 07:08:00,19475,,,,19475,,,,,,,,,19500,19400</t>
  </si>
  <si>
    <t>2025-05-08 07:08:00,4515290863.89832,0,0,0,0,0,0,0</t>
  </si>
  <si>
    <t>2025-05-08 07:08:00,2872111164.98733,0,0,0,0,0,0,0</t>
  </si>
  <si>
    <t>2025-05-08 07:08:00,-26404698.4448062,-11205230.0958947,-922.780000000002,-24,-6523.12293333334,-131.06,-0.0239124003434706,-5.29</t>
  </si>
  <si>
    <t>2025-05-08 07:08:00,32497483.2879183,0,0,0,0,0,0,0</t>
  </si>
  <si>
    <t>2025-05-08 07:09:00,570,,,,550,,,,,,,,,557,562</t>
  </si>
  <si>
    <t>2025-05-08 07:09:00,490,,,,470,,,,,,,,,482,475</t>
  </si>
  <si>
    <t>2025-05-08 07:09:00,,5630,,5630,,5700,5690,,,,,5750,5570,5630,5620</t>
  </si>
  <si>
    <t>2025-05-08 07:09:00,19475,,,,19475,,,,,,,,,19500,19400</t>
  </si>
  <si>
    <t>2025-05-08 07:09:00,4259985707.88737,0,0,0,0,0,0,0</t>
  </si>
  <si>
    <t>2025-05-08 07:09:00,2987631471.80751,0,0,0,0,0,0,0</t>
  </si>
  <si>
    <t>2025-05-08 07:09:00,-25332511.3752016,-10899159.1204246,-3098.93333333333,-42,-83535.5653333333,-757.46,0.148141242474263,-17.07</t>
  </si>
  <si>
    <t>2025-05-08 07:09:00,32496903.1237961,0,0,0,0,0,0,0</t>
  </si>
  <si>
    <t>2025-05-08 07:10:00,570,,,,565,,,,,,,,,557,562</t>
  </si>
  <si>
    <t>2025-05-08 07:10:00,490,,,,490,,,,,,,,,482,475</t>
  </si>
  <si>
    <t>2025-05-08 07:10:00,,5630,,5630,,5700,5690,,,,,5750,5570,5630,5620</t>
  </si>
  <si>
    <t>2025-05-08 07:10:00,19475,,,,19475,,,,,,,,,19500,19400</t>
  </si>
  <si>
    <t>2025-05-08 07:10:00,4388951691.91363,0,0,0,0,0,0,0</t>
  </si>
  <si>
    <t>2025-05-08 07:10:00,3071675596.99779,0,0,0,0,0,0,0</t>
  </si>
  <si>
    <t>2025-05-08 07:10:00,-25729843.3490083,-11031940.2870077,-1429.6,-26,-63011.9906666668,-352.64,0.00829756559892781,-7.31</t>
  </si>
  <si>
    <t>2025-05-08 07:10:00,32497556.0663825,0,0,0,0,0,0,0</t>
  </si>
  <si>
    <t>2025-05-08 07:11:00,570,,,,565,,,,,,,,,557,562</t>
  </si>
  <si>
    <t>2025-05-08 07:11:00,490,,,,490,,,,,,,,,482,475</t>
  </si>
  <si>
    <t>2025-05-08 07:11:00,,5630,,5630,,5700,5690,,,,,5750,5570,5630,5620</t>
  </si>
  <si>
    <t>2025-05-08 07:11:00,19475,,,,19475,,,,,,,,,19500,19400</t>
  </si>
  <si>
    <t>2025-05-08 07:11:00,4455191900.08298,0,0,0,0,0,0,0</t>
  </si>
  <si>
    <t>2025-05-08 07:11:00,3102340704.81899,0,0,0,0,0,0,0</t>
  </si>
  <si>
    <t>2025-05-08 07:11:00,-26297027.822803,-11181218.2832175,-592.766666666666,-15,-3779.90666666666,-54.46,0.0172205747046736,-1.05</t>
  </si>
  <si>
    <t>2025-05-08 07:11:00,32503816.8095503,0,0,0,0,0,0,0</t>
  </si>
  <si>
    <t>2025-05-08 07:12:00,570,,,,565,,,,,,,,,557,562</t>
  </si>
  <si>
    <t>2025-05-08 07:12:00,490,,,,490,,,,,,,,,482,475</t>
  </si>
  <si>
    <t>2025-05-08 07:12:00,,5630,,5630,,5700,5690,,,,,5750,5570,5630,5620</t>
  </si>
  <si>
    <t>2025-05-08 07:12:00,19475,,,,19475,,,,,,,,,19500,19400</t>
  </si>
  <si>
    <t>2025-05-08 07:12:00,4471299968.14613,0,0,0,0,0,0,0</t>
  </si>
  <si>
    <t>2025-05-08 07:12:00,2774940248.79077,0,0,0,0,0,0,0</t>
  </si>
  <si>
    <t>2025-05-08 07:12:00,-26476546.6777124,-11213774.3422872,-765.733333333333,-15,-7495.95133333334,-104.27,0.00455005293818568,-3.68</t>
  </si>
  <si>
    <t>2025-05-08 07:12:00,32503914.0886289,0,0,0,0,0,0,0</t>
  </si>
  <si>
    <t>2025-05-08 07:13:00,570,,,,565,,,,,,,,,557,562</t>
  </si>
  <si>
    <t>2025-05-08 07:13:00,490,,,,490,,,,,,,,,482,475</t>
  </si>
  <si>
    <t>2025-05-08 07:13:00,,5630,,5630,,5700,5690,,,,,5750,5570,5630,5620</t>
  </si>
  <si>
    <t>2025-05-08 07:13:00,19475,,,,19475,,,,,,,,,19500,19400</t>
  </si>
  <si>
    <t>2025-05-08 07:13:00,4487015268.16793,0,0,0,0,0,0,0</t>
  </si>
  <si>
    <t>2025-05-08 07:13:00,2774587460.2052,0,0,0,0,0,0,0</t>
  </si>
  <si>
    <t>2025-05-08 07:13:00,-26385707.9912073,-11207320.8691174,-1482.32727272727,-92,-6908.219,-184.94,0.0485062424836556,-3.78</t>
  </si>
  <si>
    <t>2025-05-08 07:13:00,32499908.5787186,0,0,0,0,0,0,0</t>
  </si>
  <si>
    <t>2025-05-08 07:14:00,570,,,,550,,,,,,,,,557,562</t>
  </si>
  <si>
    <t>2025-05-08 07:14:00,490,,,,470,,,,,,,,,482,475</t>
  </si>
  <si>
    <t>2025-05-08 07:14:00,,5630,,5630,,5700,5690,,,,,5750,5570,5630,5620</t>
  </si>
  <si>
    <t>2025-05-08 07:14:00,19475,,,,19475,,,,,,,,,19500,19400</t>
  </si>
  <si>
    <t>2025-05-08 07:14:00,4267408584.61226,0,0,0,0,0,0,0</t>
  </si>
  <si>
    <t>2025-05-08 07:14:00,3002256901.73087,0,0,0,0,0,0,0</t>
  </si>
  <si>
    <t>2025-05-08 07:14:00,-25508652.9598522,-11176001.9162235,-9489.56666666668,-174,-189807.320666667,-1609.71,0.87913344964694,-31.83</t>
  </si>
  <si>
    <t>2025-05-08 07:14:00,32497314.1707943,0,0,0,0,0,0,0</t>
  </si>
  <si>
    <t>2025-05-08 07:15:00,570,,,,550,,,,,,,,,557,562</t>
  </si>
  <si>
    <t>2025-05-08 07:15:00,490,,,,470,,,,,,,,,482,475</t>
  </si>
  <si>
    <t>2025-05-08 07:15:00,,5630,,5630,,5700,5680,,,,,5750,5570,5630,5620</t>
  </si>
  <si>
    <t>2025-05-08 07:15:00,19475,,,,19475,,,,,,,,,19500,19400</t>
  </si>
  <si>
    <t>2025-05-08 07:15:00,3976676649.63971,0,0,0,0,0,0,0</t>
  </si>
  <si>
    <t>2025-05-08 07:15:00,2893490206.27714,0,0,0,0,0,0,0</t>
  </si>
  <si>
    <t>2025-05-08 07:15:00,-23543486.0185104,-10749427.6259162,-7287.08333333334,-295,-109371.743333334,-1468.39,0.705033547086256,-27.81</t>
  </si>
  <si>
    <t>2025-05-08 07:15:00,32497135.0391873,0,0,0,0,0,0,0</t>
  </si>
  <si>
    <t>2025-05-08 07:16:00,570,,,,550,,,,,,,,,557,562</t>
  </si>
  <si>
    <t>2025-05-08 07:16:00,490,,,,470,,,,,,,,,482,475</t>
  </si>
  <si>
    <t>2025-05-08 07:16:00,,5630,,5630,,5700,5680,,,,,5750,5570,5630,5620</t>
  </si>
  <si>
    <t>2025-05-08 07:16:00,19475,,,,19475,,,,,,,,,19500,19400</t>
  </si>
  <si>
    <t>2025-05-08 07:16:00,3952685036.96341,0,0,0,0,0,0,0</t>
  </si>
  <si>
    <t>2025-05-08 07:16:00,2875487951.05483,0,0,0,0,0,0,0</t>
  </si>
  <si>
    <t>2025-05-08 07:16:00,-23314539.1771644,-10768872.3487466,-4249.36666666665,-78,-100975.701666666,-1139.28,0.450571765572987,-22.82</t>
  </si>
  <si>
    <t>2025-05-08 07:16:00,32498316.5784472,0,0,0,0,0,0,0</t>
  </si>
  <si>
    <t>2025-05-08 07:17:00,570,,,,550,,,,,,,,,557,562</t>
  </si>
  <si>
    <t>2025-05-08 07:17:00,490,,,,470,,,,,,,,,482,475</t>
  </si>
  <si>
    <t>2025-05-08 07:17:00,,5630,,5630,,5700,5680,,,,,5750,5570,5630,5620</t>
  </si>
  <si>
    <t>2025-05-08 07:17:00,19475,,,,19475,,,,,,,,,19500,19400</t>
  </si>
  <si>
    <t>2025-05-08 07:17:00,4142185153.10526,0,0,0,0,0,0,0</t>
  </si>
  <si>
    <t>2025-05-08 07:17:00,2972041172.35927,0,0,0,0,0,0,0</t>
  </si>
  <si>
    <t>2025-05-08 07:17:00,-24388142.7317772,-11509195.0363152,-9916.29999999999,-141,-203330.717666666,-2768.94,1.37808073072324,-45.99</t>
  </si>
  <si>
    <t>2025-05-08 07:17:00,32504602.8098064,0,0,0,0,0,0,0</t>
  </si>
  <si>
    <t>2025-05-08 07:18:00,570,,,,550,,,,,,,,,557,562</t>
  </si>
  <si>
    <t>2025-05-08 07:18:00,490,,,,470,,,,,,,,,482,475</t>
  </si>
  <si>
    <t>2025-05-08 07:18:00,,5630,,5630,,5700,5680,,,,,5750,5570,5630,5620</t>
  </si>
  <si>
    <t>2025-05-08 07:18:00,19475,,,,19475,,,,,,,,,19500,19400</t>
  </si>
  <si>
    <t>2025-05-08 07:18:00,4062428868.94661,0,0,0,0,0,0,0</t>
  </si>
  <si>
    <t>2025-05-08 07:18:00,2948114506.63208,0,0,0,0,0,0,0</t>
  </si>
  <si>
    <t>2025-05-08 07:18:00,-23742396.7467675,-11310817.4149757,-567.816666666666,-11,-17345.7171666666,-144.97,0.0158642755803425,-2.96</t>
  </si>
  <si>
    <t>2025-05-08 07:18:00,32504648.5176731,0,0,0,0,0,0,0</t>
  </si>
  <si>
    <t>2025-05-08 07:19:00,570,,,,550,,,,,,,,,557,562</t>
  </si>
  <si>
    <t>2025-05-08 07:19:00,490,,,,490,,,,,,,,,482,475</t>
  </si>
  <si>
    <t>2025-05-08 07:19:00,,5630,,5630,,5700,5680,,,,,5750,5570,5630,5620</t>
  </si>
  <si>
    <t>2025-05-08 07:19:00,19475,,,,19475,,,,,,,,,19500,19400</t>
  </si>
  <si>
    <t>2025-05-08 07:19:00,4152145413.89079,0,0,0,0,0,0,0</t>
  </si>
  <si>
    <t>2025-05-08 07:19:00,3036980694.12171,0,0,0,0,0,0,0</t>
  </si>
  <si>
    <t>2025-05-08 07:19:00,-24615676.6840345,-11599185.0843913,-2288.9,-39,-22368.699,-279.86,0.0943646891215787,-5.68</t>
  </si>
  <si>
    <t>2025-05-08 07:19:00,32506019.8060185,0,0,0,0,0,0,0</t>
  </si>
  <si>
    <t>2025-05-08 07:20:00,570,,,,550,,,,,,,,,557,562</t>
  </si>
  <si>
    <t>2025-05-08 07:20:00,490,,,,490,,,,,,,,,482,475</t>
  </si>
  <si>
    <t>2025-05-08 07:20:00,,5630,,5630,,5700,5680,,,,,5750,5570,5630,5620</t>
  </si>
  <si>
    <t>2025-05-08 07:20:00,19475,,,,19475,,,,,,,,,19500,19400</t>
  </si>
  <si>
    <t>2025-05-08 07:20:00,4273826200.07264,0,0,0,0,0,0,0</t>
  </si>
  <si>
    <t>2025-05-08 07:20:00,3080210511.8052,0,0,0,0,0,0,0</t>
  </si>
  <si>
    <t>2025-05-08 07:20:00,-25103519.6230723,-11775353.6630452,-522.966666666667,-13,-6705.62433333335,-98.96,0.0024332081745537,-2.89</t>
  </si>
  <si>
    <t>2025-05-08 07:20:00,32505262.0108722,0,0,0,0,0,0,0</t>
  </si>
  <si>
    <t>2025-05-08 07:21:00,570,,,,565,,,,,,,,,557,562</t>
  </si>
  <si>
    <t>2025-05-08 07:21:00,490,,,,490,,,,,,,,,482,475</t>
  </si>
  <si>
    <t>2025-05-08 07:21:00,,5630,,5630,,5700,5680,,,,,5750,5570,5630,5620</t>
  </si>
  <si>
    <t>2025-05-08 07:21:00,19475,,,,19475,,,,,,,,,19500,19400</t>
  </si>
  <si>
    <t>2025-05-08 07:21:00,4321321223.82454,0,0,0,0,0,0,0</t>
  </si>
  <si>
    <t>2025-05-08 07:21:00,3079281355.72563,0,0,0,0,0,0,0</t>
  </si>
  <si>
    <t>2025-05-08 07:21:00,-25272599.4474548,-11827892.0946383,-1798.5,-27,-29333.6099999999,-269.28,0.0721776403944955,-4.89</t>
  </si>
  <si>
    <t>2025-05-08 07:21:00,32503650.7055851,0,0,0,0,0,0,0</t>
  </si>
  <si>
    <t>2025-05-08 07:22:00,570,,,,550,,,,,,,,,557,562</t>
  </si>
  <si>
    <t>2025-05-08 07:22:00,490,,,,470,,,,,,,,,482,475</t>
  </si>
  <si>
    <t>2025-05-08 07:22:00,,5630,,5630,,5700,5680,,,,,5750,5570,5630,5620</t>
  </si>
  <si>
    <t>2025-05-08 07:22:00,19475,,,,19475,,,,,,,,,19500,19400</t>
  </si>
  <si>
    <t>2025-05-08 07:22:00,4092443138.31337,0,0,0,0,0,0,0</t>
  </si>
  <si>
    <t>2025-05-08 07:22:00,2998920981.7658,0,0,0,0,0,0,0</t>
  </si>
  <si>
    <t>2025-05-08 07:22:00,-24049554.9261011,-11457169.2200997,-797.849999999998,-36,-15605.5749999999,-158.39,0.0025013863169117,-3.3</t>
  </si>
  <si>
    <t>2025-05-08 07:22:00,32509546.7889553,0,0,0,0,0,0,0</t>
  </si>
  <si>
    <t>2025-05-08 07:23:00,570,,,,550,,,,,,,,,557,562</t>
  </si>
  <si>
    <t>2025-05-08 07:23:00,490,,,,470,,,,,,,,,482,475</t>
  </si>
  <si>
    <t>2025-05-08 07:23:00,,5630,,5630,,5700,5680,,,,,5750,5570,5630,5620</t>
  </si>
  <si>
    <t>2025-05-08 07:23:00,19475,,,,19475,,,,,,,,,19500,19400</t>
  </si>
  <si>
    <t>2025-05-08 07:23:00,4151795615.36868,0,0,0,0,0,0,0</t>
  </si>
  <si>
    <t>2025-05-08 07:23:00,3019960565.91301,0,0,0,0,0,0,0</t>
  </si>
  <si>
    <t>2025-05-08 07:23:00,-24554953.6088226,-11649328.1717121,-1821.93333333333,-45,-12678.6353333333,-263.02,0.137269005610644,-3.47</t>
  </si>
  <si>
    <t>2025-05-08 07:23:00,32508169.5269778,0,0,0,0,0,0,0</t>
  </si>
  <si>
    <t>2025-05-08 07:24:00,570,,,,550,,,,,,,,,557,562</t>
  </si>
  <si>
    <t>2025-05-08 07:24:00,490,,,,490,,,,,,,,,482,475</t>
  </si>
  <si>
    <t>2025-05-08 07:24:00,,5630,,5630,,5700,5690,,,,,5750,5570,5630,5620</t>
  </si>
  <si>
    <t>2025-05-08 07:24:00,19475,,,,19475,,,,,,,,,19500,19400</t>
  </si>
  <si>
    <t>2025-05-08 07:24:00,4242372544.90012,0,0,0,0,0,0,0</t>
  </si>
  <si>
    <t>2025-05-08 07:24:00,3063259193.86689,0,0,0,0,0,0,0</t>
  </si>
  <si>
    <t>2025-05-08 07:24:00,-25051197.098539,-11835640.1588489,-3582.70404040405,-126,-78458.7526666671,-893.72,0.0921783654946888,-14.35</t>
  </si>
  <si>
    <t>2025-05-08 07:24:00,32506660.8073784,0,0,0,0,0,0,0</t>
  </si>
  <si>
    <t>2025-05-08 07:25:00,570,,,,550,,,,,,,,,557,562</t>
  </si>
  <si>
    <t>2025-05-08 07:25:00,490,,,,490,,,,,,,,,482,475</t>
  </si>
  <si>
    <t>2025-05-08 07:25:00,,5630,,5630,,5700,5690,,,,,5750,5570,5630,5620</t>
  </si>
  <si>
    <t>2025-05-08 07:25:00,19475,,,,19475,,,,,,,,,19500,19400</t>
  </si>
  <si>
    <t>2025-05-08 07:25:00,4241743725.59217,0,0,0,0,0,0,0</t>
  </si>
  <si>
    <t>2025-05-08 07:25:00,3054403591.80523,0,0,0,0,0,0,0</t>
  </si>
  <si>
    <t>2025-05-08 07:25:00,-25031679.6082286,-11835435.6063644,-1114.62,-21,-38991.3042000001,-472.61,0.0470621397211142,-6.55</t>
  </si>
  <si>
    <t>2025-05-08 07:25:00,32506953.9551763,0,0,0,0,0,0,0</t>
  </si>
  <si>
    <t>2025-05-08 07:26:00,570,,,,550,,,,,,,,,557,562</t>
  </si>
  <si>
    <t>2025-05-08 07:26:00,490,,,,490,,,,,,,,,482,475</t>
  </si>
  <si>
    <t>2025-05-08 07:26:00,,5630,,5630,,5700,5690,,,,,5750,5570,5630,5620</t>
  </si>
  <si>
    <t>2025-05-08 07:26:00,19475,,,,19475,,,,,,,,,19500,19400</t>
  </si>
  <si>
    <t>2025-05-08 07:26:00,4151078923.8014,0,0,0,0,0,0,0</t>
  </si>
  <si>
    <t>2025-05-08 07:26:00,3045570491.76561,0,0,0,0,0,0,0</t>
  </si>
  <si>
    <t>2025-05-08 07:26:00,-24645522.4708682,-11730854.1061058,-1664.48333333333,-25,-36620.6338333333,-361.69,0.0801731344297278,-8.24</t>
  </si>
  <si>
    <t>2025-05-08 07:26:00,32506425.3180993,0,0,0,0,0,0,0</t>
  </si>
  <si>
    <t>2025-05-08 07:27:00,570,,,,550,,,,,,,,,557,562</t>
  </si>
  <si>
    <t>2025-05-08 07:27:00,490,,,,470,,,,,,,,,482,475</t>
  </si>
  <si>
    <t>2025-05-08 07:27:00,,5630,,5630,,5700,5680,,,,,5750,5570,5630,5620</t>
  </si>
  <si>
    <t>2025-05-08 07:27:00,19475,,,,19475,,,,,,,,,19500,19400</t>
  </si>
  <si>
    <t>2025-05-08 07:27:00,4073126728.23105,0,0,0,0,0,0,0</t>
  </si>
  <si>
    <t>2025-05-08 07:27:00,2979697684.71974,0,0,0,0,0,0,0</t>
  </si>
  <si>
    <t>2025-05-08 07:27:00,-23896264.4155042,-11561198.8441708,-3040.70000000001,-37,-111275.246,-854.12,0.223415345207607,-15.58</t>
  </si>
  <si>
    <t>2025-05-08 07:27:00,32508799.1023215,0,0,0,0,0,0,0</t>
  </si>
  <si>
    <t>2025-05-08 07:28:00,570,,,,550,,,,,,,,,557,562</t>
  </si>
  <si>
    <t>2025-05-08 07:28:00,490,,,,470,,,,,,,,,482,475</t>
  </si>
  <si>
    <t>2025-05-08 07:28:00,,5630,,5630,,5700,5680,,,,,5750,5570,5630,5620</t>
  </si>
  <si>
    <t>2025-05-08 07:28:00,19475,,,,19475,,,,,,,,,19500,19400</t>
  </si>
  <si>
    <t>2025-05-08 07:28:00,4085102695.53862,0,0,0,0,0,0,0</t>
  </si>
  <si>
    <t>2025-05-08 07:28:00,3011710524.68067,0,0,0,0,0,0,0</t>
  </si>
  <si>
    <t>2025-05-08 07:28:00,-24043454.4221358,-11641750.1523887,-2841.06666666666,-43,-96454.2826666663,-908.43,0.106516267688765,-14.39</t>
  </si>
  <si>
    <t>2025-05-08 07:28:00,32515065.6589954,0,0,0,0,0,0,0</t>
  </si>
  <si>
    <t>2025-05-08 07:29:00,570,,,,550,,,,,,,,,557,562</t>
  </si>
  <si>
    <t>2025-05-08 07:29:00,490,,,,470,,,,,,,,,482,475</t>
  </si>
  <si>
    <t>2025-05-08 07:29:00,,5630,,5630,,5700,5680,,,,,5750,5570,5630,5620</t>
  </si>
  <si>
    <t>2025-05-08 07:29:00,19475,,,,19475,,,,,,,,,19500,19400</t>
  </si>
  <si>
    <t>2025-05-08 07:29:00,3857913943.27217,0,0,0,0,0,0,0</t>
  </si>
  <si>
    <t>2025-05-08 07:29:00,2881202355.68745,0,0,0,0,0,0,0</t>
  </si>
  <si>
    <t>2025-05-08 07:29:00,-22921644.3031137,-11348467.2326224,-3844.98333333333,-78,-105661.0665,-1320.76,0.215183241815919,-25.1</t>
  </si>
  <si>
    <t>2025-05-08 07:29:00,32514700.6028717,0,0,0,0,0,0,0</t>
  </si>
  <si>
    <t>2025-05-08 07:30:00,570,,,,550,,,,,,,,,557,562</t>
  </si>
  <si>
    <t>2025-05-08 07:30:00,490,,,,490,,,,,,,,,482,475</t>
  </si>
  <si>
    <t>2025-05-08 07:30:00,,5630,,5630,,5700,5680,,,,,5750,5570,5630,5620</t>
  </si>
  <si>
    <t>2025-05-08 07:30:00,19475,,,,19475,,,,,,,,,19500,19400</t>
  </si>
  <si>
    <t>2025-05-08 07:30:00,4150840028.97596,0,0,0,0,0,0,0</t>
  </si>
  <si>
    <t>2025-05-08 07:30:00,3100320717.99526,0,0,0,0,0,0,0</t>
  </si>
  <si>
    <t>2025-05-08 07:30:00,-25212503.9924682,-12188069.2659019,-5829.08333333334,-133,-98339.5073333335,-1441.52,0.557361873187546,-34.46</t>
  </si>
  <si>
    <t>2025-05-08 07:30:00,32510780.3418343,0,0,0,0,0,0,0</t>
  </si>
  <si>
    <t>2025-05-08 07:31:00,570,,,,565,,,,,,,,,557,562</t>
  </si>
  <si>
    <t>2025-05-08 07:31:00,490,,,,490,,,,,,,,,482,475</t>
  </si>
  <si>
    <t>2025-05-08 07:31:00,,5630,,5630,,5700,5680,,,,,5750,5570,5630,5620</t>
  </si>
  <si>
    <t>2025-05-08 07:31:00,19475,,,,19475,,,,,,,,,19500,19400</t>
  </si>
  <si>
    <t>2025-05-08 07:31:00,4468095269.75229,0,0,0,0,0,0,0</t>
  </si>
  <si>
    <t>2025-05-08 07:31:00,2953907983.49729,0,0,0,0,0,0,0</t>
  </si>
  <si>
    <t>2025-05-08 07:31:00,-26704362.7681556,-12708061.8053821,-4765.13333333333,-73,-143136.422,-1349.18,0.235970806539638,-26.9</t>
  </si>
  <si>
    <t>2025-05-08 07:31:00,32509863.5133092,0,0,0,0,0,0,0</t>
  </si>
  <si>
    <t>2025-05-08 07:32:00,570,,,,565,,,,,,,,,557,562</t>
  </si>
  <si>
    <t>2025-05-08 07:32:00,490,,,,490,,,,,,,,,482,475</t>
  </si>
  <si>
    <t>2025-05-08 07:32:00,,5630,,5630,,5700,5690,,,,,5750,5570,5630,5620</t>
  </si>
  <si>
    <t>2025-05-08 07:32:00,19475,,,,19475,,,,,,,,,19500,19400</t>
  </si>
  <si>
    <t>2025-05-08 07:32:00,4452354499.38613,0,0,0,0,0,0,0</t>
  </si>
  <si>
    <t>2025-05-08 07:32:00,2965200130.0262,0,0,0,0,0,0,0</t>
  </si>
  <si>
    <t>2025-05-08 07:32:00,-26719350.3114235,-12926222.1202846,-5991.46666666667,-101,-111294.622666667,-1327.26,0.650690033599839,-26.66</t>
  </si>
  <si>
    <t>2025-05-08 07:32:00,32508504.4257716,0,0,0,0,0,0,0</t>
  </si>
  <si>
    <t>2025-05-08 07:33:00,570,,,,565,,,,,,,,,557,562</t>
  </si>
  <si>
    <t>2025-05-08 07:33:00,490,,,,490,,,,,,,,,482,475</t>
  </si>
  <si>
    <t>2025-05-08 07:33:00,,5630,,5630,,5700,5690,,,,,5750,5570,5630,5620</t>
  </si>
  <si>
    <t>2025-05-08 07:33:00,19475,,,,19475,,,,,,,,,19500,19400</t>
  </si>
  <si>
    <t>2025-05-08 07:33:00,4498430735.45537,0,0,0,0,0,0,0</t>
  </si>
  <si>
    <t>2025-05-08 07:33:00,2976877095.16041,0,0,0,0,0,0,0</t>
  </si>
  <si>
    <t>2025-05-08 07:33:00,-26907547.5926752,-13002771.9778269,-3455.05000000001,-39,-151901.155500001,-992.1,0.126692499044152,-14.28</t>
  </si>
  <si>
    <t>2025-05-08 07:33:00,32514802.0883825,0,0,0,0,0,0,0</t>
  </si>
  <si>
    <t>2025-05-08 07:34:00,570,,,,550,,,,,,,,,557,562</t>
  </si>
  <si>
    <t>2025-05-08 07:34:00,490,,,,490,,,,,,,,,482,475</t>
  </si>
  <si>
    <t>2025-05-08 07:34:00,,5630,,5630,,5700,5680,,,,,5750,5570,5630,5620</t>
  </si>
  <si>
    <t>2025-05-08 07:34:00,19475,,,,19475,,,,,,,,,19500,19400</t>
  </si>
  <si>
    <t>2025-05-08 07:34:00,4256154170.68469,0,0,0,0,0,0,0</t>
  </si>
  <si>
    <t>2025-05-08 07:34:00,2884856013.56648,0,0,0,0,0,0,0</t>
  </si>
  <si>
    <t>2025-05-08 07:34:00,-25391541.5748651,-12652953.6917108,-16653.1333333333,-272,-69672.5519999999,-1122.05,0.609538368550785,-14.52</t>
  </si>
  <si>
    <t>2025-05-08 07:34:00,32514640.4928347,0,0,0,0,0,0,0</t>
  </si>
  <si>
    <t>2025-05-08 07:35:00,570,,,,550,,,,,,,,,557,562</t>
  </si>
  <si>
    <t>2025-05-08 07:35:00,490,,,,470,,,,,,,,,482,475</t>
  </si>
  <si>
    <t>2025-05-08 07:35:00,,5630,,5630,,5700,5680,,,,,5750,5570,5630,5620</t>
  </si>
  <si>
    <t>2025-05-08 07:35:00,19475,,,,19475,,,,,,,,,19500,19400</t>
  </si>
  <si>
    <t>2025-05-08 07:35:00,3713089439.24801,0,0,0,0,0,0,0</t>
  </si>
  <si>
    <t>2025-05-08 07:35:00,2870205839.24081,0,0,0,0,0,0,0</t>
  </si>
  <si>
    <t>2025-05-08 07:35:00,-22429974.5427718,-11774745.7201882,-3429.525,-66,-102960.30675,-1267.7,0.167605900904785,-23.59</t>
  </si>
  <si>
    <t>2025-05-08 07:35:00,32514408.2763462,0,0,0,0,0,0,0</t>
  </si>
  <si>
    <t>2025-05-08 07:36:00,565,,,,550,,,,,,,,,557,562</t>
  </si>
  <si>
    <t>2025-05-08 07:36:00,490,,,,470,,,,,,,,,482,475</t>
  </si>
  <si>
    <t>2025-05-08 07:36:00,,5630,,5630,,5700,5680,,,,,5750,5570,5630,5620</t>
  </si>
  <si>
    <t>2025-05-08 07:36:00,19475,,,,19475,,,,,,,,,19500,19400</t>
  </si>
  <si>
    <t>2025-05-08 07:36:00,3779494099.82289,0,0,0,0,0,0,0</t>
  </si>
  <si>
    <t>2025-05-08 07:36:00,2767712982.60693,0,0,0,0,0,0,0</t>
  </si>
  <si>
    <t>2025-05-08 07:36:00,-21138326.3004525,-11391603.4618865,-12065.5980952381,-246,-278365.238085715,-3148.02,0.639168681361503,-60.65</t>
  </si>
  <si>
    <t>2025-05-08 07:36:00,32512768.9574034,0,0,0,0,0,0,0</t>
  </si>
  <si>
    <t>2025-05-08 07:37:00,570,,,,550,,,,,,,,,557,562</t>
  </si>
  <si>
    <t>2025-05-08 07:37:00,490,,,,470,,,,,,,,,482,475</t>
  </si>
  <si>
    <t>2025-05-08 07:37:00,,5600,,5630,,5800,5680,,,,,5750,5570,5630,5620</t>
  </si>
  <si>
    <t>2025-05-08 07:37:00,19475,,,,19475,,,,,,,,,19500,19400</t>
  </si>
  <si>
    <t>2025-05-08 07:37:00,3140648660.28832,0,0,0,0,0,0,0</t>
  </si>
  <si>
    <t>2025-05-08 07:37:00,2501479466.76061,0,0,0,0,0,0,0</t>
  </si>
  <si>
    <t>2025-05-08 07:37:00,-16100827.2666474,-10269060.6572433,-24441.0775338204,-830,-469581.630826637,-9971.17,1.68090400676123,-220.85</t>
  </si>
  <si>
    <t>2025-05-08 07:37:00,32515647.1556603,0,0,0,0,0,0,0</t>
  </si>
  <si>
    <t>2025-05-08 07:38:00,570,,,,550,,,,,,,,,557,562</t>
  </si>
  <si>
    <t>2025-05-08 07:38:00,490,,,,470,,,,,,,,,482,475</t>
  </si>
  <si>
    <t>2025-05-08 07:38:00,,5630,,5630,,5800,5680,,,,,5750,5570,5630,5620</t>
  </si>
  <si>
    <t>2025-05-08 07:38:00,19475,,,,19475,,,,,,,,,19500,19400</t>
  </si>
  <si>
    <t>2025-05-08 07:38:00,3186648075.63432,0,0,0,0,0,0,0</t>
  </si>
  <si>
    <t>2025-05-08 07:38:00,2650268061.49322,0,0,0,0,0,0,0</t>
  </si>
  <si>
    <t>2025-05-08 07:38:00,-16569140.1143735,-10467804.4246336,-4972.47793308021,-154,-111759.598426444,-2358.37,0.346516654036471,-44.84</t>
  </si>
  <si>
    <t>2025-05-08 07:38:00,32521977.2612818,0,0,0,0,0,0,0</t>
  </si>
  <si>
    <t>2025-05-08 07:39:00,570,,,,575,,,,,,,,,557,562</t>
  </si>
  <si>
    <t>2025-05-08 07:39:00,490,,,,470,,,,,,,,,482,475</t>
  </si>
  <si>
    <t>2025-05-08 07:39:00,,5600,,5630,,5800,5680,,,,,5750,5570,5630,5620</t>
  </si>
  <si>
    <t>2025-05-08 07:39:00,19475,,,,19475,,,,,,,,,19500,19400</t>
  </si>
  <si>
    <t>2025-05-08 07:39:00,2578211155.38564,0,0,0,0,0,0,0</t>
  </si>
  <si>
    <t>2025-05-08 07:39:00,2487628189.10043,0,0,0,0,0,0,0</t>
  </si>
  <si>
    <t>2025-05-08 07:39:00,-12997541.0476597,-10337836.9069043,-4744.60476190476,-329,-85594.2546190476,-3460.29,0.811009013883627,-73.86</t>
  </si>
  <si>
    <t>2025-05-08 07:39:00,32519930.4077912,0,0,0,0,0,0,0</t>
  </si>
  <si>
    <t>2025-05-08 07:40:00,570,,,,575,,,,,,,,,557,562</t>
  </si>
  <si>
    <t>2025-05-08 07:40:00,490,,,,470,,,,,,,,,482,475</t>
  </si>
  <si>
    <t>2025-05-08 07:40:00,,5600,,5630,,5800,5680,,,,,5750,5570,5630,5620</t>
  </si>
  <si>
    <t>2025-05-08 07:40:00,19475,,,,19475,,,,,,,,,19500,19400</t>
  </si>
  <si>
    <t>2025-05-08 07:40:00,2757934461.80545,0,0,0,0,0,0,0</t>
  </si>
  <si>
    <t>2025-05-08 07:40:00,2548237168.31803,0,0,0,0,0,0,0</t>
  </si>
  <si>
    <t>2025-05-08 07:40:00,-12839852.4938565,-9827691.14233509,-9730.74833333334,-352,-133590.13135,-3273.77,0.59606257475514,-68.54</t>
  </si>
  <si>
    <t>2025-05-08 07:40:00,32518376.6382517,0,0,0,0,0,0,0</t>
  </si>
  <si>
    <t>2025-05-08 07:41:00,570,,,,550,,,,,,,,,557,562</t>
  </si>
  <si>
    <t>2025-05-08 07:41:00,490,,,,470,,,,,,,,,482,475</t>
  </si>
  <si>
    <t>2025-05-08 07:41:00,,5600,,5630,,5800,5680,,,,,5750,5570,5630,5620</t>
  </si>
  <si>
    <t>2025-05-08 07:41:00,19475,,,,19475,,,,,,,,,19500,19400</t>
  </si>
  <si>
    <t>2025-05-08 07:41:00,2984418453.87836,0,0,0,0,0,0,0</t>
  </si>
  <si>
    <t>2025-05-08 07:41:00,2489283664.5468,0,0,0,0,0,0,0</t>
  </si>
  <si>
    <t>2025-05-08 07:41:00,-15023241.0930116,-10495441.9471691,-5664.55166666667,-210,-128770.95425,-2736.06,0.384979079189696,-57.14</t>
  </si>
  <si>
    <t>2025-05-08 07:41:00,32516566.420687,0,0,0,0,0,0,0</t>
  </si>
  <si>
    <t>2025-05-08 07:42:00,570,,,,550,,,,,,,,,557,562</t>
  </si>
  <si>
    <t>2025-05-08 07:42:00,490,,,,470,,,,,,,,,482,475</t>
  </si>
  <si>
    <t>2025-05-08 07:42:00,,5600,,5630,,5800,5680,,,,,5750,5570,5630,5620</t>
  </si>
  <si>
    <t>2025-05-08 07:42:00,19475,,,,19475,,,,,,,,,19500,19400</t>
  </si>
  <si>
    <t>2025-05-08 07:42:00,2862632098.78311,0,0,0,0,0,0,0</t>
  </si>
  <si>
    <t>2025-05-08 07:42:00,2315763929.49977,0,0,0,0,0,0,0</t>
  </si>
  <si>
    <t>2025-05-08 07:42:00,-14207056.2196994,-10322267.736358,-3255.9,-153,-34065.1639999999,-925.07,0.0887661726578641,-23.53</t>
  </si>
  <si>
    <t>2025-05-08 07:42:00,32516242.878465,0,0,0,0,0,0,0</t>
  </si>
  <si>
    <t>2025-05-08 07:43:00,570,,,,575,,,,,,,,,557,562</t>
  </si>
  <si>
    <t>2025-05-08 07:43:00,490,,,,470,,,,,,,,,482,475</t>
  </si>
  <si>
    <t>2025-05-08 07:43:00,,5600,,5630,,5800,5680,,,,,5750,5570,5630,5620</t>
  </si>
  <si>
    <t>2025-05-08 07:43:00,19475,,,,19475,,,,,,,,,19500,19400</t>
  </si>
  <si>
    <t>2025-05-08 07:43:00,2594015387.09767,0,0,0,0,0,0,0</t>
  </si>
  <si>
    <t>2025-05-08 07:43:00,2405800177.77506,0,0,0,0,0,0,0</t>
  </si>
  <si>
    <t>2025-05-08 07:43:00,-13216978.2618972,-10716933.2328817,-7338.07,-274,-74116.6412333334,-2093.11,0.588677562426826,-42.32</t>
  </si>
  <si>
    <t>2025-05-08 07:43:00,32522605.2504574,0,0,0,0,0,0,0</t>
  </si>
  <si>
    <t>2025-05-08 07:44:00,570,,,,575,,,,,,,,,557,562</t>
  </si>
  <si>
    <t>2025-05-08 07:44:00,490,,,,470,,,,,,,,,482,475</t>
  </si>
  <si>
    <t>2025-05-08 07:44:00,,5600,,5630,,5800,5680,,,,,5750,5570,5630,5620</t>
  </si>
  <si>
    <t>2025-05-08 07:44:00,19475,,,,19475,,,,,,,,,19500,19400</t>
  </si>
  <si>
    <t>2025-05-08 07:44:00,2794841591.35206,0,0,0,0,0,0,0</t>
  </si>
  <si>
    <t>2025-05-08 07:44:00,2505527054.77685,0,0,0,0,0,0,0</t>
  </si>
  <si>
    <t>2025-05-08 07:44:00,-13118612.3101884,-10367463.59501,-7641.025,-239,-304443.998583333,-4936.43,0.526708460497469,-85.98</t>
  </si>
  <si>
    <t>2025-05-08 07:44:00,32521921.017558,0,0,0,0,0,0,0</t>
  </si>
  <si>
    <t>2025-05-08 07:45:00,570,,,,550,,,,,,,,,557,562</t>
  </si>
  <si>
    <t>2025-05-08 07:45:00,490,,,,470,,,,,,,,,482,475</t>
  </si>
  <si>
    <t>2025-05-08 07:45:00,,5630,,5630,,5800,5680,,,,,5750,5570,5630,5620</t>
  </si>
  <si>
    <t>2025-05-08 07:45:00,19475,,,,19475,,,,,,,,,19500,19400</t>
  </si>
  <si>
    <t>2025-05-08 07:45:00,3160950742.34773,0,0,0,0,0,0,0</t>
  </si>
  <si>
    <t>2025-05-08 07:45:00,2539303093.79253,0,0,0,0,0,0,0</t>
  </si>
  <si>
    <t>2025-05-08 07:45:00,-16523383.7726589,-11314143.5310387,-5434.3909090909,-212,-94606.3367878786,-1896.14,0.171036511500469,-43.02</t>
  </si>
  <si>
    <t>2025-05-08 07:45:00,32519823.4307011,0,0,0,0,0,0,0</t>
  </si>
  <si>
    <t>2025-05-08 07:46:00,570,,,,550,,,,,,,,,557,562</t>
  </si>
  <si>
    <t>2025-05-08 07:46:00,490,,,,470,,,,,,,,,482,475</t>
  </si>
  <si>
    <t>2025-05-08 07:46:00,,5630,,5630,,5800,5680,,,,,5750,5570,5630,5620</t>
  </si>
  <si>
    <t>2025-05-08 07:46:00,19475,,,,19475,,,,,,,,,19500,19400</t>
  </si>
  <si>
    <t>2025-05-08 07:46:00,3263351650.66475,0,0,0,0,0,0,0</t>
  </si>
  <si>
    <t>2025-05-08 07:46:00,2688663726.78826,0,0,0,0,0,0,0</t>
  </si>
  <si>
    <t>2025-05-08 07:46:00,-17853078.5769148,-11871872.0910934,-3265.045,-90,-79380.4365833334,-1457.1,0.121761161408699,-31.47</t>
  </si>
  <si>
    <t>2025-05-08 07:46:00,32519840.585419,0,0,0,0,0,0,0</t>
  </si>
  <si>
    <t>2025-05-08 07:47:00,565,,,,550,,,,,,,,,557,562</t>
  </si>
  <si>
    <t>2025-05-08 07:47:00,490,,,,470,,,,,,,,,482,475</t>
  </si>
  <si>
    <t>2025-05-08 07:47:00,,5630,,5630,,5800,5680,,,,,5750,5570,5630,5620</t>
  </si>
  <si>
    <t>2025-05-08 07:47:00,19475,,,,19475,,,,,,,,,19500,19400</t>
  </si>
  <si>
    <t>2025-05-08 07:47:00,3475670687.8525,0,0,0,0,0,0,0</t>
  </si>
  <si>
    <t>2025-05-08 07:47:00,2739340478.34744,0,0,0,0,0,0,0</t>
  </si>
  <si>
    <t>2025-05-08 07:47:00,-19346462.3926111,-12432268.4227456,-7342.7,-217,-190409.088333333,-2849.02,0.095247985050978,-71.08</t>
  </si>
  <si>
    <t>2025-05-08 07:47:00,32518007.116416,0,0,0,0,0,0,0</t>
  </si>
  <si>
    <t>2025-05-08 07:48:00,565,,,,550,,,,,,,,,557,562</t>
  </si>
  <si>
    <t>2025-05-08 07:48:00,490,,,,470,,,,,,,,,482,475</t>
  </si>
  <si>
    <t>2025-05-08 07:48:00,,5630,,5630,,5700,5680,,,,,5750,5570,5630,5620</t>
  </si>
  <si>
    <t>2025-05-08 07:48:00,19475,,,,19475,,,,,,,,,19500,19400</t>
  </si>
  <si>
    <t>2025-05-08 07:48:00,3587706888.54695,0,0,0,0,0,0,0</t>
  </si>
  <si>
    <t>2025-05-08 07:48:00,2732982368.17236,0,0,0,0,0,0,0</t>
  </si>
  <si>
    <t>2025-05-08 07:48:00,-20315036.6883623,-12619549.7700119,-6004.89166666665,-655,-626183.950166664,-67484,-0.566515785436514,-301.32</t>
  </si>
  <si>
    <t>2025-05-08 07:48:00,32524411.5438569,0,0,0,0,0,0,0</t>
  </si>
  <si>
    <t>2025-05-08 07:49:00,565,,,,550,,,,,,,,,557,562</t>
  </si>
  <si>
    <t>2025-05-08 07:49:00,490,,,,470,,,,,,,,,482,475</t>
  </si>
  <si>
    <t>2025-05-08 07:49:00,,5630,,5630,,5700,5680,,,,,5750,5570,5630,5620</t>
  </si>
  <si>
    <t>2025-05-08 07:49:00,19475,,,,19475,,,,,,,,,19500,19400</t>
  </si>
  <si>
    <t>2025-05-08 07:49:00,3790985627.15491,0,0,0,0,0,0,0</t>
  </si>
  <si>
    <t>2025-05-08 07:49:00,2795226280.22282,0,0,0,0,0,0,0</t>
  </si>
  <si>
    <t>2025-05-08 07:49:00,-21275277.3877744,-13119338.828794,-3657.38355661883,-96,-120701.013115152,-5103.51,0.182462537511274,-46.94</t>
  </si>
  <si>
    <t>2025-05-08 07:49:00,32527506.065183,0,0,0,0,0,0,0</t>
  </si>
  <si>
    <t>2025-05-08 07:50:00,570,,,,550,,,,,,,,,557,562</t>
  </si>
  <si>
    <t>2025-05-08 07:50:00,490,,,,470,,,,,,,,,482,475</t>
  </si>
  <si>
    <t>2025-05-08 07:50:00,,5630,,5630,,5700,5680,,,,,5750,5570,5630,5620</t>
  </si>
  <si>
    <t>2025-05-08 07:50:00,19475,,,,19475,,,,,,,,,19500,19400</t>
  </si>
  <si>
    <t>2025-05-08 07:50:00,3775844388.56382,0,0,0,0,0,0,0</t>
  </si>
  <si>
    <t>2025-05-08 07:50:00,2849774234.40344,0,0,0,0,0,0,0</t>
  </si>
  <si>
    <t>2025-05-08 07:50:00,-22578487.4265839,-13605255.5260097,-2853.85,-67,-57758.0950000002,-719.6,0.0317423702986449,-16.28</t>
  </si>
  <si>
    <t>2025-05-08 07:50:00,32525492.4109172,0,0,0,0,0,0,0</t>
  </si>
  <si>
    <t>2025-05-08 07:51:00,565,,,,550,,,,,,,,,557,562</t>
  </si>
  <si>
    <t>2025-05-08 07:51:00,490,,,,470,,,,,,,,,482,475</t>
  </si>
  <si>
    <t>2025-05-08 07:51:00,,5630,,5630,,5700,5680,,,,,5750,5570,5630,5620</t>
  </si>
  <si>
    <t>2025-05-08 07:51:00,19475,,,,19475,,,,,,,,,19500,19400</t>
  </si>
  <si>
    <t>2025-05-08 07:51:00,3879673535.97829,0,0,0,0,0,0,0</t>
  </si>
  <si>
    <t>2025-05-08 07:51:00,2781019320.16455,0,0,0,0,0,0,0</t>
  </si>
  <si>
    <t>2025-05-08 07:51:00,-21953568.7594107,-13408423.6119793,-9636.08878787879,-176,-426196.185630303,-5238.96,0.223961430181308,-91.19</t>
  </si>
  <si>
    <t>2025-05-08 07:51:00,32526391.8281713,0,0,0,0,0,0,0</t>
  </si>
  <si>
    <t>2025-05-08 07:52:00,565,,,,550,,,,,,,,,557,562</t>
  </si>
  <si>
    <t>2025-05-08 07:52:00,490,,,,470,,,,,,,,,482,475</t>
  </si>
  <si>
    <t>2025-05-08 07:52:00,,5630,,5630,,5700,5680,,,,,5750,5570,5630,5620</t>
  </si>
  <si>
    <t>2025-05-08 07:52:00,19475,,,,19475,,,,,,,,,19500,19400</t>
  </si>
  <si>
    <t>2025-05-08 07:52:00,3767976993.42575,0,0,0,0,0,0,0</t>
  </si>
  <si>
    <t>2025-05-08 07:52:00,2754271351.16852,0,0,0,0,0,0,0</t>
  </si>
  <si>
    <t>2025-05-08 07:52:00,-20823369.0669699,-13100623.714965,-7060.85,-95,-309816.7005,-2664.48,0.317832591033102,-48.23</t>
  </si>
  <si>
    <t>2025-05-08 07:52:00,32524538.1309333,0,0,0,0,0,0,0</t>
  </si>
  <si>
    <t>2025-05-08 07:53:00,565,,,,550,,,,,,,,,557,562</t>
  </si>
  <si>
    <t>2025-05-08 07:53:00,490,,,,470,,,,,,,,,482,475</t>
  </si>
  <si>
    <t>2025-05-08 07:53:00,,5630,,5630,,5800,5680,,,,,5750,5570,5630,5620</t>
  </si>
  <si>
    <t>2025-05-08 07:53:00,19475,,,,19475,,,,,,,,,19500,19400</t>
  </si>
  <si>
    <t>2025-05-08 07:53:00,3474663764.54994,0,0,0,0,0,0,0</t>
  </si>
  <si>
    <t>2025-05-08 07:53:00,2739736931.48854,0,0,0,0,0,0,0</t>
  </si>
  <si>
    <t>2025-05-08 07:53:00,-19803774.3674832,-12695113.6062552,-3704.57121212121,-81,-67629.2792424241,-1064.68,0.318326668112979,-20.39</t>
  </si>
  <si>
    <t>2025-05-08 07:53:00,32531076.5915515,0,0,0,0,0,0,0</t>
  </si>
  <si>
    <t>2025-05-08 07:54:00,565,,,,550,,,,,,,,,557,562</t>
  </si>
  <si>
    <t>2025-05-08 07:54:00,490,,,,470,,,,,,,,,482,475</t>
  </si>
  <si>
    <t>2025-05-08 07:54:00,,5630,,5630,,5800,5680,,,,,5750,5570,5630,5620</t>
  </si>
  <si>
    <t>2025-05-08 07:54:00,19475,,,,19475,,,,,,,,,19500,19400</t>
  </si>
  <si>
    <t>2025-05-08 07:54:00,3481003820.20213,0,0,0,0,0,0,0</t>
  </si>
  <si>
    <t>2025-05-08 07:54:00,2743046846.74461,0,0,0,0,0,0,0</t>
  </si>
  <si>
    <t>2025-05-08 07:54:00,-19751996.0954126,-12709406.7609005,-1463.28452380952,-36,-37192.4636071429,-582.47,0.0955823504816479,-9.41</t>
  </si>
  <si>
    <t>2025-05-08 07:54:00,32529224.814988,0,0,0,0,0,0,0</t>
  </si>
  <si>
    <t>2025-05-08 07:55:00,565,,,,550,,,,,,,,,557,562</t>
  </si>
  <si>
    <t>2025-05-08 07:55:00,490,,,,470,,,,,,,,,482,475</t>
  </si>
  <si>
    <t>2025-05-08 07:55:00,,5630,,5630,,5800,5680,,,,,5750,5570,5630,5620</t>
  </si>
  <si>
    <t>2025-05-08 07:55:00,19475,,,,19475,,,,,,,,,19500,19400</t>
  </si>
  <si>
    <t>2025-05-08 07:55:00,3474254531.47551,0,0,0,0,0,0,0</t>
  </si>
  <si>
    <t>2025-05-08 07:55:00,2746443025.82485,0,0,0,0,0,0,0</t>
  </si>
  <si>
    <t>2025-05-08 07:55:00,-19891082.4768802,-12732665.8204192,-578.383333333333,-19,-11045.602,-189.53,0.0238927678133197,-4.27</t>
  </si>
  <si>
    <t>2025-05-08 07:55:00,32527806.5317222,0,0,0,0,0,0,0</t>
  </si>
  <si>
    <t>2025-05-08 07:56:00,565,,,,550,,,,,,,,,557,562</t>
  </si>
  <si>
    <t>2025-05-08 07:56:00,490,,,,470,,,,,,,,,482,475</t>
  </si>
  <si>
    <t>2025-05-08 07:56:00,,5630,,5630,,5800,5680,,,,,5750,5570,5630,5620</t>
  </si>
  <si>
    <t>2025-05-08 07:56:00,19475,,,,19475,,,,,,,,,19500,19400</t>
  </si>
  <si>
    <t>2025-05-08 07:56:00,3463280284.51017,0,0,0,0,0,0,0</t>
  </si>
  <si>
    <t>2025-05-08 07:56:00,2734584030.20426,0,0,0,0,0,0,0</t>
  </si>
  <si>
    <t>2025-05-08 07:56:00,-19676076.4139893,-12801435.7098027,-2439.81666666667,-42,-64246.1755000002,-690.34,0.127490035726135,-18.38</t>
  </si>
  <si>
    <t>2025-05-08 07:56:00,32525523.0959816,0,0,0,0,0,0,0</t>
  </si>
  <si>
    <t>2025-05-08 07:57:00,565,,,,550,,,,,,,,,557,562</t>
  </si>
  <si>
    <t>2025-05-08 07:57:00,490,,,,470,,,,,,,,,482,475</t>
  </si>
  <si>
    <t>2025-05-08 07:57:00,,5630,,5630,,5800,5680,,,,,5750,5570,5630,5620</t>
  </si>
  <si>
    <t>2025-05-08 07:57:00,19475,,,,19475,,,,,,,,,19500,19400</t>
  </si>
  <si>
    <t>2025-05-08 07:57:00,3484432259.72647,0,0,0,0,0,0,0</t>
  </si>
  <si>
    <t>2025-05-08 07:57:00,2739815103.69086,0,0,0,0,0,0,0</t>
  </si>
  <si>
    <t>2025-05-08 07:57:00,-19895478.0738484,-12879798.1635355,-7045.03333333334,-165,-59895.4506666666,-1108.34,-0.167989580954983,-40.81</t>
  </si>
  <si>
    <t>2025-05-08 07:57:00,32526906.1694913,0,0,0,0,0,0,0</t>
  </si>
  <si>
    <t>2025-05-08 07:58:00,570,,,,550,,,,,,,,,557,562</t>
  </si>
  <si>
    <t>2025-05-08 07:58:00,490,,,,470,,,,,,,,,482,475</t>
  </si>
  <si>
    <t>2025-05-08 07:58:00,,5630,,5630,,5800,5680,,,,,5750,5570,5630,5620</t>
  </si>
  <si>
    <t>2025-05-08 07:58:00,19475,,,,19475,,,,,,,,,19500,19400</t>
  </si>
  <si>
    <t>2025-05-08 07:58:00,3369388424.30744,0,0,0,0,0,0,0</t>
  </si>
  <si>
    <t>2025-05-08 07:58:00,2705839246.64378,0,0,0,0,0,0,0</t>
  </si>
  <si>
    <t>2025-05-08 07:58:00,-18978141.8986835,-13288806.1758805,-26414.1666666666,-496,-684944.926166666,-10733.45,2.79920163613044,-256.48</t>
  </si>
  <si>
    <t>2025-05-08 07:58:00,32529514.6995349,0,0,0,0,0,0,0</t>
  </si>
  <si>
    <t>2025-05-08 07:59:00,570,,,,550,,,,,,,,,557,562</t>
  </si>
  <si>
    <t>2025-05-08 07:59:00,490,,,,470,,,,,,,,,482,475</t>
  </si>
  <si>
    <t>2025-05-08 07:59:00,,5630,,5630,,5800,5680,,,,,5750,5570,5630,5620</t>
  </si>
  <si>
    <t>2025-05-08 07:59:00,19475,,,,19475,,,,,,,,,19500,19400</t>
  </si>
  <si>
    <t>2025-05-08 07:59:00,3364967428.34273,0,0,0,0,0,0,0</t>
  </si>
  <si>
    <t>2025-05-08 07:59:00,2684193091.21247,0,0,0,0,0,0,0</t>
  </si>
  <si>
    <t>2025-05-08 07:59:00,-18992130.2463215,-13330533.0808613,-2684.15,-108,-14244.5415,-409.31,0.120251724065915,-8.36</t>
  </si>
  <si>
    <t>2025-05-08 07:59:00,32536093.6488782,0,0,0,0,0,0,0</t>
  </si>
  <si>
    <t>2025-05-08 08:00:00,565,,,,550,,,,,,,,,557,562</t>
  </si>
  <si>
    <t>2025-05-08 08:00:00,490,,,,470,,,,,,,,,482,475</t>
  </si>
  <si>
    <t>2025-05-08 08:00:00,,5630,,5630,,5800,5680,,,,,5750,5570,5630,5620</t>
  </si>
  <si>
    <t>2025-05-08 08:00:00,19475,,,,19475,,,,,,,,,19500,19400</t>
  </si>
  <si>
    <t>2025-05-08 08:00:00,3449328332.62746,0,0,0,0,0,0,0</t>
  </si>
  <si>
    <t>2025-05-08 08:00:00,2734537760.68451,0,0,0,0,0,0,0</t>
  </si>
  <si>
    <t>2025-05-08 08:00:00,-19628975.3240744,-13608552.0417827,-5777.075,-130,-180931.938583334,-2133.16,0.337358092084433,-33.93</t>
  </si>
  <si>
    <t>2025-05-08 08:00:00,32535006.1805526,0,0,0,0,0,0,0</t>
  </si>
  <si>
    <t>2025-05-08 08:01:00,570,,,,550,,,,,,,,,557,562</t>
  </si>
  <si>
    <t>2025-05-08 08:01:00,490,,,,470,,,,,,,,,482,475</t>
  </si>
  <si>
    <t>2025-05-08 08:01:00,,5630,,5630,,5800,5680,,,,,5750,5570,5630,5620</t>
  </si>
  <si>
    <t>2025-05-08 08:01:00,19475,,,,19475,,,,,,,,,19500,19400</t>
  </si>
  <si>
    <t>2025-05-08 08:01:00,3113543816.27435,0,0,0,0,0,0,0</t>
  </si>
  <si>
    <t>2025-05-08 08:01:00,2675415252.54373,0,0,0,0,0,0,0</t>
  </si>
  <si>
    <t>2025-05-08 08:01:00,-18286412.1273177,-13268957.3530909,-3711.8,-125,-48156.4386666666,-998.04,0.287206416238169,-19.02</t>
  </si>
  <si>
    <t>2025-05-08 08:01:00,32532901.052316,0,0,0,0,0,0,0</t>
  </si>
  <si>
    <t>2025-05-08 08:02:00,565,,,,550,,,,,,,,,557,562</t>
  </si>
  <si>
    <t>2025-05-08 08:02:00,490,,,,470,,,,,,,,,482,475</t>
  </si>
  <si>
    <t>2025-05-08 08:02:00,,5630,,5630,,5800,5680,,,,,5750,5570,5630,5620</t>
  </si>
  <si>
    <t>2025-05-08 08:02:00,19475,,,,19475,,,,,,,,,19500,19400</t>
  </si>
  <si>
    <t>2025-05-08 08:02:00,3409905595.8053,0,0,0,0,0,0,0</t>
  </si>
  <si>
    <t>2025-05-08 08:02:00,2714324593.2927,0,0,0,0,0,0,0</t>
  </si>
  <si>
    <t>2025-05-08 08:02:00,-19172246.0807648,-13645432.0984392,-5283.80000000001,-144,-87251.3030000003,-1413.41,0.369058512269785,-29.94</t>
  </si>
  <si>
    <t>2025-05-08 08:02:00,32531538.2553382,0,0,0,0,0,0,0</t>
  </si>
  <si>
    <t>2025-05-08 08:03:00,570,,,,550,,,,,,,,,557,562</t>
  </si>
  <si>
    <t>2025-05-08 08:03:00,490,,,,470,,,,,,,,,482,475</t>
  </si>
  <si>
    <t>2025-05-08 08:03:00,,5630,,5630,,5800,5680,,,,,5750,5570,5630,5620</t>
  </si>
  <si>
    <t>2025-05-08 08:03:00,19475,,,,19475,,,,,,,,,19500,19400</t>
  </si>
  <si>
    <t>2025-05-08 08:03:00,3270845803.70787,0,0,0,0,0,0,0</t>
  </si>
  <si>
    <t>2025-05-08 08:03:00,2679617949.25407,0,0,0,0,0,0,0</t>
  </si>
  <si>
    <t>2025-05-08 08:03:00,-18682384.6406757,-13472101.9703821,-2530.71666666667,-122,-11120.4916666667,-348.07,-0.104895226600249,-12.35</t>
  </si>
  <si>
    <t>2025-05-08 08:03:00,32530715.3949643,0,0,0,0,0,0,0</t>
  </si>
  <si>
    <t>2025-05-08 08:05:00,570,,,,550,,,,,,,,,557,562</t>
  </si>
  <si>
    <t>2025-05-08 08:05:00,490,,,,470,,,,,,,,,482,475</t>
  </si>
  <si>
    <t>2025-05-08 08:05:00,,5630,,5630,,5800,5680,,,,,5750,5570,5630,5620</t>
  </si>
  <si>
    <t>2025-05-08 08:05:00,19475,,,,19475,,,,,,,,,19500,19400</t>
  </si>
  <si>
    <t>2025-05-08 08:05:00,3139389027.39267,0,0,0,0,0,0,0</t>
  </si>
  <si>
    <t>2025-05-08 08:05:00,2670423927.59739,0,0,0,0,0,0,0</t>
  </si>
  <si>
    <t>2025-05-08 08:05:00,-18483348.7174612,-13443332.4600528,-2606.44743589744,-65,-40386.3861025643,-867.64,0.113602591531596,-11.53</t>
  </si>
  <si>
    <t>2025-05-08 08:05:00,32537343.9823791,0,0,0,0,0,0,0</t>
  </si>
  <si>
    <t>2025-05-08 08:06:00,570,,,,550,,,,,,,,,557,562</t>
  </si>
  <si>
    <t>2025-05-08 08:06:00,490,,,,470,,,,,,,,,482,475</t>
  </si>
  <si>
    <t>2025-05-08 08:06:00,,5630,,5630,,5800,5680,,,,,5750,5600,5630,5620</t>
  </si>
  <si>
    <t>2025-05-08 08:06:00,19475,,,,19475,,,,,,,,,19500,19400</t>
  </si>
  <si>
    <t>2025-05-08 08:06:00,3277249116.19396,0,0,0,0,0,0,0</t>
  </si>
  <si>
    <t>2025-05-08 08:06:00,2653531122.72969,0,0,0,0,0,0,0</t>
  </si>
  <si>
    <t>2025-05-08 08:06:00,-17846708.77592,-13723176.7485458,-17909.2666666667,-309,-486070.096000001,-7528.23,2.06920525117246,-177.61</t>
  </si>
  <si>
    <t>2025-05-08 08:06:00,32535091.8291964,0,0,0,0,0,0,0</t>
  </si>
  <si>
    <t>2025-05-08 08:07:00,570,,,,550,,,,,,,,,557,562</t>
  </si>
  <si>
    <t>2025-05-08 08:07:00,490,,,,470,,,,,,,,,482,475</t>
  </si>
  <si>
    <t>2025-05-08 08:07:00,,5630,,5630,,5800,5680,,,,,5750,5600,5630,5620</t>
  </si>
  <si>
    <t>2025-05-08 08:07:00,19475,,,,19475,,,,,,,,,19500,19400</t>
  </si>
  <si>
    <t>2025-05-08 08:07:00,3093195538.69451,0,0,0,0,0,0,0</t>
  </si>
  <si>
    <t>2025-05-08 08:07:00,2493716084.59648,0,0,0,0,0,0,0</t>
  </si>
  <si>
    <t>2025-05-08 08:07:00,-16655997.5829528,-13456663.4082456,-7089.1833333333,-103,-382957.977666665,-4021.28,0.405565205593893,-61.78</t>
  </si>
  <si>
    <t>2025-05-08 08:07:00,32535297.2774724,0,0,0,0,0,0,0</t>
  </si>
  <si>
    <t>2025-05-08 08:08:00,570,,,,550,,,,,,,,,557,562</t>
  </si>
  <si>
    <t>2025-05-08 08:08:00,490,,,,470,,,,,,,,,482,475</t>
  </si>
  <si>
    <t>2025-05-08 08:08:00,,5630,,5630,,5800,5680,,,,,5750,5600,5630,5620</t>
  </si>
  <si>
    <t>2025-05-08 08:08:00,19475,,,,19475,,,,,,,,,19500,19400</t>
  </si>
  <si>
    <t>2025-05-08 08:08:00,3283656555.77927,0,0,0,0,0,0,0</t>
  </si>
  <si>
    <t>2025-05-08 08:08:00,2665903151.30451,0,0,0,0,0,0,0</t>
  </si>
  <si>
    <t>2025-05-08 08:08:00,-18002919.4253544,-13954730.2521699,-3616.48166666666,-96,-68671.4896499999,-1317.89,0.217118209450658,-26.43</t>
  </si>
  <si>
    <t>2025-05-08 08:08:00,32534961.6609459,0,0,0,0,0,0,0</t>
  </si>
  <si>
    <t>2025-05-08 08:09:00,570,,,,550,,,,,,,,,557,562</t>
  </si>
  <si>
    <t>2025-05-08 08:09:00,490,,,,470,,,,,,,,,482,475</t>
  </si>
  <si>
    <t>2025-05-08 08:09:00,,5630,,5630,,5800,5680,,,,,5750,5600,5630,5620</t>
  </si>
  <si>
    <t>2025-05-08 08:09:00,19475,,,,19475,,,,,,,,,19500,19400</t>
  </si>
  <si>
    <t>2025-05-08 08:09:00,3268894007.4718,0,0,0,0,0,0,0</t>
  </si>
  <si>
    <t>2025-05-08 08:09:00,2640750019.10424,0,0,0,0,0,0,0</t>
  </si>
  <si>
    <t>2025-05-08 08:09:00,-17702428.9086111,-13858693.0688565,-942.183333333333,-42,-23067.9863333333,-328.92,0.0288941852980188,-7.29</t>
  </si>
  <si>
    <t>2025-05-08 08:09:00,32534250.4022548,0,0,0,0,0,0,0</t>
  </si>
  <si>
    <t>2025-05-08 08:10:00,570,,,,550,,,,,,,,,557,562</t>
  </si>
  <si>
    <t>2025-05-08 08:10:00,490,,,,470,,,,,,,,,482,475</t>
  </si>
  <si>
    <t>2025-05-08 08:10:00,,5630,,5630,,5800,5680,,,,,5750,5600,5630,5620</t>
  </si>
  <si>
    <t>2025-05-08 08:10:00,19475,,,,19475,,,,,,,,,19500,19400</t>
  </si>
  <si>
    <t>2025-05-08 08:10:00,3234727954.27197,0,0,0,0,0,0,0</t>
  </si>
  <si>
    <t>2025-05-08 08:10:00,2628368229.5635,0,0,0,0,0,0,0</t>
  </si>
  <si>
    <t>2025-05-08 08:10:00,-17300362.0522435,-14312758.2866482,-18489.4666666667,-251,-557364.253333335,-6107.64,2.80705610050837,-129.59</t>
  </si>
  <si>
    <t>2025-05-08 08:10:00,32535094.5653787,0,0,0,0,0,0,0</t>
  </si>
  <si>
    <t>2025-05-08 08:11:00,570,,,,550,,,,,,,,,557,562</t>
  </si>
  <si>
    <t>2025-05-08 08:11:00,490,,,,470,,,,,,,,,482,475</t>
  </si>
  <si>
    <t>2025-05-08 08:11:00,,5630,,5630,,5800,5680,,,,,5750,5600,5630,5620</t>
  </si>
  <si>
    <t>2025-05-08 08:11:00,19475,,,,19475,,,,,,,,,19500,19400</t>
  </si>
  <si>
    <t>2025-05-08 08:11:00,3102960095.34557,0,0,0,0,0,0,0</t>
  </si>
  <si>
    <t>2025-05-08 08:11:00,2489813555.65473,0,0,0,0,0,0,0</t>
  </si>
  <si>
    <t>2025-05-08 08:11:00,-16565198.4642617,-14106718.1146255,-1903.4,-183,-8374.46799999999,-335.51,0.207808546043758,-7.38</t>
  </si>
  <si>
    <t>2025-05-08 08:11:00,32541655.4684662,0,0,0,0,0,0,0</t>
  </si>
  <si>
    <t>2025-05-08 08:12:00,570,,,,550,,,,,,,,,557,562</t>
  </si>
  <si>
    <t>2025-05-08 08:12:00,490,,,,470,,,,,,,,,482,475</t>
  </si>
  <si>
    <t>2025-05-08 08:12:00,,5630,,5630,,5800,5680,,,,,5750,5600,5630,5620</t>
  </si>
  <si>
    <t>2025-05-08 08:12:00,19475,,,,19475,,,,,,,,,19500,19400</t>
  </si>
  <si>
    <t>2025-05-08 08:12:00,2989014904.66137,0,0,0,0,0,0,0</t>
  </si>
  <si>
    <t>2025-05-08 08:12:00,2475437135.06871,0,0,0,0,0,0,0</t>
  </si>
  <si>
    <t>2025-05-08 08:12:00,-16026240.8270715,-14106538.1670341,-6961.51666666666,-167,-125856.631333333,-2314.82,0.744420116154866,-41.25</t>
  </si>
  <si>
    <t>2025-05-08 08:12:00,32540682.2596505,0,0,0,0,0,0,0</t>
  </si>
  <si>
    <t>2025-05-08 08:13:00,570,,,,550,,,,,,,,,557,562</t>
  </si>
  <si>
    <t>2025-05-08 08:13:00,490,,,,470,,,,,,,,,482,475</t>
  </si>
  <si>
    <t>2025-05-08 08:13:00,,5630,,5600,,5800,5680,,,,,5750,5600,5630,5620</t>
  </si>
  <si>
    <t>2025-05-08 08:13:00,19475,,,,19475,,,,,,,,,19500,19400</t>
  </si>
  <si>
    <t>2025-05-08 08:13:00,3071263743.10417,0,0,0,0,0,0,0</t>
  </si>
  <si>
    <t>2025-05-08 08:13:00,2485665411.84397,0,0,0,0,0,0,0</t>
  </si>
  <si>
    <t>2025-05-08 08:13:00,-16178018.7970276,-14542638.8927845,-4455.30000000003,-77,-154886.319333335,-2208.59,0.483543515618297,-53.45</t>
  </si>
  <si>
    <t>2025-05-08 08:13:00,32538281.5978909,0,0,0,0,0,0,0</t>
  </si>
  <si>
    <t>2025-05-08 08:14:00,570,,,,550,,,,,,,,,557,562</t>
  </si>
  <si>
    <t>2025-05-08 08:14:00,490,,,,470,,,,,,,,,482,475</t>
  </si>
  <si>
    <t>2025-05-08 08:14:00,,5630,,5600,,5800,5680,,,,,5750,5600,5630,5620</t>
  </si>
  <si>
    <t>2025-05-08 08:14:00,19475,,,,19475,,,,,,,,,19500,19400</t>
  </si>
  <si>
    <t>2025-05-08 08:14:00,3049899142.91454,0,0,0,0,0,0,0</t>
  </si>
  <si>
    <t>2025-05-08 08:14:00,2505996719.99122,0,0,0,0,0,0,0</t>
  </si>
  <si>
    <t>2025-05-08 08:14:00,-16305922.7041668,-14685793.6767325,-4811.46666666667,-137,-58447.3593333333,-1212.27,0.310026332320044,-24.71</t>
  </si>
  <si>
    <t>2025-05-08 08:14:00,32536572.7734586,0,0,0,0,0,0,0</t>
  </si>
  <si>
    <t>2025-05-08 08:15:00,570,,,,550,,,,,,,,,557,562</t>
  </si>
  <si>
    <t>2025-05-08 08:15:00,490,,,,470,,,,,,,,,482,475</t>
  </si>
  <si>
    <t>2025-05-08 08:15:00,,5630,,5600,,5800,5680,,,,,5750,5600,5630,5620</t>
  </si>
  <si>
    <t>2025-05-08 08:15:00,19475,,,,19475,,,,,,,,,19500,19400</t>
  </si>
  <si>
    <t>2025-05-08 08:15:00,3060134063.08522,0,0,0,0,0,0,0</t>
  </si>
  <si>
    <t>2025-05-08 08:15:00,2505990267.59497,0,0,0,0,0,0,0</t>
  </si>
  <si>
    <t>2025-05-08 08:15:00,-16255445.4272596,-14682511.9669118,-473.85,-21,-4941.73283333333,-115.26,0.00861694703554701,-3.14</t>
  </si>
  <si>
    <t>2025-05-08 08:15:00,32534822.3482583,0,0,0,0,0,0,0</t>
  </si>
  <si>
    <t>2025-05-08 08:16:00,570,,,,550,,,,,,,,,557,562</t>
  </si>
  <si>
    <t>2025-05-08 08:16:00,490,,,,470,,,,,,,,,482,475</t>
  </si>
  <si>
    <t>2025-05-08 08:16:00,,5630,,5600,,5800,5680,,,,,5750,5600,5630,5620</t>
  </si>
  <si>
    <t>2025-05-08 08:16:00,19475,,,,19475,,,,,,,,,19500,19400</t>
  </si>
  <si>
    <t>2025-05-08 08:16:00,3133484268.782,0,0,0,0,0,0,0</t>
  </si>
  <si>
    <t>2025-05-08 08:16:00,2509702309.22087,0,0,0,0,0,0,0</t>
  </si>
  <si>
    <t>2025-05-08 08:16:00,-16976974.4833015,-15064261.0378458,-2717.06666666667,-54,-57840.1976666668,-795.07,0.357341923601892,-14.93</t>
  </si>
  <si>
    <t>2025-05-08 08:16:00,32541515.7451817,0,0,0,0,0,0,0</t>
  </si>
  <si>
    <t>2025-05-08 08:17:00,570,,,,550,,,,,,,,,557,562</t>
  </si>
  <si>
    <t>2025-05-08 08:17:00,490,,,,470,,,,,,,,,482,475</t>
  </si>
  <si>
    <t>2025-05-08 08:17:00,,5630,,5600,,5800,5680,,,,,5750,5600,5630,5620</t>
  </si>
  <si>
    <t>2025-05-08 08:17:00,19475,,,,19475,,,,,,,,,19500,19400</t>
  </si>
  <si>
    <t>2025-05-08 08:17:00,3060076094.83266,0,0,0,0,0,0,0</t>
  </si>
  <si>
    <t>2025-05-08 08:17:00,2501738835.40061,0,0,0,0,0,0,0</t>
  </si>
  <si>
    <t>2025-05-08 08:17:00,-16667261.0415578,-15054442.131972,-3669.40000000001,-60,-61917.0350000002,-880.22,0.364905646229928,-15.87</t>
  </si>
  <si>
    <t>2025-05-08 08:17:00,32542913.0605558,0,0,0,0,0,0,0</t>
  </si>
  <si>
    <t>2025-05-08 08:18:00,570,,,,550,,,,,,,,,557,562</t>
  </si>
  <si>
    <t>2025-05-08 08:18:00,490,,,,470,,,,,,,,,482,475</t>
  </si>
  <si>
    <t>2025-05-08 08:18:00,,5630,,5630,,5800,5680,,,,,5750,5600,5630,5620</t>
  </si>
  <si>
    <t>2025-05-08 08:18:00,19475,,,,19475,,,,,,,,,19500,19400</t>
  </si>
  <si>
    <t>2025-05-08 08:18:00,3274602521.76664,0,0,0,0,0,0,0</t>
  </si>
  <si>
    <t>2025-05-08 08:18:00,2678881038.05568,0,0,0,0,0,0,0</t>
  </si>
  <si>
    <t>2025-05-08 08:18:00,-18185022.8450664,-15770262.339022,-8859.54561403509,-265,-686782.732947369,-29707.54,0.496940858682042,-219.35</t>
  </si>
  <si>
    <t>2025-05-08 08:18:00,32541439.7165918,0,0,0,0,0,0,0</t>
  </si>
  <si>
    <t>2025-05-08 08:19:00,570,,,,550,,,,,,,,,557,562</t>
  </si>
  <si>
    <t>2025-05-08 08:19:00,490,,,,470,,,,,,,,,482,475</t>
  </si>
  <si>
    <t>2025-05-08 08:19:00,,5630,,5630,,5800,5680,,,,,5750,5600,5630,5620</t>
  </si>
  <si>
    <t>2025-05-08 08:19:00,19475,,,,19475,,,,,,,,,19500,19400</t>
  </si>
  <si>
    <t>2025-05-08 08:19:00,3209516053.42158,0,0,0,0,0,0,0</t>
  </si>
  <si>
    <t>2025-05-08 08:19:00,2539449221.39295,0,0,0,0,0,0,0</t>
  </si>
  <si>
    <t>2025-05-08 08:19:00,-17360486.2713358,-15501208.636864,-8969.35000000007,-178,-298478.955500003,-3557.26,0.181205885304364,-77.98</t>
  </si>
  <si>
    <t>2025-05-08 08:19:00,32541406.673404,0,0,0,0,0,0,0</t>
  </si>
  <si>
    <t>2025-05-08 08:20:00,570,,,,550,,,,,,,,,557,562</t>
  </si>
  <si>
    <t>2025-05-08 08:20:00,490,,,,470,,,,,,,,,482,475</t>
  </si>
  <si>
    <t>2025-05-08 08:20:00,,5630,,5600,,5800,5680,,,,,5750,5600,5630,5620</t>
  </si>
  <si>
    <t>2025-05-08 08:20:00,19475,,,,19475,,,,,,,,,19500,19400</t>
  </si>
  <si>
    <t>2025-05-08 08:20:00,3248911442.49764,0,0,0,0,0,0,0</t>
  </si>
  <si>
    <t>2025-05-08 08:20:00,2648455532.21864,0,0,0,0,0,0,0</t>
  </si>
  <si>
    <t>2025-05-08 08:20:00,-17999698.8096283,-15958511.8515322,-11394.4,-384,-145330.728,-2981.32,0.781035630456278,-58.87</t>
  </si>
  <si>
    <t>2025-05-08 08:20:00,32541453.3786919,0,0,0,0,0,0,0</t>
  </si>
  <si>
    <t>2025-05-08 08:21:00,570,,,,550,,,,,,,,,557,562</t>
  </si>
  <si>
    <t>2025-05-08 08:21:00,490,,,,470,,,,,,,,,482,475</t>
  </si>
  <si>
    <t>2025-05-08 08:21:00,,5630,,5630,,5800,5680,,,,,5750,5600,5630,5620</t>
  </si>
  <si>
    <t>2025-05-08 08:21:00,19475,,,,19475,,,,,,,,,19500,19400</t>
  </si>
  <si>
    <t>2025-05-08 08:21:00,3375982893.60297,0,0,0,0,0,0,0</t>
  </si>
  <si>
    <t>2025-05-08 08:21:00,2729352716.35361,0,0,0,0,0,0,0</t>
  </si>
  <si>
    <t>2025-05-08 08:21:00,-19721450.0433603,-16666368.5449029,-7148.54705882354,-262,-853572.489176472,-28828.03,0.00291662064380153,-205.26</t>
  </si>
  <si>
    <t>2025-05-08 08:21:00,32548092.683419,0,0,0,0,0,0,0</t>
  </si>
  <si>
    <t>2025-05-08 08:22:00,565,,,,550,,,,,,,,,557,562</t>
  </si>
  <si>
    <t>2025-05-08 08:22:00,490,,,,470,,,,,,,,,482,475</t>
  </si>
  <si>
    <t>2025-05-08 08:22:00,,5630,,5630,,5800,5680,,,,,5750,5600,5630,5620</t>
  </si>
  <si>
    <t>2025-05-08 08:22:00,19475,,,,19475,,,,,,,,,19500,19400</t>
  </si>
  <si>
    <t>2025-05-08 08:22:00,3416896607.60375,0,0,0,0,0,0,0</t>
  </si>
  <si>
    <t>2025-05-08 08:22:00,2704369609.6653,0,0,0,0,0,0,0</t>
  </si>
  <si>
    <t>2025-05-08 08:22:00,-19993521.4137169,-16706748.1778629,-1988.5,-36,-60417.9096666667,-756.91,0.00185060623166321,-14.56</t>
  </si>
  <si>
    <t>2025-05-08 08:22:00,32546029.2769534,0,0,0,0,0,0,0</t>
  </si>
  <si>
    <t>2025-05-08 08:23:00,565,,,,550,,,,,,,,,557,562</t>
  </si>
  <si>
    <t>2025-05-08 08:23:00,490,,,,470,,,,,,,,,482,475</t>
  </si>
  <si>
    <t>2025-05-08 08:23:00,,5630,,5630,,5800,5680,,,,,5750,5600,5630,5620</t>
  </si>
  <si>
    <t>2025-05-08 08:23:00,19475,,,,19475,,,,,,,,,19500,19400</t>
  </si>
  <si>
    <t>2025-05-08 08:23:00,3406400473.75313,0,0,0,0,0,0,0</t>
  </si>
  <si>
    <t>2025-05-08 08:23:00,2704160493.07236,0,0,0,0,0,0,0</t>
  </si>
  <si>
    <t>2025-05-08 08:23:00,-19916332.2204341,-16716330.5592388,-1352.36666666667,-30,-16855.7640000001,-303.95,0.0767450347565422,-5.72</t>
  </si>
  <si>
    <t>2025-05-08 08:23:00,32542137.4744732,0,0,0,0,0,0,0</t>
  </si>
  <si>
    <t>2025-05-08 08:24:00,570,,,,550,,,,,,,,,557,562</t>
  </si>
  <si>
    <t>2025-05-08 08:24:00,490,,,,470,,,,,,,,,482,475</t>
  </si>
  <si>
    <t>2025-05-08 08:24:00,,5630,,5630,,5800,5680,,,,,5750,5600,5630,5620</t>
  </si>
  <si>
    <t>2025-05-08 08:24:00,19475,,,,19475,,,,,,,,,19500,19400</t>
  </si>
  <si>
    <t>2025-05-08 08:24:00,3138551861.26428,0,0,0,0,0,0,0</t>
  </si>
  <si>
    <t>2025-05-08 08:24:00,2627813217.54441,0,0,0,0,0,0,0</t>
  </si>
  <si>
    <t>2025-05-08 08:24:00,-18700063.2667213,-16565580.8864236,-13620.1833333333,-333,-246946.418333332,-3432.53,1.15080057640978,-73.92</t>
  </si>
  <si>
    <t>2025-05-08 08:24:00,32542564.3489346,0,0,0,0,0,0,0</t>
  </si>
  <si>
    <t>2025-05-08 08:25:00,570,,,,550,,,,,,,,,557,562</t>
  </si>
  <si>
    <t>2025-05-08 08:25:00,490,,,,470,,,,,,,,,482,475</t>
  </si>
  <si>
    <t>2025-05-08 08:25:00,,5630,,5630,,5800,5680,,,,,5750,5600,5630,5620</t>
  </si>
  <si>
    <t>2025-05-08 08:25:00,19475,,,,19475,,,,,,,,,19500,19400</t>
  </si>
  <si>
    <t>2025-05-08 08:25:00,3166258028.49553,0,0,0,0,0,0,0</t>
  </si>
  <si>
    <t>2025-05-08 08:25:00,2673798087.72632,0,0,0,0,0,0,0</t>
  </si>
  <si>
    <t>2025-05-08 08:25:00,-17635425.4804484,-15862933.4091797,-622.262666038078,-59,-3931.44754014372,-326.08,0.128194381877312,-6.3</t>
  </si>
  <si>
    <t>2025-05-08 08:25:00,32549235.9344015,0,0,0,0,0,0,0</t>
  </si>
  <si>
    <t>2025-05-08 08:26:00,570,,,,550,,,,,,,,,557,562</t>
  </si>
  <si>
    <t>2025-05-08 08:26:00,490,,,,470,,,,,,,,,482,475</t>
  </si>
  <si>
    <t>2025-05-08 08:26:00,,5630,,5630,,5800,5680,,,,,5750,5600,5630,5620</t>
  </si>
  <si>
    <t>2025-05-08 08:26:00,19475,,,,19475,,,,,,,,,19500,19400</t>
  </si>
  <si>
    <t>2025-05-08 08:26:00,3255888283.06037,0,0,0,0,0,0,0</t>
  </si>
  <si>
    <t>2025-05-08 08:26:00,2631598616.88975,0,0,0,0,0,0,0</t>
  </si>
  <si>
    <t>2025-05-08 08:26:00,-17634498.0787267,-15864760.6069555,0,0,0,0,0,0</t>
  </si>
  <si>
    <t>2025-05-08 08:26:00,32547431.2164269,0,0,0,0,0,0,0</t>
  </si>
  <si>
    <t>2025-05-08 08:27:00,570,,,,550,,,,,,,,,557,562</t>
  </si>
  <si>
    <t>2025-05-08 08:27:00,490,,,,470,,,,,,,,,482,475</t>
  </si>
  <si>
    <t>2025-05-08 08:27:00,,5630,,5630,,5800,5680,,,,,5750,5600,5630,5620</t>
  </si>
  <si>
    <t>2025-05-08 08:27:00,19475,,,,19475,,,,,,,,,19500,19400</t>
  </si>
  <si>
    <t>2025-05-08 08:27:00,3099874616.69429,0,0,0,0,0,0,0</t>
  </si>
  <si>
    <t>2025-05-08 08:27:00,2489430537.34785,0,0,0,0,0,0,0</t>
  </si>
  <si>
    <t>2025-05-08 08:27:00,-17630506.4411254,-15858972.802439,0,0,0,0,0,0</t>
  </si>
  <si>
    <t>2025-05-08 08:27:00,32548577.5985728,0,0,0,0,0,0,0</t>
  </si>
  <si>
    <t>2025-05-08 08:28:00,570,,,,550,,,,,,,,,557,562</t>
  </si>
  <si>
    <t>2025-05-08 08:28:00,490,,,,470,,,,,,,,,482,475</t>
  </si>
  <si>
    <t>2025-05-08 08:28:00,,5630,,5630,,5800,5680,,,,,5750,5600,5630,5620</t>
  </si>
  <si>
    <t>2025-05-08 08:28:00,19475,,,,19475,,,,,,,,,19500,19400</t>
  </si>
  <si>
    <t>2025-05-08 08:28:00,3006133493.00377,0,0,0,0,0,0,0</t>
  </si>
  <si>
    <t>2025-05-08 08:28:00,2314469932.57404,0,0,0,0,0,0,0</t>
  </si>
  <si>
    <t>2025-05-08 08:28:00,-17618780.2921633,-15855806.8923156,0,0,0,0,0,0</t>
  </si>
  <si>
    <t>2025-05-08 08:28:00,32547225.690262,0,0,0,0,0,0,0</t>
  </si>
  <si>
    <t>2025-05-08 08:29:00,570,,,,550,,,,,,,,,557,562</t>
  </si>
  <si>
    <t>2025-05-08 08:29:00,490,,,,470,,,,,,,,,482,475</t>
  </si>
  <si>
    <t>2025-05-08 08:29:00,,5630,,5630,,5800,5680,,,,,5750,5600,5630,5620</t>
  </si>
  <si>
    <t>2025-05-08 08:29:00,19475,,,,19475,,,,,,,,,19500,19400</t>
  </si>
  <si>
    <t>2025-05-08 08:29:00,3005731907.11109,0,0,0,0,0,0,0</t>
  </si>
  <si>
    <t>2025-05-08 08:29:00,2302611250.02229,0,0,0,0,0,0,0</t>
  </si>
  <si>
    <t>2025-05-08 08:29:00,-17622394.3726781,-15856691.4179889,0,0,0,0,0,0</t>
  </si>
  <si>
    <t>2025-05-08 08:29:00,32546637.8428481,0,0,0,0,0,0,0</t>
  </si>
  <si>
    <t>2025-05-08 08:30:00,575,,570,,575,,566.5,,,,,570,550,557,562</t>
  </si>
  <si>
    <t>2025-05-08 08:30:00,490,,490,,490,,486,,,,,490,475,482,475</t>
  </si>
  <si>
    <t>2025-05-08 08:30:00,5800,,,5650,5600,,5680,,,,,5750,5600,5630,5620</t>
  </si>
  <si>
    <t>2025-05-08 08:30:00,19475,,,,19475,,,,,,,,,19500,19400</t>
  </si>
  <si>
    <t>2025-05-08 08:30:00,1906837801.2319,3580763.28655162,491.583333333332,369,507.442999999997,420.54,9.7650887646448,92.44</t>
  </si>
  <si>
    <t>2025-05-08 08:30:00,1807009738.68854,2279635.69948856,151.738680926916,195,398.249801247771,446.39,1.35569752996794,91.03</t>
  </si>
  <si>
    <t>2025-05-08 08:30:00,23814745.538632,-2342359.84788571,0,0,0,0,0,0</t>
  </si>
  <si>
    <t>2025-05-08 08:30:00,32985901.0309947,0,0,0,0,0,0,0</t>
  </si>
  <si>
    <t>2025-05-08 08:31:00,575,,570,,575,,560.5,,,,,570,554,557,562</t>
  </si>
  <si>
    <t>2025-05-08 08:31:00,490,,490,,490,,488,,,,,490,480,482,475</t>
  </si>
  <si>
    <t>2025-05-08 08:31:00,5800,,,5600,5600,,5680,,,,,5750,5600,5630,5620</t>
  </si>
  <si>
    <t>2025-05-08 08:31:00,20100,,20350,,19475,,20100,,,,,20200,19300,19500,19400</t>
  </si>
  <si>
    <t>2025-05-08 08:31:00,1890038450.94045,277627423.626765,1087.44721226486,-9200,-3043.43780559633,-31737.76,-523.304945066004,-5368.01</t>
  </si>
  <si>
    <t>2025-05-08 08:31:00,1773664776.14652,70683385.2158093,4348.66172219148,3695,7995.44276404784,-1296.15,248.979991314715,466.66</t>
  </si>
  <si>
    <t>2025-05-08 08:31:00,29268368.3329977,774545.072373017,-1137.61666999667,-1820,-15847.4097388611,-28857.94,-5.15344703732832,-582.14</t>
  </si>
  <si>
    <t>2025-05-08 08:31:00,45289070.6946123,15076.0177893137,6.5403764566849,0,247.066056984909,-534.6,-0.00703687237016376,-2.14</t>
  </si>
  <si>
    <t>2025-05-08 08:32:00,575,,570,,575,,563.5,,,,,570,550,557,562</t>
  </si>
  <si>
    <t>2025-05-08 08:32:00,490,,490,,490,,488,,,,,490,470,482,475</t>
  </si>
  <si>
    <t>2025-05-08 08:32:00,5800,,,5600,5600,,5680,,,,,5750,5600,5630,5620</t>
  </si>
  <si>
    <t>2025-05-08 08:32:00,20100,,20350,,19475,,20100,,,,,20200,19300,19500,19400</t>
  </si>
  <si>
    <t>2025-05-08 08:32:00,1771794244.50324,441235001.37916,-2783.83509773474,-3801,-1422.19412396479,-4284.32,363.470917677318,-997.3</t>
  </si>
  <si>
    <t>2025-05-08 08:32:00,1725807725.2625,107912744.836966,-3599.03866916761,-4735,-7031.83607519071,-12603.64,-104.172086016837,-2778.12</t>
  </si>
  <si>
    <t>2025-05-08 08:32:00,27886508.2509672,718111.816336293,-3515.17624845743,-4254,-36750.5517786312,-37164.71,-4.33438900534012,-960.99</t>
  </si>
  <si>
    <t>2025-05-08 08:32:00,45528071.9812249,22062.0518327953,39.8163407997231,42,2463.41263103939,1030.57,0.00706058513284394,6.17</t>
  </si>
  <si>
    <t>2025-05-08 08:33:00,575,,570,,575,,563.5,,,,,570,550,557,562</t>
  </si>
  <si>
    <t>2025-05-08 08:33:00,490,,490,,490,,488,488,,,488,490,470,482,475</t>
  </si>
  <si>
    <t>2025-05-08 08:33:00,5800,,5700,,5600,,5660,,,,,5750,5600,5630,5620</t>
  </si>
  <si>
    <t>2025-05-08 08:33:00,20100,,20350,,19475,,20100,,,,,20200,19600,19500,19400</t>
  </si>
  <si>
    <t>2025-05-08 08:33:00,1622437220.13279,511766726.604534,3362.57499539934,-2443,12134.3810332935,8807.26,173.038474174642,1366.86</t>
  </si>
  <si>
    <t>2025-05-08 08:33:00,1675438497.59936,116301508.241625,-2389.97533124186,-4116,1766.73256056573,-3572.86,-55.4084707110102,-1114.61</t>
  </si>
  <si>
    <t>2025-05-08 08:33:00,26884059.6146801,434664.619231401,1790.65375291375,3345,13707.1107601398,26421.64,1.27303805306275,688.25</t>
  </si>
  <si>
    <t>2025-05-08 08:33:00,45656696.3624216,6971.49629983581,-10.2650517418328,-1,361.488725527294,777.64,0.0221256962029789,4.32</t>
  </si>
  <si>
    <t>2025-05-08 08:34:00,575,,570,,575,,563.5,565,,,,570,560,557,562</t>
  </si>
  <si>
    <t>2025-05-08 08:34:00,490,,490,,470,,487,,,,,490,480,482,475</t>
  </si>
  <si>
    <t>2025-05-08 08:34:00,5800,,,5600,5600,,5660,,,,,5750,5600,5630,5620</t>
  </si>
  <si>
    <t>2025-05-08 08:34:00,20100,,,,19475,,20100,,,,,20200,19600,19500,19400</t>
  </si>
  <si>
    <t>2025-05-08 08:34:00,1608385913.14122,608846801.437166,-11575.9943616024,-8341,-15460.7066867013,-11200.56,-119.792018876289,-2625.28</t>
  </si>
  <si>
    <t>2025-05-08 08:34:00,1650344061.12195,113196000.712051,-4642.36719298246,-2961,-5000.46052456141,1260.84,-212.032935070377,41.6800000000002</t>
  </si>
  <si>
    <t>2025-05-08 08:34:00,25848709.6459652,-47236.8051948721,-3408.47431623931,-2888,-39388.7950952991,-27452.03,-1.37781938504942,-667.04</t>
  </si>
  <si>
    <t>2025-05-08 08:34:00,44809693.8941973,-1211.26050987533,-59.3495149370149,-52,-2148.10975698588,-1156.32,-0.0072001401175055,-7.75</t>
  </si>
  <si>
    <t>2025-05-08 08:35:00,575,,570,,575,,563.5,,,,,570,560,557,562</t>
  </si>
  <si>
    <t>2025-05-08 08:35:00,490,,490,,470,,487,,,,,490,480,482,475</t>
  </si>
  <si>
    <t>2025-05-08 08:35:00,5800,,5700,,5600,,5660,,,,,5750,5600,5630,5620</t>
  </si>
  <si>
    <t>2025-05-08 08:35:00,20100,,,,19475,,20050,,,,,20200,19600,19500,19400</t>
  </si>
  <si>
    <t>2025-05-08 08:35:00,1695707914.29552,738194447.241945,-9976.98128464674,-3059,-11657.978565246,-3886.79,176.491446259649,-827.94</t>
  </si>
  <si>
    <t>2025-05-08 08:35:00,1663947801.2113,141806970.78976,-17407.3848663349,-6801,-22126.7698463849,-8150.18,-176.12662876603,-2015.93</t>
  </si>
  <si>
    <t>2025-05-08 08:35:00,25931277.9919887,367617.228156995,-912.048201272413,-732,-27543.3178963177,-11879.64,-2.6654580914833,-261.83</t>
  </si>
  <si>
    <t>2025-05-08 08:35:00,45705451.3198045,7145.50291328911,54.1433940516248,65,1185.69354483907,182.76,0.075197576584964,0.389999999999999</t>
  </si>
  <si>
    <t>2025-05-08 08:36:00,575,,570,,575,,563.5,565,,,,570,560,557,562</t>
  </si>
  <si>
    <t>2025-05-08 08:36:00,490,,490,,490,,487,,488,,,490,480,482,475</t>
  </si>
  <si>
    <t>2025-05-08 08:36:00,5800,,5700,,5600,,5660,,,,,5750,5600,5630,5620</t>
  </si>
  <si>
    <t>2025-05-08 08:36:00,20100,,20200,,19475,,20050,,,,,20200,19600,19500,19400</t>
  </si>
  <si>
    <t>2025-05-08 08:36:00,1695867613.26833,854846689.369424,902.090906195262,-416,1274.19518060202,-1140.84,290.580043731192,-271.54</t>
  </si>
  <si>
    <t>2025-05-08 08:36:00,1678413030.55887,174020384.280125,-12179.3297979798,-11204,-16554.6121161616,-18084.11,-162.786775102535,-4077.97</t>
  </si>
  <si>
    <t>2025-05-08 08:36:00,27009708.8624726,1747177.76952702,-2311.12380952382,-1184,-34890.5183809525,-14924.8,0.559569931685355,-342.2</t>
  </si>
  <si>
    <t>2025-05-08 08:36:00,45882643.5697682,17069.889785135,-13.4012626262626,-45,-255.225355699856,-918.53,-0.0451680772916371,-7.72</t>
  </si>
  <si>
    <t>2025-05-08 08:37:00,575,,570,,575,,563.5,,,,,570,560,557,562</t>
  </si>
  <si>
    <t>2025-05-08 08:37:00,490,,490,,490,,487,,,,,490,480,482,475</t>
  </si>
  <si>
    <t>2025-05-08 08:37:00,5800,,5700,,5600,,5660,,,,,5750,5600,5630,5620</t>
  </si>
  <si>
    <t>2025-05-08 08:37:00,20100,,20200,,19475,,20050,,,,,20200,19600,19500,19400</t>
  </si>
  <si>
    <t>2025-05-08 08:37:00,1674370203.53701,935586132.673276,1567.04327339325,-752,2729.69094072587,104.95,161.170707803882,-164.42</t>
  </si>
  <si>
    <t>2025-05-08 08:37:00,1679481213.46197,207243859.167484,11.9463029563015,-433,-2316.98266201946,-2072.65,123.803440747831,-491.02</t>
  </si>
  <si>
    <t>2025-05-08 08:37:00,26883115.2842107,2250473.34872496,-828.870326340327,-1098,-5196.22409883453,-9955.79,-4.63806218935894,-276.64</t>
  </si>
  <si>
    <t>2025-05-08 08:37:00,45882357.0641338,18957.955836649,-17.3472614379085,-18,-241.534539990664,-564.69,-0.00683427481910665,-3.19</t>
  </si>
  <si>
    <t>2025-05-08 08:38:00,575,,570,,575,,563.5,565,,,,570,560,557,562</t>
  </si>
  <si>
    <t>2025-05-08 08:38:00,490,,490,,490,,487,,488,,,490,480,482,475</t>
  </si>
  <si>
    <t>2025-05-08 08:38:00,5800,,5700,,5600,,5660,,,,,5750,5600,5630,5620</t>
  </si>
  <si>
    <t>2025-05-08 08:38:00,20100,,20200,,19475,,20050,,,,,20200,19600,19500,19400</t>
  </si>
  <si>
    <t>2025-05-08 08:38:00,1684668054.42519,1010198916.44554,9335.10043290039,8852,15511.6100833332,13981.79,275.678662277642,3405.4</t>
  </si>
  <si>
    <t>2025-05-08 08:38:00,1682594832.56932,258019496.341369,2964.66640187298,488,4139.33077147997,-665.68,-70.7403457130284,-12.6699999999999</t>
  </si>
  <si>
    <t>2025-05-08 08:38:00,27283421.3904698,2323435.03272307,565.783222888222,903,19525.4508653957,24260.62,-1.55371734724844,394.42</t>
  </si>
  <si>
    <t>2025-05-08 08:38:00,45987990.652279,20948.6266405839,-30.7215049048315,-39,-761.610312844467,-1336.68,0.0122083450672051,-7.99</t>
  </si>
  <si>
    <t>2025-05-08 08:39:00,575,,570,,575,,563.5,,,,564,570,550,557,562</t>
  </si>
  <si>
    <t>2025-05-08 08:39:00,490,,490,,490,,487,,,,,490,480,482,475</t>
  </si>
  <si>
    <t>2025-05-08 08:39:00,5800,,5700,,5600,,5660,,,,,5750,5600,5630,5620</t>
  </si>
  <si>
    <t>2025-05-08 08:39:00,20100,,20250,,19475,,20050,,,,,20200,19300,19500,19400</t>
  </si>
  <si>
    <t>2025-05-08 08:39:00,1506484275.18005,1005695976.89594,292.994119769088,-1647,-731.612822871641,-5382.98,160.893785802327,-910.72</t>
  </si>
  <si>
    <t>2025-05-08 08:39:00,1634077162.5704,250735179.033427,-586.196386946385,-3045,-316.284908702405,-4423.2,-51.2624117129058,-949.19</t>
  </si>
  <si>
    <t>2025-05-08 08:39:00,24482628.1044065,16789.2696825138,-429.203830613833,387,7533.122597669,18676.52,-1.18758014461462,93.67</t>
  </si>
  <si>
    <t>2025-05-08 08:39:00,45021167.000669,11082.4933742601,-86.2509503587089,-82,-982.383655849259,-706.74,-0.00913721577221815,-3.88</t>
  </si>
  <si>
    <t>2025-05-08 08:40:00,575,,570,,575,,563.5,,,564,,570,550,557,562</t>
  </si>
  <si>
    <t>2025-05-08 08:40:00,490,,490,,470,,487,,,,487,490,480,482,475</t>
  </si>
  <si>
    <t>2025-05-08 08:40:00,5800,,5700,,5600,,5660,,,,,5750,5600,5630,5620</t>
  </si>
  <si>
    <t>2025-05-08 08:40:00,20100,,20350,,19475,,20050,,,,,20200,19600,19500,19400</t>
  </si>
  <si>
    <t>2025-05-08 08:40:00,1470809753.55566,947170431.977829,-6984.33472116121,-2232,-3751.61444767002,2002.05,-174.51616813917,359.86</t>
  </si>
  <si>
    <t>2025-05-08 08:40:00,1598957834.58234,224321655.10242,-1725.17002715817,381,-2596.06975577112,-1219.92,270.547481312986,-129.59</t>
  </si>
  <si>
    <t>2025-05-08 08:40:00,23595726.0426297,-1225667.63883196,-2148.41067200771,-30,-36109.2440587349,-9834.36,2.22742029514489,-178.04</t>
  </si>
  <si>
    <t>2025-05-08 08:40:00,44439871.4629288,12507.9086911885,58.4140317722184,61,1063.2184486704,1411.09,0.0124179291476581,9.58</t>
  </si>
  <si>
    <t>2025-05-08 08:41:00,575,,570,,575,,563.5,,,,,570,550,557,562</t>
  </si>
  <si>
    <t>2025-05-08 08:41:00,490,,490,,470,,487,,488,,,490,480,482,475</t>
  </si>
  <si>
    <t>2025-05-08 08:41:00,5800,,5700,,5600,,5660,,,,,5750,5600,5630,5620</t>
  </si>
  <si>
    <t>2025-05-08 08:41:00,20100,,20250,,19475,,20050,,,,,20200,19600,19500,19400</t>
  </si>
  <si>
    <t>2025-05-08 08:41:00,1644313939.34219,1021873120.04914,-25084.9741087344,-12705,-32519.6384692513,-17118.13,-49.3797966563824,-4287.11</t>
  </si>
  <si>
    <t>2025-05-08 08:41:00,1658962839.97589,254279549.497241,-12219.731447311,-7272,-20421.9450037416,-12016.61,-92.0230564995273,-2792.89</t>
  </si>
  <si>
    <t>2025-05-08 08:41:00,25931432.5464187,2182400.35483724,-4681.86785714286,-3131,-85071.1740833334,-46699.64,-6.47455293197329,-981.58</t>
  </si>
  <si>
    <t>2025-05-08 08:41:00,45400326.1991018,24180.9666639894,-9.0850816993464,-21,-91.1478131482894,-778.09,0.0182787888479717,-4.34</t>
  </si>
  <si>
    <t>2025-05-08 08:42:00,575,,570,,575,,563.5,,,,,570,550,557,562</t>
  </si>
  <si>
    <t>2025-05-08 08:42:00,490,,490,,490,,487,488,,,,490,480,482,475</t>
  </si>
  <si>
    <t>2025-05-08 08:42:00,5800,,5700,,5600,,5660,,,,,5800,5530,5630,5620</t>
  </si>
  <si>
    <t>2025-05-08 08:42:00,20100,,20250,,19475,,20050,,,,,20200,19600,19500,19400</t>
  </si>
  <si>
    <t>2025-05-08 08:42:00,1707085032.99603,1138389026.05001,675.568094478647,1728,-2115.69031043512,-3065.04,189.560696536869,-493.66</t>
  </si>
  <si>
    <t>2025-05-08 08:42:00,1684176006.92178,275605763.018551,483.968058533105,1524,1644.50129153259,1820.68,121.098458916734,533</t>
  </si>
  <si>
    <t>2025-05-08 08:42:00,26818137.1891351,3494270.41116676,4311.17737373737,11420,-7961.72806464643,-4006.45,-2.63438112097477,68.13</t>
  </si>
  <si>
    <t>2025-05-08 08:42:00,45736844.7542604,21189.6132185325,-79.1844336219337,-56,-2334.36923629149,-1372.68,0.0183761299228221,-8.54</t>
  </si>
  <si>
    <t>2025-05-08 08:43:00,575,,570,,575,,563.5,,,,,570,560,557,562</t>
  </si>
  <si>
    <t>2025-05-08 08:43:00,490,,490,,470,,487,,,487,,490,480,482,475</t>
  </si>
  <si>
    <t>2025-05-08 08:43:00,5800,,5700,,5600,,5660,,,,,5800,5530,5630,5620</t>
  </si>
  <si>
    <t>2025-05-08 08:43:00,20100,,20250,,19475,,20050,,,,,20200,19600,19500,19400</t>
  </si>
  <si>
    <t>2025-05-08 08:43:00,1596681155.14627,1175173478.51234,-331.618253968294,-1930,-1446.50546825405,-4836.6,-9.21044857064833,-1236.53</t>
  </si>
  <si>
    <t>2025-05-08 08:43:00,1656461471.16417,304901807.67681,3467.86987179486,607,6760.07670512818,-948.64,-135.264842333751,-271.05</t>
  </si>
  <si>
    <t>2025-05-08 08:43:00,25932385.5603918,3229076.5484836,-0.489898989904404,-141,15211.4373383838,7282.52,2.24981622968814,133.32</t>
  </si>
  <si>
    <t>2025-05-08 08:43:00,45906587.9286684,16651.4536130898,28.3700332153722,27,1279.79410881915,1097.51,-0.00643113495567195,6.06</t>
  </si>
  <si>
    <t>2025-05-08 08:44:00,575,,570,,575,,563.5,,,,,570,560,557,562</t>
  </si>
  <si>
    <t>2025-05-08 08:44:00,490,,490,,490,,487,,,,,490,480,482,475</t>
  </si>
  <si>
    <t>2025-05-08 08:44:00,5800,,5700,,5600,,5660,,,,,5800,5530,5630,5620</t>
  </si>
  <si>
    <t>2025-05-08 08:44:00,20100,,20300,,19475,,20050,,,,,20200,19600,19500,19400</t>
  </si>
  <si>
    <t>2025-05-08 08:44:00,1690265568.49393,1267409452.54986,11532.7939393938,5107,21886.9942424239,5672.31,169.541073088014,1509.37</t>
  </si>
  <si>
    <t>2025-05-08 08:44:00,1673845076.76159,304930630.965965,1317.44128030522,773,3091.77731150391,382.93,6.29870511246559,128.76</t>
  </si>
  <si>
    <t>2025-05-08 08:44:00,26961835.09378,4901616.57869108,1070.04027777777,690,13131.3732916666,9617.09,1.37948850441841,264</t>
  </si>
  <si>
    <t>2025-05-08 08:44:00,45880772.3243793,21328.0570626732,7.85583333333334,5,241.520229761905,234.28,0.0139513010102228,1.75</t>
  </si>
  <si>
    <t>2025-05-08 08:45:00,575,,570,,575,,563.5,,,,,570,560,557,562</t>
  </si>
  <si>
    <t>2025-05-08 08:45:00,490,,490,,470,,487,,,,,490,480,482,475</t>
  </si>
  <si>
    <t>2025-05-08 08:45:00,5800,,5700,,5600,,5660,,,,,5800,5530,5630,5620</t>
  </si>
  <si>
    <t>2025-05-08 08:45:00,20100,,20300,,19475,,20050,,,,,20200,19300,19500,19400</t>
  </si>
  <si>
    <t>2025-05-08 08:45:00,1670357400.72923,1321570151.38884,1062.89835442336,-406,2917.22053909982,1783.91,-43.9611815302873,366.27</t>
  </si>
  <si>
    <t>2025-05-08 08:45:00,1672793921.85408,312526015.66987,-22.0251424014671,1609,-655.233453178418,-390.1,-0.28919190797968,-96.4</t>
  </si>
  <si>
    <t>2025-05-08 08:45:00,26502082.7649947,4746378.93575359,729.541818181819,301,8045.21405454546,3188.64,-0.736184379722741,71.26</t>
  </si>
  <si>
    <t>2025-05-08 08:45:00,45932664.6981039,17038.5711801415,-8.27385307346327,-6,-98.7682576461771,27.05,0.00689581826071417,0.27</t>
  </si>
  <si>
    <t>2025-05-08 08:46:00,575,,570,,575,,563.5,,,,,570,560,557,562</t>
  </si>
  <si>
    <t>2025-05-08 08:46:00,490,,490,,490,,487,,,,,490,480,482,475</t>
  </si>
  <si>
    <t>2025-05-08 08:46:00,5800,,5700,,5600,,5660,,,,,5800,5530,5630,5620</t>
  </si>
  <si>
    <t>2025-05-08 08:46:00,20100,,20250,,19475,,20050,,,,,20200,19300,19500,19400</t>
  </si>
  <si>
    <t>2025-05-08 08:46:00,1591846720.24635,1291173412.24728,4633.20277777779,3830,8755.09216666669,8644.31,-144.029953395331,1781.61</t>
  </si>
  <si>
    <t>2025-05-08 08:46:00,1645073662.23857,294537406.939853,-413.528083028086,178,-1397.49263431014,-874.7,126.957302191057,-116.91</t>
  </si>
  <si>
    <t>2025-05-08 08:46:00,25312881.5370396,3288715.86487316,-220.514542483659,-510,-796.139004901932,234.22,-1.08396397940687,-24.06</t>
  </si>
  <si>
    <t>2025-05-08 08:46:00,45778461.005603,13372.9164172219,-12.274912940478,-12,-185.696717530303,-120.5,0.0169908232975312,-0.96</t>
  </si>
  <si>
    <t>2025-05-08 08:47:00,575,,570,,575,,563.5,,,,,570,560,557,562</t>
  </si>
  <si>
    <t>2025-05-08 08:47:00,490,,490,,470,,487,,,,,490,480,482,475</t>
  </si>
  <si>
    <t>2025-05-08 08:47:00,5800,,5700,,5600,,5660,,,,,5800,5530,5630,5620</t>
  </si>
  <si>
    <t>2025-05-08 08:47:00,20100,,20250,,19475,,20050,,,,,20200,19300,19500,19400</t>
  </si>
  <si>
    <t>2025-05-08 08:47:00,1506393165.18461,1258021105.02346,2032.3765512265,304,6370.0902142856,3718.32,-5.30258243510907,649.27</t>
  </si>
  <si>
    <t>2025-05-08 08:47:00,1637405170.03078,290280559.464487,1334.8101367389,-362,2816.60750103198,-326.38,-3.25507505348072,-114.29</t>
  </si>
  <si>
    <t>2025-05-08 08:47:00,25293119.5743756,3471241.82386226,414.302777777779,508,1876.62080555558,2616.14,-0.0430285801770718,68.21</t>
  </si>
  <si>
    <t>2025-05-08 08:47:00,46267879.9181442,18052.4446360487,4.86681318681318,17,242.874773626373,381.56,-0.00431556345270063,2.72</t>
  </si>
  <si>
    <t>2025-05-08 08:48:00,575,,570,,575,,563.5,,,,,570,560,557,562</t>
  </si>
  <si>
    <t>2025-05-08 08:48:00,490,,490,,470,,487,,,,,490,480,482,475</t>
  </si>
  <si>
    <t>2025-05-08 08:48:00,5800,,5700,,5600,,5660,,,,,5800,5530,5530,5620</t>
  </si>
  <si>
    <t>2025-05-08 08:48:00,20100,,20300,,19475,,20050,,,,,20200,19300,19500,19400</t>
  </si>
  <si>
    <t>2025-05-08 08:48:00,1476755444.2425,1270746752.31465,12051.5835858586,7714,15160.0412752526,8152.24,223.79535863609,2131.26</t>
  </si>
  <si>
    <t>2025-05-08 08:48:00,1604825843.28453,264711244.177442,3541.4237179488,843,3293.34010256426,1188.57,26.7913249983801,371.71</t>
  </si>
  <si>
    <t>2025-05-08 08:48:00,24339363.5446047,1069871.21478473,437.781666666671,1046,-8111.88403888894,-11920.98,-2.30636962168496,103.31</t>
  </si>
  <si>
    <t>2025-05-08 08:48:00,45416207.6550628,6625.19448057325,7.57578282828284,20,884.936756024533,956.68,-0.00247576191335465,5.69</t>
  </si>
  <si>
    <t>2025-05-08 08:49:00,,,570,,575,,563.5,,,564,,570,560,557,562</t>
  </si>
  <si>
    <t>2025-05-08 08:49:00,490,,490,,470,,487,,,,,490,480,482,475</t>
  </si>
  <si>
    <t>2025-05-08 08:49:00,5800,,5700,,5600,,5660,,,,,5800,5530,5530,5620</t>
  </si>
  <si>
    <t>2025-05-08 08:49:00,20100,,,19800,19475,,20050,,,,,20200,19600,19500,19400</t>
  </si>
  <si>
    <t>2025-05-08 08:49:00,1357946186.89651,1181470984.91424,-7.46825396825722,4262,926.166833333323,11546.67,146.669618491099,2251.66</t>
  </si>
  <si>
    <t>2025-05-08 08:49:00,1532470753.00679,180892096.292083,-6431.75636363657,2719,-20791.1654969703,5533.95,11.5282879118443,1180.04</t>
  </si>
  <si>
    <t>2025-05-08 08:49:00,22198087.5721239,-2204530.47287317,653.173023715412,660,10586.6358231225,7730.94,0.652351751713509,202.7</t>
  </si>
  <si>
    <t>2025-05-08 08:49:00,44096564.6091606,-12654.5915958534,42.3462151437152,61,971.399681241958,1703.18,-0.0323313747131691,11.56</t>
  </si>
  <si>
    <t>2025-05-08 08:50:00,,,570,,575,,563.5,,,,564,570,560,557,562</t>
  </si>
  <si>
    <t>2025-05-08 08:50:00,490,,490,,470,,487,,,,,490,480,482,475</t>
  </si>
  <si>
    <t>2025-05-08 08:50:00,5800,,5700,,5600,,5660,,,,,5800,5530,5630,5620</t>
  </si>
  <si>
    <t>2025-05-08 08:50:00,20100,,,19800,19475,,20050,,,,,20200,19600,19500,19400</t>
  </si>
  <si>
    <t>2025-05-08 08:50:00,1269635674.27736,1006172966.23574,-250.164627039625,-251,-2498.9284852647,-2345.09,190.228143990603,-298.47</t>
  </si>
  <si>
    <t>2025-05-08 08:50:00,1508797738.96304,125105806.578955,-1496.03598085351,-2440,2209.46426819644,-2354.59,231.697645341912,-311.78</t>
  </si>
  <si>
    <t>2025-05-08 08:50:00,21548851.9632372,-3316979.42021563,-533.177500000015,-735,-9514.40397500028,-6350.97,-4.95077192646073,-173.39</t>
  </si>
  <si>
    <t>2025-05-08 08:50:00,43730849.0246162,-11553.7844751287,-50.2043210821437,-60,-2334.57165975109,-1547.67,-0.00360361697912783,-10.21</t>
  </si>
  <si>
    <t>2025-05-08 08:51:00,,,570,,575,,563.5,,,,,570,560,557,562</t>
  </si>
  <si>
    <t>2025-05-08 08:51:00,490,,490,,470,,487,,487,,,490,480,482,475</t>
  </si>
  <si>
    <t>2025-05-08 08:51:00,5800,,5700,,5600,,5660,,,,,5800,5530,5630,5620</t>
  </si>
  <si>
    <t>2025-05-08 08:51:00,20100,,,19800,19475,,20050,,,,,20200,19600,19500,19400</t>
  </si>
  <si>
    <t>2025-05-08 08:51:00,1318033432.48417,1009565832.02479,-10968.5545454546,-3968,-24590.068878788,-6377.99,-247.438765699598,-1292.56</t>
  </si>
  <si>
    <t>2025-05-08 08:51:00,1504064604.5213,95595052.723575,-12739.5044860368,-7288,-21638.664362448,-10256.51,1.43895208574334,-2296.42</t>
  </si>
  <si>
    <t>2025-05-08 08:51:00,22299158.9356091,-3048185.87948549,-1909.14126262626,-1615,-36249.5789883837,-21621.84,1.82235334309513,-510.4</t>
  </si>
  <si>
    <t>2025-05-08 08:51:00,43586207.7199735,-14727.0925525014,-33.7247619047619,-19,-954.529669047619,-525.43,0.0109109577068506,-3.55</t>
  </si>
  <si>
    <t>2025-05-08 08:52:00,575,,570,,575,,563.5,,,,,570,560,557,562</t>
  </si>
  <si>
    <t>2025-05-08 08:52:00,490,,490,,470,,487,,,,,490,480,482,475</t>
  </si>
  <si>
    <t>2025-05-08 08:52:00,5800,,5700,,5600,,5660,,,,,5800,5530,5630,5620</t>
  </si>
  <si>
    <t>2025-05-08 08:52:00,20100,,20300,,19475,,20050,,,,,20200,19600,19500,19400</t>
  </si>
  <si>
    <t>2025-05-08 08:52:00,1370831177.22221,1157901170.61129,6016.06564407817,7112,10509.7922702992,9229.19,192.974134676495,2111.27</t>
  </si>
  <si>
    <t>2025-05-08 08:52:00,1547273683.0467,192192442.171783,1993.83951973952,1401,4077.87728123728,4080.96,109.25251590052,855.4</t>
  </si>
  <si>
    <t>2025-05-08 08:52:00,22696133.4649936,1524583.42521889,2653.11987179487,2105,23440.4821816239,17554.7,3.94591932822461,405.16</t>
  </si>
  <si>
    <t>2025-05-08 08:52:00,44842821.3966287,2206.92796551664,15.5380158730159,11,279.526707142858,9.34999999999998,0.0138245629115285,0.62</t>
  </si>
  <si>
    <t>2025-05-08 08:53:00,,,570,,575,,563.5,,,,,570,560,557,562</t>
  </si>
  <si>
    <t>2025-05-08 08:53:00,490,,490,,470,,487,,,,,490,480,482,475</t>
  </si>
  <si>
    <t>2025-05-08 08:53:00,5800,,5700,,5600,,5660,,,,,5800,5530,5630,5620</t>
  </si>
  <si>
    <t>2025-05-08 08:53:00,20100,,20300,,19475,,20050,,,,,20200,19600,19500,19400</t>
  </si>
  <si>
    <t>2025-05-08 08:53:00,1289097924.97333,1076790457.85001,-8360.21028693527,-2857,-16710.075528083,-5917.93,-11.076148245441,-1320.9</t>
  </si>
  <si>
    <t>2025-05-08 08:53:00,1525208496.81354,195416484.567996,-12932.8142653642,-7785,-22933.1948083027,-12697.32,-48.5530272028874,-2898.39</t>
  </si>
  <si>
    <t>2025-05-08 08:53:00,21512671.1210057,51610.4987168784,-2911.32121212121,-3012,-34795.9993989898,-35796.45,-0.325602409021242,-840.56</t>
  </si>
  <si>
    <t>2025-05-08 08:53:00,44143345.8139885,97.6049670783208,-6.19603980986333,-8,176.954531431967,23.36,-0.0021348738467802,-0.17</t>
  </si>
  <si>
    <t>2025-05-08 08:54:00,,,570,,575,,563.5,,,,,570,560,557,562</t>
  </si>
  <si>
    <t>2025-05-08 08:54:00,490,,490,,470,,487,,,,,490,480,482,475</t>
  </si>
  <si>
    <t>2025-05-08 08:54:00,5800,,5700,,5600,,5660,,,,,5800,5530,5630,5620</t>
  </si>
  <si>
    <t>2025-05-08 08:54:00,20100,,20300,,19475,,20050,,,,,20200,19600,19500,19400</t>
  </si>
  <si>
    <t>2025-05-08 08:54:00,1288697320.1623,1048989473.26708,-541.330525030526,1592,-1586.13714590965,2427.9,26.9138670006261,487.21</t>
  </si>
  <si>
    <t>2025-05-08 08:54:00,1530659958.68351,170904443.494949,-886.016747468226,-833,-881.268028172822,-977.38,48.9134332031866,-226.5</t>
  </si>
  <si>
    <t>2025-05-08 08:54:00,22087207.285769,589605.431350423,716.999999999999,1220,1010.80166666664,1659.21,1.59481985328181,93.23</t>
  </si>
  <si>
    <t>2025-05-08 08:54:00,44562353.112036,6371.85530189576,13.212846893022,9,1113.81714019818,1142.11,0.00837855083597983,4.05</t>
  </si>
  <si>
    <t>2025-05-08 08:55:00,,,570,,575,,563.5,,,,,570,560,557,562</t>
  </si>
  <si>
    <t>2025-05-08 08:55:00,490,,490,,470,,487,,,,,490,480,482,475</t>
  </si>
  <si>
    <t>2025-05-08 08:55:00,5800,,5700,,5600,,5660,,,,,5800,5530,5630,5620</t>
  </si>
  <si>
    <t>2025-05-08 08:55:00,20100,,,,19475,,20050,,,,,20200,19600,19500,19400</t>
  </si>
  <si>
    <t>2025-05-08 08:55:00,1260256237.70651,1021395183.74333,6550.87202380952,5832,7624.91520833333,7116.92,-178.753820709715,1827.21</t>
  </si>
  <si>
    <t>2025-05-08 08:55:00,1508582500.88069,149801928.250978,3136.97243589743,3087,4343.21634615383,4607.98,0.304744929428475,1107.62</t>
  </si>
  <si>
    <t>2025-05-08 08:55:00,21819173.0899163,2168507.54520086,922.384444444444,-758,10807.9411444444,9951.83,-3.28886930932422,153.57</t>
  </si>
  <si>
    <t>2025-05-08 08:55:00,44254088.6330712,-2310.48516459561,-12.1058636558636,-18,206.387912600913,51.9600000000001,0.0472524438364542,-0.2</t>
  </si>
  <si>
    <t>2025-05-08 08:56:00,575,,570,,575,,563.5,,,,,570,560,557,562</t>
  </si>
  <si>
    <t>2025-05-08 08:56:00,490,,490,,470,,487,,,,,490,480,482,475</t>
  </si>
  <si>
    <t>2025-05-08 08:56:00,5800,,5700,,5600,,5660,,,,,5800,5530,5630,5620</t>
  </si>
  <si>
    <t>2025-05-08 08:56:00,20100,,20300,,19475,,20050,,,,,20200,19600,19500,19400</t>
  </si>
  <si>
    <t>2025-05-08 08:56:00,1502093952.11933,1323030831.05014,-11776.7952035886,-5056,-19737.3154786057,-9007.92,-206.64761768713,-2072.47</t>
  </si>
  <si>
    <t>2025-05-08 08:56:00,1604846227.27809,262947802.018548,-2793.61211469533,-1625,-3695.21876702506,-2082.06,-6.85847290714133,-522.49</t>
  </si>
  <si>
    <t>2025-05-08 08:56:00,24088090.4736087,7688858.54559333,-2283.75439814815,-1506,34757.6935671292,20324.94,-2.93863651783569,-256.57</t>
  </si>
  <si>
    <t>2025-05-08 08:56:00,45295695.829779,14304.8701203673,-17.9242812742813,-16,-643.955009712509,-754.68,-0.00731862456053776,-3.98</t>
  </si>
  <si>
    <t>2025-05-08 08:57:00,575,,570,,575,,563.5,,,,,570,560,557,562</t>
  </si>
  <si>
    <t>2025-05-08 08:57:00,490,,490,,470,,487,487,,,,490,480,482,475</t>
  </si>
  <si>
    <t>2025-05-08 08:57:00,5800,,5700,,5600,,5660,,5670,,,5800,5530,5630,5620</t>
  </si>
  <si>
    <t>2025-05-08 08:57:00,20100,,20350,,19475,,20050,,,,,20200,19600,19500,19400</t>
  </si>
  <si>
    <t>2025-05-08 08:57:00,1530739836.883,1517646584.22387,15750.3191336441,4020,29665.1136209623,11827.47,396.867424978076,2633.89</t>
  </si>
  <si>
    <t>2025-05-08 08:57:00,1615076587.02353,300837014.655968,-2334.12471814922,-3206,-3027.20511019872,-5572.73,-8.69792882885519,-1379.58</t>
  </si>
  <si>
    <t>2025-05-08 08:57:00,24940191.5317545,10408680.5415101,-1461.99936170213,-1677,-4558.90745815618,-22311.95,-7.67452120575503,-568.35</t>
  </si>
  <si>
    <t>2025-05-08 08:57:00,45044904.5787643,31218.5873973921,-17.7013419913419,-58,-219.958395670994,-1195.08,-0.0468125007068614,-8.51</t>
  </si>
  <si>
    <t>2025-05-08 08:58:00,575,,570,,575,,563.5,,565,,,570,560,557,562</t>
  </si>
  <si>
    <t>2025-05-08 08:58:00,490,,490,,470,,487,,,,,490,480,482,475</t>
  </si>
  <si>
    <t>2025-05-08 08:58:00,5800,,5700,,5600,,5660,,,,,5800,5530,5630,5620</t>
  </si>
  <si>
    <t>2025-05-08 08:58:00,20100,,20350,,19475,,20050,,,,,20200,19600,19500,19400</t>
  </si>
  <si>
    <t>2025-05-08 08:58:00,1541265539.5075,1641773191.32391,-460.121428571421,-4359,-3581.03426190474,-7944.11,-308.80051428464,-1968.5</t>
  </si>
  <si>
    <t>2025-05-08 08:58:00,1615620891.85984,310232373.362707,6519.14962524499,2342,12440.8797416707,4045.86,-106.428050943424,811.52</t>
  </si>
  <si>
    <t>2025-05-08 08:58:00,25358895.9786569,12982944.9151723,946.097027417027,605,11569.2500219336,6726.11,1.11025570101715,154.98</t>
  </si>
  <si>
    <t>2025-05-08 08:58:00,45320228.7485711,36507.5037931951,19.2041125541126,26,1216.81874134199,1491.21,0.004834374567006,8.72</t>
  </si>
  <si>
    <t>2025-05-08 08:59:00,575,,565,,575,,563.5,,,,,570,560,557,562</t>
  </si>
  <si>
    <t>2025-05-08 08:59:00,490,,490,,470,,487,,,,,490,480,482,475</t>
  </si>
  <si>
    <t>2025-05-08 08:59:00,5800,,5700,,5600,,5660,,,,,5800,5530,5630,5620</t>
  </si>
  <si>
    <t>2025-05-08 08:59:00,20100,,20350,,19475,,20050,,,,,20200,19600,19500,19400</t>
  </si>
  <si>
    <t>2025-05-08 08:59:00,1372259408.45405,1488473674.2328,7345.7632756133,8490,14666.5482914863,15783.72,86.5011529191338,3606.42</t>
  </si>
  <si>
    <t>2025-05-08 08:59:00,1543166381.31404,244667215.436179,-2014.68621994864,414,-1329.81911975919,1079.45,130.297592749755,312.07</t>
  </si>
  <si>
    <t>2025-05-08 08:59:00,23408159.9657171,9042190.39263925,-2064.93333333333,-1633,-24436.4946666666,-13958.61,4.90139526487294,-310.95</t>
  </si>
  <si>
    <t>2025-05-08 08:59:00,44284685.3589775,15609.3540701767,-100.49012605042,-86,-723.353803081233,-1019.71,0.0265547460621496,-7.18</t>
  </si>
  <si>
    <t>2025-05-08 09:00:00,575,,565,,575,,563.5,,,,,570,560,557,562</t>
  </si>
  <si>
    <t>2025-05-08 09:00:00,490,,490,,470,,487,,,,,490,480,482,475</t>
  </si>
  <si>
    <t>2025-05-08 09:00:00,5800,,5700,,5600,,5660,,,,,5800,5530,5630,5620</t>
  </si>
  <si>
    <t>2025-05-08 09:00:00,20100,,20350,,19475,,20050,,,,,20200,19600,19500,19400</t>
  </si>
  <si>
    <t>2025-05-08 09:00:00,1330542855.86518,1467852951.97669,11266.1631953147,6016,15513.1269849849,3595.17,-4.88253459480813,1013.88</t>
  </si>
  <si>
    <t>2025-05-08 09:00:00,1538301307.87451,264523093.476106,707.23160173161,243,13.1821861472057,-1533.58,-3.45850300660607,-307.68</t>
  </si>
  <si>
    <t>2025-05-08 09:00:00,22944165.4794553,8916386.15378894,802.069047619047,698,6290.50007142858,3678.43,-1.40184331537048,100.02</t>
  </si>
  <si>
    <t>2025-05-08 09:00:00,44489874.073134,19646.4736205333,23.1022727272728,18,1527.31218939394,1334.89,0.011692669792415,7.25</t>
  </si>
  <si>
    <t>2025-05-08 09:01:00,575,,565,,575,,563.5,,,,,570,560,557,562</t>
  </si>
  <si>
    <t>2025-05-08 09:01:00,490,,490,,470,,487,,,,,490,480,482,475</t>
  </si>
  <si>
    <t>2025-05-08 09:01:00,5800,,5700,,5600,,5660,,,,,5800,5530,5630,5620</t>
  </si>
  <si>
    <t>2025-05-08 09:01:00,20100,,20350,,19475,,20050,,,,,20200,19600,19500,19400</t>
  </si>
  <si>
    <t>2025-05-08 09:01:00,1493358036.05269,1783651957.45843,177.458730158743,-5410,2507.57471428574,-4044.41,-158.453262230491,-1190.63</t>
  </si>
  <si>
    <t>2025-05-08 09:01:00,1595543888.65648,310144091.693113,1284.07702020202,2472,807.634583333336,1227.94,94.5963263193398,462.04</t>
  </si>
  <si>
    <t>2025-05-08 09:01:00,25071936.2954151,13614325.6208862,593.171739130435,481,8218.95590579709,6016.95,4.16669522388692,145.81</t>
  </si>
  <si>
    <t>2025-05-08 09:01:00,44597456.7175813,45343.560629694,-37.8579685592185,-91,-1106.03311755189,-2026.98,-0.0163621041298261,-12.33</t>
  </si>
  <si>
    <t>2025-05-08 09:02:00,575,,565,,575,,563.5,,565,,,570,560,557,562</t>
  </si>
  <si>
    <t>2025-05-08 09:02:00,490,,490,,490,,487,,,,,490,480,482,475</t>
  </si>
  <si>
    <t>2025-05-08 09:02:00,5800,,5700,,5600,,5660,,,,,5800,5530,5630,5620</t>
  </si>
  <si>
    <t>2025-05-08 09:02:00,20100,,20350,,19475,,20050,,,,,20200,19600,19500,19400</t>
  </si>
  <si>
    <t>2025-05-08 09:02:00,1586162902.28109,2145278893.41569,15801.6466810967,4766,29145.7774884562,6486.07,-56.499869649356,1285.85</t>
  </si>
  <si>
    <t>2025-05-08 09:02:00,1650066527.81358,412019203.988904,2212.51708437761,1990,5443.09514202171,5065.91,-39.0835737233622,1001.5</t>
  </si>
  <si>
    <t>2025-05-08 09:02:00,26076416.3216766,16537316.1599445,1939.8,1547,27349.8793333334,14677.79,0.48577285394717,366.31</t>
  </si>
  <si>
    <t>2025-05-08 09:02:00,45435636.7779753,62376.5986872368,28.7330397380397,12,998.359615001663,-133.82,-0.00591338471277972,-0.870000000000001</t>
  </si>
  <si>
    <t>2025-05-08 09:03:00,575,,565,,575,,563.5,,565,,,570,560,557,562</t>
  </si>
  <si>
    <t>2025-05-08 09:03:00,490,,490,,470,,487,,,,,490,480,482,475</t>
  </si>
  <si>
    <t>2025-05-08 09:03:00,5800,,5700,,5600,,5660,,,,,5800,5530,5630,5620</t>
  </si>
  <si>
    <t>2025-05-08 09:03:00,20100,,20350,,19475,,20050,,,,,20200,19600,19500,19400</t>
  </si>
  <si>
    <t>2025-05-08 09:03:00,1622980724.61853,2293116272.38851,-1908.38690476195,-2943,-7013.18509523821,-9087.78,-15.3185602325021,-2007.61</t>
  </si>
  <si>
    <t>2025-05-08 09:03:00,1660042768.35026,443734299.696214,817.384126984132,1139,972.745714285726,1186.63,-106.136454999121,299.15</t>
  </si>
  <si>
    <t>2025-05-08 09:03:00,26400636.0079516,17653316.8933246,561.328294573651,368,5918.42925193813,3077.9,0.0296480765702759,78.37</t>
  </si>
  <si>
    <t>2025-05-08 09:03:00,45842339.3332613,69599.21451536,-1.13638888888884,-1,762.072863888893,368.28,0.0277459849427301,1.44</t>
  </si>
  <si>
    <t>2025-05-08 09:04:00,575,,565,,575,,563.5,565,,,,570,560,557,562</t>
  </si>
  <si>
    <t>2025-05-08 09:04:00,490,,490,,490,,487,,,,,490,480,482,475</t>
  </si>
  <si>
    <t>2025-05-08 09:04:00,5800,,5700,,5600,,5660,,,,,5800,5530,5630,5620</t>
  </si>
  <si>
    <t>2025-05-08 09:04:00,20100,,20350,,19475,,20050,,,,,20200,19600,19500,19400</t>
  </si>
  <si>
    <t>2025-05-08 09:04:00,1610452210.65199,2319757467.42356,1977.94166666666,1649,3200.71516666664,3888.29,110.393414702509,863.12</t>
  </si>
  <si>
    <t>2025-05-08 09:04:00,1663537794.3312,448510197.946174,217.026695526699,-4,1428.08366089467,1432.34,23.9159284063698,219.92</t>
  </si>
  <si>
    <t>2025-05-08 09:04:00,26277515.1451552,18038286.3039166,251.937499999998,-429,3833.92837499999,-66.2000000000002,-1.29498589785462,-18.64</t>
  </si>
  <si>
    <t>2025-05-08 09:04:00,45957699.9331171,72658.4298024988,0.553445165945165,-15,-133.400766414141,-95.6,-0.011694565930474,-1</t>
  </si>
  <si>
    <t>2025-05-08 09:05:00,575,,565,,575,,563.5,,,,,570,560,557,562</t>
  </si>
  <si>
    <t>2025-05-08 09:05:00,490,,490,,470,,487,,,,,490,480,482,475</t>
  </si>
  <si>
    <t>2025-05-08 09:05:00,5800,,5700,,5600,,5660,,,,,5800,5530,5630,5620</t>
  </si>
  <si>
    <t>2025-05-08 09:05:00,20100,,20350,,19475,,20050,,,,,20200,19600,19500,19400</t>
  </si>
  <si>
    <t>2025-05-08 09:05:00,1502157054.44857,2334489255.28615,10490.0022893773,10820,18127.152239011,20097.27,276.446994136917,4639.5</t>
  </si>
  <si>
    <t>2025-05-08 09:05:00,1595863461.76796,400975744.584091,703.483261183258,1048,2670.44269696969,1367.55,3.12150616766636,441.94</t>
  </si>
  <si>
    <t>2025-05-08 09:05:00,24735447.4157509,15228653.6940321,569.411111111112,755,7121.6338888889,10334.79,2.5324032664023,261.03</t>
  </si>
  <si>
    <t>2025-05-08 09:05:00,45476443.7755072,59866.9584105105,9.95458874458878,7,549.885987878791,208.47,0.00330025521845176,1.42</t>
  </si>
  <si>
    <t>2025-05-08 09:06:00,575,,565,,575,,563.5,,,,,570,560,557,562</t>
  </si>
  <si>
    <t>2025-05-08 09:06:00,490,,490,,470,,487,,,,,490,480,482,475</t>
  </si>
  <si>
    <t>2025-05-08 09:06:00,5800,,5700,,5600,,5660,,,,,5800,5530,5630,5620</t>
  </si>
  <si>
    <t>2025-05-08 09:06:00,20100,,20350,,19475,,20050,,,,,20200,19600,19500,19400</t>
  </si>
  <si>
    <t>2025-05-08 09:06:00,1456813290.08238,2330529700.22193,2604.63048340545,-331,5095.15784235201,-200.860000000001,-94.948167342338,-87.0200000000001</t>
  </si>
  <si>
    <t>2025-05-08 09:06:00,1587953735.12874,404111258.454301,5091.89857142858,4981,8175.82157142858,6501.64,-37.5866279545067,1593.92</t>
  </si>
  <si>
    <t>2025-05-08 09:06:00,24173561.3866793,13970251.7385969,876.713888888887,1308,13371.5488055556,19414.09,1.35944460877712,340.36</t>
  </si>
  <si>
    <t>2025-05-08 09:06:00,44934559.5976442,51104.5283475408,15.0783120020076,36,277.107888430893,1141.69,0.00182825666185145,7.43</t>
  </si>
  <si>
    <t>2025-05-08 09:07:00,,,565,,575,,563.5,,,,,570,560,557,562</t>
  </si>
  <si>
    <t>2025-05-08 09:07:00,490,,490,,470,,487,,,,,490,480,482,475</t>
  </si>
  <si>
    <t>2025-05-08 09:07:00,5800,,5700,,5600,,5660,,,,,5800,5530,5630,5620</t>
  </si>
  <si>
    <t>2025-05-08 09:07:00,20100,,20350,,19475,,20050,,,,,20200,19600,19500,19400</t>
  </si>
  <si>
    <t>2025-05-08 09:07:00,1301020290.7268,2082418727.68664,-2511.02500000004,377,-10485.7577500001,-8141.34,258.303315929487,-1426.3</t>
  </si>
  <si>
    <t>2025-05-08 09:07:00,1539502139.52939,364436157.081644,-1911.8351981352,-1367,-2179.08077505828,-2365.51,-15.9760390098395,-546.71</t>
  </si>
  <si>
    <t>2025-05-08 09:07:00,22877172.9042442,10098892.1527625,1051.16538461539,1638,4285.09925641025,17708.51,-1.35507618030215,387.33</t>
  </si>
  <si>
    <t>2025-05-08 09:07:00,44505109.6720989,35631.1681804964,-26.6061832611832,17,-424.600679978353,-189.13,0.00421979823517346,-0.93</t>
  </si>
  <si>
    <t>2025-05-08 09:08:00,,,565,,575,,563.5,,,563,,570,560,557,562</t>
  </si>
  <si>
    <t>2025-05-08 09:08:00,490,,490,,470,,487,,,,,490,480,482,475</t>
  </si>
  <si>
    <t>2025-05-08 09:08:00,5800,,5700,,5600,,5660,,,,,5800,5530,5630,5550</t>
  </si>
  <si>
    <t>2025-05-08 09:08:00,20100,,20200,,19475,,20000,,,,,20200,19600,19500,19400</t>
  </si>
  <si>
    <t>2025-05-08 09:08:00,1044566205.09055,1751897767.72984,,1889,,2280.73,7.02632473080546,265.5</t>
  </si>
  <si>
    <t>2025-05-08 09:08:00,1423542607.67363,180526771.28071,3402.310862674,-1416,8591.0988120838,-106.07,-137.760469835833,-197.64</t>
  </si>
  <si>
    <t>2025-05-08 09:08:00,19787190.1793562,2871932.72173795,1927.75,1937,54432.9340757574,31990.58,4.74302990478208,662.54</t>
  </si>
  <si>
    <t>2025-05-08 09:08:00,43359156.1303369,7701.56373256575,70.1337845487845,41,3242.50807108447,1009.56,-0.0251469667671614,6.9</t>
  </si>
  <si>
    <t>2025-05-08 09:09:00,,,565,,575,,563.5,,,563,,570,560,557,562</t>
  </si>
  <si>
    <t>2025-05-08 09:09:00,490,,490,,470,,487,,,486,,490,480,482,475</t>
  </si>
  <si>
    <t>2025-05-08 09:09:00,5800,,5700,,5600,,5660,,,5650,,5700,5530,5630,5550</t>
  </si>
  <si>
    <t>2025-05-08 09:09:00,20100,,,,19475,,20050,,,,,20200,19600,19500,19400</t>
  </si>
  <si>
    <t>2025-05-08 09:09:00,1097364779.96334,1766717013.16208,-18872.4783999153,-8778,-37579.5321757396,-15185.48,-486.760321429441,-3243.38</t>
  </si>
  <si>
    <t>2025-05-08 09:09:00,1441609844.62772,191340138.702259,-4893.52959585346,-3053,-4464.82013437947,-1553.43,-246.238222277243,-517.82</t>
  </si>
  <si>
    <t>2025-05-08 09:09:00,19595099.8117168,1726748.83870541,-5708.21219891221,-1688,-54969.7835384616,3361.53,-4.58387267636093,-54.68</t>
  </si>
  <si>
    <t>2025-05-08 09:09:00,43005229.5709663,3208.87931529974,4.26967476967477,-3,-46.9869164169165,-80.32,-0.0128727140275907,-0.44</t>
  </si>
  <si>
    <t>2025-05-08 09:10:00,,,565,,575,,563.5,,,,,570,560,557,562</t>
  </si>
  <si>
    <t>2025-05-08 09:10:00,490,,490,,470,,487,,,486,,490,480,482,475</t>
  </si>
  <si>
    <t>2025-05-08 09:10:00,5800,,5700,,5600,,5660,,,,,5700,5530,5630,5550</t>
  </si>
  <si>
    <t>2025-05-08 09:10:00,20100,,20200,,19475,,20000,,,,,20200,19600,19500,19400</t>
  </si>
  <si>
    <t>2025-05-08 09:10:00,1037522757.71537,1569600500.68893,-18212.9583392061,-13142,-43259.0633609688,-26960.74,262.725468192968,-5889.42</t>
  </si>
  <si>
    <t>2025-05-08 09:10:00,1442884000.39844,187816764.517459,29.8983532807014,1697,1526.98181839401,4220.44,-209.513606423762,792.92</t>
  </si>
  <si>
    <t>2025-05-08 09:10:00,19702406.4095096,2205197.6735895,2136.5605011655,1315,20808.6506023309,11383.35,0.0209465916326783,291.13</t>
  </si>
  <si>
    <t>2025-05-08 09:10:00,43240978.0204947,8648.95035268391,15.3105952380952,12,577.813801190476,322.21,-0.00217847566191033,2.03</t>
  </si>
  <si>
    <t>2025-05-08 09:11:00,,,565,,575,,563.5,,,,563,570,560,557,562</t>
  </si>
  <si>
    <t>2025-05-08 09:11:00,490,,490,,470,,487,,,,,490,480,482,475</t>
  </si>
  <si>
    <t>2025-05-08 09:11:00,5800,,5700,,5600,,5660,,,,,5700,5530,5630,5550</t>
  </si>
  <si>
    <t>2025-05-08 09:11:00,20100,,20200,,19475,,20050,,,,,20200,19600,19500,19400</t>
  </si>
  <si>
    <t>2025-05-08 09:11:00,1038083491.55359,1511815617.2287,14048.6848484848,4825,25627.5248636363,7543.31,36.980887824251,1598.23</t>
  </si>
  <si>
    <t>2025-05-08 09:11:00,1459966569.0605,193921250.589557,4281.20238095238,2997,7056.81792857143,4504.13,-25.746734678026,1016.95</t>
  </si>
  <si>
    <t>2025-05-08 09:11:00,19635406.2954029,2134978.85132948,1191.58571428572,961,10480.2392023811,-1268.86,1.19445800027312,158.63</t>
  </si>
  <si>
    <t>2025-05-08 09:11:00,43550462.7912601,13717.8311552761,5.06768337007434,3,1119.04945587171,1007.31,0.00963644731568962,3.54</t>
  </si>
  <si>
    <t>2025-05-08 09:12:00,,,565,,575,,563.5,,,,,570,560,557,562</t>
  </si>
  <si>
    <t>2025-05-08 09:12:00,490,,490,,470,,487,,,485,,490,480,481,475</t>
  </si>
  <si>
    <t>2025-05-08 09:12:00,5650,,5700,,5600,,5660,,,5650,,5700,5530,5630,5550</t>
  </si>
  <si>
    <t>2025-05-08 09:12:00,20100,,,19800,19475,,20000,,,,,20200,19600,19500,19400</t>
  </si>
  <si>
    <t>2025-05-08 09:12:00,717311899.013545,1023128648.54845,30617.8498826029,9092,61937.048296993,28177.91,-1033.5705620665,5121.31</t>
  </si>
  <si>
    <t>2025-05-08 09:12:00,1309346655.41297,-1482655.86417511,-276.874738986531,-2152,-2287.72408759874,-2379.98,-117.852447559132,-557.200000000001</t>
  </si>
  <si>
    <t>2025-05-08 09:12:00,15696297.8929448,-8451635.60726709,-519.725436042422,-352,41146.0088781982,7596.94,-1.51244509138864,171.22</t>
  </si>
  <si>
    <t>2025-05-08 09:12:00,41803639.4002674,-24187.974505392,53.2945159332253,55,2306.40898173555,1038.43,-0.0354297757546785,7.28</t>
  </si>
  <si>
    <t>2025-05-08 09:13:00,,,565,,575,,563.5,,,563,,570,560,557,562</t>
  </si>
  <si>
    <t>2025-05-08 09:13:00,490,,490,,470,,487,,,,,490,480,481,475</t>
  </si>
  <si>
    <t>2025-05-08 09:13:00,5800,,5700,,5600,,5660,,,,,5700,5530,5630,5550</t>
  </si>
  <si>
    <t>2025-05-08 09:13:00,20100,,,,19475,,20000,,,,,20200,19600,19500,19400</t>
  </si>
  <si>
    <t>2025-05-08 09:13:00,828968668.131579,1121194023.31441,-2130.08287198913,-333,-10667.8014464355,-5748.06,88.061243502726,-1304.65</t>
  </si>
  <si>
    <t>2025-05-08 09:13:00,1359671412.77953,45554019.8778912,-98.9980436230346,318,-2056.74497860471,-1851.34,-126.152490568295,-365.16</t>
  </si>
  <si>
    <t>2025-05-08 09:13:00,16549279.2235923,-7258375.75801838,-334.92247474747,-641,-5300.04373989893,-634.61,-1.45142751387906,-9.47000000000002</t>
  </si>
  <si>
    <t>2025-05-08 09:13:00,42142219.1502458,-12894.7849214907,3.76578643578644,-30,183.403337806638,-224.93,-0.025409025637279,-2.46</t>
  </si>
  <si>
    <t>2025-05-08 09:14:00,,,565,,575,,563.5,563,,,,570,560,557,562</t>
  </si>
  <si>
    <t>2025-05-08 09:14:00,490,,490,,470,,487,,,,,490,480,481,475</t>
  </si>
  <si>
    <t>2025-05-08 09:14:00,5800,,5700,,5600,,5660,,,,,5700,5530,5630,5550</t>
  </si>
  <si>
    <t>2025-05-08 09:14:00,20100,,,,19475,,20000,,,,,20200,19600,19500,19400</t>
  </si>
  <si>
    <t>2025-05-08 09:14:00,946242781.989463,1310177502.80105,905.158316080104,-753,-2825.68020910964,-4151.38,551.440062429213,-658.53</t>
  </si>
  <si>
    <t>2025-05-08 09:14:00,1404828717.90823,115351678.99383,-2038.03946053946,-3119,-3577.65177822177,-5640.94,8.79700912879171,-1282.1</t>
  </si>
  <si>
    <t>2025-05-08 09:14:00,17796502.7020765,-2666583.17891028,964.236976911977,1463,2925.65923556997,13199.36,4.64546225601953,372.58</t>
  </si>
  <si>
    <t>2025-05-08 09:14:00,42525378.8682176,-3547.75003559545,-23.6170306324111,-12,-1554.66952453338,-723.35,-0.000119052419412512,-4.29</t>
  </si>
  <si>
    <t>2025-05-08 09:15:00,,,565,,575,,563.5,,,,,570,560,557,562</t>
  </si>
  <si>
    <t>2025-05-08 09:15:00,490,,490,,470,,487,,,,,490,480,481,475</t>
  </si>
  <si>
    <t>2025-05-08 09:15:00,5800,,5700,,5600,,5650,,,,,5700,5600,5630,5550</t>
  </si>
  <si>
    <t>2025-05-08 09:15:00,20100,,,,19475,,20000,,,,,20200,19600,19500,19400</t>
  </si>
  <si>
    <t>2025-05-08 09:15:00,877959998.034336,1213056311.97912,-9537.09904931664,-8668,-20374.7177064763,-15842.21,-77.4769491134253,-3633.1</t>
  </si>
  <si>
    <t>2025-05-08 09:15:00,1366189534.86731,18046476.3595738,-5756.13744588747,-5076,-9526.95927489184,-7547.73,142.529388919912,-1803.72</t>
  </si>
  <si>
    <t>2025-05-08 09:15:00,16800403.3002263,-3996510.12933585,-1185.98571428572,-2316,-18482.2248809525,-17959.34,-5.36793634390196,-497.38</t>
  </si>
  <si>
    <t>2025-05-08 09:15:00,42039981.3735132,-13131.0249200501,-3.82777056277056,-2,-343.085714502164,-176.45,0.00728361854406467,-0.92</t>
  </si>
  <si>
    <t>2025-05-08 09:16:00,,,565,,575,,563.5,,,,,570,560,557,562</t>
  </si>
  <si>
    <t>2025-05-08 09:16:00,490,,490,,470,,487,,,,,490,480,481,475</t>
  </si>
  <si>
    <t>2025-05-08 09:16:00,5800,,5700,,5600,,5650,,,,,5700,5600,5630,5550</t>
  </si>
  <si>
    <t>2025-05-08 09:16:00,20100,,,,19475,,20000,,,,,20200,19600,19500,19400</t>
  </si>
  <si>
    <t>2025-05-08 09:16:00,992698637.016026,1486051886.7406,7521.27936507937,6562,9157.63725396828,6257.09,-120.178529176904,1592.43</t>
  </si>
  <si>
    <t>2025-05-08 09:16:00,1398739808.39766,93465736.1290649,2960.12691197692,3721,4861.51200577202,5227.07,13.4789587873943,1284.71</t>
  </si>
  <si>
    <t>2025-05-08 09:16:00,17914082.0364936,-712832.034480404,1172.94999999999,848,13003.1101666665,5265.2,-0.788554235569539,128.21</t>
  </si>
  <si>
    <t>2025-05-08 09:16:00,42574864.0054594,-16576.0225898907,-8.60857142857143,21,-517.710553571428,1737.57,-0.0215937162862214,9.55</t>
  </si>
  <si>
    <t>2025-05-08 09:17:00,,,565,,575,,563.5,,563,,,570,560,557,562</t>
  </si>
  <si>
    <t>2025-05-08 09:17:00,490,,490,,470,,487,,,,,490,480,481,475</t>
  </si>
  <si>
    <t>2025-05-08 09:17:00,5800,,5700,,5600,,5650,,5650,,,5700,5600,5630,5550</t>
  </si>
  <si>
    <t>2025-05-08 09:17:00,20100,,,,19475,,20000,,,,,20200,19600,19500,19400</t>
  </si>
  <si>
    <t>2025-05-08 09:17:00,1045282131.4622,1556152734.92203,-2968.06626984121,-966,-4040.81688888876,-2345.88,-428.555126434359,-638.87</t>
  </si>
  <si>
    <t>2025-05-08 09:17:00,1415667203.09874,63831836.5701793,-3704.12518351215,-3325,-4959.10702616226,-4667.03,107.738266356551,-1082.52</t>
  </si>
  <si>
    <t>2025-05-08 09:17:00,19380049.8883578,3033102.89527826,-478.557072927073,-1192,-6935.75680955711,-21119.21,-4.0317487716179,-512.99</t>
  </si>
  <si>
    <t>2025-05-08 09:17:00,43023317.9973958,-10761.1739445957,17.4231240981241,17,300.929631313131,306.87,0.00689540581754829,2.23</t>
  </si>
  <si>
    <t>2025-05-08 09:18:00,,,565,,575,,563.5,,,,,570,560,557,562</t>
  </si>
  <si>
    <t>2025-05-08 09:18:00,490,,490,,470,,487,,,,,490,480,481,475</t>
  </si>
  <si>
    <t>2025-05-08 09:18:00,5800,,5700,,5600,,5650,,,,,5700,5600,5630,5550</t>
  </si>
  <si>
    <t>2025-05-08 09:18:00,20100,,,,19475,,20000,,,,,20200,19600,19500,19400</t>
  </si>
  <si>
    <t>2025-05-08 09:18:00,1135722935.41181,1790331335.95501,1403.08246753253,4093,206.084673160315,5223.63,131.82016631406,1201.51</t>
  </si>
  <si>
    <t>2025-05-08 09:18:00,1453202807.09835,137055723.961471,1233.91828726829,2446,1522.73654667555,1531.09,-36.3404215197187,484.47</t>
  </si>
  <si>
    <t>2025-05-08 09:18:00,20290744.3432513,6405778.42556965,424.446176046174,-18,6317.43263059157,-3575.97,-2.14620681086849,-77.98</t>
  </si>
  <si>
    <t>2025-05-08 09:18:00,43486794.5469637,-6122.09609093553,-23.2092712842713,-28,-1163.37147546898,-1743.8,0.0370250092499588,-10.47</t>
  </si>
  <si>
    <t>2025-05-08 09:19:00,,,565,,575,,563.5,,,,,570,560,557,562</t>
  </si>
  <si>
    <t>2025-05-08 09:19:00,490,,490,,470,,487,,,,,490,480,481,475</t>
  </si>
  <si>
    <t>2025-05-08 09:19:00,5800,,5700,,5600,,5650,,,,,5700,5600,5630,5550</t>
  </si>
  <si>
    <t>2025-05-08 09:19:00,20100,,,,19475,,20000,,,,,20200,19600,19500,19400</t>
  </si>
  <si>
    <t>2025-05-08 09:19:00,1023664141.13008,1599830601.80712,-6605.97222222223,-9329,-9829.37344444445,-16502.99,-162.931932083707,-3931.19</t>
  </si>
  <si>
    <t>2025-05-08 09:19:00,1413821575.74008,118579946.224094,-626.818783068788,-804,-359.226984126998,-192.34,20.6296483113846,-232.25</t>
  </si>
  <si>
    <t>2025-05-08 09:19:00,19088411.432622,2938746.38438332,-1744.72499999999,-1803,-15632.3709999999,-7533.69,-2.03597265360505,-234.27</t>
  </si>
  <si>
    <t>2025-05-08 09:19:00,43106988.2403881,-10038.5264016744,22.9510353535354,-9,1137.39630530303,305.92,-0.0292368747723118,0.86</t>
  </si>
  <si>
    <t>2025-05-08 09:20:00,,,565,,575,,563.5,,,,,570,560,557,562</t>
  </si>
  <si>
    <t>2025-05-08 09:20:00,490,,490,,470,,487,,,,,490,480,481,475</t>
  </si>
  <si>
    <t>2025-05-08 09:20:00,5800,,5700,,5600,,5650,,,5650,,5700,5600,5630,5550</t>
  </si>
  <si>
    <t>2025-05-08 09:20:00,20100,,20200,,19475,,20000,,,,,20200,19600,19500,19400</t>
  </si>
  <si>
    <t>2025-05-08 09:20:00,1245184655.76581,2153370894.50877,-5692.87857142858,-2499,-8924.85323809526,-2254.53,-30.9901492136908,-557.32</t>
  </si>
  <si>
    <t>2025-05-08 09:20:00,1490247113.76575,231591831.401655,3362.37608225109,2323,6181.51659632036,2750.34,-1.59944093140109,704.39</t>
  </si>
  <si>
    <t>2025-05-08 09:20:00,21573904.2111416,8889234.43293101,145.272413793101,645,4293.66191379305,15109.66,-0.0855541363169422,340.81</t>
  </si>
  <si>
    <t>2025-05-08 09:20:00,43847997.4008266,4241.75371678907,6.52727272727272,0,243.593766233766,16.7,5.01748793922047E-05,0.0499999999999999</t>
  </si>
  <si>
    <t>2025-05-08 09:21:00,,,565,,575,,563.5,,,,,570,560,557,562</t>
  </si>
  <si>
    <t>2025-05-08 09:21:00,490,,490,,470,,487,,,,,490,480,481,475</t>
  </si>
  <si>
    <t>2025-05-08 09:21:00,5800,,5700,,5600,,5650,,,,,5700,5600,5630,5550</t>
  </si>
  <si>
    <t>2025-05-08 09:21:00,20100,,20200,,19475,,20000,,,,,20200,19600,19500,19400</t>
  </si>
  <si>
    <t>2025-05-08 09:21:00,1274531304.32185,2238405139.84984,-62.8650793650598,330,-680.876587301541,-2632.92,239.663056564741,-459.42</t>
  </si>
  <si>
    <t>2025-05-08 09:21:00,1475899805.38708,200846512.253527,396.70833333334,100,-1286.66499999998,-1507.96,91.5899125797815,-271.2</t>
  </si>
  <si>
    <t>2025-05-08 09:21:00,21416673.8728719,9822853.52842475,54.5633333333259,175,3787.0503666665,3337.82,3.83880564221292,85.68</t>
  </si>
  <si>
    <t>2025-05-08 09:21:00,43671036.77405,2206.56152585605,-9.8033761989644,-7,-797.36002830829,-455.9,0.0164857594733892,-2.35</t>
  </si>
  <si>
    <t>2025-05-08 09:22:00,,,565,,575,,563.5,,564,,,565,560,557,562</t>
  </si>
  <si>
    <t>2025-05-08 09:22:00,490,,490,,470,,487,,,,,490,480,481,475</t>
  </si>
  <si>
    <t>2025-05-08 09:22:00,5800,,5700,,5600,,5650,,,,,5700,5600,5630,5550</t>
  </si>
  <si>
    <t>2025-05-08 09:22:00,20100,,20200,,19475,,19975,,,,,20200,19600,19500,19400</t>
  </si>
  <si>
    <t>2025-05-08 09:22:00,1317771119.63326,2613675174.29107,1723.53516589607,-14080,4005.90915206491,-24048.25,-665.264744317592,-5971.61</t>
  </si>
  <si>
    <t>2025-05-08 09:22:00,1495517090.47783,206428000.072108,-8023.63926168383,-4585,-14706.6247115837,-6689.45,187.925033899392,-1752.52</t>
  </si>
  <si>
    <t>2025-05-08 09:22:00,22299102.2637504,13131486.1413328,-362.888941798933,-500,110388.842368255,32871.72,-3.88461156680299,-204.65</t>
  </si>
  <si>
    <t>2025-05-08 09:22:00,44440174.4028964,17860.4126677877,41.2650261503203,27,2114.1470839391,1081.61,0.00683057687856022,6.65</t>
  </si>
  <si>
    <t>2025-05-08 09:23:00,,,565,,575,,563.5,,,,,565,560,557,562</t>
  </si>
  <si>
    <t>2025-05-08 09:23:00,490,,490,,470,,487,,,486,,490,480,481,475</t>
  </si>
  <si>
    <t>2025-05-08 09:23:00,5800,,5700,,5600,,5650,,,,,5700,5600,5630,5550</t>
  </si>
  <si>
    <t>2025-05-08 09:23:00,20100,,20200,,19475,,19975,,,,,20200,19600,19500,19400</t>
  </si>
  <si>
    <t>2025-05-08 09:23:00,1192183891.71587,2208154121.53498,5430.43801848737,252,9402.36890372423,-135.419999999999,143.231462458396,-63.2000000000002</t>
  </si>
  <si>
    <t>2025-05-08 09:23:00,1423898845.40012,55141172.3388774,3706.40690449646,1965,8373.40964986992,5194.57,-2.10233353370578,1111.82</t>
  </si>
  <si>
    <t>2025-05-08 09:23:00,21661630.7940583,12047468.0318611,4949.89999999999,1751,90202.2533333329,22776.38,4.0089434864796,567.07</t>
  </si>
  <si>
    <t>2025-05-08 09:23:00,43839291.8329244,3980.57276069093,36.8688828356201,31,4155.49000255582,2375.47,0.0153557407167273,8.26</t>
  </si>
  <si>
    <t>2025-05-08 09:24:00,,,565,,575,,563.5,,,,,565,560,557,562</t>
  </si>
  <si>
    <t>2025-05-08 09:24:00,490,,490,,470,,487,,,,,490,480,481,475</t>
  </si>
  <si>
    <t>2025-05-08 09:24:00,5800,,5700,,5600,,5650,,,,,5700,5600,5630,5550</t>
  </si>
  <si>
    <t>2025-05-08 09:24:00,20100,,20200,,19475,,19975,,,,,20200,19600,19500,19400</t>
  </si>
  <si>
    <t>2025-05-08 09:24:00,1314785617.10306,2541943600.17106,-1470.5658730159,-398,-1391.69851587306,-698.68,-123.383094270051,-220.87</t>
  </si>
  <si>
    <t>2025-05-08 09:24:00,1483814685.26024,197306514.194964,-2093.08911088911,-3126,-2868.04932017982,-4390.7,-21.0794212086993,-1064.85</t>
  </si>
  <si>
    <t>2025-05-08 09:24:00,22243653.2407321,14670067.2468972,-234.165714285723,232,-8140.20534285734,-2337.05,-2.90876579290203,-25.03</t>
  </si>
  <si>
    <t>2025-05-08 09:24:00,43573241.2486771,6491.22335281395,-80.0683091621024,-34,-2076.71432501752,-923.6,0.0145979491298232,-5.62</t>
  </si>
  <si>
    <t>2025-05-08 09:25:00,575,,565,,575,,563.5,,,,,565,560,557,562</t>
  </si>
  <si>
    <t>2025-05-08 09:25:00,490,,490,,470,,487,,,,,490,480,481,475</t>
  </si>
  <si>
    <t>2025-05-08 09:25:00,5800,,5700,,5600,,5650,,,,,5700,5600,5630,5550</t>
  </si>
  <si>
    <t>2025-05-08 09:25:00,20100,,20200,,19475,,19975,,,,,20200,19600,19500,19400</t>
  </si>
  <si>
    <t>2025-05-08 09:25:00,1432234771.18977,2842718183.13717,5556.36280663778,2489,9596.33785642129,-792.820000000001,96.7210929802303,-80</t>
  </si>
  <si>
    <t>2025-05-08 09:25:00,1540019668.74576,303421126.248872,-942.466909882232,-178,-1898.775640681,-535.11,172.848193315742,-92.46</t>
  </si>
  <si>
    <t>2025-05-08 09:25:00,23953436.2965304,20303503.3734459,2756.66060606061,3008,-4302.88337878781,7094.16,8.81327869100119,286.48</t>
  </si>
  <si>
    <t>2025-05-08 09:25:00,44345143.0081892,25434.7486685782,1.39242424242425,-2,-52.8628787878782,-126.8,0.000429626275207971,-0.63</t>
  </si>
  <si>
    <t>GEX-VOL</t>
  </si>
  <si>
    <t>2025-05-08 09:26:00,575,,565,,575,,563.5,,,,,565,560,557,562</t>
  </si>
  <si>
    <t>2025-05-08 09:26:00,490,,490,,470,,487,,,,,490,480,481,475</t>
  </si>
  <si>
    <t>2025-05-08 09:26:00,5800,,5700,,5600,,5650,,,,,5700,5600,5630,5550</t>
  </si>
  <si>
    <t>2025-05-08 09:26:00,20100,,20200,,19475,,19975,,,,,20200,19600,19500,19400</t>
  </si>
  <si>
    <t>2025-05-08 09:26:00,1452834693.85922,2946796755.28283,6802.85905483408,4682,12181.4382803031,10657.24,8.28928069379188,2428.68</t>
  </si>
  <si>
    <t>2025-05-08 09:26:00,1531435581.53334,262232093.332426,406.175595238095,255,511.246398809527,-9.34000000000012,-5.18095481475911,-26.6700000000001</t>
  </si>
  <si>
    <t>2025-05-08 09:26:00,24296421.492372,23334438.5586544,180.188095238095,-45,1996.36061904762,-2785.03,-1.39907812788717,-47.68</t>
  </si>
  <si>
    <t>2025-05-08 09:26:00,44566633.5575718,27930.6968919652,2.10779914529914,1,-46.9843728632481,-150.54,0.00483663013470141,-0.72</t>
  </si>
  <si>
    <t>2025-05-08 09:27:00,575,,565,,575,,563.5,,,,,565,560,557,562</t>
  </si>
  <si>
    <t>2025-05-08 09:27:00,490,,490,,470,,487,,,,,490,480,481,475</t>
  </si>
  <si>
    <t>2025-05-08 09:27:00,5800,,5700,,5600,,5650,,,,,5700,5600,5630,5550</t>
  </si>
  <si>
    <t>2025-05-08 09:27:00,20100,,20200,,19475,,19975,,,,,20200,19600,19500,19400</t>
  </si>
  <si>
    <t>2025-05-08 09:27:00,1543107917.79333,3196213329.77265,5840.94343850594,4600,9066.21899947274,168.630000000001,58.7986724364184,1016.51</t>
  </si>
  <si>
    <t>2025-05-08 09:27:00,1555838333.12654,306417814.659566,-3798.57039337475,-1131,-5677.06640786752,-1809.38,227.518688691773,-419.61</t>
  </si>
  <si>
    <t>2025-05-08 09:27:00,25427025.9867713,25645120.7271295,668.216666666669,825,8655.18366666669,9458.41,5.07091308339855,272.35</t>
  </si>
  <si>
    <t>2025-05-08 09:27:00,44235116.1223364,28187.4027210508,-9.35005088234409,-20,-168.237449703068,-763.57,5.27232675899382E-05,-4.85</t>
  </si>
  <si>
    <t>2025-05-08 09:28:00,575,,565,,575,,562.5,,,,,565,560,557,562</t>
  </si>
  <si>
    <t>2025-05-08 09:28:00,490,,490,,470,,487,,,,,490,480,481,475</t>
  </si>
  <si>
    <t>2025-05-08 09:28:00,5800,,5700,,5600,,5650,,,,,5700,5600,5630,5550</t>
  </si>
  <si>
    <t>2025-05-08 09:28:00,20100,,20200,,19475,,19975,,,,,20200,19600,19500,19400</t>
  </si>
  <si>
    <t>2025-05-08 09:28:00,1454339328.30741,3186813789.50575,767.417385242371,3008,-3053.93330233809,-1302.93,51.942859838556,-316</t>
  </si>
  <si>
    <t>2025-05-08 09:28:00,1534128349.65775,286178016.762423,9320.08980092386,4584,13274.9125756643,7361.92,14.9623979539418,1760.81</t>
  </si>
  <si>
    <t>2025-05-08 09:28:00,24222558.9469245,23530093.3550087,1004.49357142857,490,113094.558764285,35263.34,-3.91607056337213,186.3</t>
  </si>
  <si>
    <t>2025-05-08 09:28:00,44649985.4005178,25893.6314178161,19.947286047286,19,917.631702630701,605.24,-0.0122427889846705,4.25</t>
  </si>
  <si>
    <t>2025-05-08 09:29:00,575,,565,,575,,563.5,,,,,565,560,557,562</t>
  </si>
  <si>
    <t>2025-05-08 09:29:00,490,,490,,470,,487,,,,,490,480,481,475</t>
  </si>
  <si>
    <t>2025-05-08 09:29:00,5800,,5700,,5600,,5650,,,,,5700,5600,5630,5550</t>
  </si>
  <si>
    <t>2025-05-08 09:29:00,20100,,20200,,19475,,19975,,,,,20200,19600,19500,19400</t>
  </si>
  <si>
    <t>2025-05-08 09:29:00,1499791658.89707,3307083034.87773,9952.34372294374,7464,16748.6225064935,10544.12,41.6011191997669,2558.75</t>
  </si>
  <si>
    <t>2025-05-08 09:29:00,1562632903.44254,521421853.800036,4110.78,2858,6304.03346666666,4391.05,42.9468608334639,1088.35</t>
  </si>
  <si>
    <t>2025-05-08 09:29:00,25139417.1084975,27261817.4000906,2226.88571428572,1905,26949.5764285714,27957.49,0.731244742226757,624.23</t>
  </si>
  <si>
    <t>2025-05-08 09:29:00,45038143.3693655,41450.5258191577,15.6850288600289,9,539.508756854256,-192.71,0.0162246689810595,-0.27</t>
  </si>
  <si>
    <t>2025-05-08 09:30:00,575,,565,,575,,562.5,,,,,565,560,557,562</t>
  </si>
  <si>
    <t>2025-05-08 09:30:00,490,,490,,470,,487,,,,,490,480,481,475</t>
  </si>
  <si>
    <t>2025-05-08 09:30:00,5800,,5700,,5600,,5650,,,,,5700,5600,5630,5550</t>
  </si>
  <si>
    <t>2025-05-08 09:30:00,20100,,20200,,19475,,19975,,,,,20200,19600,19500,19400</t>
  </si>
  <si>
    <t>2025-05-08 09:30:00,1582633601.17054,3606911107.16493,2969.00252525254,5369,2519.46133838387,6431.73,449.378442841531,1784.77</t>
  </si>
  <si>
    <t>2025-05-08 09:30:00,1584708642.98528,572256032.308914,-1025.68657635468,-778,-1474.39036945814,-1486.06,-88.9067940409622,-389.47</t>
  </si>
  <si>
    <t>2025-05-08 09:30:00,25350675.5582003,28376038.3635159,496.618665377176,717,5682.16885396518,9657.75,2.03169306597691,250.45</t>
  </si>
  <si>
    <t>2025-05-08 09:30:00,45456721.516767,49247.7819719297,-2.21746031746032,-9,19.300507936508,-111.52,0.005024506206454,-0.82</t>
  </si>
  <si>
    <t>2025-05-08 09:31:00,575,,565,,575,,562.5,,,,,565,560,557,562</t>
  </si>
  <si>
    <t>2025-05-08 09:31:00,490,,490,,470,,487,,,,,490,480,481,475</t>
  </si>
  <si>
    <t>2025-05-08 09:31:00,5800,,5700,,5600,,5650,,,,,5700,5600,5630,5550</t>
  </si>
  <si>
    <t>2025-05-08 09:31:00,20100,,20200,,19475,,19975,,,,,20200,19600,19500,19400</t>
  </si>
  <si>
    <t>2025-05-08 09:31:00,1572716245.3364,3691676208.26418,-5065.63809523809,-3145,-9417.51790476191,-6976.86,81.4088752294928,-1545.75</t>
  </si>
  <si>
    <t>2025-05-08 09:31:00,1579053454.38541,590814087.763282,-471.444444444439,-334,-1756.04425925925,-1642.91,47.6301176546025,-383.86</t>
  </si>
  <si>
    <t>2025-05-08 09:31:00,25318034.6559656,28184773.5619218,-1582.89666666667,-1334,-26476.4201666667,-15875.65,-2.16070333355594,-411.18</t>
  </si>
  <si>
    <t>2025-05-08 09:31:00,45217745.7165483,46661.906380918,6.64996632996637,-3,416.980345646948,175.03,0.00123475462307841,-0.23</t>
  </si>
  <si>
    <t>2025-05-08 09:32:00,575,,565,,575,,562.5,565,,,,565,560,557,562</t>
  </si>
  <si>
    <t>2025-05-08 09:32:00,490,,490,,470,,487,,,,,490,480,481,475</t>
  </si>
  <si>
    <t>2025-05-08 09:32:00,5800,,5700,,5600,,5650,,,,,5700,5600,5630,5550</t>
  </si>
  <si>
    <t>2025-05-08 09:32:00,20100,,20200,,19475,,19975,,,,,20200,19600,19500,19400</t>
  </si>
  <si>
    <t>2025-05-08 09:32:00,1721691084.29204,3985740031.56527,4183.4504884004,2639,12284.0803498167,7847.26,204.024050703639,1814.82</t>
  </si>
  <si>
    <t>2025-05-08 09:32:00,1615631120.57021,593459733.484262,1180.14788318825,-2437,6090.64346927343,-3596.69,14.1589703388592,-836.79</t>
  </si>
  <si>
    <t>2025-05-08 09:32:00,27170999.8596881,33603159.867396,1240.86271090021,271,18960.4456402348,445.180000000001,1.90638174707581,34.21</t>
  </si>
  <si>
    <t>2025-05-08 09:32:00,45642587.1989885,52797.5640018999,-8.94961663630671,0,-627.734942143005,-6.09999999999999,0.0083011883471462,-0.119999999999999</t>
  </si>
  <si>
    <t>2025-05-08 09:33:00,575,,565,,575,,562.5,,565,,,565,560,557,562</t>
  </si>
  <si>
    <t>2025-05-08 09:33:00,490,,490,,470,,487,,487,,,490,480,481,475</t>
  </si>
  <si>
    <t>2025-05-08 09:33:00,5800,,5700,,5600,,5650,,,,,5700,5600,5630,5550</t>
  </si>
  <si>
    <t>2025-05-08 09:33:00,20100,,20200,,19475,,19975,,,,,20200,19600,19500,19400</t>
  </si>
  <si>
    <t>2025-05-08 09:33:00,1824070850.65971,4531622325.12397,2030.71666666666,-6230,4935.12858333332,-12447.9,-108.066083191535,-3309.34</t>
  </si>
  <si>
    <t>2025-05-08 09:33:00,1659668952.8635,746766381.948845,-842.950829725828,-995,-1354.29429473304,-3271.23,-163.949701536755,-696.78</t>
  </si>
  <si>
    <t>2025-05-08 09:33:00,28446759.9678217,39009069.4993214,667.759242424237,924,18023.8108151514,12821.2,5.7956757247412,375.5</t>
  </si>
  <si>
    <t>2025-05-08 09:33:00,46152797.6705711,64221.5275260408,-10.429009046509,-18,-279.274292643463,-1311.57,-0.00208125172268986,-7.99</t>
  </si>
  <si>
    <t>2025-05-08 09:34:00,575,,565,,575,,562.5,,,,,565,560,557,562</t>
  </si>
  <si>
    <t>2025-05-08 09:34:00,490,,490,,470,,486,487,,,,490,480,481,475</t>
  </si>
  <si>
    <t>2025-05-08 09:34:00,5800,,5700,,5600,,5650,,,,,5700,5600,5630,5550</t>
  </si>
  <si>
    <t>2025-05-08 09:34:00,20100,,20200,,19475,,19975,,,,,20200,19600,19500,19400</t>
  </si>
  <si>
    <t>2025-05-08 09:34:00,1779073756.41896,4542687003.03117,1780.10079365079,-6595,3783.75784920634,-13952.13,-664.238657861899,-3364.86</t>
  </si>
  <si>
    <t>2025-05-08 09:34:00,1649372452.46278,721678348.885909,2356.32649572649,323,6054.92542478632,3600.93,42.5443448147326,697.7</t>
  </si>
  <si>
    <t>2025-05-08 09:34:00,28382683.0046173,41898844.1658168,672.377272727272,926,12388.4599545455,16126.03,1.45584645346324,419.9</t>
  </si>
  <si>
    <t>2025-05-08 09:34:00,46436862.6767225,69798.8421313303,6.82970418470422,20,421.75864660895,1305.01,0.00369159762130734,7.57</t>
  </si>
  <si>
    <t>2025-05-08 09:35:00,575,,565,,575,,562.5,,565,,,565,560,557,562</t>
  </si>
  <si>
    <t>2025-05-08 09:35:00,490,,490,,470,,486,,,,,490,480,481,475</t>
  </si>
  <si>
    <t>2025-05-08 09:35:00,5800,,5700,,5600,,5650,,,,,5700,5600,5630,5550</t>
  </si>
  <si>
    <t>2025-05-08 09:35:00,20100,,20200,,19475,,19975,,,,,20200,19600,19500,19400</t>
  </si>
  <si>
    <t>2025-05-08 09:35:00,1664150155.43591,4500906769.50744,457.479365079421,-3898,-518.7854285713,-6951.94,-253.429139314241,-1966.38</t>
  </si>
  <si>
    <t>2025-05-08 09:35:00,1609736109.61039,724736199.737765,1903.03477560303,-358,2151.28753563307,-510.12,-25.2247749378496,-182.07</t>
  </si>
  <si>
    <t>2025-05-08 09:35:00,26443816.5882549,35359367.5811183,-1433.98888888889,-1743,-8515.46975000013,-18981.8,-5.07961592075335,-572</t>
  </si>
  <si>
    <t>2025-05-08 09:35:00,46205075.4105381,59297.4395965605,12.6058441558442,10,626.571915584415,439.05,0.00414230773628858,2.64</t>
  </si>
  <si>
    <t>2025-05-08 09:36:00,575,,565,,575,,562.5,,564,,,565,560,557,562</t>
  </si>
  <si>
    <t>2025-05-08 09:36:00,490,,490,,470,,486,,,,,490,480,481,475</t>
  </si>
  <si>
    <t>2025-05-08 09:36:00,5800,,5700,,5600,,5650,,,,,5700,5600,5630,5550</t>
  </si>
  <si>
    <t>2025-05-08 09:36:00,20100,,20200,,19475,,19975,,,,,20200,19600,19500,19400</t>
  </si>
  <si>
    <t>2025-05-08 09:36:00,1480236486.55462,4054589694.90695,10323.747222222,3390,14196.7993333328,-1427.75,4.46294025056347,-72.8500000000001</t>
  </si>
  <si>
    <t>2025-05-08 09:36:00,1539151627.56714,604178638.373019,955.299404761897,1571,593.429553571419,1581.27,138.340008783602,558.27</t>
  </si>
  <si>
    <t>2025-05-08 09:36:00,24382194.7867702,27573476.4956544,2148.86786987521,1593,21029.1616693403,10604.42,0.713940334203132,323.81</t>
  </si>
  <si>
    <t>2025-05-08 09:36:00,45409922.2945353,29836.3833209815,-2.39512265512267,-6,351.594192063492,19.33,0.0209349976292379,-0.0399999999999999</t>
  </si>
  <si>
    <t>2025-05-08 09:37:00,575,,565,,575,,562.5,,,,,565,560,557,562</t>
  </si>
  <si>
    <t>2025-05-08 09:37:00,490,,490,,470,,486,,,,,490,480,481,475</t>
  </si>
  <si>
    <t>2025-05-08 09:37:00,5800,,5700,,5600,,5650,,,,,5700,5600,5630,5550</t>
  </si>
  <si>
    <t>2025-05-08 09:37:00,20100,,20200,,19475,,19975,,,,,20200,19600,19500,19400</t>
  </si>
  <si>
    <t>2025-05-08 09:37:00,1416548638.16211,3868492601.31568,-2045.10952380954,-3587,-4510.99923809528,-6187.6,553.654364571005,-1199.08</t>
  </si>
  <si>
    <t>2025-05-08 09:37:00,1524765896.03588,538757905.628651,-2054.35683364256,305,-3814.97730828697,918.42,50.9339752700687,284.82</t>
  </si>
  <si>
    <t>2025-05-08 09:37:00,23562707.1124736,21544737.8520857,-3051.77500000001,-2057,-22521.3752500001,-12701.07,3.08776696805145,-379.71</t>
  </si>
  <si>
    <t>2025-05-08 09:37:00,44583218.9339007,17000.4118791167,-35.5125274725275,-29,-1049.72083040293,-644.9,-0.00916296553525731,-4.75</t>
  </si>
  <si>
    <t>2025-05-08 09:38:00,,,565,,575,,562.5,,,,,565,560,557,562</t>
  </si>
  <si>
    <t>2025-05-08 09:38:00,490,,490,,470,,486,,,,,490,480,481,475</t>
  </si>
  <si>
    <t>2025-05-08 09:38:00,5800,,5700,,5600,,5650,,,,,5700,5600,5630,5550</t>
  </si>
  <si>
    <t>2025-05-08 09:38:00,20100,,20200,,19475,,19975,,,,,20200,19600,19500,19400</t>
  </si>
  <si>
    <t>2025-05-08 09:38:00,1367104412.00461,3767234243.88077,-5055.29300144303,-6908,-9350.77596608953,-11061.44,29.1746185950825,-2783.04</t>
  </si>
  <si>
    <t>2025-05-08 09:38:00,1518829045.06879,528676982.608946,-1006.27424242425,-854,-2168.27266666667,-1554.44,113.967509757498,-348.75</t>
  </si>
  <si>
    <t>2025-05-08 09:38:00,22801447.8151325,19972562.7207505,-315.697222222219,-452,-1321.52638888886,2396.6,-1.3265105369989,-58.37</t>
  </si>
  <si>
    <t>2025-05-08 09:38:00,44660170.5326828,13226.4539609993,-10.3007575757575,-20,847.801518939396,389.84,0.0212554700113008,2.3</t>
  </si>
  <si>
    <t>2025-05-08 09:39:00,,,565,,575,,562.5,,,,,565,560,557,562</t>
  </si>
  <si>
    <t>2025-05-08 09:39:00,490,,490,,470,,486,,,,,490,480,481,475</t>
  </si>
  <si>
    <t>2025-05-08 09:39:00,5800,,5700,,5600,,5650,,,,,5700,5600,5630,5550</t>
  </si>
  <si>
    <t>2025-05-08 09:39:00,20100,,20200,,19475,,19975,,,,,20200,19600,19500,19400</t>
  </si>
  <si>
    <t>2025-05-08 09:39:00,1287098479.61459,3563118318.77974,118.938095238094,380,-1610.75223809524,-1611.68,-144.726003788576,-372.08</t>
  </si>
  <si>
    <t>2025-05-08 09:39:00,1495800917.72585,458091295.836376,585.59840425532,1260,383.682819148938,1532.79,-50.4485897154097,406.73</t>
  </si>
  <si>
    <t>2025-05-08 09:39:00,22470875.2523013,19775473.0205862,388.430303030304,195,8455.41053030304,6932.4,-0.870401302371155,157.11</t>
  </si>
  <si>
    <t>2025-05-08 09:39:00,44806726.2118313,12255.7519787675,14.6690476190476,19,572.852047619047,430.91,-0.00886537881856603,3.03</t>
  </si>
  <si>
    <t>2025-05-08 09:40:00,,,565,,575,,562.5,,,,,565,560,557,562</t>
  </si>
  <si>
    <t>2025-05-08 09:40:00,490,,490,,470,,486,,,,,490,480,481,475</t>
  </si>
  <si>
    <t>2025-05-08 09:40:00,5800,,5700,,5600,,5650,,,,,5700,5600,5630,5550</t>
  </si>
  <si>
    <t>2025-05-08 09:40:00,20100,,20200,,19475,,19975,,,,,20200,19600,19500,19400</t>
  </si>
  <si>
    <t>2025-05-08 09:40:00,1348934242.44373,3683829716.16979,-11473.726984127,-4345,-23093.1269841271,-9004.94,408.681728259211,-1917.51</t>
  </si>
  <si>
    <t>2025-05-08 09:40:00,1515380932.13495,538137275.327677,-4029.85359477124,-2150,-8598.05289542482,-3620.46,1.15847150163365,-857.57</t>
  </si>
  <si>
    <t>2025-05-08 09:40:00,22984008.9645281,17465134.7905866,-4831.09047619048,-2053,-67245.2282380952,-21583.53,0.605748664912312,-583.61</t>
  </si>
  <si>
    <t>2025-05-08 09:40:00,44487863.1715543,332.95454602434,-64.6383612882905,-52,-3371.56493497464,-2832.62,0.0491828137580413,-16.97</t>
  </si>
  <si>
    <t>2025-05-08 09:42:00,,,565,,575,,562.5,,,,,565,560,557,562</t>
  </si>
  <si>
    <t>2025-05-08 09:42:00,490,,490,,470,,486,,,,,490,480,481,475</t>
  </si>
  <si>
    <t>2025-05-08 09:42:00,5800,,5700,,5600,,5650,,,,,5700,5600,5630,5550</t>
  </si>
  <si>
    <t>2025-05-08 09:42:00,20100,,20200,,19475,,19975,,,,,20200,19600,19500,19400</t>
  </si>
  <si>
    <t>2025-05-08 09:42:00,1348190429.9367,3730436236.1426,7589.97710622715,3394,15217.7238040294,7540.65,-77.0796732253334,1584.08</t>
  </si>
  <si>
    <t>2025-05-08 09:42:00,1513779331.79814,486656542.408262,2971.68338143339,1509,5532.42885642138,3269.28,-28.861333483416,765.1</t>
  </si>
  <si>
    <t>2025-05-08 09:42:00,22905263.4218657,21070385.3257898,826.685714285709,409,13497.4877142856,9162.74,-0.524458352514987,212.42</t>
  </si>
  <si>
    <t>2025-05-08 09:42:00,44997253.8472616,11133.2213168751,1.19727813852814,1,108.146179419192,118.95,-0.00737952341004805,0.44</t>
  </si>
  <si>
    <t>2025-05-08 09:43:00,,,565,,575,,562.5,,,,,565,560,557,562</t>
  </si>
  <si>
    <t>2025-05-08 09:43:00,490,,490,,470,,486,,,,,490,480,481,475</t>
  </si>
  <si>
    <t>2025-05-08 09:43:00,5800,,5700,,5600,,5650,,,,,5700,5600,5630,5550</t>
  </si>
  <si>
    <t>2025-05-08 09:43:00,20100,,,,19475,,19975,,,,,20200,19600,19500,19400</t>
  </si>
  <si>
    <t>2025-05-08 09:43:00,1281909155.51637,3476290035.51545,-1592.58220551378,1150,-1685.53573934836,1398.41,85.1700499476348,393.75</t>
  </si>
  <si>
    <t>2025-05-08 09:43:00,1493553700.87034,434638103.625019,-2185.83261183261,-1290,-3015.96688311688,-1989.39,96.1799596996169,-488.6</t>
  </si>
  <si>
    <t>2025-05-08 09:43:00,22391361.8472449,17235350.0006534,-734.05,-1050,-8043.63025,-9751.55,0.638966589219197,-275.01</t>
  </si>
  <si>
    <t>2025-05-08 09:43:00,44286904.7236322,-7795.14645056497,-0.0896571347275534,1,115.320068938886,199.06,0.00205633773934819,1</t>
  </si>
  <si>
    <t>2025-05-08 09:44:00,,,565,,575,,562.5,,,,,565,560,557,562</t>
  </si>
  <si>
    <t>2025-05-08 09:44:00,490,,490,,470,,486,,,,,490,480,481,475</t>
  </si>
  <si>
    <t>2025-05-08 09:44:00,5800,,5700,,5600,,5650,,,,,5700,5600,5630,5550</t>
  </si>
  <si>
    <t>2025-05-08 09:44:00,20100,,,,19475,,19975,,,,,20200,19600,19500,19400</t>
  </si>
  <si>
    <t>2025-05-08 09:44:00,1253889224.33368,3479406585.1328,-941.557142857145,-1142,-2820.36619047619,-4077.01,3.67973170050475,-914.57</t>
  </si>
  <si>
    <t>2025-05-08 09:44:00,1468431042.61652,405931931.322642,-124.870833333335,-1203,-536.870416666669,-1987.01,-66.5516947213769,-512.04</t>
  </si>
  <si>
    <t>2025-05-08 09:44:00,21896722.5919702,14160370.369381,-899.236190476193,-1156,-12133.8308666667,-13047.08,-0.385751194444478,-343.23</t>
  </si>
  <si>
    <t>2025-05-08 09:44:00,44029193.5952264,-25134.991583385,37.0755555555555,41,2670.04707619048,3032.09,-0.0340197473225585,18.38</t>
  </si>
  <si>
    <t>2025-05-08 09:45:00,,,565,,575,,562.5,,,,,565,560,557,562</t>
  </si>
  <si>
    <t>2025-05-08 09:45:00,490,,490,,470,,486,,,,,490,480,481,475</t>
  </si>
  <si>
    <t>2025-05-08 09:45:00,5800,,5700,,5600,,5650,,,,,5700,5600,5630,5550</t>
  </si>
  <si>
    <t>2025-05-08 09:45:00,20100,,,,19475,,19975,,,,,20200,19600,19500,19400</t>
  </si>
  <si>
    <t>2025-05-08 09:45:00,1334490869.2682,3738969454.16844,8783.67467953194,2796,11362.9425002551,2057.13,-104.091347811631,675.79</t>
  </si>
  <si>
    <t>2025-05-08 09:45:00,1507639115.7956,490648212.327958,11544.8198412698,6149,17236.1946944444,8470.77,23.4806915399697,2113.71</t>
  </si>
  <si>
    <t>2025-05-08 09:45:00,22700183.4316917,20188051.6324043,3027.11349206349,2825,34680.382920635,26821.98,1.61112654377819,768.56</t>
  </si>
  <si>
    <t>2025-05-08 09:45:00,44737957.4086503,-4513.92678032501,-54.064735999736,-17,-3038.61128408244,-1044.32,-0.0125197819546919,-6.16</t>
  </si>
  <si>
    <t>2025-05-08 09:46:00,,,565,,575,,562.5,,,,,565,560,557,562</t>
  </si>
  <si>
    <t>2025-05-08 09:46:00,490,,490,,470,,486,,,,,490,480,481,475</t>
  </si>
  <si>
    <t>2025-05-08 09:46:00,5800,,5700,,5600,,5650,,,,,5700,5600,5630,5550</t>
  </si>
  <si>
    <t>2025-05-08 09:46:00,20100,,,,19475,,19975,,,,,20200,19600,19500,19400</t>
  </si>
  <si>
    <t>2025-05-08 09:46:00,1142624521.07678,3191182821.63105,15265.0357142858,3659,29360.6017857146,7587.11,-273.386380975748,1699.71</t>
  </si>
  <si>
    <t>2025-05-08 09:46:00,1424262480.14006,320677922.813977,1027.11881977671,-738,890.830534290268,-1165.67,-70.8769243056458,-370.94</t>
  </si>
  <si>
    <t>2025-05-08 09:46:00,20668558.7506622,12960797.0372966,1159.67571428572,529,23225.1396333333,12064.03,-5.51951500472493,267.71</t>
  </si>
  <si>
    <t>2025-05-08 09:46:00,44196944.6825275,-17994.1978445386,24.9190476190476,19,1090.25139285714,490.73,0.0029367454636379,3.74</t>
  </si>
  <si>
    <t>2025-05-08 09:47:00,,,565,,575,,562.5,,,,,565,560,557,562</t>
  </si>
  <si>
    <t>2025-05-08 09:47:00,490,,490,,470,,486,,,,,490,480,481,475</t>
  </si>
  <si>
    <t>2025-05-08 09:47:00,5800,,5700,,5600,,5650,,,,,5700,5600,5630,5550</t>
  </si>
  <si>
    <t>2025-05-08 09:47:00,20100,,,,19475,,19975,,,,,20200,19600,19500,19400</t>
  </si>
  <si>
    <t>2025-05-08 09:47:00,1256513981.55773,3569337349.49684,-1218.03712398711,2783,-3686.71446292594,1248.61,-159.184086048121,392.88</t>
  </si>
  <si>
    <t>2025-05-08 09:47:00,1460589398.72918,363675125.472374,-1833.19259259259,-1778,-3523.38968518519,-2664.39,-23.6683328956558,-667.52</t>
  </si>
  <si>
    <t>2025-05-08 09:47:00,21598052.7549608,14020066.5780766,-491.339285714282,-369,-5779.04458333326,-1823.67,-2.26994963564065,-55.23</t>
  </si>
  <si>
    <t>2025-05-08 09:47:00,44391663.3432126,-5323.56035278676,-9.59338744588745,-18,-342.705799999999,-502.23,-0.012800623896143,-3.78</t>
  </si>
  <si>
    <t>2025-05-08 09:48:00,,,565,,575,,562.5,,,,,565,560,557,562</t>
  </si>
  <si>
    <t>2025-05-08 09:48:00,490,,490,,470,,486,,,,,490,480,481,475</t>
  </si>
  <si>
    <t>2025-05-08 09:48:00,5800,,5700,,5600,,5650,,,,,5700,5600,5630,5550</t>
  </si>
  <si>
    <t>2025-05-08 09:48:00,20100,,,,19475,,19975,,,,,20200,19600,19500,19400</t>
  </si>
  <si>
    <t>2025-05-08 09:48:00,1108203150.83963,3169144339.81668,1139.70461760461,-375,66.0552947330372,-563.76,-10.9660566935539,-168.72</t>
  </si>
  <si>
    <t>2025-05-08 09:48:00,1405002956.24078,305575547.063916,1713.46785714285,1815,1810.15442857142,3187.72,22.7557652950288,830.09</t>
  </si>
  <si>
    <t>2025-05-08 09:48:00,19892526.4516939,9571861.48896579,858.006666666667,548,4126.10726666667,3194.86,0.0281837003766318,77.27</t>
  </si>
  <si>
    <t>2025-05-08 09:48:00,43861733.6115076,-27955.792434358,13.8207052047569,4,1393.13397543787,248.15,-0.000386597904505298,1.09</t>
  </si>
  <si>
    <t>2025-05-08 09:49:00,,,565,,575,,562.5,,,,,565,560,557,562</t>
  </si>
  <si>
    <t>2025-05-08 09:49:00,490,,490,,470,,486,,,,,490,480,481,475</t>
  </si>
  <si>
    <t>2025-05-08 09:49:00,5800,,5700,,5600,,5650,,,,,5700,5600,5630,5550</t>
  </si>
  <si>
    <t>2025-05-08 09:49:00,20100,,,,19475,,19975,,,,,20200,19600,19500,19400</t>
  </si>
  <si>
    <t>2025-05-08 09:49:00,1071155860.04307,3007393497.98829,1043.90079365081,2301,1022.93662698416,4082.53,-188.784098289001,944.78</t>
  </si>
  <si>
    <t>2025-05-08 09:49:00,1383872424.98955,231417730.656871,1609.02233836625,2931,2563.00722648085,3133.45,-24.8232512009087,802.54</t>
  </si>
  <si>
    <t>2025-05-08 09:49:00,19932644.732779,10315915.5323307,880.412500000002,447,11611.375625,9008.76,-2.9883853035355,227.72</t>
  </si>
  <si>
    <t>2025-05-08 09:49:00,43884728.5229769,-29091.049883765,22.9301587301587,17,594.305539682539,574.49,0.0099057394190803,4.01</t>
  </si>
  <si>
    <t>2025-05-08 09:50:00,,,565,,575,,562.5,,,,,565,560,557,562</t>
  </si>
  <si>
    <t>2025-05-08 09:50:00,490,,490,,470,,486,,,,,490,480,481,475</t>
  </si>
  <si>
    <t>2025-05-08 09:50:00,5800,,5700,,5600,,5650,,,,,5700,5600,5630,5550</t>
  </si>
  <si>
    <t>2025-05-08 09:50:00,20100,,,,19475,,19975,,,,,20200,19600,19500,19400</t>
  </si>
  <si>
    <t>2025-05-08 09:50:00,1150456261.48228,3332628318.28029,-6249.41619536377,-9193,-10102.5123504049,-12448.37,4.32085819486822,-3304.19</t>
  </si>
  <si>
    <t>2025-05-08 09:50:00,1443061968.07844,499996010.4536,7304.94365079366,5139,9228.48950000001,5555.63,216.239846128432,1608.71</t>
  </si>
  <si>
    <t>2025-05-08 09:50:00,20348451.9184506,12042428.4536609,493.55844155844,470,2144.73525541123,-120.75,0.725748237630184,40.79</t>
  </si>
  <si>
    <t>2025-05-08 09:50:00,44173045.0466904,-21037.0702947189,-3.38849206349205,3,-60.9211547619046,105.13,-0.00308271203993991,0.66</t>
  </si>
  <si>
    <t>2025-05-08 09:51:00,,,565,,575,,562.5,,,,,565,560,557,562</t>
  </si>
  <si>
    <t>2025-05-08 09:51:00,490,,490,,470,,486,,,,,490,480,481,475</t>
  </si>
  <si>
    <t>2025-05-08 09:51:00,5800,,5700,,5600,,5650,,,,,5700,5600,5630,5550</t>
  </si>
  <si>
    <t>2025-05-08 09:51:00,20100,,20200,,19475,,19975,,,,,20500,19600,19500,19400</t>
  </si>
  <si>
    <t>2025-05-08 09:51:00,1237587906.87714,3579537028.79549,10618.4916666667,5704,8506.3776666667,1102.38,242.249403295059,574.99</t>
  </si>
  <si>
    <t>2025-05-08 09:51:00,1462763687.86266,538785867.484866,4114.478238265,2539,6707.80875519904,3508.04,-15.9924950020598,898.94</t>
  </si>
  <si>
    <t>2025-05-08 09:51:00,22017294.7088834,17048573.2664538,834.086718215997,100,15885.176254443,8376.96,-4.17705381221706,189.77</t>
  </si>
  <si>
    <t>2025-05-08 09:51:00,44439596.2115225,14260.0195367002,-24.2876923076922,-202,-87.9611538461538,-501.5,-0.0767676450482069,-6.08</t>
  </si>
  <si>
    <t>2025-05-08 09:52:00,,,565,,575,,562.5,,,,,565,560,557,562</t>
  </si>
  <si>
    <t>2025-05-08 09:52:00,490,,490,,470,,486,,,,,490,480,481,475</t>
  </si>
  <si>
    <t>2025-05-08 09:52:00,5800,,5700,,5600,,5650,,,,,5700,5600,5630,5550</t>
  </si>
  <si>
    <t>2025-05-08 09:52:00,20100,,20200,,19475,,19975,,,,,20500,19600,19500,19400</t>
  </si>
  <si>
    <t>2025-05-08 09:52:00,1373145765.05182,4103964448.80171,46380.1629679144,22467,69134.5564532085,26931.53,668.02500884298,7017.59</t>
  </si>
  <si>
    <t>2025-05-08 09:52:00,1518117172.30828,673201688.523963,6952.01084464028,1263,9168.43415346979,-2002.41,-163.336236153816,-190.71</t>
  </si>
  <si>
    <t>2025-05-08 09:52:00,23814954.5057014,27622084.9839562,6787.55119047621,4262,67211.764369048,29684.23,5.09020473910423,810.88</t>
  </si>
  <si>
    <t>2025-05-08 09:52:00,45225856.237186,46873.8372685545,1.42959924122767,-14,66.3336243238154,-386.75,-2.57804558329407E-06,-2.67</t>
  </si>
  <si>
    <t>2025-05-08 09:53:00,,,565,,575,,562.5,564,,,,565,560,557,562</t>
  </si>
  <si>
    <t>2025-05-08 09:53:00,490,,490,,470,,486,,,,,490,480,481,475</t>
  </si>
  <si>
    <t>2025-05-08 09:53:00,5800,,5700,,5600,,5650,,,,,5700,5600,5630,5550</t>
  </si>
  <si>
    <t>2025-05-08 09:53:00,20100,,20200,,19475,,19975,,,,,20400,19600,19500,19400</t>
  </si>
  <si>
    <t>2025-05-08 09:53:00,1372927446.71529,4251582385.55293,60322.3250000004,13912,105882.439416667,21383.02,81.4335654964785,5242.97</t>
  </si>
  <si>
    <t>2025-05-08 09:53:00,1525804201.53738,709244460.760346,8571.78437188291,5030,14557.1360721117,6695.87,47.5488256081075,1660.33</t>
  </si>
  <si>
    <t>2025-05-08 09:53:00,23735704.7477383,31839261.8399936,3455.37499999999,1382,66452.9799166663,14050.21,4.263844760795,353.9</t>
  </si>
  <si>
    <t>2025-05-08 09:53:00,45456394.8601213,68510.8572101295,39.1870014707376,20,1310.97210531438,1184.1,0.0174185811372339,7.39</t>
  </si>
  <si>
    <t>2025-05-08 09:54:00,,,565,,575,,562.5,,,,,565,560,557,562</t>
  </si>
  <si>
    <t>2025-05-08 09:54:00,490,,490,,470,,486,,,485,,490,480,481,475</t>
  </si>
  <si>
    <t>2025-05-08 09:54:00,5800,,5700,,5600,,5650,,,,,5700,5600,5630,5550</t>
  </si>
  <si>
    <t>2025-05-08 09:54:00,20100,,,19800,19475,,19975,,,,,20400,19600,19500,19400</t>
  </si>
  <si>
    <t>2025-05-08 09:54:00,707277937.308552,2310744319.34972,9908.06776826989,3580,-11951.1623639785,-1410.83,914.385264353866,171.77</t>
  </si>
  <si>
    <t>2025-05-08 09:54:00,1272158136.54312,250331504.633145,-28978.7176704015,-14938,-36594.4094395425,-15765.85,-348.58655194518,-4176.01</t>
  </si>
  <si>
    <t>2025-05-08 09:54:00,15280674.9784414,-7537810.36975335,-3266.50242979243,-3289,-44390.2305619048,-29128.5,-6.71848443078018,-790.89</t>
  </si>
  <si>
    <t>2025-05-08 09:54:00,41739535.9575044,-39853.4144015786,0.389216820331355,-32,-339.715589715755,-2877.09,-0.036452221755495,-14.04</t>
  </si>
  <si>
    <t>2025-05-08 09:55:00,,,565,,575,,562.5,,,,,565,560,557,562</t>
  </si>
  <si>
    <t>2025-05-08 09:55:00,490,,490,,470,,486,,,,484,490,480,481,475</t>
  </si>
  <si>
    <t>2025-05-08 09:55:00,5650,,5700,,,5700,5650,,,,,5700,5600,5630,5550</t>
  </si>
  <si>
    <t>2025-05-08 09:55:00,20100,,,19800,19475,,19975,,,,,20400,19600,19500,19400</t>
  </si>
  <si>
    <t>2025-05-08 09:55:00,325737175.350483,655054106.655981,-19053.6761967895,-17638,-41754.1460737333,-31209.83,355.064336086408,-7651.63</t>
  </si>
  <si>
    <t>2025-05-08 09:55:00,1090175041.95116,-229031902.715755,8776.02935451591,9941,9513.46217697324,13914.33,-47.3592738745422,3393.6</t>
  </si>
  <si>
    <t>2025-05-08 09:55:00,13103290.6981173,-14226138.8960441,3601.92139804639,1411,40148.6340613552,26317.81,0.00315586363013954,616.92</t>
  </si>
  <si>
    <t>2025-05-08 09:55:00,40293263.8373835,-75205.1417518749,181.131107723917,79,12680.3616651823,4790.4,-0.0364617249338831,28.22</t>
  </si>
  <si>
    <t>2025-05-08 09:56:00,,,565,,575,,562.5,,,563,,565,560,557,562</t>
  </si>
  <si>
    <t>2025-05-08 09:56:00,490,,490,,470,,486,,,,485,490,480,482,475</t>
  </si>
  <si>
    <t>2025-05-08 09:56:00,5750,,5700,,5600,,5650,,,,,5700,5600,5630,5550</t>
  </si>
  <si>
    <t>2025-05-08 09:56:00,20100,,,19800,19475,,19975,,,,,20400,19600,19500,19400</t>
  </si>
  <si>
    <t>2025-05-08 09:56:00,700900661.660401,1909828688.34617,-30165.50008325,-4784,-63840.9512024084,-3812.89,-394.34034765304,-650.9</t>
  </si>
  <si>
    <t>2025-05-08 09:56:00,1241126788.53886,50526945.8125806,-6871.53948179446,-1929,-15014.2420005273,-4874.65,117.646942093508,-977.87</t>
  </si>
  <si>
    <t>2025-05-08 09:56:00,15976016.6390899,-8458270.88911499,-5654.00293040295,-2342,-108088.811430403,-37074.21,-2.17774770848706,-853.9</t>
  </si>
  <si>
    <t>2025-05-08 09:56:00,41441198.2310327,-40379.7756071784,-137.497402075342,-101,-5011.15482007941,-2461.11,-0.0548382060234116,-18.62</t>
  </si>
  <si>
    <t>2025-05-08 09:57:00,,,565,,575,,562.5,,,,,565,560,557,562</t>
  </si>
  <si>
    <t>2025-05-08 09:57:00,490,,490,,470,,486,,,,,490,480,482,475</t>
  </si>
  <si>
    <t>2025-05-08 09:57:00,5750,,5700,,5600,,5650,,,,,5700,5600,5630,5550</t>
  </si>
  <si>
    <t>2025-05-08 09:57:00,20100,,,19800,19475,,19975,,,,,20400,19600,19500,19400</t>
  </si>
  <si>
    <t>2025-05-08 09:57:00,723298987.196336,1883595765.85109,21340.5360710166,6360,19889.1287932194,4912.97,-12.4193841060138,1755.03</t>
  </si>
  <si>
    <t>2025-05-08 09:57:00,1253691047.40546,13350095.5413554,-2177.25887089684,-1158,-2207.54743383818,-1679.1,-20.2852277522902,-351.23</t>
  </si>
  <si>
    <t>2025-05-08 09:57:00,17287138.0009308,-2952537.37463483,-2198.033015873,-1052,-28250.7731634919,-9111.06,7.27245434108938,-191.8</t>
  </si>
  <si>
    <t>2025-05-08 09:57:00,41955677.2054698,-26121.2597767628,-98.1211857562355,-76,-3830.96570810827,-2680.08,-0.00598593142210337,-18.19</t>
  </si>
  <si>
    <t>2025-05-08 09:58:00,,,565,,575,,562.5,,,,,565,560,557,562</t>
  </si>
  <si>
    <t>2025-05-08 09:58:00,490,,488,,470,,486,,,,,490,480,482,475</t>
  </si>
  <si>
    <t>2025-05-08 09:58:00,5750,,5700,,5600,,5650,,,,,5700,5600,5630,5550</t>
  </si>
  <si>
    <t>2025-05-08 09:58:00,20100,,,19800,19475,,19975,,,,,20400,19600,19500,19400</t>
  </si>
  <si>
    <t>2025-05-08 09:58:00,795855303.854022,2697041003.98526,10062.9425685425,3163,14479.8426370851,5987.26,92.0305390644032,1445.12</t>
  </si>
  <si>
    <t>2025-05-08 09:58:00,1306407782.83198,198163261.893905,1741.33739071387,1886,127.025183515852,1263.51,5.7358593265077,347.24</t>
  </si>
  <si>
    <t>2025-05-08 09:58:00,16655348.9280117,-3254717.31393972,2673.44458874459,1618,18517.9680064935,9036,1.33728130981214,276.97</t>
  </si>
  <si>
    <t>2025-05-08 09:58:00,42552607.8179895,-16371.5745703997,8.74080926195741,9,49.6527501348717,339.49,0.0182581569612185,1.85</t>
  </si>
  <si>
    <t>2025-05-08 09:59:00,,,565,,575,,562.5,,,,562,565,560,557,562</t>
  </si>
  <si>
    <t>2025-05-08 09:59:00,490,,488,,470,,486,,,,,490,480,482,475</t>
  </si>
  <si>
    <t>2025-05-08 09:59:00,5750,,5700,,5600,,5650,,,,,5700,5600,5630,5550</t>
  </si>
  <si>
    <t>2025-05-08 09:59:00,20100,,,19800,19475,,19975,,,,,20400,19600,19500,19400</t>
  </si>
  <si>
    <t>2025-05-08 09:59:00,698488849.265776,2398670525.41856,-662.3563877643,-5003,-4603.51209173578,-10357.7,93.0460436310122,-2482.83</t>
  </si>
  <si>
    <t>2025-05-08 09:59:00,1264742023.68297,198059719.789133,-1338.49877467734,-3217,-2132.15074290674,-913.33,24.1310876624059,-379.93</t>
  </si>
  <si>
    <t>2025-05-08 09:59:00,15538340.4011307,-8100756.20741812,-1197.54958333334,-538,-823.915757738142,-2306.59,-0.524832006689027,-71.1</t>
  </si>
  <si>
    <t>2025-05-08 09:59:00,41380525.471816,-49064.5291232244,19.1837308223178,6,1274.53889682057,621.78,-0.0193233273895346,3.66</t>
  </si>
  <si>
    <t>2025-05-08 10:00:00,,,565,,575,,562.5,,,,,565,560,557,562</t>
  </si>
  <si>
    <t>2025-05-08 10:00:00,490,,488,,470,,486,,,,,490,480,482,475</t>
  </si>
  <si>
    <t>2025-05-08 10:00:00,5750,,5700,,5600,,5650,,,,,5700,5600,5630,5550</t>
  </si>
  <si>
    <t>2025-05-08 10:00:00,20100,,,19800,19475,,19975,,,,,20400,19600,19500,19400</t>
  </si>
  <si>
    <t>2025-05-08 10:00:00,836092179.493313,2946809508.26621,-1270.3434511567,183,-3463.69164431159,-2446.11,100.231540118629,-442.69</t>
  </si>
  <si>
    <t>2025-05-08 10:00:00,1311320302.14467,317075587.820784,-269.470175438591,603,-1602.46996491227,219.78,-65.2249394457809,129.91</t>
  </si>
  <si>
    <t>2025-05-08 10:00:00,16872926.2549339,-5221364.44397774,-2772.6826984127,-2974,-26580.4566873016,-19541.21,1.82354038184753,-514.36</t>
  </si>
  <si>
    <t>2025-05-08 10:00:00,41923663.1769864,-32832.9408399679,-21.3635836385836,-33,-1426.41666178266,-673.89,0.00410032102883312,-4.19</t>
  </si>
  <si>
    <t>2025-05-08 10:01:00,,,565,,575,,562.5,,,,,565,560,557,562</t>
  </si>
  <si>
    <t>2025-05-08 10:01:00,490,,488,,470,,486,,,,,490,480,482,475</t>
  </si>
  <si>
    <t>2025-05-08 10:01:00,5800,,5700,,5600,,5650,,,,,5700,5600,5630,5550</t>
  </si>
  <si>
    <t>2025-05-08 10:01:00,20100,,,,19475,,19975,,,,,20400,19600,19500,19400</t>
  </si>
  <si>
    <t>2025-05-08 10:01:00,931341156.661166,3347277957.51535,1714.05279581532,3070,1679.69472979803,471.660000000001,126.037046623315,141.52</t>
  </si>
  <si>
    <t>2025-05-08 10:01:00,1345089490.81527,355733835.120527,-516.069730038481,-404,-852.534808501685,-150.32,-36.3258234076382,-75.0899999999999</t>
  </si>
  <si>
    <t>2025-05-08 10:01:00,18233725.8188302,4416554.50747193,-1067.79761904762,-1599,-12869.7905476191,-18819.88,-6.60246754332173,-493.58</t>
  </si>
  <si>
    <t>2025-05-08 10:01:00,42890728.2437107,-10939.3626225328,18.9898701298701,6,435.449793939393,195.1,0.00772742314501608,1.46</t>
  </si>
  <si>
    <t>2025-05-08 10:02:00,,,565,,575,,562.5,,,,,565,560,557,562</t>
  </si>
  <si>
    <t>2025-05-08 10:02:00,490,,488,,470,,486,,,,,490,480,482,475</t>
  </si>
  <si>
    <t>2025-05-08 10:02:00,5650,,5700,,5600,,5650,,,,,5700,5600,5630,5550</t>
  </si>
  <si>
    <t>2025-05-08 10:02:00,20100,,,,19475,,19975,,,,,20400,19600,19500,19400</t>
  </si>
  <si>
    <t>2025-05-08 10:02:00,740918003.592549,2692951587.01072,-9896.73658008657,-5997,-13125.1445054113,-6600.05,60.8540762320722,-1778.33</t>
  </si>
  <si>
    <t>2025-05-08 10:02:00,1267178309.34986,145125280.739402,2675.61050821192,1650,1138.9187634719,629.61,46.5172805833079,192.73</t>
  </si>
  <si>
    <t>2025-05-08 10:02:00,15966855.400719,-2668201.86691394,50.4976190476209,490,-188.769523809508,-1338.44,-0.793926335039386,-46.92</t>
  </si>
  <si>
    <t>2025-05-08 10:02:00,42047303.4510041,-36881.1957622542,17.8452009343314,16,691.879597733185,308.39,-0.000822789144774121,2.42</t>
  </si>
  <si>
    <t>2025-05-08 10:03:00,,,565,,575,,562.5,,,,,565,560,557,562</t>
  </si>
  <si>
    <t>2025-05-08 10:03:00,490,,488,,470,,486,,,,,490,480,482,475</t>
  </si>
  <si>
    <t>2025-05-08 10:03:00,5650,,5700,,5600,,5650,,,,,5700,5600,5630,5550</t>
  </si>
  <si>
    <t>2025-05-08 10:03:00,20100,,,,19475,,19975,,,,,20400,19600,19500,19400</t>
  </si>
  <si>
    <t>2025-05-08 10:03:00,696576521.422145,2723788583.76017,-815.118215118148,-1881,-722.883545620886,-3804.42,-115.792263533797,-844.65</t>
  </si>
  <si>
    <t>2025-05-08 10:03:00,1227200357.81498,93780701.7611974,422.484223184228,-229,-1567.09400240499,-2056.51,99.900666519663,-414.03</t>
  </si>
  <si>
    <t>2025-05-08 10:03:00,14626058.3759516,-6566469.80469318,847.376899766901,597,7093.36943053615,7626.49,-1.51942620352277,193.07</t>
  </si>
  <si>
    <t>2025-05-08 10:03:00,41828273.6681826,-48392.5304688718,-0.277096052096054,0,-81.4122456247459,134.73,-0.00565927988052071,0.98</t>
  </si>
  <si>
    <t>2025-05-08 10:04:00,,,565,,575,,562.5,,,,,565,560,557,562</t>
  </si>
  <si>
    <t>2025-05-08 10:04:00,490,,488,,470,,486,,,,,490,480,482,475</t>
  </si>
  <si>
    <t>2025-05-08 10:04:00,5650,,5700,,5600,,5650,,,,,5700,5600,5630,5550</t>
  </si>
  <si>
    <t>2025-05-08 10:04:00,20100,,,,19475,,19975,,,,,20400,19600,19500,19400</t>
  </si>
  <si>
    <t>2025-05-08 10:04:00,687540454.96049,2773073481.38199,8784.39481629482,4982,7736.03811832614,3548.02,-163.82619256887,1195.23</t>
  </si>
  <si>
    <t>2025-05-08 10:04:00,1234435740.61973,130397744.016095,-2195.98452380952,-258,-6255.01124999999,-2974.47,-30.5568620978648,-654.02</t>
  </si>
  <si>
    <t>2025-05-08 10:04:00,14755110.3526081,-6154638.30684886,39.3091558441628,715,-440.053263203332,2053.25,-3.5311869423201,73.7</t>
  </si>
  <si>
    <t>2025-05-08 10:04:00,41804755.9497518,-50242.532478097,2.78978996041991,15,-862.729673335137,4124.43,0.00798753008581153,10.48</t>
  </si>
  <si>
    <t>2025-05-08 10:05:00,,,565,,575,,562.5,,,,,565,560,557,562</t>
  </si>
  <si>
    <t>2025-05-08 10:05:00,490,,488,,470,,486,,485,,,490,480,482,475</t>
  </si>
  <si>
    <t>2025-05-08 10:05:00,5750,,5700,,5600,,5650,,,,,5700,5600,5630,5550</t>
  </si>
  <si>
    <t>2025-05-08 10:05:00,20100,,,,19475,,19975,,,,,20400,19600,19500,19400</t>
  </si>
  <si>
    <t>2025-05-08 10:05:00,927085141.376776,3522248993.08452,2522.0124542125,2189,6280.42893772906,6322.18,-54.0733485029408,1709.37</t>
  </si>
  <si>
    <t>2025-05-08 10:05:00,1344531917.38934,388630952.826161,-3092.90277777778,-3801,-4562.72624999999,-4594.31,-31.9669581053795,-1207.56</t>
  </si>
  <si>
    <t>2025-05-08 10:05:00,18170151.2996661,6010620.75126509,-1432.76190476191,161,-92587.8722619053,-7643.4,0.86741768366109,-63.7899999999999</t>
  </si>
  <si>
    <t>2025-05-08 10:05:00,42838512.447676,-17756.3989336917,-17.1831303418803,-18,-988.21290395299,-520.19,-0.0207885710591349,-3.54</t>
  </si>
  <si>
    <t>2025-05-08 10:06:00,,,565,,575,,562.5,,,,,565,560,557,562</t>
  </si>
  <si>
    <t>2025-05-08 10:06:00,490,,488,,470,,486,,,,,490,480,482,475</t>
  </si>
  <si>
    <t>2025-05-08 10:06:00,5800,,5700,,5600,,5650,,,,,5700,5600,5630,5550</t>
  </si>
  <si>
    <t>2025-05-08 10:06:00,20100,,20200,,19475,,19975,,,,,20400,19600,19500,19400</t>
  </si>
  <si>
    <t>2025-05-08 10:06:00,1064633597.17878,4150174841.29463,2703.3908313908,-5641,6458.53815656558,2901.19,-243.798382352181,444.64</t>
  </si>
  <si>
    <t>2025-05-08 10:06:00,1391709518.97838,532968068.90777,-1157.37181295715,224,-1531.82477795192,-59.79,94.9212383556298,59.44</t>
  </si>
  <si>
    <t>2025-05-08 10:06:00,19730795.9042194,14202689.3875849,98.591941391941,421,-749.115157509131,-1037.7,0.434445728656892,38.89</t>
  </si>
  <si>
    <t>2025-05-08 10:06:00,43647424.8935979,10604.4304854936,-38.4122924019402,-36,-1715.07021794071,-514.68,-0.00208249232744349,-4.51</t>
  </si>
  <si>
    <t>2025-05-08 10:07:00,,,565,,575,,562.5,,,,,565,560,557,562</t>
  </si>
  <si>
    <t>2025-05-08 10:07:00,490,,488,,470,,486,,,,,490,480,482,475</t>
  </si>
  <si>
    <t>2025-05-08 10:07:00,5800,,5700,,5600,,5650,,,,,5700,5600,5630,5550</t>
  </si>
  <si>
    <t>2025-05-08 10:07:00,20100,,20200,,19475,,19975,,,,,20400,19600,19500,19400</t>
  </si>
  <si>
    <t>2025-05-08 10:07:00,1185096307.41812,4674377961.12504,3647.97852343734,3262,4768.5883216881,1176.93,-25.0996477427607,736.93</t>
  </si>
  <si>
    <t>2025-05-08 10:07:00,1447470650.57583,676315900.557458,1314.76851851852,545,1830.67675925926,-514.79,-67.1178743684634,-41.53</t>
  </si>
  <si>
    <t>2025-05-08 10:07:00,21227942.8358303,22123797.727741,1162.3196969697,949,6780.06327272736,-2999.05,-0.459296035765817,-1.58999999999999</t>
  </si>
  <si>
    <t>2025-05-08 10:07:00,44669627.8832979,58599.3579054691,15.5809523809524,13,657.097857142856,794.6,0.0215066053413949,5.57</t>
  </si>
  <si>
    <t>2025-05-08 10:09:00,,,565,,575,,562.5,,,,,565,560,557,562</t>
  </si>
  <si>
    <t>2025-05-08 10:09:00,490,,488,,470,,486,,,,,490,480,482,475</t>
  </si>
  <si>
    <t>2025-05-08 10:09:00,5800,,5700,,5600,,5650,,,,,5700,5600,5630,5550</t>
  </si>
  <si>
    <t>2025-05-08 10:09:00,20100,,20200,,19475,,19975,,,,,20400,19600,19500,19400</t>
  </si>
  <si>
    <t>2025-05-08 10:09:00,1292459441.56252,5247334513.93103,-6350.01829281833,-9410,-2614.42734657014,-7299.1,-155.443524223064,-2192.72</t>
  </si>
  <si>
    <t>2025-05-08 10:09:00,1496974679.07591,946386736.206999,-4726.27380952381,-3566,-6231.11952380952,-5234.46,-145.263657903882,-1394.46</t>
  </si>
  <si>
    <t>2025-05-08 10:09:00,22563437.1007163,28423524.0715661,-472.662222222224,-835,-3072.89274444442,-9926.94,-4.97313703488125,-280.74</t>
  </si>
  <si>
    <t>2025-05-08 10:09:00,45408383.2524485,86945.3435053703,-8.64014235764239,-33,-145.77565930181,-811.73,-0.0234473573191439,-7.29</t>
  </si>
  <si>
    <t>2025-05-08 10:10:00,,,565,,575,,562.5,,,,,565,560,557,562</t>
  </si>
  <si>
    <t>2025-05-08 10:10:00,490,,488,,470,,486,,,,,490,480,482,475</t>
  </si>
  <si>
    <t>2025-05-08 10:10:00,5800,,5700,,5600,,5650,,,,,5700,5600,5630,5550</t>
  </si>
  <si>
    <t>2025-05-08 10:10:00,20100,,20200,,19475,,19975,,,,,20400,19600,19500,19400</t>
  </si>
  <si>
    <t>2025-05-08 10:10:00,1294105769.00747,5382476676.70524,-683.051923076918,-2725,-217.279841575083,-4688.06,-147.982721365722,-1164.05</t>
  </si>
  <si>
    <t>2025-05-08 10:10:00,1487280060.72186,884096276.234206,-1118.92502516023,-2265,-2108.42274988083,-3816.92,21.9518091176814,-1017.34</t>
  </si>
  <si>
    <t>2025-05-08 10:10:00,22478364.8950957,32698142.6702013,-587.116666666666,-672,-8361.49883333333,-10868.23,-1.3399401314191,-307.14</t>
  </si>
  <si>
    <t>2025-05-08 10:10:00,45568820.8258221,122164.713056107,-4.46778138528142,-36,-203.944045779224,-2799.27,-0.0481481175808418,-17.51</t>
  </si>
  <si>
    <t>2025-05-08 10:11:00,,,565,,575,,562.5,,,,,565,560,557,562</t>
  </si>
  <si>
    <t>2025-05-08 10:11:00,490,,488,,470,,486,,,,,490,480,482,475</t>
  </si>
  <si>
    <t>2025-05-08 10:11:00,5800,,5700,,5600,,5650,,,,,5700,5600,5630,5550</t>
  </si>
  <si>
    <t>2025-05-08 10:11:00,20100,,20200,,19475,,19975,,,,,20400,19600,19500,19400</t>
  </si>
  <si>
    <t>2025-05-08 10:11:00,1393325971.44165,5882482101.29408,-4727.85131535131,-5287,-8071.23243339993,-7190.78,85.7923878056133,-2039.17</t>
  </si>
  <si>
    <t>2025-05-08 10:11:00,1516127805.33249,1015320017.05738,-698.823534798532,-5100,-2057.33163461538,-7805.01,-235.619274812014,-2171.21</t>
  </si>
  <si>
    <t>2025-05-08 10:11:00,23311443.3089883,37095087.3244822,-231.11166666667,434,-6559.71771666671,-1001.79,-0.846651162020918,28.48</t>
  </si>
  <si>
    <t>2025-05-08 10:11:00,46081123.1580092,125763.874816342,-50.1581349206349,-38,-2875.05463888888,-1811.84,0.0386756752294255,-13.16</t>
  </si>
  <si>
    <t>2025-05-08 10:12:00,,,565,,575,,562.5,,,,,565,560,557,562</t>
  </si>
  <si>
    <t>2025-05-08 10:12:00,490,,488,,470,,486,,,,,490,480,482,475</t>
  </si>
  <si>
    <t>2025-05-08 10:12:00,5800,,5700,,5600,,5650,,,,,5700,5600,5630,5550</t>
  </si>
  <si>
    <t>2025-05-08 10:12:00,20100,,20200,,19475,,19975,,,,,20400,19600,19500,19400</t>
  </si>
  <si>
    <t>2025-05-08 10:12:00,1379108762.89622,6003176528.7713,-2356.87375124875,-2653,-5383.34077339326,-5939.64,-299.558504736977,-1558.63</t>
  </si>
  <si>
    <t>2025-05-08 10:12:00,1518933881.51685,1062155948.00676,-1713.96753246753,-1443,-3083.45783549784,-2203.44,13.2576225211512,-584</t>
  </si>
  <si>
    <t>2025-05-08 10:12:00,23471725.5699702,39496901.8886177,-641.291195486849,-1252,-8238.94714631884,-12327.63,-1.91137827455053,-340.58</t>
  </si>
  <si>
    <t>2025-05-08 10:12:00,46157104.3099138,131599.014226125,-1.40952380952381,-6,-29.7514761904762,-100.66,-0.00391180661910674,-1.01</t>
  </si>
  <si>
    <t>2025-05-08 10:13:00,,,565,,575,,562.5,,,,,565,560,557,562</t>
  </si>
  <si>
    <t>2025-05-08 10:13:00,490,,488,,470,,486,,,,,490,480,482,475</t>
  </si>
  <si>
    <t>2025-05-08 10:13:00,5800,,5700,,5600,,5650,,,,,5700,5600,5630,5550</t>
  </si>
  <si>
    <t>2025-05-08 10:13:00,20100,,20200,,19475,,19975,,,,,20400,19600,19500,19400</t>
  </si>
  <si>
    <t>2025-05-08 10:13:00,1350173147.58666,6044178261.99085,-1271.91190476189,-986,856.719333333358,4.16000000000026,-68.5147222133031,-238.1</t>
  </si>
  <si>
    <t>2025-05-08 10:13:00,1517234603.51111,1111344012.77985,-681.317927170868,-1213,-855.322100840335,-1109.27,-1.39851169550528,-354.83</t>
  </si>
  <si>
    <t>2025-05-08 10:13:00,22254870.7919252,34121513.3984436,-238.993333333334,-259,4588.26646666668,1636.7,-1.43945153163811,-24.62</t>
  </si>
  <si>
    <t>2025-05-08 10:13:00,45910109.1438306,118257.124393302,3.3986471861472,-1,82.3320243506498,-1.58,0.00699539831294463,-0.15</t>
  </si>
  <si>
    <t>2025-05-08 10:14:00,575,,565,,575,,562.5,,,,,565,560,557,562</t>
  </si>
  <si>
    <t>2025-05-08 10:14:00,490,,490,,470,,486,,,,,490,480,482,475</t>
  </si>
  <si>
    <t>2025-05-08 10:14:00,5800,,5700,,5600,,5650,,,,,5700,5600,5630,5550</t>
  </si>
  <si>
    <t>2025-05-08 10:14:00,20100,,20200,,19475,,19975,,,,,20400,19600,19500,19400</t>
  </si>
  <si>
    <t>2025-05-08 10:14:00,1568201195.08048,6722115269.16247,733.775967365965,-2889,8217.85912354313,-172.319999999999,322.855621170038,-449.05</t>
  </si>
  <si>
    <t>2025-05-08 10:14:00,1578884555.43741,1320771813.13703,-1468.75401073843,-573,-1603.85077598431,-677.26,39.0867291346674,-204.63</t>
  </si>
  <si>
    <t>2025-05-08 10:14:00,25183073.8120329,45059155.6510955,1697.26309523809,1189,20541.3193095237,7596.51,-3.0350053836819,280.84</t>
  </si>
  <si>
    <t>2025-05-08 10:14:00,47200496.1034851,154721.098297673,-7.46839789696881,-11,-282.42923334641,226,0.00104660596333587,-1.28</t>
  </si>
  <si>
    <t>2025-05-08 10:15:00,575,,565,,575,,562.5,,564,,,565,560,557,562</t>
  </si>
  <si>
    <t>2025-05-08 10:15:00,490,,488,,470,,486,,,,,490,480,482,475</t>
  </si>
  <si>
    <t>2025-05-08 10:15:00,5800,,5700,,5600,,5650,,,,,5700,5600,5630,5550</t>
  </si>
  <si>
    <t>2025-05-08 10:15:00,20100,,20200,,19475,,19975,,,,,20400,19600,19500,19400</t>
  </si>
  <si>
    <t>2025-05-08 10:15:00,1579681818.16863,7074129708.51975,-1507.86623099123,-3915,-2665.91677206126,-10512.75,-511.789365445657,-2943.81</t>
  </si>
  <si>
    <t>2025-05-08 10:15:00,1600653662.2239,1415129583.22196,3150.49090909091,3826,3932.87962121213,4216.98,-83.62438261447,1191.56</t>
  </si>
  <si>
    <t>2025-05-08 10:15:00,25209182.3887606,51121513.8324797,1686.52023809524,1180,23902.1523095238,22205.21,-0.774956627938444,613.19</t>
  </si>
  <si>
    <t>2025-05-08 10:15:00,47052362.0497025,172252.917951934,28.6658080808081,28,245.752097474748,345.15,-0.000783853929922087,3.31</t>
  </si>
  <si>
    <t>2025-05-08 10:16:00,575,,565,,575,,562.5,,,,,565,560,557,562</t>
  </si>
  <si>
    <t>2025-05-08 10:16:00,490,,490,,470,,486,,487,,,490,480,482,475</t>
  </si>
  <si>
    <t>2025-05-08 10:16:00,5800,,5700,,5600,,5650,,,,,5700,5600,5630,5550</t>
  </si>
  <si>
    <t>2025-05-08 10:16:00,20100,,20200,,19475,,19975,,,,,20400,19600,19500,19400</t>
  </si>
  <si>
    <t>2025-05-08 10:16:00,1596825842.70801,7028832192.65292,-18737.6363636362,-5460,-32840.3757705624,-8151.34,-174.662108541967,-2159.17</t>
  </si>
  <si>
    <t>2025-05-08 10:16:00,1610392488.61833,1453465419.54727,-6049.18905180842,-3933,-7469.33357771264,-5204,-28.1360964496088,-1483.51</t>
  </si>
  <si>
    <t>2025-05-08 10:16:00,25780778.111717,50939865.5711801,-3911.71309523808,-1715,-46786.499785714,-15236.93,1.48128763071083,-462.71</t>
  </si>
  <si>
    <t>2025-05-08 10:16:00,46918240.0090996,162976.531550157,-1.59769841269841,2,-19.0923119047616,-24.71,-0.00642884864837223,0.0699999999999999</t>
  </si>
  <si>
    <t>2025-05-08 10:17:00,575,,565,,575,,562.5,,,,,565,560,557,562</t>
  </si>
  <si>
    <t>2025-05-08 10:17:00,490,,490,,470,,486,,,,,490,480,482,475</t>
  </si>
  <si>
    <t>2025-05-08 10:17:00,5800,,5700,,5600,,5650,,,,,5700,5600,5630,5550</t>
  </si>
  <si>
    <t>2025-05-08 10:17:00,20100,,20200,,19475,,19975,,,,,20400,19600,19500,19400</t>
  </si>
  <si>
    <t>2025-05-08 10:17:00,1668667869.39912,7461267336.45575,-6168.96627816626,-7216,-8204.89529370625,-9701.21,168.086949230646,-2890.17</t>
  </si>
  <si>
    <t>2025-05-08 10:17:00,1626079051.38884,1489838586.44231,-1866.45286738351,-2416,-2300.11240860214,-3800.84,-22.6234147653923,-1011.22</t>
  </si>
  <si>
    <t>2025-05-08 10:17:00,26576376.3612224,55239467.1390334,-916.083333333336,-820,-11792.678,-9602.78,-2.15690313416701,-268.61</t>
  </si>
  <si>
    <t>2025-05-08 10:17:00,47305312.7669889,178780.544319663,-4.73747474747474,-13,-297.258122222222,-421.06,-0.00961897008211015,-3.18</t>
  </si>
  <si>
    <t>2025-05-08 10:18:00,575,,565,,575,,562.5,,,,,565,560,557,562</t>
  </si>
  <si>
    <t>2025-05-08 10:18:00,490,,490,,470,,486,,,,,490,480,482,475</t>
  </si>
  <si>
    <t>2025-05-08 10:18:00,5800,,5700,,5600,,5650,,,,,5700,5600,5630,5550</t>
  </si>
  <si>
    <t>2025-05-08 10:18:00,20100,,20200,,19475,,19975,,,,,20400,19600,19500,19400</t>
  </si>
  <si>
    <t>2025-05-08 10:18:00,1622954488.42719,7332458368.07228,-3214.30739260739,-6455,-3157.94426007326,-8192.09,-111.354275981582,-2482.29</t>
  </si>
  <si>
    <t>2025-05-08 10:18:00,1621126456.13261,1465740743.12789,-384.208601953602,-1464,53.1032228327219,-663.25,-88.710393229257,-301.08</t>
  </si>
  <si>
    <t>2025-05-08 10:18:00,25745853.9807599,53718859.9452611,-808.933333333334,-990,-6511.17166666668,-8253.46,-2.4230413537788,-279.51</t>
  </si>
  <si>
    <t>2025-05-08 10:18:00,47522237.2296429,177678.473048982,6.79653679653679,2,182.671825396825,92.1,0.00665068969509003,0.81</t>
  </si>
  <si>
    <t>2025-05-08 10:19:00,575,,565,,575,,562.5,,,,,565,560,557,562</t>
  </si>
  <si>
    <t>2025-05-08 10:19:00,490,,490,,470,,486,,,,,490,480,482,475</t>
  </si>
  <si>
    <t>2025-05-08 10:19:00,5800,,5700,,5600,,5650,,,,,5700,5600,5630,5550</t>
  </si>
  <si>
    <t>2025-05-08 10:19:00,20100,,20200,,19475,,19975,,,,,20400,19600,19500,19400</t>
  </si>
  <si>
    <t>2025-05-08 10:19:00,1724923617.45219,7800352639.17203,8575.76162573069,3808,12181.2273196633,3842.11,119.287911501428,974.98</t>
  </si>
  <si>
    <t>2025-05-08 10:19:00,1670031719.08963,1643046532.22939,2811.1062773845,4216,3468.23891093315,4800.4,9.60757774713062,1517.66</t>
  </si>
  <si>
    <t>2025-05-08 10:19:00,27297244.684772,62054698.7092538,723.164179894176,1826,15014.6313640211,12257.6,-1.34049309038568,375.33</t>
  </si>
  <si>
    <t>2025-05-08 10:19:00,48935367.1269053,222725.551204779,-11.5711613599534,-8,5.64491891649544,-12.13,0.00629193800381439,0.0299999999999999</t>
  </si>
  <si>
    <t>2025-05-08 10:20:00,575,,565,,575,,562.5,,,,,565,560,557,562</t>
  </si>
  <si>
    <t>2025-05-08 10:20:00,490,,490,,470,,486,,,,,490,480,482,475</t>
  </si>
  <si>
    <t>2025-05-08 10:20:00,5800,,5700,,5600,,5650,,,,,5700,5600,5630,5550</t>
  </si>
  <si>
    <t>2025-05-08 10:20:00,20100,,20200,,19475,,19975,,,,,20400,19600,19500,19400</t>
  </si>
  <si>
    <t>2025-05-08 10:20:00,1823381485.54393,8585620621.82801,739.796320346279,907,3071.63393506483,-652.13,104.877748415731,191.54</t>
  </si>
  <si>
    <t>2025-05-08 10:20:00,1693548151.46965,1837803981.72527,694.992592592592,1238,909.480074074073,908.09,99.7325512536914,336.43</t>
  </si>
  <si>
    <t>2025-05-08 10:20:00,28028385.1643993,65281739.4830761,-561.856666666666,-208,-4129.77380000001,-3712.25,0.726439660954218,-98.21</t>
  </si>
  <si>
    <t>2025-05-08 10:20:00,48688936.4716949,215919.471077147,-30.5078571428571,-39,-1181.46318492063,-892.5,0.0173380480559057,-7.38</t>
  </si>
  <si>
    <t>2025-05-08 10:21:00,575,,565,,575,,562.5,,,,,565,560,557,562</t>
  </si>
  <si>
    <t>2025-05-08 10:21:00,490,,490,,470,,486,,,,487,490,480,482,475</t>
  </si>
  <si>
    <t>2025-05-08 10:21:00,5800,,5700,,5600,,5650,5670,,,,5700,5600,5630,5550</t>
  </si>
  <si>
    <t>2025-05-08 10:21:00,20100,,20200,,19475,,19975,,,,,20400,19600,19500,19400</t>
  </si>
  <si>
    <t>2025-05-08 10:21:00,1797827501.20942,7982095294.40776,24447.5696353455,13551,38680.7858236744,15671.21,522.702940638756,4203.1</t>
  </si>
  <si>
    <t>2025-05-08 10:21:00,1704622513.1585,1789663649.46999,12963.9669594742,10824,13290.8078238312,11665.24,536.799225256818,3356.91</t>
  </si>
  <si>
    <t>2025-05-08 10:21:00,29045168.2377973,71074661.5072067,2572.86305878332,2599,51578.0672327751,31015.54,5.55285652101452,818.65</t>
  </si>
  <si>
    <t>2025-05-08 10:21:00,48982808.3798686,272659.765609,195.684063160444,105,631.511895184288,-1219.26,0.0464481966821432,0.81</t>
  </si>
  <si>
    <t>2025-05-08 10:22:00,575,,565,,575,,562.5,,565,565,,565,560,557,562</t>
  </si>
  <si>
    <t>2025-05-08 10:22:00,490,,490,,470,,486,,,,,490,480,482,475</t>
  </si>
  <si>
    <t>2025-05-08 10:22:00,5800,,5700,,5600,,5650,,,,,5700,5600,5630,5550</t>
  </si>
  <si>
    <t>2025-05-08 10:22:00,20100,,20200,,19475,,19975,,,,,20400,19600,19500,19400</t>
  </si>
  <si>
    <t>2025-05-08 10:22:00,2068821386.61385,9948096459.86462,483.854852876599,-5480,-2285.83442424241,-15511.04,-613.716321373574,-3727.21</t>
  </si>
  <si>
    <t>2025-05-08 10:22:00,1779870382.00148,2313521390.58327,1132.15480790338,-758,1263.4824392791,-1605.73,-299.771458098528,-455.05</t>
  </si>
  <si>
    <t>2025-05-08 10:22:00,31169471.0964374,89905691.0184797,320.081746031747,-390,-2194.30535714285,-15181.79,-6.2266806611661,-489.31</t>
  </si>
  <si>
    <t>2025-05-08 10:22:00,49474394.4691469,327329.762941381,-9.02920357420356,-15,38.7927288156289,144.14,0.0112641624529303,0.77</t>
  </si>
  <si>
    <t>2025-05-08 10:23:00,575,,565,,575,,562.5,,,,,565,560,557,562</t>
  </si>
  <si>
    <t>2025-05-08 10:23:00,490,,490,,470,,486,488,,,,490,480,482,475</t>
  </si>
  <si>
    <t>2025-05-08 10:23:00,5800,,5700,,5600,,5650,,,,,5700,5600,5630,5550</t>
  </si>
  <si>
    <t>2025-05-08 10:23:00,20100,,20200,,19475,,19975,,,,,20400,19600,19500,19400</t>
  </si>
  <si>
    <t>2025-05-08 10:23:00,2166759670.88304,10692272410.8554,5268.16547619049,-3616,5592.47589826845,-8687.19,-365.63767563345,-2178.68</t>
  </si>
  <si>
    <t>2025-05-08 10:23:00,1810301842.75097,2537694962.70201,,1207,,3914.14,-139.017105100163,890.91</t>
  </si>
  <si>
    <t>2025-05-08 10:23:00,32325900.1075687,97718615.0807379,-1015.12111111111,-848,-10744.4110333333,-6141.71,7.53287537171346,-186.57</t>
  </si>
  <si>
    <t>2025-05-08 10:23:00,49983328.323811,354979.943101859,-5.11376923294876,-14,-101.45345132793,-627.97,-0.0225560323482646,-4.38</t>
  </si>
  <si>
    <t>2025-05-08 10:24:00,575,,565,,575,,562.5,566,,,,565,560,557,562</t>
  </si>
  <si>
    <t>2025-05-08 10:24:00,490,,490,,470,,486,,488,,,490,480,482,475</t>
  </si>
  <si>
    <t>2025-05-08 10:24:00,5800,,5700,,5600,,5650,,,,,5700,5600,5630,5550</t>
  </si>
  <si>
    <t>2025-05-08 10:24:00,20100,,20200,,19475,,19975,,,,,20400,19600,19500,19400</t>
  </si>
  <si>
    <t>2025-05-08 10:24:00,2277510079.63097,11262194013.7708,5295.96302659327,7066,11064.7079276761,9813.54,502.260921859241,3177.87</t>
  </si>
  <si>
    <t>2025-05-08 10:24:00,1840890267.31335,2801261480.83394,-1102.11092028887,-4334,-166.112255300265,-8189.06,-187.055187095937,-2225.14</t>
  </si>
  <si>
    <t>2025-05-08 10:24:00,33818966.7276137,107462685.253685,-847.610000000006,-1932,-7215.10703333344,-10897.27,2.36132766379316,-308.95</t>
  </si>
  <si>
    <t>2025-05-08 10:24:00,50289925.3001553,376386.784039723,-5.84547152194211,-20,-396.946767857143,-892.07,-0.0230464618981003,-6.69</t>
  </si>
  <si>
    <t>2025-05-08 10:25:00,575,,565,,575,,562.5,,566,,,565,560,557,562</t>
  </si>
  <si>
    <t>2025-05-08 10:25:00,490,,490,,490,,486,,488,,,490,480,482,475</t>
  </si>
  <si>
    <t>2025-05-08 10:25:00,5800,,5700,,5600,,5650,,5680,,,5700,5600,5630,5550</t>
  </si>
  <si>
    <t>2025-05-08 10:25:00,20100,,20200,,19475,,19975,,,,,20400,19600,19500,19400</t>
  </si>
  <si>
    <t>2025-05-08 10:25:00,2423381508.49253,12434015692.4948,-10376.5128427986,-22968,-1658.88240425717,-17212.29,-739.678227688847,-6339.48</t>
  </si>
  <si>
    <t>2025-05-08 10:25:00,1914526014.11212,3118488166.95988,800.044784248042,156,2895.3736631756,778.070000000001,194.216154496421,21.5899999999997</t>
  </si>
  <si>
    <t>2025-05-08 10:25:00,35699132.9055224,120405746.840139,815.457371794866,-400,10438.8217550365,-11880.04,2.30306406198854,-354.72</t>
  </si>
  <si>
    <t>2025-05-08 10:25:00,51285846.4722396,451529.551325634,20.7160898763072,-15,1056.66039541594,200.95,0.0148645343495599,0.97</t>
  </si>
  <si>
    <t>2025-05-08 10:26:00,575,,565,,575,,562.5,,,,,565,560,557,562</t>
  </si>
  <si>
    <t>2025-05-08 10:26:00,490,,490,,490,,486,,,,,490,480,482,475</t>
  </si>
  <si>
    <t>2025-05-08 10:26:00,5800,,5700,,5600,,5650,5680,,,,5700,5600,5630,5550</t>
  </si>
  <si>
    <t>2025-05-08 10:26:00,20100,,20200,,19475,,19975,,,,,20400,19600,19500,19400</t>
  </si>
  <si>
    <t>2025-05-08 10:26:00,2523619778.86734,13282211094.0565,-6848.54754467753,-4210,3657.21398438233,-2944.13,-359.710662097559,-1582.46</t>
  </si>
  <si>
    <t>2025-05-08 10:26:00,1945718618.64305,3302255259.96411,8904.27160397073,5866,13409.0497530228,3498.51,-81.943639572993,1477.9</t>
  </si>
  <si>
    <t>2025-05-08 10:26:00,36501059.4015867,135317797.36427,3338.45333333332,3564,45451.9248404761,32238.37,7.89141680274185,1030.28</t>
  </si>
  <si>
    <t>2025-05-08 10:26:00,51112980.5203633,474309.575955338,17.5642535690116,36,695.555333336284,-90.08,0.0224460926208276,1.19</t>
  </si>
  <si>
    <t>2025-05-08 10:27:00,575,,565,,575,,562.5,,566,,,565,560,557,562</t>
  </si>
  <si>
    <t>2025-05-08 10:27:00,490,,490,,490,,486,,,,,490,480,482,475</t>
  </si>
  <si>
    <t>2025-05-08 10:27:00,5800,,5700,,5600,,5650,,,,,5700,5600,5630,5550</t>
  </si>
  <si>
    <t>2025-05-08 10:27:00,20100,,20200,,19475,,19975,,,,,20400,19600,19500,19400</t>
  </si>
  <si>
    <t>2025-05-08 10:27:00,2520899950.33546,13378704979.3823,-5957.90779775773,-6118,-9516.89171223206,-16238.73,-151.752712780821,-4197.4</t>
  </si>
  <si>
    <t>2025-05-08 10:27:00,1938376094.06705,3339716168.09903,-2203.93069923372,-2802,-2831.88034434866,-6854.79,107.157125497258,-1860.88</t>
  </si>
  <si>
    <t>2025-05-08 10:27:00,36757618.4704811,136299623.965885,-670.149999999995,-36,-4500.10453333325,-5221.29,-6.00605015241204,-169.82</t>
  </si>
  <si>
    <t>2025-05-08 10:27:00,51387264.4919706,493528.649243994,7.17520885547201,0,276.241693400167,-136.6,-0.000703195460206272,0.19</t>
  </si>
  <si>
    <t>2025-05-08 10:28:00,575,,565,,575,,562.5,567,,,,565,560,557,562</t>
  </si>
  <si>
    <t>2025-05-08 10:28:00,490,,490,,490,,486,,,,,490,480,482,475</t>
  </si>
  <si>
    <t>2025-05-08 10:28:00,5800,,5700,,5600,,5650,,,,,5700,5600,5630,5550</t>
  </si>
  <si>
    <t>2025-05-08 10:28:00,20100,,20200,,19475,,19975,,,,,20400,19600,19500,19400</t>
  </si>
  <si>
    <t>2025-05-08 10:28:00,2680292645.31576,14660680105.9588,13889.9585414586,17189,19133.2643076925,15878.17,55.9155735240808,5310.03</t>
  </si>
  <si>
    <t>2025-05-08 10:28:00,1988063386.27935,3838379679.4168,-3780.96246666151,-7945,-3206.615603268,-11262.41,-671.346980651219,-3649.41</t>
  </si>
  <si>
    <t>2025-05-08 10:28:00,38183719.4210371,153258477.490048,1497.07393162393,1978,28298.3328931624,27458,11.3297771040005,842.58</t>
  </si>
  <si>
    <t>2025-05-08 10:28:00,52101535.3273819,530413.427187453,-273.724023888552,-150,-3834.26731917619,-1999.09,0.118401045200992,-18.02</t>
  </si>
  <si>
    <t>2025-05-08 10:29:00,575,,565,,575,,562.5,,,,,565,560,557,562</t>
  </si>
  <si>
    <t>2025-05-08 10:29:00,490,,490,,490,,486,,,,,490,480,482,475</t>
  </si>
  <si>
    <t>2025-05-08 10:29:00,5800,,5700,,5600,,5650,5690,,,,5700,5600,5630,5550</t>
  </si>
  <si>
    <t>2025-05-08 10:29:00,20100,,20200,,19475,,19975,,,,,20400,19600,19500,19400</t>
  </si>
  <si>
    <t>2025-05-08 10:29:00,2744953977.15463,15506264464.3781,-13430.7287490285,-15275,-16053.4376058381,-20653.69,-1410.40269161484,-7071.05</t>
  </si>
  <si>
    <t>2025-05-08 10:29:00,2035891536.21413,4238876162.38392,7044.10300385889,7324,14304.7488618734,12665.46,83.7596950101376,3104.11</t>
  </si>
  <si>
    <t>2025-05-08 10:29:00,38712133.4179439,160815043.462422,6969.95223707665,3646,88870.8869858586,43243.16,8.59448917721979,1351.79</t>
  </si>
  <si>
    <t>2025-05-08 10:29:00,51848223.8213822,583148.78326053,118.850534372788,75,3911.77935372423,2056.11,0.0706508562108708,15.02</t>
  </si>
  <si>
    <t>2025-05-08 10:30:00,575,,565,,575,,562.5,566,,,,565,560,557,564</t>
  </si>
  <si>
    <t>2025-05-08 10:30:00,490,,490,,490,,486,,,,,490,480,490,475</t>
  </si>
  <si>
    <t>2025-05-08 10:30:00,5800,,5700,,5600,,5650,,5680,,,5700,5600,5630,5550</t>
  </si>
  <si>
    <t>2025-05-08 10:30:00,20100,,20200,,19475,,19975,,,,,20400,19600,19500,19400</t>
  </si>
  <si>
    <t>2025-05-08 10:30:00,2345502995.66623,13364237236.8851,-13141.0953526865,-14262,-19524.7088649945,-27713.6,871.20822357048,-7723.95</t>
  </si>
  <si>
    <t>2025-05-08 10:30:00,1921533040.35998,3409153687.01871,-5669.3650070944,-6364,-5523.41428599875,-9088.95,362.167810842762,-2226.42</t>
  </si>
  <si>
    <t>2025-05-08 10:30:00,33815575.7683616,122076242.579877,-5244.22393067595,-2146,-23426.0061633935,-20243.21,-16.1449753816222,-464.71</t>
  </si>
  <si>
    <t>2025-05-08 10:30:00,50583889.8855678,465096.122500515,40.4050145253137,-6,10637.3267825742,4905.74,0.0639133542743989,18.26</t>
  </si>
  <si>
    <t>2025-05-08 10:31:00,575,,565,,575,,562.5,,,,,565,560,557,564</t>
  </si>
  <si>
    <t>2025-05-08 10:31:00,490,,490,,490,,486,489,,,,490,480,490,475</t>
  </si>
  <si>
    <t>2025-05-08 10:31:00,5800,,5700,,5600,,5650,,,,,5700,5600,5630,5550</t>
  </si>
  <si>
    <t>2025-05-08 10:31:00,20100,,20200,,19475,,19975,,,,,20400,19600,19500,19400</t>
  </si>
  <si>
    <t>2025-05-08 10:31:00,2292254212.47142,13179369889.7389,3359.97640481493,7600,1737.60174519549,4050.3,-144.658447229323,1489.62</t>
  </si>
  <si>
    <t>2025-05-08 10:31:00,1929648655.64103,3489492549.34255,912.188332635106,926,1790.1058358004,526.72,-65.9711824899602,176.84</t>
  </si>
  <si>
    <t>2025-05-08 10:31:00,34111520.3757491,132069426.407677,2205.89009948384,1963,23081.6579865258,22629.29,-7.94970421359181,655.16</t>
  </si>
  <si>
    <t>2025-05-08 10:31:00,51227439.0237295,517296.792320313,38.6675541125541,54,1704.18231147186,687.05,0.0872803657707779,7.07</t>
  </si>
  <si>
    <t>2025-05-08 10:33:00,575,,565,,575,,562.5,566,,,,565,560,557,564</t>
  </si>
  <si>
    <t>2025-05-08 10:33:00,490,,490,,490,,486,,489,,,490,480,490,475</t>
  </si>
  <si>
    <t>2025-05-08 10:33:00,5800,,5700,,5600,,5650,,,,,5700,5600,5630,5550</t>
  </si>
  <si>
    <t>2025-05-08 10:33:00,20100,,20200,,19475,,19975,,,,,20400,19600,19500,19400</t>
  </si>
  <si>
    <t>2025-05-08 10:33:00,2578306706.64066,14892385126.5017,11044.1913419913,9290,16357.6673506494,11502.29,710.538779344475,3695.48</t>
  </si>
  <si>
    <t>2025-05-08 10:33:00,2024472158.62409,3918701236.80601,378.835464486874,-739,762.23940996274,-2011.29,69.9341530232745,-446.22</t>
  </si>
  <si>
    <t>2025-05-08 10:33:00,36657255.098511,148928764.629098,1102.71,1184,17256.4462333334,15664.14,0.499444694574355,475.07</t>
  </si>
  <si>
    <t>2025-05-08 10:33:00,51632996.5870256,563097.879648656,-82.5866217116217,-72,744.018345571096,909.54,0.0495021649426703,6.87</t>
  </si>
  <si>
    <t>2025-05-08 10:34:00,575,,565,,575,,562.5,,,,,565,560,557,564</t>
  </si>
  <si>
    <t>2025-05-08 10:34:00,490,,490,,490,,486,,,,,490,480,490,475</t>
  </si>
  <si>
    <t>2025-05-08 10:34:00,5800,,5700,,5600,,5650,,,,,5700,5600,5630,5550</t>
  </si>
  <si>
    <t>2025-05-08 10:34:00,20100,,20200,,19475,,19975,,,,,20400,19600,19500,19400</t>
  </si>
  <si>
    <t>2025-05-08 10:34:00,2663546062.90126,15621054106.3246,6169.20598290599,5714,10404.6301837607,9369.24,362.790385828832,2820.45</t>
  </si>
  <si>
    <t>2025-05-08 10:34:00,2040279683.39233,4029586605.68308,-444.696742227178,-1926,528.029950885667,-697.59,69.0008239335454,-419.08</t>
  </si>
  <si>
    <t>2025-05-08 10:34:00,38293237.7712848,157455193.121541,-437.203290043292,-1142,5737.84573419906,-7767.55,-0.934484877913904,-305.65</t>
  </si>
  <si>
    <t>2025-05-08 10:34:00,52204832.8492966,597781.272131234,-304.320951270951,-174,-553.99455916306,-488.42,0.047657413046859,-3.78</t>
  </si>
  <si>
    <t>2025-05-08 10:35:00,575,,565,,575,,562.5,,,,,565,560,557,564</t>
  </si>
  <si>
    <t>2025-05-08 10:35:00,490,,490,,490,,486,,,,,490,480,482,475</t>
  </si>
  <si>
    <t>2025-05-08 10:35:00,5800,,5700,,5600,,5650,,,,,5700,5600,5630,5550</t>
  </si>
  <si>
    <t>2025-05-08 10:35:00,20100,,20200,,19475,,19975,,,,,20400,19600,19500,19400</t>
  </si>
  <si>
    <t>2025-05-08 10:35:00,2752477210.79552,16305916460.7971,-2603.44160839161,-1136,-2141.14647552447,-1920.09,-165.932802947284,-492.19</t>
  </si>
  <si>
    <t>2025-05-08 10:35:00,2034169066.9654,4217943413.98731,-6358.92132131297,-3618,-5680.21375983532,-3073.01,61.3915506521439,-966.81</t>
  </si>
  <si>
    <t>2025-05-08 10:35:00,38974434.0902601,166436286.906428,134.946428571428,64,1180.85309523808,2841.68,1.04847343163951,92.65</t>
  </si>
  <si>
    <t>2025-05-08 10:35:00,52312030.1012608,624671.191590553,-17.8486930423383,-20,-88.1174560763598,-1508.78,-0.0299759277160161,-11.22</t>
  </si>
  <si>
    <t>2025-05-08 10:36:00,575,,565,,575,,562.5,,567,,,565,560,557,564</t>
  </si>
  <si>
    <t>2025-05-08 10:36:00,490,,490,,490,,486,490,,,,490,480,490,475</t>
  </si>
  <si>
    <t>2025-05-08 10:36:00,5800,,5700,,5600,,5650,,,,,5700,5600,5530,5550</t>
  </si>
  <si>
    <t>2025-05-08 10:36:00,20100,,20200,,19475,,19975,,,,,20400,19600,19500,19400</t>
  </si>
  <si>
    <t>2025-05-08 10:36:00,2791522786.6592,16535863468.3237,-8031.82554112548,-12840,-4060.79684415571,-10357.51,-143.781293475576,-3826.86</t>
  </si>
  <si>
    <t>2025-05-08 10:36:00,2052729061.27775,4392236636.86212,-11224.0783383491,-10101,-5702.1197858557,-6486.88,443.467360890926,-2417.25</t>
  </si>
  <si>
    <t>2025-05-08 10:36:00,39948222.8527122,170912980.885005,-1852.7925962926,-3284,-9110.44463658569,-21834.76,-5.98180543658028,-834.16</t>
  </si>
  <si>
    <t>2025-05-08 10:36:00,52317207.1441782,667753.606730088,7.8585884521729,-10,349.529297627008,-861.56,0.000578864284488843,-5.94</t>
  </si>
  <si>
    <t>2025-05-08 10:37:00,575,,565,,575,,562.5,,,,,565,560,557,564</t>
  </si>
  <si>
    <t>2025-05-08 10:37:00,490,,490,,490,,486,490,,,,490,480,490,475</t>
  </si>
  <si>
    <t>2025-05-08 10:37:00,5800,,5700,,5600,,5650,,,,,5700,5600,5530,5550</t>
  </si>
  <si>
    <t>2025-05-08 10:37:00,20100,,20200,,19475,,19975,,,,,20400,19600,19500,19300</t>
  </si>
  <si>
    <t>2025-05-08 10:37:00,2832561760.95956,16950667752.5431,-4387.18158508158,-6199,-4813.05976923076,-8000.53,66.395381538517,-2502.82</t>
  </si>
  <si>
    <t>2025-05-08 10:37:00,2074555014.90555,4250058050.86246,-3284.10039947975,-4189,-2283.31262210736,-4637.78,366.196529116104,-1359.87</t>
  </si>
  <si>
    <t>2025-05-08 10:37:00,40473086.8575606,175656310.285302,-687.930952380955,-1210,-5291.93383333337,-10652.39,-2.73984260926597,-356.52</t>
  </si>
  <si>
    <t>2025-05-08 10:37:00,52684170.1901344,674961.598127696,-118.492374819625,-24,27.2650190945166,-132.15,0.00762688560698716,-1.09</t>
  </si>
  <si>
    <t>2025-05-08 10:38:00,575,,565,,575,,562.5,,,,,565,560,557,564</t>
  </si>
  <si>
    <t>2025-05-08 10:38:00,490,,490,,490,,486,,,,,490,480,490,475</t>
  </si>
  <si>
    <t>2025-05-08 10:38:00,5800,,5700,,5600,,5650,,,,,5700,5600,5530,5550</t>
  </si>
  <si>
    <t>2025-05-08 10:38:00,20100,,20200,,19475,,19975,,,,,20400,19600,19500,19300</t>
  </si>
  <si>
    <t>2025-05-08 10:38:00,2806267662.99461,16709966961.9559,1329.36724386726,1638,3016.79498701302,1613.52,70.090407694174,448.53</t>
  </si>
  <si>
    <t>2025-05-08 10:38:00,2091645565.46226,4131618696.20213,1273.13807285378,3712,3674.14709743341,5920.77,8.20253074001977,1800.69</t>
  </si>
  <si>
    <t>2025-05-08 10:38:00,39701161.210256,181311660.860481,547.282222222217,1016,13496.1576999999,4957.16,-2.39807075351626,161.99</t>
  </si>
  <si>
    <t>2025-05-08 10:38:00,52885759.9363489,676755.852593065,1.06566152230539,-5,239.466673438904,-444.5,0.0133159154136178,-3.11</t>
  </si>
  <si>
    <t>2025-05-08 10:39:00,575,,565,,575,,562.5,,,,,565,560,557,564</t>
  </si>
  <si>
    <t>2025-05-08 10:39:00,490,,490,,490,,486,,,,,490,480,490,475</t>
  </si>
  <si>
    <t>2025-05-08 10:39:00,5800,,5700,,5600,,5650,,,,,5700,5600,5530,5550</t>
  </si>
  <si>
    <t>2025-05-08 10:39:00,20100,,20200,,19475,,19975,,,,,20400,19600,19500,19300</t>
  </si>
  <si>
    <t>2025-05-08 10:39:00,2718446704.25785,16259055056.4146,1337.56367243867,1850,8492.19230303029,7204.38,452.942027024607,2172.51</t>
  </si>
  <si>
    <t>2025-05-08 10:39:00,2054052423.72096,3891853755.22644,2181.23797313798,4267,2955.27004639805,5225.84,-14.9872695236467,1762.04</t>
  </si>
  <si>
    <t>2025-05-08 10:39:00,38447519.8396712,174529291.283879,802.845555555559,1055,7133.89255555561,8858.65,-0.746622394164249,331.87</t>
  </si>
  <si>
    <t>2025-05-08 10:39:00,52422734.224193,658385.729331248,113.055411255411,109,56.7414264069257,-382.96,0.0213101801524394,-3.49</t>
  </si>
  <si>
    <t>2025-05-08 10:40:00,575,,570,,575,,562.5,,,,,565,560,557,564</t>
  </si>
  <si>
    <t>2025-05-08 10:40:00,490,,490,,490,,486,,490,,,490,480,482,475</t>
  </si>
  <si>
    <t>2025-05-08 10:40:00,5800,,5700,,5600,,5650,,5700,,,5700,5600,5530,5550</t>
  </si>
  <si>
    <t>2025-05-08 10:40:00,20100,,20350,,19475,,19975,,,,,20350,19600,19500,19300</t>
  </si>
  <si>
    <t>2025-05-08 10:40:00,3190325195.11744,18612085689.1594,5608.45892525606,-2941,17501.2167186385,-232.75,118.389721125602,-678.279999999999</t>
  </si>
  <si>
    <t>2025-05-08 10:40:00,2155894893.19958,4591232061.46191,-9960.14191960657,-11359,-8198.44690072315,-14741.6,-328.78818724109,-4766.89</t>
  </si>
  <si>
    <t>2025-05-08 10:40:00,44745451.3124178,204642178.880206,-2125.1628497891,-2636,-24940.3266145008,-24572.56,4.74087137301933,-747.36</t>
  </si>
  <si>
    <t>2025-05-08 10:40:00,52334950.9118076,914127.449847973,-1059.95387692717,-654,-7809.08221338764,-4519.33,-0.673062896626525,-66.5</t>
  </si>
  <si>
    <t>2025-05-08 10:41:00,575,,570,,575,,562.5,568,,,,565,560,557,564</t>
  </si>
  <si>
    <t>2025-05-08 10:41:00,490,,490,,490,,486,,490,490,,490,480,482,475</t>
  </si>
  <si>
    <t>2025-05-08 10:41:00,5800,,5700,,5600,,5650,5700,,,,5700,5600,5530,5550</t>
  </si>
  <si>
    <t>2025-05-08 10:41:00,20100,,20350,,19475,,19975,,,,,20350,19600,19500,19300</t>
  </si>
  <si>
    <t>2025-05-08 10:41:00,3216897563.44419,19145929457.6297,10084.1998791064,-3925,23153.9412735597,-3397.82,-551.095387366052,-1333.87</t>
  </si>
  <si>
    <t>2025-05-08 10:41:00,2186425484.76202,4695436759.51121,-1551.97350254491,-5534,983.822249785717,-6614.77,30.8245527546213,-1945.06</t>
  </si>
  <si>
    <t>2025-05-08 10:41:00,45816398.6975813,220281351.688588,4943.53116883116,4639,32250.9874545455,27068.23,17.4118657311178,1128.05</t>
  </si>
  <si>
    <t>2025-05-08 10:41:00,52304616.6896024,970383.864278726,2.37319994016762,-35,132.802733298957,-879.94,-0.0687533830146323,-8.78</t>
  </si>
  <si>
    <t>2025-05-08 10:42:00,575,,570,,575,,562.5,,,,,570,560,557,564</t>
  </si>
  <si>
    <t>2025-05-08 10:42:00,490,,490,,490,,486,,,,491,490,480,482,475</t>
  </si>
  <si>
    <t>2025-05-08 10:42:00,5800,,5700,,5600,,5650,,,,,5700,5600,5530,5550</t>
  </si>
  <si>
    <t>2025-05-08 10:42:00,20100,,20400,,19475,,19975,,,,,20400,19600,19500,20400</t>
  </si>
  <si>
    <t>2025-05-08 10:42:00,3549861026.53678,18786260700.3432,-7246.93532157466,-25506,-21701.640323972,-42630.68,-1937.77346081421,-11630.44</t>
  </si>
  <si>
    <t>2025-05-08 10:42:00,2234870622.20548,4459800563.16578,-692.641981982857,798,1257.83921861228,-5837.16,-454.025218072759,-621.64</t>
  </si>
  <si>
    <t>2025-05-08 10:42:00,50820974.1707775,235969929.680321,2504.24302521008,-4442,16619.427755929,-50765.55,-8.51578429448944,-1480.93</t>
  </si>
  <si>
    <t>2025-05-08 10:42:00,50847026.9620925,1237508.85458053,8.92341842406535,-601,-1733.59875681606,-8248.21,-0.68537216878468,-89.76</t>
  </si>
  <si>
    <t>2025-05-08 10:43:00,575,,570,,575,,562.5,,569,,,570,560,557,564</t>
  </si>
  <si>
    <t>2025-05-08 10:43:00,490,,490,,490,,486,491,,,,490,480,482,475</t>
  </si>
  <si>
    <t>2025-05-08 10:43:00,5800,,5700,,5600,,5650,,5700,,,5700,5600,5530,5550</t>
  </si>
  <si>
    <t>2025-05-08 10:43:00,20200,,20400,,19475,,19975,,,,,20400,19600,19500,20400</t>
  </si>
  <si>
    <t>2025-05-08 10:43:00,3507157049.30091,20504097251.8497,11835.6988344988,-2715,10812.0251630592,-6888.19,1007.02912324267,-1296.47</t>
  </si>
  <si>
    <t>2025-05-08 10:43:00,2231111281.98727,4667904055.99957,1992.69896952558,-10575,11089.4329822629,-9314.37,418.627798011768,-2942.59</t>
  </si>
  <si>
    <t>2025-05-08 10:43:00,49997504.9470559,234213390.932622,-7478.00864598364,-2630,-118396.299420996,-37775.71,8.98401916922655,-1106.24</t>
  </si>
  <si>
    <t>2025-05-08 10:43:00,50379396.5791915,1226080.54417868,-27.0301832185599,-29,-1209.07626215266,-2178.38,-0.023563993825325,-13.48</t>
  </si>
  <si>
    <t>2025-05-08 10:44:00,575,,570,,575,,562.5,,569,,,570,560,557,564</t>
  </si>
  <si>
    <t>2025-05-08 10:44:00,490,,490,,490,,486,,,,,490,480,482,475</t>
  </si>
  <si>
    <t>2025-05-08 10:44:00,5800,,5700,,5600,,5650,,,,,5700,5600,5530,5550</t>
  </si>
  <si>
    <t>2025-05-08 10:44:00,20200,,20400,,19475,,19975,,,,,20400,19600,19500,20400</t>
  </si>
  <si>
    <t>2025-05-08 10:44:00,3529114698.99038,18679011375.239,4452.29614361474,1779,7827.31999717897,1083.07,-492.18728065471,358.04</t>
  </si>
  <si>
    <t>2025-05-08 10:44:00,2230948292.1307,4231926634.36771,9207.54613809397,3496,23476.9699360934,10655.36,-191.938098245239,1528.8</t>
  </si>
  <si>
    <t>2025-05-08 10:44:00,50939111.0464268,238668531.822285,302.775320807345,1086,-374886.621104237,-135371.52,-2.36183042504597,-1063.29</t>
  </si>
  <si>
    <t>2025-05-08 10:44:00,49822244.862559,1237201.97094057,97.9222297787105,114,7724.0614503908,6227.12,0.086142320964993,41.95</t>
  </si>
  <si>
    <t>2025-05-08 10:45:00,575,,570,,575,,562.5,569,,569,,570,560,557,564</t>
  </si>
  <si>
    <t>2025-05-08 10:45:00,490,,490,,490,,486,,,492,,490,480,482,475</t>
  </si>
  <si>
    <t>2025-05-08 10:45:00,5800,,5700,,5600,,5650,,5710,,,5700,5600,5530,5550</t>
  </si>
  <si>
    <t>2025-05-08 10:45:00,20200,,20400,,19475,,19975,,,,,20400,19600,19500,19300</t>
  </si>
  <si>
    <t>2025-05-08 10:45:00,3532684268.3566,19324010709.3221,14792.9823620824,-1867,32716.1433139083,7092.78,-405.317010832331,1081.54</t>
  </si>
  <si>
    <t>2025-05-08 10:45:00,2237731660.67563,4552750533.43776,6245.08678722593,3760,13408.1494184007,8236.64,128.895555937771,1906.99</t>
  </si>
  <si>
    <t>2025-05-08 10:45:00,52534807.0592757,241844725.788839,799.847519147501,-668,37112.6673824782,1379.07,-4.88204792917107,-90.61</t>
  </si>
  <si>
    <t>2025-05-08 10:45:00,49672824.4038293,1459632.64702932,1389.48292842108,599,25901.9394911936,10272.1,0.764914458739414,97.88</t>
  </si>
  <si>
    <t>2025-05-08 10:46:00,575,,570,,575,,562.5,,,,,570,560,557,564</t>
  </si>
  <si>
    <t>2025-05-08 10:46:00,490,,490,,490,,487,492,,,,490,480,482,475</t>
  </si>
  <si>
    <t>2025-05-08 10:46:00,5800,,5700,,5600,,5650,,,,,5700,5600,5530,5550</t>
  </si>
  <si>
    <t>2025-05-08 10:46:00,20200,,20400,,19475,,19975,,,,,20400,19600,19500,19300</t>
  </si>
  <si>
    <t>2025-05-08 10:46:00,3525547046.58586,18437844442.0767,20967.2956709958,15103,27425.1786017318,15452.53,834.604378423357,4450.21</t>
  </si>
  <si>
    <t>2025-05-08 10:46:00,2222982617.81925,4251644191.4875,3695.84495135068,7826,8347.02739302826,9625.22,-206.386432773199,2650.02</t>
  </si>
  <si>
    <t>2025-05-08 10:46:00,51690012.3816639,246182368.646527,1187.38638888889,623,16899.924975,4180.76,-9.65152148081217,-5.34000000000005</t>
  </si>
  <si>
    <t>2025-05-08 10:46:00,49164079.4542689,1617573.76492901,591.574452299545,470,15458.4236150986,11842.41,0.583327589113914,106.41</t>
  </si>
  <si>
    <t>2025-05-08 10:47:00,575,,570,,575,,562.5,,,,,570,560,557,564</t>
  </si>
  <si>
    <t>2025-05-08 10:47:00,490,,490,,490,,487,492,,,,490,480,482,475</t>
  </si>
  <si>
    <t>2025-05-08 10:47:00,5800,,5700,,5600,,5650,,,,,5700,5600,5530,5550</t>
  </si>
  <si>
    <t>2025-05-08 10:47:00,20200,,20400,,19475,,19975,,,,,20400,19600,19500,19300</t>
  </si>
  <si>
    <t>2025-05-08 10:47:00,3495280901.78054,19335856266.168,4853.10628815629,7511,13944.735066045,17840.88,397.371448747215,3854.72</t>
  </si>
  <si>
    <t>2025-05-08 10:47:00,2216566438.59662,4345067289.68672,-3913.24758944552,-3106,1065.76637073811,-2108.67,-59.5829716337814,-148.4</t>
  </si>
  <si>
    <t>2025-05-08 10:47:00,51177208.5031898,239107687.95502,3.50305194805056,-1290,6288.26942857144,13.2200000000001,-3.77166958353546,3.02999999999998</t>
  </si>
  <si>
    <t>2025-05-08 10:47:00,49311371.4902485,1586010.01324259,-31.092670283682,-23,-1084.20136674308,-1377.55,-0.0210024226648509,-10.66</t>
  </si>
  <si>
    <t>2025-05-08 10:48:00,575,,570,,575,,562.5,,,,,570,560,557,564</t>
  </si>
  <si>
    <t>2025-05-08 10:48:00,490,,490,,490,,487,492,,492,,490,480,482,475</t>
  </si>
  <si>
    <t>2025-05-08 10:48:00,5800,,5700,,5600,,5650,,,,,5700,5600,5530,5550</t>
  </si>
  <si>
    <t>2025-05-08 10:48:00,20200,,20400,,19475,,19975,,,,,20400,19600,19500,19300</t>
  </si>
  <si>
    <t>2025-05-08 10:48:00,3566785017.39372,19580776506.5349,-1688.68362627709,-1738,-2725.42258377854,-3061.89,-140.044847745106,-1208.06</t>
  </si>
  <si>
    <t>2025-05-08 10:48:00,2228013034.38694,4451011503.89649,5107.53119374302,4755,7654.04033509709,6580.68,54.4515146470668,1776.29</t>
  </si>
  <si>
    <t>2025-05-08 10:48:00,52343159.1748881,247660536.271012,2037.32945887446,1755,3482.09416082254,-3114.05,3.17440588273292,0.200000000000004</t>
  </si>
  <si>
    <t>2025-05-08 10:48:00,49221332.6911726,1667424.79299437,142.177726611288,123,2173.67238008749,1789.91,0.153112941876712,18.27</t>
  </si>
  <si>
    <t>2025-05-08 10:49:00,575,,570,,575,,562.5,,,,,570,560,557,564</t>
  </si>
  <si>
    <t>2025-05-08 10:49:00,490,,490,,490,,487,,,,,490,480,482,475</t>
  </si>
  <si>
    <t>2025-05-08 10:49:00,5800,,5700,,5600,,5650,,,,,5700,5600,5530,5550</t>
  </si>
  <si>
    <t>2025-05-08 10:49:00,20200,,20400,,19475,,19975,,,,,20400,19600,19500,19300</t>
  </si>
  <si>
    <t>2025-05-08 10:49:00,3523078842.74773,19853866132.0576,-9618.60423187927,-13103,-13948.6368008659,-19956.04,-600.706764573815,-5290.25</t>
  </si>
  <si>
    <t>2025-05-08 10:49:00,2204800478.98774,4656340216.34482,-8882.38791781541,-6368,-11550.7102084929,-8250.32,-56.4648790802989,-2270.66</t>
  </si>
  <si>
    <t>2025-05-08 10:49:00,51908951.1155072,239629364.270642,-1724.18586580087,-1845,-16902.8277505051,-13574.46,-4.3177756638012,-415.21</t>
  </si>
  <si>
    <t>2025-05-08 10:49:00,49528985.6122407,1688772.72104509,4.42126128737702,-2,177.611924502924,-37.2,0.00782158789063538,-0.47</t>
  </si>
  <si>
    <t>2025-05-08 10:50:00,575,,570,,575,,562.5,,,,,570,560,557,564</t>
  </si>
  <si>
    <t>2025-05-08 10:50:00,490,,490,,490,,487,,,,492,490,480,482,475</t>
  </si>
  <si>
    <t>2025-05-08 10:50:00,5800,,5700,,5600,,5650,,,,,5700,5600,5530,5550</t>
  </si>
  <si>
    <t>2025-05-08 10:50:00,20200,,20400,,19475,,19975,,,,,20400,19600,19500,19300</t>
  </si>
  <si>
    <t>2025-05-08 10:50:00,3453233804.61625,19748284677.7744,7616.88276494748,2810,21561.0193376559,10010.48,363.855721752253,2676.8</t>
  </si>
  <si>
    <t>2025-05-08 10:50:00,2211709776.08734,4398185754.61227,-248.808064426613,-1204,3213.23178258748,383.09,69.733584815979,-91.5500000000001</t>
  </si>
  <si>
    <t>2025-05-08 10:50:00,50507885.0937651,246238669.542498,959.882142857141,1483,17090.5824523809,13607.45,-7.02659704006863,396.73</t>
  </si>
  <si>
    <t>2025-05-08 10:50:00,49645420.310945,1681212.22110133,39.5684176830211,58,1666.33188970225,2681.7,0.0363185370030842,15.2</t>
  </si>
  <si>
    <t>2025-05-08 10:51:00,575,,570,,575,,562.5,,,,,570,560,557,564</t>
  </si>
  <si>
    <t>2025-05-08 10:51:00,490,,490,,490,,487,,,,491,490,480,482,475</t>
  </si>
  <si>
    <t>2025-05-08 10:51:00,5800,,5700,,5600,,5650,,,,,5700,5600,5530,5550</t>
  </si>
  <si>
    <t>2025-05-08 10:51:00,20100,,20400,,19475,,19975,,,,,20400,19600,19500,19300</t>
  </si>
  <si>
    <t>2025-05-08 10:51:00,3387922034.75427,20126516538.6519,-848.588275058275,-1019,-2668.69289180818,-3342.41,289.744607276871,-137.27</t>
  </si>
  <si>
    <t>2025-05-08 10:51:00,2170781056.25356,4526508875.14357,-1058.18625561189,-1737,247.602855766484,-1390.61,-132.629862173503,-388.85</t>
  </si>
  <si>
    <t>2025-05-08 10:51:00,48608816.339152,235623420.259231,-2347.50822510823,-3106,18570.7486883115,-23435.64,-5.94899541096819,-753.05</t>
  </si>
  <si>
    <t>2025-05-08 10:51:00,49874737.6684391,1648917.09550259,16.2699633699634,8,112.863023199023,-158.72,0.00999420412518463,-0.75</t>
  </si>
  <si>
    <t>2025-05-08 10:52:00,575,,570,,575,,562.5,,,,,570,560,557,564</t>
  </si>
  <si>
    <t>2025-05-08 10:52:00,490,,490,,490,,487,,,491,,490,480,482,475</t>
  </si>
  <si>
    <t>2025-05-08 10:52:00,5800,,5700,,5600,,5650,,,,,5700,5600,5530,5550</t>
  </si>
  <si>
    <t>2025-05-08 10:52:00,20100,,20400,,19475,,19975,,,,,20400,19600,19500,19300</t>
  </si>
  <si>
    <t>2025-05-08 10:52:00,3268285937.05811,19730343965.3495,83596.2061116426,36438,115684.744223717,40096.22,52.5948067216354,12009.58</t>
  </si>
  <si>
    <t>2025-05-08 10:52:00,2184869899.65847,4427300484.98703,16728.8188582873,11350,21539.5477745883,14699.74,-96.8563943150953,4294.98</t>
  </si>
  <si>
    <t>2025-05-08 10:52:00,47741177.6600669,240138640.161787,6756.621953405,3268,73922.5407369428,26623.58,-2.90345244359343,813.08</t>
  </si>
  <si>
    <t>2025-05-08 10:52:00,50345457.1588225,1646868.50138942,3.13317169784785,-2,45.4250091580721,-25.18,0.0319265153415358,0.529999999999999</t>
  </si>
  <si>
    <t>2025-05-08 10:53:00,575,,570,,575,,562.5,,,,569,570,560,557,564</t>
  </si>
  <si>
    <t>2025-05-08 10:53:00,490,,490,,490,,487,,491,,491,490,480,482,475</t>
  </si>
  <si>
    <t>2025-05-08 10:53:00,5800,,5700,,5600,,5650,,,,,5700,5600,5530,5550</t>
  </si>
  <si>
    <t>2025-05-08 10:53:00,20100,,20400,,19475,,19975,,,,,20400,19600,19500,19300</t>
  </si>
  <si>
    <t>2025-05-08 10:53:00,3269863193.94283,19291337756.8785,-9573.03819776714,-9966,-15616.837960925,-18003.43,164.054025838949,-4474.32</t>
  </si>
  <si>
    <t>2025-05-08 10:53:00,2147369542.98221,4500941169.69382,-9102.53372645879,-6645,-12997.0308072947,-10081.22,-53.0360220650491,-2572.87</t>
  </si>
  <si>
    <t>2025-05-08 10:53:00,47784417.0109856,219175004.898964,-2134.93174603175,-2699,-25041.4756904762,-17072.24,-2.07687211763775,-510.44</t>
  </si>
  <si>
    <t>2025-05-08 10:53:00,49870471.7878836,1662928.77794147,-1.74670800939593,-310,-1205.81353444651,-3287.89,-0.234953581407179,-31.71</t>
  </si>
  <si>
    <t>2025-05-08 10:54:00,575,,570,,575,,562.5,,,,,570,560,557,564</t>
  </si>
  <si>
    <t>2025-05-08 10:54:00,490,,490,,490,,487,,491,491,,490,480,482,475</t>
  </si>
  <si>
    <t>2025-05-08 10:54:00,5800,,5700,,5600,,5650,,,,,5700,5600,5530,5550</t>
  </si>
  <si>
    <t>2025-05-08 10:54:00,20100,,20400,,19475,,19975,,,,,20400,19600,19500,19300</t>
  </si>
  <si>
    <t>2025-05-08 10:54:00,3458135472.8604,21756802528.4596,-4949.38076923076,-8783,-8292.63132295482,-11607.05,-111.260841203969,-3866.19</t>
  </si>
  <si>
    <t>2025-05-08 10:54:00,2186883800.07979,4873241515.76925,2269.79484037203,-711,12627.8801001131,446.31,-267.16853334764,-137.19</t>
  </si>
  <si>
    <t>2025-05-08 10:54:00,50939683.7147946,256427537.883291,532.076976300539,302,5538.89885020917,-1693.24,-3.64301259023465,-119.57</t>
  </si>
  <si>
    <t>2025-05-08 10:54:00,50212918.768515,1792798.17442545,53.233432757473,48,2367.916436952,1952.98,0.0872272506642813,14.93</t>
  </si>
  <si>
    <t>2025-05-08 10:55:00,575,,570,,575,,562.5,,,,,570,560,557,564</t>
  </si>
  <si>
    <t>2025-05-08 10:55:00,490,,490,,490,,487,,,,491,490,480,482,475</t>
  </si>
  <si>
    <t>2025-05-08 10:55:00,5800,,5700,,5600,,5650,,,,,5700,5600,5530,5550</t>
  </si>
  <si>
    <t>2025-05-08 10:55:00,20100,,20400,,19475,,19975,,,,,20400,19600,19500,19300</t>
  </si>
  <si>
    <t>2025-05-08 10:55:00,3341702497.06544,21238659112.9005,16443.727056277,14012,16551.3057943723,12094.85,752.663888480349,4473.95</t>
  </si>
  <si>
    <t>2025-05-08 10:55:00,2186490916.75034,4831556064.57795,177.261677305018,369,-538.061179393126,-1295.19,52.5129067319229,-404.3</t>
  </si>
  <si>
    <t>2025-05-08 10:55:00,48590962.2379224,249193536.510915,596.426666666665,1075,9253.14386666663,12447.24,2.48359468464081,451.3</t>
  </si>
  <si>
    <t>2025-05-08 10:55:00,50760241.6297579,1770621.93057405,98.006838383949,-179,4147.79683833053,164.14,-0.118441838167158,-1.55</t>
  </si>
  <si>
    <t>2025-05-08 10:56:00,575,,570,,575,,562.5,,,,,570,560,557,564</t>
  </si>
  <si>
    <t>2025-05-08 10:56:00,490,,490,,490,,487,,,,491,490,480,482,475</t>
  </si>
  <si>
    <t>2025-05-08 10:56:00,5800,,5700,,5600,,5650,,,,,5700,5600,5530,5550</t>
  </si>
  <si>
    <t>2025-05-08 10:56:00,20100,,20400,,19475,,19975,,,,,20400,19600,19500,19300</t>
  </si>
  <si>
    <t>2025-05-08 10:56:00,3352016214.54149,20678224963.3368,-10657.5134989372,-7118,-18264.6303689731,-12910.98,272.097291666824,-3560.78</t>
  </si>
  <si>
    <t>2025-05-08 10:56:00,2177588390.0344,4849289558.78414,-5828.10221802003,-4984,-6192.82959163964,-5454.7,221.991221452307,-1621.59</t>
  </si>
  <si>
    <t>2025-05-08 10:56:00,48975054.8915041,240376242.112022,-2418.73333333334,-2572,-27520.1065238095,-21788.04,-0.479115394912602,-723.04</t>
  </si>
  <si>
    <t>2025-05-08 10:56:00,50414492.6518426,1739676.3791252,-38.057601010101,-33,-700.798263636364,-661.46,0.00960986147763716,-6.62</t>
  </si>
  <si>
    <t>2025-05-08 10:58:00,575,,570,,575,,562.5,,,,,570,560,557,564</t>
  </si>
  <si>
    <t>2025-05-08 10:58:00,490,,490,,490,,487,,,491,,490,480,482,475</t>
  </si>
  <si>
    <t>2025-05-08 10:58:00,5800,,5700,,5600,,5650,,,,,5700,5600,5530,5550</t>
  </si>
  <si>
    <t>2025-05-08 10:58:00,20100,,20400,,19475,,19975,,,,,20400,19600,19500,19300</t>
  </si>
  <si>
    <t>2025-05-08 10:58:00,3328451510.49915,21212919396.4635,1852.91298701299,847,2492.96286580086,638.03,130.203537946782,-126.9</t>
  </si>
  <si>
    <t>2025-05-08 10:58:00,2186744216.0367,4776244817.93117,990.324840845426,1595,3376.17181079703,3180.13,-9.21376371754457,823.92</t>
  </si>
  <si>
    <t>2025-05-08 10:58:00,48712129.3006356,251885522.716436,1855.28332289056,67,3533.98941008764,-21357.95,1.41686662621216,-137.09</t>
  </si>
  <si>
    <t>2025-05-08 10:58:00,50693030.6099712,1831208.18015472,94.714149375012,58,3294.44131810768,1954.44,0.0647603963006957,15.44</t>
  </si>
  <si>
    <t>2025-05-08 10:59:00,575,,570,,575,,562.5,,,,,570,560,557,564</t>
  </si>
  <si>
    <t>2025-05-08 10:59:00,490,,490,,490,,487,,,,491,490,480,482,475</t>
  </si>
  <si>
    <t>2025-05-08 10:59:00,5800,,5700,,5600,,5650,,,,,5700,5600,5530,5550</t>
  </si>
  <si>
    <t>2025-05-08 10:59:00,20100,,20400,,19475,,19975,,,,,20400,19600,19500,19300</t>
  </si>
  <si>
    <t>2025-05-08 10:59:00,3369527999.33285,21473008115.2333,-3284.1204933955,-2181,-5780.33957400933,-6529.25,-68.8206531074817,-2129.22</t>
  </si>
  <si>
    <t>2025-05-08 10:59:00,2185957268.50118,4895704140.3725,-1162.95833333332,-1033,-1517.90166666665,-1404.42,166.591191184329,-445.45</t>
  </si>
  <si>
    <t>2025-05-08 10:59:00,49247985.848133,251226327.256075,-7.53095238095208,-91,1093.38964285712,-537.88,-5.4091458716252,-29.59</t>
  </si>
  <si>
    <t>2025-05-08 10:59:00,50958732.1643498,1801517.5855655,-24.9560606060606,-16,30.3352727272728,21.27,0.020820841763563,0.43</t>
  </si>
  <si>
    <t>2025-05-08 11:00:00,575,,570,,575,,562.5,,,,,570,560,557,564</t>
  </si>
  <si>
    <t>2025-05-08 11:00:00,490,,490,,490,,487,,,,,490,480,482,475</t>
  </si>
  <si>
    <t>2025-05-08 11:00:00,5800,,5700,,5600,,5660,,,,,5700,5600,5530,5550</t>
  </si>
  <si>
    <t>2025-05-08 11:00:00,20100,,20400,,19475,,19975,,,,,20400,19600,19500,19300</t>
  </si>
  <si>
    <t>2025-05-08 11:00:00,3359362867.47666,21071775415.0653,-5988.50227272727,-686,-10095.6432878788,-2825.38,369.359362045454,-608.88</t>
  </si>
  <si>
    <t>2025-05-08 11:00:00,2205233741.23415,5018550796.60625,1944.6566091954,2924,3038.53354885057,2678.87,-65.8381357005997,898.96</t>
  </si>
  <si>
    <t>2025-05-08 11:00:00,48834949.6970613,243396998.183424,-1207.80063237416,-1122,-9805.50066645447,-8891.28,-3.56672708659937,-274.39</t>
  </si>
  <si>
    <t>2025-05-08 11:00:00,51311862.9598215,1793030.76769343,-9.23925309849968,2,-50.4830331050231,-145.6,-0.00288878327820338,-1.15</t>
  </si>
  <si>
    <t>2025-05-08 11:01:00,575,,570,,575,,562.5,,,,,570,560,557,564</t>
  </si>
  <si>
    <t>2025-05-08 11:01:00,490,,490,,490,,487,491,,,491,490,480,482,475</t>
  </si>
  <si>
    <t>2025-05-08 11:01:00,5800,,5700,,5600,,5650,,,,,5700,5600,5530,5550</t>
  </si>
  <si>
    <t>2025-05-08 11:01:00,20100,,20400,,19475,,19975,,,,,20400,19600,19500,19300</t>
  </si>
  <si>
    <t>2025-05-08 11:01:00,3472857663.72391,21678926850.8971,-4389.37500000003,-5244,-6295.19191666671,-8830.62,176.142948325162,-2463.03</t>
  </si>
  <si>
    <t>2025-05-08 11:01:00,2192526005.22575,4868942429.55402,-2295.88861737677,-1857,-3857.93209878862,-4145.92,81.6972912891987,-1198.92</t>
  </si>
  <si>
    <t>2025-05-08 11:01:00,51066961.9612179,258559077.14472,-1067.88690476191,-1878,-10773.6821,-11750.71,-4.49227227079669,-397.83</t>
  </si>
  <si>
    <t>2025-05-08 11:01:00,50282327.488282,1885307.99830476,-12.3347619047619,-19,-584.232428571431,-729.97,-0.0209371260838589,-6.13</t>
  </si>
  <si>
    <t>2025-05-08 11:02:00,575,,570,,575,,562.5,569,,,,570,560,557,564</t>
  </si>
  <si>
    <t>2025-05-08 11:02:00,490,,490,,490,,487,,,,,490,480,482,475</t>
  </si>
  <si>
    <t>2025-05-08 11:02:00,5800,,5700,,5600,,5650,,,,,5700,5600,5530,5550</t>
  </si>
  <si>
    <t>2025-05-08 11:02:00,20100,,20400,,19475,,19975,,,,,20400,19600,19500,19300</t>
  </si>
  <si>
    <t>2025-05-08 11:02:00,3466452466.98629,22433329775.8878,988.250194250206,1345,4248.56219735821,3228.87,148.358291465566,940.98</t>
  </si>
  <si>
    <t>2025-05-08 11:02:00,2211271081.47833,5108365451.29383,441.987101412317,-125,1799.67351831326,173.36,-91.458353166846,-197.99</t>
  </si>
  <si>
    <t>2025-05-08 11:02:00,50767372.242277,277475409.23615,2314.32463203463,1181,131045.985758874,44588.12,0.794219518116078,712.88</t>
  </si>
  <si>
    <t>2025-05-08 11:02:00,50923842.743112,1953260.72432207,101.667388726297,41,6115.42606441834,2275.03,0.052229343535381,17.15</t>
  </si>
  <si>
    <t>2025-05-08 11:03:00,575,,570,,575,,562.5,,,,,570,560,557,564</t>
  </si>
  <si>
    <t>2025-05-08 11:03:00,490,,490,,490,,487,,,,,490,480,482,475</t>
  </si>
  <si>
    <t>2025-05-08 11:03:00,5800,,5700,,5600,,5650,,,,,5700,5600,5530,5550</t>
  </si>
  <si>
    <t>2025-05-08 11:03:00,20100,,20400,,19475,,19975,,,,,20400,19600,19500,19300</t>
  </si>
  <si>
    <t>2025-05-08 11:03:00,3425491291.81293,22142161140.0219,1290.13095238094,-689,2417.1232142857,2181.81,-90.3128626054425,511.3</t>
  </si>
  <si>
    <t>2025-05-08 11:03:00,2209563825.00603,4923711752.52166,643.238028063883,1454,2653.33946200924,2352.69,164.666634454506,626.98</t>
  </si>
  <si>
    <t>2025-05-08 11:03:00,50189334.5494246,276664152.715491,452.295238095243,438,10422.8214444445,7394.89,-8.29518278771691,228.9</t>
  </si>
  <si>
    <t>2025-05-08 11:03:00,51534524.3623005,1926265.69560337,22.2861305361305,23,631.782808857809,494.65,0.0114597657007019,4.63</t>
  </si>
  <si>
    <t>2025-05-08 11:04:00,575,,570,,575,,562.5,,,,,570,560,557,564</t>
  </si>
  <si>
    <t>2025-05-08 11:04:00,490,,490,,490,,487,,,,,490,480,482,475</t>
  </si>
  <si>
    <t>2025-05-08 11:04:00,5800,,5700,,5600,,5650,,,,,5700,5600,5530,5550</t>
  </si>
  <si>
    <t>2025-05-08 11:04:00,20100,,20400,,19475,,19975,,,,,20400,19600,19500,19300</t>
  </si>
  <si>
    <t>2025-05-08 11:04:00,3536926040.77944,22706307875.334,2471.8933982684,2265,6720.44278535354,5087.63,-65.3344323852429,1741.06</t>
  </si>
  <si>
    <t>2025-05-08 11:04:00,2202848177.29051,5055300399.19293,2639.18657504383,-274,3390.95450660599,-166.13,23.2758184669626,-16.3999999999999</t>
  </si>
  <si>
    <t>2025-05-08 11:04:00,51957145.0074641,275521198.76253,203.221904761904,399,1907.7768,-227.75,-3.71932964583378,48.73</t>
  </si>
  <si>
    <t>2025-05-08 11:04:00,51204516.436302,1954050.80590629,-14.0650270147585,-22,-343.01076355997,-293.95,-0.00804270307060356,-2.9</t>
  </si>
  <si>
    <t>2025-05-08 11:05:00,575,,570,,575,,562.5,,,,,570,560,557,564</t>
  </si>
  <si>
    <t>2025-05-08 11:05:00,490,,490,,490,,487,492,,,,490,480,482,475</t>
  </si>
  <si>
    <t>2025-05-08 11:05:00,5800,,5700,,5600,,5650,,5700,,5700,5700,5600,5530,5550</t>
  </si>
  <si>
    <t>2025-05-08 11:05:00,20100,,20400,,19475,,19975,,,,,20400,19600,19500,19300</t>
  </si>
  <si>
    <t>2025-05-08 11:05:00,3559856075.98546,22713294797.5287,-5517.47801757065,-4300,-6579.589973262,-5930.59,-58.4613267663792,-1939.21</t>
  </si>
  <si>
    <t>2025-05-08 11:05:00,2208780640.60119,5149188512.25111,-2620.51945066428,-2429,-299.75944976862,-330.4,131.220834286376,-263.41</t>
  </si>
  <si>
    <t>2025-05-08 11:05:00,52362877.1424207,282864917.434579,-1256.98492063492,-1803,-13139.6328492063,-22414.47,1.06805493370374,-728.29</t>
  </si>
  <si>
    <t>2025-05-08 11:05:00,51013135.8269418,1992564.20452725,0.990756465756449,13,78.1132099567089,-217.75,0.00662325795198912,-0.73</t>
  </si>
  <si>
    <t>2025-05-08 11:06:00,575,,570,,575,,562.5,,,,,570,560,557,564</t>
  </si>
  <si>
    <t>2025-05-08 11:06:00,490,,490,,490,,487,,,,,490,480,482,475</t>
  </si>
  <si>
    <t>2025-05-08 11:06:00,5800,,5700,,5600,,5650,,,,,5700,5600,5530,5550</t>
  </si>
  <si>
    <t>2025-05-08 11:06:00,20100,,20400,,19475,,19975,,,,,20400,19600,19500,19300</t>
  </si>
  <si>
    <t>2025-05-08 11:06:00,3588892664.89152,23432821206.364,1151.84790764788,3551,794.809766233717,2605.96,169.571802674661,991.87</t>
  </si>
  <si>
    <t>2025-05-08 11:06:00,2251494350.5551,5210274168.19075,1493.57437055282,5409,2574.49690270936,5106.3,-202.718924586645,1722.36</t>
  </si>
  <si>
    <t>2025-05-08 11:06:00,51878121.9784704,296502130.858323,16.6682539682553,76,3188.60260317461,739.99,1.11306065191564,41.7</t>
  </si>
  <si>
    <t>2025-05-08 11:06:00,51002713.1944335,2046705.80032927,7.70393466531722,17,584.447870727745,903.39,0.00139046274716212,6.48</t>
  </si>
  <si>
    <t>2025-05-08 11:07:00,575,,570,,575,,562.5,,,,,570,560,557,564</t>
  </si>
  <si>
    <t>2025-05-08 11:07:00,490,,490,,490,,487,,,,,490,480,482,475</t>
  </si>
  <si>
    <t>2025-05-08 11:07:00,5800,,5700,,5600,,5650,,,,,5700,5600,5530,5550</t>
  </si>
  <si>
    <t>2025-05-08 11:07:00,20100,,20400,,19475,,19975,,,,,20400,19600,19500,19300</t>
  </si>
  <si>
    <t>2025-05-08 11:07:00,3631685469.46238,23207114277.6989,-1724.67948717949,-964,340.13245299146,329.21,571.965300635923,192.39</t>
  </si>
  <si>
    <t>2025-05-08 11:07:00,2235447555.5162,5013902377.25803,-1345.98005506626,-1933,-1413.46741412483,-3578.4,-27.7532026001396,-1090.54</t>
  </si>
  <si>
    <t>2025-05-08 11:07:00,53101298.9597842,295956081.91843,-627,-580,-4181.94177777776,-6061.76,-1.43818889946533,-204.63</t>
  </si>
  <si>
    <t>2025-05-08 11:07:00,51028209.2573683,2046572.41034846,-4.3608543417367,-13,-86.810968487395,-348.97,-0.0119105949972707,-2.56</t>
  </si>
  <si>
    <t>2025-05-08 11:08:00,575,,570,,575,,562.5,,,,,570,560,557,564</t>
  </si>
  <si>
    <t>2025-05-08 11:08:00,490,,490,,490,,487,,,,,490,480,482,475</t>
  </si>
  <si>
    <t>2025-05-08 11:08:00,5800,,5700,,5600,,5650,,,,,5700,5600,5530,5550</t>
  </si>
  <si>
    <t>2025-05-08 11:08:00,20100,,20400,,19475,,19975,,,,,20400,19600,19500,19300</t>
  </si>
  <si>
    <t>2025-05-08 11:08:00,3639685715.99962,23750611191.1505,-4928.04347319346,-4851,-3937.8492012987,-4355.37,260.269971925926,-1491.39</t>
  </si>
  <si>
    <t>2025-05-08 11:08:00,2248779681.22067,5155268383.96131,1004.48393162393,2409,1678.13911965813,2604.18,-25.1307726147945,910.83</t>
  </si>
  <si>
    <t>2025-05-08 11:08:00,53304014.8360939,298456002.146736,-489.365873015873,-229,-176.212523809504,1111.98,0.745707620630893,55.88</t>
  </si>
  <si>
    <t>2025-05-08 11:08:00,51278267.5366316,2066010.49903833,4.15611119887093,-26,745.038811891798,-2011.65,-0.0340441008949113,-13.31</t>
  </si>
  <si>
    <t>2025-05-08 11:09:00,575,,570,,575,,562.5,,,,,570,560,557,564</t>
  </si>
  <si>
    <t>2025-05-08 11:09:00,490,,490,,490,,487,,,,,490,480,482,475</t>
  </si>
  <si>
    <t>2025-05-08 11:09:00,5800,,5700,,5600,,5660,,,,,5700,5600,5530,5550</t>
  </si>
  <si>
    <t>2025-05-08 11:09:00,20200,,20400,,19475,,19975,,,,,20400,19600,19500,19300</t>
  </si>
  <si>
    <t>2025-05-08 11:09:00,3721483924.95052,24215251973.4931,4039.75206349207,5250,4339.29582222223,4212.69,-23.3567517731068,1726.77</t>
  </si>
  <si>
    <t>2025-05-08 11:09:00,2248413200.96165,5241907258.02118,-417.892918766181,-104,136.233196179592,-88.7200000000002,-9.67237336325919,-122.87</t>
  </si>
  <si>
    <t>2025-05-08 11:09:00,54946733.9594303,305850463.126163,-279.48897618363,74,-2401.20698427896,-1404.61,3.27441879673485,5.33999999999999</t>
  </si>
  <si>
    <t>2025-05-08 11:09:00,50849014.266848,2123133.35919833,-20.0846692523163,-34,-483.971433042447,-517.79,-0.0310858534564255,-5.92</t>
  </si>
  <si>
    <t>2025-05-08 11:10:00,575,,570,,575,,562.5,569,,,,570,560,557,564</t>
  </si>
  <si>
    <t>2025-05-08 11:10:00,490,,490,,490,,487,492,,,,490,480,482,475</t>
  </si>
  <si>
    <t>2025-05-08 11:10:00,5800,,5700,,5600,,5660,,,,,5700,5600,5530,5550</t>
  </si>
  <si>
    <t>2025-05-08 11:10:00,20100,,20400,,19475,,19975,,,,,20400,19600,19500,19300</t>
  </si>
  <si>
    <t>2025-05-08 11:10:00,3734661351.31485,25001495281.9759,15900.1303751804,6419,26131.7741320346,12462.12,253.617215232897,4045.49</t>
  </si>
  <si>
    <t>2025-05-08 11:10:00,2283008363.87056,5361777342.90784,2017.66073128432,318,5135.48903814949,308.2,-359.357832523948,-225.66</t>
  </si>
  <si>
    <t>2025-05-08 11:10:00,54682634.3518504,322637311.021147,1738.96462301587,725,47866.1844486111,9554.47,-3.18871949146576,207.15</t>
  </si>
  <si>
    <t>2025-05-08 11:10:00,51088756.6723406,2193555.23112784,36.7813805382923,36,1854.63178546394,1047.37,0.0319795202985537,8.12</t>
  </si>
  <si>
    <t>2025-05-08 11:11:00,575,,570,,575,,562.5,,,,,570,560,557,564</t>
  </si>
  <si>
    <t>2025-05-08 11:11:00,490,,490,,490,,487,,,,,490,480,482,475</t>
  </si>
  <si>
    <t>2025-05-08 11:11:00,5800,,5700,,5600,,5650,,,,5700,5700,5600,5530,5550</t>
  </si>
  <si>
    <t>2025-05-08 11:11:00,20100,,20400,,19475,,19975,,,,,20400,19600,19500,19300</t>
  </si>
  <si>
    <t>2025-05-08 11:11:00,3665354837.53446,24283204061.3166,-5601.31774891774,-6844,-4354.31498701298,-6026.76,134.861926210894,-2251.4</t>
  </si>
  <si>
    <t>2025-05-08 11:11:00,2270986468.48214,5303048194.53045,-2260.01917869386,-1967,-1821.18511854348,-2456.16,182.285067273618,-853.91</t>
  </si>
  <si>
    <t>2025-05-08 11:11:00,53095746.8372986,307972967.472554,-518.340595238095,-809,30787.0353416667,8542.04,0.439608880099002,-136.57</t>
  </si>
  <si>
    <t>2025-05-08 11:11:00,51355093.1939693,2139992.56398113,13.1597763347763,18,100.824257647908,122.16,0.0136308996047383,1.57</t>
  </si>
  <si>
    <t>2025-05-08 11:12:00,575,,570,,575,,562.5,,,,569,570,560,557,564</t>
  </si>
  <si>
    <t>2025-05-08 11:12:00,490,,490,,490,,487,,,,,490,480,482,475</t>
  </si>
  <si>
    <t>2025-05-08 11:12:00,5800,,5700,,5600,,5660,,,,,5700,5600,5530,5550</t>
  </si>
  <si>
    <t>2025-05-08 11:12:00,20200,,20400,,19475,,19975,,,,,20400,19600,19500,20500</t>
  </si>
  <si>
    <t>2025-05-08 11:12:00,3711451034.06299,25043222690.7882,-9264.80086580087,-11668,-12752.620719697,-12548.21,200.027034011912,-4244.91</t>
  </si>
  <si>
    <t>2025-05-08 11:12:00,2254719280.94956,5557117504.58205,-868.420530817684,-1092,-99.7119303261374,1367.09,-5.07970719678648,434.55</t>
  </si>
  <si>
    <t>2025-05-08 11:12:00,54239934.2134449,308873441.44294,-1008.00662698413,-89,-23939.0749805555,-4608.94,-7.86402019590668,-52.03</t>
  </si>
  <si>
    <t>2025-05-08 11:12:00,51119340.9094463,2212428.01238755,-168.109741087351,-262,-1573.23593487806,-1988.21,-0.155443133260557,-19.41</t>
  </si>
  <si>
    <t>2025-05-08 11:13:00,575,,570,,575,,562.5,,,,,570,560,557,564</t>
  </si>
  <si>
    <t>2025-05-08 11:13:00,490,,490,,490,,487,,,,,490,480,482,475</t>
  </si>
  <si>
    <t>2025-05-08 11:13:00,5800,,5700,,5600,,5660,,,,,5700,5600,5530,5550</t>
  </si>
  <si>
    <t>2025-05-08 11:13:00,20100,,20400,,19475,,19975,,,,,20400,19600,19500,20500</t>
  </si>
  <si>
    <t>2025-05-08 11:13:00,3741045707.29639,24751617578.1643,2861.08160173157,2469,6928.92037012983,6828.96,462.849104164362,2006.31</t>
  </si>
  <si>
    <t>2025-05-08 11:13:00,2260435880.99177,5359758938.34301,-5145.71939928812,1112,-9217.62322073808,337.32,48.7760301603782,223.78</t>
  </si>
  <si>
    <t>2025-05-08 11:13:00,54911607.4656899,305369032.271451,136.777063492065,423,2305.34835,1444.7,6.66195961761864,71.05</t>
  </si>
  <si>
    <t>2025-05-08 11:13:00,51374276.8159808,2151187.86885693,16.1700063296672,23,626.559474257951,1192.2,0.0475230208456644,8.27</t>
  </si>
  <si>
    <t>2025-05-08 11:14:00,575,,570,,575,,562.5,,,,,570,560,557,564</t>
  </si>
  <si>
    <t>2025-05-08 11:14:00,490,,490,,490,,487,,,,,490,480,482,475</t>
  </si>
  <si>
    <t>2025-05-08 11:14:00,5800,,5700,,5600,,5660,,,,,5700,5600,5530,5550</t>
  </si>
  <si>
    <t>2025-05-08 11:14:00,20100,,20400,,19475,,19975,,,,,20400,19600,19500,20500</t>
  </si>
  <si>
    <t>2025-05-08 11:14:00,3790054474.06541,24968784853.4079,1605.96626984127,1131,2819.72813492062,617.84,246.046457239569,586.53</t>
  </si>
  <si>
    <t>2025-05-08 11:14:00,2257838992.27709,5451996646.40015,-560.205093167701,-580,-0.657932919252955,-260.02,38.5979527560031,-89.6</t>
  </si>
  <si>
    <t>2025-05-08 11:14:00,55811824.5043951,317691250.208123,411.582222222222,679,2174.27381666667,2467.5,3.10511130726439,159.05</t>
  </si>
  <si>
    <t>2025-05-08 11:14:00,51379532.5266103,2230709.35407703,-4.07362273608548,-13,16.1207340994003,-707.26,-0.00779514170432761,-5.23</t>
  </si>
  <si>
    <t>2025-05-08 11:15:00,575,,570,,575,,562.5,,,,,570,560,557,564</t>
  </si>
  <si>
    <t>2025-05-08 11:15:00,490,,490,,490,,487,,,,,490,480,482,475</t>
  </si>
  <si>
    <t>2025-05-08 11:15:00,5800,,5700,,5600,,5660,,,,,5700,5600,5530,5550</t>
  </si>
  <si>
    <t>2025-05-08 11:15:00,20100,,20400,,19475,,19975,,,,,20400,19600,19500,20500</t>
  </si>
  <si>
    <t>2025-05-08 11:15:00,3804430631.63913,25109490078.0879,-3410.81295721187,-2656,-3184.06930762595,-4216.65,1.50259069051683,-1295.22</t>
  </si>
  <si>
    <t>2025-05-08 11:15:00,2261004138.85063,5627986892.57537,-1358.57063769564,-2191,-2015.95513603063,-3411.93,24.959337997069,-1113.2</t>
  </si>
  <si>
    <t>2025-05-08 11:15:00,55610355.3579193,323759719.585583,-848.533333333334,-801,-4855.52266666667,-8613.46,-1.09864200817144,-242.51</t>
  </si>
  <si>
    <t>2025-05-08 11:15:00,51278337.6685788,2294470.78215842,7.79226190476191,8,26.8682083333334,-38.06,0.00508171804508416,-0.29</t>
  </si>
  <si>
    <t>2025-05-08 11:16:00,575,,570,,575,,562.5,,,,,570,560,557,564</t>
  </si>
  <si>
    <t>2025-05-08 11:16:00,490,,490,,490,,487,,,,,490,480,490,475</t>
  </si>
  <si>
    <t>2025-05-08 11:16:00,5800,,5700,,5600,,5660,,,,,5700,5600,5530,5550</t>
  </si>
  <si>
    <t>2025-05-08 11:16:00,20200,,20400,,19475,,19975,,,,,20400,19600,19500,20500</t>
  </si>
  <si>
    <t>2025-05-08 11:16:00,3870307743.08143,24734998040.6726,2071.19623758595,3339,3764.49859702062,191.22,-591.735177296425,470.97</t>
  </si>
  <si>
    <t>2025-05-08 11:16:00,2292396169.11724,5510174958.2972,743.738723983552,7625,1574.36568920607,-571.289999999999,-790.478472827072,1103.36</t>
  </si>
  <si>
    <t>2025-05-08 11:16:00,57535918.8765364,323685489.068783,411.077678571425,780,11455.0759494047,8609.6,6.49336455669523,296.49</t>
  </si>
  <si>
    <t>2025-05-08 11:16:00,51023025.6509328,2399148.77230508,-105.39069774437,-108,-7196.14049373917,-6636.45,-0.133289901563046,-46.14</t>
  </si>
  <si>
    <t>2025-05-08 11:17:00,575,,570,,575,,562.5,,,,,570,560,557,564</t>
  </si>
  <si>
    <t>2025-05-08 11:17:00,490,,490,,490,,487,,,,,490,480,490,475</t>
  </si>
  <si>
    <t>2025-05-08 11:17:00,5800,,5700,,5600,,5660,,,,,5700,5600,5530,5550</t>
  </si>
  <si>
    <t>2025-05-08 11:17:00,20200,,20400,,19475,,19975,,,,,20400,19600,19500,20500</t>
  </si>
  <si>
    <t>2025-05-08 11:17:00,3776824929.40039,24814280506.2302,4949.76865079365,4039,8260.1575952381,8916.04,-274.107721158962,2783.61</t>
  </si>
  <si>
    <t>2025-05-08 11:17:00,2288702732.9507,5552929278.55093,3411.0437694202,3892,4988.32575289876,3550.78,-69.0107329820504,1169.75</t>
  </si>
  <si>
    <t>2025-05-08 11:17:00,54791738.4606374,329592359.433189,1125.32738095238,280,22097.7096595238,3498.04,-0.44353757851225,102.74</t>
  </si>
  <si>
    <t>2025-05-08 11:17:00,51142466.4997859,2348329.16711768,51.6116063282596,38,3050.47796962075,2118.06,0.0147503383512748,13.53</t>
  </si>
  <si>
    <t>2025-05-08 11:18:00,575,,570,,575,,562.5,,,,,570,560,557,564</t>
  </si>
  <si>
    <t>2025-05-08 11:18:00,490,,490,,490,,487,,,,,490,480,490,475</t>
  </si>
  <si>
    <t>2025-05-08 11:18:00,5800,,5700,,5600,,5660,,,,,5700,5600,5530,5550</t>
  </si>
  <si>
    <t>2025-05-08 11:18:00,20200,,20400,,19475,,19975,,,,,20400,19600,19500,20500</t>
  </si>
  <si>
    <t>2025-05-08 11:18:00,3818537590.22487,25081320015.2833,-1772.35753968255,-4017,-878.750257936521,-3592.01,-221.654044003837,-1436.39</t>
  </si>
  <si>
    <t>2025-05-08 11:18:00,2286368551.98175,5530349569.07942,-421.629378763001,-592,165.427029693485,-648.46,19.0543560022802,-206.08</t>
  </si>
  <si>
    <t>2025-05-08 11:18:00,56002547.4006246,327550589.903225,90.270454545455,351,2426.92740909092,1411.48,1.40209649386009,33.33</t>
  </si>
  <si>
    <t>2025-05-08 11:18:00,51321870.7942122,2382036.31711567,86.3885281385282,111,1196.16163419913,1347.55,0.149256950528563,15.91</t>
  </si>
  <si>
    <t>2025-05-08 11:19:00,575,,570,,575,,562.5,,,,,570,560,557,564</t>
  </si>
  <si>
    <t>2025-05-08 11:19:00,490,,490,,490,,487,,,,,490,480,490,475</t>
  </si>
  <si>
    <t>2025-05-08 11:19:00,5800,,5700,,5600,,5660,,,,,5700,5600,5530,5550</t>
  </si>
  <si>
    <t>2025-05-08 11:19:00,20200,,20400,,19475,,19975,,,,,20400,19600,19500,20500</t>
  </si>
  <si>
    <t>2025-05-08 11:19:00,3841156070.44188,25035582798.5275,-886.53373015872,-1519,-319.441309523791,-1439.24,-54.9212415540904,-357.45</t>
  </si>
  <si>
    <t>2025-05-08 11:19:00,2284611605.20892,5384338051.63483,-897.620689655171,325,-918.838534482759,-843.95,-50.8193910929883,-170.67</t>
  </si>
  <si>
    <t>2025-05-08 11:19:00,56746666.9460104,321975681.02159,-733.062857142859,-631,-10317.8606714286,-9507.59,0.197858027955775,-301.46</t>
  </si>
  <si>
    <t>2025-05-08 11:19:00,51504945.7055761,2504631.1569563,145.388373205742,200,2215.32786390978,2859.8,0.336170103403252,36.04</t>
  </si>
  <si>
    <t>2025-05-08 11:20:00,575,,570,,575,,562.5,,570,,,570,560,557,564</t>
  </si>
  <si>
    <t>2025-05-08 11:20:00,490,,490,,490,,487,,,,,490,480,490,475</t>
  </si>
  <si>
    <t>2025-05-08 11:20:00,5800,,5700,,5600,,5660,,,,,5700,5600,5530,5550</t>
  </si>
  <si>
    <t>2025-05-08 11:20:00,20200,,20400,,19475,,19975,,,,,20400,19600,19500,20500</t>
  </si>
  <si>
    <t>2025-05-08 11:20:00,3786788732.37443,25645944789.3132,21823.1719806763,16281,16647.2720966183,5197.44,101.285423673782,1953.9</t>
  </si>
  <si>
    <t>2025-05-08 11:20:00,2306464271.36779,5445453693.75367,4613.95292022791,1836,6972.29593019942,2617.9,-16.3211668306153,880.94</t>
  </si>
  <si>
    <t>2025-05-08 11:20:00,54126572.7120204,331150232.8157,1501.63665445666,1266,17031.3453396826,9523.87,-1.58136253357587,323.24</t>
  </si>
  <si>
    <t>2025-05-08 11:20:00,51067183.3352907,2538543.778843,10.661235874845,15,244.735537246458,-510.27,-0.00462158568230073,-1.4</t>
  </si>
  <si>
    <t>2025-05-08 11:21:00,575,,570,,575,,562.5,,,,,570,560,557,564</t>
  </si>
  <si>
    <t>2025-05-08 11:21:00,490,,490,,490,,487,,,,,490,480,490,475</t>
  </si>
  <si>
    <t>2025-05-08 11:21:00,5800,,5700,,5600,,5660,,,,,5700,5600,5530,5550</t>
  </si>
  <si>
    <t>2025-05-08 11:21:00,20200,,20400,,19475,,19975,,,,,20400,19600,19500,20500</t>
  </si>
  <si>
    <t>2025-05-08 11:21:00,3777217899.50434,25017270843.3217,2710.60714285716,1224,4450.20880952383,2729.16,-307.293003949991,680.6</t>
  </si>
  <si>
    <t>2025-05-08 11:21:00,2284055113.27687,5532877493.27498,1739.11417748918,1757,4106.41645670995,2251.13,17.3540456215924,735.2</t>
  </si>
  <si>
    <t>2025-05-08 11:21:00,54414359.5913536,331970729.92812,1060.60952380952,1570,24844.3588571428,15176.35,0.704131298738678,438.48</t>
  </si>
  <si>
    <t>2025-05-08 11:21:00,51567385.0754215,2448052.067168,12.2046174413821,19,825.063001336898,955.74,-0.0200458065488214,5.39</t>
  </si>
  <si>
    <t>2025-05-08 11:22:00,575,,570,,575,,562.5,,,,,570,560,557,564</t>
  </si>
  <si>
    <t>2025-05-08 11:22:00,490,,490,,490,,487,,,,,490,480,490,475</t>
  </si>
  <si>
    <t>2025-05-08 11:22:00,5800,,5700,,5600,,5660,,,,,5700,5600,5530,5550</t>
  </si>
  <si>
    <t>2025-05-08 11:22:00,20100,,20400,,19475,,19975,,,,,20400,19600,19500,20500</t>
  </si>
  <si>
    <t>2025-05-08 11:22:00,3681258266.89196,24737287422.8868,2876.05793650794,6074,5129.57748412698,9185.26,300.988928015516,2858.34</t>
  </si>
  <si>
    <t>2025-05-08 11:22:00,2272981836.9688,5325200043.14795,-157.055869848542,3164,1224.57812410004,4733.01,101.523110111034,1442.94</t>
  </si>
  <si>
    <t>2025-05-08 11:22:00,53480055.4781508,314250488.830187,140.276190476191,659,8013.84476190475,12853.33,2.71268754457466,338.57</t>
  </si>
  <si>
    <t>2025-05-08 11:22:00,51430547.5784034,2317811.05905114,3.7034910184158,30,57.6989392725378,946.52,-0.00875079244012486,8.11</t>
  </si>
  <si>
    <t>2025-05-08 11:23:00,575,,570,,575,,562.5,,,,,570,560,557,564</t>
  </si>
  <si>
    <t>2025-05-08 11:23:00,490,,490,,490,,487,,,,,490,480,490,475</t>
  </si>
  <si>
    <t>2025-05-08 11:23:00,5800,,5700,,5600,,5660,,,,,5700,5600,5530,5550</t>
  </si>
  <si>
    <t>2025-05-08 11:23:00,20100,,20400,,19475,,19975,,,,,20400,19600,19500,20500</t>
  </si>
  <si>
    <t>2025-05-08 11:23:00,3767969649.89165,25061797695.9779,-731,1925,-1250.21166666667,-88.4500000000002,-29.3012894900062,41.0799999999999</t>
  </si>
  <si>
    <t>2025-05-08 11:23:00,2245172397.99511,5394304112.17167,-2588.22503848809,-2100,-2881.9330547858,-2948.15,74.8890881170567,-992.16</t>
  </si>
  <si>
    <t>2025-05-08 11:23:00,55601951.3082398,318458544.408537,-567.645,-42,-6947.45985,-4160.29,-4.5433230365922,-123.79</t>
  </si>
  <si>
    <t>2025-05-08 11:23:00,51799223.2460574,2428140.52160839,-6.29875167458288,-11,-265.841651138717,-347.35,0.000834673560430523,-3.19</t>
  </si>
  <si>
    <t>2025-05-08 11:24:00,575,,570,,575,,562.5,,,,,570,560,557,564</t>
  </si>
  <si>
    <t>2025-05-08 11:24:00,490,,490,,490,,487,,,,,490,480,490,475</t>
  </si>
  <si>
    <t>2025-05-08 11:24:00,5800,,5700,,5600,,5660,,,,,5700,5600,5530,5550</t>
  </si>
  <si>
    <t>2025-05-08 11:24:00,20100,,20400,,19475,,19975,,,,,20400,19600,19500,20500</t>
  </si>
  <si>
    <t>2025-05-08 11:24:00,3753238062.4706,24986802134.672,8746.8948051948,8681,4960.14714285713,4241.22,184.962427245861,1685.12</t>
  </si>
  <si>
    <t>2025-05-08 11:24:00,2287369134.38509,5365251538.92436,1184.73182186235,2909,1978.50035452092,2027.2,-28.1824610982331,922.08</t>
  </si>
  <si>
    <t>2025-05-08 11:24:00,55164372.8441525,323527740.590213,777.770952380955,378,-4218.69058571403,-54414.97,-8.15647295767764,-717.55</t>
  </si>
  <si>
    <t>2025-05-08 11:24:00,51734426.0680401,2474317.17199602,15.3940225461964,-37,163.20962558593,294.4,-0.0249158777140109,0.82</t>
  </si>
  <si>
    <t>2025-05-08 11:26:00,575,,570,,575,,562.5,,,,,570,560,557,564</t>
  </si>
  <si>
    <t>2025-05-08 11:26:00,490,,490,,490,,487,,,,,490,480,490,475</t>
  </si>
  <si>
    <t>2025-05-08 11:26:00,5800,,5700,,5600,,5660,,,,,5700,5600,5530,5550</t>
  </si>
  <si>
    <t>2025-05-08 11:26:00,20100,,20400,,19475,,19975,,,,,20400,19600,19500,20500</t>
  </si>
  <si>
    <t>2025-05-08 11:26:00,3755988651.2059,25323792039.4571,-2304.09103641456,-1939,-3845.88264005602,-2934.86,-117.351523753735,-920.93</t>
  </si>
  <si>
    <t>2025-05-08 11:26:00,2273162258.22615,5407090006.24685,-1627.75609173435,-110,-2390.60168975952,380.92,-19.1063083254594,126.98</t>
  </si>
  <si>
    <t>2025-05-08 11:26:00,55813172.8139235,320048010.080552,-561.078968253971,-422,-6547.1272976191,-3436.84,0.607938095375096,-106.16</t>
  </si>
  <si>
    <t>2025-05-08 11:26:00,52017361.2148684,2445935.87996496,-2.73333333333334,-5,-58.1913333333334,-56,-0.00370572358032695,-0.73</t>
  </si>
  <si>
    <t>2025-05-08 11:27:00,575,,570,,575,,562.5,,,,,570,560,557,564</t>
  </si>
  <si>
    <t>2025-05-08 11:27:00,490,,490,,490,,487,,,,,490,480,490,475</t>
  </si>
  <si>
    <t>2025-05-08 11:27:00,5800,,5700,,5600,,5660,,,,,5700,5600,5530,5550</t>
  </si>
  <si>
    <t>2025-05-08 11:27:00,20100,,20400,,19475,,19975,,,,,20400,19600,19500,20500</t>
  </si>
  <si>
    <t>2025-05-08 11:27:00,3661995124.01283,24793341055.047,7248.26884226884,4756,8326.89249028748,6833.82,47.2173261197805,2301.33</t>
  </si>
  <si>
    <t>2025-05-08 11:27:00,2271063592.10003,5227280403.33731,-1969.79136604137,-1799,-2225.30995550746,-1718.41,39.1270076573255,-782.38</t>
  </si>
  <si>
    <t>2025-05-08 11:27:00,53901333.4743989,313665300.801411,506.085714285714,-33,2183.0394952381,-2160.01,-3.73765522404724,-75.19</t>
  </si>
  <si>
    <t>2025-05-08 11:27:00,52297371.4775785,2365243.89902743,-2.78125,-4,-284.9208125,-354.83,-0.0232037340340366,-3.31</t>
  </si>
  <si>
    <t>2025-05-08 11:28:00,575,,570,,575,,562.5,,,,,570,560,557,564</t>
  </si>
  <si>
    <t>2025-05-08 11:28:00,490,,490,,490,,487,,,,,490,480,490,475</t>
  </si>
  <si>
    <t>2025-05-08 11:28:00,5800,,5700,,5600,,5660,,,,,5700,5600,5530,5550</t>
  </si>
  <si>
    <t>2025-05-08 11:28:00,20100,,20400,,19475,,19975,,,,,20400,19600,19500,20500</t>
  </si>
  <si>
    <t>2025-05-08 11:28:00,3654000798.99153,24796625489.8609,-141.760497835498,-3305,1791.26068290043,794.81,-174.681967361017,86.7400000000001</t>
  </si>
  <si>
    <t>2025-05-08 11:28:00,2272554887.15291,5145688013.79559,466.464257964258,1487,4398.72227938728,2449.32,-258.484039904397,812.58</t>
  </si>
  <si>
    <t>2025-05-08 11:28:00,52834668.2729641,320755473.281639,570.005000000001,359,6609.60655000001,4666.83,-0.111144545987401,164.67</t>
  </si>
  <si>
    <t>2025-05-08 11:28:00,52198891.1697212,2353590.78746694,12.7092261904762,19,387.78116765873,419.39,-0.00493959915144662,4.34</t>
  </si>
  <si>
    <t>2025-05-08 11:29:00,575,,570,,575,,562.5,,,,,570,560,557,564</t>
  </si>
  <si>
    <t>2025-05-08 11:29:00,490,,490,,490,,487,,,,,490,480,490,475</t>
  </si>
  <si>
    <t>2025-05-08 11:29:00,5800,,5700,,5600,,5660,,,,,5700,5600,5530,5550</t>
  </si>
  <si>
    <t>2025-05-08 11:29:00,20100,,20400,,19475,,19975,,,,,20400,19600,19500,20500</t>
  </si>
  <si>
    <t>2025-05-08 11:29:00,3680084954.72451,25105739424.8062,-8359.89123376623,-5388,-8589.31289393939,-5453.87,335.871664104384,-1956.65</t>
  </si>
  <si>
    <t>2025-05-08 11:29:00,2251541483.96131,5388374354.78232,-131.537801618671,265,850.592910973085,585.11,-85.5430269963521,230.87</t>
  </si>
  <si>
    <t>2025-05-08 11:29:00,54145350.1620438,309838028.25219,-443.775000000001,-554,-4532.46491666667,-4083.97,0.390156267476213,-165.52</t>
  </si>
  <si>
    <t>2025-05-08 11:29:00,51909374.9640332,2382407.18708486,17.7404545454546,20,107.155777272727,183.21,0.0308154106221306,2.65</t>
  </si>
  <si>
    <t>2025-05-08 11:30:00,575,,570,,575,,562.5,,,,,570,560,557,564</t>
  </si>
  <si>
    <t>2025-05-08 11:30:00,490,,490,,490,,487,,,,,490,480,490,475</t>
  </si>
  <si>
    <t>2025-05-08 11:30:00,5800,,5700,,5600,,5660,,,,,5700,5600,5530,5550</t>
  </si>
  <si>
    <t>2025-05-08 11:30:00,20100,,20400,,19475,,19975,,,,,20400,19600,19500,20500</t>
  </si>
  <si>
    <t>2025-05-08 11:30:00,3681407454.52478,25349372453.9135,919.364703425226,1533,692.460768588126,-21.6300000000004,212.33123146819,555.3</t>
  </si>
  <si>
    <t>2025-05-08 11:30:00,2264708172.77092,5364748223.44688,-146.793423243421,-495,-482.437709124205,-953.1,50.3663142538723,-302.3</t>
  </si>
  <si>
    <t>2025-05-08 11:30:00,53552705.5615214,301717380.360362,585.200000000004,1015,-1983.00066666663,-1548.72,9.51877059860108,35.1</t>
  </si>
  <si>
    <t>2025-05-08 11:30:00,52644057.7180791,2369566.30793115,174.50746031746,208,965.60626031746,1204.1,0.25465670599313,16.59</t>
  </si>
  <si>
    <t>2025-05-08 11:31:00,575,,570,,575,,562.5,,,,,570,560,557,564</t>
  </si>
  <si>
    <t>2025-05-08 11:31:00,490,,490,,490,,487,,,491,,490,480,490,475</t>
  </si>
  <si>
    <t>2025-05-08 11:31:00,5800,,5700,,5600,,5660,,,,,5700,5600,5530,5550</t>
  </si>
  <si>
    <t>2025-05-08 11:31:00,20100,,20400,,19475,,19975,,,,,20400,19600,19500,20500</t>
  </si>
  <si>
    <t>2025-05-08 11:31:00,3678904493.50723,25387927763.5745,-2092.95753968254,-1867,-527.74527777778,1438.41,87.1013579301058,453.43</t>
  </si>
  <si>
    <t>2025-05-08 11:31:00,2269489836.82636,5352457430.16892,-1291.79312169313,973,-1641.28766137568,768.28,-171.279137109775,228.47</t>
  </si>
  <si>
    <t>2025-05-08 11:31:00,54243555.537899,316375798.614478,-726.132142857142,-303,-4513.07040714287,-1693.55,-1.1145981449304,-37.72</t>
  </si>
  <si>
    <t>2025-05-08 11:31:00,52742416.1566702,2417949.18611339,5.29080086580087,-7,40.1717142857145,31.5,-0.00234779339588033,0.24</t>
  </si>
  <si>
    <t>2025-05-08 11:32:00,575,,570,,575,,562.5,,,,,570,560,557,564</t>
  </si>
  <si>
    <t>2025-05-08 11:32:00,490,,490,,490,,487,,,,,490,480,490,475</t>
  </si>
  <si>
    <t>2025-05-08 11:32:00,5800,,5700,,5600,,5660,,,,,5700,5600,5530,5550</t>
  </si>
  <si>
    <t>2025-05-08 11:32:00,20100,,20400,,19475,,19975,,,,,20400,19600,19500,20500</t>
  </si>
  <si>
    <t>2025-05-08 11:32:00,3703912192.40053,25457734380.9922,2647.21944444444,2236,4092.827,3211.21,117.90268834887,1072.17</t>
  </si>
  <si>
    <t>2025-05-08 11:32:00,2267567664.33615,5461753578.89714,-199.176478473218,-550,93.4037239210056,-588.06,-31.9630680402281,-210.09</t>
  </si>
  <si>
    <t>2025-05-08 11:32:00,54626700.5076237,320271730.498048,118.449444444445,119,1090.95165000001,-607.5,-0.0736758490884838,39.39</t>
  </si>
  <si>
    <t>2025-05-08 11:32:00,52506250.579923,2420894.718139,-1.02253741090951,-4,232.324611253088,-58.12,0.00667729749580292,-0.66</t>
  </si>
  <si>
    <t>2025-05-08 11:33:00,575,,570,,575,,562.5,,,,,570,560,557,564</t>
  </si>
  <si>
    <t>2025-05-08 11:33:00,490,,490,,490,,487,,,,491,490,480,490,475</t>
  </si>
  <si>
    <t>2025-05-08 11:33:00,5800,,5700,,5600,,5660,,,,5700,5700,5600,5530,5550</t>
  </si>
  <si>
    <t>2025-05-08 11:33:00,20100,,20400,,19475,,19975,,,,,20400,19600,19500,20500</t>
  </si>
  <si>
    <t>2025-05-08 11:33:00,3701368652.39915,25143137620.6579,-3764.77857142857,-7413,-3090.20340476191,-5447.01,-213.362037824986,-2196.41</t>
  </si>
  <si>
    <t>2025-05-08 11:33:00,2269398693.62096,5286451745.41845,-723.803571428573,-817,-146.768583333334,-209.56,92.1787011778112,-363.91</t>
  </si>
  <si>
    <t>2025-05-08 11:33:00,54538338.755511,316381648.28173,288.077717391305,-616,-1025.58537448238,-7411.03,3.88793885922567,-288.77</t>
  </si>
  <si>
    <t>2025-05-08 11:33:00,52418290.0906877,2448546.3648193,10.2244231911879,9,293.51676442479,254.53,0.0130131079396311,2.6</t>
  </si>
  <si>
    <t>2025-05-08 11:34:00,575,,570,,575,,562.5,,,,,570,560,557,564</t>
  </si>
  <si>
    <t>2025-05-08 11:34:00,490,,490,,490,,487,,,,,490,480,490,475</t>
  </si>
  <si>
    <t>2025-05-08 11:34:00,5800,,5700,,5600,,5660,,,,,5700,5600,5530,5550</t>
  </si>
  <si>
    <t>2025-05-08 11:34:00,20100,,20400,,19475,,19975,,,,,20400,19600,19500,20500</t>
  </si>
  <si>
    <t>2025-05-08 11:34:00,3775166964.75573,25791127182.5056,1334.99573844029,3564,-674.329767943423,164.85,-187.900372093912,192.6</t>
  </si>
  <si>
    <t>2025-05-08 11:34:00,2267933058.4455,5481492440.95998,-731.983838383839,480,-1149.94317171717,-968.88,-31.7966216428614,-283.89</t>
  </si>
  <si>
    <t>2025-05-08 11:34:00,55671128.7198815,328177712.964088,606.750000000002,810,53010.5700000001,47615.85,6.44416115702743,822.66</t>
  </si>
  <si>
    <t>2025-05-08 11:34:00,52531308.0333828,2544077.78770846,70.695238095238,-231,80.4147619047617,-555.1,-0.152759825970698,-9.66</t>
  </si>
  <si>
    <t>2025-05-08 11:35:00,575,,570,,575,,562.5,,,,,570,560,557,564</t>
  </si>
  <si>
    <t>2025-05-08 11:35:00,490,,490,,490,,487,,,,,490,480,490,475</t>
  </si>
  <si>
    <t>2025-05-08 11:35:00,5800,,5700,,5600,,5660,,,,,5700,5600,5530,5550</t>
  </si>
  <si>
    <t>2025-05-08 11:35:00,20100,,20400,,19475,,19975,,,,,20400,19600,19500,20500</t>
  </si>
  <si>
    <t>2025-05-08 11:35:00,3748683910.7732,25484277438.114,803.734920634914,-2421,2297.73426984126,2202.2,-298.635483601552,757.52</t>
  </si>
  <si>
    <t>2025-05-08 11:35:00,2284161827.04596,5326175063.80428,1656.25645132645,1937,1911.8571016539,1645.48,37.4516672655149,710.43</t>
  </si>
  <si>
    <t>2025-05-08 11:35:00,54848191.7246851,331888102.77053,427.050000000001,916,4855.18299999994,5651.33,-4.08691196273844,297.88</t>
  </si>
  <si>
    <t>2025-05-08 11:35:00,52895500.4302508,2531860.35802413,-4.05833333333334,-9,-263.24175,-316.8,0.00775945763727993,-2.93</t>
  </si>
  <si>
    <t>2025-05-08 11:36:00,575,,570,,575,,562.5,,,,,570,560,557,564</t>
  </si>
  <si>
    <t>2025-05-08 11:36:00,490,,490,,490,,487,,,,,490,480,490,475</t>
  </si>
  <si>
    <t>2025-05-08 11:36:00,5800,,5700,,5600,,5660,,,,,5700,5600,5530,5550</t>
  </si>
  <si>
    <t>2025-05-08 11:36:00,20100,,20400,,19475,,19975,,,,,20400,19600,19500,20500</t>
  </si>
  <si>
    <t>2025-05-08 11:36:00,3754309364.66562,25667719373.1137,3243.67611832611,1625,4956.70887518036,3283.29,-66.3432781576617,1176.46</t>
  </si>
  <si>
    <t>2025-05-08 11:36:00,2289395788.05827,5455821833.37387,710.229112554112,99,1274.47631709957,514.91,12.0726807625484,126.58</t>
  </si>
  <si>
    <t>2025-05-08 11:36:00,54902056.4236825,327897778.305919,979.26547619047,128,10224.6967261904,1984.03,0.637213111419178,62.87</t>
  </si>
  <si>
    <t>2025-05-08 11:36:00,52310854.8497877,2539194.32644856,0.763636363636368,10,24.6565974025974,112.01,-0.00336140373943044,1.33</t>
  </si>
  <si>
    <t>2025-05-08 11:37:00,575,,570,,575,,562.5,,,,,570,560,557,564</t>
  </si>
  <si>
    <t>2025-05-08 11:37:00,490,,490,,490,,487,,,,,490,480,490,475</t>
  </si>
  <si>
    <t>2025-05-08 11:37:00,5800,,5700,,5600,,5660,,,,,5700,5600,5530,5550</t>
  </si>
  <si>
    <t>2025-05-08 11:37:00,20100,,20400,,19475,,19975,,,,,20400,19600,19500,20500</t>
  </si>
  <si>
    <t>2025-05-08 11:37:00,3761054623.02489,26009472498.643,405.520665445666,-1592,-58.8691974969438,153.36,15.2123700907703,4.85000000000002</t>
  </si>
  <si>
    <t>2025-05-08 11:37:00,2279869943.60932,5510727500.98808,-671.481578204402,-243,-1064.86648738942,-238.56,-29.1117742952551,-89.88</t>
  </si>
  <si>
    <t>2025-05-08 11:37:00,55254029.4029804,328250226.026084,102.211666666665,163,3264.12444999996,3957.83,3.46978322139789,102.36</t>
  </si>
  <si>
    <t>2025-05-08 11:37:00,52908275.3052886,2518876.42516311,14.1738095238095,-25,43.1846428571429,-61.95,-0.00065422277666993,-0.68</t>
  </si>
  <si>
    <t>2025-05-08 11:38:00,575,,570,,575,,562.5,,,,,570,560,557,564</t>
  </si>
  <si>
    <t>2025-05-08 11:38:00,490,,490,,490,,487,,,,,490,480,490,475</t>
  </si>
  <si>
    <t>2025-05-08 11:38:00,5800,,5700,,5600,,5660,,,,,5700,5600,5530,5550</t>
  </si>
  <si>
    <t>2025-05-08 11:38:00,20100,,20400,,19475,,19975,,,,,20400,19600,19500,20500</t>
  </si>
  <si>
    <t>2025-05-08 11:38:00,3790166438.44513,25739884025.827,-238.717532467528,-2043,79.6659361471903,-2949.43,-25.8414223003703,-775.91</t>
  </si>
  <si>
    <t>2025-05-08 11:38:00,2268217385.02788,5552503354.88075,-816.753790677921,-660,-859.489446233478,-1190.2,-38.6629908237845,-438.13</t>
  </si>
  <si>
    <t>2025-05-08 11:38:00,55978661.9445394,329978455.790075,169.52142857143,31,364.519000000021,-1527.04,1.27919712418656,-63.12</t>
  </si>
  <si>
    <t>2025-05-08 11:38:00,52377849.3023253,2566792.11194979,2.12424242424242,8,-133.315909090909,-43.8,0.00746436581945872,-0.26</t>
  </si>
  <si>
    <t>2025-05-08 11:39:00,575,,570,,575,,562.5,,,,,570,560,557,564</t>
  </si>
  <si>
    <t>2025-05-08 11:39:00,490,,490,,490,,487,,,,,490,480,490,475</t>
  </si>
  <si>
    <t>2025-05-08 11:39:00,5800,,5700,,5600,,5660,,,,,5700,5600,5530,5550</t>
  </si>
  <si>
    <t>2025-05-08 11:39:00,20200,,20400,,19475,,19975,,,,,20400,19600,19500,20500</t>
  </si>
  <si>
    <t>2025-05-08 11:39:00,3879706344.94421,26376401238.428,-1818.77857142857,-2286,-4487.13232142857,-7015.91,-368.872777563533,-2361.02</t>
  </si>
  <si>
    <t>2025-05-08 11:39:00,2248049019.57347,5684241980.1261,31.6007797270937,-792,1310.12820272904,78.64,80.4728349081369,-43.89</t>
  </si>
  <si>
    <t>2025-05-08 11:39:00,57706612.6926256,346302547.214078,-468.546666666665,-511,-10696.9716571427,-12532.13,1.00624585363456,-227.1</t>
  </si>
  <si>
    <t>2025-05-08 11:39:00,52318475.0109984,2676036.5737848,-6.15380730380731,-26,-223.745115051615,-328.15,-0.00819462548133011,-3.54</t>
  </si>
  <si>
    <t>2025-05-08 11:40:00,575,,570,,575,,562.5,,,,,570,560,557,564</t>
  </si>
  <si>
    <t>2025-05-08 11:40:00,490,,490,,490,,487,,,,,490,480,490,475</t>
  </si>
  <si>
    <t>2025-05-08 11:40:00,5800,,5700,,5600,,5660,,,,,5700,5600,5530,5550</t>
  </si>
  <si>
    <t>2025-05-08 11:40:00,20100,,20400,,19475,,19975,,,,,20400,19600,19500,20500</t>
  </si>
  <si>
    <t>2025-05-08 11:40:00,3879561546.2176,26763557669.6488,557.652380952384,2254,607.399892857153,1528.62,309.000187666374,811.73</t>
  </si>
  <si>
    <t>2025-05-08 11:40:00,2248268905.27075,5753003736.20961,-1380.45049370919,-1289,-862.497239249881,-1356.01,-7.62379797736693,-599.31</t>
  </si>
  <si>
    <t>2025-05-08 11:40:00,57014210.4772666,346727262.90772,-862.013095238096,-731,-795.342595238076,-1204.51,2.73994446207114,-203.35</t>
  </si>
  <si>
    <t>2025-05-08 11:40:00,52441477.5703003,2642545.06657935,-306.744444444445,-433,-423.677722222222,-540.98,0.151875631668183,-6.52</t>
  </si>
  <si>
    <t>2025-05-08 11:41:00,575,,570,,575,,562.5,,,,,570,560,557,564</t>
  </si>
  <si>
    <t>2025-05-08 11:41:00,490,,490,,490,,487,,,,,490,480,490,475</t>
  </si>
  <si>
    <t>2025-05-08 11:41:00,5800,,5700,,5600,,5660,,,,,5700,5600,5530,5550</t>
  </si>
  <si>
    <t>2025-05-08 11:41:00,20100,,20400,,19475,,19975,,,,,20400,19600,19500,20500</t>
  </si>
  <si>
    <t>2025-05-08 11:41:00,3819501958.49567,26555150767.8596,638.98015873016,-1630,2224.74492063492,263.78,-54.7702559201475,12.1400000000001</t>
  </si>
  <si>
    <t>2025-05-08 11:41:00,2285764215.15984,5764103449.87739,-81.1696080891734,337,447.170192306083,799.25,43.2914609829312,208.32</t>
  </si>
  <si>
    <t>2025-05-08 11:41:00,55938334.8190241,347278836.550704,180.285714285715,173,3217.67442857146,1816.23,0.220758435874549,81.74</t>
  </si>
  <si>
    <t>2025-05-08 11:41:00,52139945.9498455,2601670.34165916,5.19819624819624,4,253.666987734488,262.25,-0.00269685670147311,2.69</t>
  </si>
  <si>
    <t>2025-05-08 11:42:00,575,,570,,575,,562.5,,,,,570,560,557,564</t>
  </si>
  <si>
    <t>2025-05-08 11:42:00,490,,490,,490,,487,,,,,490,480,490,475</t>
  </si>
  <si>
    <t>2025-05-08 11:42:00,5800,,5700,,5600,,5660,,,,,5700,5600,5530,5550</t>
  </si>
  <si>
    <t>2025-05-08 11:42:00,20100,,20400,,19475,,19975,,,,,20400,19600,19500,20500</t>
  </si>
  <si>
    <t>2025-05-08 11:42:00,3863212777.96919,26201922101.8153,-233.325396825397,-468,-538.832222222223,-1955.09,-87.6972355034386,-556.97</t>
  </si>
  <si>
    <t>2025-05-08 11:42:00,2296649150.04763,5475877535.51037,-1536.49960127592,-1721,-1494.309602605,-1645.59,58.7046543902371,-641.09</t>
  </si>
  <si>
    <t>2025-05-08 11:42:00,57439823.5852409,344551596.03409,-37.6125000000003,105,1535.139375,-956.92,0.355519629605372,-6.56</t>
  </si>
  <si>
    <t>2025-05-08 11:42:00,52302292.3374134,2620065.33947127,-8.0940170940171,-7,-121.362820512821,-153.7,0.00496564414406659,-1.8</t>
  </si>
  <si>
    <t>2025-05-08 11:43:00,575,,570,,575,,562.5,,,,,570,560,557,564</t>
  </si>
  <si>
    <t>2025-05-08 11:43:00,490,,490,,490,,487,,,,,490,480,490,475</t>
  </si>
  <si>
    <t>2025-05-08 11:43:00,5800,,5700,,5600,,5660,,,,,5700,5600,5530,5550</t>
  </si>
  <si>
    <t>2025-05-08 11:43:00,20100,,20400,,19475,,19975,,,,,20400,19600,19500,20500</t>
  </si>
  <si>
    <t>2025-05-08 11:43:00,3934969885.01761,26852441032.0179,-1769.2123015873,1239,-2702.07738095238,-765.9,-509.005835375296,-25.7099999999999</t>
  </si>
  <si>
    <t>2025-05-08 11:43:00,2242787919.37961,5845291537.61094,-1566.46290556187,1073,-683.700599322133,-915.93,17.7714536836273,-323.62</t>
  </si>
  <si>
    <t>2025-05-08 11:43:00,58246022.5709274,350878847.027874,-928.094761904764,-1337,-8608.33155238096,-11122.38,-1.66911978814871,-466.42</t>
  </si>
  <si>
    <t>2025-05-08 11:43:00,52233443.9226992,2709596.3762798,-6.30965983330207,-9,-466.254338349956,-711.09,0.000440230331833709,-4.35</t>
  </si>
  <si>
    <t>2025-05-08 11:44:00,575,,570,,575,,562.5,,570,,,570,560,557,564</t>
  </si>
  <si>
    <t>2025-05-08 11:44:00,490,,490,,490,,487,,,,,490,480,490,475</t>
  </si>
  <si>
    <t>2025-05-08 11:44:00,5800,,5700,,5600,,5660,,5720,,,5700,5600,5530,5550</t>
  </si>
  <si>
    <t>2025-05-08 11:44:00,20200,,20400,,19475,,19975,,,,,20400,19600,19500,20500</t>
  </si>
  <si>
    <t>2025-05-08 11:44:00,3941354827.99777,26444634529.6635,-7609.31515341385,-10670,-8102.42105937193,-14148.28,-586.546113557508,-4919.26</t>
  </si>
  <si>
    <t>2025-05-08 11:44:00,2304889557.20114,5852452704.25763,-43.9398566308266,3276,1829.38482007168,3659.59,-89.8819442099853,1142.6</t>
  </si>
  <si>
    <t>2025-05-08 11:44:00,58796275.1089653,359805869.254075,-2275.5276190476,-2143,-16504.650942857,-14375.74,-8.77022721501486,-585.35</t>
  </si>
  <si>
    <t>2025-05-08 11:44:00,51980067.2412747,2830007.80389072,7.58946771305467,0,572.932621253707,154.35,0.0092406468736644,1.58</t>
  </si>
  <si>
    <t>2025-05-08 11:45:00,575,,570,,575,,563.5,,570,,,570,560,557,564</t>
  </si>
  <si>
    <t>2025-05-08 11:45:00,490,,490,,490,,487,,,,,490,480,490,475</t>
  </si>
  <si>
    <t>2025-05-08 11:45:00,5800,,5700,,5600,,5660,,5720,,,5750,5600,5530,5550</t>
  </si>
  <si>
    <t>2025-05-08 11:45:00,20200,,20400,,19475,,19975,,,,,20400,19600,19500,20500</t>
  </si>
  <si>
    <t>2025-05-08 11:45:00,3903953646.57737,27364371618.6831,-10381.6614163614,-7756,-9179.36649450546,-7715.2,-368.58550350431,-2910.93</t>
  </si>
  <si>
    <t>2025-05-08 11:45:00,2260889410.70298,5851489156.21666,-5788.88376068376,-3982,-4956.90011111111,-3575.99,95.5207213139484,-1371.65</t>
  </si>
  <si>
    <t>2025-05-08 11:45:00,58800514.7414469,365995291.852752,-2975.44714285714,-1783,-25900.9657928571,-13708.73,-10.4811789827259,-526.37</t>
  </si>
  <si>
    <t>2025-05-08 11:45:00,52470459.2728689,2756795.62414405,8.36603785103785,7,186.537412942613,27.18,0.00833132639400762,0.62</t>
  </si>
  <si>
    <t>2025-05-08 11:46:00,575,,570,,575,,562.5,,,,,570,560,557,564</t>
  </si>
  <si>
    <t>2025-05-08 11:46:00,490,,490,,490,,487,,,,,490,480,490,475</t>
  </si>
  <si>
    <t>2025-05-08 11:46:00,5800,,5700,,5600,,5660,,,,,5750,5600,5530,5550</t>
  </si>
  <si>
    <t>2025-05-08 11:46:00,20200,,20400,,19475,,20000,,,,,20400,19600,19500,20500</t>
  </si>
  <si>
    <t>2025-05-08 11:46:00,3947205337.62432,26469758573.5201,-1814.17387057387,-542,-1726.6898992674,-1060.52,306.546120234785,-285.3</t>
  </si>
  <si>
    <t>2025-05-08 11:46:00,2295584410.25232,5688366505.99505,-1669.43970305057,-1359,-1696.51536085654,-1427.13,-38.1519391221838,-531</t>
  </si>
  <si>
    <t>2025-05-08 11:46:00,58968024.186547,355915302.490236,-847.017857142857,-1154,-6530.23767857143,-9182.06,-0.965772232231072,-387.23</t>
  </si>
  <si>
    <t>2025-05-08 11:46:00,52367174.5117921,2735745.57660569,-7.96388888888889,0,-132.412691919192,-55.37,-0.0103389653574829,-0.53</t>
  </si>
  <si>
    <t>2025-05-08 11:47:00,575,,570,,575,,562.5,,,,,570,560,557,564</t>
  </si>
  <si>
    <t>2025-05-08 11:47:00,490,,490,,490,,487,,,,,490,480,490,475</t>
  </si>
  <si>
    <t>2025-05-08 11:47:00,5800,,5700,,5600,,5660,,,,,5750,5600,5530,5550</t>
  </si>
  <si>
    <t>2025-05-08 11:47:00,20200,,20400,,19475,,20000,,,,,20400,19600,19500,20500</t>
  </si>
  <si>
    <t>2025-05-08 11:47:00,3936615762.2842,27078399313.7081,-2207.78492063492,-3096,-1938.31752380953,-3072.18,-24.0591870930571,-1196.59</t>
  </si>
  <si>
    <t>2025-05-08 11:47:00,2302594658.18794,5704229500.32666,-1734.46721981722,-1300,-1799.53361255411,-1410.24,6.79772634298808,-505.62</t>
  </si>
  <si>
    <t>2025-05-08 11:47:00,58463024.3448191,368683994.857456,-643.72714285714,-238,-3895.5483285714,-2302.15,0.522296364167162,-98.82</t>
  </si>
  <si>
    <t>2025-05-08 11:47:00,52262455.7118319,2741514.62257491,-0.647619047619053,-16,-13.1090952380953,-51,-0.00237384952962522,-0.74</t>
  </si>
  <si>
    <t>2025-05-08 11:48:00,575,,570,,575,,562.5,,,,,570,560,557,564</t>
  </si>
  <si>
    <t>2025-05-08 11:48:00,490,,490,,490,,487,,,,,490,480,490,475</t>
  </si>
  <si>
    <t>2025-05-08 11:48:00,5800,,5700,,5600,,5660,,,,,5750,5600,5530,5550</t>
  </si>
  <si>
    <t>2025-05-08 11:48:00,20200,,20400,,19475,,20000,,,,,20400,19600,19500,20500</t>
  </si>
  <si>
    <t>2025-05-08 11:48:00,3990402593.85627,26976183321.9321,-4075.18359279609,-6355,-3279.41235256411,-7298.68,45.4295140741526,-2841.64</t>
  </si>
  <si>
    <t>2025-05-08 11:48:00,2333737127.1143,5783245623.32207,294.939317783666,696,-107.592862661976,87.05,53.1082887158911,-39.1</t>
  </si>
  <si>
    <t>2025-05-08 11:48:00,59655186.1908501,373024270.762525,338.5975,-415,-2906.09199642869,-3829.7,-5.50704383027882,-90.77</t>
  </si>
  <si>
    <t>2025-05-08 11:48:00,52171468.7273631,2831977.49269369,-18.7432030781929,-23,-199.525421360699,-359.84,0.0200934978659859,-2.97</t>
  </si>
  <si>
    <t>2025-05-08 11:49:00,575,,570,,575,,562.5,,570,,,570,560,557,564</t>
  </si>
  <si>
    <t>2025-05-08 11:49:00,490,,490,,490,,487,492,,,,490,480,490,475</t>
  </si>
  <si>
    <t>2025-05-08 11:49:00,5800,,5730,,5600,,5660,,,,,5750,5600,5530,5550</t>
  </si>
  <si>
    <t>2025-05-08 11:49:00,20200,,20400,,19475,,20000,,,,,20400,19600,19500,20500</t>
  </si>
  <si>
    <t>2025-05-08 11:49:00,4038345339.36757,26470806211.1801,-10780.748085901,-7637,-8973.57330252098,-12119.39,-14.5533100427032,-3590.74</t>
  </si>
  <si>
    <t>2025-05-08 11:49:00,2320904770.6427,5822452359.34234,-1354.14231384307,-402,301.291167966021,-219.97,85.5236279810308,104.06</t>
  </si>
  <si>
    <t>2025-05-08 11:49:00,60624043.3679655,367178955.657509,-1500.89221428572,-1536,-10611.1120873809,-12110.38,8.48865918628694,-370.74</t>
  </si>
  <si>
    <t>2025-05-08 11:49:00,52158074.6917748,2859497.02391329,-5.6379120879121,-16,-150.556076923078,-492.72,-0.029639738883801,-4.41</t>
  </si>
  <si>
    <t>2025-05-08 11:50:00,575,,570,,575,,563.5,570,,,,570,560,557,564</t>
  </si>
  <si>
    <t>2025-05-08 11:50:00,490,,490,,490,,487,,,,,490,480,490,475</t>
  </si>
  <si>
    <t>2025-05-08 11:50:00,5800,,5730,,5600,,5660,,,,,5750,5600,5530,5550</t>
  </si>
  <si>
    <t>2025-05-08 11:50:00,20100,,20400,,19475,,20000,,,,,20400,19600,19500,20500</t>
  </si>
  <si>
    <t>2025-05-08 11:50:00,4027705702.46159,27462260938.3984,2766.21810134312,8937,924.468588217376,5696.36,442.648854379404,2256.59</t>
  </si>
  <si>
    <t>2025-05-08 11:50:00,2323841411.55252,5992868753.46215,96.4280381454292,68,857.372775895602,710.08,57.4803708184386,225.67</t>
  </si>
  <si>
    <t>2025-05-08 11:50:00,60706979.7642125,380176178.085405,261.014642857146,-44,-780.169532142797,-7351.91,-4.87035093130471,-171.87</t>
  </si>
  <si>
    <t>2025-05-08 11:50:00,52132393.904724,2915285.19658452,-14.047619047619,-14,-171.512380952381,-244.2,0.0262603858363626,-2.96</t>
  </si>
  <si>
    <t>2025-05-08 11:51:00,575,,570,,575,,563.5,570,,,,570,560,557,564</t>
  </si>
  <si>
    <t>2025-05-08 11:51:00,490,,490,,490,,487,,,,,490,480,490,475</t>
  </si>
  <si>
    <t>2025-05-08 11:51:00,5800,,5730,,5600,,5660,,,,,5750,5600,5530,5550</t>
  </si>
  <si>
    <t>2025-05-08 11:51:00,20200,,20400,,19475,,20000,,,,,20400,19600,19500,20500</t>
  </si>
  <si>
    <t>2025-05-08 11:51:00,4053753839.53383,27696103650.3995,17898.2907011289,10398,23407.0083581402,5209.33,177.141635647226,2519.55</t>
  </si>
  <si>
    <t>2025-05-08 11:51:00,2293983693.78918,6024165828.78698,-2254.67941745516,-986,-1979.79143232191,-3151.58,-60.6156244211554,-976.94</t>
  </si>
  <si>
    <t>2025-05-08 11:51:00,61229981.3473027,391380032.400317,-570.06488095238,-1050,2358.70819642857,-6277.51,-3.56475819981888,-280.82</t>
  </si>
  <si>
    <t>2025-05-08 11:51:00,50089914.4973077,3008945.96624837,-2.35511735598421,-50,-151.680615830489,-751.53,-0.0629496751927014,-8.87</t>
  </si>
  <si>
    <t>2025-05-08 11:52:00,575,,570,,575,,562.5,570,,,,570,560,557,564</t>
  </si>
  <si>
    <t>2025-05-08 11:52:00,490,,490,,490,,487,,,,,490,480,490,475</t>
  </si>
  <si>
    <t>2025-05-08 11:52:00,5800,,5730,,5600,,5660,,,,,5750,5600,5530,5550</t>
  </si>
  <si>
    <t>2025-05-08 11:52:00,20200,,20400,,19475,,20000,,,,,20400,19600,19500,20500</t>
  </si>
  <si>
    <t>2025-05-08 11:52:00,4081369043.22571,27174901907.6736,5495.8503968254,7789,8054.96135714286,8932.47,85.2733257600791,3444.08</t>
  </si>
  <si>
    <t>2025-05-08 11:52:00,2348008815.72814,5914528254.55621,311.837332112342,1401,9.39382661784208,-64.4800000000001,-128.336972056121,1.99</t>
  </si>
  <si>
    <t>2025-05-08 11:52:00,61781551.5037659,391908825.385208,421.088095238097,841,27163.5376428572,19227.92,2.02706657682059,462.06</t>
  </si>
  <si>
    <t>2025-05-08 11:52:00,51635225.3286683,2985922.90220391,9.8072573234245,14,401.752018801295,250.43,-0.0139486364789224,2.61</t>
  </si>
  <si>
    <t>2025-05-08 11:53:00,575,,570,,575,,563.5,,,,,570,560,557,564</t>
  </si>
  <si>
    <t>2025-05-08 11:53:00,490,,490,,490,,487,,,,,490,480,490,475</t>
  </si>
  <si>
    <t>2025-05-08 11:53:00,5800,,5730,,5600,,5660,,,,,5750,5600,5530,5550</t>
  </si>
  <si>
    <t>2025-05-08 11:53:00,20200,,20400,,19475,,20000,,,,,20400,19600,19500,20500</t>
  </si>
  <si>
    <t>2025-05-08 11:53:00,4069582172.28186,27638242116.2131,1433.00396825397,3382,1011.03603174604,-815.31,386.503947056182,349.1</t>
  </si>
  <si>
    <t>2025-05-08 11:53:00,2323351560.71664,5931631545.45154,-145.620175438599,246,-85.3447857142878,55.2699999999999,-3.99905765407176,12.19</t>
  </si>
  <si>
    <t>2025-05-08 11:53:00,61744459.6808303,391467126.485628,-327.772962347731,-1020,-823.033835825031,-7982.07,-3.88715176268082,-330.71</t>
  </si>
  <si>
    <t>2025-05-08 11:53:00,51354261.1409273,3020158.05349287,-8.43678624515581,-6,-231.709264470192,-367.03,-0.00255765219774178,-3.35</t>
  </si>
  <si>
    <t>2025-05-08 11:54:00,575,,570,,575,,563.5,,,,,570,560,557,564</t>
  </si>
  <si>
    <t>2025-05-08 11:54:00,490,,490,,490,,487,,,,,490,480,490,475</t>
  </si>
  <si>
    <t>2025-05-08 11:54:00,5800,,5730,,5600,,5660,,,,,5750,5600,5530,5550</t>
  </si>
  <si>
    <t>2025-05-08 11:54:00,20200,,20400,,19475,,20000,,,,,20400,19600,19500,20500</t>
  </si>
  <si>
    <t>2025-05-08 11:54:00,4096000369.6386,27632076999.5587,373.62857142857,1550,1682.58771428571,2116.12,83.7217277276372,726.01</t>
  </si>
  <si>
    <t>2025-05-08 11:54:00,2358172269.92526,5913079648.04455,529.200732600729,1522,975.245040293039,1781.97,38.5285211483999,670.41</t>
  </si>
  <si>
    <t>2025-05-08 11:54:00,61970836.000914,398979747.73114,337.549523809524,704,3992.83371428572,5573.27,1.05123198854008,241.98</t>
  </si>
  <si>
    <t>2025-05-08 11:54:00,51364897.6895939,3041130.98636993,-1.57440476190476,-7,-2.95789285714277,-96.73,0.0219023185934218,-1.1</t>
  </si>
  <si>
    <t>2025-05-08 11:55:00,575,,570,,575,,563.5,,,,,570,560,557,564</t>
  </si>
  <si>
    <t>2025-05-08 11:55:00,490,,490,,490,,487,,,,,490,480,490,475</t>
  </si>
  <si>
    <t>2025-05-08 11:55:00,5800,,5730,,5600,,5660,,,,,5750,5600,5530,5550</t>
  </si>
  <si>
    <t>2025-05-08 11:55:00,20200,,20400,,19475,,20000,,,,,20400,19600,19500,20500</t>
  </si>
  <si>
    <t>2025-05-08 11:55:00,4085860052.28723,27900783087.9019,1054.2834998335,-432,2164.9541988567,1142.04,-295.609222668608,131.01</t>
  </si>
  <si>
    <t>2025-05-08 11:55:00,2309428860.17401,5915215424.63724,-248.037964621585,336,-269.633505672488,-289.63,-143.994258283309,-65.69</t>
  </si>
  <si>
    <t>2025-05-08 11:55:00,61850602.9094557,398094397.428664,-702.727976190477,-499,-9374.12991785714,-5814.26,-1.33421500856876,-202.27</t>
  </si>
  <si>
    <t>2025-05-08 11:55:00,51802795.7270638,3011432.29010045,-1.28290598290598,-4,33.850832722833,-135.62,0.0191882870043634,-1.12</t>
  </si>
  <si>
    <t>2025-05-08 11:56:00,575,,570,,575,,563.5,,,,,570,560,557,564</t>
  </si>
  <si>
    <t>2025-05-08 11:56:00,490,,490,,490,,487,,,,,490,480,490,475</t>
  </si>
  <si>
    <t>2025-05-08 11:56:00,5800,,5730,,5600,,5660,,,,,5750,5600,5530,5550</t>
  </si>
  <si>
    <t>2025-05-08 11:56:00,20200,,20400,,19475,,20000,,,,,20400,19600,19500,20500</t>
  </si>
  <si>
    <t>2025-05-08 11:56:00,4054927632.45212,27760656317.3854,-1459.69873737374,122,-126.973672077922,872.99,-246.224366413046,171.67</t>
  </si>
  <si>
    <t>2025-05-08 11:56:00,2353372615.2793,5961670194.87566,365.121527777778,879,660.439270833334,846.91,47.8940200538275,316.78</t>
  </si>
  <si>
    <t>2025-05-08 11:56:00,60346173.773113,394779848.537626,169.989999999999,454,5054.53009999998,4564.07,2.57707509864196,142.12</t>
  </si>
  <si>
    <t>2025-05-08 11:56:00,51754158.617841,2968103.47477203,5.02894843629782,3,1581.58238487699,101.74,0.00258684548060786,1.2</t>
  </si>
  <si>
    <t>2025-05-08 11:57:00,575,,570,,575,,563.5,,,,,570,560,557,564</t>
  </si>
  <si>
    <t>2025-05-08 11:57:00,490,,490,,490,,487,,,,,490,480,490,475</t>
  </si>
  <si>
    <t>2025-05-08 11:57:00,5800,,5730,,5600,,5660,,,,,5750,5600,5530,5550</t>
  </si>
  <si>
    <t>2025-05-08 11:57:00,20200,,20400,,19475,,20000,,,,,20400,19600,19500,20500</t>
  </si>
  <si>
    <t>2025-05-08 11:57:00,4058049996.62196,27738149950.2948,-2169.92943722945,-1233,-2607.99150937953,-3446.65,96.1901763989359,-1296.94</t>
  </si>
  <si>
    <t>2025-05-08 11:57:00,2345763636.10483,5997539389.74608,252.406832298136,957,640.939554865424,1415.68,-63.7561364863116,500.26</t>
  </si>
  <si>
    <t>2025-05-08 11:57:00,61314325.1474649,387820057.246336,-4.10285714285836,363,14432.5976857143,15191.51,7.89191606460119,310.03</t>
  </si>
  <si>
    <t>2025-05-08 11:57:00,52276036.4159606,2966857.83078255,3.52958743444677,10,103.306014518588,319.15,0.00422628655674873,3.45</t>
  </si>
  <si>
    <t>2025-05-08 11:58:00,575,,570,,575,,563.5,,,,,570,560,557,564</t>
  </si>
  <si>
    <t>2025-05-08 11:58:00,490,,490,,490,,487,,,,,490,480,490,475</t>
  </si>
  <si>
    <t>2025-05-08 11:58:00,5800,,5730,,5600,,5660,,,,,5750,5600,5530,5550</t>
  </si>
  <si>
    <t>2025-05-08 11:58:00,20200,,20400,,19475,,20000,,,,,20400,19600,19500,20500</t>
  </si>
  <si>
    <t>2025-05-08 11:58:00,4077004290.22708,27769838980.591,1943.70555555556,2299,3190.04951587302,3238.01,77.834373734183,1215.07</t>
  </si>
  <si>
    <t>2025-05-08 11:58:00,2329772601.22431,6042317042.89083,530.489682539683,924,840.409634920635,1000.83,86.8895376629958,428.28</t>
  </si>
  <si>
    <t>2025-05-08 11:58:00,61263398.4405436,397088361.231636,236.042380952381,424,3266.77486666667,2834.84,1.86550004712515,102.36</t>
  </si>
  <si>
    <t>2025-05-08 11:58:00,51733357.14231,3010456.87016202,3.42916666666667,1,67.6660737179488,38.6,0.00688859662152775,0.51</t>
  </si>
  <si>
    <t>2025-05-08 11:59:00,575,,570,,575,,563.5,,,,,570,560,557,564</t>
  </si>
  <si>
    <t>2025-05-08 11:59:00,490,,490,,490,,487,,,,,490,480,490,475</t>
  </si>
  <si>
    <t>2025-05-08 11:59:00,5800,,5730,,5600,,5660,,,,,5750,5600,5530,5550</t>
  </si>
  <si>
    <t>2025-05-08 11:59:00,20200,,20400,,19475,,20000,,,,,20400,19600,19500,20500</t>
  </si>
  <si>
    <t>2025-05-08 11:59:00,4061416933.0044,27844797306.3244,-7315.99350649351,-6517,-8094.19922619048,-6041.3,-109.185954208297,-2178.23</t>
  </si>
  <si>
    <t>2025-05-08 11:59:00,2307619361.56714,5957109463.7163,-1807.91590769446,-1646,-2293.25302534562,-2370.08,-33.6167539973499,-870.87</t>
  </si>
  <si>
    <t>2025-05-08 11:59:00,61420759.5311753,396577848.200728,-543.775000000002,-931,-5935.60825000001,-7919.75,-2.84300705488749,-322.19</t>
  </si>
  <si>
    <t>2025-05-08 11:59:00,51839636.1074345,3010189.37810115,-4.80232843137253,-22,-293.285750175069,-583.02,-0.0165378770333673,-6.25</t>
  </si>
  <si>
    <t>2025-05-08 12:00:00,575,,570,,575,,563.5,,,,,570,560,557,564</t>
  </si>
  <si>
    <t>2025-05-08 12:00:00,490,,490,,490,,487,,,,,490,480,490,475</t>
  </si>
  <si>
    <t>2025-05-08 12:00:00,5800,,5730,,5600,,5660,,,,,5750,5600,5530,5550</t>
  </si>
  <si>
    <t>2025-05-08 12:00:00,20200,,20400,,19475,,20050,,,,,20400,19600,19500,20500</t>
  </si>
  <si>
    <t>2025-05-08 12:00:00,4056971940.27623,28438330510.5971,2650.89120700088,1572,4953.59120741982,3634.62,43.9466421878088,1071.52</t>
  </si>
  <si>
    <t>2025-05-08 12:00:00,2338390905.38604,6148468333.89822,311.127976190476,1712,491.125119047619,1079.09,-63.0228493547316,396.97</t>
  </si>
  <si>
    <t>2025-05-08 12:00:00,60232830.5583995,404291802.91345,983.481998556998,1601,8434.02167063492,9778.26,0.607672830355095,404.82</t>
  </si>
  <si>
    <t>2025-05-08 12:00:00,52648188.9172279,3013181.02208256,24.3296145883102,22,532.568275919732,331.55,0.0247274248201236,3.84</t>
  </si>
  <si>
    <t>2025-05-08 12:01:00,575,,570,,575,,563.5,,,,570,570,560,557,564</t>
  </si>
  <si>
    <t>2025-05-08 12:01:00,490,,490,,490,,487,,,,,490,480,490,475</t>
  </si>
  <si>
    <t>2025-05-08 12:01:00,5800,,5730,,5600,,5660,,,,,5750,5600,5530,5550</t>
  </si>
  <si>
    <t>2025-05-08 12:01:00,20200,,20400,,19475,,20050,,,,,20400,19600,19500,20500</t>
  </si>
  <si>
    <t>2025-05-08 12:01:00,4058135606.74813,28137206757.4699,169.877181085045,-482,268.708674242424,939.95,686.947378138955,63.39</t>
  </si>
  <si>
    <t>2025-05-08 12:01:00,2342678510.10222,5986803842.46668,-1374.59741385171,-1974,-1074.23007901757,-2927.85,135.514536157585,-1071.41</t>
  </si>
  <si>
    <t>2025-05-08 12:01:00,60369176.4369405,395968116.210003,75.422571872572,242,754.277530303031,-1150.32,-6.92867931792009,-58.85</t>
  </si>
  <si>
    <t>2025-05-08 12:01:00,52588777.5648182,2934130.18601205,11.0968912924021,8,459.280927362971,304.2,0.0182055938678141,2.99</t>
  </si>
  <si>
    <t>2025-05-08 12:02:00,575,,570,,575,,563.5,,,,,570,560,557,564</t>
  </si>
  <si>
    <t>2025-05-08 12:02:00,490,,490,,490,,487,,,,,490,480,490,475</t>
  </si>
  <si>
    <t>2025-05-08 12:02:00,5800,,5730,,5600,,5660,,,,,5750,5600,5530,5550</t>
  </si>
  <si>
    <t>2025-05-08 12:02:00,20200,,20400,,19475,,20050,,,,,20400,19600,19500,20500</t>
  </si>
  <si>
    <t>2025-05-08 12:02:00,4024760683.01604,28319629485.3322,397.734423909424,1477,4639.28899592075,5112.32,85.9926918684097,1949.57</t>
  </si>
  <si>
    <t>2025-05-08 12:02:00,2331137862.93219,6052233361.87305,244.812118623288,791,629.154504859408,1808.29,25.959134427863,646.32</t>
  </si>
  <si>
    <t>2025-05-08 12:02:00,59775672.2788618,403096090.796784,1758.30873015874,1180,6146.68667460329,-24967.41,-16.6444250062245,-255.7</t>
  </si>
  <si>
    <t>2025-05-08 12:02:00,53157989.1449744,2964833.77818388,23.1727825314781,-103,552.438095768965,-125.63,-0.129859893913984,-7.3</t>
  </si>
  <si>
    <t>2025-05-08 12:03:00,575,,570,,575,,563.5,,,,,570,560,557,564</t>
  </si>
  <si>
    <t>2025-05-08 12:03:00,490,,490,,490,,487,,,,,490,480,490,475</t>
  </si>
  <si>
    <t>2025-05-08 12:03:00,5800,,5730,,5600,,5660,,,,,5750,5600,5530,5550</t>
  </si>
  <si>
    <t>2025-05-08 12:03:00,20200,,20400,,19475,,20050,,,,,20400,19600,19500,20500</t>
  </si>
  <si>
    <t>2025-05-08 12:03:00,4014506843.1759,28632594754.8693,-2475.88055555555,-3323,-2042.06955555555,-3357.21,245.78974770398,-1316.35</t>
  </si>
  <si>
    <t>2025-05-08 12:03:00,2321037389.14393,6046949094.01539,-870.166885884789,-2142,-1195.78794543905,-2884.96,-4.98824400176957,-1051.8</t>
  </si>
  <si>
    <t>2025-05-08 12:03:00,60118541.6198351,398836636.121089,-529.41,-285,-1239.6392,151.19,0.396376370505984,2.16000000000001</t>
  </si>
  <si>
    <t>2025-05-08 12:03:00,51131502.2984577,3210432.7394105,64.4753968253978,-669,327.401666666672,-3559.25,-0.967333414256246,-61.51</t>
  </si>
  <si>
    <t>2025-05-08 12:04:00,575,,570,,575,,563.5,,,,,570,560,557,564</t>
  </si>
  <si>
    <t>2025-05-08 12:04:00,490,,490,,490,,487,,,,,490,480,490,475</t>
  </si>
  <si>
    <t>2025-05-08 12:04:00,5800,,5730,,5600,,5660,,,,,5750,5600,5530,5550</t>
  </si>
  <si>
    <t>2025-05-08 12:04:00,20200,,20400,,19475,,20050,,,,,20400,19600,19500,20500</t>
  </si>
  <si>
    <t>2025-05-08 12:04:00,3976465673.6161,26690264535.8635,3949.04599567099,2841,3351.36059704184,2488.47,140.648796366435,965.9</t>
  </si>
  <si>
    <t>2025-05-08 12:04:00,2354968776.70287,5537303551.88618,-30.0152380952384,-78,-145.616228571429,-322.79,126.231433941017,-91.1</t>
  </si>
  <si>
    <t>2025-05-08 12:04:00,60140588.2749164,390668234.898275,-149,-244,791.548999999999,926.19,0.300291779787244,57.28</t>
  </si>
  <si>
    <t>2025-05-08 12:04:00,52704323.0345404,3182028.66511752,-20.2666666666667,-27,-14.1742222222223,-338,-0.0314778026340391,-4.72</t>
  </si>
  <si>
    <t>2025-05-08 12:05:00,575,,570,,575,,563.5,,,569,,570,560,557,564</t>
  </si>
  <si>
    <t>2025-05-08 12:05:00,490,,490,,490,,487,,,492,,490,480,490,475</t>
  </si>
  <si>
    <t>2025-05-08 12:05:00,5800,,5700,,5600,,5660,,,,,5750,5600,5530,5550</t>
  </si>
  <si>
    <t>2025-05-08 12:05:00,20100,,20400,,19475,,20050,,,,,20400,19600,19500,20500</t>
  </si>
  <si>
    <t>2025-05-08 12:05:00,3959327085.72625,27832730190.2657,-5776.08459026353,-5246,2172.05249608872,3747.68,-396.194958349517,980.560000000001</t>
  </si>
  <si>
    <t>2025-05-08 12:05:00,2356169381.87821,5912958028.44238,1590.24421230943,2744,2073.24158338039,3746.86,-13.9938167858484,1342.23</t>
  </si>
  <si>
    <t>2025-05-08 12:05:00,58529005.0008769,387882231.878076,548.481111111111,1236,3712.67014444445,5118.77,8.08121468099665,224.64</t>
  </si>
  <si>
    <t>2025-05-08 12:05:00,52534229.340666,3093985.12834282,12.7945588235294,17,850.185142156863,598.9,-0.00454681171332276,5.87</t>
  </si>
  <si>
    <t>2025-05-08 12:06:00,575,,570,,575,,563.5,,,,,570,560,557,564</t>
  </si>
  <si>
    <t>2025-05-08 12:06:00,490,,490,,490,,487,,,,,490,480,490,475</t>
  </si>
  <si>
    <t>2025-05-08 12:06:00,5800,,5730,,5600,,5660,,,,,5750,5600,5530,5550</t>
  </si>
  <si>
    <t>2025-05-08 12:06:00,20100,,20400,,19475,,20050,,,,,20400,19600,19500,20500</t>
  </si>
  <si>
    <t>2025-05-08 12:06:00,3978558112.63187,27737485679.0461,-5158.81944444446,-3405,-3494.65563888891,-1066.97,105.424183049529,-629.48</t>
  </si>
  <si>
    <t>2025-05-08 12:06:00,2346871387.76439,5951581641.07999,545.845634920636,2113,683.114734126985,1830.41,-62.7677421900377,704.44</t>
  </si>
  <si>
    <t>2025-05-08 12:06:00,58705512.1400251,389047891.732211,290.120238095238,259,404.398630952371,-1014.15,-0.466163189560487,-7.62</t>
  </si>
  <si>
    <t>2025-05-08 12:06:00,52285587.5992154,3138683.34140341,4.34329365079366,7,76.9149214285717,68.71,0.0112288827670386,1.05</t>
  </si>
  <si>
    <t>2025-05-08 12:07:00,575,,570,,575,,563.5,,,,,570,560,557,564</t>
  </si>
  <si>
    <t>2025-05-08 12:07:00,490,,490,,490,,487,,,,,490,480,490,475</t>
  </si>
  <si>
    <t>2025-05-08 12:07:00,5800,,5730,,5600,,5660,,,,,5750,5600,5530,5550</t>
  </si>
  <si>
    <t>2025-05-08 12:07:00,20200,,20400,,19475,,20050,,,,,20400,19600,19500,20500</t>
  </si>
  <si>
    <t>2025-05-08 12:07:00,4063874312.89603,28060103361.7671,-2371.57493894994,-2587,-2901.2623519536,-2977.77,374.422973648812,-1022.88</t>
  </si>
  <si>
    <t>2025-05-08 12:07:00,2323884615.81165,5990017395.19089,-3468.08669772257,-2899,-245.054759316768,645.42,-101.400694554617,228.95</t>
  </si>
  <si>
    <t>2025-05-08 12:07:00,60924770.8321937,393892558.365227,-546.545317460316,249,-26809.6358960316,-8017.39,-4.5427630906524,-109.42</t>
  </si>
  <si>
    <t>2025-05-08 12:07:00,53255068.1650145,3218601.42074824,-21.3198412698413,-20,-326.260317460317,-264.8,0.0263577142863173,-3.39</t>
  </si>
  <si>
    <t>2025-05-08 12:08:00,575,,570,,575,,563.5,,,,,570,560,557,564</t>
  </si>
  <si>
    <t>2025-05-08 12:08:00,490,,490,,490,,487,,,,,490,480,490,475</t>
  </si>
  <si>
    <t>2025-05-08 12:08:00,5800,,5730,,5600,,5660,,,,,5750,5600,5530,5550</t>
  </si>
  <si>
    <t>2025-05-08 12:08:00,20200,,20400,,19475,,20050,,,,,20400,19600,19500,20500</t>
  </si>
  <si>
    <t>2025-05-08 12:08:00,4001918883.42179,27709005972.1322,679.802128427127,733,3862.13710497835,2763.66,-31.9139497523057,792.58</t>
  </si>
  <si>
    <t>2025-05-08 12:08:00,2362294414.39328,5958174123.83018,-2054.15133533133,-1873,3303.10739610391,2214.77,265.955584206945,170.6</t>
  </si>
  <si>
    <t>2025-05-08 12:08:00,59566946.1721825,396210972.868332,-258.2,122,1033.602,964.17,2.75027851513833,54.63</t>
  </si>
  <si>
    <t>2025-05-08 12:08:00,50637578.0555531,3214955.75226277,-1.99959496442256,2,227.694250465244,304.08,0.0130122553691213,2.24</t>
  </si>
  <si>
    <t>2025-05-08 12:09:00,575,,570,,575,,563.5,,,,,570,560,557,564</t>
  </si>
  <si>
    <t>2025-05-08 12:09:00,490,,490,,490,,487,,,,,490,480,490,475</t>
  </si>
  <si>
    <t>2025-05-08 12:09:00,5800,,5730,,5600,,5660,,,,,5750,5600,5530,5550</t>
  </si>
  <si>
    <t>2025-05-08 12:09:00,20200,,20400,,19475,,20050,,,,,20400,19600,19500,20500</t>
  </si>
  <si>
    <t>2025-05-08 12:09:00,3944323933.19245,27336945176.3798,2049.85324675325,2390,2849.58203607504,3642.75,-87.9378779503243,1097.69</t>
  </si>
  <si>
    <t>2025-05-08 12:09:00,2363293227.71875,5745055436.13189,-240.129365079365,1388,-257.829563492063,500.82,-100.505440449689,210.07</t>
  </si>
  <si>
    <t>2025-05-08 12:09:00,58667810.5264981,380129734.050143,-721.741666666667,-373,-1094.99041666666,-1840.16,4.27049865073735,-102.95</t>
  </si>
  <si>
    <t>2025-05-08 12:09:00,52054259.9230526,3086249.00453387,-0.876210732258189,5,217.436854956296,326.81,0.00875158299090038,3.58</t>
  </si>
  <si>
    <t>2025-05-08 12:10:00,575,,570,,575,,563.5,,,,,570,560,557,564</t>
  </si>
  <si>
    <t>2025-05-08 12:10:00,490,,490,,490,,487,,,,,490,480,490,475</t>
  </si>
  <si>
    <t>2025-05-08 12:10:00,5800,,5730,,5600,,5660,,,,,5750,5600,5530,5550</t>
  </si>
  <si>
    <t>2025-05-08 12:10:00,20100,,20400,,19475,,20050,,,,,20400,19600,19500,20500</t>
  </si>
  <si>
    <t>2025-05-08 12:10:00,3938943977.62282,27151690714.2798,-568.019444444444,6840,705.664361111111,7312.94,-533.449342527318,3103.42</t>
  </si>
  <si>
    <t>2025-05-08 12:10:00,2349610429.30055,5620531881.5686,1671.18991099688,3621,2064.56221180481,4150.72,-287.935232111104,1669.44</t>
  </si>
  <si>
    <t>2025-05-08 12:10:00,58718601.4916409,372628049.63018,727.355357142854,1209,6215.19091071427,10854.43,-8.24367685832285,549.47</t>
  </si>
  <si>
    <t>2025-05-08 12:10:00,53771279.7049512,3017990.84585035,-23.5967117821082,-15,-716.823997665238,-482.6,0.0173890918235264,-4.16</t>
  </si>
  <si>
    <t>2025-05-08 12:11:00,575,,570,,575,,563.5,,,,569,570,560,557,564</t>
  </si>
  <si>
    <t>2025-05-08 12:11:00,490,,490,,490,,487,,,,,490,480,490,475</t>
  </si>
  <si>
    <t>2025-05-08 12:11:00,5800,,5730,,5600,,5660,,,,,5750,5600,5530,5550</t>
  </si>
  <si>
    <t>2025-05-08 12:11:00,20100,,20400,,19475,,20050,,,,,20400,19600,19500,20500</t>
  </si>
  <si>
    <t>2025-05-08 12:11:00,3951274279.21243,26807015904.7892,-6878.01944444444,-8300,-4112.43491666667,-5287.22,333.440127540101,-2300.04</t>
  </si>
  <si>
    <t>2025-05-08 12:11:00,2329336619.94926,5527540814.6129,-2732.09770971588,-2489,-2977.8796172808,-2170.91,-37.4532439553884,-886.85</t>
  </si>
  <si>
    <t>2025-05-08 12:11:00,58840189.8824806,366630448.642061,-141.999999999999,94,-554.447999999999,2253.39,4.39525982627479,92.72</t>
  </si>
  <si>
    <t>2025-05-08 12:11:00,53733209.9725403,3003512.59223452,-5.80444244604317,-7,-259.125819064748,-300.31,0.00200845408090498,-2.26</t>
  </si>
  <si>
    <t>2025-05-08 12:12:00,575,,570,,575,,563.5,,,,,570,560,557,564</t>
  </si>
  <si>
    <t>2025-05-08 12:12:00,490,,490,,490,,487,,,,,490,480,490,475</t>
  </si>
  <si>
    <t>2025-05-08 12:12:00,5800,,5730,,5600,,5660,,,,,5750,5600,5530,5550</t>
  </si>
  <si>
    <t>2025-05-08 12:12:00,20100,,20400,,19475,,20050,,,,,20400,19600,19500,20500</t>
  </si>
  <si>
    <t>2025-05-08 12:12:00,3878816291.22006,26312660844.4596,-4141.58846153847,-1313,-4056.91923626375,-1214.73,55.3088422358698,-224.39</t>
  </si>
  <si>
    <t>2025-05-08 12:12:00,2318732206.59552,5405723128.39959,-2056.31560939061,-2281,-1365.48112662338,-1641.1,97.9040669713334,-709.83</t>
  </si>
  <si>
    <t>2025-05-08 12:12:00,57865035.1290011,356608911.448683,-677.296190476191,-852,-6584.55219999999,-5307.34,7.198145864829,-204.53</t>
  </si>
  <si>
    <t>2025-05-08 12:12:00,54016939.4755735,2914736.33979224,-17.8336982925541,-23,-857.267793189496,-835.22,-0.0320577330314622,-7.31</t>
  </si>
  <si>
    <t>2025-05-08 12:13:00,575,,570,,575,,563.5,,,,,570,560,557,564</t>
  </si>
  <si>
    <t>2025-05-08 12:13:00,490,,490,,490,,487,,,,,490,480,490,475</t>
  </si>
  <si>
    <t>2025-05-08 12:13:00,5800,,5730,,5600,,5660,,,,,5750,5600,5530,5550</t>
  </si>
  <si>
    <t>2025-05-08 12:13:00,20100,,20400,,19475,,20050,,,,,20400,19600,19500,20500</t>
  </si>
  <si>
    <t>2025-05-08 12:13:00,3941030710.24506,27256702545.3328,-288.015873015873,294,-68.7432936507938,1104.61,-183.915380876968,336.93</t>
  </si>
  <si>
    <t>2025-05-08 12:13:00,2340734225.06893,5701055136.85209,132.914997170345,342,-91.4612452097985,-332.25,112.983641425502,-41.41</t>
  </si>
  <si>
    <t>2025-05-08 12:13:00,58696609.834652,366044240.031028,75.9964285714295,594,20849.3523214286,33064.92,2.63600261684789,454.48</t>
  </si>
  <si>
    <t>2025-05-08 12:13:00,53666440.8835655,2981148.80031251,-3.86138095238096,-6,-129.260799523809,-297.47,-0.00143786088407896,-2.29</t>
  </si>
  <si>
    <t>2025-05-08 12:14:00,575,,570,,575,,563.5,,,,,570,560,557,564</t>
  </si>
  <si>
    <t>2025-05-08 12:14:00,490,,490,,490,,487,,,,,490,480,490,475</t>
  </si>
  <si>
    <t>2025-05-08 12:14:00,5800,,5730,,5600,,5660,,,,,5750,5600,5530,5550</t>
  </si>
  <si>
    <t>2025-05-08 12:14:00,20100,,20400,,19475,,20050,,,,,20400,19600,19500,20500</t>
  </si>
  <si>
    <t>2025-05-08 12:14:00,3894531142.39658,26859581371.6967,737.265873015872,554,1658.80626984127,2310.84,-301.216501831944,741.75</t>
  </si>
  <si>
    <t>2025-05-08 12:14:00,2350268742.62975,5527712817.52289,-239.690476190476,-81,-488.596904761905,-294.36,181.749111832436,-114.18</t>
  </si>
  <si>
    <t>2025-05-08 12:14:00,57790422.2380524,354203383.357379,-47.079999999998,63,-981.773199999969,-1867.43,3.00519756286481,-53.68</t>
  </si>
  <si>
    <t>2025-05-08 12:14:00,53740003.6696845,2946428.04391714,20.1892857142857,26,254.444523809524,276.7,0.0414457935800489,3.52</t>
  </si>
  <si>
    <t>2025-05-08 12:15:00,575,,570,,575,,563.5,,,,,570,560,557,564</t>
  </si>
  <si>
    <t>2025-05-08 12:15:00,490,,490,,490,,487,,,,,490,480,490,475</t>
  </si>
  <si>
    <t>2025-05-08 12:15:00,5800,,5730,,5600,,5660,,,,,5750,5600,5530,5550</t>
  </si>
  <si>
    <t>2025-05-08 12:15:00,20100,,20400,,19475,,20050,,,,,20400,19600,19500,20500</t>
  </si>
  <si>
    <t>2025-05-08 12:15:00,3895428599.52296,26645846330.826,338.687148962149,937,722.255226190475,1605.44,93.3205355143186,585.68</t>
  </si>
  <si>
    <t>2025-05-08 12:15:00,2350747389.37516,5458278634.78263,1226.08333333333,1357,1420.5425,1273.87,18.8096575471613,515.9</t>
  </si>
  <si>
    <t>2025-05-08 12:15:00,56730770.061444,362331479.001832,213.669047619048,133,3812.29916190477,3072.26,-0.966008092301833,103.47</t>
  </si>
  <si>
    <t>2025-05-08 12:15:00,53469284.5184022,2936253.27378576,23.8462091503268,20,999.2444535014,668.07,-0.0138711734915089,7.4</t>
  </si>
  <si>
    <t>2025-05-08 12:16:00,575,,570,,575,,563.5,,,,,570,560,557,564</t>
  </si>
  <si>
    <t>2025-05-08 12:16:00,490,,490,,490,,487,,,,,490,480,490,475</t>
  </si>
  <si>
    <t>2025-05-08 12:16:00,5800,,5730,,5600,,5660,,,,,5750,5600,5530,5550</t>
  </si>
  <si>
    <t>2025-05-08 12:16:00,20100,,20400,,19475,,20050,,,,,20400,19600,19500,20500</t>
  </si>
  <si>
    <t>2025-05-08 12:16:00,3858927666.95619,26032941925.7803,-964.092027417028,-1019,-561.472750721505,-199.06,386.698201170361,-249.99</t>
  </si>
  <si>
    <t>2025-05-08 12:16:00,2347588270.42589,5343630054.23264,1133.62337199837,1827,936.408500712251,1910.38,-110.888317332575,723.37</t>
  </si>
  <si>
    <t>2025-05-08 12:16:00,57384730.6891527,360676294.444735,-176.2075,-253,-1350.31305833333,-2891.3,-0.000854258363708315,-145.12</t>
  </si>
  <si>
    <t>2025-05-08 12:16:00,53782395.7985524,2881725.25723215,6.43532130880087,13,238.39258547086,10.22,-0.00678618615083231,0.23</t>
  </si>
  <si>
    <t>2025-05-08 12:17:00,575,,570,,575,,563.5,,,,,570,560,557,564</t>
  </si>
  <si>
    <t>2025-05-08 12:17:00,490,,490,,490,,487,,,,,490,480,490,475</t>
  </si>
  <si>
    <t>2025-05-08 12:17:00,5800,,5730,,5600,,5660,,,,,5750,5600,5530,5550</t>
  </si>
  <si>
    <t>2025-05-08 12:17:00,20100,,20400,,19475,,20050,,,,,20400,19600,19500,20500</t>
  </si>
  <si>
    <t>2025-05-08 12:17:00,3927576697.22705,27427438146.6009,-429.735847485848,1241,116.115320096567,603.35,-116.168474957285,204.13</t>
  </si>
  <si>
    <t>2025-05-08 12:17:00,2326377928.85761,5616109201.55067,-483.274497354497,214,-767.557037037037,-440.19,16.2137171708223,-83.75</t>
  </si>
  <si>
    <t>2025-05-08 12:17:00,58085479.1008464,380333027.19917,101.491666666667,83,1887.73875,1868.21,1.03024540285332,54.93</t>
  </si>
  <si>
    <t>2025-05-08 12:17:00,52614613.4214307,2996586.13076363,0.341522162478052,3,28.6598367543407,167.95,0.00100963964223257,1.89</t>
  </si>
  <si>
    <t>2025-05-08 12:18:00,575,,570,,575,,563.5,,,,,570,560,557,564</t>
  </si>
  <si>
    <t>2025-05-08 12:18:00,490,,490,,490,,487,,,,,490,480,490,475</t>
  </si>
  <si>
    <t>2025-05-08 12:18:00,5800,,5730,,5600,,5660,,,,,5750,5600,5530,5550</t>
  </si>
  <si>
    <t>2025-05-08 12:18:00,20100,,20400,,19475,,20050,,,,,20400,19600,19500,20500</t>
  </si>
  <si>
    <t>2025-05-08 12:18:00,3888802960.77813,26939447416.426,802.874025974029,2321,1446.51137445888,2993.84,19.7166387140716,1238.57</t>
  </si>
  <si>
    <t>2025-05-08 12:18:00,2350784897.97784,5565758150.94625,1329.42410628019,1954,626.706197584539,1451.84,-86.5735536742564,542.63</t>
  </si>
  <si>
    <t>2025-05-08 12:18:00,56676937.2303902,373039315.116999,-52.3249999999997,0,2107.24175000003,1173.15,2.75138330326887,2.79</t>
  </si>
  <si>
    <t>2025-05-08 12:18:00,52453847.4289272,2975896.3219642,-4.89,-3,-123.429333333333,-132.8,0.00597272243417967,-1.4</t>
  </si>
  <si>
    <t>2025-05-08 12:19:00,575,,570,,575,,563.5,,,,,570,560,557,564</t>
  </si>
  <si>
    <t>2025-05-08 12:19:00,490,,490,,490,,487,,,,,490,480,490,475</t>
  </si>
  <si>
    <t>2025-05-08 12:19:00,5800,,5730,,5600,,5660,,,,,5750,5600,5530,5550</t>
  </si>
  <si>
    <t>2025-05-08 12:19:00,20100,,20400,,19475,,20050,,,,,20400,19600,19500,20500</t>
  </si>
  <si>
    <t>2025-05-08 12:19:00,3933180945.6708,27359455939.4715,-721.914285714285,-1282,-1213.36485714286,-1370.44,73.0681045661399,-508.33</t>
  </si>
  <si>
    <t>2025-05-08 12:19:00,2347710501.60815,5499053670.97813,-1138.086996337,-1080,-568.766208791208,-1027.27,-38.353897629503,-434.15</t>
  </si>
  <si>
    <t>2025-05-08 12:19:00,58273861.6197312,372415344.523211,-267.686428571429,-118,-1189.17686428571,-542.33,3.50225487406201,-16.45</t>
  </si>
  <si>
    <t>2025-05-08 12:19:00,53854822.6763251,2974327.92460075,-2.58738351254481,-7,-55.9527143881209,-267.38,-0.0192828419284519,-3.11</t>
  </si>
  <si>
    <t>2025-05-08 12:20:00,575,,570,,575,,563.5,,,,,570,560,557,564</t>
  </si>
  <si>
    <t>2025-05-08 12:20:00,490,,490,,490,,487,,,,,490,480,490,475</t>
  </si>
  <si>
    <t>2025-05-08 12:20:00,5800,,5730,,5600,,5660,,,,,5750,5600,5530,5550</t>
  </si>
  <si>
    <t>2025-05-08 12:20:00,20100,,20400,,19475,,20050,,,,,20400,19600,19500,20500</t>
  </si>
  <si>
    <t>2025-05-08 12:20:00,3839754105.17928,25727740740.3851,5236.40968253968,2668,6409.45192063492,3422.46,-381.91311827249,1375.76</t>
  </si>
  <si>
    <t>2025-05-08 12:20:00,2333409044.90965,5117884544.83239,1674.39989321024,1262,1514.23324947466,1031.7,-89.3162486879472,504.57</t>
  </si>
  <si>
    <t>2025-05-08 12:20:00,57341889.4837512,375142801.897182,936.580910973086,1002,9005.39055734989,6188.93,-5.16742534233515,258.98</t>
  </si>
  <si>
    <t>2025-05-08 12:20:00,53279349.0188577,2928480.52798378,15.1204761904762,10,185.614661904762,106.02,0.0120272172137405,1.53</t>
  </si>
  <si>
    <t>2025-05-08 12:21:00,575,,570,,575,,563.5,,,,,570,560,557,564</t>
  </si>
  <si>
    <t>2025-05-08 12:21:00,490,,490,,490,,487,,,,,490,480,490,475</t>
  </si>
  <si>
    <t>2025-05-08 12:21:00,5800,,5730,,5600,,5660,,,,,5750,5600,5530,5550</t>
  </si>
  <si>
    <t>2025-05-08 12:21:00,20100,,20400,,19475,,20050,,,,,20400,19600,19500,20500</t>
  </si>
  <si>
    <t>2025-05-08 12:21:00,3848285942.49571,26555380146.6352,-3545.67601010098,-4980,3697.23396212124,2055.9,-287.798907523299,539.85</t>
  </si>
  <si>
    <t>2025-05-08 12:21:00,2337180701.00235,5644108315.53473,10597.3178868517,4851,9524.44123510312,4432.02,115.516884411077,1799.6</t>
  </si>
  <si>
    <t>2025-05-08 12:21:00,56615376.0007086,362956324.757213,854.88,812,12113.4426,9892.46,-9.48774638935308,407.06</t>
  </si>
  <si>
    <t>2025-05-08 12:21:00,53387269.634603,2847702.8743385,5.15301994301994,-9,81.8128829059829,-5.41,-0.0057503097131245,0.21</t>
  </si>
  <si>
    <t>2025-05-08 12:22:00,575,,570,,575,,563.5,,,,,570,560,557,564</t>
  </si>
  <si>
    <t>2025-05-08 12:22:00,490,,490,,490,,487,,,,,490,480,490,475</t>
  </si>
  <si>
    <t>2025-05-08 12:22:00,5800,,5730,,5600,,5660,,,,,5750,5600,5530,5550</t>
  </si>
  <si>
    <t>2025-05-08 12:22:00,20100,,20400,,19475,,20050,,,,,20400,19600,19500,20500</t>
  </si>
  <si>
    <t>2025-05-08 12:22:00,3993104079.31902,27959714242.2349,4143.72738095239,7876,1716.78772619047,4281.78,-330.205060639433,2314.54</t>
  </si>
  <si>
    <t>2025-05-08 12:22:00,2280609614.26727,5805372041.115,1016.92608225108,1907,501.259932900433,1116.58,-68.3750065420102,631.2</t>
  </si>
  <si>
    <t>2025-05-08 12:22:00,59062120.5711506,378951910.13413,59.458333333333,228,-475.34691666667,3444.61,0.238229543192072,180.51</t>
  </si>
  <si>
    <t>2025-05-08 12:22:00,54530911.3562066,3039200.40905127,-4.35577200577199,2,-85.2355230880223,123.3,0.0344543812736206,2.14</t>
  </si>
  <si>
    <t>2025-05-08 12:23:00,575,,570,,575,,563.5,,,,,570,560,557,564</t>
  </si>
  <si>
    <t>2025-05-08 12:23:00,490,,490,,490,,487,,,,,490,480,490,475</t>
  </si>
  <si>
    <t>2025-05-08 12:23:00,5800,,5730,,5600,,5660,,,,,5750,5600,5530,5550</t>
  </si>
  <si>
    <t>2025-05-08 12:23:00,20100,,20400,,19475,,20050,,,,,20400,19600,19500,20500</t>
  </si>
  <si>
    <t>2025-05-08 12:23:00,4029847122.52348,27928161619.083,2436.80357142857,6159,684.650000000003,1393.47,383.032641531788,1096.44</t>
  </si>
  <si>
    <t>2025-05-08 12:23:00,2311719048.12015,6062176659.59293,409.835454545458,-497,848.400100000008,-1314.55,-31.8573248735669,-393.48</t>
  </si>
  <si>
    <t>2025-05-08 12:23:00,60369738.551237,394240318.340066,236.035,356,-925.948549999997,-2074.38,1.19776503704046,-16.64</t>
  </si>
  <si>
    <t>2025-05-08 12:23:00,53790737.0547471,3134512.31477125,-36.9773056923919,-36,-1003.55064853585,-1167.82,0.0591872559921314,-13.6</t>
  </si>
  <si>
    <t>2025-05-08 12:24:00,575,,570,,575,,563.5,,,,,570,560,557,564</t>
  </si>
  <si>
    <t>2025-05-08 12:24:00,490,,490,,490,,487,492,,,,490,480,490,475</t>
  </si>
  <si>
    <t>2025-05-08 12:24:00,5800,,5730,,5600,,5660,,,,,5750,5600,5530,5550</t>
  </si>
  <si>
    <t>2025-05-08 12:24:00,20100,,20400,,19475,,20050,,,,,20400,19600,19500,20500</t>
  </si>
  <si>
    <t>2025-05-08 12:24:00,4075234083.32628,28411273484.5565,-5565.86931216929,-7322,-6538.8214391534,-8191.84,-552.802893851231,-3449.2</t>
  </si>
  <si>
    <t>2025-05-08 12:24:00,2333760955.06792,6126497722.41572,-414.066770186336,-332,578.80265010352,175.39,100.172712775873,21.11</t>
  </si>
  <si>
    <t>2025-05-08 12:24:00,60993188.1007224,402453498.592961,133.486666666667,197,-976.551066666687,-3487.95,-2.26208975148226,-176.04</t>
  </si>
  <si>
    <t>2025-05-08 12:24:00,53354575.4977396,3171318.99533913,-18.7944083694084,-28,-79.3831017316016,-160.76,0.0648609083965981,-2.18</t>
  </si>
  <si>
    <t>2025-05-08 12:25:00,575,,570,,575,,563.5,,,,,570,560,557,564</t>
  </si>
  <si>
    <t>2025-05-08 12:25:00,490,,490,,490,,487,,,,,490,480,490,475</t>
  </si>
  <si>
    <t>2025-05-08 12:25:00,5800,,5730,,5600,,5660,,,,,5750,5600,5530,5550</t>
  </si>
  <si>
    <t>2025-05-08 12:25:00,20100,,20400,,19475,,20050,,,,,20400,19600,19500,20500</t>
  </si>
  <si>
    <t>2025-05-08 12:25:00,3979292145.34,28220081252.405,-2442.7753968254,-7477,-1917.95499206349,-4370.13,128.629813381656,-2478.06</t>
  </si>
  <si>
    <t>2025-05-08 12:25:00,2357845825.01166,5984281937.51628,-468.666666666667,-761,-358.931666666669,-826.91,60.6440415253876,-260.1</t>
  </si>
  <si>
    <t>2025-05-08 12:25:00,58963691.8650527,388379245.395425,-754.037500000003,-878,-3350.08187500003,-5983.57,-0.680005969350053,-312.35</t>
  </si>
  <si>
    <t>2025-05-08 12:25:00,54004922.5960945,3070614.643124,15.7659580163426,18,272.284555494506,168.04,0.0044439350250007,2.25</t>
  </si>
  <si>
    <t>2025-05-08 12:26:00,575,,570,,575,,563.5,,,,,570,560,557,564</t>
  </si>
  <si>
    <t>2025-05-08 12:26:00,490,,490,,490,,487,,,,,490,480,490,475</t>
  </si>
  <si>
    <t>2025-05-08 12:26:00,5800,,5730,,5600,,5660,,,,,5750,5600,5530,5550</t>
  </si>
  <si>
    <t>2025-05-08 12:26:00,20100,,20400,,19475,,20050,,,,,20400,19600,19500,20500</t>
  </si>
  <si>
    <t>2025-05-08 12:26:00,4041337989.4858,28573935413.0429,-539.27380952381,92,-582.767166666667,-372.74,250.181281567808,-70.1499999999999</t>
  </si>
  <si>
    <t>2025-05-08 12:26:00,2359188811.87387,6120028335.442,-529.794064872326,-402,-182.398095238096,-62.72,5.7664084366035,-83.83</t>
  </si>
  <si>
    <t>2025-05-08 12:26:00,59870364.4775026,394003488.012097,-39.7799999999988,-114,-38.8849999999883,-797.27,2.86981811157026,-28.14</t>
  </si>
  <si>
    <t>2025-05-08 12:26:00,53944289.0425784,3140990.54800664,-0.433199464524769,-2,45.2948745458024,-338.33,0.00727495287566235,-1.17</t>
  </si>
  <si>
    <t>2025-05-08 12:27:00,575,,570,,575,,563.5,,,,,570,560,557,564</t>
  </si>
  <si>
    <t>2025-05-08 12:27:00,490,,490,,490,,487,,,,,490,480,490,475</t>
  </si>
  <si>
    <t>2025-05-08 12:27:00,5800,,5730,,5600,,5660,,,,,5750,5600,5530,5550</t>
  </si>
  <si>
    <t>2025-05-08 12:27:00,20100,,20400,,19475,,20050,,,,,20400,19600,19500,20500</t>
  </si>
  <si>
    <t>2025-05-08 12:27:00,3976419668.1306,28097826648.8828,5013.91082251082,3531,5646.01266666666,2733.43,72.8987182214097,1298.53</t>
  </si>
  <si>
    <t>2025-05-08 12:27:00,2375641909.32512,6086878435.50307,1587.32267311423,936,1848.01336646556,1107.4,63.4404143108972,440.69</t>
  </si>
  <si>
    <t>2025-05-08 12:27:00,59027476.842937,401754712.874409,651.356363636365,512,8137.90474545457,7302.1,0.57294121482837,321.6</t>
  </si>
  <si>
    <t>2025-05-08 12:27:00,50798293.512729,3099840.72590743,4.32837646224743,3,286.898746012053,246.95,0.00515877361153588,1.44</t>
  </si>
  <si>
    <t>2025-05-08 12:28:00,575,,570,,575,,563.5,,,,,570,560,557,564</t>
  </si>
  <si>
    <t>2025-05-08 12:28:00,490,,490,,490,,487,,,,,490,480,490,475</t>
  </si>
  <si>
    <t>2025-05-08 12:28:00,5800,,5730,,5600,,5660,,,,,5750,5600,5530,5550</t>
  </si>
  <si>
    <t>2025-05-08 12:28:00,20100,,20400,,19475,,20050,,,,,20400,19600,19500,20500</t>
  </si>
  <si>
    <t>2025-05-08 12:28:00,4065260360.89386,28665670354.3456,-2647.86349206349,-1485,-1313.53968253968,-421.04,-51.5997718745459,-186.99</t>
  </si>
  <si>
    <t>2025-05-08 12:28:00,2299592784.89059,6102372402.9804,-980.969538705023,-766,-477.081358329843,-524.62,36.7988446315271,-277.13</t>
  </si>
  <si>
    <t>2025-05-08 12:28:00,60390305.1175802,399573381.336868,-190.616666666667,-10,-1317.43666666666,1097.7,-2.81768990052708,73.72</t>
  </si>
  <si>
    <t>2025-05-08 12:28:00,53842471.1399695,3183164.37547983,-4.23888888888888,-4,-100.480833333333,-88.65,-0.00255521806014069,-1.08</t>
  </si>
  <si>
    <t>2025-05-08 12:29:00,575,,570,,575,,563.5,,,,,570,560,557,564</t>
  </si>
  <si>
    <t>2025-05-08 12:29:00,490,,490,,490,,487,,,,,490,480,490,475</t>
  </si>
  <si>
    <t>2025-05-08 12:29:00,5800,,5730,,5600,,5660,,,,,5750,5600,5530,5550</t>
  </si>
  <si>
    <t>2025-05-08 12:29:00,20100,,20400,,19475,,20050,,,,,20400,19600,19500,20500</t>
  </si>
  <si>
    <t>2025-05-08 12:29:00,3991547771.09994,28414571475.4431,716.276098901099,1224,895.424013125762,1587.85,-51.2018146507516,740.57</t>
  </si>
  <si>
    <t>2025-05-08 12:29:00,2308183162.81498,6030776880.63401,-1157.80969843996,-1369,-777.814985612828,-957.89,-71.7357336826737,-447.54</t>
  </si>
  <si>
    <t>2025-05-08 12:29:00,58523343.6985822,402309315.489411,354.166666666665,491,3510.65916666665,6316.93,-0.444928313622016,251.51</t>
  </si>
  <si>
    <t>2025-05-08 12:29:00,53021725.5410305,3082262.74728523,-14.995,2,-329.10345,-105.66,0.00388405926607563,-1.04</t>
  </si>
  <si>
    <t>2025-05-08 12:30:00,575,,570,,575,,563.5,,,,,570,560,557,564</t>
  </si>
  <si>
    <t>2025-05-08 12:30:00,490,,490,,490,,487,,,,,490,480,490,475</t>
  </si>
  <si>
    <t>2025-05-08 12:30:00,5800,,5730,,5600,,5660,,,,,5750,5600,5530,5550</t>
  </si>
  <si>
    <t>2025-05-08 12:30:00,20100,,20400,,19475,,20050,,,,,20400,19600,19500,20500</t>
  </si>
  <si>
    <t>2025-05-08 12:30:00,4014075617.49453,28669852561.5152,1279.72380952381,1214,768.290571428572,192.04,187.137919982292,389.48</t>
  </si>
  <si>
    <t>2025-05-08 12:30:00,2346734320.7861,6172211324.40932,213.970114942529,315,223.101057471265,248.62,22.9005676748954,110.61</t>
  </si>
  <si>
    <t>2025-05-08 12:30:00,59201095.4026063,406808391.20816,423.763333333334,670,1786.33403333334,2574.49,2.57036179367108,141.94</t>
  </si>
  <si>
    <t>2025-05-08 12:30:00,54926311.756659,3087379.45841282,-1.1,0,-26.922,-15.8,0.00409636867199888,-0.18</t>
  </si>
  <si>
    <t>2025-05-08 12:31:00,575,,570,,575,,563.5,,,,,570,560,557,564</t>
  </si>
  <si>
    <t>2025-05-08 12:31:00,490,,490,,490,,487,,,,,490,480,490,475</t>
  </si>
  <si>
    <t>2025-05-08 12:31:00,5800,,5730,,5600,,5660,,,,,5750,5600,5530,5550</t>
  </si>
  <si>
    <t>2025-05-08 12:31:00,20100,,20400,,19475,,20050,,,,,20400,19600,19500,20500</t>
  </si>
  <si>
    <t>2025-05-08 12:31:00,4059039010.61438,29281217852.2314,-721.008333333333,-1308,612.339250000001,231.379999999999,332.275461342348,-205.41</t>
  </si>
  <si>
    <t>2025-05-08 12:31:00,2333817468.68217,6113977476.60658,-394.597802197802,-88,-373.478516483516,-355.39,23.7832346850766,-134.88</t>
  </si>
  <si>
    <t>2025-05-08 12:31:00,59846676.8387632,405989610.713704,78.8250000000002,279,2021.61575,1845.99,0.840812390675207,86.87</t>
  </si>
  <si>
    <t>2025-05-08 12:31:00,52744812.7219805,3158908.92476029,1.46988455988456,-13,-0.128907215007222,-25.39,-0.0109780032644335,-0.46</t>
  </si>
  <si>
    <t>2025-05-08 12:32:00,575,,570,,575,,563.5,,,,,570,560,557,564</t>
  </si>
  <si>
    <t>2025-05-08 12:32:00,490,,490,,490,,487,,,,,490,480,490,475</t>
  </si>
  <si>
    <t>2025-05-08 12:32:00,5800,,5730,,5600,,5660,,,,,5750,5600,5530,5550</t>
  </si>
  <si>
    <t>2025-05-08 12:32:00,20100,,20400,,19475,,20050,,,,,20400,19600,19500,20500</t>
  </si>
  <si>
    <t>2025-05-08 12:32:00,4070949388.58581,29530269703.1028,1071.73333333333,660,-527.713142857145,-558.21,-167.613236575355,-445.05</t>
  </si>
  <si>
    <t>2025-05-08 12:32:00,2362703630.27658,6238973835.93633,422.014961646541,925,530.134613427508,430.49,9.59931531363943,222.41</t>
  </si>
  <si>
    <t>2025-05-08 12:32:00,60233399.1342499,410715592.945028,65.9900000000003,-445,2228.63739999998,-1961.77,-6.89011083622619,-103.29</t>
  </si>
  <si>
    <t>2025-05-08 12:32:00,53728029.2448888,3189210.73242218,18.9937373737374,10,91.8577313131313,57.49,0.0128593738165755,0.93</t>
  </si>
  <si>
    <t>2025-05-08 12:33:00,575,,570,,575,,563.5,,,569,,570,560,557,564</t>
  </si>
  <si>
    <t>2025-05-08 12:33:00,490,,490,,490,,487,,,,,490,480,490,475</t>
  </si>
  <si>
    <t>2025-05-08 12:33:00,5800,,5730,,5600,,5660,,,,5700,5750,5600,5530,5550</t>
  </si>
  <si>
    <t>2025-05-08 12:33:00,20100,,20400,,19475,,20050,,,,,20400,19600,19500,20500</t>
  </si>
  <si>
    <t>2025-05-08 12:33:00,3954397420.54934,28507318485.2953,2726.9282051282,6972,528.401683760683,3126.75,-121.354234708691,2181.82</t>
  </si>
  <si>
    <t>2025-05-08 12:33:00,2366225641.24187,6074369682.91534,-2843.28422320136,-2514,-1970.9770872265,-1065.58,-84.469186551928,-580.7</t>
  </si>
  <si>
    <t>2025-05-08 12:33:00,58229586.89381,377560972.865853,-177.739999999996,-194,-5188.52719999997,-1439.12,0.201960600811561,-42.69</t>
  </si>
  <si>
    <t>2025-05-08 12:33:00,53369496.781623,2993451.28387931,-19.6608759202972,-85,123.106967555893,-487.82,-0.113907686825605,-9.55</t>
  </si>
  <si>
    <t>2025-05-08 12:34:00,575,,570,,575,,563.5,,569,,569,570,560,557,564</t>
  </si>
  <si>
    <t>2025-05-08 12:34:00,490,,490,,490,,487,,,,491,490,480,490,475</t>
  </si>
  <si>
    <t>2025-05-08 12:34:00,5800,,5730,,5600,,5660,,,,5700,5750,5600,5530,5550</t>
  </si>
  <si>
    <t>2025-05-08 12:34:00,20100,,20400,,19475,,20050,,,,,20400,19600,19500,20500</t>
  </si>
  <si>
    <t>2025-05-08 12:34:00,3810262059.37754,26418333681.5118,-18793.5089285714,-10497,-19788.9674107143,-7536.35,-345.8028637879,-3291.96</t>
  </si>
  <si>
    <t>2025-05-08 12:34:00,2363345960.98416,5609537877.6213,-1942.33589641099,-3250,-1103.53642237263,-2600.01,119.733443475983,-1271.44</t>
  </si>
  <si>
    <t>2025-05-08 12:34:00,55793338.5303048,352064695.321582,-544.719444444441,-97,-4379.22252777775,-4636.84,12.9732594189094,-258.71</t>
  </si>
  <si>
    <t>2025-05-08 12:34:00,52420607.7490348,2953312.5357029,373.217579365079,510,1575.55482777778,2819.45,0.590076269800405,51.74</t>
  </si>
  <si>
    <t>2025-05-08 12:35:00,575,,570,,575,,563.5,,,568,,570,560,557,564</t>
  </si>
  <si>
    <t>2025-05-08 12:35:00,490,,490,,490,,487,,,,,490,480,490,475</t>
  </si>
  <si>
    <t>2025-05-08 12:35:00,5800,,5730,,5600,,5660,,,,5700,5750,5600,5530,5550</t>
  </si>
  <si>
    <t>2025-05-08 12:35:00,20100,,20350,,19475,,20050,,,,,20400,19600,19500,20500</t>
  </si>
  <si>
    <t>2025-05-08 12:35:00,3719128606.7686,25559296492.6564,,12881,,14696.49,-1183.56921432932,6465.02</t>
  </si>
  <si>
    <t>2025-05-08 12:35:00,2287720649.30526,5183953617.73613,7292.66376853992,7323,5766.33423357444,6104.26,-441.521383276806,2703.62</t>
  </si>
  <si>
    <t>2025-05-08 12:35:00,52360889.2184182,335661951.077162,568.846666666668,2458,-751.331133333288,9533.6,8.90959804449992,521.62</t>
  </si>
  <si>
    <t>2025-05-08 12:35:00,53667065.8837096,3055141.22669243,367.051700887626,21,2461.86250683129,780.52,0.00784797308199744,8.22</t>
  </si>
  <si>
    <t>2025-05-08 12:36:00,575,,570,,575,,563.5,,,,,570,560,557,564</t>
  </si>
  <si>
    <t>2025-05-08 12:36:00,490,,490,,490,,487,,,,,490,480,490,475</t>
  </si>
  <si>
    <t>2025-05-08 12:36:00,5800,,5730,,5600,,5670,,,,,5750,5600,5530,5550</t>
  </si>
  <si>
    <t>2025-05-08 12:36:00,20100,,20350,,19475,,20050,,,,,20400,19600,19500,20500</t>
  </si>
  <si>
    <t>2025-05-08 12:36:00,3726137005.7376,24856593393.4896,-4426.08963795258,-2704,-6941.50382584273,-5923.17,32.1781944706451,-2116.5</t>
  </si>
  <si>
    <t>2025-05-08 12:36:00,2298070391.0112,4984055788.30569,-3209.67540424438,-1841,-3342.53929992978,-2521.8,52.3955156651627,-802.07</t>
  </si>
  <si>
    <t>2025-05-08 12:36:00,54871384.1578524,325012937.522826,-1193.52833333333,-549,-5593.97765,-1504.57,-2.67785516550775,-50.04</t>
  </si>
  <si>
    <t>2025-05-08 12:36:00,55756707.2088206,3022879.30569624,-14.3755555555556,-6,-682.095,-362.36,-0.0208589726430067,-3.71</t>
  </si>
  <si>
    <t>2025-05-08 12:37:00,575,,570,,575,,563.5,,,,,570,560,557,564</t>
  </si>
  <si>
    <t>2025-05-08 12:37:00,490,,490,,490,,487,,,,,490,480,490,475</t>
  </si>
  <si>
    <t>2025-05-08 12:37:00,5800,,5730,,5600,,5670,,,,,5750,5600,5530,5550</t>
  </si>
  <si>
    <t>2025-05-08 12:37:00,20100,,20350,,19475,,20050,,,,,20400,19600,19500,20500</t>
  </si>
  <si>
    <t>2025-05-08 12:37:00,3836004315.72188,26452845648.0855,7189.40254515597,5958,2745.23192528734,2174.33,-99.6255329029033,1360.86</t>
  </si>
  <si>
    <t>2025-05-08 12:37:00,2273290421.36264,5455198980.08613,337.187115158014,251,931.219764406785,1115.71,138.135019388156,432.37</t>
  </si>
  <si>
    <t>2025-05-08 12:37:00,56067433.7253127,349028906.827118,-126.253333333333,-169,-1397.19160000001,-1316.44,-5.27795953812184,-82.99</t>
  </si>
  <si>
    <t>2025-05-08 12:37:00,55450844.2676042,3160981.01411762,-11.6108080808081,-22,-117.203061616162,-99.49,-0.0440356405898293,-2.34</t>
  </si>
  <si>
    <t>2025-05-08 12:38:00,575,,570,,575,,563.5,,,,,570,560,557,564</t>
  </si>
  <si>
    <t>2025-05-08 12:38:00,490,,490,,490,,487,,,,,490,480,490,475</t>
  </si>
  <si>
    <t>2025-05-08 12:38:00,5800,,5730,,5600,,5670,,,,,5750,5600,5530,5550</t>
  </si>
  <si>
    <t>2025-05-08 12:38:00,20100,,20350,,19475,,20100,,,,,20400,19600,19500,20500</t>
  </si>
  <si>
    <t>2025-05-08 12:38:00,3897575260.65415,27233669679.8933,3682.7880952381,9618,3047.78673809526,5624.36,-244.108178218112,2913.3</t>
  </si>
  <si>
    <t>2025-05-08 12:38:00,2256685970.14384,5486928261.65024,673.24814814815,1217,535.784074074077,1149.71,2.75135693671581,483.38</t>
  </si>
  <si>
    <t>2025-05-08 12:38:00,57328027.2730404,366023614.213213,738.664999999998,317,3200.09584999998,2065.37,8.32051757079347,84.52</t>
  </si>
  <si>
    <t>2025-05-08 12:38:00,55524045.6154326,3211754.35945314,-4.01638655462184,-2,-94.3901512605041,-60.11,-0.0153820281197639,-0.92</t>
  </si>
  <si>
    <t>2025-05-08 12:39:00,575,,570,,575,,563.5,,,,,570,560,557,564</t>
  </si>
  <si>
    <t>2025-05-08 12:39:00,490,,490,,490,,487,,,,,490,480,490,475</t>
  </si>
  <si>
    <t>2025-05-08 12:39:00,5800,,5730,,5600,,5670,,,,,5750,5600,5530,5550</t>
  </si>
  <si>
    <t>2025-05-08 12:39:00,20100,,20350,,19475,,20100,,,,,20400,19600,19500,20500</t>
  </si>
  <si>
    <t>2025-05-08 12:39:00,3908960151.80467,27775820231.2909,3662.77738095237,3458,459.907595238058,383.42,15.329825209381,974.57</t>
  </si>
  <si>
    <t>2025-05-08 12:39:00,2324780201.21909,5719675332.48274,-291.502380952383,-159,-250.54511904762,-264.29,105.807812865699,-54.17</t>
  </si>
  <si>
    <t>2025-05-08 12:39:00,56888605.8568177,370585937.721884,931.349999999999,1139,6585.02683333332,6701.99,-2.44589165127534,345.85</t>
  </si>
  <si>
    <t>2025-05-08 12:39:00,55759792.1742451,3165820.13863829,-9.27915938101066,-7,-376.746063953488,-228.47,0.00463450320981461,-2.14</t>
  </si>
  <si>
    <t>2025-05-08 12:40:00,575,,570,,575,,563.5,,,,,570,560,557,564</t>
  </si>
  <si>
    <t>2025-05-08 12:40:00,490,,490,,490,,487,,,,,490,480,490,475</t>
  </si>
  <si>
    <t>2025-05-08 12:40:00,5800,,5730,,5600,,5670,,,,,5750,5600,5530,5550</t>
  </si>
  <si>
    <t>2025-05-08 12:40:00,20100,,20350,,19475,,20100,,,,,20400,19600,19500,20500</t>
  </si>
  <si>
    <t>2025-05-08 12:40:00,3831446186.22404,26008792560.3951,-2528.31797385621,-2770,-2943.14786601307,-3432.31,100.891600684607,-1529.19</t>
  </si>
  <si>
    <t>2025-05-08 12:40:00,2357664762.38401,5553903305.71164,-1079.9853131761,-998,-1026.20203473427,-1158.23,40.6672592378836,-550.7</t>
  </si>
  <si>
    <t>2025-05-08 12:40:00,55625850.825167,357750533.011348,-271.779487179487,-740,1536.07712820514,439.93,-0.649427378744214,-23.68</t>
  </si>
  <si>
    <t>2025-05-08 12:40:00,55466294.2633325,3025398.57886364,-16.0347023809524,12,-190.5505375,-109.87,-0.0129295718356604,-1.02</t>
  </si>
  <si>
    <t>2025-05-08 12:41:00,575,,570,,575,,563.5,,,,,570,560,557,564</t>
  </si>
  <si>
    <t>2025-05-08 12:41:00,490,,490,,490,,487,,,,,490,480,490,475</t>
  </si>
  <si>
    <t>2025-05-08 12:41:00,5800,,5730,,5600,,5660,,,5700,,5750,5600,5530,5550</t>
  </si>
  <si>
    <t>2025-05-08 12:41:00,20100,,20350,,19475,,20100,,,,,20400,19600,19500,20500</t>
  </si>
  <si>
    <t>2025-05-08 12:41:00,3827553626.93461,26492056670.9209,-2474.88515873016,-2813,-162.827111904763,269.03,353.86945169468,-226.15</t>
  </si>
  <si>
    <t>2025-05-08 12:41:00,2327065940.19356,5476984047.89294,349.64125175195,844,95.3353563523098,450.56,-32.3505584051872,245.11</t>
  </si>
  <si>
    <t>2025-05-08 12:41:00,52925956.2042994,359541636.39126,348.956666666666,942,4674.61446666666,8983.55,-1.87726641425482,424.76</t>
  </si>
  <si>
    <t>2025-05-08 12:41:00,55497645.1305884,3043876.55467867,-0.660943223443224,3,13.8347989926741,63.05,-0.00374155719131879,0.96</t>
  </si>
  <si>
    <t>2025-05-08 12:42:00,575,,570,,575,,563.5,,,,,570,560,557,564</t>
  </si>
  <si>
    <t>2025-05-08 12:42:00,490,,493,,490,,487,,,,,490,480,490,475</t>
  </si>
  <si>
    <t>2025-05-08 12:42:00,5800,,5730,,5600,,5670,,,,,5750,5600,5530,5550</t>
  </si>
  <si>
    <t>2025-05-08 12:42:00,20100,,20350,,19475,,20100,,,,,20400,19600,19500,20500</t>
  </si>
  <si>
    <t>2025-05-08 12:42:00,3849220958.00326,26200227261.3496,-8352.84813797313,-5682,-13152.8308550061,-7406.42,50.8311381855126,-2724.35</t>
  </si>
  <si>
    <t>2025-05-08 12:42:00,2293646115.95096,5200707559.64683,-1089.91679259421,-1113,-1682.48798278847,-1519.11,84.8654788274242,-589.45</t>
  </si>
  <si>
    <t>2025-05-08 12:42:00,56421594.679028,346429058.072732,-1105.51439393939,-1314,-10358.4688409091,-8303.17,-1.97086955023242,-396.53</t>
  </si>
  <si>
    <t>2025-05-08 12:42:00,56212370.9134495,3065488.70203053,-5.47246753246753,-7,-75.0114409090907,-312.5,-0.0107510326392596,-2.81</t>
  </si>
  <si>
    <t>2025-05-08 12:43:00,575,,570,,575,,563.5,,,,,570,560,557,564</t>
  </si>
  <si>
    <t>2025-05-08 12:43:00,490,,490,,490,,487,,,,,490,480,490,475</t>
  </si>
  <si>
    <t>2025-05-08 12:43:00,5800,,5730,,5600,,5670,,,,,5750,5600,5530,5550</t>
  </si>
  <si>
    <t>2025-05-08 12:43:00,20100,,20350,,19475,,20100,,,,,20400,19600,19500,20500</t>
  </si>
  <si>
    <t>2025-05-08 12:43:00,3930510762.83626,27840693497.7711,3745.25614385614,2451,4337.47001265401,2793.32,98.1006592223384,1289.47</t>
  </si>
  <si>
    <t>2025-05-08 12:43:00,2330555008.6814,5793404325.80031,251.983300554931,762,794.670946901181,1143.38,48.2668803482069,521.45</t>
  </si>
  <si>
    <t>2025-05-08 12:43:00,56883608.1508528,371864454.382813,266.68,351,755.552300000018,706.13,3.06386730240795,60.7</t>
  </si>
  <si>
    <t>2025-05-08 12:43:00,55869330.2445149,3228296.46257589,-20.7301587301587,-20,17.6590952380948,-65.39,0.0135894498566989,-0.99</t>
  </si>
  <si>
    <t>2025-05-08 12:44:00,575,,570,,575,,563.5,,,,,570,560,557,564</t>
  </si>
  <si>
    <t>2025-05-08 12:44:00,490,,490,,490,,487,,,,,490,480,490,475</t>
  </si>
  <si>
    <t>2025-05-08 12:44:00,5800,,5730,,5600,,5670,,,,,5750,5600,5530,5550</t>
  </si>
  <si>
    <t>2025-05-08 12:44:00,20100,,20350,,19475,,20100,,,,,20400,19600,19500,20500</t>
  </si>
  <si>
    <t>2025-05-08 12:44:00,3894657308.15811,27150663274.5726,593.426587301587,1397,761.145317460317,2113.47,-128.735713708441,909.49</t>
  </si>
  <si>
    <t>2025-05-08 12:44:00,2322918768.00036,5660068018.18463,-143.692306696694,-314,45.1434793300717,-155.41,6.44179828826202,-101.19</t>
  </si>
  <si>
    <t>2025-05-08 12:44:00,55889038.4223296,372882181.018274,-22.8,0,-137.244000000002,-891.94,-0.374018915536492,-31.99</t>
  </si>
  <si>
    <t>2025-05-08 12:44:00,55594546.9135593,3227357.00745991,0.647222222222225,4,23.945888888889,-7.23,0.00200834969591737,0.08</t>
  </si>
  <si>
    <t>2025-05-08 12:45:00,575,,570,,575,,563.5,,,,,570,560,557,564</t>
  </si>
  <si>
    <t>2025-05-08 12:45:00,490,,490,,490,,487,,,,,490,480,490,475</t>
  </si>
  <si>
    <t>2025-05-08 12:45:00,5800,,5730,,5600,,5670,5700,,,,5750,5600,5530,5550</t>
  </si>
  <si>
    <t>2025-05-08 12:45:00,20100,,20350,,19475,,20100,,,,,20400,19600,19500,20500</t>
  </si>
  <si>
    <t>2025-05-08 12:45:00,3884098958.04983,27456223838.5891,444.505952380959,1315,-12.7878571428489,939.34,-147.916181342082,507.35</t>
  </si>
  <si>
    <t>2025-05-08 12:45:00,2342937577.66303,5773509645.04033,-121.130402930402,23,-345.589857142857,-155.31,51.7394745612497,-44.9</t>
  </si>
  <si>
    <t>2025-05-08 12:45:00,56024453.9045984,367909198.683172,262.640000000002,333,4372.49926666668,4775.92,5.16311657684544,208.06</t>
  </si>
  <si>
    <t>2025-05-08 12:45:00,55829833.5197053,3180375.40124198,1.18651268939859,-5,94.8313520039991,-178.87,-0.003853864233403,-1.67</t>
  </si>
  <si>
    <t>2025-05-08 12:46:00,575,,570,,575,,563.5,,,,,570,560,557,564</t>
  </si>
  <si>
    <t>2025-05-08 12:46:00,490,,490,,490,,487,,,,,490,480,490,475</t>
  </si>
  <si>
    <t>2025-05-08 12:46:00,5800,,5720,,5600,,5670,,,,,5750,5600,5530,5550</t>
  </si>
  <si>
    <t>2025-05-08 12:46:00,20100,,20350,,19475,,20050,,,,,20400,19600,19500,20500</t>
  </si>
  <si>
    <t>2025-05-08 12:46:00,3742519755.57072,26287333865.2128,-1011.53928571429,1717,-2770.05979761905,-1004.24,-391.335022434555,-315.82</t>
  </si>
  <si>
    <t>2025-05-08 12:46:00,2366101598.71832,5750061712.31879,623.19292929293,13,-102.873383838382,-852.43,72.3338821952667,-131.6</t>
  </si>
  <si>
    <t>2025-05-08 12:46:00,52306918.4300892,349481397.635557,857.221666666671,1054,9257.89035000005,7860.66,-11.73195215826,406.97</t>
  </si>
  <si>
    <t>2025-05-08 12:46:00,53578808.7440174,3055629.96002568,13.8485722695845,4,98.2526845271294,269.66,0.0074859581663066,1.51</t>
  </si>
  <si>
    <t>2025-05-08 12:47:00,575,,570,,575,,563.5,,,,,570,560,557,564</t>
  </si>
  <si>
    <t>2025-05-08 12:47:00,490,,490,,490,,487,,,,,490,480,490,475</t>
  </si>
  <si>
    <t>2025-05-08 12:47:00,5800,,5720,,5600,,5680,,,,,5750,5600,5530,5550</t>
  </si>
  <si>
    <t>2025-05-08 12:47:00,20100,,20350,,19475,,20100,,,,,20400,19600,19500,20500</t>
  </si>
  <si>
    <t>2025-05-08 12:47:00,3801291936.45973,26277320220.7233,640.922222222244,2447,-2611.76944444441,535.84,-59.4860751966799,542.56</t>
  </si>
  <si>
    <t>2025-05-08 12:47:00,2340362263.40478,5517172440.08132,-1265.30748610657,-1438,-1151.54628876539,-2014.09,-59.0358483844068,-719.96</t>
  </si>
  <si>
    <t>2025-05-08 12:47:00,55392683.812645,329240551.682843,-2860.03333333333,-3465,-12193.6483333333,-13007.7,20.7146432035206,-727.46</t>
  </si>
  <si>
    <t>2025-05-08 12:47:00,56107381.6590373,3010942.84114792,-15.0764705882353,-9,-838.004705882353,-385.8,-0.0035884503906822,-4.44</t>
  </si>
  <si>
    <t>2025-05-08 12:48:00,575,,570,,575,,563.5,,,,,570,560,557,564</t>
  </si>
  <si>
    <t>2025-05-08 12:48:00,490,,490,,490,,487,,,,,490,480,490,475</t>
  </si>
  <si>
    <t>2025-05-08 12:48:00,5800,,5720,,5600,,5680,,,,,5750,5600,5530,5550</t>
  </si>
  <si>
    <t>2025-05-08 12:48:00,20100,,20350,,19475,,20100,,,,,20400,19600,19500,20500</t>
  </si>
  <si>
    <t>2025-05-08 12:48:00,3727024610.46549,24679867908.5476,-1367.83015873016,-2334,-403.267873015876,-1003.86,-9.43014073805877,-983.97</t>
  </si>
  <si>
    <t>2025-05-08 12:48:00,2339533247.66608,5165191955.65279,-1273.54445554446,-887,-1250.25238061938,-917.44,53.8205128616244,-449.1</t>
  </si>
  <si>
    <t>2025-05-08 12:48:00,55009025.240462,324024931.707632,-471.216666666666,-589,-2003.27099999999,-2972.59,2.66347515168691,-170.35</t>
  </si>
  <si>
    <t>2025-05-08 12:48:00,53193926.6683453,2952103.27646438,23.7800824175824,19,335.197256868132,288.81,0.0346373532513906,4.38</t>
  </si>
  <si>
    <t>2025-05-08 12:49:00,575,,570,,575,,563.5,,,,,570,560,557,564</t>
  </si>
  <si>
    <t>2025-05-08 12:49:00,490,,490,,490,,487,,,,,490,480,490,475</t>
  </si>
  <si>
    <t>2025-05-08 12:49:00,5800,,5720,,5600,,5680,,,,,5750,5600,5530,5550</t>
  </si>
  <si>
    <t>2025-05-08 12:49:00,20100,,20350,,19475,,20100,,,,,20400,19600,19500,20500</t>
  </si>
  <si>
    <t>2025-05-08 12:49:00,3848964562.5983,26214125879.6339,1486.90714285714,2466,118.558833333335,-256.55,-101.723808738675,-12.71</t>
  </si>
  <si>
    <t>2025-05-08 12:49:00,2363186283.17085,5762622395.69462,-344.584259259259,-678,-32.1467129629632,-750.44,161.150926904517,-299.55</t>
  </si>
  <si>
    <t>2025-05-08 12:49:00,54709364.61068,353588264.446863,165.43111111111,137,-418.444311111128,-393,1.45271038311932,-44.96</t>
  </si>
  <si>
    <t>2025-05-08 12:49:00,54093470.2205139,3223572.00108834,-6.41462418300653,-26,-214.257559640523,-391.45,-0.0362746357849312,-5.39</t>
  </si>
  <si>
    <t>2025-05-08 12:50:00,575,,570,,575,,563.5,,,,,570,560,557,564</t>
  </si>
  <si>
    <t>2025-05-08 12:50:00,490,,493,,490,,487,,,,,490,480,490,475</t>
  </si>
  <si>
    <t>2025-05-08 12:50:00,5800,,5720,,5600,,5680,,,,,5750,5600,5530,5550</t>
  </si>
  <si>
    <t>2025-05-08 12:50:00,20100,,20350,,19475,,20100,,,,,20400,19600,19500,20500</t>
  </si>
  <si>
    <t>2025-05-08 12:50:00,3878075588.46082,27274932392.5117,-6108.03650793652,-7300,-5507.68150793653,-4610.24,92.886245843791,-2157.96</t>
  </si>
  <si>
    <t>2025-05-08 12:50:00,2307045990.7989,5689122175.18152,-1942.61538461538,-299,-3106.68102564103,-403.06,-1.73170765017006,-140.5</t>
  </si>
  <si>
    <t>2025-05-08 12:50:00,56404884.8083669,349872499.302348,-99.9452380952427,136,-4145.64526190481,-1259.79,-6.2731297187199,3.50000000000001</t>
  </si>
  <si>
    <t>2025-05-08 12:50:00,56237139.580303,3187175.00125631,-16.6690476190476,-13,-356.342814285714,-359.94,-0.0151120589619339,-5.16</t>
  </si>
  <si>
    <t>2025-05-08 12:52:00,575,,570,,575,,563.5,,,,,570,560,557,564</t>
  </si>
  <si>
    <t>2025-05-08 12:52:00,490,,493,,490,,487,,,,,490,480,490,475</t>
  </si>
  <si>
    <t>2025-05-08 12:52:00,5800,,5730,,5600,,5680,,,,,5750,5600,5530,5550</t>
  </si>
  <si>
    <t>2025-05-08 12:52:00,20100,,20350,,19475,,20100,,,,,20400,19600,19500,20500</t>
  </si>
  <si>
    <t>2025-05-08 12:52:00,3897921743.03772,26364306093.7288,2006.96904761905,1832,1077.07088095238,746.66,-24.8599926526116,665.1</t>
  </si>
  <si>
    <t>2025-05-08 12:52:00,2308165542.01796,5953618108.53587,-1500.93177761768,-1782,-624.239099735845,-2565.6,-39.3057376506007,-813.25</t>
  </si>
  <si>
    <t>2025-05-08 12:52:00,57197406.5289868,348988129.654272,-821.666666666668,-1075,-4474.64333333335,-3758.92,-0.538785758278451,-210.87</t>
  </si>
  <si>
    <t>2025-05-08 12:52:00,56313047.7451077,3324270.69024279,-4.02621136173769,-7,-105.667063700919,-119.1,-0.00170003487086144,-1.99</t>
  </si>
  <si>
    <t>2025-05-08 12:53:00,575,,570,,575,,563.5,,,,,570,560,557,564</t>
  </si>
  <si>
    <t>2025-05-08 12:53:00,490,,493,,490,,487,,,,,490,480,490,475</t>
  </si>
  <si>
    <t>2025-05-08 12:53:00,5800,,5720,,5600,,5680,,,,,5750,5600,5530,5550</t>
  </si>
  <si>
    <t>2025-05-08 12:53:00,20100,,20350,,19475,,20100,,,,,20400,19600,19500,20500</t>
  </si>
  <si>
    <t>2025-05-08 12:53:00,3914874196.16025,26821504733.8554,-2965.275,1825,-4361.66450000001,-3116.81,-459.532504439119,-1480.68</t>
  </si>
  <si>
    <t>2025-05-08 12:53:00,2363994721.24166,5938771953.82223,-698.736214281523,-74,-672.813579915507,-822.65,-109.804498739762,-293.29</t>
  </si>
  <si>
    <t>2025-05-08 12:53:00,57298238.9116619,367446714.346365,-299.033333333333,-668,-1494.40999999999,-7467.32,-9.38196229055064,-306.9</t>
  </si>
  <si>
    <t>2025-05-08 12:53:00,55379056.5458035,3407952.0586914,-7.33968253968254,-7,-45.4527460317461,-29.28,0.0231934264966823,-0.41</t>
  </si>
  <si>
    <t>2025-05-08 12:54:00,575,,570,,575,,563.5,,569,,,570,560,557,564</t>
  </si>
  <si>
    <t>2025-05-08 12:54:00,490,,493,,490,,487,,,,,490,480,490,475</t>
  </si>
  <si>
    <t>2025-05-08 12:54:00,5800,,5720,,5600,,5670,,,,,5750,5600,5530,5550</t>
  </si>
  <si>
    <t>2025-05-08 12:54:00,20100,,20350,,19475,,20100,,,,,20400,19600,19500,20500</t>
  </si>
  <si>
    <t>2025-05-08 12:54:00,3934012227.09017,27494096859.152,3695.60119047619,1190,2064.4144047619,-79.27,-394.637218916185,-28.3600000000001</t>
  </si>
  <si>
    <t>2025-05-08 12:54:00,2370209957.31111,6017476498.54711,-25.0769230769231,630,170.084897435897,577.09,-51.1139668887772,218.03</t>
  </si>
  <si>
    <t>2025-05-08 12:54:00,56751693.2076881,381824083.838824,987.590476190477,1271,6752.10666666667,6969.27,-1.39413397238487,369.86</t>
  </si>
  <si>
    <t>2025-05-08 12:54:00,53329551.5408971,3438215.44914435,3.29267646951142,17,307.366159648617,282.8,-0.026484756799212,4.27</t>
  </si>
  <si>
    <t>2025-05-08 12:55:00,575,,570,,575,,563.5,,,,,570,560,557,564</t>
  </si>
  <si>
    <t>2025-05-08 12:55:00,490,,493,,490,,487,,,,,490,480,490,475</t>
  </si>
  <si>
    <t>2025-05-08 12:55:00,5800,,5720,,5600,,5680,,,,,5750,5600,5530,5550</t>
  </si>
  <si>
    <t>2025-05-08 12:55:00,20100,,20350,,19475,,20100,,,,,20400,19600,19500,20500</t>
  </si>
  <si>
    <t>2025-05-08 12:55:00,3896029639.58034,27591882648.7124,841.151190476191,1712,627.557857142857,1074.92,418.604443840317,703.97</t>
  </si>
  <si>
    <t>2025-05-08 12:55:00,2341650117.33552,5350922923.53852,-45.3649133475223,208,-103.680010641533,-298.46,17.8464716719435,-79.46</t>
  </si>
  <si>
    <t>2025-05-08 12:55:00,57461798.6969582,379100815.805589,62.8722222222214,369,-728.202222222228,95.3299999999998,3.08438345104808,16.76</t>
  </si>
  <si>
    <t>2025-05-08 12:55:00,52277857.3823491,3490116.7214676,-6.76626984126984,-8,-130.138865079365,-163.41,0.00371543186457917,-2.28</t>
  </si>
  <si>
    <t>2025-05-08 12:56:00,575,,570,,575,,563.5,,,,,570,560,557,564</t>
  </si>
  <si>
    <t>2025-05-08 12:56:00,490,,493,,490,,487,,,,,490,480,490,475</t>
  </si>
  <si>
    <t>2025-05-08 12:56:00,5800,,5720,,5600,,5680,,,,,5750,5600,5530,5550</t>
  </si>
  <si>
    <t>2025-05-08 12:56:00,20100,,20350,,19475,,20100,,,,,20400,19600,19500,20500</t>
  </si>
  <si>
    <t>2025-05-08 12:56:00,3792175816.09856,25669236865.1293,-3484.17456154956,-3878,-3309.33506257631,-2945.58,-148.314430823242,-1268.36</t>
  </si>
  <si>
    <t>2025-05-08 12:56:00,2358262204.84794,5607883195.23442,-766.003473587197,-984,-744.624454359619,-1093.33,62.5183850439336,-503.33</t>
  </si>
  <si>
    <t>2025-05-08 12:56:00,55306266.2134957,336574594.989527,-1212.69,-1473,-5651.2184,-8353.22,-0.294202520929346,-468.4</t>
  </si>
  <si>
    <t>2025-05-08 12:56:00,52873103.3167409,3286229.16903549,-0.0815873015873051,4,144.564415873016,13.15,-0.00208831923034394,0.22</t>
  </si>
  <si>
    <t>2025-05-08 12:57:00,575,,570,,575,,563.5,,,,568,570,560,557,564</t>
  </si>
  <si>
    <t>2025-05-08 12:57:00,490,,490,,490,,487,,,,,490,480,490,475</t>
  </si>
  <si>
    <t>2025-05-08 12:57:00,5800,,5720,,5600,,5680,,,,5700,5750,5600,5530,5550</t>
  </si>
  <si>
    <t>2025-05-08 12:57:00,20100,,20350,,19475,,20100,,,,,20400,19600,19500,20500</t>
  </si>
  <si>
    <t>2025-05-08 12:57:00,3633911333.89109,24751309251.9962,-9558.67188484031,-9710,-8370.12609694107,-7007.28,-316.639152216949,-3581.35</t>
  </si>
  <si>
    <t>2025-05-08 12:57:00,2332597962.36476,5489969778.24772,-2168.52964931804,-2096,-2076.73395394624,-1905.94,7.4130766562728,-900.29</t>
  </si>
  <si>
    <t>2025-05-08 12:57:00,49712157.6605452,312360962.537645,-385.893333333331,365,-857.058633333342,-1426.48,-3.49670256350087,-101.38</t>
  </si>
  <si>
    <t>2025-05-08 12:57:00,52983720.4451748,3077296.40728791,14.7593253968254,22,254.179702380953,307.35,0.0141932113716189,4.4</t>
  </si>
  <si>
    <t>2025-05-08 12:58:00,575,,570,,575,,563.5,568,,568,,570,560,557,564</t>
  </si>
  <si>
    <t>2025-05-08 12:58:00,490,,490,,490,,487,,,,,490,480,490,475</t>
  </si>
  <si>
    <t>2025-05-08 12:58:00,5800,,5700,,5600,,5680,,,,5700,5750,5600,5530,5550</t>
  </si>
  <si>
    <t>2025-05-08 12:58:00,20100,,20350,,19475,,20100,,,,,20400,19600,19500,20500</t>
  </si>
  <si>
    <t>2025-05-08 12:58:00,3527365470.13584,23686809436.8169,6930.60404040404,7937,9498.61657936508,13951.22,-397.667025733143,6031.71</t>
  </si>
  <si>
    <t>2025-05-08 12:58:00,2310426757.21323,5230437256.64212,-534.46101010101,4198,38.9696767676767,2175.46,-441.696543758978,1088.04</t>
  </si>
  <si>
    <t>2025-05-08 12:58:00,48447098.1454212,293002638.496006,-90.0056582633019,1554,-3769.44823921567,5324.54,1.20789210103453,319.97</t>
  </si>
  <si>
    <t>2025-05-08 12:58:00,53220309.6345468,2924600.67190925,1.68138528138529,-7,108.525891774892,164.69,-0.00509417152043474,1.23</t>
  </si>
  <si>
    <t>2025-05-08 12:59:00,575,,570,,575,,563.5,568,,,568,570,560,557,564</t>
  </si>
  <si>
    <t>2025-05-08 12:59:00,490,,490,,490,,487,,,,491,490,480,490,475</t>
  </si>
  <si>
    <t>2025-05-08 12:59:00,5800,,5720,,5600,,5680,,,,,5750,5600,5530,5550</t>
  </si>
  <si>
    <t>2025-05-08 12:59:00,20100,,20350,,19475,,20100,,,,,20400,19600,19500,20500</t>
  </si>
  <si>
    <t>2025-05-08 12:59:00,3433770657.12428,23485696130.7775,11662.5224590627,10821,13218.4280410314,7629.76,316.997146121705,3441.02</t>
  </si>
  <si>
    <t>2025-05-08 12:59:00,2316493831.18281,4396109838.62554,-6830.64782060435,158,-9338.30124200263,-449.09,144.634186229787,-204.91</t>
  </si>
  <si>
    <t>2025-05-08 12:59:00,50121726.5352623,258551342.555951,-351.994172335594,175,-3664.44514761899,-2788.41,-6.44525387024731,-111.68</t>
  </si>
  <si>
    <t>2025-05-08 12:59:00,53710853.9243229,2823083.71650311,-3.39510701716584,-13,58.1545843568197,-38.21,-0.00706055070196598,-0.67</t>
  </si>
  <si>
    <t>2025-05-08 13:00:00,575,,570,,575,,563.5,,,568,,570,560,557,564</t>
  </si>
  <si>
    <t>2025-05-08 13:00:00,490,,492,,490,,487,,,,,490,480,490,475</t>
  </si>
  <si>
    <t>2025-05-08 13:00:00,5800,,5720,,5600,,5680,,,5700,,5750,5600,5530,5550</t>
  </si>
  <si>
    <t>2025-05-08 13:00:00,20100,,20350,,19475,,20100,,,,,20400,19600,19500,20500</t>
  </si>
  <si>
    <t>2025-05-08 13:00:00,3367216733.55889,19785163150.4664,752.863228438244,5191,612.902940753699,5388.58,281.818512955653,1758.81</t>
  </si>
  <si>
    <t>2025-05-08 13:00:00,2273807063.3737,3891278461.72228,860.575547093594,1180,1893.01737321273,1885.18,-20.6965337720665,777.73</t>
  </si>
  <si>
    <t>2025-05-08 13:00:00,45922857.2010579,235895120.430996,-173.903650793656,846,2187.38976031744,8795.91,4.65366519570161,375.78</t>
  </si>
  <si>
    <t>2025-05-08 13:00:00,53687754.9968463,2742186.50395373,4.9668650793651,35,-261.575869047618,1452.85,-0.053576490432067,15.65</t>
  </si>
  <si>
    <t>2025-05-08 13:01:00,575,,570,,575,,563.5,,568,568,,570,560,567,564</t>
  </si>
  <si>
    <t>2025-05-08 13:01:00,490,,493,,490,,487,,,,491,495,480,490,475</t>
  </si>
  <si>
    <t>2025-05-08 13:01:00,5800,,5720,,5600,,5690,,,,,5750,5600,5530,5550</t>
  </si>
  <si>
    <t>2025-05-08 13:01:00,20100,,20350,,19475,,20100,,,,,20400,19600,19500,20500</t>
  </si>
  <si>
    <t>2025-05-08 13:01:00,3546265427.35842,22141343849.4966,-7766.90330502831,-871,-11257.8061783217,-1604.81,-950.830959947293,-360.61</t>
  </si>
  <si>
    <t>2025-05-08 13:01:00,2270238747.94187,4603499751.53081,-4720.54629463631,-2292,-6297.53405625327,-2848.17,-33.6559722687772,-1002.64</t>
  </si>
  <si>
    <t>2025-05-08 13:01:00,51792033.8150309,239337111.133252,-4078.29166666667,-3078,-49002.61575,-20982.01,2.42352771741247,-939.03</t>
  </si>
  <si>
    <t>2025-05-08 13:01:00,56810864.2330695,2765165.90976708,-127.346785120213,-109,-1608.3408972705,-1395.91,0.0445596789548329,-16.55</t>
  </si>
  <si>
    <t>2025-05-08 13:02:00,575,,570,,575,,563.5,,,,568,570,560,567,564</t>
  </si>
  <si>
    <t>2025-05-08 13:02:00,490,,492,,490,,487,,,,,495,480,490,475</t>
  </si>
  <si>
    <t>2025-05-08 13:02:00,5800,,5720,,5600,,5690,,,5700,,5750,5600,5530,5550</t>
  </si>
  <si>
    <t>2025-05-08 13:02:00,20100,,20350,,19475,,20100,,,,,20400,19600,19500,20500</t>
  </si>
  <si>
    <t>2025-05-08 13:02:00,3562828329.25126,21791558534.0525,-5071.14448884449,-3306,-5152.00877097902,-3664.84,-115.415145007793,-1245.63</t>
  </si>
  <si>
    <t>2025-05-08 13:02:00,2299750390.37914,4803520809.80529,840.266666666667,972,103.385000000002,-410.41,87.3455245804486,40.5</t>
  </si>
  <si>
    <t>2025-05-08 13:02:00,52652761.3318684,263144861.719118,-23.7833333333368,970,-3211.39550000002,5177.29,-3.54839595581564,341.83</t>
  </si>
  <si>
    <t>2025-05-08 13:02:00,56292722.1728172,2766832.18059326,0.620123350545039,-13,254.839954675846,-78.56,-0.020847541702704,-1.6</t>
  </si>
  <si>
    <t>2025-05-08 13:03:00,575,,570,,575,,563.5,,,,,570,560,567,564</t>
  </si>
  <si>
    <t>2025-05-08 13:03:00,490,,490,,490,,487,,,,,495,480,490,475</t>
  </si>
  <si>
    <t>2025-05-08 13:03:00,5800,,5700,,5600,,5680,5700,,,,5750,5600,5530,5550</t>
  </si>
  <si>
    <t>2025-05-08 13:03:00,20100,,20350,,19475,,20100,,,,,20400,19600,19500,20500</t>
  </si>
  <si>
    <t>2025-05-08 13:03:00,3447377340.12276,21589878669.6331,2941.41349206349,4594,3032.94296825397,3517.98,-472.256658714532,1431</t>
  </si>
  <si>
    <t>2025-05-08 13:03:00,2317261963.151,4601591814.79463,1225.47723262569,2258,678.106182403202,1978.45,-110.900665745739,927.69</t>
  </si>
  <si>
    <t>2025-05-08 13:03:00,47432929.9096909,262498831.374066,167.084761904763,442,5037.50914285714,9189.85,4.47747658952571,431.34</t>
  </si>
  <si>
    <t>2025-05-08 13:03:00,54407707.7967248,2660545.29955446,9.64264069264068,23,307.154409090909,235.63,-0.0121539500497031,3.26</t>
  </si>
  <si>
    <t>2025-05-08 13:04:00,575,,570,,575,,563.5,,,567,,570,560,567,564</t>
  </si>
  <si>
    <t>2025-05-08 13:04:00,490,,490,,490,,487,,,,490,495,480,490,475</t>
  </si>
  <si>
    <t>2025-05-08 13:04:00,5800,,5700,,5600,,5680,,,5690,,5750,5600,5530,5550</t>
  </si>
  <si>
    <t>2025-05-08 13:04:00,20100,,20350,,19475,,20100,,,,,20400,19600,19500,20500</t>
  </si>
  <si>
    <t>2025-05-08 13:04:00,3381696056.53913,21292389766.2134,137.999222004412,4420,1232.50684597321,6562.5,-490.056620747594,2628.25</t>
  </si>
  <si>
    <t>2025-05-08 13:04:00,2311219032.89949,4407855379.58671,-992.691397019058,-75,-2272.88764917825,-1072.82,338.243243523663,-523.82</t>
  </si>
  <si>
    <t>2025-05-08 13:04:00,47743088.6488031,243290556.952253,1240.06389524536,1008,17932.8807941267,8611.94,4.94415259260438,236.27</t>
  </si>
  <si>
    <t>2025-05-08 13:04:00,54170080.1763925,2576680.38568127,3.89790989159893,-7,-127.326535641695,-295.85,0.0239004157199871,-3.94</t>
  </si>
  <si>
    <t>2025-05-08 13:05:00,575,,570,,575,,563.5,,,,,570,560,567,564</t>
  </si>
  <si>
    <t>2025-05-08 13:05:00,490,,490,,490,,487,,,,,495,480,490,475</t>
  </si>
  <si>
    <t>2025-05-08 13:05:00,5800,,5720,,5600,,5690,,,,,5750,5600,5530,5550</t>
  </si>
  <si>
    <t>2025-05-08 13:05:00,20100,,20350,,19475,,20100,,,,,20400,19600,19500,20500</t>
  </si>
  <si>
    <t>2025-05-08 13:05:00,3472086339.10298,21629111920.8018,12974.1901875902,5403,14445.2946688312,4901.82,-278.450763171189,2329.46</t>
  </si>
  <si>
    <t>2025-05-08 13:05:00,2329848623.31712,4651355157.82322,2235.42868965894,2950,2176.35490705024,2757.59,-65.8029265554131,1302.37</t>
  </si>
  <si>
    <t>2025-05-08 13:05:00,50870484.5362081,248215733.816725,1635.05,1438,-4660.06266666659,1104.96,0.618685543101394,372.29</t>
  </si>
  <si>
    <t>2025-05-08 13:05:00,55518585.7738853,2621882.40838986,-4.19957426679281,-4,-67.6395457269,101.09,0.00775918250622146,0.53</t>
  </si>
  <si>
    <t>2025-05-08 13:06:00,575,,570,,575,,563.5,,,,,570,560,567,564</t>
  </si>
  <si>
    <t>2025-05-08 13:06:00,490,,492,,490,,487,,,,,495,480,490,475</t>
  </si>
  <si>
    <t>2025-05-08 13:06:00,5800,,5720,,5600,,5690,,,,,5750,5600,5530,5550</t>
  </si>
  <si>
    <t>2025-05-08 13:06:00,20100,,20350,,19475,,20100,,,,,20400,19600,19500,20500</t>
  </si>
  <si>
    <t>2025-05-08 13:06:00,3523707791.28052,21157138863.591,-6668.43739557226,-3680,-5335.11917919799,-3681.85,216.967654141872,-1444.26</t>
  </si>
  <si>
    <t>2025-05-08 13:06:00,2315689117.18924,4434451682.34508,-1909.16216931217,-1225,-1677.81068465608,-641.18,-32.7491254647689,-371.96</t>
  </si>
  <si>
    <t>2025-05-08 13:06:00,52007817.0459062,245748296.095981,-1291.05151515151,-806,-13574.2443030303,-7029.94,5.13002363062041,-340.26</t>
  </si>
  <si>
    <t>2025-05-08 13:06:00,57247900.5787696,2671704.16234009,-8.00721845148315,-27,-141.087923152338,-476.49,0.0182607897950748,-7.17</t>
  </si>
  <si>
    <t>2025-05-08 13:07:00,575,,570,,575,,563.5,,,,,570,560,567,564</t>
  </si>
  <si>
    <t>2025-05-08 13:07:00,490,,492,,490,,487,,,,,495,480,490,475</t>
  </si>
  <si>
    <t>2025-05-08 13:07:00,5800,,5720,,5600,,5690,,,,,5750,5600,5530,5550</t>
  </si>
  <si>
    <t>2025-05-08 13:07:00,20100,,20350,,19475,,20100,,,,,20400,19600,19500,20500</t>
  </si>
  <si>
    <t>2025-05-08 13:07:00,3545753282.39457,23365998257.2042,1370.40476190476,2525,1287.98738095238,2458.05,-62.9245108508616,1142.66</t>
  </si>
  <si>
    <t>2025-05-08 13:07:00,2327890098.35108,4800094947.18361,1034.02833647029,1573,663.077287069453,1247.65,40.6902127313173,656.96</t>
  </si>
  <si>
    <t>2025-05-08 13:07:00,51381558.825686,267037473.282307,228.874999999999,-186,614.688749999991,1117.07,1.14296171656686,52.87</t>
  </si>
  <si>
    <t>2025-05-08 13:07:00,56565001.1513598,2706835.66558386,7.62748917748916,14,-210.040755411256,51.47,0.0327671504741042,1.61</t>
  </si>
  <si>
    <t>2025-05-08 13:08:00,575,,570,,575,,563.5,,,,,570,560,567,564</t>
  </si>
  <si>
    <t>2025-05-08 13:08:00,490,,492,,490,,487,491,,,,495,480,490,475</t>
  </si>
  <si>
    <t>2025-05-08 13:08:00,5800,,5720,,5600,,5690,,5700,,,5750,5600,5530,5550</t>
  </si>
  <si>
    <t>2025-05-08 13:08:00,20100,,20350,,19475,,20100,,,,,20400,19600,19500,20500</t>
  </si>
  <si>
    <t>2025-05-08 13:08:00,3651276056.39864,25890574645.5155,4026.28831168832,5710,6341.11543506495,6954.36,-591.700498627062,2369.33</t>
  </si>
  <si>
    <t>2025-05-08 13:08:00,2311683842.201,5798177538.65941,2699.18646297342,2817,2427.99270687204,1557.72,157.745378485191,995.86</t>
  </si>
  <si>
    <t>2025-05-08 13:08:00,53865713.4218004,291149054.580129,,959,,7293.99,-9.97252725910756,304.82</t>
  </si>
  <si>
    <t>2025-05-08 13:08:00,56945370.5422704,2928416.07011417,-39.1786473429952,-38,-205.896179710145,-220.17,0.0497544507017753,-3.76</t>
  </si>
  <si>
    <t>2025-05-08 13:09:00,575,,570,,575,,563.5,,,,,570,560,567,564</t>
  </si>
  <si>
    <t>2025-05-08 13:09:00,490,,492,,490,,487,,,,,495,480,490,475</t>
  </si>
  <si>
    <t>2025-05-08 13:09:00,5800,,5720,,5600,,5690,5700,,,,5750,5600,5530,5550</t>
  </si>
  <si>
    <t>2025-05-08 13:09:00,20100,,20350,,19475,,20100,,,,,20400,19600,19500,20500</t>
  </si>
  <si>
    <t>2025-05-08 13:09:00,3711736341.65884,24934771638.0711,-4094.9905844156,-1033,-4789.07857936509,-3894.27,-545.349574104197,-1718.65</t>
  </si>
  <si>
    <t>2025-05-08 13:09:00,2362909632.83228,5310703911.96901,-1554.10317460317,-247,-1139.71350793651,-547.97,-97.2647959056221,-291.44</t>
  </si>
  <si>
    <t>2025-05-08 13:09:00,54796163.7080128,303188977.625012,298.899999999999,-418,-661.960333333248,-11441.95,7.37128676043027,-105.8</t>
  </si>
  <si>
    <t>2025-05-08 13:09:00,57015467.4256356,2961444.14173237,0.825541125541124,-2,44.260512987013,-38.35,-0.0119379076360759,-0.62</t>
  </si>
  <si>
    <t>2025-05-08 13:10:00,575,,570,,575,,563.5,,,,,570,560,567,564</t>
  </si>
  <si>
    <t>2025-05-08 13:10:00,490,,492,,490,,487,,,,,495,480,490,475</t>
  </si>
  <si>
    <t>2025-05-08 13:10:00,5800,,5720,,5600,,5690,,5700,,,5750,5600,5530,5550</t>
  </si>
  <si>
    <t>2025-05-08 13:10:00,20100,,20350,,19475,,20100,,,,,20400,19600,19500,20500</t>
  </si>
  <si>
    <t>2025-05-08 13:10:00,3827117351.83431,26564802496.4167,1277.81388888889,2817,796.575361111107,1732.23,42.4050158092839,1069.88</t>
  </si>
  <si>
    <t>2025-05-08 13:10:00,2327998783.75955,5645213785.8882,-421.843374367291,780,24.2087345078382,63.92,97.273350023054,138.2</t>
  </si>
  <si>
    <t>2025-05-08 13:10:00,56513986.3122219,321544065.466883,-348.808333333335,-1009,-4204.6214166667,-11000.94,-9.80697548672657,-486.47</t>
  </si>
  <si>
    <t>2025-05-08 13:10:00,57518263.1625944,3090978.9794752,-8.13801884390119,3,-140.486913674561,-121.94,-0.0155391856289774,-1.95</t>
  </si>
  <si>
    <t>2025-05-08 13:11:00,575,,570,,575,,563.5,,,,,570,560,567,564</t>
  </si>
  <si>
    <t>2025-05-08 13:11:00,490,,492,,490,,487,,,491,,495,480,490,475</t>
  </si>
  <si>
    <t>2025-05-08 13:11:00,5800,,5720,,5600,,5690,5700,,,,5750,5600,5530,5550</t>
  </si>
  <si>
    <t>2025-05-08 13:11:00,20100,,20350,,19475,,20100,,,,,20400,19600,19500,20500</t>
  </si>
  <si>
    <t>2025-05-08 13:11:00,3810640035.9888,25450075479.0612,8217.99101731602,5387,6544.83721428571,3326.18,-363.16167122153,1834.18</t>
  </si>
  <si>
    <t>2025-05-08 13:11:00,2374073875.32177,5056459179.51584,1380.27187553337,3844,1427.80352163338,2817.5,-127.916870086961,1340.72</t>
  </si>
  <si>
    <t>2025-05-08 13:11:00,54492203.27688,329091352.433985,1724.32681818182,2516,14317.1587924242,13050.29,2.51236674736557,702.03</t>
  </si>
  <si>
    <t>2025-05-08 13:11:00,55802882.4731517,3044255.02935324,10.390816658155,11,1041.68918213473,1252.06,0.000741055235616091,5.48</t>
  </si>
  <si>
    <t>2025-05-08 13:12:00,575,,570,,575,,563.5,,,,568,570,560,567,564</t>
  </si>
  <si>
    <t>2025-05-08 13:12:00,490,,492,,490,,487,,,,,495,480,490,475</t>
  </si>
  <si>
    <t>2025-05-08 13:12:00,5800,,5720,,5600,,5690,,,,5700,5750,5600,5530,5550</t>
  </si>
  <si>
    <t>2025-05-08 13:12:00,20100,,20350,,19475,,20100,,,,,20400,19600,19500,20500</t>
  </si>
  <si>
    <t>2025-05-08 13:12:00,3815803123.53234,26134910867.8641,-7079.58127705628,-3649,-9168.93466305916,-6093.23,431.127697007534,-2612.6</t>
  </si>
  <si>
    <t>2025-05-08 13:12:00,2351431017.8938,5128319330.58068,-2952.47804149067,-320,-3158.61417559633,-1130.02,25.6204926713096,-418.5</t>
  </si>
  <si>
    <t>2025-05-08 13:12:00,55564726.4716782,314793804.759457,-358.183333333332,-43,-5989.72016666665,-3881.42,6.87495205654494,-132.16</t>
  </si>
  <si>
    <t>2025-05-08 13:12:00,57496189.8535264,2965792.59958743,-19.9502958152958,-13,-477.846671067821,-206.45,-0.0137382431617801,-3.27</t>
  </si>
  <si>
    <t>2025-05-08 13:13:00,575,,570,,575,,563.5,,,,,570,560,567,564</t>
  </si>
  <si>
    <t>2025-05-08 13:13:00,490,,492,,490,,487,,,,,495,480,490,475</t>
  </si>
  <si>
    <t>2025-05-08 13:13:00,5800,,5720,,5600,,5690,,,,,5750,5600,5530,5550</t>
  </si>
  <si>
    <t>2025-05-08 13:13:00,20100,,20350,,19475,,20100,,,,,20400,19600,19500,20500</t>
  </si>
  <si>
    <t>2025-05-08 13:13:00,3798697390.46232,25757861579.6716,-1592.88571428571,1878,-1137.8047142857,-539.69,387.326509114712,-216.85</t>
  </si>
  <si>
    <t>2025-05-08 13:13:00,2354823413.45072,5131727563.72368,-1780.81974786626,-1983,-1999.96121447028,-2496.7,14.5051564838075,-870.96</t>
  </si>
  <si>
    <t>2025-05-08 13:13:00,55854322.1322061,333868992.932527,-99.5500000000035,104,-312.783000000035,1843.6,-4.18413181518191,2.97999999999999</t>
  </si>
  <si>
    <t>2025-05-08 13:13:00,57346453.9389432,3074088.08588671,-7.99826007326007,-16,-336.397534188034,-359.08,-0.0145330613358353,-5.02</t>
  </si>
  <si>
    <t>2025-05-08 13:14:00,575,,570,,575,,563.5,,,,,570,560,567,564</t>
  </si>
  <si>
    <t>2025-05-08 13:14:00,490,,492,,490,,487,,,,,495,480,490,475</t>
  </si>
  <si>
    <t>2025-05-08 13:14:00,5800,,5720,,5600,,5690,,,,,5750,5600,5530,5550</t>
  </si>
  <si>
    <t>2025-05-08 13:14:00,20100,,20350,,19475,,20100,,,,,20400,19600,19500,20500</t>
  </si>
  <si>
    <t>2025-05-08 13:14:00,3890278880.0855,27312648813.419,-3015.90476190476,-292,-2526.70607142857,707.19,-41.8863510062623,411.15</t>
  </si>
  <si>
    <t>2025-05-08 13:14:00,2328671770.14874,5677245374.79758,-431.320830980613,803,-116.863144315828,1084.7,95.814421722288,399.68</t>
  </si>
  <si>
    <t>2025-05-08 13:14:00,56895579.9778814,351069574.138437,-317.525000000001,-489,-1517.10225,-4570.6,-2.7732192675367,-241.05</t>
  </si>
  <si>
    <t>2025-05-08 13:14:00,56490211.704119,3170892.07775723,6.17208588957056,4,277.065598500342,6.22,0.00495597442141628,0.12</t>
  </si>
  <si>
    <t>2025-05-08 13:15:00,575,,570,,575,,563.5,,,,,570,560,567,564</t>
  </si>
  <si>
    <t>2025-05-08 13:15:00,490,,492,,490,,487,,,,491,495,480,490,475</t>
  </si>
  <si>
    <t>2025-05-08 13:15:00,5800,,5720,,5600,,5690,,,,,5750,5600,5530,5550</t>
  </si>
  <si>
    <t>2025-05-08 13:15:00,20100,,20350,,19475,,20100,,,,,20400,19600,19500,20500</t>
  </si>
  <si>
    <t>2025-05-08 13:15:00,3801584509.0672,27291885467.1688,-1294.39880952381,-4217,-1272.70321428572,-3425.22,-9.74481991864112,-1665.08</t>
  </si>
  <si>
    <t>2025-05-08 13:15:00,2336991704.74447,5644958467.34956,-905.566338854382,-816,-870.015898033126,-897.3,197.833296094931,-471.54</t>
  </si>
  <si>
    <t>2025-05-08 13:15:00,55316720.3339934,345759783.56888,-695.790000000002,-1007,-3553.4358,-3748.25,-12.1127057141189,-287.6</t>
  </si>
  <si>
    <t>2025-05-08 13:15:00,53560785.2379286,3108117.00826098,5.84761904761905,3,90.4104761904762,32.94,-0.00226892862598517,0.6</t>
  </si>
  <si>
    <t>2025-05-08 13:16:00,575,,570,,575,,563.5,,569,,,570,560,567,564</t>
  </si>
  <si>
    <t>2025-05-08 13:16:00,490,,492,,490,,487,,491,,491,495,480,490,475</t>
  </si>
  <si>
    <t>2025-05-08 13:16:00,5800,,5720,,5600,,5690,5700,,,,5750,5600,5530,5550</t>
  </si>
  <si>
    <t>2025-05-08 13:16:00,20100,,20350,,19475,,20100,,,,,20400,19600,19500,20500</t>
  </si>
  <si>
    <t>2025-05-08 13:16:00,3992658054.74571,27700782002.6735,2710.09632034632,-2590,-1923.101504329,-7333.75,-172.022722432195,-3644.49</t>
  </si>
  <si>
    <t>2025-05-08 13:16:00,2376123944.18864,5567133273.95021,-2889.34076479074,-2448,-2418.75157864355,-2513.01,-204.725916550497,-1354.6</t>
  </si>
  <si>
    <t>2025-05-08 13:16:00,59095793.4104435,376873181.672697,352.300000000004,633,1098.39400000006,-1152.66,3.12118546211788,-1.91999999999998</t>
  </si>
  <si>
    <t>2025-05-08 13:16:00,57330967.0219473,3334061.89714379,-5.28838095238095,-5,-76.4669742857142,-233.04,0.00749806929003857,-1.98</t>
  </si>
  <si>
    <t>2025-05-08 13:17:00,575,,570,,575,,563.5,,,,,570,560,567,564</t>
  </si>
  <si>
    <t>2025-05-08 13:17:00,490,,492,,490,,487,,,,,495,480,490,475</t>
  </si>
  <si>
    <t>2025-05-08 13:17:00,5800,,5720,,5600,,5690,5700,,,,5750,5600,5530,5550</t>
  </si>
  <si>
    <t>2025-05-08 13:17:00,20100,,20350,,19475,,20100,,,,,20400,19600,19500,20500</t>
  </si>
  <si>
    <t>2025-05-08 13:17:00,3916839559.75568,30211322464.2869,1598.96428571428,3091,2418.08535714285,1647.84,15.0362230134778,428.06</t>
  </si>
  <si>
    <t>2025-05-08 13:17:00,2368116475.05478,6107647681.83064,1224.35284992785,1913,2051.71910497836,1557.22,185.459577818217,877.08</t>
  </si>
  <si>
    <t>2025-05-08 13:17:00,57240653.4815486,405834291.564139,511.23,600,5363.98930000001,5040.76,4.14062814185927,259.96</t>
  </si>
  <si>
    <t>2025-05-08 13:17:00,56443894.1702633,3398005.61598649,28.2161363636364,5,441.78904469697,53.08,-0.00446311530454046,0.84</t>
  </si>
  <si>
    <t>2025-05-08 13:18:00,575,,570,,575,,563.5,569,,,,570,560,567,564</t>
  </si>
  <si>
    <t>2025-05-08 13:18:00,490,,492,,490,,487,,,,,495,480,490,475</t>
  </si>
  <si>
    <t>2025-05-08 13:18:00,5800,,5720,,5600,,5690,,,,,5750,5600,5530,5550</t>
  </si>
  <si>
    <t>2025-05-08 13:18:00,20100,,20350,,19475,,20100,,,,,20400,19600,19500,20500</t>
  </si>
  <si>
    <t>2025-05-08 13:18:00,3973260614.94249,27941590440.9016,6164.8253968254,5717,6021.10111111111,4546.49,201.957229772065,2324.57</t>
  </si>
  <si>
    <t>2025-05-08 13:18:00,2410848302.85528,5699070786.42204,378.693337840643,982,664.35042490118,1296.46,-51.4195828225681,623.59</t>
  </si>
  <si>
    <t>2025-05-08 13:18:00,56120742.6342603,400456708.959038,1280.1,1006,8802.92433333336,5435.14,5.87780139321076,340.85</t>
  </si>
  <si>
    <t>2025-05-08 13:18:00,56058249.4384329,3444057.84322481,11.090551880622,11,2290.8433936916,139.96,-0.0405276314976717,2.52</t>
  </si>
  <si>
    <t>2025-05-08 13:19:00,575,,570,,575,,563.5,,,,,570,560,567,564</t>
  </si>
  <si>
    <t>2025-05-08 13:19:00,490,,492,,490,,487,,,,,495,480,490,475</t>
  </si>
  <si>
    <t>2025-05-08 13:19:00,5800,,5720,,5600,,5690,,,,,5750,5600,5530,5550</t>
  </si>
  <si>
    <t>2025-05-08 13:19:00,20100,,20350,,19475,,20100,,,,,20400,19600,19500,20500</t>
  </si>
  <si>
    <t>2025-05-08 13:19:00,3943607142.21189,27363029216.6561,2351.00366300366,38,4947.28838827839,1541.81,143.251662679192,254.51</t>
  </si>
  <si>
    <t>2025-05-08 13:19:00,2407603379.92263,5326785255.46438,206.773636991028,-243,195.152998619738,129.76,-56.6925988618015,19.02</t>
  </si>
  <si>
    <t>2025-05-08 13:19:00,54170868.3175132,399064245.886796,36.72,12,1227.62859999995,3279.69,-0.85356129186423,47.8</t>
  </si>
  <si>
    <t>2025-05-08 13:19:00,54146916.7522016,3421668.69442202,3.79339696251462,5,508.267137850712,99.6,0.0281924164272392,1.82</t>
  </si>
  <si>
    <t>2025-05-08 13:20:00,575,,570,,575,,563.5,,,,,570,560,567,564</t>
  </si>
  <si>
    <t>2025-05-08 13:20:00,490,,492,,490,,487,,,,,495,480,490,475</t>
  </si>
  <si>
    <t>2025-05-08 13:20:00,5800,,5720,,5600,,5690,,,,,5750,5600,5530,5550</t>
  </si>
  <si>
    <t>2025-05-08 13:20:00,20100,,20350,,19475,,20100,,,,,20400,19600,19500,20500</t>
  </si>
  <si>
    <t>2025-05-08 13:20:00,4017397585.21966,28959844285.3812,675.200000000001,2855,121.955428571437,1046.38,220.588289987212,970.42</t>
  </si>
  <si>
    <t>2025-05-08 13:20:00,2356562590.324,5648545844.26284,-1628.88756716097,-484,-1352.67280464217,-718.55,-14.5831636735533,-351.98</t>
  </si>
  <si>
    <t>2025-05-08 13:20:00,58856022.8737158,392579774.956094,-825.15,-1084,-7977.88799999999,-3583.35,5.06888109744096,-183.91</t>
  </si>
  <si>
    <t>2025-05-08 13:20:00,57808393.5651438,3459921.19668188,0.889906204906204,-10,27.7045839826839,-18.07,0.00713589150759824,-0.6</t>
  </si>
  <si>
    <t>2025-05-08 13:21:00,575,,570,,575,,563.5,,,,,570,560,567,564</t>
  </si>
  <si>
    <t>2025-05-08 13:21:00,490,,492,,490,,487,,,491,,495,480,490,475</t>
  </si>
  <si>
    <t>2025-05-08 13:21:00,5800,,5720,,5600,,5690,,,,,5750,5600,5530,5550</t>
  </si>
  <si>
    <t>2025-05-08 13:21:00,20100,,20350,,19475,,20100,,,,,20400,19600,19500,20500</t>
  </si>
  <si>
    <t>2025-05-08 13:21:00,4061179312.78546,29838212077.3191,587.761904761905,89,167.980259740258,-1847.09,-363.804918594948,-868.59</t>
  </si>
  <si>
    <t>2025-05-08 13:21:00,2405819527.67739,6016679011.98486,164.390772604588,1813,605.540021953923,1472.8,54.0009235062793,832.15</t>
  </si>
  <si>
    <t>2025-05-08 13:21:00,59370841.0493993,404615042.190873,362.240000000001,729,3139.51369999999,4175.67,-0.206873083271811,205.11</t>
  </si>
  <si>
    <t>2025-05-08 13:21:00,57457900.3322617,3511222.87441145,6.89102564102564,2,203.76217948718,145.95,0.0180738662459656,1.94</t>
  </si>
  <si>
    <t>2025-05-08 13:22:00,575,,570,,575,,563.5,,,,,570,560,567,564</t>
  </si>
  <si>
    <t>2025-05-08 13:22:00,490,,492,,490,,487,,,,,495,480,490,475</t>
  </si>
  <si>
    <t>2025-05-08 13:22:00,5800,,5720,,5600,,5690,,,,,5750,5600,5530,5550</t>
  </si>
  <si>
    <t>2025-05-08 13:22:00,20100,,20350,,19475,,20100,,,,,20400,19600,19500,20500</t>
  </si>
  <si>
    <t>2025-05-08 13:22:00,3914358685.73202,30059891556.2854,22.9246031746112,873,5069.84638888891,2202,-39.2671503041103,357.78</t>
  </si>
  <si>
    <t>2025-05-08 13:22:00,2357093841.0421,6049231971.58366,-373.552472527472,630,-59.8384432234429,511.27,-47.6418825266114,286.65</t>
  </si>
  <si>
    <t>2025-05-08 13:22:00,54418754.038591,413222383.044192,-43.3250000000007,-599,3131.62124999999,-211.6,-5.95697920395007,-74.43</t>
  </si>
  <si>
    <t>2025-05-08 13:22:00,55348294.6927976,3519126.99728988,27.4470015278839,43,121.474099465241,156.27,-0.00177894070736501,2.81</t>
  </si>
  <si>
    <t>2025-05-08 13:23:00,575,,570,,575,,563.5,,,,,570,560,567,564</t>
  </si>
  <si>
    <t>2025-05-08 13:23:00,490,,493,,490,,491,,,491,,495,480,490,475</t>
  </si>
  <si>
    <t>2025-05-08 13:23:00,5800,,5720,,5600,,5690,,,,,5750,5600,5530,5550</t>
  </si>
  <si>
    <t>2025-05-08 13:23:00,20100,,20350,,19475,,20100,,,,,20400,19600,19500,20500</t>
  </si>
  <si>
    <t>2025-05-08 13:23:00,3795228094.1718,21080134235.6267,-334.082738095238,1063,1138.6422281746,2190.72,257.756546456981,1063.26</t>
  </si>
  <si>
    <t>2025-05-08 13:23:00,2373972499.70777,3870161143.33107,294.334545454545,1452,113.443054545455,910.57,-224.036765979376,574.96</t>
  </si>
  <si>
    <t>2025-05-08 13:23:00,56690440.1994261,378018836.429374,298.593333333332,81,2113.11846666664,1713.29,2.58867283719628,81.9</t>
  </si>
  <si>
    <t>2025-05-08 13:23:00,57537058.3954632,3412660.44143518,-0.106060606060611,6,76.8437878787878,38.35,0.018684037255884,1.08</t>
  </si>
  <si>
    <t>2025-05-08 13:24:00,575,,570,,575,,563.5,,568,,568,570,560,567,564</t>
  </si>
  <si>
    <t>2025-05-08 13:24:00,490,,492,,490,,487,,,,,495,480,490,475</t>
  </si>
  <si>
    <t>2025-05-08 13:24:00,5800,,5720,,5600,,5690,,,,,5750,5600,5530,5550</t>
  </si>
  <si>
    <t>2025-05-08 13:24:00,20100,,20350,,19475,,20100,,,,,20400,19600,19500,20500</t>
  </si>
  <si>
    <t>2025-05-08 13:24:00,3744427841.8354,27725243152.9267,2887.39484126984,7382,391.644178571429,531.07,460.779313028752,677.76</t>
  </si>
  <si>
    <t>2025-05-08 13:24:00,2365543176.35002,5829962646.18764,-1028.32668584139,-922,-2.86362689597687,555.86,-170.099056637449,-25.66</t>
  </si>
  <si>
    <t>2025-05-08 13:24:00,55210024.3291421,327546453.833966,350.958888888889,1265,-3361.15642222223,5855.34,-4.46682591803077,509.18</t>
  </si>
  <si>
    <t>2025-05-08 13:24:00,56389464.9671111,3221973.65395291,27.5430555555555,0,255.923638888889,-28.04,-0.017533999976418,-0.27</t>
  </si>
  <si>
    <t>2025-05-08 13:25:00,575,,570,,575,,563.5,,,,,570,560,567,564</t>
  </si>
  <si>
    <t>2025-05-08 13:25:00,490,,492,,490,,487,,,,,495,480,490,475</t>
  </si>
  <si>
    <t>2025-05-08 13:25:00,5800,,5720,,5600,,5690,,,,,5750,5600,5530,5550</t>
  </si>
  <si>
    <t>2025-05-08 13:25:00,20100,,20350,,19475,,20100,,,,,20400,19600,19500,20500</t>
  </si>
  <si>
    <t>2025-05-08 13:25:00,3901489524.19068,25774731751.068,-2213.36567876568,-709,-4959.30498659672,-2027.47,-360.506495169026,-411.83</t>
  </si>
  <si>
    <t>2025-05-08 13:25:00,2352637876.33318,4947766550.89036,-5791.49174859205,-5066,-2638.5596985158,-6991.3,144.306548523389,-2424.04</t>
  </si>
  <si>
    <t>2025-05-08 13:25:00,57076585.4907119,333693033.003593,-2047.60043478261,-1502,-12662.5198347826,-8023.07,0.697377568781881,-450.19</t>
  </si>
  <si>
    <t>2025-05-08 13:25:00,56885445.5959149,3427469.62759528,-13.6138888888889,-27,-157.127972222222,-275.18,-0.0190235161485111,-5.11</t>
  </si>
  <si>
    <t>2025-05-08 13:26:00,575,,570,,575,,563.5,,,,,570,560,567,564</t>
  </si>
  <si>
    <t>2025-05-08 13:26:00,490,,492,,490,,487,,,,,495,480,490,475</t>
  </si>
  <si>
    <t>2025-05-08 13:26:00,5800,,5720,,5600,,5690,5700,,,,5750,5600,5530,5550</t>
  </si>
  <si>
    <t>2025-05-08 13:26:00,20100,,20350,,19475,,20100,,,,,20400,19600,19500,20500</t>
  </si>
  <si>
    <t>2025-05-08 13:26:00,3768225166.43673,23093742927.9362,5522.46486291486,4841,4955.06747763348,3689.71,173.714311932212,1955.42</t>
  </si>
  <si>
    <t>2025-05-08 13:26:00,2416501220.75113,4979343281.72897,1089.44385964912,1133,734.489342105264,786.3,87.6361763037786,411.19</t>
  </si>
  <si>
    <t>2025-05-08 13:26:00,54949188.7633713,353092698.591463,920.009999999998,753,6992.02769999999,6058.11,7.71973137371384,306.04</t>
  </si>
  <si>
    <t>2025-05-08 13:26:00,55246799.7500905,3409095.1728935,-9.5,5,-2.39200000000003,55.9,0.0102468182203964,0.93</t>
  </si>
  <si>
    <t>2025-05-08 13:27:00,575,,570,,575,,563.5,,568,,,570,560,567,564</t>
  </si>
  <si>
    <t>2025-05-08 13:27:00,490,,492,,490,,487,,,,,495,480,490,475</t>
  </si>
  <si>
    <t>2025-05-08 13:27:00,5800,,5720,,5600,,5690,,,,,5750,5600,5530,5550</t>
  </si>
  <si>
    <t>2025-05-08 13:27:00,20100,,20350,,19475,,20100,,,,,20400,19600,19500,20500</t>
  </si>
  <si>
    <t>2025-05-08 13:27:00,3832238852.97029,26795929387.2921,-6891.20476190476,-4375,-7168.12842857143,-5139.36,277.467678519874,-2442.95</t>
  </si>
  <si>
    <t>2025-05-08 13:27:00,2355845212.22079,5607184129.29257,-1415.41333333333,-1394,-1317.19153333333,-1652.73,44.1832075265424,-721.56</t>
  </si>
  <si>
    <t>2025-05-08 13:27:00,55991227.2718713,326882565.509309,-610.949999999999,-639,-6265.79499999999,-5327.25,8.01974914046789,-298.21</t>
  </si>
  <si>
    <t>2025-05-08 13:27:00,56236638.108901,3334561.53662789,-3.40714285714286,-1,-98.7898571428573,-37.77,0.00434334226970595,-0.52</t>
  </si>
  <si>
    <t>2025-05-08 13:28:00,575,,570,,575,,563.5,,,,,570,560,567,564</t>
  </si>
  <si>
    <t>2025-05-08 13:28:00,490,,492,,490,,487,,,,,495,480,490,475</t>
  </si>
  <si>
    <t>2025-05-08 13:28:00,5800,,5720,,5600,,5690,,,,,5750,5600,5530,5550</t>
  </si>
  <si>
    <t>2025-05-08 13:28:00,20100,,20350,,19475,,20100,,,,,20400,19600,19500,20500</t>
  </si>
  <si>
    <t>2025-05-08 13:28:00,3816498443.33725,24602702135.0902,-277.819047619045,-1639,-196.74533333333,-673.78,20.8842632291651,-478.24</t>
  </si>
  <si>
    <t>2025-05-08 13:28:00,2413066418.00497,5105740728.51057,-112.343253968254,17,132.73632936508,260.8,67.8727500502583,75.06</t>
  </si>
  <si>
    <t>2025-05-08 13:28:00,56217836.0794501,326109143.24549,396.046666666665,376,2511.81686666666,2504.68,-0.0489354956635649,120.16</t>
  </si>
  <si>
    <t>2025-05-08 13:28:00,57451990.9762159,3310766.04885402,3.56190476190477,6,45.9178095238097,152.29,0.00807148346241131,2.39</t>
  </si>
  <si>
    <t>2025-05-08 13:29:00,575,,570,,575,,563.5,,,,,570,560,567,564</t>
  </si>
  <si>
    <t>2025-05-08 13:29:00,490,,492,,490,,487,,,,,495,480,490,475</t>
  </si>
  <si>
    <t>2025-05-08 13:29:00,5800,,5720,,5600,,5690,,,,,5750,5600,5530,5550</t>
  </si>
  <si>
    <t>2025-05-08 13:29:00,20100,,20350,,19475,,20100,,,,,20400,19600,19500,20500</t>
  </si>
  <si>
    <t>2025-05-08 13:29:00,3821563925.83343,26761546002.2431,-653.452922077899,264,1686.60459415587,3682.87,-428.101409886862,687.05</t>
  </si>
  <si>
    <t>2025-05-08 13:29:00,2432910085.47059,5670478620.98902,966.896825396826,1141,556.565793650794,707.76,-24.5068726374708,418.24</t>
  </si>
  <si>
    <t>2025-05-08 13:29:00,55924208.055781,314666843.797029,296.625,332,3752.38075000001,1773.93,2.22418725850377,101.08</t>
  </si>
  <si>
    <t>2025-05-08 13:29:00,57381819.5166042,3257417.83720723,7.00357142857142,-6,36.3069285714285,-4.2,0.00288388299894657,-0.06</t>
  </si>
  <si>
    <t>2025-05-08 13:30:00,575,,570,,575,,563.5,,,,,570,560,567,564</t>
  </si>
  <si>
    <t>2025-05-08 13:30:00,490,,492,,490,,487,,,,,495,480,490,475</t>
  </si>
  <si>
    <t>2025-05-08 13:30:00,5800,,5720,,5600,,5690,,,,,5750,5600,5530,5550</t>
  </si>
  <si>
    <t>2025-05-08 13:30:00,20100,,20350,,19475,,20100,,,,,20400,19600,19500,20500</t>
  </si>
  <si>
    <t>2025-05-08 13:30:00,3889570022.30223,26590859529.6144,-3429.65714285714,-3695,-2928.50014285714,-3166.24,97.1235226746625,-1619.79</t>
  </si>
  <si>
    <t>2025-05-08 13:30:00,2386231307.56906,5516370712.36896,-1829.48095238095,-518,-1485.2549047619,-541.03,55.1210630608331,-276.46</t>
  </si>
  <si>
    <t>2025-05-08 13:30:00,56787974.366003,322611294.735014,-551.699999999999,-674,-4765.14499999999,-5400.77,-3.64489852040841,-333.34</t>
  </si>
  <si>
    <t>2025-05-08 13:30:00,58046763.7039547,3300130.97141371,4.40297619047618,4,-30.3328869047621,-81.1,0.00924077861303554,-1.1</t>
  </si>
  <si>
    <t>2025-05-08 13:31:00,575,,570,,575,,563.5,,,,,570,560,567,564</t>
  </si>
  <si>
    <t>2025-05-08 13:31:00,490,,492,,490,,487,,,,,495,480,490,475</t>
  </si>
  <si>
    <t>2025-05-08 13:31:00,5800,,5720,,5600,,5690,,,,,5750,5600,5530,5550</t>
  </si>
  <si>
    <t>2025-05-08 13:31:00,20100,,20350,,19475,,20100,,,,,20400,19600,19500,20500</t>
  </si>
  <si>
    <t>2025-05-08 13:31:00,3943240612.82537,27773361414.4683,2255.37777777778,5158,2718.78895238095,3497.8,-185.499301641501,1996</t>
  </si>
  <si>
    <t>2025-05-08 13:31:00,2414269252.33002,5689938381.16722,-315.261363636364,151,-181.031363636364,-320.7,2.85246836017373,-139.21</t>
  </si>
  <si>
    <t>2025-05-08 13:31:00,57611143.8723707,343664386.075253,476.286666666667,445,719.436300000004,-91.2600000000005,11.9729517393094,8.39</t>
  </si>
  <si>
    <t>2025-05-08 13:31:00,57741456.0683003,3358992.43362247,-7.18687906817404,-12,-56.3481157930797,-34,-0.00102960565151343,-0.75</t>
  </si>
  <si>
    <t>2025-05-08 13:32:00,575,,570,,575,,563.5,,,,,570,560,567,564</t>
  </si>
  <si>
    <t>2025-05-08 13:32:00,490,,492,,490,,487,,,,,495,480,490,475</t>
  </si>
  <si>
    <t>2025-05-08 13:32:00,5800,,5720,,5600,,5690,,,,,5750,5600,5530,5550</t>
  </si>
  <si>
    <t>2025-05-08 13:32:00,20100,,20350,,19475,,20100,,,,,20400,19600,19500,20500</t>
  </si>
  <si>
    <t>2025-05-08 13:32:00,4054150841.07324,29039180378.5357,1497.57142857143,1882,-727.75071428572,-2016.06,300.420334085002,-737.9</t>
  </si>
  <si>
    <t>2025-05-08 13:32:00,2352284288.88758,5606303667.62749,-409.746902806549,35,-85.5422510075207,-539.78,-173.627984953656,-84.36</t>
  </si>
  <si>
    <t>2025-05-08 13:32:00,59079478.477846,369751327.927502,-590.319999999999,-1014,-3943.75039999999,-5893.32,2.04357171398025,-333.83</t>
  </si>
  <si>
    <t>2025-05-08 13:32:00,57908371.266612,3571058.49219443,-2.94642857142857,-7,-9.1863095238095,-16.4,-0.0235626958737739,-0.63</t>
  </si>
  <si>
    <t>2025-05-08 13:33:00,575,,570,,575,,563.5,,569,,,570,560,567,564</t>
  </si>
  <si>
    <t>2025-05-08 13:33:00,490,,492,,490,,487,,,,,495,480,490,475</t>
  </si>
  <si>
    <t>2025-05-08 13:33:00,5800,,5720,,5600,,5690,,,,,5750,5600,5530,5550</t>
  </si>
  <si>
    <t>2025-05-08 13:33:00,20100,,20350,,19475,,20100,,,,,20400,19600,19500,20500</t>
  </si>
  <si>
    <t>2025-05-08 13:33:00,4115017155.80842,31165182863.0246,-4524.38318281335,-3527,-4726.44762739462,-7574.55,-1079.13641006081,-3390.1</t>
  </si>
  <si>
    <t>2025-05-08 13:33:00,2352128998.11735,6410924195.89393,-1215.79268056505,-1865,-8.86834734563647,-1933.06,-243.848434781169,-811.27</t>
  </si>
  <si>
    <t>2025-05-08 13:33:00,59925610.0108669,443944337.731704,-1009.51777777778,-1092,-2864.42875555555,-5194.62,-5.95232676478724,-375.15</t>
  </si>
  <si>
    <t>2025-05-08 13:33:00,56372582.2973022,3883499.69035491,5.68621646271241,-12,-97.8872019165757,-137.5,-0.00648159241238087,-2.04</t>
  </si>
  <si>
    <t>2025-05-08 13:34:00,575,,570,,575,,563.5,,569,,,570,560,567,564</t>
  </si>
  <si>
    <t>2025-05-08 13:34:00,490,,492,,490,,487,492,,,,495,480,490,475</t>
  </si>
  <si>
    <t>2025-05-08 13:34:00,5800,,5720,,5600,,5690,,,,,5750,5600,5530,5550</t>
  </si>
  <si>
    <t>2025-05-08 13:34:00,20200,,20350,,19475,,20100,,,,,20400,19600,19500,20500</t>
  </si>
  <si>
    <t>2025-05-08 13:34:00,4156613007.98568,30783542417.7005,1487.11904761904,-565,-1111.84142857144,-6223.71,-502.50828384227,-2528.77</t>
  </si>
  <si>
    <t>2025-05-08 13:34:00,2364627568.4744,6145541369.72056,-1390.38091151793,-258,514.253111447096,-684.55,-48.1738357591532,142.81</t>
  </si>
  <si>
    <t>2025-05-08 13:34:00,60728277.9960475,451788781.356086,-640.308333333334,-1971,-1860.60725000001,-10285.65,-17.5873186238695,-622.68</t>
  </si>
  <si>
    <t>2025-05-08 13:34:00,56621888.8581773,4060557.17802754,-5.11922517096429,-14,374.916778944727,572.11,-0.0137817820761539,-2.01</t>
  </si>
  <si>
    <t>2025-05-08 13:35:00,575,,570,,575,,563.5,,,,,570,560,567,564</t>
  </si>
  <si>
    <t>2025-05-08 13:35:00,490,,492,,490,,487,,,,,495,480,490,475</t>
  </si>
  <si>
    <t>2025-05-08 13:35:00,5800,,5720,,5600,,5690,,,,,5750,5600,5530,5550</t>
  </si>
  <si>
    <t>2025-05-08 13:35:00,20200,,20350,,19475,,20100,,,,,20400,19600,19500,20500</t>
  </si>
  <si>
    <t>2025-05-08 13:35:00,4179986937.84888,32017786125.4599,-2675.91111111111,-5035,-1733.07058333333,-2491.52,-810.081356593656,-1522.48</t>
  </si>
  <si>
    <t>2025-05-08 13:35:00,2380444264.74745,6363990538.53937,6.13728016944001,781,1.61612190333623,-627.43,-65.9420264705621,-135.17</t>
  </si>
  <si>
    <t>2025-05-08 13:35:00,61304741.1658699,448624666.484474,-52.1333333333344,307,-2572.64833333332,-4317.75,-1.21561141962276,-155.44</t>
  </si>
  <si>
    <t>2025-05-08 13:35:00,55269070.1722398,4118033.30221716,-2.07796791443851,-5,32.9338363636362,-5.55000000000001,0.0286676414620654,0.0300000000000005</t>
  </si>
  <si>
    <t>2025-05-08 13:36:00,575,,570,,575,,563.5,569,,,,570,560,567,564</t>
  </si>
  <si>
    <t>2025-05-08 13:36:00,490,,492,,490,,487,,492,,,495,480,490,475</t>
  </si>
  <si>
    <t>2025-05-08 13:36:00,5800,,5720,,5600,,5690,5710,,,,5750,5600,5530,5550</t>
  </si>
  <si>
    <t>2025-05-08 13:36:00,20200,,20350,,19475,,20100,,,,,20400,19600,19500,20500</t>
  </si>
  <si>
    <t>2025-05-08 13:36:00,4208514742.6498,31908626632.3989,4043.12911255411,6277,4131.88193939394,4997.5,352.141462602682,2879.33</t>
  </si>
  <si>
    <t>2025-05-08 13:36:00,2412469621.63475,6343929738.87439,-338.074577408805,-1829,495.94287509059,-931.27,-117.366107493039,-609.92</t>
  </si>
  <si>
    <t>2025-05-08 13:36:00,60436078.0827969,473540174.19312,926.03333333333,1686,5273.38749999996,5149,1.85294660328186,416.7</t>
  </si>
  <si>
    <t>2025-05-08 13:36:00,52490370.4141481,4167332.18809857,-8.98888888888888,-4,22.038888888889,19.1,0.00374757301114326,0.53</t>
  </si>
  <si>
    <t>2025-05-08 13:37:00,575,,570,,575,,563.5,,,,,570,560,567,564</t>
  </si>
  <si>
    <t>2025-05-08 13:37:00,490,,492,,490,,487,,,,,495,480,490,475</t>
  </si>
  <si>
    <t>2025-05-08 13:37:00,5800,,5720,,5600,,5690,,,,,5750,5600,5530,5550</t>
  </si>
  <si>
    <t>2025-05-08 13:37:00,20200,,20350,,19475,,20100,,,,,20400,19600,19500,20500</t>
  </si>
  <si>
    <t>2025-05-08 13:37:00,4210170480.79217,31714334591.7568,-1055.05480769231,-4298,1765.22294978633,-159.52,59.2391864762177,-532.91</t>
  </si>
  <si>
    <t>2025-05-08 13:37:00,2461828739.39164,6702910394.07116,1309.75112786364,1262,599.981864654158,-28.01,23.3943606396855,63.4299999999999</t>
  </si>
  <si>
    <t>2025-05-08 13:37:00,59779953.0475848,475899169.356284,-31.3533333333328,110,1525.9795,-787.91,-6.64107586821864,-80.36</t>
  </si>
  <si>
    <t>2025-05-08 13:37:00,52271197.1153552,4187337.80220851,-24.0580555555556,-16,152.492150396825,133.33,0.0474167592973633,1.73</t>
  </si>
  <si>
    <t>2025-05-08 13:38:00,575,,570,,575,,563.5,,,,,570,560,567,564</t>
  </si>
  <si>
    <t>2025-05-08 13:38:00,490,,493,,490,,487,,,,,495,480,490,475</t>
  </si>
  <si>
    <t>2025-05-08 13:38:00,5800,,5720,,5600,,5690,,,,,5750,5600,5530,5550</t>
  </si>
  <si>
    <t>2025-05-08 13:38:00,20200,,20350,,19475,,20100,,,,,20400,19600,19500,20500</t>
  </si>
  <si>
    <t>2025-05-08 13:38:00,4234704578.90156,31911734572.1111,2625.84292929293,3329,2864.96169119769,3014.19,-130.020066248771,1665.1</t>
  </si>
  <si>
    <t>2025-05-08 13:38:00,2457199320.10203,6510716508.04159,26.1818652362132,586,125.52873800113,-53.82,47.4162969400074,64.83</t>
  </si>
  <si>
    <t>2025-05-08 13:38:00,62479851.4973077,460927166.814387,62.1599999999989,621,1333.3048,5442.54,-3.9953517634054,339.69</t>
  </si>
  <si>
    <t>2025-05-08 13:38:00,55724428.1225414,4280919.94632745,-7.90873015873016,-10,-91.7063968253969,-2.45,-0.00439320597407945,-0.1</t>
  </si>
  <si>
    <t>2025-05-08 13:39:00,575,,570,,575,,563.5,,,,,570,560,567,564</t>
  </si>
  <si>
    <t>2025-05-08 13:39:00,490,,493,,490,,487,,,,,495,480,490,475</t>
  </si>
  <si>
    <t>2025-05-08 13:39:00,5800,,5720,,5600,,5690,,,,,5750,5600,5530,5550</t>
  </si>
  <si>
    <t>2025-05-08 13:39:00,20200,,20350,,19475,,20100,,,,,20400,19600,19500,20500</t>
  </si>
  <si>
    <t>2025-05-08 13:39:00,4163102117.7251,30298233260.9467,-914.65873015873,-2489,638.703571428571,-471.64,196.976178617541,-690.9</t>
  </si>
  <si>
    <t>2025-05-08 13:39:00,2438792566.85196,6192289193.85995,-1071.13831548568,-846,38.8527621326034,-669.41,-11.7524869239762,-352.92</t>
  </si>
  <si>
    <t>2025-05-08 13:39:00,60840416.2412041,465401303.216351,-158.645416666667,-731,4691.01367916669,-326.59,-5.73296888750736,-176.3</t>
  </si>
  <si>
    <t>2025-05-08 13:39:00,56186026.9156582,4171598.15929574,25.3519013442697,14,954.527913100932,426.1,0.023089863717438,7.69</t>
  </si>
  <si>
    <t>2025-05-08 13:40:00,575,,570,,575,,563.5,,569,,,570,560,567,564</t>
  </si>
  <si>
    <t>2025-05-08 13:40:00,490,,493,,490,,487,,,,,495,480,490,475</t>
  </si>
  <si>
    <t>2025-05-08 13:40:00,5800,,5720,,5600,,5690,,,,,5750,5600,5530,5550</t>
  </si>
  <si>
    <t>2025-05-08 13:40:00,20200,,20350,,19475,,20100,,,,,20400,19600,19500,20500</t>
  </si>
  <si>
    <t>2025-05-08 13:40:00,4243511941.66791,31498935495.9499,-491.172799422799,-2758,-1392.10035714286,-2896,-609.487224279867,-1492.05</t>
  </si>
  <si>
    <t>2025-05-08 13:40:00,2447753461.13778,6386469225.78517,1006.00806976592,2153,1453.49241417678,2015.26,-88.6329723220842,1110.56</t>
  </si>
  <si>
    <t>2025-05-08 13:40:00,62494627.5014989,449263473.884732,48.3380952380944,1001,-528.999309523814,1967.49,-3.86461562242624,188.41</t>
  </si>
  <si>
    <t>2025-05-08 13:40:00,57391240.372375,4226030.63718688,-46.5806349206349,-20,-337.90433968254,-173.47,-0.022760022505422,-2.91</t>
  </si>
  <si>
    <t>2025-05-08 13:41:00,575,,570,,575,,563.5,,,,,570,560,567,564</t>
  </si>
  <si>
    <t>2025-05-08 13:41:00,490,,492,,490,,487,,,,,495,480,490,475</t>
  </si>
  <si>
    <t>2025-05-08 13:41:00,5800,,5720,,5600,,5690,,,,,5750,5600,5530,5550</t>
  </si>
  <si>
    <t>2025-05-08 13:41:00,20200,,20350,,19475,,20100,,,,,20400,19600,19500,20500</t>
  </si>
  <si>
    <t>2025-05-08 13:41:00,4129760609.55253,32107494925.6707,-8098.85436507937,-6687,-5099.21522222222,-4243.52,46.9796097526931,-2744.7</t>
  </si>
  <si>
    <t>2025-05-08 13:41:00,2458240788.77775,6683871992.51427,-675.34789196311,-541,2.72779051383381,-432.23,102.485780257153,-319.98</t>
  </si>
  <si>
    <t>2025-05-08 13:41:00,60701964.3217275,458036867.100243,-788.550564784053,-1000,-909.298487043183,-1652.68,-1.19702705889513,-228.47</t>
  </si>
  <si>
    <t>2025-05-08 13:41:00,55347199.2535031,4215268.65594951,4.1388888888889,7,110.230527777778,101.78,0.0101440830951692,1.83</t>
  </si>
  <si>
    <t>2025-05-08 13:42:00,575,,570,,575,,563.5,,,,,570,560,567,564</t>
  </si>
  <si>
    <t>2025-05-08 13:42:00,490,,493,,490,,487,,492,,,495,480,490,475</t>
  </si>
  <si>
    <t>2025-05-08 13:42:00,5800,,5720,,5600,,5690,,,,,5750,5600,5530,5550</t>
  </si>
  <si>
    <t>2025-05-08 13:42:00,20200,,20350,,19475,,20100,,,,,20400,19600,19500,20500</t>
  </si>
  <si>
    <t>2025-05-08 13:42:00,4286538749.74181,33025374519.491,-614.543650793654,-211,-280.279682539709,-7448.55,-568.324518039853,-1781.56</t>
  </si>
  <si>
    <t>2025-05-08 13:42:00,2416364124.85377,6635958494.41237,-1680.31373768076,-1532,-1131.9821172976,-1954.03,24.306302370298,-734.11</t>
  </si>
  <si>
    <t>2025-05-08 13:42:00,62950460.8600294,463698896.040233,13.2050000000042,3,-14996.8373499993,-8605.17,-0.899426491477295,-103.58</t>
  </si>
  <si>
    <t>2025-05-08 13:42:00,56553128.2274383,4422616.25988276,-76.3577380952381,-74,-376.21825,-489.82,0.04999459034442,-8.59</t>
  </si>
  <si>
    <t>2025-05-08 13:43:00,575,,570,,575,,563.5,,,,,570,560,567,564</t>
  </si>
  <si>
    <t>2025-05-08 13:43:00,490,,492,,490,,487,,,,,495,480,490,475</t>
  </si>
  <si>
    <t>2025-05-08 13:43:00,5800,,5720,,5600,,5690,,,,,5750,5600,5530,5550</t>
  </si>
  <si>
    <t>2025-05-08 13:43:00,20200,,20350,,19475,,20100,,,,,20400,19600,19500,20500</t>
  </si>
  <si>
    <t>2025-05-08 13:43:00,4263156128.14277,32638941447.3841,2271.96111111111,1303,2565.98983333333,939.16,-10.790187805507,904.44</t>
  </si>
  <si>
    <t>2025-05-08 13:43:00,2480744926.17534,6833807311.96674,21.3476190476192,16,410.308333333334,347.65,166.035262813637,194.31</t>
  </si>
  <si>
    <t>2025-05-08 13:43:00,62925323.0780938,467565199.190053,247.633333333334,153,2421.00458333334,-168.04,-1.96586148775044,5.33999999999999</t>
  </si>
  <si>
    <t>2025-05-08 13:43:00,57292774.477456,4332998.60314059,1.70367243867244,0,116.979482972583,88.56,4.37859075780803E-05,1.55</t>
  </si>
  <si>
    <t>2025-05-08 13:44:00,575,,570,,575,,563.5,,,,,570,560,567,564</t>
  </si>
  <si>
    <t>2025-05-08 13:44:00,490,,493,,490,,487,,,,,495,480,490,475</t>
  </si>
  <si>
    <t>2025-05-08 13:44:00,5800,,5720,,5600,,5690,,,,,5750,5600,5530,5550</t>
  </si>
  <si>
    <t>2025-05-08 13:44:00,20200,,20350,,19475,,20100,,,,,20400,19600,19500,20500</t>
  </si>
  <si>
    <t>2025-05-08 13:44:00,4237571499.02456,34186209852.5711,1121.44142512077,1068,410.614347277117,-256.92,272.225544012694,164.29</t>
  </si>
  <si>
    <t>2025-05-08 13:44:00,2416255054.21903,6156472582.27082,-325.627757427758,-160,-116.183270655271,-742.99,-103.500225380534,-340.09</t>
  </si>
  <si>
    <t>2025-05-08 13:44:00,63686350.9110221,494628171.080171,-50.3500000000005,49,662.000499999997,360.5,2.03486441231103,-4.1</t>
  </si>
  <si>
    <t>2025-05-08 13:44:00,56610603.9801897,4388995.77236405,-20.8664285714286,-21,12.1014142857143,25.85,0.0120745111256135,0.44</t>
  </si>
  <si>
    <t>2025-05-08 13:45:00,575,,570,,575,,563.5,,,,,570,560,567,564</t>
  </si>
  <si>
    <t>2025-05-08 13:45:00,490,,492,,490,,487,,492,,,495,480,490,475</t>
  </si>
  <si>
    <t>2025-05-08 13:45:00,5800,,5720,,5600,,5690,,,,,5750,5600,5530,5550</t>
  </si>
  <si>
    <t>2025-05-08 13:45:00,20200,,20350,,19475,,20100,,,,,20400,19600,19500,20500</t>
  </si>
  <si>
    <t>2025-05-08 13:45:00,4307153030.61456,34867821920.9751,-5280.68279220778,-7215,-3080.61847727272,-3703.3,-86.293016363947,-2355.28</t>
  </si>
  <si>
    <t>2025-05-08 13:45:00,2391761581.20043,6373894366.48905,-3722.28888888889,-2189,-2771.99322222222,-1406.29,16.213575648209,-867.84</t>
  </si>
  <si>
    <t>2025-05-08 13:45:00,62465056.5169672,472686982.349351,-207.036666666666,-277,-1346.2852,-3005.07,-6.89391926951942,-193.02</t>
  </si>
  <si>
    <t>2025-05-08 13:45:00,52721541.38568,4217683.7877464,-4.93002886002886,-11,-4.80283665223669,-93.89,-0.00996810716476849,-1.69</t>
  </si>
  <si>
    <t>2025-05-08 13:46:00,575,,570,,575,,563.5,,,,,570,560,567,564</t>
  </si>
  <si>
    <t>2025-05-08 13:46:00,490,,492,,490,,487,,,,,495,480,490,475</t>
  </si>
  <si>
    <t>2025-05-08 13:46:00,5800,,5720,,5600,,5690,,,,,5750,5600,5530,5550</t>
  </si>
  <si>
    <t>2025-05-08 13:46:00,20200,,20350,,19475,,20100,,,,,20400,19600,19500,20500</t>
  </si>
  <si>
    <t>2025-05-08 13:46:00,4291978079.72578,33440436249.2264,-273.202741702742,-1412,-294.500672077921,-1073.36,-511.023478929557,-523.46</t>
  </si>
  <si>
    <t>2025-05-08 13:46:00,2405889049.36653,5879478030.82272,-702.909871254849,-450,-433.239160181815,-614.13,8.28329348404378,-403.94</t>
  </si>
  <si>
    <t>2025-05-08 13:46:00,62859165.7974483,462750172.510511,42.0333333333325,-99,759.47899999999,-18.21,0.100333564238661,30.7</t>
  </si>
  <si>
    <t>2025-05-08 13:46:00,57432949.2290885,4204844.20207162,1.45897435897435,5,136.238384615384,151.05,0.0330185725198896,0.9</t>
  </si>
  <si>
    <t>2025-05-08 13:47:00,575,,570,,575,,563.5,,,,,570,560,567,564</t>
  </si>
  <si>
    <t>2025-05-08 13:47:00,490,,493,,490,,487,,,,,495,480,490,475</t>
  </si>
  <si>
    <t>2025-05-08 13:47:00,5800,,5720,,5600,,5690,,,,,5750,5600,5530,5550</t>
  </si>
  <si>
    <t>2025-05-08 13:47:00,20200,,20350,,19475,,20100,,,,,20400,19600,19500,20500</t>
  </si>
  <si>
    <t>2025-05-08 13:47:00,4234233519.56614,32609790521.548,575.429365079365,1310,187.29442063492,-325.38,-129.672125616345,31.96</t>
  </si>
  <si>
    <t>2025-05-08 13:47:00,2421401686.50491,6183206334.90674,-990.789479651508,-1505,2559.45961761547,2267.64,61.8555405748039,-128.83</t>
  </si>
  <si>
    <t>2025-05-08 13:47:00,62451124.7115797,454291509.547927,-661.25,-692,-2758.4635,-2800.93,0.525801824156215,-216.17</t>
  </si>
  <si>
    <t>2025-05-08 13:47:00,58034268.5297254,4107131.56004167,-5.84046703296704,-4,-58.2453482600733,-69.61,0.027303176001841,-1.41</t>
  </si>
  <si>
    <t>2025-05-08 13:48:00,575,,570,,575,,563.5,,,,,570,560,567,564</t>
  </si>
  <si>
    <t>2025-05-08 13:48:00,490,,492,,490,,487,,,,,495,480,490,475</t>
  </si>
  <si>
    <t>2025-05-08 13:48:00,5800,,5720,,5600,,5690,,,,,5750,5600,5530,5550</t>
  </si>
  <si>
    <t>2025-05-08 13:48:00,20200,,20350,,19475,,20100,,,,,20400,19600,19500,20500</t>
  </si>
  <si>
    <t>2025-05-08 13:48:00,4195663190.54982,32806502608.4002,-2993.40567765569,-3068,-2089.65655219781,-1174.24,-100.756423056075,-819.27</t>
  </si>
  <si>
    <t>2025-05-08 13:48:00,2465399898.90437,6372724053.88832,-840.196286231885,-426,-355.938882246378,-112.92,-23.4271934337485,-26.13</t>
  </si>
  <si>
    <t>2025-05-08 13:48:00,62440286.7809966,458950189.757194,-664.208333333332,-1126,-1209.50658333332,-4663.33,-9.63918511005141,-328.73</t>
  </si>
  <si>
    <t>2025-05-08 13:48:00,56594630.3812478,4082237.56544089,9.05241018578919,5,1002.20200542147,932.81,0.0106700569785221,2.14</t>
  </si>
  <si>
    <t>2025-05-08 13:49:00,575,,570,,575,,563.5,,,,,570,560,567,564</t>
  </si>
  <si>
    <t>2025-05-08 13:49:00,490,,493,,490,,487,,492,,,495,480,490,475</t>
  </si>
  <si>
    <t>2025-05-08 13:49:00,5800,,5720,,5600,,5690,,,,,5750,5600,5530,5550</t>
  </si>
  <si>
    <t>2025-05-08 13:49:00,20200,,20350,,19475,,20100,,,,,20400,19600,19500,20500</t>
  </si>
  <si>
    <t>2025-05-08 13:49:00,4251202477.71254,32821157528.4074,-53.6511904761906,-223,-259.093845238096,-455.62,198.662617361303,-185.98</t>
  </si>
  <si>
    <t>2025-05-08 13:49:00,2468942541.74819,6332489782.40121,-1078.06894409938,-2949,-824.035120082817,-2372.75,-197.485377612817,-1372.15</t>
  </si>
  <si>
    <t>2025-05-08 13:49:00,62823844.9609154,466036855.901944,-343.716842105264,-576,-1871.69463684212,-3614.5,2.12312766684282,-226.31</t>
  </si>
  <si>
    <t>2025-05-08 13:49:00,57209697.77836,4186587.57318041,-0.815966386554626,-4,-10.3609943977592,-66.65,0.00232306224172357,-1.09</t>
  </si>
  <si>
    <t>2025-05-08 13:50:00,575,,570,,575,,563.5,569,,,,570,560,567,564</t>
  </si>
  <si>
    <t>2025-05-08 13:50:00,490,,492,,490,,487,,,,,495,480,490,475</t>
  </si>
  <si>
    <t>2025-05-08 13:50:00,5800,,5720,,5600,,5690,5710,,,,5750,5600,5530,5550</t>
  </si>
  <si>
    <t>2025-05-08 13:50:00,20200,,20350,,19475,,20100,,,,,20400,19600,19500,20500</t>
  </si>
  <si>
    <t>2025-05-08 13:50:00,4118086310.22078,30918040398.6553,-7489.73345543345,-2657,-4389.58178449328,-702.18,1314.91330187622,-1474.09</t>
  </si>
  <si>
    <t>2025-05-08 13:50:00,2475447885.01679,6123058755.80061,-555.919295412504,-183,-395.06721835952,-456.22,-317.818308859036,-66.6299999999999</t>
  </si>
  <si>
    <t>2025-05-08 13:50:00,60836935.0510914,426127715.729526,-294.339999999997,-280,3078.14796666668,2640.4,-2.7927212449114,232.24</t>
  </si>
  <si>
    <t>2025-05-08 13:50:00,57584999.4821314,3901646.83582926,-1.11758241758242,-8,113.211322344322,185.2,-0.0267532125399089,1.98</t>
  </si>
  <si>
    <t>2025-05-08 13:51:00,575,,570,,575,,563.5,,,568,,570,560,567,564</t>
  </si>
  <si>
    <t>2025-05-08 13:51:00,490,,492,,490,,487,,,,,495,480,490,475</t>
  </si>
  <si>
    <t>2025-05-08 13:51:00,5800,,5720,,5600,,5690,,,,,5750,5600,5530,5550</t>
  </si>
  <si>
    <t>2025-05-08 13:51:00,20100,,20350,,19475,,20100,,,,,20400,19600,19500,20500</t>
  </si>
  <si>
    <t>2025-05-08 13:51:00,4036223174.74093,28945014587.876,3900.9233436853,3569,1933.59300207039,269.51,-1265.89082326943,753.99</t>
  </si>
  <si>
    <t>2025-05-08 13:51:00,2454225307.83152,5798828039.56674,-881.229684423221,-1072,-779.480416843231,-965.58,7.87459138913304,-424.24</t>
  </si>
  <si>
    <t>2025-05-08 13:51:00,59398902.7784037,370179401.031908,-391.492015503877,-311,-3314.52190000001,-899.61,0.0707837527158439,-25.18</t>
  </si>
  <si>
    <t>2025-05-08 13:51:00,58575805.8573683,3786419.27380018,-32.4007936507936,-32,-709.223,-449.69,0.0182183382455092,-7.35</t>
  </si>
  <si>
    <t>2025-05-08 13:52:00,575,,570,,575,,563.5,,,,,570,560,567,564</t>
  </si>
  <si>
    <t>2025-05-08 13:52:00,490,,492,,490,,487,,,,,495,480,490,475</t>
  </si>
  <si>
    <t>2025-05-08 13:52:00,5800,,5720,,5600,,5690,,,5700,,5750,5600,5530,5550</t>
  </si>
  <si>
    <t>2025-05-08 13:52:00,20100,,20350,,19475,,20100,,,,,20400,19600,19500,20500</t>
  </si>
  <si>
    <t>2025-05-08 13:52:00,4043225272.92632,32502346163.5662,-2608.61070686071,308,365.080194832197,1405.72,-33.5041181070928,1176.47</t>
  </si>
  <si>
    <t>2025-05-08 13:52:00,2389330895.35333,5938388428.90098,-1219.99472455649,-1002,-755.405134920635,-796.55,56.1000885311842,-493.38</t>
  </si>
  <si>
    <t>2025-05-08 13:52:00,61570459.5249589,433384760.204117,-198.388095238096,34,-1575.70466666667,198.6,-7.1849760882005,76.01</t>
  </si>
  <si>
    <t>2025-05-08 13:52:00,57561632.1166185,3948264.45938103,-50.8002506040078,-23,-710.364675264106,-391.84,0.0277889264681984,-4.51</t>
  </si>
  <si>
    <t>2025-05-08 13:53:00,575,,570,,575,,563.5,,,,,570,560,567,564</t>
  </si>
  <si>
    <t>2025-05-08 13:53:00,490,,492,,490,,487,,,,,495,480,490,475</t>
  </si>
  <si>
    <t>2025-05-08 13:53:00,5800,,5720,,5600,,5690,,,,,5750,5600,5530,5550</t>
  </si>
  <si>
    <t>2025-05-08 13:53:00,20200,,20350,,19475,,20100,,,,,20400,19600,19500,20500</t>
  </si>
  <si>
    <t>2025-05-08 13:53:00,4233652253.53616,32671649243.7992,-1854.67777777778,-965,16.4364920634931,944.26,88.2542142022329,436.1</t>
  </si>
  <si>
    <t>2025-05-08 13:53:00,2368359982.87686,5978568677.83966,429.588316722038,1635,220.551057585826,563.22,-88.32026862725,488.51</t>
  </si>
  <si>
    <t>2025-05-08 13:53:00,61666225.7400868,425890204.172036,-33.5138095238085,-27,-281.803090476185,1150.48,2.99592588814509,130.61</t>
  </si>
  <si>
    <t>2025-05-08 13:53:00,58210753.1810674,4018093.09288204,-19.1279028561571,-21,-338.737706676688,-160.64,0.00247755910985204,-3.06</t>
  </si>
  <si>
    <t>2025-05-08 13:54:00,575,,570,,575,,563.5,,,,,570,560,567,564</t>
  </si>
  <si>
    <t>2025-05-08 13:54:00,490,,492,,490,,487,,492,,,495,480,490,475</t>
  </si>
  <si>
    <t>2025-05-08 13:54:00,5800,,5720,,5600,,5690,,,,,5750,5600,5530,5550</t>
  </si>
  <si>
    <t>2025-05-08 13:54:00,20200,,20350,,19475,,20100,,,,,20400,19600,19500,20500</t>
  </si>
  <si>
    <t>2025-05-08 13:54:00,4163930557.3943,30664902722.5546,-97.6698412698421,-118,1667.7346111111,1948.88,-379.721394718327,823.94</t>
  </si>
  <si>
    <t>2025-05-08 13:54:00,2451214094.05022,6440877500.64952,1027.00735371776,-535,1029.42389788459,33.13,-128.466562267744,-135.07</t>
  </si>
  <si>
    <t>2025-05-08 13:54:00,61491811.856694,421578962.468874,902.399999999997,1128,3937.04699999998,4043.97,0.178835663315933,314.25</t>
  </si>
  <si>
    <t>2025-05-08 13:54:00,58372163.4577031,3906124.70256696,-4.32260073260074,2,-48.9518139194139,-51.28,-0.00207500537108775,-1.03</t>
  </si>
  <si>
    <t>2025-05-08 13:56:00,575,,570,,575,,563.5,,,,,570,560,567,564</t>
  </si>
  <si>
    <t>2025-05-08 13:56:00,490,,493,,490,,491,492,,,,495,480,490,475</t>
  </si>
  <si>
    <t>2025-05-08 13:56:00,5800,,5720,,5600,,5690,,,,,5750,5600,5530,5550</t>
  </si>
  <si>
    <t>2025-05-08 13:56:00,20200,,20350,,19475,,20100,,,,,20400,19600,19500,20500</t>
  </si>
  <si>
    <t>2025-05-08 13:56:00,4123886850.79527,30362537295.9269,1356.44206349207,556,1212.35966666668,653.79,-275.07340776518,439.28</t>
  </si>
  <si>
    <t>2025-05-08 13:56:00,2468028124.22651,5667207486.43082,670.742697302697,691,669.817374625374,408.35,157.113422741436,290.2</t>
  </si>
  <si>
    <t>2025-05-08 13:56:00,60876673.1930336,400111439.761639,-316.116666666667,-439,-1087.31216666667,-2975,9.24199306442369,-185.78</t>
  </si>
  <si>
    <t>2025-05-08 13:56:00,58330732.4359133,3950816.40814641,-14.8085714285714,-8,-75.9549333333333,-41.02,-0.00550572337345729,-0.7</t>
  </si>
  <si>
    <t>2025-05-08 13:57:00,575,,570,,575,,563.5,,,,,570,560,567,564</t>
  </si>
  <si>
    <t>2025-05-08 13:57:00,490,,492,,490,,491,,,,,495,480,490,475</t>
  </si>
  <si>
    <t>2025-05-08 13:57:00,5800,,5720,,5600,,5690,,,,,5750,5600,5530,5550</t>
  </si>
  <si>
    <t>2025-05-08 13:57:00,20100,,20350,,19475,,20100,,,,,20400,19600,19500,20500</t>
  </si>
  <si>
    <t>2025-05-08 13:57:00,3994015300.9432,25146170285.6385,-3670.75140692641,-519,-3985.18253787879,-3235.28,499.454245761946,-1541.12</t>
  </si>
  <si>
    <t>2025-05-08 13:57:00,2477059657.60614,5558995797.70631,822.623900847781,1469,596.260909214292,704.07,14.1664786622568,510.71</t>
  </si>
  <si>
    <t>2025-05-08 13:57:00,60301281.3040927,392820061.158405,480.713333333334,210,-76.2601666666621,-1346.41,13.3060092988469,-88.17</t>
  </si>
  <si>
    <t>2025-05-08 13:57:00,54227019.6767115,3800665.98379483,5.13428874734607,4,111.193135881104,136.08,-0.00599384079263494,1.73</t>
  </si>
  <si>
    <t>2025-05-08 13:58:00,575,,570,,575,,563.5,,,,,570,560,567,564</t>
  </si>
  <si>
    <t>2025-05-08 13:58:00,490,,492,,490,,487,,,,,495,480,490,475</t>
  </si>
  <si>
    <t>2025-05-08 13:58:00,5800,,5720,,5600,,5690,,,,,5750,5600,5530,5550</t>
  </si>
  <si>
    <t>2025-05-08 13:58:00,20100,,20350,,19475,,20100,,,,,20400,19600,19500,20500</t>
  </si>
  <si>
    <t>2025-05-08 13:58:00,4050610239.41279,30426273997.272,-24133.1276695527,-7292,-17762.3486818182,-4367.24,-202.912751454828,-2483.6</t>
  </si>
  <si>
    <t>2025-05-08 13:58:00,2402660266.67318,5581377519.30533,-3841.62958403475,-2175,-2294.44208673207,-1244.48,88.1428723809078,-764.67</t>
  </si>
  <si>
    <t>2025-05-08 13:58:00,56349602.5356459,414322931.270811,-2329.78666666667,-1748,-12501.2900333333,-6994.29,-2.40444271425849,-480.92</t>
  </si>
  <si>
    <t>2025-05-08 13:58:00,55443967.4430644,3754407.41987104,-15.2583633453381,-15,-271.105594437775,-236.91,0.0291009603459456,-4.38</t>
  </si>
  <si>
    <t>2025-05-08 13:59:00,575,,570,,575,,563.5,,,,,570,560,567,564</t>
  </si>
  <si>
    <t>2025-05-08 13:59:00,490,,492,,490,,487,,,,,495,480,490,475</t>
  </si>
  <si>
    <t>2025-05-08 13:59:00,5800,,5720,,5600,,5690,,,,5700,5750,5600,5530,5550</t>
  </si>
  <si>
    <t>2025-05-08 13:59:00,20200,,20350,,19475,,20100,,,,,20400,19600,19500,20500</t>
  </si>
  <si>
    <t>2025-05-08 13:59:00,3993823659.96679,30162212721.0246,-2722.83170408026,-1908,-2295.86583878543,-1040.78,238.126183025405,-1002.12</t>
  </si>
  <si>
    <t>2025-05-08 13:59:00,2471628117.0217,6425212277.39607,-2521.08170807453,-2321,-1416.86791925466,-952.65,-111.43520200933,-769.12</t>
  </si>
  <si>
    <t>2025-05-08 13:59:00,59870633.7631783,390997866.371103,-1324.53666666667,-14,-5583.3845,-3329.88,5.9694213634833,-281.57</t>
  </si>
  <si>
    <t>2025-05-08 13:59:00,54893204.1776079,3710884.83963065,1.46511198945981,3,53.5384310935441,12.87,-0.00135718973617064,0.2</t>
  </si>
  <si>
    <t>2025-05-08 14:00:00,575,,570,,575,,563.5,,,,,570,560,567,564</t>
  </si>
  <si>
    <t>2025-05-08 14:00:00,490,,492,,490,,487,,,,,495,480,490,475</t>
  </si>
  <si>
    <t>2025-05-08 14:00:00,5800,,5720,,5600,,5690,,,,,5750,5600,5530,5550</t>
  </si>
  <si>
    <t>2025-05-08 14:00:00,20100,,20350,,19475,,20100,,,,,20400,19600,19500,20500</t>
  </si>
  <si>
    <t>2025-05-08 14:00:00,4034787321.75568,29369847124.6272,-4196.52652095926,-3643,-3215.31612699642,-1613,-110.192727107655,-1139.31</t>
  </si>
  <si>
    <t>2025-05-08 14:00:00,2430320284.19734,6173383138.61499,-405.904384986994,-725,28.6476039178213,-137.77,87.7696394198931,-217.17</t>
  </si>
  <si>
    <t>2025-05-08 14:00:00,60231589.4744042,395238119.969886,415.937368421052,511,3096.06166315789,4453.42,-4.26840227412686,307.98</t>
  </si>
  <si>
    <t>2025-05-08 14:00:00,58656105.6292444,3723899.02517456,3.75569310320455,11,90.252923289054,402.8,-0.000701766176503353,5.93</t>
  </si>
  <si>
    <t>2025-05-08 14:01:00,575,,570,,575,,563.5,,,,568,570,560,567,564</t>
  </si>
  <si>
    <t>2025-05-08 14:01:00,490,,492,,490,,487,,,491,,495,480,490,475</t>
  </si>
  <si>
    <t>2025-05-08 14:01:00,5800,,5720,,5600,,5690,,5700,5690,,5750,5600,5530,5550</t>
  </si>
  <si>
    <t>2025-05-08 14:01:00,20100,,20350,,19475,,20100,,,,,20400,19600,19500,20500</t>
  </si>
  <si>
    <t>2025-05-08 14:01:00,3718393372.39931,29931510901.95,-419.465978426872,-963,852.811130745043,2564.59,-348.760820438783,423</t>
  </si>
  <si>
    <t>2025-05-08 14:01:00,2358171416.7314,6329820663.19581,2450.30440360406,1715,2392.83457228748,2083.64,-108.604823771181,928.54</t>
  </si>
  <si>
    <t>2025-05-08 14:01:00,50392789.8278087,348070086.146242,1862.34166666667,2414,13165.5944833334,12450.48,-44.65718204318,751</t>
  </si>
  <si>
    <t>2025-05-08 14:01:00,55079087.1454996,3399402.91399272,36.9434803504031,23,268.672950832561,445.88,-0.040213604508685,4.22</t>
  </si>
  <si>
    <t>2025-05-08 14:02:00,575,,570,,575,,563.5,568,,,568,570,560,567,564</t>
  </si>
  <si>
    <t>2025-05-08 14:02:00,490,,492,,490,,491,,,,,495,480,490,475</t>
  </si>
  <si>
    <t>2025-05-08 14:02:00,5800,,5720,,5600,,5690,,,5690,,5750,5600,5530,5550</t>
  </si>
  <si>
    <t>2025-05-08 14:02:00,20100,,20350,,19475,,20100,,,,,20400,19600,19500,20500</t>
  </si>
  <si>
    <t>2025-05-08 14:02:00,3701013357.88213,21483605406.8868,4026.60952380953,2294,2001.47933333334,3367.39,1252.95860528052,1468.43</t>
  </si>
  <si>
    <t>2025-05-08 14:02:00,2420661633.59674,4369282555.75673,2169.5898989899,1068,811.552444444445,209.75,269.72085983848,134.6</t>
  </si>
  <si>
    <t>2025-05-08 14:02:00,52731885.4425405,280536557.636206,4450.00000000001,3156,18944.642,13334.35,-2.42966297966754,932.56</t>
  </si>
  <si>
    <t>2025-05-08 14:02:00,55294396.3609347,3260396.9858436,1.69047619047619,-1,-201.706293650794,-283.48,0.00687902805094369,-1.63</t>
  </si>
  <si>
    <t>2025-05-08 14:03:00,575,,570,,575,,563.5,,,,,570,560,557,564</t>
  </si>
  <si>
    <t>2025-05-08 14:03:00,490,,492,,490,,487,,,,,495,480,490,475</t>
  </si>
  <si>
    <t>2025-05-08 14:03:00,5800,,5720,,5600,,5690,,,,5690,5750,5600,5530,5550</t>
  </si>
  <si>
    <t>2025-05-08 14:03:00,20100,,20350,,19475,,20100,,,,,20400,19600,19500,20500</t>
  </si>
  <si>
    <t>2025-05-08 14:03:00,3859320855.72905,35639025877.5862,1414.93333333333,1709,211.660000000002,-35.1500000000001,-23.1444001631255,308.03</t>
  </si>
  <si>
    <t>2025-05-08 14:03:00,2354883064.25934,7192701421.89046,-1623.48552979671,-772,-2008.83056899193,-955.04,-132.912795486476,-358.46</t>
  </si>
  <si>
    <t>2025-05-08 14:03:00,51632174.904184,401733508.015167,-529.226666666667,-781,-2940.99326666668,-3135.1,0.387010264889104,-220.28</t>
  </si>
  <si>
    <t>2025-05-08 14:03:00,54288984.5773695,3586782.36632953,-35.9181089086352,-26,-382.904191615402,-232.47,0.0171962132771202,-4.51</t>
  </si>
  <si>
    <t>2025-05-08 14:04:00,575,,570,,575,,563.5,,568,,,570,560,557,564</t>
  </si>
  <si>
    <t>2025-05-08 14:04:00,490,,492,,490,,487,,,,,495,480,490,475</t>
  </si>
  <si>
    <t>2025-05-08 14:04:00,5800,,5720,,5600,,5690,5700,,,,5750,5600,5530,5550</t>
  </si>
  <si>
    <t>2025-05-08 14:04:00,20100,,20350,,19475,,20100,,,,,20400,19600,19500,20500</t>
  </si>
  <si>
    <t>2025-05-08 14:04:00,4030280752.72983,28043865744.3977,-4857.95324675325,-2721,-7307.50716738817,-5733.21,754.370545976922,-2217.26</t>
  </si>
  <si>
    <t>2025-05-08 14:04:00,2336512924.31545,5397277274.22991,-461.009047619048,-386,29.6019142857143,-22.64,-5.0339657777494,46.18</t>
  </si>
  <si>
    <t>2025-05-08 14:04:00,59611227.409309,350570368.543323,749.47333333333,613,2995.13746666666,2294.17,16.0340041440853,231.03</t>
  </si>
  <si>
    <t>2025-05-08 14:04:00,58581824.1046512,3723366.2119372,-29.7636521860206,-52,-664.707446532999,-718.93,-0.0726175733207306,-14.01</t>
  </si>
  <si>
    <t>2025-05-08 14:05:00,575,,570,,575,,563.5,,,,,570,560,557,564</t>
  </si>
  <si>
    <t>2025-05-08 14:05:00,490,,492,,490,,488,,,,,495,480,490,475</t>
  </si>
  <si>
    <t>2025-05-08 14:05:00,5800,,5720,,5600,,5690,,,,,5750,5600,5530,5550</t>
  </si>
  <si>
    <t>2025-05-08 14:05:00,20200,,20350,,19475,,20100,,,,,20400,19600,19500,20500</t>
  </si>
  <si>
    <t>2025-05-08 14:05:00,3933957535.44862,33046494258.4831,1869.82715352281,3884,3077.99497107723,3207.92,504.817203464918,1400.93</t>
  </si>
  <si>
    <t>2025-05-08 14:05:00,2358094924.39388,6431342112.02057,2626.54714569122,1549,1420.27073079477,734.64,111.731829800341,410.94</t>
  </si>
  <si>
    <t>2025-05-08 14:05:00,53776110.5729068,380796711.663665,1170.19666666667,478,8231.90036666666,2212.83,-5.54831464223438,77.52</t>
  </si>
  <si>
    <t>2025-05-08 14:05:00,54924739.5966683,3822998.87066433,4.10275689223058,6,143.5164160401,101.6,0.010442632341941,1.78</t>
  </si>
  <si>
    <t>2025-05-08 14:06:00,575,,570,,575,,563.5,,,,,570,560,557,564</t>
  </si>
  <si>
    <t>2025-05-08 14:06:00,490,,492,,490,,487,,,,,495,480,490,475</t>
  </si>
  <si>
    <t>2025-05-08 14:06:00,5800,,5720,,5600,,5690,,,,,5750,5600,5530,5550</t>
  </si>
  <si>
    <t>2025-05-08 14:06:00,20100,,20350,,19475,,20100,,,,,20400,19600,19500,20500</t>
  </si>
  <si>
    <t>2025-05-08 14:06:00,3874612534.8862,26382108616.584,597.505979748219,360,-250.54387739464,-704.1,295.649713911353,-233.89</t>
  </si>
  <si>
    <t>2025-05-08 14:06:00,2413562713.15026,5848154687.3379,-37.9880952380954,-954,451.57369047619,-63.3199999999999,-161.901971821307,-186.35</t>
  </si>
  <si>
    <t>2025-05-08 14:06:00,54754517.917692,333130892.746881,110.946666666666,-69,825.370666666667,574.21,-2.28332346239288,4.81999999999999</t>
  </si>
  <si>
    <t>2025-05-08 14:06:00,56258074.6458075,3615854.23576871,51.9217807960762,27,460.746183162206,491.37,0.0701221885093678,7.3</t>
  </si>
  <si>
    <t>2025-05-08 14:07:00,575,,570,,575,,563.5,,,,,570,560,557,564</t>
  </si>
  <si>
    <t>2025-05-08 14:07:00,490,,492,,490,,487,,,491,,495,480,490,475</t>
  </si>
  <si>
    <t>2025-05-08 14:07:00,5800,,5720,,5600,,5690,,,,5690,5750,5600,5530,5550</t>
  </si>
  <si>
    <t>2025-05-08 14:07:00,20100,,20350,,19475,,20100,,,,,20400,19600,19500,20500</t>
  </si>
  <si>
    <t>2025-05-08 14:07:00,3839525065.31466,25815036641.6876,-3751.41577681578,-5042,-4119.3621029341,-4032.66,618.453020771351,-1804.87</t>
  </si>
  <si>
    <t>2025-05-08 14:07:00,2300541699.02881,5195340560.40616,248.793619424054,1278,-483.493619894598,-18.83,-244.070723527515,336.46</t>
  </si>
  <si>
    <t>2025-05-08 14:07:00,55686263.7964296,305502220.546706,-1776.18428571428,-2483,-9121.44277142857,-9037.61,4.10281087385678,-631.23</t>
  </si>
  <si>
    <t>2025-05-08 14:07:00,53510097.0351125,3568456.65220205,-25.1154635527247,-15,-556.632050955413,-311.59,-0.0156666560201791,-5.06</t>
  </si>
  <si>
    <t>2025-05-08 14:08:00,575,,570,,575,,563.5,,,,,570,560,557,564</t>
  </si>
  <si>
    <t>2025-05-08 14:08:00,490,,492,,490,,487,,,,,495,480,490,475</t>
  </si>
  <si>
    <t>2025-05-08 14:08:00,5800,,5720,,5600,,5690,,,,,5750,5600,5530,5550</t>
  </si>
  <si>
    <t>2025-05-08 14:08:00,20100,,20350,,19475,,20100,,,,,20400,19600,19500,20500</t>
  </si>
  <si>
    <t>2025-05-08 14:08:00,3701455689.55882,25409506333.1405,2785.28344155844,5449,1518.25045779221,3670.64,-222.381192612075,1916.76</t>
  </si>
  <si>
    <t>2025-05-08 14:08:00,2436648796.85439,5731886222.31535,108.850123550564,279,513.084578303174,987.3,19.9280523452759,309.35</t>
  </si>
  <si>
    <t>2025-05-08 14:08:00,55491546.9505305,280333161.643844,426.563333333334,319,4324.7921,4439.53,-0.246184278795666,263.33</t>
  </si>
  <si>
    <t>2025-05-08 14:08:00,54868637.3699875,3441970.31109881,16.9166666666667,4,234.575380952381,195.01,0.00222020366025842,3.34</t>
  </si>
  <si>
    <t>2025-05-08 14:09:00,575,,570,,575,,563.5,,,,,570,560,557,564</t>
  </si>
  <si>
    <t>2025-05-08 14:09:00,490,,492,,490,,491,,,,,495,480,490,475</t>
  </si>
  <si>
    <t>2025-05-08 14:09:00,5800,,5720,,5600,,5690,,,,,5750,5600,5530,5550</t>
  </si>
  <si>
    <t>2025-05-08 14:09:00,20100,,20350,,19475,,20100,,,,,20400,19600,19500,20500</t>
  </si>
  <si>
    <t>2025-05-08 14:09:00,3835814270.93013,25142132770.8945,-1033.80808080808,-201,-1469.44111111111,-788.57,-153.688194361987,95.7500000000001</t>
  </si>
  <si>
    <t>2025-05-08 14:09:00,2325117207.76046,5018111084.17485,228.625952380951,1892,316.003564285714,1203.18,11.9518029130741,770.06</t>
  </si>
  <si>
    <t>2025-05-08 14:09:00,57038524.7291682,286256193.693802,195.520952380949,-345,-2983.20159047619,-142.69,3.2514986032806,39.72</t>
  </si>
  <si>
    <t>2025-05-08 14:09:00,58846682.8663563,3489719.45587647,-12.9850285009109,-21,-167.624729106188,-246.86,-0.0185607028730521,-4.26</t>
  </si>
  <si>
    <t>2025-05-08 14:10:00,575,,570,,575,,563.5,,,,,570,560,557,564</t>
  </si>
  <si>
    <t>2025-05-08 14:10:00,490,,492,,490,,487,491,,,,495,480,490,475</t>
  </si>
  <si>
    <t>2025-05-08 14:10:00,5800,,5720,,5600,,5690,5700,,,,5750,5600,5530,5550</t>
  </si>
  <si>
    <t>2025-05-08 14:10:00,20100,,20350,,19475,,20100,,,,,20400,19600,19500,20500</t>
  </si>
  <si>
    <t>2025-05-08 14:10:00,3731221351.20547,23430149401.2759,2701.61341991342,2402,2399.29923629149,2582.1,-119.364074750022,1370.07</t>
  </si>
  <si>
    <t>2025-05-08 14:10:00,2455422866.80377,5596087652.81702,2316.0638961039,1472,1745.9168961039,1012.73,105.39658094986,591.13</t>
  </si>
  <si>
    <t>2025-05-08 14:10:00,52366268.1739215,301124830.115709,743.400000000001,232,4651.89000000001,2773.87,5.33306908775596,167.82</t>
  </si>
  <si>
    <t>2025-05-08 14:10:00,55204908.5603105,3398990.56921385,-0.0168892114175136,11,127.188659637846,148.61,0.0131929233050816,2.87</t>
  </si>
  <si>
    <t>2025-05-08 14:11:00,575,,570,,575,,563.5,,,,,570,560,557,564</t>
  </si>
  <si>
    <t>2025-05-08 14:11:00,490,,492,,490,,491,,,,,495,480,490,475</t>
  </si>
  <si>
    <t>2025-05-08 14:11:00,5800,,5720,,5600,,5690,,,,,5750,5600,5530,5550</t>
  </si>
  <si>
    <t>2025-05-08 14:11:00,20100,,20350,,19475,,20100,,,,,20400,19600,19500,20500</t>
  </si>
  <si>
    <t>2025-05-08 14:11:00,3754771386.72216,23467423543.6752,9341.28611111109,5042,6017.66891666665,4071.77,20.903115830685,2521.28</t>
  </si>
  <si>
    <t>2025-05-08 14:11:00,2450818577.90554,5260632827.67733,-159.11244425864,-836,91.5466269509476,-189.46,-34.8642584254059,-101.44</t>
  </si>
  <si>
    <t>2025-05-08 14:11:00,56193439.186879,285443817.921834,352.358589743589,462,820.207682051273,3615.09,-2.38193372003788,271.89</t>
  </si>
  <si>
    <t>2025-05-08 14:11:00,59311217.5264317,3484260.84911409,2.38452380952381,-14,46.9842380952381,-21.98,-0.014312707002002,-0.86</t>
  </si>
  <si>
    <t>2025-05-08 14:12:00,575,,570,,575,,563.5,,,,,570,560,557,564</t>
  </si>
  <si>
    <t>2025-05-08 14:12:00,490,,492,,490,,491,,,,,495,480,490,475</t>
  </si>
  <si>
    <t>2025-05-08 14:12:00,5800,,5720,,5600,,5690,,,,,5750,5600,5530,5550</t>
  </si>
  <si>
    <t>2025-05-08 14:12:00,20100,,20350,,19475,,20100,,,,,20400,19600,19500,20500</t>
  </si>
  <si>
    <t>2025-05-08 14:12:00,3866664327.27539,25665449346.9535,1164.12704813108,747,469.54735407065,197.76,-46.6406624720752,-79.65</t>
  </si>
  <si>
    <t>2025-05-08 14:12:00,2388672300.60622,5162954159.28137,-524.31253869969,586,-591.732223942208,-971.4,-121.097517898108,-221.54</t>
  </si>
  <si>
    <t>2025-05-08 14:12:00,57510564.1560636,302489058.171663,60.9833333333329,31,-7591.75733333332,860.39,-5.25401393725655,197.5</t>
  </si>
  <si>
    <t>2025-05-08 14:12:00,58841217.3119352,3638405.42588274,-17.5203297682709,-16,-336.439994117647,-319.59,-0.00171430287814683,-4.99</t>
  </si>
  <si>
    <t>2025-05-08 14:13:00,575,,570,,575,,563.5,,,,,570,560,557,564</t>
  </si>
  <si>
    <t>2025-05-08 14:13:00,490,,492,,490,,491,,,,,495,480,490,475</t>
  </si>
  <si>
    <t>2025-05-08 14:13:00,5800,,5720,,5600,,5690,,,,,5750,5600,5530,5550</t>
  </si>
  <si>
    <t>2025-05-08 14:13:00,20100,,20350,,19475,,20100,,,,,20400,19600,19500,20500</t>
  </si>
  <si>
    <t>2025-05-08 14:13:00,3802222027.58663,24662491612.1946,-397.241428571446,-537,-450.646400000012,263.92,315.320287230186,-99.18</t>
  </si>
  <si>
    <t>2025-05-08 14:13:00,2448185771.49144,5291153710.89672,1497.03359669227,2299,514.470343405305,571.16,80.9192553192362,431.65</t>
  </si>
  <si>
    <t>2025-05-08 14:13:00,56680668.1107879,278923005.42456,208.416666666667,323,953.659533333359,3139.6,0.413983022024268,105.42</t>
  </si>
  <si>
    <t>2025-05-08 14:13:00,59052221.231508,3494088.68338478,10.4109848484848,14,172.10571969697,209.35,0.0191642670275081,4.21</t>
  </si>
  <si>
    <t>2025-05-08 14:14:00,575,,570,,575,,563.5,,,,,570,560,557,564</t>
  </si>
  <si>
    <t>2025-05-08 14:14:00,490,,492,,490,,487,491,,,,495,480,490,475</t>
  </si>
  <si>
    <t>2025-05-08 14:14:00,5800,,5720,,5600,,5690,,,,,5750,5600,5530,5550</t>
  </si>
  <si>
    <t>2025-05-08 14:14:00,20100,,20350,,19475,,20100,,,,,20400,19600,19500,20500</t>
  </si>
  <si>
    <t>2025-05-08 14:14:00,3685396328.41409,24924223842.8195,74.5238095238141,87,855.786666666674,-557.6,-184.648792495713,-471.2</t>
  </si>
  <si>
    <t>2025-05-08 14:14:00,2457869536.7917,5693773534.73931,1631.87842346155,1791,1756.25144927537,1785.15,25.362333703982,930.54</t>
  </si>
  <si>
    <t>2025-05-08 14:14:00,56071702.809908,266653376.83467,74.1566666666657,145,-1064.28916666672,4171.24,-1.5186606873998,53.94</t>
  </si>
  <si>
    <t>2025-05-08 14:14:00,58911141.1456541,3332478.9744022,19.8939393939394,17,329.045727272727,458.41,0.0160724020287688,9.33</t>
  </si>
  <si>
    <t>2025-05-08 14:15:00,575,,570,,575,,563.5,,,,568,570,560,557,564</t>
  </si>
  <si>
    <t>2025-05-08 14:15:00,490,,492,,490,,491,,,,,495,480,490,475</t>
  </si>
  <si>
    <t>2025-05-08 14:15:00,5800,,5720,,5600,,5690,,,,,5750,5600,5530,5550</t>
  </si>
  <si>
    <t>2025-05-08 14:15:00,20100,,20350,,19475,,20100,,,,,20400,19600,19500,20500</t>
  </si>
  <si>
    <t>2025-05-08 14:15:00,3858107871.73069,25639273455.6807,-1324.05833333333,-2376,-2264.13,-3498.25,147.417615436644,-1915.57</t>
  </si>
  <si>
    <t>2025-05-08 14:15:00,2408503517.09935,5330048525.06022,-1064.79983084953,-1252,-452.665544067156,-879.99,-123.735840094999,-459.73</t>
  </si>
  <si>
    <t>2025-05-08 14:15:00,57615096.8309944,310272700.81375,-378.904999999999,23,-22100.8037,-5631.73,-7.62124897771683,-146.4</t>
  </si>
  <si>
    <t>2025-05-08 14:15:00,59010677.2145695,3539103.58519951,-38.7423252028084,-34,-9.86298527865614,-349.97,0.0120206154801544,-7.56</t>
  </si>
  <si>
    <t>2025-05-08 14:16:00,575,,570,,550,,563.5,,,,,570,560,557,564</t>
  </si>
  <si>
    <t>2025-05-08 14:16:00,490,,492,,490,,487,491,,,491,495,480,490,475</t>
  </si>
  <si>
    <t>2025-05-08 14:16:00,5800,,5720,,5600,,5690,,,,,5750,5600,5530,5550</t>
  </si>
  <si>
    <t>2025-05-08 14:16:00,20200,,20350,,19475,,20100,,,,,20400,19600,19500,20500</t>
  </si>
  <si>
    <t>2025-05-08 14:16:00,3710171693.87547,26574741611.8818,-1805.52216394716,2015,-951.943766511268,796.74,82.1988915047574,476.59</t>
  </si>
  <si>
    <t>2025-05-08 14:16:00,2421889182.02485,6553858942.58736,3240.0352406048,700,3746.13318106531,773.93,254.243710911092,333.57</t>
  </si>
  <si>
    <t>2025-05-08 14:16:00,55296952.7304745,314115738.510403,604.039130434784,823,4529.4255652174,4556.87,-5.68450470000404,301.25</t>
  </si>
  <si>
    <t>2025-05-08 14:16:00,58647185.0593691,3588645.7377384,12.1251918158568,16,203.854504688832,239.79,0.0122945235080023,4.9</t>
  </si>
  <si>
    <t>2025-05-08 14:17:00,575,,570,,575,,566.5,,,,,570,560,567,564</t>
  </si>
  <si>
    <t>2025-05-08 14:17:00,490,,492,,490,,487,,,,,495,480,490,475</t>
  </si>
  <si>
    <t>2025-05-08 14:17:00,5800,,5720,,5600,,5690,,,,,5750,5600,5530,5550</t>
  </si>
  <si>
    <t>2025-05-08 14:17:00,20100,,20350,,19475,,20100,,,,,20400,19600,19500,20500</t>
  </si>
  <si>
    <t>2025-05-08 14:17:00,3773976831.04199,23150745551.572,4879.01097402597,1173,3557.91170411255,1997.01,-238.287969383431,1365.21</t>
  </si>
  <si>
    <t>2025-05-08 14:17:00,2428250402.45199,5945321840.284,385.651604764419,-154,1066.94626896673,1131.9,8.72407266504847,570.07</t>
  </si>
  <si>
    <t>2025-05-08 14:17:00,55126859.4977669,291613037.965301,764.101561461794,983,2147.57868803988,8515.83,1.6230565269077,309.63</t>
  </si>
  <si>
    <t>2025-05-08 14:17:00,53962565.7888064,3355892.60814755,45.0770952927669,30,143.522740309442,208.88,0.0101391876218754,4.52</t>
  </si>
  <si>
    <t>2025-05-08 14:18:00,575,,570,,550,,563.5,,,,,570,560,567,564</t>
  </si>
  <si>
    <t>2025-05-08 14:18:00,490,,492,,490,,487,,,,,495,480,490,475</t>
  </si>
  <si>
    <t>2025-05-08 14:18:00,5800,,5720,,5600,,5690,,,,,5750,5600,5530,5550</t>
  </si>
  <si>
    <t>2025-05-08 14:18:00,20100,,20350,,19475,,20100,,,,,20400,19600,19500,20500</t>
  </si>
  <si>
    <t>2025-05-08 14:18:00,3813073962.24204,24233453796.3606,2540.91789321789,2212,466.316915223668,544.42,298.682941535442,-94.85</t>
  </si>
  <si>
    <t>2025-05-08 14:18:00,2469381308.51112,5869389429.14511,2189.44721076886,1473,1213.87162248363,985.29,96.7913551965552,630.74</t>
  </si>
  <si>
    <t>2025-05-08 14:18:00,56023832.513845,310478661.337409,605.968333333332,10,7149.44348333333,3752.32,-3.06913372698027,22.83</t>
  </si>
  <si>
    <t>2025-05-08 14:18:00,57943663.9746562,3487158.3961516,7.23417366946779,3,138.577591036415,133.9,0.0175338390843372,2.61</t>
  </si>
  <si>
    <t>2025-05-08 14:19:00,575,,570,,575,,563.5,,,,,570,560,567,564</t>
  </si>
  <si>
    <t>2025-05-08 14:19:00,490,,492,,490,,487,,491,,,495,480,490,475</t>
  </si>
  <si>
    <t>2025-05-08 14:19:00,5800,,5720,,5600,,5690,,,,,5750,5600,5530,5550</t>
  </si>
  <si>
    <t>2025-05-08 14:19:00,20100,,20350,,19475,,20100,,,,,20400,19600,19500,20500</t>
  </si>
  <si>
    <t>2025-05-08 14:19:00,3694614784.29618,24716735489.8877,-1377.73525153008,-1133,-1687.64454440962,-1741.49,213.950536980798,-1084.58</t>
  </si>
  <si>
    <t>2025-05-08 14:19:00,2314311933.82882,5073821562.56146,-2151.65277827794,-1987,-1113.51618515278,-1166.79,-92.2820110008045,-838.55</t>
  </si>
  <si>
    <t>2025-05-08 14:19:00,55347782.5438777,300982785.910886,167.093333333334,125,241.433666666675,393.54,6.50428871723255,21.77</t>
  </si>
  <si>
    <t>2025-05-08 14:19:00,59864065.1512491,3410125.61496933,0.99929971988796,-4,460.770868347339,-1474.3,0.0032522650846846,-4.4</t>
  </si>
  <si>
    <t>2025-05-08 14:20:00,575,,570,,575,,564.5,,569,,,570,560,567,564</t>
  </si>
  <si>
    <t>2025-05-08 14:20:00,490,,492,,490,,488,,,,,495,480,482,475</t>
  </si>
  <si>
    <t>2025-05-08 14:20:00,5800,,5720,,5600,,5690,,5700,5700,,5750,5600,5530,5550</t>
  </si>
  <si>
    <t>2025-05-08 14:20:00,20200,,20350,,19475,,20125,,,,,20400,19600,19500,20500</t>
  </si>
  <si>
    <t>2025-05-08 14:20:00,4147914871.97044,34772941569.0339,7701.80187296601,1142,12147.7647571056,-4034.82,-969.181369565235,-2785.92</t>
  </si>
  <si>
    <t>2025-05-08 14:20:00,2337821546.27243,6011550957.71884,-4264.66193354526,-3172,-3554.01051427739,-6903.21,-240.696695801509,-3291.71</t>
  </si>
  <si>
    <t>2025-05-08 14:20:00,60874631.1424243,508567883.290055,-318.139177489184,-1362,-12196.8191190477,-14238.29,-24.842595473753,-739.27</t>
  </si>
  <si>
    <t>2025-05-08 14:20:00,55867999.4874029,4426829.59166085,0.829597692415245,-71,732.683204100751,-1344.63,0.00812165617912279,-17.25</t>
  </si>
  <si>
    <t>2025-05-08 14:21:00,575,,570,,575,,564.5,,569,,,570,560,567,564</t>
  </si>
  <si>
    <t>2025-05-08 14:21:00,490,,492,,490,,489,492,,492,,495,480,482,475</t>
  </si>
  <si>
    <t>2025-05-08 14:21:00,5800,,5700,,5600,,5690,,5710,,,5750,5600,5530,5550</t>
  </si>
  <si>
    <t>2025-05-08 14:21:00,20200,,20350,,19475,,20125,,,,,20400,19600,19500,20500</t>
  </si>
  <si>
    <t>2025-05-08 14:21:00,4182525759.75469,40253527995.0251,-16610.5977391889,-7361,-10207.8343049466,-6725.25,-1166.56962987569,-3921.1</t>
  </si>
  <si>
    <t>2025-05-08 14:21:00,2363003803.73702,8918717596.74902,47430.9123481188,3477,45453.2420520421,5058.79,944.286410118575,3025.24</t>
  </si>
  <si>
    <t>2025-05-08 14:21:00,59944045.0327249,689475944.298274,-2606.09162698413,-4392,-18142.759209127,-20927.98,-31.6109743935489,-1705.67</t>
  </si>
  <si>
    <t>2025-05-08 14:21:00,57346591.0940371,4272230.18125196,-15.0098292568374,-8,-334.835183880859,-204.17,-0.0586840821638288,-2.2</t>
  </si>
  <si>
    <t>2025-05-08 14:22:00,575,,570,,575,,563.5,,,,,570,560,567,564</t>
  </si>
  <si>
    <t>2025-05-08 14:22:00,490,,493,,490,,487,492,,,,495,480,482,475</t>
  </si>
  <si>
    <t>2025-05-08 14:22:00,5800,,5720,,5600,,5690,,,,,5750,5600,5530,5550</t>
  </si>
  <si>
    <t>2025-05-08 14:22:00,20200,,20350,,19475,,20125,,,,,20400,19600,19500,20500</t>
  </si>
  <si>
    <t>2025-05-08 14:22:00,4015684923.61981,30560570047.4473,16411.1449692035,8191,21412.4766385434,10703.52,441.082986323596,6331.46</t>
  </si>
  <si>
    <t>2025-05-08 14:22:00,2446285790.16774,6580223864.77358,-1366.29457696837,-463,1284.9657494651,-2371.92,-324.526649720377,-288.07</t>
  </si>
  <si>
    <t>2025-05-08 14:22:00,58038316.2187122,488465212.943385,3882.25514285714,527,2750.62988380952,-6917.01,-48.5425889754964,-324.35</t>
  </si>
  <si>
    <t>2025-05-08 14:22:00,56318268.7633325,4349088.46133005,-74.4278318903319,-169,-102.790629148629,-1007.06,0.0144490493107539,-20.59</t>
  </si>
  <si>
    <t>2025-05-08 14:23:00,575,,570,,575,,566.5,,569,,,570,560,567,564</t>
  </si>
  <si>
    <t>2025-05-08 14:23:00,490,,493,,490,,491,,492,,,495,480,482,475</t>
  </si>
  <si>
    <t>2025-05-08 14:23:00,5800,,5720,,5600,,5690,,5710,,,5750,5600,5530,5740</t>
  </si>
  <si>
    <t>2025-05-08 14:23:00,20200,,20350,,19475,,20125,,,,,20400,19600,19500,20500</t>
  </si>
  <si>
    <t>2025-05-08 14:23:00,4111244115.54258,29576603383.763,28.9585823971172,-304,716.278928766136,-836.03,-259.04530930689,-110.51</t>
  </si>
  <si>
    <t>2025-05-08 14:23:00,2455742401.03599,5744545191.72435,-3735.80448717949,-1810,-1856.64444230769,-1141.08,-67.0950653247618,-616.2</t>
  </si>
  <si>
    <t>2025-05-08 14:23:00,61082801.4757157,458276183.105352,-2480.68946301925,-2252,-2662.47706079026,-8681.11,-20.4862386806471,-633.3</t>
  </si>
  <si>
    <t>2025-05-08 14:23:00,55270956.0928147,4289391.45008197,-23.3729370818095,-68,-46.7548597206326,-1421.3,-0.134521055210441,-18.39</t>
  </si>
  <si>
    <t>2025-05-08 14:24:00,575,,570,,575,,566.5,,,,,570,560,567,564</t>
  </si>
  <si>
    <t>2025-05-08 14:24:00,490,,492,,490,,489,,,,,495,480,482,475</t>
  </si>
  <si>
    <t>2025-05-08 14:24:00,5800,,5720,,5600,,5690,,,,,5750,5600,5530,5550</t>
  </si>
  <si>
    <t>2025-05-08 14:24:00,20200,,20350,,19475,,20125,,,,,20400,19600,19500,20500</t>
  </si>
  <si>
    <t>2025-05-08 14:24:00,4110908537.23155,30663127507.0957,2338.10750360749,3075,2714.7526031746,2216.77,756.374742124655,1486.26</t>
  </si>
  <si>
    <t>2025-05-08 14:24:00,2377157375.76647,6524608184.91146,1119.03284449045,1609,1326.80379694983,577.47,-16.5205608454055,393.57</t>
  </si>
  <si>
    <t>2025-05-08 14:24:00,56472989.3729869,493092674.988226,766.336666666664,1010,4160.91489999997,1947.07,9.06087121406403,192.03</t>
  </si>
  <si>
    <t>2025-05-08 14:24:00,56209067.2754231,4367081.79643219,7.66474927849928,3,141.272864484127,47.51,-0.00896970506904842,1.05</t>
  </si>
  <si>
    <t>2025-05-08 14:25:00,575,,570,,575,,566.5,,,,,570,560,567,564</t>
  </si>
  <si>
    <t>2025-05-08 14:25:00,490,,493,,490,,487,,,,,495,480,482,475</t>
  </si>
  <si>
    <t>2025-05-08 14:25:00,5800,,5720,,5600,,5690,,,,,5750,5600,5530,5550</t>
  </si>
  <si>
    <t>2025-05-08 14:25:00,20200,,20350,,19475,,20125,,,,,20400,19600,19500,20500</t>
  </si>
  <si>
    <t>2025-05-08 14:25:00,4040894313.5618,31385019492.1966,311.894572094573,2910,157.769177489179,-1180.62,-462.20973508246,-556.05</t>
  </si>
  <si>
    <t>2025-05-08 14:25:00,2416954255.87798,7008327879.97249,243.008730939421,-57,1298.81519300875,148.05,-239.659172471069,12.96</t>
  </si>
  <si>
    <t>2025-05-08 14:25:00,56863482.1887743,517583315.729559,863.053333333334,732,4117.30859999999,2984.39,-6.96498813811679,193.45</t>
  </si>
  <si>
    <t>2025-05-08 14:25:00,55991159.5924427,4545584.47689434,-6.66258297258297,-14,16.469333044733,-22,-0.00840212510269159,-0.52</t>
  </si>
  <si>
    <t>2025-05-08 14:26:00,575,,570,,575,,566.5,,,,,570,560,567,564</t>
  </si>
  <si>
    <t>2025-05-08 14:26:00,490,,493,,490,,489,,492,,,495,480,482,475</t>
  </si>
  <si>
    <t>2025-05-08 14:26:00,5800,,5720,,5600,,5690,,,,,5750,5600,5530,5740</t>
  </si>
  <si>
    <t>2025-05-08 14:26:00,20200,,20350,,19475,,20125,,,,,20400,19600,19500,20500</t>
  </si>
  <si>
    <t>2025-05-08 14:26:00,4117801965.48526,31242413476.7553,3080.60111832612,7153,2925.95817243868,4211.14,134.2615874208,2809.29</t>
  </si>
  <si>
    <t>2025-05-08 14:26:00,2438412283.02349,6340423865.73233,-641.895816984947,-1713,1160.60642840252,109.03,6.59109213723397,-325.81</t>
  </si>
  <si>
    <t>2025-05-08 14:26:00,54662114.2427629,496259613.591164,927.333333333331,880,3999.28066666666,2465.29,-0.548457541781467,173.99</t>
  </si>
  <si>
    <t>2025-05-08 14:26:00,55921410.0819404,4474219.85964081,-31.6337001887002,-23,-555.970285481185,-345.32,0.06644392231734,-7.06</t>
  </si>
  <si>
    <t>2025-05-08 14:27:00,575,,570,,575,,566.5,,,,,570,560,567,564</t>
  </si>
  <si>
    <t>2025-05-08 14:27:00,490,,492,,490,,491,,,,,495,480,482,475</t>
  </si>
  <si>
    <t>2025-05-08 14:27:00,5800,,5720,,5600,,5690,,5710,,,5750,5600,5530,5740</t>
  </si>
  <si>
    <t>2025-05-08 14:27:00,20200,,20350,,19475,,20125,,,,,20400,19600,19500,20500</t>
  </si>
  <si>
    <t>2025-05-08 14:27:00,3968993990.83659,29767311863.0316,-820.69553429027,31,-2234.57057416268,-2843.13,-292.255140064867,-1192.1</t>
  </si>
  <si>
    <t>2025-05-08 14:27:00,2283491010.84989,4188013641.80188,-1808.17016642361,-1703,-1305.81989790478,-1484.28,25.3755610901913,-806.84</t>
  </si>
  <si>
    <t>2025-05-08 14:27:00,58744170.0146286,462473418.328856,-534.862500000005,-1512,-24147.2273750002,-14200.47,7.76520169332203,-628.72</t>
  </si>
  <si>
    <t>2025-05-08 14:27:00,53978060.9980944,4235445.76339952,-18.0815803193223,-32,-316.228608234418,-423,-0.00127044661362565,-9.17</t>
  </si>
  <si>
    <t>2025-05-08 14:28:00,575,,570,,575,,566.5,,,,,570,560,567,564</t>
  </si>
  <si>
    <t>2025-05-08 14:28:00,490,,492,,490,,489,,,,,495,480,482,475</t>
  </si>
  <si>
    <t>2025-05-08 14:28:00,5800,,5720,,5600,,5690,,,,,5750,5600,5530,5740</t>
  </si>
  <si>
    <t>2025-05-08 14:28:00,20200,,20350,,19475,,20125,,,,,20400,19600,19500,20500</t>
  </si>
  <si>
    <t>2025-05-08 14:28:00,4096287071.64344,31655081037.7263,-2181.60841376545,5,-1867.03496803694,-2441.66,-59.6467906981607,-917.42</t>
  </si>
  <si>
    <t>2025-05-08 14:28:00,2332383633.90693,5948630587.88576,-1729.07519431563,-1349,-558.642388048291,-683.63,76.5671213039416,-612.07</t>
  </si>
  <si>
    <t>2025-05-08 14:28:00,61803342.8595838,491968753.882873,107.203333333333,86,-2449.23163333334,-5024.01,0.340597553816296,-246.11</t>
  </si>
  <si>
    <t>2025-05-08 14:28:00,56495320.5339654,4465506.98452805,-6.90553751803751,-12,-71.1525932539682,-119.37,-0.00715390589269093,-2.53</t>
  </si>
  <si>
    <t>2025-05-08 14:30:00,575,,570,,575,,564.5,,,,,570,560,567,564</t>
  </si>
  <si>
    <t>2025-05-08 14:30:00,490,,493,,490,,489,,,,,495,480,482,475</t>
  </si>
  <si>
    <t>2025-05-08 14:30:00,5800,,5720,,5600,,5690,,,,,5750,5600,5530,5740</t>
  </si>
  <si>
    <t>2025-05-08 14:30:00,20200,,20350,,19475,,20125,,,,,20400,19600,19500,20500</t>
  </si>
  <si>
    <t>2025-05-08 14:30:00,3941902615.88132,30124879539.516,455.560826673329,-907,1785.02893310856,2874.81,-112.511206483843,610.6</t>
  </si>
  <si>
    <t>2025-05-08 14:30:00,2463550518.59177,6825691387.96052,980.015124675645,1610,852.425127328391,-670.45,-38.3297863713682,128.88</t>
  </si>
  <si>
    <t>2025-05-08 14:30:00,60888500.9178359,511283523.455153,788.493333333332,154,-3360.71900000001,-3881.17,6.70674995403086,-8.82999999999999</t>
  </si>
  <si>
    <t>2025-05-08 14:30:00,56403783.5567305,4480934.7961526,4.45180375180375,3,116.275483405483,176.23,0.0142575374624377,3.02</t>
  </si>
  <si>
    <t>2025-05-08 14:31:00,575,,570,,575,,566.5,,569,,,570,560,567,564</t>
  </si>
  <si>
    <t>2025-05-08 14:31:00,490,,492,,490,,489,,492,,,495,480,482,475</t>
  </si>
  <si>
    <t>2025-05-08 14:31:00,5800,,5720,,5600,,5690,,5710,,,5750,5600,5530,5550</t>
  </si>
  <si>
    <t>2025-05-08 14:31:00,20200,,20350,,19475,,20125,,,,,20400,19600,19500,20500</t>
  </si>
  <si>
    <t>2025-05-08 14:31:00,4019821884.77835,31944459962.0889,1977.78621933622,3364,1750.75041774892,-1213.63,446.710728989758,-491.84</t>
  </si>
  <si>
    <t>2025-05-08 14:31:00,2319353014.8412,6066624274.487,1434.86869171059,3553,3201.98091606325,1294.36,-133.389559586635,1033.07</t>
  </si>
  <si>
    <t>2025-05-08 14:31:00,62027342.0759722,481293351.21754,-137.703333333332,-1132,-2078.89239999999,-5678.64,4.7691825785212,-347.18</t>
  </si>
  <si>
    <t>2025-05-08 14:31:00,57052124.4851492,4709754.3557053,-2.4422077922078,-1,9.69097835497827,-28.76,0.0303972776058737,-0.54</t>
  </si>
  <si>
    <t>2025-05-08 14:32:00,575,,570,,575,,564.5,,,,,570,560,567,564</t>
  </si>
  <si>
    <t>2025-05-08 14:32:00,490,,492,,490,,489,,,,,495,480,482,475</t>
  </si>
  <si>
    <t>2025-05-08 14:32:00,5800,,5720,,5600,,5690,,,5700,,5750,5600,5530,5550</t>
  </si>
  <si>
    <t>2025-05-08 14:32:00,20200,,20350,,19475,,20125,,,,,20400,19600,19500,20500</t>
  </si>
  <si>
    <t>2025-05-08 14:32:00,3943229692.48416,29966260816.2465,-9383.27366522368,-4729,-3992.23728571429,-2376.06,425.069418739367,-1849.59</t>
  </si>
  <si>
    <t>2025-05-08 14:32:00,2318587629.4934,5894606082.5002,-555.714130434783,-1015,674.185771739131,-6.05999999999996,101.564187325036,-37.27</t>
  </si>
  <si>
    <t>2025-05-08 14:32:00,59038848.9566907,513617882.65962,-35.5433333333335,-88,-427.230833333337,-2855.41,-30.2249140153173,-176.64</t>
  </si>
  <si>
    <t>2025-05-08 14:32:00,54643898.3099746,4480451.74434836,17.805303030303,8,160.233303030303,25.6,0.0239133842180591,0.45</t>
  </si>
  <si>
    <t>2025-05-08 14:33:00,575,,570,,575,,566.5,,569,,,570,560,567,564</t>
  </si>
  <si>
    <t>2025-05-08 14:33:00,490,,492,,490,,489,,,,,495,480,482,475</t>
  </si>
  <si>
    <t>2025-05-08 14:33:00,5800,,5720,,5600,,5690,,,,,5750,5600,5530,5550</t>
  </si>
  <si>
    <t>2025-05-08 14:33:00,20200,,20350,,19475,,20125,,,,,20400,19600,19500,20500</t>
  </si>
  <si>
    <t>2025-05-08 14:33:00,4140707751.01505,31829849277.6289,-2249.32138068667,-5798,-1170.27889430753,-2500.98,-478.359492970861,-2039.69</t>
  </si>
  <si>
    <t>2025-05-08 14:33:00,2339604788.9734,6513027176.39498,-918.88991696105,-699,62.5494464362125,-254.43,-11.1120933965113,-340.96</t>
  </si>
  <si>
    <t>2025-05-08 14:33:00,62073545.4219212,491271987.341046,343.107777777777,539,1884.73273333333,1251.24,7.40017216015472,119.21</t>
  </si>
  <si>
    <t>2025-05-08 14:33:00,57733472.6328178,4388025.18889474,-1.08538803664643,10,-48.9071217774583,165.89,-0.0400980182538247,3.42</t>
  </si>
  <si>
    <t>2025-05-08 14:34:00,575,,570,,575,,566.5,,,,,570,560,567,564</t>
  </si>
  <si>
    <t>2025-05-08 14:34:00,490,,493,,490,,491,,,,,495,480,482,475</t>
  </si>
  <si>
    <t>2025-05-08 14:34:00,5800,,5720,,5600,,5690,5710,,,5700,5750,5600,5530,5550</t>
  </si>
  <si>
    <t>2025-05-08 14:34:00,20200,,20350,,19475,,20125,,,,,20400,19600,19500,20500</t>
  </si>
  <si>
    <t>2025-05-08 14:34:00,4046253138.58249,30519622258.9328,5728.33414141413,4327,4350.88746262626,2361.97,528.56974451627,1106.68</t>
  </si>
  <si>
    <t>2025-05-08 14:34:00,2457822422.85124,5913900390.63462,1383.44532298365,1768,1366.60651173388,1444.43,188.061455899928,839.79</t>
  </si>
  <si>
    <t>2025-05-08 14:34:00,61013981.6203997,441143287.654768,-25.4178787878811,10,2362.69245757574,3033.72,22.6185539408255,144.78</t>
  </si>
  <si>
    <t>2025-05-08 14:34:00,57484332.5642433,4090106.12131929,6.98643707482994,16,14.365137329932,86.77,-0.00798000202949054,2.22</t>
  </si>
  <si>
    <t>2025-05-08 14:35:00,575,,570,,575,,566.5,,,,,570,560,567,564</t>
  </si>
  <si>
    <t>2025-05-08 14:35:00,490,,492,,490,,491,,,,,495,480,482,475</t>
  </si>
  <si>
    <t>2025-05-08 14:35:00,5800,,5720,,5600,,5690,,,,,5750,5600,5530,5550</t>
  </si>
  <si>
    <t>2025-05-08 14:35:00,20200,,20350,,19475,,20125,,,,,20400,19600,19500,20500</t>
  </si>
  <si>
    <t>2025-05-08 14:35:00,4008506055.54572,30051220791.9537,2054.0037037037,2085,946.37937037037,1288.56,134.294030269421,844.79</t>
  </si>
  <si>
    <t>2025-05-08 14:35:00,2454117469.46692,6188542575.86636,162.263047525951,633,316.339367104222,413.54,93.9626044480303,360.33</t>
  </si>
  <si>
    <t>2025-05-08 14:35:00,61159291.1771218,458088832.172346,563.683333333333,256,108.500666666611,-2912.09,-10.0186384909458,-86.78</t>
  </si>
  <si>
    <t>2025-05-08 14:35:00,57397903.8152469,4182579.22917943,3.56311813186812,-33,102.217193910256,73.69,-0.0128757919841689,1.02</t>
  </si>
  <si>
    <t>2025-05-08 14:36:00,575,,570,,575,,566.5,,,,,570,560,567,564</t>
  </si>
  <si>
    <t>2025-05-08 14:36:00,490,,492,,490,,487,,,,,495,480,482,475</t>
  </si>
  <si>
    <t>2025-05-08 14:36:00,5800,,5720,,5600,,5690,,,,5700,5720,5600,5530,5550</t>
  </si>
  <si>
    <t>2025-05-08 14:36:00,20100,,20350,,19475,,20125,,,,,20400,19600,19500,20500</t>
  </si>
  <si>
    <t>2025-05-08 14:36:00,3723859822.29423,28331043768.5992,674.014527955706,479,4650.55741823534,1115.84,-175.451731569787,303.94</t>
  </si>
  <si>
    <t>2025-05-08 14:36:00,2254789513.81611,4430182089.96064,370.851450520983,1821,1869.91140491264,3365.57,-49.1407352095395,1074.01</t>
  </si>
  <si>
    <t>2025-05-08 14:36:00,56343906.1134135,361734756.370492,-77.6699999999994,-1103,-14189.4663000002,-9641,2.72331797481513,-497.38</t>
  </si>
  <si>
    <t>2025-05-08 14:36:00,53118712.8883266,3682747.21164684,55.2317670812215,17,640.365316331176,417,-0.0356406960799884,7.26</t>
  </si>
  <si>
    <t>2025-05-08 14:37:00,575,,570,,575,,567.5,,,,,570,560,567,564</t>
  </si>
  <si>
    <t>2025-05-08 14:37:00,490,,493,,490,,491,,,,,495,480,482,475</t>
  </si>
  <si>
    <t>2025-05-08 14:37:00,5800,,5720,,5600,,5690,,5700,,5700,5720,5600,5530,5550</t>
  </si>
  <si>
    <t>2025-05-08 14:37:00,20100,,20350,,19475,,20125,,,,,20400,19600,19500,20500</t>
  </si>
  <si>
    <t>2025-05-08 14:37:00,3808383773.60198,23532121638.0875,-8311.29263594591,-5407,-10631.6301326992,-6255.09,-405.042229806267,-1829.7</t>
  </si>
  <si>
    <t>2025-05-08 14:37:00,2265378027.44494,4384022964.37987,-842.17365213795,1297,-1535.95852914554,-660.98,-140.441793404722,-57.26</t>
  </si>
  <si>
    <t>2025-05-08 14:37:00,57138098.7331474,319076437.827035,-518.150000000002,102,-8613.02950000002,-5263.18,12.4055826315471,-310.18</t>
  </si>
  <si>
    <t>2025-05-08 14:37:00,57850790.6808485,3617790.01642503,-16.019106494369,-46,-375.798894322779,-666.38,-0.0580070659863206,-8.25</t>
  </si>
  <si>
    <t>2025-05-08 14:38:00,575,,570,,575,,567.5,,,,,570,560,567,564</t>
  </si>
  <si>
    <t>2025-05-08 14:38:00,490,,492,,490,,491,,,,,495,480,482,475</t>
  </si>
  <si>
    <t>2025-05-08 14:38:00,5800,,5720,,5600,,5690,,,,,5720,5600,5530,5550</t>
  </si>
  <si>
    <t>2025-05-08 14:38:00,20100,,20350,,19475,,20125,,,,,20400,19600,19500,20500</t>
  </si>
  <si>
    <t>2025-05-08 14:38:00,3826757693.39275,24545770427.1795,2217.82857142857,2265,171.729761904762,153.85,201.177747721551,-207.25</t>
  </si>
  <si>
    <t>2025-05-08 14:38:00,2389199749.38805,4439695354.31754,-218.488571428575,-587,2342.95236190476,1427.41,216.908674034002,612.01</t>
  </si>
  <si>
    <t>2025-05-08 14:38:00,57732536.6003284,344032493.720708,-46.1066666666674,-617,-622.024400000005,-3119.48,8.55444526951377,-297.81</t>
  </si>
  <si>
    <t>2025-05-08 14:38:00,58392188.7824801,3569205.56422276,27.4861111111111,27,260.290944444444,444.39,0.0295819526398929,7.83</t>
  </si>
  <si>
    <t>2025-05-08 14:39:00,575,,570,,575,,563.5,,,,,570,560,567,564</t>
  </si>
  <si>
    <t>2025-05-08 14:39:00,490,,492,,490,,488,,,,,495,480,482,475</t>
  </si>
  <si>
    <t>2025-05-08 14:39:00,5800,,5720,,5600,,5690,,,,,5720,5600,5530,5550</t>
  </si>
  <si>
    <t>2025-05-08 14:39:00,20100,,20350,,19475,,20125,,,,,20400,19600,19500,20500</t>
  </si>
  <si>
    <t>2025-05-08 14:39:00,3649204884.18484,29349974626.8996,-77.8172258297068,-5000,438.463547077937,-1175.21,-403.714195206236,-833.79</t>
  </si>
  <si>
    <t>2025-05-08 14:39:00,2251005978.72614,3999395326.18537,-1019.14882709883,-1788,-316.036362341362,-410.89,-14.3625254473978,-589.62</t>
  </si>
  <si>
    <t>2025-05-08 14:39:00,52519577.0914318,307548858.719129,-884.046923076922,-926,-6025.8675923077,-5797.83,3.14677112824238,-416.33</t>
  </si>
  <si>
    <t>2025-05-08 14:39:00,55015563.5686417,3558425.36777038,0.705324399591919,2,-96.1896668596794,49.26,-0.0110641510617775,1.34</t>
  </si>
  <si>
    <t>2025-05-08 14:40:00,575,,570,,575,,563.5,,,,,570,560,567,564</t>
  </si>
  <si>
    <t>2025-05-08 14:40:00,490,,492,,490,,487,,,,,495,480,490,475</t>
  </si>
  <si>
    <t>2025-05-08 14:40:00,5800,,5710,,5600,,5690,5700,,,5690,5720,5600,5530,5550</t>
  </si>
  <si>
    <t>2025-05-08 14:40:00,20100,,20350,,19475,,20125,,,,,20400,19600,19500,20500</t>
  </si>
  <si>
    <t>2025-05-08 14:40:00,3547902646.96674,29699048389.2501,-302.960062675543,-1355,-181.921386369393,-783.63,-168.844674166986,-434.98</t>
  </si>
  <si>
    <t>2025-05-08 14:40:00,2273591658.63581,5653338276.24098,-1286.17488667709,153,923.244796580554,1973.02,-356.965190541586,718.02</t>
  </si>
  <si>
    <t>2025-05-08 14:40:00,47769515.6049469,383167062.13044,311.776190476184,724,1016.2874285714,7987.85,2.50041279411418,365.08</t>
  </si>
  <si>
    <t>2025-05-08 14:40:00,53697991.5248156,3360426.61508262,38.1359751359751,39,386.79909071484,488.47,-0.00479701822767634,10.37</t>
  </si>
  <si>
    <t>2025-05-08 14:41:00,575,,570,,575,,566.5,,,,,570,560,567,564</t>
  </si>
  <si>
    <t>2025-05-08 14:41:00,490,,492,,490,,491,,,,,495,480,490,475</t>
  </si>
  <si>
    <t>2025-05-08 14:41:00,5800,,5720,,5600,,5690,5700,,,5690,5720,5600,5530,5550</t>
  </si>
  <si>
    <t>2025-05-08 14:41:00,20100,,20350,,19475,,20150,,,,,20400,19600,19500,20500</t>
  </si>
  <si>
    <t>2025-05-08 14:41:00,3558738173.15279,26148853902.0033,129.750321517564,3822,-107.401083822311,1885.4,-569.903110110723,1821.25</t>
  </si>
  <si>
    <t>2025-05-08 14:41:00,2234520202.50618,3545095732.14739,-4493.66255098257,-1719,-6455.38211921534,-3100.76,-107.200644529951,-1284.7</t>
  </si>
  <si>
    <t>2025-05-08 14:41:00,53337395.1486026,304664967.399706,-1986.86545454545,-1213,-11300.7163393939,-7241.22,-9.55435382422009,-484</t>
  </si>
  <si>
    <t>2025-05-08 14:41:00,58561791.9304446,3229758.00416593,-34.393491606846,-29,-2289.74947834858,-697.45,0.0372611643198745,-12.96</t>
  </si>
  <si>
    <t>2025-05-08 14:42:00,575,,570,,575,,566.5,,,,,570,560,567,564</t>
  </si>
  <si>
    <t>2025-05-08 14:42:00,490,,492,,490,,491,,,,,495,480,490,475</t>
  </si>
  <si>
    <t>2025-05-08 14:42:00,5800,,5720,,5600,,5690,,,,,5720,5600,5530,5550</t>
  </si>
  <si>
    <t>2025-05-08 14:42:00,20100,,20350,,19475,,20150,,,,,20400,19600,19500,20500</t>
  </si>
  <si>
    <t>2025-05-08 14:42:00,3626351824.99259,22280710590.9275,9275.76688606166,5514,4145.65058707792,3265.52,-242.328567737071,2651.76</t>
  </si>
  <si>
    <t>2025-05-08 14:42:00,2355432202.18342,4172303444.46091,4020.27246376811,2836,2175.89935403727,2289.14,-14.3246665591915,1185.69</t>
  </si>
  <si>
    <t>2025-05-08 14:42:00,48781291.714422,281810633.476415,1397.03571428571,1911,5902.72126190475,6925.03,-1.21252193208498,532.12</t>
  </si>
  <si>
    <t>2025-05-08 14:42:00,58682829.2419164,3073984.75928905,-1.51941658969961,3,-338.482844262656,-25.7,0.0227181835181179,-2.7</t>
  </si>
  <si>
    <t>2025-05-08 14:43:00,575,,570,,575,,566.5,,,,,570,560,567,564</t>
  </si>
  <si>
    <t>2025-05-08 14:43:00,490,,492,,490,,489,,,,,495,480,490,475</t>
  </si>
  <si>
    <t>2025-05-08 14:43:00,5800,,5720,,5600,,5690,,,5690,,5720,5600,5530,5550</t>
  </si>
  <si>
    <t>2025-05-08 14:43:00,20100,,20350,,19475,,20150,,,,,20400,19600,19500,20500</t>
  </si>
  <si>
    <t>2025-05-08 14:43:00,3439408278.84253,24053813300.8716,-302.412092731827,-397,-1096.56101754386,-589.57,-32.9919018555382,25.7800000000001</t>
  </si>
  <si>
    <t>2025-05-08 14:43:00,2276825264.54326,4461892367.75815,-144.686839464881,1176,-193.392659810479,382.26,-183.844936884044,246.22</t>
  </si>
  <si>
    <t>2025-05-08 14:43:00,45758944.8911801,263857180.893412,246.004761904767,-339,-3221.45223809523,-2868.96,-23.6306879816765,-98.28</t>
  </si>
  <si>
    <t>2025-05-08 14:43:00,58755814.2623049,2879992.96119245,-18.8925809174613,-22,-217.411531897732,-372.13,0.0918045406582416,-6.42</t>
  </si>
  <si>
    <t>2025-05-08 14:44:00,575,,570,,575,,566.5,,,,,570,560,567,564</t>
  </si>
  <si>
    <t>2025-05-08 14:44:00,490,,492,,490,,489,,,,,495,480,490,475</t>
  </si>
  <si>
    <t>2025-05-08 14:44:00,5800,,5720,,5600,,5690,,,,,5720,5600,5530,5550</t>
  </si>
  <si>
    <t>2025-05-08 14:44:00,20100,,20350,,19475,,20150,,,,,20400,19600,19500,20500</t>
  </si>
  <si>
    <t>2025-05-08 14:44:00,3401588717.74352,22770355415.8004,-2115.11428571428,-2368,-1931.42919480519,-923.24,146.295766609126,-644.35</t>
  </si>
  <si>
    <t>2025-05-08 14:44:00,2249883743.34773,4057334751.0256,-1852.09510226505,-1045,-831.439959643342,-436.88,39.7933916411092,-277.22</t>
  </si>
  <si>
    <t>2025-05-08 14:44:00,46076891.1990067,233467230.438462,-263.199999999999,-181,-2444.096,-2407.26,4.58857888473785,-201.41</t>
  </si>
  <si>
    <t>2025-05-08 14:44:00,57913881.7321608,2746793.84845547,3.50303157626687,4,-43.6351244716067,91.82,-0.00140669997933476,2.26</t>
  </si>
  <si>
    <t>2025-05-08 14:45:00,575,,570,,575,,567.5,,,,,570,560,567,564</t>
  </si>
  <si>
    <t>2025-05-08 14:45:00,490,,493,,490,,491,,,,,495,480,490,475</t>
  </si>
  <si>
    <t>2025-05-08 14:45:00,5800,,5720,,5600,,5690,,,,,5720,5600,5530,5550</t>
  </si>
  <si>
    <t>2025-05-08 14:45:00,20100,,20350,,19475,,20150,,,,,20400,19600,19500,20500</t>
  </si>
  <si>
    <t>2025-05-08 14:45:00,3341711049.24071,10106477105.4212,-1502.44533244534,-2411,-758.069358280614,-1284.74,-116.68983086748,-1098.25</t>
  </si>
  <si>
    <t>2025-05-08 14:45:00,2266318907.34884,864601378.416492,-1272.45757168459,-2020,-606.166468189964,-838.35,52.4587772523868,-847.16</t>
  </si>
  <si>
    <t>2025-05-08 14:45:00,52182056.8008551,193204247.60923,-425.483333333332,-381,-4198.30783333333,-4908.3,11.4626101470601,-339.18</t>
  </si>
  <si>
    <t>2025-05-08 14:45:00,57321180.1370454,2520410.55182173,9.31004552590267,8,109.74306718472,128.93,0.000749961663322453,2.95</t>
  </si>
  <si>
    <t>2025-05-08 14:46:00,575,,570,,575,,566.5,,,,,570,560,567,564</t>
  </si>
  <si>
    <t>2025-05-08 14:46:00,490,,492,,490,,491,,,,,493,480,490,475</t>
  </si>
  <si>
    <t>2025-05-08 14:46:00,5800,,5710,,5600,,5690,5690,,,5680,5720,5600,5530,5550</t>
  </si>
  <si>
    <t>2025-05-08 14:46:00,20100,,20350,,19475,,20150,,,,,20400,19600,19500,20500</t>
  </si>
  <si>
    <t>2025-05-08 14:46:00,3183947322.85388,21197528049.4233,-16491.046344491,791,-5381.1761983487,933.74,1.62186278013361,-18.1900000000006</t>
  </si>
  <si>
    <t>2025-05-08 14:46:00,2169217827.0528,2826430413.71167,-8485.28579491324,-3886,-8460.14333591359,-4116.88,216.853888719995,-2049.51</t>
  </si>
  <si>
    <t>2025-05-08 14:46:00,42802376.907371,131172458.017652,-4919.95388528139,-5273,-23042.5984358227,-16170.21,18.4297557364759,-1467.74</t>
  </si>
  <si>
    <t>2025-05-08 14:46:00,58771619.7741662,2338701.63089666,-12.6139301142382,-45,108.874812905976,430.3,0.0220118374455864,-4.29</t>
  </si>
  <si>
    <t>2025-05-08 14:47:00,575,,570,,575,,566.5,,,,,570,560,567,564</t>
  </si>
  <si>
    <t>2025-05-08 14:47:00,490,,493,,490,,491,,,,,493,480,490,475</t>
  </si>
  <si>
    <t>2025-05-08 14:47:00,5800,,5710,,5600,,5690,,,,,5720,5600,5530,5550</t>
  </si>
  <si>
    <t>2025-05-08 14:47:00,20100,,20350,,19475,,20150,,,,,20400,19600,19500,20500</t>
  </si>
  <si>
    <t>2025-05-08 14:47:00,3193888427.1945,13748951443.7287,25003.2620752811,6268,13472.7078383858,6036.59,-111.456180941745,3393.86</t>
  </si>
  <si>
    <t>2025-05-08 14:47:00,2289634836.49563,1247356683.69546,1487.26462870282,1658,442.788446228904,-272.56,27.490425871407,100.52</t>
  </si>
  <si>
    <t>2025-05-08 14:47:00,47478637.9967345,54065760.7852809,3097.1540268759,3031,8483.0881984578,10613.66,-4.60243220460542,811.75</t>
  </si>
  <si>
    <t>2025-05-08 14:47:00,58681050.0208559,2010010.76673232,8.6466700903238,167,-181.568071793536,-8.3,-0.0620097730797485,2.31</t>
  </si>
  <si>
    <t>2025-05-08 14:48:00,575,,570,,575,,566.5,,,,,570,560,567,564</t>
  </si>
  <si>
    <t>2025-05-08 14:48:00,490,,492,,490,,489,,,,,493,480,490,475</t>
  </si>
  <si>
    <t>2025-05-08 14:48:00,5800,,5710,,5600,,5690,,,,5680,5720,5600,5530,5550</t>
  </si>
  <si>
    <t>2025-05-08 14:48:00,20100,,20350,,19475,,20150,,,,,20400,19600,19500,20500</t>
  </si>
  <si>
    <t>2025-05-08 14:48:00,3244436954.04771,19864216887.7384,-1064.44446532999,-1676,-605.731837928154,-846.24,-156.175004620341,-794.79</t>
  </si>
  <si>
    <t>2025-05-08 14:48:00,2238427053.03384,3802778108.16696,7.56840975116831,495,372.024741695086,901.52,127.762834232494,514.34</t>
  </si>
  <si>
    <t>2025-05-08 14:48:00,50903684.3988536,141014833.286223,234.659523809523,-269,-3541.9685,-5481.38,11.1495781380544,-397.18</t>
  </si>
  <si>
    <t>2025-05-08 14:48:00,60419004.3949814,2429199.52065205,18.6756493506494,16,98.3004656385282,-44.38,0.0421830834130149,-0.44</t>
  </si>
  <si>
    <t>2025-05-08 14:49:00,575,,570,,575,,567.5,,,,,570,560,567,564</t>
  </si>
  <si>
    <t>2025-05-08 14:49:00,490,,492,,490,,491,,,,,495,480,490,475</t>
  </si>
  <si>
    <t>2025-05-08 14:49:00,5800,,5710,,5600,,5690,,,,,5720,5600,5530,5550</t>
  </si>
  <si>
    <t>2025-05-08 14:49:00,20100,,20350,,19475,,20150,,,,,20400,19600,19500,20500</t>
  </si>
  <si>
    <t>2025-05-08 14:49:00,3269436425.35765,12466032009.3279,559.415073815076,561,609.763246697754,708.04,-174.333849302668,629.59</t>
  </si>
  <si>
    <t>2025-05-08 14:49:00,2318323021.25149,2018839866.28438,724.573997755401,1477,42.3962598840143,808.25,-55.8257212837708,545.66</t>
  </si>
  <si>
    <t>2025-05-08 14:49:00,49719978.1462544,95470752.9226309,428.004761904761,300,1156.48076190476,1710.36,2.7127319556101,-26.08</t>
  </si>
  <si>
    <t>2025-05-08 14:49:00,61428411.3442762,2310045.88353608,4.53725980318337,6,-61.8051559989903,216.8,-0.0139579575241578,6.12</t>
  </si>
  <si>
    <t>2025-05-08 14:50:00,575,,570,,550,,567.5,,,,566,570,560,567,564</t>
  </si>
  <si>
    <t>2025-05-08 14:50:00,490,,492,,490,,491,,,,,493,480,490,475</t>
  </si>
  <si>
    <t>2025-05-08 14:50:00,5800,,5710,,5600,,5690,,,,,5720,5600,5530,5550</t>
  </si>
  <si>
    <t>2025-05-08 14:50:00,20100,,20350,,19475,,20125,,,,,20400,19600,19500,20500</t>
  </si>
  <si>
    <t>2025-05-08 14:50:00,2830167973.74685,4250003434.30638,-17446.8921463813,-8505,-15460.2396459894,-3937.86,968.689160428378,-4027.18</t>
  </si>
  <si>
    <t>2025-05-08 14:50:00,2171106522.19756,-173666055.648921,2969.36719532862,7090,364.485251086797,3021.24,-300.187986817934,2065.66</t>
  </si>
  <si>
    <t>2025-05-08 14:50:00,37738921.8452781,-13009864.6644583,-618.850444964872,272,-10482.9783480094,-5765.28,19.3034274254325,-444.86</t>
  </si>
  <si>
    <t>2025-05-08 14:50:00,56651844.6506393,1671524.22593096,32.1781861408636,33,221.634744744219,841.84,-0.00290460713711176,13.69</t>
  </si>
  <si>
    <t>2025-05-08 14:51:00,575,,570,,550,,566.5,,,,,570,560,567,564</t>
  </si>
  <si>
    <t>2025-05-08 14:51:00,490,,492,,490,,491,,,,489,493,480,490,475</t>
  </si>
  <si>
    <t>2025-05-08 14:51:00,5800,,,5680,5600,,5690,,,5670,,5720,5600,5530,5550</t>
  </si>
  <si>
    <t>2025-05-08 14:51:00,20100,,20400,,19475,,20150,,,,,20400,19600,19500,20500</t>
  </si>
  <si>
    <t>2025-05-08 14:51:00,2860313316.84621,13683979608.9804,-18056.8808123249,-16053,-8741.1380497199,-2392.81,-125.108796458142,-2231.6</t>
  </si>
  <si>
    <t>2025-05-08 14:51:00,2100546310.71153,1391298491.75485,-5621.51162099723,-5663,-6031.53266617183,-3758.71,611.639824947347,-2956.24</t>
  </si>
  <si>
    <t>2025-05-08 14:51:00,43459275.082785,-127946282.181009,-118.563988095239,1223,-16640.2086755952,-2941.83,-16.5734280953934,732.96</t>
  </si>
  <si>
    <t>2025-05-08 14:51:00,62698717.1841055,1063063.33347096,-47.6934873795222,-142,-1224.49736160376,-1245.84,0.043940461918037,-23.89</t>
  </si>
  <si>
    <t>2025-05-08 14:52:00,575,,570,,550,,566.5,,,,566,570,560,567,564</t>
  </si>
  <si>
    <t>2025-05-08 14:52:00,490,,492,,490,,491,,,,,493,480,482,475</t>
  </si>
  <si>
    <t>2025-05-08 14:52:00,5800,,,5680,5600,,5690,,,,5680,5720,5600,5530,5550</t>
  </si>
  <si>
    <t>2025-05-08 14:52:00,20100,,20350,,19475,,20125,,,,,20400,19600,19500,20500</t>
  </si>
  <si>
    <t>2025-05-08 14:52:00,2643943205.52366,10206160923.4197,-7259.04825222881,-4682,-3999.0175417613,-1605.82,227.306672504267,-1785.51</t>
  </si>
  <si>
    <t>2025-05-08 14:52:00,2103552860.47131,1040259873.7995,-1775.09280162333,98,-986.639707202215,1315.5,-55.5045433258927,267.9</t>
  </si>
  <si>
    <t>2025-05-08 14:52:00,37586049.6619096,-160302005.273772,427.127559205501,366,-10097.0700474917,-11640.78,13.2051333396294,-667.44</t>
  </si>
  <si>
    <t>2025-05-08 14:52:00,58047852.8319383,1008704.92328363,150.284077763571,144,1045.62834033951,1071.7,-0.00122335046329527,33.08</t>
  </si>
  <si>
    <t>2025-05-08 14:53:00,575,,570,,550,,566.5,,,,,570,560,567,564</t>
  </si>
  <si>
    <t>2025-05-08 14:53:00,490,,492,,490,,491,,,489,,493,480,490,475</t>
  </si>
  <si>
    <t>2025-05-08 14:53:00,5800,,,5680,5600,,5690,,5680,,5670,5720,5600,5530,5550</t>
  </si>
  <si>
    <t>2025-05-08 14:53:00,20100,,,,19475,,20150,,,,,20400,19600,19500,20500</t>
  </si>
  <si>
    <t>2025-05-08 14:53:00,2866489720.7868,7981567275.15366,4603.15477855477,4172,1360.36268939394,2168.63,-336.83115614587,1927.1</t>
  </si>
  <si>
    <t>2025-05-08 14:53:00,2245698776.26224,782432108.207856,5188.57224503438,5554,1971.58821215304,1728.58,-301.822849627109,1803.73</t>
  </si>
  <si>
    <t>2025-05-08 14:53:00,37356548.6007178,-182321399.689577,-1621.08203463204,-2776,-159.174813852835,1339.64,20.6290429637039,-354.49</t>
  </si>
  <si>
    <t>2025-05-08 14:53:00,63341776.596289,907960.530565431,-7.96643189303748,-10,-354.287917755754,134.28,-0.196621117660003,4.21</t>
  </si>
  <si>
    <t>2025-05-08 14:54:00,575,,570,,550,,566.5,,,,,570,560,567,564</t>
  </si>
  <si>
    <t>2025-05-08 14:54:00,490,,492,,490,,491,,,,,493,480,482,475</t>
  </si>
  <si>
    <t>2025-05-08 14:54:00,5800,,5710,,5600,,5690,,,5670,,5720,5600,5530,5550</t>
  </si>
  <si>
    <t>2025-05-08 14:54:00,20100,,,,19475,,20125,,,,,20400,19600,19500,20500</t>
  </si>
  <si>
    <t>2025-05-08 14:54:00,2878234512.83569,6708117778.43356,-6002.21816241296,-1798,-3316.75102866346,-1723.91,471.52093017065,-1101.89</t>
  </si>
  <si>
    <t>2025-05-08 14:54:00,2237950091.27285,-348125150.503546,-1309.15324093101,-2225,53.1683383203319,-806.56,-7.00671882806477,-718.51</t>
  </si>
  <si>
    <t>2025-05-08 14:54:00,42060375.3662376,-90403437.1211165,876.807142857142,0,-4258.3905952381,-33.8200000000008,-23.7487059216906,289.8</t>
  </si>
  <si>
    <t>2025-05-08 14:54:00,62222081.6478196,1005516.51498445,-0.00359856567456884,2,32.7814973578259,-44.15,0.0842211781878878,-1.06</t>
  </si>
  <si>
    <t>2025-05-08 14:55:00,570,,570,,550,,566.5,,,565,,570,560,567,564</t>
  </si>
  <si>
    <t>2025-05-08 14:55:00,490,,492,,470,,491,,,,488,493,480,490,475</t>
  </si>
  <si>
    <t>2025-05-08 14:55:00,5650,,,5670,5600,,5690,5670,,5660,5670,5720,5600,5530,5550</t>
  </si>
  <si>
    <t>2025-05-08 14:55:00,20100,,,,19475,,20125,,,,,20400,19600,19500,20500</t>
  </si>
  <si>
    <t>2025-05-08 14:55:00,2522328094.89776,2273568109.54895,5774.86171036566,8026,4482.53816713258,8670.01,-374.69985900421,6093.24</t>
  </si>
  <si>
    <t>2025-05-08 14:55:00,2129694089.76861,-633488464.880116,2561.36862076736,2240,1803.53338838733,3333.96,-185.438082175454,1627.09</t>
  </si>
  <si>
    <t>2025-05-08 14:55:00,37746299.6089235,-461081744.668928,-1336.83797619048,-4457,-8945.32493928571,-5255.96,52.6034619733034,-971.73</t>
  </si>
  <si>
    <t>2025-05-08 14:55:00,65189001.8672859,77833.6878287631,40.2311110115201,97,1087.85751678861,1984.73,-0.373719781111584,40.94</t>
  </si>
  <si>
    <t>2025-05-08 14:56:00,565,,570,,550,,566.5,,,565,,570,560,567,564</t>
  </si>
  <si>
    <t>2025-05-08 14:56:00,490,,492,,470,,491,,,488,,493,480,482,475</t>
  </si>
  <si>
    <t>2025-05-08 14:56:00,5650,,,5670,5600,,5690,,5670,,5660,5720,5600,5530,5550</t>
  </si>
  <si>
    <t>2025-05-08 14:56:00,20100,,,20100,19475,,20125,,,,,20400,19600,19500,20500</t>
  </si>
  <si>
    <t>2025-05-08 14:56:00,2459091637.33741,425039304.684272,13493.2441058941,11272,4559.89992232767,6669.79,-715.895225928702,4473.79</t>
  </si>
  <si>
    <t>2025-05-08 14:56:00,2081446490.2438,-577009025.489856,1954.71228431667,1519,271.28142169893,-954.18,-484.643024109634,114.57</t>
  </si>
  <si>
    <t>2025-05-08 14:56:00,37363905.5008981,-541062207.444057,-6190.32535714286,-6280,-9952.85341309525,-5672.09,44.4179023202993,-1827.49</t>
  </si>
  <si>
    <t>2025-05-08 14:56:00,66012222.9302532,-335681.600330101,3.48423998384942,-18,-101.612168304587,-68.81,0.0355649527906526,0.38</t>
  </si>
  <si>
    <t>2025-05-08 14:57:00,565,,570,,550,,566.5,,,,,570,560,567,564</t>
  </si>
  <si>
    <t>2025-05-08 14:57:00,490,,493,,470,,489,,,,488,493,480,482,475</t>
  </si>
  <si>
    <t>2025-05-08 14:57:00,5650,,,5670,5600,,5690,,,,,5720,5600,5530,5550</t>
  </si>
  <si>
    <t>2025-05-08 14:57:00,20100,,,,19475,,20100,,,,,20400,19600,19500,20500</t>
  </si>
  <si>
    <t>2025-05-08 14:57:00,2594450746.74458,1813621049.22902,-862.178699078696,2086,-4804.66832445331,-4131.69,454.882891792787,-776.73</t>
  </si>
  <si>
    <t>2025-05-08 14:57:00,2083097455.62011,-2313008631.43599,-1988.73929737901,-2468,-834.921435567508,-723.64,31.7487659320777,-790.82</t>
  </si>
  <si>
    <t>2025-05-08 14:57:00,37875696.8893138,-576639832.86772,36.1841483516476,598,-1452.96510137363,843.79,-19.3659312564778,359.5</t>
  </si>
  <si>
    <t>2025-05-08 14:57:00,67004891.4919579,15720.6727993865,7.29507685551164,-42,1.98994628897672,-105.97,-0.10718966469088,-5.57</t>
  </si>
  <si>
    <t>2025-05-08 14:58:00,565,,570,,550,,566.5,,,,,570,560,567,563</t>
  </si>
  <si>
    <t>2025-05-08 14:58:00,490,,492,,470,,491,,,,,493,480,482,475</t>
  </si>
  <si>
    <t>2025-05-08 14:58:00,5650,,,5660,5600,,5690,,5670,5670,,5720,5600,5530,5550</t>
  </si>
  <si>
    <t>2025-05-08 14:58:00,20100,,,20100,19475,,20100,,,,,20400,19600,19500,20500</t>
  </si>
  <si>
    <t>2025-05-08 14:58:00,2708669463.18847,2740167360.99631,-3957.36154817405,-5872,24.8340392246655,1363.53,-564.311377008389,-122.39</t>
  </si>
  <si>
    <t>2025-05-08 14:58:00,2167552159.7274,-777564543.650121,129.982260425395,-194,-555.955001947795,-564.75,88.5818401084237,-336.5</t>
  </si>
  <si>
    <t>2025-05-08 14:58:00,41970457.1001157,-257791596.358436,-365.56914098973,-727,-1129.11911802903,1235.01,-43.9307530875507,253.74</t>
  </si>
  <si>
    <t>2025-05-08 14:58:00,72118731.4745427,-313707.011684791,30.4260947031877,19,-37.93907828258,332.4,0.401268066646687,0.22</t>
  </si>
  <si>
    <t>2025-05-08 14:59:00,565,,,,550,,566.5,,,,,570,560,567,564</t>
  </si>
  <si>
    <t>2025-05-08 14:59:00,490,,,485,470,,491,,,,,493,480,482,475</t>
  </si>
  <si>
    <t>2025-05-08 14:59:00,5650,,,5660,5600,,5690,5670,,,5660,5720,5600,5530,5550</t>
  </si>
  <si>
    <t>2025-05-08 14:59:00,20100,,,20050,19475,,20100,,,,,20400,19600,19500,20500</t>
  </si>
  <si>
    <t>2025-05-08 14:59:00,2478481821.10373,-2017641251.52861,4209.74091651812,6981,2327.39867376496,3837.84,266.892593585987,2798.14</t>
  </si>
  <si>
    <t>2025-05-08 14:59:00,2120211186.49857,-967700228.657436,-118.184262699939,1874,-197.923257990028,983.95,-262.341348072667,580.5</t>
  </si>
  <si>
    <t>2025-05-08 14:59:00,40406174.2291639,-618377788.024513,-336.899047619048,-57,-1167.9707015873,2990.56,96.9239550289512,194.12</t>
  </si>
  <si>
    <t>2025-05-08 14:59:00,74467427.7168573,-340700.212694534,14.3530484607734,41,-128.658848685465,454.79,-0.125914494708462,8.26</t>
  </si>
  <si>
    <t>2025-05-08 15:00:00,566,,570,,550,,566.5,,,,,570,560,567,564</t>
  </si>
  <si>
    <t>2025-05-08 15:00:00,490,,492,,470,,489,,,,,493,480,482,475</t>
  </si>
  <si>
    <t>2025-05-08 15:00:00,5650,,,5660,5600,,5690,,,,,5720,5600,5530,5550</t>
  </si>
  <si>
    <t>2025-05-08 15:00:00,20100,,,20050,19475,,20100,,,,,20400,19600,19500,20500</t>
  </si>
  <si>
    <t>2025-05-08 15:00:00,2991702512.67042,4309502451.99422,568.507980122561,3083,-1753.29580430444,-1196.4,-1447.35687648572,-662.12</t>
  </si>
  <si>
    <t>2025-05-08 15:00:00,2217891361.50034,-315993566.194189,-322.128031324059,-476,-338.719596160979,315.8,-337.096443280641,126.46</t>
  </si>
  <si>
    <t>2025-05-08 15:00:00,33613272.7428186,-717737806.519273,19.22336523126,227,3.15182456140329,1439.43,22.4284621260953,180.17</t>
  </si>
  <si>
    <t>2025-05-08 15:00:00,76662820.4446485,-39277.3852454196,-0.222222222222223,-5,0.252777777777778,-2.8,0.0954503546439109,-0.57</t>
  </si>
  <si>
    <t>2025-05-08 15:01:00,565,,570,,550,,566.5,,,,,570,560,567,564</t>
  </si>
  <si>
    <t>2025-05-08 15:01:00,490,,492,,470,,489,,,,,493,480,482,475</t>
  </si>
  <si>
    <t>2025-05-08 15:01:00,5650,,,5660,5600,,5690,,,,,5720,5600,5530,5550</t>
  </si>
  <si>
    <t>2025-05-08 15:01:00,20100,,,20050,19475,,20100,,,,,20400,19600,19500,20500</t>
  </si>
  <si>
    <t>2025-05-08 15:01:00,3117772947.11615,2552165899.38108,-4997.71775169275,-9035,1807.32895704296,1046.16,60.9495413184814,-63.1299999999999</t>
  </si>
  <si>
    <t>2025-05-08 15:01:00,2330817512.21773,-1252429145.17639,20.8963294854463,161,-137.991082798905,443.64,211.047264845803,91.09</t>
  </si>
  <si>
    <t>2025-05-08 15:01:00,33049060.7615482,-802019910.355797,0,0,0,0,0,0</t>
  </si>
  <si>
    <t>2025-05-08 15:01:00,76628117.8484945,-49689.634087921,0,0,0,0,0,0</t>
  </si>
  <si>
    <t>2025-05-08 15:02:00,565,,570,,550,,566.5,,,,,570,560,567,564</t>
  </si>
  <si>
    <t>2025-05-08 15:02:00,490,,492,,470,,491,,,,,493,480,482,475</t>
  </si>
  <si>
    <t>2025-05-08 15:02:00,5650,,,5660,5600,,5690,,,,,5720,5600,5530,5550</t>
  </si>
  <si>
    <t>2025-05-08 15:02:00,20100,,,20050,19475,,20100,,,,,20400,19600,19500,20500</t>
  </si>
  <si>
    <t>2025-05-08 15:02:00,3190127829.72536,5186213475.76468,1887.46314102564,2268,-3278.83724358975,-1597.24,341.094411326614,207.71</t>
  </si>
  <si>
    <t>2025-05-08 15:02:00,2255891517.53542,-882359615.217385,333.291387324573,590,10.3001602944745,156.64,0.276844005590335,125.64</t>
  </si>
  <si>
    <t>2025-05-08 15:02:00,33198825.5854915,-802581069.064783,0,0,0,0,0,0</t>
  </si>
  <si>
    <t>2025-05-08 15:02:00,76738468.0387816,-59035.0917746954,0,0,0,0,0,0</t>
  </si>
  <si>
    <t>2025-05-08 15:03:00,565,,570,,550,,566.5,,,,,570,560,567,564</t>
  </si>
  <si>
    <t>2025-05-08 15:03:00,490,,492,,470,,491,,,,,493,480,482,475</t>
  </si>
  <si>
    <t>2025-05-08 15:03:00,5650,,,5660,5600,,5690,,,,,5720,5600,5530,5550</t>
  </si>
  <si>
    <t>2025-05-08 15:03:00,20100,,,20050,19475,,20100,,,,,20400,19600,19500,20500</t>
  </si>
  <si>
    <t>2025-05-08 15:03:00,3127932454.59468,6711863915.43843,-97.2929181929183,950,-557.1971001221,983.88,-314.799476009708,306.36</t>
  </si>
  <si>
    <t>2025-05-08 15:03:00,2235749987.77266,-191629354.430003,-283.806927575349,-875,29.4025921213289,223.77,-33.1831624472722,3.58000000000002</t>
  </si>
  <si>
    <t>2025-05-08 15:03:00,33429557.338798,-801890028.916542,0,0,0,0,0,0</t>
  </si>
  <si>
    <t>2025-05-08 15:03:00,76813682.1165621,-67221.1776316985,0,0,0,0,0,0</t>
  </si>
  <si>
    <t>2025-05-08 15:04:00,566,,570,,550,,566.5,,,,,570,560,567,564</t>
  </si>
  <si>
    <t>2025-05-08 15:04:00,490,,492,,470,,491,,,,,493,480,482,475</t>
  </si>
  <si>
    <t>2025-05-08 15:04:00,5650,,,5660,5600,,5690,,,,,5720,5600,5530,5550</t>
  </si>
  <si>
    <t>2025-05-08 15:04:00,20100,,,20050,19475,,20100,,,,,20400,19600,19500,20500</t>
  </si>
  <si>
    <t>2025-05-08 15:04:00,3231240054.24605,6561162690.58367,-500.072188002916,-605,-303.599930744694,-408.17,29.4847002814683,-356.7</t>
  </si>
  <si>
    <t>2025-05-08 15:04:00,2374775471.36248,-119110324.039957,-77.9274788936549,-168,606.641808167323,649.98,153.733839136143,376.52</t>
  </si>
  <si>
    <t>2025-05-08 15:04:00,32794132.2686659,-804761680.935236,0,0,0,0,0,0</t>
  </si>
  <si>
    <t>2025-05-08 15:04:00,76790910.2475696,-78904.5439465481,0,0,0,0,0,0</t>
  </si>
  <si>
    <t>2025-05-08 15:06:00,566,,570,,550,,566.5,,,,,570,560,567,564</t>
  </si>
  <si>
    <t>2025-05-08 15:06:00,490,,492,,470,,491,,,,,493,480,482,475</t>
  </si>
  <si>
    <t>2025-05-08 15:06:00,5650,,,5660,5600,,5690,,,,,5720,5600,5530,5550</t>
  </si>
  <si>
    <t>2025-05-08 15:06:00,20100,,,20050,19475,,20100,,,,,20400,19600,19500,20500</t>
  </si>
  <si>
    <t>2025-05-08 15:06:00,3302145840.22729,4426396131.91678,-53.8872960372958,184,347.838769230772,359.5,193.963733967384,18.57</t>
  </si>
  <si>
    <t>2025-05-08 15:06:00,2374773305.70457,-498186163.680642,40.1983921729612,296,3.22837411056403,77.21,-35.4673011442568,208.27</t>
  </si>
  <si>
    <t>2025-05-08 15:06:00,33039747.1769897,-805113652.455164,0,0,0,0,0,0</t>
  </si>
  <si>
    <t>2025-05-08 15:06:00,76829878.175821,-90608.6692484228,0,0,0,0,0,0</t>
  </si>
  <si>
    <t>2025-05-08 15:07:00,566,,570,,550,,566.5,,,,,570,560,567,564</t>
  </si>
  <si>
    <t>2025-05-08 15:07:00,490,,492,,470,,489,489,,,,493,480,482,475</t>
  </si>
  <si>
    <t>2025-05-08 15:07:00,5650,,,5660,5600,,5690,,,,,5720,5600,5530,5550</t>
  </si>
  <si>
    <t>2025-05-08 15:07:00,20100,,,20050,19475,,20100,,,,,20400,19600,19500,20500</t>
  </si>
  <si>
    <t>2025-05-08 15:07:00,3332389027.53055,4182426081.65735,315.211858974359,785,22.9431955128222,336.35,18.4036772119092,188.29</t>
  </si>
  <si>
    <t>2025-05-08 15:07:00,2439207740.55861,-829750576.537024,360.927281746032,1805,53.0758382936509,732.89,-0.271256790826217,861.91</t>
  </si>
  <si>
    <t>2025-05-08 15:07:00,33236618.3253839,-804890154.469287,0,0,0,0,0,0</t>
  </si>
  <si>
    <t>2025-05-08 15:07:00,76946130.4856003,-100340.355438242,0,0,0,0,0,0</t>
  </si>
  <si>
    <t>2025-05-08 15:08:00,565,,570,,550,,566.5,,,,,570,560,567,564</t>
  </si>
  <si>
    <t>2025-05-08 15:08:00,490,,492,,470,,491,,,,,493,480,482,475</t>
  </si>
  <si>
    <t>2025-05-08 15:08:00,5650,,,5660,5600,,5690,,,,,5720,5600,5530,5550</t>
  </si>
  <si>
    <t>2025-05-08 15:08:00,20100,,,20050,19475,,20100,,,,,20400,19600,19500,20500</t>
  </si>
  <si>
    <t>2025-05-08 15:08:00,3372705013.28444,6422379656.4682,-95.0139083139087,408,46.2258461538442,970.69,16.3138679143187,185.32</t>
  </si>
  <si>
    <t>2025-05-08 15:08:00,2326156896.19913,-862312290.565187,154.839176317869,189,571.221599256223,769.32,23.3306866935201,212.47</t>
  </si>
  <si>
    <t>2025-05-08 15:08:00,33320990.6851127,-805203011.756164,0,0,0,0,0,0</t>
  </si>
  <si>
    <t>2025-05-08 15:08:00,77072695.9417968,-109192.147612651,0,0,0,0,0,0</t>
  </si>
  <si>
    <t>2025-05-08 15:09:00,566,,570,,550,,566.5,,,,,570,560,567,563</t>
  </si>
  <si>
    <t>2025-05-08 15:09:00,490,,492,,470,,489,,,,,493,480,482,475</t>
  </si>
  <si>
    <t>2025-05-08 15:09:00,5650,,,5660,5600,,5690,,,,,5720,5600,5530,5550</t>
  </si>
  <si>
    <t>2025-05-08 15:09:00,20100,,,20050,19475,,20100,,,,,20400,19600,19500,20500</t>
  </si>
  <si>
    <t>2025-05-08 15:09:00,3382973043.91945,1880481721.16211,1609.60173160173,2303,-12.0199134199134,-26.46,201.209281281564,42.9</t>
  </si>
  <si>
    <t>2025-05-08 15:09:00,2454556974.24177,-906150933.471699,-615.736020569844,-1362,-141.64151636109,211.49,-14.9570592560884,-14.49</t>
  </si>
  <si>
    <t>2025-05-08 15:09:00,33109347.1653151,-805539041.871368,0,0,0,0,0,0</t>
  </si>
  <si>
    <t>2025-05-08 15:09:00,77121412.1066171,-119378.86881013,0,0,0,0,0,0</t>
  </si>
  <si>
    <t>2025-05-08 15:10:00,566,,,,550,,566.5,,,,,570,560,567,563</t>
  </si>
  <si>
    <t>2025-05-08 15:10:00,490,,492,,470,,491,,,,,493,480,482,475</t>
  </si>
  <si>
    <t>2025-05-08 15:10:00,5650,,,5660,5600,,5690,,,,,5720,5600,5530,5550</t>
  </si>
  <si>
    <t>2025-05-08 15:10:00,20100,,,20050,19475,,20100,,,,,20400,19600,19500,20500</t>
  </si>
  <si>
    <t>2025-05-08 15:10:00,3352849066.53825,-200096850.190303,834.590645465646,2148,-1145.51805666555,-448.63,-216.767955777014,539.38</t>
  </si>
  <si>
    <t>2025-05-08 15:10:00,2475654727.82432,155680167.961506,55.1148221716075,402,6.44781223699484,152.05,-12.7816126004415,86.6</t>
  </si>
  <si>
    <t>2025-05-08 15:10:00,33135642.6779056,-805689337.087623,0,0,0,0,0,0</t>
  </si>
  <si>
    <t>2025-05-08 15:10:00,77217373.2369011,-129579.878227311,0,0,0,0,0,0</t>
  </si>
  <si>
    <t>2025-05-08 15:11:00,565,,570,,550,,566.5,,,,,570,560,567,563</t>
  </si>
  <si>
    <t>2025-05-08 15:11:00,490,,492,,470,,489,,,,,493,480,482,475</t>
  </si>
  <si>
    <t>2025-05-08 15:11:00,5650,,,5660,5600,,5690,,,,,5720,5600,5530,5550</t>
  </si>
  <si>
    <t>2025-05-08 15:11:00,20100,,,20050,19475,,20100,,,,,20400,19600,19500,20500</t>
  </si>
  <si>
    <t>2025-05-08 15:11:00,3316979897.20345,2870748859.87822,829.109706959706,602,207.869120879121,325.39,39.5060585949211,182.9</t>
  </si>
  <si>
    <t>2025-05-08 15:11:00,2408680542.53707,50385134.6471102,-561.342336066717,-177,-53.4739216383566,330.99,-6.97016513020436,240.84</t>
  </si>
  <si>
    <t>2025-05-08 15:11:00,34467393.4341401,-801237349.890444,0,0,0,0,0,0</t>
  </si>
  <si>
    <t>2025-05-08 15:11:00,78300727.5639877,-124178.07769408,0,0,0,0,0,0</t>
  </si>
  <si>
    <t>2025-05-08 15:12:00,565,,,,550,,566.5,,,,,570,560,567,563</t>
  </si>
  <si>
    <t>2025-05-08 15:12:00,490,,492,,470,,491,,,,,493,480,482,475</t>
  </si>
  <si>
    <t>2025-05-08 15:12:00,5650,,,5660,5600,,5690,,,,,5720,5600,5530,5550</t>
  </si>
  <si>
    <t>2025-05-08 15:12:00,20100,,,20050,19475,,20100,,,,,20400,19600,19500,20500</t>
  </si>
  <si>
    <t>2025-05-08 15:12:00,3312557643.17774,-201948273.15162,-52.1524897807505,59,112.01668524712,88.95,-45.408628846931,31.58</t>
  </si>
  <si>
    <t>2025-05-08 15:12:00,2404717467.76497,-2619134575.15243,-169.62614379085,-475,5.25293790849687,-25.11,-51.6370361611301,-4.73</t>
  </si>
  <si>
    <t>2025-05-08 15:12:00,34706135.2142174,-801094490.971224,0,0,0,0,0,0</t>
  </si>
  <si>
    <t>2025-05-08 15:12:00,78067044.569107,-140593.059838829,0,0,0,0,0,0</t>
  </si>
  <si>
    <t>2025-05-08 15:13:00,565,,570,,550,,566.5,,,,,570,560,567,563</t>
  </si>
  <si>
    <t>2025-05-08 15:13:00,490,,492,,470,,489,,,,,495,480,482,475</t>
  </si>
  <si>
    <t>2025-05-08 15:13:00,5650,,,5660,5600,,5690,,,,,5720,5600,5530,5550</t>
  </si>
  <si>
    <t>2025-05-08 15:13:00,20100,,,20050,19475,,20100,,,,,20400,19600,19500,20500</t>
  </si>
  <si>
    <t>2025-05-08 15:13:00,3354336777.69153,4876794125.3301,2632.45856920857,3457,28.114656454657,186.68,-165.824765812941,450.22</t>
  </si>
  <si>
    <t>2025-05-08 15:13:00,2418681588.13358,-1111710535.41329,-131.560728744939,303,1.10708502024294,90.5,-38.757111774491,77.07</t>
  </si>
  <si>
    <t>2025-05-08 15:13:00,34954302.3833174,-800063225.820986,0,0,0,0,0,0</t>
  </si>
  <si>
    <t>2025-05-08 15:13:00,78202413.2841166,-151330.707532279,0,0,0,0,0,0</t>
  </si>
  <si>
    <t>2025-05-08 15:14:00,565,,570,,550,,566.5,,,,,570,560,567,563</t>
  </si>
  <si>
    <t>2025-05-08 15:14:00,490,,,485,470,,491,,,,,495,480,482,475</t>
  </si>
  <si>
    <t>2025-05-08 15:14:00,5650,,,5660,5600,,5690,,,,,5720,5600,5530,5550</t>
  </si>
  <si>
    <t>2025-05-08 15:14:00,20100,,,20050,19475,,20100,,,,,20400,19600,19500,20500</t>
  </si>
  <si>
    <t>2025-05-08 15:14:00,3291425007.81527,3304696118.43393,-718.076534576534,-727,-686.330994560994,-724.88,-461.592102919247,-599.18</t>
  </si>
  <si>
    <t>2025-05-08 15:14:00,2380477952.40638,-2641502690.35817,-532.795102972077,-192,-213.248897451964,507.08,37.1419075788963,205.71</t>
  </si>
  <si>
    <t>2025-05-08 15:14:00,35170386.655627,-798617315.355707,0,0,0,0,0,0</t>
  </si>
  <si>
    <t>2025-05-08 15:14:00,78412317.339042,-160222.324749222,0,0,0,0,0,0</t>
  </si>
  <si>
    <t>2025-05-08 15:15:00,565,,565,,550,,563.5,,,,,570,560,567,564</t>
  </si>
  <si>
    <t>2025-05-08 15:15:00,490,,488,,470,,491,,,,,495,480,482,475</t>
  </si>
  <si>
    <t>2025-05-08 15:15:00,5650,,,5660,5600,,5690,,,,,5720,5600,5530,5550</t>
  </si>
  <si>
    <t>2025-05-08 15:15:00,20100,,,20050,19475,,20100,,,,,20400,19600,19500,20500</t>
  </si>
  <si>
    <t>2025-05-08 15:15:00,3599127897.40276,33357080738.5651,-178.114829667094,862,107.307964232262,346.12,-188.812561491712,504.42</t>
  </si>
  <si>
    <t>2025-05-08 15:15:00,2487462037.7188,2719929980.66593,81.3966873706005,207,39.0736314699793,77.49,-84.225645752865,98.01</t>
  </si>
  <si>
    <t>2025-05-08 15:15:00,35805914.9867966,-795656162.599161,0,0,0,0,0,0</t>
  </si>
  <si>
    <t>2025-05-08 15:15:00,79153443.5642988,-162979.721200426,0,0,0,0,0,0</t>
  </si>
  <si>
    <t>2025-05-08 15:16:00,565,,565,,550,,567.5,,,,,570,560,567,564</t>
  </si>
  <si>
    <t>2025-05-08 15:16:00,490,,488,,470,,487,,,,,495,480,482,475</t>
  </si>
  <si>
    <t>2025-05-08 15:16:00,5650,,,5660,5600,,5690,,,,,5720,5600,5530,5550</t>
  </si>
  <si>
    <t>2025-05-08 15:16:00,20100,,,20050,19475,,20100,,,,,20400,19600,19500,20500</t>
  </si>
  <si>
    <t>2025-05-08 15:16:00,3548678705.24233,30205354241.4926,0,0,0,0,0,0</t>
  </si>
  <si>
    <t>2025-05-08 15:16:00,2541254533.85703,4635621801.25362,0,0,0,0,0,0</t>
  </si>
  <si>
    <t>2025-05-08 15:16:00,35927083.4931424,-795045838.897128,0,0,0,0,0,0</t>
  </si>
  <si>
    <t>2025-05-08 15:16:00,79148991.5165052,-177161.217513167,0,0,0,0,0,0</t>
  </si>
  <si>
    <t>2025-05-08 15:17:00,565,,565,,550,,567.5,,,,,570,560,567,564</t>
  </si>
  <si>
    <t>2025-05-08 15:17:00,490,,488,,470,,487,,,,,495,480,482,475</t>
  </si>
  <si>
    <t>2025-05-08 15:17:00,5650,,,5660,5600,,5690,,,,,5720,5600,5530,5550</t>
  </si>
  <si>
    <t>2025-05-08 15:17:00,20100,,,20050,19475,,20100,,,,,20400,19600,19500,20500</t>
  </si>
  <si>
    <t>2025-05-08 15:17:00,3486171505.41538,24370112382.909,0,0,0,0,0,0</t>
  </si>
  <si>
    <t>2025-05-08 15:17:00,2614500931.91166,7408813474.72151,0,0,0,0,0,0</t>
  </si>
  <si>
    <t>2025-05-08 15:17:00,36068667.1058096,-793527662.620784,0,0,0,0,0,0</t>
  </si>
  <si>
    <t>2025-05-08 15:17:00,79140405.1582721,-192045.439663721,0,0,0,0,0,0</t>
  </si>
  <si>
    <t>2025-05-08 15:18:00,565,,565,,550,,567.5,,,,,570,560,567,564</t>
  </si>
  <si>
    <t>2025-05-08 15:18:00,490,,488,,470,,487,,,,,495,480,482,475</t>
  </si>
  <si>
    <t>2025-05-08 15:18:00,5650,,,5660,5600,,5690,,,,,5720,5600,5530,5550</t>
  </si>
  <si>
    <t>2025-05-08 15:18:00,20100,,,20050,19475,,20125,,,,,20400,19600,19500,20500</t>
  </si>
  <si>
    <t>2025-05-08 15:18:00,3536125920.39732,27227317180.3788,0,0,0,0,0,0</t>
  </si>
  <si>
    <t>2025-05-08 15:18:00,2652512363.0144,8831197875.09821,0,0,0,0,0,0</t>
  </si>
  <si>
    <t>2025-05-08 15:18:00,36189440.3131482,-792400019.506884,0,0,0,0,0,0</t>
  </si>
  <si>
    <t>2025-05-08 15:18:00,79125140.6123742,-207006.548586551,0,0,0,0,0,0</t>
  </si>
  <si>
    <t>2025-05-08 15:19:00,565,,565,,550,,567.5,,,,,570,560,567,564</t>
  </si>
  <si>
    <t>2025-05-08 15:19:00,490,,488,,470,,487,,,,,495,480,482,475</t>
  </si>
  <si>
    <t>2025-05-08 15:19:00,5650,,,5660,5600,,5690,,,,,5720,5600,5530,5550</t>
  </si>
  <si>
    <t>2025-05-08 15:19:00,20100,,,20050,19475,,20125,,,,,20400,19600,19500,20500</t>
  </si>
  <si>
    <t>2025-05-08 15:19:00,3634438268.94031,33552839809.028,0,0,0,0,0,0</t>
  </si>
  <si>
    <t>2025-05-08 15:19:00,2700803207.14278,10607500889.1024,0,0,0,0,0,0</t>
  </si>
  <si>
    <t>2025-05-08 15:19:00,36179439.6644487,-791542791.331533,0,0,0,0,0,0</t>
  </si>
  <si>
    <t>2025-05-08 15:19:00,79102099.038445,-222985.786944282,0,0,0,0,0,0</t>
  </si>
  <si>
    <t>2025-05-08 15:20:00,565,,565,,550,,567.5,,,,,570,560,567,564</t>
  </si>
  <si>
    <t>2025-05-08 15:20:00,490,,488,,470,,487,,,,,495,480,482,475</t>
  </si>
  <si>
    <t>2025-05-08 15:20:00,5650,,,5660,5600,,5690,,,,,5720,5600,5530,5550</t>
  </si>
  <si>
    <t>2025-05-08 15:20:00,20100,,,20050,19475,,20125,,,,,20400,19600,19500,20500</t>
  </si>
  <si>
    <t>2025-05-08 15:20:00,3774494312.46156,40574175645.9718,0,0,0,0,0,0</t>
  </si>
  <si>
    <t>2025-05-08 15:20:00,2731760822.15659,11611422529.1805,0,0,0,0,0,0</t>
  </si>
  <si>
    <t>2025-05-08 15:20:00,36135028.6318637,-790397106.599168,0,0,0,0,0,0</t>
  </si>
  <si>
    <t>2025-05-08 15:20:00,79073113.3508076,-239336.455366535,0,0,0,0,0,0</t>
  </si>
  <si>
    <t>2025-05-08 15:21:00,565,,565,,550,,567.5,,,,,570,560,567,564</t>
  </si>
  <si>
    <t>2025-05-08 15:21:00,490,,488,,470,,487,,,,,495,480,482,475</t>
  </si>
  <si>
    <t>2025-05-08 15:21:00,5650,,,5660,5600,,5690,,,,,5720,5600,5530,5550</t>
  </si>
  <si>
    <t>2025-05-08 15:21:00,20100,,,20050,19475,,20125,,,,,20400,19600,19500,20500</t>
  </si>
  <si>
    <t>2025-05-08 15:21:00,3784176435.74318,40666445550.5268,0,0,0,0,0,0</t>
  </si>
  <si>
    <t>2025-05-08 15:21:00,2738596315.82295,11593818275.1453,0,0,0,0,0,0</t>
  </si>
  <si>
    <t>2025-05-08 15:21:00,36183917.318143,-788860978.894972,0,0,0,0,0,0</t>
  </si>
  <si>
    <t>2025-05-08 15:21:00,79035066.2115143,-256035.522032027,0,0,0,0,0,0</t>
  </si>
  <si>
    <t>2025-05-08 15:22:00,565,,565,,550,,567.5,,,,,570,560,567,564</t>
  </si>
  <si>
    <t>2025-05-08 15:22:00,490,,488,,470,,487,,,,,495,480,482,475</t>
  </si>
  <si>
    <t>2025-05-08 15:22:00,5650,,,5660,5600,,5690,,,,,5720,5600,5530,5550</t>
  </si>
  <si>
    <t>2025-05-08 15:22:00,20100,,,20050,19475,,20125,,,,,20400,19600,19500,20500</t>
  </si>
  <si>
    <t>2025-05-08 15:22:00,3725989638.69156,37130821054.8171,0,0,0,0,0,0</t>
  </si>
  <si>
    <t>2025-05-08 15:22:00,2770865452.43183,12657446191.6856,0,0,0,0,0,0</t>
  </si>
  <si>
    <t>2025-05-08 15:22:00,36157705.9147261,-787148393.022787,0,0,0,0,0,0</t>
  </si>
  <si>
    <t>2025-05-08 15:22:00,78990175.8998103,-273872.722498491,0,0,0,0,0,0</t>
  </si>
  <si>
    <t>2025-05-08 15:23:00,565,,570,,550,,567.5,,,,,570,560,567,564</t>
  </si>
  <si>
    <t>2025-05-08 15:23:00,490,,488,,470,,491,,,,,495,480,482,475</t>
  </si>
  <si>
    <t>2025-05-08 15:23:00,5650,,,5660,5600,,5690,,,,,5720,5600,5530,5550</t>
  </si>
  <si>
    <t>2025-05-08 15:23:00,20100,,,20050,19475,,20125,,,,,20400,19600,19500,20500</t>
  </si>
  <si>
    <t>2025-05-08 15:23:00,3220162419.55128,2968974413.43676,0,0,0,0,0,0</t>
  </si>
  <si>
    <t>2025-05-08 15:23:00,2569867406.57613,4050152288.03558,0,0,0,0,0,0</t>
  </si>
  <si>
    <t>2025-05-08 15:23:00,37020196.6069897,-782850062.344841,0,0,0,0,0,0</t>
  </si>
  <si>
    <t>2025-05-08 15:23:00,78938742.5675747,-292015.943018739,0,0,0,0,0,0</t>
  </si>
  <si>
    <t>2025-05-08 15:24:00,565,,,565,550,,566.5,,,,,570,560,567,564</t>
  </si>
  <si>
    <t>2025-05-08 15:24:00,490,,491,,470,,489,,,,,495,480,482,475</t>
  </si>
  <si>
    <t>2025-05-08 15:24:00,5650,,,5660,5600,,5690,,,,,5720,5600,5530,5550</t>
  </si>
  <si>
    <t>2025-05-08 15:24:00,20100,,,20050,19475,,20125,,,,,20400,19600,19500,20500</t>
  </si>
  <si>
    <t>2025-05-08 15:24:00,2991079048.62818,-10831728434.4329,0,0,0,0,0,0</t>
  </si>
  <si>
    <t>2025-05-08 15:24:00,2403225299.08633,-1366111283.06715,0,0,0,0,0,0</t>
  </si>
  <si>
    <t>2025-05-08 15:24:00,37483240.9722848,-778553275.720173,0,0,0,0,0,0</t>
  </si>
  <si>
    <t>2025-05-08 15:24:00,78877612.6735124,-310742.674487004,0,0,0,0,0,0</t>
  </si>
  <si>
    <t>2025-05-08 15:25:00,565,,,565,550,,564.5,,,,,570,560,567,564</t>
  </si>
  <si>
    <t>2025-05-08 15:25:00,490,,488,,470,,489,,,,,495,480,482,475</t>
  </si>
  <si>
    <t>2025-05-08 15:25:00,5650,,,5660,5600,,5690,,,,,5720,5600,5530,5550</t>
  </si>
  <si>
    <t>2025-05-08 15:25:00,20100,,,20050,19475,,20125,,,,,20400,19600,19500,20500</t>
  </si>
  <si>
    <t>2025-05-08 15:25:00,2859685251.20551,-21257191353.7456,0,0,0,0,0,0</t>
  </si>
  <si>
    <t>2025-05-08 15:25:00,2478138589.2928,928221083.205383,0,0,0,0,0,0</t>
  </si>
  <si>
    <t>2025-05-08 15:25:00,37607541.1823415,-775936131.169662,0,0,0,0,0,0</t>
  </si>
  <si>
    <t>2025-05-08 15:25:00,78803336.3477112,-330462.147264462,0,0,0,0,0,0</t>
  </si>
  <si>
    <t>2025-05-08 15:26:00,565,,570,,550,,567.5,,,,,570,560,567,564</t>
  </si>
  <si>
    <t>2025-05-08 15:26:00,490,,488,,470,,491,,,,,495,480,482,475</t>
  </si>
  <si>
    <t>2025-05-08 15:26:00,5650,,,5660,5600,,5690,,,,,5720,5600,5530,5550</t>
  </si>
  <si>
    <t>2025-05-08 15:26:00,20100,,,20050,19475,,20125,,,,,20400,19600,19500,20500</t>
  </si>
  <si>
    <t>2025-05-08 15:26:00,3235829769.95354,583702213.433923,0,0,0,0,0,0</t>
  </si>
  <si>
    <t>2025-05-08 15:26:00,2631368045.23334,5169674100.28152,0,0,0,0,0,0</t>
  </si>
  <si>
    <t>2025-05-08 15:26:00,37293395.9732322,-774525179.694282,0,0,0,0,0,0</t>
  </si>
  <si>
    <t>2025-05-08 15:26:00,78720546.6949196,-350973.238141469,0,0,0,0,0,0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</si>
</sst>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[$-F400]h:mm:ss\ AM/PM"/>
    <numFmt numFmtId="167" formatCode="0.E+00"/>
    <numFmt numFmtId="168" formatCode="d/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0" xfId="0" applyFont="1"/>
    <xf numFmtId="1" fontId="2" fillId="2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0" xfId="0" applyNumberFormat="1" applyFont="1"/>
    <xf numFmtId="0" fontId="2" fillId="0" borderId="3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2" xfId="0" applyFont="1" applyBorder="1"/>
    <xf numFmtId="164" fontId="2" fillId="2" borderId="12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1" xfId="0" applyFont="1" applyBorder="1"/>
    <xf numFmtId="1" fontId="2" fillId="0" borderId="0" xfId="0" applyNumberFormat="1" applyFont="1" applyBorder="1"/>
    <xf numFmtId="0" fontId="7" fillId="0" borderId="3" xfId="0" applyFont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/>
    <xf numFmtId="1" fontId="6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center"/>
    </xf>
    <xf numFmtId="16" fontId="4" fillId="0" borderId="0" xfId="0" applyNumberFormat="1" applyFont="1" applyFill="1" applyBorder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/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" fontId="4" fillId="2" borderId="7" xfId="0" applyNumberFormat="1" applyFont="1" applyFill="1" applyBorder="1"/>
    <xf numFmtId="9" fontId="2" fillId="0" borderId="0" xfId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2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6" fontId="6" fillId="0" borderId="0" xfId="0" applyNumberFormat="1" applyFont="1" applyFill="1" applyBorder="1"/>
    <xf numFmtId="22" fontId="6" fillId="0" borderId="0" xfId="0" applyNumberFormat="1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167" fontId="6" fillId="0" borderId="0" xfId="0" applyNumberFormat="1" applyFont="1" applyFill="1" applyBorder="1"/>
    <xf numFmtId="1" fontId="6" fillId="0" borderId="0" xfId="0" applyNumberFormat="1" applyFont="1" applyFill="1" applyBorder="1"/>
    <xf numFmtId="1" fontId="6" fillId="0" borderId="0" xfId="0" quotePrefix="1" applyNumberFormat="1" applyFont="1" applyFill="1" applyBorder="1" applyAlignment="1"/>
    <xf numFmtId="0" fontId="6" fillId="0" borderId="0" xfId="0" quotePrefix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7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Border="1"/>
    <xf numFmtId="9" fontId="2" fillId="0" borderId="0" xfId="1" applyFont="1" applyBorder="1"/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/>
    <xf numFmtId="2" fontId="6" fillId="0" borderId="0" xfId="0" applyNumberFormat="1" applyFont="1" applyFill="1" applyBorder="1"/>
    <xf numFmtId="0" fontId="4" fillId="3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2" fontId="6" fillId="0" borderId="0" xfId="0" applyNumberFormat="1" applyFont="1" applyFill="1" applyBorder="1" applyAlignment="1">
      <alignment horizontal="left" vertical="center"/>
    </xf>
    <xf numFmtId="21" fontId="6" fillId="0" borderId="0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VOLUME</stp>
        <stp>.SPXWC5780</stp>
        <tr r="D95" s="2"/>
        <tr r="B95" s="2"/>
        <tr r="G95" s="2"/>
        <tr r="F95" s="2"/>
        <tr r="E95" s="2"/>
        <tr r="C95" s="2"/>
      </tp>
      <tp t="s">
        <v>N/A</v>
        <stp/>
        <stp>VOLUME</stp>
        <stp>.SPXWP5780</stp>
        <tr r="D95" s="2"/>
        <tr r="B95" s="2"/>
        <tr r="G95" s="2"/>
        <tr r="F95" s="2"/>
        <tr r="E95" s="2"/>
        <tr r="C95" s="2"/>
      </tp>
      <tp t="s">
        <v>N/A</v>
        <stp/>
        <stp>VOLUME</stp>
        <stp>.SPXWC5790</stp>
        <tr r="D94" s="2"/>
        <tr r="F94" s="2"/>
        <tr r="B94" s="2"/>
        <tr r="C94" s="2"/>
        <tr r="E94" s="2"/>
        <tr r="G94" s="2"/>
      </tp>
      <tp t="s">
        <v>N/A</v>
        <stp/>
        <stp>VOLUME</stp>
        <stp>.SPXWP5790</stp>
        <tr r="D94" s="2"/>
        <tr r="F94" s="2"/>
        <tr r="B94" s="2"/>
        <tr r="C94" s="2"/>
        <tr r="E94" s="2"/>
        <tr r="G94" s="2"/>
      </tp>
      <tp t="s">
        <v>N/A</v>
        <stp/>
        <stp>VOLUME</stp>
        <stp>.SPXWC5740</stp>
        <tr r="F99" s="2"/>
        <tr r="C99" s="2"/>
        <tr r="B99" s="2"/>
        <tr r="E99" s="2"/>
        <tr r="D99" s="2"/>
        <tr r="G99" s="2"/>
      </tp>
      <tp t="s">
        <v>N/A</v>
        <stp/>
        <stp>VOLUME</stp>
        <stp>.SPXWP5740</stp>
        <tr r="F99" s="2"/>
        <tr r="C99" s="2"/>
        <tr r="B99" s="2"/>
        <tr r="E99" s="2"/>
        <tr r="D99" s="2"/>
        <tr r="G99" s="2"/>
      </tp>
      <tp t="s">
        <v>N/A</v>
        <stp/>
        <stp>VOLUME</stp>
        <stp>.SPXWC5750</stp>
        <tr r="F98" s="2"/>
        <tr r="G98" s="2"/>
        <tr r="D98" s="2"/>
        <tr r="E98" s="2"/>
        <tr r="B98" s="2"/>
        <tr r="C98" s="2"/>
      </tp>
      <tp t="s">
        <v>N/A</v>
        <stp/>
        <stp>VOLUME</stp>
        <stp>.SPXWP5750</stp>
        <tr r="F98" s="2"/>
        <tr r="G98" s="2"/>
        <tr r="D98" s="2"/>
        <tr r="E98" s="2"/>
        <tr r="B98" s="2"/>
        <tr r="C98" s="2"/>
      </tp>
      <tp t="s">
        <v>N/A</v>
        <stp/>
        <stp>VOLUME</stp>
        <stp>.SPXWC5760</stp>
        <tr r="C97" s="2"/>
        <tr r="F97" s="2"/>
        <tr r="E97" s="2"/>
        <tr r="B97" s="2"/>
        <tr r="D97" s="2"/>
        <tr r="G97" s="2"/>
      </tp>
      <tp t="s">
        <v>N/A</v>
        <stp/>
        <stp>VOLUME</stp>
        <stp>.SPXWP5760</stp>
        <tr r="C97" s="2"/>
        <tr r="F97" s="2"/>
        <tr r="E97" s="2"/>
        <tr r="B97" s="2"/>
        <tr r="D97" s="2"/>
        <tr r="G97" s="2"/>
      </tp>
      <tp t="s">
        <v>N/A</v>
        <stp/>
        <stp>VOLUME</stp>
        <stp>.SPXWC5770</stp>
        <tr r="D96" s="2"/>
        <tr r="E96" s="2"/>
        <tr r="C96" s="2"/>
        <tr r="F96" s="2"/>
        <tr r="B96" s="2"/>
        <tr r="G96" s="2"/>
      </tp>
      <tp t="s">
        <v>N/A</v>
        <stp/>
        <stp>VOLUME</stp>
        <stp>.SPXWP5770</stp>
        <tr r="D96" s="2"/>
        <tr r="E96" s="2"/>
        <tr r="C96" s="2"/>
        <tr r="F96" s="2"/>
        <tr r="B96" s="2"/>
        <tr r="G96" s="2"/>
      </tp>
      <tp t="s">
        <v>N/A</v>
        <stp/>
        <stp>VOLUME</stp>
        <stp>.SPXWC5700</stp>
        <tr r="G103" s="2"/>
        <tr r="D103" s="2"/>
        <tr r="F103" s="2"/>
        <tr r="B103" s="2"/>
        <tr r="C103" s="2"/>
        <tr r="E103" s="2"/>
      </tp>
      <tp t="s">
        <v>N/A</v>
        <stp/>
        <stp>VOLUME</stp>
        <stp>.SPXWP5700</stp>
        <tr r="G103" s="2"/>
        <tr r="D103" s="2"/>
        <tr r="F103" s="2"/>
        <tr r="B103" s="2"/>
        <tr r="C103" s="2"/>
        <tr r="E103" s="2"/>
      </tp>
      <tp t="s">
        <v>N/A</v>
        <stp/>
        <stp>VOLUME</stp>
        <stp>.SPXWC5710</stp>
        <tr r="F102" s="2"/>
        <tr r="G102" s="2"/>
        <tr r="B102" s="2"/>
        <tr r="D102" s="2"/>
        <tr r="C102" s="2"/>
        <tr r="E102" s="2"/>
      </tp>
      <tp t="s">
        <v>N/A</v>
        <stp/>
        <stp>VOLUME</stp>
        <stp>.SPXWP5710</stp>
        <tr r="F102" s="2"/>
        <tr r="G102" s="2"/>
        <tr r="B102" s="2"/>
        <tr r="D102" s="2"/>
        <tr r="C102" s="2"/>
        <tr r="E102" s="2"/>
      </tp>
      <tp t="s">
        <v>N/A</v>
        <stp/>
        <stp>VOLUME</stp>
        <stp>.SPXWC5720</stp>
        <tr r="B101" s="2"/>
        <tr r="G101" s="2"/>
        <tr r="C101" s="2"/>
        <tr r="D101" s="2"/>
        <tr r="F101" s="2"/>
        <tr r="E101" s="2"/>
      </tp>
      <tp t="s">
        <v>N/A</v>
        <stp/>
        <stp>VOLUME</stp>
        <stp>.SPXWP5720</stp>
        <tr r="B101" s="2"/>
        <tr r="G101" s="2"/>
        <tr r="C101" s="2"/>
        <tr r="D101" s="2"/>
        <tr r="F101" s="2"/>
        <tr r="E101" s="2"/>
      </tp>
      <tp t="s">
        <v>N/A</v>
        <stp/>
        <stp>VOLUME</stp>
        <stp>.SPXWC5730</stp>
        <tr r="F100" s="2"/>
        <tr r="E100" s="2"/>
        <tr r="C100" s="2"/>
        <tr r="G100" s="2"/>
        <tr r="D100" s="2"/>
        <tr r="B100" s="2"/>
      </tp>
      <tp t="s">
        <v>N/A</v>
        <stp/>
        <stp>VOLUME</stp>
        <stp>.SPXWP5730</stp>
        <tr r="F100" s="2"/>
        <tr r="E100" s="2"/>
        <tr r="C100" s="2"/>
        <tr r="G100" s="2"/>
        <tr r="D100" s="2"/>
        <tr r="B100" s="2"/>
      </tp>
      <tp>
        <v>14.4</v>
        <stp/>
        <stp>LAST</stp>
        <stp>.SPY250508P580</stp>
        <tr r="DB6" s="1"/>
        <tr r="DB6" s="1"/>
      </tp>
      <tp>
        <v>0.01</v>
        <stp/>
        <stp>LAST</stp>
        <stp>.SPY250508C580</stp>
        <tr r="DA6" s="1"/>
        <tr r="DA6" s="1"/>
      </tp>
      <tp>
        <v>12.99</v>
        <stp/>
        <stp>LAST</stp>
        <stp>.SPY250508P581</stp>
        <tr r="DB5" s="1"/>
        <tr r="DB5" s="1"/>
      </tp>
      <tp>
        <v>0.01</v>
        <stp/>
        <stp>LAST</stp>
        <stp>.SPY250508C581</stp>
        <tr r="DA5" s="1"/>
        <tr r="DA5" s="1"/>
      </tp>
      <tp>
        <v>16.670000000000002</v>
        <stp/>
        <stp>LAST</stp>
        <stp>.SPY250508P582</stp>
        <tr r="DB4" s="1"/>
        <tr r="DB4" s="1"/>
      </tp>
      <tp>
        <v>0.01</v>
        <stp/>
        <stp>LAST</stp>
        <stp>.SPY250508C582</stp>
        <tr r="DA4" s="1"/>
        <tr r="DA4" s="1"/>
      </tp>
      <tp>
        <v>0.03</v>
        <stp/>
        <stp>LAST</stp>
        <stp>.SPY250508P564</stp>
        <tr r="DB22" s="1"/>
        <tr r="DB22" s="1"/>
      </tp>
      <tp>
        <v>1.1000000000000001</v>
        <stp/>
        <stp>LAST</stp>
        <stp>.SPY250508C564</stp>
        <tr r="DA22" s="1"/>
        <tr r="DA22" s="1"/>
      </tp>
      <tp>
        <v>0.28000000000000003</v>
        <stp/>
        <stp>LAST</stp>
        <stp>.SPY250508P565</stp>
        <tr r="DB21" s="1"/>
        <tr r="DB21" s="1"/>
      </tp>
      <tp>
        <v>0.14000000000000001</v>
        <stp/>
        <stp>LAST</stp>
        <stp>.SPY250508C565</stp>
        <tr r="DA21" s="1"/>
        <tr r="DA21" s="1"/>
      </tp>
      <tp>
        <v>0.95</v>
        <stp/>
        <stp>LAST</stp>
        <stp>.SPY250508P566</stp>
        <tr r="DB20" s="1"/>
        <tr r="DB20" s="1"/>
      </tp>
      <tp>
        <v>0.03</v>
        <stp/>
        <stp>LAST</stp>
        <stp>.SPY250508C566</stp>
        <tr r="DA20" s="1"/>
        <tr r="DA20" s="1"/>
      </tp>
      <tp>
        <v>1.95</v>
        <stp/>
        <stp>LAST</stp>
        <stp>.SPY250508P567</stp>
        <tr r="DB19" s="1"/>
        <tr r="DB19" s="1"/>
      </tp>
      <tp>
        <v>0.02</v>
        <stp/>
        <stp>LAST</stp>
        <stp>.SPY250508C567</stp>
        <tr r="DA19" s="1"/>
        <tr r="DA19" s="1"/>
      </tp>
      <tp>
        <v>0.01</v>
        <stp/>
        <stp>LAST</stp>
        <stp>.SPY250508P560</stp>
        <tr r="DB26" s="1"/>
        <tr r="DB26" s="1"/>
      </tp>
      <tp>
        <v>4.9400000000000004</v>
        <stp/>
        <stp>LAST</stp>
        <stp>.SPY250508C560</stp>
        <tr r="DA26" s="1"/>
        <tr r="DA26" s="1"/>
      </tp>
      <tp>
        <v>0.02</v>
        <stp/>
        <stp>LAST</stp>
        <stp>.SPY250508P561</stp>
        <tr r="DB25" s="1"/>
        <tr r="DB25" s="1"/>
      </tp>
      <tp>
        <v>3.75</v>
        <stp/>
        <stp>LAST</stp>
        <stp>.SPY250508C561</stp>
        <tr r="DA25" s="1"/>
        <tr r="DA25" s="1"/>
      </tp>
      <tp>
        <v>0.01</v>
        <stp/>
        <stp>LAST</stp>
        <stp>.SPY250508P562</stp>
        <tr r="DB24" s="1"/>
        <tr r="DB24" s="1"/>
      </tp>
      <tp>
        <v>3.02</v>
        <stp/>
        <stp>LAST</stp>
        <stp>.SPY250508C562</stp>
        <tr r="DA24" s="1"/>
        <tr r="DA24" s="1"/>
      </tp>
      <tp>
        <v>0.01</v>
        <stp/>
        <stp>LAST</stp>
        <stp>.SPY250508P563</stp>
        <tr r="DB23" s="1"/>
        <tr r="DB23" s="1"/>
      </tp>
      <tp>
        <v>2</v>
        <stp/>
        <stp>LAST</stp>
        <stp>.SPY250508C563</stp>
        <tr r="DA23" s="1"/>
        <tr r="DA23" s="1"/>
      </tp>
      <tp>
        <v>2.89</v>
        <stp/>
        <stp>LAST</stp>
        <stp>.SPY250508P568</stp>
        <tr r="DB18" s="1"/>
        <tr r="DB18" s="1"/>
      </tp>
      <tp>
        <v>0.01</v>
        <stp/>
        <stp>LAST</stp>
        <stp>.SPY250508C568</stp>
        <tr r="DA18" s="1"/>
        <tr r="DA18" s="1"/>
      </tp>
      <tp>
        <v>3.95</v>
        <stp/>
        <stp>LAST</stp>
        <stp>.SPY250508P569</stp>
        <tr r="DB17" s="1"/>
        <tr r="DB17" s="1"/>
      </tp>
      <tp>
        <v>0.01</v>
        <stp/>
        <stp>LAST</stp>
        <stp>.SPY250508C569</stp>
        <tr r="DA17" s="1"/>
        <tr r="DA17" s="1"/>
      </tp>
      <tp>
        <v>6.88</v>
        <stp/>
        <stp>LAST</stp>
        <stp>.SPY250508P574</stp>
        <tr r="DB12" s="1"/>
        <tr r="DB12" s="1"/>
      </tp>
      <tp>
        <v>0.01</v>
        <stp/>
        <stp>LAST</stp>
        <stp>.SPY250508C574</stp>
        <tr r="DA12" s="1"/>
        <tr r="DA12" s="1"/>
      </tp>
      <tp>
        <v>9.99</v>
        <stp/>
        <stp>LAST</stp>
        <stp>.SPY250508P575</stp>
        <tr r="DB11" s="1"/>
        <tr r="DB11" s="1"/>
      </tp>
      <tp>
        <v>0.01</v>
        <stp/>
        <stp>LAST</stp>
        <stp>.SPY250508C575</stp>
        <tr r="DA11" s="1"/>
        <tr r="DA11" s="1"/>
      </tp>
      <tp>
        <v>10.47</v>
        <stp/>
        <stp>LAST</stp>
        <stp>.SPY250508P576</stp>
        <tr r="DB10" s="1"/>
        <tr r="DB10" s="1"/>
      </tp>
      <tp>
        <v>0.01</v>
        <stp/>
        <stp>LAST</stp>
        <stp>.SPY250508C576</stp>
        <tr r="DA10" s="1"/>
        <tr r="DA10" s="1"/>
      </tp>
      <tp>
        <v>7.99</v>
        <stp/>
        <stp>LAST</stp>
        <stp>.SPY250508P577</stp>
        <tr r="DB9" s="1"/>
        <tr r="DB9" s="1"/>
      </tp>
      <tp>
        <v>0.01</v>
        <stp/>
        <stp>LAST</stp>
        <stp>.SPY250508C577</stp>
        <tr r="DA9" s="1"/>
        <tr r="DA9" s="1"/>
      </tp>
      <tp>
        <v>4.95</v>
        <stp/>
        <stp>LAST</stp>
        <stp>.SPY250508P570</stp>
        <tr r="DB16" s="1"/>
        <tr r="DB16" s="1"/>
      </tp>
      <tp>
        <v>0.01</v>
        <stp/>
        <stp>LAST</stp>
        <stp>.SPY250508C570</stp>
        <tr r="DA16" s="1"/>
        <tr r="DA16" s="1"/>
      </tp>
      <tp>
        <v>6</v>
        <stp/>
        <stp>LAST</stp>
        <stp>.SPY250508P571</stp>
        <tr r="DB15" s="1"/>
        <tr r="DB15" s="1"/>
      </tp>
      <tp>
        <v>0.01</v>
        <stp/>
        <stp>LAST</stp>
        <stp>.SPY250508C571</stp>
        <tr r="DA15" s="1"/>
        <tr r="DA15" s="1"/>
      </tp>
      <tp>
        <v>6.54</v>
        <stp/>
        <stp>LAST</stp>
        <stp>.SPY250508P572</stp>
        <tr r="DB14" s="1"/>
        <tr r="DB14" s="1"/>
      </tp>
      <tp>
        <v>0.01</v>
        <stp/>
        <stp>LAST</stp>
        <stp>.SPY250508C572</stp>
        <tr r="DA14" s="1"/>
        <tr r="DA14" s="1"/>
      </tp>
      <tp>
        <v>8.2799999999999994</v>
        <stp/>
        <stp>LAST</stp>
        <stp>.SPY250508P573</stp>
        <tr r="DB13" s="1"/>
        <tr r="DB13" s="1"/>
      </tp>
      <tp>
        <v>0.01</v>
        <stp/>
        <stp>LAST</stp>
        <stp>.SPY250508C573</stp>
        <tr r="DA13" s="1"/>
        <tr r="DA13" s="1"/>
      </tp>
      <tp>
        <v>8.99</v>
        <stp/>
        <stp>LAST</stp>
        <stp>.SPY250508P578</stp>
        <tr r="DB8" s="1"/>
        <tr r="DB8" s="1"/>
      </tp>
      <tp>
        <v>0.01</v>
        <stp/>
        <stp>LAST</stp>
        <stp>.SPY250508C578</stp>
        <tr r="DA8" s="1"/>
        <tr r="DA8" s="1"/>
      </tp>
      <tp>
        <v>10.79</v>
        <stp/>
        <stp>LAST</stp>
        <stp>.SPY250508P579</stp>
        <tr r="DB7" s="1"/>
        <tr r="DB7" s="1"/>
      </tp>
      <tp>
        <v>0.01</v>
        <stp/>
        <stp>LAST</stp>
        <stp>.SPY250508C579</stp>
        <tr r="DA7" s="1"/>
        <tr r="DA7" s="1"/>
      </tp>
      <tp>
        <v>0.01</v>
        <stp/>
        <stp>LAST</stp>
        <stp>.SPY250508P548</stp>
        <tr r="DB38" s="1"/>
        <tr r="DB38" s="1"/>
      </tp>
      <tp>
        <v>17.79</v>
        <stp/>
        <stp>LAST</stp>
        <stp>.SPY250508C548</stp>
        <tr r="DA38" s="1"/>
        <tr r="DA38" s="1"/>
      </tp>
      <tp>
        <v>0.01</v>
        <stp/>
        <stp>LAST</stp>
        <stp>.SPY250508P549</stp>
        <tr r="DB37" s="1"/>
        <tr r="DB37" s="1"/>
      </tp>
      <tp>
        <v>19.59</v>
        <stp/>
        <stp>LAST</stp>
        <stp>.SPY250508C549</stp>
        <tr r="DA37" s="1"/>
        <tr r="DA37" s="1"/>
      </tp>
      <tp>
        <v>0.01</v>
        <stp/>
        <stp>LAST</stp>
        <stp>.SPY250508P554</stp>
        <tr r="DB32" s="1"/>
        <tr r="DB32" s="1"/>
      </tp>
      <tp>
        <v>10.86</v>
        <stp/>
        <stp>LAST</stp>
        <stp>.SPY250508C554</stp>
        <tr r="DA32" s="1"/>
        <tr r="DA32" s="1"/>
      </tp>
      <tp>
        <v>0.01</v>
        <stp/>
        <stp>LAST</stp>
        <stp>.SPY250508P555</stp>
        <tr r="DB31" s="1"/>
        <tr r="DB31" s="1"/>
      </tp>
      <tp>
        <v>10.35</v>
        <stp/>
        <stp>LAST</stp>
        <stp>.SPY250508C555</stp>
        <tr r="DA31" s="1"/>
        <tr r="DA31" s="1"/>
      </tp>
      <tp>
        <v>0.01</v>
        <stp/>
        <stp>LAST</stp>
        <stp>.SPY250508P556</stp>
        <tr r="DB30" s="1"/>
        <tr r="DB30" s="1"/>
      </tp>
      <tp>
        <v>9.5500000000000007</v>
        <stp/>
        <stp>LAST</stp>
        <stp>.SPY250508C556</stp>
        <tr r="DA30" s="1"/>
        <tr r="DA30" s="1"/>
      </tp>
      <tp>
        <v>0.01</v>
        <stp/>
        <stp>LAST</stp>
        <stp>.SPY250508P557</stp>
        <tr r="DB29" s="1"/>
        <tr r="DB29" s="1"/>
      </tp>
      <tp>
        <v>8.4700000000000006</v>
        <stp/>
        <stp>LAST</stp>
        <stp>.SPY250508C557</stp>
        <tr r="DA29" s="1"/>
        <tr r="DA29" s="1"/>
      </tp>
      <tp>
        <v>0.01</v>
        <stp/>
        <stp>LAST</stp>
        <stp>.SPY250508P550</stp>
        <tr r="DB36" s="1"/>
        <tr r="DB36" s="1"/>
      </tp>
      <tp>
        <v>15.2</v>
        <stp/>
        <stp>LAST</stp>
        <stp>.SPY250508C550</stp>
        <tr r="DA36" s="1"/>
        <tr r="DA36" s="1"/>
      </tp>
      <tp>
        <v>0.01</v>
        <stp/>
        <stp>LAST</stp>
        <stp>.SPY250508P551</stp>
        <tr r="DB35" s="1"/>
        <tr r="DB35" s="1"/>
      </tp>
      <tp>
        <v>16.71</v>
        <stp/>
        <stp>LAST</stp>
        <stp>.SPY250508C551</stp>
        <tr r="DA35" s="1"/>
        <tr r="DA35" s="1"/>
      </tp>
      <tp>
        <v>0.01</v>
        <stp/>
        <stp>LAST</stp>
        <stp>.SPY250508P552</stp>
        <tr r="DB34" s="1"/>
        <tr r="DB34" s="1"/>
      </tp>
      <tp>
        <v>14.2</v>
        <stp/>
        <stp>LAST</stp>
        <stp>.SPY250508C552</stp>
        <tr r="DA34" s="1"/>
        <tr r="DA34" s="1"/>
      </tp>
      <tp>
        <v>0.01</v>
        <stp/>
        <stp>LAST</stp>
        <stp>.SPY250508P553</stp>
        <tr r="DB33" s="1"/>
        <tr r="DB33" s="1"/>
      </tp>
      <tp>
        <v>12.31</v>
        <stp/>
        <stp>LAST</stp>
        <stp>.SPY250508C553</stp>
        <tr r="DA33" s="1"/>
        <tr r="DA33" s="1"/>
      </tp>
      <tp>
        <v>0.01</v>
        <stp/>
        <stp>LAST</stp>
        <stp>.SPY250508P558</stp>
        <tr r="DB28" s="1"/>
        <tr r="DB28" s="1"/>
      </tp>
      <tp>
        <v>7.53</v>
        <stp/>
        <stp>LAST</stp>
        <stp>.SPY250508C558</stp>
        <tr r="DA28" s="1"/>
        <tr r="DA28" s="1"/>
      </tp>
      <tp>
        <v>0.01</v>
        <stp/>
        <stp>LAST</stp>
        <stp>.SPY250508P559</stp>
        <tr r="DB27" s="1"/>
        <tr r="DB27" s="1"/>
      </tp>
      <tp>
        <v>6.42</v>
        <stp/>
        <stp>LAST</stp>
        <stp>.SPY250508C559</stp>
        <tr r="DA27" s="1"/>
        <tr r="DA27" s="1"/>
      </tp>
      <tp t="s">
        <v>N/A</v>
        <stp/>
        <stp>VOLUME</stp>
        <stp>.SPXWC5680</stp>
        <tr r="G105" s="2"/>
        <tr r="D105" s="2"/>
        <tr r="F105" s="2"/>
        <tr r="C105" s="2"/>
        <tr r="B105" s="2"/>
        <tr r="E105" s="2"/>
      </tp>
      <tp t="s">
        <v>N/A</v>
        <stp/>
        <stp>VOLUME</stp>
        <stp>.SPXWP5680</stp>
        <tr r="G105" s="2"/>
        <tr r="D105" s="2"/>
        <tr r="F105" s="2"/>
        <tr r="C105" s="2"/>
        <tr r="B105" s="2"/>
        <tr r="E105" s="2"/>
      </tp>
      <tp t="s">
        <v>N/A</v>
        <stp/>
        <stp>VOLUME</stp>
        <stp>.SPXWC5690</stp>
        <tr r="E104" s="2"/>
        <tr r="B104" s="2"/>
        <tr r="G104" s="2"/>
        <tr r="F104" s="2"/>
        <tr r="D104" s="2"/>
        <tr r="C104" s="2"/>
      </tp>
      <tp t="s">
        <v>N/A</v>
        <stp/>
        <stp>VOLUME</stp>
        <stp>.SPXWP5690</stp>
        <tr r="E104" s="2"/>
        <tr r="B104" s="2"/>
        <tr r="G104" s="2"/>
        <tr r="F104" s="2"/>
        <tr r="D104" s="2"/>
        <tr r="C104" s="2"/>
      </tp>
      <tp t="s">
        <v>N/A</v>
        <stp/>
        <stp>VOLUME</stp>
        <stp>.SPXWC5640</stp>
        <tr r="B109" s="2"/>
        <tr r="F109" s="2"/>
        <tr r="D109" s="2"/>
        <tr r="G109" s="2"/>
        <tr r="E109" s="2"/>
        <tr r="C109" s="2"/>
      </tp>
      <tp t="s">
        <v>N/A</v>
        <stp/>
        <stp>VOLUME</stp>
        <stp>.SPXWP5640</stp>
        <tr r="B109" s="2"/>
        <tr r="F109" s="2"/>
        <tr r="D109" s="2"/>
        <tr r="G109" s="2"/>
        <tr r="E109" s="2"/>
        <tr r="C109" s="2"/>
      </tp>
      <tp t="s">
        <v>N/A</v>
        <stp/>
        <stp>VOLUME</stp>
        <stp>.SPXWC5650</stp>
        <tr r="B108" s="2"/>
        <tr r="F108" s="2"/>
        <tr r="D108" s="2"/>
        <tr r="E108" s="2"/>
        <tr r="C108" s="2"/>
        <tr r="G108" s="2"/>
      </tp>
      <tp t="s">
        <v>N/A</v>
        <stp/>
        <stp>VOLUME</stp>
        <stp>.SPXWP5650</stp>
        <tr r="B108" s="2"/>
        <tr r="F108" s="2"/>
        <tr r="D108" s="2"/>
        <tr r="E108" s="2"/>
        <tr r="C108" s="2"/>
        <tr r="G108" s="2"/>
      </tp>
      <tp t="s">
        <v>N/A</v>
        <stp/>
        <stp>VOLUME</stp>
        <stp>.SPXWC5660</stp>
        <tr r="E107" s="2"/>
        <tr r="D107" s="2"/>
        <tr r="C107" s="2"/>
        <tr r="F107" s="2"/>
        <tr r="G107" s="2"/>
        <tr r="B107" s="2"/>
      </tp>
      <tp t="s">
        <v>N/A</v>
        <stp/>
        <stp>VOLUME</stp>
        <stp>.SPXWP5660</stp>
        <tr r="E107" s="2"/>
        <tr r="D107" s="2"/>
        <tr r="C107" s="2"/>
        <tr r="F107" s="2"/>
        <tr r="G107" s="2"/>
        <tr r="B107" s="2"/>
      </tp>
      <tp t="s">
        <v>N/A</v>
        <stp/>
        <stp>VOLUME</stp>
        <stp>.SPXWC5670</stp>
        <tr r="G106" s="2"/>
        <tr r="D106" s="2"/>
        <tr r="B106" s="2"/>
        <tr r="C106" s="2"/>
        <tr r="E106" s="2"/>
        <tr r="F106" s="2"/>
      </tp>
      <tp t="s">
        <v>N/A</v>
        <stp/>
        <stp>VOLUME</stp>
        <stp>.SPXWP5670</stp>
        <tr r="G106" s="2"/>
        <tr r="D106" s="2"/>
        <tr r="B106" s="2"/>
        <tr r="C106" s="2"/>
        <tr r="E106" s="2"/>
        <tr r="F106" s="2"/>
      </tp>
      <tp t="s">
        <v>N/A</v>
        <stp/>
        <stp>VOLUME</stp>
        <stp>.SPXWC5600</stp>
        <tr r="F113" s="2"/>
        <tr r="B113" s="2"/>
        <tr r="D113" s="2"/>
        <tr r="G113" s="2"/>
        <tr r="C113" s="2"/>
        <tr r="E113" s="2"/>
      </tp>
      <tp t="s">
        <v>N/A</v>
        <stp/>
        <stp>VOLUME</stp>
        <stp>.SPXWP5600</stp>
        <tr r="F113" s="2"/>
        <tr r="B113" s="2"/>
        <tr r="D113" s="2"/>
        <tr r="G113" s="2"/>
        <tr r="C113" s="2"/>
        <tr r="E113" s="2"/>
      </tp>
      <tp t="s">
        <v>N/A</v>
        <stp/>
        <stp>VOLUME</stp>
        <stp>.SPXWC5610</stp>
        <tr r="C112" s="2"/>
        <tr r="F112" s="2"/>
        <tr r="G112" s="2"/>
        <tr r="D112" s="2"/>
        <tr r="B112" s="2"/>
        <tr r="E112" s="2"/>
      </tp>
      <tp t="s">
        <v>N/A</v>
        <stp/>
        <stp>VOLUME</stp>
        <stp>.SPXWP5610</stp>
        <tr r="C112" s="2"/>
        <tr r="F112" s="2"/>
        <tr r="G112" s="2"/>
        <tr r="D112" s="2"/>
        <tr r="B112" s="2"/>
        <tr r="E112" s="2"/>
      </tp>
      <tp t="s">
        <v>N/A</v>
        <stp/>
        <stp>VOLUME</stp>
        <stp>.SPXWC5620</stp>
        <tr r="D111" s="2"/>
        <tr r="F111" s="2"/>
        <tr r="C111" s="2"/>
        <tr r="G111" s="2"/>
        <tr r="E111" s="2"/>
        <tr r="B111" s="2"/>
      </tp>
      <tp t="s">
        <v>N/A</v>
        <stp/>
        <stp>VOLUME</stp>
        <stp>.SPXWP5620</stp>
        <tr r="D111" s="2"/>
        <tr r="F111" s="2"/>
        <tr r="C111" s="2"/>
        <tr r="G111" s="2"/>
        <tr r="E111" s="2"/>
        <tr r="B111" s="2"/>
      </tp>
      <tp t="s">
        <v>N/A</v>
        <stp/>
        <stp>VOLUME</stp>
        <stp>.SPXWC5630</stp>
        <tr r="C110" s="2"/>
        <tr r="E110" s="2"/>
        <tr r="D110" s="2"/>
        <tr r="G110" s="2"/>
        <tr r="B110" s="2"/>
        <tr r="F110" s="2"/>
      </tp>
      <tp t="s">
        <v>N/A</v>
        <stp/>
        <stp>VOLUME</stp>
        <stp>.SPXWP5630</stp>
        <tr r="C110" s="2"/>
        <tr r="E110" s="2"/>
        <tr r="D110" s="2"/>
        <tr r="G110" s="2"/>
        <tr r="B110" s="2"/>
        <tr r="F110" s="2"/>
      </tp>
      <tp t="s">
        <v>N/A</v>
        <stp/>
        <stp>VOLUME</stp>
        <stp>.SPXWC5580</stp>
        <tr r="F115" s="2"/>
        <tr r="C115" s="2"/>
        <tr r="G115" s="2"/>
        <tr r="E115" s="2"/>
        <tr r="B115" s="2"/>
        <tr r="D115" s="2"/>
      </tp>
      <tp t="s">
        <v>N/A</v>
        <stp/>
        <stp>VOLUME</stp>
        <stp>.SPXWP5580</stp>
        <tr r="F115" s="2"/>
        <tr r="C115" s="2"/>
        <tr r="G115" s="2"/>
        <tr r="E115" s="2"/>
        <tr r="B115" s="2"/>
        <tr r="D115" s="2"/>
      </tp>
      <tp t="s">
        <v>N/A</v>
        <stp/>
        <stp>VOLUME</stp>
        <stp>.SPXWC5590</stp>
        <tr r="G114" s="2"/>
        <tr r="E114" s="2"/>
        <tr r="C114" s="2"/>
        <tr r="F114" s="2"/>
        <tr r="B114" s="2"/>
        <tr r="D114" s="2"/>
      </tp>
      <tp t="s">
        <v>N/A</v>
        <stp/>
        <stp>VOLUME</stp>
        <stp>.SPXWP5590</stp>
        <tr r="G114" s="2"/>
        <tr r="E114" s="2"/>
        <tr r="C114" s="2"/>
        <tr r="F114" s="2"/>
        <tr r="B114" s="2"/>
        <tr r="D114" s="2"/>
      </tp>
      <tp t="s">
        <v>N/A</v>
        <stp/>
        <stp>VOLUME</stp>
        <stp>.SPXWC5540</stp>
        <tr r="G119" s="2"/>
        <tr r="F119" s="2"/>
        <tr r="E119" s="2"/>
        <tr r="B119" s="2"/>
        <tr r="C119" s="2"/>
        <tr r="D119" s="2"/>
      </tp>
      <tp t="s">
        <v>N/A</v>
        <stp/>
        <stp>VOLUME</stp>
        <stp>.SPXWP5540</stp>
        <tr r="G119" s="2"/>
        <tr r="F119" s="2"/>
        <tr r="E119" s="2"/>
        <tr r="B119" s="2"/>
        <tr r="C119" s="2"/>
        <tr r="D119" s="2"/>
      </tp>
      <tp t="s">
        <v>N/A</v>
        <stp/>
        <stp>VOLUME</stp>
        <stp>.SPXWC5550</stp>
        <tr r="B118" s="2"/>
        <tr r="F118" s="2"/>
        <tr r="G118" s="2"/>
        <tr r="C118" s="2"/>
        <tr r="E118" s="2"/>
        <tr r="D118" s="2"/>
      </tp>
      <tp t="s">
        <v>N/A</v>
        <stp/>
        <stp>VOLUME</stp>
        <stp>.SPXWP5550</stp>
        <tr r="B118" s="2"/>
        <tr r="F118" s="2"/>
        <tr r="G118" s="2"/>
        <tr r="C118" s="2"/>
        <tr r="E118" s="2"/>
        <tr r="D118" s="2"/>
      </tp>
      <tp t="s">
        <v>N/A</v>
        <stp/>
        <stp>VOLUME</stp>
        <stp>.SPXWC5560</stp>
        <tr r="E117" s="2"/>
        <tr r="G117" s="2"/>
        <tr r="F117" s="2"/>
        <tr r="D117" s="2"/>
        <tr r="C117" s="2"/>
        <tr r="B117" s="2"/>
      </tp>
      <tp t="s">
        <v>N/A</v>
        <stp/>
        <stp>VOLUME</stp>
        <stp>.SPXWP5560</stp>
        <tr r="E117" s="2"/>
        <tr r="G117" s="2"/>
        <tr r="F117" s="2"/>
        <tr r="D117" s="2"/>
        <tr r="C117" s="2"/>
        <tr r="B117" s="2"/>
      </tp>
      <tp t="s">
        <v>N/A</v>
        <stp/>
        <stp>VOLUME</stp>
        <stp>.SPXWC5570</stp>
        <tr r="E116" s="2"/>
        <tr r="G116" s="2"/>
        <tr r="D116" s="2"/>
        <tr r="B116" s="2"/>
        <tr r="C116" s="2"/>
        <tr r="F116" s="2"/>
      </tp>
      <tp t="s">
        <v>N/A</v>
        <stp/>
        <stp>VOLUME</stp>
        <stp>.SPXWP5570</stp>
        <tr r="E116" s="2"/>
        <tr r="G116" s="2"/>
        <tr r="D116" s="2"/>
        <tr r="B116" s="2"/>
        <tr r="C116" s="2"/>
        <tr r="F116" s="2"/>
      </tp>
      <tp t="s">
        <v>N/A</v>
        <stp/>
        <stp>VOLUME</stp>
        <stp>.SPXWC5500</stp>
        <tr r="F123" s="2"/>
        <tr r="C123" s="2"/>
        <tr r="D123" s="2"/>
        <tr r="G123" s="2"/>
        <tr r="E123" s="2"/>
        <tr r="B123" s="2"/>
      </tp>
      <tp t="s">
        <v>N/A</v>
        <stp/>
        <stp>VOLUME</stp>
        <stp>.SPXWP5500</stp>
        <tr r="F123" s="2"/>
        <tr r="C123" s="2"/>
        <tr r="D123" s="2"/>
        <tr r="G123" s="2"/>
        <tr r="E123" s="2"/>
        <tr r="B123" s="2"/>
      </tp>
      <tp t="s">
        <v>N/A</v>
        <stp/>
        <stp>VOLUME</stp>
        <stp>.SPXWC5510</stp>
        <tr r="C122" s="2"/>
        <tr r="E122" s="2"/>
        <tr r="B122" s="2"/>
        <tr r="G122" s="2"/>
        <tr r="D122" s="2"/>
        <tr r="F122" s="2"/>
      </tp>
      <tp t="s">
        <v>N/A</v>
        <stp/>
        <stp>VOLUME</stp>
        <stp>.SPXWP5510</stp>
        <tr r="C122" s="2"/>
        <tr r="E122" s="2"/>
        <tr r="B122" s="2"/>
        <tr r="G122" s="2"/>
        <tr r="D122" s="2"/>
        <tr r="F122" s="2"/>
      </tp>
      <tp t="s">
        <v>N/A</v>
        <stp/>
        <stp>VOLUME</stp>
        <stp>.SPXWC5520</stp>
        <tr r="G121" s="2"/>
        <tr r="E121" s="2"/>
        <tr r="D121" s="2"/>
        <tr r="B121" s="2"/>
        <tr r="F121" s="2"/>
        <tr r="C121" s="2"/>
      </tp>
      <tp t="s">
        <v>N/A</v>
        <stp/>
        <stp>VOLUME</stp>
        <stp>.SPXWP5520</stp>
        <tr r="G121" s="2"/>
        <tr r="E121" s="2"/>
        <tr r="D121" s="2"/>
        <tr r="B121" s="2"/>
        <tr r="F121" s="2"/>
        <tr r="C121" s="2"/>
      </tp>
      <tp t="s">
        <v>N/A</v>
        <stp/>
        <stp>VOLUME</stp>
        <stp>.SPXWC5530</stp>
        <tr r="B120" s="2"/>
        <tr r="D120" s="2"/>
        <tr r="C120" s="2"/>
        <tr r="G120" s="2"/>
        <tr r="E120" s="2"/>
        <tr r="F120" s="2"/>
      </tp>
      <tp t="s">
        <v>N/A</v>
        <stp/>
        <stp>VOLUME</stp>
        <stp>.SPXWP5530</stp>
        <tr r="B120" s="2"/>
        <tr r="D120" s="2"/>
        <tr r="C120" s="2"/>
        <tr r="G120" s="2"/>
        <tr r="E120" s="2"/>
        <tr r="F120" s="2"/>
      </tp>
      <tp t="s">
        <v>N/A</v>
        <stp/>
        <stp>VOLUME</stp>
        <stp>.SPXWC5480</stp>
        <tr r="B125" s="2"/>
        <tr r="D125" s="2"/>
        <tr r="E125" s="2"/>
        <tr r="F125" s="2"/>
        <tr r="C125" s="2"/>
        <tr r="G125" s="2"/>
      </tp>
      <tp t="s">
        <v>N/A</v>
        <stp/>
        <stp>VOLUME</stp>
        <stp>.SPXWP5480</stp>
        <tr r="B125" s="2"/>
        <tr r="D125" s="2"/>
        <tr r="E125" s="2"/>
        <tr r="F125" s="2"/>
        <tr r="C125" s="2"/>
        <tr r="G125" s="2"/>
      </tp>
      <tp t="s">
        <v>N/A</v>
        <stp/>
        <stp>VOLUME</stp>
        <stp>.SPXWC5490</stp>
        <tr r="C124" s="2"/>
        <tr r="B124" s="2"/>
        <tr r="E124" s="2"/>
        <tr r="D124" s="2"/>
        <tr r="G124" s="2"/>
        <tr r="F124" s="2"/>
      </tp>
      <tp t="s">
        <v>N/A</v>
        <stp/>
        <stp>VOLUME</stp>
        <stp>.SPXWP5490</stp>
        <tr r="C124" s="2"/>
        <tr r="B124" s="2"/>
        <tr r="E124" s="2"/>
        <tr r="D124" s="2"/>
        <tr r="G124" s="2"/>
        <tr r="F124" s="2"/>
      </tp>
      <tp t="s">
        <v>N/A</v>
        <stp/>
        <stp>VOLUME</stp>
        <stp>.SPXWC5440</stp>
        <tr r="F129" s="2"/>
        <tr r="D129" s="2"/>
        <tr r="B129" s="2"/>
        <tr r="E129" s="2"/>
        <tr r="C129" s="2"/>
        <tr r="G129" s="2"/>
      </tp>
      <tp t="s">
        <v>N/A</v>
        <stp/>
        <stp>VOLUME</stp>
        <stp>.SPXWP5440</stp>
        <tr r="F129" s="2"/>
        <tr r="D129" s="2"/>
        <tr r="B129" s="2"/>
        <tr r="E129" s="2"/>
        <tr r="C129" s="2"/>
        <tr r="G129" s="2"/>
      </tp>
      <tp t="s">
        <v>N/A</v>
        <stp/>
        <stp>VOLUME</stp>
        <stp>.SPXWC5450</stp>
        <tr r="B128" s="2"/>
        <tr r="F128" s="2"/>
        <tr r="E128" s="2"/>
        <tr r="G128" s="2"/>
        <tr r="D128" s="2"/>
        <tr r="C128" s="2"/>
      </tp>
      <tp t="s">
        <v>N/A</v>
        <stp/>
        <stp>VOLUME</stp>
        <stp>.SPXWP5450</stp>
        <tr r="B128" s="2"/>
        <tr r="F128" s="2"/>
        <tr r="E128" s="2"/>
        <tr r="G128" s="2"/>
        <tr r="D128" s="2"/>
        <tr r="C128" s="2"/>
      </tp>
      <tp t="s">
        <v>N/A</v>
        <stp/>
        <stp>VOLUME</stp>
        <stp>.SPXWC5460</stp>
        <tr r="B127" s="2"/>
        <tr r="F127" s="2"/>
        <tr r="E127" s="2"/>
        <tr r="D127" s="2"/>
        <tr r="C127" s="2"/>
        <tr r="G127" s="2"/>
      </tp>
      <tp t="s">
        <v>N/A</v>
        <stp/>
        <stp>VOLUME</stp>
        <stp>.SPXWP5460</stp>
        <tr r="B127" s="2"/>
        <tr r="F127" s="2"/>
        <tr r="E127" s="2"/>
        <tr r="D127" s="2"/>
        <tr r="C127" s="2"/>
        <tr r="G127" s="2"/>
      </tp>
      <tp t="s">
        <v>N/A</v>
        <stp/>
        <stp>VOLUME</stp>
        <stp>.SPXWC5470</stp>
        <tr r="F126" s="2"/>
        <tr r="C126" s="2"/>
        <tr r="D126" s="2"/>
        <tr r="G126" s="2"/>
        <tr r="B126" s="2"/>
        <tr r="E126" s="2"/>
      </tp>
      <tp t="s">
        <v>N/A</v>
        <stp/>
        <stp>VOLUME</stp>
        <stp>.SPXWP5470</stp>
        <tr r="F126" s="2"/>
        <tr r="C126" s="2"/>
        <tr r="D126" s="2"/>
        <tr r="G126" s="2"/>
        <tr r="B126" s="2"/>
        <tr r="E126" s="2"/>
      </tp>
      <tp t="s">
        <v>N/A</v>
        <stp/>
        <stp>VOLUME</stp>
        <stp>.SPXWC5420</stp>
        <tr r="B131" s="2"/>
        <tr r="F131" s="2"/>
        <tr r="C131" s="2"/>
        <tr r="E131" s="2"/>
        <tr r="G131" s="2"/>
        <tr r="D131" s="2"/>
      </tp>
      <tp t="s">
        <v>N/A</v>
        <stp/>
        <stp>VOLUME</stp>
        <stp>.SPXWP5420</stp>
        <tr r="B131" s="2"/>
        <tr r="F131" s="2"/>
        <tr r="C131" s="2"/>
        <tr r="E131" s="2"/>
        <tr r="G131" s="2"/>
        <tr r="D131" s="2"/>
      </tp>
      <tp t="s">
        <v>N/A</v>
        <stp/>
        <stp>VOLUME</stp>
        <stp>.SPXWC5430</stp>
        <tr r="C130" s="2"/>
        <tr r="F130" s="2"/>
        <tr r="E130" s="2"/>
        <tr r="D130" s="2"/>
        <tr r="G130" s="2"/>
        <tr r="B130" s="2"/>
      </tp>
      <tp t="s">
        <v>N/A</v>
        <stp/>
        <stp>VOLUME</stp>
        <stp>.SPXWP5430</stp>
        <tr r="C130" s="2"/>
        <tr r="F130" s="2"/>
        <tr r="E130" s="2"/>
        <tr r="D130" s="2"/>
        <tr r="G130" s="2"/>
        <tr r="B130" s="2"/>
      </tp>
      <tp>
        <v>571.11</v>
        <stp/>
        <stp>MARK</stp>
        <stp>SPY</stp>
        <tr r="A3" s="1"/>
        <tr r="G84" s="1"/>
      </tp>
      <tp>
        <v>5659.91</v>
        <stp/>
        <stp>MARK</stp>
        <stp>SPX</stp>
        <tr r="E82" s="1"/>
      </tp>
      <tp>
        <v>-0.63</v>
        <stp/>
        <stp>DELTA</stp>
        <stp>.SPY250516P582</stp>
        <tr r="CI4" s="1"/>
        <tr r="CI4" s="1"/>
      </tp>
      <tp>
        <v>0.16</v>
        <stp/>
        <stp>DELTA</stp>
        <stp>.SPY250516C582</stp>
        <tr r="CH4" s="1"/>
        <tr r="CH4" s="1"/>
      </tp>
      <tp>
        <v>-0.62</v>
        <stp/>
        <stp>DELTA</stp>
        <stp>.SPY250516P581</stp>
        <tr r="CI5" s="1"/>
        <tr r="CI5" s="1"/>
      </tp>
      <tp>
        <v>0.18</v>
        <stp/>
        <stp>DELTA</stp>
        <stp>.SPY250516C581</stp>
        <tr r="CH5" s="1"/>
        <tr r="CH5" s="1"/>
      </tp>
      <tp>
        <v>-0.61</v>
        <stp/>
        <stp>DELTA</stp>
        <stp>.SPY250516P580</stp>
        <tr r="CI6" s="1"/>
        <tr r="CI6" s="1"/>
      </tp>
      <tp>
        <v>0.2</v>
        <stp/>
        <stp>DELTA</stp>
        <stp>.SPY250516C580</stp>
        <tr r="CH6" s="1"/>
        <tr r="CH6" s="1"/>
      </tp>
      <tp>
        <v>-0.64</v>
        <stp/>
        <stp>DELTA</stp>
        <stp>.SPY250508P581</stp>
        <tr r="CE5" s="1"/>
        <tr r="CE5" s="1"/>
      </tp>
      <tp>
        <v>-0.62</v>
        <stp/>
        <stp>DELTA</stp>
        <stp>.SPY250509P580</stp>
        <tr r="CG6" s="1"/>
        <tr r="CG6" s="1"/>
      </tp>
      <tp>
        <v>0</v>
        <stp/>
        <stp>DELTA</stp>
        <stp>.SPY250508C581</stp>
        <tr r="CD5" s="1"/>
        <tr r="CD5" s="1"/>
      </tp>
      <tp>
        <v>0</v>
        <stp/>
        <stp>DELTA</stp>
        <stp>.SPY250509C580</stp>
        <tr r="CF6" s="1"/>
        <tr r="CF6" s="1"/>
      </tp>
      <tp>
        <v>-0.63</v>
        <stp/>
        <stp>DELTA</stp>
        <stp>.SPY250508P580</stp>
        <tr r="CE6" s="1"/>
        <tr r="CE6" s="1"/>
      </tp>
      <tp>
        <v>-0.63</v>
        <stp/>
        <stp>DELTA</stp>
        <stp>.SPY250509P581</stp>
        <tr r="CG5" s="1"/>
        <tr r="CG5" s="1"/>
      </tp>
      <tp>
        <v>0</v>
        <stp/>
        <stp>DELTA</stp>
        <stp>.SPY250508C580</stp>
        <tr r="CD6" s="1"/>
        <tr r="CD6" s="1"/>
      </tp>
      <tp>
        <v>0</v>
        <stp/>
        <stp>DELTA</stp>
        <stp>.SPY250509C581</stp>
        <tr r="CF5" s="1"/>
        <tr r="CF5" s="1"/>
      </tp>
      <tp>
        <v>-0.64</v>
        <stp/>
        <stp>DELTA</stp>
        <stp>.SPY250509P582</stp>
        <tr r="CG4" s="1"/>
        <tr r="CG4" s="1"/>
      </tp>
      <tp>
        <v>0</v>
        <stp/>
        <stp>DELTA</stp>
        <stp>.SPY250509C582</stp>
        <tr r="CF4" s="1"/>
        <tr r="CF4" s="1"/>
      </tp>
      <tp>
        <v>-0.65</v>
        <stp/>
        <stp>DELTA</stp>
        <stp>.SPY250508P582</stp>
        <tr r="CE4" s="1"/>
        <tr r="CE4" s="1"/>
      </tp>
      <tp>
        <v>0</v>
        <stp/>
        <stp>DELTA</stp>
        <stp>.SPY250508C582</stp>
        <tr r="CD4" s="1"/>
        <tr r="CD4" s="1"/>
      </tp>
      <tp>
        <v>0</v>
        <stp/>
        <stp>DELTA</stp>
        <stp>.SPY250508P559</stp>
        <tr r="CE27" s="1"/>
        <tr r="CE27" s="1"/>
      </tp>
      <tp>
        <v>0</v>
        <stp/>
        <stp>DELTA</stp>
        <stp>.SPY250509P558</stp>
        <tr r="CG28" s="1"/>
        <tr r="CG28" s="1"/>
      </tp>
      <tp>
        <v>1</v>
        <stp/>
        <stp>DELTA</stp>
        <stp>.SPY250508C559</stp>
        <tr r="CD27" s="1"/>
        <tr r="CD27" s="1"/>
      </tp>
      <tp>
        <v>1</v>
        <stp/>
        <stp>DELTA</stp>
        <stp>.SPY250509C558</stp>
        <tr r="CF28" s="1"/>
        <tr r="CF28" s="1"/>
      </tp>
      <tp>
        <v>0</v>
        <stp/>
        <stp>DELTA</stp>
        <stp>.SPY250508P558</stp>
        <tr r="CE28" s="1"/>
        <tr r="CE28" s="1"/>
      </tp>
      <tp>
        <v>0</v>
        <stp/>
        <stp>DELTA</stp>
        <stp>.SPY250509P559</stp>
        <tr r="CG27" s="1"/>
        <tr r="CG27" s="1"/>
      </tp>
      <tp>
        <v>1</v>
        <stp/>
        <stp>DELTA</stp>
        <stp>.SPY250508C558</stp>
        <tr r="CD28" s="1"/>
        <tr r="CD28" s="1"/>
      </tp>
      <tp>
        <v>1</v>
        <stp/>
        <stp>DELTA</stp>
        <stp>.SPY250509C559</stp>
        <tr r="CF27" s="1"/>
        <tr r="CF27" s="1"/>
      </tp>
      <tp>
        <v>0</v>
        <stp/>
        <stp>DELTA</stp>
        <stp>.SPY250508P551</stp>
        <tr r="CE35" s="1"/>
        <tr r="CE35" s="1"/>
      </tp>
      <tp>
        <v>0</v>
        <stp/>
        <stp>DELTA</stp>
        <stp>.SPY250509P550</stp>
        <tr r="CG36" s="1"/>
        <tr r="CG36" s="1"/>
      </tp>
      <tp>
        <v>1</v>
        <stp/>
        <stp>DELTA</stp>
        <stp>.SPY250508C551</stp>
        <tr r="CD35" s="1"/>
        <tr r="CD35" s="1"/>
      </tp>
      <tp>
        <v>1</v>
        <stp/>
        <stp>DELTA</stp>
        <stp>.SPY250509C550</stp>
        <tr r="CF36" s="1"/>
        <tr r="CF36" s="1"/>
      </tp>
      <tp>
        <v>0</v>
        <stp/>
        <stp>DELTA</stp>
        <stp>.SPY250508P550</stp>
        <tr r="CE36" s="1"/>
        <tr r="CE36" s="1"/>
      </tp>
      <tp>
        <v>0</v>
        <stp/>
        <stp>DELTA</stp>
        <stp>.SPY250509P551</stp>
        <tr r="CG35" s="1"/>
        <tr r="CG35" s="1"/>
      </tp>
      <tp>
        <v>1</v>
        <stp/>
        <stp>DELTA</stp>
        <stp>.SPY250508C550</stp>
        <tr r="CD36" s="1"/>
        <tr r="CD36" s="1"/>
      </tp>
      <tp>
        <v>1</v>
        <stp/>
        <stp>DELTA</stp>
        <stp>.SPY250509C551</stp>
        <tr r="CF35" s="1"/>
        <tr r="CF35" s="1"/>
      </tp>
      <tp>
        <v>0</v>
        <stp/>
        <stp>DELTA</stp>
        <stp>.SPY250508P553</stp>
        <tr r="CE33" s="1"/>
        <tr r="CE33" s="1"/>
      </tp>
      <tp>
        <v>0</v>
        <stp/>
        <stp>DELTA</stp>
        <stp>.SPY250509P552</stp>
        <tr r="CG34" s="1"/>
        <tr r="CG34" s="1"/>
      </tp>
      <tp>
        <v>1</v>
        <stp/>
        <stp>DELTA</stp>
        <stp>.SPY250508C553</stp>
        <tr r="CD33" s="1"/>
        <tr r="CD33" s="1"/>
      </tp>
      <tp>
        <v>1</v>
        <stp/>
        <stp>DELTA</stp>
        <stp>.SPY250509C552</stp>
        <tr r="CF34" s="1"/>
        <tr r="CF34" s="1"/>
      </tp>
      <tp>
        <v>0</v>
        <stp/>
        <stp>DELTA</stp>
        <stp>.SPY250508P552</stp>
        <tr r="CE34" s="1"/>
        <tr r="CE34" s="1"/>
      </tp>
      <tp>
        <v>0</v>
        <stp/>
        <stp>DELTA</stp>
        <stp>.SPY250509P553</stp>
        <tr r="CG33" s="1"/>
        <tr r="CG33" s="1"/>
      </tp>
      <tp>
        <v>1</v>
        <stp/>
        <stp>DELTA</stp>
        <stp>.SPY250508C552</stp>
        <tr r="CD34" s="1"/>
        <tr r="CD34" s="1"/>
      </tp>
      <tp>
        <v>1</v>
        <stp/>
        <stp>DELTA</stp>
        <stp>.SPY250509C553</stp>
        <tr r="CF33" s="1"/>
        <tr r="CF33" s="1"/>
      </tp>
      <tp>
        <v>0</v>
        <stp/>
        <stp>DELTA</stp>
        <stp>.SPY250508P555</stp>
        <tr r="CE31" s="1"/>
        <tr r="CE31" s="1"/>
      </tp>
      <tp>
        <v>0</v>
        <stp/>
        <stp>DELTA</stp>
        <stp>.SPY250509P554</stp>
        <tr r="CG32" s="1"/>
        <tr r="CG32" s="1"/>
      </tp>
      <tp>
        <v>1</v>
        <stp/>
        <stp>DELTA</stp>
        <stp>.SPY250508C555</stp>
        <tr r="CD31" s="1"/>
        <tr r="CD31" s="1"/>
      </tp>
      <tp>
        <v>1</v>
        <stp/>
        <stp>DELTA</stp>
        <stp>.SPY250509C554</stp>
        <tr r="CF32" s="1"/>
        <tr r="CF32" s="1"/>
      </tp>
      <tp>
        <v>0</v>
        <stp/>
        <stp>DELTA</stp>
        <stp>.SPY250508P554</stp>
        <tr r="CE32" s="1"/>
        <tr r="CE32" s="1"/>
      </tp>
      <tp>
        <v>0</v>
        <stp/>
        <stp>DELTA</stp>
        <stp>.SPY250509P555</stp>
        <tr r="CG31" s="1"/>
        <tr r="CG31" s="1"/>
      </tp>
      <tp>
        <v>1</v>
        <stp/>
        <stp>DELTA</stp>
        <stp>.SPY250508C554</stp>
        <tr r="CD32" s="1"/>
        <tr r="CD32" s="1"/>
      </tp>
      <tp>
        <v>1</v>
        <stp/>
        <stp>DELTA</stp>
        <stp>.SPY250509C555</stp>
        <tr r="CF31" s="1"/>
        <tr r="CF31" s="1"/>
      </tp>
      <tp>
        <v>0</v>
        <stp/>
        <stp>DELTA</stp>
        <stp>.SPY250508P557</stp>
        <tr r="CE29" s="1"/>
        <tr r="CE29" s="1"/>
      </tp>
      <tp>
        <v>0</v>
        <stp/>
        <stp>DELTA</stp>
        <stp>.SPY250509P556</stp>
        <tr r="CG30" s="1"/>
        <tr r="CG30" s="1"/>
      </tp>
      <tp>
        <v>-0.15</v>
        <stp/>
        <stp>DELTA</stp>
        <stp>.SPY250516P549</stp>
        <tr r="CI37" s="1"/>
        <tr r="CI37" s="1"/>
      </tp>
      <tp>
        <v>1</v>
        <stp/>
        <stp>DELTA</stp>
        <stp>.SPY250508C557</stp>
        <tr r="CD29" s="1"/>
        <tr r="CD29" s="1"/>
      </tp>
      <tp>
        <v>1</v>
        <stp/>
        <stp>DELTA</stp>
        <stp>.SPY250509C556</stp>
        <tr r="CF30" s="1"/>
        <tr r="CF30" s="1"/>
      </tp>
      <tp>
        <v>1</v>
        <stp/>
        <stp>DELTA</stp>
        <stp>.SPY250516C549</stp>
        <tr r="CH37" s="1"/>
        <tr r="CH37" s="1"/>
      </tp>
      <tp>
        <v>0</v>
        <stp/>
        <stp>DELTA</stp>
        <stp>.SPY250508P556</stp>
        <tr r="CE30" s="1"/>
        <tr r="CE30" s="1"/>
      </tp>
      <tp>
        <v>0</v>
        <stp/>
        <stp>DELTA</stp>
        <stp>.SPY250509P557</stp>
        <tr r="CG29" s="1"/>
        <tr r="CG29" s="1"/>
      </tp>
      <tp>
        <v>-0.14000000000000001</v>
        <stp/>
        <stp>DELTA</stp>
        <stp>.SPY250516P548</stp>
        <tr r="CI38" s="1"/>
        <tr r="CI38" s="1"/>
      </tp>
      <tp>
        <v>1</v>
        <stp/>
        <stp>DELTA</stp>
        <stp>.SPY250508C556</stp>
        <tr r="CD30" s="1"/>
        <tr r="CD30" s="1"/>
      </tp>
      <tp>
        <v>1</v>
        <stp/>
        <stp>DELTA</stp>
        <stp>.SPY250509C557</stp>
        <tr r="CF29" s="1"/>
        <tr r="CF29" s="1"/>
      </tp>
      <tp>
        <v>1</v>
        <stp/>
        <stp>DELTA</stp>
        <stp>.SPY250516C548</stp>
        <tr r="CH38" s="1"/>
        <tr r="CH38" s="1"/>
      </tp>
      <tp>
        <v>0</v>
        <stp/>
        <stp>DELTA</stp>
        <stp>.SPY250508P549</stp>
        <tr r="CE37" s="1"/>
        <tr r="CE37" s="1"/>
      </tp>
      <tp>
        <v>0</v>
        <stp/>
        <stp>DELTA</stp>
        <stp>.SPY250509P548</stp>
        <tr r="CG38" s="1"/>
        <tr r="CG38" s="1"/>
      </tp>
      <tp>
        <v>-0.25</v>
        <stp/>
        <stp>DELTA</stp>
        <stp>.SPY250516P557</stp>
        <tr r="CI29" s="1"/>
        <tr r="CI29" s="1"/>
      </tp>
      <tp>
        <v>1</v>
        <stp/>
        <stp>DELTA</stp>
        <stp>.SPY250508C549</stp>
        <tr r="CD37" s="1"/>
        <tr r="CD37" s="1"/>
      </tp>
      <tp>
        <v>1</v>
        <stp/>
        <stp>DELTA</stp>
        <stp>.SPY250509C548</stp>
        <tr r="CF38" s="1"/>
        <tr r="CF38" s="1"/>
      </tp>
      <tp>
        <v>1</v>
        <stp/>
        <stp>DELTA</stp>
        <stp>.SPY250516C557</stp>
        <tr r="CH29" s="1"/>
        <tr r="CH29" s="1"/>
      </tp>
      <tp>
        <v>0</v>
        <stp/>
        <stp>DELTA</stp>
        <stp>.SPY250508P548</stp>
        <tr r="CE38" s="1"/>
        <tr r="CE38" s="1"/>
      </tp>
      <tp>
        <v>0</v>
        <stp/>
        <stp>DELTA</stp>
        <stp>.SPY250509P549</stp>
        <tr r="CG37" s="1"/>
        <tr r="CG37" s="1"/>
      </tp>
      <tp>
        <v>-0.24</v>
        <stp/>
        <stp>DELTA</stp>
        <stp>.SPY250516P556</stp>
        <tr r="CI30" s="1"/>
        <tr r="CI30" s="1"/>
      </tp>
      <tp>
        <v>1</v>
        <stp/>
        <stp>DELTA</stp>
        <stp>.SPY250508C548</stp>
        <tr r="CD38" s="1"/>
        <tr r="CD38" s="1"/>
      </tp>
      <tp>
        <v>1</v>
        <stp/>
        <stp>DELTA</stp>
        <stp>.SPY250509C549</stp>
        <tr r="CF37" s="1"/>
        <tr r="CF37" s="1"/>
      </tp>
      <tp>
        <v>1</v>
        <stp/>
        <stp>DELTA</stp>
        <stp>.SPY250516C556</stp>
        <tr r="CH30" s="1"/>
        <tr r="CH30" s="1"/>
      </tp>
      <tp>
        <v>-0.22</v>
        <stp/>
        <stp>DELTA</stp>
        <stp>.SPY250516P555</stp>
        <tr r="CI31" s="1"/>
        <tr r="CI31" s="1"/>
      </tp>
      <tp>
        <v>1</v>
        <stp/>
        <stp>DELTA</stp>
        <stp>.SPY250516C555</stp>
        <tr r="CH31" s="1"/>
        <tr r="CH31" s="1"/>
      </tp>
      <tp>
        <v>-0.21</v>
        <stp/>
        <stp>DELTA</stp>
        <stp>.SPY250516P554</stp>
        <tr r="CI32" s="1"/>
        <tr r="CI32" s="1"/>
      </tp>
      <tp>
        <v>1</v>
        <stp/>
        <stp>DELTA</stp>
        <stp>.SPY250516C554</stp>
        <tr r="CH32" s="1"/>
        <tr r="CH32" s="1"/>
      </tp>
      <tp>
        <v>-0.2</v>
        <stp/>
        <stp>DELTA</stp>
        <stp>.SPY250516P553</stp>
        <tr r="CI33" s="1"/>
        <tr r="CI33" s="1"/>
      </tp>
      <tp>
        <v>1</v>
        <stp/>
        <stp>DELTA</stp>
        <stp>.SPY250516C553</stp>
        <tr r="CH33" s="1"/>
        <tr r="CH33" s="1"/>
      </tp>
      <tp>
        <v>-0.18</v>
        <stp/>
        <stp>DELTA</stp>
        <stp>.SPY250516P552</stp>
        <tr r="CI34" s="1"/>
        <tr r="CI34" s="1"/>
      </tp>
      <tp>
        <v>1</v>
        <stp/>
        <stp>DELTA</stp>
        <stp>.SPY250516C552</stp>
        <tr r="CH34" s="1"/>
        <tr r="CH34" s="1"/>
      </tp>
      <tp>
        <v>-0.17</v>
        <stp/>
        <stp>DELTA</stp>
        <stp>.SPY250516P551</stp>
        <tr r="CI35" s="1"/>
        <tr r="CI35" s="1"/>
      </tp>
      <tp>
        <v>1</v>
        <stp/>
        <stp>DELTA</stp>
        <stp>.SPY250516C551</stp>
        <tr r="CH35" s="1"/>
        <tr r="CH35" s="1"/>
      </tp>
      <tp>
        <v>-0.16</v>
        <stp/>
        <stp>DELTA</stp>
        <stp>.SPY250516P550</stp>
        <tr r="CI36" s="1"/>
        <tr r="CI36" s="1"/>
      </tp>
      <tp>
        <v>1</v>
        <stp/>
        <stp>DELTA</stp>
        <stp>.SPY250516C550</stp>
        <tr r="CH36" s="1"/>
        <tr r="CH36" s="1"/>
      </tp>
      <tp>
        <v>-0.28000000000000003</v>
        <stp/>
        <stp>DELTA</stp>
        <stp>.SPY250516P559</stp>
        <tr r="CI27" s="1"/>
        <tr r="CI27" s="1"/>
      </tp>
      <tp>
        <v>1</v>
        <stp/>
        <stp>DELTA</stp>
        <stp>.SPY250516C559</stp>
        <tr r="CH27" s="1"/>
        <tr r="CH27" s="1"/>
      </tp>
      <tp>
        <v>-0.27</v>
        <stp/>
        <stp>DELTA</stp>
        <stp>.SPY250516P558</stp>
        <tr r="CI28" s="1"/>
        <tr r="CI28" s="1"/>
      </tp>
      <tp>
        <v>1</v>
        <stp/>
        <stp>DELTA</stp>
        <stp>.SPY250516C558</stp>
        <tr r="CH28" s="1"/>
        <tr r="CH28" s="1"/>
      </tp>
      <tp>
        <v>-0.62</v>
        <stp/>
        <stp>DELTA</stp>
        <stp>.SPY250508P579</stp>
        <tr r="CE7" s="1"/>
        <tr r="CE7" s="1"/>
      </tp>
      <tp>
        <v>-0.6</v>
        <stp/>
        <stp>DELTA</stp>
        <stp>.SPY250509P578</stp>
        <tr r="CG8" s="1"/>
        <tr r="CG8" s="1"/>
      </tp>
      <tp>
        <v>-0.42</v>
        <stp/>
        <stp>DELTA</stp>
        <stp>.SPY250516P567</stp>
        <tr r="CI19" s="1"/>
        <tr r="CI19" s="1"/>
      </tp>
      <tp>
        <v>0.01</v>
        <stp/>
        <stp>DELTA</stp>
        <stp>.SPY250508C579</stp>
        <tr r="CD7" s="1"/>
        <tr r="CD7" s="1"/>
      </tp>
      <tp>
        <v>0.01</v>
        <stp/>
        <stp>DELTA</stp>
        <stp>.SPY250509C578</stp>
        <tr r="CF8" s="1"/>
        <tr r="CF8" s="1"/>
      </tp>
      <tp>
        <v>0.76</v>
        <stp/>
        <stp>DELTA</stp>
        <stp>.SPY250516C567</stp>
        <tr r="CH19" s="1"/>
        <tr r="CH19" s="1"/>
      </tp>
      <tp>
        <v>-0.61</v>
        <stp/>
        <stp>DELTA</stp>
        <stp>.SPY250508P578</stp>
        <tr r="CE8" s="1"/>
        <tr r="CE8" s="1"/>
      </tp>
      <tp>
        <v>-0.61</v>
        <stp/>
        <stp>DELTA</stp>
        <stp>.SPY250509P579</stp>
        <tr r="CG7" s="1"/>
        <tr r="CG7" s="1"/>
      </tp>
      <tp>
        <v>-0.4</v>
        <stp/>
        <stp>DELTA</stp>
        <stp>.SPY250516P566</stp>
        <tr r="CI20" s="1"/>
        <tr r="CI20" s="1"/>
      </tp>
      <tp>
        <v>0.01</v>
        <stp/>
        <stp>DELTA</stp>
        <stp>.SPY250508C578</stp>
        <tr r="CD8" s="1"/>
        <tr r="CD8" s="1"/>
      </tp>
      <tp>
        <v>0.01</v>
        <stp/>
        <stp>DELTA</stp>
        <stp>.SPY250509C579</stp>
        <tr r="CF7" s="1"/>
        <tr r="CF7" s="1"/>
      </tp>
      <tp>
        <v>0.85</v>
        <stp/>
        <stp>DELTA</stp>
        <stp>.SPY250516C566</stp>
        <tr r="CH20" s="1"/>
        <tr r="CH20" s="1"/>
      </tp>
      <tp>
        <v>-0.39</v>
        <stp/>
        <stp>DELTA</stp>
        <stp>.SPY250516P565</stp>
        <tr r="CI21" s="1"/>
        <tr r="CI21" s="1"/>
      </tp>
      <tp>
        <v>1</v>
        <stp/>
        <stp>DELTA</stp>
        <stp>.SPY250516C565</stp>
        <tr r="CH21" s="1"/>
        <tr r="CH21" s="1"/>
      </tp>
      <tp>
        <v>-0.37</v>
        <stp/>
        <stp>DELTA</stp>
        <stp>.SPY250516P564</stp>
        <tr r="CI22" s="1"/>
        <tr r="CI22" s="1"/>
      </tp>
      <tp>
        <v>1</v>
        <stp/>
        <stp>DELTA</stp>
        <stp>.SPY250516C564</stp>
        <tr r="CH22" s="1"/>
        <tr r="CH22" s="1"/>
      </tp>
      <tp>
        <v>-0.35</v>
        <stp/>
        <stp>DELTA</stp>
        <stp>.SPY250516P563</stp>
        <tr r="CI23" s="1"/>
        <tr r="CI23" s="1"/>
      </tp>
      <tp>
        <v>1</v>
        <stp/>
        <stp>DELTA</stp>
        <stp>.SPY250516C563</stp>
        <tr r="CH23" s="1"/>
        <tr r="CH23" s="1"/>
      </tp>
      <tp>
        <v>-0.33</v>
        <stp/>
        <stp>DELTA</stp>
        <stp>.SPY250516P562</stp>
        <tr r="CI24" s="1"/>
        <tr r="CI24" s="1"/>
      </tp>
      <tp>
        <v>1</v>
        <stp/>
        <stp>DELTA</stp>
        <stp>.SPY250516C562</stp>
        <tr r="CH24" s="1"/>
        <tr r="CH24" s="1"/>
      </tp>
      <tp>
        <v>-0.32</v>
        <stp/>
        <stp>DELTA</stp>
        <stp>.SPY250516P561</stp>
        <tr r="CI25" s="1"/>
        <tr r="CI25" s="1"/>
      </tp>
      <tp>
        <v>1</v>
        <stp/>
        <stp>DELTA</stp>
        <stp>.SPY250516C561</stp>
        <tr r="CH25" s="1"/>
        <tr r="CH25" s="1"/>
      </tp>
      <tp>
        <v>-0.3</v>
        <stp/>
        <stp>DELTA</stp>
        <stp>.SPY250516P560</stp>
        <tr r="CI26" s="1"/>
        <tr r="CI26" s="1"/>
      </tp>
      <tp>
        <v>1</v>
        <stp/>
        <stp>DELTA</stp>
        <stp>.SPY250516C560</stp>
        <tr r="CH26" s="1"/>
        <tr r="CH26" s="1"/>
      </tp>
      <tp>
        <v>-0.49</v>
        <stp/>
        <stp>DELTA</stp>
        <stp>.SPY250508P571</stp>
        <tr r="CE15" s="1"/>
        <tr r="CE15" s="1"/>
      </tp>
      <tp>
        <v>-0.47</v>
        <stp/>
        <stp>DELTA</stp>
        <stp>.SPY250509P570</stp>
        <tr r="CG16" s="1"/>
        <tr r="CG16" s="1"/>
      </tp>
      <tp>
        <v>1</v>
        <stp/>
        <stp>DELTA</stp>
        <stp>.SPY250508C571</stp>
        <tr r="CD15" s="1"/>
        <tr r="CD15" s="1"/>
      </tp>
      <tp>
        <v>1</v>
        <stp/>
        <stp>DELTA</stp>
        <stp>.SPY250509C570</stp>
        <tr r="CF16" s="1"/>
        <tr r="CF16" s="1"/>
      </tp>
      <tp>
        <v>-0.46</v>
        <stp/>
        <stp>DELTA</stp>
        <stp>.SPY250508P570</stp>
        <tr r="CE16" s="1"/>
        <tr r="CE16" s="1"/>
      </tp>
      <tp>
        <v>-0.49</v>
        <stp/>
        <stp>DELTA</stp>
        <stp>.SPY250509P571</stp>
        <tr r="CG15" s="1"/>
        <tr r="CG15" s="1"/>
      </tp>
      <tp>
        <v>1</v>
        <stp/>
        <stp>DELTA</stp>
        <stp>.SPY250508C570</stp>
        <tr r="CD16" s="1"/>
        <tr r="CD16" s="1"/>
      </tp>
      <tp>
        <v>1</v>
        <stp/>
        <stp>DELTA</stp>
        <stp>.SPY250509C571</stp>
        <tr r="CF15" s="1"/>
        <tr r="CF15" s="1"/>
      </tp>
      <tp>
        <v>-0.54</v>
        <stp/>
        <stp>DELTA</stp>
        <stp>.SPY250508P573</stp>
        <tr r="CE13" s="1"/>
        <tr r="CE13" s="1"/>
      </tp>
      <tp>
        <v>-0.51</v>
        <stp/>
        <stp>DELTA</stp>
        <stp>.SPY250509P572</stp>
        <tr r="CG14" s="1"/>
        <tr r="CG14" s="1"/>
      </tp>
      <tp>
        <v>0.02</v>
        <stp/>
        <stp>DELTA</stp>
        <stp>.SPY250508C573</stp>
        <tr r="CD13" s="1"/>
        <tr r="CD13" s="1"/>
      </tp>
      <tp>
        <v>0.03</v>
        <stp/>
        <stp>DELTA</stp>
        <stp>.SPY250509C572</stp>
        <tr r="CF14" s="1"/>
        <tr r="CF14" s="1"/>
      </tp>
      <tp>
        <v>-0.52</v>
        <stp/>
        <stp>DELTA</stp>
        <stp>.SPY250508P572</stp>
        <tr r="CE14" s="1"/>
        <tr r="CE14" s="1"/>
      </tp>
      <tp>
        <v>-0.53</v>
        <stp/>
        <stp>DELTA</stp>
        <stp>.SPY250509P573</stp>
        <tr r="CG13" s="1"/>
        <tr r="CG13" s="1"/>
      </tp>
      <tp>
        <v>0.03</v>
        <stp/>
        <stp>DELTA</stp>
        <stp>.SPY250508C572</stp>
        <tr r="CD14" s="1"/>
        <tr r="CD14" s="1"/>
      </tp>
      <tp>
        <v>0.02</v>
        <stp/>
        <stp>DELTA</stp>
        <stp>.SPY250509C573</stp>
        <tr r="CF13" s="1"/>
        <tr r="CF13" s="1"/>
      </tp>
      <tp>
        <v>-0.56999999999999995</v>
        <stp/>
        <stp>DELTA</stp>
        <stp>.SPY250508P575</stp>
        <tr r="CE11" s="1"/>
        <tr r="CE11" s="1"/>
      </tp>
      <tp>
        <v>-0.55000000000000004</v>
        <stp/>
        <stp>DELTA</stp>
        <stp>.SPY250509P574</stp>
        <tr r="CG12" s="1"/>
        <tr r="CG12" s="1"/>
      </tp>
      <tp>
        <v>0.01</v>
        <stp/>
        <stp>DELTA</stp>
        <stp>.SPY250508C575</stp>
        <tr r="CD11" s="1"/>
        <tr r="CD11" s="1"/>
      </tp>
      <tp>
        <v>0.01</v>
        <stp/>
        <stp>DELTA</stp>
        <stp>.SPY250509C574</stp>
        <tr r="CF12" s="1"/>
        <tr r="CF12" s="1"/>
      </tp>
      <tp>
        <v>-0.55000000000000004</v>
        <stp/>
        <stp>DELTA</stp>
        <stp>.SPY250508P574</stp>
        <tr r="CE12" s="1"/>
        <tr r="CE12" s="1"/>
      </tp>
      <tp>
        <v>-0.56000000000000005</v>
        <stp/>
        <stp>DELTA</stp>
        <stp>.SPY250509P575</stp>
        <tr r="CG11" s="1"/>
        <tr r="CG11" s="1"/>
      </tp>
      <tp>
        <v>0.01</v>
        <stp/>
        <stp>DELTA</stp>
        <stp>.SPY250508C574</stp>
        <tr r="CD12" s="1"/>
        <tr r="CD12" s="1"/>
      </tp>
      <tp>
        <v>0.01</v>
        <stp/>
        <stp>DELTA</stp>
        <stp>.SPY250509C575</stp>
        <tr r="CF11" s="1"/>
        <tr r="CF11" s="1"/>
      </tp>
      <tp>
        <v>-0.6</v>
        <stp/>
        <stp>DELTA</stp>
        <stp>.SPY250508P577</stp>
        <tr r="CE9" s="1"/>
        <tr r="CE9" s="1"/>
      </tp>
      <tp>
        <v>-0.57999999999999996</v>
        <stp/>
        <stp>DELTA</stp>
        <stp>.SPY250509P576</stp>
        <tr r="CG10" s="1"/>
        <tr r="CG10" s="1"/>
      </tp>
      <tp>
        <v>-0.45</v>
        <stp/>
        <stp>DELTA</stp>
        <stp>.SPY250516P569</stp>
        <tr r="CI17" s="1"/>
        <tr r="CI17" s="1"/>
      </tp>
      <tp>
        <v>0.01</v>
        <stp/>
        <stp>DELTA</stp>
        <stp>.SPY250508C577</stp>
        <tr r="CD9" s="1"/>
        <tr r="CD9" s="1"/>
      </tp>
      <tp>
        <v>0.01</v>
        <stp/>
        <stp>DELTA</stp>
        <stp>.SPY250509C576</stp>
        <tr r="CF10" s="1"/>
        <tr r="CF10" s="1"/>
      </tp>
      <tp>
        <v>0.62</v>
        <stp/>
        <stp>DELTA</stp>
        <stp>.SPY250516C569</stp>
        <tr r="CH17" s="1"/>
        <tr r="CH17" s="1"/>
      </tp>
      <tp>
        <v>-0.57999999999999996</v>
        <stp/>
        <stp>DELTA</stp>
        <stp>.SPY250508P576</stp>
        <tr r="CE10" s="1"/>
        <tr r="CE10" s="1"/>
      </tp>
      <tp>
        <v>-0.59</v>
        <stp/>
        <stp>DELTA</stp>
        <stp>.SPY250509P577</stp>
        <tr r="CG9" s="1"/>
        <tr r="CG9" s="1"/>
      </tp>
      <tp>
        <v>-0.44</v>
        <stp/>
        <stp>DELTA</stp>
        <stp>.SPY250516P568</stp>
        <tr r="CI18" s="1"/>
        <tr r="CI18" s="1"/>
      </tp>
      <tp>
        <v>0.01</v>
        <stp/>
        <stp>DELTA</stp>
        <stp>.SPY250508C576</stp>
        <tr r="CD10" s="1"/>
        <tr r="CD10" s="1"/>
      </tp>
      <tp>
        <v>0.01</v>
        <stp/>
        <stp>DELTA</stp>
        <stp>.SPY250509C577</stp>
        <tr r="CF9" s="1"/>
        <tr r="CF9" s="1"/>
      </tp>
      <tp>
        <v>0.69</v>
        <stp/>
        <stp>DELTA</stp>
        <stp>.SPY250516C568</stp>
        <tr r="CH18" s="1"/>
        <tr r="CH18" s="1"/>
      </tp>
      <tp>
        <v>-0.42</v>
        <stp/>
        <stp>DELTA</stp>
        <stp>.SPY250508P569</stp>
        <tr r="CE17" s="1"/>
        <tr r="CE17" s="1"/>
      </tp>
      <tp>
        <v>-0.4</v>
        <stp/>
        <stp>DELTA</stp>
        <stp>.SPY250509P568</stp>
        <tr r="CG18" s="1"/>
        <tr r="CG18" s="1"/>
      </tp>
      <tp>
        <v>-0.56999999999999995</v>
        <stp/>
        <stp>DELTA</stp>
        <stp>.SPY250516P577</stp>
        <tr r="CI9" s="1"/>
        <tr r="CI9" s="1"/>
      </tp>
      <tp>
        <v>1</v>
        <stp/>
        <stp>DELTA</stp>
        <stp>.SPY250508C569</stp>
        <tr r="CD17" s="1"/>
        <tr r="CD17" s="1"/>
      </tp>
      <tp>
        <v>1</v>
        <stp/>
        <stp>DELTA</stp>
        <stp>.SPY250509C568</stp>
        <tr r="CF18" s="1"/>
        <tr r="CF18" s="1"/>
      </tp>
      <tp>
        <v>0.28999999999999998</v>
        <stp/>
        <stp>DELTA</stp>
        <stp>.SPY250516C577</stp>
        <tr r="CH9" s="1"/>
        <tr r="CH9" s="1"/>
      </tp>
      <tp>
        <v>-0.39</v>
        <stp/>
        <stp>DELTA</stp>
        <stp>.SPY250508P568</stp>
        <tr r="CE18" s="1"/>
        <tr r="CE18" s="1"/>
      </tp>
      <tp>
        <v>-0.44</v>
        <stp/>
        <stp>DELTA</stp>
        <stp>.SPY250509P569</stp>
        <tr r="CG17" s="1"/>
        <tr r="CG17" s="1"/>
      </tp>
      <tp>
        <v>-0.56000000000000005</v>
        <stp/>
        <stp>DELTA</stp>
        <stp>.SPY250516P576</stp>
        <tr r="CI10" s="1"/>
        <tr r="CI10" s="1"/>
      </tp>
      <tp>
        <v>1</v>
        <stp/>
        <stp>DELTA</stp>
        <stp>.SPY250508C568</stp>
        <tr r="CD18" s="1"/>
        <tr r="CD18" s="1"/>
      </tp>
      <tp>
        <v>1</v>
        <stp/>
        <stp>DELTA</stp>
        <stp>.SPY250509C569</stp>
        <tr r="CF17" s="1"/>
        <tr r="CF17" s="1"/>
      </tp>
      <tp>
        <v>0.32</v>
        <stp/>
        <stp>DELTA</stp>
        <stp>.SPY250516C576</stp>
        <tr r="CH10" s="1"/>
        <tr r="CH10" s="1"/>
      </tp>
      <tp>
        <v>-0.55000000000000004</v>
        <stp/>
        <stp>DELTA</stp>
        <stp>.SPY250516P575</stp>
        <tr r="CI11" s="1"/>
        <tr r="CI11" s="1"/>
      </tp>
      <tp>
        <v>0.35</v>
        <stp/>
        <stp>DELTA</stp>
        <stp>.SPY250516C575</stp>
        <tr r="CH11" s="1"/>
        <tr r="CH11" s="1"/>
      </tp>
      <tp>
        <v>-0.53</v>
        <stp/>
        <stp>DELTA</stp>
        <stp>.SPY250516P574</stp>
        <tr r="CI12" s="1"/>
        <tr r="CI12" s="1"/>
      </tp>
      <tp>
        <v>0.39</v>
        <stp/>
        <stp>DELTA</stp>
        <stp>.SPY250516C574</stp>
        <tr r="CH12" s="1"/>
        <tr r="CH12" s="1"/>
      </tp>
      <tp>
        <v>-0.52</v>
        <stp/>
        <stp>DELTA</stp>
        <stp>.SPY250516P573</stp>
        <tr r="CI13" s="1"/>
        <tr r="CI13" s="1"/>
      </tp>
      <tp>
        <v>0.43</v>
        <stp/>
        <stp>DELTA</stp>
        <stp>.SPY250516C573</stp>
        <tr r="CH13" s="1"/>
        <tr r="CH13" s="1"/>
      </tp>
      <tp>
        <v>-0.5</v>
        <stp/>
        <stp>DELTA</stp>
        <stp>.SPY250516P572</stp>
        <tr r="CI14" s="1"/>
        <tr r="CI14" s="1"/>
      </tp>
      <tp>
        <v>0.47</v>
        <stp/>
        <stp>DELTA</stp>
        <stp>.SPY250516C572</stp>
        <tr r="CH14" s="1"/>
        <tr r="CH14" s="1"/>
      </tp>
      <tp>
        <v>-0.49</v>
        <stp/>
        <stp>DELTA</stp>
        <stp>.SPY250516P571</stp>
        <tr r="CI15" s="1"/>
        <tr r="CI15" s="1"/>
      </tp>
      <tp>
        <v>0.52</v>
        <stp/>
        <stp>DELTA</stp>
        <stp>.SPY250516C571</stp>
        <tr r="CH15" s="1"/>
        <tr r="CH15" s="1"/>
      </tp>
      <tp>
        <v>-0.47</v>
        <stp/>
        <stp>DELTA</stp>
        <stp>.SPY250516P570</stp>
        <tr r="CI16" s="1"/>
        <tr r="CI16" s="1"/>
      </tp>
      <tp>
        <v>0.56999999999999995</v>
        <stp/>
        <stp>DELTA</stp>
        <stp>.SPY250516C570</stp>
        <tr r="CH16" s="1"/>
        <tr r="CH16" s="1"/>
      </tp>
      <tp>
        <v>-0.01</v>
        <stp/>
        <stp>DELTA</stp>
        <stp>.SPY250508P561</stp>
        <tr r="CE25" s="1"/>
        <tr r="CE25" s="1"/>
      </tp>
      <tp>
        <v>0</v>
        <stp/>
        <stp>DELTA</stp>
        <stp>.SPY250509P560</stp>
        <tr r="CG26" s="1"/>
        <tr r="CG26" s="1"/>
      </tp>
      <tp>
        <v>1</v>
        <stp/>
        <stp>DELTA</stp>
        <stp>.SPY250508C561</stp>
        <tr r="CD25" s="1"/>
        <tr r="CD25" s="1"/>
      </tp>
      <tp>
        <v>1</v>
        <stp/>
        <stp>DELTA</stp>
        <stp>.SPY250509C560</stp>
        <tr r="CF26" s="1"/>
        <tr r="CF26" s="1"/>
      </tp>
      <tp>
        <v>0</v>
        <stp/>
        <stp>DELTA</stp>
        <stp>.SPY250508P560</stp>
        <tr r="CE26" s="1"/>
        <tr r="CE26" s="1"/>
      </tp>
      <tp>
        <v>0</v>
        <stp/>
        <stp>DELTA</stp>
        <stp>.SPY250509P561</stp>
        <tr r="CG25" s="1"/>
        <tr r="CG25" s="1"/>
      </tp>
      <tp>
        <v>1</v>
        <stp/>
        <stp>DELTA</stp>
        <stp>.SPY250508C560</stp>
        <tr r="CD26" s="1"/>
        <tr r="CD26" s="1"/>
      </tp>
      <tp>
        <v>1</v>
        <stp/>
        <stp>DELTA</stp>
        <stp>.SPY250509C561</stp>
        <tr r="CF25" s="1"/>
        <tr r="CF25" s="1"/>
      </tp>
      <tp>
        <v>-0.01</v>
        <stp/>
        <stp>DELTA</stp>
        <stp>.SPY250508P563</stp>
        <tr r="CE23" s="1"/>
        <tr r="CE23" s="1"/>
      </tp>
      <tp>
        <v>0</v>
        <stp/>
        <stp>DELTA</stp>
        <stp>.SPY250509P562</stp>
        <tr r="CG24" s="1"/>
        <tr r="CG24" s="1"/>
      </tp>
      <tp>
        <v>1</v>
        <stp/>
        <stp>DELTA</stp>
        <stp>.SPY250508C563</stp>
        <tr r="CD23" s="1"/>
        <tr r="CD23" s="1"/>
      </tp>
      <tp>
        <v>1</v>
        <stp/>
        <stp>DELTA</stp>
        <stp>.SPY250509C562</stp>
        <tr r="CF24" s="1"/>
        <tr r="CF24" s="1"/>
      </tp>
      <tp>
        <v>-0.01</v>
        <stp/>
        <stp>DELTA</stp>
        <stp>.SPY250508P562</stp>
        <tr r="CE24" s="1"/>
        <tr r="CE24" s="1"/>
      </tp>
      <tp>
        <v>0</v>
        <stp/>
        <stp>DELTA</stp>
        <stp>.SPY250509P563</stp>
        <tr r="CG23" s="1"/>
        <tr r="CG23" s="1"/>
      </tp>
      <tp>
        <v>1</v>
        <stp/>
        <stp>DELTA</stp>
        <stp>.SPY250508C562</stp>
        <tr r="CD24" s="1"/>
        <tr r="CD24" s="1"/>
      </tp>
      <tp>
        <v>1</v>
        <stp/>
        <stp>DELTA</stp>
        <stp>.SPY250509C563</stp>
        <tr r="CF23" s="1"/>
        <tr r="CF23" s="1"/>
      </tp>
      <tp>
        <v>-0.12</v>
        <stp/>
        <stp>DELTA</stp>
        <stp>.SPY250508P565</stp>
        <tr r="CE21" s="1"/>
        <tr r="CE21" s="1"/>
      </tp>
      <tp>
        <v>-0.01</v>
        <stp/>
        <stp>DELTA</stp>
        <stp>.SPY250509P564</stp>
        <tr r="CG22" s="1"/>
        <tr r="CG22" s="1"/>
      </tp>
      <tp>
        <v>1</v>
        <stp/>
        <stp>DELTA</stp>
        <stp>.SPY250508C565</stp>
        <tr r="CD21" s="1"/>
        <tr r="CD21" s="1"/>
      </tp>
      <tp>
        <v>1</v>
        <stp/>
        <stp>DELTA</stp>
        <stp>.SPY250509C564</stp>
        <tr r="CF22" s="1"/>
        <tr r="CF22" s="1"/>
      </tp>
      <tp>
        <v>-0.02</v>
        <stp/>
        <stp>DELTA</stp>
        <stp>.SPY250508P564</stp>
        <tr r="CE22" s="1"/>
        <tr r="CE22" s="1"/>
      </tp>
      <tp>
        <v>-0.17</v>
        <stp/>
        <stp>DELTA</stp>
        <stp>.SPY250509P565</stp>
        <tr r="CG21" s="1"/>
        <tr r="CG21" s="1"/>
      </tp>
      <tp>
        <v>1</v>
        <stp/>
        <stp>DELTA</stp>
        <stp>.SPY250508C564</stp>
        <tr r="CD22" s="1"/>
        <tr r="CD22" s="1"/>
      </tp>
      <tp>
        <v>1</v>
        <stp/>
        <stp>DELTA</stp>
        <stp>.SPY250509C565</stp>
        <tr r="CF21" s="1"/>
        <tr r="CF21" s="1"/>
      </tp>
      <tp>
        <v>-0.33</v>
        <stp/>
        <stp>DELTA</stp>
        <stp>.SPY250508P567</stp>
        <tr r="CE19" s="1"/>
        <tr r="CE19" s="1"/>
      </tp>
      <tp>
        <v>-0.28999999999999998</v>
        <stp/>
        <stp>DELTA</stp>
        <stp>.SPY250509P566</stp>
        <tr r="CG20" s="1"/>
        <tr r="CG20" s="1"/>
      </tp>
      <tp>
        <v>-0.6</v>
        <stp/>
        <stp>DELTA</stp>
        <stp>.SPY250516P579</stp>
        <tr r="CI7" s="1"/>
        <tr r="CI7" s="1"/>
      </tp>
      <tp>
        <v>1</v>
        <stp/>
        <stp>DELTA</stp>
        <stp>.SPY250508C567</stp>
        <tr r="CD19" s="1"/>
        <tr r="CD19" s="1"/>
      </tp>
      <tp>
        <v>1</v>
        <stp/>
        <stp>DELTA</stp>
        <stp>.SPY250509C566</stp>
        <tr r="CF20" s="1"/>
        <tr r="CF20" s="1"/>
      </tp>
      <tp>
        <v>0.23</v>
        <stp/>
        <stp>DELTA</stp>
        <stp>.SPY250516C579</stp>
        <tr r="CH7" s="1"/>
        <tr r="CH7" s="1"/>
      </tp>
      <tp>
        <v>-0.25</v>
        <stp/>
        <stp>DELTA</stp>
        <stp>.SPY250508P566</stp>
        <tr r="CE20" s="1"/>
        <tr r="CE20" s="1"/>
      </tp>
      <tp>
        <v>-0.35</v>
        <stp/>
        <stp>DELTA</stp>
        <stp>.SPY250509P567</stp>
        <tr r="CG19" s="1"/>
        <tr r="CG19" s="1"/>
      </tp>
      <tp>
        <v>-0.57999999999999996</v>
        <stp/>
        <stp>DELTA</stp>
        <stp>.SPY250516P578</stp>
        <tr r="CI8" s="1"/>
        <tr r="CI8" s="1"/>
      </tp>
      <tp>
        <v>1</v>
        <stp/>
        <stp>DELTA</stp>
        <stp>.SPY250508C566</stp>
        <tr r="CD20" s="1"/>
        <tr r="CD20" s="1"/>
      </tp>
      <tp>
        <v>1</v>
        <stp/>
        <stp>DELTA</stp>
        <stp>.SPY250509C567</stp>
        <tr r="CF19" s="1"/>
        <tr r="CF19" s="1"/>
      </tp>
      <tp>
        <v>0.25</v>
        <stp/>
        <stp>DELTA</stp>
        <stp>.SPY250516C578</stp>
        <tr r="CH8" s="1"/>
        <tr r="CH8" s="1"/>
      </tp>
      <tp>
        <v>495.78</v>
        <stp/>
        <stp>MARK</stp>
        <stp>QQQ</stp>
        <tr r="A44" s="1"/>
        <tr r="G136" s="1"/>
      </tp>
      <tp>
        <v>10.01</v>
        <stp/>
        <stp>LAST</stp>
        <stp>.QQQ250508P502</stp>
        <tr r="DB45" s="1"/>
        <tr r="DB45" s="1"/>
      </tp>
      <tp>
        <v>0.01</v>
        <stp/>
        <stp>LAST</stp>
        <stp>.QQQ250508C502</stp>
        <tr r="DA45" s="1"/>
        <tr r="DA45" s="1"/>
      </tp>
      <tp>
        <v>11.59</v>
        <stp/>
        <stp>LAST</stp>
        <stp>.QQQ250508P500</stp>
        <tr r="DB47" s="1"/>
        <tr r="DB47" s="1"/>
      </tp>
      <tp>
        <v>0.01</v>
        <stp/>
        <stp>LAST</stp>
        <stp>.QQQ250508C500</stp>
        <tr r="DA47" s="1"/>
        <tr r="DA47" s="1"/>
      </tp>
      <tp>
        <v>9.35</v>
        <stp/>
        <stp>LAST</stp>
        <stp>.QQQ250508P501</stp>
        <tr r="DB46" s="1"/>
        <tr r="DB46" s="1"/>
      </tp>
      <tp>
        <v>0.01</v>
        <stp/>
        <stp>LAST</stp>
        <stp>.QQQ250508C501</stp>
        <tr r="DA46" s="1"/>
        <tr r="DA46" s="1"/>
      </tp>
      <tp>
        <v>0.02</v>
        <stp/>
        <stp>LAST</stp>
        <stp>.QQQ250508P486</stp>
        <tr r="DB61" s="1"/>
        <tr r="DB61" s="1"/>
      </tp>
      <tp>
        <v>2.31</v>
        <stp/>
        <stp>LAST</stp>
        <stp>.QQQ250508C486</stp>
        <tr r="DA61" s="1"/>
        <tr r="DA61" s="1"/>
      </tp>
      <tp>
        <v>0.04</v>
        <stp/>
        <stp>LAST</stp>
        <stp>.QQQ250508P487</stp>
        <tr r="DB60" s="1"/>
        <tr r="DB60" s="1"/>
      </tp>
      <tp>
        <v>1.3</v>
        <stp/>
        <stp>LAST</stp>
        <stp>.QQQ250508C487</stp>
        <tr r="DA60" s="1"/>
        <tr r="DA60" s="1"/>
      </tp>
      <tp>
        <v>0.01</v>
        <stp/>
        <stp>LAST</stp>
        <stp>.QQQ250508P484</stp>
        <tr r="DB63" s="1"/>
        <tr r="DB63" s="1"/>
      </tp>
      <tp>
        <v>4.34</v>
        <stp/>
        <stp>LAST</stp>
        <stp>.QQQ250508C484</stp>
        <tr r="DA63" s="1"/>
        <tr r="DA63" s="1"/>
      </tp>
      <tp>
        <v>0.01</v>
        <stp/>
        <stp>LAST</stp>
        <stp>.QQQ250508P485</stp>
        <tr r="DB62" s="1"/>
        <tr r="DB62" s="1"/>
      </tp>
      <tp>
        <v>3.2</v>
        <stp/>
        <stp>LAST</stp>
        <stp>.QQQ250508C485</stp>
        <tr r="DA62" s="1"/>
        <tr r="DA62" s="1"/>
      </tp>
      <tp>
        <v>0.01</v>
        <stp/>
        <stp>LAST</stp>
        <stp>.QQQ250508P482</stp>
        <tr r="DB65" s="1"/>
        <tr r="DB65" s="1"/>
      </tp>
      <tp>
        <v>6.69</v>
        <stp/>
        <stp>LAST</stp>
        <stp>.QQQ250508C482</stp>
        <tr r="DA65" s="1"/>
        <tr r="DA65" s="1"/>
      </tp>
      <tp>
        <v>0.01</v>
        <stp/>
        <stp>LAST</stp>
        <stp>.QQQ250508P483</stp>
        <tr r="DB64" s="1"/>
        <tr r="DB64" s="1"/>
      </tp>
      <tp>
        <v>5.72</v>
        <stp/>
        <stp>LAST</stp>
        <stp>.QQQ250508C483</stp>
        <tr r="DA64" s="1"/>
        <tr r="DA64" s="1"/>
      </tp>
      <tp>
        <v>0.01</v>
        <stp/>
        <stp>LAST</stp>
        <stp>.QQQ250508P480</stp>
        <tr r="DB67" s="1"/>
        <tr r="DB67" s="1"/>
      </tp>
      <tp>
        <v>8.36</v>
        <stp/>
        <stp>LAST</stp>
        <stp>.QQQ250508C480</stp>
        <tr r="DA67" s="1"/>
        <tr r="DA67" s="1"/>
      </tp>
      <tp>
        <v>0.01</v>
        <stp/>
        <stp>LAST</stp>
        <stp>.QQQ250508P481</stp>
        <tr r="DB66" s="1"/>
        <tr r="DB66" s="1"/>
      </tp>
      <tp>
        <v>7.34</v>
        <stp/>
        <stp>LAST</stp>
        <stp>.QQQ250508C481</stp>
        <tr r="DA66" s="1"/>
        <tr r="DA66" s="1"/>
      </tp>
      <tp>
        <v>0.25</v>
        <stp/>
        <stp>LAST</stp>
        <stp>.QQQ250508P488</stp>
        <tr r="DB59" s="1"/>
        <tr r="DB59" s="1"/>
      </tp>
      <tp>
        <v>0.4</v>
        <stp/>
        <stp>LAST</stp>
        <stp>.QQQ250508C488</stp>
        <tr r="DA59" s="1"/>
        <tr r="DA59" s="1"/>
      </tp>
      <tp>
        <v>0.82</v>
        <stp/>
        <stp>LAST</stp>
        <stp>.QQQ250508P489</stp>
        <tr r="DB58" s="1"/>
        <tr r="DB58" s="1"/>
      </tp>
      <tp>
        <v>0.06</v>
        <stp/>
        <stp>LAST</stp>
        <stp>.QQQ250508C489</stp>
        <tr r="DA58" s="1"/>
        <tr r="DA58" s="1"/>
      </tp>
      <tp>
        <v>7.72</v>
        <stp/>
        <stp>LAST</stp>
        <stp>.QQQ250508P496</stp>
        <tr r="DB51" s="1"/>
        <tr r="DB51" s="1"/>
      </tp>
      <tp>
        <v>0.01</v>
        <stp/>
        <stp>LAST</stp>
        <stp>.QQQ250508C496</stp>
        <tr r="DA51" s="1"/>
        <tr r="DA51" s="1"/>
      </tp>
      <tp>
        <v>8.34</v>
        <stp/>
        <stp>LAST</stp>
        <stp>.QQQ250508P497</stp>
        <tr r="DB50" s="1"/>
        <tr r="DB50" s="1"/>
      </tp>
      <tp>
        <v>0.01</v>
        <stp/>
        <stp>LAST</stp>
        <stp>.QQQ250508C497</stp>
        <tr r="DA50" s="1"/>
        <tr r="DA50" s="1"/>
      </tp>
      <tp>
        <v>5.27</v>
        <stp/>
        <stp>LAST</stp>
        <stp>.QQQ250508P494</stp>
        <tr r="DB53" s="1"/>
        <tr r="DB53" s="1"/>
      </tp>
      <tp>
        <v>0.01</v>
        <stp/>
        <stp>LAST</stp>
        <stp>.QQQ250508C494</stp>
        <tr r="DA53" s="1"/>
        <tr r="DA53" s="1"/>
      </tp>
      <tp>
        <v>6.28</v>
        <stp/>
        <stp>LAST</stp>
        <stp>.QQQ250508P495</stp>
        <tr r="DB52" s="1"/>
        <tr r="DB52" s="1"/>
      </tp>
      <tp>
        <v>0.01</v>
        <stp/>
        <stp>LAST</stp>
        <stp>.QQQ250508C495</stp>
        <tr r="DA52" s="1"/>
        <tr r="DA52" s="1"/>
      </tp>
      <tp>
        <v>3.66</v>
        <stp/>
        <stp>LAST</stp>
        <stp>.QQQ250508P492</stp>
        <tr r="DB55" s="1"/>
        <tr r="DB55" s="1"/>
      </tp>
      <tp>
        <v>0.01</v>
        <stp/>
        <stp>LAST</stp>
        <stp>.QQQ250508C492</stp>
        <tr r="DA55" s="1"/>
        <tr r="DA55" s="1"/>
      </tp>
      <tp>
        <v>4.22</v>
        <stp/>
        <stp>LAST</stp>
        <stp>.QQQ250508P493</stp>
        <tr r="DB54" s="1"/>
        <tr r="DB54" s="1"/>
      </tp>
      <tp>
        <v>0.01</v>
        <stp/>
        <stp>LAST</stp>
        <stp>.QQQ250508C493</stp>
        <tr r="DA54" s="1"/>
        <tr r="DA54" s="1"/>
      </tp>
      <tp>
        <v>1.75</v>
        <stp/>
        <stp>LAST</stp>
        <stp>.QQQ250508P490</stp>
        <tr r="DB57" s="1"/>
        <tr r="DB57" s="1"/>
      </tp>
      <tp>
        <v>0.02</v>
        <stp/>
        <stp>LAST</stp>
        <stp>.QQQ250508C490</stp>
        <tr r="DA57" s="1"/>
        <tr r="DA57" s="1"/>
      </tp>
      <tp>
        <v>2.74</v>
        <stp/>
        <stp>LAST</stp>
        <stp>.QQQ250508P491</stp>
        <tr r="DB56" s="1"/>
        <tr r="DB56" s="1"/>
      </tp>
      <tp>
        <v>0.01</v>
        <stp/>
        <stp>LAST</stp>
        <stp>.QQQ250508C491</stp>
        <tr r="DA56" s="1"/>
        <tr r="DA56" s="1"/>
      </tp>
      <tp>
        <v>9.73</v>
        <stp/>
        <stp>LAST</stp>
        <stp>.QQQ250508P498</stp>
        <tr r="DB49" s="1"/>
        <tr r="DB49" s="1"/>
      </tp>
      <tp>
        <v>0.01</v>
        <stp/>
        <stp>LAST</stp>
        <stp>.QQQ250508C498</stp>
        <tr r="DA49" s="1"/>
        <tr r="DA49" s="1"/>
      </tp>
      <tp>
        <v>10.1</v>
        <stp/>
        <stp>LAST</stp>
        <stp>.QQQ250508P499</stp>
        <tr r="DB48" s="1"/>
        <tr r="DB48" s="1"/>
      </tp>
      <tp>
        <v>0.01</v>
        <stp/>
        <stp>LAST</stp>
        <stp>.QQQ250508C499</stp>
        <tr r="DA48" s="1"/>
        <tr r="DA48" s="1"/>
      </tp>
      <tp>
        <v>0.01</v>
        <stp/>
        <stp>LAST</stp>
        <stp>.QQQ250508P468</stp>
        <tr r="DB79" s="1"/>
        <tr r="DB79" s="1"/>
      </tp>
      <tp>
        <v>20.350000000000001</v>
        <stp/>
        <stp>LAST</stp>
        <stp>.QQQ250508C468</stp>
        <tr r="DA79" s="1"/>
        <tr r="DA79" s="1"/>
      </tp>
      <tp>
        <v>0.01</v>
        <stp/>
        <stp>LAST</stp>
        <stp>.QQQ250508P469</stp>
        <tr r="DB78" s="1"/>
        <tr r="DB78" s="1"/>
      </tp>
      <tp>
        <v>22.33</v>
        <stp/>
        <stp>LAST</stp>
        <stp>.QQQ250508C469</stp>
        <tr r="DA78" s="1"/>
        <tr r="DA78" s="1"/>
      </tp>
      <tp>
        <v>0.01</v>
        <stp/>
        <stp>LAST</stp>
        <stp>.QQQ250508P476</stp>
        <tr r="DB71" s="1"/>
        <tr r="DB71" s="1"/>
      </tp>
      <tp>
        <v>15.1</v>
        <stp/>
        <stp>LAST</stp>
        <stp>.QQQ250508C476</stp>
        <tr r="DA71" s="1"/>
        <tr r="DA71" s="1"/>
      </tp>
      <tp>
        <v>0.01</v>
        <stp/>
        <stp>LAST</stp>
        <stp>.QQQ250508P477</stp>
        <tr r="DB70" s="1"/>
        <tr r="DB70" s="1"/>
      </tp>
      <tp>
        <v>11.63</v>
        <stp/>
        <stp>LAST</stp>
        <stp>.QQQ250508C477</stp>
        <tr r="DA70" s="1"/>
        <tr r="DA70" s="1"/>
      </tp>
      <tp>
        <v>0.01</v>
        <stp/>
        <stp>LAST</stp>
        <stp>.QQQ250508P474</stp>
        <tr r="DB73" s="1"/>
        <tr r="DB73" s="1"/>
      </tp>
      <tp>
        <v>16.149999999999999</v>
        <stp/>
        <stp>LAST</stp>
        <stp>.QQQ250508C474</stp>
        <tr r="DA73" s="1"/>
        <tr r="DA73" s="1"/>
      </tp>
      <tp>
        <v>0.01</v>
        <stp/>
        <stp>LAST</stp>
        <stp>.QQQ250508P475</stp>
        <tr r="DB72" s="1"/>
        <tr r="DB72" s="1"/>
      </tp>
      <tp>
        <v>13.95</v>
        <stp/>
        <stp>LAST</stp>
        <stp>.QQQ250508C475</stp>
        <tr r="DA72" s="1"/>
        <tr r="DA72" s="1"/>
      </tp>
      <tp>
        <v>0.01</v>
        <stp/>
        <stp>LAST</stp>
        <stp>.QQQ250508P472</stp>
        <tr r="DB75" s="1"/>
        <tr r="DB75" s="1"/>
      </tp>
      <tp>
        <v>18.73</v>
        <stp/>
        <stp>LAST</stp>
        <stp>.QQQ250508C472</stp>
        <tr r="DA75" s="1"/>
        <tr r="DA75" s="1"/>
      </tp>
      <tp>
        <v>0.01</v>
        <stp/>
        <stp>LAST</stp>
        <stp>.QQQ250508P473</stp>
        <tr r="DB74" s="1"/>
        <tr r="DB74" s="1"/>
      </tp>
      <tp>
        <v>16.34</v>
        <stp/>
        <stp>LAST</stp>
        <stp>.QQQ250508C473</stp>
        <tr r="DA74" s="1"/>
        <tr r="DA74" s="1"/>
      </tp>
      <tp>
        <v>0.01</v>
        <stp/>
        <stp>LAST</stp>
        <stp>.QQQ250508P470</stp>
        <tr r="DB77" s="1"/>
        <tr r="DB77" s="1"/>
      </tp>
      <tp>
        <v>18.34</v>
        <stp/>
        <stp>LAST</stp>
        <stp>.QQQ250508C470</stp>
        <tr r="DA77" s="1"/>
        <tr r="DA77" s="1"/>
      </tp>
      <tp>
        <v>0.01</v>
        <stp/>
        <stp>LAST</stp>
        <stp>.QQQ250508P471</stp>
        <tr r="DB76" s="1"/>
        <tr r="DB76" s="1"/>
      </tp>
      <tp>
        <v>17.72</v>
        <stp/>
        <stp>LAST</stp>
        <stp>.QQQ250508C471</stp>
        <tr r="DA76" s="1"/>
        <tr r="DA76" s="1"/>
      </tp>
      <tp>
        <v>0.01</v>
        <stp/>
        <stp>LAST</stp>
        <stp>.QQQ250508P478</stp>
        <tr r="DB69" s="1"/>
        <tr r="DB69" s="1"/>
      </tp>
      <tp>
        <v>10.35</v>
        <stp/>
        <stp>LAST</stp>
        <stp>.QQQ250508C478</stp>
        <tr r="DA69" s="1"/>
        <tr r="DA69" s="1"/>
      </tp>
      <tp>
        <v>0.01</v>
        <stp/>
        <stp>LAST</stp>
        <stp>.QQQ250508P479</stp>
        <tr r="DB68" s="1"/>
        <tr r="DB68" s="1"/>
      </tp>
      <tp>
        <v>9.68</v>
        <stp/>
        <stp>LAST</stp>
        <stp>.QQQ250508C479</stp>
        <tr r="DA68" s="1"/>
        <tr r="DA68" s="1"/>
      </tp>
      <tp>
        <v>-0.32</v>
        <stp/>
        <stp>DELTA</stp>
        <stp>.QQQ250516P485</stp>
        <tr r="CI62" s="1"/>
        <tr r="CI62" s="1"/>
      </tp>
      <tp>
        <v>1</v>
        <stp/>
        <stp>DELTA</stp>
        <stp>.QQQ250516C485</stp>
        <tr r="CH62" s="1"/>
        <tr r="CH62" s="1"/>
      </tp>
      <tp>
        <v>-0.3</v>
        <stp/>
        <stp>DELTA</stp>
        <stp>.QQQ250516P484</stp>
        <tr r="CI63" s="1"/>
        <tr r="CI63" s="1"/>
      </tp>
      <tp>
        <v>1</v>
        <stp/>
        <stp>DELTA</stp>
        <stp>.QQQ250516C484</stp>
        <tr r="CH63" s="1"/>
        <tr r="CH63" s="1"/>
      </tp>
      <tp>
        <v>-0.55000000000000004</v>
        <stp/>
        <stp>DELTA</stp>
        <stp>.QQQ250508P499</stp>
        <tr r="CE48" s="1"/>
        <tr r="CE48" s="1"/>
      </tp>
      <tp>
        <v>-0.53</v>
        <stp/>
        <stp>DELTA</stp>
        <stp>.QQQ250509P498</stp>
        <tr r="CG49" s="1"/>
        <tr r="CG49" s="1"/>
      </tp>
      <tp>
        <v>-0.35</v>
        <stp/>
        <stp>DELTA</stp>
        <stp>.QQQ250516P487</stp>
        <tr r="CI60" s="1"/>
        <tr r="CI60" s="1"/>
      </tp>
      <tp>
        <v>0.01</v>
        <stp/>
        <stp>DELTA</stp>
        <stp>.QQQ250508C499</stp>
        <tr r="CD48" s="1"/>
        <tr r="CD48" s="1"/>
      </tp>
      <tp>
        <v>0.01</v>
        <stp/>
        <stp>DELTA</stp>
        <stp>.QQQ250509C498</stp>
        <tr r="CF49" s="1"/>
        <tr r="CF49" s="1"/>
      </tp>
      <tp>
        <v>1</v>
        <stp/>
        <stp>DELTA</stp>
        <stp>.QQQ250516C487</stp>
        <tr r="CH60" s="1"/>
        <tr r="CH60" s="1"/>
      </tp>
      <tp>
        <v>-0.53</v>
        <stp/>
        <stp>DELTA</stp>
        <stp>.QQQ250508P498</stp>
        <tr r="CE49" s="1"/>
        <tr r="CE49" s="1"/>
      </tp>
      <tp>
        <v>-0.55000000000000004</v>
        <stp/>
        <stp>DELTA</stp>
        <stp>.QQQ250509P499</stp>
        <tr r="CG48" s="1"/>
        <tr r="CG48" s="1"/>
      </tp>
      <tp>
        <v>-0.33</v>
        <stp/>
        <stp>DELTA</stp>
        <stp>.QQQ250516P486</stp>
        <tr r="CI61" s="1"/>
        <tr r="CI61" s="1"/>
      </tp>
      <tp>
        <v>0.01</v>
        <stp/>
        <stp>DELTA</stp>
        <stp>.QQQ250508C498</stp>
        <tr r="CD49" s="1"/>
        <tr r="CD49" s="1"/>
      </tp>
      <tp>
        <v>0.01</v>
        <stp/>
        <stp>DELTA</stp>
        <stp>.QQQ250509C499</stp>
        <tr r="CF48" s="1"/>
        <tr r="CF48" s="1"/>
      </tp>
      <tp>
        <v>1</v>
        <stp/>
        <stp>DELTA</stp>
        <stp>.QQQ250516C486</stp>
        <tr r="CH61" s="1"/>
        <tr r="CH61" s="1"/>
      </tp>
      <tp>
        <v>-0.25</v>
        <stp/>
        <stp>DELTA</stp>
        <stp>.QQQ250516P481</stp>
        <tr r="CI66" s="1"/>
        <tr r="CI66" s="1"/>
      </tp>
      <tp>
        <v>1</v>
        <stp/>
        <stp>DELTA</stp>
        <stp>.QQQ250516C481</stp>
        <tr r="CH66" s="1"/>
        <tr r="CH66" s="1"/>
      </tp>
      <tp>
        <v>-0.24</v>
        <stp/>
        <stp>DELTA</stp>
        <stp>.QQQ250516P480</stp>
        <tr r="CI67" s="1"/>
        <tr r="CI67" s="1"/>
      </tp>
      <tp>
        <v>1</v>
        <stp/>
        <stp>DELTA</stp>
        <stp>.QQQ250516C480</stp>
        <tr r="CH67" s="1"/>
        <tr r="CH67" s="1"/>
      </tp>
      <tp>
        <v>-0.28000000000000003</v>
        <stp/>
        <stp>DELTA</stp>
        <stp>.QQQ250516P483</stp>
        <tr r="CI64" s="1"/>
        <tr r="CI64" s="1"/>
      </tp>
      <tp>
        <v>1</v>
        <stp/>
        <stp>DELTA</stp>
        <stp>.QQQ250516C483</stp>
        <tr r="CH64" s="1"/>
        <tr r="CH64" s="1"/>
      </tp>
      <tp>
        <v>-0.27</v>
        <stp/>
        <stp>DELTA</stp>
        <stp>.QQQ250516P482</stp>
        <tr r="CI65" s="1"/>
        <tr r="CI65" s="1"/>
      </tp>
      <tp>
        <v>1</v>
        <stp/>
        <stp>DELTA</stp>
        <stp>.QQQ250516C482</stp>
        <tr r="CH65" s="1"/>
        <tr r="CH65" s="1"/>
      </tp>
      <tp>
        <v>-0.43</v>
        <stp/>
        <stp>DELTA</stp>
        <stp>.QQQ250508P493</stp>
        <tr r="CE54" s="1"/>
        <tr r="CE54" s="1"/>
      </tp>
      <tp>
        <v>-0.39</v>
        <stp/>
        <stp>DELTA</stp>
        <stp>.QQQ250509P492</stp>
        <tr r="CG55" s="1"/>
        <tr r="CG55" s="1"/>
      </tp>
      <tp>
        <v>1</v>
        <stp/>
        <stp>DELTA</stp>
        <stp>.QQQ250508C493</stp>
        <tr r="CD54" s="1"/>
        <tr r="CD54" s="1"/>
      </tp>
      <tp>
        <v>1</v>
        <stp/>
        <stp>DELTA</stp>
        <stp>.QQQ250509C492</stp>
        <tr r="CF55" s="1"/>
        <tr r="CF55" s="1"/>
      </tp>
      <tp>
        <v>-0.39</v>
        <stp/>
        <stp>DELTA</stp>
        <stp>.QQQ250508P492</stp>
        <tr r="CE55" s="1"/>
        <tr r="CE55" s="1"/>
      </tp>
      <tp>
        <v>-0.42</v>
        <stp/>
        <stp>DELTA</stp>
        <stp>.QQQ250509P493</stp>
        <tr r="CG54" s="1"/>
        <tr r="CG54" s="1"/>
      </tp>
      <tp>
        <v>1</v>
        <stp/>
        <stp>DELTA</stp>
        <stp>.QQQ250508C492</stp>
        <tr r="CD55" s="1"/>
        <tr r="CD55" s="1"/>
      </tp>
      <tp>
        <v>1</v>
        <stp/>
        <stp>DELTA</stp>
        <stp>.QQQ250509C493</stp>
        <tr r="CF54" s="1"/>
        <tr r="CF54" s="1"/>
      </tp>
      <tp>
        <v>-0.34</v>
        <stp/>
        <stp>DELTA</stp>
        <stp>.QQQ250508P491</stp>
        <tr r="CE56" s="1"/>
        <tr r="CE56" s="1"/>
      </tp>
      <tp>
        <v>-0.3</v>
        <stp/>
        <stp>DELTA</stp>
        <stp>.QQQ250509P490</stp>
        <tr r="CG57" s="1"/>
        <tr r="CG57" s="1"/>
      </tp>
      <tp>
        <v>1</v>
        <stp/>
        <stp>DELTA</stp>
        <stp>.QQQ250508C491</stp>
        <tr r="CD56" s="1"/>
        <tr r="CD56" s="1"/>
      </tp>
      <tp>
        <v>1</v>
        <stp/>
        <stp>DELTA</stp>
        <stp>.QQQ250509C490</stp>
        <tr r="CF57" s="1"/>
        <tr r="CF57" s="1"/>
      </tp>
      <tp>
        <v>-0.28999999999999998</v>
        <stp/>
        <stp>DELTA</stp>
        <stp>.QQQ250508P490</stp>
        <tr r="CE57" s="1"/>
        <tr r="CE57" s="1"/>
      </tp>
      <tp>
        <v>-0.35</v>
        <stp/>
        <stp>DELTA</stp>
        <stp>.QQQ250509P491</stp>
        <tr r="CG56" s="1"/>
        <tr r="CG56" s="1"/>
      </tp>
      <tp>
        <v>1</v>
        <stp/>
        <stp>DELTA</stp>
        <stp>.QQQ250508C490</stp>
        <tr r="CD57" s="1"/>
        <tr r="CD57" s="1"/>
      </tp>
      <tp>
        <v>1</v>
        <stp/>
        <stp>DELTA</stp>
        <stp>.QQQ250509C491</stp>
        <tr r="CF56" s="1"/>
        <tr r="CF56" s="1"/>
      </tp>
      <tp>
        <v>-0.52</v>
        <stp/>
        <stp>DELTA</stp>
        <stp>.QQQ250508P497</stp>
        <tr r="CE50" s="1"/>
        <tr r="CE50" s="1"/>
      </tp>
      <tp>
        <v>-0.5</v>
        <stp/>
        <stp>DELTA</stp>
        <stp>.QQQ250509P496</stp>
        <tr r="CG51" s="1"/>
        <tr r="CG51" s="1"/>
      </tp>
      <tp>
        <v>-0.38</v>
        <stp/>
        <stp>DELTA</stp>
        <stp>.QQQ250516P489</stp>
        <tr r="CI58" s="1"/>
        <tr r="CI58" s="1"/>
      </tp>
      <tp>
        <v>0.02</v>
        <stp/>
        <stp>DELTA</stp>
        <stp>.QQQ250508C497</stp>
        <tr r="CD50" s="1"/>
        <tr r="CD50" s="1"/>
      </tp>
      <tp>
        <v>7.0000000000000007E-2</v>
        <stp/>
        <stp>DELTA</stp>
        <stp>.QQQ250509C496</stp>
        <tr r="CF51" s="1"/>
        <tr r="CF51" s="1"/>
      </tp>
      <tp>
        <v>1</v>
        <stp/>
        <stp>DELTA</stp>
        <stp>.QQQ250516C489</stp>
        <tr r="CH58" s="1"/>
        <tr r="CH58" s="1"/>
      </tp>
      <tp>
        <v>-0.5</v>
        <stp/>
        <stp>DELTA</stp>
        <stp>.QQQ250508P496</stp>
        <tr r="CE51" s="1"/>
        <tr r="CE51" s="1"/>
      </tp>
      <tp>
        <v>-0.51</v>
        <stp/>
        <stp>DELTA</stp>
        <stp>.QQQ250509P497</stp>
        <tr r="CG50" s="1"/>
        <tr r="CG50" s="1"/>
      </tp>
      <tp>
        <v>-0.36</v>
        <stp/>
        <stp>DELTA</stp>
        <stp>.QQQ250516P488</stp>
        <tr r="CI59" s="1"/>
        <tr r="CI59" s="1"/>
      </tp>
      <tp>
        <v>7.0000000000000007E-2</v>
        <stp/>
        <stp>DELTA</stp>
        <stp>.QQQ250508C496</stp>
        <tr r="CD51" s="1"/>
        <tr r="CD51" s="1"/>
      </tp>
      <tp>
        <v>0.02</v>
        <stp/>
        <stp>DELTA</stp>
        <stp>.QQQ250509C497</stp>
        <tr r="CF50" s="1"/>
        <tr r="CF50" s="1"/>
      </tp>
      <tp>
        <v>1</v>
        <stp/>
        <stp>DELTA</stp>
        <stp>.QQQ250516C488</stp>
        <tr r="CH59" s="1"/>
        <tr r="CH59" s="1"/>
      </tp>
      <tp>
        <v>-0.48</v>
        <stp/>
        <stp>DELTA</stp>
        <stp>.QQQ250508P495</stp>
        <tr r="CE52" s="1"/>
        <tr r="CE52" s="1"/>
      </tp>
      <tp>
        <v>-0.45</v>
        <stp/>
        <stp>DELTA</stp>
        <stp>.QQQ250509P494</stp>
        <tr r="CG53" s="1"/>
        <tr r="CG53" s="1"/>
      </tp>
      <tp>
        <v>1</v>
        <stp/>
        <stp>DELTA</stp>
        <stp>.QQQ250508C495</stp>
        <tr r="CD52" s="1"/>
        <tr r="CD52" s="1"/>
      </tp>
      <tp>
        <v>1</v>
        <stp/>
        <stp>DELTA</stp>
        <stp>.QQQ250509C494</stp>
        <tr r="CF53" s="1"/>
        <tr r="CF53" s="1"/>
      </tp>
      <tp>
        <v>-0.45</v>
        <stp/>
        <stp>DELTA</stp>
        <stp>.QQQ250508P494</stp>
        <tr r="CE53" s="1"/>
        <tr r="CE53" s="1"/>
      </tp>
      <tp>
        <v>-0.48</v>
        <stp/>
        <stp>DELTA</stp>
        <stp>.QQQ250509P495</stp>
        <tr r="CG52" s="1"/>
        <tr r="CG52" s="1"/>
      </tp>
      <tp>
        <v>1</v>
        <stp/>
        <stp>DELTA</stp>
        <stp>.QQQ250508C494</stp>
        <tr r="CD53" s="1"/>
        <tr r="CD53" s="1"/>
      </tp>
      <tp>
        <v>1</v>
        <stp/>
        <stp>DELTA</stp>
        <stp>.QQQ250509C495</stp>
        <tr r="CF52" s="1"/>
        <tr r="CF52" s="1"/>
      </tp>
      <tp>
        <v>-0.47</v>
        <stp/>
        <stp>DELTA</stp>
        <stp>.QQQ250516P495</stp>
        <tr r="CI52" s="1"/>
        <tr r="CI52" s="1"/>
      </tp>
      <tp>
        <v>0.56000000000000005</v>
        <stp/>
        <stp>DELTA</stp>
        <stp>.QQQ250516C495</stp>
        <tr r="CH52" s="1"/>
        <tr r="CH52" s="1"/>
      </tp>
      <tp>
        <v>-0.46</v>
        <stp/>
        <stp>DELTA</stp>
        <stp>.QQQ250516P494</stp>
        <tr r="CI53" s="1"/>
        <tr r="CI53" s="1"/>
      </tp>
      <tp>
        <v>0.62</v>
        <stp/>
        <stp>DELTA</stp>
        <stp>.QQQ250516C494</stp>
        <tr r="CH53" s="1"/>
        <tr r="CH53" s="1"/>
      </tp>
      <tp>
        <v>-0.21</v>
        <stp/>
        <stp>DELTA</stp>
        <stp>.QQQ250508P489</stp>
        <tr r="CE58" s="1"/>
        <tr r="CE58" s="1"/>
      </tp>
      <tp>
        <v>-0.09</v>
        <stp/>
        <stp>DELTA</stp>
        <stp>.QQQ250509P488</stp>
        <tr r="CG59" s="1"/>
        <tr r="CG59" s="1"/>
      </tp>
      <tp>
        <v>-0.5</v>
        <stp/>
        <stp>DELTA</stp>
        <stp>.QQQ250516P497</stp>
        <tr r="CI50" s="1"/>
        <tr r="CI50" s="1"/>
      </tp>
      <tp>
        <v>1</v>
        <stp/>
        <stp>DELTA</stp>
        <stp>.QQQ250508C489</stp>
        <tr r="CD58" s="1"/>
        <tr r="CD58" s="1"/>
      </tp>
      <tp>
        <v>1</v>
        <stp/>
        <stp>DELTA</stp>
        <stp>.QQQ250509C488</stp>
        <tr r="CF59" s="1"/>
        <tr r="CF59" s="1"/>
      </tp>
      <tp>
        <v>0.46</v>
        <stp/>
        <stp>DELTA</stp>
        <stp>.QQQ250516C497</stp>
        <tr r="CH50" s="1"/>
        <tr r="CH50" s="1"/>
      </tp>
      <tp>
        <v>-0.1</v>
        <stp/>
        <stp>DELTA</stp>
        <stp>.QQQ250508P488</stp>
        <tr r="CE59" s="1"/>
        <tr r="CE59" s="1"/>
      </tp>
      <tp>
        <v>-0.22</v>
        <stp/>
        <stp>DELTA</stp>
        <stp>.QQQ250509P489</stp>
        <tr r="CG58" s="1"/>
        <tr r="CG58" s="1"/>
      </tp>
      <tp>
        <v>-0.49</v>
        <stp/>
        <stp>DELTA</stp>
        <stp>.QQQ250516P496</stp>
        <tr r="CI51" s="1"/>
        <tr r="CI51" s="1"/>
      </tp>
      <tp>
        <v>1</v>
        <stp/>
        <stp>DELTA</stp>
        <stp>.QQQ250508C488</stp>
        <tr r="CD59" s="1"/>
        <tr r="CD59" s="1"/>
      </tp>
      <tp>
        <v>1</v>
        <stp/>
        <stp>DELTA</stp>
        <stp>.QQQ250509C489</stp>
        <tr r="CF58" s="1"/>
        <tr r="CF58" s="1"/>
      </tp>
      <tp>
        <v>0.51</v>
        <stp/>
        <stp>DELTA</stp>
        <stp>.QQQ250516C496</stp>
        <tr r="CH51" s="1"/>
        <tr r="CH51" s="1"/>
      </tp>
      <tp>
        <v>-0.41</v>
        <stp/>
        <stp>DELTA</stp>
        <stp>.QQQ250516P491</stp>
        <tr r="CI56" s="1"/>
        <tr r="CI56" s="1"/>
      </tp>
      <tp>
        <v>0.9</v>
        <stp/>
        <stp>DELTA</stp>
        <stp>.QQQ250516C491</stp>
        <tr r="CH56" s="1"/>
        <tr r="CH56" s="1"/>
      </tp>
      <tp>
        <v>-0.4</v>
        <stp/>
        <stp>DELTA</stp>
        <stp>.QQQ250516P490</stp>
        <tr r="CI57" s="1"/>
        <tr r="CI57" s="1"/>
      </tp>
      <tp>
        <v>1</v>
        <stp/>
        <stp>DELTA</stp>
        <stp>.QQQ250516C490</stp>
        <tr r="CH57" s="1"/>
        <tr r="CH57" s="1"/>
      </tp>
      <tp>
        <v>-0.44</v>
        <stp/>
        <stp>DELTA</stp>
        <stp>.QQQ250516P493</stp>
        <tr r="CI54" s="1"/>
        <tr r="CI54" s="1"/>
      </tp>
      <tp>
        <v>0.68</v>
        <stp/>
        <stp>DELTA</stp>
        <stp>.QQQ250516C493</stp>
        <tr r="CH54" s="1"/>
        <tr r="CH54" s="1"/>
      </tp>
      <tp>
        <v>-0.43</v>
        <stp/>
        <stp>DELTA</stp>
        <stp>.QQQ250516P492</stp>
        <tr r="CI55" s="1"/>
        <tr r="CI55" s="1"/>
      </tp>
      <tp>
        <v>0.77</v>
        <stp/>
        <stp>DELTA</stp>
        <stp>.QQQ250516C492</stp>
        <tr r="CH55" s="1"/>
        <tr r="CH55" s="1"/>
      </tp>
      <tp>
        <v>0</v>
        <stp/>
        <stp>DELTA</stp>
        <stp>.QQQ250508P483</stp>
        <tr r="CE64" s="1"/>
        <tr r="CE64" s="1"/>
      </tp>
      <tp>
        <v>0</v>
        <stp/>
        <stp>DELTA</stp>
        <stp>.QQQ250509P482</stp>
        <tr r="CG65" s="1"/>
        <tr r="CG65" s="1"/>
      </tp>
      <tp>
        <v>1</v>
        <stp/>
        <stp>DELTA</stp>
        <stp>.QQQ250508C483</stp>
        <tr r="CD64" s="1"/>
        <tr r="CD64" s="1"/>
      </tp>
      <tp>
        <v>1</v>
        <stp/>
        <stp>DELTA</stp>
        <stp>.QQQ250509C482</stp>
        <tr r="CF65" s="1"/>
        <tr r="CF65" s="1"/>
      </tp>
      <tp>
        <v>0</v>
        <stp/>
        <stp>DELTA</stp>
        <stp>.QQQ250508P482</stp>
        <tr r="CE65" s="1"/>
        <tr r="CE65" s="1"/>
      </tp>
      <tp>
        <v>0</v>
        <stp/>
        <stp>DELTA</stp>
        <stp>.QQQ250509P483</stp>
        <tr r="CG64" s="1"/>
        <tr r="CG64" s="1"/>
      </tp>
      <tp>
        <v>1</v>
        <stp/>
        <stp>DELTA</stp>
        <stp>.QQQ250508C482</stp>
        <tr r="CD65" s="1"/>
        <tr r="CD65" s="1"/>
      </tp>
      <tp>
        <v>1</v>
        <stp/>
        <stp>DELTA</stp>
        <stp>.QQQ250509C483</stp>
        <tr r="CF64" s="1"/>
        <tr r="CF64" s="1"/>
      </tp>
      <tp>
        <v>0</v>
        <stp/>
        <stp>DELTA</stp>
        <stp>.QQQ250508P481</stp>
        <tr r="CE66" s="1"/>
        <tr r="CE66" s="1"/>
      </tp>
      <tp>
        <v>0</v>
        <stp/>
        <stp>DELTA</stp>
        <stp>.QQQ250509P480</stp>
        <tr r="CG67" s="1"/>
        <tr r="CG67" s="1"/>
      </tp>
      <tp>
        <v>1</v>
        <stp/>
        <stp>DELTA</stp>
        <stp>.QQQ250508C481</stp>
        <tr r="CD66" s="1"/>
        <tr r="CD66" s="1"/>
      </tp>
      <tp>
        <v>1</v>
        <stp/>
        <stp>DELTA</stp>
        <stp>.QQQ250509C480</stp>
        <tr r="CF67" s="1"/>
        <tr r="CF67" s="1"/>
      </tp>
      <tp>
        <v>0</v>
        <stp/>
        <stp>DELTA</stp>
        <stp>.QQQ250508P480</stp>
        <tr r="CE67" s="1"/>
        <tr r="CE67" s="1"/>
      </tp>
      <tp>
        <v>0</v>
        <stp/>
        <stp>DELTA</stp>
        <stp>.QQQ250509P481</stp>
        <tr r="CG66" s="1"/>
        <tr r="CG66" s="1"/>
      </tp>
      <tp>
        <v>1</v>
        <stp/>
        <stp>DELTA</stp>
        <stp>.QQQ250508C480</stp>
        <tr r="CD67" s="1"/>
        <tr r="CD67" s="1"/>
      </tp>
      <tp>
        <v>1</v>
        <stp/>
        <stp>DELTA</stp>
        <stp>.QQQ250509C481</stp>
        <tr r="CF66" s="1"/>
        <tr r="CF66" s="1"/>
      </tp>
      <tp>
        <v>-0.03</v>
        <stp/>
        <stp>DELTA</stp>
        <stp>.QQQ250508P487</stp>
        <tr r="CE60" s="1"/>
        <tr r="CE60" s="1"/>
      </tp>
      <tp>
        <v>0</v>
        <stp/>
        <stp>DELTA</stp>
        <stp>.QQQ250509P486</stp>
        <tr r="CG61" s="1"/>
        <tr r="CG61" s="1"/>
      </tp>
      <tp>
        <v>-0.53</v>
        <stp/>
        <stp>DELTA</stp>
        <stp>.QQQ250516P499</stp>
        <tr r="CI48" s="1"/>
        <tr r="CI48" s="1"/>
      </tp>
      <tp>
        <v>1</v>
        <stp/>
        <stp>DELTA</stp>
        <stp>.QQQ250508C487</stp>
        <tr r="CD60" s="1"/>
        <tr r="CD60" s="1"/>
      </tp>
      <tp>
        <v>1</v>
        <stp/>
        <stp>DELTA</stp>
        <stp>.QQQ250509C486</stp>
        <tr r="CF61" s="1"/>
        <tr r="CF61" s="1"/>
      </tp>
      <tp>
        <v>0.38</v>
        <stp/>
        <stp>DELTA</stp>
        <stp>.QQQ250516C499</stp>
        <tr r="CH48" s="1"/>
        <tr r="CH48" s="1"/>
      </tp>
      <tp>
        <v>-0.01</v>
        <stp/>
        <stp>DELTA</stp>
        <stp>.QQQ250508P486</stp>
        <tr r="CE61" s="1"/>
        <tr r="CE61" s="1"/>
      </tp>
      <tp>
        <v>-0.01</v>
        <stp/>
        <stp>DELTA</stp>
        <stp>.QQQ250509P487</stp>
        <tr r="CG60" s="1"/>
        <tr r="CG60" s="1"/>
      </tp>
      <tp>
        <v>-0.52</v>
        <stp/>
        <stp>DELTA</stp>
        <stp>.QQQ250516P498</stp>
        <tr r="CI49" s="1"/>
        <tr r="CI49" s="1"/>
      </tp>
      <tp>
        <v>1</v>
        <stp/>
        <stp>DELTA</stp>
        <stp>.QQQ250508C486</stp>
        <tr r="CD61" s="1"/>
        <tr r="CD61" s="1"/>
      </tp>
      <tp>
        <v>1</v>
        <stp/>
        <stp>DELTA</stp>
        <stp>.QQQ250509C487</stp>
        <tr r="CF60" s="1"/>
        <tr r="CF60" s="1"/>
      </tp>
      <tp>
        <v>0.41</v>
        <stp/>
        <stp>DELTA</stp>
        <stp>.QQQ250516C498</stp>
        <tr r="CH49" s="1"/>
        <tr r="CH49" s="1"/>
      </tp>
      <tp>
        <v>0</v>
        <stp/>
        <stp>DELTA</stp>
        <stp>.QQQ250508P485</stp>
        <tr r="CE62" s="1"/>
        <tr r="CE62" s="1"/>
      </tp>
      <tp>
        <v>0</v>
        <stp/>
        <stp>DELTA</stp>
        <stp>.QQQ250509P484</stp>
        <tr r="CG63" s="1"/>
        <tr r="CG63" s="1"/>
      </tp>
      <tp>
        <v>1</v>
        <stp/>
        <stp>DELTA</stp>
        <stp>.QQQ250508C485</stp>
        <tr r="CD62" s="1"/>
        <tr r="CD62" s="1"/>
      </tp>
      <tp>
        <v>1</v>
        <stp/>
        <stp>DELTA</stp>
        <stp>.QQQ250509C484</stp>
        <tr r="CF63" s="1"/>
        <tr r="CF63" s="1"/>
      </tp>
      <tp>
        <v>0</v>
        <stp/>
        <stp>DELTA</stp>
        <stp>.QQQ250508P484</stp>
        <tr r="CE63" s="1"/>
        <tr r="CE63" s="1"/>
      </tp>
      <tp>
        <v>0</v>
        <stp/>
        <stp>DELTA</stp>
        <stp>.QQQ250509P485</stp>
        <tr r="CG62" s="1"/>
        <tr r="CG62" s="1"/>
      </tp>
      <tp>
        <v>1</v>
        <stp/>
        <stp>DELTA</stp>
        <stp>.QQQ250508C484</stp>
        <tr r="CD63" s="1"/>
        <tr r="CD63" s="1"/>
      </tp>
      <tp>
        <v>1</v>
        <stp/>
        <stp>DELTA</stp>
        <stp>.QQQ250509C485</stp>
        <tr r="CF62" s="1"/>
        <tr r="CF62" s="1"/>
      </tp>
      <tp>
        <v>0</v>
        <stp/>
        <stp>DELTA</stp>
        <stp>.QQQ250508P479</stp>
        <tr r="CE68" s="1"/>
        <tr r="CE68" s="1"/>
      </tp>
      <tp>
        <v>0</v>
        <stp/>
        <stp>DELTA</stp>
        <stp>.QQQ250509P478</stp>
        <tr r="CG69" s="1"/>
        <tr r="CG69" s="1"/>
      </tp>
      <tp>
        <v>1</v>
        <stp/>
        <stp>DELTA</stp>
        <stp>.QQQ250508C479</stp>
        <tr r="CD68" s="1"/>
        <tr r="CD68" s="1"/>
      </tp>
      <tp>
        <v>1</v>
        <stp/>
        <stp>DELTA</stp>
        <stp>.QQQ250509C478</stp>
        <tr r="CF69" s="1"/>
        <tr r="CF69" s="1"/>
      </tp>
      <tp>
        <v>0</v>
        <stp/>
        <stp>DELTA</stp>
        <stp>.QQQ250508P478</stp>
        <tr r="CE69" s="1"/>
        <tr r="CE69" s="1"/>
      </tp>
      <tp>
        <v>0</v>
        <stp/>
        <stp>DELTA</stp>
        <stp>.QQQ250509P479</stp>
        <tr r="CG68" s="1"/>
        <tr r="CG68" s="1"/>
      </tp>
      <tp>
        <v>1</v>
        <stp/>
        <stp>DELTA</stp>
        <stp>.QQQ250508C478</stp>
        <tr r="CD69" s="1"/>
        <tr r="CD69" s="1"/>
      </tp>
      <tp>
        <v>1</v>
        <stp/>
        <stp>DELTA</stp>
        <stp>.QQQ250509C479</stp>
        <tr r="CF68" s="1"/>
        <tr r="CF68" s="1"/>
      </tp>
      <tp>
        <v>0</v>
        <stp/>
        <stp>DELTA</stp>
        <stp>.QQQ250508P473</stp>
        <tr r="CE74" s="1"/>
        <tr r="CE74" s="1"/>
      </tp>
      <tp>
        <v>0</v>
        <stp/>
        <stp>DELTA</stp>
        <stp>.QQQ250509P472</stp>
        <tr r="CG75" s="1"/>
        <tr r="CG75" s="1"/>
      </tp>
      <tp>
        <v>1</v>
        <stp/>
        <stp>DELTA</stp>
        <stp>.QQQ250508C473</stp>
        <tr r="CD74" s="1"/>
        <tr r="CD74" s="1"/>
      </tp>
      <tp>
        <v>1</v>
        <stp/>
        <stp>DELTA</stp>
        <stp>.QQQ250509C472</stp>
        <tr r="CF75" s="1"/>
        <tr r="CF75" s="1"/>
      </tp>
      <tp>
        <v>0</v>
        <stp/>
        <stp>DELTA</stp>
        <stp>.QQQ250508P472</stp>
        <tr r="CE75" s="1"/>
        <tr r="CE75" s="1"/>
      </tp>
      <tp>
        <v>0</v>
        <stp/>
        <stp>DELTA</stp>
        <stp>.QQQ250509P473</stp>
        <tr r="CG74" s="1"/>
        <tr r="CG74" s="1"/>
      </tp>
      <tp>
        <v>1</v>
        <stp/>
        <stp>DELTA</stp>
        <stp>.QQQ250508C472</stp>
        <tr r="CD75" s="1"/>
        <tr r="CD75" s="1"/>
      </tp>
      <tp>
        <v>1</v>
        <stp/>
        <stp>DELTA</stp>
        <stp>.QQQ250509C473</stp>
        <tr r="CF74" s="1"/>
        <tr r="CF74" s="1"/>
      </tp>
      <tp>
        <v>0</v>
        <stp/>
        <stp>DELTA</stp>
        <stp>.QQQ250508P471</stp>
        <tr r="CE76" s="1"/>
        <tr r="CE76" s="1"/>
      </tp>
      <tp>
        <v>0</v>
        <stp/>
        <stp>DELTA</stp>
        <stp>.QQQ250509P470</stp>
        <tr r="CG77" s="1"/>
        <tr r="CG77" s="1"/>
      </tp>
      <tp>
        <v>1</v>
        <stp/>
        <stp>DELTA</stp>
        <stp>.QQQ250508C471</stp>
        <tr r="CD76" s="1"/>
        <tr r="CD76" s="1"/>
      </tp>
      <tp>
        <v>1</v>
        <stp/>
        <stp>DELTA</stp>
        <stp>.QQQ250509C470</stp>
        <tr r="CF77" s="1"/>
        <tr r="CF77" s="1"/>
      </tp>
      <tp>
        <v>0</v>
        <stp/>
        <stp>DELTA</stp>
        <stp>.QQQ250508P470</stp>
        <tr r="CE77" s="1"/>
        <tr r="CE77" s="1"/>
      </tp>
      <tp>
        <v>0</v>
        <stp/>
        <stp>DELTA</stp>
        <stp>.QQQ250509P471</stp>
        <tr r="CG76" s="1"/>
        <tr r="CG76" s="1"/>
      </tp>
      <tp>
        <v>1</v>
        <stp/>
        <stp>DELTA</stp>
        <stp>.QQQ250508C470</stp>
        <tr r="CD77" s="1"/>
        <tr r="CD77" s="1"/>
      </tp>
      <tp>
        <v>1</v>
        <stp/>
        <stp>DELTA</stp>
        <stp>.QQQ250509C471</stp>
        <tr r="CF76" s="1"/>
        <tr r="CF76" s="1"/>
      </tp>
      <tp>
        <v>0</v>
        <stp/>
        <stp>DELTA</stp>
        <stp>.QQQ250508P477</stp>
        <tr r="CE70" s="1"/>
        <tr r="CE70" s="1"/>
      </tp>
      <tp>
        <v>0</v>
        <stp/>
        <stp>DELTA</stp>
        <stp>.QQQ250509P476</stp>
        <tr r="CG71" s="1"/>
        <tr r="CG71" s="1"/>
      </tp>
      <tp>
        <v>-0.11</v>
        <stp/>
        <stp>DELTA</stp>
        <stp>.QQQ250516P469</stp>
        <tr r="CI78" s="1"/>
        <tr r="CI78" s="1"/>
      </tp>
      <tp>
        <v>1</v>
        <stp/>
        <stp>DELTA</stp>
        <stp>.QQQ250508C477</stp>
        <tr r="CD70" s="1"/>
        <tr r="CD70" s="1"/>
      </tp>
      <tp>
        <v>1</v>
        <stp/>
        <stp>DELTA</stp>
        <stp>.QQQ250509C476</stp>
        <tr r="CF71" s="1"/>
        <tr r="CF71" s="1"/>
      </tp>
      <tp>
        <v>1</v>
        <stp/>
        <stp>DELTA</stp>
        <stp>.QQQ250516C469</stp>
        <tr r="CH78" s="1"/>
        <tr r="CH78" s="1"/>
      </tp>
      <tp>
        <v>0</v>
        <stp/>
        <stp>DELTA</stp>
        <stp>.QQQ250508P476</stp>
        <tr r="CE71" s="1"/>
        <tr r="CE71" s="1"/>
      </tp>
      <tp>
        <v>0</v>
        <stp/>
        <stp>DELTA</stp>
        <stp>.QQQ250509P477</stp>
        <tr r="CG70" s="1"/>
        <tr r="CG70" s="1"/>
      </tp>
      <tp>
        <v>-0.1</v>
        <stp/>
        <stp>DELTA</stp>
        <stp>.QQQ250516P468</stp>
        <tr r="CI79" s="1"/>
        <tr r="CI79" s="1"/>
      </tp>
      <tp>
        <v>1</v>
        <stp/>
        <stp>DELTA</stp>
        <stp>.QQQ250508C476</stp>
        <tr r="CD71" s="1"/>
        <tr r="CD71" s="1"/>
      </tp>
      <tp>
        <v>1</v>
        <stp/>
        <stp>DELTA</stp>
        <stp>.QQQ250509C477</stp>
        <tr r="CF70" s="1"/>
        <tr r="CF70" s="1"/>
      </tp>
      <tp>
        <v>1</v>
        <stp/>
        <stp>DELTA</stp>
        <stp>.QQQ250516C468</stp>
        <tr r="CH79" s="1"/>
        <tr r="CH79" s="1"/>
      </tp>
      <tp>
        <v>0</v>
        <stp/>
        <stp>DELTA</stp>
        <stp>.QQQ250508P475</stp>
        <tr r="CE72" s="1"/>
        <tr r="CE72" s="1"/>
      </tp>
      <tp>
        <v>0</v>
        <stp/>
        <stp>DELTA</stp>
        <stp>.QQQ250509P474</stp>
        <tr r="CG73" s="1"/>
        <tr r="CG73" s="1"/>
      </tp>
      <tp>
        <v>1</v>
        <stp/>
        <stp>DELTA</stp>
        <stp>.QQQ250508C475</stp>
        <tr r="CD72" s="1"/>
        <tr r="CD72" s="1"/>
      </tp>
      <tp>
        <v>1</v>
        <stp/>
        <stp>DELTA</stp>
        <stp>.QQQ250509C474</stp>
        <tr r="CF73" s="1"/>
        <tr r="CF73" s="1"/>
      </tp>
      <tp>
        <v>0</v>
        <stp/>
        <stp>DELTA</stp>
        <stp>.QQQ250508P474</stp>
        <tr r="CE73" s="1"/>
        <tr r="CE73" s="1"/>
      </tp>
      <tp>
        <v>0</v>
        <stp/>
        <stp>DELTA</stp>
        <stp>.QQQ250509P475</stp>
        <tr r="CG72" s="1"/>
        <tr r="CG72" s="1"/>
      </tp>
      <tp>
        <v>1</v>
        <stp/>
        <stp>DELTA</stp>
        <stp>.QQQ250508C474</stp>
        <tr r="CD73" s="1"/>
        <tr r="CD73" s="1"/>
      </tp>
      <tp>
        <v>1</v>
        <stp/>
        <stp>DELTA</stp>
        <stp>.QQQ250509C475</stp>
        <tr r="CF72" s="1"/>
        <tr r="CF72" s="1"/>
      </tp>
      <tp>
        <v>-0.17</v>
        <stp/>
        <stp>DELTA</stp>
        <stp>.QQQ250516P475</stp>
        <tr r="CI72" s="1"/>
        <tr r="CI72" s="1"/>
      </tp>
      <tp>
        <v>1</v>
        <stp/>
        <stp>DELTA</stp>
        <stp>.QQQ250516C475</stp>
        <tr r="CH72" s="1"/>
        <tr r="CH72" s="1"/>
      </tp>
      <tp>
        <v>-0.16</v>
        <stp/>
        <stp>DELTA</stp>
        <stp>.QQQ250516P474</stp>
        <tr r="CI73" s="1"/>
        <tr r="CI73" s="1"/>
      </tp>
      <tp>
        <v>1</v>
        <stp/>
        <stp>DELTA</stp>
        <stp>.QQQ250516C474</stp>
        <tr r="CH73" s="1"/>
        <tr r="CH73" s="1"/>
      </tp>
      <tp>
        <v>0</v>
        <stp/>
        <stp>DELTA</stp>
        <stp>.QQQ250508P469</stp>
        <tr r="CE78" s="1"/>
        <tr r="CE78" s="1"/>
      </tp>
      <tp>
        <v>0</v>
        <stp/>
        <stp>DELTA</stp>
        <stp>.QQQ250509P468</stp>
        <tr r="CG79" s="1"/>
        <tr r="CG79" s="1"/>
      </tp>
      <tp>
        <v>-0.2</v>
        <stp/>
        <stp>DELTA</stp>
        <stp>.QQQ250516P477</stp>
        <tr r="CI70" s="1"/>
        <tr r="CI70" s="1"/>
      </tp>
      <tp>
        <v>1</v>
        <stp/>
        <stp>DELTA</stp>
        <stp>.QQQ250508C469</stp>
        <tr r="CD78" s="1"/>
        <tr r="CD78" s="1"/>
      </tp>
      <tp>
        <v>1</v>
        <stp/>
        <stp>DELTA</stp>
        <stp>.QQQ250509C468</stp>
        <tr r="CF79" s="1"/>
        <tr r="CF79" s="1"/>
      </tp>
      <tp>
        <v>1</v>
        <stp/>
        <stp>DELTA</stp>
        <stp>.QQQ250516C477</stp>
        <tr r="CH70" s="1"/>
        <tr r="CH70" s="1"/>
      </tp>
      <tp>
        <v>0</v>
        <stp/>
        <stp>DELTA</stp>
        <stp>.QQQ250508P468</stp>
        <tr r="CE79" s="1"/>
        <tr r="CE79" s="1"/>
      </tp>
      <tp>
        <v>0</v>
        <stp/>
        <stp>DELTA</stp>
        <stp>.QQQ250509P469</stp>
        <tr r="CG78" s="1"/>
        <tr r="CG78" s="1"/>
      </tp>
      <tp>
        <v>-0.18</v>
        <stp/>
        <stp>DELTA</stp>
        <stp>.QQQ250516P476</stp>
        <tr r="CI71" s="1"/>
        <tr r="CI71" s="1"/>
      </tp>
      <tp>
        <v>1</v>
        <stp/>
        <stp>DELTA</stp>
        <stp>.QQQ250508C468</stp>
        <tr r="CD79" s="1"/>
        <tr r="CD79" s="1"/>
      </tp>
      <tp>
        <v>1</v>
        <stp/>
        <stp>DELTA</stp>
        <stp>.QQQ250509C469</stp>
        <tr r="CF78" s="1"/>
        <tr r="CF78" s="1"/>
      </tp>
      <tp>
        <v>1</v>
        <stp/>
        <stp>DELTA</stp>
        <stp>.QQQ250516C476</stp>
        <tr r="CH71" s="1"/>
        <tr r="CH71" s="1"/>
      </tp>
      <tp>
        <v>-0.13</v>
        <stp/>
        <stp>DELTA</stp>
        <stp>.QQQ250516P471</stp>
        <tr r="CI76" s="1"/>
        <tr r="CI76" s="1"/>
      </tp>
      <tp>
        <v>1</v>
        <stp/>
        <stp>DELTA</stp>
        <stp>.QQQ250516C471</stp>
        <tr r="CH76" s="1"/>
        <tr r="CH76" s="1"/>
      </tp>
      <tp>
        <v>-0.12</v>
        <stp/>
        <stp>DELTA</stp>
        <stp>.QQQ250516P470</stp>
        <tr r="CI77" s="1"/>
        <tr r="CI77" s="1"/>
      </tp>
      <tp>
        <v>1</v>
        <stp/>
        <stp>DELTA</stp>
        <stp>.QQQ250516C470</stp>
        <tr r="CH77" s="1"/>
        <tr r="CH77" s="1"/>
      </tp>
      <tp>
        <v>-0.15</v>
        <stp/>
        <stp>DELTA</stp>
        <stp>.QQQ250516P473</stp>
        <tr r="CI74" s="1"/>
        <tr r="CI74" s="1"/>
      </tp>
      <tp>
        <v>1</v>
        <stp/>
        <stp>DELTA</stp>
        <stp>.QQQ250516C473</stp>
        <tr r="CH74" s="1"/>
        <tr r="CH74" s="1"/>
      </tp>
      <tp>
        <v>-0.14000000000000001</v>
        <stp/>
        <stp>DELTA</stp>
        <stp>.QQQ250516P472</stp>
        <tr r="CI75" s="1"/>
        <tr r="CI75" s="1"/>
      </tp>
      <tp>
        <v>1</v>
        <stp/>
        <stp>DELTA</stp>
        <stp>.QQQ250516C472</stp>
        <tr r="CH75" s="1"/>
        <tr r="CH75" s="1"/>
      </tp>
      <tp>
        <v>-0.23</v>
        <stp/>
        <stp>DELTA</stp>
        <stp>.QQQ250516P479</stp>
        <tr r="CI68" s="1"/>
        <tr r="CI68" s="1"/>
      </tp>
      <tp>
        <v>1</v>
        <stp/>
        <stp>DELTA</stp>
        <stp>.QQQ250516C479</stp>
        <tr r="CH68" s="1"/>
        <tr r="CH68" s="1"/>
      </tp>
      <tp>
        <v>-0.21</v>
        <stp/>
        <stp>DELTA</stp>
        <stp>.QQQ250516P478</stp>
        <tr r="CI69" s="1"/>
        <tr r="CI69" s="1"/>
      </tp>
      <tp>
        <v>1</v>
        <stp/>
        <stp>DELTA</stp>
        <stp>.QQQ250516C478</stp>
        <tr r="CH69" s="1"/>
        <tr r="CH69" s="1"/>
      </tp>
      <tp>
        <v>-0.55000000000000004</v>
        <stp/>
        <stp>DELTA</stp>
        <stp>.QQQ250516P501</stp>
        <tr r="CI46" s="1"/>
        <tr r="CI46" s="1"/>
      </tp>
      <tp>
        <v>0.31</v>
        <stp/>
        <stp>DELTA</stp>
        <stp>.QQQ250516C501</stp>
        <tr r="CH46" s="1"/>
        <tr r="CH46" s="1"/>
      </tp>
      <tp>
        <v>-0.54</v>
        <stp/>
        <stp>DELTA</stp>
        <stp>.QQQ250516P500</stp>
        <tr r="CI47" s="1"/>
        <tr r="CI47" s="1"/>
      </tp>
      <tp>
        <v>0.34</v>
        <stp/>
        <stp>DELTA</stp>
        <stp>.QQQ250516C500</stp>
        <tr r="CH47" s="1"/>
        <tr r="CH47" s="1"/>
      </tp>
      <tp>
        <v>-0.56999999999999995</v>
        <stp/>
        <stp>DELTA</stp>
        <stp>.QQQ250516P502</stp>
        <tr r="CI45" s="1"/>
        <tr r="CI45" s="1"/>
      </tp>
      <tp>
        <v>0.27</v>
        <stp/>
        <stp>DELTA</stp>
        <stp>.QQQ250516C502</stp>
        <tr r="CH45" s="1"/>
        <tr r="CH45" s="1"/>
      </tp>
      <tp>
        <v>-0.57999999999999996</v>
        <stp/>
        <stp>DELTA</stp>
        <stp>.QQQ250509P502</stp>
        <tr r="CG45" s="1"/>
        <tr r="CG45" s="1"/>
      </tp>
      <tp>
        <v>0.01</v>
        <stp/>
        <stp>DELTA</stp>
        <stp>.QQQ250509C502</stp>
        <tr r="CF45" s="1"/>
        <tr r="CF45" s="1"/>
      </tp>
      <tp>
        <v>-0.59</v>
        <stp/>
        <stp>DELTA</stp>
        <stp>.QQQ250508P502</stp>
        <tr r="CE45" s="1"/>
        <tr r="CE45" s="1"/>
      </tp>
      <tp>
        <v>0.01</v>
        <stp/>
        <stp>DELTA</stp>
        <stp>.QQQ250508C502</stp>
        <tr r="CD45" s="1"/>
        <tr r="CD45" s="1"/>
      </tp>
      <tp>
        <v>-0.57999999999999996</v>
        <stp/>
        <stp>DELTA</stp>
        <stp>.QQQ250508P501</stp>
        <tr r="CE46" s="1"/>
        <tr r="CE46" s="1"/>
      </tp>
      <tp>
        <v>-0.56000000000000005</v>
        <stp/>
        <stp>DELTA</stp>
        <stp>.QQQ250509P500</stp>
        <tr r="CG47" s="1"/>
        <tr r="CG47" s="1"/>
      </tp>
      <tp>
        <v>0.01</v>
        <stp/>
        <stp>DELTA</stp>
        <stp>.QQQ250508C501</stp>
        <tr r="CD46" s="1"/>
        <tr r="CD46" s="1"/>
      </tp>
      <tp>
        <v>0.01</v>
        <stp/>
        <stp>DELTA</stp>
        <stp>.QQQ250509C500</stp>
        <tr r="CF47" s="1"/>
        <tr r="CF47" s="1"/>
      </tp>
      <tp>
        <v>-0.56000000000000005</v>
        <stp/>
        <stp>DELTA</stp>
        <stp>.QQQ250508P500</stp>
        <tr r="CE47" s="1"/>
        <tr r="CE47" s="1"/>
      </tp>
      <tp>
        <v>-0.56999999999999995</v>
        <stp/>
        <stp>DELTA</stp>
        <stp>.QQQ250509P501</stp>
        <tr r="CG46" s="1"/>
        <tr r="CG46" s="1"/>
      </tp>
      <tp>
        <v>0.01</v>
        <stp/>
        <stp>DELTA</stp>
        <stp>.QQQ250508C500</stp>
        <tr r="CD47" s="1"/>
        <tr r="CD47" s="1"/>
      </tp>
      <tp>
        <v>0.01</v>
        <stp/>
        <stp>DELTA</stp>
        <stp>.QQQ250509C501</stp>
        <tr r="CF46" s="1"/>
        <tr r="CF46" s="1"/>
      </tp>
      <tp t="s">
        <v>N/A</v>
        <stp/>
        <stp>VOLUME</stp>
        <stp>.SPXWC5840</stp>
        <tr r="G89" s="2"/>
        <tr r="B89" s="2"/>
        <tr r="E89" s="2"/>
        <tr r="F89" s="2"/>
        <tr r="C89" s="2"/>
        <tr r="D89" s="2"/>
      </tp>
      <tp t="s">
        <v>N/A</v>
        <stp/>
        <stp>VOLUME</stp>
        <stp>.SPXWP5840</stp>
        <tr r="G89" s="2"/>
        <tr r="B89" s="2"/>
        <tr r="E89" s="2"/>
        <tr r="F89" s="2"/>
        <tr r="C89" s="2"/>
        <tr r="D89" s="2"/>
      </tp>
      <tp t="s">
        <v>N/A</v>
        <stp/>
        <stp>VOLUME</stp>
        <stp>.SPXWC5850</stp>
        <tr r="B88" s="2"/>
        <tr r="C88" s="2"/>
        <tr r="E88" s="2"/>
        <tr r="G88" s="2"/>
        <tr r="F88" s="2"/>
        <tr r="D88" s="2"/>
      </tp>
      <tp t="s">
        <v>N/A</v>
        <stp/>
        <stp>VOLUME</stp>
        <stp>.SPXWP5850</stp>
        <tr r="B88" s="2"/>
        <tr r="C88" s="2"/>
        <tr r="E88" s="2"/>
        <tr r="G88" s="2"/>
        <tr r="F88" s="2"/>
        <tr r="D88" s="2"/>
      </tp>
      <tp t="s">
        <v>N/A</v>
        <stp/>
        <stp>VOLUME</stp>
        <stp>.SPXWC5860</stp>
        <tr r="B87" s="2"/>
        <tr r="G87" s="2"/>
        <tr r="E87" s="2"/>
        <tr r="F87" s="2"/>
        <tr r="D87" s="2"/>
        <tr r="C87" s="2"/>
      </tp>
      <tp t="s">
        <v>N/A</v>
        <stp/>
        <stp>VOLUME</stp>
        <stp>.SPXWP5860</stp>
        <tr r="B87" s="2"/>
        <tr r="G87" s="2"/>
        <tr r="E87" s="2"/>
        <tr r="F87" s="2"/>
        <tr r="D87" s="2"/>
        <tr r="C87" s="2"/>
      </tp>
      <tp t="s">
        <v>N/A</v>
        <stp/>
        <stp>VOLUME</stp>
        <stp>.SPXWC5870</stp>
        <tr r="G86" s="2"/>
        <tr r="F86" s="2"/>
        <tr r="E86" s="2"/>
        <tr r="D86" s="2"/>
        <tr r="C86" s="2"/>
        <tr r="B86" s="2"/>
      </tp>
      <tp t="s">
        <v>N/A</v>
        <stp/>
        <stp>VOLUME</stp>
        <stp>.SPXWP5870</stp>
        <tr r="G86" s="2"/>
        <tr r="F86" s="2"/>
        <tr r="E86" s="2"/>
        <tr r="D86" s="2"/>
        <tr r="C86" s="2"/>
        <tr r="B86" s="2"/>
      </tp>
      <tp t="s">
        <v>N/A</v>
        <stp/>
        <stp>VOLUME</stp>
        <stp>.SPXWC5800</stp>
        <tr r="C93" s="2"/>
        <tr r="F93" s="2"/>
        <tr r="E93" s="2"/>
        <tr r="D93" s="2"/>
        <tr r="B93" s="2"/>
        <tr r="G93" s="2"/>
      </tp>
      <tp t="s">
        <v>N/A</v>
        <stp/>
        <stp>VOLUME</stp>
        <stp>.SPXWP5800</stp>
        <tr r="C93" s="2"/>
        <tr r="F93" s="2"/>
        <tr r="E93" s="2"/>
        <tr r="D93" s="2"/>
        <tr r="B93" s="2"/>
        <tr r="G93" s="2"/>
      </tp>
      <tp t="s">
        <v>N/A</v>
        <stp/>
        <stp>VOLUME</stp>
        <stp>.SPXWC5810</stp>
        <tr r="E92" s="2"/>
        <tr r="F92" s="2"/>
        <tr r="B92" s="2"/>
        <tr r="G92" s="2"/>
        <tr r="D92" s="2"/>
        <tr r="C92" s="2"/>
      </tp>
      <tp t="s">
        <v>N/A</v>
        <stp/>
        <stp>VOLUME</stp>
        <stp>.SPXWP5810</stp>
        <tr r="E92" s="2"/>
        <tr r="F92" s="2"/>
        <tr r="B92" s="2"/>
        <tr r="G92" s="2"/>
        <tr r="D92" s="2"/>
        <tr r="C92" s="2"/>
      </tp>
      <tp t="s">
        <v>N/A</v>
        <stp/>
        <stp>VOLUME</stp>
        <stp>.SPXWC5820</stp>
        <tr r="C91" s="2"/>
        <tr r="F91" s="2"/>
        <tr r="B91" s="2"/>
        <tr r="G91" s="2"/>
        <tr r="E91" s="2"/>
        <tr r="D91" s="2"/>
      </tp>
      <tp t="s">
        <v>N/A</v>
        <stp/>
        <stp>VOLUME</stp>
        <stp>.SPXWP5820</stp>
        <tr r="C91" s="2"/>
        <tr r="F91" s="2"/>
        <tr r="B91" s="2"/>
        <tr r="G91" s="2"/>
        <tr r="E91" s="2"/>
        <tr r="D91" s="2"/>
      </tp>
      <tp t="s">
        <v>N/A</v>
        <stp/>
        <stp>VOLUME</stp>
        <stp>.SPXWC5830</stp>
        <tr r="D90" s="2"/>
        <tr r="E90" s="2"/>
        <tr r="B90" s="2"/>
        <tr r="G90" s="2"/>
        <tr r="C90" s="2"/>
        <tr r="F90" s="2"/>
      </tp>
      <tp t="s">
        <v>N/A</v>
        <stp/>
        <stp>VOLUME</stp>
        <stp>.SPXWP5830</stp>
        <tr r="D90" s="2"/>
        <tr r="E90" s="2"/>
        <tr r="B90" s="2"/>
        <tr r="G90" s="2"/>
        <tr r="C90" s="2"/>
        <tr r="F90" s="2"/>
      </tp>
      <tp>
        <v>0</v>
        <stp/>
        <stp>BID</stp>
        <stp>.NDXP250508C20475</stp>
        <tr r="DE140" s="1"/>
        <tr r="DE140" s="1"/>
      </tp>
      <tp>
        <v>556</v>
        <stp/>
        <stp>BID</stp>
        <stp>.NDXP250508C19475</stp>
        <tr r="DE180" s="1"/>
        <tr r="DE180" s="1"/>
      </tp>
      <tp>
        <v>0</v>
        <stp/>
        <stp>BID</stp>
        <stp>.NDXP250508C20450</stp>
        <tr r="DE141" s="1"/>
        <tr r="DE141" s="1"/>
      </tp>
      <tp>
        <v>580</v>
        <stp/>
        <stp>BID</stp>
        <stp>.NDXP250508C19450</stp>
        <tr r="DE181" s="1"/>
        <tr r="DE181" s="1"/>
      </tp>
      <tp>
        <v>0</v>
        <stp/>
        <stp>BID</stp>
        <stp>.NDXP250508C20425</stp>
        <tr r="DE142" s="1"/>
        <tr r="DE142" s="1"/>
      </tp>
      <tp>
        <v>606</v>
        <stp/>
        <stp>BID</stp>
        <stp>.NDXP250508C19425</stp>
        <tr r="DE182" s="1"/>
        <tr r="DE182" s="1"/>
      </tp>
      <tp>
        <v>0</v>
        <stp/>
        <stp>BID</stp>
        <stp>.NDXP250508C20400</stp>
        <tr r="DE143" s="1"/>
        <tr r="DE143" s="1"/>
      </tp>
      <tp>
        <v>630</v>
        <stp/>
        <stp>BID</stp>
        <stp>.NDXP250508C19400</stp>
        <tr r="DE183" s="1"/>
        <tr r="DE183" s="1"/>
      </tp>
      <tp>
        <v>358</v>
        <stp/>
        <stp>BID</stp>
        <stp>.NDXP250508P20450</stp>
        <tr r="DF141" s="1"/>
        <tr r="DF141" s="1"/>
      </tp>
      <tp>
        <v>0</v>
        <stp/>
        <stp>BID</stp>
        <stp>.NDXP250508P19450</stp>
        <tr r="DF181" s="1"/>
        <tr r="DF181" s="1"/>
      </tp>
      <tp>
        <v>382</v>
        <stp/>
        <stp>BID</stp>
        <stp>.NDXP250508P20475</stp>
        <tr r="DF140" s="1"/>
        <tr r="DF140" s="1"/>
      </tp>
      <tp>
        <v>0</v>
        <stp/>
        <stp>BID</stp>
        <stp>.NDXP250508P19475</stp>
        <tr r="DF180" s="1"/>
        <tr r="DF180" s="1"/>
      </tp>
      <tp>
        <v>308</v>
        <stp/>
        <stp>BID</stp>
        <stp>.NDXP250508P20400</stp>
        <tr r="DF143" s="1"/>
        <tr r="DF143" s="1"/>
      </tp>
      <tp>
        <v>0</v>
        <stp/>
        <stp>BID</stp>
        <stp>.NDXP250508P19400</stp>
        <tr r="DF183" s="1"/>
        <tr r="DF183" s="1"/>
      </tp>
      <tp>
        <v>332</v>
        <stp/>
        <stp>BID</stp>
        <stp>.NDXP250508P20425</stp>
        <tr r="DF142" s="1"/>
        <tr r="DF142" s="1"/>
      </tp>
      <tp>
        <v>0</v>
        <stp/>
        <stp>BID</stp>
        <stp>.NDXP250508P19425</stp>
        <tr r="DF182" s="1"/>
        <tr r="DF182" s="1"/>
      </tp>
      <tp>
        <v>456</v>
        <stp/>
        <stp>BID</stp>
        <stp>.NDXP250508C19575</stp>
        <tr r="DE176" s="1"/>
        <tr r="DE176" s="1"/>
      </tp>
      <tp>
        <v>0</v>
        <stp/>
        <stp>BID</stp>
        <stp>.NDXP250508C20550</stp>
        <tr r="DE137" s="1"/>
        <tr r="DE137" s="1"/>
      </tp>
      <tp>
        <v>480</v>
        <stp/>
        <stp>BID</stp>
        <stp>.NDXP250508C19550</stp>
        <tr r="DE177" s="1"/>
        <tr r="DE177" s="1"/>
      </tp>
      <tp>
        <v>0</v>
        <stp/>
        <stp>BID</stp>
        <stp>.NDXP250508C20525</stp>
        <tr r="DE138" s="1"/>
        <tr r="DE138" s="1"/>
      </tp>
      <tp>
        <v>506</v>
        <stp/>
        <stp>BID</stp>
        <stp>.NDXP250508C19525</stp>
        <tr r="DE178" s="1"/>
        <tr r="DE178" s="1"/>
      </tp>
      <tp>
        <v>0</v>
        <stp/>
        <stp>BID</stp>
        <stp>.NDXP250508C20500</stp>
        <tr r="DE139" s="1"/>
        <tr r="DE139" s="1"/>
      </tp>
      <tp>
        <v>530</v>
        <stp/>
        <stp>BID</stp>
        <stp>.NDXP250508C19500</stp>
        <tr r="DE179" s="1"/>
        <tr r="DE179" s="1"/>
      </tp>
      <tp>
        <v>449.7</v>
        <stp/>
        <stp>BID</stp>
        <stp>.NDXP250508P20550</stp>
        <tr r="DF137" s="1"/>
        <tr r="DF137" s="1"/>
      </tp>
      <tp>
        <v>0</v>
        <stp/>
        <stp>BID</stp>
        <stp>.NDXP250508P19550</stp>
        <tr r="DF177" s="1"/>
        <tr r="DF177" s="1"/>
      </tp>
      <tp>
        <v>0</v>
        <stp/>
        <stp>BID</stp>
        <stp>.NDXP250508P19575</stp>
        <tr r="DF176" s="1"/>
        <tr r="DF176" s="1"/>
      </tp>
      <tp>
        <v>401.3</v>
        <stp/>
        <stp>BID</stp>
        <stp>.NDXP250508P20500</stp>
        <tr r="DF139" s="1"/>
        <tr r="DF139" s="1"/>
      </tp>
      <tp>
        <v>0</v>
        <stp/>
        <stp>BID</stp>
        <stp>.NDXP250508P19500</stp>
        <tr r="DF179" s="1"/>
        <tr r="DF179" s="1"/>
      </tp>
      <tp>
        <v>424.2</v>
        <stp/>
        <stp>BID</stp>
        <stp>.NDXP250508P20525</stp>
        <tr r="DF138" s="1"/>
        <tr r="DF138" s="1"/>
      </tp>
      <tp>
        <v>0</v>
        <stp/>
        <stp>BID</stp>
        <stp>.NDXP250508P19525</stp>
        <tr r="DF178" s="1"/>
        <tr r="DF178" s="1"/>
      </tp>
      <tp>
        <v>98.2</v>
        <stp/>
        <stp>ASK</stp>
        <stp>.NDXP250508C19975</stp>
        <tr r="DC160" s="1"/>
        <tr r="DC160" s="1"/>
      </tp>
      <tp>
        <v>370</v>
        <stp/>
        <stp>BID</stp>
        <stp>.NDXP250508C19675</stp>
        <tr r="DE172" s="1"/>
        <tr r="DE172" s="1"/>
      </tp>
      <tp>
        <v>130</v>
        <stp/>
        <stp>ASK</stp>
        <stp>.NDXP250508C19950</stp>
        <tr r="DC161" s="1"/>
        <tr r="DC161" s="1"/>
      </tp>
      <tp>
        <v>396</v>
        <stp/>
        <stp>BID</stp>
        <stp>.NDXP250508C19650</stp>
        <tr r="DE173" s="1"/>
        <tr r="DE173" s="1"/>
      </tp>
      <tp>
        <v>154</v>
        <stp/>
        <stp>ASK</stp>
        <stp>.NDXP250508C19925</stp>
        <tr r="DC162" s="1"/>
        <tr r="DC162" s="1"/>
      </tp>
      <tp>
        <v>408.4</v>
        <stp/>
        <stp>BID</stp>
        <stp>.NDXP250508C19625</stp>
        <tr r="DE174" s="1"/>
        <tr r="DE174" s="1"/>
      </tp>
      <tp>
        <v>180</v>
        <stp/>
        <stp>ASK</stp>
        <stp>.NDXP250508C19900</stp>
        <tr r="DC163" s="1"/>
        <tr r="DC163" s="1"/>
      </tp>
      <tp>
        <v>430</v>
        <stp/>
        <stp>BID</stp>
        <stp>.NDXP250508C19600</stp>
        <tr r="DE175" s="1"/>
        <tr r="DE175" s="1"/>
      </tp>
      <tp>
        <v>0.05</v>
        <stp/>
        <stp>ASK</stp>
        <stp>.NDXP250508P19950</stp>
        <tr r="DD161" s="1"/>
        <tr r="DD161" s="1"/>
      </tp>
      <tp>
        <v>0</v>
        <stp/>
        <stp>BID</stp>
        <stp>.NDXP250508P19650</stp>
        <tr r="DF173" s="1"/>
        <tr r="DF173" s="1"/>
      </tp>
      <tp>
        <v>0.25</v>
        <stp/>
        <stp>ASK</stp>
        <stp>.NDXP250508P19975</stp>
        <tr r="DD160" s="1"/>
        <tr r="DD160" s="1"/>
      </tp>
      <tp>
        <v>0</v>
        <stp/>
        <stp>BID</stp>
        <stp>.NDXP250508P19675</stp>
        <tr r="DF172" s="1"/>
        <tr r="DF172" s="1"/>
      </tp>
      <tp>
        <v>19.8</v>
        <stp/>
        <stp>ASK</stp>
        <stp>.NDXP250508P19900</stp>
        <tr r="DD163" s="1"/>
        <tr r="DD163" s="1"/>
      </tp>
      <tp>
        <v>0</v>
        <stp/>
        <stp>BID</stp>
        <stp>.NDXP250508P19600</stp>
        <tr r="DF175" s="1"/>
        <tr r="DF175" s="1"/>
      </tp>
      <tp>
        <v>0.65</v>
        <stp/>
        <stp>ASK</stp>
        <stp>.NDXP250508P19925</stp>
        <tr r="DD162" s="1"/>
        <tr r="DD162" s="1"/>
      </tp>
      <tp>
        <v>0</v>
        <stp/>
        <stp>BID</stp>
        <stp>.NDXP250508P19625</stp>
        <tr r="DF174" s="1"/>
        <tr r="DF174" s="1"/>
      </tp>
      <tp t="s">
        <v>N/A</v>
        <stp/>
        <stp>VOLUME</stp>
        <stp>.NDXPP19975</stp>
        <tr r="G161" s="2"/>
        <tr r="F161" s="2"/>
        <tr r="C161" s="2"/>
        <tr r="E161" s="2"/>
        <tr r="D161" s="2"/>
        <tr r="B161" s="2"/>
      </tp>
      <tp t="s">
        <v>N/A</v>
        <stp/>
        <stp>VOLUME</stp>
        <stp>.NDXPP19950</stp>
        <tr r="F162" s="2"/>
        <tr r="E162" s="2"/>
        <tr r="B162" s="2"/>
        <tr r="G162" s="2"/>
        <tr r="C162" s="2"/>
        <tr r="D162" s="2"/>
      </tp>
      <tp t="s">
        <v>N/A</v>
        <stp/>
        <stp>VOLUME</stp>
        <stp>.NDXPP19925</stp>
        <tr r="E163" s="2"/>
        <tr r="D163" s="2"/>
        <tr r="C163" s="2"/>
        <tr r="G163" s="2"/>
        <tr r="B163" s="2"/>
        <tr r="F163" s="2"/>
      </tp>
      <tp t="s">
        <v>N/A</v>
        <stp/>
        <stp>VOLUME</stp>
        <stp>.NDXPP19900</stp>
        <tr r="D164" s="2"/>
        <tr r="B164" s="2"/>
        <tr r="E164" s="2"/>
        <tr r="G164" s="2"/>
        <tr r="F164" s="2"/>
        <tr r="C164" s="2"/>
      </tp>
      <tp t="s">
        <v>N/A</v>
        <stp/>
        <stp>VOLUME</stp>
        <stp>.NDXPC19950</stp>
        <tr r="F162" s="2"/>
        <tr r="E162" s="2"/>
        <tr r="B162" s="2"/>
        <tr r="G162" s="2"/>
        <tr r="C162" s="2"/>
        <tr r="D162" s="2"/>
      </tp>
      <tp t="s">
        <v>N/A</v>
        <stp/>
        <stp>VOLUME</stp>
        <stp>.NDXPC19975</stp>
        <tr r="G161" s="2"/>
        <tr r="F161" s="2"/>
        <tr r="C161" s="2"/>
        <tr r="E161" s="2"/>
        <tr r="D161" s="2"/>
        <tr r="B161" s="2"/>
      </tp>
      <tp t="s">
        <v>N/A</v>
        <stp/>
        <stp>VOLUME</stp>
        <stp>.NDXPC19900</stp>
        <tr r="D164" s="2"/>
        <tr r="B164" s="2"/>
        <tr r="E164" s="2"/>
        <tr r="G164" s="2"/>
        <tr r="F164" s="2"/>
        <tr r="C164" s="2"/>
      </tp>
      <tp t="s">
        <v>N/A</v>
        <stp/>
        <stp>VOLUME</stp>
        <stp>.NDXPC19925</stp>
        <tr r="E163" s="2"/>
        <tr r="D163" s="2"/>
        <tr r="C163" s="2"/>
        <tr r="G163" s="2"/>
        <tr r="B163" s="2"/>
        <tr r="F163" s="2"/>
      </tp>
      <tp>
        <v>204</v>
        <stp/>
        <stp>ASK</stp>
        <stp>.NDXP250508C19875</stp>
        <tr r="DC164" s="1"/>
        <tr r="DC164" s="1"/>
      </tp>
      <tp>
        <v>270</v>
        <stp/>
        <stp>BID</stp>
        <stp>.NDXP250508C19775</stp>
        <tr r="DE168" s="1"/>
        <tr r="DE168" s="1"/>
      </tp>
      <tp>
        <v>230.1</v>
        <stp/>
        <stp>ASK</stp>
        <stp>.NDXP250508C19850</stp>
        <tr r="DC165" s="1"/>
        <tr r="DC165" s="1"/>
      </tp>
      <tp>
        <v>302.89999999999998</v>
        <stp/>
        <stp>BID</stp>
        <stp>.NDXP250508C19750</stp>
        <tr r="DE169" s="1"/>
        <tr r="DE169" s="1"/>
      </tp>
      <tp>
        <v>269.8</v>
        <stp/>
        <stp>ASK</stp>
        <stp>.NDXP250508C19825</stp>
        <tr r="DC166" s="1"/>
        <tr r="DC166" s="1"/>
      </tp>
      <tp>
        <v>320</v>
        <stp/>
        <stp>BID</stp>
        <stp>.NDXP250508C19725</stp>
        <tr r="DE170" s="1"/>
        <tr r="DE170" s="1"/>
      </tp>
      <tp>
        <v>294.8</v>
        <stp/>
        <stp>ASK</stp>
        <stp>.NDXP250508C19800</stp>
        <tr r="DC167" s="1"/>
        <tr r="DC167" s="1"/>
      </tp>
      <tp>
        <v>346</v>
        <stp/>
        <stp>BID</stp>
        <stp>.NDXP250508C19700</stp>
        <tr r="DE171" s="1"/>
        <tr r="DE171" s="1"/>
      </tp>
      <tp>
        <v>19.8</v>
        <stp/>
        <stp>ASK</stp>
        <stp>.NDXP250508P19850</stp>
        <tr r="DD165" s="1"/>
        <tr r="DD165" s="1"/>
      </tp>
      <tp>
        <v>0</v>
        <stp/>
        <stp>BID</stp>
        <stp>.NDXP250508P19750</stp>
        <tr r="DF169" s="1"/>
        <tr r="DF169" s="1"/>
      </tp>
      <tp>
        <v>19.8</v>
        <stp/>
        <stp>ASK</stp>
        <stp>.NDXP250508P19875</stp>
        <tr r="DD164" s="1"/>
        <tr r="DD164" s="1"/>
      </tp>
      <tp>
        <v>0</v>
        <stp/>
        <stp>BID</stp>
        <stp>.NDXP250508P19775</stp>
        <tr r="DF168" s="1"/>
        <tr r="DF168" s="1"/>
      </tp>
      <tp>
        <v>0.25</v>
        <stp/>
        <stp>ASK</stp>
        <stp>.NDXP250508P19800</stp>
        <tr r="DD167" s="1"/>
        <tr r="DD167" s="1"/>
      </tp>
      <tp>
        <v>0</v>
        <stp/>
        <stp>BID</stp>
        <stp>.NDXP250508P19700</stp>
        <tr r="DF171" s="1"/>
        <tr r="DF171" s="1"/>
      </tp>
      <tp>
        <v>19.8</v>
        <stp/>
        <stp>ASK</stp>
        <stp>.NDXP250508P19825</stp>
        <tr r="DD166" s="1"/>
        <tr r="DD166" s="1"/>
      </tp>
      <tp>
        <v>0</v>
        <stp/>
        <stp>BID</stp>
        <stp>.NDXP250508P19725</stp>
        <tr r="DF170" s="1"/>
        <tr r="DF170" s="1"/>
      </tp>
      <tp t="s">
        <v>N/A</v>
        <stp/>
        <stp>VOLUME</stp>
        <stp>.NDXPP19875</stp>
        <tr r="E165" s="2"/>
        <tr r="G165" s="2"/>
        <tr r="D165" s="2"/>
        <tr r="F165" s="2"/>
        <tr r="C165" s="2"/>
        <tr r="B165" s="2"/>
      </tp>
      <tp t="s">
        <v>N/A</v>
        <stp/>
        <stp>VOLUME</stp>
        <stp>.NDXPP19850</stp>
        <tr r="D166" s="2"/>
        <tr r="G166" s="2"/>
        <tr r="E166" s="2"/>
        <tr r="C166" s="2"/>
        <tr r="F166" s="2"/>
        <tr r="B166" s="2"/>
      </tp>
      <tp t="s">
        <v>N/A</v>
        <stp/>
        <stp>VOLUME</stp>
        <stp>.NDXPP19825</stp>
        <tr r="E167" s="2"/>
        <tr r="B167" s="2"/>
        <tr r="D167" s="2"/>
        <tr r="G167" s="2"/>
        <tr r="F167" s="2"/>
        <tr r="C167" s="2"/>
      </tp>
      <tp t="s">
        <v>N/A</v>
        <stp/>
        <stp>VOLUME</stp>
        <stp>.NDXPP19800</stp>
        <tr r="D168" s="2"/>
        <tr r="C168" s="2"/>
        <tr r="E168" s="2"/>
        <tr r="F168" s="2"/>
        <tr r="B168" s="2"/>
        <tr r="G168" s="2"/>
      </tp>
      <tp>
        <v>223.2</v>
        <stp/>
        <stp>LAST</stp>
        <stp>.SPXW250508P5830</stp>
        <tr r="DB89" s="1"/>
        <tr r="DB89" s="1"/>
      </tp>
      <tp t="s">
        <v>N/A</v>
        <stp/>
        <stp>VOLUME</stp>
        <stp>.NDXPC19850</stp>
        <tr r="D166" s="2"/>
        <tr r="G166" s="2"/>
        <tr r="E166" s="2"/>
        <tr r="C166" s="2"/>
        <tr r="F166" s="2"/>
        <tr r="B166" s="2"/>
      </tp>
      <tp>
        <v>0.03</v>
        <stp/>
        <stp>LAST</stp>
        <stp>.SPXW250508C5830</stp>
        <tr r="DA89" s="1"/>
        <tr r="DA89" s="1"/>
      </tp>
      <tp>
        <v>144.54</v>
        <stp/>
        <stp>LAST</stp>
        <stp>.SPXW250508P5820</stp>
        <tr r="DB90" s="1"/>
        <tr r="DB90" s="1"/>
      </tp>
      <tp>
        <v>0.03</v>
        <stp/>
        <stp>LAST</stp>
        <stp>.SPXW250508C5820</stp>
        <tr r="DA90" s="1"/>
        <tr r="DA90" s="1"/>
      </tp>
      <tp>
        <v>134.59</v>
        <stp/>
        <stp>LAST</stp>
        <stp>.SPXW250508P5810</stp>
        <tr r="DB91" s="1"/>
        <tr r="DB91" s="1"/>
      </tp>
      <tp>
        <v>0.03</v>
        <stp/>
        <stp>LAST</stp>
        <stp>.SPXW250508C5810</stp>
        <tr r="DA91" s="1"/>
        <tr r="DA91" s="1"/>
      </tp>
      <tp t="s">
        <v>N/A</v>
        <stp/>
        <stp>VOLUME</stp>
        <stp>.NDXPC19875</stp>
        <tr r="E165" s="2"/>
        <tr r="G165" s="2"/>
        <tr r="D165" s="2"/>
        <tr r="F165" s="2"/>
        <tr r="C165" s="2"/>
        <tr r="B165" s="2"/>
      </tp>
      <tp>
        <v>134.5</v>
        <stp/>
        <stp>LAST</stp>
        <stp>.SPXW250508P5800</stp>
        <tr r="DB92" s="1"/>
        <tr r="DB92" s="1"/>
      </tp>
      <tp>
        <v>0.03</v>
        <stp/>
        <stp>LAST</stp>
        <stp>.SPXW250508C5800</stp>
        <tr r="DA92" s="1"/>
        <tr r="DA92" s="1"/>
      </tp>
      <tp>
        <v>151.66999999999999</v>
        <stp/>
        <stp>LAST</stp>
        <stp>.SPXW250508P5870</stp>
        <tr r="DB85" s="1"/>
        <tr r="DB85" s="1"/>
      </tp>
      <tp>
        <v>0.03</v>
        <stp/>
        <stp>LAST</stp>
        <stp>.SPXW250508C5870</stp>
        <tr r="DA85" s="1"/>
        <tr r="DA85" s="1"/>
      </tp>
      <tp>
        <v>141.72</v>
        <stp/>
        <stp>LAST</stp>
        <stp>.SPXW250508P5860</stp>
        <tr r="DB86" s="1"/>
        <tr r="DB86" s="1"/>
      </tp>
      <tp t="s">
        <v>N/A</v>
        <stp/>
        <stp>VOLUME</stp>
        <stp>.NDXPC19800</stp>
        <tr r="D168" s="2"/>
        <tr r="C168" s="2"/>
        <tr r="E168" s="2"/>
        <tr r="F168" s="2"/>
        <tr r="B168" s="2"/>
        <tr r="G168" s="2"/>
      </tp>
      <tp>
        <v>0.03</v>
        <stp/>
        <stp>LAST</stp>
        <stp>.SPXW250508C5860</stp>
        <tr r="DA86" s="1"/>
        <tr r="DA86" s="1"/>
      </tp>
      <tp>
        <v>184.89</v>
        <stp/>
        <stp>LAST</stp>
        <stp>.SPXW250508P5850</stp>
        <tr r="DB87" s="1"/>
        <tr r="DB87" s="1"/>
      </tp>
      <tp>
        <v>0.03</v>
        <stp/>
        <stp>LAST</stp>
        <stp>.SPXW250508C5850</stp>
        <tr r="DA87" s="1"/>
        <tr r="DA87" s="1"/>
      </tp>
      <tp>
        <v>132.49</v>
        <stp/>
        <stp>LAST</stp>
        <stp>.SPXW250508P5840</stp>
        <tr r="DB88" s="1"/>
        <tr r="DB88" s="1"/>
      </tp>
      <tp>
        <v>0.03</v>
        <stp/>
        <stp>LAST</stp>
        <stp>.SPXW250508C5840</stp>
        <tr r="DA88" s="1"/>
        <tr r="DA88" s="1"/>
      </tp>
      <tp t="s">
        <v>N/A</v>
        <stp/>
        <stp>VOLUME</stp>
        <stp>.NDXPC19825</stp>
        <tr r="E167" s="2"/>
        <tr r="B167" s="2"/>
        <tr r="D167" s="2"/>
        <tr r="G167" s="2"/>
        <tr r="F167" s="2"/>
        <tr r="C167" s="2"/>
      </tp>
      <tp>
        <v>0</v>
        <stp/>
        <stp>BID</stp>
        <stp>.NDXP250508C20075</stp>
        <tr r="DE156" s="1"/>
        <tr r="DE156" s="1"/>
      </tp>
      <tp>
        <v>12</v>
        <stp/>
        <stp>BID</stp>
        <stp>.NDXP250508C20050</stp>
        <tr r="DE157" s="1"/>
        <tr r="DE157" s="1"/>
      </tp>
      <tp>
        <v>36</v>
        <stp/>
        <stp>BID</stp>
        <stp>.NDXP250508C20025</stp>
        <tr r="DE158" s="1"/>
        <tr r="DE158" s="1"/>
      </tp>
      <tp>
        <v>62</v>
        <stp/>
        <stp>BID</stp>
        <stp>.NDXP250508C20000</stp>
        <tr r="DE159" s="1"/>
        <tr r="DE159" s="1"/>
      </tp>
      <tp>
        <v>0</v>
        <stp/>
        <stp>BID</stp>
        <stp>.NDXP250508P20050</stp>
        <tr r="DF157" s="1"/>
        <tr r="DF157" s="1"/>
      </tp>
      <tp>
        <v>9.1999999999999993</v>
        <stp/>
        <stp>BID</stp>
        <stp>.NDXP250508P20075</stp>
        <tr r="DF156" s="1"/>
        <tr r="DF156" s="1"/>
      </tp>
      <tp>
        <v>0</v>
        <stp/>
        <stp>BID</stp>
        <stp>.NDXP250508P20000</stp>
        <tr r="DF159" s="1"/>
        <tr r="DF159" s="1"/>
      </tp>
      <tp>
        <v>0</v>
        <stp/>
        <stp>BID</stp>
        <stp>.NDXP250508P20025</stp>
        <tr r="DF158" s="1"/>
        <tr r="DF158" s="1"/>
      </tp>
      <tp>
        <v>0</v>
        <stp/>
        <stp>BID</stp>
        <stp>.NDXP250508C20175</stp>
        <tr r="DE152" s="1"/>
        <tr r="DE152" s="1"/>
      </tp>
      <tp>
        <v>0</v>
        <stp/>
        <stp>BID</stp>
        <stp>.NDXP250508C20150</stp>
        <tr r="DE153" s="1"/>
        <tr r="DE153" s="1"/>
      </tp>
      <tp>
        <v>0</v>
        <stp/>
        <stp>BID</stp>
        <stp>.NDXP250508C20125</stp>
        <tr r="DE154" s="1"/>
        <tr r="DE154" s="1"/>
      </tp>
      <tp>
        <v>0</v>
        <stp/>
        <stp>BID</stp>
        <stp>.NDXP250508C20100</stp>
        <tr r="DE155" s="1"/>
        <tr r="DE155" s="1"/>
      </tp>
      <tp>
        <v>72</v>
        <stp/>
        <stp>BID</stp>
        <stp>.NDXP250508P20150</stp>
        <tr r="DF153" s="1"/>
        <tr r="DF153" s="1"/>
      </tp>
      <tp>
        <v>98</v>
        <stp/>
        <stp>BID</stp>
        <stp>.NDXP250508P20175</stp>
        <tr r="DF152" s="1"/>
        <tr r="DF152" s="1"/>
      </tp>
      <tp>
        <v>22</v>
        <stp/>
        <stp>BID</stp>
        <stp>.NDXP250508P20100</stp>
        <tr r="DF155" s="1"/>
        <tr r="DF155" s="1"/>
      </tp>
      <tp>
        <v>46</v>
        <stp/>
        <stp>BID</stp>
        <stp>.NDXP250508P20125</stp>
        <tr r="DF154" s="1"/>
        <tr r="DF154" s="1"/>
      </tp>
      <tp>
        <v>0</v>
        <stp/>
        <stp>BID</stp>
        <stp>.NDXP250508C20275</stp>
        <tr r="DE148" s="1"/>
        <tr r="DE148" s="1"/>
      </tp>
      <tp>
        <v>756</v>
        <stp/>
        <stp>BID</stp>
        <stp>.NDXP250508C19275</stp>
        <tr r="DE188" s="1"/>
        <tr r="DE188" s="1"/>
      </tp>
      <tp>
        <v>0</v>
        <stp/>
        <stp>BID</stp>
        <stp>.NDXP250508C20250</stp>
        <tr r="DE149" s="1"/>
        <tr r="DE149" s="1"/>
      </tp>
      <tp>
        <v>780</v>
        <stp/>
        <stp>BID</stp>
        <stp>.NDXP250508C19250</stp>
        <tr r="DE189" s="1"/>
        <tr r="DE189" s="1"/>
      </tp>
      <tp>
        <v>0.05</v>
        <stp/>
        <stp>BID</stp>
        <stp>.NDXP250508C20225</stp>
        <tr r="DE150" s="1"/>
        <tr r="DE150" s="1"/>
      </tp>
      <tp>
        <v>0</v>
        <stp/>
        <stp>BID</stp>
        <stp>.NDXP250508C20200</stp>
        <tr r="DE151" s="1"/>
        <tr r="DE151" s="1"/>
      </tp>
      <tp>
        <v>172</v>
        <stp/>
        <stp>BID</stp>
        <stp>.NDXP250508P20250</stp>
        <tr r="DF149" s="1"/>
        <tr r="DF149" s="1"/>
      </tp>
      <tp>
        <v>0</v>
        <stp/>
        <stp>BID</stp>
        <stp>.NDXP250508P19250</stp>
        <tr r="DF189" s="1"/>
        <tr r="DF189" s="1"/>
      </tp>
      <tp>
        <v>198</v>
        <stp/>
        <stp>BID</stp>
        <stp>.NDXP250508P20275</stp>
        <tr r="DF148" s="1"/>
        <tr r="DF148" s="1"/>
      </tp>
      <tp>
        <v>0</v>
        <stp/>
        <stp>BID</stp>
        <stp>.NDXP250508P19275</stp>
        <tr r="DF188" s="1"/>
        <tr r="DF188" s="1"/>
      </tp>
      <tp>
        <v>122</v>
        <stp/>
        <stp>BID</stp>
        <stp>.NDXP250508P20200</stp>
        <tr r="DF151" s="1"/>
        <tr r="DF151" s="1"/>
      </tp>
      <tp>
        <v>148</v>
        <stp/>
        <stp>BID</stp>
        <stp>.NDXP250508P20225</stp>
        <tr r="DF150" s="1"/>
        <tr r="DF150" s="1"/>
      </tp>
      <tp>
        <v>0</v>
        <stp/>
        <stp>BID</stp>
        <stp>.NDXP250508C20375</stp>
        <tr r="DE144" s="1"/>
        <tr r="DE144" s="1"/>
      </tp>
      <tp>
        <v>656</v>
        <stp/>
        <stp>BID</stp>
        <stp>.NDXP250508C19375</stp>
        <tr r="DE184" s="1"/>
        <tr r="DE184" s="1"/>
      </tp>
      <tp>
        <v>0</v>
        <stp/>
        <stp>BID</stp>
        <stp>.NDXP250508C20350</stp>
        <tr r="DE145" s="1"/>
        <tr r="DE145" s="1"/>
      </tp>
      <tp>
        <v>680</v>
        <stp/>
        <stp>BID</stp>
        <stp>.NDXP250508C19350</stp>
        <tr r="DE185" s="1"/>
        <tr r="DE185" s="1"/>
      </tp>
      <tp>
        <v>0</v>
        <stp/>
        <stp>BID</stp>
        <stp>.NDXP250508C20325</stp>
        <tr r="DE146" s="1"/>
        <tr r="DE146" s="1"/>
      </tp>
      <tp>
        <v>706</v>
        <stp/>
        <stp>BID</stp>
        <stp>.NDXP250508C19325</stp>
        <tr r="DE186" s="1"/>
        <tr r="DE186" s="1"/>
      </tp>
      <tp>
        <v>0</v>
        <stp/>
        <stp>BID</stp>
        <stp>.NDXP250508C20300</stp>
        <tr r="DE147" s="1"/>
        <tr r="DE147" s="1"/>
      </tp>
      <tp>
        <v>730</v>
        <stp/>
        <stp>BID</stp>
        <stp>.NDXP250508C19300</stp>
        <tr r="DE187" s="1"/>
        <tr r="DE187" s="1"/>
      </tp>
      <tp>
        <v>258</v>
        <stp/>
        <stp>BID</stp>
        <stp>.NDXP250508P20350</stp>
        <tr r="DF145" s="1"/>
        <tr r="DF145" s="1"/>
      </tp>
      <tp>
        <v>0</v>
        <stp/>
        <stp>BID</stp>
        <stp>.NDXP250508P19350</stp>
        <tr r="DF185" s="1"/>
        <tr r="DF185" s="1"/>
      </tp>
      <tp>
        <v>282</v>
        <stp/>
        <stp>BID</stp>
        <stp>.NDXP250508P20375</stp>
        <tr r="DF144" s="1"/>
        <tr r="DF144" s="1"/>
      </tp>
      <tp>
        <v>0</v>
        <stp/>
        <stp>BID</stp>
        <stp>.NDXP250508P19375</stp>
        <tr r="DF184" s="1"/>
        <tr r="DF184" s="1"/>
      </tp>
      <tp>
        <v>208</v>
        <stp/>
        <stp>BID</stp>
        <stp>.NDXP250508P20300</stp>
        <tr r="DF147" s="1"/>
        <tr r="DF147" s="1"/>
      </tp>
      <tp>
        <v>0</v>
        <stp/>
        <stp>BID</stp>
        <stp>.NDXP250508P19300</stp>
        <tr r="DF187" s="1"/>
        <tr r="DF187" s="1"/>
      </tp>
      <tp>
        <v>232</v>
        <stp/>
        <stp>BID</stp>
        <stp>.NDXP250508P20325</stp>
        <tr r="DF146" s="1"/>
        <tr r="DF146" s="1"/>
      </tp>
      <tp>
        <v>0</v>
        <stp/>
        <stp>BID</stp>
        <stp>.NDXP250508P19325</stp>
        <tr r="DF186" s="1"/>
        <tr r="DF186" s="1"/>
      </tp>
      <tp>
        <v>734</v>
        <stp/>
        <stp>ASK</stp>
        <stp>.NDXP250508C19375</stp>
        <tr r="DC184" s="1"/>
        <tr r="DC184" s="1"/>
      </tp>
      <tp>
        <v>19.8</v>
        <stp/>
        <stp>ASK</stp>
        <stp>.NDXP250508C20375</stp>
        <tr r="DC144" s="1"/>
        <tr r="DC144" s="1"/>
      </tp>
      <tp>
        <v>760</v>
        <stp/>
        <stp>ASK</stp>
        <stp>.NDXP250508C19350</stp>
        <tr r="DC185" s="1"/>
        <tr r="DC185" s="1"/>
      </tp>
      <tp>
        <v>19.8</v>
        <stp/>
        <stp>ASK</stp>
        <stp>.NDXP250508C20350</stp>
        <tr r="DC145" s="1"/>
        <tr r="DC145" s="1"/>
      </tp>
      <tp>
        <v>784</v>
        <stp/>
        <stp>ASK</stp>
        <stp>.NDXP250508C19325</stp>
        <tr r="DC186" s="1"/>
        <tr r="DC186" s="1"/>
      </tp>
      <tp>
        <v>0.05</v>
        <stp/>
        <stp>ASK</stp>
        <stp>.NDXP250508C20325</stp>
        <tr r="DC146" s="1"/>
        <tr r="DC146" s="1"/>
      </tp>
      <tp>
        <v>810</v>
        <stp/>
        <stp>ASK</stp>
        <stp>.NDXP250508C19300</stp>
        <tr r="DC187" s="1"/>
        <tr r="DC187" s="1"/>
      </tp>
      <tp>
        <v>9.8000000000000007</v>
        <stp/>
        <stp>ASK</stp>
        <stp>.NDXP250508C20300</stp>
        <tr r="DC147" s="1"/>
        <tr r="DC147" s="1"/>
      </tp>
      <tp>
        <v>0.3</v>
        <stp/>
        <stp>ASK</stp>
        <stp>.NDXP250508P19350</stp>
        <tr r="DD185" s="1"/>
        <tr r="DD185" s="1"/>
      </tp>
      <tp>
        <v>305.3</v>
        <stp/>
        <stp>ASK</stp>
        <stp>.NDXP250508P20350</stp>
        <tr r="DD145" s="1"/>
        <tr r="DD145" s="1"/>
      </tp>
      <tp>
        <v>19.8</v>
        <stp/>
        <stp>ASK</stp>
        <stp>.NDXP250508P19375</stp>
        <tr r="DD184" s="1"/>
        <tr r="DD184" s="1"/>
      </tp>
      <tp>
        <v>330.3</v>
        <stp/>
        <stp>ASK</stp>
        <stp>.NDXP250508P20375</stp>
        <tr r="DD144" s="1"/>
        <tr r="DD144" s="1"/>
      </tp>
      <tp>
        <v>19.8</v>
        <stp/>
        <stp>ASK</stp>
        <stp>.NDXP250508P19300</stp>
        <tr r="DD187" s="1"/>
        <tr r="DD187" s="1"/>
      </tp>
      <tp>
        <v>255.3</v>
        <stp/>
        <stp>ASK</stp>
        <stp>.NDXP250508P20300</stp>
        <tr r="DD147" s="1"/>
        <tr r="DD147" s="1"/>
      </tp>
      <tp>
        <v>19.8</v>
        <stp/>
        <stp>ASK</stp>
        <stp>.NDXP250508P19325</stp>
        <tr r="DD186" s="1"/>
        <tr r="DD186" s="1"/>
      </tp>
      <tp>
        <v>280.3</v>
        <stp/>
        <stp>ASK</stp>
        <stp>.NDXP250508P20325</stp>
        <tr r="DD146" s="1"/>
        <tr r="DD146" s="1"/>
      </tp>
      <tp t="s">
        <v>N/A</v>
        <stp/>
        <stp>VOLUME</stp>
        <stp>.NDXPP19375</stp>
        <tr r="F185" s="2"/>
        <tr r="E185" s="2"/>
        <tr r="C185" s="2"/>
        <tr r="D185" s="2"/>
        <tr r="B185" s="2"/>
        <tr r="G185" s="2"/>
      </tp>
      <tp t="s">
        <v>N/A</v>
        <stp/>
        <stp>VOLUME</stp>
        <stp>.NDXPP20375</stp>
        <tr r="G145" s="2"/>
        <tr r="C145" s="2"/>
        <tr r="B145" s="2"/>
        <tr r="E145" s="2"/>
        <tr r="F145" s="2"/>
        <tr r="D145" s="2"/>
      </tp>
      <tp t="s">
        <v>N/A</v>
        <stp/>
        <stp>VOLUME</stp>
        <stp>.NDXPP19350</stp>
        <tr r="E186" s="2"/>
        <tr r="C186" s="2"/>
        <tr r="D186" s="2"/>
        <tr r="B186" s="2"/>
        <tr r="G186" s="2"/>
        <tr r="F186" s="2"/>
      </tp>
      <tp t="s">
        <v>N/A</v>
        <stp/>
        <stp>VOLUME</stp>
        <stp>.NDXPP20350</stp>
        <tr r="F146" s="2"/>
        <tr r="D146" s="2"/>
        <tr r="C146" s="2"/>
        <tr r="B146" s="2"/>
        <tr r="E146" s="2"/>
        <tr r="G146" s="2"/>
      </tp>
      <tp t="s">
        <v>N/A</v>
        <stp/>
        <stp>VOLUME</stp>
        <stp>.NDXPP19325</stp>
        <tr r="B187" s="2"/>
        <tr r="E187" s="2"/>
        <tr r="C187" s="2"/>
        <tr r="F187" s="2"/>
        <tr r="D187" s="2"/>
        <tr r="G187" s="2"/>
      </tp>
      <tp t="s">
        <v>N/A</v>
        <stp/>
        <stp>VOLUME</stp>
        <stp>.NDXPP20325</stp>
        <tr r="F147" s="2"/>
        <tr r="B147" s="2"/>
        <tr r="E147" s="2"/>
        <tr r="D147" s="2"/>
        <tr r="G147" s="2"/>
        <tr r="C147" s="2"/>
      </tp>
      <tp t="s">
        <v>N/A</v>
        <stp/>
        <stp>VOLUME</stp>
        <stp>.NDXPP19300</stp>
        <tr r="F188" s="2"/>
        <tr r="C188" s="2"/>
        <tr r="B188" s="2"/>
        <tr r="G188" s="2"/>
        <tr r="E188" s="2"/>
        <tr r="D188" s="2"/>
      </tp>
      <tp t="s">
        <v>N/A</v>
        <stp/>
        <stp>VOLUME</stp>
        <stp>.NDXPP20300</stp>
        <tr r="B148" s="2"/>
        <tr r="F148" s="2"/>
        <tr r="G148" s="2"/>
        <tr r="D148" s="2"/>
        <tr r="E148" s="2"/>
        <tr r="C148" s="2"/>
      </tp>
      <tp t="s">
        <v>N/A</v>
        <stp/>
        <stp>VOLUME</stp>
        <stp>.NDXPC19350</stp>
        <tr r="E186" s="2"/>
        <tr r="C186" s="2"/>
        <tr r="D186" s="2"/>
        <tr r="B186" s="2"/>
        <tr r="G186" s="2"/>
        <tr r="F186" s="2"/>
      </tp>
      <tp t="s">
        <v>N/A</v>
        <stp/>
        <stp>VOLUME</stp>
        <stp>.NDXPC20350</stp>
        <tr r="F146" s="2"/>
        <tr r="D146" s="2"/>
        <tr r="C146" s="2"/>
        <tr r="B146" s="2"/>
        <tr r="E146" s="2"/>
        <tr r="G146" s="2"/>
      </tp>
      <tp t="s">
        <v>N/A</v>
        <stp/>
        <stp>VOLUME</stp>
        <stp>.NDXPC19375</stp>
        <tr r="F185" s="2"/>
        <tr r="E185" s="2"/>
        <tr r="C185" s="2"/>
        <tr r="D185" s="2"/>
        <tr r="B185" s="2"/>
        <tr r="G185" s="2"/>
      </tp>
      <tp t="s">
        <v>N/A</v>
        <stp/>
        <stp>VOLUME</stp>
        <stp>.NDXPC20375</stp>
        <tr r="G145" s="2"/>
        <tr r="C145" s="2"/>
        <tr r="B145" s="2"/>
        <tr r="E145" s="2"/>
        <tr r="F145" s="2"/>
        <tr r="D145" s="2"/>
      </tp>
      <tp t="s">
        <v>N/A</v>
        <stp/>
        <stp>VOLUME</stp>
        <stp>.NDXPC19300</stp>
        <tr r="F188" s="2"/>
        <tr r="C188" s="2"/>
        <tr r="B188" s="2"/>
        <tr r="G188" s="2"/>
        <tr r="E188" s="2"/>
        <tr r="D188" s="2"/>
      </tp>
      <tp t="s">
        <v>N/A</v>
        <stp/>
        <stp>VOLUME</stp>
        <stp>.NDXPC20300</stp>
        <tr r="B148" s="2"/>
        <tr r="F148" s="2"/>
        <tr r="G148" s="2"/>
        <tr r="D148" s="2"/>
        <tr r="E148" s="2"/>
        <tr r="C148" s="2"/>
      </tp>
      <tp>
        <v>20061.449000000001</v>
        <stp/>
        <stp>MARK</stp>
        <stp>NDX</stp>
        <tr r="E134" s="1"/>
      </tp>
      <tp t="s">
        <v>N/A</v>
        <stp/>
        <stp>VOLUME</stp>
        <stp>.NDXPC19325</stp>
        <tr r="B187" s="2"/>
        <tr r="E187" s="2"/>
        <tr r="C187" s="2"/>
        <tr r="F187" s="2"/>
        <tr r="D187" s="2"/>
        <tr r="G187" s="2"/>
      </tp>
      <tp t="s">
        <v>N/A</v>
        <stp/>
        <stp>VOLUME</stp>
        <stp>.NDXPC20325</stp>
        <tr r="F147" s="2"/>
        <tr r="B147" s="2"/>
        <tr r="E147" s="2"/>
        <tr r="D147" s="2"/>
        <tr r="G147" s="2"/>
        <tr r="C147" s="2"/>
      </tp>
      <tp>
        <v>834</v>
        <stp/>
        <stp>ASK</stp>
        <stp>.NDXP250508C19275</stp>
        <tr r="DC188" s="1"/>
        <tr r="DC188" s="1"/>
      </tp>
      <tp>
        <v>4.3</v>
        <stp/>
        <stp>ASK</stp>
        <stp>.NDXP250508C20275</stp>
        <tr r="DC148" s="1"/>
        <tr r="DC148" s="1"/>
      </tp>
      <tp>
        <v>860</v>
        <stp/>
        <stp>ASK</stp>
        <stp>.NDXP250508C19250</stp>
        <tr r="DC189" s="1"/>
        <tr r="DC189" s="1"/>
      </tp>
      <tp>
        <v>0.25</v>
        <stp/>
        <stp>ASK</stp>
        <stp>.NDXP250508C20250</stp>
        <tr r="DC149" s="1"/>
        <tr r="DC149" s="1"/>
      </tp>
      <tp>
        <v>17.5</v>
        <stp/>
        <stp>ASK</stp>
        <stp>.NDXP250508C20225</stp>
        <tr r="DC150" s="1"/>
        <tr r="DC150" s="1"/>
      </tp>
      <tp>
        <v>0.9</v>
        <stp/>
        <stp>ASK</stp>
        <stp>.NDXP250508C20200</stp>
        <tr r="DC151" s="1"/>
        <tr r="DC151" s="1"/>
      </tp>
      <tp>
        <v>2</v>
        <stp/>
        <stp>ASK</stp>
        <stp>.NDXP250508P19250</stp>
        <tr r="DD189" s="1"/>
        <tr r="DD189" s="1"/>
      </tp>
      <tp>
        <v>189.8</v>
        <stp/>
        <stp>ASK</stp>
        <stp>.NDXP250508P20250</stp>
        <tr r="DD149" s="1"/>
        <tr r="DD149" s="1"/>
      </tp>
      <tp>
        <v>19.8</v>
        <stp/>
        <stp>ASK</stp>
        <stp>.NDXP250508P19275</stp>
        <tr r="DD188" s="1"/>
        <tr r="DD188" s="1"/>
      </tp>
      <tp>
        <v>214.7</v>
        <stp/>
        <stp>ASK</stp>
        <stp>.NDXP250508P20275</stp>
        <tr r="DD148" s="1"/>
        <tr r="DD148" s="1"/>
      </tp>
      <tp>
        <v>139.80000000000001</v>
        <stp/>
        <stp>ASK</stp>
        <stp>.NDXP250508P20200</stp>
        <tr r="DD151" s="1"/>
        <tr r="DD151" s="1"/>
      </tp>
      <tp>
        <v>164.8</v>
        <stp/>
        <stp>ASK</stp>
        <stp>.NDXP250508P20225</stp>
        <tr r="DD150" s="1"/>
        <tr r="DD150" s="1"/>
      </tp>
      <tp t="s">
        <v>N/A</v>
        <stp/>
        <stp>VOLUME</stp>
        <stp>.NDXPP19275</stp>
        <tr r="G189" s="2"/>
        <tr r="F189" s="2"/>
        <tr r="C189" s="2"/>
        <tr r="D189" s="2"/>
        <tr r="B189" s="2"/>
        <tr r="E189" s="2"/>
      </tp>
      <tp t="s">
        <v>N/A</v>
        <stp/>
        <stp>VOLUME</stp>
        <stp>.NDXPP20275</stp>
        <tr r="G149" s="2"/>
        <tr r="C149" s="2"/>
        <tr r="B149" s="2"/>
        <tr r="F149" s="2"/>
        <tr r="E149" s="2"/>
        <tr r="D149" s="2"/>
      </tp>
      <tp t="s">
        <v>N/A</v>
        <stp/>
        <stp>VOLUME</stp>
        <stp>.NDXPP19250</stp>
        <tr r="D190" s="2"/>
        <tr r="F190" s="2"/>
        <tr r="C190" s="2"/>
        <tr r="G190" s="2"/>
        <tr r="E190" s="2"/>
        <tr r="B190" s="2"/>
      </tp>
      <tp t="s">
        <v>N/A</v>
        <stp/>
        <stp>VOLUME</stp>
        <stp>.NDXPP20250</stp>
        <tr r="B150" s="2"/>
        <tr r="F150" s="2"/>
        <tr r="E150" s="2"/>
        <tr r="G150" s="2"/>
        <tr r="D150" s="2"/>
        <tr r="C150" s="2"/>
      </tp>
      <tp t="s">
        <v>N/A</v>
        <stp/>
        <stp>VOLUME</stp>
        <stp>.NDXPP20225</stp>
        <tr r="C151" s="2"/>
        <tr r="F151" s="2"/>
        <tr r="G151" s="2"/>
        <tr r="D151" s="2"/>
        <tr r="B151" s="2"/>
        <tr r="E151" s="2"/>
      </tp>
      <tp t="s">
        <v>N/A</v>
        <stp/>
        <stp>VOLUME</stp>
        <stp>.NDXPP20200</stp>
        <tr r="E152" s="2"/>
        <tr r="D152" s="2"/>
        <tr r="C152" s="2"/>
        <tr r="G152" s="2"/>
        <tr r="F152" s="2"/>
        <tr r="B152" s="2"/>
      </tp>
      <tp t="s">
        <v>N/A</v>
        <stp/>
        <stp>VOLUME</stp>
        <stp>.NDXPC19250</stp>
        <tr r="D190" s="2"/>
        <tr r="F190" s="2"/>
        <tr r="C190" s="2"/>
        <tr r="G190" s="2"/>
        <tr r="E190" s="2"/>
        <tr r="B190" s="2"/>
      </tp>
      <tp t="s">
        <v>N/A</v>
        <stp/>
        <stp>VOLUME</stp>
        <stp>.NDXPC20250</stp>
        <tr r="B150" s="2"/>
        <tr r="F150" s="2"/>
        <tr r="E150" s="2"/>
        <tr r="G150" s="2"/>
        <tr r="D150" s="2"/>
        <tr r="C150" s="2"/>
      </tp>
      <tp t="s">
        <v>N/A</v>
        <stp/>
        <stp>VOLUME</stp>
        <stp>.NDXPC19275</stp>
        <tr r="G189" s="2"/>
        <tr r="F189" s="2"/>
        <tr r="C189" s="2"/>
        <tr r="D189" s="2"/>
        <tr r="B189" s="2"/>
        <tr r="E189" s="2"/>
      </tp>
      <tp t="s">
        <v>N/A</v>
        <stp/>
        <stp>VOLUME</stp>
        <stp>.NDXPC20275</stp>
        <tr r="G149" s="2"/>
        <tr r="C149" s="2"/>
        <tr r="B149" s="2"/>
        <tr r="F149" s="2"/>
        <tr r="E149" s="2"/>
        <tr r="D149" s="2"/>
      </tp>
      <tp t="s">
        <v>N/A</v>
        <stp/>
        <stp>VOLUME</stp>
        <stp>.NDXPC20200</stp>
        <tr r="E152" s="2"/>
        <tr r="D152" s="2"/>
        <tr r="C152" s="2"/>
        <tr r="G152" s="2"/>
        <tr r="F152" s="2"/>
        <tr r="B152" s="2"/>
      </tp>
      <tp t="s">
        <v>N/A</v>
        <stp/>
        <stp>VOLUME</stp>
        <stp>.NDXPC20225</stp>
        <tr r="C151" s="2"/>
        <tr r="F151" s="2"/>
        <tr r="G151" s="2"/>
        <tr r="D151" s="2"/>
        <tr r="B151" s="2"/>
        <tr r="E151" s="2"/>
      </tp>
      <tp>
        <v>0.95</v>
        <stp/>
        <stp>ASK</stp>
        <stp>.NDXP250508C20175</stp>
        <tr r="DC152" s="1"/>
        <tr r="DC152" s="1"/>
      </tp>
      <tp>
        <v>0.9</v>
        <stp/>
        <stp>ASK</stp>
        <stp>.NDXP250508C20150</stp>
        <tr r="DC153" s="1"/>
        <tr r="DC153" s="1"/>
      </tp>
      <tp>
        <v>0.3</v>
        <stp/>
        <stp>ASK</stp>
        <stp>.NDXP250508C20125</stp>
        <tr r="DC154" s="1"/>
        <tr r="DC154" s="1"/>
      </tp>
      <tp>
        <v>0.3</v>
        <stp/>
        <stp>ASK</stp>
        <stp>.NDXP250508C20100</stp>
        <tr r="DC155" s="1"/>
        <tr r="DC155" s="1"/>
      </tp>
      <tp>
        <v>89.8</v>
        <stp/>
        <stp>ASK</stp>
        <stp>.NDXP250508P20150</stp>
        <tr r="DD153" s="1"/>
        <tr r="DD153" s="1"/>
      </tp>
      <tp>
        <v>114.8</v>
        <stp/>
        <stp>ASK</stp>
        <stp>.NDXP250508P20175</stp>
        <tr r="DD152" s="1"/>
        <tr r="DD152" s="1"/>
      </tp>
      <tp>
        <v>42</v>
        <stp/>
        <stp>ASK</stp>
        <stp>.NDXP250508P20100</stp>
        <tr r="DD155" s="1"/>
        <tr r="DD155" s="1"/>
      </tp>
      <tp>
        <v>64.8</v>
        <stp/>
        <stp>ASK</stp>
        <stp>.NDXP250508P20125</stp>
        <tr r="DD154" s="1"/>
        <tr r="DD154" s="1"/>
      </tp>
      <tp t="s">
        <v>N/A</v>
        <stp/>
        <stp>VOLUME</stp>
        <stp>.NDXPP20175</stp>
        <tr r="B153" s="2"/>
        <tr r="F153" s="2"/>
        <tr r="G153" s="2"/>
        <tr r="E153" s="2"/>
        <tr r="D153" s="2"/>
        <tr r="C153" s="2"/>
      </tp>
      <tp t="s">
        <v>N/A</v>
        <stp/>
        <stp>VOLUME</stp>
        <stp>.NDXPP20150</stp>
        <tr r="D154" s="2"/>
        <tr r="G154" s="2"/>
        <tr r="B154" s="2"/>
        <tr r="C154" s="2"/>
        <tr r="E154" s="2"/>
        <tr r="F154" s="2"/>
      </tp>
      <tp t="s">
        <v>N/A</v>
        <stp/>
        <stp>VOLUME</stp>
        <stp>.NDXPP20125</stp>
        <tr r="G155" s="2"/>
        <tr r="C155" s="2"/>
        <tr r="F155" s="2"/>
        <tr r="D155" s="2"/>
        <tr r="E155" s="2"/>
        <tr r="B155" s="2"/>
      </tp>
      <tp t="s">
        <v>N/A</v>
        <stp/>
        <stp>VOLUME</stp>
        <stp>.NDXPP20100</stp>
        <tr r="D156" s="2"/>
        <tr r="C156" s="2"/>
        <tr r="B156" s="2"/>
        <tr r="G156" s="2"/>
        <tr r="F156" s="2"/>
        <tr r="E156" s="2"/>
      </tp>
      <tp t="s">
        <v>N/A</v>
        <stp/>
        <stp>VOLUME</stp>
        <stp>.NDXPC20150</stp>
        <tr r="D154" s="2"/>
        <tr r="G154" s="2"/>
        <tr r="B154" s="2"/>
        <tr r="C154" s="2"/>
        <tr r="E154" s="2"/>
        <tr r="F154" s="2"/>
      </tp>
      <tp t="s">
        <v>N/A</v>
        <stp/>
        <stp>VOLUME</stp>
        <stp>.NDXPC20175</stp>
        <tr r="B153" s="2"/>
        <tr r="F153" s="2"/>
        <tr r="G153" s="2"/>
        <tr r="E153" s="2"/>
        <tr r="D153" s="2"/>
        <tr r="C153" s="2"/>
      </tp>
      <tp t="s">
        <v>N/A</v>
        <stp/>
        <stp>VOLUME</stp>
        <stp>.NDXPC20100</stp>
        <tr r="D156" s="2"/>
        <tr r="C156" s="2"/>
        <tr r="B156" s="2"/>
        <tr r="G156" s="2"/>
        <tr r="F156" s="2"/>
        <tr r="E156" s="2"/>
      </tp>
      <tp t="s">
        <v>N/A</v>
        <stp/>
        <stp>VOLUME</stp>
        <stp>.NDXPC20125</stp>
        <tr r="G155" s="2"/>
        <tr r="C155" s="2"/>
        <tr r="F155" s="2"/>
        <tr r="D155" s="2"/>
        <tr r="E155" s="2"/>
        <tr r="B155" s="2"/>
      </tp>
      <tp>
        <v>2.6</v>
        <stp/>
        <stp>ASK</stp>
        <stp>.NDXP250508C20075</stp>
        <tr r="DC156" s="1"/>
        <tr r="DC156" s="1"/>
      </tp>
      <tp>
        <v>16.8</v>
        <stp/>
        <stp>ASK</stp>
        <stp>.NDXP250508C20050</stp>
        <tr r="DC157" s="1"/>
        <tr r="DC157" s="1"/>
      </tp>
      <tp>
        <v>55.3</v>
        <stp/>
        <stp>ASK</stp>
        <stp>.NDXP250508C20025</stp>
        <tr r="DC158" s="1"/>
        <tr r="DC158" s="1"/>
      </tp>
      <tp>
        <v>74</v>
        <stp/>
        <stp>ASK</stp>
        <stp>.NDXP250508C20000</stp>
        <tr r="DC159" s="1"/>
        <tr r="DC159" s="1"/>
      </tp>
      <tp>
        <v>2</v>
        <stp/>
        <stp>ASK</stp>
        <stp>.NDXP250508P20050</stp>
        <tr r="DD157" s="1"/>
        <tr r="DD157" s="1"/>
      </tp>
      <tp>
        <v>22</v>
        <stp/>
        <stp>ASK</stp>
        <stp>.NDXP250508P20075</stp>
        <tr r="DD156" s="1"/>
        <tr r="DD156" s="1"/>
      </tp>
      <tp>
        <v>0.5</v>
        <stp/>
        <stp>ASK</stp>
        <stp>.NDXP250508P20000</stp>
        <tr r="DD159" s="1"/>
        <tr r="DD159" s="1"/>
      </tp>
      <tp>
        <v>19.8</v>
        <stp/>
        <stp>ASK</stp>
        <stp>.NDXP250508P20025</stp>
        <tr r="DD158" s="1"/>
        <tr r="DD158" s="1"/>
      </tp>
      <tp t="s">
        <v>N/A</v>
        <stp/>
        <stp>VOLUME</stp>
        <stp>.NDXPP20075</stp>
        <tr r="E157" s="2"/>
        <tr r="G157" s="2"/>
        <tr r="F157" s="2"/>
        <tr r="B157" s="2"/>
        <tr r="D157" s="2"/>
        <tr r="C157" s="2"/>
      </tp>
      <tp t="s">
        <v>N/A</v>
        <stp/>
        <stp>VOLUME</stp>
        <stp>.NDXPP20050</stp>
        <tr r="F158" s="2"/>
        <tr r="D158" s="2"/>
        <tr r="G158" s="2"/>
        <tr r="B158" s="2"/>
        <tr r="E158" s="2"/>
        <tr r="C158" s="2"/>
      </tp>
      <tp t="s">
        <v>N/A</v>
        <stp/>
        <stp>VOLUME</stp>
        <stp>.NDXPP20025</stp>
        <tr r="D159" s="2"/>
        <tr r="F159" s="2"/>
        <tr r="E159" s="2"/>
        <tr r="C159" s="2"/>
        <tr r="G159" s="2"/>
        <tr r="B159" s="2"/>
      </tp>
      <tp t="s">
        <v>N/A</v>
        <stp/>
        <stp>VOLUME</stp>
        <stp>.NDXPP20000</stp>
        <tr r="F160" s="2"/>
        <tr r="B160" s="2"/>
        <tr r="C160" s="2"/>
        <tr r="D160" s="2"/>
        <tr r="G160" s="2"/>
        <tr r="E160" s="2"/>
      </tp>
      <tp t="s">
        <v>N/A</v>
        <stp/>
        <stp>VOLUME</stp>
        <stp>.NDXPC20050</stp>
        <tr r="F158" s="2"/>
        <tr r="D158" s="2"/>
        <tr r="G158" s="2"/>
        <tr r="B158" s="2"/>
        <tr r="E158" s="2"/>
        <tr r="C158" s="2"/>
      </tp>
      <tp t="s">
        <v>N/A</v>
        <stp/>
        <stp>VOLUME</stp>
        <stp>.NDXPC20075</stp>
        <tr r="E157" s="2"/>
        <tr r="G157" s="2"/>
        <tr r="F157" s="2"/>
        <tr r="B157" s="2"/>
        <tr r="D157" s="2"/>
        <tr r="C157" s="2"/>
      </tp>
      <tp t="s">
        <v>N/A</v>
        <stp/>
        <stp>VOLUME</stp>
        <stp>.NDXPC20000</stp>
        <tr r="F160" s="2"/>
        <tr r="B160" s="2"/>
        <tr r="C160" s="2"/>
        <tr r="D160" s="2"/>
        <tr r="G160" s="2"/>
        <tr r="E160" s="2"/>
      </tp>
      <tp t="s">
        <v>N/A</v>
        <stp/>
        <stp>VOLUME</stp>
        <stp>.NDXPC20025</stp>
        <tr r="D159" s="2"/>
        <tr r="F159" s="2"/>
        <tr r="E159" s="2"/>
        <tr r="C159" s="2"/>
        <tr r="G159" s="2"/>
        <tr r="B159" s="2"/>
      </tp>
      <tp>
        <v>319.8</v>
        <stp/>
        <stp>ASK</stp>
        <stp>.NDXP250508C19775</stp>
        <tr r="DC168" s="1"/>
        <tr r="DC168" s="1"/>
      </tp>
      <tp>
        <v>186</v>
        <stp/>
        <stp>BID</stp>
        <stp>.NDXP250508C19875</stp>
        <tr r="DE164" s="1"/>
        <tr r="DE164" s="1"/>
      </tp>
      <tp>
        <v>344</v>
        <stp/>
        <stp>ASK</stp>
        <stp>.NDXP250508C19750</stp>
        <tr r="DC169" s="1"/>
        <tr r="DC169" s="1"/>
      </tp>
      <tp>
        <v>210.1</v>
        <stp/>
        <stp>BID</stp>
        <stp>.NDXP250508C19850</stp>
        <tr r="DE165" s="1"/>
        <tr r="DE165" s="1"/>
      </tp>
      <tp>
        <v>369.8</v>
        <stp/>
        <stp>ASK</stp>
        <stp>.NDXP250508C19725</stp>
        <tr r="DC170" s="1"/>
        <tr r="DC170" s="1"/>
      </tp>
      <tp>
        <v>220</v>
        <stp/>
        <stp>BID</stp>
        <stp>.NDXP250508C19825</stp>
        <tr r="DE166" s="1"/>
        <tr r="DE166" s="1"/>
      </tp>
      <tp>
        <v>394</v>
        <stp/>
        <stp>ASK</stp>
        <stp>.NDXP250508C19700</stp>
        <tr r="DC171" s="1"/>
        <tr r="DC171" s="1"/>
      </tp>
      <tp>
        <v>246</v>
        <stp/>
        <stp>BID</stp>
        <stp>.NDXP250508C19800</stp>
        <tr r="DE167" s="1"/>
        <tr r="DE167" s="1"/>
      </tp>
      <tp>
        <v>4.3</v>
        <stp/>
        <stp>ASK</stp>
        <stp>.NDXP250508P19750</stp>
        <tr r="DD169" s="1"/>
        <tr r="DD169" s="1"/>
      </tp>
      <tp>
        <v>0</v>
        <stp/>
        <stp>BID</stp>
        <stp>.NDXP250508P19850</stp>
        <tr r="DF165" s="1"/>
        <tr r="DF165" s="1"/>
      </tp>
      <tp>
        <v>19.8</v>
        <stp/>
        <stp>ASK</stp>
        <stp>.NDXP250508P19775</stp>
        <tr r="DD168" s="1"/>
        <tr r="DD168" s="1"/>
      </tp>
      <tp>
        <v>0</v>
        <stp/>
        <stp>BID</stp>
        <stp>.NDXP250508P19875</stp>
        <tr r="DF164" s="1"/>
        <tr r="DF164" s="1"/>
      </tp>
      <tp>
        <v>10</v>
        <stp/>
        <stp>ASK</stp>
        <stp>.NDXP250508P19700</stp>
        <tr r="DD171" s="1"/>
        <tr r="DD171" s="1"/>
      </tp>
      <tp>
        <v>0</v>
        <stp/>
        <stp>BID</stp>
        <stp>.NDXP250508P19800</stp>
        <tr r="DF167" s="1"/>
        <tr r="DF167" s="1"/>
      </tp>
      <tp>
        <v>19.8</v>
        <stp/>
        <stp>ASK</stp>
        <stp>.NDXP250508P19725</stp>
        <tr r="DD170" s="1"/>
        <tr r="DD170" s="1"/>
      </tp>
      <tp>
        <v>0</v>
        <stp/>
        <stp>BID</stp>
        <stp>.NDXP250508P19825</stp>
        <tr r="DF166" s="1"/>
        <tr r="DF166" s="1"/>
      </tp>
      <tp t="s">
        <v>N/A</v>
        <stp/>
        <stp>VOLUME</stp>
        <stp>.NDXPP19775</stp>
        <tr r="F169" s="2"/>
        <tr r="E169" s="2"/>
        <tr r="G169" s="2"/>
        <tr r="D169" s="2"/>
        <tr r="B169" s="2"/>
        <tr r="C169" s="2"/>
      </tp>
      <tp t="s">
        <v>N/A</v>
        <stp/>
        <stp>VOLUME</stp>
        <stp>.NDXPP19750</stp>
        <tr r="G170" s="2"/>
        <tr r="E170" s="2"/>
        <tr r="F170" s="2"/>
        <tr r="D170" s="2"/>
        <tr r="C170" s="2"/>
        <tr r="B170" s="2"/>
      </tp>
      <tp t="s">
        <v>N/A</v>
        <stp/>
        <stp>VOLUME</stp>
        <stp>.NDXPP19725</stp>
        <tr r="D171" s="2"/>
        <tr r="B171" s="2"/>
        <tr r="E171" s="2"/>
        <tr r="C171" s="2"/>
        <tr r="F171" s="2"/>
        <tr r="G171" s="2"/>
      </tp>
      <tp t="s">
        <v>N/A</v>
        <stp/>
        <stp>VOLUME</stp>
        <stp>.NDXPP19700</stp>
        <tr r="F172" s="2"/>
        <tr r="B172" s="2"/>
        <tr r="C172" s="2"/>
        <tr r="E172" s="2"/>
        <tr r="G172" s="2"/>
        <tr r="D172" s="2"/>
      </tp>
      <tp>
        <v>84.1</v>
        <stp/>
        <stp>LAST</stp>
        <stp>.SPXW250508P5790</stp>
        <tr r="DB93" s="1"/>
        <tr r="DB93" s="1"/>
      </tp>
      <tp>
        <v>0.03</v>
        <stp/>
        <stp>LAST</stp>
        <stp>.SPXW250508C5790</stp>
        <tr r="DA93" s="1"/>
        <tr r="DA93" s="1"/>
      </tp>
      <tp>
        <v>115</v>
        <stp/>
        <stp>LAST</stp>
        <stp>.SPXW250508P5780</stp>
        <tr r="DB94" s="1"/>
        <tr r="DB94" s="1"/>
      </tp>
      <tp>
        <v>0.03</v>
        <stp/>
        <stp>LAST</stp>
        <stp>.SPXW250508C5780</stp>
        <tr r="DA94" s="1"/>
        <tr r="DA94" s="1"/>
      </tp>
      <tp>
        <v>63.92</v>
        <stp/>
        <stp>LAST</stp>
        <stp>.SPXW250508P5730</stp>
        <tr r="DB99" s="1"/>
        <tr r="DB99" s="1"/>
      </tp>
      <tp t="s">
        <v>N/A</v>
        <stp/>
        <stp>VOLUME</stp>
        <stp>.NDXPC19750</stp>
        <tr r="G170" s="2"/>
        <tr r="E170" s="2"/>
        <tr r="F170" s="2"/>
        <tr r="D170" s="2"/>
        <tr r="C170" s="2"/>
        <tr r="B170" s="2"/>
      </tp>
      <tp>
        <v>0.03</v>
        <stp/>
        <stp>LAST</stp>
        <stp>.SPXW250508C5730</stp>
        <tr r="DA99" s="1"/>
        <tr r="DA99" s="1"/>
      </tp>
      <tp>
        <v>56.63</v>
        <stp/>
        <stp>LAST</stp>
        <stp>.SPXW250508P5720</stp>
        <tr r="DB100" s="1"/>
        <tr r="DB100" s="1"/>
      </tp>
      <tp>
        <v>0.05</v>
        <stp/>
        <stp>LAST</stp>
        <stp>.SPXW250508C5720</stp>
        <tr r="DA100" s="1"/>
        <tr r="DA100" s="1"/>
      </tp>
      <tp>
        <v>46</v>
        <stp/>
        <stp>LAST</stp>
        <stp>.SPXW250508P5710</stp>
        <tr r="DB101" s="1"/>
        <tr r="DB101" s="1"/>
      </tp>
      <tp>
        <v>0.05</v>
        <stp/>
        <stp>LAST</stp>
        <stp>.SPXW250508C5710</stp>
        <tr r="DA101" s="1"/>
        <tr r="DA101" s="1"/>
      </tp>
      <tp t="s">
        <v>N/A</v>
        <stp/>
        <stp>VOLUME</stp>
        <stp>.NDXPC19775</stp>
        <tr r="F169" s="2"/>
        <tr r="E169" s="2"/>
        <tr r="G169" s="2"/>
        <tr r="D169" s="2"/>
        <tr r="B169" s="2"/>
        <tr r="C169" s="2"/>
      </tp>
      <tp>
        <v>34.700000000000003</v>
        <stp/>
        <stp>LAST</stp>
        <stp>.SPXW250508P5700</stp>
        <tr r="DB102" s="1"/>
        <tr r="DB102" s="1"/>
      </tp>
      <tp>
        <v>0.05</v>
        <stp/>
        <stp>LAST</stp>
        <stp>.SPXW250508C5700</stp>
        <tr r="DA102" s="1"/>
        <tr r="DA102" s="1"/>
      </tp>
      <tp>
        <v>104.5</v>
        <stp/>
        <stp>LAST</stp>
        <stp>.SPXW250508P5770</stp>
        <tr r="DB95" s="1"/>
        <tr r="DB95" s="1"/>
      </tp>
      <tp>
        <v>0.03</v>
        <stp/>
        <stp>LAST</stp>
        <stp>.SPXW250508C5770</stp>
        <tr r="DA95" s="1"/>
        <tr r="DA95" s="1"/>
      </tp>
      <tp>
        <v>77.62</v>
        <stp/>
        <stp>LAST</stp>
        <stp>.SPXW250508P5760</stp>
        <tr r="DB96" s="1"/>
        <tr r="DB96" s="1"/>
      </tp>
      <tp t="s">
        <v>N/A</v>
        <stp/>
        <stp>VOLUME</stp>
        <stp>.NDXPC19700</stp>
        <tr r="F172" s="2"/>
        <tr r="B172" s="2"/>
        <tr r="C172" s="2"/>
        <tr r="E172" s="2"/>
        <tr r="G172" s="2"/>
        <tr r="D172" s="2"/>
      </tp>
      <tp>
        <v>0.03</v>
        <stp/>
        <stp>LAST</stp>
        <stp>.SPXW250508C5760</stp>
        <tr r="DA96" s="1"/>
        <tr r="DA96" s="1"/>
      </tp>
      <tp>
        <v>84.9</v>
        <stp/>
        <stp>LAST</stp>
        <stp>.SPXW250508P5750</stp>
        <tr r="DB97" s="1"/>
        <tr r="DB97" s="1"/>
      </tp>
      <tp>
        <v>0.05</v>
        <stp/>
        <stp>LAST</stp>
        <stp>.SPXW250508C5750</stp>
        <tr r="DA97" s="1"/>
        <tr r="DA97" s="1"/>
      </tp>
      <tp>
        <v>74.83</v>
        <stp/>
        <stp>LAST</stp>
        <stp>.SPXW250508P5740</stp>
        <tr r="DB98" s="1"/>
        <tr r="DB98" s="1"/>
      </tp>
      <tp>
        <v>0.03</v>
        <stp/>
        <stp>LAST</stp>
        <stp>.SPXW250508C5740</stp>
        <tr r="DA98" s="1"/>
        <tr r="DA98" s="1"/>
      </tp>
      <tp t="s">
        <v>N/A</v>
        <stp/>
        <stp>VOLUME</stp>
        <stp>.NDXPC19725</stp>
        <tr r="D171" s="2"/>
        <tr r="B171" s="2"/>
        <tr r="E171" s="2"/>
        <tr r="C171" s="2"/>
        <tr r="F171" s="2"/>
        <tr r="G171" s="2"/>
      </tp>
      <tp>
        <v>419.8</v>
        <stp/>
        <stp>ASK</stp>
        <stp>.NDXP250508C19675</stp>
        <tr r="DC172" s="1"/>
        <tr r="DC172" s="1"/>
      </tp>
      <tp>
        <v>86</v>
        <stp/>
        <stp>BID</stp>
        <stp>.NDXP250508C19975</stp>
        <tr r="DE160" s="1"/>
        <tr r="DE160" s="1"/>
      </tp>
      <tp>
        <v>444</v>
        <stp/>
        <stp>ASK</stp>
        <stp>.NDXP250508C19650</stp>
        <tr r="DC173" s="1"/>
        <tr r="DC173" s="1"/>
      </tp>
      <tp>
        <v>110.3</v>
        <stp/>
        <stp>BID</stp>
        <stp>.NDXP250508C19950</stp>
        <tr r="DE161" s="1"/>
        <tr r="DE161" s="1"/>
      </tp>
      <tp>
        <v>484</v>
        <stp/>
        <stp>ASK</stp>
        <stp>.NDXP250508C19625</stp>
        <tr r="DC174" s="1"/>
        <tr r="DC174" s="1"/>
      </tp>
      <tp>
        <v>136</v>
        <stp/>
        <stp>BID</stp>
        <stp>.NDXP250508C19925</stp>
        <tr r="DE162" s="1"/>
        <tr r="DE162" s="1"/>
      </tp>
      <tp>
        <v>501.1</v>
        <stp/>
        <stp>ASK</stp>
        <stp>.NDXP250508C19600</stp>
        <tr r="DC175" s="1"/>
        <tr r="DC175" s="1"/>
      </tp>
      <tp>
        <v>160.30000000000001</v>
        <stp/>
        <stp>BID</stp>
        <stp>.NDXP250508C19900</stp>
        <tr r="DE163" s="1"/>
        <tr r="DE163" s="1"/>
      </tp>
      <tp>
        <v>19.8</v>
        <stp/>
        <stp>ASK</stp>
        <stp>.NDXP250508P19650</stp>
        <tr r="DD173" s="1"/>
        <tr r="DD173" s="1"/>
      </tp>
      <tp>
        <v>0</v>
        <stp/>
        <stp>BID</stp>
        <stp>.NDXP250508P19950</stp>
        <tr r="DF161" s="1"/>
        <tr r="DF161" s="1"/>
      </tp>
      <tp>
        <v>19.8</v>
        <stp/>
        <stp>ASK</stp>
        <stp>.NDXP250508P19675</stp>
        <tr r="DD172" s="1"/>
        <tr r="DD172" s="1"/>
      </tp>
      <tp>
        <v>0</v>
        <stp/>
        <stp>BID</stp>
        <stp>.NDXP250508P19975</stp>
        <tr r="DF160" s="1"/>
        <tr r="DF160" s="1"/>
      </tp>
      <tp>
        <v>19.8</v>
        <stp/>
        <stp>ASK</stp>
        <stp>.NDXP250508P19600</stp>
        <tr r="DD175" s="1"/>
        <tr r="DD175" s="1"/>
      </tp>
      <tp>
        <v>0</v>
        <stp/>
        <stp>BID</stp>
        <stp>.NDXP250508P19900</stp>
        <tr r="DF163" s="1"/>
        <tr r="DF163" s="1"/>
      </tp>
      <tp>
        <v>19.8</v>
        <stp/>
        <stp>ASK</stp>
        <stp>.NDXP250508P19625</stp>
        <tr r="DD174" s="1"/>
        <tr r="DD174" s="1"/>
      </tp>
      <tp>
        <v>0</v>
        <stp/>
        <stp>BID</stp>
        <stp>.NDXP250508P19925</stp>
        <tr r="DF162" s="1"/>
        <tr r="DF162" s="1"/>
      </tp>
      <tp t="s">
        <v>N/A</v>
        <stp/>
        <stp>VOLUME</stp>
        <stp>.NDXPP19675</stp>
        <tr r="B173" s="2"/>
        <tr r="D173" s="2"/>
        <tr r="C173" s="2"/>
        <tr r="G173" s="2"/>
        <tr r="F173" s="2"/>
        <tr r="E173" s="2"/>
      </tp>
      <tp t="s">
        <v>N/A</v>
        <stp/>
        <stp>VOLUME</stp>
        <stp>.NDXPP19650</stp>
        <tr r="C174" s="2"/>
        <tr r="D174" s="2"/>
        <tr r="G174" s="2"/>
        <tr r="B174" s="2"/>
        <tr r="F174" s="2"/>
        <tr r="E174" s="2"/>
      </tp>
      <tp t="s">
        <v>N/A</v>
        <stp/>
        <stp>VOLUME</stp>
        <stp>.NDXPP19625</stp>
        <tr r="D175" s="2"/>
        <tr r="C175" s="2"/>
        <tr r="E175" s="2"/>
        <tr r="G175" s="2"/>
        <tr r="B175" s="2"/>
        <tr r="F175" s="2"/>
      </tp>
      <tp t="s">
        <v>N/A</v>
        <stp/>
        <stp>VOLUME</stp>
        <stp>.NDXPP19600</stp>
        <tr r="B176" s="2"/>
        <tr r="F176" s="2"/>
        <tr r="E176" s="2"/>
        <tr r="D176" s="2"/>
        <tr r="G176" s="2"/>
        <tr r="C176" s="2"/>
      </tp>
      <tp>
        <v>25.8</v>
        <stp/>
        <stp>LAST</stp>
        <stp>.SPXW250508P5690</stp>
        <tr r="DB103" s="1"/>
        <tr r="DB103" s="1"/>
      </tp>
      <tp>
        <v>0.03</v>
        <stp/>
        <stp>LAST</stp>
        <stp>.SPXW250508C5690</stp>
        <tr r="DA103" s="1"/>
        <tr r="DA103" s="1"/>
      </tp>
      <tp>
        <v>15.5</v>
        <stp/>
        <stp>LAST</stp>
        <stp>.SPXW250508P5680</stp>
        <tr r="DB104" s="1"/>
        <tr r="DB104" s="1"/>
      </tp>
      <tp>
        <v>0.05</v>
        <stp/>
        <stp>LAST</stp>
        <stp>.SPXW250508C5680</stp>
        <tr r="DA104" s="1"/>
        <tr r="DA104" s="1"/>
      </tp>
      <tp>
        <v>0.03</v>
        <stp/>
        <stp>LAST</stp>
        <stp>.SPXW250508P5630</stp>
        <tr r="DB109" s="1"/>
        <tr r="DB109" s="1"/>
      </tp>
      <tp t="s">
        <v>N/A</v>
        <stp/>
        <stp>VOLUME</stp>
        <stp>.NDXPC19650</stp>
        <tr r="C174" s="2"/>
        <tr r="D174" s="2"/>
        <tr r="G174" s="2"/>
        <tr r="B174" s="2"/>
        <tr r="F174" s="2"/>
        <tr r="E174" s="2"/>
      </tp>
      <tp>
        <v>35.700000000000003</v>
        <stp/>
        <stp>LAST</stp>
        <stp>.SPXW250508C5630</stp>
        <tr r="DA109" s="1"/>
        <tr r="DA109" s="1"/>
      </tp>
      <tp>
        <v>0.05</v>
        <stp/>
        <stp>LAST</stp>
        <stp>.SPXW250508P5620</stp>
        <tr r="DB110" s="1"/>
        <tr r="DB110" s="1"/>
      </tp>
      <tp>
        <v>45.58</v>
        <stp/>
        <stp>LAST</stp>
        <stp>.SPXW250508C5620</stp>
        <tr r="DA110" s="1"/>
        <tr r="DA110" s="1"/>
      </tp>
      <tp>
        <v>0.03</v>
        <stp/>
        <stp>LAST</stp>
        <stp>.SPXW250508P5610</stp>
        <tr r="DB111" s="1"/>
        <tr r="DB111" s="1"/>
      </tp>
      <tp>
        <v>56.9</v>
        <stp/>
        <stp>LAST</stp>
        <stp>.SPXW250508C5610</stp>
        <tr r="DA111" s="1"/>
        <tr r="DA111" s="1"/>
      </tp>
      <tp t="s">
        <v>N/A</v>
        <stp/>
        <stp>VOLUME</stp>
        <stp>.NDXPC19675</stp>
        <tr r="B173" s="2"/>
        <tr r="D173" s="2"/>
        <tr r="C173" s="2"/>
        <tr r="G173" s="2"/>
        <tr r="F173" s="2"/>
        <tr r="E173" s="2"/>
      </tp>
      <tp>
        <v>0.03</v>
        <stp/>
        <stp>LAST</stp>
        <stp>.SPXW250508P5600</stp>
        <tr r="DB112" s="1"/>
        <tr r="DB112" s="1"/>
      </tp>
      <tp>
        <v>64.900000000000006</v>
        <stp/>
        <stp>LAST</stp>
        <stp>.SPXW250508C5600</stp>
        <tr r="DA112" s="1"/>
        <tr r="DA112" s="1"/>
      </tp>
      <tp>
        <v>5.5</v>
        <stp/>
        <stp>LAST</stp>
        <stp>.SPXW250508P5670</stp>
        <tr r="DB105" s="1"/>
        <tr r="DB105" s="1"/>
      </tp>
      <tp>
        <v>0.05</v>
        <stp/>
        <stp>LAST</stp>
        <stp>.SPXW250508C5670</stp>
        <tr r="DA105" s="1"/>
        <tr r="DA105" s="1"/>
      </tp>
      <tp>
        <v>0.05</v>
        <stp/>
        <stp>LAST</stp>
        <stp>.SPXW250508P5660</stp>
        <tr r="DB106" s="1"/>
        <tr r="DB106" s="1"/>
      </tp>
      <tp t="s">
        <v>N/A</v>
        <stp/>
        <stp>VOLUME</stp>
        <stp>.NDXPC19600</stp>
        <tr r="B176" s="2"/>
        <tr r="F176" s="2"/>
        <tr r="E176" s="2"/>
        <tr r="D176" s="2"/>
        <tr r="G176" s="2"/>
        <tr r="C176" s="2"/>
      </tp>
      <tp>
        <v>3.8</v>
        <stp/>
        <stp>LAST</stp>
        <stp>.SPXW250508C5660</stp>
        <tr r="DA106" s="1"/>
        <tr r="DA106" s="1"/>
      </tp>
      <tp>
        <v>0.05</v>
        <stp/>
        <stp>LAST</stp>
        <stp>.SPXW250508P5650</stp>
        <tr r="DB107" s="1"/>
        <tr r="DB107" s="1"/>
      </tp>
      <tp>
        <v>14.9</v>
        <stp/>
        <stp>LAST</stp>
        <stp>.SPXW250508C5650</stp>
        <tr r="DA107" s="1"/>
        <tr r="DA107" s="1"/>
      </tp>
      <tp>
        <v>0.05</v>
        <stp/>
        <stp>LAST</stp>
        <stp>.SPXW250508P5640</stp>
        <tr r="DB108" s="1"/>
        <tr r="DB108" s="1"/>
      </tp>
      <tp>
        <v>24.4</v>
        <stp/>
        <stp>LAST</stp>
        <stp>.SPXW250508C5640</stp>
        <tr r="DA108" s="1"/>
        <tr r="DA108" s="1"/>
      </tp>
      <tp t="s">
        <v>N/A</v>
        <stp/>
        <stp>VOLUME</stp>
        <stp>.NDXPC19625</stp>
        <tr r="D175" s="2"/>
        <tr r="C175" s="2"/>
        <tr r="E175" s="2"/>
        <tr r="G175" s="2"/>
        <tr r="B175" s="2"/>
        <tr r="F175" s="2"/>
      </tp>
      <tp>
        <v>526.1</v>
        <stp/>
        <stp>ASK</stp>
        <stp>.NDXP250508C19575</stp>
        <tr r="DC176" s="1"/>
        <tr r="DC176" s="1"/>
      </tp>
      <tp>
        <v>560</v>
        <stp/>
        <stp>ASK</stp>
        <stp>.NDXP250508C19550</stp>
        <tr r="DC177" s="1"/>
        <tr r="DC177" s="1"/>
      </tp>
      <tp>
        <v>0.1</v>
        <stp/>
        <stp>ASK</stp>
        <stp>.NDXP250508C20550</stp>
        <tr r="DC137" s="1"/>
        <tr r="DC137" s="1"/>
      </tp>
      <tp>
        <v>584</v>
        <stp/>
        <stp>ASK</stp>
        <stp>.NDXP250508C19525</stp>
        <tr r="DC178" s="1"/>
        <tr r="DC178" s="1"/>
      </tp>
      <tp>
        <v>19.8</v>
        <stp/>
        <stp>ASK</stp>
        <stp>.NDXP250508C20525</stp>
        <tr r="DC138" s="1"/>
        <tr r="DC138" s="1"/>
      </tp>
      <tp>
        <v>610</v>
        <stp/>
        <stp>ASK</stp>
        <stp>.NDXP250508C19500</stp>
        <tr r="DC179" s="1"/>
        <tr r="DC179" s="1"/>
      </tp>
      <tp>
        <v>0.1</v>
        <stp/>
        <stp>ASK</stp>
        <stp>.NDXP250508C20500</stp>
        <tr r="DC139" s="1"/>
        <tr r="DC139" s="1"/>
      </tp>
      <tp>
        <v>20.399999999999999</v>
        <stp/>
        <stp>ASK</stp>
        <stp>.NDXP250508P19550</stp>
        <tr r="DD177" s="1"/>
        <tr r="DD177" s="1"/>
      </tp>
      <tp>
        <v>522</v>
        <stp/>
        <stp>ASK</stp>
        <stp>.NDXP250508P20550</stp>
        <tr r="DD137" s="1"/>
        <tr r="DD137" s="1"/>
      </tp>
      <tp>
        <v>19.8</v>
        <stp/>
        <stp>ASK</stp>
        <stp>.NDXP250508P19575</stp>
        <tr r="DD176" s="1"/>
        <tr r="DD176" s="1"/>
      </tp>
      <tp>
        <v>5</v>
        <stp/>
        <stp>ASK</stp>
        <stp>.NDXP250508P19500</stp>
        <tr r="DD179" s="1"/>
        <tr r="DD179" s="1"/>
      </tp>
      <tp>
        <v>480</v>
        <stp/>
        <stp>ASK</stp>
        <stp>.NDXP250508P20500</stp>
        <tr r="DD139" s="1"/>
        <tr r="DD139" s="1"/>
      </tp>
      <tp>
        <v>20</v>
        <stp/>
        <stp>ASK</stp>
        <stp>.NDXP250508P19525</stp>
        <tr r="DD178" s="1"/>
        <tr r="DD178" s="1"/>
      </tp>
      <tp>
        <v>496</v>
        <stp/>
        <stp>ASK</stp>
        <stp>.NDXP250508P20525</stp>
        <tr r="DD138" s="1"/>
        <tr r="DD138" s="1"/>
      </tp>
      <tp t="s">
        <v>N/A</v>
        <stp/>
        <stp>VOLUME</stp>
        <stp>.NDXPP19575</stp>
        <tr r="F177" s="2"/>
        <tr r="C177" s="2"/>
        <tr r="E177" s="2"/>
        <tr r="B177" s="2"/>
        <tr r="G177" s="2"/>
        <tr r="D177" s="2"/>
      </tp>
      <tp t="s">
        <v>N/A</v>
        <stp/>
        <stp>VOLUME</stp>
        <stp>.NDXPP19550</stp>
        <tr r="E178" s="2"/>
        <tr r="C178" s="2"/>
        <tr r="D178" s="2"/>
        <tr r="B178" s="2"/>
        <tr r="F178" s="2"/>
        <tr r="G178" s="2"/>
      </tp>
      <tp t="s">
        <v>N/A</v>
        <stp/>
        <stp>VOLUME</stp>
        <stp>.NDXPP20550</stp>
        <tr r="G138" s="2"/>
        <tr r="F138" s="2"/>
        <tr r="E138" s="2"/>
        <tr r="D138" s="2"/>
        <tr r="C138" s="2"/>
        <tr r="B138" s="2"/>
      </tp>
      <tp t="s">
        <v>N/A</v>
        <stp/>
        <stp>VOLUME</stp>
        <stp>.NDXPP19525</stp>
        <tr r="E179" s="2"/>
        <tr r="F179" s="2"/>
        <tr r="C179" s="2"/>
        <tr r="D179" s="2"/>
        <tr r="G179" s="2"/>
        <tr r="B179" s="2"/>
      </tp>
      <tp t="s">
        <v>N/A</v>
        <stp/>
        <stp>VOLUME</stp>
        <stp>.NDXPP20525</stp>
        <tr r="G139" s="2"/>
        <tr r="F139" s="2"/>
        <tr r="E139" s="2"/>
        <tr r="D139" s="2"/>
        <tr r="C139" s="2"/>
        <tr r="B139" s="2"/>
      </tp>
      <tp t="s">
        <v>N/A</v>
        <stp/>
        <stp>VOLUME</stp>
        <stp>.NDXPP19500</stp>
        <tr r="C180" s="2"/>
        <tr r="D180" s="2"/>
        <tr r="B180" s="2"/>
        <tr r="F180" s="2"/>
        <tr r="G180" s="2"/>
        <tr r="E180" s="2"/>
      </tp>
      <tp t="s">
        <v>N/A</v>
        <stp/>
        <stp>VOLUME</stp>
        <stp>.NDXPP20500</stp>
        <tr r="G140" s="2"/>
        <tr r="F140" s="2"/>
        <tr r="E140" s="2"/>
        <tr r="D140" s="2"/>
        <tr r="C140" s="2"/>
        <tr r="B140" s="2"/>
      </tp>
      <tp>
        <v>0.03</v>
        <stp/>
        <stp>LAST</stp>
        <stp>.SPXW250508P5590</stp>
        <tr r="DB113" s="1"/>
        <tr r="DB113" s="1"/>
      </tp>
      <tp>
        <v>74.900000000000006</v>
        <stp/>
        <stp>LAST</stp>
        <stp>.SPXW250508C5590</stp>
        <tr r="DA113" s="1"/>
        <tr r="DA113" s="1"/>
      </tp>
      <tp>
        <v>0.05</v>
        <stp/>
        <stp>LAST</stp>
        <stp>.SPXW250508P5580</stp>
        <tr r="DB114" s="1"/>
        <tr r="DB114" s="1"/>
      </tp>
      <tp>
        <v>96.97</v>
        <stp/>
        <stp>LAST</stp>
        <stp>.SPXW250508C5580</stp>
        <tr r="DA114" s="1"/>
        <tr r="DA114" s="1"/>
      </tp>
      <tp>
        <v>0.03</v>
        <stp/>
        <stp>LAST</stp>
        <stp>.SPXW250508P5530</stp>
        <tr r="DB119" s="1"/>
        <tr r="DB119" s="1"/>
      </tp>
      <tp t="s">
        <v>N/A</v>
        <stp/>
        <stp>VOLUME</stp>
        <stp>.NDXPC19550</stp>
        <tr r="E178" s="2"/>
        <tr r="C178" s="2"/>
        <tr r="D178" s="2"/>
        <tr r="B178" s="2"/>
        <tr r="F178" s="2"/>
        <tr r="G178" s="2"/>
      </tp>
      <tp t="s">
        <v>N/A</v>
        <stp/>
        <stp>VOLUME</stp>
        <stp>.NDXPC20550</stp>
        <tr r="G138" s="2"/>
        <tr r="F138" s="2"/>
        <tr r="E138" s="2"/>
        <tr r="D138" s="2"/>
        <tr r="C138" s="2"/>
        <tr r="B138" s="2"/>
      </tp>
      <tp>
        <v>174.91</v>
        <stp/>
        <stp>LAST</stp>
        <stp>.SPXW250508C5530</stp>
        <tr r="DA119" s="1"/>
        <tr r="DA119" s="1"/>
      </tp>
      <tp>
        <v>0.03</v>
        <stp/>
        <stp>LAST</stp>
        <stp>.SPXW250508P5520</stp>
        <tr r="DB120" s="1"/>
        <tr r="DB120" s="1"/>
      </tp>
      <tp>
        <v>184.71</v>
        <stp/>
        <stp>LAST</stp>
        <stp>.SPXW250508C5520</stp>
        <tr r="DA120" s="1"/>
        <tr r="DA120" s="1"/>
      </tp>
      <tp>
        <v>0.03</v>
        <stp/>
        <stp>LAST</stp>
        <stp>.SPXW250508P5510</stp>
        <tr r="DB121" s="1"/>
        <tr r="DB121" s="1"/>
      </tp>
      <tp>
        <v>159.16999999999999</v>
        <stp/>
        <stp>LAST</stp>
        <stp>.SPXW250508C5510</stp>
        <tr r="DA121" s="1"/>
        <tr r="DA121" s="1"/>
      </tp>
      <tp t="s">
        <v>N/A</v>
        <stp/>
        <stp>VOLUME</stp>
        <stp>.NDXPC19575</stp>
        <tr r="F177" s="2"/>
        <tr r="C177" s="2"/>
        <tr r="E177" s="2"/>
        <tr r="B177" s="2"/>
        <tr r="G177" s="2"/>
        <tr r="D177" s="2"/>
      </tp>
      <tp>
        <v>0.05</v>
        <stp/>
        <stp>LAST</stp>
        <stp>.SPXW250508P5500</stp>
        <tr r="DB122" s="1"/>
        <tr r="DB122" s="1"/>
      </tp>
      <tp>
        <v>185.8</v>
        <stp/>
        <stp>LAST</stp>
        <stp>.SPXW250508C5500</stp>
        <tr r="DA122" s="1"/>
        <tr r="DA122" s="1"/>
      </tp>
      <tp>
        <v>0.03</v>
        <stp/>
        <stp>LAST</stp>
        <stp>.SPXW250508P5570</stp>
        <tr r="DB115" s="1"/>
        <tr r="DB115" s="1"/>
      </tp>
      <tp>
        <v>100</v>
        <stp/>
        <stp>LAST</stp>
        <stp>.SPXW250508C5570</stp>
        <tr r="DA115" s="1"/>
        <tr r="DA115" s="1"/>
      </tp>
      <tp>
        <v>0.04</v>
        <stp/>
        <stp>LAST</stp>
        <stp>.SPXW250508P5560</stp>
        <tr r="DB116" s="1"/>
        <tr r="DB116" s="1"/>
      </tp>
      <tp t="s">
        <v>N/A</v>
        <stp/>
        <stp>VOLUME</stp>
        <stp>.NDXPC19500</stp>
        <tr r="C180" s="2"/>
        <tr r="D180" s="2"/>
        <tr r="B180" s="2"/>
        <tr r="F180" s="2"/>
        <tr r="G180" s="2"/>
        <tr r="E180" s="2"/>
      </tp>
      <tp t="s">
        <v>N/A</v>
        <stp/>
        <stp>VOLUME</stp>
        <stp>.NDXPC20500</stp>
        <tr r="G140" s="2"/>
        <tr r="F140" s="2"/>
        <tr r="E140" s="2"/>
        <tr r="D140" s="2"/>
        <tr r="C140" s="2"/>
        <tr r="B140" s="2"/>
      </tp>
      <tp>
        <v>113.1</v>
        <stp/>
        <stp>LAST</stp>
        <stp>.SPXW250508C5560</stp>
        <tr r="DA116" s="1"/>
        <tr r="DA116" s="1"/>
      </tp>
      <tp>
        <v>0.03</v>
        <stp/>
        <stp>LAST</stp>
        <stp>.SPXW250508P5550</stp>
        <tr r="DB117" s="1"/>
        <tr r="DB117" s="1"/>
      </tp>
      <tp>
        <v>156.19999999999999</v>
        <stp/>
        <stp>LAST</stp>
        <stp>.SPXW250508C5550</stp>
        <tr r="DA117" s="1"/>
        <tr r="DA117" s="1"/>
      </tp>
      <tp>
        <v>0.03</v>
        <stp/>
        <stp>LAST</stp>
        <stp>.SPXW250508P5540</stp>
        <tr r="DB118" s="1"/>
        <tr r="DB118" s="1"/>
      </tp>
      <tp>
        <v>131.12</v>
        <stp/>
        <stp>LAST</stp>
        <stp>.SPXW250508C5540</stp>
        <tr r="DA118" s="1"/>
        <tr r="DA118" s="1"/>
      </tp>
      <tp t="s">
        <v>N/A</v>
        <stp/>
        <stp>VOLUME</stp>
        <stp>.NDXPC19525</stp>
        <tr r="E179" s="2"/>
        <tr r="F179" s="2"/>
        <tr r="C179" s="2"/>
        <tr r="D179" s="2"/>
        <tr r="G179" s="2"/>
        <tr r="B179" s="2"/>
      </tp>
      <tp t="s">
        <v>N/A</v>
        <stp/>
        <stp>VOLUME</stp>
        <stp>.NDXPC20525</stp>
        <tr r="G139" s="2"/>
        <tr r="F139" s="2"/>
        <tr r="E139" s="2"/>
        <tr r="D139" s="2"/>
        <tr r="C139" s="2"/>
        <tr r="B139" s="2"/>
      </tp>
      <tp>
        <v>634</v>
        <stp/>
        <stp>ASK</stp>
        <stp>.NDXP250508C19475</stp>
        <tr r="DC180" s="1"/>
        <tr r="DC180" s="1"/>
      </tp>
      <tp>
        <v>1</v>
        <stp/>
        <stp>ASK</stp>
        <stp>.NDXP250508C20475</stp>
        <tr r="DC140" s="1"/>
        <tr r="DC140" s="1"/>
      </tp>
      <tp>
        <v>660</v>
        <stp/>
        <stp>ASK</stp>
        <stp>.NDXP250508C19450</stp>
        <tr r="DC181" s="1"/>
        <tr r="DC181" s="1"/>
      </tp>
      <tp>
        <v>19.8</v>
        <stp/>
        <stp>ASK</stp>
        <stp>.NDXP250508C20450</stp>
        <tr r="DC141" s="1"/>
        <tr r="DC141" s="1"/>
      </tp>
      <tp>
        <v>684</v>
        <stp/>
        <stp>ASK</stp>
        <stp>.NDXP250508C19425</stp>
        <tr r="DC182" s="1"/>
        <tr r="DC182" s="1"/>
      </tp>
      <tp>
        <v>2</v>
        <stp/>
        <stp>ASK</stp>
        <stp>.NDXP250508C20425</stp>
        <tr r="DC142" s="1"/>
        <tr r="DC142" s="1"/>
      </tp>
      <tp>
        <v>710</v>
        <stp/>
        <stp>ASK</stp>
        <stp>.NDXP250508C19400</stp>
        <tr r="DC183" s="1"/>
        <tr r="DC183" s="1"/>
      </tp>
      <tp>
        <v>0.8</v>
        <stp/>
        <stp>ASK</stp>
        <stp>.NDXP250508C20400</stp>
        <tr r="DC143" s="1"/>
        <tr r="DC143" s="1"/>
      </tp>
      <tp>
        <v>20</v>
        <stp/>
        <stp>ASK</stp>
        <stp>.NDXP250508P19450</stp>
        <tr r="DD181" s="1"/>
        <tr r="DD181" s="1"/>
      </tp>
      <tp>
        <v>405.3</v>
        <stp/>
        <stp>ASK</stp>
        <stp>.NDXP250508P20450</stp>
        <tr r="DD141" s="1"/>
        <tr r="DD141" s="1"/>
      </tp>
      <tp>
        <v>0.05</v>
        <stp/>
        <stp>ASK</stp>
        <stp>.NDXP250508P19475</stp>
        <tr r="DD180" s="1"/>
        <tr r="DD180" s="1"/>
      </tp>
      <tp>
        <v>430.3</v>
        <stp/>
        <stp>ASK</stp>
        <stp>.NDXP250508P20475</stp>
        <tr r="DD140" s="1"/>
        <tr r="DD140" s="1"/>
      </tp>
      <tp>
        <v>0.05</v>
        <stp/>
        <stp>ASK</stp>
        <stp>.NDXP250508P19400</stp>
        <tr r="DD183" s="1"/>
        <tr r="DD183" s="1"/>
      </tp>
      <tp>
        <v>355.3</v>
        <stp/>
        <stp>ASK</stp>
        <stp>.NDXP250508P20400</stp>
        <tr r="DD143" s="1"/>
        <tr r="DD143" s="1"/>
      </tp>
      <tp>
        <v>20</v>
        <stp/>
        <stp>ASK</stp>
        <stp>.NDXP250508P19425</stp>
        <tr r="DD182" s="1"/>
        <tr r="DD182" s="1"/>
      </tp>
      <tp>
        <v>380.3</v>
        <stp/>
        <stp>ASK</stp>
        <stp>.NDXP250508P20425</stp>
        <tr r="DD142" s="1"/>
        <tr r="DD142" s="1"/>
      </tp>
      <tp t="s">
        <v>N/A</v>
        <stp/>
        <stp>VOLUME</stp>
        <stp>.NDXPP19475</stp>
        <tr r="B181" s="2"/>
        <tr r="C181" s="2"/>
        <tr r="D181" s="2"/>
        <tr r="G181" s="2"/>
        <tr r="E181" s="2"/>
        <tr r="F181" s="2"/>
      </tp>
      <tp t="s">
        <v>N/A</v>
        <stp/>
        <stp>VOLUME</stp>
        <stp>.NDXPP20475</stp>
        <tr r="G141" s="2"/>
        <tr r="F141" s="2"/>
        <tr r="E141" s="2"/>
        <tr r="D141" s="2"/>
        <tr r="C141" s="2"/>
        <tr r="B141" s="2"/>
      </tp>
      <tp t="s">
        <v>N/A</v>
        <stp/>
        <stp>VOLUME</stp>
        <stp>.NDXPP19450</stp>
        <tr r="D182" s="2"/>
        <tr r="E182" s="2"/>
        <tr r="G182" s="2"/>
        <tr r="C182" s="2"/>
        <tr r="B182" s="2"/>
        <tr r="F182" s="2"/>
      </tp>
      <tp t="s">
        <v>N/A</v>
        <stp/>
        <stp>VOLUME</stp>
        <stp>.NDXPP20450</stp>
        <tr r="G142" s="2"/>
        <tr r="F142" s="2"/>
        <tr r="E142" s="2"/>
        <tr r="D142" s="2"/>
        <tr r="B142" s="2"/>
        <tr r="C142" s="2"/>
      </tp>
      <tp t="s">
        <v>N/A</v>
        <stp/>
        <stp>VOLUME</stp>
        <stp>.NDXPP19425</stp>
        <tr r="E183" s="2"/>
        <tr r="F183" s="2"/>
        <tr r="D183" s="2"/>
        <tr r="B183" s="2"/>
        <tr r="G183" s="2"/>
        <tr r="C183" s="2"/>
      </tp>
      <tp t="s">
        <v>N/A</v>
        <stp/>
        <stp>VOLUME</stp>
        <stp>.NDXPP20425</stp>
        <tr r="G143" s="2"/>
        <tr r="F143" s="2"/>
        <tr r="E143" s="2"/>
        <tr r="C143" s="2"/>
        <tr r="B143" s="2"/>
        <tr r="D143" s="2"/>
      </tp>
      <tp t="s">
        <v>N/A</v>
        <stp/>
        <stp>VOLUME</stp>
        <stp>.NDXPP19400</stp>
        <tr r="E184" s="2"/>
        <tr r="D184" s="2"/>
        <tr r="F184" s="2"/>
        <tr r="B184" s="2"/>
        <tr r="C184" s="2"/>
        <tr r="G184" s="2"/>
      </tp>
      <tp t="s">
        <v>N/A</v>
        <stp/>
        <stp>VOLUME</stp>
        <stp>.NDXPP20400</stp>
        <tr r="G144" s="2"/>
        <tr r="F144" s="2"/>
        <tr r="D144" s="2"/>
        <tr r="C144" s="2"/>
        <tr r="B144" s="2"/>
        <tr r="E144" s="2"/>
      </tp>
      <tp>
        <v>0.05</v>
        <stp/>
        <stp>LAST</stp>
        <stp>.SPXW250508P5490</stp>
        <tr r="DB123" s="1"/>
        <tr r="DB123" s="1"/>
      </tp>
      <tp>
        <v>205.71</v>
        <stp/>
        <stp>LAST</stp>
        <stp>.SPXW250508C5490</stp>
        <tr r="DA123" s="1"/>
        <tr r="DA123" s="1"/>
      </tp>
      <tp>
        <v>0.02</v>
        <stp/>
        <stp>LAST</stp>
        <stp>.SPXW250508P5480</stp>
        <tr r="DB124" s="1"/>
        <tr r="DB124" s="1"/>
      </tp>
      <tp>
        <v>237.59</v>
        <stp/>
        <stp>LAST</stp>
        <stp>.SPXW250508C5480</stp>
        <tr r="DA124" s="1"/>
        <tr r="DA124" s="1"/>
      </tp>
      <tp>
        <v>0.03</v>
        <stp/>
        <stp>LAST</stp>
        <stp>.SPXW250508P5430</stp>
        <tr r="DB129" s="1"/>
        <tr r="DB129" s="1"/>
      </tp>
      <tp t="s">
        <v>N/A</v>
        <stp/>
        <stp>VOLUME</stp>
        <stp>.NDXPC19450</stp>
        <tr r="D182" s="2"/>
        <tr r="E182" s="2"/>
        <tr r="G182" s="2"/>
        <tr r="C182" s="2"/>
        <tr r="B182" s="2"/>
        <tr r="F182" s="2"/>
      </tp>
      <tp t="s">
        <v>N/A</v>
        <stp/>
        <stp>VOLUME</stp>
        <stp>.NDXPC20450</stp>
        <tr r="G142" s="2"/>
        <tr r="F142" s="2"/>
        <tr r="E142" s="2"/>
        <tr r="D142" s="2"/>
        <tr r="B142" s="2"/>
        <tr r="C142" s="2"/>
      </tp>
      <tp>
        <v>277.35000000000002</v>
        <stp/>
        <stp>LAST</stp>
        <stp>.SPXW250508C5430</stp>
        <tr r="DA129" s="1"/>
        <tr r="DA129" s="1"/>
      </tp>
      <tp>
        <v>0.03</v>
        <stp/>
        <stp>LAST</stp>
        <stp>.SPXW250508P5420</stp>
        <tr r="DB130" s="1"/>
        <tr r="DB130" s="1"/>
      </tp>
      <tp>
        <v>246.33</v>
        <stp/>
        <stp>LAST</stp>
        <stp>.SPXW250508C5420</stp>
        <tr r="DA130" s="1"/>
        <tr r="DA130" s="1"/>
      </tp>
      <tp t="s">
        <v>N/A</v>
        <stp/>
        <stp>VOLUME</stp>
        <stp>.NDXPC19475</stp>
        <tr r="B181" s="2"/>
        <tr r="C181" s="2"/>
        <tr r="D181" s="2"/>
        <tr r="G181" s="2"/>
        <tr r="E181" s="2"/>
        <tr r="F181" s="2"/>
      </tp>
      <tp t="s">
        <v>N/A</v>
        <stp/>
        <stp>VOLUME</stp>
        <stp>.NDXPC20475</stp>
        <tr r="G141" s="2"/>
        <tr r="F141" s="2"/>
        <tr r="E141" s="2"/>
        <tr r="D141" s="2"/>
        <tr r="C141" s="2"/>
        <tr r="B141" s="2"/>
      </tp>
      <tp>
        <v>0.03</v>
        <stp/>
        <stp>LAST</stp>
        <stp>.SPXW250508P5470</stp>
        <tr r="DB125" s="1"/>
        <tr r="DB125" s="1"/>
      </tp>
      <tp>
        <v>224.3</v>
        <stp/>
        <stp>LAST</stp>
        <stp>.SPXW250508C5470</stp>
        <tr r="DA125" s="1"/>
        <tr r="DA125" s="1"/>
      </tp>
      <tp>
        <v>0.05</v>
        <stp/>
        <stp>LAST</stp>
        <stp>.SPXW250508P5460</stp>
        <tr r="DB126" s="1"/>
        <tr r="DB126" s="1"/>
      </tp>
      <tp t="s">
        <v>N/A</v>
        <stp/>
        <stp>VOLUME</stp>
        <stp>.NDXPC19400</stp>
        <tr r="E184" s="2"/>
        <tr r="D184" s="2"/>
        <tr r="F184" s="2"/>
        <tr r="B184" s="2"/>
        <tr r="C184" s="2"/>
        <tr r="G184" s="2"/>
      </tp>
      <tp t="s">
        <v>N/A</v>
        <stp/>
        <stp>VOLUME</stp>
        <stp>.NDXPC20400</stp>
        <tr r="G144" s="2"/>
        <tr r="F144" s="2"/>
        <tr r="D144" s="2"/>
        <tr r="C144" s="2"/>
        <tr r="B144" s="2"/>
        <tr r="E144" s="2"/>
      </tp>
      <tp>
        <v>238.4</v>
        <stp/>
        <stp>LAST</stp>
        <stp>.SPXW250508C5460</stp>
        <tr r="DA126" s="1"/>
        <tr r="DA126" s="1"/>
      </tp>
      <tp>
        <v>0.03</v>
        <stp/>
        <stp>LAST</stp>
        <stp>.SPXW250508P5450</stp>
        <tr r="DB127" s="1"/>
        <tr r="DB127" s="1"/>
      </tp>
      <tp>
        <v>244.95</v>
        <stp/>
        <stp>LAST</stp>
        <stp>.SPXW250508C5450</stp>
        <tr r="DA127" s="1"/>
        <tr r="DA127" s="1"/>
      </tp>
      <tp>
        <v>0.03</v>
        <stp/>
        <stp>LAST</stp>
        <stp>.SPXW250508P5440</stp>
        <tr r="DB128" s="1"/>
        <tr r="DB128" s="1"/>
      </tp>
      <tp>
        <v>267.26</v>
        <stp/>
        <stp>LAST</stp>
        <stp>.SPXW250508C5440</stp>
        <tr r="DA128" s="1"/>
        <tr r="DA128" s="1"/>
      </tp>
      <tp t="s">
        <v>N/A</v>
        <stp/>
        <stp>VOLUME</stp>
        <stp>.NDXPC19425</stp>
        <tr r="E183" s="2"/>
        <tr r="F183" s="2"/>
        <tr r="D183" s="2"/>
        <tr r="B183" s="2"/>
        <tr r="G183" s="2"/>
        <tr r="C183" s="2"/>
      </tp>
      <tp t="s">
        <v>N/A</v>
        <stp/>
        <stp>VOLUME</stp>
        <stp>.NDXPC20425</stp>
        <tr r="G143" s="2"/>
        <tr r="F143" s="2"/>
        <tr r="E143" s="2"/>
        <tr r="C143" s="2"/>
        <tr r="B143" s="2"/>
        <tr r="D143" s="2"/>
      </tp>
      <tp>
        <v>76.5</v>
        <stp/>
        <stp>ASK</stp>
        <stp>.SPXW250508C5590</stp>
        <tr r="DC113" s="1"/>
        <tr r="DC113" s="1"/>
      </tp>
      <tp>
        <v>0.05</v>
        <stp/>
        <stp>ASK</stp>
        <stp>.SPXW250508P5590</stp>
        <tr r="DD113" s="1"/>
        <tr r="DD113" s="1"/>
      </tp>
      <tp>
        <v>86.5</v>
        <stp/>
        <stp>ASK</stp>
        <stp>.SPXW250508C5580</stp>
        <tr r="DC114" s="1"/>
        <tr r="DC114" s="1"/>
      </tp>
      <tp>
        <v>0.05</v>
        <stp/>
        <stp>ASK</stp>
        <stp>.SPXW250508P5580</stp>
        <tr r="DD114" s="1"/>
        <tr r="DD114" s="1"/>
      </tp>
      <tp>
        <v>96.5</v>
        <stp/>
        <stp>ASK</stp>
        <stp>.SPXW250508C5570</stp>
        <tr r="DC115" s="1"/>
        <tr r="DC115" s="1"/>
      </tp>
      <tp>
        <v>0.05</v>
        <stp/>
        <stp>ASK</stp>
        <stp>.SPXW250508P5570</stp>
        <tr r="DD115" s="1"/>
        <tr r="DD115" s="1"/>
      </tp>
      <tp>
        <v>106.5</v>
        <stp/>
        <stp>ASK</stp>
        <stp>.SPXW250508C5560</stp>
        <tr r="DC116" s="1"/>
        <tr r="DC116" s="1"/>
      </tp>
      <tp>
        <v>0.05</v>
        <stp/>
        <stp>ASK</stp>
        <stp>.SPXW250508P5560</stp>
        <tr r="DD116" s="1"/>
        <tr r="DD116" s="1"/>
      </tp>
      <tp>
        <v>116.5</v>
        <stp/>
        <stp>ASK</stp>
        <stp>.SPXW250508C5550</stp>
        <tr r="DC117" s="1"/>
        <tr r="DC117" s="1"/>
      </tp>
      <tp>
        <v>0.05</v>
        <stp/>
        <stp>ASK</stp>
        <stp>.SPXW250508P5550</stp>
        <tr r="DD117" s="1"/>
        <tr r="DD117" s="1"/>
      </tp>
      <tp>
        <v>126.5</v>
        <stp/>
        <stp>ASK</stp>
        <stp>.SPXW250508C5540</stp>
        <tr r="DC118" s="1"/>
        <tr r="DC118" s="1"/>
      </tp>
      <tp>
        <v>0.05</v>
        <stp/>
        <stp>ASK</stp>
        <stp>.SPXW250508P5540</stp>
        <tr r="DD118" s="1"/>
        <tr r="DD118" s="1"/>
      </tp>
      <tp>
        <v>138.19999999999999</v>
        <stp/>
        <stp>ASK</stp>
        <stp>.SPXW250508C5530</stp>
        <tr r="DC119" s="1"/>
        <tr r="DC119" s="1"/>
      </tp>
      <tp>
        <v>0.05</v>
        <stp/>
        <stp>ASK</stp>
        <stp>.SPXW250508P5530</stp>
        <tr r="DD119" s="1"/>
        <tr r="DD119" s="1"/>
      </tp>
      <tp>
        <v>148.19999999999999</v>
        <stp/>
        <stp>ASK</stp>
        <stp>.SPXW250508C5520</stp>
        <tr r="DC120" s="1"/>
        <tr r="DC120" s="1"/>
      </tp>
      <tp>
        <v>0.05</v>
        <stp/>
        <stp>ASK</stp>
        <stp>.SPXW250508P5520</stp>
        <tr r="DD120" s="1"/>
        <tr r="DD120" s="1"/>
      </tp>
      <tp>
        <v>160.30000000000001</v>
        <stp/>
        <stp>ASK</stp>
        <stp>.SPXW250508C5510</stp>
        <tr r="DC121" s="1"/>
        <tr r="DC121" s="1"/>
      </tp>
      <tp>
        <v>0.05</v>
        <stp/>
        <stp>ASK</stp>
        <stp>.SPXW250508P5510</stp>
        <tr r="DD121" s="1"/>
        <tr r="DD121" s="1"/>
      </tp>
      <tp>
        <v>170.4</v>
        <stp/>
        <stp>ASK</stp>
        <stp>.SPXW250508C5500</stp>
        <tr r="DC122" s="1"/>
        <tr r="DC122" s="1"/>
      </tp>
      <tp>
        <v>0.05</v>
        <stp/>
        <stp>ASK</stp>
        <stp>.SPXW250508P5500</stp>
        <tr r="DD122" s="1"/>
        <tr r="DD122" s="1"/>
      </tp>
      <tp>
        <v>179.4</v>
        <stp/>
        <stp>ASK</stp>
        <stp>.SPXW250508C5490</stp>
        <tr r="DC123" s="1"/>
        <tr r="DC123" s="1"/>
      </tp>
      <tp>
        <v>0.05</v>
        <stp/>
        <stp>ASK</stp>
        <stp>.SPXW250508P5490</stp>
        <tr r="DD123" s="1"/>
        <tr r="DD123" s="1"/>
      </tp>
      <tp>
        <v>189.4</v>
        <stp/>
        <stp>ASK</stp>
        <stp>.SPXW250508C5480</stp>
        <tr r="DC124" s="1"/>
        <tr r="DC124" s="1"/>
      </tp>
      <tp>
        <v>0.05</v>
        <stp/>
        <stp>ASK</stp>
        <stp>.SPXW250508P5480</stp>
        <tr r="DD124" s="1"/>
        <tr r="DD124" s="1"/>
      </tp>
      <tp>
        <v>200.4</v>
        <stp/>
        <stp>ASK</stp>
        <stp>.SPXW250508C5470</stp>
        <tr r="DC125" s="1"/>
        <tr r="DC125" s="1"/>
      </tp>
      <tp>
        <v>0.05</v>
        <stp/>
        <stp>ASK</stp>
        <stp>.SPXW250508P5470</stp>
        <tr r="DD125" s="1"/>
        <tr r="DD125" s="1"/>
      </tp>
      <tp>
        <v>210.3</v>
        <stp/>
        <stp>ASK</stp>
        <stp>.SPXW250508C5460</stp>
        <tr r="DC126" s="1"/>
        <tr r="DC126" s="1"/>
      </tp>
      <tp>
        <v>0.05</v>
        <stp/>
        <stp>ASK</stp>
        <stp>.SPXW250508P5460</stp>
        <tr r="DD126" s="1"/>
        <tr r="DD126" s="1"/>
      </tp>
      <tp>
        <v>220.4</v>
        <stp/>
        <stp>ASK</stp>
        <stp>.SPXW250508C5450</stp>
        <tr r="DC127" s="1"/>
        <tr r="DC127" s="1"/>
      </tp>
      <tp>
        <v>0.05</v>
        <stp/>
        <stp>ASK</stp>
        <stp>.SPXW250508P5450</stp>
        <tr r="DD127" s="1"/>
        <tr r="DD127" s="1"/>
      </tp>
      <tp>
        <v>232.3</v>
        <stp/>
        <stp>ASK</stp>
        <stp>.SPXW250508C5440</stp>
        <tr r="DC128" s="1"/>
        <tr r="DC128" s="1"/>
      </tp>
      <tp>
        <v>0.05</v>
        <stp/>
        <stp>ASK</stp>
        <stp>.SPXW250508P5440</stp>
        <tr r="DD128" s="1"/>
        <tr r="DD128" s="1"/>
      </tp>
      <tp>
        <v>242.3</v>
        <stp/>
        <stp>ASK</stp>
        <stp>.SPXW250508C5430</stp>
        <tr r="DC129" s="1"/>
        <tr r="DC129" s="1"/>
      </tp>
      <tp>
        <v>0.05</v>
        <stp/>
        <stp>ASK</stp>
        <stp>.SPXW250508P5430</stp>
        <tr r="DD129" s="1"/>
        <tr r="DD129" s="1"/>
      </tp>
      <tp>
        <v>252.3</v>
        <stp/>
        <stp>ASK</stp>
        <stp>.SPXW250508C5420</stp>
        <tr r="DC130" s="1"/>
        <tr r="DC130" s="1"/>
      </tp>
      <tp>
        <v>0.05</v>
        <stp/>
        <stp>ASK</stp>
        <stp>.SPXW250508P5420</stp>
        <tr r="DD130" s="1"/>
        <tr r="DD130" s="1"/>
      </tp>
      <tp>
        <v>0.05</v>
        <stp/>
        <stp>ASK</stp>
        <stp>.SPXW250508C5790</stp>
        <tr r="DC93" s="1"/>
        <tr r="DC93" s="1"/>
      </tp>
      <tp>
        <v>127.3</v>
        <stp/>
        <stp>ASK</stp>
        <stp>.SPXW250508P5790</stp>
        <tr r="DD93" s="1"/>
        <tr r="DD93" s="1"/>
      </tp>
      <tp>
        <v>0.05</v>
        <stp/>
        <stp>ASK</stp>
        <stp>.SPXW250508C5780</stp>
        <tr r="DC94" s="1"/>
        <tr r="DC94" s="1"/>
      </tp>
      <tp>
        <v>117.3</v>
        <stp/>
        <stp>ASK</stp>
        <stp>.SPXW250508P5780</stp>
        <tr r="DD94" s="1"/>
        <tr r="DD94" s="1"/>
      </tp>
      <tp>
        <v>0.05</v>
        <stp/>
        <stp>ASK</stp>
        <stp>.SPXW250508C5770</stp>
        <tr r="DC95" s="1"/>
        <tr r="DC95" s="1"/>
      </tp>
      <tp>
        <v>107.3</v>
        <stp/>
        <stp>ASK</stp>
        <stp>.SPXW250508P5770</stp>
        <tr r="DD95" s="1"/>
        <tr r="DD95" s="1"/>
      </tp>
      <tp>
        <v>-0.35</v>
        <stp/>
        <stp>DELTA</stp>
        <stp>.NDX250516P19825</stp>
        <tr r="CI166" s="1"/>
        <tr r="CI166" s="1"/>
      </tp>
      <tp>
        <v>0.05</v>
        <stp/>
        <stp>ASK</stp>
        <stp>.SPXW250508C5760</stp>
        <tr r="DC96" s="1"/>
        <tr r="DC96" s="1"/>
      </tp>
      <tp>
        <v>97.3</v>
        <stp/>
        <stp>ASK</stp>
        <stp>.SPXW250508P5760</stp>
        <tr r="DD96" s="1"/>
        <tr r="DD96" s="1"/>
      </tp>
      <tp>
        <v>0.05</v>
        <stp/>
        <stp>ASK</stp>
        <stp>.SPXW250508C5750</stp>
        <tr r="DC97" s="1"/>
        <tr r="DC97" s="1"/>
      </tp>
      <tp>
        <v>87.3</v>
        <stp/>
        <stp>ASK</stp>
        <stp>.SPXW250508P5750</stp>
        <tr r="DD97" s="1"/>
        <tr r="DD97" s="1"/>
      </tp>
      <tp>
        <v>-0.33</v>
        <stp/>
        <stp>DELTA</stp>
        <stp>.NDX250516P19800</stp>
        <tr r="CI167" s="1"/>
        <tr r="CI167" s="1"/>
      </tp>
      <tp>
        <v>0.05</v>
        <stp/>
        <stp>ASK</stp>
        <stp>.SPXW250508C5740</stp>
        <tr r="DC98" s="1"/>
        <tr r="DC98" s="1"/>
      </tp>
      <tp>
        <v>77.3</v>
        <stp/>
        <stp>ASK</stp>
        <stp>.SPXW250508P5740</stp>
        <tr r="DD98" s="1"/>
        <tr r="DD98" s="1"/>
      </tp>
      <tp>
        <v>0.05</v>
        <stp/>
        <stp>ASK</stp>
        <stp>.SPXW250508C5730</stp>
        <tr r="DC99" s="1"/>
        <tr r="DC99" s="1"/>
      </tp>
      <tp>
        <v>67.3</v>
        <stp/>
        <stp>ASK</stp>
        <stp>.SPXW250508P5730</stp>
        <tr r="DD99" s="1"/>
        <tr r="DD99" s="1"/>
      </tp>
      <tp>
        <v>0.05</v>
        <stp/>
        <stp>ASK</stp>
        <stp>.SPXW250508C5720</stp>
        <tr r="DC100" s="1"/>
        <tr r="DC100" s="1"/>
      </tp>
      <tp>
        <v>57.3</v>
        <stp/>
        <stp>ASK</stp>
        <stp>.SPXW250508P5720</stp>
        <tr r="DD100" s="1"/>
        <tr r="DD100" s="1"/>
      </tp>
      <tp>
        <v>-0.38</v>
        <stp/>
        <stp>DELTA</stp>
        <stp>.NDX250516P19875</stp>
        <tr r="CI164" s="1"/>
        <tr r="CI164" s="1"/>
      </tp>
      <tp>
        <v>0.05</v>
        <stp/>
        <stp>ASK</stp>
        <stp>.SPXW250508C5710</stp>
        <tr r="DC101" s="1"/>
        <tr r="DC101" s="1"/>
      </tp>
      <tp>
        <v>47.3</v>
        <stp/>
        <stp>ASK</stp>
        <stp>.SPXW250508P5710</stp>
        <tr r="DD101" s="1"/>
        <tr r="DD101" s="1"/>
      </tp>
      <tp>
        <v>0.05</v>
        <stp/>
        <stp>ASK</stp>
        <stp>.SPXW250508C5700</stp>
        <tr r="DC102" s="1"/>
        <tr r="DC102" s="1"/>
      </tp>
      <tp>
        <v>37.299999999999997</v>
        <stp/>
        <stp>ASK</stp>
        <stp>.SPXW250508P5700</stp>
        <tr r="DD102" s="1"/>
        <tr r="DD102" s="1"/>
      </tp>
      <tp>
        <v>-0.36</v>
        <stp/>
        <stp>DELTA</stp>
        <stp>.NDX250516P19850</stp>
        <tr r="CI165" s="1"/>
        <tr r="CI165" s="1"/>
      </tp>
      <tp>
        <v>0.67</v>
        <stp/>
        <stp>DELTA</stp>
        <stp>.NDX250516C19800</stp>
        <tr r="CH167" s="1"/>
        <tr r="CH167" s="1"/>
      </tp>
      <tp>
        <v>0.66</v>
        <stp/>
        <stp>DELTA</stp>
        <stp>.NDX250516C19825</stp>
        <tr r="CH166" s="1"/>
        <tr r="CH166" s="1"/>
      </tp>
      <tp>
        <v>0.65</v>
        <stp/>
        <stp>DELTA</stp>
        <stp>.NDX250516C19850</stp>
        <tr r="CH165" s="1"/>
        <tr r="CH165" s="1"/>
      </tp>
      <tp>
        <v>0.63</v>
        <stp/>
        <stp>DELTA</stp>
        <stp>.NDX250516C19875</stp>
        <tr r="CH164" s="1"/>
        <tr r="CH164" s="1"/>
      </tp>
      <tp>
        <v>0.05</v>
        <stp/>
        <stp>ASK</stp>
        <stp>.SPXW250508C5690</stp>
        <tr r="DC103" s="1"/>
        <tr r="DC103" s="1"/>
      </tp>
      <tp>
        <v>27.3</v>
        <stp/>
        <stp>ASK</stp>
        <stp>.SPXW250508P5690</stp>
        <tr r="DD103" s="1"/>
        <tr r="DD103" s="1"/>
      </tp>
      <tp>
        <v>0.05</v>
        <stp/>
        <stp>ASK</stp>
        <stp>.SPXW250508C5680</stp>
        <tr r="DC104" s="1"/>
        <tr r="DC104" s="1"/>
      </tp>
      <tp>
        <v>17.3</v>
        <stp/>
        <stp>ASK</stp>
        <stp>.SPXW250508P5680</stp>
        <tr r="DD104" s="1"/>
        <tr r="DD104" s="1"/>
      </tp>
      <tp>
        <v>0.05</v>
        <stp/>
        <stp>ASK</stp>
        <stp>.SPXW250508C5670</stp>
        <tr r="DC105" s="1"/>
        <tr r="DC105" s="1"/>
      </tp>
      <tp>
        <v>7.2</v>
        <stp/>
        <stp>ASK</stp>
        <stp>.SPXW250508P5670</stp>
        <tr r="DD105" s="1"/>
        <tr r="DD105" s="1"/>
      </tp>
      <tp>
        <v>-0.4</v>
        <stp/>
        <stp>DELTA</stp>
        <stp>.NDX250516P19925</stp>
        <tr r="CI162" s="1"/>
        <tr r="CI162" s="1"/>
      </tp>
      <tp>
        <v>4.9000000000000004</v>
        <stp/>
        <stp>ASK</stp>
        <stp>.SPXW250508C5660</stp>
        <tr r="DC106" s="1"/>
        <tr r="DC106" s="1"/>
      </tp>
      <tp>
        <v>0.05</v>
        <stp/>
        <stp>ASK</stp>
        <stp>.SPXW250508P5660</stp>
        <tr r="DD106" s="1"/>
        <tr r="DD106" s="1"/>
      </tp>
      <tp>
        <v>14.9</v>
        <stp/>
        <stp>ASK</stp>
        <stp>.SPXW250508C5650</stp>
        <tr r="DC107" s="1"/>
        <tr r="DC107" s="1"/>
      </tp>
      <tp>
        <v>0.05</v>
        <stp/>
        <stp>ASK</stp>
        <stp>.SPXW250508P5650</stp>
        <tr r="DD107" s="1"/>
        <tr r="DD107" s="1"/>
      </tp>
      <tp>
        <v>-0.39</v>
        <stp/>
        <stp>DELTA</stp>
        <stp>.NDX250516P19900</stp>
        <tr r="CI163" s="1"/>
        <tr r="CI163" s="1"/>
      </tp>
      <tp>
        <v>26.5</v>
        <stp/>
        <stp>ASK</stp>
        <stp>.SPXW250508C5640</stp>
        <tr r="DC108" s="1"/>
        <tr r="DC108" s="1"/>
      </tp>
      <tp>
        <v>0.05</v>
        <stp/>
        <stp>ASK</stp>
        <stp>.SPXW250508P5640</stp>
        <tr r="DD108" s="1"/>
        <tr r="DD108" s="1"/>
      </tp>
      <tp>
        <v>36.5</v>
        <stp/>
        <stp>ASK</stp>
        <stp>.SPXW250508C5630</stp>
        <tr r="DC109" s="1"/>
        <tr r="DC109" s="1"/>
      </tp>
      <tp>
        <v>0.05</v>
        <stp/>
        <stp>ASK</stp>
        <stp>.SPXW250508P5630</stp>
        <tr r="DD109" s="1"/>
        <tr r="DD109" s="1"/>
      </tp>
      <tp>
        <v>45.5</v>
        <stp/>
        <stp>ASK</stp>
        <stp>.SPXW250508C5620</stp>
        <tr r="DC110" s="1"/>
        <tr r="DC110" s="1"/>
      </tp>
      <tp>
        <v>0.05</v>
        <stp/>
        <stp>ASK</stp>
        <stp>.SPXW250508P5620</stp>
        <tr r="DD110" s="1"/>
        <tr r="DD110" s="1"/>
      </tp>
      <tp>
        <v>-0.43</v>
        <stp/>
        <stp>DELTA</stp>
        <stp>.NDX250516P19975</stp>
        <tr r="CI160" s="1"/>
        <tr r="CI160" s="1"/>
      </tp>
      <tp>
        <v>56.5</v>
        <stp/>
        <stp>ASK</stp>
        <stp>.SPXW250508C5610</stp>
        <tr r="DC111" s="1"/>
        <tr r="DC111" s="1"/>
      </tp>
      <tp>
        <v>0.05</v>
        <stp/>
        <stp>ASK</stp>
        <stp>.SPXW250508P5610</stp>
        <tr r="DD111" s="1"/>
        <tr r="DD111" s="1"/>
      </tp>
      <tp>
        <v>66.5</v>
        <stp/>
        <stp>ASK</stp>
        <stp>.SPXW250508C5600</stp>
        <tr r="DC112" s="1"/>
        <tr r="DC112" s="1"/>
      </tp>
      <tp>
        <v>0.05</v>
        <stp/>
        <stp>ASK</stp>
        <stp>.SPXW250508P5600</stp>
        <tr r="DD112" s="1"/>
        <tr r="DD112" s="1"/>
      </tp>
      <tp>
        <v>-0.42</v>
        <stp/>
        <stp>DELTA</stp>
        <stp>.NDX250516P19950</stp>
        <tr r="CI161" s="1"/>
        <tr r="CI161" s="1"/>
      </tp>
      <tp>
        <v>0.62</v>
        <stp/>
        <stp>DELTA</stp>
        <stp>.NDX250516C19900</stp>
        <tr r="CH163" s="1"/>
        <tr r="CH163" s="1"/>
      </tp>
      <tp>
        <v>0.6</v>
        <stp/>
        <stp>DELTA</stp>
        <stp>.NDX250516C19925</stp>
        <tr r="CH162" s="1"/>
        <tr r="CH162" s="1"/>
      </tp>
      <tp>
        <v>0.57999999999999996</v>
        <stp/>
        <stp>DELTA</stp>
        <stp>.NDX250516C19950</stp>
        <tr r="CH161" s="1"/>
        <tr r="CH161" s="1"/>
      </tp>
      <tp>
        <v>0.56999999999999995</v>
        <stp/>
        <stp>DELTA</stp>
        <stp>.NDX250516C19975</stp>
        <tr r="CH160" s="1"/>
        <tr r="CH160" s="1"/>
      </tp>
      <tp>
        <v>0.1</v>
        <stp/>
        <stp>LAST</stp>
        <stp>.NDXP250508P19975</stp>
        <tr r="DB160" s="1"/>
        <tr r="DB160" s="1"/>
      </tp>
      <tp>
        <v>0.4</v>
        <stp/>
        <stp>LAST</stp>
        <stp>.NDXP250508P19950</stp>
        <tr r="DB161" s="1"/>
        <tr r="DB161" s="1"/>
      </tp>
      <tp>
        <v>0.55000000000000004</v>
        <stp/>
        <stp>LAST</stp>
        <stp>.NDXP250508P19925</stp>
        <tr r="DB162" s="1"/>
        <tr r="DB162" s="1"/>
      </tp>
      <tp>
        <v>0.23</v>
        <stp/>
        <stp>LAST</stp>
        <stp>.NDXP250508P19900</stp>
        <tr r="DB163" s="1"/>
        <tr r="DB163" s="1"/>
      </tp>
      <tp>
        <v>121.72</v>
        <stp/>
        <stp>LAST</stp>
        <stp>.NDXP250508C19950</stp>
        <tr r="DA161" s="1"/>
        <tr r="DA161" s="1"/>
      </tp>
      <tp>
        <v>88.2</v>
        <stp/>
        <stp>LAST</stp>
        <stp>.NDXP250508C19975</stp>
        <tr r="DA160" s="1"/>
        <tr r="DA160" s="1"/>
      </tp>
      <tp>
        <v>320.94</v>
        <stp/>
        <stp>LAST</stp>
        <stp>.NDXP250508C19900</stp>
        <tr r="DA163" s="1"/>
        <tr r="DA163" s="1"/>
      </tp>
      <tp>
        <v>261.3</v>
        <stp/>
        <stp>LAST</stp>
        <stp>.NDXP250508C19925</stp>
        <tr r="DA162" s="1"/>
        <tr r="DA162" s="1"/>
      </tp>
      <tp>
        <v>0.22</v>
        <stp/>
        <stp>LAST</stp>
        <stp>.NDXP250508P19875</stp>
        <tr r="DB164" s="1"/>
        <tr r="DB164" s="1"/>
      </tp>
      <tp>
        <v>0.25</v>
        <stp/>
        <stp>LAST</stp>
        <stp>.NDXP250508P19850</stp>
        <tr r="DB165" s="1"/>
        <tr r="DB165" s="1"/>
      </tp>
      <tp>
        <v>0.15</v>
        <stp/>
        <stp>LAST</stp>
        <stp>.NDXP250508P19825</stp>
        <tr r="DB166" s="1"/>
        <tr r="DB166" s="1"/>
      </tp>
      <tp>
        <v>0.1</v>
        <stp/>
        <stp>LAST</stp>
        <stp>.NDXP250508P19800</stp>
        <tr r="DB167" s="1"/>
        <tr r="DB167" s="1"/>
      </tp>
      <tp>
        <v>335.5</v>
        <stp/>
        <stp>LAST</stp>
        <stp>.NDXP250508C19850</stp>
        <tr r="DA165" s="1"/>
        <tr r="DA165" s="1"/>
      </tp>
      <tp>
        <v>111</v>
        <stp/>
        <stp>LAST</stp>
        <stp>.NDXP250508C19875</stp>
        <tr r="DA164" s="1"/>
        <tr r="DA164" s="1"/>
      </tp>
      <tp>
        <v>385.5</v>
        <stp/>
        <stp>LAST</stp>
        <stp>.NDXP250508C19800</stp>
        <tr r="DA167" s="1"/>
        <tr r="DA167" s="1"/>
      </tp>
      <tp>
        <v>142.6</v>
        <stp/>
        <stp>LAST</stp>
        <stp>.NDXP250508C19825</stp>
        <tr r="DA166" s="1"/>
        <tr r="DA166" s="1"/>
      </tp>
      <tp>
        <v>-0.59</v>
        <stp/>
        <stp>DELTA</stp>
        <stp>.NDX250516P20225</stp>
        <tr r="CI150" s="1"/>
        <tr r="CI150" s="1"/>
      </tp>
      <tp>
        <v>-0.56999999999999995</v>
        <stp/>
        <stp>DELTA</stp>
        <stp>.NDX250516P20200</stp>
        <tr r="CI151" s="1"/>
        <tr r="CI151" s="1"/>
      </tp>
      <tp>
        <v>-0.62</v>
        <stp/>
        <stp>DELTA</stp>
        <stp>.NDX250516P20275</stp>
        <tr r="CI148" s="1"/>
        <tr r="CI148" s="1"/>
      </tp>
      <tp>
        <v>-0.12</v>
        <stp/>
        <stp>DELTA</stp>
        <stp>.NDX250516P19275</stp>
        <tr r="CI188" s="1"/>
        <tr r="CI188" s="1"/>
      </tp>
      <tp>
        <v>-0.6</v>
        <stp/>
        <stp>DELTA</stp>
        <stp>.NDX250516P20250</stp>
        <tr r="CI149" s="1"/>
        <tr r="CI149" s="1"/>
      </tp>
      <tp>
        <v>-0.11</v>
        <stp/>
        <stp>DELTA</stp>
        <stp>.NDX250516P19250</stp>
        <tr r="CI189" s="1"/>
        <tr r="CI189" s="1"/>
      </tp>
      <tp>
        <v>0.42</v>
        <stp/>
        <stp>DELTA</stp>
        <stp>.NDX250516C20200</stp>
        <tr r="CH151" s="1"/>
        <tr r="CH151" s="1"/>
      </tp>
      <tp>
        <v>0.41</v>
        <stp/>
        <stp>DELTA</stp>
        <stp>.NDX250516C20225</stp>
        <tr r="CH150" s="1"/>
        <tr r="CH150" s="1"/>
      </tp>
      <tp>
        <v>0.39</v>
        <stp/>
        <stp>DELTA</stp>
        <stp>.NDX250516C20250</stp>
        <tr r="CH149" s="1"/>
        <tr r="CH149" s="1"/>
      </tp>
      <tp>
        <v>0.9</v>
        <stp/>
        <stp>DELTA</stp>
        <stp>.NDX250516C19250</stp>
        <tr r="CH189" s="1"/>
        <tr r="CH189" s="1"/>
      </tp>
      <tp>
        <v>0.37</v>
        <stp/>
        <stp>DELTA</stp>
        <stp>.NDX250516C20275</stp>
        <tr r="CH148" s="1"/>
        <tr r="CH148" s="1"/>
      </tp>
      <tp>
        <v>0.9</v>
        <stp/>
        <stp>DELTA</stp>
        <stp>.NDX250516C19275</stp>
        <tr r="CH188" s="1"/>
        <tr r="CH188" s="1"/>
      </tp>
      <tp>
        <v>1</v>
        <stp/>
        <stp>LAST</stp>
        <stp>.NDXP250508P19775</stp>
        <tr r="DB168" s="1"/>
        <tr r="DB168" s="1"/>
      </tp>
      <tp>
        <v>0.15</v>
        <stp/>
        <stp>LAST</stp>
        <stp>.NDXP250508P19750</stp>
        <tr r="DB169" s="1"/>
        <tr r="DB169" s="1"/>
      </tp>
      <tp>
        <v>0.05</v>
        <stp/>
        <stp>LAST</stp>
        <stp>.NDXP250508P19725</stp>
        <tr r="DB170" s="1"/>
        <tr r="DB170" s="1"/>
      </tp>
      <tp>
        <v>0.2</v>
        <stp/>
        <stp>LAST</stp>
        <stp>.NDXP250508P19700</stp>
        <tr r="DB171" s="1"/>
        <tr r="DB171" s="1"/>
      </tp>
      <tp>
        <v>253.3</v>
        <stp/>
        <stp>LAST</stp>
        <stp>.NDXP250508C19750</stp>
        <tr r="DA169" s="1"/>
        <tr r="DA169" s="1"/>
      </tp>
      <tp>
        <v>135.6</v>
        <stp/>
        <stp>LAST</stp>
        <stp>.NDXP250508C19775</stp>
        <tr r="DA168" s="1"/>
        <tr r="DA168" s="1"/>
      </tp>
      <tp>
        <v>527.65</v>
        <stp/>
        <stp>LAST</stp>
        <stp>.NDXP250508C19700</stp>
        <tr r="DA171" s="1"/>
        <tr r="DA171" s="1"/>
      </tp>
      <tp>
        <v>218.1</v>
        <stp/>
        <stp>LAST</stp>
        <stp>.NDXP250508C19725</stp>
        <tr r="DA170" s="1"/>
        <tr r="DA170" s="1"/>
      </tp>
      <tp>
        <v>-0.65</v>
        <stp/>
        <stp>DELTA</stp>
        <stp>.NDX250516P20325</stp>
        <tr r="CI146" s="1"/>
        <tr r="CI146" s="1"/>
      </tp>
      <tp>
        <v>-0.13</v>
        <stp/>
        <stp>DELTA</stp>
        <stp>.NDX250516P19325</stp>
        <tr r="CI186" s="1"/>
        <tr r="CI186" s="1"/>
      </tp>
      <tp>
        <v>-0.63</v>
        <stp/>
        <stp>DELTA</stp>
        <stp>.NDX250516P20300</stp>
        <tr r="CI147" s="1"/>
        <tr r="CI147" s="1"/>
      </tp>
      <tp>
        <v>-0.13</v>
        <stp/>
        <stp>DELTA</stp>
        <stp>.NDX250516P19300</stp>
        <tr r="CI187" s="1"/>
        <tr r="CI187" s="1"/>
      </tp>
      <tp>
        <v>-0.67</v>
        <stp/>
        <stp>DELTA</stp>
        <stp>.NDX250516P20375</stp>
        <tr r="CI144" s="1"/>
        <tr r="CI144" s="1"/>
      </tp>
      <tp>
        <v>-0.15</v>
        <stp/>
        <stp>DELTA</stp>
        <stp>.NDX250516P19375</stp>
        <tr r="CI184" s="1"/>
        <tr r="CI184" s="1"/>
      </tp>
      <tp>
        <v>-0.66</v>
        <stp/>
        <stp>DELTA</stp>
        <stp>.NDX250516P20350</stp>
        <tr r="CI145" s="1"/>
        <tr r="CI145" s="1"/>
      </tp>
      <tp>
        <v>-0.14000000000000001</v>
        <stp/>
        <stp>DELTA</stp>
        <stp>.NDX250516P19350</stp>
        <tr r="CI185" s="1"/>
        <tr r="CI185" s="1"/>
      </tp>
      <tp>
        <v>0.36</v>
        <stp/>
        <stp>DELTA</stp>
        <stp>.NDX250516C20300</stp>
        <tr r="CH147" s="1"/>
        <tr r="CH147" s="1"/>
      </tp>
      <tp>
        <v>0.9</v>
        <stp/>
        <stp>DELTA</stp>
        <stp>.NDX250516C19300</stp>
        <tr r="CH187" s="1"/>
        <tr r="CH187" s="1"/>
      </tp>
      <tp>
        <v>0.34</v>
        <stp/>
        <stp>DELTA</stp>
        <stp>.NDX250516C20325</stp>
        <tr r="CH146" s="1"/>
        <tr r="CH146" s="1"/>
      </tp>
      <tp>
        <v>0.89</v>
        <stp/>
        <stp>DELTA</stp>
        <stp>.NDX250516C19325</stp>
        <tr r="CH186" s="1"/>
        <tr r="CH186" s="1"/>
      </tp>
      <tp>
        <v>0.33</v>
        <stp/>
        <stp>DELTA</stp>
        <stp>.NDX250516C20350</stp>
        <tr r="CH145" s="1"/>
        <tr r="CH145" s="1"/>
      </tp>
      <tp>
        <v>0.88</v>
        <stp/>
        <stp>DELTA</stp>
        <stp>.NDX250516C19350</stp>
        <tr r="CH185" s="1"/>
        <tr r="CH185" s="1"/>
      </tp>
      <tp>
        <v>0.31</v>
        <stp/>
        <stp>DELTA</stp>
        <stp>.NDX250516C20375</stp>
        <tr r="CH144" s="1"/>
        <tr r="CH144" s="1"/>
      </tp>
      <tp>
        <v>0.87</v>
        <stp/>
        <stp>DELTA</stp>
        <stp>.NDX250516C19375</stp>
        <tr r="CH184" s="1"/>
        <tr r="CH184" s="1"/>
      </tp>
      <tp>
        <v>0.05</v>
        <stp/>
        <stp>LAST</stp>
        <stp>.NDXP250508P19675</stp>
        <tr r="DB172" s="1"/>
        <tr r="DB172" s="1"/>
      </tp>
      <tp>
        <v>0.2</v>
        <stp/>
        <stp>LAST</stp>
        <stp>.NDXP250508P19650</stp>
        <tr r="DB173" s="1"/>
        <tr r="DB173" s="1"/>
      </tp>
      <tp>
        <v>0.18</v>
        <stp/>
        <stp>LAST</stp>
        <stp>.NDXP250508P19625</stp>
        <tr r="DB174" s="1"/>
        <tr r="DB174" s="1"/>
      </tp>
      <tp>
        <v>0.15</v>
        <stp/>
        <stp>LAST</stp>
        <stp>.NDXP250508P19600</stp>
        <tr r="DB175" s="1"/>
        <tr r="DB175" s="1"/>
      </tp>
      <tp>
        <v>596.70000000000005</v>
        <stp/>
        <stp>LAST</stp>
        <stp>.NDXP250508C19650</stp>
        <tr r="DA173" s="1"/>
        <tr r="DA173" s="1"/>
      </tp>
      <tp>
        <v>0</v>
        <stp/>
        <stp>LAST</stp>
        <stp>.NDXP250508C19675</stp>
        <tr r="DA172" s="1"/>
        <tr r="DA172" s="1"/>
      </tp>
      <tp>
        <v>595.63</v>
        <stp/>
        <stp>LAST</stp>
        <stp>.NDXP250508C19600</stp>
        <tr r="DA175" s="1"/>
        <tr r="DA175" s="1"/>
      </tp>
      <tp>
        <v>373.9</v>
        <stp/>
        <stp>LAST</stp>
        <stp>.NDXP250508C19625</stp>
        <tr r="DA174" s="1"/>
        <tr r="DA174" s="1"/>
      </tp>
      <tp>
        <v>-0.46</v>
        <stp/>
        <stp>DELTA</stp>
        <stp>.NDX250516P20025</stp>
        <tr r="CI158" s="1"/>
        <tr r="CI158" s="1"/>
      </tp>
      <tp>
        <v>-0.45</v>
        <stp/>
        <stp>DELTA</stp>
        <stp>.NDX250516P20000</stp>
        <tr r="CI159" s="1"/>
        <tr r="CI159" s="1"/>
      </tp>
      <tp>
        <v>-0.49</v>
        <stp/>
        <stp>DELTA</stp>
        <stp>.NDX250516P20075</stp>
        <tr r="CI156" s="1"/>
        <tr r="CI156" s="1"/>
      </tp>
      <tp>
        <v>-0.48</v>
        <stp/>
        <stp>DELTA</stp>
        <stp>.NDX250516P20050</stp>
        <tr r="CI157" s="1"/>
        <tr r="CI157" s="1"/>
      </tp>
      <tp>
        <v>0.55000000000000004</v>
        <stp/>
        <stp>DELTA</stp>
        <stp>.NDX250516C20000</stp>
        <tr r="CH159" s="1"/>
        <tr r="CH159" s="1"/>
      </tp>
      <tp>
        <v>0.54</v>
        <stp/>
        <stp>DELTA</stp>
        <stp>.NDX250516C20025</stp>
        <tr r="CH158" s="1"/>
        <tr r="CH158" s="1"/>
      </tp>
      <tp>
        <v>0.52</v>
        <stp/>
        <stp>DELTA</stp>
        <stp>.NDX250516C20050</stp>
        <tr r="CH157" s="1"/>
        <tr r="CH157" s="1"/>
      </tp>
      <tp>
        <v>0.5</v>
        <stp/>
        <stp>DELTA</stp>
        <stp>.NDX250516C20075</stp>
        <tr r="CH156" s="1"/>
        <tr r="CH156" s="1"/>
      </tp>
      <tp>
        <v>0.25</v>
        <stp/>
        <stp>LAST</stp>
        <stp>.NDXP250508P19575</stp>
        <tr r="DB176" s="1"/>
        <tr r="DB176" s="1"/>
      </tp>
      <tp>
        <v>0.43</v>
        <stp/>
        <stp>LAST</stp>
        <stp>.NDXP250508P19550</stp>
        <tr r="DB177" s="1"/>
        <tr r="DB177" s="1"/>
      </tp>
      <tp>
        <v>0</v>
        <stp/>
        <stp>LAST</stp>
        <stp>.NDXP250508P20550</stp>
        <tr r="DB137" s="1"/>
        <tr r="DB137" s="1"/>
      </tp>
      <tp>
        <v>0.85</v>
        <stp/>
        <stp>LAST</stp>
        <stp>.NDXP250508P19525</stp>
        <tr r="DB178" s="1"/>
        <tr r="DB178" s="1"/>
      </tp>
      <tp>
        <v>0</v>
        <stp/>
        <stp>LAST</stp>
        <stp>.NDXP250508P20525</stp>
        <tr r="DB138" s="1"/>
        <tr r="DB138" s="1"/>
      </tp>
      <tp>
        <v>0.13</v>
        <stp/>
        <stp>LAST</stp>
        <stp>.NDXP250508P19500</stp>
        <tr r="DB179" s="1"/>
        <tr r="DB179" s="1"/>
      </tp>
      <tp>
        <v>265.63</v>
        <stp/>
        <stp>LAST</stp>
        <stp>.NDXP250508P20500</stp>
        <tr r="DB139" s="1"/>
        <tr r="DB139" s="1"/>
      </tp>
      <tp>
        <v>0</v>
        <stp/>
        <stp>LAST</stp>
        <stp>.NDXP250508C19550</stp>
        <tr r="DA177" s="1"/>
        <tr r="DA177" s="1"/>
      </tp>
      <tp>
        <v>0.1</v>
        <stp/>
        <stp>LAST</stp>
        <stp>.NDXP250508C20550</stp>
        <tr r="DA137" s="1"/>
        <tr r="DA137" s="1"/>
      </tp>
      <tp>
        <v>598.65</v>
        <stp/>
        <stp>LAST</stp>
        <stp>.NDXP250508C19575</stp>
        <tr r="DA176" s="1"/>
        <tr r="DA176" s="1"/>
      </tp>
      <tp>
        <v>679.1</v>
        <stp/>
        <stp>LAST</stp>
        <stp>.NDXP250508C19500</stp>
        <tr r="DA179" s="1"/>
        <tr r="DA179" s="1"/>
      </tp>
      <tp>
        <v>0.05</v>
        <stp/>
        <stp>LAST</stp>
        <stp>.NDXP250508C20500</stp>
        <tr r="DA139" s="1"/>
        <tr r="DA139" s="1"/>
      </tp>
      <tp>
        <v>0</v>
        <stp/>
        <stp>LAST</stp>
        <stp>.NDXP250508C19525</stp>
        <tr r="DA178" s="1"/>
        <tr r="DA178" s="1"/>
      </tp>
      <tp>
        <v>0.2</v>
        <stp/>
        <stp>LAST</stp>
        <stp>.NDXP250508C20525</stp>
        <tr r="DA138" s="1"/>
        <tr r="DA138" s="1"/>
      </tp>
      <tp>
        <v>-0.53</v>
        <stp/>
        <stp>DELTA</stp>
        <stp>.NDX250516P20125</stp>
        <tr r="CI154" s="1"/>
        <tr r="CI154" s="1"/>
      </tp>
      <tp>
        <v>-0.51</v>
        <stp/>
        <stp>DELTA</stp>
        <stp>.NDX250516P20100</stp>
        <tr r="CI155" s="1"/>
        <tr r="CI155" s="1"/>
      </tp>
      <tp>
        <v>-0.56000000000000005</v>
        <stp/>
        <stp>DELTA</stp>
        <stp>.NDX250516P20175</stp>
        <tr r="CI152" s="1"/>
        <tr r="CI152" s="1"/>
      </tp>
      <tp>
        <v>-0.54</v>
        <stp/>
        <stp>DELTA</stp>
        <stp>.NDX250516P20150</stp>
        <tr r="CI153" s="1"/>
        <tr r="CI153" s="1"/>
      </tp>
      <tp>
        <v>0.49</v>
        <stp/>
        <stp>DELTA</stp>
        <stp>.NDX250516C20100</stp>
        <tr r="CH155" s="1"/>
        <tr r="CH155" s="1"/>
      </tp>
      <tp>
        <v>0.47</v>
        <stp/>
        <stp>DELTA</stp>
        <stp>.NDX250516C20125</stp>
        <tr r="CH154" s="1"/>
        <tr r="CH154" s="1"/>
      </tp>
      <tp>
        <v>0.46</v>
        <stp/>
        <stp>DELTA</stp>
        <stp>.NDX250516C20150</stp>
        <tr r="CH153" s="1"/>
        <tr r="CH153" s="1"/>
      </tp>
      <tp>
        <v>0.44</v>
        <stp/>
        <stp>DELTA</stp>
        <stp>.NDX250516C20175</stp>
        <tr r="CH152" s="1"/>
        <tr r="CH152" s="1"/>
      </tp>
      <tp>
        <v>0.05</v>
        <stp/>
        <stp>LAST</stp>
        <stp>.NDXP250508P19475</stp>
        <tr r="DB180" s="1"/>
        <tr r="DB180" s="1"/>
      </tp>
      <tp>
        <v>0</v>
        <stp/>
        <stp>LAST</stp>
        <stp>.NDXP250508P20475</stp>
        <tr r="DB140" s="1"/>
        <tr r="DB140" s="1"/>
      </tp>
      <tp>
        <v>0.21</v>
        <stp/>
        <stp>LAST</stp>
        <stp>.NDXP250508P19450</stp>
        <tr r="DB181" s="1"/>
        <tr r="DB181" s="1"/>
      </tp>
      <tp>
        <v>236.75</v>
        <stp/>
        <stp>LAST</stp>
        <stp>.NDXP250508P20450</stp>
        <tr r="DB141" s="1"/>
        <tr r="DB141" s="1"/>
      </tp>
      <tp>
        <v>1.94</v>
        <stp/>
        <stp>LAST</stp>
        <stp>.NDXP250508P19425</stp>
        <tr r="DB182" s="1"/>
        <tr r="DB182" s="1"/>
      </tp>
      <tp>
        <v>240</v>
        <stp/>
        <stp>LAST</stp>
        <stp>.NDXP250508P20425</stp>
        <tr r="DB142" s="1"/>
        <tr r="DB142" s="1"/>
      </tp>
      <tp>
        <v>0.25</v>
        <stp/>
        <stp>LAST</stp>
        <stp>.NDXP250508P19400</stp>
        <tr r="DB183" s="1"/>
        <tr r="DB183" s="1"/>
      </tp>
      <tp>
        <v>213.2</v>
        <stp/>
        <stp>LAST</stp>
        <stp>.NDXP250508P20400</stp>
        <tr r="DB143" s="1"/>
        <tr r="DB143" s="1"/>
      </tp>
      <tp>
        <v>0</v>
        <stp/>
        <stp>LAST</stp>
        <stp>.NDXP250508C19450</stp>
        <tr r="DA181" s="1"/>
        <tr r="DA181" s="1"/>
      </tp>
      <tp>
        <v>0.26</v>
        <stp/>
        <stp>LAST</stp>
        <stp>.NDXP250508C20450</stp>
        <tr r="DA141" s="1"/>
        <tr r="DA141" s="1"/>
      </tp>
      <tp>
        <v>0</v>
        <stp/>
        <stp>LAST</stp>
        <stp>.NDXP250508C19475</stp>
        <tr r="DA180" s="1"/>
        <tr r="DA180" s="1"/>
      </tp>
      <tp>
        <v>0.25</v>
        <stp/>
        <stp>LAST</stp>
        <stp>.NDXP250508C20475</stp>
        <tr r="DA140" s="1"/>
        <tr r="DA140" s="1"/>
      </tp>
      <tp>
        <v>621.95000000000005</v>
        <stp/>
        <stp>LAST</stp>
        <stp>.NDXP250508C19400</stp>
        <tr r="DA183" s="1"/>
        <tr r="DA183" s="1"/>
      </tp>
      <tp>
        <v>0.05</v>
        <stp/>
        <stp>LAST</stp>
        <stp>.NDXP250508C20400</stp>
        <tr r="DA143" s="1"/>
        <tr r="DA143" s="1"/>
      </tp>
      <tp>
        <v>660.83</v>
        <stp/>
        <stp>LAST</stp>
        <stp>.NDXP250508C19425</stp>
        <tr r="DA182" s="1"/>
        <tr r="DA182" s="1"/>
      </tp>
      <tp>
        <v>0.1</v>
        <stp/>
        <stp>LAST</stp>
        <stp>.NDXP250508C20425</stp>
        <tr r="DA142" s="1"/>
        <tr r="DA142" s="1"/>
      </tp>
      <tp>
        <v>-0.25</v>
        <stp/>
        <stp>DELTA</stp>
        <stp>.NDX250516P19625</stp>
        <tr r="CI174" s="1"/>
        <tr r="CI174" s="1"/>
      </tp>
      <tp>
        <v>-0.24</v>
        <stp/>
        <stp>DELTA</stp>
        <stp>.NDX250516P19600</stp>
        <tr r="CI175" s="1"/>
        <tr r="CI175" s="1"/>
      </tp>
      <tp>
        <v>-0.27</v>
        <stp/>
        <stp>DELTA</stp>
        <stp>.NDX250516P19675</stp>
        <tr r="CI172" s="1"/>
        <tr r="CI172" s="1"/>
      </tp>
      <tp>
        <v>-0.26</v>
        <stp/>
        <stp>DELTA</stp>
        <stp>.NDX250516P19650</stp>
        <tr r="CI173" s="1"/>
        <tr r="CI173" s="1"/>
      </tp>
      <tp>
        <v>0.78</v>
        <stp/>
        <stp>DELTA</stp>
        <stp>.NDX250516C19600</stp>
        <tr r="CH175" s="1"/>
        <tr r="CH175" s="1"/>
      </tp>
      <tp>
        <v>0.77</v>
        <stp/>
        <stp>DELTA</stp>
        <stp>.NDX250516C19625</stp>
        <tr r="CH174" s="1"/>
        <tr r="CH174" s="1"/>
      </tp>
      <tp>
        <v>0.75</v>
        <stp/>
        <stp>DELTA</stp>
        <stp>.NDX250516C19650</stp>
        <tr r="CH173" s="1"/>
        <tr r="CH173" s="1"/>
      </tp>
      <tp>
        <v>0.74</v>
        <stp/>
        <stp>DELTA</stp>
        <stp>.NDX250516C19675</stp>
        <tr r="CH172" s="1"/>
        <tr r="CH172" s="1"/>
      </tp>
      <tp>
        <v>0.26</v>
        <stp/>
        <stp>LAST</stp>
        <stp>.NDXP250508P19375</stp>
        <tr r="DB184" s="1"/>
        <tr r="DB184" s="1"/>
      </tp>
      <tp>
        <v>159.30000000000001</v>
        <stp/>
        <stp>LAST</stp>
        <stp>.NDXP250508P20375</stp>
        <tr r="DB144" s="1"/>
        <tr r="DB144" s="1"/>
      </tp>
      <tp>
        <v>0.45</v>
        <stp/>
        <stp>LAST</stp>
        <stp>.NDXP250508P19350</stp>
        <tr r="DB185" s="1"/>
        <tr r="DB185" s="1"/>
      </tp>
      <tp>
        <v>152.30000000000001</v>
        <stp/>
        <stp>LAST</stp>
        <stp>.NDXP250508P20350</stp>
        <tr r="DB145" s="1"/>
        <tr r="DB145" s="1"/>
      </tp>
      <tp>
        <v>1.25</v>
        <stp/>
        <stp>LAST</stp>
        <stp>.NDXP250508P19325</stp>
        <tr r="DB186" s="1"/>
        <tr r="DB186" s="1"/>
      </tp>
      <tp>
        <v>190.6</v>
        <stp/>
        <stp>LAST</stp>
        <stp>.NDXP250508P20325</stp>
        <tr r="DB146" s="1"/>
        <tr r="DB146" s="1"/>
      </tp>
      <tp>
        <v>0.25</v>
        <stp/>
        <stp>LAST</stp>
        <stp>.NDXP250508P19300</stp>
        <tr r="DB187" s="1"/>
        <tr r="DB187" s="1"/>
      </tp>
      <tp>
        <v>140</v>
        <stp/>
        <stp>LAST</stp>
        <stp>.NDXP250508P20300</stp>
        <tr r="DB147" s="1"/>
        <tr r="DB147" s="1"/>
      </tp>
      <tp>
        <v>361.95</v>
        <stp/>
        <stp>LAST</stp>
        <stp>.NDXP250508C19350</stp>
        <tr r="DA185" s="1"/>
        <tr r="DA185" s="1"/>
      </tp>
      <tp>
        <v>0.18</v>
        <stp/>
        <stp>LAST</stp>
        <stp>.NDXP250508C20350</stp>
        <tr r="DA145" s="1"/>
        <tr r="DA145" s="1"/>
      </tp>
      <tp>
        <v>0</v>
        <stp/>
        <stp>LAST</stp>
        <stp>.NDXP250508C19375</stp>
        <tr r="DA184" s="1"/>
        <tr r="DA184" s="1"/>
      </tp>
      <tp>
        <v>0.5</v>
        <stp/>
        <stp>LAST</stp>
        <stp>.NDXP250508C20375</stp>
        <tr r="DA144" s="1"/>
        <tr r="DA144" s="1"/>
      </tp>
      <tp>
        <v>894.45</v>
        <stp/>
        <stp>LAST</stp>
        <stp>.NDXP250508C19300</stp>
        <tr r="DA187" s="1"/>
        <tr r="DA187" s="1"/>
      </tp>
      <tp>
        <v>0.1</v>
        <stp/>
        <stp>LAST</stp>
        <stp>.NDXP250508C20300</stp>
        <tr r="DA147" s="1"/>
        <tr r="DA147" s="1"/>
      </tp>
      <tp>
        <v>727.5</v>
        <stp/>
        <stp>LAST</stp>
        <stp>.NDXP250508C19325</stp>
        <tr r="DA186" s="1"/>
        <tr r="DA186" s="1"/>
      </tp>
      <tp>
        <v>0.05</v>
        <stp/>
        <stp>LAST</stp>
        <stp>.NDXP250508C20325</stp>
        <tr r="DA146" s="1"/>
        <tr r="DA146" s="1"/>
      </tp>
      <tp>
        <v>0.05</v>
        <stp/>
        <stp>ASK</stp>
        <stp>.SPXW250508C5870</stp>
        <tr r="DC85" s="1"/>
        <tr r="DC85" s="1"/>
      </tp>
      <tp>
        <v>212.5</v>
        <stp/>
        <stp>ASK</stp>
        <stp>.SPXW250508P5870</stp>
        <tr r="DD85" s="1"/>
        <tr r="DD85" s="1"/>
      </tp>
      <tp>
        <v>-0.3</v>
        <stp/>
        <stp>DELTA</stp>
        <stp>.NDX250516P19725</stp>
        <tr r="CI170" s="1"/>
        <tr r="CI170" s="1"/>
      </tp>
      <tp>
        <v>0.05</v>
        <stp/>
        <stp>ASK</stp>
        <stp>.SPXW250508C5860</stp>
        <tr r="DC86" s="1"/>
        <tr r="DC86" s="1"/>
      </tp>
      <tp>
        <v>202.5</v>
        <stp/>
        <stp>ASK</stp>
        <stp>.SPXW250508P5860</stp>
        <tr r="DD86" s="1"/>
        <tr r="DD86" s="1"/>
      </tp>
      <tp>
        <v>0.05</v>
        <stp/>
        <stp>ASK</stp>
        <stp>.SPXW250508C5850</stp>
        <tr r="DC87" s="1"/>
        <tr r="DC87" s="1"/>
      </tp>
      <tp>
        <v>192.5</v>
        <stp/>
        <stp>ASK</stp>
        <stp>.SPXW250508P5850</stp>
        <tr r="DD87" s="1"/>
        <tr r="DD87" s="1"/>
      </tp>
      <tp>
        <v>-0.28000000000000003</v>
        <stp/>
        <stp>DELTA</stp>
        <stp>.NDX250516P19700</stp>
        <tr r="CI171" s="1"/>
        <tr r="CI171" s="1"/>
      </tp>
      <tp>
        <v>0.05</v>
        <stp/>
        <stp>ASK</stp>
        <stp>.SPXW250508C5840</stp>
        <tr r="DC88" s="1"/>
        <tr r="DC88" s="1"/>
      </tp>
      <tp>
        <v>182.5</v>
        <stp/>
        <stp>ASK</stp>
        <stp>.SPXW250508P5840</stp>
        <tr r="DD88" s="1"/>
        <tr r="DD88" s="1"/>
      </tp>
      <tp>
        <v>0.05</v>
        <stp/>
        <stp>ASK</stp>
        <stp>.SPXW250508C5830</stp>
        <tr r="DC89" s="1"/>
        <tr r="DC89" s="1"/>
      </tp>
      <tp>
        <v>169.3</v>
        <stp/>
        <stp>ASK</stp>
        <stp>.SPXW250508P5830</stp>
        <tr r="DD89" s="1"/>
        <tr r="DD89" s="1"/>
      </tp>
      <tp>
        <v>0.05</v>
        <stp/>
        <stp>ASK</stp>
        <stp>.SPXW250508C5820</stp>
        <tr r="DC90" s="1"/>
        <tr r="DC90" s="1"/>
      </tp>
      <tp>
        <v>159.30000000000001</v>
        <stp/>
        <stp>ASK</stp>
        <stp>.SPXW250508P5820</stp>
        <tr r="DD90" s="1"/>
        <tr r="DD90" s="1"/>
      </tp>
      <tp>
        <v>-0.32</v>
        <stp/>
        <stp>DELTA</stp>
        <stp>.NDX250516P19775</stp>
        <tr r="CI168" s="1"/>
        <tr r="CI168" s="1"/>
      </tp>
      <tp>
        <v>0.05</v>
        <stp/>
        <stp>ASK</stp>
        <stp>.SPXW250508C5810</stp>
        <tr r="DC91" s="1"/>
        <tr r="DC91" s="1"/>
      </tp>
      <tp>
        <v>147.30000000000001</v>
        <stp/>
        <stp>ASK</stp>
        <stp>.SPXW250508P5810</stp>
        <tr r="DD91" s="1"/>
        <tr r="DD91" s="1"/>
      </tp>
      <tp>
        <v>0.05</v>
        <stp/>
        <stp>ASK</stp>
        <stp>.SPXW250508C5800</stp>
        <tr r="DC92" s="1"/>
        <tr r="DC92" s="1"/>
      </tp>
      <tp>
        <v>137.30000000000001</v>
        <stp/>
        <stp>ASK</stp>
        <stp>.SPXW250508P5800</stp>
        <tr r="DD92" s="1"/>
        <tr r="DD92" s="1"/>
      </tp>
      <tp>
        <v>-0.31</v>
        <stp/>
        <stp>DELTA</stp>
        <stp>.NDX250516P19750</stp>
        <tr r="CI169" s="1"/>
        <tr r="CI169" s="1"/>
      </tp>
      <tp>
        <v>0.73</v>
        <stp/>
        <stp>DELTA</stp>
        <stp>.NDX250516C19700</stp>
        <tr r="CH171" s="1"/>
        <tr r="CH171" s="1"/>
      </tp>
      <tp>
        <v>0.72</v>
        <stp/>
        <stp>DELTA</stp>
        <stp>.NDX250516C19725</stp>
        <tr r="CH170" s="1"/>
        <tr r="CH170" s="1"/>
      </tp>
      <tp>
        <v>0.7</v>
        <stp/>
        <stp>DELTA</stp>
        <stp>.NDX250516C19750</stp>
        <tr r="CH169" s="1"/>
        <tr r="CH169" s="1"/>
      </tp>
      <tp>
        <v>0.69</v>
        <stp/>
        <stp>DELTA</stp>
        <stp>.NDX250516C19775</stp>
        <tr r="CH168" s="1"/>
        <tr r="CH168" s="1"/>
      </tp>
      <tp>
        <v>0.22</v>
        <stp/>
        <stp>LAST</stp>
        <stp>.NDXP250508P19275</stp>
        <tr r="DB188" s="1"/>
        <tr r="DB188" s="1"/>
      </tp>
      <tp>
        <v>55.08</v>
        <stp/>
        <stp>LAST</stp>
        <stp>.NDXP250508P20275</stp>
        <tr r="DB148" s="1"/>
        <tr r="DB148" s="1"/>
      </tp>
      <tp>
        <v>0.05</v>
        <stp/>
        <stp>LAST</stp>
        <stp>.NDXP250508P19250</stp>
        <tr r="DB189" s="1"/>
        <tr r="DB189" s="1"/>
      </tp>
      <tp>
        <v>158.1</v>
        <stp/>
        <stp>LAST</stp>
        <stp>.NDXP250508P20250</stp>
        <tr r="DB149" s="1"/>
        <tr r="DB149" s="1"/>
      </tp>
      <tp>
        <v>90</v>
        <stp/>
        <stp>LAST</stp>
        <stp>.NDXP250508P20225</stp>
        <tr r="DB150" s="1"/>
        <tr r="DB150" s="1"/>
      </tp>
      <tp>
        <v>126.28</v>
        <stp/>
        <stp>LAST</stp>
        <stp>.NDXP250508P20200</stp>
        <tr r="DB151" s="1"/>
        <tr r="DB151" s="1"/>
      </tp>
      <tp>
        <v>789.46</v>
        <stp/>
        <stp>LAST</stp>
        <stp>.NDXP250508C19250</stp>
        <tr r="DA189" s="1"/>
        <tr r="DA189" s="1"/>
      </tp>
      <tp>
        <v>0.1</v>
        <stp/>
        <stp>LAST</stp>
        <stp>.NDXP250508C20250</stp>
        <tr r="DA149" s="1"/>
        <tr r="DA149" s="1"/>
      </tp>
      <tp>
        <v>0</v>
        <stp/>
        <stp>LAST</stp>
        <stp>.NDXP250508C19275</stp>
        <tr r="DA188" s="1"/>
        <tr r="DA188" s="1"/>
      </tp>
      <tp>
        <v>0.21</v>
        <stp/>
        <stp>LAST</stp>
        <stp>.NDXP250508C20275</stp>
        <tr r="DA148" s="1"/>
        <tr r="DA148" s="1"/>
      </tp>
      <tp>
        <v>0.05</v>
        <stp/>
        <stp>LAST</stp>
        <stp>.NDXP250508C20200</stp>
        <tr r="DA151" s="1"/>
        <tr r="DA151" s="1"/>
      </tp>
      <tp>
        <v>0.7</v>
        <stp/>
        <stp>LAST</stp>
        <stp>.NDXP250508C20225</stp>
        <tr r="DA150" s="1"/>
        <tr r="DA150" s="1"/>
      </tp>
      <tp>
        <v>-0.7</v>
        <stp/>
        <stp>DELTA</stp>
        <stp>.NDX250516P20425</stp>
        <tr r="CI142" s="1"/>
        <tr r="CI142" s="1"/>
      </tp>
      <tp>
        <v>-0.17</v>
        <stp/>
        <stp>DELTA</stp>
        <stp>.NDX250516P19425</stp>
        <tr r="CI182" s="1"/>
        <tr r="CI182" s="1"/>
      </tp>
      <tp>
        <v>-0.69</v>
        <stp/>
        <stp>DELTA</stp>
        <stp>.NDX250516P20400</stp>
        <tr r="CI143" s="1"/>
        <tr r="CI143" s="1"/>
      </tp>
      <tp>
        <v>-0.16</v>
        <stp/>
        <stp>DELTA</stp>
        <stp>.NDX250516P19400</stp>
        <tr r="CI183" s="1"/>
        <tr r="CI183" s="1"/>
      </tp>
      <tp>
        <v>-0.73</v>
        <stp/>
        <stp>DELTA</stp>
        <stp>.NDX250516P20475</stp>
        <tr r="CI140" s="1"/>
        <tr r="CI140" s="1"/>
      </tp>
      <tp>
        <v>-0.18</v>
        <stp/>
        <stp>DELTA</stp>
        <stp>.NDX250516P19475</stp>
        <tr r="CI180" s="1"/>
        <tr r="CI180" s="1"/>
      </tp>
      <tp>
        <v>-0.72</v>
        <stp/>
        <stp>DELTA</stp>
        <stp>.NDX250516P20450</stp>
        <tr r="CI141" s="1"/>
        <tr r="CI141" s="1"/>
      </tp>
      <tp>
        <v>-0.17</v>
        <stp/>
        <stp>DELTA</stp>
        <stp>.NDX250516P19450</stp>
        <tr r="CI181" s="1"/>
        <tr r="CI181" s="1"/>
      </tp>
      <tp>
        <v>0.3</v>
        <stp/>
        <stp>DELTA</stp>
        <stp>.NDX250516C20400</stp>
        <tr r="CH143" s="1"/>
        <tr r="CH143" s="1"/>
      </tp>
      <tp>
        <v>0.86</v>
        <stp/>
        <stp>DELTA</stp>
        <stp>.NDX250516C19400</stp>
        <tr r="CH183" s="1"/>
        <tr r="CH183" s="1"/>
      </tp>
      <tp>
        <v>0.28000000000000003</v>
        <stp/>
        <stp>DELTA</stp>
        <stp>.NDX250516C20425</stp>
        <tr r="CH142" s="1"/>
        <tr r="CH142" s="1"/>
      </tp>
      <tp>
        <v>0.85</v>
        <stp/>
        <stp>DELTA</stp>
        <stp>.NDX250516C19425</stp>
        <tr r="CH182" s="1"/>
        <tr r="CH182" s="1"/>
      </tp>
      <tp>
        <v>0.27</v>
        <stp/>
        <stp>DELTA</stp>
        <stp>.NDX250516C20450</stp>
        <tr r="CH141" s="1"/>
        <tr r="CH141" s="1"/>
      </tp>
      <tp>
        <v>0.84</v>
        <stp/>
        <stp>DELTA</stp>
        <stp>.NDX250516C19450</stp>
        <tr r="CH181" s="1"/>
        <tr r="CH181" s="1"/>
      </tp>
      <tp>
        <v>0.25</v>
        <stp/>
        <stp>DELTA</stp>
        <stp>.NDX250516C20475</stp>
        <tr r="CH140" s="1"/>
        <tr r="CH140" s="1"/>
      </tp>
      <tp>
        <v>0.83</v>
        <stp/>
        <stp>DELTA</stp>
        <stp>.NDX250516C19475</stp>
        <tr r="CH180" s="1"/>
        <tr r="CH180" s="1"/>
      </tp>
      <tp>
        <v>70.2</v>
        <stp/>
        <stp>LAST</stp>
        <stp>.NDXP250508P20175</stp>
        <tr r="DB152" s="1"/>
        <tr r="DB152" s="1"/>
      </tp>
      <tp>
        <v>83.77</v>
        <stp/>
        <stp>LAST</stp>
        <stp>.NDXP250508P20150</stp>
        <tr r="DB153" s="1"/>
        <tr r="DB153" s="1"/>
      </tp>
      <tp>
        <v>61.81</v>
        <stp/>
        <stp>LAST</stp>
        <stp>.NDXP250508P20125</stp>
        <tr r="DB154" s="1"/>
        <tr r="DB154" s="1"/>
      </tp>
      <tp>
        <v>38.950000000000003</v>
        <stp/>
        <stp>LAST</stp>
        <stp>.NDXP250508P20100</stp>
        <tr r="DB155" s="1"/>
        <tr r="DB155" s="1"/>
      </tp>
      <tp>
        <v>0.1</v>
        <stp/>
        <stp>LAST</stp>
        <stp>.NDXP250508C20150</stp>
        <tr r="DA153" s="1"/>
        <tr r="DA153" s="1"/>
      </tp>
      <tp>
        <v>0.1</v>
        <stp/>
        <stp>LAST</stp>
        <stp>.NDXP250508C20175</stp>
        <tr r="DA152" s="1"/>
        <tr r="DA152" s="1"/>
      </tp>
      <tp>
        <v>0.1</v>
        <stp/>
        <stp>LAST</stp>
        <stp>.NDXP250508C20100</stp>
        <tr r="DA155" s="1"/>
        <tr r="DA155" s="1"/>
      </tp>
      <tp>
        <v>1.1499999999999999</v>
        <stp/>
        <stp>LAST</stp>
        <stp>.NDXP250508C20125</stp>
        <tr r="DA154" s="1"/>
        <tr r="DA154" s="1"/>
      </tp>
      <tp>
        <v>-0.76</v>
        <stp/>
        <stp>DELTA</stp>
        <stp>.NDX250516P20525</stp>
        <tr r="CI138" s="1"/>
        <tr r="CI138" s="1"/>
      </tp>
      <tp>
        <v>-0.2</v>
        <stp/>
        <stp>DELTA</stp>
        <stp>.NDX250516P19525</stp>
        <tr r="CI178" s="1"/>
        <tr r="CI178" s="1"/>
      </tp>
      <tp>
        <v>-0.75</v>
        <stp/>
        <stp>DELTA</stp>
        <stp>.NDX250516P20500</stp>
        <tr r="CI139" s="1"/>
        <tr r="CI139" s="1"/>
      </tp>
      <tp>
        <v>-0.19</v>
        <stp/>
        <stp>DELTA</stp>
        <stp>.NDX250516P19500</stp>
        <tr r="CI179" s="1"/>
        <tr r="CI179" s="1"/>
      </tp>
      <tp>
        <v>-0.22</v>
        <stp/>
        <stp>DELTA</stp>
        <stp>.NDX250516P19575</stp>
        <tr r="CI176" s="1"/>
        <tr r="CI176" s="1"/>
      </tp>
      <tp>
        <v>-0.77</v>
        <stp/>
        <stp>DELTA</stp>
        <stp>.NDX250516P20550</stp>
        <tr r="CI137" s="1"/>
        <tr r="CI137" s="1"/>
      </tp>
      <tp>
        <v>-0.21</v>
        <stp/>
        <stp>DELTA</stp>
        <stp>.NDX250516P19550</stp>
        <tr r="CI177" s="1"/>
        <tr r="CI177" s="1"/>
      </tp>
      <tp>
        <v>0.24</v>
        <stp/>
        <stp>DELTA</stp>
        <stp>.NDX250516C20500</stp>
        <tr r="CH139" s="1"/>
        <tr r="CH139" s="1"/>
      </tp>
      <tp>
        <v>0.82</v>
        <stp/>
        <stp>DELTA</stp>
        <stp>.NDX250516C19500</stp>
        <tr r="CH179" s="1"/>
        <tr r="CH179" s="1"/>
      </tp>
      <tp>
        <v>0.23</v>
        <stp/>
        <stp>DELTA</stp>
        <stp>.NDX250516C20525</stp>
        <tr r="CH138" s="1"/>
        <tr r="CH138" s="1"/>
      </tp>
      <tp>
        <v>0.81</v>
        <stp/>
        <stp>DELTA</stp>
        <stp>.NDX250516C19525</stp>
        <tr r="CH178" s="1"/>
        <tr r="CH178" s="1"/>
      </tp>
      <tp>
        <v>0.21</v>
        <stp/>
        <stp>DELTA</stp>
        <stp>.NDX250516C20550</stp>
        <tr r="CH137" s="1"/>
        <tr r="CH137" s="1"/>
      </tp>
      <tp>
        <v>0.8</v>
        <stp/>
        <stp>DELTA</stp>
        <stp>.NDX250516C19550</stp>
        <tr r="CH177" s="1"/>
        <tr r="CH177" s="1"/>
      </tp>
      <tp>
        <v>0.79</v>
        <stp/>
        <stp>DELTA</stp>
        <stp>.NDX250516C19575</stp>
        <tr r="CH176" s="1"/>
        <tr r="CH176" s="1"/>
      </tp>
      <tp>
        <v>15</v>
        <stp/>
        <stp>LAST</stp>
        <stp>.NDXP250508P20075</stp>
        <tr r="DB156" s="1"/>
        <tr r="DB156" s="1"/>
      </tp>
      <tp>
        <v>1.3</v>
        <stp/>
        <stp>LAST</stp>
        <stp>.NDXP250508P20050</stp>
        <tr r="DB157" s="1"/>
        <tr r="DB157" s="1"/>
      </tp>
      <tp>
        <v>0.05</v>
        <stp/>
        <stp>LAST</stp>
        <stp>.NDXP250508P20025</stp>
        <tr r="DB158" s="1"/>
        <tr r="DB158" s="1"/>
      </tp>
      <tp>
        <v>0.05</v>
        <stp/>
        <stp>LAST</stp>
        <stp>.NDXP250508P20000</stp>
        <tr r="DB159" s="1"/>
        <tr r="DB159" s="1"/>
      </tp>
      <tp>
        <v>107.1</v>
        <stp/>
        <stp>LAST</stp>
        <stp>.NDXP250508C20050</stp>
        <tr r="DA157" s="1"/>
        <tr r="DA157" s="1"/>
      </tp>
      <tp>
        <v>2.6</v>
        <stp/>
        <stp>LAST</stp>
        <stp>.NDXP250508C20075</stp>
        <tr r="DA156" s="1"/>
        <tr r="DA156" s="1"/>
      </tp>
      <tp>
        <v>196.55</v>
        <stp/>
        <stp>LAST</stp>
        <stp>.NDXP250508C20000</stp>
        <tr r="DA159" s="1"/>
        <tr r="DA159" s="1"/>
      </tp>
      <tp>
        <v>72.55</v>
        <stp/>
        <stp>LAST</stp>
        <stp>.NDXP250508C20025</stp>
        <tr r="DA158" s="1"/>
        <tr r="DA158" s="1"/>
      </tp>
      <tp t="s">
        <v>N/A</v>
        <stp/>
        <stp>VOLUME</stp>
        <stp>.SPY250718P582</stp>
        <tr r="M5" s="2"/>
      </tp>
      <tp t="s">
        <v>N/A</v>
        <stp/>
        <stp>VOLUME</stp>
        <stp>.SPY250718C582</stp>
        <tr r="M5" s="2"/>
      </tp>
      <tp>
        <v>84</v>
        <stp/>
        <stp>VOLUME</stp>
        <stp>.SPY250718P580</stp>
        <tr r="M7" s="2"/>
        <tr r="M7" s="2"/>
      </tp>
      <tp>
        <v>3757</v>
        <stp/>
        <stp>VOLUME</stp>
        <stp>.SPY250718C580</stp>
        <tr r="M7" s="2"/>
        <tr r="M7" s="2"/>
      </tp>
      <tp t="s">
        <v>N/A</v>
        <stp/>
        <stp>VOLUME</stp>
        <stp>.SPY250718P581</stp>
        <tr r="M6" s="2"/>
      </tp>
      <tp t="s">
        <v>N/A</v>
        <stp/>
        <stp>VOLUME</stp>
        <stp>.SPY250718C581</stp>
        <tr r="M6" s="2"/>
      </tp>
      <tp t="s">
        <v>N/A</v>
        <stp/>
        <stp>VOLUME</stp>
        <stp>.SPY250731P582</stp>
        <tr r="N5" s="2"/>
      </tp>
      <tp t="s">
        <v>N/A</v>
        <stp/>
        <stp>VOLUME</stp>
        <stp>.SPY250731C582</stp>
        <tr r="N5" s="2"/>
      </tp>
      <tp t="s">
        <v>N/A</v>
        <stp/>
        <stp>VOLUME</stp>
        <stp>.SPY250731P581</stp>
        <tr r="N6" s="2"/>
      </tp>
      <tp>
        <v>11</v>
        <stp/>
        <stp>VOLUME</stp>
        <stp>.SPY250731C581</stp>
        <tr r="N6" s="2"/>
        <tr r="N6" s="2"/>
      </tp>
      <tp>
        <v>1</v>
        <stp/>
        <stp>VOLUME</stp>
        <stp>.SPY250731P580</stp>
        <tr r="N7" s="2"/>
        <tr r="N7" s="2"/>
      </tp>
      <tp>
        <v>163</v>
        <stp/>
        <stp>VOLUME</stp>
        <stp>.SPY250731C580</stp>
        <tr r="N7" s="2"/>
        <tr r="N7" s="2"/>
      </tp>
      <tp>
        <v>1034</v>
        <stp/>
        <stp>VOLUME</stp>
        <stp>.SPY250731P567</stp>
        <tr r="N20" s="2"/>
        <tr r="N20" s="2"/>
      </tp>
      <tp>
        <v>6</v>
        <stp/>
        <stp>VOLUME</stp>
        <stp>.SPY250731C567</stp>
        <tr r="N20" s="2"/>
        <tr r="N20" s="2"/>
      </tp>
      <tp>
        <v>19</v>
        <stp/>
        <stp>VOLUME</stp>
        <stp>.SPY250731P566</stp>
        <tr r="N21" s="2"/>
        <tr r="N21" s="2"/>
      </tp>
      <tp>
        <v>46</v>
        <stp/>
        <stp>VOLUME</stp>
        <stp>.SPY250731C566</stp>
        <tr r="N21" s="2"/>
        <tr r="N21" s="2"/>
      </tp>
      <tp>
        <v>281</v>
        <stp/>
        <stp>VOLUME</stp>
        <stp>.SPY250731P565</stp>
        <tr r="N22" s="2"/>
        <tr r="N22" s="2"/>
      </tp>
      <tp>
        <v>141</v>
        <stp/>
        <stp>VOLUME</stp>
        <stp>.SPY250731C565</stp>
        <tr r="N22" s="2"/>
        <tr r="N22" s="2"/>
      </tp>
      <tp>
        <v>122</v>
        <stp/>
        <stp>VOLUME</stp>
        <stp>.SPY250731P564</stp>
        <tr r="N23" s="2"/>
        <tr r="N23" s="2"/>
      </tp>
      <tp>
        <v>98</v>
        <stp/>
        <stp>VOLUME</stp>
        <stp>.SPY250731C564</stp>
        <tr r="N23" s="2"/>
        <tr r="N23" s="2"/>
      </tp>
      <tp>
        <v>113</v>
        <stp/>
        <stp>VOLUME</stp>
        <stp>.SPY250731P563</stp>
        <tr r="N24" s="2"/>
        <tr r="N24" s="2"/>
      </tp>
      <tp>
        <v>5</v>
        <stp/>
        <stp>VOLUME</stp>
        <stp>.SPY250731C563</stp>
        <tr r="N24" s="2"/>
        <tr r="N24" s="2"/>
      </tp>
      <tp>
        <v>10</v>
        <stp/>
        <stp>VOLUME</stp>
        <stp>.SPY250731P562</stp>
        <tr r="N25" s="2"/>
        <tr r="N25" s="2"/>
      </tp>
      <tp>
        <v>7</v>
        <stp/>
        <stp>VOLUME</stp>
        <stp>.SPY250731C562</stp>
        <tr r="N25" s="2"/>
        <tr r="N25" s="2"/>
      </tp>
      <tp t="s">
        <v>N/A</v>
        <stp/>
        <stp>VOLUME</stp>
        <stp>.SPY250718P548</stp>
        <tr r="M39" s="2"/>
      </tp>
      <tp>
        <v>2</v>
        <stp/>
        <stp>VOLUME</stp>
        <stp>.SPY250731P561</stp>
        <tr r="N26" s="2"/>
        <tr r="N26" s="2"/>
      </tp>
      <tp t="s">
        <v>N/A</v>
        <stp/>
        <stp>VOLUME</stp>
        <stp>.SPY250718C548</stp>
        <tr r="M39" s="2"/>
      </tp>
      <tp>
        <v>2</v>
        <stp/>
        <stp>VOLUME</stp>
        <stp>.SPY250731C561</stp>
        <tr r="N26" s="2"/>
        <tr r="N26" s="2"/>
      </tp>
      <tp t="s">
        <v>N/A</v>
        <stp/>
        <stp>VOLUME</stp>
        <stp>.SPY250718P549</stp>
        <tr r="M38" s="2"/>
      </tp>
      <tp>
        <v>504</v>
        <stp/>
        <stp>VOLUME</stp>
        <stp>.SPY250731P560</stp>
        <tr r="N27" s="2"/>
        <tr r="N27" s="2"/>
      </tp>
      <tp t="s">
        <v>N/A</v>
        <stp/>
        <stp>VOLUME</stp>
        <stp>.SPY250718C549</stp>
        <tr r="M38" s="2"/>
      </tp>
      <tp>
        <v>95</v>
        <stp/>
        <stp>VOLUME</stp>
        <stp>.SPY250731C560</stp>
        <tr r="N27" s="2"/>
        <tr r="N27" s="2"/>
      </tp>
      <tp t="s">
        <v>N/A</v>
        <stp/>
        <stp>VOLUME</stp>
        <stp>.SPY250731P569</stp>
        <tr r="N18" s="2"/>
      </tp>
      <tp>
        <v>5</v>
        <stp/>
        <stp>VOLUME</stp>
        <stp>.SPY250731C569</stp>
        <tr r="N18" s="2"/>
        <tr r="N18" s="2"/>
      </tp>
      <tp>
        <v>1</v>
        <stp/>
        <stp>VOLUME</stp>
        <stp>.SPY250731P568</stp>
        <tr r="N19" s="2"/>
        <tr r="N19" s="2"/>
      </tp>
      <tp>
        <v>1</v>
        <stp/>
        <stp>VOLUME</stp>
        <stp>.SPY250731C568</stp>
        <tr r="N19" s="2"/>
        <tr r="N19" s="2"/>
      </tp>
      <tp t="s">
        <v>N/A</v>
        <stp/>
        <stp>VOLUME</stp>
        <stp>.SPY250731P577</stp>
        <tr r="N10" s="2"/>
      </tp>
      <tp>
        <v>2</v>
        <stp/>
        <stp>VOLUME</stp>
        <stp>.SPY250731C577</stp>
        <tr r="N10" s="2"/>
        <tr r="N10" s="2"/>
      </tp>
      <tp t="s">
        <v>N/A</v>
        <stp/>
        <stp>VOLUME</stp>
        <stp>.SPY250731P576</stp>
        <tr r="N11" s="2"/>
      </tp>
      <tp t="s">
        <v>N/A</v>
        <stp/>
        <stp>VOLUME</stp>
        <stp>.SPY250731C576</stp>
        <tr r="N11" s="2"/>
      </tp>
      <tp>
        <v>7</v>
        <stp/>
        <stp>VOLUME</stp>
        <stp>.SPY250731P575</stp>
        <tr r="N12" s="2"/>
        <tr r="N12" s="2"/>
      </tp>
      <tp>
        <v>113</v>
        <stp/>
        <stp>VOLUME</stp>
        <stp>.SPY250731C575</stp>
        <tr r="N12" s="2"/>
        <tr r="N12" s="2"/>
      </tp>
      <tp t="s">
        <v>N/A</v>
        <stp/>
        <stp>VOLUME</stp>
        <stp>.SPY250731P574</stp>
        <tr r="N13" s="2"/>
      </tp>
      <tp>
        <v>6</v>
        <stp/>
        <stp>VOLUME</stp>
        <stp>.SPY250731C574</stp>
        <tr r="N13" s="2"/>
        <tr r="N13" s="2"/>
      </tp>
      <tp t="s">
        <v>N/A</v>
        <stp/>
        <stp>VOLUME</stp>
        <stp>.SPY250731P573</stp>
        <tr r="N14" s="2"/>
      </tp>
      <tp t="s">
        <v>N/A</v>
        <stp/>
        <stp>VOLUME</stp>
        <stp>.SPY250731C573</stp>
        <tr r="N14" s="2"/>
      </tp>
      <tp t="s">
        <v>N/A</v>
        <stp/>
        <stp>VOLUME</stp>
        <stp>.SPY250731P572</stp>
        <tr r="N15" s="2"/>
      </tp>
      <tp>
        <v>1</v>
        <stp/>
        <stp>VOLUME</stp>
        <stp>.SPY250731C572</stp>
        <tr r="N15" s="2"/>
        <tr r="N15" s="2"/>
      </tp>
      <tp t="s">
        <v>N/A</v>
        <stp/>
        <stp>VOLUME</stp>
        <stp>.SPY250718P558</stp>
        <tr r="M29" s="2"/>
      </tp>
      <tp>
        <v>1</v>
        <stp/>
        <stp>VOLUME</stp>
        <stp>.SPY250731P571</stp>
        <tr r="N16" s="2"/>
        <tr r="N16" s="2"/>
      </tp>
      <tp t="s">
        <v>N/A</v>
        <stp/>
        <stp>VOLUME</stp>
        <stp>.SPY250718C558</stp>
        <tr r="M29" s="2"/>
      </tp>
      <tp>
        <v>1</v>
        <stp/>
        <stp>VOLUME</stp>
        <stp>.SPY250731C571</stp>
        <tr r="N16" s="2"/>
        <tr r="N16" s="2"/>
      </tp>
      <tp t="s">
        <v>N/A</v>
        <stp/>
        <stp>VOLUME</stp>
        <stp>.SPY250718P559</stp>
        <tr r="M28" s="2"/>
      </tp>
      <tp>
        <v>44</v>
        <stp/>
        <stp>VOLUME</stp>
        <stp>.SPY250731P570</stp>
        <tr r="N17" s="2"/>
        <tr r="N17" s="2"/>
      </tp>
      <tp t="s">
        <v>N/A</v>
        <stp/>
        <stp>VOLUME</stp>
        <stp>.SPY250718C559</stp>
        <tr r="M28" s="2"/>
      </tp>
      <tp>
        <v>121</v>
        <stp/>
        <stp>VOLUME</stp>
        <stp>.SPY250731C570</stp>
        <tr r="N17" s="2"/>
        <tr r="N17" s="2"/>
      </tp>
      <tp t="s">
        <v>N/A</v>
        <stp/>
        <stp>VOLUME</stp>
        <stp>.SPY250718P556</stp>
        <tr r="M31" s="2"/>
      </tp>
      <tp t="s">
        <v>N/A</v>
        <stp/>
        <stp>VOLUME</stp>
        <stp>.SPY250718C556</stp>
        <tr r="M31" s="2"/>
      </tp>
      <tp t="s">
        <v>N/A</v>
        <stp/>
        <stp>VOLUME</stp>
        <stp>.SPY250718P557</stp>
        <tr r="M30" s="2"/>
      </tp>
      <tp t="s">
        <v>N/A</v>
        <stp/>
        <stp>VOLUME</stp>
        <stp>.SPY250718C557</stp>
        <tr r="M30" s="2"/>
      </tp>
      <tp t="s">
        <v>N/A</v>
        <stp/>
        <stp>VOLUME</stp>
        <stp>.SPY250718P554</stp>
        <tr r="M33" s="2"/>
      </tp>
      <tp t="s">
        <v>N/A</v>
        <stp/>
        <stp>VOLUME</stp>
        <stp>.SPY250718C554</stp>
        <tr r="M33" s="2"/>
      </tp>
      <tp>
        <v>505</v>
        <stp/>
        <stp>VOLUME</stp>
        <stp>.SPY250718P555</stp>
        <tr r="M32" s="2"/>
        <tr r="M32" s="2"/>
      </tp>
      <tp>
        <v>48</v>
        <stp/>
        <stp>VOLUME</stp>
        <stp>.SPY250718C555</stp>
        <tr r="M32" s="2"/>
        <tr r="M32" s="2"/>
      </tp>
      <tp t="s">
        <v>N/A</v>
        <stp/>
        <stp>VOLUME</stp>
        <stp>.SPY250718P552</stp>
        <tr r="M35" s="2"/>
      </tp>
      <tp t="s">
        <v>N/A</v>
        <stp/>
        <stp>VOLUME</stp>
        <stp>.SPY250718C552</stp>
        <tr r="M35" s="2"/>
      </tp>
      <tp t="s">
        <v>N/A</v>
        <stp/>
        <stp>VOLUME</stp>
        <stp>.SPY250718P553</stp>
        <tr r="M34" s="2"/>
      </tp>
      <tp t="s">
        <v>N/A</v>
        <stp/>
        <stp>VOLUME</stp>
        <stp>.SPY250718C553</stp>
        <tr r="M34" s="2"/>
      </tp>
      <tp>
        <v>2147</v>
        <stp/>
        <stp>VOLUME</stp>
        <stp>.SPY250718P550</stp>
        <tr r="M37" s="2"/>
        <tr r="M37" s="2"/>
      </tp>
      <tp t="s">
        <v>N/A</v>
        <stp/>
        <stp>VOLUME</stp>
        <stp>.SPY250731P579</stp>
        <tr r="N8" s="2"/>
      </tp>
      <tp>
        <v>87</v>
        <stp/>
        <stp>VOLUME</stp>
        <stp>.SPY250718C550</stp>
        <tr r="M37" s="2"/>
        <tr r="M37" s="2"/>
      </tp>
      <tp>
        <v>1</v>
        <stp/>
        <stp>VOLUME</stp>
        <stp>.SPY250731C579</stp>
        <tr r="N8" s="2"/>
        <tr r="N8" s="2"/>
      </tp>
      <tp t="s">
        <v>N/A</v>
        <stp/>
        <stp>VOLUME</stp>
        <stp>.SPY250718P551</stp>
        <tr r="M36" s="2"/>
      </tp>
      <tp>
        <v>3</v>
        <stp/>
        <stp>VOLUME</stp>
        <stp>.SPY250731P578</stp>
        <tr r="N9" s="2"/>
        <tr r="N9" s="2"/>
      </tp>
      <tp t="s">
        <v>N/A</v>
        <stp/>
        <stp>VOLUME</stp>
        <stp>.SPY250718C551</stp>
        <tr r="M36" s="2"/>
      </tp>
      <tp>
        <v>1</v>
        <stp/>
        <stp>VOLUME</stp>
        <stp>.SPY250731C578</stp>
        <tr r="N9" s="2"/>
        <tr r="N9" s="2"/>
      </tp>
      <tp t="s">
        <v>N/A</v>
        <stp/>
        <stp>VOLUME</stp>
        <stp>.SPY250718P568</stp>
        <tr r="M19" s="2"/>
      </tp>
      <tp t="s">
        <v>N/A</v>
        <stp/>
        <stp>VOLUME</stp>
        <stp>.SPY250718C568</stp>
        <tr r="M19" s="2"/>
      </tp>
      <tp t="s">
        <v>N/A</v>
        <stp/>
        <stp>VOLUME</stp>
        <stp>.SPY250718P569</stp>
        <tr r="M18" s="2"/>
      </tp>
      <tp t="s">
        <v>N/A</v>
        <stp/>
        <stp>VOLUME</stp>
        <stp>.SPY250718C569</stp>
        <tr r="M18" s="2"/>
      </tp>
      <tp t="s">
        <v>N/A</v>
        <stp/>
        <stp>VOLUME</stp>
        <stp>.SPY250718P566</stp>
        <tr r="M21" s="2"/>
      </tp>
      <tp t="s">
        <v>N/A</v>
        <stp/>
        <stp>VOLUME</stp>
        <stp>.SPY250718C566</stp>
        <tr r="M21" s="2"/>
      </tp>
      <tp t="s">
        <v>N/A</v>
        <stp/>
        <stp>VOLUME</stp>
        <stp>.SPY250718P567</stp>
        <tr r="M20" s="2"/>
      </tp>
      <tp t="s">
        <v>N/A</v>
        <stp/>
        <stp>VOLUME</stp>
        <stp>.SPY250718C567</stp>
        <tr r="M20" s="2"/>
      </tp>
      <tp t="s">
        <v>N/A</v>
        <stp/>
        <stp>VOLUME</stp>
        <stp>.SPY250718P564</stp>
        <tr r="M23" s="2"/>
      </tp>
      <tp t="s">
        <v>N/A</v>
        <stp/>
        <stp>VOLUME</stp>
        <stp>.SPY250718C564</stp>
        <tr r="M23" s="2"/>
      </tp>
      <tp>
        <v>979</v>
        <stp/>
        <stp>VOLUME</stp>
        <stp>.SPY250718P565</stp>
        <tr r="M22" s="2"/>
        <tr r="M22" s="2"/>
      </tp>
      <tp>
        <v>946</v>
        <stp/>
        <stp>VOLUME</stp>
        <stp>.SPY250718C565</stp>
        <tr r="M22" s="2"/>
        <tr r="M22" s="2"/>
      </tp>
      <tp t="s">
        <v>N/A</v>
        <stp/>
        <stp>VOLUME</stp>
        <stp>.SPY250718P562</stp>
        <tr r="M25" s="2"/>
      </tp>
      <tp t="s">
        <v>N/A</v>
        <stp/>
        <stp>VOLUME</stp>
        <stp>.SPY250718C562</stp>
        <tr r="M25" s="2"/>
      </tp>
      <tp t="s">
        <v>N/A</v>
        <stp/>
        <stp>VOLUME</stp>
        <stp>.SPY250718P563</stp>
        <tr r="M24" s="2"/>
      </tp>
      <tp t="s">
        <v>N/A</v>
        <stp/>
        <stp>VOLUME</stp>
        <stp>.SPY250718C563</stp>
        <tr r="M24" s="2"/>
      </tp>
      <tp>
        <v>1225</v>
        <stp/>
        <stp>VOLUME</stp>
        <stp>.SPY250718P560</stp>
        <tr r="M27" s="2"/>
        <tr r="M27" s="2"/>
      </tp>
      <tp>
        <v>4</v>
        <stp/>
        <stp>VOLUME</stp>
        <stp>.SPY250731P549</stp>
        <tr r="N38" s="2"/>
        <tr r="N38" s="2"/>
      </tp>
      <tp>
        <v>210</v>
        <stp/>
        <stp>VOLUME</stp>
        <stp>.SPY250718C560</stp>
        <tr r="M27" s="2"/>
        <tr r="M27" s="2"/>
      </tp>
      <tp t="s">
        <v>N/A</v>
        <stp/>
        <stp>VOLUME</stp>
        <stp>.SPY250731C549</stp>
        <tr r="N38" s="2"/>
      </tp>
      <tp t="s">
        <v>N/A</v>
        <stp/>
        <stp>VOLUME</stp>
        <stp>.SPY250718P561</stp>
        <tr r="M26" s="2"/>
      </tp>
      <tp t="s">
        <v>N/A</v>
        <stp/>
        <stp>VOLUME</stp>
        <stp>.SPY250731P548</stp>
        <tr r="N39" s="2"/>
      </tp>
      <tp t="s">
        <v>N/A</v>
        <stp/>
        <stp>VOLUME</stp>
        <stp>.SPY250718C561</stp>
        <tr r="M26" s="2"/>
      </tp>
      <tp>
        <v>1</v>
        <stp/>
        <stp>VOLUME</stp>
        <stp>.SPY250731C548</stp>
        <tr r="N39" s="2"/>
        <tr r="N39" s="2"/>
      </tp>
      <tp>
        <v>61</v>
        <stp/>
        <stp>VOLUME</stp>
        <stp>.SPY250731P557</stp>
        <tr r="N30" s="2"/>
        <tr r="N30" s="2"/>
      </tp>
      <tp t="s">
        <v>N/A</v>
        <stp/>
        <stp>VOLUME</stp>
        <stp>.SPY250731C557</stp>
        <tr r="N30" s="2"/>
      </tp>
      <tp>
        <v>1</v>
        <stp/>
        <stp>VOLUME</stp>
        <stp>.SPY250731P556</stp>
        <tr r="N31" s="2"/>
        <tr r="N31" s="2"/>
      </tp>
      <tp>
        <v>12</v>
        <stp/>
        <stp>VOLUME</stp>
        <stp>.SPY250731C556</stp>
        <tr r="N31" s="2"/>
        <tr r="N31" s="2"/>
      </tp>
      <tp>
        <v>134</v>
        <stp/>
        <stp>VOLUME</stp>
        <stp>.SPY250731P555</stp>
        <tr r="N32" s="2"/>
        <tr r="N32" s="2"/>
      </tp>
      <tp>
        <v>10</v>
        <stp/>
        <stp>VOLUME</stp>
        <stp>.SPY250731C555</stp>
        <tr r="N32" s="2"/>
        <tr r="N32" s="2"/>
      </tp>
      <tp t="s">
        <v>N/A</v>
        <stp/>
        <stp>VOLUME</stp>
        <stp>.SPY250731P554</stp>
        <tr r="N33" s="2"/>
      </tp>
      <tp>
        <v>2</v>
        <stp/>
        <stp>VOLUME</stp>
        <stp>.SPY250731C554</stp>
        <tr r="N33" s="2"/>
        <tr r="N33" s="2"/>
      </tp>
      <tp t="s">
        <v>N/A</v>
        <stp/>
        <stp>VOLUME</stp>
        <stp>.SPY250731P553</stp>
        <tr r="N34" s="2"/>
      </tp>
      <tp>
        <v>2</v>
        <stp/>
        <stp>VOLUME</stp>
        <stp>.SPY250731C553</stp>
        <tr r="N34" s="2"/>
        <tr r="N34" s="2"/>
      </tp>
      <tp>
        <v>12</v>
        <stp/>
        <stp>VOLUME</stp>
        <stp>.SPY250731P552</stp>
        <tr r="N35" s="2"/>
        <tr r="N35" s="2"/>
      </tp>
      <tp>
        <v>11</v>
        <stp/>
        <stp>VOLUME</stp>
        <stp>.SPY250731C552</stp>
        <tr r="N35" s="2"/>
        <tr r="N35" s="2"/>
      </tp>
      <tp t="s">
        <v>N/A</v>
        <stp/>
        <stp>VOLUME</stp>
        <stp>.SPY250718P578</stp>
        <tr r="M9" s="2"/>
      </tp>
      <tp>
        <v>9</v>
        <stp/>
        <stp>VOLUME</stp>
        <stp>.SPY250731P551</stp>
        <tr r="N36" s="2"/>
        <tr r="N36" s="2"/>
      </tp>
      <tp t="s">
        <v>N/A</v>
        <stp/>
        <stp>VOLUME</stp>
        <stp>.SPY250718C578</stp>
        <tr r="M9" s="2"/>
      </tp>
      <tp t="s">
        <v>N/A</v>
        <stp/>
        <stp>VOLUME</stp>
        <stp>.SPY250731C551</stp>
        <tr r="N36" s="2"/>
      </tp>
      <tp t="s">
        <v>N/A</v>
        <stp/>
        <stp>VOLUME</stp>
        <stp>.SPY250718P579</stp>
        <tr r="M8" s="2"/>
      </tp>
      <tp>
        <v>359</v>
        <stp/>
        <stp>VOLUME</stp>
        <stp>.SPY250731P550</stp>
        <tr r="N37" s="2"/>
        <tr r="N37" s="2"/>
      </tp>
      <tp t="s">
        <v>N/A</v>
        <stp/>
        <stp>VOLUME</stp>
        <stp>.SPY250718C579</stp>
        <tr r="M8" s="2"/>
      </tp>
      <tp>
        <v>18</v>
        <stp/>
        <stp>VOLUME</stp>
        <stp>.SPY250731C550</stp>
        <tr r="N37" s="2"/>
        <tr r="N37" s="2"/>
      </tp>
      <tp t="s">
        <v>N/A</v>
        <stp/>
        <stp>VOLUME</stp>
        <stp>.SPY250718P576</stp>
        <tr r="M11" s="2"/>
      </tp>
      <tp t="s">
        <v>N/A</v>
        <stp/>
        <stp>VOLUME</stp>
        <stp>.SPY250718C576</stp>
        <tr r="M11" s="2"/>
      </tp>
      <tp t="s">
        <v>N/A</v>
        <stp/>
        <stp>VOLUME</stp>
        <stp>.SPY250718P577</stp>
        <tr r="M10" s="2"/>
      </tp>
      <tp t="s">
        <v>N/A</v>
        <stp/>
        <stp>VOLUME</stp>
        <stp>.SPY250718C577</stp>
        <tr r="M10" s="2"/>
      </tp>
      <tp t="s">
        <v>N/A</v>
        <stp/>
        <stp>VOLUME</stp>
        <stp>.SPY250718P574</stp>
        <tr r="M13" s="2"/>
      </tp>
      <tp t="s">
        <v>N/A</v>
        <stp/>
        <stp>VOLUME</stp>
        <stp>.SPY250718C574</stp>
        <tr r="M13" s="2"/>
      </tp>
      <tp>
        <v>114</v>
        <stp/>
        <stp>VOLUME</stp>
        <stp>.SPY250718P575</stp>
        <tr r="M12" s="2"/>
        <tr r="M12" s="2"/>
      </tp>
      <tp>
        <v>651</v>
        <stp/>
        <stp>VOLUME</stp>
        <stp>.SPY250718C575</stp>
        <tr r="M12" s="2"/>
        <tr r="M12" s="2"/>
      </tp>
      <tp t="s">
        <v>N/A</v>
        <stp/>
        <stp>VOLUME</stp>
        <stp>.SPY250718P572</stp>
        <tr r="M15" s="2"/>
      </tp>
      <tp t="s">
        <v>N/A</v>
        <stp/>
        <stp>VOLUME</stp>
        <stp>.SPY250718C572</stp>
        <tr r="M15" s="2"/>
      </tp>
      <tp t="s">
        <v>N/A</v>
        <stp/>
        <stp>VOLUME</stp>
        <stp>.SPY250718P573</stp>
        <tr r="M14" s="2"/>
      </tp>
      <tp t="s">
        <v>N/A</v>
        <stp/>
        <stp>VOLUME</stp>
        <stp>.SPY250718C573</stp>
        <tr r="M14" s="2"/>
      </tp>
      <tp>
        <v>2464</v>
        <stp/>
        <stp>VOLUME</stp>
        <stp>.SPY250718P570</stp>
        <tr r="M17" s="2"/>
        <tr r="M17" s="2"/>
      </tp>
      <tp>
        <v>285</v>
        <stp/>
        <stp>VOLUME</stp>
        <stp>.SPY250731P559</stp>
        <tr r="N28" s="2"/>
        <tr r="N28" s="2"/>
      </tp>
      <tp>
        <v>1796</v>
        <stp/>
        <stp>VOLUME</stp>
        <stp>.SPY250718C570</stp>
        <tr r="M17" s="2"/>
        <tr r="M17" s="2"/>
      </tp>
      <tp>
        <v>4</v>
        <stp/>
        <stp>VOLUME</stp>
        <stp>.SPY250731C559</stp>
        <tr r="N28" s="2"/>
        <tr r="N28" s="2"/>
      </tp>
      <tp t="s">
        <v>N/A</v>
        <stp/>
        <stp>VOLUME</stp>
        <stp>.SPY250718P571</stp>
        <tr r="M16" s="2"/>
      </tp>
      <tp>
        <v>148</v>
        <stp/>
        <stp>VOLUME</stp>
        <stp>.SPY250731P558</stp>
        <tr r="N29" s="2"/>
        <tr r="N29" s="2"/>
      </tp>
      <tp t="s">
        <v>N/A</v>
        <stp/>
        <stp>VOLUME</stp>
        <stp>.SPY250718C571</stp>
        <tr r="M16" s="2"/>
      </tp>
      <tp t="s">
        <v>N/A</v>
        <stp/>
        <stp>VOLUME</stp>
        <stp>.SPY250731C558</stp>
        <tr r="N29" s="2"/>
      </tp>
      <tp>
        <v>-0.01</v>
        <stp/>
        <stp>DELTA</stp>
        <stp>.SPXW250508P5630</stp>
        <tr r="CE109" s="1"/>
        <tr r="CE109" s="1"/>
      </tp>
      <tp>
        <v>-0.01</v>
        <stp/>
        <stp>DELTA</stp>
        <stp>.SPXW250509P5620</stp>
        <tr r="CG110" s="1"/>
        <tr r="CG110" s="1"/>
      </tp>
      <tp>
        <v>0.79</v>
        <stp/>
        <stp>DELTA</stp>
        <stp>.SPXW250508C5630</stp>
        <tr r="CD109" s="1"/>
        <tr r="CD109" s="1"/>
      </tp>
      <tp>
        <v>1</v>
        <stp/>
        <stp>DELTA</stp>
        <stp>.SPXW250509C5620</stp>
        <tr r="CF110" s="1"/>
        <tr r="CF110" s="1"/>
      </tp>
      <tp>
        <v>-0.01</v>
        <stp/>
        <stp>DELTA</stp>
        <stp>.SPXW250508P5620</stp>
        <tr r="CE110" s="1"/>
        <tr r="CE110" s="1"/>
      </tp>
      <tp>
        <v>-0.01</v>
        <stp/>
        <stp>DELTA</stp>
        <stp>.SPXW250509P5630</stp>
        <tr r="CG109" s="1"/>
        <tr r="CG109" s="1"/>
      </tp>
      <tp>
        <v>0.82</v>
        <stp/>
        <stp>DELTA</stp>
        <stp>.SPXW250508C5620</stp>
        <tr r="CD110" s="1"/>
        <tr r="CD110" s="1"/>
      </tp>
      <tp>
        <v>1</v>
        <stp/>
        <stp>DELTA</stp>
        <stp>.SPXW250509C5630</stp>
        <tr r="CF109" s="1"/>
        <tr r="CF109" s="1"/>
      </tp>
      <tp>
        <v>0</v>
        <stp/>
        <stp>DELTA</stp>
        <stp>.SPXW250508P5610</stp>
        <tr r="CE111" s="1"/>
        <tr r="CE111" s="1"/>
      </tp>
      <tp>
        <v>0</v>
        <stp/>
        <stp>DELTA</stp>
        <stp>.SPXW250509P5600</stp>
        <tr r="CG112" s="1"/>
        <tr r="CG112" s="1"/>
      </tp>
      <tp>
        <v>0.83</v>
        <stp/>
        <stp>DELTA</stp>
        <stp>.SPXW250508C5610</stp>
        <tr r="CD111" s="1"/>
        <tr r="CD111" s="1"/>
      </tp>
      <tp>
        <v>1</v>
        <stp/>
        <stp>DELTA</stp>
        <stp>.SPXW250509C5600</stp>
        <tr r="CF112" s="1"/>
        <tr r="CF112" s="1"/>
      </tp>
      <tp>
        <v>0</v>
        <stp/>
        <stp>DELTA</stp>
        <stp>.SPXW250508P5600</stp>
        <tr r="CE112" s="1"/>
        <tr r="CE112" s="1"/>
      </tp>
      <tp>
        <v>0</v>
        <stp/>
        <stp>DELTA</stp>
        <stp>.SPXW250509P5610</stp>
        <tr r="CG111" s="1"/>
        <tr r="CG111" s="1"/>
      </tp>
      <tp>
        <v>0.85</v>
        <stp/>
        <stp>DELTA</stp>
        <stp>.SPXW250508C5600</stp>
        <tr r="CD112" s="1"/>
        <tr r="CD112" s="1"/>
      </tp>
      <tp>
        <v>1</v>
        <stp/>
        <stp>DELTA</stp>
        <stp>.SPXW250509C5610</stp>
        <tr r="CF111" s="1"/>
        <tr r="CF111" s="1"/>
      </tp>
      <tp>
        <v>-1</v>
        <stp/>
        <stp>DELTA</stp>
        <stp>.SPXW250508P5670</stp>
        <tr r="CE105" s="1"/>
        <tr r="CE105" s="1"/>
      </tp>
      <tp>
        <v>-0.52</v>
        <stp/>
        <stp>DELTA</stp>
        <stp>.SPXW250509P5660</stp>
        <tr r="CG106" s="1"/>
        <tr r="CG106" s="1"/>
      </tp>
      <tp>
        <v>-1</v>
        <stp/>
        <stp>DELTA</stp>
        <stp>.SPXW250516P5790</stp>
        <tr r="CI93" s="1"/>
        <tr r="CI93" s="1"/>
      </tp>
      <tp>
        <v>0.01</v>
        <stp/>
        <stp>DELTA</stp>
        <stp>.SPXW250508C5670</stp>
        <tr r="CD105" s="1"/>
        <tr r="CD105" s="1"/>
      </tp>
      <tp>
        <v>0.48</v>
        <stp/>
        <stp>DELTA</stp>
        <stp>.SPXW250509C5660</stp>
        <tr r="CF106" s="1"/>
        <tr r="CF106" s="1"/>
      </tp>
      <tp>
        <v>0.26</v>
        <stp/>
        <stp>DELTA</stp>
        <stp>.SPXW250516C5790</stp>
        <tr r="CH93" s="1"/>
        <tr r="CH93" s="1"/>
      </tp>
      <tp>
        <v>-1</v>
        <stp/>
        <stp>DELTA</stp>
        <stp>.SPXW250508P5660</stp>
        <tr r="CE106" s="1"/>
        <tr r="CE106" s="1"/>
      </tp>
      <tp>
        <v>-0.86</v>
        <stp/>
        <stp>DELTA</stp>
        <stp>.SPXW250509P5670</stp>
        <tr r="CG105" s="1"/>
        <tr r="CG105" s="1"/>
      </tp>
      <tp>
        <v>-1</v>
        <stp/>
        <stp>DELTA</stp>
        <stp>.SPXW250516P5780</stp>
        <tr r="CI94" s="1"/>
        <tr r="CI94" s="1"/>
      </tp>
      <tp>
        <v>0.5</v>
        <stp/>
        <stp>DELTA</stp>
        <stp>.SPXW250508C5660</stp>
        <tr r="CD106" s="1"/>
        <tr r="CD106" s="1"/>
      </tp>
      <tp>
        <v>0.01</v>
        <stp/>
        <stp>DELTA</stp>
        <stp>.SPXW250509C5670</stp>
        <tr r="CF105" s="1"/>
        <tr r="CF105" s="1"/>
      </tp>
      <tp>
        <v>0.28000000000000003</v>
        <stp/>
        <stp>DELTA</stp>
        <stp>.SPXW250516C5780</stp>
        <tr r="CH94" s="1"/>
        <tr r="CH94" s="1"/>
      </tp>
      <tp>
        <v>-0.02</v>
        <stp/>
        <stp>DELTA</stp>
        <stp>.SPXW250508P5650</stp>
        <tr r="CE107" s="1"/>
        <tr r="CE107" s="1"/>
      </tp>
      <tp>
        <v>-0.01</v>
        <stp/>
        <stp>DELTA</stp>
        <stp>.SPXW250509P5640</stp>
        <tr r="CG108" s="1"/>
        <tr r="CG108" s="1"/>
      </tp>
      <tp>
        <v>0.68</v>
        <stp/>
        <stp>DELTA</stp>
        <stp>.SPXW250508C5650</stp>
        <tr r="CD107" s="1"/>
        <tr r="CD107" s="1"/>
      </tp>
      <tp>
        <v>0.91</v>
        <stp/>
        <stp>DELTA</stp>
        <stp>.SPXW250509C5640</stp>
        <tr r="CF108" s="1"/>
        <tr r="CF108" s="1"/>
      </tp>
      <tp>
        <v>-0.01</v>
        <stp/>
        <stp>DELTA</stp>
        <stp>.SPXW250508P5640</stp>
        <tr r="CE108" s="1"/>
        <tr r="CE108" s="1"/>
      </tp>
      <tp>
        <v>-0.02</v>
        <stp/>
        <stp>DELTA</stp>
        <stp>.SPXW250509P5650</stp>
        <tr r="CG107" s="1"/>
        <tr r="CG107" s="1"/>
      </tp>
      <tp>
        <v>0.74</v>
        <stp/>
        <stp>DELTA</stp>
        <stp>.SPXW250508C5640</stp>
        <tr r="CD108" s="1"/>
        <tr r="CD108" s="1"/>
      </tp>
      <tp>
        <v>0.94</v>
        <stp/>
        <stp>DELTA</stp>
        <stp>.SPXW250509C5650</stp>
        <tr r="CF107" s="1"/>
        <tr r="CF107" s="1"/>
      </tp>
      <tp>
        <v>-1</v>
        <stp/>
        <stp>DELTA</stp>
        <stp>.SPXW250516P5750</stp>
        <tr r="CI97" s="1"/>
        <tr r="CI97" s="1"/>
      </tp>
      <tp>
        <v>0.34</v>
        <stp/>
        <stp>DELTA</stp>
        <stp>.SPXW250516C5750</stp>
        <tr r="CH97" s="1"/>
        <tr r="CH97" s="1"/>
      </tp>
      <tp>
        <v>-1</v>
        <stp/>
        <stp>DELTA</stp>
        <stp>.SPXW250516P5740</stp>
        <tr r="CI98" s="1"/>
        <tr r="CI98" s="1"/>
      </tp>
      <tp>
        <v>0.37</v>
        <stp/>
        <stp>DELTA</stp>
        <stp>.SPXW250516C5740</stp>
        <tr r="CH98" s="1"/>
        <tr r="CH98" s="1"/>
      </tp>
      <tp>
        <v>-1</v>
        <stp/>
        <stp>DELTA</stp>
        <stp>.SPXW250508P5690</stp>
        <tr r="CE103" s="1"/>
        <tr r="CE103" s="1"/>
      </tp>
      <tp>
        <v>-1</v>
        <stp/>
        <stp>DELTA</stp>
        <stp>.SPXW250509P5680</stp>
        <tr r="CG104" s="1"/>
        <tr r="CG104" s="1"/>
      </tp>
      <tp>
        <v>-1</v>
        <stp/>
        <stp>DELTA</stp>
        <stp>.SPXW250516P5770</stp>
        <tr r="CI95" s="1"/>
        <tr r="CI95" s="1"/>
      </tp>
      <tp>
        <v>0.01</v>
        <stp/>
        <stp>DELTA</stp>
        <stp>.SPXW250508C5690</stp>
        <tr r="CD103" s="1"/>
        <tr r="CD103" s="1"/>
      </tp>
      <tp>
        <v>0.01</v>
        <stp/>
        <stp>DELTA</stp>
        <stp>.SPXW250509C5680</stp>
        <tr r="CF104" s="1"/>
        <tr r="CF104" s="1"/>
      </tp>
      <tp>
        <v>0.3</v>
        <stp/>
        <stp>DELTA</stp>
        <stp>.SPXW250516C5770</stp>
        <tr r="CH95" s="1"/>
        <tr r="CH95" s="1"/>
      </tp>
      <tp>
        <v>-1</v>
        <stp/>
        <stp>DELTA</stp>
        <stp>.SPXW250508P5680</stp>
        <tr r="CE104" s="1"/>
        <tr r="CE104" s="1"/>
      </tp>
      <tp>
        <v>-0.93</v>
        <stp/>
        <stp>DELTA</stp>
        <stp>.SPXW250509P5690</stp>
        <tr r="CG103" s="1"/>
        <tr r="CG103" s="1"/>
      </tp>
      <tp>
        <v>-1</v>
        <stp/>
        <stp>DELTA</stp>
        <stp>.SPXW250516P5760</stp>
        <tr r="CI96" s="1"/>
        <tr r="CI96" s="1"/>
      </tp>
      <tp>
        <v>0.01</v>
        <stp/>
        <stp>DELTA</stp>
        <stp>.SPXW250508C5680</stp>
        <tr r="CD104" s="1"/>
        <tr r="CD104" s="1"/>
      </tp>
      <tp>
        <v>0.01</v>
        <stp/>
        <stp>DELTA</stp>
        <stp>.SPXW250509C5690</stp>
        <tr r="CF103" s="1"/>
        <tr r="CF103" s="1"/>
      </tp>
      <tp>
        <v>0.32</v>
        <stp/>
        <stp>DELTA</stp>
        <stp>.SPXW250516C5760</stp>
        <tr r="CH96" s="1"/>
        <tr r="CH96" s="1"/>
      </tp>
      <tp>
        <v>-0.88</v>
        <stp/>
        <stp>DELTA</stp>
        <stp>.SPXW250516P5710</stp>
        <tr r="CI101" s="1"/>
        <tr r="CI101" s="1"/>
      </tp>
      <tp>
        <v>0.43</v>
        <stp/>
        <stp>DELTA</stp>
        <stp>.SPXW250516C5710</stp>
        <tr r="CH101" s="1"/>
        <tr r="CH101" s="1"/>
      </tp>
      <tp>
        <v>-0.75</v>
        <stp/>
        <stp>DELTA</stp>
        <stp>.SPXW250516P5700</stp>
        <tr r="CI102" s="1"/>
        <tr r="CI102" s="1"/>
      </tp>
      <tp>
        <v>0.44</v>
        <stp/>
        <stp>DELTA</stp>
        <stp>.SPXW250516C5700</stp>
        <tr r="CH102" s="1"/>
        <tr r="CH102" s="1"/>
      </tp>
      <tp>
        <v>-1</v>
        <stp/>
        <stp>DELTA</stp>
        <stp>.SPXW250516P5730</stp>
        <tr r="CI99" s="1"/>
        <tr r="CI99" s="1"/>
      </tp>
      <tp>
        <v>0.39</v>
        <stp/>
        <stp>DELTA</stp>
        <stp>.SPXW250516C5730</stp>
        <tr r="CH99" s="1"/>
        <tr r="CH99" s="1"/>
      </tp>
      <tp>
        <v>-1</v>
        <stp/>
        <stp>DELTA</stp>
        <stp>.SPXW250516P5720</stp>
        <tr r="CI100" s="1"/>
        <tr r="CI100" s="1"/>
      </tp>
      <tp>
        <v>0.41</v>
        <stp/>
        <stp>DELTA</stp>
        <stp>.SPXW250516C5720</stp>
        <tr r="CH100" s="1"/>
        <tr r="CH100" s="1"/>
      </tp>
      <tp>
        <v>11</v>
        <stp/>
        <stp>VOLUME</stp>
        <stp>.SPY250606P580</stp>
        <tr r="J7" s="2"/>
        <tr r="J7" s="2"/>
      </tp>
      <tp>
        <v>818</v>
        <stp/>
        <stp>VOLUME</stp>
        <stp>.SPY250606C580</stp>
        <tr r="J7" s="2"/>
        <tr r="J7" s="2"/>
      </tp>
      <tp t="s">
        <v>N/A</v>
        <stp/>
        <stp>VOLUME</stp>
        <stp>.SPY250606P581</stp>
        <tr r="J6" s="2"/>
      </tp>
      <tp>
        <v>55</v>
        <stp/>
        <stp>VOLUME</stp>
        <stp>.SPY250606C581</stp>
        <tr r="J6" s="2"/>
        <tr r="J6" s="2"/>
      </tp>
      <tp>
        <v>1</v>
        <stp/>
        <stp>VOLUME</stp>
        <stp>.SPY250606P582</stp>
        <tr r="J5" s="2"/>
        <tr r="J5" s="2"/>
      </tp>
      <tp>
        <v>63</v>
        <stp/>
        <stp>VOLUME</stp>
        <stp>.SPY250606C582</stp>
        <tr r="J5" s="2"/>
        <tr r="J5" s="2"/>
      </tp>
      <tp>
        <v>1</v>
        <stp/>
        <stp>VOLUME</stp>
        <stp>.SPY250630P582</stp>
        <tr r="L5" s="2"/>
        <tr r="L5" s="2"/>
      </tp>
      <tp>
        <v>10</v>
        <stp/>
        <stp>VOLUME</stp>
        <stp>.SPY250630C582</stp>
        <tr r="L5" s="2"/>
        <tr r="L5" s="2"/>
      </tp>
      <tp>
        <v>12</v>
        <stp/>
        <stp>VOLUME</stp>
        <stp>.SPY250630P580</stp>
        <tr r="L7" s="2"/>
        <tr r="L7" s="2"/>
      </tp>
      <tp>
        <v>610</v>
        <stp/>
        <stp>VOLUME</stp>
        <stp>.SPY250630C580</stp>
        <tr r="L7" s="2"/>
        <tr r="L7" s="2"/>
      </tp>
      <tp t="s">
        <v>N/A</v>
        <stp/>
        <stp>VOLUME</stp>
        <stp>.SPY250630P581</stp>
        <tr r="L6" s="2"/>
      </tp>
      <tp>
        <v>92</v>
        <stp/>
        <stp>VOLUME</stp>
        <stp>.SPY250630C581</stp>
        <tr r="L6" s="2"/>
        <tr r="L6" s="2"/>
      </tp>
      <tp t="s">
        <v>N/A</v>
        <stp/>
        <stp>VOLUME</stp>
        <stp>.SPY250620P582</stp>
        <tr r="K5" s="2"/>
      </tp>
      <tp>
        <v>273</v>
        <stp/>
        <stp>VOLUME</stp>
        <stp>.SPY250620C582</stp>
        <tr r="K5" s="2"/>
        <tr r="K5" s="2"/>
      </tp>
      <tp>
        <v>330</v>
        <stp/>
        <stp>VOLUME</stp>
        <stp>.SPY250620P580</stp>
        <tr r="K7" s="2"/>
        <tr r="K7" s="2"/>
      </tp>
      <tp>
        <v>2140</v>
        <stp/>
        <stp>VOLUME</stp>
        <stp>.SPY250620C580</stp>
        <tr r="K7" s="2"/>
        <tr r="K7" s="2"/>
      </tp>
      <tp t="s">
        <v>N/A</v>
        <stp/>
        <stp>VOLUME</stp>
        <stp>.SPY250620P581</stp>
        <tr r="K6" s="2"/>
      </tp>
      <tp>
        <v>518</v>
        <stp/>
        <stp>VOLUME</stp>
        <stp>.SPY250620C581</stp>
        <tr r="K6" s="2"/>
        <tr r="K6" s="2"/>
      </tp>
      <tp>
        <v>441</v>
        <stp/>
        <stp>VOLUME</stp>
        <stp>.SPY250606P550</stp>
        <tr r="J37" s="2"/>
        <tr r="J37" s="2"/>
      </tp>
      <tp>
        <v>84</v>
        <stp/>
        <stp>VOLUME</stp>
        <stp>.SPY250620P576</stp>
        <tr r="K11" s="2"/>
        <tr r="K11" s="2"/>
      </tp>
      <tp>
        <v>27</v>
        <stp/>
        <stp>VOLUME</stp>
        <stp>.SPY250630P566</stp>
        <tr r="L21" s="2"/>
        <tr r="L21" s="2"/>
      </tp>
      <tp>
        <v>48</v>
        <stp/>
        <stp>VOLUME</stp>
        <stp>.SPY250606C550</stp>
        <tr r="J37" s="2"/>
        <tr r="J37" s="2"/>
      </tp>
      <tp>
        <v>444</v>
        <stp/>
        <stp>VOLUME</stp>
        <stp>.SPY250620C576</stp>
        <tr r="K11" s="2"/>
        <tr r="K11" s="2"/>
      </tp>
      <tp>
        <v>89</v>
        <stp/>
        <stp>VOLUME</stp>
        <stp>.SPY250630C566</stp>
        <tr r="L21" s="2"/>
        <tr r="L21" s="2"/>
      </tp>
      <tp>
        <v>26</v>
        <stp/>
        <stp>VOLUME</stp>
        <stp>.SPY250606P551</stp>
        <tr r="J36" s="2"/>
        <tr r="J36" s="2"/>
      </tp>
      <tp>
        <v>72</v>
        <stp/>
        <stp>VOLUME</stp>
        <stp>.SPY250620P577</stp>
        <tr r="K10" s="2"/>
        <tr r="K10" s="2"/>
      </tp>
      <tp>
        <v>109</v>
        <stp/>
        <stp>VOLUME</stp>
        <stp>.SPY250630P567</stp>
        <tr r="L20" s="2"/>
        <tr r="L20" s="2"/>
      </tp>
      <tp>
        <v>1</v>
        <stp/>
        <stp>VOLUME</stp>
        <stp>.SPY250606C551</stp>
        <tr r="J36" s="2"/>
        <tr r="J36" s="2"/>
      </tp>
      <tp>
        <v>272</v>
        <stp/>
        <stp>VOLUME</stp>
        <stp>.SPY250620C577</stp>
        <tr r="K10" s="2"/>
        <tr r="K10" s="2"/>
      </tp>
      <tp>
        <v>195</v>
        <stp/>
        <stp>VOLUME</stp>
        <stp>.SPY250630C567</stp>
        <tr r="L20" s="2"/>
        <tr r="L20" s="2"/>
      </tp>
      <tp>
        <v>10</v>
        <stp/>
        <stp>VOLUME</stp>
        <stp>.SPY250606P552</stp>
        <tr r="J35" s="2"/>
        <tr r="J35" s="2"/>
      </tp>
      <tp>
        <v>124</v>
        <stp/>
        <stp>VOLUME</stp>
        <stp>.SPY250620P574</stp>
        <tr r="K13" s="2"/>
        <tr r="K13" s="2"/>
      </tp>
      <tp>
        <v>178</v>
        <stp/>
        <stp>VOLUME</stp>
        <stp>.SPY250630P564</stp>
        <tr r="L23" s="2"/>
        <tr r="L23" s="2"/>
      </tp>
      <tp>
        <v>2</v>
        <stp/>
        <stp>VOLUME</stp>
        <stp>.SPY250606C552</stp>
        <tr r="J35" s="2"/>
        <tr r="J35" s="2"/>
      </tp>
      <tp>
        <v>193</v>
        <stp/>
        <stp>VOLUME</stp>
        <stp>.SPY250620C574</stp>
        <tr r="K13" s="2"/>
        <tr r="K13" s="2"/>
      </tp>
      <tp>
        <v>265</v>
        <stp/>
        <stp>VOLUME</stp>
        <stp>.SPY250630C564</stp>
        <tr r="L23" s="2"/>
        <tr r="L23" s="2"/>
      </tp>
      <tp>
        <v>78</v>
        <stp/>
        <stp>VOLUME</stp>
        <stp>.SPY250606P553</stp>
        <tr r="J34" s="2"/>
        <tr r="J34" s="2"/>
      </tp>
      <tp>
        <v>280</v>
        <stp/>
        <stp>VOLUME</stp>
        <stp>.SPY250620P575</stp>
        <tr r="K12" s="2"/>
        <tr r="K12" s="2"/>
      </tp>
      <tp>
        <v>397</v>
        <stp/>
        <stp>VOLUME</stp>
        <stp>.SPY250630P565</stp>
        <tr r="L22" s="2"/>
        <tr r="L22" s="2"/>
      </tp>
      <tp>
        <v>7</v>
        <stp/>
        <stp>VOLUME</stp>
        <stp>.SPY250606C553</stp>
        <tr r="J34" s="2"/>
        <tr r="J34" s="2"/>
      </tp>
      <tp>
        <v>3225</v>
        <stp/>
        <stp>VOLUME</stp>
        <stp>.SPY250620C575</stp>
        <tr r="K12" s="2"/>
        <tr r="K12" s="2"/>
      </tp>
      <tp>
        <v>325</v>
        <stp/>
        <stp>VOLUME</stp>
        <stp>.SPY250630C565</stp>
        <tr r="L22" s="2"/>
        <tr r="L22" s="2"/>
      </tp>
      <tp>
        <v>260</v>
        <stp/>
        <stp>VOLUME</stp>
        <stp>.SPY250606P554</stp>
        <tr r="J33" s="2"/>
        <tr r="J33" s="2"/>
      </tp>
      <tp>
        <v>8</v>
        <stp/>
        <stp>VOLUME</stp>
        <stp>.SPY250620P572</stp>
        <tr r="K15" s="2"/>
        <tr r="K15" s="2"/>
      </tp>
      <tp>
        <v>34</v>
        <stp/>
        <stp>VOLUME</stp>
        <stp>.SPY250630P562</stp>
        <tr r="L25" s="2"/>
        <tr r="L25" s="2"/>
      </tp>
      <tp>
        <v>42</v>
        <stp/>
        <stp>VOLUME</stp>
        <stp>.SPY250606C554</stp>
        <tr r="J33" s="2"/>
        <tr r="J33" s="2"/>
      </tp>
      <tp>
        <v>270</v>
        <stp/>
        <stp>VOLUME</stp>
        <stp>.SPY250620C572</stp>
        <tr r="K15" s="2"/>
        <tr r="K15" s="2"/>
      </tp>
      <tp>
        <v>6</v>
        <stp/>
        <stp>VOLUME</stp>
        <stp>.SPY250630C562</stp>
        <tr r="L25" s="2"/>
        <tr r="L25" s="2"/>
      </tp>
      <tp>
        <v>519</v>
        <stp/>
        <stp>VOLUME</stp>
        <stp>.SPY250606P555</stp>
        <tr r="J32" s="2"/>
        <tr r="J32" s="2"/>
      </tp>
      <tp>
        <v>62</v>
        <stp/>
        <stp>VOLUME</stp>
        <stp>.SPY250620P573</stp>
        <tr r="K14" s="2"/>
        <tr r="K14" s="2"/>
      </tp>
      <tp>
        <v>41</v>
        <stp/>
        <stp>VOLUME</stp>
        <stp>.SPY250630P563</stp>
        <tr r="L24" s="2"/>
        <tr r="L24" s="2"/>
      </tp>
      <tp>
        <v>77</v>
        <stp/>
        <stp>VOLUME</stp>
        <stp>.SPY250606C555</stp>
        <tr r="J32" s="2"/>
        <tr r="J32" s="2"/>
      </tp>
      <tp>
        <v>222</v>
        <stp/>
        <stp>VOLUME</stp>
        <stp>.SPY250620C573</stp>
        <tr r="K14" s="2"/>
        <tr r="K14" s="2"/>
      </tp>
      <tp>
        <v>123</v>
        <stp/>
        <stp>VOLUME</stp>
        <stp>.SPY250630C563</stp>
        <tr r="L24" s="2"/>
        <tr r="L24" s="2"/>
      </tp>
      <tp>
        <v>107</v>
        <stp/>
        <stp>VOLUME</stp>
        <stp>.SPY250606P556</stp>
        <tr r="J31" s="2"/>
        <tr r="J31" s="2"/>
      </tp>
      <tp>
        <v>2752</v>
        <stp/>
        <stp>VOLUME</stp>
        <stp>.SPY250620P570</stp>
        <tr r="K17" s="2"/>
        <tr r="K17" s="2"/>
      </tp>
      <tp>
        <v>695</v>
        <stp/>
        <stp>VOLUME</stp>
        <stp>.SPY250630P560</stp>
        <tr r="L27" s="2"/>
        <tr r="L27" s="2"/>
      </tp>
      <tp>
        <v>1</v>
        <stp/>
        <stp>VOLUME</stp>
        <stp>.SPY250606C556</stp>
        <tr r="J31" s="2"/>
        <tr r="J31" s="2"/>
      </tp>
      <tp>
        <v>2702</v>
        <stp/>
        <stp>VOLUME</stp>
        <stp>.SPY250620C570</stp>
        <tr r="K17" s="2"/>
        <tr r="K17" s="2"/>
      </tp>
      <tp>
        <v>37</v>
        <stp/>
        <stp>VOLUME</stp>
        <stp>.SPY250630C560</stp>
        <tr r="L27" s="2"/>
        <tr r="L27" s="2"/>
      </tp>
      <tp>
        <v>195</v>
        <stp/>
        <stp>VOLUME</stp>
        <stp>.SPY250606P557</stp>
        <tr r="J30" s="2"/>
        <tr r="J30" s="2"/>
      </tp>
      <tp>
        <v>90</v>
        <stp/>
        <stp>VOLUME</stp>
        <stp>.SPY250620P571</stp>
        <tr r="K16" s="2"/>
        <tr r="K16" s="2"/>
      </tp>
      <tp>
        <v>37</v>
        <stp/>
        <stp>VOLUME</stp>
        <stp>.SPY250630P561</stp>
        <tr r="L26" s="2"/>
        <tr r="L26" s="2"/>
      </tp>
      <tp>
        <v>2</v>
        <stp/>
        <stp>VOLUME</stp>
        <stp>.SPY250606C557</stp>
        <tr r="J30" s="2"/>
        <tr r="J30" s="2"/>
      </tp>
      <tp>
        <v>188</v>
        <stp/>
        <stp>VOLUME</stp>
        <stp>.SPY250620C571</stp>
        <tr r="K16" s="2"/>
        <tr r="K16" s="2"/>
      </tp>
      <tp>
        <v>2</v>
        <stp/>
        <stp>VOLUME</stp>
        <stp>.SPY250630C561</stp>
        <tr r="L26" s="2"/>
        <tr r="L26" s="2"/>
      </tp>
      <tp>
        <v>22</v>
        <stp/>
        <stp>VOLUME</stp>
        <stp>.SPY250606P558</stp>
        <tr r="J29" s="2"/>
        <tr r="J29" s="2"/>
      </tp>
      <tp>
        <v>33</v>
        <stp/>
        <stp>VOLUME</stp>
        <stp>.SPY250606C558</stp>
        <tr r="J29" s="2"/>
        <tr r="J29" s="2"/>
      </tp>
      <tp>
        <v>149</v>
        <stp/>
        <stp>VOLUME</stp>
        <stp>.SPY250606P559</stp>
        <tr r="J28" s="2"/>
        <tr r="J28" s="2"/>
      </tp>
      <tp>
        <v>31</v>
        <stp/>
        <stp>VOLUME</stp>
        <stp>.SPY250606C559</stp>
        <tr r="J28" s="2"/>
        <tr r="J28" s="2"/>
      </tp>
      <tp>
        <v>56</v>
        <stp/>
        <stp>VOLUME</stp>
        <stp>.SPY250620P578</stp>
        <tr r="K9" s="2"/>
        <tr r="K9" s="2"/>
      </tp>
      <tp>
        <v>60</v>
        <stp/>
        <stp>VOLUME</stp>
        <stp>.SPY250630P568</stp>
        <tr r="L19" s="2"/>
        <tr r="L19" s="2"/>
      </tp>
      <tp>
        <v>519</v>
        <stp/>
        <stp>VOLUME</stp>
        <stp>.SPY250620C578</stp>
        <tr r="K9" s="2"/>
        <tr r="K9" s="2"/>
      </tp>
      <tp>
        <v>53</v>
        <stp/>
        <stp>VOLUME</stp>
        <stp>.SPY250630C568</stp>
        <tr r="L19" s="2"/>
        <tr r="L19" s="2"/>
      </tp>
      <tp>
        <v>31</v>
        <stp/>
        <stp>VOLUME</stp>
        <stp>.SPY250620P579</stp>
        <tr r="K8" s="2"/>
        <tr r="K8" s="2"/>
      </tp>
      <tp>
        <v>34</v>
        <stp/>
        <stp>VOLUME</stp>
        <stp>.SPY250630P569</stp>
        <tr r="L18" s="2"/>
        <tr r="L18" s="2"/>
      </tp>
      <tp>
        <v>514</v>
        <stp/>
        <stp>VOLUME</stp>
        <stp>.SPY250620C579</stp>
        <tr r="K8" s="2"/>
        <tr r="K8" s="2"/>
      </tp>
      <tp>
        <v>26</v>
        <stp/>
        <stp>VOLUME</stp>
        <stp>.SPY250630C569</stp>
        <tr r="L18" s="2"/>
        <tr r="L18" s="2"/>
      </tp>
      <tp>
        <v>491</v>
        <stp/>
        <stp>VOLUME</stp>
        <stp>.SPY250620P566</stp>
        <tr r="K21" s="2"/>
        <tr r="K21" s="2"/>
      </tp>
      <tp t="s">
        <v>N/A</v>
        <stp/>
        <stp>VOLUME</stp>
        <stp>.SPY250630P576</stp>
        <tr r="L11" s="2"/>
      </tp>
      <tp>
        <v>312</v>
        <stp/>
        <stp>VOLUME</stp>
        <stp>.SPY250620C566</stp>
        <tr r="K21" s="2"/>
        <tr r="K21" s="2"/>
      </tp>
      <tp>
        <v>12</v>
        <stp/>
        <stp>VOLUME</stp>
        <stp>.SPY250630C576</stp>
        <tr r="L11" s="2"/>
        <tr r="L11" s="2"/>
      </tp>
      <tp>
        <v>491</v>
        <stp/>
        <stp>VOLUME</stp>
        <stp>.SPY250620P567</stp>
        <tr r="K20" s="2"/>
        <tr r="K20" s="2"/>
      </tp>
      <tp t="s">
        <v>N/A</v>
        <stp/>
        <stp>VOLUME</stp>
        <stp>.SPY250630P577</stp>
        <tr r="L10" s="2"/>
      </tp>
      <tp>
        <v>230</v>
        <stp/>
        <stp>VOLUME</stp>
        <stp>.SPY250620C567</stp>
        <tr r="K20" s="2"/>
        <tr r="K20" s="2"/>
      </tp>
      <tp>
        <v>9</v>
        <stp/>
        <stp>VOLUME</stp>
        <stp>.SPY250630C577</stp>
        <tr r="L10" s="2"/>
        <tr r="L10" s="2"/>
      </tp>
      <tp>
        <v>751</v>
        <stp/>
        <stp>VOLUME</stp>
        <stp>.SPY250620P564</stp>
        <tr r="K23" s="2"/>
        <tr r="K23" s="2"/>
      </tp>
      <tp>
        <v>3</v>
        <stp/>
        <stp>VOLUME</stp>
        <stp>.SPY250630P574</stp>
        <tr r="L13" s="2"/>
        <tr r="L13" s="2"/>
      </tp>
      <tp>
        <v>728</v>
        <stp/>
        <stp>VOLUME</stp>
        <stp>.SPY250620C564</stp>
        <tr r="K23" s="2"/>
        <tr r="K23" s="2"/>
      </tp>
      <tp>
        <v>21</v>
        <stp/>
        <stp>VOLUME</stp>
        <stp>.SPY250630C574</stp>
        <tr r="L13" s="2"/>
        <tr r="L13" s="2"/>
      </tp>
      <tp>
        <v>7136</v>
        <stp/>
        <stp>VOLUME</stp>
        <stp>.SPY250620P565</stp>
        <tr r="K22" s="2"/>
        <tr r="K22" s="2"/>
      </tp>
      <tp>
        <v>20</v>
        <stp/>
        <stp>VOLUME</stp>
        <stp>.SPY250630P575</stp>
        <tr r="L12" s="2"/>
        <tr r="L12" s="2"/>
      </tp>
      <tp>
        <v>2738</v>
        <stp/>
        <stp>VOLUME</stp>
        <stp>.SPY250620C565</stp>
        <tr r="K22" s="2"/>
        <tr r="K22" s="2"/>
      </tp>
      <tp>
        <v>383</v>
        <stp/>
        <stp>VOLUME</stp>
        <stp>.SPY250630C575</stp>
        <tr r="L12" s="2"/>
        <tr r="L12" s="2"/>
      </tp>
      <tp>
        <v>341</v>
        <stp/>
        <stp>VOLUME</stp>
        <stp>.SPY250620P562</stp>
        <tr r="K25" s="2"/>
        <tr r="K25" s="2"/>
      </tp>
      <tp>
        <v>27</v>
        <stp/>
        <stp>VOLUME</stp>
        <stp>.SPY250630P572</stp>
        <tr r="L15" s="2"/>
        <tr r="L15" s="2"/>
      </tp>
      <tp>
        <v>154</v>
        <stp/>
        <stp>VOLUME</stp>
        <stp>.SPY250620C562</stp>
        <tr r="K25" s="2"/>
        <tr r="K25" s="2"/>
      </tp>
      <tp>
        <v>9</v>
        <stp/>
        <stp>VOLUME</stp>
        <stp>.SPY250630C572</stp>
        <tr r="L15" s="2"/>
        <tr r="L15" s="2"/>
      </tp>
      <tp>
        <v>572</v>
        <stp/>
        <stp>VOLUME</stp>
        <stp>.SPY250620P563</stp>
        <tr r="K24" s="2"/>
        <tr r="K24" s="2"/>
      </tp>
      <tp t="s">
        <v>N/A</v>
        <stp/>
        <stp>VOLUME</stp>
        <stp>.SPY250630P573</stp>
        <tr r="L14" s="2"/>
      </tp>
      <tp>
        <v>237</v>
        <stp/>
        <stp>VOLUME</stp>
        <stp>.SPY250620C563</stp>
        <tr r="K24" s="2"/>
        <tr r="K24" s="2"/>
      </tp>
      <tp>
        <v>43</v>
        <stp/>
        <stp>VOLUME</stp>
        <stp>.SPY250630C573</stp>
        <tr r="L14" s="2"/>
        <tr r="L14" s="2"/>
      </tp>
      <tp>
        <v>7997</v>
        <stp/>
        <stp>VOLUME</stp>
        <stp>.SPY250620P560</stp>
        <tr r="K27" s="2"/>
        <tr r="K27" s="2"/>
      </tp>
      <tp>
        <v>316</v>
        <stp/>
        <stp>VOLUME</stp>
        <stp>.SPY250630P570</stp>
        <tr r="L17" s="2"/>
        <tr r="L17" s="2"/>
      </tp>
      <tp>
        <v>1339</v>
        <stp/>
        <stp>VOLUME</stp>
        <stp>.SPY250620C560</stp>
        <tr r="K27" s="2"/>
        <tr r="K27" s="2"/>
      </tp>
      <tp>
        <v>1037</v>
        <stp/>
        <stp>VOLUME</stp>
        <stp>.SPY250630C570</stp>
        <tr r="L17" s="2"/>
        <tr r="L17" s="2"/>
      </tp>
      <tp>
        <v>445</v>
        <stp/>
        <stp>VOLUME</stp>
        <stp>.SPY250620P561</stp>
        <tr r="K26" s="2"/>
        <tr r="K26" s="2"/>
      </tp>
      <tp>
        <v>4</v>
        <stp/>
        <stp>VOLUME</stp>
        <stp>.SPY250630P571</stp>
        <tr r="L16" s="2"/>
        <tr r="L16" s="2"/>
      </tp>
      <tp>
        <v>111</v>
        <stp/>
        <stp>VOLUME</stp>
        <stp>.SPY250620C561</stp>
        <tr r="K26" s="2"/>
        <tr r="K26" s="2"/>
      </tp>
      <tp>
        <v>17</v>
        <stp/>
        <stp>VOLUME</stp>
        <stp>.SPY250630C571</stp>
        <tr r="L16" s="2"/>
        <tr r="L16" s="2"/>
      </tp>
      <tp>
        <v>22</v>
        <stp/>
        <stp>VOLUME</stp>
        <stp>.SPY250606P548</stp>
        <tr r="J39" s="2"/>
        <tr r="J39" s="2"/>
      </tp>
      <tp>
        <v>7</v>
        <stp/>
        <stp>VOLUME</stp>
        <stp>.SPY250606C548</stp>
        <tr r="J39" s="2"/>
        <tr r="J39" s="2"/>
      </tp>
      <tp>
        <v>192</v>
        <stp/>
        <stp>VOLUME</stp>
        <stp>.SPY250606P549</stp>
        <tr r="J38" s="2"/>
        <tr r="J38" s="2"/>
      </tp>
      <tp>
        <v>3</v>
        <stp/>
        <stp>VOLUME</stp>
        <stp>.SPY250606C549</stp>
        <tr r="J38" s="2"/>
        <tr r="J38" s="2"/>
      </tp>
      <tp>
        <v>809</v>
        <stp/>
        <stp>VOLUME</stp>
        <stp>.SPY250620P568</stp>
        <tr r="K19" s="2"/>
        <tr r="K19" s="2"/>
      </tp>
      <tp>
        <v>2</v>
        <stp/>
        <stp>VOLUME</stp>
        <stp>.SPY250630P578</stp>
        <tr r="L9" s="2"/>
        <tr r="L9" s="2"/>
      </tp>
      <tp>
        <v>766</v>
        <stp/>
        <stp>VOLUME</stp>
        <stp>.SPY250620C568</stp>
        <tr r="K19" s="2"/>
        <tr r="K19" s="2"/>
      </tp>
      <tp>
        <v>40</v>
        <stp/>
        <stp>VOLUME</stp>
        <stp>.SPY250630C578</stp>
        <tr r="L9" s="2"/>
        <tr r="L9" s="2"/>
      </tp>
      <tp>
        <v>313</v>
        <stp/>
        <stp>VOLUME</stp>
        <stp>.SPY250620P569</stp>
        <tr r="K18" s="2"/>
        <tr r="K18" s="2"/>
      </tp>
      <tp>
        <v>40</v>
        <stp/>
        <stp>VOLUME</stp>
        <stp>.SPY250630P579</stp>
        <tr r="L8" s="2"/>
        <tr r="L8" s="2"/>
      </tp>
      <tp>
        <v>369</v>
        <stp/>
        <stp>VOLUME</stp>
        <stp>.SPY250620C569</stp>
        <tr r="K18" s="2"/>
        <tr r="K18" s="2"/>
      </tp>
      <tp>
        <v>6</v>
        <stp/>
        <stp>VOLUME</stp>
        <stp>.SPY250630C579</stp>
        <tr r="L8" s="2"/>
        <tr r="L8" s="2"/>
      </tp>
      <tp>
        <v>152</v>
        <stp/>
        <stp>VOLUME</stp>
        <stp>.SPY250606P570</stp>
        <tr r="J17" s="2"/>
        <tr r="J17" s="2"/>
      </tp>
      <tp>
        <v>378</v>
        <stp/>
        <stp>VOLUME</stp>
        <stp>.SPY250620P556</stp>
        <tr r="K31" s="2"/>
        <tr r="K31" s="2"/>
      </tp>
      <tp>
        <v>1216</v>
        <stp/>
        <stp>VOLUME</stp>
        <stp>.SPY250606C570</stp>
        <tr r="J17" s="2"/>
        <tr r="J17" s="2"/>
      </tp>
      <tp>
        <v>17</v>
        <stp/>
        <stp>VOLUME</stp>
        <stp>.SPY250620C556</stp>
        <tr r="K31" s="2"/>
        <tr r="K31" s="2"/>
      </tp>
      <tp>
        <v>16</v>
        <stp/>
        <stp>VOLUME</stp>
        <stp>.SPY250606P571</stp>
        <tr r="J16" s="2"/>
        <tr r="J16" s="2"/>
      </tp>
      <tp>
        <v>433</v>
        <stp/>
        <stp>VOLUME</stp>
        <stp>.SPY250620P557</stp>
        <tr r="K30" s="2"/>
        <tr r="K30" s="2"/>
      </tp>
      <tp>
        <v>183</v>
        <stp/>
        <stp>VOLUME</stp>
        <stp>.SPY250606C571</stp>
        <tr r="J16" s="2"/>
        <tr r="J16" s="2"/>
      </tp>
      <tp>
        <v>62</v>
        <stp/>
        <stp>VOLUME</stp>
        <stp>.SPY250620C557</stp>
        <tr r="K30" s="2"/>
        <tr r="K30" s="2"/>
      </tp>
      <tp>
        <v>5</v>
        <stp/>
        <stp>VOLUME</stp>
        <stp>.SPY250606P572</stp>
        <tr r="J15" s="2"/>
        <tr r="J15" s="2"/>
      </tp>
      <tp>
        <v>639</v>
        <stp/>
        <stp>VOLUME</stp>
        <stp>.SPY250620P554</stp>
        <tr r="K33" s="2"/>
        <tr r="K33" s="2"/>
      </tp>
      <tp>
        <v>431</v>
        <stp/>
        <stp>VOLUME</stp>
        <stp>.SPY250606C572</stp>
        <tr r="J15" s="2"/>
        <tr r="J15" s="2"/>
      </tp>
      <tp>
        <v>11</v>
        <stp/>
        <stp>VOLUME</stp>
        <stp>.SPY250620C554</stp>
        <tr r="K33" s="2"/>
        <tr r="K33" s="2"/>
      </tp>
      <tp t="s">
        <v>N/A</v>
        <stp/>
        <stp>VOLUME</stp>
        <stp>.SPY250606P573</stp>
        <tr r="J14" s="2"/>
      </tp>
      <tp>
        <v>1088</v>
        <stp/>
        <stp>VOLUME</stp>
        <stp>.SPY250620P555</stp>
        <tr r="K32" s="2"/>
        <tr r="K32" s="2"/>
      </tp>
      <tp>
        <v>204</v>
        <stp/>
        <stp>VOLUME</stp>
        <stp>.SPY250606C573</stp>
        <tr r="J14" s="2"/>
        <tr r="J14" s="2"/>
      </tp>
      <tp>
        <v>345</v>
        <stp/>
        <stp>VOLUME</stp>
        <stp>.SPY250620C555</stp>
        <tr r="K32" s="2"/>
        <tr r="K32" s="2"/>
      </tp>
      <tp>
        <v>1</v>
        <stp/>
        <stp>VOLUME</stp>
        <stp>.SPY250606P574</stp>
        <tr r="J13" s="2"/>
        <tr r="J13" s="2"/>
      </tp>
      <tp>
        <v>397</v>
        <stp/>
        <stp>VOLUME</stp>
        <stp>.SPY250620P552</stp>
        <tr r="K35" s="2"/>
        <tr r="K35" s="2"/>
      </tp>
      <tp>
        <v>117</v>
        <stp/>
        <stp>VOLUME</stp>
        <stp>.SPY250606C574</stp>
        <tr r="J13" s="2"/>
        <tr r="J13" s="2"/>
      </tp>
      <tp>
        <v>11</v>
        <stp/>
        <stp>VOLUME</stp>
        <stp>.SPY250620C552</stp>
        <tr r="K35" s="2"/>
        <tr r="K35" s="2"/>
      </tp>
      <tp>
        <v>12</v>
        <stp/>
        <stp>VOLUME</stp>
        <stp>.SPY250606P575</stp>
        <tr r="J12" s="2"/>
        <tr r="J12" s="2"/>
      </tp>
      <tp>
        <v>347</v>
        <stp/>
        <stp>VOLUME</stp>
        <stp>.SPY250620P553</stp>
        <tr r="K34" s="2"/>
        <tr r="K34" s="2"/>
      </tp>
      <tp>
        <v>549</v>
        <stp/>
        <stp>VOLUME</stp>
        <stp>.SPY250606C575</stp>
        <tr r="J12" s="2"/>
        <tr r="J12" s="2"/>
      </tp>
      <tp>
        <v>20</v>
        <stp/>
        <stp>VOLUME</stp>
        <stp>.SPY250620C553</stp>
        <tr r="K34" s="2"/>
        <tr r="K34" s="2"/>
      </tp>
      <tp>
        <v>6</v>
        <stp/>
        <stp>VOLUME</stp>
        <stp>.SPY250606P576</stp>
        <tr r="J11" s="2"/>
        <tr r="J11" s="2"/>
      </tp>
      <tp>
        <v>9108</v>
        <stp/>
        <stp>VOLUME</stp>
        <stp>.SPY250620P550</stp>
        <tr r="K37" s="2"/>
        <tr r="K37" s="2"/>
      </tp>
      <tp>
        <v>213</v>
        <stp/>
        <stp>VOLUME</stp>
        <stp>.SPY250606C576</stp>
        <tr r="J11" s="2"/>
        <tr r="J11" s="2"/>
      </tp>
      <tp>
        <v>279</v>
        <stp/>
        <stp>VOLUME</stp>
        <stp>.SPY250620C550</stp>
        <tr r="K37" s="2"/>
        <tr r="K37" s="2"/>
      </tp>
      <tp t="s">
        <v>N/A</v>
        <stp/>
        <stp>VOLUME</stp>
        <stp>.SPY250606P577</stp>
        <tr r="J10" s="2"/>
      </tp>
      <tp>
        <v>181</v>
        <stp/>
        <stp>VOLUME</stp>
        <stp>.SPY250620P551</stp>
        <tr r="K36" s="2"/>
        <tr r="K36" s="2"/>
      </tp>
      <tp>
        <v>113</v>
        <stp/>
        <stp>VOLUME</stp>
        <stp>.SPY250606C577</stp>
        <tr r="J10" s="2"/>
        <tr r="J10" s="2"/>
      </tp>
      <tp t="s">
        <v>N/A</v>
        <stp/>
        <stp>VOLUME</stp>
        <stp>.SPY250620C551</stp>
        <tr r="K36" s="2"/>
      </tp>
      <tp>
        <v>5</v>
        <stp/>
        <stp>VOLUME</stp>
        <stp>.SPY250606P578</stp>
        <tr r="J9" s="2"/>
        <tr r="J9" s="2"/>
      </tp>
      <tp>
        <v>60</v>
        <stp/>
        <stp>VOLUME</stp>
        <stp>.SPY250606C578</stp>
        <tr r="J9" s="2"/>
        <tr r="J9" s="2"/>
      </tp>
      <tp t="s">
        <v>N/A</v>
        <stp/>
        <stp>VOLUME</stp>
        <stp>.SPY250606P579</stp>
        <tr r="J8" s="2"/>
      </tp>
      <tp>
        <v>164</v>
        <stp/>
        <stp>VOLUME</stp>
        <stp>.SPY250606C579</stp>
        <tr r="J8" s="2"/>
        <tr r="J8" s="2"/>
      </tp>
      <tp>
        <v>239</v>
        <stp/>
        <stp>VOLUME</stp>
        <stp>.SPY250620P558</stp>
        <tr r="K29" s="2"/>
        <tr r="K29" s="2"/>
      </tp>
      <tp>
        <v>4</v>
        <stp/>
        <stp>VOLUME</stp>
        <stp>.SPY250630P548</stp>
        <tr r="L39" s="2"/>
        <tr r="L39" s="2"/>
      </tp>
      <tp>
        <v>48</v>
        <stp/>
        <stp>VOLUME</stp>
        <stp>.SPY250620C558</stp>
        <tr r="K29" s="2"/>
        <tr r="K29" s="2"/>
      </tp>
      <tp t="s">
        <v>N/A</v>
        <stp/>
        <stp>VOLUME</stp>
        <stp>.SPY250630C548</stp>
        <tr r="L39" s="2"/>
      </tp>
      <tp>
        <v>187</v>
        <stp/>
        <stp>VOLUME</stp>
        <stp>.SPY250620P559</stp>
        <tr r="K28" s="2"/>
        <tr r="K28" s="2"/>
      </tp>
      <tp>
        <v>15</v>
        <stp/>
        <stp>VOLUME</stp>
        <stp>.SPY250630P549</stp>
        <tr r="L38" s="2"/>
        <tr r="L38" s="2"/>
      </tp>
      <tp>
        <v>65</v>
        <stp/>
        <stp>VOLUME</stp>
        <stp>.SPY250620C559</stp>
        <tr r="K28" s="2"/>
        <tr r="K28" s="2"/>
      </tp>
      <tp t="s">
        <v>N/A</v>
        <stp/>
        <stp>VOLUME</stp>
        <stp>.SPY250630C549</stp>
        <tr r="L38" s="2"/>
      </tp>
      <tp>
        <v>987</v>
        <stp/>
        <stp>VOLUME</stp>
        <stp>.SPY250606P560</stp>
        <tr r="J27" s="2"/>
        <tr r="J27" s="2"/>
      </tp>
      <tp>
        <v>78</v>
        <stp/>
        <stp>VOLUME</stp>
        <stp>.SPY250630P556</stp>
        <tr r="L31" s="2"/>
        <tr r="L31" s="2"/>
      </tp>
      <tp>
        <v>373</v>
        <stp/>
        <stp>VOLUME</stp>
        <stp>.SPY250606C560</stp>
        <tr r="J27" s="2"/>
        <tr r="J27" s="2"/>
      </tp>
      <tp>
        <v>2</v>
        <stp/>
        <stp>VOLUME</stp>
        <stp>.SPY250630C556</stp>
        <tr r="L31" s="2"/>
        <tr r="L31" s="2"/>
      </tp>
      <tp>
        <v>51</v>
        <stp/>
        <stp>VOLUME</stp>
        <stp>.SPY250606P561</stp>
        <tr r="J26" s="2"/>
        <tr r="J26" s="2"/>
      </tp>
      <tp>
        <v>4</v>
        <stp/>
        <stp>VOLUME</stp>
        <stp>.SPY250630P557</stp>
        <tr r="L30" s="2"/>
        <tr r="L30" s="2"/>
      </tp>
      <tp>
        <v>77</v>
        <stp/>
        <stp>VOLUME</stp>
        <stp>.SPY250606C561</stp>
        <tr r="J26" s="2"/>
        <tr r="J26" s="2"/>
      </tp>
      <tp t="s">
        <v>N/A</v>
        <stp/>
        <stp>VOLUME</stp>
        <stp>.SPY250630C557</stp>
        <tr r="L30" s="2"/>
      </tp>
      <tp>
        <v>72</v>
        <stp/>
        <stp>VOLUME</stp>
        <stp>.SPY250606P562</stp>
        <tr r="J25" s="2"/>
        <tr r="J25" s="2"/>
      </tp>
      <tp>
        <v>15</v>
        <stp/>
        <stp>VOLUME</stp>
        <stp>.SPY250630P554</stp>
        <tr r="L33" s="2"/>
        <tr r="L33" s="2"/>
      </tp>
      <tp>
        <v>99</v>
        <stp/>
        <stp>VOLUME</stp>
        <stp>.SPY250606C562</stp>
        <tr r="J25" s="2"/>
        <tr r="J25" s="2"/>
      </tp>
      <tp>
        <v>2</v>
        <stp/>
        <stp>VOLUME</stp>
        <stp>.SPY250630C554</stp>
        <tr r="L33" s="2"/>
        <tr r="L33" s="2"/>
      </tp>
      <tp>
        <v>185</v>
        <stp/>
        <stp>VOLUME</stp>
        <stp>.SPY250606P563</stp>
        <tr r="J24" s="2"/>
        <tr r="J24" s="2"/>
      </tp>
      <tp>
        <v>617</v>
        <stp/>
        <stp>VOLUME</stp>
        <stp>.SPY250630P555</stp>
        <tr r="L32" s="2"/>
        <tr r="L32" s="2"/>
      </tp>
      <tp>
        <v>541</v>
        <stp/>
        <stp>VOLUME</stp>
        <stp>.SPY250606C563</stp>
        <tr r="J24" s="2"/>
        <tr r="J24" s="2"/>
      </tp>
      <tp>
        <v>50</v>
        <stp/>
        <stp>VOLUME</stp>
        <stp>.SPY250630C555</stp>
        <tr r="L32" s="2"/>
        <tr r="L32" s="2"/>
      </tp>
      <tp>
        <v>1572</v>
        <stp/>
        <stp>VOLUME</stp>
        <stp>.SPY250606P564</stp>
        <tr r="J23" s="2"/>
        <tr r="J23" s="2"/>
      </tp>
      <tp>
        <v>21</v>
        <stp/>
        <stp>VOLUME</stp>
        <stp>.SPY250630P552</stp>
        <tr r="L35" s="2"/>
        <tr r="L35" s="2"/>
      </tp>
      <tp>
        <v>538</v>
        <stp/>
        <stp>VOLUME</stp>
        <stp>.SPY250606C564</stp>
        <tr r="J23" s="2"/>
        <tr r="J23" s="2"/>
      </tp>
      <tp>
        <v>2</v>
        <stp/>
        <stp>VOLUME</stp>
        <stp>.SPY250630C552</stp>
        <tr r="L35" s="2"/>
        <tr r="L35" s="2"/>
      </tp>
      <tp>
        <v>609</v>
        <stp/>
        <stp>VOLUME</stp>
        <stp>.SPY250606P565</stp>
        <tr r="J22" s="2"/>
        <tr r="J22" s="2"/>
      </tp>
      <tp>
        <v>97</v>
        <stp/>
        <stp>VOLUME</stp>
        <stp>.SPY250630P553</stp>
        <tr r="L34" s="2"/>
        <tr r="L34" s="2"/>
      </tp>
      <tp>
        <v>1669</v>
        <stp/>
        <stp>VOLUME</stp>
        <stp>.SPY250606C565</stp>
        <tr r="J22" s="2"/>
        <tr r="J22" s="2"/>
      </tp>
      <tp>
        <v>2</v>
        <stp/>
        <stp>VOLUME</stp>
        <stp>.SPY250630C553</stp>
        <tr r="L34" s="2"/>
        <tr r="L34" s="2"/>
      </tp>
      <tp>
        <v>863</v>
        <stp/>
        <stp>VOLUME</stp>
        <stp>.SPY250606P566</stp>
        <tr r="J21" s="2"/>
        <tr r="J21" s="2"/>
      </tp>
      <tp>
        <v>696</v>
        <stp/>
        <stp>VOLUME</stp>
        <stp>.SPY250630P550</stp>
        <tr r="L37" s="2"/>
        <tr r="L37" s="2"/>
      </tp>
      <tp>
        <v>191</v>
        <stp/>
        <stp>VOLUME</stp>
        <stp>.SPY250606C566</stp>
        <tr r="J21" s="2"/>
        <tr r="J21" s="2"/>
      </tp>
      <tp>
        <v>29</v>
        <stp/>
        <stp>VOLUME</stp>
        <stp>.SPY250630C550</stp>
        <tr r="L37" s="2"/>
        <tr r="L37" s="2"/>
      </tp>
      <tp>
        <v>155</v>
        <stp/>
        <stp>VOLUME</stp>
        <stp>.SPY250606P567</stp>
        <tr r="J20" s="2"/>
        <tr r="J20" s="2"/>
      </tp>
      <tp>
        <v>8</v>
        <stp/>
        <stp>VOLUME</stp>
        <stp>.SPY250630P551</stp>
        <tr r="L36" s="2"/>
        <tr r="L36" s="2"/>
      </tp>
      <tp>
        <v>225</v>
        <stp/>
        <stp>VOLUME</stp>
        <stp>.SPY250606C567</stp>
        <tr r="J20" s="2"/>
        <tr r="J20" s="2"/>
      </tp>
      <tp t="s">
        <v>N/A</v>
        <stp/>
        <stp>VOLUME</stp>
        <stp>.SPY250630C551</stp>
        <tr r="L36" s="2"/>
      </tp>
      <tp>
        <v>82</v>
        <stp/>
        <stp>VOLUME</stp>
        <stp>.SPY250606P568</stp>
        <tr r="J19" s="2"/>
        <tr r="J19" s="2"/>
      </tp>
      <tp>
        <v>219</v>
        <stp/>
        <stp>VOLUME</stp>
        <stp>.SPY250606C568</stp>
        <tr r="J19" s="2"/>
        <tr r="J19" s="2"/>
      </tp>
      <tp>
        <v>73</v>
        <stp/>
        <stp>VOLUME</stp>
        <stp>.SPY250606P569</stp>
        <tr r="J18" s="2"/>
        <tr r="J18" s="2"/>
      </tp>
      <tp>
        <v>77</v>
        <stp/>
        <stp>VOLUME</stp>
        <stp>.SPY250606C569</stp>
        <tr r="J18" s="2"/>
        <tr r="J18" s="2"/>
      </tp>
      <tp>
        <v>80</v>
        <stp/>
        <stp>VOLUME</stp>
        <stp>.SPY250620P548</stp>
        <tr r="K39" s="2"/>
        <tr r="K39" s="2"/>
      </tp>
      <tp>
        <v>78</v>
        <stp/>
        <stp>VOLUME</stp>
        <stp>.SPY250630P558</stp>
        <tr r="L29" s="2"/>
        <tr r="L29" s="2"/>
      </tp>
      <tp>
        <v>5</v>
        <stp/>
        <stp>VOLUME</stp>
        <stp>.SPY250620C548</stp>
        <tr r="K39" s="2"/>
        <tr r="K39" s="2"/>
      </tp>
      <tp>
        <v>2</v>
        <stp/>
        <stp>VOLUME</stp>
        <stp>.SPY250630C558</stp>
        <tr r="L29" s="2"/>
        <tr r="L29" s="2"/>
      </tp>
      <tp>
        <v>463</v>
        <stp/>
        <stp>VOLUME</stp>
        <stp>.SPY250620P549</stp>
        <tr r="K38" s="2"/>
        <tr r="K38" s="2"/>
      </tp>
      <tp>
        <v>387</v>
        <stp/>
        <stp>VOLUME</stp>
        <stp>.SPY250630P559</stp>
        <tr r="L28" s="2"/>
        <tr r="L28" s="2"/>
      </tp>
      <tp>
        <v>7</v>
        <stp/>
        <stp>VOLUME</stp>
        <stp>.SPY250620C549</stp>
        <tr r="K38" s="2"/>
        <tr r="K38" s="2"/>
      </tp>
      <tp>
        <v>1</v>
        <stp/>
        <stp>VOLUME</stp>
        <stp>.SPY250630C559</stp>
        <tr r="L28" s="2"/>
        <tr r="L28" s="2"/>
      </tp>
      <tp>
        <v>-1</v>
        <stp/>
        <stp>DELTA</stp>
        <stp>.SPXW250508P5730</stp>
        <tr r="CE99" s="1"/>
        <tr r="CE99" s="1"/>
      </tp>
      <tp t="s">
        <v>N/A</v>
        <stp/>
        <stp>DELTA</stp>
        <stp>.SPXW250509P5720</stp>
        <tr r="CG100" s="1"/>
      </tp>
      <tp>
        <v>0</v>
        <stp/>
        <stp>DELTA</stp>
        <stp>.SPXW250508C5730</stp>
        <tr r="CD99" s="1"/>
        <tr r="CD99" s="1"/>
      </tp>
      <tp t="s">
        <v>N/A</v>
        <stp/>
        <stp>DELTA</stp>
        <stp>.SPXW250509C5720</stp>
        <tr r="CF100" s="1"/>
      </tp>
      <tp>
        <v>-1</v>
        <stp/>
        <stp>DELTA</stp>
        <stp>.SPXW250508P5720</stp>
        <tr r="CE100" s="1"/>
        <tr r="CE100" s="1"/>
      </tp>
      <tp>
        <v>-0.96</v>
        <stp/>
        <stp>DELTA</stp>
        <stp>.SPXW250509P5730</stp>
        <tr r="CG99" s="1"/>
        <tr r="CG99" s="1"/>
      </tp>
      <tp>
        <v>0</v>
        <stp/>
        <stp>DELTA</stp>
        <stp>.SPXW250508C5720</stp>
        <tr r="CD100" s="1"/>
        <tr r="CD100" s="1"/>
      </tp>
      <tp>
        <v>0</v>
        <stp/>
        <stp>DELTA</stp>
        <stp>.SPXW250509C5730</stp>
        <tr r="CF99" s="1"/>
        <tr r="CF99" s="1"/>
      </tp>
      <tp>
        <v>-1</v>
        <stp/>
        <stp>DELTA</stp>
        <stp>.SPXW250508P5710</stp>
        <tr r="CE101" s="1"/>
        <tr r="CE101" s="1"/>
      </tp>
      <tp>
        <v>-0.95</v>
        <stp/>
        <stp>DELTA</stp>
        <stp>.SPXW250509P5700</stp>
        <tr r="CG102" s="1"/>
        <tr r="CG102" s="1"/>
      </tp>
      <tp>
        <v>0</v>
        <stp/>
        <stp>DELTA</stp>
        <stp>.SPXW250508C5710</stp>
        <tr r="CD101" s="1"/>
        <tr r="CD101" s="1"/>
      </tp>
      <tp>
        <v>0.01</v>
        <stp/>
        <stp>DELTA</stp>
        <stp>.SPXW250509C5700</stp>
        <tr r="CF102" s="1"/>
        <tr r="CF102" s="1"/>
      </tp>
      <tp>
        <v>-1</v>
        <stp/>
        <stp>DELTA</stp>
        <stp>.SPXW250508P5700</stp>
        <tr r="CE102" s="1"/>
        <tr r="CE102" s="1"/>
      </tp>
      <tp>
        <v>-0.95</v>
        <stp/>
        <stp>DELTA</stp>
        <stp>.SPXW250509P5710</stp>
        <tr r="CG101" s="1"/>
        <tr r="CG101" s="1"/>
      </tp>
      <tp>
        <v>0.01</v>
        <stp/>
        <stp>DELTA</stp>
        <stp>.SPXW250508C5700</stp>
        <tr r="CD102" s="1"/>
        <tr r="CD102" s="1"/>
      </tp>
      <tp>
        <v>0</v>
        <stp/>
        <stp>DELTA</stp>
        <stp>.SPXW250509C5710</stp>
        <tr r="CF101" s="1"/>
        <tr r="CF101" s="1"/>
      </tp>
      <tp>
        <v>-1</v>
        <stp/>
        <stp>DELTA</stp>
        <stp>.SPXW250508P5770</stp>
        <tr r="CE95" s="1"/>
        <tr r="CE95" s="1"/>
      </tp>
      <tp>
        <v>-0.97</v>
        <stp/>
        <stp>DELTA</stp>
        <stp>.SPXW250509P5760</stp>
        <tr r="CG96" s="1"/>
        <tr r="CG96" s="1"/>
      </tp>
      <tp>
        <v>-0.66</v>
        <stp/>
        <stp>DELTA</stp>
        <stp>.SPXW250516P5690</stp>
        <tr r="CI103" s="1"/>
        <tr r="CI103" s="1"/>
      </tp>
      <tp>
        <v>0</v>
        <stp/>
        <stp>DELTA</stp>
        <stp>.SPXW250508C5770</stp>
        <tr r="CD95" s="1"/>
        <tr r="CD95" s="1"/>
      </tp>
      <tp>
        <v>0</v>
        <stp/>
        <stp>DELTA</stp>
        <stp>.SPXW250509C5760</stp>
        <tr r="CF96" s="1"/>
        <tr r="CF96" s="1"/>
      </tp>
      <tp>
        <v>0.46</v>
        <stp/>
        <stp>DELTA</stp>
        <stp>.SPXW250516C5690</stp>
        <tr r="CH103" s="1"/>
        <tr r="CH103" s="1"/>
      </tp>
      <tp>
        <v>-1</v>
        <stp/>
        <stp>DELTA</stp>
        <stp>.SPXW250508P5760</stp>
        <tr r="CE96" s="1"/>
        <tr r="CE96" s="1"/>
      </tp>
      <tp>
        <v>-0.98</v>
        <stp/>
        <stp>DELTA</stp>
        <stp>.SPXW250509P5770</stp>
        <tr r="CG95" s="1"/>
        <tr r="CG95" s="1"/>
      </tp>
      <tp>
        <v>-0.59</v>
        <stp/>
        <stp>DELTA</stp>
        <stp>.SPXW250516P5680</stp>
        <tr r="CI104" s="1"/>
        <tr r="CI104" s="1"/>
      </tp>
      <tp>
        <v>0</v>
        <stp/>
        <stp>DELTA</stp>
        <stp>.SPXW250508C5760</stp>
        <tr r="CD96" s="1"/>
        <tr r="CD96" s="1"/>
      </tp>
      <tp>
        <v>0</v>
        <stp/>
        <stp>DELTA</stp>
        <stp>.SPXW250509C5770</stp>
        <tr r="CF95" s="1"/>
        <tr r="CF95" s="1"/>
      </tp>
      <tp>
        <v>0.48</v>
        <stp/>
        <stp>DELTA</stp>
        <stp>.SPXW250516C5680</stp>
        <tr r="CH104" s="1"/>
        <tr r="CH104" s="1"/>
      </tp>
      <tp>
        <v>-1</v>
        <stp/>
        <stp>DELTA</stp>
        <stp>.SPXW250508P5750</stp>
        <tr r="CE97" s="1"/>
        <tr r="CE97" s="1"/>
      </tp>
      <tp>
        <v>-0.97</v>
        <stp/>
        <stp>DELTA</stp>
        <stp>.SPXW250509P5740</stp>
        <tr r="CG98" s="1"/>
        <tr r="CG98" s="1"/>
      </tp>
      <tp>
        <v>0</v>
        <stp/>
        <stp>DELTA</stp>
        <stp>.SPXW250508C5750</stp>
        <tr r="CD97" s="1"/>
        <tr r="CD97" s="1"/>
      </tp>
      <tp>
        <v>0</v>
        <stp/>
        <stp>DELTA</stp>
        <stp>.SPXW250509C5740</stp>
        <tr r="CF98" s="1"/>
        <tr r="CF98" s="1"/>
      </tp>
      <tp>
        <v>-1</v>
        <stp/>
        <stp>DELTA</stp>
        <stp>.SPXW250508P5740</stp>
        <tr r="CE98" s="1"/>
        <tr r="CE98" s="1"/>
      </tp>
      <tp>
        <v>-0.97</v>
        <stp/>
        <stp>DELTA</stp>
        <stp>.SPXW250509P5750</stp>
        <tr r="CG97" s="1"/>
        <tr r="CG97" s="1"/>
      </tp>
      <tp>
        <v>0</v>
        <stp/>
        <stp>DELTA</stp>
        <stp>.SPXW250508C5740</stp>
        <tr r="CD98" s="1"/>
        <tr r="CD98" s="1"/>
      </tp>
      <tp>
        <v>0</v>
        <stp/>
        <stp>DELTA</stp>
        <stp>.SPXW250509C5750</stp>
        <tr r="CF97" s="1"/>
        <tr r="CF97" s="1"/>
      </tp>
      <tp>
        <v>-0.44</v>
        <stp/>
        <stp>DELTA</stp>
        <stp>.SPXW250516P5650</stp>
        <tr r="CI107" s="1"/>
        <tr r="CI107" s="1"/>
      </tp>
      <tp>
        <v>0.53</v>
        <stp/>
        <stp>DELTA</stp>
        <stp>.SPXW250516C5650</stp>
        <tr r="CH107" s="1"/>
        <tr r="CH107" s="1"/>
      </tp>
      <tp>
        <v>-0.4</v>
        <stp/>
        <stp>DELTA</stp>
        <stp>.SPXW250516P5640</stp>
        <tr r="CI108" s="1"/>
        <tr r="CI108" s="1"/>
      </tp>
      <tp>
        <v>0.54</v>
        <stp/>
        <stp>DELTA</stp>
        <stp>.SPXW250516C5640</stp>
        <tr r="CH108" s="1"/>
        <tr r="CH108" s="1"/>
      </tp>
      <tp>
        <v>-1</v>
        <stp/>
        <stp>DELTA</stp>
        <stp>.SPXW250508P5790</stp>
        <tr r="CE93" s="1"/>
        <tr r="CE93" s="1"/>
      </tp>
      <tp>
        <v>-0.99</v>
        <stp/>
        <stp>DELTA</stp>
        <stp>.SPXW250509P5780</stp>
        <tr r="CG94" s="1"/>
        <tr r="CG94" s="1"/>
      </tp>
      <tp>
        <v>-0.53</v>
        <stp/>
        <stp>DELTA</stp>
        <stp>.SPXW250516P5670</stp>
        <tr r="CI105" s="1"/>
        <tr r="CI105" s="1"/>
      </tp>
      <tp>
        <v>0</v>
        <stp/>
        <stp>DELTA</stp>
        <stp>.SPXW250508C5790</stp>
        <tr r="CD93" s="1"/>
        <tr r="CD93" s="1"/>
      </tp>
      <tp>
        <v>0</v>
        <stp/>
        <stp>DELTA</stp>
        <stp>.SPXW250509C5780</stp>
        <tr r="CF94" s="1"/>
        <tr r="CF94" s="1"/>
      </tp>
      <tp>
        <v>0.5</v>
        <stp/>
        <stp>DELTA</stp>
        <stp>.SPXW250516C5670</stp>
        <tr r="CH105" s="1"/>
        <tr r="CH105" s="1"/>
      </tp>
      <tp>
        <v>-1</v>
        <stp/>
        <stp>DELTA</stp>
        <stp>.SPXW250508P5780</stp>
        <tr r="CE94" s="1"/>
        <tr r="CE94" s="1"/>
      </tp>
      <tp>
        <v>-0.99</v>
        <stp/>
        <stp>DELTA</stp>
        <stp>.SPXW250509P5790</stp>
        <tr r="CG93" s="1"/>
        <tr r="CG93" s="1"/>
      </tp>
      <tp>
        <v>-0.48</v>
        <stp/>
        <stp>DELTA</stp>
        <stp>.SPXW250516P5660</stp>
        <tr r="CI106" s="1"/>
        <tr r="CI106" s="1"/>
      </tp>
      <tp>
        <v>0</v>
        <stp/>
        <stp>DELTA</stp>
        <stp>.SPXW250508C5780</stp>
        <tr r="CD94" s="1"/>
        <tr r="CD94" s="1"/>
      </tp>
      <tp>
        <v>0</v>
        <stp/>
        <stp>DELTA</stp>
        <stp>.SPXW250509C5790</stp>
        <tr r="CF93" s="1"/>
        <tr r="CF93" s="1"/>
      </tp>
      <tp>
        <v>0.51</v>
        <stp/>
        <stp>DELTA</stp>
        <stp>.SPXW250516C5660</stp>
        <tr r="CH106" s="1"/>
        <tr r="CH106" s="1"/>
      </tp>
      <tp>
        <v>-0.3</v>
        <stp/>
        <stp>DELTA</stp>
        <stp>.SPXW250516P5610</stp>
        <tr r="CI111" s="1"/>
        <tr r="CI111" s="1"/>
      </tp>
      <tp>
        <v>0.59</v>
        <stp/>
        <stp>DELTA</stp>
        <stp>.SPXW250516C5610</stp>
        <tr r="CH111" s="1"/>
        <tr r="CH111" s="1"/>
      </tp>
      <tp>
        <v>-0.27</v>
        <stp/>
        <stp>DELTA</stp>
        <stp>.SPXW250516P5600</stp>
        <tr r="CI112" s="1"/>
        <tr r="CI112" s="1"/>
      </tp>
      <tp>
        <v>0.6</v>
        <stp/>
        <stp>DELTA</stp>
        <stp>.SPXW250516C5600</stp>
        <tr r="CH112" s="1"/>
        <tr r="CH112" s="1"/>
      </tp>
      <tp>
        <v>-0.36</v>
        <stp/>
        <stp>DELTA</stp>
        <stp>.SPXW250516P5630</stp>
        <tr r="CI109" s="1"/>
        <tr r="CI109" s="1"/>
      </tp>
      <tp>
        <v>0.56000000000000005</v>
        <stp/>
        <stp>DELTA</stp>
        <stp>.SPXW250516C5630</stp>
        <tr r="CH109" s="1"/>
        <tr r="CH109" s="1"/>
      </tp>
      <tp>
        <v>-0.33</v>
        <stp/>
        <stp>DELTA</stp>
        <stp>.SPXW250516P5620</stp>
        <tr r="CI110" s="1"/>
        <tr r="CI110" s="1"/>
      </tp>
      <tp>
        <v>0.56999999999999995</v>
        <stp/>
        <stp>DELTA</stp>
        <stp>.SPXW250516C5620</stp>
        <tr r="CH110" s="1"/>
        <tr r="CH110" s="1"/>
      </tp>
      <tp>
        <v>276</v>
        <stp/>
        <stp>VOLUME</stp>
        <stp>.SPY250516P580</stp>
        <tr r="BF6" s="1"/>
        <tr r="BF6" s="1"/>
      </tp>
      <tp>
        <v>24557</v>
        <stp/>
        <stp>VOLUME</stp>
        <stp>.SPY250516C580</stp>
        <tr r="BE6" s="1"/>
        <tr r="BE6" s="1"/>
      </tp>
      <tp>
        <v>202</v>
        <stp/>
        <stp>VOLUME</stp>
        <stp>.SPY250516P581</stp>
        <tr r="BF5" s="1"/>
        <tr r="BF5" s="1"/>
      </tp>
      <tp>
        <v>3906</v>
        <stp/>
        <stp>VOLUME</stp>
        <stp>.SPY250516C581</stp>
        <tr r="BE5" s="1"/>
        <tr r="BE5" s="1"/>
      </tp>
      <tp>
        <v>105</v>
        <stp/>
        <stp>VOLUME</stp>
        <stp>.SPY250516P582</stp>
        <tr r="BF4" s="1"/>
        <tr r="BF4" s="1"/>
      </tp>
      <tp>
        <v>3487</v>
        <stp/>
        <stp>VOLUME</stp>
        <stp>.SPY250516C582</stp>
        <tr r="BE4" s="1"/>
        <tr r="BE4" s="1"/>
      </tp>
      <tp t="s">
        <v>N/A</v>
        <stp/>
        <stp>VOLUME</stp>
        <stp>.SPY250508P582</stp>
        <tr r="BB4" s="1"/>
      </tp>
      <tp t="s">
        <v>N/A</v>
        <stp/>
        <stp>VOLUME</stp>
        <stp>.SPY250508C582</stp>
        <tr r="BA4" s="1"/>
      </tp>
      <tp>
        <v>40</v>
        <stp/>
        <stp>VOLUME</stp>
        <stp>.SPY250509P582</stp>
        <tr r="BD4" s="1"/>
        <tr r="BD4" s="1"/>
      </tp>
      <tp>
        <v>2148</v>
        <stp/>
        <stp>VOLUME</stp>
        <stp>.SPY250509C582</stp>
        <tr r="BC4" s="1"/>
        <tr r="BC4" s="1"/>
      </tp>
      <tp t="s">
        <v>N/A</v>
        <stp/>
        <stp>VOLUME</stp>
        <stp>.SPY250508P580</stp>
        <tr r="BB6" s="1"/>
      </tp>
      <tp>
        <v>15</v>
        <stp/>
        <stp>VOLUME</stp>
        <stp>.SPY250509P581</stp>
        <tr r="BD5" s="1"/>
        <tr r="BD5" s="1"/>
      </tp>
      <tp t="s">
        <v>N/A</v>
        <stp/>
        <stp>VOLUME</stp>
        <stp>.SPY250508C580</stp>
        <tr r="BA6" s="1"/>
      </tp>
      <tp>
        <v>4392</v>
        <stp/>
        <stp>VOLUME</stp>
        <stp>.SPY250509C581</stp>
        <tr r="BC5" s="1"/>
        <tr r="BC5" s="1"/>
      </tp>
      <tp t="s">
        <v>N/A</v>
        <stp/>
        <stp>VOLUME</stp>
        <stp>.SPY250508P581</stp>
        <tr r="BB5" s="1"/>
      </tp>
      <tp>
        <v>127</v>
        <stp/>
        <stp>VOLUME</stp>
        <stp>.SPY250509P580</stp>
        <tr r="BD6" s="1"/>
        <tr r="BD6" s="1"/>
      </tp>
      <tp t="s">
        <v>N/A</v>
        <stp/>
        <stp>VOLUME</stp>
        <stp>.SPY250508C581</stp>
        <tr r="BA5" s="1"/>
      </tp>
      <tp>
        <v>11783</v>
        <stp/>
        <stp>VOLUME</stp>
        <stp>.SPY250509C580</stp>
        <tr r="BC6" s="1"/>
        <tr r="BC6" s="1"/>
      </tp>
      <tp>
        <v>1</v>
        <stp/>
        <stp>VOLUME</stp>
        <stp>.SPY250530P582</stp>
        <tr r="I5" s="2"/>
        <tr r="I5" s="2"/>
      </tp>
      <tp>
        <v>283</v>
        <stp/>
        <stp>VOLUME</stp>
        <stp>.SPY250530C582</stp>
        <tr r="I5" s="2"/>
        <tr r="I5" s="2"/>
      </tp>
      <tp>
        <v>141</v>
        <stp/>
        <stp>VOLUME</stp>
        <stp>.SPY250530P580</stp>
        <tr r="I7" s="2"/>
        <tr r="I7" s="2"/>
      </tp>
      <tp>
        <v>3390</v>
        <stp/>
        <stp>VOLUME</stp>
        <stp>.SPY250530C580</stp>
        <tr r="I7" s="2"/>
        <tr r="I7" s="2"/>
      </tp>
      <tp t="s">
        <v>N/A</v>
        <stp/>
        <stp>VOLUME</stp>
        <stp>.SPY250530P581</stp>
        <tr r="I6" s="2"/>
      </tp>
      <tp>
        <v>655</v>
        <stp/>
        <stp>VOLUME</stp>
        <stp>.SPY250530C581</stp>
        <tr r="I6" s="2"/>
        <tr r="I6" s="2"/>
      </tp>
      <tp>
        <v>3</v>
        <stp/>
        <stp>VOLUME</stp>
        <stp>.SPY250523P581</stp>
        <tr r="H6" s="2"/>
        <tr r="H6" s="2"/>
      </tp>
      <tp>
        <v>318</v>
        <stp/>
        <stp>VOLUME</stp>
        <stp>.SPY250523C581</stp>
        <tr r="H6" s="2"/>
        <tr r="H6" s="2"/>
      </tp>
      <tp>
        <v>13</v>
        <stp/>
        <stp>VOLUME</stp>
        <stp>.SPY250523P580</stp>
        <tr r="H7" s="2"/>
        <tr r="H7" s="2"/>
      </tp>
      <tp>
        <v>3120</v>
        <stp/>
        <stp>VOLUME</stp>
        <stp>.SPY250523C580</stp>
        <tr r="H7" s="2"/>
        <tr r="H7" s="2"/>
      </tp>
      <tp t="s">
        <v>N/A</v>
        <stp/>
        <stp>VOLUME</stp>
        <stp>.SPY250523P582</stp>
        <tr r="H5" s="2"/>
      </tp>
      <tp>
        <v>287</v>
        <stp/>
        <stp>VOLUME</stp>
        <stp>.SPY250523C582</stp>
        <tr r="H5" s="2"/>
        <tr r="H5" s="2"/>
      </tp>
      <tp>
        <v>82</v>
        <stp/>
        <stp>VOLUME</stp>
        <stp>.SPY250523P575</stp>
        <tr r="H12" s="2"/>
        <tr r="H12" s="2"/>
      </tp>
      <tp>
        <v>518</v>
        <stp/>
        <stp>VOLUME</stp>
        <stp>.SPY250530P566</stp>
        <tr r="I21" s="2"/>
        <tr r="I21" s="2"/>
      </tp>
      <tp>
        <v>1060</v>
        <stp/>
        <stp>VOLUME</stp>
        <stp>.SPY250523C575</stp>
        <tr r="H12" s="2"/>
        <tr r="H12" s="2"/>
      </tp>
      <tp>
        <v>1088</v>
        <stp/>
        <stp>VOLUME</stp>
        <stp>.SPY250530C566</stp>
        <tr r="I21" s="2"/>
        <tr r="I21" s="2"/>
      </tp>
      <tp>
        <v>2</v>
        <stp/>
        <stp>VOLUME</stp>
        <stp>.SPY250523P574</stp>
        <tr r="H13" s="2"/>
        <tr r="H13" s="2"/>
      </tp>
      <tp>
        <v>756</v>
        <stp/>
        <stp>VOLUME</stp>
        <stp>.SPY250530P567</stp>
        <tr r="I20" s="2"/>
        <tr r="I20" s="2"/>
      </tp>
      <tp>
        <v>115</v>
        <stp/>
        <stp>VOLUME</stp>
        <stp>.SPY250523C574</stp>
        <tr r="H13" s="2"/>
        <tr r="H13" s="2"/>
      </tp>
      <tp>
        <v>1082</v>
        <stp/>
        <stp>VOLUME</stp>
        <stp>.SPY250530C567</stp>
        <tr r="I20" s="2"/>
        <tr r="I20" s="2"/>
      </tp>
      <tp>
        <v>2</v>
        <stp/>
        <stp>VOLUME</stp>
        <stp>.SPY250523P577</stp>
        <tr r="H10" s="2"/>
        <tr r="H10" s="2"/>
      </tp>
      <tp>
        <v>1027</v>
        <stp/>
        <stp>VOLUME</stp>
        <stp>.SPY250530P564</stp>
        <tr r="I23" s="2"/>
        <tr r="I23" s="2"/>
      </tp>
      <tp>
        <v>172</v>
        <stp/>
        <stp>VOLUME</stp>
        <stp>.SPY250523C577</stp>
        <tr r="H10" s="2"/>
        <tr r="H10" s="2"/>
      </tp>
      <tp>
        <v>1159</v>
        <stp/>
        <stp>VOLUME</stp>
        <stp>.SPY250530C564</stp>
        <tr r="I23" s="2"/>
        <tr r="I23" s="2"/>
      </tp>
      <tp>
        <v>15</v>
        <stp/>
        <stp>VOLUME</stp>
        <stp>.SPY250523P576</stp>
        <tr r="H11" s="2"/>
        <tr r="H11" s="2"/>
      </tp>
      <tp>
        <v>1746</v>
        <stp/>
        <stp>VOLUME</stp>
        <stp>.SPY250530P565</stp>
        <tr r="I22" s="2"/>
        <tr r="I22" s="2"/>
      </tp>
      <tp>
        <v>416</v>
        <stp/>
        <stp>VOLUME</stp>
        <stp>.SPY250523C576</stp>
        <tr r="H11" s="2"/>
        <tr r="H11" s="2"/>
      </tp>
      <tp>
        <v>3973</v>
        <stp/>
        <stp>VOLUME</stp>
        <stp>.SPY250530C565</stp>
        <tr r="I22" s="2"/>
        <tr r="I22" s="2"/>
      </tp>
      <tp>
        <v>6</v>
        <stp/>
        <stp>VOLUME</stp>
        <stp>.SPY250523P571</stp>
        <tr r="H16" s="2"/>
        <tr r="H16" s="2"/>
      </tp>
      <tp>
        <v>138</v>
        <stp/>
        <stp>VOLUME</stp>
        <stp>.SPY250530P562</stp>
        <tr r="I25" s="2"/>
        <tr r="I25" s="2"/>
      </tp>
      <tp>
        <v>1568</v>
        <stp/>
        <stp>VOLUME</stp>
        <stp>.SPY250523C571</stp>
        <tr r="H16" s="2"/>
        <tr r="H16" s="2"/>
      </tp>
      <tp>
        <v>655</v>
        <stp/>
        <stp>VOLUME</stp>
        <stp>.SPY250530C562</stp>
        <tr r="I25" s="2"/>
        <tr r="I25" s="2"/>
      </tp>
      <tp>
        <v>670</v>
        <stp/>
        <stp>VOLUME</stp>
        <stp>.SPY250523P570</stp>
        <tr r="H17" s="2"/>
        <tr r="H17" s="2"/>
      </tp>
      <tp>
        <v>697</v>
        <stp/>
        <stp>VOLUME</stp>
        <stp>.SPY250530P563</stp>
        <tr r="I24" s="2"/>
        <tr r="I24" s="2"/>
      </tp>
      <tp>
        <v>1910</v>
        <stp/>
        <stp>VOLUME</stp>
        <stp>.SPY250523C570</stp>
        <tr r="H17" s="2"/>
        <tr r="H17" s="2"/>
      </tp>
      <tp>
        <v>775</v>
        <stp/>
        <stp>VOLUME</stp>
        <stp>.SPY250530C563</stp>
        <tr r="I24" s="2"/>
        <tr r="I24" s="2"/>
      </tp>
      <tp t="s">
        <v>N/A</v>
        <stp/>
        <stp>VOLUME</stp>
        <stp>.SPY250508P558</stp>
        <tr r="BB28" s="1"/>
      </tp>
      <tp>
        <v>74152</v>
        <stp/>
        <stp>VOLUME</stp>
        <stp>.SPY250509P559</stp>
        <tr r="BD27" s="1"/>
        <tr r="BD27" s="1"/>
      </tp>
      <tp>
        <v>15</v>
        <stp/>
        <stp>VOLUME</stp>
        <stp>.SPY250523P573</stp>
        <tr r="H14" s="2"/>
        <tr r="H14" s="2"/>
      </tp>
      <tp>
        <v>1425</v>
        <stp/>
        <stp>VOLUME</stp>
        <stp>.SPY250530P560</stp>
        <tr r="I27" s="2"/>
        <tr r="I27" s="2"/>
      </tp>
      <tp t="s">
        <v>N/A</v>
        <stp/>
        <stp>VOLUME</stp>
        <stp>.SPY250508C558</stp>
        <tr r="BA28" s="1"/>
      </tp>
      <tp>
        <v>3494</v>
        <stp/>
        <stp>VOLUME</stp>
        <stp>.SPY250509C559</stp>
        <tr r="BC27" s="1"/>
        <tr r="BC27" s="1"/>
      </tp>
      <tp>
        <v>167</v>
        <stp/>
        <stp>VOLUME</stp>
        <stp>.SPY250523C573</stp>
        <tr r="H14" s="2"/>
        <tr r="H14" s="2"/>
      </tp>
      <tp>
        <v>605</v>
        <stp/>
        <stp>VOLUME</stp>
        <stp>.SPY250530C560</stp>
        <tr r="I27" s="2"/>
        <tr r="I27" s="2"/>
      </tp>
      <tp t="s">
        <v>N/A</v>
        <stp/>
        <stp>VOLUME</stp>
        <stp>.SPY250508P559</stp>
        <tr r="BB27" s="1"/>
      </tp>
      <tp>
        <v>46685</v>
        <stp/>
        <stp>VOLUME</stp>
        <stp>.SPY250509P558</stp>
        <tr r="BD28" s="1"/>
        <tr r="BD28" s="1"/>
      </tp>
      <tp>
        <v>38</v>
        <stp/>
        <stp>VOLUME</stp>
        <stp>.SPY250523P572</stp>
        <tr r="H15" s="2"/>
        <tr r="H15" s="2"/>
      </tp>
      <tp>
        <v>918</v>
        <stp/>
        <stp>VOLUME</stp>
        <stp>.SPY250530P561</stp>
        <tr r="I26" s="2"/>
        <tr r="I26" s="2"/>
      </tp>
      <tp t="s">
        <v>N/A</v>
        <stp/>
        <stp>VOLUME</stp>
        <stp>.SPY250508C559</stp>
        <tr r="BA27" s="1"/>
      </tp>
      <tp>
        <v>1075</v>
        <stp/>
        <stp>VOLUME</stp>
        <stp>.SPY250509C558</stp>
        <tr r="BC28" s="1"/>
        <tr r="BC28" s="1"/>
      </tp>
      <tp>
        <v>320</v>
        <stp/>
        <stp>VOLUME</stp>
        <stp>.SPY250523C572</stp>
        <tr r="H15" s="2"/>
        <tr r="H15" s="2"/>
      </tp>
      <tp>
        <v>293</v>
        <stp/>
        <stp>VOLUME</stp>
        <stp>.SPY250530C561</stp>
        <tr r="I26" s="2"/>
        <tr r="I26" s="2"/>
      </tp>
      <tp t="s">
        <v>N/A</v>
        <stp/>
        <stp>VOLUME</stp>
        <stp>.SPY250508P556</stp>
        <tr r="BB30" s="1"/>
      </tp>
      <tp>
        <v>35181</v>
        <stp/>
        <stp>VOLUME</stp>
        <stp>.SPY250509P557</stp>
        <tr r="BD29" s="1"/>
        <tr r="BD29" s="1"/>
      </tp>
      <tp>
        <v>3395</v>
        <stp/>
        <stp>VOLUME</stp>
        <stp>.SPY250516P548</stp>
        <tr r="BF38" s="1"/>
        <tr r="BF38" s="1"/>
      </tp>
      <tp t="s">
        <v>N/A</v>
        <stp/>
        <stp>VOLUME</stp>
        <stp>.SPY250508C556</stp>
        <tr r="BA30" s="1"/>
      </tp>
      <tp>
        <v>731</v>
        <stp/>
        <stp>VOLUME</stp>
        <stp>.SPY250509C557</stp>
        <tr r="BC29" s="1"/>
        <tr r="BC29" s="1"/>
      </tp>
      <tp>
        <v>102</v>
        <stp/>
        <stp>VOLUME</stp>
        <stp>.SPY250516C548</stp>
        <tr r="BE38" s="1"/>
        <tr r="BE38" s="1"/>
      </tp>
      <tp t="s">
        <v>N/A</v>
        <stp/>
        <stp>VOLUME</stp>
        <stp>.SPY250508P557</stp>
        <tr r="BB29" s="1"/>
      </tp>
      <tp>
        <v>34853</v>
        <stp/>
        <stp>VOLUME</stp>
        <stp>.SPY250509P556</stp>
        <tr r="BD30" s="1"/>
        <tr r="BD30" s="1"/>
      </tp>
      <tp>
        <v>2265</v>
        <stp/>
        <stp>VOLUME</stp>
        <stp>.SPY250516P549</stp>
        <tr r="BF37" s="1"/>
        <tr r="BF37" s="1"/>
      </tp>
      <tp t="s">
        <v>N/A</v>
        <stp/>
        <stp>VOLUME</stp>
        <stp>.SPY250508C557</stp>
        <tr r="BA29" s="1"/>
      </tp>
      <tp>
        <v>628</v>
        <stp/>
        <stp>VOLUME</stp>
        <stp>.SPY250509C556</stp>
        <tr r="BC30" s="1"/>
        <tr r="BC30" s="1"/>
      </tp>
      <tp>
        <v>57</v>
        <stp/>
        <stp>VOLUME</stp>
        <stp>.SPY250516C549</stp>
        <tr r="BE37" s="1"/>
        <tr r="BE37" s="1"/>
      </tp>
      <tp t="s">
        <v>N/A</v>
        <stp/>
        <stp>VOLUME</stp>
        <stp>.SPY250508P554</stp>
        <tr r="BB32" s="1"/>
      </tp>
      <tp>
        <v>50982</v>
        <stp/>
        <stp>VOLUME</stp>
        <stp>.SPY250509P555</stp>
        <tr r="BD31" s="1"/>
        <tr r="BD31" s="1"/>
      </tp>
      <tp t="s">
        <v>N/A</v>
        <stp/>
        <stp>VOLUME</stp>
        <stp>.SPY250508C554</stp>
        <tr r="BA32" s="1"/>
      </tp>
      <tp>
        <v>1732</v>
        <stp/>
        <stp>VOLUME</stp>
        <stp>.SPY250509C555</stp>
        <tr r="BC31" s="1"/>
        <tr r="BC31" s="1"/>
      </tp>
      <tp t="s">
        <v>N/A</v>
        <stp/>
        <stp>VOLUME</stp>
        <stp>.SPY250508P555</stp>
        <tr r="BB31" s="1"/>
      </tp>
      <tp>
        <v>21468</v>
        <stp/>
        <stp>VOLUME</stp>
        <stp>.SPY250509P554</stp>
        <tr r="BD32" s="1"/>
        <tr r="BD32" s="1"/>
      </tp>
      <tp t="s">
        <v>N/A</v>
        <stp/>
        <stp>VOLUME</stp>
        <stp>.SPY250508C555</stp>
        <tr r="BA31" s="1"/>
      </tp>
      <tp>
        <v>853</v>
        <stp/>
        <stp>VOLUME</stp>
        <stp>.SPY250509C554</stp>
        <tr r="BC32" s="1"/>
        <tr r="BC32" s="1"/>
      </tp>
      <tp t="s">
        <v>N/A</v>
        <stp/>
        <stp>VOLUME</stp>
        <stp>.SPY250508P552</stp>
        <tr r="BB34" s="1"/>
      </tp>
      <tp>
        <v>15411</v>
        <stp/>
        <stp>VOLUME</stp>
        <stp>.SPY250509P553</stp>
        <tr r="BD33" s="1"/>
        <tr r="BD33" s="1"/>
      </tp>
      <tp>
        <v>4</v>
        <stp/>
        <stp>VOLUME</stp>
        <stp>.SPY250523P579</stp>
        <tr r="H8" s="2"/>
        <tr r="H8" s="2"/>
      </tp>
      <tp t="s">
        <v>N/A</v>
        <stp/>
        <stp>VOLUME</stp>
        <stp>.SPY250508C552</stp>
        <tr r="BA34" s="1"/>
      </tp>
      <tp>
        <v>228</v>
        <stp/>
        <stp>VOLUME</stp>
        <stp>.SPY250509C553</stp>
        <tr r="BC33" s="1"/>
        <tr r="BC33" s="1"/>
      </tp>
      <tp>
        <v>130</v>
        <stp/>
        <stp>VOLUME</stp>
        <stp>.SPY250523C579</stp>
        <tr r="H8" s="2"/>
        <tr r="H8" s="2"/>
      </tp>
      <tp t="s">
        <v>N/A</v>
        <stp/>
        <stp>VOLUME</stp>
        <stp>.SPY250508P553</stp>
        <tr r="BB33" s="1"/>
      </tp>
      <tp>
        <v>14323</v>
        <stp/>
        <stp>VOLUME</stp>
        <stp>.SPY250509P552</stp>
        <tr r="BD34" s="1"/>
        <tr r="BD34" s="1"/>
      </tp>
      <tp>
        <v>1</v>
        <stp/>
        <stp>VOLUME</stp>
        <stp>.SPY250523P578</stp>
        <tr r="H9" s="2"/>
        <tr r="H9" s="2"/>
      </tp>
      <tp t="s">
        <v>N/A</v>
        <stp/>
        <stp>VOLUME</stp>
        <stp>.SPY250508C553</stp>
        <tr r="BA33" s="1"/>
      </tp>
      <tp>
        <v>232</v>
        <stp/>
        <stp>VOLUME</stp>
        <stp>.SPY250509C552</stp>
        <tr r="BC34" s="1"/>
        <tr r="BC34" s="1"/>
      </tp>
      <tp>
        <v>228</v>
        <stp/>
        <stp>VOLUME</stp>
        <stp>.SPY250523C578</stp>
        <tr r="H9" s="2"/>
        <tr r="H9" s="2"/>
      </tp>
      <tp t="s">
        <v>N/A</v>
        <stp/>
        <stp>VOLUME</stp>
        <stp>.SPY250508P550</stp>
        <tr r="BB36" s="1"/>
      </tp>
      <tp>
        <v>8178</v>
        <stp/>
        <stp>VOLUME</stp>
        <stp>.SPY250509P551</stp>
        <tr r="BD35" s="1"/>
        <tr r="BD35" s="1"/>
      </tp>
      <tp>
        <v>167</v>
        <stp/>
        <stp>VOLUME</stp>
        <stp>.SPY250530P568</stp>
        <tr r="I19" s="2"/>
        <tr r="I19" s="2"/>
      </tp>
      <tp t="s">
        <v>N/A</v>
        <stp/>
        <stp>VOLUME</stp>
        <stp>.SPY250508C550</stp>
        <tr r="BA36" s="1"/>
      </tp>
      <tp>
        <v>210</v>
        <stp/>
        <stp>VOLUME</stp>
        <stp>.SPY250509C551</stp>
        <tr r="BC35" s="1"/>
        <tr r="BC35" s="1"/>
      </tp>
      <tp>
        <v>1090</v>
        <stp/>
        <stp>VOLUME</stp>
        <stp>.SPY250530C568</stp>
        <tr r="I19" s="2"/>
        <tr r="I19" s="2"/>
      </tp>
      <tp t="s">
        <v>N/A</v>
        <stp/>
        <stp>VOLUME</stp>
        <stp>.SPY250508P551</stp>
        <tr r="BB35" s="1"/>
      </tp>
      <tp>
        <v>19768</v>
        <stp/>
        <stp>VOLUME</stp>
        <stp>.SPY250509P550</stp>
        <tr r="BD36" s="1"/>
        <tr r="BD36" s="1"/>
      </tp>
      <tp>
        <v>265</v>
        <stp/>
        <stp>VOLUME</stp>
        <stp>.SPY250530P569</stp>
        <tr r="I18" s="2"/>
        <tr r="I18" s="2"/>
      </tp>
      <tp t="s">
        <v>N/A</v>
        <stp/>
        <stp>VOLUME</stp>
        <stp>.SPY250508C551</stp>
        <tr r="BA35" s="1"/>
      </tp>
      <tp>
        <v>821</v>
        <stp/>
        <stp>VOLUME</stp>
        <stp>.SPY250509C550</stp>
        <tr r="BC36" s="1"/>
        <tr r="BC36" s="1"/>
      </tp>
      <tp>
        <v>608</v>
        <stp/>
        <stp>VOLUME</stp>
        <stp>.SPY250530C569</stp>
        <tr r="I18" s="2"/>
        <tr r="I18" s="2"/>
      </tp>
      <tp>
        <v>58889</v>
        <stp/>
        <stp>VOLUME</stp>
        <stp>.SPY250516P550</stp>
        <tr r="BF36" s="1"/>
        <tr r="BF36" s="1"/>
      </tp>
      <tp>
        <v>1103</v>
        <stp/>
        <stp>VOLUME</stp>
        <stp>.SPY250523P565</stp>
        <tr r="H22" s="2"/>
        <tr r="H22" s="2"/>
      </tp>
      <tp>
        <v>6</v>
        <stp/>
        <stp>VOLUME</stp>
        <stp>.SPY250530P576</stp>
        <tr r="I11" s="2"/>
        <tr r="I11" s="2"/>
      </tp>
      <tp>
        <v>754</v>
        <stp/>
        <stp>VOLUME</stp>
        <stp>.SPY250516C550</stp>
        <tr r="BE36" s="1"/>
        <tr r="BE36" s="1"/>
      </tp>
      <tp>
        <v>1993</v>
        <stp/>
        <stp>VOLUME</stp>
        <stp>.SPY250523C565</stp>
        <tr r="H22" s="2"/>
        <tr r="H22" s="2"/>
      </tp>
      <tp>
        <v>348</v>
        <stp/>
        <stp>VOLUME</stp>
        <stp>.SPY250530C576</stp>
        <tr r="I11" s="2"/>
        <tr r="I11" s="2"/>
      </tp>
      <tp>
        <v>2487</v>
        <stp/>
        <stp>VOLUME</stp>
        <stp>.SPY250516P551</stp>
        <tr r="BF35" s="1"/>
        <tr r="BF35" s="1"/>
      </tp>
      <tp>
        <v>1180</v>
        <stp/>
        <stp>VOLUME</stp>
        <stp>.SPY250523P564</stp>
        <tr r="H23" s="2"/>
        <tr r="H23" s="2"/>
      </tp>
      <tp t="s">
        <v>N/A</v>
        <stp/>
        <stp>VOLUME</stp>
        <stp>.SPY250530P577</stp>
        <tr r="I10" s="2"/>
      </tp>
      <tp>
        <v>35</v>
        <stp/>
        <stp>VOLUME</stp>
        <stp>.SPY250516C551</stp>
        <tr r="BE35" s="1"/>
        <tr r="BE35" s="1"/>
      </tp>
      <tp>
        <v>1284</v>
        <stp/>
        <stp>VOLUME</stp>
        <stp>.SPY250523C564</stp>
        <tr r="H23" s="2"/>
        <tr r="H23" s="2"/>
      </tp>
      <tp>
        <v>282</v>
        <stp/>
        <stp>VOLUME</stp>
        <stp>.SPY250530C577</stp>
        <tr r="I10" s="2"/>
        <tr r="I10" s="2"/>
      </tp>
      <tp>
        <v>3328</v>
        <stp/>
        <stp>VOLUME</stp>
        <stp>.SPY250516P552</stp>
        <tr r="BF34" s="1"/>
        <tr r="BF34" s="1"/>
      </tp>
      <tp>
        <v>271</v>
        <stp/>
        <stp>VOLUME</stp>
        <stp>.SPY250523P567</stp>
        <tr r="H20" s="2"/>
        <tr r="H20" s="2"/>
      </tp>
      <tp>
        <v>158</v>
        <stp/>
        <stp>VOLUME</stp>
        <stp>.SPY250530P574</stp>
        <tr r="I13" s="2"/>
        <tr r="I13" s="2"/>
      </tp>
      <tp>
        <v>122</v>
        <stp/>
        <stp>VOLUME</stp>
        <stp>.SPY250516C552</stp>
        <tr r="BE34" s="1"/>
        <tr r="BE34" s="1"/>
      </tp>
      <tp>
        <v>851</v>
        <stp/>
        <stp>VOLUME</stp>
        <stp>.SPY250523C567</stp>
        <tr r="H20" s="2"/>
        <tr r="H20" s="2"/>
      </tp>
      <tp>
        <v>532</v>
        <stp/>
        <stp>VOLUME</stp>
        <stp>.SPY250530C574</stp>
        <tr r="I13" s="2"/>
        <tr r="I13" s="2"/>
      </tp>
      <tp>
        <v>1283</v>
        <stp/>
        <stp>VOLUME</stp>
        <stp>.SPY250516P553</stp>
        <tr r="BF33" s="1"/>
        <tr r="BF33" s="1"/>
      </tp>
      <tp>
        <v>559</v>
        <stp/>
        <stp>VOLUME</stp>
        <stp>.SPY250523P566</stp>
        <tr r="H21" s="2"/>
        <tr r="H21" s="2"/>
      </tp>
      <tp>
        <v>62</v>
        <stp/>
        <stp>VOLUME</stp>
        <stp>.SPY250530P575</stp>
        <tr r="I12" s="2"/>
        <tr r="I12" s="2"/>
      </tp>
      <tp>
        <v>235</v>
        <stp/>
        <stp>VOLUME</stp>
        <stp>.SPY250516C553</stp>
        <tr r="BE33" s="1"/>
        <tr r="BE33" s="1"/>
      </tp>
      <tp>
        <v>1035</v>
        <stp/>
        <stp>VOLUME</stp>
        <stp>.SPY250523C566</stp>
        <tr r="H21" s="2"/>
        <tr r="H21" s="2"/>
      </tp>
      <tp>
        <v>2459</v>
        <stp/>
        <stp>VOLUME</stp>
        <stp>.SPY250530C575</stp>
        <tr r="I12" s="2"/>
        <tr r="I12" s="2"/>
      </tp>
      <tp>
        <v>2238</v>
        <stp/>
        <stp>VOLUME</stp>
        <stp>.SPY250516P554</stp>
        <tr r="BF32" s="1"/>
        <tr r="BF32" s="1"/>
      </tp>
      <tp>
        <v>1034</v>
        <stp/>
        <stp>VOLUME</stp>
        <stp>.SPY250523P561</stp>
        <tr r="H26" s="2"/>
        <tr r="H26" s="2"/>
      </tp>
      <tp>
        <v>11</v>
        <stp/>
        <stp>VOLUME</stp>
        <stp>.SPY250530P572</stp>
        <tr r="I15" s="2"/>
        <tr r="I15" s="2"/>
      </tp>
      <tp>
        <v>130</v>
        <stp/>
        <stp>VOLUME</stp>
        <stp>.SPY250516C554</stp>
        <tr r="BE32" s="1"/>
        <tr r="BE32" s="1"/>
      </tp>
      <tp>
        <v>32</v>
        <stp/>
        <stp>VOLUME</stp>
        <stp>.SPY250523C561</stp>
        <tr r="H26" s="2"/>
        <tr r="H26" s="2"/>
      </tp>
      <tp>
        <v>494</v>
        <stp/>
        <stp>VOLUME</stp>
        <stp>.SPY250530C572</stp>
        <tr r="I15" s="2"/>
        <tr r="I15" s="2"/>
      </tp>
      <tp>
        <v>14321</v>
        <stp/>
        <stp>VOLUME</stp>
        <stp>.SPY250516P555</stp>
        <tr r="BF31" s="1"/>
        <tr r="BF31" s="1"/>
      </tp>
      <tp>
        <v>2135</v>
        <stp/>
        <stp>VOLUME</stp>
        <stp>.SPY250523P560</stp>
        <tr r="H27" s="2"/>
        <tr r="H27" s="2"/>
      </tp>
      <tp>
        <v>27</v>
        <stp/>
        <stp>VOLUME</stp>
        <stp>.SPY250530P573</stp>
        <tr r="I14" s="2"/>
        <tr r="I14" s="2"/>
      </tp>
      <tp>
        <v>703</v>
        <stp/>
        <stp>VOLUME</stp>
        <stp>.SPY250516C555</stp>
        <tr r="BE31" s="1"/>
        <tr r="BE31" s="1"/>
      </tp>
      <tp>
        <v>706</v>
        <stp/>
        <stp>VOLUME</stp>
        <stp>.SPY250523C560</stp>
        <tr r="H27" s="2"/>
        <tr r="H27" s="2"/>
      </tp>
      <tp>
        <v>888</v>
        <stp/>
        <stp>VOLUME</stp>
        <stp>.SPY250530C573</stp>
        <tr r="I14" s="2"/>
        <tr r="I14" s="2"/>
      </tp>
      <tp t="s">
        <v>N/A</v>
        <stp/>
        <stp>VOLUME</stp>
        <stp>.SPY250508P548</stp>
        <tr r="BB38" s="1"/>
      </tp>
      <tp>
        <v>8425</v>
        <stp/>
        <stp>VOLUME</stp>
        <stp>.SPY250509P549</stp>
        <tr r="BD37" s="1"/>
        <tr r="BD37" s="1"/>
      </tp>
      <tp>
        <v>1634</v>
        <stp/>
        <stp>VOLUME</stp>
        <stp>.SPY250516P556</stp>
        <tr r="BF30" s="1"/>
        <tr r="BF30" s="1"/>
      </tp>
      <tp>
        <v>181</v>
        <stp/>
        <stp>VOLUME</stp>
        <stp>.SPY250523P563</stp>
        <tr r="H24" s="2"/>
        <tr r="H24" s="2"/>
      </tp>
      <tp>
        <v>966</v>
        <stp/>
        <stp>VOLUME</stp>
        <stp>.SPY250530P570</stp>
        <tr r="I17" s="2"/>
        <tr r="I17" s="2"/>
      </tp>
      <tp t="s">
        <v>N/A</v>
        <stp/>
        <stp>VOLUME</stp>
        <stp>.SPY250508C548</stp>
        <tr r="BA38" s="1"/>
      </tp>
      <tp>
        <v>74</v>
        <stp/>
        <stp>VOLUME</stp>
        <stp>.SPY250509C549</stp>
        <tr r="BC37" s="1"/>
        <tr r="BC37" s="1"/>
      </tp>
      <tp>
        <v>110</v>
        <stp/>
        <stp>VOLUME</stp>
        <stp>.SPY250516C556</stp>
        <tr r="BE30" s="1"/>
        <tr r="BE30" s="1"/>
      </tp>
      <tp>
        <v>553</v>
        <stp/>
        <stp>VOLUME</stp>
        <stp>.SPY250523C563</stp>
        <tr r="H24" s="2"/>
        <tr r="H24" s="2"/>
      </tp>
      <tp>
        <v>2800</v>
        <stp/>
        <stp>VOLUME</stp>
        <stp>.SPY250530C570</stp>
        <tr r="I17" s="2"/>
        <tr r="I17" s="2"/>
      </tp>
      <tp t="s">
        <v>N/A</v>
        <stp/>
        <stp>VOLUME</stp>
        <stp>.SPY250508P549</stp>
        <tr r="BB37" s="1"/>
      </tp>
      <tp>
        <v>3992</v>
        <stp/>
        <stp>VOLUME</stp>
        <stp>.SPY250509P548</stp>
        <tr r="BD38" s="1"/>
        <tr r="BD38" s="1"/>
      </tp>
      <tp>
        <v>1552</v>
        <stp/>
        <stp>VOLUME</stp>
        <stp>.SPY250516P557</stp>
        <tr r="BF29" s="1"/>
        <tr r="BF29" s="1"/>
      </tp>
      <tp>
        <v>506</v>
        <stp/>
        <stp>VOLUME</stp>
        <stp>.SPY250523P562</stp>
        <tr r="H25" s="2"/>
        <tr r="H25" s="2"/>
      </tp>
      <tp>
        <v>18</v>
        <stp/>
        <stp>VOLUME</stp>
        <stp>.SPY250530P571</stp>
        <tr r="I16" s="2"/>
        <tr r="I16" s="2"/>
      </tp>
      <tp t="s">
        <v>N/A</v>
        <stp/>
        <stp>VOLUME</stp>
        <stp>.SPY250508C549</stp>
        <tr r="BA37" s="1"/>
      </tp>
      <tp>
        <v>96</v>
        <stp/>
        <stp>VOLUME</stp>
        <stp>.SPY250509C548</stp>
        <tr r="BC38" s="1"/>
        <tr r="BC38" s="1"/>
      </tp>
      <tp>
        <v>163</v>
        <stp/>
        <stp>VOLUME</stp>
        <stp>.SPY250516C557</stp>
        <tr r="BE29" s="1"/>
        <tr r="BE29" s="1"/>
      </tp>
      <tp>
        <v>114</v>
        <stp/>
        <stp>VOLUME</stp>
        <stp>.SPY250523C562</stp>
        <tr r="H25" s="2"/>
        <tr r="H25" s="2"/>
      </tp>
      <tp>
        <v>210</v>
        <stp/>
        <stp>VOLUME</stp>
        <stp>.SPY250530C571</stp>
        <tr r="I16" s="2"/>
        <tr r="I16" s="2"/>
      </tp>
      <tp>
        <v>2033</v>
        <stp/>
        <stp>VOLUME</stp>
        <stp>.SPY250516P558</stp>
        <tr r="BF28" s="1"/>
        <tr r="BF28" s="1"/>
      </tp>
      <tp>
        <v>295</v>
        <stp/>
        <stp>VOLUME</stp>
        <stp>.SPY250516C558</stp>
        <tr r="BE28" s="1"/>
        <tr r="BE28" s="1"/>
      </tp>
      <tp>
        <v>2605</v>
        <stp/>
        <stp>VOLUME</stp>
        <stp>.SPY250516P559</stp>
        <tr r="BF27" s="1"/>
        <tr r="BF27" s="1"/>
      </tp>
      <tp>
        <v>294</v>
        <stp/>
        <stp>VOLUME</stp>
        <stp>.SPY250516C559</stp>
        <tr r="BE27" s="1"/>
        <tr r="BE27" s="1"/>
      </tp>
      <tp>
        <v>151</v>
        <stp/>
        <stp>VOLUME</stp>
        <stp>.SPY250523P569</stp>
        <tr r="H18" s="2"/>
        <tr r="H18" s="2"/>
      </tp>
      <tp>
        <v>174</v>
        <stp/>
        <stp>VOLUME</stp>
        <stp>.SPY250523C569</stp>
        <tr r="H18" s="2"/>
        <tr r="H18" s="2"/>
      </tp>
      <tp>
        <v>391</v>
        <stp/>
        <stp>VOLUME</stp>
        <stp>.SPY250523P568</stp>
        <tr r="H19" s="2"/>
        <tr r="H19" s="2"/>
      </tp>
      <tp>
        <v>694</v>
        <stp/>
        <stp>VOLUME</stp>
        <stp>.SPY250523C568</stp>
        <tr r="H19" s="2"/>
        <tr r="H19" s="2"/>
      </tp>
      <tp>
        <v>5</v>
        <stp/>
        <stp>VOLUME</stp>
        <stp>.SPY250530P578</stp>
        <tr r="I9" s="2"/>
        <tr r="I9" s="2"/>
      </tp>
      <tp>
        <v>569</v>
        <stp/>
        <stp>VOLUME</stp>
        <stp>.SPY250530C578</stp>
        <tr r="I9" s="2"/>
        <tr r="I9" s="2"/>
      </tp>
      <tp>
        <v>12</v>
        <stp/>
        <stp>VOLUME</stp>
        <stp>.SPY250530P579</stp>
        <tr r="I8" s="2"/>
        <tr r="I8" s="2"/>
      </tp>
      <tp>
        <v>294</v>
        <stp/>
        <stp>VOLUME</stp>
        <stp>.SPY250530C579</stp>
        <tr r="I8" s="2"/>
        <tr r="I8" s="2"/>
      </tp>
      <tp>
        <v>20932</v>
        <stp/>
        <stp>VOLUME</stp>
        <stp>.SPY250516P560</stp>
        <tr r="BF26" s="1"/>
        <tr r="BF26" s="1"/>
      </tp>
      <tp>
        <v>6595</v>
        <stp/>
        <stp>VOLUME</stp>
        <stp>.SPY250523P555</stp>
        <tr r="H32" s="2"/>
        <tr r="H32" s="2"/>
      </tp>
      <tp>
        <v>3596</v>
        <stp/>
        <stp>VOLUME</stp>
        <stp>.SPY250516C560</stp>
        <tr r="BE26" s="1"/>
        <tr r="BE26" s="1"/>
      </tp>
      <tp>
        <v>151</v>
        <stp/>
        <stp>VOLUME</stp>
        <stp>.SPY250523C555</stp>
        <tr r="H32" s="2"/>
        <tr r="H32" s="2"/>
      </tp>
      <tp>
        <v>1807</v>
        <stp/>
        <stp>VOLUME</stp>
        <stp>.SPY250516P561</stp>
        <tr r="BF25" s="1"/>
        <tr r="BF25" s="1"/>
      </tp>
      <tp>
        <v>180</v>
        <stp/>
        <stp>VOLUME</stp>
        <stp>.SPY250523P554</stp>
        <tr r="H33" s="2"/>
        <tr r="H33" s="2"/>
      </tp>
      <tp>
        <v>396</v>
        <stp/>
        <stp>VOLUME</stp>
        <stp>.SPY250516C561</stp>
        <tr r="BE25" s="1"/>
        <tr r="BE25" s="1"/>
      </tp>
      <tp>
        <v>1</v>
        <stp/>
        <stp>VOLUME</stp>
        <stp>.SPY250523C554</stp>
        <tr r="H33" s="2"/>
        <tr r="H33" s="2"/>
      </tp>
      <tp>
        <v>3759</v>
        <stp/>
        <stp>VOLUME</stp>
        <stp>.SPY250516P562</stp>
        <tr r="BF24" s="1"/>
        <tr r="BF24" s="1"/>
      </tp>
      <tp>
        <v>151</v>
        <stp/>
        <stp>VOLUME</stp>
        <stp>.SPY250523P557</stp>
        <tr r="H30" s="2"/>
        <tr r="H30" s="2"/>
      </tp>
      <tp>
        <v>1085</v>
        <stp/>
        <stp>VOLUME</stp>
        <stp>.SPY250516C562</stp>
        <tr r="BE24" s="1"/>
        <tr r="BE24" s="1"/>
      </tp>
      <tp>
        <v>19</v>
        <stp/>
        <stp>VOLUME</stp>
        <stp>.SPY250523C557</stp>
        <tr r="H30" s="2"/>
        <tr r="H30" s="2"/>
      </tp>
      <tp>
        <v>4365</v>
        <stp/>
        <stp>VOLUME</stp>
        <stp>.SPY250516P563</stp>
        <tr r="BF23" s="1"/>
        <tr r="BF23" s="1"/>
      </tp>
      <tp>
        <v>279</v>
        <stp/>
        <stp>VOLUME</stp>
        <stp>.SPY250523P556</stp>
        <tr r="H31" s="2"/>
        <tr r="H31" s="2"/>
      </tp>
      <tp>
        <v>3176</v>
        <stp/>
        <stp>VOLUME</stp>
        <stp>.SPY250516C563</stp>
        <tr r="BE23" s="1"/>
        <tr r="BE23" s="1"/>
      </tp>
      <tp>
        <v>22</v>
        <stp/>
        <stp>VOLUME</stp>
        <stp>.SPY250523C556</stp>
        <tr r="H31" s="2"/>
        <tr r="H31" s="2"/>
      </tp>
      <tp>
        <v>7077</v>
        <stp/>
        <stp>VOLUME</stp>
        <stp>.SPY250516P564</stp>
        <tr r="BF22" s="1"/>
        <tr r="BF22" s="1"/>
      </tp>
      <tp>
        <v>110</v>
        <stp/>
        <stp>VOLUME</stp>
        <stp>.SPY250523P551</stp>
        <tr r="H36" s="2"/>
        <tr r="H36" s="2"/>
      </tp>
      <tp>
        <v>7537</v>
        <stp/>
        <stp>VOLUME</stp>
        <stp>.SPY250516C564</stp>
        <tr r="BE22" s="1"/>
        <tr r="BE22" s="1"/>
      </tp>
      <tp>
        <v>10</v>
        <stp/>
        <stp>VOLUME</stp>
        <stp>.SPY250523C551</stp>
        <tr r="H36" s="2"/>
        <tr r="H36" s="2"/>
      </tp>
      <tp>
        <v>27590</v>
        <stp/>
        <stp>VOLUME</stp>
        <stp>.SPY250516P565</stp>
        <tr r="BF21" s="1"/>
        <tr r="BF21" s="1"/>
      </tp>
      <tp>
        <v>3003</v>
        <stp/>
        <stp>VOLUME</stp>
        <stp>.SPY250523P550</stp>
        <tr r="H37" s="2"/>
        <tr r="H37" s="2"/>
      </tp>
      <tp>
        <v>28175</v>
        <stp/>
        <stp>VOLUME</stp>
        <stp>.SPY250516C565</stp>
        <tr r="BE21" s="1"/>
        <tr r="BE21" s="1"/>
      </tp>
      <tp>
        <v>103</v>
        <stp/>
        <stp>VOLUME</stp>
        <stp>.SPY250523C550</stp>
        <tr r="H37" s="2"/>
        <tr r="H37" s="2"/>
      </tp>
      <tp t="s">
        <v>N/A</v>
        <stp/>
        <stp>VOLUME</stp>
        <stp>.SPY250508P578</stp>
        <tr r="BB8" s="1"/>
      </tp>
      <tp>
        <v>54</v>
        <stp/>
        <stp>VOLUME</stp>
        <stp>.SPY250509P579</stp>
        <tr r="BD7" s="1"/>
        <tr r="BD7" s="1"/>
      </tp>
      <tp>
        <v>3679</v>
        <stp/>
        <stp>VOLUME</stp>
        <stp>.SPY250516P566</stp>
        <tr r="BF20" s="1"/>
        <tr r="BF20" s="1"/>
      </tp>
      <tp>
        <v>139</v>
        <stp/>
        <stp>VOLUME</stp>
        <stp>.SPY250523P553</stp>
        <tr r="H34" s="2"/>
        <tr r="H34" s="2"/>
      </tp>
      <tp t="s">
        <v>N/A</v>
        <stp/>
        <stp>VOLUME</stp>
        <stp>.SPY250508C578</stp>
        <tr r="BA8" s="1"/>
      </tp>
      <tp>
        <v>7161</v>
        <stp/>
        <stp>VOLUME</stp>
        <stp>.SPY250509C579</stp>
        <tr r="BC7" s="1"/>
        <tr r="BC7" s="1"/>
      </tp>
      <tp>
        <v>7469</v>
        <stp/>
        <stp>VOLUME</stp>
        <stp>.SPY250516C566</stp>
        <tr r="BE20" s="1"/>
        <tr r="BE20" s="1"/>
      </tp>
      <tp>
        <v>13</v>
        <stp/>
        <stp>VOLUME</stp>
        <stp>.SPY250523C553</stp>
        <tr r="H34" s="2"/>
        <tr r="H34" s="2"/>
      </tp>
      <tp t="s">
        <v>N/A</v>
        <stp/>
        <stp>VOLUME</stp>
        <stp>.SPY250508P579</stp>
        <tr r="BB7" s="1"/>
      </tp>
      <tp>
        <v>37</v>
        <stp/>
        <stp>VOLUME</stp>
        <stp>.SPY250509P578</stp>
        <tr r="BD8" s="1"/>
        <tr r="BD8" s="1"/>
      </tp>
      <tp>
        <v>3740</v>
        <stp/>
        <stp>VOLUME</stp>
        <stp>.SPY250516P567</stp>
        <tr r="BF19" s="1"/>
        <tr r="BF19" s="1"/>
      </tp>
      <tp>
        <v>259</v>
        <stp/>
        <stp>VOLUME</stp>
        <stp>.SPY250523P552</stp>
        <tr r="H35" s="2"/>
        <tr r="H35" s="2"/>
      </tp>
      <tp t="s">
        <v>N/A</v>
        <stp/>
        <stp>VOLUME</stp>
        <stp>.SPY250508C579</stp>
        <tr r="BA7" s="1"/>
      </tp>
      <tp>
        <v>6252</v>
        <stp/>
        <stp>VOLUME</stp>
        <stp>.SPY250509C578</stp>
        <tr r="BC8" s="1"/>
        <tr r="BC8" s="1"/>
      </tp>
      <tp>
        <v>13645</v>
        <stp/>
        <stp>VOLUME</stp>
        <stp>.SPY250516C567</stp>
        <tr r="BE19" s="1"/>
        <tr r="BE19" s="1"/>
      </tp>
      <tp>
        <v>15</v>
        <stp/>
        <stp>VOLUME</stp>
        <stp>.SPY250523C552</stp>
        <tr r="H35" s="2"/>
        <tr r="H35" s="2"/>
      </tp>
      <tp t="s">
        <v>N/A</v>
        <stp/>
        <stp>VOLUME</stp>
        <stp>.SPY250508P576</stp>
        <tr r="BB10" s="1"/>
      </tp>
      <tp>
        <v>111</v>
        <stp/>
        <stp>VOLUME</stp>
        <stp>.SPY250509P577</stp>
        <tr r="BD9" s="1"/>
        <tr r="BD9" s="1"/>
      </tp>
      <tp>
        <v>1593</v>
        <stp/>
        <stp>VOLUME</stp>
        <stp>.SPY250516P568</stp>
        <tr r="BF18" s="1"/>
        <tr r="BF18" s="1"/>
      </tp>
      <tp t="s">
        <v>N/A</v>
        <stp/>
        <stp>VOLUME</stp>
        <stp>.SPY250508C576</stp>
        <tr r="BA10" s="1"/>
      </tp>
      <tp>
        <v>13773</v>
        <stp/>
        <stp>VOLUME</stp>
        <stp>.SPY250509C577</stp>
        <tr r="BC9" s="1"/>
        <tr r="BC9" s="1"/>
      </tp>
      <tp>
        <v>7129</v>
        <stp/>
        <stp>VOLUME</stp>
        <stp>.SPY250516C568</stp>
        <tr r="BE18" s="1"/>
        <tr r="BE18" s="1"/>
      </tp>
      <tp t="s">
        <v>N/A</v>
        <stp/>
        <stp>VOLUME</stp>
        <stp>.SPY250508P577</stp>
        <tr r="BB9" s="1"/>
      </tp>
      <tp>
        <v>570</v>
        <stp/>
        <stp>VOLUME</stp>
        <stp>.SPY250509P576</stp>
        <tr r="BD10" s="1"/>
        <tr r="BD10" s="1"/>
      </tp>
      <tp>
        <v>1079</v>
        <stp/>
        <stp>VOLUME</stp>
        <stp>.SPY250516P569</stp>
        <tr r="BF17" s="1"/>
        <tr r="BF17" s="1"/>
      </tp>
      <tp t="s">
        <v>N/A</v>
        <stp/>
        <stp>VOLUME</stp>
        <stp>.SPY250508C577</stp>
        <tr r="BA9" s="1"/>
      </tp>
      <tp>
        <v>17723</v>
        <stp/>
        <stp>VOLUME</stp>
        <stp>.SPY250509C576</stp>
        <tr r="BC10" s="1"/>
        <tr r="BC10" s="1"/>
      </tp>
      <tp>
        <v>4892</v>
        <stp/>
        <stp>VOLUME</stp>
        <stp>.SPY250516C569</stp>
        <tr r="BE17" s="1"/>
        <tr r="BE17" s="1"/>
      </tp>
      <tp t="s">
        <v>N/A</v>
        <stp/>
        <stp>VOLUME</stp>
        <stp>.SPY250508P574</stp>
        <tr r="BB12" s="1"/>
      </tp>
      <tp>
        <v>1768</v>
        <stp/>
        <stp>VOLUME</stp>
        <stp>.SPY250509P575</stp>
        <tr r="BD11" s="1"/>
        <tr r="BD11" s="1"/>
      </tp>
      <tp t="s">
        <v>N/A</v>
        <stp/>
        <stp>VOLUME</stp>
        <stp>.SPY250508C574</stp>
        <tr r="BA12" s="1"/>
      </tp>
      <tp>
        <v>43555</v>
        <stp/>
        <stp>VOLUME</stp>
        <stp>.SPY250509C575</stp>
        <tr r="BC11" s="1"/>
        <tr r="BC11" s="1"/>
      </tp>
      <tp t="s">
        <v>N/A</v>
        <stp/>
        <stp>VOLUME</stp>
        <stp>.SPY250508P575</stp>
        <tr r="BB11" s="1"/>
      </tp>
      <tp>
        <v>402</v>
        <stp/>
        <stp>VOLUME</stp>
        <stp>.SPY250509P574</stp>
        <tr r="BD12" s="1"/>
        <tr r="BD12" s="1"/>
      </tp>
      <tp t="s">
        <v>N/A</v>
        <stp/>
        <stp>VOLUME</stp>
        <stp>.SPY250508C575</stp>
        <tr r="BA11" s="1"/>
      </tp>
      <tp>
        <v>27683</v>
        <stp/>
        <stp>VOLUME</stp>
        <stp>.SPY250509C574</stp>
        <tr r="BC12" s="1"/>
        <tr r="BC12" s="1"/>
      </tp>
      <tp t="s">
        <v>N/A</v>
        <stp/>
        <stp>VOLUME</stp>
        <stp>.SPY250508P572</stp>
        <tr r="BB14" s="1"/>
      </tp>
      <tp>
        <v>1067</v>
        <stp/>
        <stp>VOLUME</stp>
        <stp>.SPY250509P573</stp>
        <tr r="BD13" s="1"/>
        <tr r="BD13" s="1"/>
      </tp>
      <tp>
        <v>229</v>
        <stp/>
        <stp>VOLUME</stp>
        <stp>.SPY250523P559</stp>
        <tr r="H28" s="2"/>
        <tr r="H28" s="2"/>
      </tp>
      <tp t="s">
        <v>N/A</v>
        <stp/>
        <stp>VOLUME</stp>
        <stp>.SPY250508C572</stp>
        <tr r="BA14" s="1"/>
      </tp>
      <tp>
        <v>36747</v>
        <stp/>
        <stp>VOLUME</stp>
        <stp>.SPY250509C573</stp>
        <tr r="BC13" s="1"/>
        <tr r="BC13" s="1"/>
      </tp>
      <tp>
        <v>35</v>
        <stp/>
        <stp>VOLUME</stp>
        <stp>.SPY250523C559</stp>
        <tr r="H28" s="2"/>
        <tr r="H28" s="2"/>
      </tp>
      <tp t="s">
        <v>N/A</v>
        <stp/>
        <stp>VOLUME</stp>
        <stp>.SPY250508P573</stp>
        <tr r="BB13" s="1"/>
      </tp>
      <tp>
        <v>1733</v>
        <stp/>
        <stp>VOLUME</stp>
        <stp>.SPY250509P572</stp>
        <tr r="BD14" s="1"/>
        <tr r="BD14" s="1"/>
      </tp>
      <tp>
        <v>460</v>
        <stp/>
        <stp>VOLUME</stp>
        <stp>.SPY250523P558</stp>
        <tr r="H29" s="2"/>
        <tr r="H29" s="2"/>
      </tp>
      <tp t="s">
        <v>N/A</v>
        <stp/>
        <stp>VOLUME</stp>
        <stp>.SPY250508C573</stp>
        <tr r="BA13" s="1"/>
      </tp>
      <tp>
        <v>73412</v>
        <stp/>
        <stp>VOLUME</stp>
        <stp>.SPY250509C572</stp>
        <tr r="BC14" s="1"/>
        <tr r="BC14" s="1"/>
      </tp>
      <tp>
        <v>69</v>
        <stp/>
        <stp>VOLUME</stp>
        <stp>.SPY250523C558</stp>
        <tr r="H29" s="2"/>
        <tr r="H29" s="2"/>
      </tp>
      <tp t="s">
        <v>N/A</v>
        <stp/>
        <stp>VOLUME</stp>
        <stp>.SPY250508P570</stp>
        <tr r="BB16" s="1"/>
      </tp>
      <tp>
        <v>1727</v>
        <stp/>
        <stp>VOLUME</stp>
        <stp>.SPY250509P571</stp>
        <tr r="BD15" s="1"/>
        <tr r="BD15" s="1"/>
      </tp>
      <tp>
        <v>108</v>
        <stp/>
        <stp>VOLUME</stp>
        <stp>.SPY250530P548</stp>
        <tr r="I39" s="2"/>
        <tr r="I39" s="2"/>
      </tp>
      <tp t="s">
        <v>N/A</v>
        <stp/>
        <stp>VOLUME</stp>
        <stp>.SPY250508C570</stp>
        <tr r="BA16" s="1"/>
      </tp>
      <tp>
        <v>81781</v>
        <stp/>
        <stp>VOLUME</stp>
        <stp>.SPY250509C571</stp>
        <tr r="BC15" s="1"/>
        <tr r="BC15" s="1"/>
      </tp>
      <tp>
        <v>69</v>
        <stp/>
        <stp>VOLUME</stp>
        <stp>.SPY250530C548</stp>
        <tr r="I39" s="2"/>
        <tr r="I39" s="2"/>
      </tp>
      <tp t="s">
        <v>N/A</v>
        <stp/>
        <stp>VOLUME</stp>
        <stp>.SPY250508P571</stp>
        <tr r="BB15" s="1"/>
      </tp>
      <tp>
        <v>10311</v>
        <stp/>
        <stp>VOLUME</stp>
        <stp>.SPY250509P570</stp>
        <tr r="BD16" s="1"/>
        <tr r="BD16" s="1"/>
      </tp>
      <tp>
        <v>88</v>
        <stp/>
        <stp>VOLUME</stp>
        <stp>.SPY250530P549</stp>
        <tr r="I38" s="2"/>
        <tr r="I38" s="2"/>
      </tp>
      <tp t="s">
        <v>N/A</v>
        <stp/>
        <stp>VOLUME</stp>
        <stp>.SPY250508C571</stp>
        <tr r="BA15" s="1"/>
      </tp>
      <tp>
        <v>230171</v>
        <stp/>
        <stp>VOLUME</stp>
        <stp>.SPY250509C570</stp>
        <tr r="BC16" s="1"/>
        <tr r="BC16" s="1"/>
      </tp>
      <tp>
        <v>22</v>
        <stp/>
        <stp>VOLUME</stp>
        <stp>.SPY250530C549</stp>
        <tr r="I38" s="2"/>
        <tr r="I38" s="2"/>
      </tp>
      <tp>
        <v>1942</v>
        <stp/>
        <stp>VOLUME</stp>
        <stp>.SPY250516P570</stp>
        <tr r="BF16" s="1"/>
        <tr r="BF16" s="1"/>
      </tp>
      <tp>
        <v>2002</v>
        <stp/>
        <stp>VOLUME</stp>
        <stp>.SPY250530P556</stp>
        <tr r="I31" s="2"/>
        <tr r="I31" s="2"/>
      </tp>
      <tp>
        <v>28207</v>
        <stp/>
        <stp>VOLUME</stp>
        <stp>.SPY250516C570</stp>
        <tr r="BE16" s="1"/>
        <tr r="BE16" s="1"/>
      </tp>
      <tp>
        <v>31</v>
        <stp/>
        <stp>VOLUME</stp>
        <stp>.SPY250530C556</stp>
        <tr r="I31" s="2"/>
        <tr r="I31" s="2"/>
      </tp>
      <tp>
        <v>17</v>
        <stp/>
        <stp>VOLUME</stp>
        <stp>.SPY250516P571</stp>
        <tr r="BF15" s="1"/>
        <tr r="BF15" s="1"/>
      </tp>
      <tp>
        <v>429</v>
        <stp/>
        <stp>VOLUME</stp>
        <stp>.SPY250530P557</stp>
        <tr r="I30" s="2"/>
        <tr r="I30" s="2"/>
      </tp>
      <tp>
        <v>3571</v>
        <stp/>
        <stp>VOLUME</stp>
        <stp>.SPY250516C571</stp>
        <tr r="BE15" s="1"/>
        <tr r="BE15" s="1"/>
      </tp>
      <tp>
        <v>94</v>
        <stp/>
        <stp>VOLUME</stp>
        <stp>.SPY250530C557</stp>
        <tr r="I30" s="2"/>
        <tr r="I30" s="2"/>
      </tp>
      <tp>
        <v>67</v>
        <stp/>
        <stp>VOLUME</stp>
        <stp>.SPY250516P572</stp>
        <tr r="BF14" s="1"/>
        <tr r="BF14" s="1"/>
      </tp>
      <tp>
        <v>453</v>
        <stp/>
        <stp>VOLUME</stp>
        <stp>.SPY250530P554</stp>
        <tr r="I33" s="2"/>
        <tr r="I33" s="2"/>
      </tp>
      <tp>
        <v>2726</v>
        <stp/>
        <stp>VOLUME</stp>
        <stp>.SPY250516C572</stp>
        <tr r="BE14" s="1"/>
        <tr r="BE14" s="1"/>
      </tp>
      <tp>
        <v>8</v>
        <stp/>
        <stp>VOLUME</stp>
        <stp>.SPY250530C554</stp>
        <tr r="I33" s="2"/>
        <tr r="I33" s="2"/>
      </tp>
      <tp>
        <v>44</v>
        <stp/>
        <stp>VOLUME</stp>
        <stp>.SPY250516P573</stp>
        <tr r="BF13" s="1"/>
        <tr r="BF13" s="1"/>
      </tp>
      <tp>
        <v>2092</v>
        <stp/>
        <stp>VOLUME</stp>
        <stp>.SPY250530P555</stp>
        <tr r="I32" s="2"/>
        <tr r="I32" s="2"/>
      </tp>
      <tp>
        <v>2031</v>
        <stp/>
        <stp>VOLUME</stp>
        <stp>.SPY250516C573</stp>
        <tr r="BE13" s="1"/>
        <tr r="BE13" s="1"/>
      </tp>
      <tp>
        <v>151</v>
        <stp/>
        <stp>VOLUME</stp>
        <stp>.SPY250530C555</stp>
        <tr r="I32" s="2"/>
        <tr r="I32" s="2"/>
      </tp>
      <tp>
        <v>15</v>
        <stp/>
        <stp>VOLUME</stp>
        <stp>.SPY250516P574</stp>
        <tr r="BF12" s="1"/>
        <tr r="BF12" s="1"/>
      </tp>
      <tp>
        <v>153</v>
        <stp/>
        <stp>VOLUME</stp>
        <stp>.SPY250530P552</stp>
        <tr r="I35" s="2"/>
        <tr r="I35" s="2"/>
      </tp>
      <tp>
        <v>1697</v>
        <stp/>
        <stp>VOLUME</stp>
        <stp>.SPY250516C574</stp>
        <tr r="BE12" s="1"/>
        <tr r="BE12" s="1"/>
      </tp>
      <tp>
        <v>159</v>
        <stp/>
        <stp>VOLUME</stp>
        <stp>.SPY250530C552</stp>
        <tr r="I35" s="2"/>
        <tr r="I35" s="2"/>
      </tp>
      <tp>
        <v>471</v>
        <stp/>
        <stp>VOLUME</stp>
        <stp>.SPY250516P575</stp>
        <tr r="BF11" s="1"/>
        <tr r="BF11" s="1"/>
      </tp>
      <tp>
        <v>352</v>
        <stp/>
        <stp>VOLUME</stp>
        <stp>.SPY250530P553</stp>
        <tr r="I34" s="2"/>
        <tr r="I34" s="2"/>
      </tp>
      <tp>
        <v>20039</v>
        <stp/>
        <stp>VOLUME</stp>
        <stp>.SPY250516C575</stp>
        <tr r="BE11" s="1"/>
        <tr r="BE11" s="1"/>
      </tp>
      <tp>
        <v>61</v>
        <stp/>
        <stp>VOLUME</stp>
        <stp>.SPY250530C553</stp>
        <tr r="I34" s="2"/>
        <tr r="I34" s="2"/>
      </tp>
      <tp t="s">
        <v>N/A</v>
        <stp/>
        <stp>VOLUME</stp>
        <stp>.SPY250508P568</stp>
        <tr r="BB18" s="1"/>
      </tp>
      <tp>
        <v>6738</v>
        <stp/>
        <stp>VOLUME</stp>
        <stp>.SPY250509P569</stp>
        <tr r="BD17" s="1"/>
        <tr r="BD17" s="1"/>
      </tp>
      <tp>
        <v>18</v>
        <stp/>
        <stp>VOLUME</stp>
        <stp>.SPY250516P576</stp>
        <tr r="BF10" s="1"/>
        <tr r="BF10" s="1"/>
      </tp>
      <tp>
        <v>3722</v>
        <stp/>
        <stp>VOLUME</stp>
        <stp>.SPY250530P550</stp>
        <tr r="I37" s="2"/>
        <tr r="I37" s="2"/>
      </tp>
      <tp t="s">
        <v>N/A</v>
        <stp/>
        <stp>VOLUME</stp>
        <stp>.SPY250508C568</stp>
        <tr r="BA18" s="1"/>
      </tp>
      <tp>
        <v>178857</v>
        <stp/>
        <stp>VOLUME</stp>
        <stp>.SPY250509C569</stp>
        <tr r="BC17" s="1"/>
        <tr r="BC17" s="1"/>
      </tp>
      <tp>
        <v>3648</v>
        <stp/>
        <stp>VOLUME</stp>
        <stp>.SPY250516C576</stp>
        <tr r="BE10" s="1"/>
        <tr r="BE10" s="1"/>
      </tp>
      <tp>
        <v>185</v>
        <stp/>
        <stp>VOLUME</stp>
        <stp>.SPY250530C550</stp>
        <tr r="I37" s="2"/>
        <tr r="I37" s="2"/>
      </tp>
      <tp t="s">
        <v>N/A</v>
        <stp/>
        <stp>VOLUME</stp>
        <stp>.SPY250508P569</stp>
        <tr r="BB17" s="1"/>
      </tp>
      <tp>
        <v>18389</v>
        <stp/>
        <stp>VOLUME</stp>
        <stp>.SPY250509P568</stp>
        <tr r="BD18" s="1"/>
        <tr r="BD18" s="1"/>
      </tp>
      <tp>
        <v>34</v>
        <stp/>
        <stp>VOLUME</stp>
        <stp>.SPY250516P577</stp>
        <tr r="BF9" s="1"/>
        <tr r="BF9" s="1"/>
      </tp>
      <tp>
        <v>127</v>
        <stp/>
        <stp>VOLUME</stp>
        <stp>.SPY250530P551</stp>
        <tr r="I36" s="2"/>
        <tr r="I36" s="2"/>
      </tp>
      <tp t="s">
        <v>N/A</v>
        <stp/>
        <stp>VOLUME</stp>
        <stp>.SPY250508C569</stp>
        <tr r="BA17" s="1"/>
      </tp>
      <tp>
        <v>217360</v>
        <stp/>
        <stp>VOLUME</stp>
        <stp>.SPY250509C568</stp>
        <tr r="BC18" s="1"/>
        <tr r="BC18" s="1"/>
      </tp>
      <tp>
        <v>2466</v>
        <stp/>
        <stp>VOLUME</stp>
        <stp>.SPY250516C577</stp>
        <tr r="BE9" s="1"/>
        <tr r="BE9" s="1"/>
      </tp>
      <tp>
        <v>47</v>
        <stp/>
        <stp>VOLUME</stp>
        <stp>.SPY250530C551</stp>
        <tr r="I36" s="2"/>
        <tr r="I36" s="2"/>
      </tp>
      <tp t="s">
        <v>N/A</v>
        <stp/>
        <stp>VOLUME</stp>
        <stp>.SPY250508P566</stp>
        <tr r="BB20" s="1"/>
      </tp>
      <tp>
        <v>72903</v>
        <stp/>
        <stp>VOLUME</stp>
        <stp>.SPY250509P567</stp>
        <tr r="BD19" s="1"/>
        <tr r="BD19" s="1"/>
      </tp>
      <tp>
        <v>29</v>
        <stp/>
        <stp>VOLUME</stp>
        <stp>.SPY250516P578</stp>
        <tr r="BF8" s="1"/>
        <tr r="BF8" s="1"/>
      </tp>
      <tp t="s">
        <v>N/A</v>
        <stp/>
        <stp>VOLUME</stp>
        <stp>.SPY250508C566</stp>
        <tr r="BA20" s="1"/>
      </tp>
      <tp>
        <v>397613</v>
        <stp/>
        <stp>VOLUME</stp>
        <stp>.SPY250509C567</stp>
        <tr r="BC19" s="1"/>
        <tr r="BC19" s="1"/>
      </tp>
      <tp>
        <v>4148</v>
        <stp/>
        <stp>VOLUME</stp>
        <stp>.SPY250516C578</stp>
        <tr r="BE8" s="1"/>
        <tr r="BE8" s="1"/>
      </tp>
      <tp t="s">
        <v>N/A</v>
        <stp/>
        <stp>VOLUME</stp>
        <stp>.SPY250508P567</stp>
        <tr r="BB19" s="1"/>
      </tp>
      <tp>
        <v>172752</v>
        <stp/>
        <stp>VOLUME</stp>
        <stp>.SPY250509P566</stp>
        <tr r="BD20" s="1"/>
        <tr r="BD20" s="1"/>
      </tp>
      <tp>
        <v>25</v>
        <stp/>
        <stp>VOLUME</stp>
        <stp>.SPY250516P579</stp>
        <tr r="BF7" s="1"/>
        <tr r="BF7" s="1"/>
      </tp>
      <tp t="s">
        <v>N/A</v>
        <stp/>
        <stp>VOLUME</stp>
        <stp>.SPY250508C567</stp>
        <tr r="BA19" s="1"/>
      </tp>
      <tp>
        <v>387340</v>
        <stp/>
        <stp>VOLUME</stp>
        <stp>.SPY250509C566</stp>
        <tr r="BC20" s="1"/>
        <tr r="BC20" s="1"/>
      </tp>
      <tp>
        <v>2367</v>
        <stp/>
        <stp>VOLUME</stp>
        <stp>.SPY250516C579</stp>
        <tr r="BE7" s="1"/>
        <tr r="BE7" s="1"/>
      </tp>
      <tp t="s">
        <v>N/A</v>
        <stp/>
        <stp>VOLUME</stp>
        <stp>.SPY250508P564</stp>
        <tr r="BB22" s="1"/>
      </tp>
      <tp>
        <v>347771</v>
        <stp/>
        <stp>VOLUME</stp>
        <stp>.SPY250509P565</stp>
        <tr r="BD21" s="1"/>
        <tr r="BD21" s="1"/>
      </tp>
      <tp t="s">
        <v>N/A</v>
        <stp/>
        <stp>VOLUME</stp>
        <stp>.SPY250508C564</stp>
        <tr r="BA22" s="1"/>
      </tp>
      <tp>
        <v>491754</v>
        <stp/>
        <stp>VOLUME</stp>
        <stp>.SPY250509C565</stp>
        <tr r="BC21" s="1"/>
        <tr r="BC21" s="1"/>
      </tp>
      <tp t="s">
        <v>N/A</v>
        <stp/>
        <stp>VOLUME</stp>
        <stp>.SPY250508P565</stp>
        <tr r="BB21" s="1"/>
      </tp>
      <tp>
        <v>423574</v>
        <stp/>
        <stp>VOLUME</stp>
        <stp>.SPY250509P564</stp>
        <tr r="BD22" s="1"/>
        <tr r="BD22" s="1"/>
      </tp>
      <tp t="s">
        <v>N/A</v>
        <stp/>
        <stp>VOLUME</stp>
        <stp>.SPY250508C565</stp>
        <tr r="BA21" s="1"/>
      </tp>
      <tp>
        <v>311920</v>
        <stp/>
        <stp>VOLUME</stp>
        <stp>.SPY250509C564</stp>
        <tr r="BC22" s="1"/>
        <tr r="BC22" s="1"/>
      </tp>
      <tp t="s">
        <v>N/A</v>
        <stp/>
        <stp>VOLUME</stp>
        <stp>.SPY250508P562</stp>
        <tr r="BB24" s="1"/>
      </tp>
      <tp>
        <v>329830</v>
        <stp/>
        <stp>VOLUME</stp>
        <stp>.SPY250509P563</stp>
        <tr r="BD23" s="1"/>
        <tr r="BD23" s="1"/>
      </tp>
      <tp>
        <v>229</v>
        <stp/>
        <stp>VOLUME</stp>
        <stp>.SPY250523P549</stp>
        <tr r="H38" s="2"/>
        <tr r="H38" s="2"/>
      </tp>
      <tp t="s">
        <v>N/A</v>
        <stp/>
        <stp>VOLUME</stp>
        <stp>.SPY250508C562</stp>
        <tr r="BA24" s="1"/>
      </tp>
      <tp>
        <v>71490</v>
        <stp/>
        <stp>VOLUME</stp>
        <stp>.SPY250509C563</stp>
        <tr r="BC23" s="1"/>
        <tr r="BC23" s="1"/>
      </tp>
      <tp>
        <v>3</v>
        <stp/>
        <stp>VOLUME</stp>
        <stp>.SPY250523C549</stp>
        <tr r="H38" s="2"/>
        <tr r="H38" s="2"/>
      </tp>
      <tp t="s">
        <v>N/A</v>
        <stp/>
        <stp>VOLUME</stp>
        <stp>.SPY250508P563</stp>
        <tr r="BB23" s="1"/>
      </tp>
      <tp>
        <v>151651</v>
        <stp/>
        <stp>VOLUME</stp>
        <stp>.SPY250509P562</stp>
        <tr r="BD24" s="1"/>
        <tr r="BD24" s="1"/>
      </tp>
      <tp>
        <v>171</v>
        <stp/>
        <stp>VOLUME</stp>
        <stp>.SPY250523P548</stp>
        <tr r="H39" s="2"/>
        <tr r="H39" s="2"/>
      </tp>
      <tp t="s">
        <v>N/A</v>
        <stp/>
        <stp>VOLUME</stp>
        <stp>.SPY250508C563</stp>
        <tr r="BA23" s="1"/>
      </tp>
      <tp>
        <v>18571</v>
        <stp/>
        <stp>VOLUME</stp>
        <stp>.SPY250509C562</stp>
        <tr r="BC24" s="1"/>
        <tr r="BC24" s="1"/>
      </tp>
      <tp>
        <v>24</v>
        <stp/>
        <stp>VOLUME</stp>
        <stp>.SPY250523C548</stp>
        <tr r="H39" s="2"/>
        <tr r="H39" s="2"/>
      </tp>
      <tp t="s">
        <v>N/A</v>
        <stp/>
        <stp>VOLUME</stp>
        <stp>.SPY250508P560</stp>
        <tr r="BB26" s="1"/>
      </tp>
      <tp>
        <v>127811</v>
        <stp/>
        <stp>VOLUME</stp>
        <stp>.SPY250509P561</stp>
        <tr r="BD25" s="1"/>
        <tr r="BD25" s="1"/>
      </tp>
      <tp>
        <v>329</v>
        <stp/>
        <stp>VOLUME</stp>
        <stp>.SPY250530P558</stp>
        <tr r="I29" s="2"/>
        <tr r="I29" s="2"/>
      </tp>
      <tp t="s">
        <v>N/A</v>
        <stp/>
        <stp>VOLUME</stp>
        <stp>.SPY250508C560</stp>
        <tr r="BA26" s="1"/>
      </tp>
      <tp>
        <v>7937</v>
        <stp/>
        <stp>VOLUME</stp>
        <stp>.SPY250509C561</stp>
        <tr r="BC25" s="1"/>
        <tr r="BC25" s="1"/>
      </tp>
      <tp>
        <v>8</v>
        <stp/>
        <stp>VOLUME</stp>
        <stp>.SPY250530C558</stp>
        <tr r="I29" s="2"/>
        <tr r="I29" s="2"/>
      </tp>
      <tp t="s">
        <v>N/A</v>
        <stp/>
        <stp>VOLUME</stp>
        <stp>.SPY250508P561</stp>
        <tr r="BB25" s="1"/>
      </tp>
      <tp>
        <v>240660</v>
        <stp/>
        <stp>VOLUME</stp>
        <stp>.SPY250509P560</stp>
        <tr r="BD26" s="1"/>
        <tr r="BD26" s="1"/>
      </tp>
      <tp>
        <v>249</v>
        <stp/>
        <stp>VOLUME</stp>
        <stp>.SPY250530P559</stp>
        <tr r="I28" s="2"/>
        <tr r="I28" s="2"/>
      </tp>
      <tp t="s">
        <v>N/A</v>
        <stp/>
        <stp>VOLUME</stp>
        <stp>.SPY250508C561</stp>
        <tr r="BA25" s="1"/>
      </tp>
      <tp>
        <v>11376</v>
        <stp/>
        <stp>VOLUME</stp>
        <stp>.SPY250509C560</stp>
        <tr r="BC26" s="1"/>
        <tr r="BC26" s="1"/>
      </tp>
      <tp>
        <v>111</v>
        <stp/>
        <stp>VOLUME</stp>
        <stp>.SPY250530C559</stp>
        <tr r="I28" s="2"/>
        <tr r="I28" s="2"/>
      </tp>
      <tp>
        <v>0</v>
        <stp/>
        <stp>DELTA</stp>
        <stp>.SPXW250508P5430</stp>
        <tr r="CE129" s="1"/>
        <tr r="CE129" s="1"/>
      </tp>
      <tp>
        <v>0</v>
        <stp/>
        <stp>DELTA</stp>
        <stp>.SPXW250509P5420</stp>
        <tr r="CG130" s="1"/>
        <tr r="CG130" s="1"/>
      </tp>
      <tp>
        <v>0.95</v>
        <stp/>
        <stp>DELTA</stp>
        <stp>.SPXW250508C5430</stp>
        <tr r="CD129" s="1"/>
        <tr r="CD129" s="1"/>
      </tp>
      <tp>
        <v>0.98</v>
        <stp/>
        <stp>DELTA</stp>
        <stp>.SPXW250509C5420</stp>
        <tr r="CF130" s="1"/>
        <tr r="CF130" s="1"/>
      </tp>
      <tp>
        <v>0</v>
        <stp/>
        <stp>DELTA</stp>
        <stp>.SPXW250508P5420</stp>
        <tr r="CE130" s="1"/>
        <tr r="CE130" s="1"/>
      </tp>
      <tp>
        <v>0</v>
        <stp/>
        <stp>DELTA</stp>
        <stp>.SPXW250509P5430</stp>
        <tr r="CG129" s="1"/>
        <tr r="CG129" s="1"/>
      </tp>
      <tp>
        <v>0.95</v>
        <stp/>
        <stp>DELTA</stp>
        <stp>.SPXW250508C5420</stp>
        <tr r="CD130" s="1"/>
        <tr r="CD130" s="1"/>
      </tp>
      <tp>
        <v>0.98</v>
        <stp/>
        <stp>DELTA</stp>
        <stp>.SPXW250509C5430</stp>
        <tr r="CF129" s="1"/>
        <tr r="CF129" s="1"/>
      </tp>
      <tp>
        <v>0</v>
        <stp/>
        <stp>DELTA</stp>
        <stp>.SPXW250508P5470</stp>
        <tr r="CE125" s="1"/>
        <tr r="CE125" s="1"/>
      </tp>
      <tp>
        <v>0</v>
        <stp/>
        <stp>DELTA</stp>
        <stp>.SPXW250509P5460</stp>
        <tr r="CG126" s="1"/>
        <tr r="CG126" s="1"/>
      </tp>
      <tp>
        <v>-0.25</v>
        <stp/>
        <stp>DELTA</stp>
        <stp>.SPXW250516P5590</stp>
        <tr r="CI113" s="1"/>
        <tr r="CI113" s="1"/>
      </tp>
      <tp>
        <v>0.93</v>
        <stp/>
        <stp>DELTA</stp>
        <stp>.SPXW250508C5470</stp>
        <tr r="CD125" s="1"/>
        <tr r="CD125" s="1"/>
      </tp>
      <tp>
        <v>1</v>
        <stp/>
        <stp>DELTA</stp>
        <stp>.SPXW250509C5460</stp>
        <tr r="CF126" s="1"/>
        <tr r="CF126" s="1"/>
      </tp>
      <tp>
        <v>0.61</v>
        <stp/>
        <stp>DELTA</stp>
        <stp>.SPXW250516C5590</stp>
        <tr r="CH113" s="1"/>
        <tr r="CH113" s="1"/>
      </tp>
      <tp>
        <v>0</v>
        <stp/>
        <stp>DELTA</stp>
        <stp>.SPXW250508P5460</stp>
        <tr r="CE126" s="1"/>
        <tr r="CE126" s="1"/>
      </tp>
      <tp>
        <v>0</v>
        <stp/>
        <stp>DELTA</stp>
        <stp>.SPXW250509P5470</stp>
        <tr r="CG125" s="1"/>
        <tr r="CG125" s="1"/>
      </tp>
      <tp>
        <v>-0.22</v>
        <stp/>
        <stp>DELTA</stp>
        <stp>.SPXW250516P5580</stp>
        <tr r="CI114" s="1"/>
        <tr r="CI114" s="1"/>
      </tp>
      <tp>
        <v>0.93</v>
        <stp/>
        <stp>DELTA</stp>
        <stp>.SPXW250508C5460</stp>
        <tr r="CD126" s="1"/>
        <tr r="CD126" s="1"/>
      </tp>
      <tp>
        <v>1</v>
        <stp/>
        <stp>DELTA</stp>
        <stp>.SPXW250509C5470</stp>
        <tr r="CF125" s="1"/>
        <tr r="CF125" s="1"/>
      </tp>
      <tp>
        <v>0.62</v>
        <stp/>
        <stp>DELTA</stp>
        <stp>.SPXW250516C5580</stp>
        <tr r="CH114" s="1"/>
        <tr r="CH114" s="1"/>
      </tp>
      <tp>
        <v>0</v>
        <stp/>
        <stp>DELTA</stp>
        <stp>.SPXW250508P5450</stp>
        <tr r="CE127" s="1"/>
        <tr r="CE127" s="1"/>
      </tp>
      <tp>
        <v>0</v>
        <stp/>
        <stp>DELTA</stp>
        <stp>.SPXW250509P5440</stp>
        <tr r="CG128" s="1"/>
        <tr r="CG128" s="1"/>
      </tp>
      <tp>
        <v>0.94</v>
        <stp/>
        <stp>DELTA</stp>
        <stp>.SPXW250508C5450</stp>
        <tr r="CD127" s="1"/>
        <tr r="CD127" s="1"/>
      </tp>
      <tp>
        <v>0.98</v>
        <stp/>
        <stp>DELTA</stp>
        <stp>.SPXW250509C5440</stp>
        <tr r="CF128" s="1"/>
        <tr r="CF128" s="1"/>
      </tp>
      <tp>
        <v>0</v>
        <stp/>
        <stp>DELTA</stp>
        <stp>.SPXW250508P5440</stp>
        <tr r="CE128" s="1"/>
        <tr r="CE128" s="1"/>
      </tp>
      <tp>
        <v>0</v>
        <stp/>
        <stp>DELTA</stp>
        <stp>.SPXW250509P5450</stp>
        <tr r="CG127" s="1"/>
        <tr r="CG127" s="1"/>
      </tp>
      <tp>
        <v>0.95</v>
        <stp/>
        <stp>DELTA</stp>
        <stp>.SPXW250508C5440</stp>
        <tr r="CD128" s="1"/>
        <tr r="CD128" s="1"/>
      </tp>
      <tp>
        <v>1</v>
        <stp/>
        <stp>DELTA</stp>
        <stp>.SPXW250509C5450</stp>
        <tr r="CF127" s="1"/>
        <tr r="CF127" s="1"/>
      </tp>
      <tp>
        <v>-0.17</v>
        <stp/>
        <stp>DELTA</stp>
        <stp>.SPXW250516P5550</stp>
        <tr r="CI117" s="1"/>
        <tr r="CI117" s="1"/>
      </tp>
      <tp>
        <v>0.65</v>
        <stp/>
        <stp>DELTA</stp>
        <stp>.SPXW250516C5550</stp>
        <tr r="CH117" s="1"/>
        <tr r="CH117" s="1"/>
      </tp>
      <tp>
        <v>-0.15</v>
        <stp/>
        <stp>DELTA</stp>
        <stp>.SPXW250516P5540</stp>
        <tr r="CI118" s="1"/>
        <tr r="CI118" s="1"/>
      </tp>
      <tp>
        <v>0.66</v>
        <stp/>
        <stp>DELTA</stp>
        <stp>.SPXW250516C5540</stp>
        <tr r="CH118" s="1"/>
        <tr r="CH118" s="1"/>
      </tp>
      <tp>
        <v>0</v>
        <stp/>
        <stp>DELTA</stp>
        <stp>.SPXW250508P5490</stp>
        <tr r="CE123" s="1"/>
        <tr r="CE123" s="1"/>
      </tp>
      <tp>
        <v>0</v>
        <stp/>
        <stp>DELTA</stp>
        <stp>.SPXW250509P5480</stp>
        <tr r="CG124" s="1"/>
        <tr r="CG124" s="1"/>
      </tp>
      <tp>
        <v>-0.2</v>
        <stp/>
        <stp>DELTA</stp>
        <stp>.SPXW250516P5570</stp>
        <tr r="CI115" s="1"/>
        <tr r="CI115" s="1"/>
      </tp>
      <tp>
        <v>0.93</v>
        <stp/>
        <stp>DELTA</stp>
        <stp>.SPXW250508C5490</stp>
        <tr r="CD123" s="1"/>
        <tr r="CD123" s="1"/>
      </tp>
      <tp>
        <v>1</v>
        <stp/>
        <stp>DELTA</stp>
        <stp>.SPXW250509C5480</stp>
        <tr r="CF124" s="1"/>
        <tr r="CF124" s="1"/>
      </tp>
      <tp>
        <v>0.63</v>
        <stp/>
        <stp>DELTA</stp>
        <stp>.SPXW250516C5570</stp>
        <tr r="CH115" s="1"/>
        <tr r="CH115" s="1"/>
      </tp>
      <tp>
        <v>0</v>
        <stp/>
        <stp>DELTA</stp>
        <stp>.SPXW250508P5480</stp>
        <tr r="CE124" s="1"/>
        <tr r="CE124" s="1"/>
      </tp>
      <tp>
        <v>0</v>
        <stp/>
        <stp>DELTA</stp>
        <stp>.SPXW250509P5490</stp>
        <tr r="CG123" s="1"/>
        <tr r="CG123" s="1"/>
      </tp>
      <tp>
        <v>-0.18</v>
        <stp/>
        <stp>DELTA</stp>
        <stp>.SPXW250516P5560</stp>
        <tr r="CI116" s="1"/>
        <tr r="CI116" s="1"/>
      </tp>
      <tp>
        <v>0.94</v>
        <stp/>
        <stp>DELTA</stp>
        <stp>.SPXW250508C5480</stp>
        <tr r="CD124" s="1"/>
        <tr r="CD124" s="1"/>
      </tp>
      <tp>
        <v>1</v>
        <stp/>
        <stp>DELTA</stp>
        <stp>.SPXW250509C5490</stp>
        <tr r="CF123" s="1"/>
        <tr r="CF123" s="1"/>
      </tp>
      <tp>
        <v>0.64</v>
        <stp/>
        <stp>DELTA</stp>
        <stp>.SPXW250516C5560</stp>
        <tr r="CH116" s="1"/>
        <tr r="CH116" s="1"/>
      </tp>
      <tp>
        <v>-0.11</v>
        <stp/>
        <stp>DELTA</stp>
        <stp>.SPXW250516P5510</stp>
        <tr r="CI121" s="1"/>
        <tr r="CI121" s="1"/>
      </tp>
      <tp>
        <v>0.68</v>
        <stp/>
        <stp>DELTA</stp>
        <stp>.SPXW250516C5510</stp>
        <tr r="CH121" s="1"/>
        <tr r="CH121" s="1"/>
      </tp>
      <tp>
        <v>-0.1</v>
        <stp/>
        <stp>DELTA</stp>
        <stp>.SPXW250516P5500</stp>
        <tr r="CI122" s="1"/>
        <tr r="CI122" s="1"/>
      </tp>
      <tp>
        <v>0.69</v>
        <stp/>
        <stp>DELTA</stp>
        <stp>.SPXW250516C5500</stp>
        <tr r="CH122" s="1"/>
        <tr r="CH122" s="1"/>
      </tp>
      <tp>
        <v>-0.14000000000000001</v>
        <stp/>
        <stp>DELTA</stp>
        <stp>.SPXW250516P5530</stp>
        <tr r="CI119" s="1"/>
        <tr r="CI119" s="1"/>
      </tp>
      <tp>
        <v>0.67</v>
        <stp/>
        <stp>DELTA</stp>
        <stp>.SPXW250516C5530</stp>
        <tr r="CH119" s="1"/>
        <tr r="CH119" s="1"/>
      </tp>
      <tp>
        <v>-0.12</v>
        <stp/>
        <stp>DELTA</stp>
        <stp>.SPXW250516P5520</stp>
        <tr r="CI120" s="1"/>
        <tr r="CI120" s="1"/>
      </tp>
      <tp>
        <v>0.68</v>
        <stp/>
        <stp>DELTA</stp>
        <stp>.SPXW250516C5520</stp>
        <tr r="CH120" s="1"/>
        <tr r="CH120" s="1"/>
      </tp>
      <tp>
        <v>0</v>
        <stp/>
        <stp>DELTA</stp>
        <stp>.SPXW250508P5530</stp>
        <tr r="CE119" s="1"/>
        <tr r="CE119" s="1"/>
      </tp>
      <tp>
        <v>0</v>
        <stp/>
        <stp>DELTA</stp>
        <stp>.SPXW250509P5520</stp>
        <tr r="CG120" s="1"/>
        <tr r="CG120" s="1"/>
      </tp>
      <tp>
        <v>0.89</v>
        <stp/>
        <stp>DELTA</stp>
        <stp>.SPXW250508C5530</stp>
        <tr r="CD119" s="1"/>
        <tr r="CD119" s="1"/>
      </tp>
      <tp>
        <v>1</v>
        <stp/>
        <stp>DELTA</stp>
        <stp>.SPXW250509C5520</stp>
        <tr r="CF120" s="1"/>
        <tr r="CF120" s="1"/>
      </tp>
      <tp>
        <v>0</v>
        <stp/>
        <stp>DELTA</stp>
        <stp>.SPXW250508P5520</stp>
        <tr r="CE120" s="1"/>
        <tr r="CE120" s="1"/>
      </tp>
      <tp>
        <v>0</v>
        <stp/>
        <stp>DELTA</stp>
        <stp>.SPXW250509P5530</stp>
        <tr r="CG119" s="1"/>
        <tr r="CG119" s="1"/>
      </tp>
      <tp>
        <v>0.9</v>
        <stp/>
        <stp>DELTA</stp>
        <stp>.SPXW250508C5520</stp>
        <tr r="CD120" s="1"/>
        <tr r="CD120" s="1"/>
      </tp>
      <tp>
        <v>1</v>
        <stp/>
        <stp>DELTA</stp>
        <stp>.SPXW250509C5530</stp>
        <tr r="CF119" s="1"/>
        <tr r="CF119" s="1"/>
      </tp>
      <tp>
        <v>0</v>
        <stp/>
        <stp>DELTA</stp>
        <stp>.SPXW250508P5510</stp>
        <tr r="CE121" s="1"/>
        <tr r="CE121" s="1"/>
      </tp>
      <tp>
        <v>0</v>
        <stp/>
        <stp>DELTA</stp>
        <stp>.SPXW250509P5500</stp>
        <tr r="CG122" s="1"/>
        <tr r="CG122" s="1"/>
      </tp>
      <tp>
        <v>0.92</v>
        <stp/>
        <stp>DELTA</stp>
        <stp>.SPXW250508C5510</stp>
        <tr r="CD121" s="1"/>
        <tr r="CD121" s="1"/>
      </tp>
      <tp>
        <v>1</v>
        <stp/>
        <stp>DELTA</stp>
        <stp>.SPXW250509C5500</stp>
        <tr r="CF122" s="1"/>
        <tr r="CF122" s="1"/>
      </tp>
      <tp>
        <v>0</v>
        <stp/>
        <stp>DELTA</stp>
        <stp>.SPXW250508P5500</stp>
        <tr r="CE122" s="1"/>
        <tr r="CE122" s="1"/>
      </tp>
      <tp>
        <v>0</v>
        <stp/>
        <stp>DELTA</stp>
        <stp>.SPXW250509P5510</stp>
        <tr r="CG121" s="1"/>
        <tr r="CG121" s="1"/>
      </tp>
      <tp>
        <v>0.92</v>
        <stp/>
        <stp>DELTA</stp>
        <stp>.SPXW250508C5500</stp>
        <tr r="CD122" s="1"/>
        <tr r="CD122" s="1"/>
      </tp>
      <tp>
        <v>1</v>
        <stp/>
        <stp>DELTA</stp>
        <stp>.SPXW250509C5510</stp>
        <tr r="CF121" s="1"/>
        <tr r="CF121" s="1"/>
      </tp>
      <tp>
        <v>0</v>
        <stp/>
        <stp>DELTA</stp>
        <stp>.SPXW250508P5570</stp>
        <tr r="CE115" s="1"/>
        <tr r="CE115" s="1"/>
      </tp>
      <tp>
        <v>0</v>
        <stp/>
        <stp>DELTA</stp>
        <stp>.SPXW250509P5560</stp>
        <tr r="CG116" s="1"/>
        <tr r="CG116" s="1"/>
      </tp>
      <tp>
        <v>-0.09</v>
        <stp/>
        <stp>DELTA</stp>
        <stp>.SPXW250516P5490</stp>
        <tr r="CI123" s="1"/>
        <tr r="CI123" s="1"/>
      </tp>
      <tp>
        <v>0.88</v>
        <stp/>
        <stp>DELTA</stp>
        <stp>.SPXW250508C5570</stp>
        <tr r="CD115" s="1"/>
        <tr r="CD115" s="1"/>
      </tp>
      <tp>
        <v>1</v>
        <stp/>
        <stp>DELTA</stp>
        <stp>.SPXW250509C5560</stp>
        <tr r="CF116" s="1"/>
        <tr r="CF116" s="1"/>
      </tp>
      <tp>
        <v>0.7</v>
        <stp/>
        <stp>DELTA</stp>
        <stp>.SPXW250516C5490</stp>
        <tr r="CH123" s="1"/>
        <tr r="CH123" s="1"/>
      </tp>
      <tp>
        <v>0</v>
        <stp/>
        <stp>DELTA</stp>
        <stp>.SPXW250508P5560</stp>
        <tr r="CE116" s="1"/>
        <tr r="CE116" s="1"/>
      </tp>
      <tp>
        <v>0</v>
        <stp/>
        <stp>DELTA</stp>
        <stp>.SPXW250509P5570</stp>
        <tr r="CG115" s="1"/>
        <tr r="CG115" s="1"/>
      </tp>
      <tp>
        <v>-0.08</v>
        <stp/>
        <stp>DELTA</stp>
        <stp>.SPXW250516P5480</stp>
        <tr r="CI124" s="1"/>
        <tr r="CI124" s="1"/>
      </tp>
      <tp>
        <v>0.89</v>
        <stp/>
        <stp>DELTA</stp>
        <stp>.SPXW250508C5560</stp>
        <tr r="CD116" s="1"/>
        <tr r="CD116" s="1"/>
      </tp>
      <tp>
        <v>1</v>
        <stp/>
        <stp>DELTA</stp>
        <stp>.SPXW250509C5570</stp>
        <tr r="CF115" s="1"/>
        <tr r="CF115" s="1"/>
      </tp>
      <tp>
        <v>0.7</v>
        <stp/>
        <stp>DELTA</stp>
        <stp>.SPXW250516C5480</stp>
        <tr r="CH124" s="1"/>
        <tr r="CH124" s="1"/>
      </tp>
      <tp>
        <v>0</v>
        <stp/>
        <stp>DELTA</stp>
        <stp>.SPXW250508P5550</stp>
        <tr r="CE117" s="1"/>
        <tr r="CE117" s="1"/>
      </tp>
      <tp>
        <v>0</v>
        <stp/>
        <stp>DELTA</stp>
        <stp>.SPXW250509P5540</stp>
        <tr r="CG118" s="1"/>
        <tr r="CG118" s="1"/>
      </tp>
      <tp>
        <v>0.89</v>
        <stp/>
        <stp>DELTA</stp>
        <stp>.SPXW250508C5550</stp>
        <tr r="CD117" s="1"/>
        <tr r="CD117" s="1"/>
      </tp>
      <tp>
        <v>1</v>
        <stp/>
        <stp>DELTA</stp>
        <stp>.SPXW250509C5540</stp>
        <tr r="CF118" s="1"/>
        <tr r="CF118" s="1"/>
      </tp>
      <tp>
        <v>0</v>
        <stp/>
        <stp>DELTA</stp>
        <stp>.SPXW250508P5540</stp>
        <tr r="CE118" s="1"/>
        <tr r="CE118" s="1"/>
      </tp>
      <tp>
        <v>0</v>
        <stp/>
        <stp>DELTA</stp>
        <stp>.SPXW250509P5550</stp>
        <tr r="CG117" s="1"/>
        <tr r="CG117" s="1"/>
      </tp>
      <tp>
        <v>0.9</v>
        <stp/>
        <stp>DELTA</stp>
        <stp>.SPXW250508C5540</stp>
        <tr r="CD118" s="1"/>
        <tr r="CD118" s="1"/>
      </tp>
      <tp>
        <v>1</v>
        <stp/>
        <stp>DELTA</stp>
        <stp>.SPXW250509C5550</stp>
        <tr r="CF117" s="1"/>
        <tr r="CF117" s="1"/>
      </tp>
      <tp>
        <v>-0.06</v>
        <stp/>
        <stp>DELTA</stp>
        <stp>.SPXW250516P5450</stp>
        <tr r="CI127" s="1"/>
        <tr r="CI127" s="1"/>
      </tp>
      <tp>
        <v>0.72</v>
        <stp/>
        <stp>DELTA</stp>
        <stp>.SPXW250516C5450</stp>
        <tr r="CH127" s="1"/>
        <tr r="CH127" s="1"/>
      </tp>
      <tp>
        <v>-0.06</v>
        <stp/>
        <stp>DELTA</stp>
        <stp>.SPXW250516P5440</stp>
        <tr r="CI128" s="1"/>
        <tr r="CI128" s="1"/>
      </tp>
      <tp>
        <v>0.73</v>
        <stp/>
        <stp>DELTA</stp>
        <stp>.SPXW250516C5440</stp>
        <tr r="CH128" s="1"/>
        <tr r="CH128" s="1"/>
      </tp>
      <tp>
        <v>0</v>
        <stp/>
        <stp>DELTA</stp>
        <stp>.SPXW250508P5590</stp>
        <tr r="CE113" s="1"/>
        <tr r="CE113" s="1"/>
      </tp>
      <tp>
        <v>0</v>
        <stp/>
        <stp>DELTA</stp>
        <stp>.SPXW250509P5580</stp>
        <tr r="CG114" s="1"/>
        <tr r="CG114" s="1"/>
      </tp>
      <tp>
        <v>-0.08</v>
        <stp/>
        <stp>DELTA</stp>
        <stp>.SPXW250516P5470</stp>
        <tr r="CI125" s="1"/>
        <tr r="CI125" s="1"/>
      </tp>
      <tp>
        <v>0.86</v>
        <stp/>
        <stp>DELTA</stp>
        <stp>.SPXW250508C5590</stp>
        <tr r="CD113" s="1"/>
        <tr r="CD113" s="1"/>
      </tp>
      <tp>
        <v>1</v>
        <stp/>
        <stp>DELTA</stp>
        <stp>.SPXW250509C5580</stp>
        <tr r="CF114" s="1"/>
        <tr r="CF114" s="1"/>
      </tp>
      <tp>
        <v>0.71</v>
        <stp/>
        <stp>DELTA</stp>
        <stp>.SPXW250516C5470</stp>
        <tr r="CH125" s="1"/>
        <tr r="CH125" s="1"/>
      </tp>
      <tp>
        <v>0</v>
        <stp/>
        <stp>DELTA</stp>
        <stp>.SPXW250508P5580</stp>
        <tr r="CE114" s="1"/>
        <tr r="CE114" s="1"/>
      </tp>
      <tp>
        <v>0</v>
        <stp/>
        <stp>DELTA</stp>
        <stp>.SPXW250509P5590</stp>
        <tr r="CG113" s="1"/>
        <tr r="CG113" s="1"/>
      </tp>
      <tp>
        <v>-7.0000000000000007E-2</v>
        <stp/>
        <stp>DELTA</stp>
        <stp>.SPXW250516P5460</stp>
        <tr r="CI126" s="1"/>
        <tr r="CI126" s="1"/>
      </tp>
      <tp>
        <v>0.87</v>
        <stp/>
        <stp>DELTA</stp>
        <stp>.SPXW250508C5580</stp>
        <tr r="CD114" s="1"/>
        <tr r="CD114" s="1"/>
      </tp>
      <tp>
        <v>1</v>
        <stp/>
        <stp>DELTA</stp>
        <stp>.SPXW250509C5590</stp>
        <tr r="CF113" s="1"/>
        <tr r="CF113" s="1"/>
      </tp>
      <tp>
        <v>0.72</v>
        <stp/>
        <stp>DELTA</stp>
        <stp>.SPXW250516C5460</stp>
        <tr r="CH126" s="1"/>
        <tr r="CH126" s="1"/>
      </tp>
      <tp>
        <v>-0.05</v>
        <stp/>
        <stp>DELTA</stp>
        <stp>.SPXW250516P5430</stp>
        <tr r="CI129" s="1"/>
        <tr r="CI129" s="1"/>
      </tp>
      <tp>
        <v>0.73</v>
        <stp/>
        <stp>DELTA</stp>
        <stp>.SPXW250516C5430</stp>
        <tr r="CH129" s="1"/>
        <tr r="CH129" s="1"/>
      </tp>
      <tp>
        <v>-0.05</v>
        <stp/>
        <stp>DELTA</stp>
        <stp>.SPXW250516P5420</stp>
        <tr r="CI130" s="1"/>
        <tr r="CI130" s="1"/>
      </tp>
      <tp>
        <v>0.74</v>
        <stp/>
        <stp>DELTA</stp>
        <stp>.SPXW250516C5420</stp>
        <tr r="CH130" s="1"/>
        <tr r="CH130" s="1"/>
      </tp>
      <tp t="s">
        <v>N/A</v>
        <stp/>
        <stp>VOLUME</stp>
        <stp>.SPY251219P582</stp>
        <tr r="W5" s="2"/>
      </tp>
      <tp t="s">
        <v>N/A</v>
        <stp/>
        <stp>VOLUME</stp>
        <stp>.SPY251219C582</stp>
        <tr r="W5" s="2"/>
      </tp>
      <tp t="s">
        <v>N/A</v>
        <stp/>
        <stp>VOLUME</stp>
        <stp>.SPY251219P581</stp>
        <tr r="W6" s="2"/>
      </tp>
      <tp t="s">
        <v>N/A</v>
        <stp/>
        <stp>VOLUME</stp>
        <stp>.SPY251219C581</stp>
        <tr r="W6" s="2"/>
      </tp>
      <tp>
        <v>11</v>
        <stp/>
        <stp>VOLUME</stp>
        <stp>.SPY251219P580</stp>
        <tr r="W7" s="2"/>
        <tr r="W7" s="2"/>
      </tp>
      <tp>
        <v>235</v>
        <stp/>
        <stp>VOLUME</stp>
        <stp>.SPY251219C580</stp>
        <tr r="W7" s="2"/>
        <tr r="W7" s="2"/>
      </tp>
      <tp t="s">
        <v>N/A</v>
        <stp/>
        <stp>VOLUME</stp>
        <stp>.SPY251231P582</stp>
        <tr r="X5" s="2"/>
      </tp>
      <tp t="s">
        <v>N/A</v>
        <stp/>
        <stp>VOLUME</stp>
        <stp>.SPY251231C582</stp>
        <tr r="X5" s="2"/>
      </tp>
      <tp t="s">
        <v>N/A</v>
        <stp/>
        <stp>VOLUME</stp>
        <stp>.SPY251231P581</stp>
        <tr r="X6" s="2"/>
      </tp>
      <tp>
        <v>2</v>
        <stp/>
        <stp>VOLUME</stp>
        <stp>.SPY251231C581</stp>
        <tr r="X6" s="2"/>
        <tr r="X6" s="2"/>
      </tp>
      <tp>
        <v>143</v>
        <stp/>
        <stp>VOLUME</stp>
        <stp>.SPY251231P580</stp>
        <tr r="X7" s="2"/>
        <tr r="X7" s="2"/>
      </tp>
      <tp>
        <v>18</v>
        <stp/>
        <stp>VOLUME</stp>
        <stp>.SPY251231C580</stp>
        <tr r="X7" s="2"/>
        <tr r="X7" s="2"/>
      </tp>
      <tp>
        <v>5</v>
        <stp/>
        <stp>VOLUME</stp>
        <stp>.SPY251231P567</stp>
        <tr r="X20" s="2"/>
        <tr r="X20" s="2"/>
      </tp>
      <tp>
        <v>5</v>
        <stp/>
        <stp>VOLUME</stp>
        <stp>.SPY251231C567</stp>
        <tr r="X20" s="2"/>
        <tr r="X20" s="2"/>
      </tp>
      <tp t="s">
        <v>N/A</v>
        <stp/>
        <stp>VOLUME</stp>
        <stp>.SPY251231P566</stp>
        <tr r="X21" s="2"/>
      </tp>
      <tp>
        <v>18</v>
        <stp/>
        <stp>VOLUME</stp>
        <stp>.SPY251231C566</stp>
        <tr r="X21" s="2"/>
        <tr r="X21" s="2"/>
      </tp>
      <tp>
        <v>27</v>
        <stp/>
        <stp>VOLUME</stp>
        <stp>.SPY251231P565</stp>
        <tr r="X22" s="2"/>
        <tr r="X22" s="2"/>
      </tp>
      <tp>
        <v>83</v>
        <stp/>
        <stp>VOLUME</stp>
        <stp>.SPY251231C565</stp>
        <tr r="X22" s="2"/>
        <tr r="X22" s="2"/>
      </tp>
      <tp>
        <v>80</v>
        <stp/>
        <stp>VOLUME</stp>
        <stp>.SPY251231P564</stp>
        <tr r="X23" s="2"/>
        <tr r="X23" s="2"/>
      </tp>
      <tp>
        <v>47</v>
        <stp/>
        <stp>VOLUME</stp>
        <stp>.SPY251231C564</stp>
        <tr r="X23" s="2"/>
        <tr r="X23" s="2"/>
      </tp>
      <tp>
        <v>152</v>
        <stp/>
        <stp>VOLUME</stp>
        <stp>.SPY251231P563</stp>
        <tr r="X24" s="2"/>
        <tr r="X24" s="2"/>
      </tp>
      <tp>
        <v>1</v>
        <stp/>
        <stp>VOLUME</stp>
        <stp>.SPY251231C563</stp>
        <tr r="X24" s="2"/>
        <tr r="X24" s="2"/>
      </tp>
      <tp>
        <v>387</v>
        <stp/>
        <stp>VOLUME</stp>
        <stp>.SPY251231P562</stp>
        <tr r="X25" s="2"/>
        <tr r="X25" s="2"/>
      </tp>
      <tp t="s">
        <v>N/A</v>
        <stp/>
        <stp>VOLUME</stp>
        <stp>.SPY251231C562</stp>
        <tr r="X25" s="2"/>
      </tp>
      <tp t="s">
        <v>N/A</v>
        <stp/>
        <stp>VOLUME</stp>
        <stp>.SPY251219P549</stp>
        <tr r="W38" s="2"/>
      </tp>
      <tp>
        <v>132</v>
        <stp/>
        <stp>VOLUME</stp>
        <stp>.SPY251231P561</stp>
        <tr r="X26" s="2"/>
        <tr r="X26" s="2"/>
      </tp>
      <tp t="s">
        <v>N/A</v>
        <stp/>
        <stp>VOLUME</stp>
        <stp>.SPY251219C549</stp>
        <tr r="W38" s="2"/>
      </tp>
      <tp t="s">
        <v>N/A</v>
        <stp/>
        <stp>VOLUME</stp>
        <stp>.SPY251231C561</stp>
        <tr r="X26" s="2"/>
      </tp>
      <tp t="s">
        <v>N/A</v>
        <stp/>
        <stp>VOLUME</stp>
        <stp>.SPY251219P548</stp>
        <tr r="W39" s="2"/>
      </tp>
      <tp>
        <v>6</v>
        <stp/>
        <stp>VOLUME</stp>
        <stp>.SPY251231P560</stp>
        <tr r="X27" s="2"/>
        <tr r="X27" s="2"/>
      </tp>
      <tp t="s">
        <v>N/A</v>
        <stp/>
        <stp>VOLUME</stp>
        <stp>.SPY251219C548</stp>
        <tr r="W39" s="2"/>
      </tp>
      <tp>
        <v>3</v>
        <stp/>
        <stp>VOLUME</stp>
        <stp>.SPY251231C560</stp>
        <tr r="X27" s="2"/>
        <tr r="X27" s="2"/>
      </tp>
      <tp>
        <v>1</v>
        <stp/>
        <stp>VOLUME</stp>
        <stp>.SPY251231P569</stp>
        <tr r="X18" s="2"/>
        <tr r="X18" s="2"/>
      </tp>
      <tp t="s">
        <v>N/A</v>
        <stp/>
        <stp>VOLUME</stp>
        <stp>.SPY251231C569</stp>
        <tr r="X18" s="2"/>
      </tp>
      <tp t="s">
        <v>N/A</v>
        <stp/>
        <stp>VOLUME</stp>
        <stp>.SPY251231P568</stp>
        <tr r="X19" s="2"/>
      </tp>
      <tp>
        <v>3</v>
        <stp/>
        <stp>VOLUME</stp>
        <stp>.SPY251231C568</stp>
        <tr r="X19" s="2"/>
        <tr r="X19" s="2"/>
      </tp>
      <tp t="s">
        <v>N/A</v>
        <stp/>
        <stp>VOLUME</stp>
        <stp>.SPY251231P577</stp>
        <tr r="X10" s="2"/>
      </tp>
      <tp t="s">
        <v>N/A</v>
        <stp/>
        <stp>VOLUME</stp>
        <stp>.SPY251231C577</stp>
        <tr r="X10" s="2"/>
      </tp>
      <tp t="s">
        <v>N/A</v>
        <stp/>
        <stp>VOLUME</stp>
        <stp>.SPY251231P576</stp>
        <tr r="X11" s="2"/>
      </tp>
      <tp t="s">
        <v>N/A</v>
        <stp/>
        <stp>VOLUME</stp>
        <stp>.SPY251231C576</stp>
        <tr r="X11" s="2"/>
      </tp>
      <tp>
        <v>85</v>
        <stp/>
        <stp>VOLUME</stp>
        <stp>.SPY251231P575</stp>
        <tr r="X12" s="2"/>
        <tr r="X12" s="2"/>
      </tp>
      <tp>
        <v>5</v>
        <stp/>
        <stp>VOLUME</stp>
        <stp>.SPY251231C575</stp>
        <tr r="X12" s="2"/>
        <tr r="X12" s="2"/>
      </tp>
      <tp t="s">
        <v>N/A</v>
        <stp/>
        <stp>VOLUME</stp>
        <stp>.SPY251231P574</stp>
        <tr r="X13" s="2"/>
      </tp>
      <tp t="s">
        <v>N/A</v>
        <stp/>
        <stp>VOLUME</stp>
        <stp>.SPY251231C574</stp>
        <tr r="X13" s="2"/>
      </tp>
      <tp t="s">
        <v>N/A</v>
        <stp/>
        <stp>VOLUME</stp>
        <stp>.SPY251231P573</stp>
        <tr r="X14" s="2"/>
      </tp>
      <tp t="s">
        <v>N/A</v>
        <stp/>
        <stp>VOLUME</stp>
        <stp>.SPY251231C573</stp>
        <tr r="X14" s="2"/>
      </tp>
      <tp>
        <v>2</v>
        <stp/>
        <stp>VOLUME</stp>
        <stp>.SPY251231P572</stp>
        <tr r="X15" s="2"/>
        <tr r="X15" s="2"/>
      </tp>
      <tp>
        <v>10</v>
        <stp/>
        <stp>VOLUME</stp>
        <stp>.SPY251231C572</stp>
        <tr r="X15" s="2"/>
        <tr r="X15" s="2"/>
      </tp>
      <tp t="s">
        <v>N/A</v>
        <stp/>
        <stp>VOLUME</stp>
        <stp>.SPY251219P559</stp>
        <tr r="W28" s="2"/>
      </tp>
      <tp>
        <v>1</v>
        <stp/>
        <stp>VOLUME</stp>
        <stp>.SPY251231P571</stp>
        <tr r="X16" s="2"/>
        <tr r="X16" s="2"/>
      </tp>
      <tp t="s">
        <v>N/A</v>
        <stp/>
        <stp>VOLUME</stp>
        <stp>.SPY251219C559</stp>
        <tr r="W28" s="2"/>
      </tp>
      <tp>
        <v>20</v>
        <stp/>
        <stp>VOLUME</stp>
        <stp>.SPY251231C571</stp>
        <tr r="X16" s="2"/>
        <tr r="X16" s="2"/>
      </tp>
      <tp t="s">
        <v>N/A</v>
        <stp/>
        <stp>VOLUME</stp>
        <stp>.SPY251219P558</stp>
        <tr r="W29" s="2"/>
      </tp>
      <tp>
        <v>28</v>
        <stp/>
        <stp>VOLUME</stp>
        <stp>.SPY251231P570</stp>
        <tr r="X17" s="2"/>
        <tr r="X17" s="2"/>
      </tp>
      <tp t="s">
        <v>N/A</v>
        <stp/>
        <stp>VOLUME</stp>
        <stp>.SPY251219C558</stp>
        <tr r="W29" s="2"/>
      </tp>
      <tp>
        <v>23</v>
        <stp/>
        <stp>VOLUME</stp>
        <stp>.SPY251231C570</stp>
        <tr r="X17" s="2"/>
        <tr r="X17" s="2"/>
      </tp>
      <tp t="s">
        <v>N/A</v>
        <stp/>
        <stp>VOLUME</stp>
        <stp>.SPY251219P557</stp>
        <tr r="W30" s="2"/>
      </tp>
      <tp t="s">
        <v>N/A</v>
        <stp/>
        <stp>VOLUME</stp>
        <stp>.SPY251219C557</stp>
        <tr r="W30" s="2"/>
      </tp>
      <tp t="s">
        <v>N/A</v>
        <stp/>
        <stp>VOLUME</stp>
        <stp>.SPY251219P556</stp>
        <tr r="W31" s="2"/>
      </tp>
      <tp t="s">
        <v>N/A</v>
        <stp/>
        <stp>VOLUME</stp>
        <stp>.SPY251219C556</stp>
        <tr r="W31" s="2"/>
      </tp>
      <tp>
        <v>65</v>
        <stp/>
        <stp>VOLUME</stp>
        <stp>.SPY251219P555</stp>
        <tr r="W32" s="2"/>
        <tr r="W32" s="2"/>
      </tp>
      <tp>
        <v>3</v>
        <stp/>
        <stp>VOLUME</stp>
        <stp>.SPY251219C555</stp>
        <tr r="W32" s="2"/>
        <tr r="W32" s="2"/>
      </tp>
      <tp t="s">
        <v>N/A</v>
        <stp/>
        <stp>VOLUME</stp>
        <stp>.SPY251219P554</stp>
        <tr r="W33" s="2"/>
      </tp>
      <tp t="s">
        <v>N/A</v>
        <stp/>
        <stp>VOLUME</stp>
        <stp>.SPY251219C554</stp>
        <tr r="W33" s="2"/>
      </tp>
      <tp t="s">
        <v>N/A</v>
        <stp/>
        <stp>VOLUME</stp>
        <stp>.SPY251219P553</stp>
        <tr r="W34" s="2"/>
      </tp>
      <tp t="s">
        <v>N/A</v>
        <stp/>
        <stp>VOLUME</stp>
        <stp>.SPY251219C553</stp>
        <tr r="W34" s="2"/>
      </tp>
      <tp t="s">
        <v>N/A</v>
        <stp/>
        <stp>VOLUME</stp>
        <stp>.SPY251219P552</stp>
        <tr r="W35" s="2"/>
      </tp>
      <tp t="s">
        <v>N/A</v>
        <stp/>
        <stp>VOLUME</stp>
        <stp>.SPY251219C552</stp>
        <tr r="W35" s="2"/>
      </tp>
      <tp t="s">
        <v>N/A</v>
        <stp/>
        <stp>VOLUME</stp>
        <stp>.SPY251219P551</stp>
        <tr r="W36" s="2"/>
      </tp>
      <tp t="s">
        <v>N/A</v>
        <stp/>
        <stp>VOLUME</stp>
        <stp>.SPY251231P579</stp>
        <tr r="X8" s="2"/>
      </tp>
      <tp t="s">
        <v>N/A</v>
        <stp/>
        <stp>VOLUME</stp>
        <stp>.SPY251219C551</stp>
        <tr r="W36" s="2"/>
      </tp>
      <tp t="s">
        <v>N/A</v>
        <stp/>
        <stp>VOLUME</stp>
        <stp>.SPY251231C579</stp>
        <tr r="X8" s="2"/>
      </tp>
      <tp>
        <v>620</v>
        <stp/>
        <stp>VOLUME</stp>
        <stp>.SPY251219P550</stp>
        <tr r="W37" s="2"/>
        <tr r="W37" s="2"/>
      </tp>
      <tp t="s">
        <v>N/A</v>
        <stp/>
        <stp>VOLUME</stp>
        <stp>.SPY251231P578</stp>
        <tr r="X9" s="2"/>
      </tp>
      <tp>
        <v>45</v>
        <stp/>
        <stp>VOLUME</stp>
        <stp>.SPY251219C550</stp>
        <tr r="W37" s="2"/>
        <tr r="W37" s="2"/>
      </tp>
      <tp t="s">
        <v>N/A</v>
        <stp/>
        <stp>VOLUME</stp>
        <stp>.SPY251231C578</stp>
        <tr r="X9" s="2"/>
      </tp>
      <tp t="s">
        <v>N/A</v>
        <stp/>
        <stp>VOLUME</stp>
        <stp>.SPY251219P569</stp>
        <tr r="W18" s="2"/>
      </tp>
      <tp t="s">
        <v>N/A</v>
        <stp/>
        <stp>VOLUME</stp>
        <stp>.SPY251219C569</stp>
        <tr r="W18" s="2"/>
      </tp>
      <tp t="s">
        <v>N/A</v>
        <stp/>
        <stp>VOLUME</stp>
        <stp>.SPY251219P568</stp>
        <tr r="W19" s="2"/>
      </tp>
      <tp t="s">
        <v>N/A</v>
        <stp/>
        <stp>VOLUME</stp>
        <stp>.SPY251219C568</stp>
        <tr r="W19" s="2"/>
      </tp>
      <tp t="s">
        <v>N/A</v>
        <stp/>
        <stp>VOLUME</stp>
        <stp>.SPY251219P567</stp>
        <tr r="W20" s="2"/>
      </tp>
      <tp t="s">
        <v>N/A</v>
        <stp/>
        <stp>VOLUME</stp>
        <stp>.SPY251219C567</stp>
        <tr r="W20" s="2"/>
      </tp>
      <tp t="s">
        <v>N/A</v>
        <stp/>
        <stp>VOLUME</stp>
        <stp>.SPY251219P566</stp>
        <tr r="W21" s="2"/>
      </tp>
      <tp t="s">
        <v>N/A</v>
        <stp/>
        <stp>VOLUME</stp>
        <stp>.SPY251219C566</stp>
        <tr r="W21" s="2"/>
      </tp>
      <tp>
        <v>18</v>
        <stp/>
        <stp>VOLUME</stp>
        <stp>.SPY251219P565</stp>
        <tr r="W22" s="2"/>
        <tr r="W22" s="2"/>
      </tp>
      <tp>
        <v>10</v>
        <stp/>
        <stp>VOLUME</stp>
        <stp>.SPY251219C565</stp>
        <tr r="W22" s="2"/>
        <tr r="W22" s="2"/>
      </tp>
      <tp t="s">
        <v>N/A</v>
        <stp/>
        <stp>VOLUME</stp>
        <stp>.SPY251219P564</stp>
        <tr r="W23" s="2"/>
      </tp>
      <tp t="s">
        <v>N/A</v>
        <stp/>
        <stp>VOLUME</stp>
        <stp>.SPY251219C564</stp>
        <tr r="W23" s="2"/>
      </tp>
      <tp t="s">
        <v>N/A</v>
        <stp/>
        <stp>VOLUME</stp>
        <stp>.SPY251219P563</stp>
        <tr r="W24" s="2"/>
      </tp>
      <tp t="s">
        <v>N/A</v>
        <stp/>
        <stp>VOLUME</stp>
        <stp>.SPY251219C563</stp>
        <tr r="W24" s="2"/>
      </tp>
      <tp t="s">
        <v>N/A</v>
        <stp/>
        <stp>VOLUME</stp>
        <stp>.SPY251219P562</stp>
        <tr r="W25" s="2"/>
      </tp>
      <tp t="s">
        <v>N/A</v>
        <stp/>
        <stp>VOLUME</stp>
        <stp>.SPY251219C562</stp>
        <tr r="W25" s="2"/>
      </tp>
      <tp t="s">
        <v>N/A</v>
        <stp/>
        <stp>VOLUME</stp>
        <stp>.SPY251219P561</stp>
        <tr r="W26" s="2"/>
      </tp>
      <tp>
        <v>10</v>
        <stp/>
        <stp>VOLUME</stp>
        <stp>.SPY251231P549</stp>
        <tr r="X38" s="2"/>
        <tr r="X38" s="2"/>
      </tp>
      <tp t="s">
        <v>N/A</v>
        <stp/>
        <stp>VOLUME</stp>
        <stp>.SPY251219C561</stp>
        <tr r="W26" s="2"/>
      </tp>
      <tp t="s">
        <v>N/A</v>
        <stp/>
        <stp>VOLUME</stp>
        <stp>.SPY251231C549</stp>
        <tr r="X38" s="2"/>
      </tp>
      <tp>
        <v>132</v>
        <stp/>
        <stp>VOLUME</stp>
        <stp>.SPY251219P560</stp>
        <tr r="W27" s="2"/>
        <tr r="W27" s="2"/>
      </tp>
      <tp t="s">
        <v>N/A</v>
        <stp/>
        <stp>VOLUME</stp>
        <stp>.SPY251231P548</stp>
        <tr r="X39" s="2"/>
      </tp>
      <tp>
        <v>14</v>
        <stp/>
        <stp>VOLUME</stp>
        <stp>.SPY251219C560</stp>
        <tr r="W27" s="2"/>
        <tr r="W27" s="2"/>
      </tp>
      <tp t="s">
        <v>N/A</v>
        <stp/>
        <stp>VOLUME</stp>
        <stp>.SPY251231C548</stp>
        <tr r="X39" s="2"/>
      </tp>
      <tp t="s">
        <v>N/A</v>
        <stp/>
        <stp>VOLUME</stp>
        <stp>.SPY251231P557</stp>
        <tr r="X30" s="2"/>
      </tp>
      <tp t="s">
        <v>N/A</v>
        <stp/>
        <stp>VOLUME</stp>
        <stp>.SPY251231C557</stp>
        <tr r="X30" s="2"/>
      </tp>
      <tp t="s">
        <v>N/A</v>
        <stp/>
        <stp>VOLUME</stp>
        <stp>.SPY251231P556</stp>
        <tr r="X31" s="2"/>
      </tp>
      <tp t="s">
        <v>N/A</v>
        <stp/>
        <stp>VOLUME</stp>
        <stp>.SPY251231C556</stp>
        <tr r="X31" s="2"/>
      </tp>
      <tp>
        <v>10</v>
        <stp/>
        <stp>VOLUME</stp>
        <stp>.SPY251231P555</stp>
        <tr r="X32" s="2"/>
        <tr r="X32" s="2"/>
      </tp>
      <tp>
        <v>2</v>
        <stp/>
        <stp>VOLUME</stp>
        <stp>.SPY251231C555</stp>
        <tr r="X32" s="2"/>
        <tr r="X32" s="2"/>
      </tp>
      <tp>
        <v>1</v>
        <stp/>
        <stp>VOLUME</stp>
        <stp>.SPY251231P554</stp>
        <tr r="X33" s="2"/>
        <tr r="X33" s="2"/>
      </tp>
      <tp t="s">
        <v>N/A</v>
        <stp/>
        <stp>VOLUME</stp>
        <stp>.SPY251231C554</stp>
        <tr r="X33" s="2"/>
      </tp>
      <tp t="s">
        <v>N/A</v>
        <stp/>
        <stp>VOLUME</stp>
        <stp>.SPY251231P553</stp>
        <tr r="X34" s="2"/>
      </tp>
      <tp t="s">
        <v>N/A</v>
        <stp/>
        <stp>VOLUME</stp>
        <stp>.SPY251231C553</stp>
        <tr r="X34" s="2"/>
      </tp>
      <tp>
        <v>5</v>
        <stp/>
        <stp>VOLUME</stp>
        <stp>.SPY251231P552</stp>
        <tr r="X35" s="2"/>
        <tr r="X35" s="2"/>
      </tp>
      <tp t="s">
        <v>N/A</v>
        <stp/>
        <stp>VOLUME</stp>
        <stp>.SPY251231C552</stp>
        <tr r="X35" s="2"/>
      </tp>
      <tp t="s">
        <v>N/A</v>
        <stp/>
        <stp>VOLUME</stp>
        <stp>.SPY251219P579</stp>
        <tr r="W8" s="2"/>
      </tp>
      <tp t="s">
        <v>N/A</v>
        <stp/>
        <stp>VOLUME</stp>
        <stp>.SPY251231P551</stp>
        <tr r="X36" s="2"/>
      </tp>
      <tp t="s">
        <v>N/A</v>
        <stp/>
        <stp>VOLUME</stp>
        <stp>.SPY251219C579</stp>
        <tr r="W8" s="2"/>
      </tp>
      <tp t="s">
        <v>N/A</v>
        <stp/>
        <stp>VOLUME</stp>
        <stp>.SPY251231C551</stp>
        <tr r="X36" s="2"/>
      </tp>
      <tp t="s">
        <v>N/A</v>
        <stp/>
        <stp>VOLUME</stp>
        <stp>.SPY251219P578</stp>
        <tr r="W9" s="2"/>
      </tp>
      <tp>
        <v>75</v>
        <stp/>
        <stp>VOLUME</stp>
        <stp>.SPY251231P550</stp>
        <tr r="X37" s="2"/>
        <tr r="X37" s="2"/>
      </tp>
      <tp t="s">
        <v>N/A</v>
        <stp/>
        <stp>VOLUME</stp>
        <stp>.SPY251219C578</stp>
        <tr r="W9" s="2"/>
      </tp>
      <tp>
        <v>5</v>
        <stp/>
        <stp>VOLUME</stp>
        <stp>.SPY251231C550</stp>
        <tr r="X37" s="2"/>
        <tr r="X37" s="2"/>
      </tp>
      <tp t="s">
        <v>N/A</v>
        <stp/>
        <stp>VOLUME</stp>
        <stp>.SPY251219P577</stp>
        <tr r="W10" s="2"/>
      </tp>
      <tp t="s">
        <v>N/A</v>
        <stp/>
        <stp>VOLUME</stp>
        <stp>.SPY251219C577</stp>
        <tr r="W10" s="2"/>
      </tp>
      <tp t="s">
        <v>N/A</v>
        <stp/>
        <stp>VOLUME</stp>
        <stp>.SPY251219P576</stp>
        <tr r="W11" s="2"/>
      </tp>
      <tp t="s">
        <v>N/A</v>
        <stp/>
        <stp>VOLUME</stp>
        <stp>.SPY251219C576</stp>
        <tr r="W11" s="2"/>
      </tp>
      <tp>
        <v>40</v>
        <stp/>
        <stp>VOLUME</stp>
        <stp>.SPY251219P575</stp>
        <tr r="W12" s="2"/>
        <tr r="W12" s="2"/>
      </tp>
      <tp>
        <v>32</v>
        <stp/>
        <stp>VOLUME</stp>
        <stp>.SPY251219C575</stp>
        <tr r="W12" s="2"/>
        <tr r="W12" s="2"/>
      </tp>
      <tp t="s">
        <v>N/A</v>
        <stp/>
        <stp>VOLUME</stp>
        <stp>.SPY251219P574</stp>
        <tr r="W13" s="2"/>
      </tp>
      <tp t="s">
        <v>N/A</v>
        <stp/>
        <stp>VOLUME</stp>
        <stp>.SPY251219C574</stp>
        <tr r="W13" s="2"/>
      </tp>
      <tp t="s">
        <v>N/A</v>
        <stp/>
        <stp>VOLUME</stp>
        <stp>.SPY251219P573</stp>
        <tr r="W14" s="2"/>
      </tp>
      <tp t="s">
        <v>N/A</v>
        <stp/>
        <stp>VOLUME</stp>
        <stp>.SPY251219C573</stp>
        <tr r="W14" s="2"/>
      </tp>
      <tp t="s">
        <v>N/A</v>
        <stp/>
        <stp>VOLUME</stp>
        <stp>.SPY251219P572</stp>
        <tr r="W15" s="2"/>
      </tp>
      <tp t="s">
        <v>N/A</v>
        <stp/>
        <stp>VOLUME</stp>
        <stp>.SPY251219C572</stp>
        <tr r="W15" s="2"/>
      </tp>
      <tp t="s">
        <v>N/A</v>
        <stp/>
        <stp>VOLUME</stp>
        <stp>.SPY251219P571</stp>
        <tr r="W16" s="2"/>
      </tp>
      <tp t="s">
        <v>N/A</v>
        <stp/>
        <stp>VOLUME</stp>
        <stp>.SPY251231P559</stp>
        <tr r="X28" s="2"/>
      </tp>
      <tp t="s">
        <v>N/A</v>
        <stp/>
        <stp>VOLUME</stp>
        <stp>.SPY251219C571</stp>
        <tr r="W16" s="2"/>
      </tp>
      <tp t="s">
        <v>N/A</v>
        <stp/>
        <stp>VOLUME</stp>
        <stp>.SPY251231C559</stp>
        <tr r="X28" s="2"/>
      </tp>
      <tp>
        <v>473</v>
        <stp/>
        <stp>VOLUME</stp>
        <stp>.SPY251219P570</stp>
        <tr r="W17" s="2"/>
        <tr r="W17" s="2"/>
      </tp>
      <tp t="s">
        <v>N/A</v>
        <stp/>
        <stp>VOLUME</stp>
        <stp>.SPY251231P558</stp>
        <tr r="X29" s="2"/>
      </tp>
      <tp>
        <v>110</v>
        <stp/>
        <stp>VOLUME</stp>
        <stp>.SPY251219C570</stp>
        <tr r="W17" s="2"/>
        <tr r="W17" s="2"/>
      </tp>
      <tp>
        <v>2</v>
        <stp/>
        <stp>VOLUME</stp>
        <stp>.SPY251231C558</stp>
        <tr r="X29" s="2"/>
        <tr r="X29" s="2"/>
      </tp>
      <tp t="s">
        <v>N/A</v>
        <stp/>
        <stp>VOLUME</stp>
        <stp>.QQQ250815P481</stp>
        <tr r="O67" s="2"/>
      </tp>
      <tp t="s">
        <v>N/A</v>
        <stp/>
        <stp>VOLUME</stp>
        <stp>.QQQ250815C481</stp>
        <tr r="O67" s="2"/>
      </tp>
      <tp>
        <v>76</v>
        <stp/>
        <stp>VOLUME</stp>
        <stp>.QQQ250815P480</stp>
        <tr r="O68" s="2"/>
        <tr r="O68" s="2"/>
      </tp>
      <tp>
        <v>19</v>
        <stp/>
        <stp>VOLUME</stp>
        <stp>.QQQ250815C480</stp>
        <tr r="O68" s="2"/>
        <tr r="O68" s="2"/>
      </tp>
      <tp t="s">
        <v>N/A</v>
        <stp/>
        <stp>VOLUME</stp>
        <stp>.QQQ250815P483</stp>
        <tr r="O65" s="2"/>
      </tp>
      <tp t="s">
        <v>N/A</v>
        <stp/>
        <stp>VOLUME</stp>
        <stp>.QQQ250815C483</stp>
        <tr r="O65" s="2"/>
      </tp>
      <tp t="s">
        <v>N/A</v>
        <stp/>
        <stp>VOLUME</stp>
        <stp>.QQQ250815P482</stp>
        <tr r="O66" s="2"/>
      </tp>
      <tp t="s">
        <v>N/A</v>
        <stp/>
        <stp>VOLUME</stp>
        <stp>.QQQ250815C482</stp>
        <tr r="O66" s="2"/>
      </tp>
      <tp>
        <v>101</v>
        <stp/>
        <stp>VOLUME</stp>
        <stp>.QQQ250815P485</stp>
        <tr r="O63" s="2"/>
        <tr r="O63" s="2"/>
      </tp>
      <tp>
        <v>118</v>
        <stp/>
        <stp>VOLUME</stp>
        <stp>.QQQ250815C485</stp>
        <tr r="O63" s="2"/>
        <tr r="O63" s="2"/>
      </tp>
      <tp t="s">
        <v>N/A</v>
        <stp/>
        <stp>VOLUME</stp>
        <stp>.QQQ250815P484</stp>
        <tr r="O64" s="2"/>
      </tp>
      <tp t="s">
        <v>N/A</v>
        <stp/>
        <stp>VOLUME</stp>
        <stp>.QQQ250815C484</stp>
        <tr r="O64" s="2"/>
      </tp>
      <tp t="s">
        <v>N/A</v>
        <stp/>
        <stp>VOLUME</stp>
        <stp>.QQQ250815P487</stp>
        <tr r="O61" s="2"/>
      </tp>
      <tp t="s">
        <v>N/A</v>
        <stp/>
        <stp>VOLUME</stp>
        <stp>.QQQ250815C487</stp>
        <tr r="O61" s="2"/>
      </tp>
      <tp t="s">
        <v>N/A</v>
        <stp/>
        <stp>VOLUME</stp>
        <stp>.QQQ250815P486</stp>
        <tr r="O62" s="2"/>
      </tp>
      <tp t="s">
        <v>N/A</v>
        <stp/>
        <stp>VOLUME</stp>
        <stp>.QQQ250815C486</stp>
        <tr r="O62" s="2"/>
      </tp>
      <tp t="s">
        <v>N/A</v>
        <stp/>
        <stp>VOLUME</stp>
        <stp>.QQQ250815P489</stp>
        <tr r="O59" s="2"/>
      </tp>
      <tp t="s">
        <v>N/A</v>
        <stp/>
        <stp>VOLUME</stp>
        <stp>.QQQ250815C489</stp>
        <tr r="O59" s="2"/>
      </tp>
      <tp t="s">
        <v>N/A</v>
        <stp/>
        <stp>VOLUME</stp>
        <stp>.QQQ250815P488</stp>
        <tr r="O60" s="2"/>
      </tp>
      <tp t="s">
        <v>N/A</v>
        <stp/>
        <stp>VOLUME</stp>
        <stp>.QQQ250815C488</stp>
        <tr r="O60" s="2"/>
      </tp>
      <tp t="s">
        <v>N/A</v>
        <stp/>
        <stp>VOLUME</stp>
        <stp>.QQQ250815P491</stp>
        <tr r="O57" s="2"/>
      </tp>
      <tp t="s">
        <v>N/A</v>
        <stp/>
        <stp>VOLUME</stp>
        <stp>.QQQ250815C491</stp>
        <tr r="O57" s="2"/>
      </tp>
      <tp>
        <v>2243</v>
        <stp/>
        <stp>VOLUME</stp>
        <stp>.QQQ250815P490</stp>
        <tr r="O58" s="2"/>
        <tr r="O58" s="2"/>
      </tp>
      <tp>
        <v>2165</v>
        <stp/>
        <stp>VOLUME</stp>
        <stp>.QQQ250815C490</stp>
        <tr r="O58" s="2"/>
        <tr r="O58" s="2"/>
      </tp>
      <tp t="s">
        <v>N/A</v>
        <stp/>
        <stp>VOLUME</stp>
        <stp>.QQQ250815P493</stp>
        <tr r="O55" s="2"/>
      </tp>
      <tp t="s">
        <v>N/A</v>
        <stp/>
        <stp>VOLUME</stp>
        <stp>.QQQ250815C493</stp>
        <tr r="O55" s="2"/>
      </tp>
      <tp t="s">
        <v>N/A</v>
        <stp/>
        <stp>VOLUME</stp>
        <stp>.QQQ250815P492</stp>
        <tr r="O56" s="2"/>
      </tp>
      <tp t="s">
        <v>N/A</v>
        <stp/>
        <stp>VOLUME</stp>
        <stp>.QQQ250815C492</stp>
        <tr r="O56" s="2"/>
      </tp>
      <tp>
        <v>31</v>
        <stp/>
        <stp>VOLUME</stp>
        <stp>.QQQ250815P495</stp>
        <tr r="O53" s="2"/>
        <tr r="O53" s="2"/>
      </tp>
      <tp>
        <v>84</v>
        <stp/>
        <stp>VOLUME</stp>
        <stp>.QQQ250815C495</stp>
        <tr r="O53" s="2"/>
        <tr r="O53" s="2"/>
      </tp>
      <tp t="s">
        <v>N/A</v>
        <stp/>
        <stp>VOLUME</stp>
        <stp>.QQQ250815P494</stp>
        <tr r="O54" s="2"/>
      </tp>
      <tp t="s">
        <v>N/A</v>
        <stp/>
        <stp>VOLUME</stp>
        <stp>.QQQ250815C494</stp>
        <tr r="O54" s="2"/>
      </tp>
      <tp t="s">
        <v>N/A</v>
        <stp/>
        <stp>VOLUME</stp>
        <stp>.QQQ250815P497</stp>
        <tr r="O51" s="2"/>
      </tp>
      <tp t="s">
        <v>N/A</v>
        <stp/>
        <stp>VOLUME</stp>
        <stp>.QQQ250815C497</stp>
        <tr r="O51" s="2"/>
      </tp>
      <tp t="s">
        <v>N/A</v>
        <stp/>
        <stp>VOLUME</stp>
        <stp>.QQQ250815P496</stp>
        <tr r="O52" s="2"/>
      </tp>
      <tp t="s">
        <v>N/A</v>
        <stp/>
        <stp>VOLUME</stp>
        <stp>.QQQ250815C496</stp>
        <tr r="O52" s="2"/>
      </tp>
      <tp t="s">
        <v>N/A</v>
        <stp/>
        <stp>VOLUME</stp>
        <stp>.QQQ250815P499</stp>
        <tr r="O49" s="2"/>
      </tp>
      <tp t="s">
        <v>N/A</v>
        <stp/>
        <stp>VOLUME</stp>
        <stp>.QQQ250815C499</stp>
        <tr r="O49" s="2"/>
      </tp>
      <tp t="s">
        <v>N/A</v>
        <stp/>
        <stp>VOLUME</stp>
        <stp>.QQQ250815P498</stp>
        <tr r="O50" s="2"/>
      </tp>
      <tp t="s">
        <v>N/A</v>
        <stp/>
        <stp>VOLUME</stp>
        <stp>.QQQ250815C498</stp>
        <tr r="O50" s="2"/>
      </tp>
      <tp t="s">
        <v>N/A</v>
        <stp/>
        <stp>VOLUME</stp>
        <stp>.QQQ250829P499</stp>
        <tr r="P49" s="2"/>
      </tp>
      <tp t="s">
        <v>N/A</v>
        <stp/>
        <stp>VOLUME</stp>
        <stp>.QQQ250829C499</stp>
        <tr r="P49" s="2"/>
      </tp>
      <tp t="s">
        <v>N/A</v>
        <stp/>
        <stp>VOLUME</stp>
        <stp>.QQQ250829P498</stp>
        <tr r="P50" s="2"/>
      </tp>
      <tp t="s">
        <v>N/A</v>
        <stp/>
        <stp>VOLUME</stp>
        <stp>.QQQ250829C498</stp>
        <tr r="P50" s="2"/>
      </tp>
      <tp t="s">
        <v>N/A</v>
        <stp/>
        <stp>VOLUME</stp>
        <stp>.QQQ250829P495</stp>
        <tr r="P53" s="2"/>
      </tp>
      <tp>
        <v>29</v>
        <stp/>
        <stp>VOLUME</stp>
        <stp>.QQQ250829C495</stp>
        <tr r="P53" s="2"/>
        <tr r="P53" s="2"/>
      </tp>
      <tp t="s">
        <v>N/A</v>
        <stp/>
        <stp>VOLUME</stp>
        <stp>.QQQ250829P494</stp>
        <tr r="P54" s="2"/>
      </tp>
      <tp t="s">
        <v>N/A</v>
        <stp/>
        <stp>VOLUME</stp>
        <stp>.QQQ250829C494</stp>
        <tr r="P54" s="2"/>
      </tp>
      <tp t="s">
        <v>N/A</v>
        <stp/>
        <stp>VOLUME</stp>
        <stp>.QQQ250829P497</stp>
        <tr r="P51" s="2"/>
      </tp>
      <tp t="s">
        <v>N/A</v>
        <stp/>
        <stp>VOLUME</stp>
        <stp>.QQQ250829C497</stp>
        <tr r="P51" s="2"/>
      </tp>
      <tp t="s">
        <v>N/A</v>
        <stp/>
        <stp>VOLUME</stp>
        <stp>.QQQ250829P496</stp>
        <tr r="P52" s="2"/>
      </tp>
      <tp t="s">
        <v>N/A</v>
        <stp/>
        <stp>VOLUME</stp>
        <stp>.QQQ250829C496</stp>
        <tr r="P52" s="2"/>
      </tp>
      <tp t="s">
        <v>N/A</v>
        <stp/>
        <stp>VOLUME</stp>
        <stp>.QQQ250829P491</stp>
        <tr r="P57" s="2"/>
      </tp>
      <tp t="s">
        <v>N/A</v>
        <stp/>
        <stp>VOLUME</stp>
        <stp>.QQQ250829C491</stp>
        <tr r="P57" s="2"/>
      </tp>
      <tp>
        <v>77</v>
        <stp/>
        <stp>VOLUME</stp>
        <stp>.QQQ250829P490</stp>
        <tr r="P58" s="2"/>
        <tr r="P58" s="2"/>
      </tp>
      <tp>
        <v>15</v>
        <stp/>
        <stp>VOLUME</stp>
        <stp>.QQQ250829C490</stp>
        <tr r="P58" s="2"/>
        <tr r="P58" s="2"/>
      </tp>
      <tp t="s">
        <v>N/A</v>
        <stp/>
        <stp>VOLUME</stp>
        <stp>.QQQ250829P493</stp>
        <tr r="P55" s="2"/>
      </tp>
      <tp t="s">
        <v>N/A</v>
        <stp/>
        <stp>VOLUME</stp>
        <stp>.QQQ250829C493</stp>
        <tr r="P55" s="2"/>
      </tp>
      <tp t="s">
        <v>N/A</v>
        <stp/>
        <stp>VOLUME</stp>
        <stp>.QQQ250829P492</stp>
        <tr r="P56" s="2"/>
      </tp>
      <tp t="s">
        <v>N/A</v>
        <stp/>
        <stp>VOLUME</stp>
        <stp>.QQQ250829C492</stp>
        <tr r="P56" s="2"/>
      </tp>
      <tp t="s">
        <v>N/A</v>
        <stp/>
        <stp>VOLUME</stp>
        <stp>.QQQ250829P489</stp>
        <tr r="P59" s="2"/>
      </tp>
      <tp t="s">
        <v>N/A</v>
        <stp/>
        <stp>VOLUME</stp>
        <stp>.QQQ250829C489</stp>
        <tr r="P59" s="2"/>
      </tp>
      <tp t="s">
        <v>N/A</v>
        <stp/>
        <stp>VOLUME</stp>
        <stp>.QQQ250829P488</stp>
        <tr r="P60" s="2"/>
      </tp>
      <tp t="s">
        <v>N/A</v>
        <stp/>
        <stp>VOLUME</stp>
        <stp>.SPY251121P582</stp>
        <tr r="U5" s="2"/>
      </tp>
      <tp t="s">
        <v>N/A</v>
        <stp/>
        <stp>VOLUME</stp>
        <stp>.QQQ250829C488</stp>
        <tr r="P60" s="2"/>
      </tp>
      <tp t="s">
        <v>N/A</v>
        <stp/>
        <stp>VOLUME</stp>
        <stp>.SPY251121C582</stp>
        <tr r="U5" s="2"/>
      </tp>
      <tp t="s">
        <v>N/A</v>
        <stp/>
        <stp>VOLUME</stp>
        <stp>.SPY251121P581</stp>
        <tr r="U6" s="2"/>
      </tp>
      <tp t="s">
        <v>N/A</v>
        <stp/>
        <stp>VOLUME</stp>
        <stp>.SPY251121C581</stp>
        <tr r="U6" s="2"/>
      </tp>
      <tp t="s">
        <v>N/A</v>
        <stp/>
        <stp>VOLUME</stp>
        <stp>.SPY251121P580</stp>
        <tr r="U7" s="2"/>
      </tp>
      <tp t="s">
        <v>N/A</v>
        <stp/>
        <stp>VOLUME</stp>
        <stp>.SPY251121C580</stp>
        <tr r="U7" s="2"/>
      </tp>
      <tp>
        <v>11</v>
        <stp/>
        <stp>VOLUME</stp>
        <stp>.QQQ250829P485</stp>
        <tr r="P63" s="2"/>
        <tr r="P63" s="2"/>
      </tp>
      <tp>
        <v>37</v>
        <stp/>
        <stp>VOLUME</stp>
        <stp>.QQQ250829C485</stp>
        <tr r="P63" s="2"/>
        <tr r="P63" s="2"/>
      </tp>
      <tp t="s">
        <v>N/A</v>
        <stp/>
        <stp>VOLUME</stp>
        <stp>.QQQ250829P484</stp>
        <tr r="P64" s="2"/>
      </tp>
      <tp t="s">
        <v>N/A</v>
        <stp/>
        <stp>VOLUME</stp>
        <stp>.QQQ250829C484</stp>
        <tr r="P64" s="2"/>
      </tp>
      <tp t="s">
        <v>N/A</v>
        <stp/>
        <stp>VOLUME</stp>
        <stp>.QQQ250829P487</stp>
        <tr r="P61" s="2"/>
      </tp>
      <tp t="s">
        <v>N/A</v>
        <stp/>
        <stp>VOLUME</stp>
        <stp>.QQQ250829C487</stp>
        <tr r="P61" s="2"/>
      </tp>
      <tp t="s">
        <v>N/A</v>
        <stp/>
        <stp>VOLUME</stp>
        <stp>.QQQ250829P486</stp>
        <tr r="P62" s="2"/>
      </tp>
      <tp t="s">
        <v>N/A</v>
        <stp/>
        <stp>VOLUME</stp>
        <stp>.QQQ250829C486</stp>
        <tr r="P62" s="2"/>
      </tp>
      <tp t="s">
        <v>N/A</v>
        <stp/>
        <stp>VOLUME</stp>
        <stp>.QQQ250829P481</stp>
        <tr r="P67" s="2"/>
      </tp>
      <tp t="s">
        <v>N/A</v>
        <stp/>
        <stp>VOLUME</stp>
        <stp>.SPY251128P582</stp>
        <tr r="V5" s="2"/>
      </tp>
      <tp t="s">
        <v>N/A</v>
        <stp/>
        <stp>VOLUME</stp>
        <stp>.QQQ250829C481</stp>
        <tr r="P67" s="2"/>
      </tp>
      <tp t="s">
        <v>N/A</v>
        <stp/>
        <stp>VOLUME</stp>
        <stp>.SPY251128C582</stp>
        <tr r="V5" s="2"/>
      </tp>
      <tp>
        <v>20</v>
        <stp/>
        <stp>VOLUME</stp>
        <stp>.QQQ250829P480</stp>
        <tr r="P68" s="2"/>
        <tr r="P68" s="2"/>
      </tp>
      <tp>
        <v>4</v>
        <stp/>
        <stp>VOLUME</stp>
        <stp>.QQQ250829C480</stp>
        <tr r="P68" s="2"/>
        <tr r="P68" s="2"/>
      </tp>
      <tp t="s">
        <v>N/A</v>
        <stp/>
        <stp>VOLUME</stp>
        <stp>.QQQ250829P483</stp>
        <tr r="P65" s="2"/>
      </tp>
      <tp t="s">
        <v>N/A</v>
        <stp/>
        <stp>VOLUME</stp>
        <stp>.SPY251128P580</stp>
        <tr r="V7" s="2"/>
      </tp>
      <tp t="s">
        <v>N/A</v>
        <stp/>
        <stp>VOLUME</stp>
        <stp>.QQQ250829C483</stp>
        <tr r="P65" s="2"/>
      </tp>
      <tp t="s">
        <v>N/A</v>
        <stp/>
        <stp>VOLUME</stp>
        <stp>.SPY251128C580</stp>
        <tr r="V7" s="2"/>
      </tp>
      <tp t="s">
        <v>N/A</v>
        <stp/>
        <stp>VOLUME</stp>
        <stp>.QQQ250829P482</stp>
        <tr r="P66" s="2"/>
      </tp>
      <tp t="s">
        <v>N/A</v>
        <stp/>
        <stp>VOLUME</stp>
        <stp>.SPY251128P581</stp>
        <tr r="V6" s="2"/>
      </tp>
      <tp t="s">
        <v>N/A</v>
        <stp/>
        <stp>VOLUME</stp>
        <stp>.QQQ250829C482</stp>
        <tr r="P66" s="2"/>
      </tp>
      <tp t="s">
        <v>N/A</v>
        <stp/>
        <stp>VOLUME</stp>
        <stp>.SPY251128C581</stp>
        <tr r="V6" s="2"/>
      </tp>
      <tp t="s">
        <v>N/A</v>
        <stp/>
        <stp>VOLUME</stp>
        <stp>.QQQ250919P501</stp>
        <tr r="Q47" s="2"/>
      </tp>
      <tp t="s">
        <v>N/A</v>
        <stp/>
        <stp>VOLUME</stp>
        <stp>.QQQ250919C501</stp>
        <tr r="Q47" s="2"/>
      </tp>
      <tp>
        <v>49</v>
        <stp/>
        <stp>VOLUME</stp>
        <stp>.QQQ250919P500</stp>
        <tr r="Q48" s="2"/>
        <tr r="Q48" s="2"/>
      </tp>
      <tp>
        <v>407</v>
        <stp/>
        <stp>VOLUME</stp>
        <stp>.QQQ250919C500</stp>
        <tr r="Q48" s="2"/>
        <tr r="Q48" s="2"/>
      </tp>
      <tp t="s">
        <v>N/A</v>
        <stp/>
        <stp>VOLUME</stp>
        <stp>.QQQ250919P502</stp>
        <tr r="Q46" s="2"/>
      </tp>
      <tp t="s">
        <v>N/A</v>
        <stp/>
        <stp>VOLUME</stp>
        <stp>.QQQ250919C502</stp>
        <tr r="Q46" s="2"/>
      </tp>
      <tp>
        <v>66</v>
        <stp/>
        <stp>VOLUME</stp>
        <stp>.QQQ250930P500</stp>
        <tr r="R48" s="2"/>
        <tr r="R48" s="2"/>
      </tp>
      <tp>
        <v>180</v>
        <stp/>
        <stp>VOLUME</stp>
        <stp>.QQQ250930C500</stp>
        <tr r="R48" s="2"/>
        <tr r="R48" s="2"/>
      </tp>
      <tp>
        <v>40</v>
        <stp/>
        <stp>VOLUME</stp>
        <stp>.QQQ250930P501</stp>
        <tr r="R47" s="2"/>
        <tr r="R47" s="2"/>
      </tp>
      <tp t="s">
        <v>N/A</v>
        <stp/>
        <stp>VOLUME</stp>
        <stp>.QQQ250930C501</stp>
        <tr r="R47" s="2"/>
      </tp>
      <tp>
        <v>11</v>
        <stp/>
        <stp>VOLUME</stp>
        <stp>.QQQ250930P502</stp>
        <tr r="R46" s="2"/>
        <tr r="R46" s="2"/>
      </tp>
      <tp>
        <v>23</v>
        <stp/>
        <stp>VOLUME</stp>
        <stp>.QQQ250930C502</stp>
        <tr r="R46" s="2"/>
        <tr r="R46" s="2"/>
      </tp>
      <tp t="s">
        <v>N/A</v>
        <stp/>
        <stp>VOLUME</stp>
        <stp>.SPY251121P577</stp>
        <tr r="U10" s="2"/>
      </tp>
      <tp t="s">
        <v>N/A</v>
        <stp/>
        <stp>VOLUME</stp>
        <stp>.SPY251121C577</stp>
        <tr r="U10" s="2"/>
      </tp>
      <tp t="s">
        <v>N/A</v>
        <stp/>
        <stp>VOLUME</stp>
        <stp>.SPY251121P576</stp>
        <tr r="U11" s="2"/>
      </tp>
      <tp t="s">
        <v>N/A</v>
        <stp/>
        <stp>VOLUME</stp>
        <stp>.SPY251121C576</stp>
        <tr r="U11" s="2"/>
      </tp>
      <tp t="s">
        <v>N/A</v>
        <stp/>
        <stp>VOLUME</stp>
        <stp>.SPY251121P575</stp>
        <tr r="U12" s="2"/>
      </tp>
      <tp t="s">
        <v>N/A</v>
        <stp/>
        <stp>VOLUME</stp>
        <stp>.SPY251121C575</stp>
        <tr r="U12" s="2"/>
      </tp>
      <tp t="s">
        <v>N/A</v>
        <stp/>
        <stp>VOLUME</stp>
        <stp>.SPY251121P574</stp>
        <tr r="U13" s="2"/>
      </tp>
      <tp t="s">
        <v>N/A</v>
        <stp/>
        <stp>VOLUME</stp>
        <stp>.SPY251121C574</stp>
        <tr r="U13" s="2"/>
      </tp>
      <tp t="s">
        <v>N/A</v>
        <stp/>
        <stp>VOLUME</stp>
        <stp>.QQQ250829P479</stp>
        <tr r="P69" s="2"/>
      </tp>
      <tp t="s">
        <v>N/A</v>
        <stp/>
        <stp>VOLUME</stp>
        <stp>.SPY251121P573</stp>
        <tr r="U14" s="2"/>
      </tp>
      <tp t="s">
        <v>N/A</v>
        <stp/>
        <stp>VOLUME</stp>
        <stp>.QQQ250829C479</stp>
        <tr r="P69" s="2"/>
      </tp>
      <tp t="s">
        <v>N/A</v>
        <stp/>
        <stp>VOLUME</stp>
        <stp>.SPY251121C573</stp>
        <tr r="U14" s="2"/>
      </tp>
      <tp t="s">
        <v>N/A</v>
        <stp/>
        <stp>VOLUME</stp>
        <stp>.QQQ250829P478</stp>
        <tr r="P70" s="2"/>
      </tp>
      <tp t="s">
        <v>N/A</v>
        <stp/>
        <stp>VOLUME</stp>
        <stp>.SPY251121P572</stp>
        <tr r="U15" s="2"/>
      </tp>
      <tp t="s">
        <v>N/A</v>
        <stp/>
        <stp>VOLUME</stp>
        <stp>.QQQ250829C478</stp>
        <tr r="P70" s="2"/>
      </tp>
      <tp t="s">
        <v>N/A</v>
        <stp/>
        <stp>VOLUME</stp>
        <stp>.SPY251121C572</stp>
        <tr r="U15" s="2"/>
      </tp>
      <tp t="s">
        <v>N/A</v>
        <stp/>
        <stp>VOLUME</stp>
        <stp>.SPY251121P571</stp>
        <tr r="U16" s="2"/>
      </tp>
      <tp t="s">
        <v>N/A</v>
        <stp/>
        <stp>VOLUME</stp>
        <stp>.SPY251128P578</stp>
        <tr r="V9" s="2"/>
      </tp>
      <tp t="s">
        <v>N/A</v>
        <stp/>
        <stp>VOLUME</stp>
        <stp>.SPY251121C571</stp>
        <tr r="U16" s="2"/>
      </tp>
      <tp t="s">
        <v>N/A</v>
        <stp/>
        <stp>VOLUME</stp>
        <stp>.SPY251128C578</stp>
        <tr r="V9" s="2"/>
      </tp>
      <tp t="s">
        <v>N/A</v>
        <stp/>
        <stp>VOLUME</stp>
        <stp>.SPY251121P570</stp>
        <tr r="U17" s="2"/>
      </tp>
      <tp t="s">
        <v>N/A</v>
        <stp/>
        <stp>VOLUME</stp>
        <stp>.SPY251128P579</stp>
        <tr r="V8" s="2"/>
      </tp>
      <tp t="s">
        <v>N/A</v>
        <stp/>
        <stp>VOLUME</stp>
        <stp>.SPY251121C570</stp>
        <tr r="U17" s="2"/>
      </tp>
      <tp t="s">
        <v>N/A</v>
        <stp/>
        <stp>VOLUME</stp>
        <stp>.SPY251128C579</stp>
        <tr r="V8" s="2"/>
      </tp>
      <tp>
        <v>7</v>
        <stp/>
        <stp>VOLUME</stp>
        <stp>.QQQ250829P475</stp>
        <tr r="P73" s="2"/>
        <tr r="P73" s="2"/>
      </tp>
      <tp t="s">
        <v>N/A</v>
        <stp/>
        <stp>VOLUME</stp>
        <stp>.SPY251128P576</stp>
        <tr r="V11" s="2"/>
      </tp>
      <tp t="s">
        <v>N/A</v>
        <stp/>
        <stp>VOLUME</stp>
        <stp>.QQQ250829C475</stp>
        <tr r="P73" s="2"/>
      </tp>
      <tp t="s">
        <v>N/A</v>
        <stp/>
        <stp>VOLUME</stp>
        <stp>.SPY251128C576</stp>
        <tr r="V11" s="2"/>
      </tp>
      <tp t="s">
        <v>N/A</v>
        <stp/>
        <stp>VOLUME</stp>
        <stp>.QQQ250829P474</stp>
        <tr r="P74" s="2"/>
      </tp>
      <tp t="s">
        <v>N/A</v>
        <stp/>
        <stp>VOLUME</stp>
        <stp>.SPY251128P577</stp>
        <tr r="V10" s="2"/>
      </tp>
      <tp t="s">
        <v>N/A</v>
        <stp/>
        <stp>VOLUME</stp>
        <stp>.QQQ250829C474</stp>
        <tr r="P74" s="2"/>
      </tp>
      <tp t="s">
        <v>N/A</v>
        <stp/>
        <stp>VOLUME</stp>
        <stp>.SPY251128C577</stp>
        <tr r="V10" s="2"/>
      </tp>
      <tp t="s">
        <v>N/A</v>
        <stp/>
        <stp>VOLUME</stp>
        <stp>.QQQ250829P477</stp>
        <tr r="P71" s="2"/>
      </tp>
      <tp t="s">
        <v>N/A</v>
        <stp/>
        <stp>VOLUME</stp>
        <stp>.SPY251128P574</stp>
        <tr r="V13" s="2"/>
      </tp>
      <tp t="s">
        <v>N/A</v>
        <stp/>
        <stp>VOLUME</stp>
        <stp>.QQQ250829C477</stp>
        <tr r="P71" s="2"/>
      </tp>
      <tp t="s">
        <v>N/A</v>
        <stp/>
        <stp>VOLUME</stp>
        <stp>.SPY251128C574</stp>
        <tr r="V13" s="2"/>
      </tp>
      <tp t="s">
        <v>N/A</v>
        <stp/>
        <stp>VOLUME</stp>
        <stp>.QQQ250829P476</stp>
        <tr r="P72" s="2"/>
      </tp>
      <tp t="s">
        <v>N/A</v>
        <stp/>
        <stp>VOLUME</stp>
        <stp>.SPY251128P575</stp>
        <tr r="V12" s="2"/>
      </tp>
      <tp t="s">
        <v>N/A</v>
        <stp/>
        <stp>VOLUME</stp>
        <stp>.QQQ250829C476</stp>
        <tr r="P72" s="2"/>
      </tp>
      <tp t="s">
        <v>N/A</v>
        <stp/>
        <stp>VOLUME</stp>
        <stp>.SPY251128C575</stp>
        <tr r="V12" s="2"/>
      </tp>
      <tp t="s">
        <v>N/A</v>
        <stp/>
        <stp>VOLUME</stp>
        <stp>.QQQ250829P471</stp>
        <tr r="P77" s="2"/>
      </tp>
      <tp t="s">
        <v>N/A</v>
        <stp/>
        <stp>VOLUME</stp>
        <stp>.SPY251128P572</stp>
        <tr r="V15" s="2"/>
      </tp>
      <tp t="s">
        <v>N/A</v>
        <stp/>
        <stp>VOLUME</stp>
        <stp>.QQQ250829C471</stp>
        <tr r="P77" s="2"/>
      </tp>
      <tp t="s">
        <v>N/A</v>
        <stp/>
        <stp>VOLUME</stp>
        <stp>.SPY251128C572</stp>
        <tr r="V15" s="2"/>
      </tp>
      <tp>
        <v>7</v>
        <stp/>
        <stp>VOLUME</stp>
        <stp>.QQQ250829P470</stp>
        <tr r="P78" s="2"/>
        <tr r="P78" s="2"/>
      </tp>
      <tp t="s">
        <v>N/A</v>
        <stp/>
        <stp>VOLUME</stp>
        <stp>.SPY251128P573</stp>
        <tr r="V14" s="2"/>
      </tp>
      <tp>
        <v>1</v>
        <stp/>
        <stp>VOLUME</stp>
        <stp>.QQQ250829C470</stp>
        <tr r="P78" s="2"/>
        <tr r="P78" s="2"/>
      </tp>
      <tp t="s">
        <v>N/A</v>
        <stp/>
        <stp>VOLUME</stp>
        <stp>.SPY251128C573</stp>
        <tr r="V14" s="2"/>
      </tp>
      <tp t="s">
        <v>N/A</v>
        <stp/>
        <stp>VOLUME</stp>
        <stp>.QQQ250829P473</stp>
        <tr r="P75" s="2"/>
      </tp>
      <tp t="s">
        <v>N/A</v>
        <stp/>
        <stp>VOLUME</stp>
        <stp>.SPY251121P579</stp>
        <tr r="U8" s="2"/>
      </tp>
      <tp t="s">
        <v>N/A</v>
        <stp/>
        <stp>VOLUME</stp>
        <stp>.SPY251128P570</stp>
        <tr r="V17" s="2"/>
      </tp>
      <tp t="s">
        <v>N/A</v>
        <stp/>
        <stp>VOLUME</stp>
        <stp>.QQQ250829C473</stp>
        <tr r="P75" s="2"/>
      </tp>
      <tp t="s">
        <v>N/A</v>
        <stp/>
        <stp>VOLUME</stp>
        <stp>.SPY251121C579</stp>
        <tr r="U8" s="2"/>
      </tp>
      <tp t="s">
        <v>N/A</v>
        <stp/>
        <stp>VOLUME</stp>
        <stp>.SPY251128C570</stp>
        <tr r="V17" s="2"/>
      </tp>
      <tp t="s">
        <v>N/A</v>
        <stp/>
        <stp>VOLUME</stp>
        <stp>.QQQ250829P472</stp>
        <tr r="P76" s="2"/>
      </tp>
      <tp t="s">
        <v>N/A</v>
        <stp/>
        <stp>VOLUME</stp>
        <stp>.SPY251121P578</stp>
        <tr r="U9" s="2"/>
      </tp>
      <tp t="s">
        <v>N/A</v>
        <stp/>
        <stp>VOLUME</stp>
        <stp>.SPY251128P571</stp>
        <tr r="V16" s="2"/>
      </tp>
      <tp t="s">
        <v>N/A</v>
        <stp/>
        <stp>VOLUME</stp>
        <stp>.QQQ250829C472</stp>
        <tr r="P76" s="2"/>
      </tp>
      <tp t="s">
        <v>N/A</v>
        <stp/>
        <stp>VOLUME</stp>
        <stp>.SPY251121C578</stp>
        <tr r="U9" s="2"/>
      </tp>
      <tp t="s">
        <v>N/A</v>
        <stp/>
        <stp>VOLUME</stp>
        <stp>.SPY251128C571</stp>
        <tr r="V16" s="2"/>
      </tp>
      <tp t="s">
        <v>N/A</v>
        <stp/>
        <stp>VOLUME</stp>
        <stp>.SPY251121P567</stp>
        <tr r="U20" s="2"/>
      </tp>
      <tp t="s">
        <v>N/A</v>
        <stp/>
        <stp>VOLUME</stp>
        <stp>.SPY251121C567</stp>
        <tr r="U20" s="2"/>
      </tp>
      <tp t="s">
        <v>N/A</v>
        <stp/>
        <stp>VOLUME</stp>
        <stp>.SPY251121P566</stp>
        <tr r="U21" s="2"/>
      </tp>
      <tp t="s">
        <v>N/A</v>
        <stp/>
        <stp>VOLUME</stp>
        <stp>.SPY251121C566</stp>
        <tr r="U21" s="2"/>
      </tp>
      <tp t="s">
        <v>N/A</v>
        <stp/>
        <stp>VOLUME</stp>
        <stp>.SPY251121P565</stp>
        <tr r="U22" s="2"/>
      </tp>
      <tp t="s">
        <v>N/A</v>
        <stp/>
        <stp>VOLUME</stp>
        <stp>.SPY251121C565</stp>
        <tr r="U22" s="2"/>
      </tp>
      <tp t="s">
        <v>N/A</v>
        <stp/>
        <stp>VOLUME</stp>
        <stp>.SPY251121P564</stp>
        <tr r="U23" s="2"/>
      </tp>
      <tp t="s">
        <v>N/A</v>
        <stp/>
        <stp>VOLUME</stp>
        <stp>.SPY251121C564</stp>
        <tr r="U23" s="2"/>
      </tp>
      <tp t="s">
        <v>N/A</v>
        <stp/>
        <stp>VOLUME</stp>
        <stp>.QQQ250829P469</stp>
        <tr r="P79" s="2"/>
      </tp>
      <tp t="s">
        <v>N/A</v>
        <stp/>
        <stp>VOLUME</stp>
        <stp>.SPY251121P563</stp>
        <tr r="U24" s="2"/>
      </tp>
      <tp t="s">
        <v>N/A</v>
        <stp/>
        <stp>VOLUME</stp>
        <stp>.QQQ250829C469</stp>
        <tr r="P79" s="2"/>
      </tp>
      <tp t="s">
        <v>N/A</v>
        <stp/>
        <stp>VOLUME</stp>
        <stp>.SPY251121C563</stp>
        <tr r="U24" s="2"/>
      </tp>
      <tp t="s">
        <v>N/A</v>
        <stp/>
        <stp>VOLUME</stp>
        <stp>.QQQ250829P468</stp>
        <tr r="P80" s="2"/>
      </tp>
      <tp t="s">
        <v>N/A</v>
        <stp/>
        <stp>VOLUME</stp>
        <stp>.SPY251121P562</stp>
        <tr r="U25" s="2"/>
      </tp>
      <tp t="s">
        <v>N/A</v>
        <stp/>
        <stp>VOLUME</stp>
        <stp>.QQQ250829C468</stp>
        <tr r="P80" s="2"/>
      </tp>
      <tp t="s">
        <v>N/A</v>
        <stp/>
        <stp>VOLUME</stp>
        <stp>.SPY251121C562</stp>
        <tr r="U25" s="2"/>
      </tp>
      <tp t="s">
        <v>N/A</v>
        <stp/>
        <stp>VOLUME</stp>
        <stp>.SPY251121P561</stp>
        <tr r="U26" s="2"/>
      </tp>
      <tp t="s">
        <v>N/A</v>
        <stp/>
        <stp>VOLUME</stp>
        <stp>.SPY251128P568</stp>
        <tr r="V19" s="2"/>
      </tp>
      <tp t="s">
        <v>N/A</v>
        <stp/>
        <stp>VOLUME</stp>
        <stp>.SPY251121C561</stp>
        <tr r="U26" s="2"/>
      </tp>
      <tp t="s">
        <v>N/A</v>
        <stp/>
        <stp>VOLUME</stp>
        <stp>.SPY251128C568</stp>
        <tr r="V19" s="2"/>
      </tp>
      <tp t="s">
        <v>N/A</v>
        <stp/>
        <stp>VOLUME</stp>
        <stp>.SPY251121P560</stp>
        <tr r="U27" s="2"/>
      </tp>
      <tp t="s">
        <v>N/A</v>
        <stp/>
        <stp>VOLUME</stp>
        <stp>.SPY251128P569</stp>
        <tr r="V18" s="2"/>
      </tp>
      <tp t="s">
        <v>N/A</v>
        <stp/>
        <stp>VOLUME</stp>
        <stp>.SPY251121C560</stp>
        <tr r="U27" s="2"/>
      </tp>
      <tp t="s">
        <v>N/A</v>
        <stp/>
        <stp>VOLUME</stp>
        <stp>.SPY251128C569</stp>
        <tr r="V18" s="2"/>
      </tp>
      <tp t="s">
        <v>N/A</v>
        <stp/>
        <stp>VOLUME</stp>
        <stp>.SPY251128P566</stp>
        <tr r="V21" s="2"/>
      </tp>
      <tp t="s">
        <v>N/A</v>
        <stp/>
        <stp>VOLUME</stp>
        <stp>.SPY251128C566</stp>
        <tr r="V21" s="2"/>
      </tp>
      <tp t="s">
        <v>N/A</v>
        <stp/>
        <stp>VOLUME</stp>
        <stp>.SPY251128P567</stp>
        <tr r="V20" s="2"/>
      </tp>
      <tp t="s">
        <v>N/A</v>
        <stp/>
        <stp>VOLUME</stp>
        <stp>.SPY251128C567</stp>
        <tr r="V20" s="2"/>
      </tp>
      <tp t="s">
        <v>N/A</v>
        <stp/>
        <stp>VOLUME</stp>
        <stp>.SPY251128P564</stp>
        <tr r="V23" s="2"/>
      </tp>
      <tp t="s">
        <v>N/A</v>
        <stp/>
        <stp>VOLUME</stp>
        <stp>.SPY251128C564</stp>
        <tr r="V23" s="2"/>
      </tp>
      <tp t="s">
        <v>N/A</v>
        <stp/>
        <stp>VOLUME</stp>
        <stp>.SPY251128P565</stp>
        <tr r="V22" s="2"/>
      </tp>
      <tp t="s">
        <v>N/A</v>
        <stp/>
        <stp>VOLUME</stp>
        <stp>.SPY251128C565</stp>
        <tr r="V22" s="2"/>
      </tp>
      <tp t="s">
        <v>N/A</v>
        <stp/>
        <stp>VOLUME</stp>
        <stp>.SPY251128P562</stp>
        <tr r="V25" s="2"/>
      </tp>
      <tp t="s">
        <v>N/A</v>
        <stp/>
        <stp>VOLUME</stp>
        <stp>.SPY251128C562</stp>
        <tr r="V25" s="2"/>
      </tp>
      <tp t="s">
        <v>N/A</v>
        <stp/>
        <stp>VOLUME</stp>
        <stp>.SPY251128P563</stp>
        <tr r="V24" s="2"/>
      </tp>
      <tp t="s">
        <v>N/A</v>
        <stp/>
        <stp>VOLUME</stp>
        <stp>.SPY251128C563</stp>
        <tr r="V24" s="2"/>
      </tp>
      <tp t="s">
        <v>N/A</v>
        <stp/>
        <stp>VOLUME</stp>
        <stp>.SPY251121P569</stp>
        <tr r="U18" s="2"/>
      </tp>
      <tp t="s">
        <v>N/A</v>
        <stp/>
        <stp>VOLUME</stp>
        <stp>.SPY251128P560</stp>
        <tr r="V27" s="2"/>
      </tp>
      <tp t="s">
        <v>N/A</v>
        <stp/>
        <stp>VOLUME</stp>
        <stp>.SPY251121C569</stp>
        <tr r="U18" s="2"/>
      </tp>
      <tp t="s">
        <v>N/A</v>
        <stp/>
        <stp>VOLUME</stp>
        <stp>.SPY251128C560</stp>
        <tr r="V27" s="2"/>
      </tp>
      <tp t="s">
        <v>N/A</v>
        <stp/>
        <stp>VOLUME</stp>
        <stp>.SPY251121P568</stp>
        <tr r="U19" s="2"/>
      </tp>
      <tp t="s">
        <v>N/A</v>
        <stp/>
        <stp>VOLUME</stp>
        <stp>.SPY251128P561</stp>
        <tr r="V26" s="2"/>
      </tp>
      <tp t="s">
        <v>N/A</v>
        <stp/>
        <stp>VOLUME</stp>
        <stp>.SPY251121C568</stp>
        <tr r="U19" s="2"/>
      </tp>
      <tp t="s">
        <v>N/A</v>
        <stp/>
        <stp>VOLUME</stp>
        <stp>.SPY251128C561</stp>
        <tr r="V26" s="2"/>
      </tp>
      <tp t="s">
        <v>N/A</v>
        <stp/>
        <stp>VOLUME</stp>
        <stp>.SPY251121P557</stp>
        <tr r="U30" s="2"/>
      </tp>
      <tp t="s">
        <v>N/A</v>
        <stp/>
        <stp>VOLUME</stp>
        <stp>.SPY251121C557</stp>
        <tr r="U30" s="2"/>
      </tp>
      <tp t="s">
        <v>N/A</v>
        <stp/>
        <stp>VOLUME</stp>
        <stp>.SPY251121P556</stp>
        <tr r="U31" s="2"/>
      </tp>
      <tp t="s">
        <v>N/A</v>
        <stp/>
        <stp>VOLUME</stp>
        <stp>.SPY251121C556</stp>
        <tr r="U31" s="2"/>
      </tp>
      <tp t="s">
        <v>N/A</v>
        <stp/>
        <stp>VOLUME</stp>
        <stp>.SPY251121P555</stp>
        <tr r="U32" s="2"/>
      </tp>
      <tp t="s">
        <v>N/A</v>
        <stp/>
        <stp>VOLUME</stp>
        <stp>.SPY251121C555</stp>
        <tr r="U32" s="2"/>
      </tp>
      <tp t="s">
        <v>N/A</v>
        <stp/>
        <stp>VOLUME</stp>
        <stp>.SPY251121P554</stp>
        <tr r="U33" s="2"/>
      </tp>
      <tp t="s">
        <v>N/A</v>
        <stp/>
        <stp>VOLUME</stp>
        <stp>.SPY251121C554</stp>
        <tr r="U33" s="2"/>
      </tp>
      <tp t="s">
        <v>N/A</v>
        <stp/>
        <stp>VOLUME</stp>
        <stp>.SPY251121P553</stp>
        <tr r="U34" s="2"/>
      </tp>
      <tp t="s">
        <v>N/A</v>
        <stp/>
        <stp>VOLUME</stp>
        <stp>.SPY251121C553</stp>
        <tr r="U34" s="2"/>
      </tp>
      <tp t="s">
        <v>N/A</v>
        <stp/>
        <stp>VOLUME</stp>
        <stp>.SPY251121P552</stp>
        <tr r="U35" s="2"/>
      </tp>
      <tp t="s">
        <v>N/A</v>
        <stp/>
        <stp>VOLUME</stp>
        <stp>.SPY251121C552</stp>
        <tr r="U35" s="2"/>
      </tp>
      <tp t="s">
        <v>N/A</v>
        <stp/>
        <stp>VOLUME</stp>
        <stp>.SPY251121P551</stp>
        <tr r="U36" s="2"/>
      </tp>
      <tp t="s">
        <v>N/A</v>
        <stp/>
        <stp>VOLUME</stp>
        <stp>.SPY251128P558</stp>
        <tr r="V29" s="2"/>
      </tp>
      <tp t="s">
        <v>N/A</v>
        <stp/>
        <stp>VOLUME</stp>
        <stp>.SPY251121C551</stp>
        <tr r="U36" s="2"/>
      </tp>
      <tp t="s">
        <v>N/A</v>
        <stp/>
        <stp>VOLUME</stp>
        <stp>.SPY251128C558</stp>
        <tr r="V29" s="2"/>
      </tp>
      <tp t="s">
        <v>N/A</v>
        <stp/>
        <stp>VOLUME</stp>
        <stp>.SPY251121P550</stp>
        <tr r="U37" s="2"/>
      </tp>
      <tp t="s">
        <v>N/A</v>
        <stp/>
        <stp>VOLUME</stp>
        <stp>.SPY251128P559</stp>
        <tr r="V28" s="2"/>
      </tp>
      <tp t="s">
        <v>N/A</v>
        <stp/>
        <stp>VOLUME</stp>
        <stp>.SPY251121C550</stp>
        <tr r="U37" s="2"/>
      </tp>
      <tp t="s">
        <v>N/A</v>
        <stp/>
        <stp>VOLUME</stp>
        <stp>.SPY251128C559</stp>
        <tr r="V28" s="2"/>
      </tp>
      <tp t="s">
        <v>N/A</v>
        <stp/>
        <stp>VOLUME</stp>
        <stp>.QQQ250815P469</stp>
        <tr r="O79" s="2"/>
      </tp>
      <tp t="s">
        <v>N/A</v>
        <stp/>
        <stp>VOLUME</stp>
        <stp>.SPY251128P556</stp>
        <tr r="V31" s="2"/>
      </tp>
      <tp t="s">
        <v>N/A</v>
        <stp/>
        <stp>VOLUME</stp>
        <stp>.QQQ250815C469</stp>
        <tr r="O79" s="2"/>
      </tp>
      <tp t="s">
        <v>N/A</v>
        <stp/>
        <stp>VOLUME</stp>
        <stp>.SPY251128C556</stp>
        <tr r="V31" s="2"/>
      </tp>
      <tp t="s">
        <v>N/A</v>
        <stp/>
        <stp>VOLUME</stp>
        <stp>.QQQ250815P468</stp>
        <tr r="O80" s="2"/>
      </tp>
      <tp t="s">
        <v>N/A</v>
        <stp/>
        <stp>VOLUME</stp>
        <stp>.SPY251128P557</stp>
        <tr r="V30" s="2"/>
      </tp>
      <tp t="s">
        <v>N/A</v>
        <stp/>
        <stp>VOLUME</stp>
        <stp>.QQQ250815C468</stp>
        <tr r="O80" s="2"/>
      </tp>
      <tp t="s">
        <v>N/A</v>
        <stp/>
        <stp>VOLUME</stp>
        <stp>.SPY251128C557</stp>
        <tr r="V30" s="2"/>
      </tp>
      <tp t="s">
        <v>N/A</v>
        <stp/>
        <stp>VOLUME</stp>
        <stp>.SPY251128P554</stp>
        <tr r="V33" s="2"/>
      </tp>
      <tp t="s">
        <v>N/A</v>
        <stp/>
        <stp>VOLUME</stp>
        <stp>.SPY251128C554</stp>
        <tr r="V33" s="2"/>
      </tp>
      <tp t="s">
        <v>N/A</v>
        <stp/>
        <stp>VOLUME</stp>
        <stp>.SPY251128P555</stp>
        <tr r="V32" s="2"/>
      </tp>
      <tp t="s">
        <v>N/A</v>
        <stp/>
        <stp>VOLUME</stp>
        <stp>.SPY251128C555</stp>
        <tr r="V32" s="2"/>
      </tp>
      <tp t="s">
        <v>N/A</v>
        <stp/>
        <stp>VOLUME</stp>
        <stp>.SPY251128P552</stp>
        <tr r="V35" s="2"/>
      </tp>
      <tp t="s">
        <v>N/A</v>
        <stp/>
        <stp>VOLUME</stp>
        <stp>.SPY251128C552</stp>
        <tr r="V35" s="2"/>
      </tp>
      <tp t="s">
        <v>N/A</v>
        <stp/>
        <stp>VOLUME</stp>
        <stp>.SPY251128P553</stp>
        <tr r="V34" s="2"/>
      </tp>
      <tp t="s">
        <v>N/A</v>
        <stp/>
        <stp>VOLUME</stp>
        <stp>.SPY251128C553</stp>
        <tr r="V34" s="2"/>
      </tp>
      <tp t="s">
        <v>N/A</v>
        <stp/>
        <stp>VOLUME</stp>
        <stp>.SPY251121P559</stp>
        <tr r="U28" s="2"/>
      </tp>
      <tp t="s">
        <v>N/A</v>
        <stp/>
        <stp>VOLUME</stp>
        <stp>.SPY251128P550</stp>
        <tr r="V37" s="2"/>
      </tp>
      <tp t="s">
        <v>N/A</v>
        <stp/>
        <stp>VOLUME</stp>
        <stp>.SPY251121C559</stp>
        <tr r="U28" s="2"/>
      </tp>
      <tp t="s">
        <v>N/A</v>
        <stp/>
        <stp>VOLUME</stp>
        <stp>.SPY251128C550</stp>
        <tr r="V37" s="2"/>
      </tp>
      <tp t="s">
        <v>N/A</v>
        <stp/>
        <stp>VOLUME</stp>
        <stp>.SPY251121P558</stp>
        <tr r="U29" s="2"/>
      </tp>
      <tp t="s">
        <v>N/A</v>
        <stp/>
        <stp>VOLUME</stp>
        <stp>.SPY251128P551</stp>
        <tr r="V36" s="2"/>
      </tp>
      <tp t="s">
        <v>N/A</v>
        <stp/>
        <stp>VOLUME</stp>
        <stp>.SPY251121C558</stp>
        <tr r="U29" s="2"/>
      </tp>
      <tp t="s">
        <v>N/A</v>
        <stp/>
        <stp>VOLUME</stp>
        <stp>.SPY251128C551</stp>
        <tr r="V36" s="2"/>
      </tp>
      <tp t="s">
        <v>N/A</v>
        <stp/>
        <stp>VOLUME</stp>
        <stp>.QQQ250815P471</stp>
        <tr r="O77" s="2"/>
      </tp>
      <tp t="s">
        <v>N/A</v>
        <stp/>
        <stp>VOLUME</stp>
        <stp>.QQQ250815C471</stp>
        <tr r="O77" s="2"/>
      </tp>
      <tp>
        <v>732</v>
        <stp/>
        <stp>VOLUME</stp>
        <stp>.QQQ250815P470</stp>
        <tr r="O78" s="2"/>
        <tr r="O78" s="2"/>
      </tp>
      <tp>
        <v>246</v>
        <stp/>
        <stp>VOLUME</stp>
        <stp>.QQQ250815C470</stp>
        <tr r="O78" s="2"/>
        <tr r="O78" s="2"/>
      </tp>
      <tp t="s">
        <v>N/A</v>
        <stp/>
        <stp>VOLUME</stp>
        <stp>.QQQ250815P473</stp>
        <tr r="O75" s="2"/>
      </tp>
      <tp t="s">
        <v>N/A</v>
        <stp/>
        <stp>VOLUME</stp>
        <stp>.QQQ250815C473</stp>
        <tr r="O75" s="2"/>
      </tp>
      <tp t="s">
        <v>N/A</v>
        <stp/>
        <stp>VOLUME</stp>
        <stp>.QQQ250815P472</stp>
        <tr r="O76" s="2"/>
      </tp>
      <tp t="s">
        <v>N/A</v>
        <stp/>
        <stp>VOLUME</stp>
        <stp>.QQQ250815C472</stp>
        <tr r="O76" s="2"/>
      </tp>
      <tp>
        <v>193</v>
        <stp/>
        <stp>VOLUME</stp>
        <stp>.QQQ250815P475</stp>
        <tr r="O73" s="2"/>
        <tr r="O73" s="2"/>
      </tp>
      <tp>
        <v>5</v>
        <stp/>
        <stp>VOLUME</stp>
        <stp>.QQQ250815C475</stp>
        <tr r="O73" s="2"/>
        <tr r="O73" s="2"/>
      </tp>
      <tp t="s">
        <v>N/A</v>
        <stp/>
        <stp>VOLUME</stp>
        <stp>.QQQ250815P474</stp>
        <tr r="O74" s="2"/>
      </tp>
      <tp t="s">
        <v>N/A</v>
        <stp/>
        <stp>VOLUME</stp>
        <stp>.QQQ250815C474</stp>
        <tr r="O74" s="2"/>
      </tp>
      <tp t="s">
        <v>N/A</v>
        <stp/>
        <stp>VOLUME</stp>
        <stp>.QQQ250815P477</stp>
        <tr r="O71" s="2"/>
      </tp>
      <tp t="s">
        <v>N/A</v>
        <stp/>
        <stp>VOLUME</stp>
        <stp>.SPY251128P548</stp>
        <tr r="V39" s="2"/>
      </tp>
      <tp t="s">
        <v>N/A</v>
        <stp/>
        <stp>VOLUME</stp>
        <stp>.QQQ250815C477</stp>
        <tr r="O71" s="2"/>
      </tp>
      <tp t="s">
        <v>N/A</v>
        <stp/>
        <stp>VOLUME</stp>
        <stp>.SPY251128C548</stp>
        <tr r="V39" s="2"/>
      </tp>
      <tp t="s">
        <v>N/A</v>
        <stp/>
        <stp>VOLUME</stp>
        <stp>.QQQ250815P476</stp>
        <tr r="O72" s="2"/>
      </tp>
      <tp t="s">
        <v>N/A</v>
        <stp/>
        <stp>VOLUME</stp>
        <stp>.SPY251128P549</stp>
        <tr r="V38" s="2"/>
      </tp>
      <tp t="s">
        <v>N/A</v>
        <stp/>
        <stp>VOLUME</stp>
        <stp>.QQQ250815C476</stp>
        <tr r="O72" s="2"/>
      </tp>
      <tp t="s">
        <v>N/A</v>
        <stp/>
        <stp>VOLUME</stp>
        <stp>.SPY251128C549</stp>
        <tr r="V38" s="2"/>
      </tp>
      <tp t="s">
        <v>N/A</v>
        <stp/>
        <stp>VOLUME</stp>
        <stp>.QQQ250815P479</stp>
        <tr r="O69" s="2"/>
      </tp>
      <tp t="s">
        <v>N/A</v>
        <stp/>
        <stp>VOLUME</stp>
        <stp>.QQQ250815C479</stp>
        <tr r="O69" s="2"/>
      </tp>
      <tp t="s">
        <v>N/A</v>
        <stp/>
        <stp>VOLUME</stp>
        <stp>.QQQ250815P478</stp>
        <tr r="O70" s="2"/>
      </tp>
      <tp t="s">
        <v>N/A</v>
        <stp/>
        <stp>VOLUME</stp>
        <stp>.QQQ250815C478</stp>
        <tr r="O70" s="2"/>
      </tp>
      <tp t="s">
        <v>N/A</v>
        <stp/>
        <stp>VOLUME</stp>
        <stp>.SPY251121P549</stp>
        <tr r="U38" s="2"/>
      </tp>
      <tp t="s">
        <v>N/A</v>
        <stp/>
        <stp>VOLUME</stp>
        <stp>.SPY251121C549</stp>
        <tr r="U38" s="2"/>
      </tp>
      <tp t="s">
        <v>N/A</v>
        <stp/>
        <stp>VOLUME</stp>
        <stp>.SPY251121P548</stp>
        <tr r="U39" s="2"/>
      </tp>
      <tp t="s">
        <v>N/A</v>
        <stp/>
        <stp>VOLUME</stp>
        <stp>.SPY251121C548</stp>
        <tr r="U39" s="2"/>
      </tp>
      <tp>
        <v>0</v>
        <stp/>
        <stp>BID</stp>
        <stp>.SPXW250508C5800</stp>
        <tr r="DE92" s="1"/>
        <tr r="DE92" s="1"/>
      </tp>
      <tp>
        <v>133.5</v>
        <stp/>
        <stp>BID</stp>
        <stp>.SPXW250508P5800</stp>
        <tr r="DF92" s="1"/>
        <tr r="DF92" s="1"/>
      </tp>
      <tp>
        <v>0</v>
        <stp/>
        <stp>BID</stp>
        <stp>.SPXW250508C5810</stp>
        <tr r="DE91" s="1"/>
        <tr r="DE91" s="1"/>
      </tp>
      <tp>
        <v>143.5</v>
        <stp/>
        <stp>BID</stp>
        <stp>.SPXW250508P5810</stp>
        <tr r="DF91" s="1"/>
        <tr r="DF91" s="1"/>
      </tp>
      <tp>
        <v>0</v>
        <stp/>
        <stp>BID</stp>
        <stp>.SPXW250508C5820</stp>
        <tr r="DE90" s="1"/>
        <tr r="DE90" s="1"/>
      </tp>
      <tp>
        <v>153.5</v>
        <stp/>
        <stp>BID</stp>
        <stp>.SPXW250508P5820</stp>
        <tr r="DF90" s="1"/>
        <tr r="DF90" s="1"/>
      </tp>
      <tp>
        <v>0</v>
        <stp/>
        <stp>BID</stp>
        <stp>.SPXW250508C5830</stp>
        <tr r="DE89" s="1"/>
        <tr r="DE89" s="1"/>
      </tp>
      <tp>
        <v>163.5</v>
        <stp/>
        <stp>BID</stp>
        <stp>.SPXW250508P5830</stp>
        <tr r="DF89" s="1"/>
        <tr r="DF89" s="1"/>
      </tp>
      <tp>
        <v>0</v>
        <stp/>
        <stp>BID</stp>
        <stp>.SPXW250508C5840</stp>
        <tr r="DE88" s="1"/>
        <tr r="DE88" s="1"/>
      </tp>
      <tp>
        <v>170.4</v>
        <stp/>
        <stp>BID</stp>
        <stp>.SPXW250508P5840</stp>
        <tr r="DF88" s="1"/>
        <tr r="DF88" s="1"/>
      </tp>
      <tp>
        <v>0</v>
        <stp/>
        <stp>BID</stp>
        <stp>.SPXW250508C5850</stp>
        <tr r="DE87" s="1"/>
        <tr r="DE87" s="1"/>
      </tp>
      <tp>
        <v>180.4</v>
        <stp/>
        <stp>BID</stp>
        <stp>.SPXW250508P5850</stp>
        <tr r="DF87" s="1"/>
        <tr r="DF87" s="1"/>
      </tp>
      <tp>
        <v>0</v>
        <stp/>
        <stp>BID</stp>
        <stp>.SPXW250508C5860</stp>
        <tr r="DE86" s="1"/>
        <tr r="DE86" s="1"/>
      </tp>
      <tp>
        <v>190.4</v>
        <stp/>
        <stp>BID</stp>
        <stp>.SPXW250508P5860</stp>
        <tr r="DF86" s="1"/>
        <tr r="DF86" s="1"/>
      </tp>
      <tp>
        <v>0</v>
        <stp/>
        <stp>BID</stp>
        <stp>.SPXW250508C5870</stp>
        <tr r="DE85" s="1"/>
        <tr r="DE85" s="1"/>
      </tp>
      <tp>
        <v>200.4</v>
        <stp/>
        <stp>BID</stp>
        <stp>.SPXW250508P5870</stp>
        <tr r="DF85" s="1"/>
        <tr r="DF85" s="1"/>
      </tp>
      <tp t="s">
        <v>N/A</v>
        <stp/>
        <stp>VOLUME</stp>
        <stp>.SPY251017P581</stp>
        <tr r="S6" s="2"/>
      </tp>
      <tp t="s">
        <v>N/A</v>
        <stp/>
        <stp>VOLUME</stp>
        <stp>.SPY251017C581</stp>
        <tr r="S6" s="2"/>
      </tp>
      <tp t="s">
        <v>N/A</v>
        <stp/>
        <stp>VOLUME</stp>
        <stp>.SPY251017P580</stp>
        <tr r="S7" s="2"/>
      </tp>
      <tp t="s">
        <v>N/A</v>
        <stp/>
        <stp>VOLUME</stp>
        <stp>.SPY251017C580</stp>
        <tr r="S7" s="2"/>
      </tp>
      <tp t="s">
        <v>N/A</v>
        <stp/>
        <stp>VOLUME</stp>
        <stp>.SPY251017P582</stp>
        <tr r="S5" s="2"/>
      </tp>
      <tp t="s">
        <v>N/A</v>
        <stp/>
        <stp>VOLUME</stp>
        <stp>.SPY251017C582</stp>
        <tr r="S5" s="2"/>
      </tp>
      <tp t="s">
        <v>N/A</v>
        <stp/>
        <stp>VOLUME</stp>
        <stp>.QQQ250919P489</stp>
        <tr r="Q59" s="2"/>
      </tp>
      <tp t="s">
        <v>N/A</v>
        <stp/>
        <stp>VOLUME</stp>
        <stp>.QQQ250919C489</stp>
        <tr r="Q59" s="2"/>
      </tp>
      <tp t="s">
        <v>N/A</v>
        <stp/>
        <stp>VOLUME</stp>
        <stp>.QQQ250919P488</stp>
        <tr r="Q60" s="2"/>
      </tp>
      <tp t="s">
        <v>N/A</v>
        <stp/>
        <stp>VOLUME</stp>
        <stp>.QQQ250919C488</stp>
        <tr r="Q60" s="2"/>
      </tp>
      <tp>
        <v>567</v>
        <stp/>
        <stp>VOLUME</stp>
        <stp>.QQQ250919P485</stp>
        <tr r="Q63" s="2"/>
        <tr r="Q63" s="2"/>
      </tp>
      <tp>
        <v>22</v>
        <stp/>
        <stp>VOLUME</stp>
        <stp>.QQQ250919C485</stp>
        <tr r="Q63" s="2"/>
        <tr r="Q63" s="2"/>
      </tp>
      <tp t="s">
        <v>N/A</v>
        <stp/>
        <stp>VOLUME</stp>
        <stp>.QQQ250919P484</stp>
        <tr r="Q64" s="2"/>
      </tp>
      <tp t="s">
        <v>N/A</v>
        <stp/>
        <stp>VOLUME</stp>
        <stp>.QQQ250919C484</stp>
        <tr r="Q64" s="2"/>
      </tp>
      <tp t="s">
        <v>N/A</v>
        <stp/>
        <stp>VOLUME</stp>
        <stp>.QQQ250919P487</stp>
        <tr r="Q61" s="2"/>
      </tp>
      <tp t="s">
        <v>N/A</v>
        <stp/>
        <stp>VOLUME</stp>
        <stp>.QQQ250919C487</stp>
        <tr r="Q61" s="2"/>
      </tp>
      <tp t="s">
        <v>N/A</v>
        <stp/>
        <stp>VOLUME</stp>
        <stp>.QQQ250919P486</stp>
        <tr r="Q62" s="2"/>
      </tp>
      <tp t="s">
        <v>N/A</v>
        <stp/>
        <stp>VOLUME</stp>
        <stp>.QQQ250919C486</stp>
        <tr r="Q62" s="2"/>
      </tp>
      <tp t="s">
        <v>N/A</v>
        <stp/>
        <stp>VOLUME</stp>
        <stp>.QQQ250919P481</stp>
        <tr r="Q67" s="2"/>
      </tp>
      <tp t="s">
        <v>N/A</v>
        <stp/>
        <stp>VOLUME</stp>
        <stp>.QQQ250919C481</stp>
        <tr r="Q67" s="2"/>
      </tp>
      <tp>
        <v>156</v>
        <stp/>
        <stp>VOLUME</stp>
        <stp>.QQQ250919P480</stp>
        <tr r="Q68" s="2"/>
        <tr r="Q68" s="2"/>
      </tp>
      <tp>
        <v>32</v>
        <stp/>
        <stp>VOLUME</stp>
        <stp>.QQQ250919C480</stp>
        <tr r="Q68" s="2"/>
        <tr r="Q68" s="2"/>
      </tp>
      <tp t="s">
        <v>N/A</v>
        <stp/>
        <stp>VOLUME</stp>
        <stp>.QQQ250919P483</stp>
        <tr r="Q65" s="2"/>
      </tp>
      <tp t="s">
        <v>N/A</v>
        <stp/>
        <stp>VOLUME</stp>
        <stp>.QQQ250919C483</stp>
        <tr r="Q65" s="2"/>
      </tp>
      <tp t="s">
        <v>N/A</v>
        <stp/>
        <stp>VOLUME</stp>
        <stp>.QQQ250919P482</stp>
        <tr r="Q66" s="2"/>
      </tp>
      <tp t="s">
        <v>N/A</v>
        <stp/>
        <stp>VOLUME</stp>
        <stp>.QQQ250919C482</stp>
        <tr r="Q66" s="2"/>
      </tp>
      <tp t="s">
        <v>N/A</v>
        <stp/>
        <stp>VOLUME</stp>
        <stp>.QQQ250919P499</stp>
        <tr r="Q49" s="2"/>
      </tp>
      <tp t="s">
        <v>N/A</v>
        <stp/>
        <stp>VOLUME</stp>
        <stp>.QQQ250919C499</stp>
        <tr r="Q49" s="2"/>
      </tp>
      <tp t="s">
        <v>N/A</v>
        <stp/>
        <stp>VOLUME</stp>
        <stp>.QQQ250919P498</stp>
        <tr r="Q50" s="2"/>
      </tp>
      <tp t="s">
        <v>N/A</v>
        <stp/>
        <stp>VOLUME</stp>
        <stp>.QQQ250919C498</stp>
        <tr r="Q50" s="2"/>
      </tp>
      <tp>
        <v>121</v>
        <stp/>
        <stp>VOLUME</stp>
        <stp>.QQQ250919P495</stp>
        <tr r="Q53" s="2"/>
        <tr r="Q53" s="2"/>
      </tp>
      <tp>
        <v>168</v>
        <stp/>
        <stp>VOLUME</stp>
        <stp>.QQQ250919C495</stp>
        <tr r="Q53" s="2"/>
        <tr r="Q53" s="2"/>
      </tp>
      <tp t="s">
        <v>N/A</v>
        <stp/>
        <stp>VOLUME</stp>
        <stp>.QQQ250919P494</stp>
        <tr r="Q54" s="2"/>
      </tp>
      <tp t="s">
        <v>N/A</v>
        <stp/>
        <stp>VOLUME</stp>
        <stp>.QQQ250919C494</stp>
        <tr r="Q54" s="2"/>
      </tp>
      <tp t="s">
        <v>N/A</v>
        <stp/>
        <stp>VOLUME</stp>
        <stp>.QQQ250919P497</stp>
        <tr r="Q51" s="2"/>
      </tp>
      <tp t="s">
        <v>N/A</v>
        <stp/>
        <stp>VOLUME</stp>
        <stp>.QQQ250919C497</stp>
        <tr r="Q51" s="2"/>
      </tp>
      <tp t="s">
        <v>N/A</v>
        <stp/>
        <stp>VOLUME</stp>
        <stp>.QQQ250919P496</stp>
        <tr r="Q52" s="2"/>
      </tp>
      <tp t="s">
        <v>N/A</v>
        <stp/>
        <stp>VOLUME</stp>
        <stp>.QQQ250919C496</stp>
        <tr r="Q52" s="2"/>
      </tp>
      <tp t="s">
        <v>N/A</v>
        <stp/>
        <stp>VOLUME</stp>
        <stp>.QQQ250919P491</stp>
        <tr r="Q57" s="2"/>
      </tp>
      <tp t="s">
        <v>N/A</v>
        <stp/>
        <stp>VOLUME</stp>
        <stp>.QQQ250919C491</stp>
        <tr r="Q57" s="2"/>
      </tp>
      <tp>
        <v>133</v>
        <stp/>
        <stp>VOLUME</stp>
        <stp>.QQQ250919P490</stp>
        <tr r="Q58" s="2"/>
        <tr r="Q58" s="2"/>
      </tp>
      <tp>
        <v>53</v>
        <stp/>
        <stp>VOLUME</stp>
        <stp>.QQQ250919C490</stp>
        <tr r="Q58" s="2"/>
        <tr r="Q58" s="2"/>
      </tp>
      <tp t="s">
        <v>N/A</v>
        <stp/>
        <stp>VOLUME</stp>
        <stp>.QQQ250919P493</stp>
        <tr r="Q55" s="2"/>
      </tp>
      <tp t="s">
        <v>N/A</v>
        <stp/>
        <stp>VOLUME</stp>
        <stp>.QQQ250919C493</stp>
        <tr r="Q55" s="2"/>
      </tp>
      <tp t="s">
        <v>N/A</v>
        <stp/>
        <stp>VOLUME</stp>
        <stp>.QQQ250919P492</stp>
        <tr r="Q56" s="2"/>
      </tp>
      <tp t="s">
        <v>N/A</v>
        <stp/>
        <stp>VOLUME</stp>
        <stp>.QQQ250919C492</stp>
        <tr r="Q56" s="2"/>
      </tp>
      <tp t="s">
        <v>N/A</v>
        <stp/>
        <stp>VOLUME</stp>
        <stp>.QQQ250930P484</stp>
        <tr r="R64" s="2"/>
      </tp>
      <tp>
        <v>8</v>
        <stp/>
        <stp>VOLUME</stp>
        <stp>.QQQ250930C484</stp>
        <tr r="R64" s="2"/>
        <tr r="R64" s="2"/>
      </tp>
      <tp>
        <v>102</v>
        <stp/>
        <stp>VOLUME</stp>
        <stp>.QQQ250930P485</stp>
        <tr r="R63" s="2"/>
        <tr r="R63" s="2"/>
      </tp>
      <tp>
        <v>7</v>
        <stp/>
        <stp>VOLUME</stp>
        <stp>.QQQ250930C485</stp>
        <tr r="R63" s="2"/>
        <tr r="R63" s="2"/>
      </tp>
      <tp t="s">
        <v>N/A</v>
        <stp/>
        <stp>VOLUME</stp>
        <stp>.QQQ250930P486</stp>
        <tr r="R62" s="2"/>
      </tp>
      <tp>
        <v>20</v>
        <stp/>
        <stp>VOLUME</stp>
        <stp>.QQQ250930C486</stp>
        <tr r="R62" s="2"/>
        <tr r="R62" s="2"/>
      </tp>
      <tp>
        <v>28</v>
        <stp/>
        <stp>VOLUME</stp>
        <stp>.QQQ250930P487</stp>
        <tr r="R61" s="2"/>
        <tr r="R61" s="2"/>
      </tp>
      <tp>
        <v>72</v>
        <stp/>
        <stp>VOLUME</stp>
        <stp>.QQQ250930C487</stp>
        <tr r="R61" s="2"/>
        <tr r="R61" s="2"/>
      </tp>
      <tp>
        <v>27</v>
        <stp/>
        <stp>VOLUME</stp>
        <stp>.QQQ250930P480</stp>
        <tr r="R68" s="2"/>
        <tr r="R68" s="2"/>
      </tp>
      <tp>
        <v>17</v>
        <stp/>
        <stp>VOLUME</stp>
        <stp>.QQQ250930C480</stp>
        <tr r="R68" s="2"/>
        <tr r="R68" s="2"/>
      </tp>
      <tp>
        <v>1</v>
        <stp/>
        <stp>VOLUME</stp>
        <stp>.QQQ250930P481</stp>
        <tr r="R67" s="2"/>
        <tr r="R67" s="2"/>
      </tp>
      <tp t="s">
        <v>N/A</v>
        <stp/>
        <stp>VOLUME</stp>
        <stp>.SPY251031P582</stp>
        <tr r="T5" s="2"/>
      </tp>
      <tp>
        <v>1</v>
        <stp/>
        <stp>VOLUME</stp>
        <stp>.QQQ250930C481</stp>
        <tr r="R67" s="2"/>
        <tr r="R67" s="2"/>
      </tp>
      <tp t="s">
        <v>N/A</v>
        <stp/>
        <stp>VOLUME</stp>
        <stp>.SPY251031C582</stp>
        <tr r="T5" s="2"/>
      </tp>
      <tp>
        <v>2</v>
        <stp/>
        <stp>VOLUME</stp>
        <stp>.QQQ250930P482</stp>
        <tr r="R66" s="2"/>
        <tr r="R66" s="2"/>
      </tp>
      <tp t="s">
        <v>N/A</v>
        <stp/>
        <stp>VOLUME</stp>
        <stp>.SPY251031P581</stp>
        <tr r="T6" s="2"/>
      </tp>
      <tp>
        <v>20</v>
        <stp/>
        <stp>VOLUME</stp>
        <stp>.QQQ250930C482</stp>
        <tr r="R66" s="2"/>
        <tr r="R66" s="2"/>
      </tp>
      <tp t="s">
        <v>N/A</v>
        <stp/>
        <stp>VOLUME</stp>
        <stp>.SPY251031C581</stp>
        <tr r="T6" s="2"/>
      </tp>
      <tp>
        <v>1</v>
        <stp/>
        <stp>VOLUME</stp>
        <stp>.QQQ250930P483</stp>
        <tr r="R65" s="2"/>
        <tr r="R65" s="2"/>
      </tp>
      <tp>
        <v>6</v>
        <stp/>
        <stp>VOLUME</stp>
        <stp>.SPY251031P580</stp>
        <tr r="T7" s="2"/>
        <tr r="T7" s="2"/>
      </tp>
      <tp>
        <v>1</v>
        <stp/>
        <stp>VOLUME</stp>
        <stp>.QQQ250930C483</stp>
        <tr r="R65" s="2"/>
        <tr r="R65" s="2"/>
      </tp>
      <tp>
        <v>42</v>
        <stp/>
        <stp>VOLUME</stp>
        <stp>.SPY251031C580</stp>
        <tr r="T7" s="2"/>
        <tr r="T7" s="2"/>
      </tp>
      <tp>
        <v>41</v>
        <stp/>
        <stp>VOLUME</stp>
        <stp>.QQQ250930P488</stp>
        <tr r="R60" s="2"/>
        <tr r="R60" s="2"/>
      </tp>
      <tp>
        <v>45</v>
        <stp/>
        <stp>VOLUME</stp>
        <stp>.QQQ250930C488</stp>
        <tr r="R60" s="2"/>
        <tr r="R60" s="2"/>
      </tp>
      <tp>
        <v>17</v>
        <stp/>
        <stp>VOLUME</stp>
        <stp>.QQQ250930P489</stp>
        <tr r="R59" s="2"/>
        <tr r="R59" s="2"/>
      </tp>
      <tp>
        <v>21</v>
        <stp/>
        <stp>VOLUME</stp>
        <stp>.QQQ250930C489</stp>
        <tr r="R59" s="2"/>
        <tr r="R59" s="2"/>
      </tp>
      <tp>
        <v>4</v>
        <stp/>
        <stp>VOLUME</stp>
        <stp>.QQQ250930P494</stp>
        <tr r="R54" s="2"/>
        <tr r="R54" s="2"/>
      </tp>
      <tp>
        <v>1</v>
        <stp/>
        <stp>VOLUME</stp>
        <stp>.QQQ250930C494</stp>
        <tr r="R54" s="2"/>
        <tr r="R54" s="2"/>
      </tp>
      <tp>
        <v>16</v>
        <stp/>
        <stp>VOLUME</stp>
        <stp>.QQQ250930P495</stp>
        <tr r="R53" s="2"/>
        <tr r="R53" s="2"/>
      </tp>
      <tp>
        <v>2</v>
        <stp/>
        <stp>VOLUME</stp>
        <stp>.QQQ250930C495</stp>
        <tr r="R53" s="2"/>
        <tr r="R53" s="2"/>
      </tp>
      <tp t="s">
        <v>N/A</v>
        <stp/>
        <stp>VOLUME</stp>
        <stp>.QQQ250930P496</stp>
        <tr r="R52" s="2"/>
      </tp>
      <tp t="s">
        <v>N/A</v>
        <stp/>
        <stp>VOLUME</stp>
        <stp>.QQQ250930C496</stp>
        <tr r="R52" s="2"/>
      </tp>
      <tp>
        <v>21</v>
        <stp/>
        <stp>VOLUME</stp>
        <stp>.QQQ250930P497</stp>
        <tr r="R51" s="2"/>
        <tr r="R51" s="2"/>
      </tp>
      <tp>
        <v>1</v>
        <stp/>
        <stp>VOLUME</stp>
        <stp>.QQQ250930C497</stp>
        <tr r="R51" s="2"/>
        <tr r="R51" s="2"/>
      </tp>
      <tp>
        <v>12</v>
        <stp/>
        <stp>VOLUME</stp>
        <stp>.QQQ250930P490</stp>
        <tr r="R58" s="2"/>
        <tr r="R58" s="2"/>
      </tp>
      <tp>
        <v>3</v>
        <stp/>
        <stp>VOLUME</stp>
        <stp>.QQQ250930C490</stp>
        <tr r="R58" s="2"/>
        <tr r="R58" s="2"/>
      </tp>
      <tp>
        <v>2</v>
        <stp/>
        <stp>VOLUME</stp>
        <stp>.QQQ250930P491</stp>
        <tr r="R57" s="2"/>
        <tr r="R57" s="2"/>
      </tp>
      <tp t="s">
        <v>N/A</v>
        <stp/>
        <stp>VOLUME</stp>
        <stp>.QQQ250930C491</stp>
        <tr r="R57" s="2"/>
      </tp>
      <tp>
        <v>1</v>
        <stp/>
        <stp>VOLUME</stp>
        <stp>.QQQ250930P492</stp>
        <tr r="R56" s="2"/>
        <tr r="R56" s="2"/>
      </tp>
      <tp>
        <v>6</v>
        <stp/>
        <stp>VOLUME</stp>
        <stp>.QQQ250930C492</stp>
        <tr r="R56" s="2"/>
        <tr r="R56" s="2"/>
      </tp>
      <tp>
        <v>3</v>
        <stp/>
        <stp>VOLUME</stp>
        <stp>.QQQ250930P493</stp>
        <tr r="R55" s="2"/>
        <tr r="R55" s="2"/>
      </tp>
      <tp t="s">
        <v>N/A</v>
        <stp/>
        <stp>VOLUME</stp>
        <stp>.QQQ250930C493</stp>
        <tr r="R55" s="2"/>
      </tp>
      <tp t="s">
        <v>N/A</v>
        <stp/>
        <stp>VOLUME</stp>
        <stp>.QQQ250930P498</stp>
        <tr r="R50" s="2"/>
      </tp>
      <tp t="s">
        <v>N/A</v>
        <stp/>
        <stp>VOLUME</stp>
        <stp>.QQQ250930C498</stp>
        <tr r="R50" s="2"/>
      </tp>
      <tp t="s">
        <v>N/A</v>
        <stp/>
        <stp>VOLUME</stp>
        <stp>.QQQ250930P499</stp>
        <tr r="R49" s="2"/>
      </tp>
      <tp>
        <v>2</v>
        <stp/>
        <stp>VOLUME</stp>
        <stp>.QQQ250930C499</stp>
        <tr r="R49" s="2"/>
        <tr r="R49" s="2"/>
      </tp>
      <tp t="s">
        <v>N/A</v>
        <stp/>
        <stp>VOLUME</stp>
        <stp>.QQQ250815P501</stp>
        <tr r="O47" s="2"/>
      </tp>
      <tp t="s">
        <v>N/A</v>
        <stp/>
        <stp>VOLUME</stp>
        <stp>.QQQ250815C501</stp>
        <tr r="O47" s="2"/>
      </tp>
      <tp>
        <v>114</v>
        <stp/>
        <stp>VOLUME</stp>
        <stp>.QQQ250815P500</stp>
        <tr r="O48" s="2"/>
        <tr r="O48" s="2"/>
      </tp>
      <tp>
        <v>391</v>
        <stp/>
        <stp>VOLUME</stp>
        <stp>.QQQ250815C500</stp>
        <tr r="O48" s="2"/>
        <tr r="O48" s="2"/>
      </tp>
      <tp t="s">
        <v>N/A</v>
        <stp/>
        <stp>VOLUME</stp>
        <stp>.QQQ250815P502</stp>
        <tr r="O46" s="2"/>
      </tp>
      <tp t="s">
        <v>N/A</v>
        <stp/>
        <stp>VOLUME</stp>
        <stp>.QQQ250815C502</stp>
        <tr r="O46" s="2"/>
      </tp>
      <tp t="s">
        <v>N/A</v>
        <stp/>
        <stp>VOLUME</stp>
        <stp>.QQQ250829P501</stp>
        <tr r="P47" s="2"/>
      </tp>
      <tp t="s">
        <v>N/A</v>
        <stp/>
        <stp>VOLUME</stp>
        <stp>.QQQ250829C501</stp>
        <tr r="P47" s="2"/>
      </tp>
      <tp t="s">
        <v>N/A</v>
        <stp/>
        <stp>VOLUME</stp>
        <stp>.QQQ250829P500</stp>
        <tr r="P48" s="2"/>
      </tp>
      <tp>
        <v>65</v>
        <stp/>
        <stp>VOLUME</stp>
        <stp>.QQQ250829C500</stp>
        <tr r="P48" s="2"/>
        <tr r="P48" s="2"/>
      </tp>
      <tp t="s">
        <v>N/A</v>
        <stp/>
        <stp>VOLUME</stp>
        <stp>.QQQ250829P502</stp>
        <tr r="P46" s="2"/>
      </tp>
      <tp t="s">
        <v>N/A</v>
        <stp/>
        <stp>VOLUME</stp>
        <stp>.QQQ250829C502</stp>
        <tr r="P46" s="2"/>
      </tp>
      <tp>
        <v>5</v>
        <stp/>
        <stp>VOLUME</stp>
        <stp>.SPY251031P567</stp>
        <tr r="T20" s="2"/>
        <tr r="T20" s="2"/>
      </tp>
      <tp>
        <v>3</v>
        <stp/>
        <stp>VOLUME</stp>
        <stp>.SPY251031C567</stp>
        <tr r="T20" s="2"/>
        <tr r="T20" s="2"/>
      </tp>
      <tp>
        <v>3</v>
        <stp/>
        <stp>VOLUME</stp>
        <stp>.SPY251031P566</stp>
        <tr r="T21" s="2"/>
        <tr r="T21" s="2"/>
      </tp>
      <tp>
        <v>3</v>
        <stp/>
        <stp>VOLUME</stp>
        <stp>.SPY251031C566</stp>
        <tr r="T21" s="2"/>
        <tr r="T21" s="2"/>
      </tp>
      <tp>
        <v>70</v>
        <stp/>
        <stp>VOLUME</stp>
        <stp>.SPY251031P565</stp>
        <tr r="T22" s="2"/>
        <tr r="T22" s="2"/>
      </tp>
      <tp>
        <v>34</v>
        <stp/>
        <stp>VOLUME</stp>
        <stp>.SPY251031C565</stp>
        <tr r="T22" s="2"/>
        <tr r="T22" s="2"/>
      </tp>
      <tp>
        <v>112</v>
        <stp/>
        <stp>VOLUME</stp>
        <stp>.SPY251031P564</stp>
        <tr r="T23" s="2"/>
        <tr r="T23" s="2"/>
      </tp>
      <tp>
        <v>11</v>
        <stp/>
        <stp>VOLUME</stp>
        <stp>.SPY251031C564</stp>
        <tr r="T23" s="2"/>
        <tr r="T23" s="2"/>
      </tp>
      <tp>
        <v>2</v>
        <stp/>
        <stp>VOLUME</stp>
        <stp>.SPY251031P563</stp>
        <tr r="T24" s="2"/>
        <tr r="T24" s="2"/>
      </tp>
      <tp t="s">
        <v>N/A</v>
        <stp/>
        <stp>VOLUME</stp>
        <stp>.SPY251031C563</stp>
        <tr r="T24" s="2"/>
      </tp>
      <tp>
        <v>10</v>
        <stp/>
        <stp>VOLUME</stp>
        <stp>.SPY251031P562</stp>
        <tr r="T25" s="2"/>
        <tr r="T25" s="2"/>
      </tp>
      <tp t="s">
        <v>N/A</v>
        <stp/>
        <stp>VOLUME</stp>
        <stp>.SPY251031C562</stp>
        <tr r="T25" s="2"/>
      </tp>
      <tp>
        <v>14</v>
        <stp/>
        <stp>VOLUME</stp>
        <stp>.SPY251031P561</stp>
        <tr r="T26" s="2"/>
        <tr r="T26" s="2"/>
      </tp>
      <tp>
        <v>1</v>
        <stp/>
        <stp>VOLUME</stp>
        <stp>.SPY251031C561</stp>
        <tr r="T26" s="2"/>
        <tr r="T26" s="2"/>
      </tp>
      <tp>
        <v>61</v>
        <stp/>
        <stp>VOLUME</stp>
        <stp>.SPY251031P560</stp>
        <tr r="T27" s="2"/>
        <tr r="T27" s="2"/>
      </tp>
      <tp>
        <v>30</v>
        <stp/>
        <stp>VOLUME</stp>
        <stp>.SPY251031C560</stp>
        <tr r="T27" s="2"/>
        <tr r="T27" s="2"/>
      </tp>
      <tp t="s">
        <v>N/A</v>
        <stp/>
        <stp>VOLUME</stp>
        <stp>.SPY251017P549</stp>
        <tr r="S38" s="2"/>
      </tp>
      <tp t="s">
        <v>N/A</v>
        <stp/>
        <stp>VOLUME</stp>
        <stp>.SPY251017C549</stp>
        <tr r="S38" s="2"/>
      </tp>
      <tp t="s">
        <v>N/A</v>
        <stp/>
        <stp>VOLUME</stp>
        <stp>.SPY251017P548</stp>
        <tr r="S39" s="2"/>
      </tp>
      <tp t="s">
        <v>N/A</v>
        <stp/>
        <stp>VOLUME</stp>
        <stp>.SPY251017C548</stp>
        <tr r="S39" s="2"/>
      </tp>
      <tp t="s">
        <v>N/A</v>
        <stp/>
        <stp>VOLUME</stp>
        <stp>.QQQ250930P468</stp>
        <tr r="R80" s="2"/>
      </tp>
      <tp t="s">
        <v>N/A</v>
        <stp/>
        <stp>VOLUME</stp>
        <stp>.QQQ250930C468</stp>
        <tr r="R80" s="2"/>
      </tp>
      <tp t="s">
        <v>N/A</v>
        <stp/>
        <stp>VOLUME</stp>
        <stp>.QQQ250930P469</stp>
        <tr r="R79" s="2"/>
      </tp>
      <tp t="s">
        <v>N/A</v>
        <stp/>
        <stp>VOLUME</stp>
        <stp>.QQQ250930C469</stp>
        <tr r="R79" s="2"/>
      </tp>
      <tp>
        <v>12</v>
        <stp/>
        <stp>VOLUME</stp>
        <stp>.SPY251031P569</stp>
        <tr r="T18" s="2"/>
        <tr r="T18" s="2"/>
      </tp>
      <tp>
        <v>3</v>
        <stp/>
        <stp>VOLUME</stp>
        <stp>.SPY251031C569</stp>
        <tr r="T18" s="2"/>
        <tr r="T18" s="2"/>
      </tp>
      <tp>
        <v>13</v>
        <stp/>
        <stp>VOLUME</stp>
        <stp>.SPY251031P568</stp>
        <tr r="T19" s="2"/>
        <tr r="T19" s="2"/>
      </tp>
      <tp>
        <v>1</v>
        <stp/>
        <stp>VOLUME</stp>
        <stp>.SPY251031C568</stp>
        <tr r="T19" s="2"/>
        <tr r="T19" s="2"/>
      </tp>
      <tp>
        <v>27</v>
        <stp/>
        <stp>VOLUME</stp>
        <stp>.QQQ250930P474</stp>
        <tr r="R74" s="2"/>
        <tr r="R74" s="2"/>
      </tp>
      <tp t="s">
        <v>N/A</v>
        <stp/>
        <stp>VOLUME</stp>
        <stp>.SPY251017P551</stp>
        <tr r="S36" s="2"/>
      </tp>
      <tp t="s">
        <v>N/A</v>
        <stp/>
        <stp>VOLUME</stp>
        <stp>.SPY251031P577</stp>
        <tr r="T10" s="2"/>
      </tp>
      <tp>
        <v>2</v>
        <stp/>
        <stp>VOLUME</stp>
        <stp>.QQQ250930C474</stp>
        <tr r="R74" s="2"/>
        <tr r="R74" s="2"/>
      </tp>
      <tp t="s">
        <v>N/A</v>
        <stp/>
        <stp>VOLUME</stp>
        <stp>.SPY251017C551</stp>
        <tr r="S36" s="2"/>
      </tp>
      <tp t="s">
        <v>N/A</v>
        <stp/>
        <stp>VOLUME</stp>
        <stp>.SPY251031C577</stp>
        <tr r="T10" s="2"/>
      </tp>
      <tp>
        <v>36</v>
        <stp/>
        <stp>VOLUME</stp>
        <stp>.QQQ250930P475</stp>
        <tr r="R73" s="2"/>
        <tr r="R73" s="2"/>
      </tp>
      <tp t="s">
        <v>N/A</v>
        <stp/>
        <stp>VOLUME</stp>
        <stp>.SPY251017P550</stp>
        <tr r="S37" s="2"/>
      </tp>
      <tp t="s">
        <v>N/A</v>
        <stp/>
        <stp>VOLUME</stp>
        <stp>.SPY251031P576</stp>
        <tr r="T11" s="2"/>
      </tp>
      <tp>
        <v>11</v>
        <stp/>
        <stp>VOLUME</stp>
        <stp>.QQQ250930C475</stp>
        <tr r="R73" s="2"/>
        <tr r="R73" s="2"/>
      </tp>
      <tp t="s">
        <v>N/A</v>
        <stp/>
        <stp>VOLUME</stp>
        <stp>.SPY251017C550</stp>
        <tr r="S37" s="2"/>
      </tp>
      <tp t="s">
        <v>N/A</v>
        <stp/>
        <stp>VOLUME</stp>
        <stp>.SPY251031C576</stp>
        <tr r="T11" s="2"/>
      </tp>
      <tp>
        <v>42</v>
        <stp/>
        <stp>VOLUME</stp>
        <stp>.QQQ250930P476</stp>
        <tr r="R72" s="2"/>
        <tr r="R72" s="2"/>
      </tp>
      <tp t="s">
        <v>N/A</v>
        <stp/>
        <stp>VOLUME</stp>
        <stp>.SPY251017P553</stp>
        <tr r="S34" s="2"/>
      </tp>
      <tp>
        <v>10</v>
        <stp/>
        <stp>VOLUME</stp>
        <stp>.SPY251031P575</stp>
        <tr r="T12" s="2"/>
        <tr r="T12" s="2"/>
      </tp>
      <tp t="s">
        <v>N/A</v>
        <stp/>
        <stp>VOLUME</stp>
        <stp>.QQQ250930C476</stp>
        <tr r="R72" s="2"/>
      </tp>
      <tp t="s">
        <v>N/A</v>
        <stp/>
        <stp>VOLUME</stp>
        <stp>.SPY251017C553</stp>
        <tr r="S34" s="2"/>
      </tp>
      <tp>
        <v>9</v>
        <stp/>
        <stp>VOLUME</stp>
        <stp>.SPY251031C575</stp>
        <tr r="T12" s="2"/>
        <tr r="T12" s="2"/>
      </tp>
      <tp>
        <v>1</v>
        <stp/>
        <stp>VOLUME</stp>
        <stp>.QQQ250930P477</stp>
        <tr r="R71" s="2"/>
        <tr r="R71" s="2"/>
      </tp>
      <tp t="s">
        <v>N/A</v>
        <stp/>
        <stp>VOLUME</stp>
        <stp>.SPY251017P552</stp>
        <tr r="S35" s="2"/>
      </tp>
      <tp t="s">
        <v>N/A</v>
        <stp/>
        <stp>VOLUME</stp>
        <stp>.SPY251031P574</stp>
        <tr r="T13" s="2"/>
      </tp>
      <tp>
        <v>1</v>
        <stp/>
        <stp>VOLUME</stp>
        <stp>.QQQ250930C477</stp>
        <tr r="R71" s="2"/>
        <tr r="R71" s="2"/>
      </tp>
      <tp t="s">
        <v>N/A</v>
        <stp/>
        <stp>VOLUME</stp>
        <stp>.SPY251017C552</stp>
        <tr r="S35" s="2"/>
      </tp>
      <tp t="s">
        <v>N/A</v>
        <stp/>
        <stp>VOLUME</stp>
        <stp>.SPY251031C574</stp>
        <tr r="T13" s="2"/>
      </tp>
      <tp>
        <v>16</v>
        <stp/>
        <stp>VOLUME</stp>
        <stp>.QQQ250930P470</stp>
        <tr r="R78" s="2"/>
        <tr r="R78" s="2"/>
      </tp>
      <tp t="s">
        <v>N/A</v>
        <stp/>
        <stp>VOLUME</stp>
        <stp>.SPY251017P555</stp>
        <tr r="S32" s="2"/>
      </tp>
      <tp t="s">
        <v>N/A</v>
        <stp/>
        <stp>VOLUME</stp>
        <stp>.SPY251031P573</stp>
        <tr r="T14" s="2"/>
      </tp>
      <tp>
        <v>1</v>
        <stp/>
        <stp>VOLUME</stp>
        <stp>.QQQ250930C470</stp>
        <tr r="R78" s="2"/>
        <tr r="R78" s="2"/>
      </tp>
      <tp t="s">
        <v>N/A</v>
        <stp/>
        <stp>VOLUME</stp>
        <stp>.SPY251017C555</stp>
        <tr r="S32" s="2"/>
      </tp>
      <tp t="s">
        <v>N/A</v>
        <stp/>
        <stp>VOLUME</stp>
        <stp>.SPY251031C573</stp>
        <tr r="T14" s="2"/>
      </tp>
      <tp t="s">
        <v>N/A</v>
        <stp/>
        <stp>VOLUME</stp>
        <stp>.QQQ250930P471</stp>
        <tr r="R77" s="2"/>
      </tp>
      <tp t="s">
        <v>N/A</v>
        <stp/>
        <stp>VOLUME</stp>
        <stp>.SPY251017P554</stp>
        <tr r="S33" s="2"/>
      </tp>
      <tp>
        <v>12</v>
        <stp/>
        <stp>VOLUME</stp>
        <stp>.SPY251031P572</stp>
        <tr r="T15" s="2"/>
        <tr r="T15" s="2"/>
      </tp>
      <tp>
        <v>4</v>
        <stp/>
        <stp>VOLUME</stp>
        <stp>.QQQ250930C471</stp>
        <tr r="R77" s="2"/>
        <tr r="R77" s="2"/>
      </tp>
      <tp t="s">
        <v>N/A</v>
        <stp/>
        <stp>VOLUME</stp>
        <stp>.SPY251017C554</stp>
        <tr r="S33" s="2"/>
      </tp>
      <tp t="s">
        <v>N/A</v>
        <stp/>
        <stp>VOLUME</stp>
        <stp>.SPY251031C572</stp>
        <tr r="T15" s="2"/>
      </tp>
      <tp t="s">
        <v>N/A</v>
        <stp/>
        <stp>VOLUME</stp>
        <stp>.QQQ250930P472</stp>
        <tr r="R76" s="2"/>
      </tp>
      <tp t="s">
        <v>N/A</v>
        <stp/>
        <stp>VOLUME</stp>
        <stp>.SPY251017P557</stp>
        <tr r="S30" s="2"/>
      </tp>
      <tp>
        <v>1</v>
        <stp/>
        <stp>VOLUME</stp>
        <stp>.SPY251031P571</stp>
        <tr r="T16" s="2"/>
        <tr r="T16" s="2"/>
      </tp>
      <tp t="s">
        <v>N/A</v>
        <stp/>
        <stp>VOLUME</stp>
        <stp>.QQQ250930C472</stp>
        <tr r="R76" s="2"/>
      </tp>
      <tp t="s">
        <v>N/A</v>
        <stp/>
        <stp>VOLUME</stp>
        <stp>.SPY251017C557</stp>
        <tr r="S30" s="2"/>
      </tp>
      <tp t="s">
        <v>N/A</v>
        <stp/>
        <stp>VOLUME</stp>
        <stp>.SPY251031C571</stp>
        <tr r="T16" s="2"/>
      </tp>
      <tp t="s">
        <v>N/A</v>
        <stp/>
        <stp>VOLUME</stp>
        <stp>.QQQ250930P473</stp>
        <tr r="R75" s="2"/>
      </tp>
      <tp t="s">
        <v>N/A</v>
        <stp/>
        <stp>VOLUME</stp>
        <stp>.SPY251017P556</stp>
        <tr r="S31" s="2"/>
      </tp>
      <tp>
        <v>47</v>
        <stp/>
        <stp>VOLUME</stp>
        <stp>.SPY251031P570</stp>
        <tr r="T17" s="2"/>
        <tr r="T17" s="2"/>
      </tp>
      <tp t="s">
        <v>N/A</v>
        <stp/>
        <stp>VOLUME</stp>
        <stp>.QQQ250930C473</stp>
        <tr r="R75" s="2"/>
      </tp>
      <tp t="s">
        <v>N/A</v>
        <stp/>
        <stp>VOLUME</stp>
        <stp>.SPY251017C556</stp>
        <tr r="S31" s="2"/>
      </tp>
      <tp>
        <v>14</v>
        <stp/>
        <stp>VOLUME</stp>
        <stp>.SPY251031C570</stp>
        <tr r="T17" s="2"/>
        <tr r="T17" s="2"/>
      </tp>
      <tp t="s">
        <v>N/A</v>
        <stp/>
        <stp>VOLUME</stp>
        <stp>.SPY251017P559</stp>
        <tr r="S28" s="2"/>
      </tp>
      <tp t="s">
        <v>N/A</v>
        <stp/>
        <stp>VOLUME</stp>
        <stp>.SPY251017C559</stp>
        <tr r="S28" s="2"/>
      </tp>
      <tp t="s">
        <v>N/A</v>
        <stp/>
        <stp>VOLUME</stp>
        <stp>.SPY251017P558</stp>
        <tr r="S29" s="2"/>
      </tp>
      <tp t="s">
        <v>N/A</v>
        <stp/>
        <stp>VOLUME</stp>
        <stp>.SPY251017C558</stp>
        <tr r="S29" s="2"/>
      </tp>
      <tp>
        <v>14</v>
        <stp/>
        <stp>VOLUME</stp>
        <stp>.QQQ250930P478</stp>
        <tr r="R70" s="2"/>
        <tr r="R70" s="2"/>
      </tp>
      <tp t="s">
        <v>N/A</v>
        <stp/>
        <stp>VOLUME</stp>
        <stp>.QQQ250930C478</stp>
        <tr r="R70" s="2"/>
      </tp>
      <tp>
        <v>1</v>
        <stp/>
        <stp>VOLUME</stp>
        <stp>.QQQ250930P479</stp>
        <tr r="R69" s="2"/>
        <tr r="R69" s="2"/>
      </tp>
      <tp t="s">
        <v>N/A</v>
        <stp/>
        <stp>VOLUME</stp>
        <stp>.QQQ250930C479</stp>
        <tr r="R69" s="2"/>
      </tp>
      <tp t="s">
        <v>N/A</v>
        <stp/>
        <stp>VOLUME</stp>
        <stp>.SPY251031P579</stp>
        <tr r="T8" s="2"/>
      </tp>
      <tp t="s">
        <v>N/A</v>
        <stp/>
        <stp>VOLUME</stp>
        <stp>.SPY251031C579</stp>
        <tr r="T8" s="2"/>
      </tp>
      <tp t="s">
        <v>N/A</v>
        <stp/>
        <stp>VOLUME</stp>
        <stp>.SPY251031P578</stp>
        <tr r="T9" s="2"/>
      </tp>
      <tp t="s">
        <v>N/A</v>
        <stp/>
        <stp>VOLUME</stp>
        <stp>.SPY251031C578</stp>
        <tr r="T9" s="2"/>
      </tp>
      <tp t="s">
        <v>N/A</v>
        <stp/>
        <stp>VOLUME</stp>
        <stp>.SPY251017P561</stp>
        <tr r="S26" s="2"/>
      </tp>
      <tp t="s">
        <v>N/A</v>
        <stp/>
        <stp>VOLUME</stp>
        <stp>.SPY251017C561</stp>
        <tr r="S26" s="2"/>
      </tp>
      <tp t="s">
        <v>N/A</v>
        <stp/>
        <stp>VOLUME</stp>
        <stp>.SPY251017P560</stp>
        <tr r="S27" s="2"/>
      </tp>
      <tp t="s">
        <v>N/A</v>
        <stp/>
        <stp>VOLUME</stp>
        <stp>.SPY251017C560</stp>
        <tr r="S27" s="2"/>
      </tp>
      <tp t="s">
        <v>N/A</v>
        <stp/>
        <stp>VOLUME</stp>
        <stp>.SPY251017P563</stp>
        <tr r="S24" s="2"/>
      </tp>
      <tp t="s">
        <v>N/A</v>
        <stp/>
        <stp>VOLUME</stp>
        <stp>.SPY251017C563</stp>
        <tr r="S24" s="2"/>
      </tp>
      <tp t="s">
        <v>N/A</v>
        <stp/>
        <stp>VOLUME</stp>
        <stp>.SPY251017P562</stp>
        <tr r="S25" s="2"/>
      </tp>
      <tp t="s">
        <v>N/A</v>
        <stp/>
        <stp>VOLUME</stp>
        <stp>.SPY251017C562</stp>
        <tr r="S25" s="2"/>
      </tp>
      <tp t="s">
        <v>N/A</v>
        <stp/>
        <stp>VOLUME</stp>
        <stp>.QQQ250919P469</stp>
        <tr r="Q79" s="2"/>
      </tp>
      <tp t="s">
        <v>N/A</v>
        <stp/>
        <stp>VOLUME</stp>
        <stp>.SPY251017P565</stp>
        <tr r="S22" s="2"/>
      </tp>
      <tp t="s">
        <v>N/A</v>
        <stp/>
        <stp>VOLUME</stp>
        <stp>.QQQ250919C469</stp>
        <tr r="Q79" s="2"/>
      </tp>
      <tp t="s">
        <v>N/A</v>
        <stp/>
        <stp>VOLUME</stp>
        <stp>.SPY251017C565</stp>
        <tr r="S22" s="2"/>
      </tp>
      <tp t="s">
        <v>N/A</v>
        <stp/>
        <stp>VOLUME</stp>
        <stp>.QQQ250919P468</stp>
        <tr r="Q80" s="2"/>
      </tp>
      <tp t="s">
        <v>N/A</v>
        <stp/>
        <stp>VOLUME</stp>
        <stp>.SPY251017P564</stp>
        <tr r="S23" s="2"/>
      </tp>
      <tp t="s">
        <v>N/A</v>
        <stp/>
        <stp>VOLUME</stp>
        <stp>.QQQ250919C468</stp>
        <tr r="Q80" s="2"/>
      </tp>
      <tp t="s">
        <v>N/A</v>
        <stp/>
        <stp>VOLUME</stp>
        <stp>.SPY251017C564</stp>
        <tr r="S23" s="2"/>
      </tp>
      <tp t="s">
        <v>N/A</v>
        <stp/>
        <stp>VOLUME</stp>
        <stp>.SPY251017P567</stp>
        <tr r="S20" s="2"/>
      </tp>
      <tp t="s">
        <v>N/A</v>
        <stp/>
        <stp>VOLUME</stp>
        <stp>.SPY251017C567</stp>
        <tr r="S20" s="2"/>
      </tp>
      <tp t="s">
        <v>N/A</v>
        <stp/>
        <stp>VOLUME</stp>
        <stp>.SPY251017P566</stp>
        <tr r="S21" s="2"/>
      </tp>
      <tp t="s">
        <v>N/A</v>
        <stp/>
        <stp>VOLUME</stp>
        <stp>.SPY251017C566</stp>
        <tr r="S21" s="2"/>
      </tp>
      <tp t="s">
        <v>N/A</v>
        <stp/>
        <stp>VOLUME</stp>
        <stp>.SPY251017P569</stp>
        <tr r="S18" s="2"/>
      </tp>
      <tp t="s">
        <v>N/A</v>
        <stp/>
        <stp>VOLUME</stp>
        <stp>.SPY251017C569</stp>
        <tr r="S18" s="2"/>
      </tp>
      <tp t="s">
        <v>N/A</v>
        <stp/>
        <stp>VOLUME</stp>
        <stp>.SPY251017P568</stp>
        <tr r="S19" s="2"/>
      </tp>
      <tp t="s">
        <v>N/A</v>
        <stp/>
        <stp>VOLUME</stp>
        <stp>.SPY251017C568</stp>
        <tr r="S19" s="2"/>
      </tp>
      <tp>
        <v>3</v>
        <stp/>
        <stp>VOLUME</stp>
        <stp>.SPY251031P549</stp>
        <tr r="T38" s="2"/>
        <tr r="T38" s="2"/>
      </tp>
      <tp t="s">
        <v>N/A</v>
        <stp/>
        <stp>VOLUME</stp>
        <stp>.SPY251031C549</stp>
        <tr r="T38" s="2"/>
      </tp>
      <tp t="s">
        <v>N/A</v>
        <stp/>
        <stp>VOLUME</stp>
        <stp>.SPY251031P548</stp>
        <tr r="T39" s="2"/>
      </tp>
      <tp t="s">
        <v>N/A</v>
        <stp/>
        <stp>VOLUME</stp>
        <stp>.SPY251031C548</stp>
        <tr r="T39" s="2"/>
      </tp>
      <tp t="s">
        <v>N/A</v>
        <stp/>
        <stp>VOLUME</stp>
        <stp>.SPY251017P571</stp>
        <tr r="S16" s="2"/>
      </tp>
      <tp>
        <v>5</v>
        <stp/>
        <stp>VOLUME</stp>
        <stp>.SPY251031P557</stp>
        <tr r="T30" s="2"/>
        <tr r="T30" s="2"/>
      </tp>
      <tp t="s">
        <v>N/A</v>
        <stp/>
        <stp>VOLUME</stp>
        <stp>.SPY251017C571</stp>
        <tr r="S16" s="2"/>
      </tp>
      <tp t="s">
        <v>N/A</v>
        <stp/>
        <stp>VOLUME</stp>
        <stp>.SPY251031C557</stp>
        <tr r="T30" s="2"/>
      </tp>
      <tp t="s">
        <v>N/A</v>
        <stp/>
        <stp>VOLUME</stp>
        <stp>.SPY251017P570</stp>
        <tr r="S17" s="2"/>
      </tp>
      <tp>
        <v>7</v>
        <stp/>
        <stp>VOLUME</stp>
        <stp>.SPY251031P556</stp>
        <tr r="T31" s="2"/>
        <tr r="T31" s="2"/>
      </tp>
      <tp t="s">
        <v>N/A</v>
        <stp/>
        <stp>VOLUME</stp>
        <stp>.SPY251017C570</stp>
        <tr r="S17" s="2"/>
      </tp>
      <tp t="s">
        <v>N/A</v>
        <stp/>
        <stp>VOLUME</stp>
        <stp>.SPY251031C556</stp>
        <tr r="T31" s="2"/>
      </tp>
      <tp t="s">
        <v>N/A</v>
        <stp/>
        <stp>VOLUME</stp>
        <stp>.SPY251017P573</stp>
        <tr r="S14" s="2"/>
      </tp>
      <tp>
        <v>84</v>
        <stp/>
        <stp>VOLUME</stp>
        <stp>.SPY251031P555</stp>
        <tr r="T32" s="2"/>
        <tr r="T32" s="2"/>
      </tp>
      <tp t="s">
        <v>N/A</v>
        <stp/>
        <stp>VOLUME</stp>
        <stp>.SPY251017C573</stp>
        <tr r="S14" s="2"/>
      </tp>
      <tp>
        <v>2</v>
        <stp/>
        <stp>VOLUME</stp>
        <stp>.SPY251031C555</stp>
        <tr r="T32" s="2"/>
        <tr r="T32" s="2"/>
      </tp>
      <tp t="s">
        <v>N/A</v>
        <stp/>
        <stp>VOLUME</stp>
        <stp>.SPY251017P572</stp>
        <tr r="S15" s="2"/>
      </tp>
      <tp>
        <v>6</v>
        <stp/>
        <stp>VOLUME</stp>
        <stp>.SPY251031P554</stp>
        <tr r="T33" s="2"/>
        <tr r="T33" s="2"/>
      </tp>
      <tp t="s">
        <v>N/A</v>
        <stp/>
        <stp>VOLUME</stp>
        <stp>.SPY251017C572</stp>
        <tr r="S15" s="2"/>
      </tp>
      <tp t="s">
        <v>N/A</v>
        <stp/>
        <stp>VOLUME</stp>
        <stp>.SPY251031C554</stp>
        <tr r="T33" s="2"/>
      </tp>
      <tp t="s">
        <v>N/A</v>
        <stp/>
        <stp>VOLUME</stp>
        <stp>.QQQ250919P479</stp>
        <tr r="Q69" s="2"/>
      </tp>
      <tp t="s">
        <v>N/A</v>
        <stp/>
        <stp>VOLUME</stp>
        <stp>.SPY251017P575</stp>
        <tr r="S12" s="2"/>
      </tp>
      <tp>
        <v>3</v>
        <stp/>
        <stp>VOLUME</stp>
        <stp>.SPY251031P553</stp>
        <tr r="T34" s="2"/>
        <tr r="T34" s="2"/>
      </tp>
      <tp t="s">
        <v>N/A</v>
        <stp/>
        <stp>VOLUME</stp>
        <stp>.QQQ250919C479</stp>
        <tr r="Q69" s="2"/>
      </tp>
      <tp t="s">
        <v>N/A</v>
        <stp/>
        <stp>VOLUME</stp>
        <stp>.SPY251017C575</stp>
        <tr r="S12" s="2"/>
      </tp>
      <tp t="s">
        <v>N/A</v>
        <stp/>
        <stp>VOLUME</stp>
        <stp>.SPY251031C553</stp>
        <tr r="T34" s="2"/>
      </tp>
      <tp t="s">
        <v>N/A</v>
        <stp/>
        <stp>VOLUME</stp>
        <stp>.QQQ250919P478</stp>
        <tr r="Q70" s="2"/>
      </tp>
      <tp t="s">
        <v>N/A</v>
        <stp/>
        <stp>VOLUME</stp>
        <stp>.SPY251017P574</stp>
        <tr r="S13" s="2"/>
      </tp>
      <tp>
        <v>2</v>
        <stp/>
        <stp>VOLUME</stp>
        <stp>.SPY251031P552</stp>
        <tr r="T35" s="2"/>
        <tr r="T35" s="2"/>
      </tp>
      <tp t="s">
        <v>N/A</v>
        <stp/>
        <stp>VOLUME</stp>
        <stp>.QQQ250919C478</stp>
        <tr r="Q70" s="2"/>
      </tp>
      <tp t="s">
        <v>N/A</v>
        <stp/>
        <stp>VOLUME</stp>
        <stp>.SPY251017C574</stp>
        <tr r="S13" s="2"/>
      </tp>
      <tp t="s">
        <v>N/A</v>
        <stp/>
        <stp>VOLUME</stp>
        <stp>.SPY251031C552</stp>
        <tr r="T35" s="2"/>
      </tp>
      <tp t="s">
        <v>N/A</v>
        <stp/>
        <stp>VOLUME</stp>
        <stp>.SPY251017P577</stp>
        <tr r="S10" s="2"/>
      </tp>
      <tp>
        <v>4</v>
        <stp/>
        <stp>VOLUME</stp>
        <stp>.SPY251031P551</stp>
        <tr r="T36" s="2"/>
        <tr r="T36" s="2"/>
      </tp>
      <tp t="s">
        <v>N/A</v>
        <stp/>
        <stp>VOLUME</stp>
        <stp>.SPY251017C577</stp>
        <tr r="S10" s="2"/>
      </tp>
      <tp t="s">
        <v>N/A</v>
        <stp/>
        <stp>VOLUME</stp>
        <stp>.SPY251031C551</stp>
        <tr r="T36" s="2"/>
      </tp>
      <tp t="s">
        <v>N/A</v>
        <stp/>
        <stp>VOLUME</stp>
        <stp>.SPY251017P576</stp>
        <tr r="S11" s="2"/>
      </tp>
      <tp>
        <v>96</v>
        <stp/>
        <stp>VOLUME</stp>
        <stp>.SPY251031P550</stp>
        <tr r="T37" s="2"/>
        <tr r="T37" s="2"/>
      </tp>
      <tp t="s">
        <v>N/A</v>
        <stp/>
        <stp>VOLUME</stp>
        <stp>.SPY251017C576</stp>
        <tr r="S11" s="2"/>
      </tp>
      <tp>
        <v>5</v>
        <stp/>
        <stp>VOLUME</stp>
        <stp>.SPY251031C550</stp>
        <tr r="T37" s="2"/>
        <tr r="T37" s="2"/>
      </tp>
      <tp>
        <v>94</v>
        <stp/>
        <stp>VOLUME</stp>
        <stp>.QQQ250919P475</stp>
        <tr r="Q73" s="2"/>
        <tr r="Q73" s="2"/>
      </tp>
      <tp t="s">
        <v>N/A</v>
        <stp/>
        <stp>VOLUME</stp>
        <stp>.SPY251017P579</stp>
        <tr r="S8" s="2"/>
      </tp>
      <tp>
        <v>20</v>
        <stp/>
        <stp>VOLUME</stp>
        <stp>.QQQ250919C475</stp>
        <tr r="Q73" s="2"/>
        <tr r="Q73" s="2"/>
      </tp>
      <tp t="s">
        <v>N/A</v>
        <stp/>
        <stp>VOLUME</stp>
        <stp>.SPY251017C579</stp>
        <tr r="S8" s="2"/>
      </tp>
      <tp t="s">
        <v>N/A</v>
        <stp/>
        <stp>VOLUME</stp>
        <stp>.QQQ250919P474</stp>
        <tr r="Q74" s="2"/>
      </tp>
      <tp t="s">
        <v>N/A</v>
        <stp/>
        <stp>VOLUME</stp>
        <stp>.SPY251017P578</stp>
        <tr r="S9" s="2"/>
      </tp>
      <tp t="s">
        <v>N/A</v>
        <stp/>
        <stp>VOLUME</stp>
        <stp>.QQQ250919C474</stp>
        <tr r="Q74" s="2"/>
      </tp>
      <tp t="s">
        <v>N/A</v>
        <stp/>
        <stp>VOLUME</stp>
        <stp>.SPY251017C578</stp>
        <tr r="S9" s="2"/>
      </tp>
      <tp t="s">
        <v>N/A</v>
        <stp/>
        <stp>VOLUME</stp>
        <stp>.QQQ250919P477</stp>
        <tr r="Q71" s="2"/>
      </tp>
      <tp t="s">
        <v>N/A</v>
        <stp/>
        <stp>VOLUME</stp>
        <stp>.QQQ250919C477</stp>
        <tr r="Q71" s="2"/>
      </tp>
      <tp t="s">
        <v>N/A</v>
        <stp/>
        <stp>VOLUME</stp>
        <stp>.QQQ250919P476</stp>
        <tr r="Q72" s="2"/>
      </tp>
      <tp t="s">
        <v>N/A</v>
        <stp/>
        <stp>VOLUME</stp>
        <stp>.QQQ250919C476</stp>
        <tr r="Q72" s="2"/>
      </tp>
      <tp t="s">
        <v>N/A</v>
        <stp/>
        <stp>VOLUME</stp>
        <stp>.QQQ250919P471</stp>
        <tr r="Q77" s="2"/>
      </tp>
      <tp t="s">
        <v>N/A</v>
        <stp/>
        <stp>VOLUME</stp>
        <stp>.QQQ250919C471</stp>
        <tr r="Q77" s="2"/>
      </tp>
      <tp>
        <v>510</v>
        <stp/>
        <stp>VOLUME</stp>
        <stp>.QQQ250919P470</stp>
        <tr r="Q78" s="2"/>
        <tr r="Q78" s="2"/>
      </tp>
      <tp>
        <v>32</v>
        <stp/>
        <stp>VOLUME</stp>
        <stp>.QQQ250919C470</stp>
        <tr r="Q78" s="2"/>
        <tr r="Q78" s="2"/>
      </tp>
      <tp t="s">
        <v>N/A</v>
        <stp/>
        <stp>VOLUME</stp>
        <stp>.QQQ250919P473</stp>
        <tr r="Q75" s="2"/>
      </tp>
      <tp>
        <v>2</v>
        <stp/>
        <stp>VOLUME</stp>
        <stp>.SPY251031P559</stp>
        <tr r="T28" s="2"/>
        <tr r="T28" s="2"/>
      </tp>
      <tp t="s">
        <v>N/A</v>
        <stp/>
        <stp>VOLUME</stp>
        <stp>.QQQ250919C473</stp>
        <tr r="Q75" s="2"/>
      </tp>
      <tp>
        <v>1</v>
        <stp/>
        <stp>VOLUME</stp>
        <stp>.SPY251031C559</stp>
        <tr r="T28" s="2"/>
        <tr r="T28" s="2"/>
      </tp>
      <tp t="s">
        <v>N/A</v>
        <stp/>
        <stp>VOLUME</stp>
        <stp>.QQQ250919P472</stp>
        <tr r="Q76" s="2"/>
      </tp>
      <tp>
        <v>12</v>
        <stp/>
        <stp>VOLUME</stp>
        <stp>.SPY251031P558</stp>
        <tr r="T29" s="2"/>
        <tr r="T29" s="2"/>
      </tp>
      <tp t="s">
        <v>N/A</v>
        <stp/>
        <stp>VOLUME</stp>
        <stp>.QQQ250919C472</stp>
        <tr r="Q76" s="2"/>
      </tp>
      <tp>
        <v>5</v>
        <stp/>
        <stp>VOLUME</stp>
        <stp>.SPY251031C558</stp>
        <tr r="T29" s="2"/>
        <tr r="T29" s="2"/>
      </tp>
      <tp>
        <v>0</v>
        <stp/>
        <stp>BID</stp>
        <stp>.SPXW250508C5700</stp>
        <tr r="DE102" s="1"/>
        <tr r="DE102" s="1"/>
      </tp>
      <tp>
        <v>33.5</v>
        <stp/>
        <stp>BID</stp>
        <stp>.SPXW250508P5700</stp>
        <tr r="DF102" s="1"/>
        <tr r="DF102" s="1"/>
      </tp>
      <tp>
        <v>0</v>
        <stp/>
        <stp>BID</stp>
        <stp>.SPXW250508C5710</stp>
        <tr r="DE101" s="1"/>
        <tr r="DE101" s="1"/>
      </tp>
      <tp>
        <v>43.5</v>
        <stp/>
        <stp>BID</stp>
        <stp>.SPXW250508P5710</stp>
        <tr r="DF101" s="1"/>
        <tr r="DF101" s="1"/>
      </tp>
      <tp>
        <v>0</v>
        <stp/>
        <stp>BID</stp>
        <stp>.SPXW250508C5720</stp>
        <tr r="DE100" s="1"/>
        <tr r="DE100" s="1"/>
      </tp>
      <tp>
        <v>53.5</v>
        <stp/>
        <stp>BID</stp>
        <stp>.SPXW250508P5720</stp>
        <tr r="DF100" s="1"/>
        <tr r="DF100" s="1"/>
      </tp>
      <tp>
        <v>0</v>
        <stp/>
        <stp>BID</stp>
        <stp>.SPXW250508C5730</stp>
        <tr r="DE99" s="1"/>
        <tr r="DE99" s="1"/>
      </tp>
      <tp>
        <v>63.5</v>
        <stp/>
        <stp>BID</stp>
        <stp>.SPXW250508P5730</stp>
        <tr r="DF99" s="1"/>
        <tr r="DF99" s="1"/>
      </tp>
      <tp>
        <v>0</v>
        <stp/>
        <stp>BID</stp>
        <stp>.SPXW250508C5740</stp>
        <tr r="DE98" s="1"/>
        <tr r="DE98" s="1"/>
      </tp>
      <tp>
        <v>73.5</v>
        <stp/>
        <stp>BID</stp>
        <stp>.SPXW250508P5740</stp>
        <tr r="DF98" s="1"/>
        <tr r="DF98" s="1"/>
      </tp>
      <tp>
        <v>0</v>
        <stp/>
        <stp>BID</stp>
        <stp>.SPXW250508C5750</stp>
        <tr r="DE97" s="1"/>
        <tr r="DE97" s="1"/>
      </tp>
      <tp>
        <v>83.5</v>
        <stp/>
        <stp>BID</stp>
        <stp>.SPXW250508P5750</stp>
        <tr r="DF97" s="1"/>
        <tr r="DF97" s="1"/>
      </tp>
      <tp>
        <v>0</v>
        <stp/>
        <stp>BID</stp>
        <stp>.SPXW250508C5760</stp>
        <tr r="DE96" s="1"/>
        <tr r="DE96" s="1"/>
      </tp>
      <tp>
        <v>93.5</v>
        <stp/>
        <stp>BID</stp>
        <stp>.SPXW250508P5760</stp>
        <tr r="DF96" s="1"/>
        <tr r="DF96" s="1"/>
      </tp>
      <tp>
        <v>0</v>
        <stp/>
        <stp>BID</stp>
        <stp>.SPXW250508C5770</stp>
        <tr r="DE95" s="1"/>
        <tr r="DE95" s="1"/>
      </tp>
      <tp>
        <v>103.5</v>
        <stp/>
        <stp>BID</stp>
        <stp>.SPXW250508P5770</stp>
        <tr r="DF95" s="1"/>
        <tr r="DF95" s="1"/>
      </tp>
      <tp>
        <v>0</v>
        <stp/>
        <stp>BID</stp>
        <stp>.SPXW250508C5780</stp>
        <tr r="DE94" s="1"/>
        <tr r="DE94" s="1"/>
      </tp>
      <tp>
        <v>113.5</v>
        <stp/>
        <stp>BID</stp>
        <stp>.SPXW250508P5780</stp>
        <tr r="DF94" s="1"/>
        <tr r="DF94" s="1"/>
      </tp>
      <tp>
        <v>0</v>
        <stp/>
        <stp>BID</stp>
        <stp>.SPXW250508C5790</stp>
        <tr r="DE93" s="1"/>
        <tr r="DE93" s="1"/>
      </tp>
      <tp>
        <v>123.5</v>
        <stp/>
        <stp>BID</stp>
        <stp>.SPXW250508P5790</stp>
        <tr r="DF93" s="1"/>
        <tr r="DF93" s="1"/>
      </tp>
      <tp>
        <v>52</v>
        <stp/>
        <stp>VOLUME</stp>
        <stp>.QQQ250606P492</stp>
        <tr r="J56" s="2"/>
        <tr r="J56" s="2"/>
      </tp>
      <tp>
        <v>170</v>
        <stp/>
        <stp>VOLUME</stp>
        <stp>.QQQ250606C492</stp>
        <tr r="J56" s="2"/>
        <tr r="J56" s="2"/>
      </tp>
      <tp>
        <v>13</v>
        <stp/>
        <stp>VOLUME</stp>
        <stp>.QQQ250606P493</stp>
        <tr r="J55" s="2"/>
        <tr r="J55" s="2"/>
      </tp>
      <tp>
        <v>52</v>
        <stp/>
        <stp>VOLUME</stp>
        <stp>.QQQ250606C493</stp>
        <tr r="J55" s="2"/>
        <tr r="J55" s="2"/>
      </tp>
      <tp>
        <v>380</v>
        <stp/>
        <stp>VOLUME</stp>
        <stp>.QQQ250606P490</stp>
        <tr r="J58" s="2"/>
        <tr r="J58" s="2"/>
      </tp>
      <tp>
        <v>230</v>
        <stp/>
        <stp>VOLUME</stp>
        <stp>.QQQ250606C490</stp>
        <tr r="J58" s="2"/>
        <tr r="J58" s="2"/>
      </tp>
      <tp>
        <v>26</v>
        <stp/>
        <stp>VOLUME</stp>
        <stp>.QQQ250606P491</stp>
        <tr r="J57" s="2"/>
        <tr r="J57" s="2"/>
      </tp>
      <tp>
        <v>124</v>
        <stp/>
        <stp>VOLUME</stp>
        <stp>.QQQ250606C491</stp>
        <tr r="J57" s="2"/>
        <tr r="J57" s="2"/>
      </tp>
      <tp>
        <v>1</v>
        <stp/>
        <stp>VOLUME</stp>
        <stp>.QQQ250606P496</stp>
        <tr r="J52" s="2"/>
        <tr r="J52" s="2"/>
      </tp>
      <tp>
        <v>29</v>
        <stp/>
        <stp>VOLUME</stp>
        <stp>.QQQ250606C496</stp>
        <tr r="J52" s="2"/>
        <tr r="J52" s="2"/>
      </tp>
      <tp t="s">
        <v>N/A</v>
        <stp/>
        <stp>VOLUME</stp>
        <stp>.QQQ250606P497</stp>
        <tr r="J51" s="2"/>
      </tp>
      <tp>
        <v>117</v>
        <stp/>
        <stp>VOLUME</stp>
        <stp>.QQQ250606C497</stp>
        <tr r="J51" s="2"/>
        <tr r="J51" s="2"/>
      </tp>
      <tp>
        <v>24</v>
        <stp/>
        <stp>VOLUME</stp>
        <stp>.QQQ250606P494</stp>
        <tr r="J54" s="2"/>
        <tr r="J54" s="2"/>
      </tp>
      <tp>
        <v>21</v>
        <stp/>
        <stp>VOLUME</stp>
        <stp>.QQQ250606C494</stp>
        <tr r="J54" s="2"/>
        <tr r="J54" s="2"/>
      </tp>
      <tp>
        <v>4</v>
        <stp/>
        <stp>VOLUME</stp>
        <stp>.QQQ250606P495</stp>
        <tr r="J53" s="2"/>
        <tr r="J53" s="2"/>
      </tp>
      <tp>
        <v>118</v>
        <stp/>
        <stp>VOLUME</stp>
        <stp>.QQQ250606C495</stp>
        <tr r="J53" s="2"/>
        <tr r="J53" s="2"/>
      </tp>
      <tp>
        <v>6</v>
        <stp/>
        <stp>VOLUME</stp>
        <stp>.QQQ250606P498</stp>
        <tr r="J50" s="2"/>
        <tr r="J50" s="2"/>
      </tp>
      <tp>
        <v>3</v>
        <stp/>
        <stp>VOLUME</stp>
        <stp>.QQQ250606C498</stp>
        <tr r="J50" s="2"/>
        <tr r="J50" s="2"/>
      </tp>
      <tp>
        <v>3</v>
        <stp/>
        <stp>VOLUME</stp>
        <stp>.QQQ250606P499</stp>
        <tr r="J49" s="2"/>
        <tr r="J49" s="2"/>
      </tp>
      <tp>
        <v>4</v>
        <stp/>
        <stp>VOLUME</stp>
        <stp>.QQQ250606C499</stp>
        <tr r="J49" s="2"/>
        <tr r="J49" s="2"/>
      </tp>
      <tp>
        <v>107</v>
        <stp/>
        <stp>VOLUME</stp>
        <stp>.QQQ250606P482</stp>
        <tr r="J66" s="2"/>
        <tr r="J66" s="2"/>
      </tp>
      <tp>
        <v>8</v>
        <stp/>
        <stp>VOLUME</stp>
        <stp>.QQQ250606C482</stp>
        <tr r="J66" s="2"/>
        <tr r="J66" s="2"/>
      </tp>
      <tp>
        <v>9</v>
        <stp/>
        <stp>VOLUME</stp>
        <stp>.QQQ250606P483</stp>
        <tr r="J65" s="2"/>
        <tr r="J65" s="2"/>
      </tp>
      <tp>
        <v>6</v>
        <stp/>
        <stp>VOLUME</stp>
        <stp>.QQQ250606C483</stp>
        <tr r="J65" s="2"/>
        <tr r="J65" s="2"/>
      </tp>
      <tp>
        <v>386</v>
        <stp/>
        <stp>VOLUME</stp>
        <stp>.QQQ250606P480</stp>
        <tr r="J68" s="2"/>
        <tr r="J68" s="2"/>
      </tp>
      <tp>
        <v>17</v>
        <stp/>
        <stp>VOLUME</stp>
        <stp>.QQQ250606C480</stp>
        <tr r="J68" s="2"/>
        <tr r="J68" s="2"/>
      </tp>
      <tp>
        <v>16</v>
        <stp/>
        <stp>VOLUME</stp>
        <stp>.QQQ250606P481</stp>
        <tr r="J67" s="2"/>
        <tr r="J67" s="2"/>
      </tp>
      <tp>
        <v>8</v>
        <stp/>
        <stp>VOLUME</stp>
        <stp>.QQQ250606C481</stp>
        <tr r="J67" s="2"/>
        <tr r="J67" s="2"/>
      </tp>
      <tp>
        <v>34</v>
        <stp/>
        <stp>VOLUME</stp>
        <stp>.QQQ250606P486</stp>
        <tr r="J62" s="2"/>
        <tr r="J62" s="2"/>
      </tp>
      <tp>
        <v>6</v>
        <stp/>
        <stp>VOLUME</stp>
        <stp>.QQQ250606C486</stp>
        <tr r="J62" s="2"/>
        <tr r="J62" s="2"/>
      </tp>
      <tp>
        <v>177</v>
        <stp/>
        <stp>VOLUME</stp>
        <stp>.QQQ250606P487</stp>
        <tr r="J61" s="2"/>
        <tr r="J61" s="2"/>
      </tp>
      <tp>
        <v>58</v>
        <stp/>
        <stp>VOLUME</stp>
        <stp>.QQQ250606C487</stp>
        <tr r="J61" s="2"/>
        <tr r="J61" s="2"/>
      </tp>
      <tp>
        <v>4</v>
        <stp/>
        <stp>VOLUME</stp>
        <stp>.QQQ250606P484</stp>
        <tr r="J64" s="2"/>
        <tr r="J64" s="2"/>
      </tp>
      <tp>
        <v>2</v>
        <stp/>
        <stp>VOLUME</stp>
        <stp>.QQQ250606C484</stp>
        <tr r="J64" s="2"/>
        <tr r="J64" s="2"/>
      </tp>
      <tp>
        <v>96</v>
        <stp/>
        <stp>VOLUME</stp>
        <stp>.QQQ250606P485</stp>
        <tr r="J63" s="2"/>
        <tr r="J63" s="2"/>
      </tp>
      <tp>
        <v>36</v>
        <stp/>
        <stp>VOLUME</stp>
        <stp>.QQQ250606C485</stp>
        <tr r="J63" s="2"/>
        <tr r="J63" s="2"/>
      </tp>
      <tp>
        <v>115</v>
        <stp/>
        <stp>VOLUME</stp>
        <stp>.QQQ250606P488</stp>
        <tr r="J60" s="2"/>
        <tr r="J60" s="2"/>
      </tp>
      <tp>
        <v>54</v>
        <stp/>
        <stp>VOLUME</stp>
        <stp>.QQQ250606C488</stp>
        <tr r="J60" s="2"/>
        <tr r="J60" s="2"/>
      </tp>
      <tp>
        <v>66</v>
        <stp/>
        <stp>VOLUME</stp>
        <stp>.QQQ250606P489</stp>
        <tr r="J59" s="2"/>
        <tr r="J59" s="2"/>
      </tp>
      <tp>
        <v>24</v>
        <stp/>
        <stp>VOLUME</stp>
        <stp>.QQQ250606C489</stp>
        <tr r="J59" s="2"/>
        <tr r="J59" s="2"/>
      </tp>
      <tp t="s">
        <v>N/A</v>
        <stp/>
        <stp>VOLUME</stp>
        <stp>.QQQ250620P494</stp>
        <tr r="K54" s="2"/>
      </tp>
      <tp>
        <v>14</v>
        <stp/>
        <stp>VOLUME</stp>
        <stp>.QQQ250630P484</stp>
        <tr r="L64" s="2"/>
        <tr r="L64" s="2"/>
      </tp>
      <tp t="s">
        <v>N/A</v>
        <stp/>
        <stp>VOLUME</stp>
        <stp>.QQQ250620C494</stp>
        <tr r="K54" s="2"/>
      </tp>
      <tp>
        <v>14</v>
        <stp/>
        <stp>VOLUME</stp>
        <stp>.QQQ250630C484</stp>
        <tr r="L64" s="2"/>
        <tr r="L64" s="2"/>
      </tp>
      <tp>
        <v>459</v>
        <stp/>
        <stp>VOLUME</stp>
        <stp>.QQQ250620P495</stp>
        <tr r="K53" s="2"/>
        <tr r="K53" s="2"/>
      </tp>
      <tp>
        <v>24</v>
        <stp/>
        <stp>VOLUME</stp>
        <stp>.QQQ250630P485</stp>
        <tr r="L63" s="2"/>
        <tr r="L63" s="2"/>
      </tp>
      <tp>
        <v>4934</v>
        <stp/>
        <stp>VOLUME</stp>
        <stp>.QQQ250620C495</stp>
        <tr r="K53" s="2"/>
        <tr r="K53" s="2"/>
      </tp>
      <tp>
        <v>27</v>
        <stp/>
        <stp>VOLUME</stp>
        <stp>.QQQ250630C485</stp>
        <tr r="L63" s="2"/>
        <tr r="L63" s="2"/>
      </tp>
      <tp t="s">
        <v>N/A</v>
        <stp/>
        <stp>VOLUME</stp>
        <stp>.QQQ250620P496</stp>
        <tr r="K52" s="2"/>
      </tp>
      <tp>
        <v>59</v>
        <stp/>
        <stp>VOLUME</stp>
        <stp>.QQQ250630P486</stp>
        <tr r="L62" s="2"/>
        <tr r="L62" s="2"/>
      </tp>
      <tp t="s">
        <v>N/A</v>
        <stp/>
        <stp>VOLUME</stp>
        <stp>.QQQ250620C496</stp>
        <tr r="K52" s="2"/>
      </tp>
      <tp>
        <v>7</v>
        <stp/>
        <stp>VOLUME</stp>
        <stp>.QQQ250630C486</stp>
        <tr r="L62" s="2"/>
        <tr r="L62" s="2"/>
      </tp>
      <tp t="s">
        <v>N/A</v>
        <stp/>
        <stp>VOLUME</stp>
        <stp>.QQQ250620P497</stp>
        <tr r="K51" s="2"/>
      </tp>
      <tp>
        <v>37</v>
        <stp/>
        <stp>VOLUME</stp>
        <stp>.QQQ250630P487</stp>
        <tr r="L61" s="2"/>
        <tr r="L61" s="2"/>
      </tp>
      <tp t="s">
        <v>N/A</v>
        <stp/>
        <stp>VOLUME</stp>
        <stp>.QQQ250620C497</stp>
        <tr r="K51" s="2"/>
      </tp>
      <tp>
        <v>21</v>
        <stp/>
        <stp>VOLUME</stp>
        <stp>.QQQ250630C487</stp>
        <tr r="L61" s="2"/>
        <tr r="L61" s="2"/>
      </tp>
      <tp>
        <v>3753</v>
        <stp/>
        <stp>VOLUME</stp>
        <stp>.QQQ250620P490</stp>
        <tr r="K58" s="2"/>
        <tr r="K58" s="2"/>
      </tp>
      <tp>
        <v>210</v>
        <stp/>
        <stp>VOLUME</stp>
        <stp>.QQQ250630P480</stp>
        <tr r="L68" s="2"/>
        <tr r="L68" s="2"/>
      </tp>
      <tp>
        <v>4988</v>
        <stp/>
        <stp>VOLUME</stp>
        <stp>.QQQ250620C490</stp>
        <tr r="K58" s="2"/>
        <tr r="K58" s="2"/>
      </tp>
      <tp>
        <v>69</v>
        <stp/>
        <stp>VOLUME</stp>
        <stp>.QQQ250630C480</stp>
        <tr r="L68" s="2"/>
        <tr r="L68" s="2"/>
      </tp>
      <tp t="s">
        <v>N/A</v>
        <stp/>
        <stp>VOLUME</stp>
        <stp>.QQQ250620P491</stp>
        <tr r="K57" s="2"/>
      </tp>
      <tp>
        <v>18</v>
        <stp/>
        <stp>VOLUME</stp>
        <stp>.QQQ250630P481</stp>
        <tr r="L67" s="2"/>
        <tr r="L67" s="2"/>
      </tp>
      <tp t="s">
        <v>N/A</v>
        <stp/>
        <stp>VOLUME</stp>
        <stp>.QQQ250620C491</stp>
        <tr r="K57" s="2"/>
      </tp>
      <tp>
        <v>8</v>
        <stp/>
        <stp>VOLUME</stp>
        <stp>.QQQ250630C481</stp>
        <tr r="L67" s="2"/>
        <tr r="L67" s="2"/>
      </tp>
      <tp t="s">
        <v>N/A</v>
        <stp/>
        <stp>VOLUME</stp>
        <stp>.QQQ250620P492</stp>
        <tr r="K56" s="2"/>
      </tp>
      <tp>
        <v>8</v>
        <stp/>
        <stp>VOLUME</stp>
        <stp>.QQQ250630P482</stp>
        <tr r="L66" s="2"/>
        <tr r="L66" s="2"/>
      </tp>
      <tp t="s">
        <v>N/A</v>
        <stp/>
        <stp>VOLUME</stp>
        <stp>.QQQ250620C492</stp>
        <tr r="K56" s="2"/>
      </tp>
      <tp>
        <v>11</v>
        <stp/>
        <stp>VOLUME</stp>
        <stp>.QQQ250630C482</stp>
        <tr r="L66" s="2"/>
        <tr r="L66" s="2"/>
      </tp>
      <tp t="s">
        <v>N/A</v>
        <stp/>
        <stp>VOLUME</stp>
        <stp>.QQQ250620P493</stp>
        <tr r="K55" s="2"/>
      </tp>
      <tp>
        <v>4</v>
        <stp/>
        <stp>VOLUME</stp>
        <stp>.QQQ250630P483</stp>
        <tr r="L65" s="2"/>
        <tr r="L65" s="2"/>
      </tp>
      <tp t="s">
        <v>N/A</v>
        <stp/>
        <stp>VOLUME</stp>
        <stp>.QQQ250620C493</stp>
        <tr r="K55" s="2"/>
      </tp>
      <tp>
        <v>13</v>
        <stp/>
        <stp>VOLUME</stp>
        <stp>.QQQ250630C483</stp>
        <tr r="L65" s="2"/>
        <tr r="L65" s="2"/>
      </tp>
      <tp t="s">
        <v>N/A</v>
        <stp/>
        <stp>VOLUME</stp>
        <stp>.QQQ250620P498</stp>
        <tr r="K50" s="2"/>
      </tp>
      <tp>
        <v>26</v>
        <stp/>
        <stp>VOLUME</stp>
        <stp>.QQQ250630P488</stp>
        <tr r="L60" s="2"/>
        <tr r="L60" s="2"/>
      </tp>
      <tp t="s">
        <v>N/A</v>
        <stp/>
        <stp>VOLUME</stp>
        <stp>.QQQ250620C498</stp>
        <tr r="K50" s="2"/>
      </tp>
      <tp>
        <v>25</v>
        <stp/>
        <stp>VOLUME</stp>
        <stp>.QQQ250630C488</stp>
        <tr r="L60" s="2"/>
        <tr r="L60" s="2"/>
      </tp>
      <tp t="s">
        <v>N/A</v>
        <stp/>
        <stp>VOLUME</stp>
        <stp>.QQQ250620P499</stp>
        <tr r="K49" s="2"/>
      </tp>
      <tp>
        <v>39</v>
        <stp/>
        <stp>VOLUME</stp>
        <stp>.QQQ250630P489</stp>
        <tr r="L59" s="2"/>
        <tr r="L59" s="2"/>
      </tp>
      <tp t="s">
        <v>N/A</v>
        <stp/>
        <stp>VOLUME</stp>
        <stp>.QQQ250620C499</stp>
        <tr r="K49" s="2"/>
      </tp>
      <tp>
        <v>33</v>
        <stp/>
        <stp>VOLUME</stp>
        <stp>.QQQ250630C489</stp>
        <tr r="L59" s="2"/>
        <tr r="L59" s="2"/>
      </tp>
      <tp t="s">
        <v>N/A</v>
        <stp/>
        <stp>VOLUME</stp>
        <stp>.QQQ250620P484</stp>
        <tr r="K64" s="2"/>
      </tp>
      <tp>
        <v>4</v>
        <stp/>
        <stp>VOLUME</stp>
        <stp>.QQQ250630P494</stp>
        <tr r="L54" s="2"/>
        <tr r="L54" s="2"/>
      </tp>
      <tp t="s">
        <v>N/A</v>
        <stp/>
        <stp>VOLUME</stp>
        <stp>.QQQ250620C484</stp>
        <tr r="K64" s="2"/>
      </tp>
      <tp>
        <v>1</v>
        <stp/>
        <stp>VOLUME</stp>
        <stp>.QQQ250630C494</stp>
        <tr r="L54" s="2"/>
        <tr r="L54" s="2"/>
      </tp>
      <tp>
        <v>1988</v>
        <stp/>
        <stp>VOLUME</stp>
        <stp>.QQQ250620P485</stp>
        <tr r="K63" s="2"/>
        <tr r="K63" s="2"/>
      </tp>
      <tp>
        <v>8</v>
        <stp/>
        <stp>VOLUME</stp>
        <stp>.QQQ250630P495</stp>
        <tr r="L53" s="2"/>
        <tr r="L53" s="2"/>
      </tp>
      <tp>
        <v>693</v>
        <stp/>
        <stp>VOLUME</stp>
        <stp>.QQQ250620C485</stp>
        <tr r="K63" s="2"/>
        <tr r="K63" s="2"/>
      </tp>
      <tp>
        <v>25</v>
        <stp/>
        <stp>VOLUME</stp>
        <stp>.QQQ250630C495</stp>
        <tr r="L53" s="2"/>
        <tr r="L53" s="2"/>
      </tp>
      <tp t="s">
        <v>N/A</v>
        <stp/>
        <stp>VOLUME</stp>
        <stp>.QQQ250620P486</stp>
        <tr r="K62" s="2"/>
      </tp>
      <tp>
        <v>9</v>
        <stp/>
        <stp>VOLUME</stp>
        <stp>.QQQ250630P496</stp>
        <tr r="L52" s="2"/>
        <tr r="L52" s="2"/>
      </tp>
      <tp t="s">
        <v>N/A</v>
        <stp/>
        <stp>VOLUME</stp>
        <stp>.QQQ250620C486</stp>
        <tr r="K62" s="2"/>
      </tp>
      <tp>
        <v>1</v>
        <stp/>
        <stp>VOLUME</stp>
        <stp>.QQQ250630C496</stp>
        <tr r="L52" s="2"/>
        <tr r="L52" s="2"/>
      </tp>
      <tp t="s">
        <v>N/A</v>
        <stp/>
        <stp>VOLUME</stp>
        <stp>.QQQ250620P487</stp>
        <tr r="K61" s="2"/>
      </tp>
      <tp>
        <v>200</v>
        <stp/>
        <stp>VOLUME</stp>
        <stp>.QQQ250630P497</stp>
        <tr r="L51" s="2"/>
        <tr r="L51" s="2"/>
      </tp>
      <tp t="s">
        <v>N/A</v>
        <stp/>
        <stp>VOLUME</stp>
        <stp>.QQQ250620C487</stp>
        <tr r="K61" s="2"/>
      </tp>
      <tp>
        <v>9</v>
        <stp/>
        <stp>VOLUME</stp>
        <stp>.QQQ250630C497</stp>
        <tr r="L51" s="2"/>
        <tr r="L51" s="2"/>
      </tp>
      <tp>
        <v>4755</v>
        <stp/>
        <stp>VOLUME</stp>
        <stp>.QQQ250620P480</stp>
        <tr r="K68" s="2"/>
        <tr r="K68" s="2"/>
      </tp>
      <tp>
        <v>137</v>
        <stp/>
        <stp>VOLUME</stp>
        <stp>.QQQ250630P490</stp>
        <tr r="L58" s="2"/>
        <tr r="L58" s="2"/>
      </tp>
      <tp>
        <v>235</v>
        <stp/>
        <stp>VOLUME</stp>
        <stp>.QQQ250620C480</stp>
        <tr r="K68" s="2"/>
        <tr r="K68" s="2"/>
      </tp>
      <tp>
        <v>131</v>
        <stp/>
        <stp>VOLUME</stp>
        <stp>.QQQ250630C490</stp>
        <tr r="L58" s="2"/>
        <tr r="L58" s="2"/>
      </tp>
      <tp t="s">
        <v>N/A</v>
        <stp/>
        <stp>VOLUME</stp>
        <stp>.QQQ250620P481</stp>
        <tr r="K67" s="2"/>
      </tp>
      <tp>
        <v>21</v>
        <stp/>
        <stp>VOLUME</stp>
        <stp>.QQQ250630P491</stp>
        <tr r="L57" s="2"/>
        <tr r="L57" s="2"/>
      </tp>
      <tp t="s">
        <v>N/A</v>
        <stp/>
        <stp>VOLUME</stp>
        <stp>.QQQ250620C481</stp>
        <tr r="K67" s="2"/>
      </tp>
      <tp>
        <v>50</v>
        <stp/>
        <stp>VOLUME</stp>
        <stp>.QQQ250630C491</stp>
        <tr r="L57" s="2"/>
        <tr r="L57" s="2"/>
      </tp>
      <tp t="s">
        <v>N/A</v>
        <stp/>
        <stp>VOLUME</stp>
        <stp>.QQQ250620P482</stp>
        <tr r="K66" s="2"/>
      </tp>
      <tp>
        <v>7</v>
        <stp/>
        <stp>VOLUME</stp>
        <stp>.QQQ250630P492</stp>
        <tr r="L56" s="2"/>
        <tr r="L56" s="2"/>
      </tp>
      <tp t="s">
        <v>N/A</v>
        <stp/>
        <stp>VOLUME</stp>
        <stp>.QQQ250620C482</stp>
        <tr r="K66" s="2"/>
      </tp>
      <tp>
        <v>20</v>
        <stp/>
        <stp>VOLUME</stp>
        <stp>.QQQ250630C492</stp>
        <tr r="L56" s="2"/>
        <tr r="L56" s="2"/>
      </tp>
      <tp t="s">
        <v>N/A</v>
        <stp/>
        <stp>VOLUME</stp>
        <stp>.QQQ250620P483</stp>
        <tr r="K65" s="2"/>
      </tp>
      <tp t="s">
        <v>N/A</v>
        <stp/>
        <stp>VOLUME</stp>
        <stp>.QQQ250630P493</stp>
        <tr r="L55" s="2"/>
      </tp>
      <tp t="s">
        <v>N/A</v>
        <stp/>
        <stp>VOLUME</stp>
        <stp>.QQQ250620C483</stp>
        <tr r="K65" s="2"/>
      </tp>
      <tp>
        <v>10</v>
        <stp/>
        <stp>VOLUME</stp>
        <stp>.QQQ250630C493</stp>
        <tr r="L55" s="2"/>
        <tr r="L55" s="2"/>
      </tp>
      <tp t="s">
        <v>N/A</v>
        <stp/>
        <stp>VOLUME</stp>
        <stp>.QQQ250620P488</stp>
        <tr r="K60" s="2"/>
      </tp>
      <tp>
        <v>2</v>
        <stp/>
        <stp>VOLUME</stp>
        <stp>.QQQ250630P498</stp>
        <tr r="L50" s="2"/>
        <tr r="L50" s="2"/>
      </tp>
      <tp t="s">
        <v>N/A</v>
        <stp/>
        <stp>VOLUME</stp>
        <stp>.QQQ250620C488</stp>
        <tr r="K60" s="2"/>
      </tp>
      <tp t="s">
        <v>N/A</v>
        <stp/>
        <stp>VOLUME</stp>
        <stp>.QQQ250630C498</stp>
        <tr r="L50" s="2"/>
      </tp>
      <tp t="s">
        <v>N/A</v>
        <stp/>
        <stp>VOLUME</stp>
        <stp>.QQQ250620P489</stp>
        <tr r="K59" s="2"/>
      </tp>
      <tp t="s">
        <v>N/A</v>
        <stp/>
        <stp>VOLUME</stp>
        <stp>.QQQ250630P499</stp>
        <tr r="L49" s="2"/>
      </tp>
      <tp t="s">
        <v>N/A</v>
        <stp/>
        <stp>VOLUME</stp>
        <stp>.QQQ250620C489</stp>
        <tr r="K59" s="2"/>
      </tp>
      <tp>
        <v>10</v>
        <stp/>
        <stp>VOLUME</stp>
        <stp>.QQQ250630C499</stp>
        <tr r="L49" s="2"/>
        <tr r="L49" s="2"/>
      </tp>
      <tp>
        <v>259</v>
        <stp/>
        <stp>VOLUME</stp>
        <stp>.QQQ250718P500</stp>
        <tr r="M48" s="2"/>
        <tr r="M48" s="2"/>
      </tp>
      <tp>
        <v>418</v>
        <stp/>
        <stp>VOLUME</stp>
        <stp>.QQQ250718C500</stp>
        <tr r="M48" s="2"/>
        <tr r="M48" s="2"/>
      </tp>
      <tp t="s">
        <v>N/A</v>
        <stp/>
        <stp>VOLUME</stp>
        <stp>.QQQ250718P501</stp>
        <tr r="M47" s="2"/>
      </tp>
      <tp t="s">
        <v>N/A</v>
        <stp/>
        <stp>VOLUME</stp>
        <stp>.QQQ250718C501</stp>
        <tr r="M47" s="2"/>
      </tp>
      <tp t="s">
        <v>N/A</v>
        <stp/>
        <stp>VOLUME</stp>
        <stp>.QQQ250718P502</stp>
        <tr r="M46" s="2"/>
      </tp>
      <tp t="s">
        <v>N/A</v>
        <stp/>
        <stp>VOLUME</stp>
        <stp>.QQQ250718C502</stp>
        <tr r="M46" s="2"/>
      </tp>
      <tp t="s">
        <v>N/A</v>
        <stp/>
        <stp>VOLUME</stp>
        <stp>.QQQ250731P501</stp>
        <tr r="N47" s="2"/>
      </tp>
      <tp t="s">
        <v>N/A</v>
        <stp/>
        <stp>VOLUME</stp>
        <stp>.QQQ250731C501</stp>
        <tr r="N47" s="2"/>
      </tp>
      <tp>
        <v>4</v>
        <stp/>
        <stp>VOLUME</stp>
        <stp>.QQQ250731P500</stp>
        <tr r="N48" s="2"/>
        <tr r="N48" s="2"/>
      </tp>
      <tp>
        <v>4037</v>
        <stp/>
        <stp>VOLUME</stp>
        <stp>.QQQ250731C500</stp>
        <tr r="N48" s="2"/>
        <tr r="N48" s="2"/>
      </tp>
      <tp t="s">
        <v>N/A</v>
        <stp/>
        <stp>VOLUME</stp>
        <stp>.QQQ250731P502</stp>
        <tr r="N46" s="2"/>
      </tp>
      <tp>
        <v>3</v>
        <stp/>
        <stp>VOLUME</stp>
        <stp>.QQQ250731C502</stp>
        <tr r="N46" s="2"/>
        <tr r="N46" s="2"/>
      </tp>
      <tp t="s">
        <v>N/A</v>
        <stp/>
        <stp>VOLUME</stp>
        <stp>.QQQ250620P474</stp>
        <tr r="K74" s="2"/>
      </tp>
      <tp t="s">
        <v>N/A</v>
        <stp/>
        <stp>VOLUME</stp>
        <stp>.QQQ250620C474</stp>
        <tr r="K74" s="2"/>
      </tp>
      <tp>
        <v>1028</v>
        <stp/>
        <stp>VOLUME</stp>
        <stp>.QQQ250620P475</stp>
        <tr r="K73" s="2"/>
        <tr r="K73" s="2"/>
      </tp>
      <tp>
        <v>50</v>
        <stp/>
        <stp>VOLUME</stp>
        <stp>.QQQ250620C475</stp>
        <tr r="K73" s="2"/>
        <tr r="K73" s="2"/>
      </tp>
      <tp t="s">
        <v>N/A</v>
        <stp/>
        <stp>VOLUME</stp>
        <stp>.QQQ250620P476</stp>
        <tr r="K72" s="2"/>
      </tp>
      <tp t="s">
        <v>N/A</v>
        <stp/>
        <stp>VOLUME</stp>
        <stp>.QQQ250620C476</stp>
        <tr r="K72" s="2"/>
      </tp>
      <tp t="s">
        <v>N/A</v>
        <stp/>
        <stp>VOLUME</stp>
        <stp>.QQQ250620P477</stp>
        <tr r="K71" s="2"/>
      </tp>
      <tp t="s">
        <v>N/A</v>
        <stp/>
        <stp>VOLUME</stp>
        <stp>.QQQ250620C477</stp>
        <tr r="K71" s="2"/>
      </tp>
      <tp>
        <v>4935</v>
        <stp/>
        <stp>VOLUME</stp>
        <stp>.QQQ250620P470</stp>
        <tr r="K78" s="2"/>
        <tr r="K78" s="2"/>
      </tp>
      <tp>
        <v>417</v>
        <stp/>
        <stp>VOLUME</stp>
        <stp>.QQQ250620C470</stp>
        <tr r="K78" s="2"/>
        <tr r="K78" s="2"/>
      </tp>
      <tp t="s">
        <v>N/A</v>
        <stp/>
        <stp>VOLUME</stp>
        <stp>.QQQ250620P471</stp>
        <tr r="K77" s="2"/>
      </tp>
      <tp t="s">
        <v>N/A</v>
        <stp/>
        <stp>VOLUME</stp>
        <stp>.QQQ250620C471</stp>
        <tr r="K77" s="2"/>
      </tp>
      <tp t="s">
        <v>N/A</v>
        <stp/>
        <stp>VOLUME</stp>
        <stp>.QQQ250620P472</stp>
        <tr r="K76" s="2"/>
      </tp>
      <tp t="s">
        <v>N/A</v>
        <stp/>
        <stp>VOLUME</stp>
        <stp>.QQQ250620C472</stp>
        <tr r="K76" s="2"/>
      </tp>
      <tp t="s">
        <v>N/A</v>
        <stp/>
        <stp>VOLUME</stp>
        <stp>.QQQ250620P473</stp>
        <tr r="K75" s="2"/>
      </tp>
      <tp t="s">
        <v>N/A</v>
        <stp/>
        <stp>VOLUME</stp>
        <stp>.QQQ250620C473</stp>
        <tr r="K75" s="2"/>
      </tp>
      <tp t="s">
        <v>N/A</v>
        <stp/>
        <stp>VOLUME</stp>
        <stp>.QQQ250620P478</stp>
        <tr r="K70" s="2"/>
      </tp>
      <tp>
        <v>1</v>
        <stp/>
        <stp>VOLUME</stp>
        <stp>.QQQ250630P468</stp>
        <tr r="L80" s="2"/>
        <tr r="L80" s="2"/>
      </tp>
      <tp t="s">
        <v>N/A</v>
        <stp/>
        <stp>VOLUME</stp>
        <stp>.QQQ250620C478</stp>
        <tr r="K70" s="2"/>
      </tp>
      <tp>
        <v>3</v>
        <stp/>
        <stp>VOLUME</stp>
        <stp>.QQQ250630C468</stp>
        <tr r="L80" s="2"/>
        <tr r="L80" s="2"/>
      </tp>
      <tp t="s">
        <v>N/A</v>
        <stp/>
        <stp>VOLUME</stp>
        <stp>.QQQ250620P479</stp>
        <tr r="K69" s="2"/>
      </tp>
      <tp>
        <v>3</v>
        <stp/>
        <stp>VOLUME</stp>
        <stp>.QQQ250630P469</stp>
        <tr r="L79" s="2"/>
        <tr r="L79" s="2"/>
      </tp>
      <tp t="s">
        <v>N/A</v>
        <stp/>
        <stp>VOLUME</stp>
        <stp>.QQQ250620C479</stp>
        <tr r="K69" s="2"/>
      </tp>
      <tp t="s">
        <v>N/A</v>
        <stp/>
        <stp>VOLUME</stp>
        <stp>.QQQ250630C469</stp>
        <tr r="L79" s="2"/>
      </tp>
      <tp>
        <v>8</v>
        <stp/>
        <stp>VOLUME</stp>
        <stp>.QQQ250630P474</stp>
        <tr r="L74" s="2"/>
        <tr r="L74" s="2"/>
      </tp>
      <tp t="s">
        <v>N/A</v>
        <stp/>
        <stp>VOLUME</stp>
        <stp>.QQQ250630C474</stp>
        <tr r="L74" s="2"/>
      </tp>
      <tp>
        <v>53</v>
        <stp/>
        <stp>VOLUME</stp>
        <stp>.QQQ250630P475</stp>
        <tr r="L73" s="2"/>
        <tr r="L73" s="2"/>
      </tp>
      <tp>
        <v>54</v>
        <stp/>
        <stp>VOLUME</stp>
        <stp>.QQQ250630C475</stp>
        <tr r="L73" s="2"/>
        <tr r="L73" s="2"/>
      </tp>
      <tp>
        <v>11</v>
        <stp/>
        <stp>VOLUME</stp>
        <stp>.QQQ250630P476</stp>
        <tr r="L72" s="2"/>
        <tr r="L72" s="2"/>
      </tp>
      <tp>
        <v>1</v>
        <stp/>
        <stp>VOLUME</stp>
        <stp>.QQQ250630C476</stp>
        <tr r="L72" s="2"/>
        <tr r="L72" s="2"/>
      </tp>
      <tp>
        <v>5</v>
        <stp/>
        <stp>VOLUME</stp>
        <stp>.QQQ250630P477</stp>
        <tr r="L71" s="2"/>
        <tr r="L71" s="2"/>
      </tp>
      <tp t="s">
        <v>N/A</v>
        <stp/>
        <stp>VOLUME</stp>
        <stp>.QQQ250630C477</stp>
        <tr r="L71" s="2"/>
      </tp>
      <tp>
        <v>129</v>
        <stp/>
        <stp>VOLUME</stp>
        <stp>.QQQ250630P470</stp>
        <tr r="L78" s="2"/>
        <tr r="L78" s="2"/>
      </tp>
      <tp>
        <v>3</v>
        <stp/>
        <stp>VOLUME</stp>
        <stp>.QQQ250630C470</stp>
        <tr r="L78" s="2"/>
        <tr r="L78" s="2"/>
      </tp>
      <tp>
        <v>9</v>
        <stp/>
        <stp>VOLUME</stp>
        <stp>.QQQ250630P471</stp>
        <tr r="L77" s="2"/>
        <tr r="L77" s="2"/>
      </tp>
      <tp>
        <v>1</v>
        <stp/>
        <stp>VOLUME</stp>
        <stp>.QQQ250630C471</stp>
        <tr r="L77" s="2"/>
        <tr r="L77" s="2"/>
      </tp>
      <tp>
        <v>11</v>
        <stp/>
        <stp>VOLUME</stp>
        <stp>.QQQ250630P472</stp>
        <tr r="L76" s="2"/>
        <tr r="L76" s="2"/>
      </tp>
      <tp t="s">
        <v>N/A</v>
        <stp/>
        <stp>VOLUME</stp>
        <stp>.QQQ250630C472</stp>
        <tr r="L76" s="2"/>
      </tp>
      <tp>
        <v>8</v>
        <stp/>
        <stp>VOLUME</stp>
        <stp>.QQQ250630P473</stp>
        <tr r="L75" s="2"/>
        <tr r="L75" s="2"/>
      </tp>
      <tp>
        <v>7</v>
        <stp/>
        <stp>VOLUME</stp>
        <stp>.QQQ250630C473</stp>
        <tr r="L75" s="2"/>
        <tr r="L75" s="2"/>
      </tp>
      <tp t="s">
        <v>N/A</v>
        <stp/>
        <stp>VOLUME</stp>
        <stp>.QQQ250620P468</stp>
        <tr r="K80" s="2"/>
      </tp>
      <tp>
        <v>3</v>
        <stp/>
        <stp>VOLUME</stp>
        <stp>.QQQ250630P478</stp>
        <tr r="L70" s="2"/>
        <tr r="L70" s="2"/>
      </tp>
      <tp t="s">
        <v>N/A</v>
        <stp/>
        <stp>VOLUME</stp>
        <stp>.QQQ250620C468</stp>
        <tr r="K80" s="2"/>
      </tp>
      <tp t="s">
        <v>N/A</v>
        <stp/>
        <stp>VOLUME</stp>
        <stp>.QQQ250630C478</stp>
        <tr r="L70" s="2"/>
      </tp>
      <tp t="s">
        <v>N/A</v>
        <stp/>
        <stp>VOLUME</stp>
        <stp>.QQQ250620P469</stp>
        <tr r="K79" s="2"/>
      </tp>
      <tp>
        <v>12</v>
        <stp/>
        <stp>VOLUME</stp>
        <stp>.QQQ250630P479</stp>
        <tr r="L69" s="2"/>
        <tr r="L69" s="2"/>
      </tp>
      <tp t="s">
        <v>N/A</v>
        <stp/>
        <stp>VOLUME</stp>
        <stp>.QQQ250620C469</stp>
        <tr r="K79" s="2"/>
      </tp>
      <tp>
        <v>4</v>
        <stp/>
        <stp>VOLUME</stp>
        <stp>.QQQ250630C479</stp>
        <tr r="L69" s="2"/>
        <tr r="L69" s="2"/>
      </tp>
      <tp>
        <v>5</v>
        <stp/>
        <stp>VOLUME</stp>
        <stp>.QQQ250606P472</stp>
        <tr r="J76" s="2"/>
        <tr r="J76" s="2"/>
      </tp>
      <tp>
        <v>5</v>
        <stp/>
        <stp>VOLUME</stp>
        <stp>.QQQ250606C472</stp>
        <tr r="J76" s="2"/>
        <tr r="J76" s="2"/>
      </tp>
      <tp>
        <v>16</v>
        <stp/>
        <stp>VOLUME</stp>
        <stp>.QQQ250606P473</stp>
        <tr r="J75" s="2"/>
        <tr r="J75" s="2"/>
      </tp>
      <tp>
        <v>1</v>
        <stp/>
        <stp>VOLUME</stp>
        <stp>.QQQ250606C473</stp>
        <tr r="J75" s="2"/>
        <tr r="J75" s="2"/>
      </tp>
      <tp>
        <v>87</v>
        <stp/>
        <stp>VOLUME</stp>
        <stp>.QQQ250606P470</stp>
        <tr r="J78" s="2"/>
        <tr r="J78" s="2"/>
      </tp>
      <tp>
        <v>120</v>
        <stp/>
        <stp>VOLUME</stp>
        <stp>.QQQ250606C470</stp>
        <tr r="J78" s="2"/>
        <tr r="J78" s="2"/>
      </tp>
      <tp>
        <v>4</v>
        <stp/>
        <stp>VOLUME</stp>
        <stp>.QQQ250606P471</stp>
        <tr r="J77" s="2"/>
        <tr r="J77" s="2"/>
      </tp>
      <tp>
        <v>5</v>
        <stp/>
        <stp>VOLUME</stp>
        <stp>.QQQ250606C471</stp>
        <tr r="J77" s="2"/>
        <tr r="J77" s="2"/>
      </tp>
      <tp>
        <v>26</v>
        <stp/>
        <stp>VOLUME</stp>
        <stp>.QQQ250606P476</stp>
        <tr r="J72" s="2"/>
        <tr r="J72" s="2"/>
      </tp>
      <tp>
        <v>2</v>
        <stp/>
        <stp>VOLUME</stp>
        <stp>.QQQ250606C476</stp>
        <tr r="J72" s="2"/>
        <tr r="J72" s="2"/>
      </tp>
      <tp>
        <v>232</v>
        <stp/>
        <stp>VOLUME</stp>
        <stp>.QQQ250606P477</stp>
        <tr r="J71" s="2"/>
        <tr r="J71" s="2"/>
      </tp>
      <tp>
        <v>5</v>
        <stp/>
        <stp>VOLUME</stp>
        <stp>.QQQ250606C477</stp>
        <tr r="J71" s="2"/>
        <tr r="J71" s="2"/>
      </tp>
      <tp>
        <v>64</v>
        <stp/>
        <stp>VOLUME</stp>
        <stp>.QQQ250606P474</stp>
        <tr r="J74" s="2"/>
        <tr r="J74" s="2"/>
      </tp>
      <tp>
        <v>6</v>
        <stp/>
        <stp>VOLUME</stp>
        <stp>.QQQ250606C474</stp>
        <tr r="J74" s="2"/>
        <tr r="J74" s="2"/>
      </tp>
      <tp>
        <v>87</v>
        <stp/>
        <stp>VOLUME</stp>
        <stp>.QQQ250606P475</stp>
        <tr r="J73" s="2"/>
        <tr r="J73" s="2"/>
      </tp>
      <tp>
        <v>5</v>
        <stp/>
        <stp>VOLUME</stp>
        <stp>.QQQ250606C475</stp>
        <tr r="J73" s="2"/>
        <tr r="J73" s="2"/>
      </tp>
      <tp>
        <v>14</v>
        <stp/>
        <stp>VOLUME</stp>
        <stp>.QQQ250606P478</stp>
        <tr r="J70" s="2"/>
        <tr r="J70" s="2"/>
      </tp>
      <tp t="s">
        <v>N/A</v>
        <stp/>
        <stp>VOLUME</stp>
        <stp>.QQQ250606C478</stp>
        <tr r="J70" s="2"/>
      </tp>
      <tp>
        <v>11</v>
        <stp/>
        <stp>VOLUME</stp>
        <stp>.QQQ250606P479</stp>
        <tr r="J69" s="2"/>
        <tr r="J69" s="2"/>
      </tp>
      <tp>
        <v>6</v>
        <stp/>
        <stp>VOLUME</stp>
        <stp>.QQQ250606C479</stp>
        <tr r="J69" s="2"/>
        <tr r="J69" s="2"/>
      </tp>
      <tp>
        <v>8</v>
        <stp/>
        <stp>VOLUME</stp>
        <stp>.QQQ250606P468</stp>
        <tr r="J80" s="2"/>
        <tr r="J80" s="2"/>
      </tp>
      <tp t="s">
        <v>N/A</v>
        <stp/>
        <stp>VOLUME</stp>
        <stp>.QQQ250606C468</stp>
        <tr r="J80" s="2"/>
      </tp>
      <tp>
        <v>9</v>
        <stp/>
        <stp>VOLUME</stp>
        <stp>.QQQ250606P469</stp>
        <tr r="J79" s="2"/>
        <tr r="J79" s="2"/>
      </tp>
      <tp t="s">
        <v>N/A</v>
        <stp/>
        <stp>VOLUME</stp>
        <stp>.QQQ250606C469</stp>
        <tr r="J79" s="2"/>
      </tp>
      <tp>
        <v>62.7</v>
        <stp/>
        <stp>BID</stp>
        <stp>.SPXW250508C5600</stp>
        <tr r="DE112" s="1"/>
        <tr r="DE112" s="1"/>
      </tp>
      <tp>
        <v>0</v>
        <stp/>
        <stp>BID</stp>
        <stp>.SPXW250508P5600</stp>
        <tr r="DF112" s="1"/>
        <tr r="DF112" s="1"/>
      </tp>
      <tp>
        <v>52.7</v>
        <stp/>
        <stp>BID</stp>
        <stp>.SPXW250508C5610</stp>
        <tr r="DE111" s="1"/>
        <tr r="DE111" s="1"/>
      </tp>
      <tp>
        <v>0</v>
        <stp/>
        <stp>BID</stp>
        <stp>.SPXW250508P5610</stp>
        <tr r="DF111" s="1"/>
        <tr r="DF111" s="1"/>
      </tp>
      <tp>
        <v>42.7</v>
        <stp/>
        <stp>BID</stp>
        <stp>.SPXW250508C5620</stp>
        <tr r="DE110" s="1"/>
        <tr r="DE110" s="1"/>
      </tp>
      <tp>
        <v>0</v>
        <stp/>
        <stp>BID</stp>
        <stp>.SPXW250508P5620</stp>
        <tr r="DF110" s="1"/>
        <tr r="DF110" s="1"/>
      </tp>
      <tp>
        <v>32.700000000000003</v>
        <stp/>
        <stp>BID</stp>
        <stp>.SPXW250508C5630</stp>
        <tr r="DE109" s="1"/>
        <tr r="DE109" s="1"/>
      </tp>
      <tp>
        <v>0</v>
        <stp/>
        <stp>BID</stp>
        <stp>.SPXW250508P5630</stp>
        <tr r="DF109" s="1"/>
        <tr r="DF109" s="1"/>
      </tp>
      <tp>
        <v>22.9</v>
        <stp/>
        <stp>BID</stp>
        <stp>.SPXW250508C5640</stp>
        <tr r="DE108" s="1"/>
        <tr r="DE108" s="1"/>
      </tp>
      <tp>
        <v>0</v>
        <stp/>
        <stp>BID</stp>
        <stp>.SPXW250508P5640</stp>
        <tr r="DF108" s="1"/>
        <tr r="DF108" s="1"/>
      </tp>
      <tp>
        <v>13.8</v>
        <stp/>
        <stp>BID</stp>
        <stp>.SPXW250508C5650</stp>
        <tr r="DE107" s="1"/>
        <tr r="DE107" s="1"/>
      </tp>
      <tp>
        <v>0</v>
        <stp/>
        <stp>BID</stp>
        <stp>.SPXW250508P5650</stp>
        <tr r="DF107" s="1"/>
        <tr r="DF107" s="1"/>
      </tp>
      <tp>
        <v>3</v>
        <stp/>
        <stp>BID</stp>
        <stp>.SPXW250508C5660</stp>
        <tr r="DE106" s="1"/>
        <tr r="DE106" s="1"/>
      </tp>
      <tp>
        <v>0</v>
        <stp/>
        <stp>BID</stp>
        <stp>.SPXW250508P5660</stp>
        <tr r="DF106" s="1"/>
        <tr r="DF106" s="1"/>
      </tp>
      <tp>
        <v>0</v>
        <stp/>
        <stp>BID</stp>
        <stp>.SPXW250508C5670</stp>
        <tr r="DE105" s="1"/>
        <tr r="DE105" s="1"/>
      </tp>
      <tp>
        <v>5</v>
        <stp/>
        <stp>BID</stp>
        <stp>.SPXW250508P5670</stp>
        <tr r="DF105" s="1"/>
        <tr r="DF105" s="1"/>
      </tp>
      <tp>
        <v>0</v>
        <stp/>
        <stp>BID</stp>
        <stp>.SPXW250508C5680</stp>
        <tr r="DE104" s="1"/>
        <tr r="DE104" s="1"/>
      </tp>
      <tp>
        <v>16.3</v>
        <stp/>
        <stp>BID</stp>
        <stp>.SPXW250508P5680</stp>
        <tr r="DF104" s="1"/>
        <tr r="DF104" s="1"/>
      </tp>
      <tp>
        <v>0</v>
        <stp/>
        <stp>BID</stp>
        <stp>.SPXW250508C5690</stp>
        <tr r="DE103" s="1"/>
        <tr r="DE103" s="1"/>
      </tp>
      <tp>
        <v>23.5</v>
        <stp/>
        <stp>BID</stp>
        <stp>.SPXW250508P5690</stp>
        <tr r="DF103" s="1"/>
        <tr r="DF103" s="1"/>
      </tp>
      <tp t="s">
        <v>N/A</v>
        <stp/>
        <stp>VOLUME</stp>
        <stp>.QQQ250718P488</stp>
        <tr r="M60" s="2"/>
      </tp>
      <tp t="s">
        <v>N/A</v>
        <stp/>
        <stp>VOLUME</stp>
        <stp>.QQQ250718C488</stp>
        <tr r="M60" s="2"/>
      </tp>
      <tp t="s">
        <v>N/A</v>
        <stp/>
        <stp>VOLUME</stp>
        <stp>.QQQ250718P489</stp>
        <tr r="M59" s="2"/>
      </tp>
      <tp t="s">
        <v>N/A</v>
        <stp/>
        <stp>VOLUME</stp>
        <stp>.QQQ250718C489</stp>
        <tr r="M59" s="2"/>
      </tp>
      <tp t="s">
        <v>N/A</v>
        <stp/>
        <stp>VOLUME</stp>
        <stp>.QQQ250718P484</stp>
        <tr r="M64" s="2"/>
      </tp>
      <tp t="s">
        <v>N/A</v>
        <stp/>
        <stp>VOLUME</stp>
        <stp>.QQQ250718C484</stp>
        <tr r="M64" s="2"/>
      </tp>
      <tp>
        <v>211</v>
        <stp/>
        <stp>VOLUME</stp>
        <stp>.QQQ250718P485</stp>
        <tr r="M63" s="2"/>
        <tr r="M63" s="2"/>
      </tp>
      <tp>
        <v>147</v>
        <stp/>
        <stp>VOLUME</stp>
        <stp>.QQQ250718C485</stp>
        <tr r="M63" s="2"/>
        <tr r="M63" s="2"/>
      </tp>
      <tp t="s">
        <v>N/A</v>
        <stp/>
        <stp>VOLUME</stp>
        <stp>.QQQ250718P486</stp>
        <tr r="M62" s="2"/>
      </tp>
      <tp t="s">
        <v>N/A</v>
        <stp/>
        <stp>VOLUME</stp>
        <stp>.QQQ250718C486</stp>
        <tr r="M62" s="2"/>
      </tp>
      <tp t="s">
        <v>N/A</v>
        <stp/>
        <stp>VOLUME</stp>
        <stp>.QQQ250718P487</stp>
        <tr r="M61" s="2"/>
      </tp>
      <tp t="s">
        <v>N/A</v>
        <stp/>
        <stp>VOLUME</stp>
        <stp>.QQQ250718C487</stp>
        <tr r="M61" s="2"/>
      </tp>
      <tp>
        <v>621</v>
        <stp/>
        <stp>VOLUME</stp>
        <stp>.QQQ250718P480</stp>
        <tr r="M68" s="2"/>
        <tr r="M68" s="2"/>
      </tp>
      <tp>
        <v>120</v>
        <stp/>
        <stp>VOLUME</stp>
        <stp>.QQQ250718C480</stp>
        <tr r="M68" s="2"/>
        <tr r="M68" s="2"/>
      </tp>
      <tp t="s">
        <v>N/A</v>
        <stp/>
        <stp>VOLUME</stp>
        <stp>.QQQ250718P481</stp>
        <tr r="M67" s="2"/>
      </tp>
      <tp t="s">
        <v>N/A</v>
        <stp/>
        <stp>VOLUME</stp>
        <stp>.QQQ250718C481</stp>
        <tr r="M67" s="2"/>
      </tp>
      <tp t="s">
        <v>N/A</v>
        <stp/>
        <stp>VOLUME</stp>
        <stp>.QQQ250718P482</stp>
        <tr r="M66" s="2"/>
      </tp>
      <tp t="s">
        <v>N/A</v>
        <stp/>
        <stp>VOLUME</stp>
        <stp>.QQQ250718C482</stp>
        <tr r="M66" s="2"/>
      </tp>
      <tp t="s">
        <v>N/A</v>
        <stp/>
        <stp>VOLUME</stp>
        <stp>.QQQ250718P483</stp>
        <tr r="M65" s="2"/>
      </tp>
      <tp t="s">
        <v>N/A</v>
        <stp/>
        <stp>VOLUME</stp>
        <stp>.QQQ250718C483</stp>
        <tr r="M65" s="2"/>
      </tp>
      <tp t="s">
        <v>N/A</v>
        <stp/>
        <stp>VOLUME</stp>
        <stp>.QQQ250718P498</stp>
        <tr r="M50" s="2"/>
      </tp>
      <tp t="s">
        <v>N/A</v>
        <stp/>
        <stp>VOLUME</stp>
        <stp>.QQQ250718C498</stp>
        <tr r="M50" s="2"/>
      </tp>
      <tp t="s">
        <v>N/A</v>
        <stp/>
        <stp>VOLUME</stp>
        <stp>.QQQ250718P499</stp>
        <tr r="M49" s="2"/>
      </tp>
      <tp t="s">
        <v>N/A</v>
        <stp/>
        <stp>VOLUME</stp>
        <stp>.QQQ250718C499</stp>
        <tr r="M49" s="2"/>
      </tp>
      <tp t="s">
        <v>N/A</v>
        <stp/>
        <stp>VOLUME</stp>
        <stp>.QQQ250718P494</stp>
        <tr r="M54" s="2"/>
      </tp>
      <tp t="s">
        <v>N/A</v>
        <stp/>
        <stp>VOLUME</stp>
        <stp>.QQQ250718C494</stp>
        <tr r="M54" s="2"/>
      </tp>
      <tp>
        <v>145</v>
        <stp/>
        <stp>VOLUME</stp>
        <stp>.QQQ250718P495</stp>
        <tr r="M53" s="2"/>
        <tr r="M53" s="2"/>
      </tp>
      <tp>
        <v>242</v>
        <stp/>
        <stp>VOLUME</stp>
        <stp>.QQQ250718C495</stp>
        <tr r="M53" s="2"/>
        <tr r="M53" s="2"/>
      </tp>
      <tp t="s">
        <v>N/A</v>
        <stp/>
        <stp>VOLUME</stp>
        <stp>.QQQ250718P496</stp>
        <tr r="M52" s="2"/>
      </tp>
      <tp t="s">
        <v>N/A</v>
        <stp/>
        <stp>VOLUME</stp>
        <stp>.QQQ250718C496</stp>
        <tr r="M52" s="2"/>
      </tp>
      <tp t="s">
        <v>N/A</v>
        <stp/>
        <stp>VOLUME</stp>
        <stp>.QQQ250718P497</stp>
        <tr r="M51" s="2"/>
      </tp>
      <tp t="s">
        <v>N/A</v>
        <stp/>
        <stp>VOLUME</stp>
        <stp>.QQQ250718C497</stp>
        <tr r="M51" s="2"/>
      </tp>
      <tp>
        <v>496</v>
        <stp/>
        <stp>VOLUME</stp>
        <stp>.QQQ250718P490</stp>
        <tr r="M58" s="2"/>
        <tr r="M58" s="2"/>
      </tp>
      <tp>
        <v>312</v>
        <stp/>
        <stp>VOLUME</stp>
        <stp>.QQQ250718C490</stp>
        <tr r="M58" s="2"/>
        <tr r="M58" s="2"/>
      </tp>
      <tp t="s">
        <v>N/A</v>
        <stp/>
        <stp>VOLUME</stp>
        <stp>.QQQ250718P491</stp>
        <tr r="M57" s="2"/>
      </tp>
      <tp t="s">
        <v>N/A</v>
        <stp/>
        <stp>VOLUME</stp>
        <stp>.QQQ250718C491</stp>
        <tr r="M57" s="2"/>
      </tp>
      <tp t="s">
        <v>N/A</v>
        <stp/>
        <stp>VOLUME</stp>
        <stp>.QQQ250718P492</stp>
        <tr r="M56" s="2"/>
      </tp>
      <tp t="s">
        <v>N/A</v>
        <stp/>
        <stp>VOLUME</stp>
        <stp>.QQQ250718C492</stp>
        <tr r="M56" s="2"/>
      </tp>
      <tp t="s">
        <v>N/A</v>
        <stp/>
        <stp>VOLUME</stp>
        <stp>.QQQ250718P493</stp>
        <tr r="M55" s="2"/>
      </tp>
      <tp t="s">
        <v>N/A</v>
        <stp/>
        <stp>VOLUME</stp>
        <stp>.QQQ250718C493</stp>
        <tr r="M55" s="2"/>
      </tp>
      <tp>
        <v>11</v>
        <stp/>
        <stp>VOLUME</stp>
        <stp>.QQQ250731P485</stp>
        <tr r="N63" s="2"/>
        <tr r="N63" s="2"/>
      </tp>
      <tp>
        <v>8</v>
        <stp/>
        <stp>VOLUME</stp>
        <stp>.QQQ250731C485</stp>
        <tr r="N63" s="2"/>
        <tr r="N63" s="2"/>
      </tp>
      <tp>
        <v>1</v>
        <stp/>
        <stp>VOLUME</stp>
        <stp>.QQQ250731P484</stp>
        <tr r="N64" s="2"/>
        <tr r="N64" s="2"/>
      </tp>
      <tp t="s">
        <v>N/A</v>
        <stp/>
        <stp>VOLUME</stp>
        <stp>.QQQ250731C484</stp>
        <tr r="N64" s="2"/>
      </tp>
      <tp>
        <v>30</v>
        <stp/>
        <stp>VOLUME</stp>
        <stp>.QQQ250731P487</stp>
        <tr r="N61" s="2"/>
        <tr r="N61" s="2"/>
      </tp>
      <tp>
        <v>12</v>
        <stp/>
        <stp>VOLUME</stp>
        <stp>.QQQ250731C487</stp>
        <tr r="N61" s="2"/>
        <tr r="N61" s="2"/>
      </tp>
      <tp>
        <v>3</v>
        <stp/>
        <stp>VOLUME</stp>
        <stp>.QQQ250731P486</stp>
        <tr r="N62" s="2"/>
        <tr r="N62" s="2"/>
      </tp>
      <tp>
        <v>1</v>
        <stp/>
        <stp>VOLUME</stp>
        <stp>.QQQ250731C486</stp>
        <tr r="N62" s="2"/>
        <tr r="N62" s="2"/>
      </tp>
      <tp t="s">
        <v>N/A</v>
        <stp/>
        <stp>VOLUME</stp>
        <stp>.QQQ250731P481</stp>
        <tr r="N67" s="2"/>
      </tp>
      <tp>
        <v>1</v>
        <stp/>
        <stp>VOLUME</stp>
        <stp>.QQQ250731C481</stp>
        <tr r="N67" s="2"/>
        <tr r="N67" s="2"/>
      </tp>
      <tp>
        <v>31</v>
        <stp/>
        <stp>VOLUME</stp>
        <stp>.QQQ250731P480</stp>
        <tr r="N68" s="2"/>
        <tr r="N68" s="2"/>
      </tp>
      <tp>
        <v>97</v>
        <stp/>
        <stp>VOLUME</stp>
        <stp>.QQQ250731C480</stp>
        <tr r="N68" s="2"/>
        <tr r="N68" s="2"/>
      </tp>
      <tp>
        <v>20</v>
        <stp/>
        <stp>VOLUME</stp>
        <stp>.QQQ250731P483</stp>
        <tr r="N65" s="2"/>
        <tr r="N65" s="2"/>
      </tp>
      <tp t="s">
        <v>N/A</v>
        <stp/>
        <stp>VOLUME</stp>
        <stp>.QQQ250731C483</stp>
        <tr r="N65" s="2"/>
      </tp>
      <tp t="s">
        <v>N/A</v>
        <stp/>
        <stp>VOLUME</stp>
        <stp>.QQQ250731P482</stp>
        <tr r="N66" s="2"/>
      </tp>
      <tp t="s">
        <v>N/A</v>
        <stp/>
        <stp>VOLUME</stp>
        <stp>.QQQ250731C482</stp>
        <tr r="N66" s="2"/>
      </tp>
      <tp>
        <v>10</v>
        <stp/>
        <stp>VOLUME</stp>
        <stp>.QQQ250731P489</stp>
        <tr r="N59" s="2"/>
        <tr r="N59" s="2"/>
      </tp>
      <tp t="s">
        <v>N/A</v>
        <stp/>
        <stp>VOLUME</stp>
        <stp>.QQQ250731C489</stp>
        <tr r="N59" s="2"/>
      </tp>
      <tp>
        <v>104</v>
        <stp/>
        <stp>VOLUME</stp>
        <stp>.QQQ250731P488</stp>
        <tr r="N60" s="2"/>
        <tr r="N60" s="2"/>
      </tp>
      <tp>
        <v>2</v>
        <stp/>
        <stp>VOLUME</stp>
        <stp>.QQQ250731C488</stp>
        <tr r="N60" s="2"/>
        <tr r="N60" s="2"/>
      </tp>
      <tp>
        <v>1</v>
        <stp/>
        <stp>VOLUME</stp>
        <stp>.QQQ250731P495</stp>
        <tr r="N53" s="2"/>
        <tr r="N53" s="2"/>
      </tp>
      <tp>
        <v>51</v>
        <stp/>
        <stp>VOLUME</stp>
        <stp>.QQQ250731C495</stp>
        <tr r="N53" s="2"/>
        <tr r="N53" s="2"/>
      </tp>
      <tp>
        <v>3</v>
        <stp/>
        <stp>VOLUME</stp>
        <stp>.QQQ250731P494</stp>
        <tr r="N54" s="2"/>
        <tr r="N54" s="2"/>
      </tp>
      <tp t="s">
        <v>N/A</v>
        <stp/>
        <stp>VOLUME</stp>
        <stp>.QQQ250731C494</stp>
        <tr r="N54" s="2"/>
      </tp>
      <tp t="s">
        <v>N/A</v>
        <stp/>
        <stp>VOLUME</stp>
        <stp>.QQQ250731P497</stp>
        <tr r="N51" s="2"/>
      </tp>
      <tp t="s">
        <v>N/A</v>
        <stp/>
        <stp>VOLUME</stp>
        <stp>.QQQ250731C497</stp>
        <tr r="N51" s="2"/>
      </tp>
      <tp t="s">
        <v>N/A</v>
        <stp/>
        <stp>VOLUME</stp>
        <stp>.QQQ250731P496</stp>
        <tr r="N52" s="2"/>
      </tp>
      <tp>
        <v>1</v>
        <stp/>
        <stp>VOLUME</stp>
        <stp>.QQQ250731C496</stp>
        <tr r="N52" s="2"/>
        <tr r="N52" s="2"/>
      </tp>
      <tp>
        <v>3</v>
        <stp/>
        <stp>VOLUME</stp>
        <stp>.QQQ250731P491</stp>
        <tr r="N57" s="2"/>
        <tr r="N57" s="2"/>
      </tp>
      <tp t="s">
        <v>N/A</v>
        <stp/>
        <stp>VOLUME</stp>
        <stp>.QQQ250731C491</stp>
        <tr r="N57" s="2"/>
      </tp>
      <tp>
        <v>12</v>
        <stp/>
        <stp>VOLUME</stp>
        <stp>.QQQ250731P490</stp>
        <tr r="N58" s="2"/>
        <tr r="N58" s="2"/>
      </tp>
      <tp>
        <v>120</v>
        <stp/>
        <stp>VOLUME</stp>
        <stp>.QQQ250731C490</stp>
        <tr r="N58" s="2"/>
        <tr r="N58" s="2"/>
      </tp>
      <tp t="s">
        <v>N/A</v>
        <stp/>
        <stp>VOLUME</stp>
        <stp>.QQQ250731P493</stp>
        <tr r="N55" s="2"/>
      </tp>
      <tp t="s">
        <v>N/A</v>
        <stp/>
        <stp>VOLUME</stp>
        <stp>.QQQ250731C493</stp>
        <tr r="N55" s="2"/>
      </tp>
      <tp t="s">
        <v>N/A</v>
        <stp/>
        <stp>VOLUME</stp>
        <stp>.QQQ250731P492</stp>
        <tr r="N56" s="2"/>
      </tp>
      <tp>
        <v>18</v>
        <stp/>
        <stp>VOLUME</stp>
        <stp>.QQQ250731C492</stp>
        <tr r="N56" s="2"/>
        <tr r="N56" s="2"/>
      </tp>
      <tp>
        <v>5</v>
        <stp/>
        <stp>VOLUME</stp>
        <stp>.QQQ250731P499</stp>
        <tr r="N49" s="2"/>
        <tr r="N49" s="2"/>
      </tp>
      <tp t="s">
        <v>N/A</v>
        <stp/>
        <stp>VOLUME</stp>
        <stp>.QQQ250731C499</stp>
        <tr r="N49" s="2"/>
      </tp>
      <tp>
        <v>11</v>
        <stp/>
        <stp>VOLUME</stp>
        <stp>.QQQ250731P498</stp>
        <tr r="N50" s="2"/>
        <tr r="N50" s="2"/>
      </tp>
      <tp>
        <v>1</v>
        <stp/>
        <stp>VOLUME</stp>
        <stp>.QQQ250731C498</stp>
        <tr r="N50" s="2"/>
        <tr r="N50" s="2"/>
      </tp>
      <tp t="s">
        <v>N/A</v>
        <stp/>
        <stp>VOLUME</stp>
        <stp>.QQQ250606P502</stp>
        <tr r="J46" s="2"/>
      </tp>
      <tp t="s">
        <v>N/A</v>
        <stp/>
        <stp>VOLUME</stp>
        <stp>.QQQ250606C502</stp>
        <tr r="J46" s="2"/>
      </tp>
      <tp>
        <v>8</v>
        <stp/>
        <stp>VOLUME</stp>
        <stp>.QQQ250606P500</stp>
        <tr r="J48" s="2"/>
        <tr r="J48" s="2"/>
      </tp>
      <tp>
        <v>552</v>
        <stp/>
        <stp>VOLUME</stp>
        <stp>.QQQ250606C500</stp>
        <tr r="J48" s="2"/>
        <tr r="J48" s="2"/>
      </tp>
      <tp t="s">
        <v>N/A</v>
        <stp/>
        <stp>VOLUME</stp>
        <stp>.QQQ250606P501</stp>
        <tr r="J47" s="2"/>
      </tp>
      <tp t="s">
        <v>N/A</v>
        <stp/>
        <stp>VOLUME</stp>
        <stp>.QQQ250606C501</stp>
        <tr r="J47" s="2"/>
      </tp>
      <tp>
        <v>384</v>
        <stp/>
        <stp>VOLUME</stp>
        <stp>.QQQ250630P500</stp>
        <tr r="L48" s="2"/>
        <tr r="L48" s="2"/>
      </tp>
      <tp>
        <v>196</v>
        <stp/>
        <stp>VOLUME</stp>
        <stp>.QQQ250630C500</stp>
        <tr r="L48" s="2"/>
        <tr r="L48" s="2"/>
      </tp>
      <tp t="s">
        <v>N/A</v>
        <stp/>
        <stp>VOLUME</stp>
        <stp>.QQQ250630P501</stp>
        <tr r="L47" s="2"/>
      </tp>
      <tp>
        <v>9</v>
        <stp/>
        <stp>VOLUME</stp>
        <stp>.QQQ250630C501</stp>
        <tr r="L47" s="2"/>
        <tr r="L47" s="2"/>
      </tp>
      <tp>
        <v>2</v>
        <stp/>
        <stp>VOLUME</stp>
        <stp>.QQQ250630P502</stp>
        <tr r="L46" s="2"/>
        <tr r="L46" s="2"/>
      </tp>
      <tp>
        <v>9</v>
        <stp/>
        <stp>VOLUME</stp>
        <stp>.QQQ250630C502</stp>
        <tr r="L46" s="2"/>
        <tr r="L46" s="2"/>
      </tp>
      <tp>
        <v>344</v>
        <stp/>
        <stp>VOLUME</stp>
        <stp>.QQQ250620P500</stp>
        <tr r="K48" s="2"/>
        <tr r="K48" s="2"/>
      </tp>
      <tp>
        <v>3695</v>
        <stp/>
        <stp>VOLUME</stp>
        <stp>.QQQ250620C500</stp>
        <tr r="K48" s="2"/>
        <tr r="K48" s="2"/>
      </tp>
      <tp t="s">
        <v>N/A</v>
        <stp/>
        <stp>VOLUME</stp>
        <stp>.QQQ250620P501</stp>
        <tr r="K47" s="2"/>
      </tp>
      <tp t="s">
        <v>N/A</v>
        <stp/>
        <stp>VOLUME</stp>
        <stp>.QQQ250620C501</stp>
        <tr r="K47" s="2"/>
      </tp>
      <tp t="s">
        <v>N/A</v>
        <stp/>
        <stp>VOLUME</stp>
        <stp>.QQQ250620P502</stp>
        <tr r="K46" s="2"/>
      </tp>
      <tp t="s">
        <v>N/A</v>
        <stp/>
        <stp>VOLUME</stp>
        <stp>.QQQ250620C502</stp>
        <tr r="K46" s="2"/>
      </tp>
      <tp t="s">
        <v>N/A</v>
        <stp/>
        <stp>VOLUME</stp>
        <stp>.QQQ250731P469</stp>
        <tr r="N79" s="2"/>
      </tp>
      <tp>
        <v>1</v>
        <stp/>
        <stp>VOLUME</stp>
        <stp>.QQQ250731C469</stp>
        <tr r="N79" s="2"/>
        <tr r="N79" s="2"/>
      </tp>
      <tp>
        <v>12</v>
        <stp/>
        <stp>VOLUME</stp>
        <stp>.QQQ250731P468</stp>
        <tr r="N80" s="2"/>
        <tr r="N80" s="2"/>
      </tp>
      <tp t="s">
        <v>N/A</v>
        <stp/>
        <stp>VOLUME</stp>
        <stp>.QQQ250731C468</stp>
        <tr r="N80" s="2"/>
      </tp>
      <tp>
        <v>4018</v>
        <stp/>
        <stp>VOLUME</stp>
        <stp>.QQQ250731P475</stp>
        <tr r="N73" s="2"/>
        <tr r="N73" s="2"/>
      </tp>
      <tp>
        <v>3</v>
        <stp/>
        <stp>VOLUME</stp>
        <stp>.QQQ250731C475</stp>
        <tr r="N73" s="2"/>
        <tr r="N73" s="2"/>
      </tp>
      <tp>
        <v>6</v>
        <stp/>
        <stp>VOLUME</stp>
        <stp>.QQQ250731P474</stp>
        <tr r="N74" s="2"/>
        <tr r="N74" s="2"/>
      </tp>
      <tp t="s">
        <v>N/A</v>
        <stp/>
        <stp>VOLUME</stp>
        <stp>.QQQ250731C474</stp>
        <tr r="N74" s="2"/>
      </tp>
      <tp>
        <v>3</v>
        <stp/>
        <stp>VOLUME</stp>
        <stp>.QQQ250731P477</stp>
        <tr r="N71" s="2"/>
        <tr r="N71" s="2"/>
      </tp>
      <tp t="s">
        <v>N/A</v>
        <stp/>
        <stp>VOLUME</stp>
        <stp>.QQQ250731C477</stp>
        <tr r="N71" s="2"/>
      </tp>
      <tp>
        <v>12</v>
        <stp/>
        <stp>VOLUME</stp>
        <stp>.QQQ250731P476</stp>
        <tr r="N72" s="2"/>
        <tr r="N72" s="2"/>
      </tp>
      <tp t="s">
        <v>N/A</v>
        <stp/>
        <stp>VOLUME</stp>
        <stp>.QQQ250731C476</stp>
        <tr r="N72" s="2"/>
      </tp>
      <tp t="s">
        <v>N/A</v>
        <stp/>
        <stp>VOLUME</stp>
        <stp>.QQQ250731P471</stp>
        <tr r="N77" s="2"/>
      </tp>
      <tp t="s">
        <v>N/A</v>
        <stp/>
        <stp>VOLUME</stp>
        <stp>.QQQ250731C471</stp>
        <tr r="N77" s="2"/>
      </tp>
      <tp>
        <v>45</v>
        <stp/>
        <stp>VOLUME</stp>
        <stp>.QQQ250731P470</stp>
        <tr r="N78" s="2"/>
        <tr r="N78" s="2"/>
      </tp>
      <tp>
        <v>9</v>
        <stp/>
        <stp>VOLUME</stp>
        <stp>.QQQ250731C470</stp>
        <tr r="N78" s="2"/>
        <tr r="N78" s="2"/>
      </tp>
      <tp>
        <v>1</v>
        <stp/>
        <stp>VOLUME</stp>
        <stp>.QQQ250731P473</stp>
        <tr r="N75" s="2"/>
        <tr r="N75" s="2"/>
      </tp>
      <tp t="s">
        <v>N/A</v>
        <stp/>
        <stp>VOLUME</stp>
        <stp>.QQQ250731C473</stp>
        <tr r="N75" s="2"/>
      </tp>
      <tp t="s">
        <v>N/A</v>
        <stp/>
        <stp>VOLUME</stp>
        <stp>.QQQ250731P472</stp>
        <tr r="N76" s="2"/>
      </tp>
      <tp t="s">
        <v>N/A</v>
        <stp/>
        <stp>VOLUME</stp>
        <stp>.QQQ250731C472</stp>
        <tr r="N76" s="2"/>
      </tp>
      <tp>
        <v>2</v>
        <stp/>
        <stp>VOLUME</stp>
        <stp>.QQQ250731P479</stp>
        <tr r="N69" s="2"/>
        <tr r="N69" s="2"/>
      </tp>
      <tp t="s">
        <v>N/A</v>
        <stp/>
        <stp>VOLUME</stp>
        <stp>.QQQ250731C479</stp>
        <tr r="N69" s="2"/>
      </tp>
      <tp>
        <v>2</v>
        <stp/>
        <stp>VOLUME</stp>
        <stp>.QQQ250731P478</stp>
        <tr r="N70" s="2"/>
        <tr r="N70" s="2"/>
      </tp>
      <tp t="s">
        <v>N/A</v>
        <stp/>
        <stp>VOLUME</stp>
        <stp>.QQQ250731C478</stp>
        <tr r="N70" s="2"/>
      </tp>
      <tp t="s">
        <v>N/A</v>
        <stp/>
        <stp>VOLUME</stp>
        <stp>.QQQ250718P468</stp>
        <tr r="M80" s="2"/>
      </tp>
      <tp t="s">
        <v>N/A</v>
        <stp/>
        <stp>VOLUME</stp>
        <stp>.QQQ250718C468</stp>
        <tr r="M80" s="2"/>
      </tp>
      <tp t="s">
        <v>N/A</v>
        <stp/>
        <stp>VOLUME</stp>
        <stp>.QQQ250718P469</stp>
        <tr r="M79" s="2"/>
      </tp>
      <tp t="s">
        <v>N/A</v>
        <stp/>
        <stp>VOLUME</stp>
        <stp>.QQQ250718C469</stp>
        <tr r="M79" s="2"/>
      </tp>
      <tp t="s">
        <v>N/A</v>
        <stp/>
        <stp>VOLUME</stp>
        <stp>.QQQ250718P478</stp>
        <tr r="M70" s="2"/>
      </tp>
      <tp t="s">
        <v>N/A</v>
        <stp/>
        <stp>VOLUME</stp>
        <stp>.QQQ250718C478</stp>
        <tr r="M70" s="2"/>
      </tp>
      <tp t="s">
        <v>N/A</v>
        <stp/>
        <stp>VOLUME</stp>
        <stp>.QQQ250718P479</stp>
        <tr r="M69" s="2"/>
      </tp>
      <tp t="s">
        <v>N/A</v>
        <stp/>
        <stp>VOLUME</stp>
        <stp>.QQQ250718C479</stp>
        <tr r="M69" s="2"/>
      </tp>
      <tp t="s">
        <v>N/A</v>
        <stp/>
        <stp>VOLUME</stp>
        <stp>.QQQ250718P474</stp>
        <tr r="M74" s="2"/>
      </tp>
      <tp t="s">
        <v>N/A</v>
        <stp/>
        <stp>VOLUME</stp>
        <stp>.QQQ250718C474</stp>
        <tr r="M74" s="2"/>
      </tp>
      <tp>
        <v>322</v>
        <stp/>
        <stp>VOLUME</stp>
        <stp>.QQQ250718P475</stp>
        <tr r="M73" s="2"/>
        <tr r="M73" s="2"/>
      </tp>
      <tp>
        <v>45</v>
        <stp/>
        <stp>VOLUME</stp>
        <stp>.QQQ250718C475</stp>
        <tr r="M73" s="2"/>
        <tr r="M73" s="2"/>
      </tp>
      <tp t="s">
        <v>N/A</v>
        <stp/>
        <stp>VOLUME</stp>
        <stp>.QQQ250718P476</stp>
        <tr r="M72" s="2"/>
      </tp>
      <tp t="s">
        <v>N/A</v>
        <stp/>
        <stp>VOLUME</stp>
        <stp>.QQQ250718C476</stp>
        <tr r="M72" s="2"/>
      </tp>
      <tp t="s">
        <v>N/A</v>
        <stp/>
        <stp>VOLUME</stp>
        <stp>.QQQ250718P477</stp>
        <tr r="M71" s="2"/>
      </tp>
      <tp t="s">
        <v>N/A</v>
        <stp/>
        <stp>VOLUME</stp>
        <stp>.QQQ250718C477</stp>
        <tr r="M71" s="2"/>
      </tp>
      <tp>
        <v>4801</v>
        <stp/>
        <stp>VOLUME</stp>
        <stp>.QQQ250718P470</stp>
        <tr r="M78" s="2"/>
        <tr r="M78" s="2"/>
      </tp>
      <tp>
        <v>7</v>
        <stp/>
        <stp>VOLUME</stp>
        <stp>.QQQ250718C470</stp>
        <tr r="M78" s="2"/>
        <tr r="M78" s="2"/>
      </tp>
      <tp t="s">
        <v>N/A</v>
        <stp/>
        <stp>VOLUME</stp>
        <stp>.QQQ250718P471</stp>
        <tr r="M77" s="2"/>
      </tp>
      <tp t="s">
        <v>N/A</v>
        <stp/>
        <stp>VOLUME</stp>
        <stp>.QQQ250718C471</stp>
        <tr r="M77" s="2"/>
      </tp>
      <tp t="s">
        <v>N/A</v>
        <stp/>
        <stp>VOLUME</stp>
        <stp>.QQQ250718P472</stp>
        <tr r="M76" s="2"/>
      </tp>
      <tp t="s">
        <v>N/A</v>
        <stp/>
        <stp>VOLUME</stp>
        <stp>.QQQ250718C472</stp>
        <tr r="M76" s="2"/>
      </tp>
      <tp t="s">
        <v>N/A</v>
        <stp/>
        <stp>VOLUME</stp>
        <stp>.QQQ250718P473</stp>
        <tr r="M75" s="2"/>
      </tp>
      <tp t="s">
        <v>N/A</v>
        <stp/>
        <stp>VOLUME</stp>
        <stp>.QQQ250718C473</stp>
        <tr r="M75" s="2"/>
      </tp>
      <tp>
        <v>157.5</v>
        <stp/>
        <stp>BID</stp>
        <stp>.SPXW250508C5500</stp>
        <tr r="DE122" s="1"/>
        <tr r="DE122" s="1"/>
      </tp>
      <tp>
        <v>0</v>
        <stp/>
        <stp>BID</stp>
        <stp>.SPXW250508P5500</stp>
        <tr r="DF122" s="1"/>
        <tr r="DF122" s="1"/>
      </tp>
      <tp>
        <v>147.5</v>
        <stp/>
        <stp>BID</stp>
        <stp>.SPXW250508C5510</stp>
        <tr r="DE121" s="1"/>
        <tr r="DE121" s="1"/>
      </tp>
      <tp>
        <v>0</v>
        <stp/>
        <stp>BID</stp>
        <stp>.SPXW250508P5510</stp>
        <tr r="DF121" s="1"/>
        <tr r="DF121" s="1"/>
      </tp>
      <tp>
        <v>142.69999999999999</v>
        <stp/>
        <stp>BID</stp>
        <stp>.SPXW250508C5520</stp>
        <tr r="DE120" s="1"/>
        <tr r="DE120" s="1"/>
      </tp>
      <tp>
        <v>0</v>
        <stp/>
        <stp>BID</stp>
        <stp>.SPXW250508P5520</stp>
        <tr r="DF120" s="1"/>
        <tr r="DF120" s="1"/>
      </tp>
      <tp>
        <v>132.69999999999999</v>
        <stp/>
        <stp>BID</stp>
        <stp>.SPXW250508C5530</stp>
        <tr r="DE119" s="1"/>
        <tr r="DE119" s="1"/>
      </tp>
      <tp>
        <v>0</v>
        <stp/>
        <stp>BID</stp>
        <stp>.SPXW250508P5530</stp>
        <tr r="DF119" s="1"/>
        <tr r="DF119" s="1"/>
      </tp>
      <tp>
        <v>122.7</v>
        <stp/>
        <stp>BID</stp>
        <stp>.SPXW250508C5540</stp>
        <tr r="DE118" s="1"/>
        <tr r="DE118" s="1"/>
      </tp>
      <tp>
        <v>0</v>
        <stp/>
        <stp>BID</stp>
        <stp>.SPXW250508P5540</stp>
        <tr r="DF118" s="1"/>
        <tr r="DF118" s="1"/>
      </tp>
      <tp>
        <v>112.7</v>
        <stp/>
        <stp>BID</stp>
        <stp>.SPXW250508C5550</stp>
        <tr r="DE117" s="1"/>
        <tr r="DE117" s="1"/>
      </tp>
      <tp>
        <v>0</v>
        <stp/>
        <stp>BID</stp>
        <stp>.SPXW250508P5550</stp>
        <tr r="DF117" s="1"/>
        <tr r="DF117" s="1"/>
      </tp>
      <tp>
        <v>102.7</v>
        <stp/>
        <stp>BID</stp>
        <stp>.SPXW250508C5560</stp>
        <tr r="DE116" s="1"/>
        <tr r="DE116" s="1"/>
      </tp>
      <tp>
        <v>0</v>
        <stp/>
        <stp>BID</stp>
        <stp>.SPXW250508P5560</stp>
        <tr r="DF116" s="1"/>
        <tr r="DF116" s="1"/>
      </tp>
      <tp>
        <v>92.7</v>
        <stp/>
        <stp>BID</stp>
        <stp>.SPXW250508C5570</stp>
        <tr r="DE115" s="1"/>
        <tr r="DE115" s="1"/>
      </tp>
      <tp>
        <v>0</v>
        <stp/>
        <stp>BID</stp>
        <stp>.SPXW250508P5570</stp>
        <tr r="DF115" s="1"/>
        <tr r="DF115" s="1"/>
      </tp>
      <tp>
        <v>82.7</v>
        <stp/>
        <stp>BID</stp>
        <stp>.SPXW250508C5580</stp>
        <tr r="DE114" s="1"/>
        <tr r="DE114" s="1"/>
      </tp>
      <tp>
        <v>0</v>
        <stp/>
        <stp>BID</stp>
        <stp>.SPXW250508P5580</stp>
        <tr r="DF114" s="1"/>
        <tr r="DF114" s="1"/>
      </tp>
      <tp>
        <v>72.7</v>
        <stp/>
        <stp>BID</stp>
        <stp>.SPXW250508C5590</stp>
        <tr r="DE113" s="1"/>
        <tr r="DE113" s="1"/>
      </tp>
      <tp>
        <v>0</v>
        <stp/>
        <stp>BID</stp>
        <stp>.SPXW250508P5590</stp>
        <tr r="DF113" s="1"/>
        <tr r="DF113" s="1"/>
      </tp>
      <tp>
        <v>54</v>
        <stp/>
        <stp>VOLUME</stp>
        <stp>.QQQ250516P502</stp>
        <tr r="BF45" s="1"/>
        <tr r="BF45" s="1"/>
      </tp>
      <tp>
        <v>967</v>
        <stp/>
        <stp>VOLUME</stp>
        <stp>.QQQ250516C502</stp>
        <tr r="BE45" s="1"/>
        <tr r="BE45" s="1"/>
      </tp>
      <tp>
        <v>444</v>
        <stp/>
        <stp>VOLUME</stp>
        <stp>.QQQ250516P500</stp>
        <tr r="BF47" s="1"/>
        <tr r="BF47" s="1"/>
      </tp>
      <tp>
        <v>14625</v>
        <stp/>
        <stp>VOLUME</stp>
        <stp>.QQQ250516C500</stp>
        <tr r="BE47" s="1"/>
        <tr r="BE47" s="1"/>
      </tp>
      <tp>
        <v>50</v>
        <stp/>
        <stp>VOLUME</stp>
        <stp>.QQQ250516P501</stp>
        <tr r="BF46" s="1"/>
        <tr r="BF46" s="1"/>
      </tp>
      <tp>
        <v>1256</v>
        <stp/>
        <stp>VOLUME</stp>
        <stp>.QQQ250516C501</stp>
        <tr r="BE46" s="1"/>
        <tr r="BE46" s="1"/>
      </tp>
      <tp t="s">
        <v>N/A</v>
        <stp/>
        <stp>VOLUME</stp>
        <stp>.QQQ250508P500</stp>
        <tr r="BB47" s="1"/>
      </tp>
      <tp>
        <v>19</v>
        <stp/>
        <stp>VOLUME</stp>
        <stp>.QQQ250509P501</stp>
        <tr r="BD46" s="1"/>
        <tr r="BD46" s="1"/>
      </tp>
      <tp t="s">
        <v>N/A</v>
        <stp/>
        <stp>VOLUME</stp>
        <stp>.QQQ250508C500</stp>
        <tr r="BA47" s="1"/>
      </tp>
      <tp>
        <v>3367</v>
        <stp/>
        <stp>VOLUME</stp>
        <stp>.QQQ250509C501</stp>
        <tr r="BC46" s="1"/>
        <tr r="BC46" s="1"/>
      </tp>
      <tp t="s">
        <v>N/A</v>
        <stp/>
        <stp>VOLUME</stp>
        <stp>.QQQ250508P501</stp>
        <tr r="BB46" s="1"/>
      </tp>
      <tp>
        <v>464</v>
        <stp/>
        <stp>VOLUME</stp>
        <stp>.QQQ250509P500</stp>
        <tr r="BD47" s="1"/>
        <tr r="BD47" s="1"/>
      </tp>
      <tp t="s">
        <v>N/A</v>
        <stp/>
        <stp>VOLUME</stp>
        <stp>.QQQ250508C501</stp>
        <tr r="BA46" s="1"/>
      </tp>
      <tp>
        <v>10725</v>
        <stp/>
        <stp>VOLUME</stp>
        <stp>.QQQ250509C500</stp>
        <tr r="BC47" s="1"/>
        <tr r="BC47" s="1"/>
      </tp>
      <tp t="s">
        <v>N/A</v>
        <stp/>
        <stp>VOLUME</stp>
        <stp>.QQQ250508P502</stp>
        <tr r="BB45" s="1"/>
      </tp>
      <tp t="s">
        <v>N/A</v>
        <stp/>
        <stp>VOLUME</stp>
        <stp>.QQQ250508C502</stp>
        <tr r="BA45" s="1"/>
      </tp>
      <tp>
        <v>1</v>
        <stp/>
        <stp>VOLUME</stp>
        <stp>.QQQ250509P502</stp>
        <tr r="BD45" s="1"/>
        <tr r="BD45" s="1"/>
      </tp>
      <tp>
        <v>2333</v>
        <stp/>
        <stp>VOLUME</stp>
        <stp>.QQQ250509C502</stp>
        <tr r="BC45" s="1"/>
        <tr r="BC45" s="1"/>
      </tp>
      <tp>
        <v>212</v>
        <stp/>
        <stp>VOLUME</stp>
        <stp>.QQQ250530P500</stp>
        <tr r="I48" s="2"/>
        <tr r="I48" s="2"/>
      </tp>
      <tp>
        <v>5864</v>
        <stp/>
        <stp>VOLUME</stp>
        <stp>.QQQ250530C500</stp>
        <tr r="I48" s="2"/>
        <tr r="I48" s="2"/>
      </tp>
      <tp>
        <v>100</v>
        <stp/>
        <stp>VOLUME</stp>
        <stp>.QQQ250530P501</stp>
        <tr r="I47" s="2"/>
        <tr r="I47" s="2"/>
      </tp>
      <tp>
        <v>467</v>
        <stp/>
        <stp>VOLUME</stp>
        <stp>.QQQ250530C501</stp>
        <tr r="I47" s="2"/>
        <tr r="I47" s="2"/>
      </tp>
      <tp t="s">
        <v>N/A</v>
        <stp/>
        <stp>VOLUME</stp>
        <stp>.QQQ250530P502</stp>
        <tr r="I46" s="2"/>
      </tp>
      <tp>
        <v>17</v>
        <stp/>
        <stp>VOLUME</stp>
        <stp>.QQQ250530C502</stp>
        <tr r="I46" s="2"/>
        <tr r="I46" s="2"/>
      </tp>
      <tp>
        <v>206</v>
        <stp/>
        <stp>VOLUME</stp>
        <stp>.QQQ250523P502</stp>
        <tr r="H46" s="2"/>
        <tr r="H46" s="2"/>
      </tp>
      <tp>
        <v>42</v>
        <stp/>
        <stp>VOLUME</stp>
        <stp>.QQQ250523C502</stp>
        <tr r="H46" s="2"/>
        <tr r="H46" s="2"/>
      </tp>
      <tp>
        <v>114</v>
        <stp/>
        <stp>VOLUME</stp>
        <stp>.QQQ250523P501</stp>
        <tr r="H47" s="2"/>
        <tr r="H47" s="2"/>
      </tp>
      <tp>
        <v>22</v>
        <stp/>
        <stp>VOLUME</stp>
        <stp>.QQQ250523C501</stp>
        <tr r="H47" s="2"/>
        <tr r="H47" s="2"/>
      </tp>
      <tp>
        <v>329</v>
        <stp/>
        <stp>VOLUME</stp>
        <stp>.QQQ250523P500</stp>
        <tr r="H48" s="2"/>
        <tr r="H48" s="2"/>
      </tp>
      <tp>
        <v>6216</v>
        <stp/>
        <stp>VOLUME</stp>
        <stp>.QQQ250523C500</stp>
        <tr r="H48" s="2"/>
        <tr r="H48" s="2"/>
      </tp>
      <tp>
        <v>234.2</v>
        <stp/>
        <stp>BID</stp>
        <stp>.SPXW250508C5420</stp>
        <tr r="DE130" s="1"/>
        <tr r="DE130" s="1"/>
      </tp>
      <tp>
        <v>0</v>
        <stp/>
        <stp>BID</stp>
        <stp>.SPXW250508P5420</stp>
        <tr r="DF130" s="1"/>
        <tr r="DF130" s="1"/>
      </tp>
      <tp>
        <v>224.2</v>
        <stp/>
        <stp>BID</stp>
        <stp>.SPXW250508C5430</stp>
        <tr r="DE129" s="1"/>
        <tr r="DE129" s="1"/>
      </tp>
      <tp>
        <v>0</v>
        <stp/>
        <stp>BID</stp>
        <stp>.SPXW250508P5430</stp>
        <tr r="DF129" s="1"/>
        <tr r="DF129" s="1"/>
      </tp>
      <tp>
        <v>213.9</v>
        <stp/>
        <stp>BID</stp>
        <stp>.SPXW250508C5440</stp>
        <tr r="DE128" s="1"/>
        <tr r="DE128" s="1"/>
      </tp>
      <tp>
        <v>0</v>
        <stp/>
        <stp>BID</stp>
        <stp>.SPXW250508P5440</stp>
        <tr r="DF128" s="1"/>
        <tr r="DF128" s="1"/>
      </tp>
      <tp>
        <v>207.5</v>
        <stp/>
        <stp>BID</stp>
        <stp>.SPXW250508C5450</stp>
        <tr r="DE127" s="1"/>
        <tr r="DE127" s="1"/>
      </tp>
      <tp>
        <v>0</v>
        <stp/>
        <stp>BID</stp>
        <stp>.SPXW250508P5450</stp>
        <tr r="DF127" s="1"/>
        <tr r="DF127" s="1"/>
      </tp>
      <tp>
        <v>197.5</v>
        <stp/>
        <stp>BID</stp>
        <stp>.SPXW250508C5460</stp>
        <tr r="DE126" s="1"/>
        <tr r="DE126" s="1"/>
      </tp>
      <tp>
        <v>0</v>
        <stp/>
        <stp>BID</stp>
        <stp>.SPXW250508P5460</stp>
        <tr r="DF126" s="1"/>
        <tr r="DF126" s="1"/>
      </tp>
      <tp>
        <v>187.5</v>
        <stp/>
        <stp>BID</stp>
        <stp>.SPXW250508C5470</stp>
        <tr r="DE125" s="1"/>
        <tr r="DE125" s="1"/>
      </tp>
      <tp>
        <v>0</v>
        <stp/>
        <stp>BID</stp>
        <stp>.SPXW250508P5470</stp>
        <tr r="DF125" s="1"/>
        <tr r="DF125" s="1"/>
      </tp>
      <tp>
        <v>177.3</v>
        <stp/>
        <stp>BID</stp>
        <stp>.SPXW250508C5480</stp>
        <tr r="DE124" s="1"/>
        <tr r="DE124" s="1"/>
      </tp>
      <tp>
        <v>0</v>
        <stp/>
        <stp>BID</stp>
        <stp>.SPXW250508P5480</stp>
        <tr r="DF124" s="1"/>
        <tr r="DF124" s="1"/>
      </tp>
      <tp>
        <v>167.3</v>
        <stp/>
        <stp>BID</stp>
        <stp>.SPXW250508C5490</stp>
        <tr r="DE123" s="1"/>
        <tr r="DE123" s="1"/>
      </tp>
      <tp>
        <v>0</v>
        <stp/>
        <stp>BID</stp>
        <stp>.SPXW250508P5490</stp>
        <tr r="DF123" s="1"/>
        <tr r="DF123" s="1"/>
      </tp>
      <tp>
        <v>677</v>
        <stp/>
        <stp>VOLUME</stp>
        <stp>.QQQ250516P482</stp>
        <tr r="BF65" s="1"/>
        <tr r="BF65" s="1"/>
      </tp>
      <tp>
        <v>282</v>
        <stp/>
        <stp>VOLUME</stp>
        <stp>.QQQ250516C482</stp>
        <tr r="BE65" s="1"/>
        <tr r="BE65" s="1"/>
      </tp>
      <tp>
        <v>2102</v>
        <stp/>
        <stp>VOLUME</stp>
        <stp>.QQQ250516P483</stp>
        <tr r="BF64" s="1"/>
        <tr r="BF64" s="1"/>
      </tp>
      <tp>
        <v>121</v>
        <stp/>
        <stp>VOLUME</stp>
        <stp>.QQQ250516C483</stp>
        <tr r="BE64" s="1"/>
        <tr r="BE64" s="1"/>
      </tp>
      <tp>
        <v>12274</v>
        <stp/>
        <stp>VOLUME</stp>
        <stp>.QQQ250516P480</stp>
        <tr r="BF67" s="1"/>
        <tr r="BF67" s="1"/>
      </tp>
      <tp>
        <v>2188</v>
        <stp/>
        <stp>VOLUME</stp>
        <stp>.QQQ250516C480</stp>
        <tr r="BE67" s="1"/>
        <tr r="BE67" s="1"/>
      </tp>
      <tp>
        <v>367</v>
        <stp/>
        <stp>VOLUME</stp>
        <stp>.QQQ250516P481</stp>
        <tr r="BF66" s="1"/>
        <tr r="BF66" s="1"/>
      </tp>
      <tp>
        <v>70</v>
        <stp/>
        <stp>VOLUME</stp>
        <stp>.QQQ250516C481</stp>
        <tr r="BE66" s="1"/>
        <tr r="BE66" s="1"/>
      </tp>
      <tp t="s">
        <v>N/A</v>
        <stp/>
        <stp>VOLUME</stp>
        <stp>.QQQ250508P498</stp>
        <tr r="BB49" s="1"/>
      </tp>
      <tp>
        <v>50</v>
        <stp/>
        <stp>VOLUME</stp>
        <stp>.QQQ250509P499</stp>
        <tr r="BD48" s="1"/>
        <tr r="BD48" s="1"/>
      </tp>
      <tp>
        <v>1925</v>
        <stp/>
        <stp>VOLUME</stp>
        <stp>.QQQ250516P486</stp>
        <tr r="BF61" s="1"/>
        <tr r="BF61" s="1"/>
      </tp>
      <tp t="s">
        <v>N/A</v>
        <stp/>
        <stp>VOLUME</stp>
        <stp>.QQQ250508C498</stp>
        <tr r="BA49" s="1"/>
      </tp>
      <tp>
        <v>3314</v>
        <stp/>
        <stp>VOLUME</stp>
        <stp>.QQQ250509C499</stp>
        <tr r="BC48" s="1"/>
        <tr r="BC48" s="1"/>
      </tp>
      <tp>
        <v>1695</v>
        <stp/>
        <stp>VOLUME</stp>
        <stp>.QQQ250516C486</stp>
        <tr r="BE61" s="1"/>
        <tr r="BE61" s="1"/>
      </tp>
      <tp t="s">
        <v>N/A</v>
        <stp/>
        <stp>VOLUME</stp>
        <stp>.QQQ250508P499</stp>
        <tr r="BB48" s="1"/>
      </tp>
      <tp>
        <v>209</v>
        <stp/>
        <stp>VOLUME</stp>
        <stp>.QQQ250509P498</stp>
        <tr r="BD49" s="1"/>
        <tr r="BD49" s="1"/>
      </tp>
      <tp>
        <v>3102</v>
        <stp/>
        <stp>VOLUME</stp>
        <stp>.QQQ250516P487</stp>
        <tr r="BF60" s="1"/>
        <tr r="BF60" s="1"/>
      </tp>
      <tp t="s">
        <v>N/A</v>
        <stp/>
        <stp>VOLUME</stp>
        <stp>.QQQ250508C499</stp>
        <tr r="BA48" s="1"/>
      </tp>
      <tp>
        <v>10702</v>
        <stp/>
        <stp>VOLUME</stp>
        <stp>.QQQ250509C498</stp>
        <tr r="BC49" s="1"/>
        <tr r="BC49" s="1"/>
      </tp>
      <tp>
        <v>1238</v>
        <stp/>
        <stp>VOLUME</stp>
        <stp>.QQQ250516C487</stp>
        <tr r="BE60" s="1"/>
        <tr r="BE60" s="1"/>
      </tp>
      <tp>
        <v>1556</v>
        <stp/>
        <stp>VOLUME</stp>
        <stp>.QQQ250516P484</stp>
        <tr r="BF63" s="1"/>
        <tr r="BF63" s="1"/>
      </tp>
      <tp>
        <v>115</v>
        <stp/>
        <stp>VOLUME</stp>
        <stp>.QQQ250516C484</stp>
        <tr r="BE63" s="1"/>
        <tr r="BE63" s="1"/>
      </tp>
      <tp>
        <v>13735</v>
        <stp/>
        <stp>VOLUME</stp>
        <stp>.QQQ250516P485</stp>
        <tr r="BF62" s="1"/>
        <tr r="BF62" s="1"/>
      </tp>
      <tp>
        <v>2375</v>
        <stp/>
        <stp>VOLUME</stp>
        <stp>.QQQ250516C485</stp>
        <tr r="BE62" s="1"/>
        <tr r="BE62" s="1"/>
      </tp>
      <tp t="s">
        <v>N/A</v>
        <stp/>
        <stp>VOLUME</stp>
        <stp>.QQQ250508P494</stp>
        <tr r="BB53" s="1"/>
      </tp>
      <tp>
        <v>4253</v>
        <stp/>
        <stp>VOLUME</stp>
        <stp>.QQQ250509P495</stp>
        <tr r="BD52" s="1"/>
        <tr r="BD52" s="1"/>
      </tp>
      <tp t="s">
        <v>N/A</v>
        <stp/>
        <stp>VOLUME</stp>
        <stp>.QQQ250508C494</stp>
        <tr r="BA53" s="1"/>
      </tp>
      <tp>
        <v>71389</v>
        <stp/>
        <stp>VOLUME</stp>
        <stp>.QQQ250509C495</stp>
        <tr r="BC52" s="1"/>
        <tr r="BC52" s="1"/>
      </tp>
      <tp t="s">
        <v>N/A</v>
        <stp/>
        <stp>VOLUME</stp>
        <stp>.QQQ250508P495</stp>
        <tr r="BB52" s="1"/>
      </tp>
      <tp>
        <v>783</v>
        <stp/>
        <stp>VOLUME</stp>
        <stp>.QQQ250509P494</stp>
        <tr r="BD53" s="1"/>
        <tr r="BD53" s="1"/>
      </tp>
      <tp t="s">
        <v>N/A</v>
        <stp/>
        <stp>VOLUME</stp>
        <stp>.QQQ250508C495</stp>
        <tr r="BA52" s="1"/>
      </tp>
      <tp>
        <v>36320</v>
        <stp/>
        <stp>VOLUME</stp>
        <stp>.QQQ250509C494</stp>
        <tr r="BC53" s="1"/>
        <tr r="BC53" s="1"/>
      </tp>
      <tp t="s">
        <v>N/A</v>
        <stp/>
        <stp>VOLUME</stp>
        <stp>.QQQ250508P496</stp>
        <tr r="BB51" s="1"/>
      </tp>
      <tp>
        <v>191</v>
        <stp/>
        <stp>VOLUME</stp>
        <stp>.QQQ250509P497</stp>
        <tr r="BD50" s="1"/>
        <tr r="BD50" s="1"/>
      </tp>
      <tp>
        <v>2184</v>
        <stp/>
        <stp>VOLUME</stp>
        <stp>.QQQ250516P488</stp>
        <tr r="BF59" s="1"/>
        <tr r="BF59" s="1"/>
      </tp>
      <tp t="s">
        <v>N/A</v>
        <stp/>
        <stp>VOLUME</stp>
        <stp>.QQQ250508C496</stp>
        <tr r="BA51" s="1"/>
      </tp>
      <tp>
        <v>12075</v>
        <stp/>
        <stp>VOLUME</stp>
        <stp>.QQQ250509C497</stp>
        <tr r="BC50" s="1"/>
        <tr r="BC50" s="1"/>
      </tp>
      <tp>
        <v>1844</v>
        <stp/>
        <stp>VOLUME</stp>
        <stp>.QQQ250516C488</stp>
        <tr r="BE59" s="1"/>
        <tr r="BE59" s="1"/>
      </tp>
      <tp t="s">
        <v>N/A</v>
        <stp/>
        <stp>VOLUME</stp>
        <stp>.QQQ250508P497</stp>
        <tr r="BB50" s="1"/>
      </tp>
      <tp>
        <v>414</v>
        <stp/>
        <stp>VOLUME</stp>
        <stp>.QQQ250509P496</stp>
        <tr r="BD51" s="1"/>
        <tr r="BD51" s="1"/>
      </tp>
      <tp>
        <v>2013</v>
        <stp/>
        <stp>VOLUME</stp>
        <stp>.QQQ250516P489</stp>
        <tr r="BF58" s="1"/>
        <tr r="BF58" s="1"/>
      </tp>
      <tp t="s">
        <v>N/A</v>
        <stp/>
        <stp>VOLUME</stp>
        <stp>.QQQ250508C497</stp>
        <tr r="BA50" s="1"/>
      </tp>
      <tp>
        <v>17493</v>
        <stp/>
        <stp>VOLUME</stp>
        <stp>.QQQ250509C496</stp>
        <tr r="BC51" s="1"/>
        <tr r="BC51" s="1"/>
      </tp>
      <tp>
        <v>2745</v>
        <stp/>
        <stp>VOLUME</stp>
        <stp>.QQQ250516C489</stp>
        <tr r="BE58" s="1"/>
        <tr r="BE58" s="1"/>
      </tp>
      <tp t="s">
        <v>N/A</v>
        <stp/>
        <stp>VOLUME</stp>
        <stp>.QQQ250508P490</stp>
        <tr r="BB57" s="1"/>
      </tp>
      <tp>
        <v>28296</v>
        <stp/>
        <stp>VOLUME</stp>
        <stp>.QQQ250509P491</stp>
        <tr r="BD56" s="1"/>
        <tr r="BD56" s="1"/>
      </tp>
      <tp t="s">
        <v>N/A</v>
        <stp/>
        <stp>VOLUME</stp>
        <stp>.QQQ250508C490</stp>
        <tr r="BA57" s="1"/>
      </tp>
      <tp>
        <v>125611</v>
        <stp/>
        <stp>VOLUME</stp>
        <stp>.QQQ250509C491</stp>
        <tr r="BC56" s="1"/>
        <tr r="BC56" s="1"/>
      </tp>
      <tp t="s">
        <v>N/A</v>
        <stp/>
        <stp>VOLUME</stp>
        <stp>.QQQ250508P491</stp>
        <tr r="BB56" s="1"/>
      </tp>
      <tp>
        <v>80050</v>
        <stp/>
        <stp>VOLUME</stp>
        <stp>.QQQ250509P490</stp>
        <tr r="BD57" s="1"/>
        <tr r="BD57" s="1"/>
      </tp>
      <tp t="s">
        <v>N/A</v>
        <stp/>
        <stp>VOLUME</stp>
        <stp>.QQQ250508C491</stp>
        <tr r="BA56" s="1"/>
      </tp>
      <tp>
        <v>172339</v>
        <stp/>
        <stp>VOLUME</stp>
        <stp>.QQQ250509C490</stp>
        <tr r="BC57" s="1"/>
        <tr r="BC57" s="1"/>
      </tp>
      <tp t="s">
        <v>N/A</v>
        <stp/>
        <stp>VOLUME</stp>
        <stp>.QQQ250508P492</stp>
        <tr r="BB55" s="1"/>
      </tp>
      <tp>
        <v>3069</v>
        <stp/>
        <stp>VOLUME</stp>
        <stp>.QQQ250509P493</stp>
        <tr r="BD54" s="1"/>
        <tr r="BD54" s="1"/>
      </tp>
      <tp t="s">
        <v>N/A</v>
        <stp/>
        <stp>VOLUME</stp>
        <stp>.QQQ250508C492</stp>
        <tr r="BA55" s="1"/>
      </tp>
      <tp>
        <v>74644</v>
        <stp/>
        <stp>VOLUME</stp>
        <stp>.QQQ250509C493</stp>
        <tr r="BC54" s="1"/>
        <tr r="BC54" s="1"/>
      </tp>
      <tp t="s">
        <v>N/A</v>
        <stp/>
        <stp>VOLUME</stp>
        <stp>.QQQ250508P493</stp>
        <tr r="BB54" s="1"/>
      </tp>
      <tp>
        <v>11255</v>
        <stp/>
        <stp>VOLUME</stp>
        <stp>.QQQ250509P492</stp>
        <tr r="BD55" s="1"/>
        <tr r="BD55" s="1"/>
      </tp>
      <tp t="s">
        <v>N/A</v>
        <stp/>
        <stp>VOLUME</stp>
        <stp>.QQQ250508C493</stp>
        <tr r="BA54" s="1"/>
      </tp>
      <tp>
        <v>97017</v>
        <stp/>
        <stp>VOLUME</stp>
        <stp>.QQQ250509C492</stp>
        <tr r="BC55" s="1"/>
        <tr r="BC55" s="1"/>
      </tp>
      <tp>
        <v>521</v>
        <stp/>
        <stp>VOLUME</stp>
        <stp>.QQQ250516P492</stp>
        <tr r="BF55" s="1"/>
        <tr r="BF55" s="1"/>
      </tp>
      <tp>
        <v>2465</v>
        <stp/>
        <stp>VOLUME</stp>
        <stp>.QQQ250516C492</stp>
        <tr r="BE55" s="1"/>
        <tr r="BE55" s="1"/>
      </tp>
      <tp>
        <v>285</v>
        <stp/>
        <stp>VOLUME</stp>
        <stp>.QQQ250516P493</stp>
        <tr r="BF54" s="1"/>
        <tr r="BF54" s="1"/>
      </tp>
      <tp>
        <v>1576</v>
        <stp/>
        <stp>VOLUME</stp>
        <stp>.QQQ250516C493</stp>
        <tr r="BE54" s="1"/>
        <tr r="BE54" s="1"/>
      </tp>
      <tp>
        <v>10614</v>
        <stp/>
        <stp>VOLUME</stp>
        <stp>.QQQ250516P490</stp>
        <tr r="BF57" s="1"/>
        <tr r="BF57" s="1"/>
      </tp>
      <tp>
        <v>16143</v>
        <stp/>
        <stp>VOLUME</stp>
        <stp>.QQQ250516C490</stp>
        <tr r="BE57" s="1"/>
        <tr r="BE57" s="1"/>
      </tp>
      <tp>
        <v>1071</v>
        <stp/>
        <stp>VOLUME</stp>
        <stp>.QQQ250516P491</stp>
        <tr r="BF56" s="1"/>
        <tr r="BF56" s="1"/>
      </tp>
      <tp>
        <v>2095</v>
        <stp/>
        <stp>VOLUME</stp>
        <stp>.QQQ250516C491</stp>
        <tr r="BE56" s="1"/>
        <tr r="BE56" s="1"/>
      </tp>
      <tp t="s">
        <v>N/A</v>
        <stp/>
        <stp>VOLUME</stp>
        <stp>.QQQ250508P488</stp>
        <tr r="BB59" s="1"/>
      </tp>
      <tp>
        <v>77159</v>
        <stp/>
        <stp>VOLUME</stp>
        <stp>.QQQ250509P489</stp>
        <tr r="BD58" s="1"/>
        <tr r="BD58" s="1"/>
      </tp>
      <tp>
        <v>40</v>
        <stp/>
        <stp>VOLUME</stp>
        <stp>.QQQ250516P496</stp>
        <tr r="BF51" s="1"/>
        <tr r="BF51" s="1"/>
      </tp>
      <tp t="s">
        <v>N/A</v>
        <stp/>
        <stp>VOLUME</stp>
        <stp>.QQQ250508C488</stp>
        <tr r="BA59" s="1"/>
      </tp>
      <tp>
        <v>147460</v>
        <stp/>
        <stp>VOLUME</stp>
        <stp>.QQQ250509C489</stp>
        <tr r="BC58" s="1"/>
        <tr r="BC58" s="1"/>
      </tp>
      <tp>
        <v>1114</v>
        <stp/>
        <stp>VOLUME</stp>
        <stp>.QQQ250516C496</stp>
        <tr r="BE51" s="1"/>
        <tr r="BE51" s="1"/>
      </tp>
      <tp t="s">
        <v>N/A</v>
        <stp/>
        <stp>VOLUME</stp>
        <stp>.QQQ250508P489</stp>
        <tr r="BB58" s="1"/>
      </tp>
      <tp>
        <v>167184</v>
        <stp/>
        <stp>VOLUME</stp>
        <stp>.QQQ250509P488</stp>
        <tr r="BD59" s="1"/>
        <tr r="BD59" s="1"/>
      </tp>
      <tp>
        <v>30</v>
        <stp/>
        <stp>VOLUME</stp>
        <stp>.QQQ250516P497</stp>
        <tr r="BF50" s="1"/>
        <tr r="BF50" s="1"/>
      </tp>
      <tp t="s">
        <v>N/A</v>
        <stp/>
        <stp>VOLUME</stp>
        <stp>.QQQ250508C489</stp>
        <tr r="BA58" s="1"/>
      </tp>
      <tp>
        <v>134820</v>
        <stp/>
        <stp>VOLUME</stp>
        <stp>.QQQ250509C488</stp>
        <tr r="BC59" s="1"/>
        <tr r="BC59" s="1"/>
      </tp>
      <tp>
        <v>779</v>
        <stp/>
        <stp>VOLUME</stp>
        <stp>.QQQ250516C497</stp>
        <tr r="BE50" s="1"/>
        <tr r="BE50" s="1"/>
      </tp>
      <tp>
        <v>316</v>
        <stp/>
        <stp>VOLUME</stp>
        <stp>.QQQ250516P494</stp>
        <tr r="BF53" s="1"/>
        <tr r="BF53" s="1"/>
      </tp>
      <tp>
        <v>1093</v>
        <stp/>
        <stp>VOLUME</stp>
        <stp>.QQQ250516C494</stp>
        <tr r="BE53" s="1"/>
        <tr r="BE53" s="1"/>
      </tp>
      <tp>
        <v>952</v>
        <stp/>
        <stp>VOLUME</stp>
        <stp>.QQQ250516P495</stp>
        <tr r="BF52" s="1"/>
        <tr r="BF52" s="1"/>
      </tp>
      <tp>
        <v>5633</v>
        <stp/>
        <stp>VOLUME</stp>
        <stp>.QQQ250516C495</stp>
        <tr r="BE52" s="1"/>
        <tr r="BE52" s="1"/>
      </tp>
      <tp t="s">
        <v>N/A</v>
        <stp/>
        <stp>VOLUME</stp>
        <stp>.QQQ250508P484</stp>
        <tr r="BB63" s="1"/>
      </tp>
      <tp>
        <v>100444</v>
        <stp/>
        <stp>VOLUME</stp>
        <stp>.QQQ250509P485</stp>
        <tr r="BD62" s="1"/>
        <tr r="BD62" s="1"/>
      </tp>
      <tp t="s">
        <v>N/A</v>
        <stp/>
        <stp>VOLUME</stp>
        <stp>.QQQ250508C484</stp>
        <tr r="BA63" s="1"/>
      </tp>
      <tp>
        <v>16198</v>
        <stp/>
        <stp>VOLUME</stp>
        <stp>.QQQ250509C485</stp>
        <tr r="BC62" s="1"/>
        <tr r="BC62" s="1"/>
      </tp>
      <tp t="s">
        <v>N/A</v>
        <stp/>
        <stp>VOLUME</stp>
        <stp>.QQQ250508P485</stp>
        <tr r="BB62" s="1"/>
      </tp>
      <tp>
        <v>48368</v>
        <stp/>
        <stp>VOLUME</stp>
        <stp>.QQQ250509P484</stp>
        <tr r="BD63" s="1"/>
        <tr r="BD63" s="1"/>
      </tp>
      <tp t="s">
        <v>N/A</v>
        <stp/>
        <stp>VOLUME</stp>
        <stp>.QQQ250508C485</stp>
        <tr r="BA62" s="1"/>
      </tp>
      <tp>
        <v>4274</v>
        <stp/>
        <stp>VOLUME</stp>
        <stp>.QQQ250509C484</stp>
        <tr r="BC63" s="1"/>
        <tr r="BC63" s="1"/>
      </tp>
      <tp t="s">
        <v>N/A</v>
        <stp/>
        <stp>VOLUME</stp>
        <stp>.QQQ250508P486</stp>
        <tr r="BB61" s="1"/>
      </tp>
      <tp>
        <v>110290</v>
        <stp/>
        <stp>VOLUME</stp>
        <stp>.QQQ250509P487</stp>
        <tr r="BD60" s="1"/>
        <tr r="BD60" s="1"/>
      </tp>
      <tp>
        <v>17</v>
        <stp/>
        <stp>VOLUME</stp>
        <stp>.QQQ250516P498</stp>
        <tr r="BF49" s="1"/>
        <tr r="BF49" s="1"/>
      </tp>
      <tp t="s">
        <v>N/A</v>
        <stp/>
        <stp>VOLUME</stp>
        <stp>.QQQ250508C486</stp>
        <tr r="BA61" s="1"/>
      </tp>
      <tp>
        <v>57949</v>
        <stp/>
        <stp>VOLUME</stp>
        <stp>.QQQ250509C487</stp>
        <tr r="BC60" s="1"/>
        <tr r="BC60" s="1"/>
      </tp>
      <tp>
        <v>948</v>
        <stp/>
        <stp>VOLUME</stp>
        <stp>.QQQ250516C498</stp>
        <tr r="BE49" s="1"/>
        <tr r="BE49" s="1"/>
      </tp>
      <tp t="s">
        <v>N/A</v>
        <stp/>
        <stp>VOLUME</stp>
        <stp>.QQQ250508P487</stp>
        <tr r="BB60" s="1"/>
      </tp>
      <tp>
        <v>109390</v>
        <stp/>
        <stp>VOLUME</stp>
        <stp>.QQQ250509P486</stp>
        <tr r="BD61" s="1"/>
        <tr r="BD61" s="1"/>
      </tp>
      <tp>
        <v>50</v>
        <stp/>
        <stp>VOLUME</stp>
        <stp>.QQQ250516P499</stp>
        <tr r="BF48" s="1"/>
        <tr r="BF48" s="1"/>
      </tp>
      <tp t="s">
        <v>N/A</v>
        <stp/>
        <stp>VOLUME</stp>
        <stp>.QQQ250508C487</stp>
        <tr r="BA60" s="1"/>
      </tp>
      <tp>
        <v>17501</v>
        <stp/>
        <stp>VOLUME</stp>
        <stp>.QQQ250509C486</stp>
        <tr r="BC61" s="1"/>
        <tr r="BC61" s="1"/>
      </tp>
      <tp>
        <v>666</v>
        <stp/>
        <stp>VOLUME</stp>
        <stp>.QQQ250516C499</stp>
        <tr r="BE48" s="1"/>
        <tr r="BE48" s="1"/>
      </tp>
      <tp t="s">
        <v>N/A</v>
        <stp/>
        <stp>VOLUME</stp>
        <stp>.QQQ250508P480</stp>
        <tr r="BB67" s="1"/>
      </tp>
      <tp>
        <v>9331</v>
        <stp/>
        <stp>VOLUME</stp>
        <stp>.QQQ250509P481</stp>
        <tr r="BD66" s="1"/>
        <tr r="BD66" s="1"/>
      </tp>
      <tp t="s">
        <v>N/A</v>
        <stp/>
        <stp>VOLUME</stp>
        <stp>.QQQ250508C480</stp>
        <tr r="BA67" s="1"/>
      </tp>
      <tp>
        <v>559</v>
        <stp/>
        <stp>VOLUME</stp>
        <stp>.QQQ250509C481</stp>
        <tr r="BC66" s="1"/>
        <tr r="BC66" s="1"/>
      </tp>
      <tp t="s">
        <v>N/A</v>
        <stp/>
        <stp>VOLUME</stp>
        <stp>.QQQ250508P481</stp>
        <tr r="BB66" s="1"/>
      </tp>
      <tp>
        <v>29076</v>
        <stp/>
        <stp>VOLUME</stp>
        <stp>.QQQ250509P480</stp>
        <tr r="BD67" s="1"/>
        <tr r="BD67" s="1"/>
      </tp>
      <tp t="s">
        <v>N/A</v>
        <stp/>
        <stp>VOLUME</stp>
        <stp>.QQQ250508C481</stp>
        <tr r="BA66" s="1"/>
      </tp>
      <tp>
        <v>2151</v>
        <stp/>
        <stp>VOLUME</stp>
        <stp>.QQQ250509C480</stp>
        <tr r="BC67" s="1"/>
        <tr r="BC67" s="1"/>
      </tp>
      <tp t="s">
        <v>N/A</v>
        <stp/>
        <stp>VOLUME</stp>
        <stp>.QQQ250508P482</stp>
        <tr r="BB65" s="1"/>
      </tp>
      <tp>
        <v>33256</v>
        <stp/>
        <stp>VOLUME</stp>
        <stp>.QQQ250509P483</stp>
        <tr r="BD64" s="1"/>
        <tr r="BD64" s="1"/>
      </tp>
      <tp t="s">
        <v>N/A</v>
        <stp/>
        <stp>VOLUME</stp>
        <stp>.QQQ250508C482</stp>
        <tr r="BA65" s="1"/>
      </tp>
      <tp>
        <v>3086</v>
        <stp/>
        <stp>VOLUME</stp>
        <stp>.QQQ250509C483</stp>
        <tr r="BC64" s="1"/>
        <tr r="BC64" s="1"/>
      </tp>
      <tp t="s">
        <v>N/A</v>
        <stp/>
        <stp>VOLUME</stp>
        <stp>.QQQ250508P483</stp>
        <tr r="BB64" s="1"/>
      </tp>
      <tp>
        <v>16319</v>
        <stp/>
        <stp>VOLUME</stp>
        <stp>.QQQ250509P482</stp>
        <tr r="BD65" s="1"/>
        <tr r="BD65" s="1"/>
      </tp>
      <tp t="s">
        <v>N/A</v>
        <stp/>
        <stp>VOLUME</stp>
        <stp>.QQQ250508C483</stp>
        <tr r="BA64" s="1"/>
      </tp>
      <tp>
        <v>1244</v>
        <stp/>
        <stp>VOLUME</stp>
        <stp>.QQQ250509C482</stp>
        <tr r="BC65" s="1"/>
        <tr r="BC65" s="1"/>
      </tp>
      <tp>
        <v>121</v>
        <stp/>
        <stp>VOLUME</stp>
        <stp>.QQQ250523P497</stp>
        <tr r="H51" s="2"/>
        <tr r="H51" s="2"/>
      </tp>
      <tp>
        <v>1785</v>
        <stp/>
        <stp>VOLUME</stp>
        <stp>.QQQ250530P484</stp>
        <tr r="I64" s="2"/>
        <tr r="I64" s="2"/>
      </tp>
      <tp>
        <v>303</v>
        <stp/>
        <stp>VOLUME</stp>
        <stp>.QQQ250523C497</stp>
        <tr r="H51" s="2"/>
        <tr r="H51" s="2"/>
      </tp>
      <tp>
        <v>19</v>
        <stp/>
        <stp>VOLUME</stp>
        <stp>.QQQ250530C484</stp>
        <tr r="I64" s="2"/>
        <tr r="I64" s="2"/>
      </tp>
      <tp>
        <v>80</v>
        <stp/>
        <stp>VOLUME</stp>
        <stp>.QQQ250523P496</stp>
        <tr r="H52" s="2"/>
        <tr r="H52" s="2"/>
      </tp>
      <tp>
        <v>1007</v>
        <stp/>
        <stp>VOLUME</stp>
        <stp>.QQQ250530P485</stp>
        <tr r="I63" s="2"/>
        <tr r="I63" s="2"/>
      </tp>
      <tp>
        <v>92</v>
        <stp/>
        <stp>VOLUME</stp>
        <stp>.QQQ250523C496</stp>
        <tr r="H52" s="2"/>
        <tr r="H52" s="2"/>
      </tp>
      <tp>
        <v>745</v>
        <stp/>
        <stp>VOLUME</stp>
        <stp>.QQQ250530C485</stp>
        <tr r="I63" s="2"/>
        <tr r="I63" s="2"/>
      </tp>
      <tp>
        <v>38</v>
        <stp/>
        <stp>VOLUME</stp>
        <stp>.QQQ250523P495</stp>
        <tr r="H53" s="2"/>
        <tr r="H53" s="2"/>
      </tp>
      <tp>
        <v>314</v>
        <stp/>
        <stp>VOLUME</stp>
        <stp>.QQQ250530P486</stp>
        <tr r="I62" s="2"/>
        <tr r="I62" s="2"/>
      </tp>
      <tp>
        <v>622</v>
        <stp/>
        <stp>VOLUME</stp>
        <stp>.QQQ250523C495</stp>
        <tr r="H53" s="2"/>
        <tr r="H53" s="2"/>
      </tp>
      <tp>
        <v>77</v>
        <stp/>
        <stp>VOLUME</stp>
        <stp>.QQQ250530C486</stp>
        <tr r="I62" s="2"/>
        <tr r="I62" s="2"/>
      </tp>
      <tp>
        <v>5</v>
        <stp/>
        <stp>VOLUME</stp>
        <stp>.QQQ250523P494</stp>
        <tr r="H54" s="2"/>
        <tr r="H54" s="2"/>
      </tp>
      <tp>
        <v>338</v>
        <stp/>
        <stp>VOLUME</stp>
        <stp>.QQQ250530P487</stp>
        <tr r="I61" s="2"/>
        <tr r="I61" s="2"/>
      </tp>
      <tp>
        <v>140</v>
        <stp/>
        <stp>VOLUME</stp>
        <stp>.QQQ250523C494</stp>
        <tr r="H54" s="2"/>
        <tr r="H54" s="2"/>
      </tp>
      <tp>
        <v>143</v>
        <stp/>
        <stp>VOLUME</stp>
        <stp>.QQQ250530C487</stp>
        <tr r="I61" s="2"/>
        <tr r="I61" s="2"/>
      </tp>
      <tp>
        <v>39</v>
        <stp/>
        <stp>VOLUME</stp>
        <stp>.QQQ250523P493</stp>
        <tr r="H55" s="2"/>
        <tr r="H55" s="2"/>
      </tp>
      <tp>
        <v>5294</v>
        <stp/>
        <stp>VOLUME</stp>
        <stp>.QQQ250530P480</stp>
        <tr r="I68" s="2"/>
        <tr r="I68" s="2"/>
      </tp>
      <tp>
        <v>66</v>
        <stp/>
        <stp>VOLUME</stp>
        <stp>.QQQ250523C493</stp>
        <tr r="H55" s="2"/>
        <tr r="H55" s="2"/>
      </tp>
      <tp>
        <v>113</v>
        <stp/>
        <stp>VOLUME</stp>
        <stp>.QQQ250530C480</stp>
        <tr r="I68" s="2"/>
        <tr r="I68" s="2"/>
      </tp>
      <tp>
        <v>43</v>
        <stp/>
        <stp>VOLUME</stp>
        <stp>.QQQ250523P492</stp>
        <tr r="H56" s="2"/>
        <tr r="H56" s="2"/>
      </tp>
      <tp>
        <v>15</v>
        <stp/>
        <stp>VOLUME</stp>
        <stp>.QQQ250530P481</stp>
        <tr r="I67" s="2"/>
        <tr r="I67" s="2"/>
      </tp>
      <tp>
        <v>498</v>
        <stp/>
        <stp>VOLUME</stp>
        <stp>.QQQ250523C492</stp>
        <tr r="H56" s="2"/>
        <tr r="H56" s="2"/>
      </tp>
      <tp>
        <v>68</v>
        <stp/>
        <stp>VOLUME</stp>
        <stp>.QQQ250530C481</stp>
        <tr r="I67" s="2"/>
        <tr r="I67" s="2"/>
      </tp>
      <tp>
        <v>317</v>
        <stp/>
        <stp>VOLUME</stp>
        <stp>.QQQ250523P491</stp>
        <tr r="H57" s="2"/>
        <tr r="H57" s="2"/>
      </tp>
      <tp>
        <v>108</v>
        <stp/>
        <stp>VOLUME</stp>
        <stp>.QQQ250530P482</stp>
        <tr r="I66" s="2"/>
        <tr r="I66" s="2"/>
      </tp>
      <tp>
        <v>1581</v>
        <stp/>
        <stp>VOLUME</stp>
        <stp>.QQQ250523C491</stp>
        <tr r="H57" s="2"/>
        <tr r="H57" s="2"/>
      </tp>
      <tp>
        <v>203</v>
        <stp/>
        <stp>VOLUME</stp>
        <stp>.QQQ250530C482</stp>
        <tr r="I66" s="2"/>
        <tr r="I66" s="2"/>
      </tp>
      <tp>
        <v>2250</v>
        <stp/>
        <stp>VOLUME</stp>
        <stp>.QQQ250523P490</stp>
        <tr r="H58" s="2"/>
        <tr r="H58" s="2"/>
      </tp>
      <tp>
        <v>123</v>
        <stp/>
        <stp>VOLUME</stp>
        <stp>.QQQ250530P483</stp>
        <tr r="I65" s="2"/>
        <tr r="I65" s="2"/>
      </tp>
      <tp>
        <v>2274</v>
        <stp/>
        <stp>VOLUME</stp>
        <stp>.QQQ250523C490</stp>
        <tr r="H58" s="2"/>
        <tr r="H58" s="2"/>
      </tp>
      <tp>
        <v>5</v>
        <stp/>
        <stp>VOLUME</stp>
        <stp>.QQQ250530C483</stp>
        <tr r="I65" s="2"/>
        <tr r="I65" s="2"/>
      </tp>
      <tp>
        <v>495</v>
        <stp/>
        <stp>VOLUME</stp>
        <stp>.QQQ250530P488</stp>
        <tr r="I60" s="2"/>
        <tr r="I60" s="2"/>
      </tp>
      <tp>
        <v>221</v>
        <stp/>
        <stp>VOLUME</stp>
        <stp>.QQQ250530C488</stp>
        <tr r="I60" s="2"/>
        <tr r="I60" s="2"/>
      </tp>
      <tp>
        <v>224</v>
        <stp/>
        <stp>VOLUME</stp>
        <stp>.QQQ250530P489</stp>
        <tr r="I59" s="2"/>
        <tr r="I59" s="2"/>
      </tp>
      <tp>
        <v>87</v>
        <stp/>
        <stp>VOLUME</stp>
        <stp>.QQQ250530C489</stp>
        <tr r="I59" s="2"/>
        <tr r="I59" s="2"/>
      </tp>
      <tp>
        <v>248</v>
        <stp/>
        <stp>VOLUME</stp>
        <stp>.QQQ250523P499</stp>
        <tr r="H49" s="2"/>
        <tr r="H49" s="2"/>
      </tp>
      <tp>
        <v>20</v>
        <stp/>
        <stp>VOLUME</stp>
        <stp>.QQQ250523C499</stp>
        <tr r="H49" s="2"/>
        <tr r="H49" s="2"/>
      </tp>
      <tp>
        <v>4</v>
        <stp/>
        <stp>VOLUME</stp>
        <stp>.QQQ250523P498</stp>
        <tr r="H50" s="2"/>
        <tr r="H50" s="2"/>
      </tp>
      <tp>
        <v>66</v>
        <stp/>
        <stp>VOLUME</stp>
        <stp>.QQQ250523C498</stp>
        <tr r="H50" s="2"/>
        <tr r="H50" s="2"/>
      </tp>
      <tp>
        <v>408</v>
        <stp/>
        <stp>VOLUME</stp>
        <stp>.QQQ250523P487</stp>
        <tr r="H61" s="2"/>
        <tr r="H61" s="2"/>
      </tp>
      <tp>
        <v>3</v>
        <stp/>
        <stp>VOLUME</stp>
        <stp>.QQQ250530P494</stp>
        <tr r="I54" s="2"/>
        <tr r="I54" s="2"/>
      </tp>
      <tp>
        <v>124</v>
        <stp/>
        <stp>VOLUME</stp>
        <stp>.QQQ250523C487</stp>
        <tr r="H61" s="2"/>
        <tr r="H61" s="2"/>
      </tp>
      <tp>
        <v>26</v>
        <stp/>
        <stp>VOLUME</stp>
        <stp>.QQQ250530C494</stp>
        <tr r="I54" s="2"/>
        <tr r="I54" s="2"/>
      </tp>
      <tp>
        <v>349</v>
        <stp/>
        <stp>VOLUME</stp>
        <stp>.QQQ250523P486</stp>
        <tr r="H62" s="2"/>
        <tr r="H62" s="2"/>
      </tp>
      <tp>
        <v>64</v>
        <stp/>
        <stp>VOLUME</stp>
        <stp>.QQQ250530P495</stp>
        <tr r="I53" s="2"/>
        <tr r="I53" s="2"/>
      </tp>
      <tp>
        <v>59</v>
        <stp/>
        <stp>VOLUME</stp>
        <stp>.QQQ250523C486</stp>
        <tr r="H62" s="2"/>
        <tr r="H62" s="2"/>
      </tp>
      <tp>
        <v>709</v>
        <stp/>
        <stp>VOLUME</stp>
        <stp>.QQQ250530C495</stp>
        <tr r="I53" s="2"/>
        <tr r="I53" s="2"/>
      </tp>
      <tp>
        <v>2484</v>
        <stp/>
        <stp>VOLUME</stp>
        <stp>.QQQ250523P485</stp>
        <tr r="H63" s="2"/>
        <tr r="H63" s="2"/>
      </tp>
      <tp>
        <v>2</v>
        <stp/>
        <stp>VOLUME</stp>
        <stp>.QQQ250530P496</stp>
        <tr r="I52" s="2"/>
        <tr r="I52" s="2"/>
      </tp>
      <tp>
        <v>415</v>
        <stp/>
        <stp>VOLUME</stp>
        <stp>.QQQ250523C485</stp>
        <tr r="H63" s="2"/>
        <tr r="H63" s="2"/>
      </tp>
      <tp>
        <v>59</v>
        <stp/>
        <stp>VOLUME</stp>
        <stp>.QQQ250530C496</stp>
        <tr r="I52" s="2"/>
        <tr r="I52" s="2"/>
      </tp>
      <tp>
        <v>107</v>
        <stp/>
        <stp>VOLUME</stp>
        <stp>.QQQ250523P484</stp>
        <tr r="H64" s="2"/>
        <tr r="H64" s="2"/>
      </tp>
      <tp>
        <v>7</v>
        <stp/>
        <stp>VOLUME</stp>
        <stp>.QQQ250530P497</stp>
        <tr r="I51" s="2"/>
        <tr r="I51" s="2"/>
      </tp>
      <tp>
        <v>1</v>
        <stp/>
        <stp>VOLUME</stp>
        <stp>.QQQ250523C484</stp>
        <tr r="H64" s="2"/>
        <tr r="H64" s="2"/>
      </tp>
      <tp>
        <v>230</v>
        <stp/>
        <stp>VOLUME</stp>
        <stp>.QQQ250530C497</stp>
        <tr r="I51" s="2"/>
        <tr r="I51" s="2"/>
      </tp>
      <tp>
        <v>250</v>
        <stp/>
        <stp>VOLUME</stp>
        <stp>.QQQ250523P483</stp>
        <tr r="H65" s="2"/>
        <tr r="H65" s="2"/>
      </tp>
      <tp>
        <v>1560</v>
        <stp/>
        <stp>VOLUME</stp>
        <stp>.QQQ250530P490</stp>
        <tr r="I58" s="2"/>
        <tr r="I58" s="2"/>
      </tp>
      <tp>
        <v>20</v>
        <stp/>
        <stp>VOLUME</stp>
        <stp>.QQQ250523C483</stp>
        <tr r="H65" s="2"/>
        <tr r="H65" s="2"/>
      </tp>
      <tp>
        <v>1160</v>
        <stp/>
        <stp>VOLUME</stp>
        <stp>.QQQ250530C490</stp>
        <tr r="I58" s="2"/>
        <tr r="I58" s="2"/>
      </tp>
      <tp>
        <v>38</v>
        <stp/>
        <stp>VOLUME</stp>
        <stp>.QQQ250523P482</stp>
        <tr r="H66" s="2"/>
        <tr r="H66" s="2"/>
      </tp>
      <tp>
        <v>509</v>
        <stp/>
        <stp>VOLUME</stp>
        <stp>.QQQ250530P491</stp>
        <tr r="I57" s="2"/>
        <tr r="I57" s="2"/>
      </tp>
      <tp>
        <v>7</v>
        <stp/>
        <stp>VOLUME</stp>
        <stp>.QQQ250523C482</stp>
        <tr r="H66" s="2"/>
        <tr r="H66" s="2"/>
      </tp>
      <tp>
        <v>153</v>
        <stp/>
        <stp>VOLUME</stp>
        <stp>.QQQ250530C491</stp>
        <tr r="I57" s="2"/>
        <tr r="I57" s="2"/>
      </tp>
      <tp>
        <v>300</v>
        <stp/>
        <stp>VOLUME</stp>
        <stp>.QQQ250523P481</stp>
        <tr r="H67" s="2"/>
        <tr r="H67" s="2"/>
      </tp>
      <tp>
        <v>203</v>
        <stp/>
        <stp>VOLUME</stp>
        <stp>.QQQ250530P492</stp>
        <tr r="I56" s="2"/>
        <tr r="I56" s="2"/>
      </tp>
      <tp>
        <v>1</v>
        <stp/>
        <stp>VOLUME</stp>
        <stp>.QQQ250523C481</stp>
        <tr r="H67" s="2"/>
        <tr r="H67" s="2"/>
      </tp>
      <tp>
        <v>117</v>
        <stp/>
        <stp>VOLUME</stp>
        <stp>.QQQ250530C492</stp>
        <tr r="I56" s="2"/>
        <tr r="I56" s="2"/>
      </tp>
      <tp>
        <v>5534</v>
        <stp/>
        <stp>VOLUME</stp>
        <stp>.QQQ250523P480</stp>
        <tr r="H68" s="2"/>
        <tr r="H68" s="2"/>
      </tp>
      <tp>
        <v>69</v>
        <stp/>
        <stp>VOLUME</stp>
        <stp>.QQQ250530P493</stp>
        <tr r="I55" s="2"/>
        <tr r="I55" s="2"/>
      </tp>
      <tp>
        <v>75</v>
        <stp/>
        <stp>VOLUME</stp>
        <stp>.QQQ250523C480</stp>
        <tr r="H68" s="2"/>
        <tr r="H68" s="2"/>
      </tp>
      <tp>
        <v>373</v>
        <stp/>
        <stp>VOLUME</stp>
        <stp>.QQQ250530C493</stp>
        <tr r="I55" s="2"/>
        <tr r="I55" s="2"/>
      </tp>
      <tp>
        <v>2</v>
        <stp/>
        <stp>VOLUME</stp>
        <stp>.QQQ250530P498</stp>
        <tr r="I50" s="2"/>
        <tr r="I50" s="2"/>
      </tp>
      <tp>
        <v>58</v>
        <stp/>
        <stp>VOLUME</stp>
        <stp>.QQQ250530C498</stp>
        <tr r="I50" s="2"/>
        <tr r="I50" s="2"/>
      </tp>
      <tp>
        <v>24</v>
        <stp/>
        <stp>VOLUME</stp>
        <stp>.QQQ250530P499</stp>
        <tr r="I49" s="2"/>
        <tr r="I49" s="2"/>
      </tp>
      <tp>
        <v>18</v>
        <stp/>
        <stp>VOLUME</stp>
        <stp>.QQQ250530C499</stp>
        <tr r="I49" s="2"/>
        <tr r="I49" s="2"/>
      </tp>
      <tp>
        <v>227</v>
        <stp/>
        <stp>VOLUME</stp>
        <stp>.QQQ250523P489</stp>
        <tr r="H59" s="2"/>
        <tr r="H59" s="2"/>
      </tp>
      <tp>
        <v>210</v>
        <stp/>
        <stp>VOLUME</stp>
        <stp>.QQQ250523C489</stp>
        <tr r="H59" s="2"/>
        <tr r="H59" s="2"/>
      </tp>
      <tp>
        <v>317</v>
        <stp/>
        <stp>VOLUME</stp>
        <stp>.QQQ250523P488</stp>
        <tr r="H60" s="2"/>
        <tr r="H60" s="2"/>
      </tp>
      <tp>
        <v>510</v>
        <stp/>
        <stp>VOLUME</stp>
        <stp>.QQQ250523C488</stp>
        <tr r="H60" s="2"/>
        <tr r="H60" s="2"/>
      </tp>
      <tp>
        <v>104</v>
        <stp/>
        <stp>VOLUME</stp>
        <stp>.QQQ250523P477</stp>
        <tr r="H71" s="2"/>
        <tr r="H71" s="2"/>
      </tp>
      <tp>
        <v>1</v>
        <stp/>
        <stp>VOLUME</stp>
        <stp>.QQQ250523C477</stp>
        <tr r="H71" s="2"/>
        <tr r="H71" s="2"/>
      </tp>
      <tp>
        <v>161</v>
        <stp/>
        <stp>VOLUME</stp>
        <stp>.QQQ250523P476</stp>
        <tr r="H72" s="2"/>
        <tr r="H72" s="2"/>
      </tp>
      <tp>
        <v>13</v>
        <stp/>
        <stp>VOLUME</stp>
        <stp>.QQQ250523C476</stp>
        <tr r="H72" s="2"/>
        <tr r="H72" s="2"/>
      </tp>
      <tp>
        <v>6948</v>
        <stp/>
        <stp>VOLUME</stp>
        <stp>.QQQ250523P475</stp>
        <tr r="H73" s="2"/>
        <tr r="H73" s="2"/>
      </tp>
      <tp>
        <v>74</v>
        <stp/>
        <stp>VOLUME</stp>
        <stp>.QQQ250523C475</stp>
        <tr r="H73" s="2"/>
        <tr r="H73" s="2"/>
      </tp>
      <tp>
        <v>59</v>
        <stp/>
        <stp>VOLUME</stp>
        <stp>.QQQ250523P474</stp>
        <tr r="H74" s="2"/>
        <tr r="H74" s="2"/>
      </tp>
      <tp>
        <v>6</v>
        <stp/>
        <stp>VOLUME</stp>
        <stp>.QQQ250523C474</stp>
        <tr r="H74" s="2"/>
        <tr r="H74" s="2"/>
      </tp>
      <tp>
        <v>139</v>
        <stp/>
        <stp>VOLUME</stp>
        <stp>.QQQ250523P473</stp>
        <tr r="H75" s="2"/>
        <tr r="H75" s="2"/>
      </tp>
      <tp>
        <v>5</v>
        <stp/>
        <stp>VOLUME</stp>
        <stp>.QQQ250523C473</stp>
        <tr r="H75" s="2"/>
        <tr r="H75" s="2"/>
      </tp>
      <tp>
        <v>677</v>
        <stp/>
        <stp>VOLUME</stp>
        <stp>.QQQ250523P472</stp>
        <tr r="H76" s="2"/>
        <tr r="H76" s="2"/>
      </tp>
      <tp>
        <v>1</v>
        <stp/>
        <stp>VOLUME</stp>
        <stp>.QQQ250523C472</stp>
        <tr r="H76" s="2"/>
        <tr r="H76" s="2"/>
      </tp>
      <tp>
        <v>92</v>
        <stp/>
        <stp>VOLUME</stp>
        <stp>.QQQ250523P471</stp>
        <tr r="H77" s="2"/>
        <tr r="H77" s="2"/>
      </tp>
      <tp>
        <v>6</v>
        <stp/>
        <stp>VOLUME</stp>
        <stp>.QQQ250523C471</stp>
        <tr r="H77" s="2"/>
        <tr r="H77" s="2"/>
      </tp>
      <tp>
        <v>1618</v>
        <stp/>
        <stp>VOLUME</stp>
        <stp>.QQQ250523P470</stp>
        <tr r="H78" s="2"/>
        <tr r="H78" s="2"/>
      </tp>
      <tp>
        <v>21</v>
        <stp/>
        <stp>VOLUME</stp>
        <stp>.QQQ250523C470</stp>
        <tr r="H78" s="2"/>
        <tr r="H78" s="2"/>
      </tp>
      <tp>
        <v>47</v>
        <stp/>
        <stp>VOLUME</stp>
        <stp>.QQQ250530P468</stp>
        <tr r="I80" s="2"/>
        <tr r="I80" s="2"/>
      </tp>
      <tp>
        <v>5</v>
        <stp/>
        <stp>VOLUME</stp>
        <stp>.QQQ250530C468</stp>
        <tr r="I80" s="2"/>
        <tr r="I80" s="2"/>
      </tp>
      <tp>
        <v>128</v>
        <stp/>
        <stp>VOLUME</stp>
        <stp>.QQQ250530P469</stp>
        <tr r="I79" s="2"/>
        <tr r="I79" s="2"/>
      </tp>
      <tp>
        <v>1</v>
        <stp/>
        <stp>VOLUME</stp>
        <stp>.QQQ250530C469</stp>
        <tr r="I79" s="2"/>
        <tr r="I79" s="2"/>
      </tp>
      <tp>
        <v>61</v>
        <stp/>
        <stp>VOLUME</stp>
        <stp>.QQQ250523P479</stp>
        <tr r="H69" s="2"/>
        <tr r="H69" s="2"/>
      </tp>
      <tp>
        <v>42</v>
        <stp/>
        <stp>VOLUME</stp>
        <stp>.QQQ250523C479</stp>
        <tr r="H69" s="2"/>
        <tr r="H69" s="2"/>
      </tp>
      <tp>
        <v>113</v>
        <stp/>
        <stp>VOLUME</stp>
        <stp>.QQQ250523P478</stp>
        <tr r="H70" s="2"/>
        <tr r="H70" s="2"/>
      </tp>
      <tp t="s">
        <v>N/A</v>
        <stp/>
        <stp>VOLUME</stp>
        <stp>.QQQ250523C478</stp>
        <tr r="H70" s="2"/>
      </tp>
      <tp>
        <v>83</v>
        <stp/>
        <stp>VOLUME</stp>
        <stp>.QQQ250530P474</stp>
        <tr r="I74" s="2"/>
        <tr r="I74" s="2"/>
      </tp>
      <tp>
        <v>2</v>
        <stp/>
        <stp>VOLUME</stp>
        <stp>.QQQ250530C474</stp>
        <tr r="I74" s="2"/>
        <tr r="I74" s="2"/>
      </tp>
      <tp>
        <v>2976</v>
        <stp/>
        <stp>VOLUME</stp>
        <stp>.QQQ250530P475</stp>
        <tr r="I73" s="2"/>
        <tr r="I73" s="2"/>
      </tp>
      <tp>
        <v>94</v>
        <stp/>
        <stp>VOLUME</stp>
        <stp>.QQQ250530C475</stp>
        <tr r="I73" s="2"/>
        <tr r="I73" s="2"/>
      </tp>
      <tp>
        <v>117</v>
        <stp/>
        <stp>VOLUME</stp>
        <stp>.QQQ250530P476</stp>
        <tr r="I72" s="2"/>
        <tr r="I72" s="2"/>
      </tp>
      <tp>
        <v>5</v>
        <stp/>
        <stp>VOLUME</stp>
        <stp>.QQQ250530C476</stp>
        <tr r="I72" s="2"/>
        <tr r="I72" s="2"/>
      </tp>
      <tp>
        <v>36</v>
        <stp/>
        <stp>VOLUME</stp>
        <stp>.QQQ250530P477</stp>
        <tr r="I71" s="2"/>
        <tr r="I71" s="2"/>
      </tp>
      <tp>
        <v>3</v>
        <stp/>
        <stp>VOLUME</stp>
        <stp>.QQQ250530C477</stp>
        <tr r="I71" s="2"/>
        <tr r="I71" s="2"/>
      </tp>
      <tp>
        <v>2310</v>
        <stp/>
        <stp>VOLUME</stp>
        <stp>.QQQ250530P470</stp>
        <tr r="I78" s="2"/>
        <tr r="I78" s="2"/>
      </tp>
      <tp>
        <v>19</v>
        <stp/>
        <stp>VOLUME</stp>
        <stp>.QQQ250530C470</stp>
        <tr r="I78" s="2"/>
        <tr r="I78" s="2"/>
      </tp>
      <tp>
        <v>104</v>
        <stp/>
        <stp>VOLUME</stp>
        <stp>.QQQ250530P471</stp>
        <tr r="I77" s="2"/>
        <tr r="I77" s="2"/>
      </tp>
      <tp>
        <v>20</v>
        <stp/>
        <stp>VOLUME</stp>
        <stp>.QQQ250530C471</stp>
        <tr r="I77" s="2"/>
        <tr r="I77" s="2"/>
      </tp>
      <tp>
        <v>134</v>
        <stp/>
        <stp>VOLUME</stp>
        <stp>.QQQ250530P472</stp>
        <tr r="I76" s="2"/>
        <tr r="I76" s="2"/>
      </tp>
      <tp>
        <v>5</v>
        <stp/>
        <stp>VOLUME</stp>
        <stp>.QQQ250530C472</stp>
        <tr r="I76" s="2"/>
        <tr r="I76" s="2"/>
      </tp>
      <tp>
        <v>38</v>
        <stp/>
        <stp>VOLUME</stp>
        <stp>.QQQ250530P473</stp>
        <tr r="I75" s="2"/>
        <tr r="I75" s="2"/>
      </tp>
      <tp>
        <v>31</v>
        <stp/>
        <stp>VOLUME</stp>
        <stp>.QQQ250530C473</stp>
        <tr r="I75" s="2"/>
        <tr r="I75" s="2"/>
      </tp>
      <tp>
        <v>52</v>
        <stp/>
        <stp>VOLUME</stp>
        <stp>.QQQ250530P478</stp>
        <tr r="I70" s="2"/>
        <tr r="I70" s="2"/>
      </tp>
      <tp>
        <v>16</v>
        <stp/>
        <stp>VOLUME</stp>
        <stp>.QQQ250530C478</stp>
        <tr r="I70" s="2"/>
        <tr r="I70" s="2"/>
      </tp>
      <tp>
        <v>57</v>
        <stp/>
        <stp>VOLUME</stp>
        <stp>.QQQ250530P479</stp>
        <tr r="I69" s="2"/>
        <tr r="I69" s="2"/>
      </tp>
      <tp>
        <v>2</v>
        <stp/>
        <stp>VOLUME</stp>
        <stp>.QQQ250530C479</stp>
        <tr r="I69" s="2"/>
        <tr r="I69" s="2"/>
      </tp>
      <tp>
        <v>54</v>
        <stp/>
        <stp>VOLUME</stp>
        <stp>.QQQ250523P469</stp>
        <tr r="H79" s="2"/>
        <tr r="H79" s="2"/>
      </tp>
      <tp t="s">
        <v>N/A</v>
        <stp/>
        <stp>VOLUME</stp>
        <stp>.QQQ250523C469</stp>
        <tr r="H79" s="2"/>
      </tp>
      <tp>
        <v>320</v>
        <stp/>
        <stp>VOLUME</stp>
        <stp>.QQQ250523P468</stp>
        <tr r="H80" s="2"/>
        <tr r="H80" s="2"/>
      </tp>
      <tp>
        <v>1</v>
        <stp/>
        <stp>VOLUME</stp>
        <stp>.QQQ250523C468</stp>
        <tr r="H80" s="2"/>
        <tr r="H80" s="2"/>
      </tp>
      <tp t="s">
        <v>N/A</v>
        <stp/>
        <stp>VOLUME</stp>
        <stp>.QQQ250508P478</stp>
        <tr r="BB69" s="1"/>
      </tp>
      <tp>
        <v>6476</v>
        <stp/>
        <stp>VOLUME</stp>
        <stp>.QQQ250509P479</stp>
        <tr r="BD68" s="1"/>
        <tr r="BD68" s="1"/>
      </tp>
      <tp t="s">
        <v>N/A</v>
        <stp/>
        <stp>VOLUME</stp>
        <stp>.QQQ250508C478</stp>
        <tr r="BA69" s="1"/>
      </tp>
      <tp>
        <v>427</v>
        <stp/>
        <stp>VOLUME</stp>
        <stp>.QQQ250509C479</stp>
        <tr r="BC68" s="1"/>
        <tr r="BC68" s="1"/>
      </tp>
      <tp t="s">
        <v>N/A</v>
        <stp/>
        <stp>VOLUME</stp>
        <stp>.QQQ250508P479</stp>
        <tr r="BB68" s="1"/>
      </tp>
      <tp>
        <v>5660</v>
        <stp/>
        <stp>VOLUME</stp>
        <stp>.QQQ250509P478</stp>
        <tr r="BD69" s="1"/>
        <tr r="BD69" s="1"/>
      </tp>
      <tp t="s">
        <v>N/A</v>
        <stp/>
        <stp>VOLUME</stp>
        <stp>.QQQ250508C479</stp>
        <tr r="BA68" s="1"/>
      </tp>
      <tp>
        <v>458</v>
        <stp/>
        <stp>VOLUME</stp>
        <stp>.QQQ250509C478</stp>
        <tr r="BC69" s="1"/>
        <tr r="BC69" s="1"/>
      </tp>
      <tp t="s">
        <v>N/A</v>
        <stp/>
        <stp>VOLUME</stp>
        <stp>.QQQ250508P474</stp>
        <tr r="BB73" s="1"/>
      </tp>
      <tp>
        <v>5526</v>
        <stp/>
        <stp>VOLUME</stp>
        <stp>.QQQ250509P475</stp>
        <tr r="BD72" s="1"/>
        <tr r="BD72" s="1"/>
      </tp>
      <tp t="s">
        <v>N/A</v>
        <stp/>
        <stp>VOLUME</stp>
        <stp>.QQQ250508C474</stp>
        <tr r="BA73" s="1"/>
      </tp>
      <tp>
        <v>481</v>
        <stp/>
        <stp>VOLUME</stp>
        <stp>.QQQ250509C475</stp>
        <tr r="BC72" s="1"/>
        <tr r="BC72" s="1"/>
      </tp>
      <tp t="s">
        <v>N/A</v>
        <stp/>
        <stp>VOLUME</stp>
        <stp>.QQQ250508P475</stp>
        <tr r="BB72" s="1"/>
      </tp>
      <tp>
        <v>3131</v>
        <stp/>
        <stp>VOLUME</stp>
        <stp>.QQQ250509P474</stp>
        <tr r="BD73" s="1"/>
        <tr r="BD73" s="1"/>
      </tp>
      <tp t="s">
        <v>N/A</v>
        <stp/>
        <stp>VOLUME</stp>
        <stp>.QQQ250508C475</stp>
        <tr r="BA72" s="1"/>
      </tp>
      <tp>
        <v>71</v>
        <stp/>
        <stp>VOLUME</stp>
        <stp>.QQQ250509C474</stp>
        <tr r="BC73" s="1"/>
        <tr r="BC73" s="1"/>
      </tp>
      <tp t="s">
        <v>N/A</v>
        <stp/>
        <stp>VOLUME</stp>
        <stp>.QQQ250508P476</stp>
        <tr r="BB71" s="1"/>
      </tp>
      <tp>
        <v>3207</v>
        <stp/>
        <stp>VOLUME</stp>
        <stp>.QQQ250509P477</stp>
        <tr r="BD70" s="1"/>
        <tr r="BD70" s="1"/>
      </tp>
      <tp>
        <v>1220</v>
        <stp/>
        <stp>VOLUME</stp>
        <stp>.QQQ250516P468</stp>
        <tr r="BF79" s="1"/>
        <tr r="BF79" s="1"/>
      </tp>
      <tp t="s">
        <v>N/A</v>
        <stp/>
        <stp>VOLUME</stp>
        <stp>.QQQ250508C476</stp>
        <tr r="BA71" s="1"/>
      </tp>
      <tp>
        <v>162</v>
        <stp/>
        <stp>VOLUME</stp>
        <stp>.QQQ250509C477</stp>
        <tr r="BC70" s="1"/>
        <tr r="BC70" s="1"/>
      </tp>
      <tp>
        <v>29</v>
        <stp/>
        <stp>VOLUME</stp>
        <stp>.QQQ250516C468</stp>
        <tr r="BE79" s="1"/>
        <tr r="BE79" s="1"/>
      </tp>
      <tp t="s">
        <v>N/A</v>
        <stp/>
        <stp>VOLUME</stp>
        <stp>.QQQ250508P477</stp>
        <tr r="BB70" s="1"/>
      </tp>
      <tp>
        <v>2702</v>
        <stp/>
        <stp>VOLUME</stp>
        <stp>.QQQ250509P476</stp>
        <tr r="BD71" s="1"/>
        <tr r="BD71" s="1"/>
      </tp>
      <tp>
        <v>2335</v>
        <stp/>
        <stp>VOLUME</stp>
        <stp>.QQQ250516P469</stp>
        <tr r="BF78" s="1"/>
        <tr r="BF78" s="1"/>
      </tp>
      <tp t="s">
        <v>N/A</v>
        <stp/>
        <stp>VOLUME</stp>
        <stp>.QQQ250508C477</stp>
        <tr r="BA70" s="1"/>
      </tp>
      <tp>
        <v>148</v>
        <stp/>
        <stp>VOLUME</stp>
        <stp>.QQQ250509C476</stp>
        <tr r="BC71" s="1"/>
        <tr r="BC71" s="1"/>
      </tp>
      <tp>
        <v>168</v>
        <stp/>
        <stp>VOLUME</stp>
        <stp>.QQQ250516C469</stp>
        <tr r="BE78" s="1"/>
        <tr r="BE78" s="1"/>
      </tp>
      <tp t="s">
        <v>N/A</v>
        <stp/>
        <stp>VOLUME</stp>
        <stp>.QQQ250508P470</stp>
        <tr r="BB77" s="1"/>
      </tp>
      <tp>
        <v>2303</v>
        <stp/>
        <stp>VOLUME</stp>
        <stp>.QQQ250509P471</stp>
        <tr r="BD76" s="1"/>
        <tr r="BD76" s="1"/>
      </tp>
      <tp t="s">
        <v>N/A</v>
        <stp/>
        <stp>VOLUME</stp>
        <stp>.QQQ250508C470</stp>
        <tr r="BA77" s="1"/>
      </tp>
      <tp>
        <v>244</v>
        <stp/>
        <stp>VOLUME</stp>
        <stp>.QQQ250509C471</stp>
        <tr r="BC76" s="1"/>
        <tr r="BC76" s="1"/>
      </tp>
      <tp t="s">
        <v>N/A</v>
        <stp/>
        <stp>VOLUME</stp>
        <stp>.QQQ250508P471</stp>
        <tr r="BB76" s="1"/>
      </tp>
      <tp>
        <v>6582</v>
        <stp/>
        <stp>VOLUME</stp>
        <stp>.QQQ250509P470</stp>
        <tr r="BD77" s="1"/>
        <tr r="BD77" s="1"/>
      </tp>
      <tp t="s">
        <v>N/A</v>
        <stp/>
        <stp>VOLUME</stp>
        <stp>.QQQ250508C471</stp>
        <tr r="BA76" s="1"/>
      </tp>
      <tp>
        <v>494</v>
        <stp/>
        <stp>VOLUME</stp>
        <stp>.QQQ250509C470</stp>
        <tr r="BC77" s="1"/>
        <tr r="BC77" s="1"/>
      </tp>
      <tp t="s">
        <v>N/A</v>
        <stp/>
        <stp>VOLUME</stp>
        <stp>.QQQ250508P472</stp>
        <tr r="BB75" s="1"/>
      </tp>
      <tp>
        <v>2788</v>
        <stp/>
        <stp>VOLUME</stp>
        <stp>.QQQ250509P473</stp>
        <tr r="BD74" s="1"/>
        <tr r="BD74" s="1"/>
      </tp>
      <tp t="s">
        <v>N/A</v>
        <stp/>
        <stp>VOLUME</stp>
        <stp>.QQQ250508C472</stp>
        <tr r="BA75" s="1"/>
      </tp>
      <tp>
        <v>198</v>
        <stp/>
        <stp>VOLUME</stp>
        <stp>.QQQ250509C473</stp>
        <tr r="BC74" s="1"/>
        <tr r="BC74" s="1"/>
      </tp>
      <tp t="s">
        <v>N/A</v>
        <stp/>
        <stp>VOLUME</stp>
        <stp>.QQQ250508P473</stp>
        <tr r="BB74" s="1"/>
      </tp>
      <tp>
        <v>601</v>
        <stp/>
        <stp>VOLUME</stp>
        <stp>.QQQ250509P472</stp>
        <tr r="BD75" s="1"/>
        <tr r="BD75" s="1"/>
      </tp>
      <tp t="s">
        <v>N/A</v>
        <stp/>
        <stp>VOLUME</stp>
        <stp>.QQQ250508C473</stp>
        <tr r="BA74" s="1"/>
      </tp>
      <tp>
        <v>291</v>
        <stp/>
        <stp>VOLUME</stp>
        <stp>.QQQ250509C472</stp>
        <tr r="BC75" s="1"/>
        <tr r="BC75" s="1"/>
      </tp>
      <tp>
        <v>487</v>
        <stp/>
        <stp>VOLUME</stp>
        <stp>.QQQ250516P472</stp>
        <tr r="BF75" s="1"/>
        <tr r="BF75" s="1"/>
      </tp>
      <tp>
        <v>18</v>
        <stp/>
        <stp>VOLUME</stp>
        <stp>.QQQ250516C472</stp>
        <tr r="BE75" s="1"/>
        <tr r="BE75" s="1"/>
      </tp>
      <tp>
        <v>1917</v>
        <stp/>
        <stp>VOLUME</stp>
        <stp>.QQQ250516P473</stp>
        <tr r="BF74" s="1"/>
        <tr r="BF74" s="1"/>
      </tp>
      <tp>
        <v>45</v>
        <stp/>
        <stp>VOLUME</stp>
        <stp>.QQQ250516C473</stp>
        <tr r="BE74" s="1"/>
        <tr r="BE74" s="1"/>
      </tp>
      <tp>
        <v>6592</v>
        <stp/>
        <stp>VOLUME</stp>
        <stp>.QQQ250516P470</stp>
        <tr r="BF77" s="1"/>
        <tr r="BF77" s="1"/>
      </tp>
      <tp>
        <v>430</v>
        <stp/>
        <stp>VOLUME</stp>
        <stp>.QQQ250516C470</stp>
        <tr r="BE77" s="1"/>
        <tr r="BE77" s="1"/>
      </tp>
      <tp>
        <v>906</v>
        <stp/>
        <stp>VOLUME</stp>
        <stp>.QQQ250516P471</stp>
        <tr r="BF76" s="1"/>
        <tr r="BF76" s="1"/>
      </tp>
      <tp>
        <v>19</v>
        <stp/>
        <stp>VOLUME</stp>
        <stp>.QQQ250516C471</stp>
        <tr r="BE76" s="1"/>
        <tr r="BE76" s="1"/>
      </tp>
      <tp t="s">
        <v>N/A</v>
        <stp/>
        <stp>VOLUME</stp>
        <stp>.QQQ250508P468</stp>
        <tr r="BB79" s="1"/>
      </tp>
      <tp>
        <v>2200</v>
        <stp/>
        <stp>VOLUME</stp>
        <stp>.QQQ250509P469</stp>
        <tr r="BD78" s="1"/>
        <tr r="BD78" s="1"/>
      </tp>
      <tp>
        <v>1741</v>
        <stp/>
        <stp>VOLUME</stp>
        <stp>.QQQ250516P476</stp>
        <tr r="BF71" s="1"/>
        <tr r="BF71" s="1"/>
      </tp>
      <tp t="s">
        <v>N/A</v>
        <stp/>
        <stp>VOLUME</stp>
        <stp>.QQQ250508C468</stp>
        <tr r="BA79" s="1"/>
      </tp>
      <tp>
        <v>155</v>
        <stp/>
        <stp>VOLUME</stp>
        <stp>.QQQ250509C469</stp>
        <tr r="BC78" s="1"/>
        <tr r="BC78" s="1"/>
      </tp>
      <tp>
        <v>63</v>
        <stp/>
        <stp>VOLUME</stp>
        <stp>.QQQ250516C476</stp>
        <tr r="BE71" s="1"/>
        <tr r="BE71" s="1"/>
      </tp>
      <tp t="s">
        <v>N/A</v>
        <stp/>
        <stp>VOLUME</stp>
        <stp>.QQQ250508P469</stp>
        <tr r="BB78" s="1"/>
      </tp>
      <tp>
        <v>1290</v>
        <stp/>
        <stp>VOLUME</stp>
        <stp>.QQQ250509P468</stp>
        <tr r="BD79" s="1"/>
        <tr r="BD79" s="1"/>
      </tp>
      <tp>
        <v>2327</v>
        <stp/>
        <stp>VOLUME</stp>
        <stp>.QQQ250516P477</stp>
        <tr r="BF70" s="1"/>
        <tr r="BF70" s="1"/>
      </tp>
      <tp t="s">
        <v>N/A</v>
        <stp/>
        <stp>VOLUME</stp>
        <stp>.QQQ250508C469</stp>
        <tr r="BA78" s="1"/>
      </tp>
      <tp>
        <v>164</v>
        <stp/>
        <stp>VOLUME</stp>
        <stp>.QQQ250509C468</stp>
        <tr r="BC79" s="1"/>
        <tr r="BC79" s="1"/>
      </tp>
      <tp>
        <v>113</v>
        <stp/>
        <stp>VOLUME</stp>
        <stp>.QQQ250516C477</stp>
        <tr r="BE70" s="1"/>
        <tr r="BE70" s="1"/>
      </tp>
      <tp>
        <v>4010</v>
        <stp/>
        <stp>VOLUME</stp>
        <stp>.QQQ250516P474</stp>
        <tr r="BF73" s="1"/>
        <tr r="BF73" s="1"/>
      </tp>
      <tp>
        <v>18</v>
        <stp/>
        <stp>VOLUME</stp>
        <stp>.QQQ250516C474</stp>
        <tr r="BE73" s="1"/>
        <tr r="BE73" s="1"/>
      </tp>
      <tp>
        <v>12613</v>
        <stp/>
        <stp>VOLUME</stp>
        <stp>.QQQ250516P475</stp>
        <tr r="BF72" s="1"/>
        <tr r="BF72" s="1"/>
      </tp>
      <tp>
        <v>2178</v>
        <stp/>
        <stp>VOLUME</stp>
        <stp>.QQQ250516C475</stp>
        <tr r="BE72" s="1"/>
        <tr r="BE72" s="1"/>
      </tp>
      <tp>
        <v>1870</v>
        <stp/>
        <stp>VOLUME</stp>
        <stp>.QQQ250516P478</stp>
        <tr r="BF69" s="1"/>
        <tr r="BF69" s="1"/>
      </tp>
      <tp>
        <v>62</v>
        <stp/>
        <stp>VOLUME</stp>
        <stp>.QQQ250516C478</stp>
        <tr r="BE69" s="1"/>
        <tr r="BE69" s="1"/>
      </tp>
      <tp>
        <v>1096</v>
        <stp/>
        <stp>VOLUME</stp>
        <stp>.QQQ250516P479</stp>
        <tr r="BF68" s="1"/>
        <tr r="BF68" s="1"/>
      </tp>
      <tp>
        <v>62</v>
        <stp/>
        <stp>VOLUME</stp>
        <stp>.QQQ250516C479</stp>
        <tr r="BE68" s="1"/>
        <tr r="BE68" s="1"/>
      </tp>
      <tp t="s">
        <v>N/A</v>
        <stp/>
        <stp>VOLUME</stp>
        <stp>.QQQ251219P489</stp>
        <tr r="W59" s="2"/>
      </tp>
      <tp t="s">
        <v>N/A</v>
        <stp/>
        <stp>VOLUME</stp>
        <stp>.QQQ251219C489</stp>
        <tr r="W59" s="2"/>
      </tp>
      <tp t="s">
        <v>N/A</v>
        <stp/>
        <stp>VOLUME</stp>
        <stp>.QQQ251219P488</stp>
        <tr r="W60" s="2"/>
      </tp>
      <tp t="s">
        <v>N/A</v>
        <stp/>
        <stp>VOLUME</stp>
        <stp>.QQQ251219C488</stp>
        <tr r="W60" s="2"/>
      </tp>
      <tp t="s">
        <v>N/A</v>
        <stp/>
        <stp>VOLUME</stp>
        <stp>.QQQ251219P485</stp>
        <tr r="W63" s="2"/>
      </tp>
      <tp t="s">
        <v>N/A</v>
        <stp/>
        <stp>VOLUME</stp>
        <stp>.QQQ251219C485</stp>
        <tr r="W63" s="2"/>
      </tp>
      <tp t="s">
        <v>N/A</v>
        <stp/>
        <stp>VOLUME</stp>
        <stp>.QQQ251219P484</stp>
        <tr r="W64" s="2"/>
      </tp>
      <tp t="s">
        <v>N/A</v>
        <stp/>
        <stp>VOLUME</stp>
        <stp>.QQQ251219C484</stp>
        <tr r="W64" s="2"/>
      </tp>
      <tp t="s">
        <v>N/A</v>
        <stp/>
        <stp>VOLUME</stp>
        <stp>.QQQ251219P487</stp>
        <tr r="W61" s="2"/>
      </tp>
      <tp t="s">
        <v>N/A</v>
        <stp/>
        <stp>VOLUME</stp>
        <stp>.QQQ251219C487</stp>
        <tr r="W61" s="2"/>
      </tp>
      <tp t="s">
        <v>N/A</v>
        <stp/>
        <stp>VOLUME</stp>
        <stp>.QQQ251219P486</stp>
        <tr r="W62" s="2"/>
      </tp>
      <tp t="s">
        <v>N/A</v>
        <stp/>
        <stp>VOLUME</stp>
        <stp>.QQQ251219C486</stp>
        <tr r="W62" s="2"/>
      </tp>
      <tp t="s">
        <v>N/A</v>
        <stp/>
        <stp>VOLUME</stp>
        <stp>.QQQ251219P481</stp>
        <tr r="W67" s="2"/>
      </tp>
      <tp t="s">
        <v>N/A</v>
        <stp/>
        <stp>VOLUME</stp>
        <stp>.QQQ251219C481</stp>
        <tr r="W67" s="2"/>
      </tp>
      <tp>
        <v>18</v>
        <stp/>
        <stp>VOLUME</stp>
        <stp>.QQQ251219P480</stp>
        <tr r="W68" s="2"/>
        <tr r="W68" s="2"/>
      </tp>
      <tp>
        <v>3</v>
        <stp/>
        <stp>VOLUME</stp>
        <stp>.QQQ251219C480</stp>
        <tr r="W68" s="2"/>
        <tr r="W68" s="2"/>
      </tp>
      <tp t="s">
        <v>N/A</v>
        <stp/>
        <stp>VOLUME</stp>
        <stp>.QQQ251219P483</stp>
        <tr r="W65" s="2"/>
      </tp>
      <tp t="s">
        <v>N/A</v>
        <stp/>
        <stp>VOLUME</stp>
        <stp>.QQQ251219C483</stp>
        <tr r="W65" s="2"/>
      </tp>
      <tp t="s">
        <v>N/A</v>
        <stp/>
        <stp>VOLUME</stp>
        <stp>.QQQ251219P482</stp>
        <tr r="W66" s="2"/>
      </tp>
      <tp t="s">
        <v>N/A</v>
        <stp/>
        <stp>VOLUME</stp>
        <stp>.QQQ251219C482</stp>
        <tr r="W66" s="2"/>
      </tp>
      <tp t="s">
        <v>N/A</v>
        <stp/>
        <stp>VOLUME</stp>
        <stp>.QQQ251219P499</stp>
        <tr r="W49" s="2"/>
      </tp>
      <tp t="s">
        <v>N/A</v>
        <stp/>
        <stp>VOLUME</stp>
        <stp>.QQQ251219C499</stp>
        <tr r="W49" s="2"/>
      </tp>
      <tp t="s">
        <v>N/A</v>
        <stp/>
        <stp>VOLUME</stp>
        <stp>.QQQ251219P498</stp>
        <tr r="W50" s="2"/>
      </tp>
      <tp t="s">
        <v>N/A</v>
        <stp/>
        <stp>VOLUME</stp>
        <stp>.QQQ251219C498</stp>
        <tr r="W50" s="2"/>
      </tp>
      <tp t="s">
        <v>N/A</v>
        <stp/>
        <stp>VOLUME</stp>
        <stp>.QQQ251219P495</stp>
        <tr r="W53" s="2"/>
      </tp>
      <tp t="s">
        <v>N/A</v>
        <stp/>
        <stp>VOLUME</stp>
        <stp>.QQQ251219C495</stp>
        <tr r="W53" s="2"/>
      </tp>
      <tp t="s">
        <v>N/A</v>
        <stp/>
        <stp>VOLUME</stp>
        <stp>.QQQ251219P494</stp>
        <tr r="W54" s="2"/>
      </tp>
      <tp t="s">
        <v>N/A</v>
        <stp/>
        <stp>VOLUME</stp>
        <stp>.QQQ251219C494</stp>
        <tr r="W54" s="2"/>
      </tp>
      <tp t="s">
        <v>N/A</v>
        <stp/>
        <stp>VOLUME</stp>
        <stp>.QQQ251219P497</stp>
        <tr r="W51" s="2"/>
      </tp>
      <tp t="s">
        <v>N/A</v>
        <stp/>
        <stp>VOLUME</stp>
        <stp>.QQQ251219C497</stp>
        <tr r="W51" s="2"/>
      </tp>
      <tp t="s">
        <v>N/A</v>
        <stp/>
        <stp>VOLUME</stp>
        <stp>.QQQ251219P496</stp>
        <tr r="W52" s="2"/>
      </tp>
      <tp t="s">
        <v>N/A</v>
        <stp/>
        <stp>VOLUME</stp>
        <stp>.QQQ251219C496</stp>
        <tr r="W52" s="2"/>
      </tp>
      <tp t="s">
        <v>N/A</v>
        <stp/>
        <stp>VOLUME</stp>
        <stp>.QQQ251219P491</stp>
        <tr r="W57" s="2"/>
      </tp>
      <tp t="s">
        <v>N/A</v>
        <stp/>
        <stp>VOLUME</stp>
        <stp>.QQQ251219C491</stp>
        <tr r="W57" s="2"/>
      </tp>
      <tp>
        <v>28</v>
        <stp/>
        <stp>VOLUME</stp>
        <stp>.QQQ251219P490</stp>
        <tr r="W58" s="2"/>
        <tr r="W58" s="2"/>
      </tp>
      <tp>
        <v>42</v>
        <stp/>
        <stp>VOLUME</stp>
        <stp>.QQQ251219C490</stp>
        <tr r="W58" s="2"/>
        <tr r="W58" s="2"/>
      </tp>
      <tp t="s">
        <v>N/A</v>
        <stp/>
        <stp>VOLUME</stp>
        <stp>.QQQ251219P493</stp>
        <tr r="W55" s="2"/>
      </tp>
      <tp t="s">
        <v>N/A</v>
        <stp/>
        <stp>VOLUME</stp>
        <stp>.QQQ251219C493</stp>
        <tr r="W55" s="2"/>
      </tp>
      <tp t="s">
        <v>N/A</v>
        <stp/>
        <stp>VOLUME</stp>
        <stp>.QQQ251219P492</stp>
        <tr r="W56" s="2"/>
      </tp>
      <tp t="s">
        <v>N/A</v>
        <stp/>
        <stp>VOLUME</stp>
        <stp>.QQQ251219C492</stp>
        <tr r="W56" s="2"/>
      </tp>
      <tp>
        <v>14</v>
        <stp/>
        <stp>VOLUME</stp>
        <stp>.QQQ251231P485</stp>
        <tr r="X63" s="2"/>
        <tr r="X63" s="2"/>
      </tp>
      <tp>
        <v>3</v>
        <stp/>
        <stp>VOLUME</stp>
        <stp>.QQQ251231C485</stp>
        <tr r="X63" s="2"/>
        <tr r="X63" s="2"/>
      </tp>
      <tp t="s">
        <v>N/A</v>
        <stp/>
        <stp>VOLUME</stp>
        <stp>.QQQ251231P484</stp>
        <tr r="X64" s="2"/>
      </tp>
      <tp>
        <v>9</v>
        <stp/>
        <stp>VOLUME</stp>
        <stp>.QQQ251231C484</stp>
        <tr r="X64" s="2"/>
        <tr r="X64" s="2"/>
      </tp>
      <tp t="s">
        <v>N/A</v>
        <stp/>
        <stp>VOLUME</stp>
        <stp>.QQQ251231P487</stp>
        <tr r="X61" s="2"/>
      </tp>
      <tp>
        <v>19</v>
        <stp/>
        <stp>VOLUME</stp>
        <stp>.QQQ251231C487</stp>
        <tr r="X61" s="2"/>
        <tr r="X61" s="2"/>
      </tp>
      <tp t="s">
        <v>N/A</v>
        <stp/>
        <stp>VOLUME</stp>
        <stp>.QQQ251231P486</stp>
        <tr r="X62" s="2"/>
      </tp>
      <tp t="s">
        <v>N/A</v>
        <stp/>
        <stp>VOLUME</stp>
        <stp>.QQQ251231C486</stp>
        <tr r="X62" s="2"/>
      </tp>
      <tp t="s">
        <v>N/A</v>
        <stp/>
        <stp>VOLUME</stp>
        <stp>.QQQ251231P481</stp>
        <tr r="X67" s="2"/>
      </tp>
      <tp t="s">
        <v>N/A</v>
        <stp/>
        <stp>VOLUME</stp>
        <stp>.QQQ251231C481</stp>
        <tr r="X67" s="2"/>
      </tp>
      <tp>
        <v>5</v>
        <stp/>
        <stp>VOLUME</stp>
        <stp>.QQQ251231P480</stp>
        <tr r="X68" s="2"/>
        <tr r="X68" s="2"/>
      </tp>
      <tp>
        <v>8</v>
        <stp/>
        <stp>VOLUME</stp>
        <stp>.QQQ251231C480</stp>
        <tr r="X68" s="2"/>
        <tr r="X68" s="2"/>
      </tp>
      <tp>
        <v>2</v>
        <stp/>
        <stp>VOLUME</stp>
        <stp>.QQQ251231P483</stp>
        <tr r="X65" s="2"/>
        <tr r="X65" s="2"/>
      </tp>
      <tp t="s">
        <v>N/A</v>
        <stp/>
        <stp>VOLUME</stp>
        <stp>.QQQ251231C483</stp>
        <tr r="X65" s="2"/>
      </tp>
      <tp t="s">
        <v>N/A</v>
        <stp/>
        <stp>VOLUME</stp>
        <stp>.QQQ251231P482</stp>
        <tr r="X66" s="2"/>
      </tp>
      <tp t="s">
        <v>N/A</v>
        <stp/>
        <stp>VOLUME</stp>
        <stp>.QQQ251231C482</stp>
        <tr r="X66" s="2"/>
      </tp>
      <tp t="s">
        <v>N/A</v>
        <stp/>
        <stp>VOLUME</stp>
        <stp>.QQQ251231P489</stp>
        <tr r="X59" s="2"/>
      </tp>
      <tp>
        <v>3</v>
        <stp/>
        <stp>VOLUME</stp>
        <stp>.QQQ251231C489</stp>
        <tr r="X59" s="2"/>
        <tr r="X59" s="2"/>
      </tp>
      <tp>
        <v>13</v>
        <stp/>
        <stp>VOLUME</stp>
        <stp>.QQQ251231P488</stp>
        <tr r="X60" s="2"/>
        <tr r="X60" s="2"/>
      </tp>
      <tp>
        <v>5</v>
        <stp/>
        <stp>VOLUME</stp>
        <stp>.QQQ251231C488</stp>
        <tr r="X60" s="2"/>
        <tr r="X60" s="2"/>
      </tp>
      <tp t="s">
        <v>N/A</v>
        <stp/>
        <stp>VOLUME</stp>
        <stp>.QQQ251231P495</stp>
        <tr r="X53" s="2"/>
      </tp>
      <tp>
        <v>4</v>
        <stp/>
        <stp>VOLUME</stp>
        <stp>.QQQ251231C495</stp>
        <tr r="X53" s="2"/>
        <tr r="X53" s="2"/>
      </tp>
      <tp t="s">
        <v>N/A</v>
        <stp/>
        <stp>VOLUME</stp>
        <stp>.QQQ251231P494</stp>
        <tr r="X54" s="2"/>
      </tp>
      <tp t="s">
        <v>N/A</v>
        <stp/>
        <stp>VOLUME</stp>
        <stp>.QQQ251231C494</stp>
        <tr r="X54" s="2"/>
      </tp>
      <tp t="s">
        <v>N/A</v>
        <stp/>
        <stp>VOLUME</stp>
        <stp>.QQQ251231P497</stp>
        <tr r="X51" s="2"/>
      </tp>
      <tp>
        <v>1</v>
        <stp/>
        <stp>VOLUME</stp>
        <stp>.QQQ251231C497</stp>
        <tr r="X51" s="2"/>
        <tr r="X51" s="2"/>
      </tp>
      <tp t="s">
        <v>N/A</v>
        <stp/>
        <stp>VOLUME</stp>
        <stp>.QQQ251231P496</stp>
        <tr r="X52" s="2"/>
      </tp>
      <tp>
        <v>1</v>
        <stp/>
        <stp>VOLUME</stp>
        <stp>.QQQ251231C496</stp>
        <tr r="X52" s="2"/>
        <tr r="X52" s="2"/>
      </tp>
      <tp t="s">
        <v>N/A</v>
        <stp/>
        <stp>VOLUME</stp>
        <stp>.QQQ251231P491</stp>
        <tr r="X57" s="2"/>
      </tp>
      <tp t="s">
        <v>N/A</v>
        <stp/>
        <stp>VOLUME</stp>
        <stp>.QQQ251231C491</stp>
        <tr r="X57" s="2"/>
      </tp>
      <tp>
        <v>6</v>
        <stp/>
        <stp>VOLUME</stp>
        <stp>.QQQ251231P490</stp>
        <tr r="X58" s="2"/>
        <tr r="X58" s="2"/>
      </tp>
      <tp>
        <v>14</v>
        <stp/>
        <stp>VOLUME</stp>
        <stp>.QQQ251231C490</stp>
        <tr r="X58" s="2"/>
        <tr r="X58" s="2"/>
      </tp>
      <tp t="s">
        <v>N/A</v>
        <stp/>
        <stp>VOLUME</stp>
        <stp>.QQQ251231P493</stp>
        <tr r="X55" s="2"/>
      </tp>
      <tp t="s">
        <v>N/A</v>
        <stp/>
        <stp>VOLUME</stp>
        <stp>.QQQ251231C493</stp>
        <tr r="X55" s="2"/>
      </tp>
      <tp t="s">
        <v>N/A</v>
        <stp/>
        <stp>VOLUME</stp>
        <stp>.QQQ251231P492</stp>
        <tr r="X56" s="2"/>
      </tp>
      <tp t="s">
        <v>N/A</v>
        <stp/>
        <stp>VOLUME</stp>
        <stp>.QQQ251231C492</stp>
        <tr r="X56" s="2"/>
      </tp>
      <tp t="s">
        <v>N/A</v>
        <stp/>
        <stp>VOLUME</stp>
        <stp>.QQQ251231P499</stp>
        <tr r="X49" s="2"/>
      </tp>
      <tp t="s">
        <v>N/A</v>
        <stp/>
        <stp>VOLUME</stp>
        <stp>.QQQ251231C499</stp>
        <tr r="X49" s="2"/>
      </tp>
      <tp t="s">
        <v>N/A</v>
        <stp/>
        <stp>VOLUME</stp>
        <stp>.QQQ251231P498</stp>
        <tr r="X50" s="2"/>
      </tp>
      <tp t="s">
        <v>N/A</v>
        <stp/>
        <stp>VOLUME</stp>
        <stp>.QQQ251231C498</stp>
        <tr r="X50" s="2"/>
      </tp>
      <tp>
        <v>2</v>
        <stp/>
        <stp>VOLUME</stp>
        <stp>.QQQ251231P469</stp>
        <tr r="X79" s="2"/>
        <tr r="X79" s="2"/>
      </tp>
      <tp t="s">
        <v>N/A</v>
        <stp/>
        <stp>VOLUME</stp>
        <stp>.QQQ251231C469</stp>
        <tr r="X79" s="2"/>
      </tp>
      <tp t="s">
        <v>N/A</v>
        <stp/>
        <stp>VOLUME</stp>
        <stp>.QQQ251231P468</stp>
        <tr r="X80" s="2"/>
      </tp>
      <tp t="s">
        <v>N/A</v>
        <stp/>
        <stp>VOLUME</stp>
        <stp>.QQQ251231C468</stp>
        <tr r="X80" s="2"/>
      </tp>
      <tp>
        <v>1</v>
        <stp/>
        <stp>VOLUME</stp>
        <stp>.QQQ251231P475</stp>
        <tr r="X73" s="2"/>
        <tr r="X73" s="2"/>
      </tp>
      <tp t="s">
        <v>N/A</v>
        <stp/>
        <stp>VOLUME</stp>
        <stp>.QQQ251231C475</stp>
        <tr r="X73" s="2"/>
      </tp>
      <tp t="s">
        <v>N/A</v>
        <stp/>
        <stp>VOLUME</stp>
        <stp>.QQQ251231P474</stp>
        <tr r="X74" s="2"/>
      </tp>
      <tp t="s">
        <v>N/A</v>
        <stp/>
        <stp>VOLUME</stp>
        <stp>.QQQ251231C474</stp>
        <tr r="X74" s="2"/>
      </tp>
      <tp>
        <v>1</v>
        <stp/>
        <stp>VOLUME</stp>
        <stp>.QQQ251231P477</stp>
        <tr r="X71" s="2"/>
        <tr r="X71" s="2"/>
      </tp>
      <tp t="s">
        <v>N/A</v>
        <stp/>
        <stp>VOLUME</stp>
        <stp>.QQQ251231C477</stp>
        <tr r="X71" s="2"/>
      </tp>
      <tp t="s">
        <v>N/A</v>
        <stp/>
        <stp>VOLUME</stp>
        <stp>.QQQ251231P476</stp>
        <tr r="X72" s="2"/>
      </tp>
      <tp t="s">
        <v>N/A</v>
        <stp/>
        <stp>VOLUME</stp>
        <stp>.QQQ251231C476</stp>
        <tr r="X72" s="2"/>
      </tp>
      <tp t="s">
        <v>N/A</v>
        <stp/>
        <stp>VOLUME</stp>
        <stp>.QQQ251231P471</stp>
        <tr r="X77" s="2"/>
      </tp>
      <tp t="s">
        <v>N/A</v>
        <stp/>
        <stp>VOLUME</stp>
        <stp>.QQQ251231C471</stp>
        <tr r="X77" s="2"/>
      </tp>
      <tp>
        <v>3</v>
        <stp/>
        <stp>VOLUME</stp>
        <stp>.QQQ251231P470</stp>
        <tr r="X78" s="2"/>
        <tr r="X78" s="2"/>
      </tp>
      <tp>
        <v>3</v>
        <stp/>
        <stp>VOLUME</stp>
        <stp>.QQQ251231C470</stp>
        <tr r="X78" s="2"/>
        <tr r="X78" s="2"/>
      </tp>
      <tp t="s">
        <v>N/A</v>
        <stp/>
        <stp>VOLUME</stp>
        <stp>.QQQ251231P473</stp>
        <tr r="X75" s="2"/>
      </tp>
      <tp t="s">
        <v>N/A</v>
        <stp/>
        <stp>VOLUME</stp>
        <stp>.QQQ251231C473</stp>
        <tr r="X75" s="2"/>
      </tp>
      <tp>
        <v>1</v>
        <stp/>
        <stp>VOLUME</stp>
        <stp>.QQQ251231P472</stp>
        <tr r="X76" s="2"/>
        <tr r="X76" s="2"/>
      </tp>
      <tp t="s">
        <v>N/A</v>
        <stp/>
        <stp>VOLUME</stp>
        <stp>.QQQ251231C472</stp>
        <tr r="X76" s="2"/>
      </tp>
      <tp t="s">
        <v>N/A</v>
        <stp/>
        <stp>VOLUME</stp>
        <stp>.QQQ251231P479</stp>
        <tr r="X69" s="2"/>
      </tp>
      <tp>
        <v>3</v>
        <stp/>
        <stp>VOLUME</stp>
        <stp>.QQQ251231C479</stp>
        <tr r="X69" s="2"/>
        <tr r="X69" s="2"/>
      </tp>
      <tp>
        <v>1</v>
        <stp/>
        <stp>VOLUME</stp>
        <stp>.QQQ251231P478</stp>
        <tr r="X70" s="2"/>
        <tr r="X70" s="2"/>
      </tp>
      <tp>
        <v>2</v>
        <stp/>
        <stp>VOLUME</stp>
        <stp>.QQQ251231C478</stp>
        <tr r="X70" s="2"/>
        <tr r="X70" s="2"/>
      </tp>
      <tp t="s">
        <v>N/A</v>
        <stp/>
        <stp>VOLUME</stp>
        <stp>.QQQ251219P469</stp>
        <tr r="W79" s="2"/>
      </tp>
      <tp t="s">
        <v>N/A</v>
        <stp/>
        <stp>VOLUME</stp>
        <stp>.QQQ251219C469</stp>
        <tr r="W79" s="2"/>
      </tp>
      <tp t="s">
        <v>N/A</v>
        <stp/>
        <stp>VOLUME</stp>
        <stp>.QQQ251219P468</stp>
        <tr r="W80" s="2"/>
      </tp>
      <tp t="s">
        <v>N/A</v>
        <stp/>
        <stp>VOLUME</stp>
        <stp>.QQQ251219C468</stp>
        <tr r="W80" s="2"/>
      </tp>
      <tp t="s">
        <v>N/A</v>
        <stp/>
        <stp>VOLUME</stp>
        <stp>.QQQ251219P479</stp>
        <tr r="W69" s="2"/>
      </tp>
      <tp t="s">
        <v>N/A</v>
        <stp/>
        <stp>VOLUME</stp>
        <stp>.QQQ251219C479</stp>
        <tr r="W69" s="2"/>
      </tp>
      <tp t="s">
        <v>N/A</v>
        <stp/>
        <stp>VOLUME</stp>
        <stp>.QQQ251219P478</stp>
        <tr r="W70" s="2"/>
      </tp>
      <tp t="s">
        <v>N/A</v>
        <stp/>
        <stp>VOLUME</stp>
        <stp>.QQQ251219C478</stp>
        <tr r="W70" s="2"/>
      </tp>
      <tp t="s">
        <v>N/A</v>
        <stp/>
        <stp>VOLUME</stp>
        <stp>.QQQ251219P475</stp>
        <tr r="W73" s="2"/>
      </tp>
      <tp t="s">
        <v>N/A</v>
        <stp/>
        <stp>VOLUME</stp>
        <stp>.QQQ251219C475</stp>
        <tr r="W73" s="2"/>
      </tp>
      <tp t="s">
        <v>N/A</v>
        <stp/>
        <stp>VOLUME</stp>
        <stp>.QQQ251219P474</stp>
        <tr r="W74" s="2"/>
      </tp>
      <tp t="s">
        <v>N/A</v>
        <stp/>
        <stp>VOLUME</stp>
        <stp>.QQQ251219C474</stp>
        <tr r="W74" s="2"/>
      </tp>
      <tp t="s">
        <v>N/A</v>
        <stp/>
        <stp>VOLUME</stp>
        <stp>.QQQ251219P477</stp>
        <tr r="W71" s="2"/>
      </tp>
      <tp t="s">
        <v>N/A</v>
        <stp/>
        <stp>VOLUME</stp>
        <stp>.QQQ251219C477</stp>
        <tr r="W71" s="2"/>
      </tp>
      <tp t="s">
        <v>N/A</v>
        <stp/>
        <stp>VOLUME</stp>
        <stp>.QQQ251219P476</stp>
        <tr r="W72" s="2"/>
      </tp>
      <tp t="s">
        <v>N/A</v>
        <stp/>
        <stp>VOLUME</stp>
        <stp>.QQQ251219C476</stp>
        <tr r="W72" s="2"/>
      </tp>
      <tp t="s">
        <v>N/A</v>
        <stp/>
        <stp>VOLUME</stp>
        <stp>.QQQ251219P471</stp>
        <tr r="W77" s="2"/>
      </tp>
      <tp t="s">
        <v>N/A</v>
        <stp/>
        <stp>VOLUME</stp>
        <stp>.QQQ251219C471</stp>
        <tr r="W77" s="2"/>
      </tp>
      <tp>
        <v>9</v>
        <stp/>
        <stp>VOLUME</stp>
        <stp>.QQQ251219P470</stp>
        <tr r="W78" s="2"/>
        <tr r="W78" s="2"/>
      </tp>
      <tp>
        <v>2</v>
        <stp/>
        <stp>VOLUME</stp>
        <stp>.QQQ251219C470</stp>
        <tr r="W78" s="2"/>
        <tr r="W78" s="2"/>
      </tp>
      <tp t="s">
        <v>N/A</v>
        <stp/>
        <stp>VOLUME</stp>
        <stp>.QQQ251219P473</stp>
        <tr r="W75" s="2"/>
      </tp>
      <tp t="s">
        <v>N/A</v>
        <stp/>
        <stp>VOLUME</stp>
        <stp>.QQQ251219C473</stp>
        <tr r="W75" s="2"/>
      </tp>
      <tp t="s">
        <v>N/A</v>
        <stp/>
        <stp>VOLUME</stp>
        <stp>.QQQ251219P472</stp>
        <tr r="W76" s="2"/>
      </tp>
      <tp t="s">
        <v>N/A</v>
        <stp/>
        <stp>VOLUME</stp>
        <stp>.QQQ251219C472</stp>
        <tr r="W76" s="2"/>
      </tp>
      <tp t="s">
        <v>N/A</v>
        <stp/>
        <stp>VOLUME</stp>
        <stp>.QQQ251219P501</stp>
        <tr r="W47" s="2"/>
      </tp>
      <tp t="s">
        <v>N/A</v>
        <stp/>
        <stp>VOLUME</stp>
        <stp>.QQQ251219C501</stp>
        <tr r="W47" s="2"/>
      </tp>
      <tp>
        <v>38</v>
        <stp/>
        <stp>VOLUME</stp>
        <stp>.QQQ251219P500</stp>
        <tr r="W48" s="2"/>
        <tr r="W48" s="2"/>
      </tp>
      <tp>
        <v>70</v>
        <stp/>
        <stp>VOLUME</stp>
        <stp>.QQQ251219C500</stp>
        <tr r="W48" s="2"/>
        <tr r="W48" s="2"/>
      </tp>
      <tp t="s">
        <v>N/A</v>
        <stp/>
        <stp>VOLUME</stp>
        <stp>.QQQ251219P502</stp>
        <tr r="W46" s="2"/>
      </tp>
      <tp t="s">
        <v>N/A</v>
        <stp/>
        <stp>VOLUME</stp>
        <stp>.QQQ251219C502</stp>
        <tr r="W46" s="2"/>
      </tp>
      <tp t="s">
        <v>N/A</v>
        <stp/>
        <stp>VOLUME</stp>
        <stp>.QQQ251231P501</stp>
        <tr r="X47" s="2"/>
      </tp>
      <tp t="s">
        <v>N/A</v>
        <stp/>
        <stp>VOLUME</stp>
        <stp>.QQQ251231C501</stp>
        <tr r="X47" s="2"/>
      </tp>
      <tp>
        <v>12</v>
        <stp/>
        <stp>VOLUME</stp>
        <stp>.QQQ251231P500</stp>
        <tr r="X48" s="2"/>
        <tr r="X48" s="2"/>
      </tp>
      <tp>
        <v>6</v>
        <stp/>
        <stp>VOLUME</stp>
        <stp>.QQQ251231C500</stp>
        <tr r="X48" s="2"/>
        <tr r="X48" s="2"/>
      </tp>
      <tp t="s">
        <v>N/A</v>
        <stp/>
        <stp>VOLUME</stp>
        <stp>.QQQ251231P502</stp>
        <tr r="X46" s="2"/>
      </tp>
      <tp t="s">
        <v>N/A</v>
        <stp/>
        <stp>VOLUME</stp>
        <stp>.QQQ251231C502</stp>
        <tr r="X46" s="2"/>
      </tp>
      <tp t="s">
        <v>N/A</v>
        <stp/>
        <stp>VOLUME</stp>
        <stp>.QQQ251017P483</stp>
        <tr r="S65" s="2"/>
      </tp>
      <tp t="s">
        <v>N/A</v>
        <stp/>
        <stp>VOLUME</stp>
        <stp>.QQQ251017C483</stp>
        <tr r="S65" s="2"/>
      </tp>
      <tp t="s">
        <v>N/A</v>
        <stp/>
        <stp>VOLUME</stp>
        <stp>.QQQ251017P482</stp>
        <tr r="S66" s="2"/>
      </tp>
      <tp t="s">
        <v>N/A</v>
        <stp/>
        <stp>VOLUME</stp>
        <stp>.QQQ251017C482</stp>
        <tr r="S66" s="2"/>
      </tp>
      <tp t="s">
        <v>N/A</v>
        <stp/>
        <stp>VOLUME</stp>
        <stp>.QQQ251017P481</stp>
        <tr r="S67" s="2"/>
      </tp>
      <tp t="s">
        <v>N/A</v>
        <stp/>
        <stp>VOLUME</stp>
        <stp>.QQQ251017C481</stp>
        <tr r="S67" s="2"/>
      </tp>
      <tp t="s">
        <v>N/A</v>
        <stp/>
        <stp>VOLUME</stp>
        <stp>.QQQ251017P480</stp>
        <tr r="S68" s="2"/>
      </tp>
      <tp t="s">
        <v>N/A</v>
        <stp/>
        <stp>VOLUME</stp>
        <stp>.QQQ251017C480</stp>
        <tr r="S68" s="2"/>
      </tp>
      <tp t="s">
        <v>N/A</v>
        <stp/>
        <stp>VOLUME</stp>
        <stp>.QQQ251017P487</stp>
        <tr r="S61" s="2"/>
      </tp>
      <tp t="s">
        <v>N/A</v>
        <stp/>
        <stp>VOLUME</stp>
        <stp>.QQQ251017C487</stp>
        <tr r="S61" s="2"/>
      </tp>
      <tp t="s">
        <v>N/A</v>
        <stp/>
        <stp>VOLUME</stp>
        <stp>.QQQ251017P486</stp>
        <tr r="S62" s="2"/>
      </tp>
      <tp t="s">
        <v>N/A</v>
        <stp/>
        <stp>VOLUME</stp>
        <stp>.QQQ251017C486</stp>
        <tr r="S62" s="2"/>
      </tp>
      <tp t="s">
        <v>N/A</v>
        <stp/>
        <stp>VOLUME</stp>
        <stp>.QQQ251017P485</stp>
        <tr r="S63" s="2"/>
      </tp>
      <tp t="s">
        <v>N/A</v>
        <stp/>
        <stp>VOLUME</stp>
        <stp>.QQQ251017C485</stp>
        <tr r="S63" s="2"/>
      </tp>
      <tp t="s">
        <v>N/A</v>
        <stp/>
        <stp>VOLUME</stp>
        <stp>.QQQ251017P484</stp>
        <tr r="S64" s="2"/>
      </tp>
      <tp t="s">
        <v>N/A</v>
        <stp/>
        <stp>VOLUME</stp>
        <stp>.QQQ251017C484</stp>
        <tr r="S64" s="2"/>
      </tp>
      <tp t="s">
        <v>N/A</v>
        <stp/>
        <stp>VOLUME</stp>
        <stp>.QQQ251017P489</stp>
        <tr r="S59" s="2"/>
      </tp>
      <tp t="s">
        <v>N/A</v>
        <stp/>
        <stp>VOLUME</stp>
        <stp>.QQQ251017C489</stp>
        <tr r="S59" s="2"/>
      </tp>
      <tp t="s">
        <v>N/A</v>
        <stp/>
        <stp>VOLUME</stp>
        <stp>.QQQ251017P488</stp>
        <tr r="S60" s="2"/>
      </tp>
      <tp t="s">
        <v>N/A</v>
        <stp/>
        <stp>VOLUME</stp>
        <stp>.QQQ251017C488</stp>
        <tr r="S60" s="2"/>
      </tp>
      <tp t="s">
        <v>N/A</v>
        <stp/>
        <stp>VOLUME</stp>
        <stp>.SPY250919P582</stp>
        <tr r="Q5" s="2"/>
      </tp>
      <tp t="s">
        <v>N/A</v>
        <stp/>
        <stp>VOLUME</stp>
        <stp>.SPY250919C582</stp>
        <tr r="Q5" s="2"/>
      </tp>
      <tp t="s">
        <v>N/A</v>
        <stp/>
        <stp>VOLUME</stp>
        <stp>.SPY250919P581</stp>
        <tr r="Q6" s="2"/>
      </tp>
      <tp t="s">
        <v>N/A</v>
        <stp/>
        <stp>VOLUME</stp>
        <stp>.SPY250919C581</stp>
        <tr r="Q6" s="2"/>
      </tp>
      <tp>
        <v>742</v>
        <stp/>
        <stp>VOLUME</stp>
        <stp>.SPY250919P580</stp>
        <tr r="Q7" s="2"/>
        <tr r="Q7" s="2"/>
      </tp>
      <tp>
        <v>95</v>
        <stp/>
        <stp>VOLUME</stp>
        <stp>.SPY250919C580</stp>
        <tr r="Q7" s="2"/>
        <tr r="Q7" s="2"/>
      </tp>
      <tp t="s">
        <v>N/A</v>
        <stp/>
        <stp>VOLUME</stp>
        <stp>.QQQ251017P493</stp>
        <tr r="S55" s="2"/>
      </tp>
      <tp t="s">
        <v>N/A</v>
        <stp/>
        <stp>VOLUME</stp>
        <stp>.QQQ251017C493</stp>
        <tr r="S55" s="2"/>
      </tp>
      <tp t="s">
        <v>N/A</v>
        <stp/>
        <stp>VOLUME</stp>
        <stp>.QQQ251017P492</stp>
        <tr r="S56" s="2"/>
      </tp>
      <tp t="s">
        <v>N/A</v>
        <stp/>
        <stp>VOLUME</stp>
        <stp>.QQQ251017C492</stp>
        <tr r="S56" s="2"/>
      </tp>
      <tp t="s">
        <v>N/A</v>
        <stp/>
        <stp>VOLUME</stp>
        <stp>.QQQ251017P491</stp>
        <tr r="S57" s="2"/>
      </tp>
      <tp t="s">
        <v>N/A</v>
        <stp/>
        <stp>VOLUME</stp>
        <stp>.QQQ251017C491</stp>
        <tr r="S57" s="2"/>
      </tp>
      <tp t="s">
        <v>N/A</v>
        <stp/>
        <stp>VOLUME</stp>
        <stp>.QQQ251017P490</stp>
        <tr r="S58" s="2"/>
      </tp>
      <tp t="s">
        <v>N/A</v>
        <stp/>
        <stp>VOLUME</stp>
        <stp>.QQQ251017C490</stp>
        <tr r="S58" s="2"/>
      </tp>
      <tp t="s">
        <v>N/A</v>
        <stp/>
        <stp>VOLUME</stp>
        <stp>.QQQ251017P497</stp>
        <tr r="S51" s="2"/>
      </tp>
      <tp t="s">
        <v>N/A</v>
        <stp/>
        <stp>VOLUME</stp>
        <stp>.QQQ251017C497</stp>
        <tr r="S51" s="2"/>
      </tp>
      <tp t="s">
        <v>N/A</v>
        <stp/>
        <stp>VOLUME</stp>
        <stp>.QQQ251017P496</stp>
        <tr r="S52" s="2"/>
      </tp>
      <tp t="s">
        <v>N/A</v>
        <stp/>
        <stp>VOLUME</stp>
        <stp>.QQQ251017C496</stp>
        <tr r="S52" s="2"/>
      </tp>
      <tp t="s">
        <v>N/A</v>
        <stp/>
        <stp>VOLUME</stp>
        <stp>.QQQ251017P495</stp>
        <tr r="S53" s="2"/>
      </tp>
      <tp t="s">
        <v>N/A</v>
        <stp/>
        <stp>VOLUME</stp>
        <stp>.QQQ251017C495</stp>
        <tr r="S53" s="2"/>
      </tp>
      <tp t="s">
        <v>N/A</v>
        <stp/>
        <stp>VOLUME</stp>
        <stp>.QQQ251017P494</stp>
        <tr r="S54" s="2"/>
      </tp>
      <tp t="s">
        <v>N/A</v>
        <stp/>
        <stp>VOLUME</stp>
        <stp>.QQQ251017C494</stp>
        <tr r="S54" s="2"/>
      </tp>
      <tp t="s">
        <v>N/A</v>
        <stp/>
        <stp>VOLUME</stp>
        <stp>.QQQ251017P499</stp>
        <tr r="S49" s="2"/>
      </tp>
      <tp t="s">
        <v>N/A</v>
        <stp/>
        <stp>VOLUME</stp>
        <stp>.QQQ251017C499</stp>
        <tr r="S49" s="2"/>
      </tp>
      <tp t="s">
        <v>N/A</v>
        <stp/>
        <stp>VOLUME</stp>
        <stp>.QQQ251017P498</stp>
        <tr r="S50" s="2"/>
      </tp>
      <tp t="s">
        <v>N/A</v>
        <stp/>
        <stp>VOLUME</stp>
        <stp>.QQQ251017C498</stp>
        <tr r="S50" s="2"/>
      </tp>
      <tp t="s">
        <v>N/A</v>
        <stp/>
        <stp>VOLUME</stp>
        <stp>.QQQ251031P485</stp>
        <tr r="T63" s="2"/>
      </tp>
      <tp t="s">
        <v>N/A</v>
        <stp/>
        <stp>VOLUME</stp>
        <stp>.QQQ251031C485</stp>
        <tr r="T63" s="2"/>
      </tp>
      <tp t="s">
        <v>N/A</v>
        <stp/>
        <stp>VOLUME</stp>
        <stp>.QQQ251031P484</stp>
        <tr r="T64" s="2"/>
      </tp>
      <tp t="s">
        <v>N/A</v>
        <stp/>
        <stp>VOLUME</stp>
        <stp>.QQQ251031C484</stp>
        <tr r="T64" s="2"/>
      </tp>
      <tp t="s">
        <v>N/A</v>
        <stp/>
        <stp>VOLUME</stp>
        <stp>.QQQ251031P487</stp>
        <tr r="T61" s="2"/>
      </tp>
      <tp t="s">
        <v>N/A</v>
        <stp/>
        <stp>VOLUME</stp>
        <stp>.QQQ251031C487</stp>
        <tr r="T61" s="2"/>
      </tp>
      <tp t="s">
        <v>N/A</v>
        <stp/>
        <stp>VOLUME</stp>
        <stp>.QQQ251031P486</stp>
        <tr r="T62" s="2"/>
      </tp>
      <tp t="s">
        <v>N/A</v>
        <stp/>
        <stp>VOLUME</stp>
        <stp>.QQQ251031C486</stp>
        <tr r="T62" s="2"/>
      </tp>
      <tp t="s">
        <v>N/A</v>
        <stp/>
        <stp>VOLUME</stp>
        <stp>.QQQ251031P481</stp>
        <tr r="T67" s="2"/>
      </tp>
      <tp t="s">
        <v>N/A</v>
        <stp/>
        <stp>VOLUME</stp>
        <stp>.SPY250930P582</stp>
        <tr r="R5" s="2"/>
      </tp>
      <tp t="s">
        <v>N/A</v>
        <stp/>
        <stp>VOLUME</stp>
        <stp>.QQQ251031C481</stp>
        <tr r="T67" s="2"/>
      </tp>
      <tp t="s">
        <v>N/A</v>
        <stp/>
        <stp>VOLUME</stp>
        <stp>.SPY250930C582</stp>
        <tr r="R5" s="2"/>
      </tp>
      <tp t="s">
        <v>N/A</v>
        <stp/>
        <stp>VOLUME</stp>
        <stp>.QQQ251031P480</stp>
        <tr r="T68" s="2"/>
      </tp>
      <tp t="s">
        <v>N/A</v>
        <stp/>
        <stp>VOLUME</stp>
        <stp>.QQQ251031C480</stp>
        <tr r="T68" s="2"/>
      </tp>
      <tp t="s">
        <v>N/A</v>
        <stp/>
        <stp>VOLUME</stp>
        <stp>.QQQ251031P483</stp>
        <tr r="T65" s="2"/>
      </tp>
      <tp>
        <v>34</v>
        <stp/>
        <stp>VOLUME</stp>
        <stp>.SPY250930P580</stp>
        <tr r="R7" s="2"/>
        <tr r="R7" s="2"/>
      </tp>
      <tp t="s">
        <v>N/A</v>
        <stp/>
        <stp>VOLUME</stp>
        <stp>.QQQ251031C483</stp>
        <tr r="T65" s="2"/>
      </tp>
      <tp>
        <v>21</v>
        <stp/>
        <stp>VOLUME</stp>
        <stp>.SPY250930C580</stp>
        <tr r="R7" s="2"/>
        <tr r="R7" s="2"/>
      </tp>
      <tp t="s">
        <v>N/A</v>
        <stp/>
        <stp>VOLUME</stp>
        <stp>.QQQ251031P482</stp>
        <tr r="T66" s="2"/>
      </tp>
      <tp t="s">
        <v>N/A</v>
        <stp/>
        <stp>VOLUME</stp>
        <stp>.SPY250930P581</stp>
        <tr r="R6" s="2"/>
      </tp>
      <tp t="s">
        <v>N/A</v>
        <stp/>
        <stp>VOLUME</stp>
        <stp>.QQQ251031C482</stp>
        <tr r="T66" s="2"/>
      </tp>
      <tp t="s">
        <v>N/A</v>
        <stp/>
        <stp>VOLUME</stp>
        <stp>.SPY250930C581</stp>
        <tr r="R6" s="2"/>
      </tp>
      <tp t="s">
        <v>N/A</v>
        <stp/>
        <stp>VOLUME</stp>
        <stp>.QQQ251031P489</stp>
        <tr r="T59" s="2"/>
      </tp>
      <tp t="s">
        <v>N/A</v>
        <stp/>
        <stp>VOLUME</stp>
        <stp>.QQQ251031C489</stp>
        <tr r="T59" s="2"/>
      </tp>
      <tp t="s">
        <v>N/A</v>
        <stp/>
        <stp>VOLUME</stp>
        <stp>.QQQ251031P488</stp>
        <tr r="T60" s="2"/>
      </tp>
      <tp t="s">
        <v>N/A</v>
        <stp/>
        <stp>VOLUME</stp>
        <stp>.QQQ251031C488</stp>
        <tr r="T60" s="2"/>
      </tp>
      <tp t="s">
        <v>N/A</v>
        <stp/>
        <stp>VOLUME</stp>
        <stp>.QQQ251031P495</stp>
        <tr r="T53" s="2"/>
      </tp>
      <tp t="s">
        <v>N/A</v>
        <stp/>
        <stp>VOLUME</stp>
        <stp>.QQQ251031C495</stp>
        <tr r="T53" s="2"/>
      </tp>
      <tp t="s">
        <v>N/A</v>
        <stp/>
        <stp>VOLUME</stp>
        <stp>.QQQ251031P494</stp>
        <tr r="T54" s="2"/>
      </tp>
      <tp t="s">
        <v>N/A</v>
        <stp/>
        <stp>VOLUME</stp>
        <stp>.QQQ251031C494</stp>
        <tr r="T54" s="2"/>
      </tp>
      <tp t="s">
        <v>N/A</v>
        <stp/>
        <stp>VOLUME</stp>
        <stp>.QQQ251031P497</stp>
        <tr r="T51" s="2"/>
      </tp>
      <tp t="s">
        <v>N/A</v>
        <stp/>
        <stp>VOLUME</stp>
        <stp>.QQQ251031C497</stp>
        <tr r="T51" s="2"/>
      </tp>
      <tp t="s">
        <v>N/A</v>
        <stp/>
        <stp>VOLUME</stp>
        <stp>.QQQ251031P496</stp>
        <tr r="T52" s="2"/>
      </tp>
      <tp t="s">
        <v>N/A</v>
        <stp/>
        <stp>VOLUME</stp>
        <stp>.QQQ251031C496</stp>
        <tr r="T52" s="2"/>
      </tp>
      <tp t="s">
        <v>N/A</v>
        <stp/>
        <stp>VOLUME</stp>
        <stp>.QQQ251031P491</stp>
        <tr r="T57" s="2"/>
      </tp>
      <tp t="s">
        <v>N/A</v>
        <stp/>
        <stp>VOLUME</stp>
        <stp>.QQQ251031C491</stp>
        <tr r="T57" s="2"/>
      </tp>
      <tp t="s">
        <v>N/A</v>
        <stp/>
        <stp>VOLUME</stp>
        <stp>.QQQ251031P490</stp>
        <tr r="T58" s="2"/>
      </tp>
      <tp t="s">
        <v>N/A</v>
        <stp/>
        <stp>VOLUME</stp>
        <stp>.QQQ251031C490</stp>
        <tr r="T58" s="2"/>
      </tp>
      <tp t="s">
        <v>N/A</v>
        <stp/>
        <stp>VOLUME</stp>
        <stp>.QQQ251031P493</stp>
        <tr r="T55" s="2"/>
      </tp>
      <tp t="s">
        <v>N/A</v>
        <stp/>
        <stp>VOLUME</stp>
        <stp>.QQQ251031C493</stp>
        <tr r="T55" s="2"/>
      </tp>
      <tp t="s">
        <v>N/A</v>
        <stp/>
        <stp>VOLUME</stp>
        <stp>.QQQ251031P492</stp>
        <tr r="T56" s="2"/>
      </tp>
      <tp t="s">
        <v>N/A</v>
        <stp/>
        <stp>VOLUME</stp>
        <stp>.QQQ251031C492</stp>
        <tr r="T56" s="2"/>
      </tp>
      <tp t="s">
        <v>N/A</v>
        <stp/>
        <stp>VOLUME</stp>
        <stp>.QQQ251031P499</stp>
        <tr r="T49" s="2"/>
      </tp>
      <tp t="s">
        <v>N/A</v>
        <stp/>
        <stp>VOLUME</stp>
        <stp>.QQQ251031C499</stp>
        <tr r="T49" s="2"/>
      </tp>
      <tp t="s">
        <v>N/A</v>
        <stp/>
        <stp>VOLUME</stp>
        <stp>.QQQ251031P498</stp>
        <tr r="T50" s="2"/>
      </tp>
      <tp t="s">
        <v>N/A</v>
        <stp/>
        <stp>VOLUME</stp>
        <stp>.QQQ251031C498</stp>
        <tr r="T50" s="2"/>
      </tp>
      <tp t="s">
        <v>N/A</v>
        <stp/>
        <stp>VOLUME</stp>
        <stp>.QQQ251121P501</stp>
        <tr r="U47" s="2"/>
      </tp>
      <tp t="s">
        <v>N/A</v>
        <stp/>
        <stp>VOLUME</stp>
        <stp>.QQQ251121C501</stp>
        <tr r="U47" s="2"/>
      </tp>
      <tp>
        <v>3</v>
        <stp/>
        <stp>VOLUME</stp>
        <stp>.QQQ251121P500</stp>
        <tr r="U48" s="2"/>
        <tr r="U48" s="2"/>
      </tp>
      <tp>
        <v>118</v>
        <stp/>
        <stp>VOLUME</stp>
        <stp>.QQQ251121C500</stp>
        <tr r="U48" s="2"/>
        <tr r="U48" s="2"/>
      </tp>
      <tp t="s">
        <v>N/A</v>
        <stp/>
        <stp>VOLUME</stp>
        <stp>.QQQ251121P502</stp>
        <tr r="U46" s="2"/>
      </tp>
      <tp t="s">
        <v>N/A</v>
        <stp/>
        <stp>VOLUME</stp>
        <stp>.QQQ251121C502</stp>
        <tr r="U46" s="2"/>
      </tp>
      <tp t="s">
        <v>N/A</v>
        <stp/>
        <stp>VOLUME</stp>
        <stp>.QQQ251128P500</stp>
        <tr r="V48" s="2"/>
      </tp>
      <tp t="s">
        <v>N/A</v>
        <stp/>
        <stp>VOLUME</stp>
        <stp>.QQQ251128C500</stp>
        <tr r="V48" s="2"/>
      </tp>
      <tp t="s">
        <v>N/A</v>
        <stp/>
        <stp>VOLUME</stp>
        <stp>.QQQ251128P501</stp>
        <tr r="V47" s="2"/>
      </tp>
      <tp t="s">
        <v>N/A</v>
        <stp/>
        <stp>VOLUME</stp>
        <stp>.QQQ251128C501</stp>
        <tr r="V47" s="2"/>
      </tp>
      <tp t="s">
        <v>N/A</v>
        <stp/>
        <stp>VOLUME</stp>
        <stp>.QQQ251128P502</stp>
        <tr r="V46" s="2"/>
      </tp>
      <tp t="s">
        <v>N/A</v>
        <stp/>
        <stp>VOLUME</stp>
        <stp>.QQQ251128C502</stp>
        <tr r="V46" s="2"/>
      </tp>
      <tp>
        <v>4</v>
        <stp/>
        <stp>VOLUME</stp>
        <stp>.SPY250930P566</stp>
        <tr r="R21" s="2"/>
        <tr r="R21" s="2"/>
      </tp>
      <tp>
        <v>2</v>
        <stp/>
        <stp>VOLUME</stp>
        <stp>.SPY250930C566</stp>
        <tr r="R21" s="2"/>
        <tr r="R21" s="2"/>
      </tp>
      <tp>
        <v>12</v>
        <stp/>
        <stp>VOLUME</stp>
        <stp>.SPY250930P567</stp>
        <tr r="R20" s="2"/>
        <tr r="R20" s="2"/>
      </tp>
      <tp>
        <v>9</v>
        <stp/>
        <stp>VOLUME</stp>
        <stp>.SPY250930C567</stp>
        <tr r="R20" s="2"/>
        <tr r="R20" s="2"/>
      </tp>
      <tp>
        <v>27</v>
        <stp/>
        <stp>VOLUME</stp>
        <stp>.SPY250930P564</stp>
        <tr r="R23" s="2"/>
        <tr r="R23" s="2"/>
      </tp>
      <tp>
        <v>43</v>
        <stp/>
        <stp>VOLUME</stp>
        <stp>.SPY250930C564</stp>
        <tr r="R23" s="2"/>
        <tr r="R23" s="2"/>
      </tp>
      <tp>
        <v>132</v>
        <stp/>
        <stp>VOLUME</stp>
        <stp>.SPY250930P565</stp>
        <tr r="R22" s="2"/>
        <tr r="R22" s="2"/>
      </tp>
      <tp>
        <v>32</v>
        <stp/>
        <stp>VOLUME</stp>
        <stp>.SPY250930C565</stp>
        <tr r="R22" s="2"/>
        <tr r="R22" s="2"/>
      </tp>
      <tp>
        <v>11</v>
        <stp/>
        <stp>VOLUME</stp>
        <stp>.SPY250930P562</stp>
        <tr r="R25" s="2"/>
        <tr r="R25" s="2"/>
      </tp>
      <tp t="s">
        <v>N/A</v>
        <stp/>
        <stp>VOLUME</stp>
        <stp>.SPY250930C562</stp>
        <tr r="R25" s="2"/>
      </tp>
      <tp>
        <v>1</v>
        <stp/>
        <stp>VOLUME</stp>
        <stp>.SPY250930P563</stp>
        <tr r="R24" s="2"/>
        <tr r="R24" s="2"/>
      </tp>
      <tp>
        <v>3</v>
        <stp/>
        <stp>VOLUME</stp>
        <stp>.SPY250930C563</stp>
        <tr r="R24" s="2"/>
        <tr r="R24" s="2"/>
      </tp>
      <tp t="s">
        <v>N/A</v>
        <stp/>
        <stp>VOLUME</stp>
        <stp>.SPY250919P549</stp>
        <tr r="Q38" s="2"/>
      </tp>
      <tp>
        <v>12</v>
        <stp/>
        <stp>VOLUME</stp>
        <stp>.SPY250930P560</stp>
        <tr r="R27" s="2"/>
        <tr r="R27" s="2"/>
      </tp>
      <tp t="s">
        <v>N/A</v>
        <stp/>
        <stp>VOLUME</stp>
        <stp>.SPY250919C549</stp>
        <tr r="Q38" s="2"/>
      </tp>
      <tp>
        <v>5</v>
        <stp/>
        <stp>VOLUME</stp>
        <stp>.SPY250930C560</stp>
        <tr r="R27" s="2"/>
        <tr r="R27" s="2"/>
      </tp>
      <tp t="s">
        <v>N/A</v>
        <stp/>
        <stp>VOLUME</stp>
        <stp>.SPY250919P548</stp>
        <tr r="Q39" s="2"/>
      </tp>
      <tp>
        <v>3</v>
        <stp/>
        <stp>VOLUME</stp>
        <stp>.SPY250930P561</stp>
        <tr r="R26" s="2"/>
        <tr r="R26" s="2"/>
      </tp>
      <tp t="s">
        <v>N/A</v>
        <stp/>
        <stp>VOLUME</stp>
        <stp>.SPY250919C548</stp>
        <tr r="Q39" s="2"/>
      </tp>
      <tp t="s">
        <v>N/A</v>
        <stp/>
        <stp>VOLUME</stp>
        <stp>.SPY250930C561</stp>
        <tr r="R26" s="2"/>
      </tp>
      <tp t="s">
        <v>N/A</v>
        <stp/>
        <stp>VOLUME</stp>
        <stp>.QQQ251031P469</stp>
        <tr r="T79" s="2"/>
      </tp>
      <tp t="s">
        <v>N/A</v>
        <stp/>
        <stp>VOLUME</stp>
        <stp>.QQQ251031C469</stp>
        <tr r="T79" s="2"/>
      </tp>
      <tp t="s">
        <v>N/A</v>
        <stp/>
        <stp>VOLUME</stp>
        <stp>.QQQ251031P468</stp>
        <tr r="T80" s="2"/>
      </tp>
      <tp t="s">
        <v>N/A</v>
        <stp/>
        <stp>VOLUME</stp>
        <stp>.QQQ251031C468</stp>
        <tr r="T80" s="2"/>
      </tp>
      <tp>
        <v>1</v>
        <stp/>
        <stp>VOLUME</stp>
        <stp>.SPY250930P568</stp>
        <tr r="R19" s="2"/>
        <tr r="R19" s="2"/>
      </tp>
      <tp>
        <v>4</v>
        <stp/>
        <stp>VOLUME</stp>
        <stp>.SPY250930C568</stp>
        <tr r="R19" s="2"/>
        <tr r="R19" s="2"/>
      </tp>
      <tp>
        <v>7</v>
        <stp/>
        <stp>VOLUME</stp>
        <stp>.SPY250930P569</stp>
        <tr r="R18" s="2"/>
        <tr r="R18" s="2"/>
      </tp>
      <tp>
        <v>13</v>
        <stp/>
        <stp>VOLUME</stp>
        <stp>.SPY250930C569</stp>
        <tr r="R18" s="2"/>
        <tr r="R18" s="2"/>
      </tp>
      <tp t="s">
        <v>N/A</v>
        <stp/>
        <stp>VOLUME</stp>
        <stp>.QQQ251031P475</stp>
        <tr r="T73" s="2"/>
      </tp>
      <tp t="s">
        <v>N/A</v>
        <stp/>
        <stp>VOLUME</stp>
        <stp>.SPY250930P576</stp>
        <tr r="R11" s="2"/>
      </tp>
      <tp t="s">
        <v>N/A</v>
        <stp/>
        <stp>VOLUME</stp>
        <stp>.QQQ251031C475</stp>
        <tr r="T73" s="2"/>
      </tp>
      <tp t="s">
        <v>N/A</v>
        <stp/>
        <stp>VOLUME</stp>
        <stp>.SPY250930C576</stp>
        <tr r="R11" s="2"/>
      </tp>
      <tp t="s">
        <v>N/A</v>
        <stp/>
        <stp>VOLUME</stp>
        <stp>.QQQ251031P474</stp>
        <tr r="T74" s="2"/>
      </tp>
      <tp>
        <v>1</v>
        <stp/>
        <stp>VOLUME</stp>
        <stp>.SPY250930P577</stp>
        <tr r="R10" s="2"/>
        <tr r="R10" s="2"/>
      </tp>
      <tp t="s">
        <v>N/A</v>
        <stp/>
        <stp>VOLUME</stp>
        <stp>.QQQ251031C474</stp>
        <tr r="T74" s="2"/>
      </tp>
      <tp>
        <v>4</v>
        <stp/>
        <stp>VOLUME</stp>
        <stp>.SPY250930C577</stp>
        <tr r="R10" s="2"/>
        <tr r="R10" s="2"/>
      </tp>
      <tp t="s">
        <v>N/A</v>
        <stp/>
        <stp>VOLUME</stp>
        <stp>.QQQ251031P477</stp>
        <tr r="T71" s="2"/>
      </tp>
      <tp>
        <v>1</v>
        <stp/>
        <stp>VOLUME</stp>
        <stp>.SPY250930P574</stp>
        <tr r="R13" s="2"/>
        <tr r="R13" s="2"/>
      </tp>
      <tp t="s">
        <v>N/A</v>
        <stp/>
        <stp>VOLUME</stp>
        <stp>.QQQ251031C477</stp>
        <tr r="T71" s="2"/>
      </tp>
      <tp t="s">
        <v>N/A</v>
        <stp/>
        <stp>VOLUME</stp>
        <stp>.SPY250930C574</stp>
        <tr r="R13" s="2"/>
      </tp>
      <tp t="s">
        <v>N/A</v>
        <stp/>
        <stp>VOLUME</stp>
        <stp>.QQQ251031P476</stp>
        <tr r="T72" s="2"/>
      </tp>
      <tp t="s">
        <v>N/A</v>
        <stp/>
        <stp>VOLUME</stp>
        <stp>.SPY250930P575</stp>
        <tr r="R12" s="2"/>
      </tp>
      <tp t="s">
        <v>N/A</v>
        <stp/>
        <stp>VOLUME</stp>
        <stp>.QQQ251031C476</stp>
        <tr r="T72" s="2"/>
      </tp>
      <tp>
        <v>24</v>
        <stp/>
        <stp>VOLUME</stp>
        <stp>.SPY250930C575</stp>
        <tr r="R12" s="2"/>
        <tr r="R12" s="2"/>
      </tp>
      <tp t="s">
        <v>N/A</v>
        <stp/>
        <stp>VOLUME</stp>
        <stp>.QQQ251031P471</stp>
        <tr r="T77" s="2"/>
      </tp>
      <tp t="s">
        <v>N/A</v>
        <stp/>
        <stp>VOLUME</stp>
        <stp>.SPY250930P572</stp>
        <tr r="R15" s="2"/>
      </tp>
      <tp t="s">
        <v>N/A</v>
        <stp/>
        <stp>VOLUME</stp>
        <stp>.QQQ251031C471</stp>
        <tr r="T77" s="2"/>
      </tp>
      <tp t="s">
        <v>N/A</v>
        <stp/>
        <stp>VOLUME</stp>
        <stp>.SPY250930C572</stp>
        <tr r="R15" s="2"/>
      </tp>
      <tp t="s">
        <v>N/A</v>
        <stp/>
        <stp>VOLUME</stp>
        <stp>.QQQ251031P470</stp>
        <tr r="T78" s="2"/>
      </tp>
      <tp t="s">
        <v>N/A</v>
        <stp/>
        <stp>VOLUME</stp>
        <stp>.SPY250930P573</stp>
        <tr r="R14" s="2"/>
      </tp>
      <tp t="s">
        <v>N/A</v>
        <stp/>
        <stp>VOLUME</stp>
        <stp>.QQQ251031C470</stp>
        <tr r="T78" s="2"/>
      </tp>
      <tp t="s">
        <v>N/A</v>
        <stp/>
        <stp>VOLUME</stp>
        <stp>.SPY250930C573</stp>
        <tr r="R14" s="2"/>
      </tp>
      <tp t="s">
        <v>N/A</v>
        <stp/>
        <stp>VOLUME</stp>
        <stp>.QQQ251031P473</stp>
        <tr r="T75" s="2"/>
      </tp>
      <tp t="s">
        <v>N/A</v>
        <stp/>
        <stp>VOLUME</stp>
        <stp>.SPY250919P559</stp>
        <tr r="Q28" s="2"/>
      </tp>
      <tp>
        <v>53</v>
        <stp/>
        <stp>VOLUME</stp>
        <stp>.SPY250930P570</stp>
        <tr r="R17" s="2"/>
        <tr r="R17" s="2"/>
      </tp>
      <tp t="s">
        <v>N/A</v>
        <stp/>
        <stp>VOLUME</stp>
        <stp>.QQQ251031C473</stp>
        <tr r="T75" s="2"/>
      </tp>
      <tp t="s">
        <v>N/A</v>
        <stp/>
        <stp>VOLUME</stp>
        <stp>.SPY250919C559</stp>
        <tr r="Q28" s="2"/>
      </tp>
      <tp>
        <v>13</v>
        <stp/>
        <stp>VOLUME</stp>
        <stp>.SPY250930C570</stp>
        <tr r="R17" s="2"/>
        <tr r="R17" s="2"/>
      </tp>
      <tp t="s">
        <v>N/A</v>
        <stp/>
        <stp>VOLUME</stp>
        <stp>.QQQ251031P472</stp>
        <tr r="T76" s="2"/>
      </tp>
      <tp t="s">
        <v>N/A</v>
        <stp/>
        <stp>VOLUME</stp>
        <stp>.SPY250919P558</stp>
        <tr r="Q29" s="2"/>
      </tp>
      <tp t="s">
        <v>N/A</v>
        <stp/>
        <stp>VOLUME</stp>
        <stp>.SPY250930P571</stp>
        <tr r="R16" s="2"/>
      </tp>
      <tp t="s">
        <v>N/A</v>
        <stp/>
        <stp>VOLUME</stp>
        <stp>.QQQ251031C472</stp>
        <tr r="T76" s="2"/>
      </tp>
      <tp t="s">
        <v>N/A</v>
        <stp/>
        <stp>VOLUME</stp>
        <stp>.SPY250919C558</stp>
        <tr r="Q29" s="2"/>
      </tp>
      <tp t="s">
        <v>N/A</v>
        <stp/>
        <stp>VOLUME</stp>
        <stp>.SPY250930C571</stp>
        <tr r="R16" s="2"/>
      </tp>
      <tp t="s">
        <v>N/A</v>
        <stp/>
        <stp>VOLUME</stp>
        <stp>.SPY250919P557</stp>
        <tr r="Q30" s="2"/>
      </tp>
      <tp t="s">
        <v>N/A</v>
        <stp/>
        <stp>VOLUME</stp>
        <stp>.SPY250919C557</stp>
        <tr r="Q30" s="2"/>
      </tp>
      <tp t="s">
        <v>N/A</v>
        <stp/>
        <stp>VOLUME</stp>
        <stp>.SPY250919P556</stp>
        <tr r="Q31" s="2"/>
      </tp>
      <tp t="s">
        <v>N/A</v>
        <stp/>
        <stp>VOLUME</stp>
        <stp>.SPY250919C556</stp>
        <tr r="Q31" s="2"/>
      </tp>
      <tp>
        <v>83</v>
        <stp/>
        <stp>VOLUME</stp>
        <stp>.SPY250919P555</stp>
        <tr r="Q32" s="2"/>
        <tr r="Q32" s="2"/>
      </tp>
      <tp>
        <v>4</v>
        <stp/>
        <stp>VOLUME</stp>
        <stp>.SPY250919C555</stp>
        <tr r="Q32" s="2"/>
        <tr r="Q32" s="2"/>
      </tp>
      <tp t="s">
        <v>N/A</v>
        <stp/>
        <stp>VOLUME</stp>
        <stp>.SPY250919P554</stp>
        <tr r="Q33" s="2"/>
      </tp>
      <tp t="s">
        <v>N/A</v>
        <stp/>
        <stp>VOLUME</stp>
        <stp>.SPY250919C554</stp>
        <tr r="Q33" s="2"/>
      </tp>
      <tp t="s">
        <v>N/A</v>
        <stp/>
        <stp>VOLUME</stp>
        <stp>.QQQ251031P479</stp>
        <tr r="T69" s="2"/>
      </tp>
      <tp t="s">
        <v>N/A</v>
        <stp/>
        <stp>VOLUME</stp>
        <stp>.SPY250919P553</stp>
        <tr r="Q34" s="2"/>
      </tp>
      <tp t="s">
        <v>N/A</v>
        <stp/>
        <stp>VOLUME</stp>
        <stp>.QQQ251031C479</stp>
        <tr r="T69" s="2"/>
      </tp>
      <tp t="s">
        <v>N/A</v>
        <stp/>
        <stp>VOLUME</stp>
        <stp>.SPY250919C553</stp>
        <tr r="Q34" s="2"/>
      </tp>
      <tp t="s">
        <v>N/A</v>
        <stp/>
        <stp>VOLUME</stp>
        <stp>.QQQ251031P478</stp>
        <tr r="T70" s="2"/>
      </tp>
      <tp t="s">
        <v>N/A</v>
        <stp/>
        <stp>VOLUME</stp>
        <stp>.SPY250919P552</stp>
        <tr r="Q35" s="2"/>
      </tp>
      <tp t="s">
        <v>N/A</v>
        <stp/>
        <stp>VOLUME</stp>
        <stp>.QQQ251031C478</stp>
        <tr r="T70" s="2"/>
      </tp>
      <tp t="s">
        <v>N/A</v>
        <stp/>
        <stp>VOLUME</stp>
        <stp>.SPY250919C552</stp>
        <tr r="Q35" s="2"/>
      </tp>
      <tp t="s">
        <v>N/A</v>
        <stp/>
        <stp>VOLUME</stp>
        <stp>.SPY250919P551</stp>
        <tr r="Q36" s="2"/>
      </tp>
      <tp>
        <v>20</v>
        <stp/>
        <stp>VOLUME</stp>
        <stp>.SPY250930P578</stp>
        <tr r="R9" s="2"/>
        <tr r="R9" s="2"/>
      </tp>
      <tp t="s">
        <v>N/A</v>
        <stp/>
        <stp>VOLUME</stp>
        <stp>.SPY250919C551</stp>
        <tr r="Q36" s="2"/>
      </tp>
      <tp t="s">
        <v>N/A</v>
        <stp/>
        <stp>VOLUME</stp>
        <stp>.SPY250930C578</stp>
        <tr r="R9" s="2"/>
      </tp>
      <tp>
        <v>1349</v>
        <stp/>
        <stp>VOLUME</stp>
        <stp>.SPY250919P550</stp>
        <tr r="Q37" s="2"/>
        <tr r="Q37" s="2"/>
      </tp>
      <tp t="s">
        <v>N/A</v>
        <stp/>
        <stp>VOLUME</stp>
        <stp>.SPY250930P579</stp>
        <tr r="R8" s="2"/>
      </tp>
      <tp>
        <v>48</v>
        <stp/>
        <stp>VOLUME</stp>
        <stp>.SPY250919C550</stp>
        <tr r="Q37" s="2"/>
        <tr r="Q37" s="2"/>
      </tp>
      <tp t="s">
        <v>N/A</v>
        <stp/>
        <stp>VOLUME</stp>
        <stp>.SPY250930C579</stp>
        <tr r="R8" s="2"/>
      </tp>
      <tp t="s">
        <v>N/A</v>
        <stp/>
        <stp>VOLUME</stp>
        <stp>.SPY250919P569</stp>
        <tr r="Q18" s="2"/>
      </tp>
      <tp t="s">
        <v>N/A</v>
        <stp/>
        <stp>VOLUME</stp>
        <stp>.SPY250919C569</stp>
        <tr r="Q18" s="2"/>
      </tp>
      <tp t="s">
        <v>N/A</v>
        <stp/>
        <stp>VOLUME</stp>
        <stp>.SPY250919P568</stp>
        <tr r="Q19" s="2"/>
      </tp>
      <tp t="s">
        <v>N/A</v>
        <stp/>
        <stp>VOLUME</stp>
        <stp>.SPY250919C568</stp>
        <tr r="Q19" s="2"/>
      </tp>
      <tp t="s">
        <v>N/A</v>
        <stp/>
        <stp>VOLUME</stp>
        <stp>.SPY250919P567</stp>
        <tr r="Q20" s="2"/>
      </tp>
      <tp t="s">
        <v>N/A</v>
        <stp/>
        <stp>VOLUME</stp>
        <stp>.SPY250919C567</stp>
        <tr r="Q20" s="2"/>
      </tp>
      <tp t="s">
        <v>N/A</v>
        <stp/>
        <stp>VOLUME</stp>
        <stp>.SPY250919P566</stp>
        <tr r="Q21" s="2"/>
      </tp>
      <tp t="s">
        <v>N/A</v>
        <stp/>
        <stp>VOLUME</stp>
        <stp>.SPY250919C566</stp>
        <tr r="Q21" s="2"/>
      </tp>
      <tp t="s">
        <v>N/A</v>
        <stp/>
        <stp>VOLUME</stp>
        <stp>.QQQ251017P469</stp>
        <tr r="S79" s="2"/>
      </tp>
      <tp>
        <v>497</v>
        <stp/>
        <stp>VOLUME</stp>
        <stp>.SPY250919P565</stp>
        <tr r="Q22" s="2"/>
        <tr r="Q22" s="2"/>
      </tp>
      <tp t="s">
        <v>N/A</v>
        <stp/>
        <stp>VOLUME</stp>
        <stp>.QQQ251017C469</stp>
        <tr r="S79" s="2"/>
      </tp>
      <tp>
        <v>148</v>
        <stp/>
        <stp>VOLUME</stp>
        <stp>.SPY250919C565</stp>
        <tr r="Q22" s="2"/>
        <tr r="Q22" s="2"/>
      </tp>
      <tp t="s">
        <v>N/A</v>
        <stp/>
        <stp>VOLUME</stp>
        <stp>.QQQ251017P468</stp>
        <tr r="S80" s="2"/>
      </tp>
      <tp t="s">
        <v>N/A</v>
        <stp/>
        <stp>VOLUME</stp>
        <stp>.SPY250919P564</stp>
        <tr r="Q23" s="2"/>
      </tp>
      <tp t="s">
        <v>N/A</v>
        <stp/>
        <stp>VOLUME</stp>
        <stp>.QQQ251017C468</stp>
        <tr r="S80" s="2"/>
      </tp>
      <tp t="s">
        <v>N/A</v>
        <stp/>
        <stp>VOLUME</stp>
        <stp>.SPY250919C564</stp>
        <tr r="Q23" s="2"/>
      </tp>
      <tp t="s">
        <v>N/A</v>
        <stp/>
        <stp>VOLUME</stp>
        <stp>.SPY250919P563</stp>
        <tr r="Q24" s="2"/>
      </tp>
      <tp t="s">
        <v>N/A</v>
        <stp/>
        <stp>VOLUME</stp>
        <stp>.SPY250919C563</stp>
        <tr r="Q24" s="2"/>
      </tp>
      <tp t="s">
        <v>N/A</v>
        <stp/>
        <stp>VOLUME</stp>
        <stp>.SPY250919P562</stp>
        <tr r="Q25" s="2"/>
      </tp>
      <tp t="s">
        <v>N/A</v>
        <stp/>
        <stp>VOLUME</stp>
        <stp>.SPY250919C562</stp>
        <tr r="Q25" s="2"/>
      </tp>
      <tp t="s">
        <v>N/A</v>
        <stp/>
        <stp>VOLUME</stp>
        <stp>.SPY250919P561</stp>
        <tr r="Q26" s="2"/>
      </tp>
      <tp>
        <v>1</v>
        <stp/>
        <stp>VOLUME</stp>
        <stp>.SPY250930P548</stp>
        <tr r="R39" s="2"/>
        <tr r="R39" s="2"/>
      </tp>
      <tp t="s">
        <v>N/A</v>
        <stp/>
        <stp>VOLUME</stp>
        <stp>.SPY250919C561</stp>
        <tr r="Q26" s="2"/>
      </tp>
      <tp t="s">
        <v>N/A</v>
        <stp/>
        <stp>VOLUME</stp>
        <stp>.SPY250930C548</stp>
        <tr r="R39" s="2"/>
      </tp>
      <tp>
        <v>233</v>
        <stp/>
        <stp>VOLUME</stp>
        <stp>.SPY250919P560</stp>
        <tr r="Q27" s="2"/>
        <tr r="Q27" s="2"/>
      </tp>
      <tp>
        <v>1</v>
        <stp/>
        <stp>VOLUME</stp>
        <stp>.SPY250930P549</stp>
        <tr r="R38" s="2"/>
        <tr r="R38" s="2"/>
      </tp>
      <tp>
        <v>39</v>
        <stp/>
        <stp>VOLUME</stp>
        <stp>.SPY250919C560</stp>
        <tr r="Q27" s="2"/>
        <tr r="Q27" s="2"/>
      </tp>
      <tp t="s">
        <v>N/A</v>
        <stp/>
        <stp>VOLUME</stp>
        <stp>.SPY250930C549</stp>
        <tr r="R38" s="2"/>
      </tp>
      <tp t="s">
        <v>N/A</v>
        <stp/>
        <stp>VOLUME</stp>
        <stp>.QQQ251017P473</stp>
        <tr r="S75" s="2"/>
      </tp>
      <tp>
        <v>2</v>
        <stp/>
        <stp>VOLUME</stp>
        <stp>.SPY250930P556</stp>
        <tr r="R31" s="2"/>
        <tr r="R31" s="2"/>
      </tp>
      <tp t="s">
        <v>N/A</v>
        <stp/>
        <stp>VOLUME</stp>
        <stp>.QQQ251017C473</stp>
        <tr r="S75" s="2"/>
      </tp>
      <tp t="s">
        <v>N/A</v>
        <stp/>
        <stp>VOLUME</stp>
        <stp>.SPY250930C556</stp>
        <tr r="R31" s="2"/>
      </tp>
      <tp t="s">
        <v>N/A</v>
        <stp/>
        <stp>VOLUME</stp>
        <stp>.QQQ251017P472</stp>
        <tr r="S76" s="2"/>
      </tp>
      <tp>
        <v>5</v>
        <stp/>
        <stp>VOLUME</stp>
        <stp>.SPY250930P557</stp>
        <tr r="R30" s="2"/>
        <tr r="R30" s="2"/>
      </tp>
      <tp t="s">
        <v>N/A</v>
        <stp/>
        <stp>VOLUME</stp>
        <stp>.QQQ251017C472</stp>
        <tr r="S76" s="2"/>
      </tp>
      <tp t="s">
        <v>N/A</v>
        <stp/>
        <stp>VOLUME</stp>
        <stp>.SPY250930C557</stp>
        <tr r="R30" s="2"/>
      </tp>
      <tp t="s">
        <v>N/A</v>
        <stp/>
        <stp>VOLUME</stp>
        <stp>.QQQ251017P471</stp>
        <tr r="S77" s="2"/>
      </tp>
      <tp t="s">
        <v>N/A</v>
        <stp/>
        <stp>VOLUME</stp>
        <stp>.SPY250930P554</stp>
        <tr r="R33" s="2"/>
      </tp>
      <tp t="s">
        <v>N/A</v>
        <stp/>
        <stp>VOLUME</stp>
        <stp>.QQQ251017C471</stp>
        <tr r="S77" s="2"/>
      </tp>
      <tp t="s">
        <v>N/A</v>
        <stp/>
        <stp>VOLUME</stp>
        <stp>.SPY250930C554</stp>
        <tr r="R33" s="2"/>
      </tp>
      <tp t="s">
        <v>N/A</v>
        <stp/>
        <stp>VOLUME</stp>
        <stp>.QQQ251017P470</stp>
        <tr r="S78" s="2"/>
      </tp>
      <tp>
        <v>6</v>
        <stp/>
        <stp>VOLUME</stp>
        <stp>.SPY250930P555</stp>
        <tr r="R32" s="2"/>
        <tr r="R32" s="2"/>
      </tp>
      <tp t="s">
        <v>N/A</v>
        <stp/>
        <stp>VOLUME</stp>
        <stp>.QQQ251017C470</stp>
        <tr r="S78" s="2"/>
      </tp>
      <tp>
        <v>3</v>
        <stp/>
        <stp>VOLUME</stp>
        <stp>.SPY250930C555</stp>
        <tr r="R32" s="2"/>
        <tr r="R32" s="2"/>
      </tp>
      <tp t="s">
        <v>N/A</v>
        <stp/>
        <stp>VOLUME</stp>
        <stp>.QQQ251017P477</stp>
        <tr r="S71" s="2"/>
      </tp>
      <tp t="s">
        <v>N/A</v>
        <stp/>
        <stp>VOLUME</stp>
        <stp>.SPY250930P552</stp>
        <tr r="R35" s="2"/>
      </tp>
      <tp t="s">
        <v>N/A</v>
        <stp/>
        <stp>VOLUME</stp>
        <stp>.QQQ251017C477</stp>
        <tr r="S71" s="2"/>
      </tp>
      <tp t="s">
        <v>N/A</v>
        <stp/>
        <stp>VOLUME</stp>
        <stp>.SPY250930C552</stp>
        <tr r="R35" s="2"/>
      </tp>
      <tp t="s">
        <v>N/A</v>
        <stp/>
        <stp>VOLUME</stp>
        <stp>.QQQ251017P476</stp>
        <tr r="S72" s="2"/>
      </tp>
      <tp>
        <v>1</v>
        <stp/>
        <stp>VOLUME</stp>
        <stp>.SPY250930P553</stp>
        <tr r="R34" s="2"/>
        <tr r="R34" s="2"/>
      </tp>
      <tp t="s">
        <v>N/A</v>
        <stp/>
        <stp>VOLUME</stp>
        <stp>.QQQ251017C476</stp>
        <tr r="S72" s="2"/>
      </tp>
      <tp>
        <v>18</v>
        <stp/>
        <stp>VOLUME</stp>
        <stp>.SPY250930C553</stp>
        <tr r="R34" s="2"/>
        <tr r="R34" s="2"/>
      </tp>
      <tp t="s">
        <v>N/A</v>
        <stp/>
        <stp>VOLUME</stp>
        <stp>.QQQ251017P475</stp>
        <tr r="S73" s="2"/>
      </tp>
      <tp t="s">
        <v>N/A</v>
        <stp/>
        <stp>VOLUME</stp>
        <stp>.SPY250919P579</stp>
        <tr r="Q8" s="2"/>
      </tp>
      <tp>
        <v>107</v>
        <stp/>
        <stp>VOLUME</stp>
        <stp>.SPY250930P550</stp>
        <tr r="R37" s="2"/>
        <tr r="R37" s="2"/>
      </tp>
      <tp t="s">
        <v>N/A</v>
        <stp/>
        <stp>VOLUME</stp>
        <stp>.QQQ251017C475</stp>
        <tr r="S73" s="2"/>
      </tp>
      <tp t="s">
        <v>N/A</v>
        <stp/>
        <stp>VOLUME</stp>
        <stp>.SPY250919C579</stp>
        <tr r="Q8" s="2"/>
      </tp>
      <tp t="s">
        <v>N/A</v>
        <stp/>
        <stp>VOLUME</stp>
        <stp>.SPY250930C550</stp>
        <tr r="R37" s="2"/>
      </tp>
      <tp t="s">
        <v>N/A</v>
        <stp/>
        <stp>VOLUME</stp>
        <stp>.QQQ251017P474</stp>
        <tr r="S74" s="2"/>
      </tp>
      <tp t="s">
        <v>N/A</v>
        <stp/>
        <stp>VOLUME</stp>
        <stp>.SPY250919P578</stp>
        <tr r="Q9" s="2"/>
      </tp>
      <tp t="s">
        <v>N/A</v>
        <stp/>
        <stp>VOLUME</stp>
        <stp>.SPY250930P551</stp>
        <tr r="R36" s="2"/>
      </tp>
      <tp t="s">
        <v>N/A</v>
        <stp/>
        <stp>VOLUME</stp>
        <stp>.QQQ251017C474</stp>
        <tr r="S74" s="2"/>
      </tp>
      <tp t="s">
        <v>N/A</v>
        <stp/>
        <stp>VOLUME</stp>
        <stp>.SPY250919C578</stp>
        <tr r="Q9" s="2"/>
      </tp>
      <tp t="s">
        <v>N/A</v>
        <stp/>
        <stp>VOLUME</stp>
        <stp>.SPY250930C551</stp>
        <tr r="R36" s="2"/>
      </tp>
      <tp t="s">
        <v>N/A</v>
        <stp/>
        <stp>VOLUME</stp>
        <stp>.SPY250919P577</stp>
        <tr r="Q10" s="2"/>
      </tp>
      <tp t="s">
        <v>N/A</v>
        <stp/>
        <stp>VOLUME</stp>
        <stp>.SPY250919C577</stp>
        <tr r="Q10" s="2"/>
      </tp>
      <tp t="s">
        <v>N/A</v>
        <stp/>
        <stp>VOLUME</stp>
        <stp>.SPY250919P576</stp>
        <tr r="Q11" s="2"/>
      </tp>
      <tp t="s">
        <v>N/A</v>
        <stp/>
        <stp>VOLUME</stp>
        <stp>.SPY250919C576</stp>
        <tr r="Q11" s="2"/>
      </tp>
      <tp t="s">
        <v>N/A</v>
        <stp/>
        <stp>VOLUME</stp>
        <stp>.QQQ251017P479</stp>
        <tr r="S69" s="2"/>
      </tp>
      <tp>
        <v>72</v>
        <stp/>
        <stp>VOLUME</stp>
        <stp>.SPY250919P575</stp>
        <tr r="Q12" s="2"/>
        <tr r="Q12" s="2"/>
      </tp>
      <tp t="s">
        <v>N/A</v>
        <stp/>
        <stp>VOLUME</stp>
        <stp>.QQQ251017C479</stp>
        <tr r="S69" s="2"/>
      </tp>
      <tp>
        <v>175</v>
        <stp/>
        <stp>VOLUME</stp>
        <stp>.SPY250919C575</stp>
        <tr r="Q12" s="2"/>
        <tr r="Q12" s="2"/>
      </tp>
      <tp t="s">
        <v>N/A</v>
        <stp/>
        <stp>VOLUME</stp>
        <stp>.QQQ251017P478</stp>
        <tr r="S70" s="2"/>
      </tp>
      <tp t="s">
        <v>N/A</v>
        <stp/>
        <stp>VOLUME</stp>
        <stp>.SPY250919P574</stp>
        <tr r="Q13" s="2"/>
      </tp>
      <tp t="s">
        <v>N/A</v>
        <stp/>
        <stp>VOLUME</stp>
        <stp>.QQQ251017C478</stp>
        <tr r="S70" s="2"/>
      </tp>
      <tp t="s">
        <v>N/A</v>
        <stp/>
        <stp>VOLUME</stp>
        <stp>.SPY250919C574</stp>
        <tr r="Q13" s="2"/>
      </tp>
      <tp t="s">
        <v>N/A</v>
        <stp/>
        <stp>VOLUME</stp>
        <stp>.SPY250919P573</stp>
        <tr r="Q14" s="2"/>
      </tp>
      <tp t="s">
        <v>N/A</v>
        <stp/>
        <stp>VOLUME</stp>
        <stp>.SPY250919C573</stp>
        <tr r="Q14" s="2"/>
      </tp>
      <tp t="s">
        <v>N/A</v>
        <stp/>
        <stp>VOLUME</stp>
        <stp>.SPY250919P572</stp>
        <tr r="Q15" s="2"/>
      </tp>
      <tp t="s">
        <v>N/A</v>
        <stp/>
        <stp>VOLUME</stp>
        <stp>.SPY250919C572</stp>
        <tr r="Q15" s="2"/>
      </tp>
      <tp t="s">
        <v>N/A</v>
        <stp/>
        <stp>VOLUME</stp>
        <stp>.SPY250919P571</stp>
        <tr r="Q16" s="2"/>
      </tp>
      <tp>
        <v>1</v>
        <stp/>
        <stp>VOLUME</stp>
        <stp>.SPY250930P558</stp>
        <tr r="R29" s="2"/>
        <tr r="R29" s="2"/>
      </tp>
      <tp t="s">
        <v>N/A</v>
        <stp/>
        <stp>VOLUME</stp>
        <stp>.SPY250919C571</stp>
        <tr r="Q16" s="2"/>
      </tp>
      <tp t="s">
        <v>N/A</v>
        <stp/>
        <stp>VOLUME</stp>
        <stp>.SPY250930C558</stp>
        <tr r="R29" s="2"/>
      </tp>
      <tp>
        <v>279</v>
        <stp/>
        <stp>VOLUME</stp>
        <stp>.SPY250919P570</stp>
        <tr r="Q17" s="2"/>
        <tr r="Q17" s="2"/>
      </tp>
      <tp t="s">
        <v>N/A</v>
        <stp/>
        <stp>VOLUME</stp>
        <stp>.SPY250930P559</stp>
        <tr r="R28" s="2"/>
      </tp>
      <tp>
        <v>101</v>
        <stp/>
        <stp>VOLUME</stp>
        <stp>.SPY250919C570</stp>
        <tr r="Q17" s="2"/>
        <tr r="Q17" s="2"/>
      </tp>
      <tp t="s">
        <v>N/A</v>
        <stp/>
        <stp>VOLUME</stp>
        <stp>.SPY250930C559</stp>
        <tr r="R28" s="2"/>
      </tp>
      <tp>
        <v>-1</v>
        <stp/>
        <stp>DELTA</stp>
        <stp>.SPXW250508P5830</stp>
        <tr r="CE89" s="1"/>
        <tr r="CE89" s="1"/>
      </tp>
      <tp>
        <v>-1</v>
        <stp/>
        <stp>DELTA</stp>
        <stp>.SPXW250509P5820</stp>
        <tr r="CG90" s="1"/>
        <tr r="CG90" s="1"/>
      </tp>
      <tp>
        <v>0</v>
        <stp/>
        <stp>DELTA</stp>
        <stp>.SPXW250508C5830</stp>
        <tr r="CD89" s="1"/>
        <tr r="CD89" s="1"/>
      </tp>
      <tp>
        <v>0</v>
        <stp/>
        <stp>DELTA</stp>
        <stp>.SPXW250509C5820</stp>
        <tr r="CF90" s="1"/>
        <tr r="CF90" s="1"/>
      </tp>
      <tp>
        <v>-1</v>
        <stp/>
        <stp>DELTA</stp>
        <stp>.SPXW250508P5820</stp>
        <tr r="CE90" s="1"/>
        <tr r="CE90" s="1"/>
      </tp>
      <tp>
        <v>-1</v>
        <stp/>
        <stp>DELTA</stp>
        <stp>.SPXW250509P5830</stp>
        <tr r="CG89" s="1"/>
        <tr r="CG89" s="1"/>
      </tp>
      <tp>
        <v>0</v>
        <stp/>
        <stp>DELTA</stp>
        <stp>.SPXW250508C5820</stp>
        <tr r="CD90" s="1"/>
        <tr r="CD90" s="1"/>
      </tp>
      <tp>
        <v>0</v>
        <stp/>
        <stp>DELTA</stp>
        <stp>.SPXW250509C5830</stp>
        <tr r="CF89" s="1"/>
        <tr r="CF89" s="1"/>
      </tp>
      <tp>
        <v>-1</v>
        <stp/>
        <stp>DELTA</stp>
        <stp>.SPXW250508P5810</stp>
        <tr r="CE91" s="1"/>
        <tr r="CE91" s="1"/>
      </tp>
      <tp>
        <v>-0.99</v>
        <stp/>
        <stp>DELTA</stp>
        <stp>.SPXW250509P5800</stp>
        <tr r="CG92" s="1"/>
        <tr r="CG92" s="1"/>
      </tp>
      <tp>
        <v>0</v>
        <stp/>
        <stp>DELTA</stp>
        <stp>.SPXW250508C5810</stp>
        <tr r="CD91" s="1"/>
        <tr r="CD91" s="1"/>
      </tp>
      <tp>
        <v>0</v>
        <stp/>
        <stp>DELTA</stp>
        <stp>.SPXW250509C5800</stp>
        <tr r="CF92" s="1"/>
        <tr r="CF92" s="1"/>
      </tp>
      <tp>
        <v>-1</v>
        <stp/>
        <stp>DELTA</stp>
        <stp>.SPXW250508P5800</stp>
        <tr r="CE92" s="1"/>
        <tr r="CE92" s="1"/>
      </tp>
      <tp>
        <v>-1</v>
        <stp/>
        <stp>DELTA</stp>
        <stp>.SPXW250509P5810</stp>
        <tr r="CG91" s="1"/>
        <tr r="CG91" s="1"/>
      </tp>
      <tp>
        <v>0</v>
        <stp/>
        <stp>DELTA</stp>
        <stp>.SPXW250508C5800</stp>
        <tr r="CD92" s="1"/>
        <tr r="CD92" s="1"/>
      </tp>
      <tp>
        <v>0</v>
        <stp/>
        <stp>DELTA</stp>
        <stp>.SPXW250509C5810</stp>
        <tr r="CF91" s="1"/>
        <tr r="CF91" s="1"/>
      </tp>
      <tp>
        <v>-1</v>
        <stp/>
        <stp>DELTA</stp>
        <stp>.SPXW250508P5870</stp>
        <tr r="CE85" s="1"/>
        <tr r="CE85" s="1"/>
      </tp>
      <tp>
        <v>-0.98</v>
        <stp/>
        <stp>DELTA</stp>
        <stp>.SPXW250509P5860</stp>
        <tr r="CG86" s="1"/>
        <tr r="CG86" s="1"/>
      </tp>
      <tp>
        <v>0</v>
        <stp/>
        <stp>DELTA</stp>
        <stp>.SPXW250508C5870</stp>
        <tr r="CD85" s="1"/>
        <tr r="CD85" s="1"/>
      </tp>
      <tp>
        <v>0</v>
        <stp/>
        <stp>DELTA</stp>
        <stp>.SPXW250509C5860</stp>
        <tr r="CF86" s="1"/>
        <tr r="CF86" s="1"/>
      </tp>
      <tp>
        <v>-1</v>
        <stp/>
        <stp>DELTA</stp>
        <stp>.SPXW250508P5860</stp>
        <tr r="CE86" s="1"/>
        <tr r="CE86" s="1"/>
      </tp>
      <tp>
        <v>-0.98</v>
        <stp/>
        <stp>DELTA</stp>
        <stp>.SPXW250509P5870</stp>
        <tr r="CG85" s="1"/>
        <tr r="CG85" s="1"/>
      </tp>
      <tp>
        <v>0</v>
        <stp/>
        <stp>DELTA</stp>
        <stp>.SPXW250508C5860</stp>
        <tr r="CD86" s="1"/>
        <tr r="CD86" s="1"/>
      </tp>
      <tp>
        <v>0</v>
        <stp/>
        <stp>DELTA</stp>
        <stp>.SPXW250509C5870</stp>
        <tr r="CF85" s="1"/>
        <tr r="CF85" s="1"/>
      </tp>
      <tp>
        <v>-1</v>
        <stp/>
        <stp>DELTA</stp>
        <stp>.SPXW250508P5850</stp>
        <tr r="CE87" s="1"/>
        <tr r="CE87" s="1"/>
      </tp>
      <tp>
        <v>-0.98</v>
        <stp/>
        <stp>DELTA</stp>
        <stp>.SPXW250509P5840</stp>
        <tr r="CG88" s="1"/>
        <tr r="CG88" s="1"/>
      </tp>
      <tp>
        <v>0</v>
        <stp/>
        <stp>DELTA</stp>
        <stp>.SPXW250508C5850</stp>
        <tr r="CD87" s="1"/>
        <tr r="CD87" s="1"/>
      </tp>
      <tp>
        <v>0</v>
        <stp/>
        <stp>DELTA</stp>
        <stp>.SPXW250509C5840</stp>
        <tr r="CF88" s="1"/>
        <tr r="CF88" s="1"/>
      </tp>
      <tp>
        <v>-1</v>
        <stp/>
        <stp>DELTA</stp>
        <stp>.SPXW250508P5840</stp>
        <tr r="CE88" s="1"/>
        <tr r="CE88" s="1"/>
      </tp>
      <tp>
        <v>-0.98</v>
        <stp/>
        <stp>DELTA</stp>
        <stp>.SPXW250509P5850</stp>
        <tr r="CG87" s="1"/>
        <tr r="CG87" s="1"/>
      </tp>
      <tp>
        <v>0</v>
        <stp/>
        <stp>DELTA</stp>
        <stp>.SPXW250508C5840</stp>
        <tr r="CD88" s="1"/>
        <tr r="CD88" s="1"/>
      </tp>
      <tp>
        <v>0</v>
        <stp/>
        <stp>DELTA</stp>
        <stp>.SPXW250509C5850</stp>
        <tr r="CF87" s="1"/>
        <tr r="CF87" s="1"/>
      </tp>
      <tp t="s">
        <v>N/A</v>
        <stp/>
        <stp>VOLUME</stp>
        <stp>.SPY250815P582</stp>
        <tr r="O5" s="2"/>
      </tp>
      <tp t="s">
        <v>N/A</v>
        <stp/>
        <stp>VOLUME</stp>
        <stp>.SPY250815C582</stp>
        <tr r="O5" s="2"/>
      </tp>
      <tp t="s">
        <v>N/A</v>
        <stp/>
        <stp>VOLUME</stp>
        <stp>.SPY250815P581</stp>
        <tr r="O6" s="2"/>
      </tp>
      <tp t="s">
        <v>N/A</v>
        <stp/>
        <stp>VOLUME</stp>
        <stp>.SPY250815C581</stp>
        <tr r="O6" s="2"/>
      </tp>
      <tp>
        <v>17</v>
        <stp/>
        <stp>VOLUME</stp>
        <stp>.SPY250815P580</stp>
        <tr r="O7" s="2"/>
        <tr r="O7" s="2"/>
      </tp>
      <tp>
        <v>133</v>
        <stp/>
        <stp>VOLUME</stp>
        <stp>.SPY250815C580</stp>
        <tr r="O7" s="2"/>
        <tr r="O7" s="2"/>
      </tp>
      <tp>
        <v>2</v>
        <stp/>
        <stp>VOLUME</stp>
        <stp>.QQQ251121P495</stp>
        <tr r="U53" s="2"/>
        <tr r="U53" s="2"/>
      </tp>
      <tp>
        <v>98</v>
        <stp/>
        <stp>VOLUME</stp>
        <stp>.QQQ251121C495</stp>
        <tr r="U53" s="2"/>
        <tr r="U53" s="2"/>
      </tp>
      <tp t="s">
        <v>N/A</v>
        <stp/>
        <stp>VOLUME</stp>
        <stp>.QQQ251121P494</stp>
        <tr r="U54" s="2"/>
      </tp>
      <tp t="s">
        <v>N/A</v>
        <stp/>
        <stp>VOLUME</stp>
        <stp>.QQQ251121C494</stp>
        <tr r="U54" s="2"/>
      </tp>
      <tp t="s">
        <v>N/A</v>
        <stp/>
        <stp>VOLUME</stp>
        <stp>.QQQ251121P497</stp>
        <tr r="U51" s="2"/>
      </tp>
      <tp t="s">
        <v>N/A</v>
        <stp/>
        <stp>VOLUME</stp>
        <stp>.QQQ251121C497</stp>
        <tr r="U51" s="2"/>
      </tp>
      <tp t="s">
        <v>N/A</v>
        <stp/>
        <stp>VOLUME</stp>
        <stp>.QQQ251121P496</stp>
        <tr r="U52" s="2"/>
      </tp>
      <tp t="s">
        <v>N/A</v>
        <stp/>
        <stp>VOLUME</stp>
        <stp>.QQQ251121C496</stp>
        <tr r="U52" s="2"/>
      </tp>
      <tp t="s">
        <v>N/A</v>
        <stp/>
        <stp>VOLUME</stp>
        <stp>.QQQ251121P491</stp>
        <tr r="U57" s="2"/>
      </tp>
      <tp t="s">
        <v>N/A</v>
        <stp/>
        <stp>VOLUME</stp>
        <stp>.QQQ251128P498</stp>
        <tr r="V50" s="2"/>
      </tp>
      <tp t="s">
        <v>N/A</v>
        <stp/>
        <stp>VOLUME</stp>
        <stp>.QQQ251121C491</stp>
        <tr r="U57" s="2"/>
      </tp>
      <tp t="s">
        <v>N/A</v>
        <stp/>
        <stp>VOLUME</stp>
        <stp>.QQQ251128C498</stp>
        <tr r="V50" s="2"/>
      </tp>
      <tp>
        <v>219</v>
        <stp/>
        <stp>VOLUME</stp>
        <stp>.QQQ251121P490</stp>
        <tr r="U58" s="2"/>
        <tr r="U58" s="2"/>
      </tp>
      <tp t="s">
        <v>N/A</v>
        <stp/>
        <stp>VOLUME</stp>
        <stp>.QQQ251128P499</stp>
        <tr r="V49" s="2"/>
      </tp>
      <tp>
        <v>118</v>
        <stp/>
        <stp>VOLUME</stp>
        <stp>.QQQ251121C490</stp>
        <tr r="U58" s="2"/>
        <tr r="U58" s="2"/>
      </tp>
      <tp t="s">
        <v>N/A</v>
        <stp/>
        <stp>VOLUME</stp>
        <stp>.QQQ251128C499</stp>
        <tr r="V49" s="2"/>
      </tp>
      <tp t="s">
        <v>N/A</v>
        <stp/>
        <stp>VOLUME</stp>
        <stp>.QQQ251121P493</stp>
        <tr r="U55" s="2"/>
      </tp>
      <tp t="s">
        <v>N/A</v>
        <stp/>
        <stp>VOLUME</stp>
        <stp>.QQQ251121C493</stp>
        <tr r="U55" s="2"/>
      </tp>
      <tp t="s">
        <v>N/A</v>
        <stp/>
        <stp>VOLUME</stp>
        <stp>.QQQ251121P492</stp>
        <tr r="U56" s="2"/>
      </tp>
      <tp t="s">
        <v>N/A</v>
        <stp/>
        <stp>VOLUME</stp>
        <stp>.QQQ251121C492</stp>
        <tr r="U56" s="2"/>
      </tp>
      <tp t="s">
        <v>N/A</v>
        <stp/>
        <stp>VOLUME</stp>
        <stp>.QQQ251128P494</stp>
        <tr r="V54" s="2"/>
      </tp>
      <tp t="s">
        <v>N/A</v>
        <stp/>
        <stp>VOLUME</stp>
        <stp>.QQQ251128C494</stp>
        <tr r="V54" s="2"/>
      </tp>
      <tp t="s">
        <v>N/A</v>
        <stp/>
        <stp>VOLUME</stp>
        <stp>.QQQ251128P495</stp>
        <tr r="V53" s="2"/>
      </tp>
      <tp t="s">
        <v>N/A</v>
        <stp/>
        <stp>VOLUME</stp>
        <stp>.QQQ251128C495</stp>
        <tr r="V53" s="2"/>
      </tp>
      <tp t="s">
        <v>N/A</v>
        <stp/>
        <stp>VOLUME</stp>
        <stp>.QQQ251128P496</stp>
        <tr r="V52" s="2"/>
      </tp>
      <tp t="s">
        <v>N/A</v>
        <stp/>
        <stp>VOLUME</stp>
        <stp>.QQQ251128C496</stp>
        <tr r="V52" s="2"/>
      </tp>
      <tp t="s">
        <v>N/A</v>
        <stp/>
        <stp>VOLUME</stp>
        <stp>.QQQ251128P497</stp>
        <tr r="V51" s="2"/>
      </tp>
      <tp t="s">
        <v>N/A</v>
        <stp/>
        <stp>VOLUME</stp>
        <stp>.QQQ251128C497</stp>
        <tr r="V51" s="2"/>
      </tp>
      <tp t="s">
        <v>N/A</v>
        <stp/>
        <stp>VOLUME</stp>
        <stp>.QQQ251121P499</stp>
        <tr r="U49" s="2"/>
      </tp>
      <tp t="s">
        <v>N/A</v>
        <stp/>
        <stp>VOLUME</stp>
        <stp>.QQQ251128P490</stp>
        <tr r="V58" s="2"/>
      </tp>
      <tp t="s">
        <v>N/A</v>
        <stp/>
        <stp>VOLUME</stp>
        <stp>.QQQ251121C499</stp>
        <tr r="U49" s="2"/>
      </tp>
      <tp t="s">
        <v>N/A</v>
        <stp/>
        <stp>VOLUME</stp>
        <stp>.QQQ251128C490</stp>
        <tr r="V58" s="2"/>
      </tp>
      <tp t="s">
        <v>N/A</v>
        <stp/>
        <stp>VOLUME</stp>
        <stp>.QQQ251121P498</stp>
        <tr r="U50" s="2"/>
      </tp>
      <tp t="s">
        <v>N/A</v>
        <stp/>
        <stp>VOLUME</stp>
        <stp>.QQQ251128P491</stp>
        <tr r="V57" s="2"/>
      </tp>
      <tp t="s">
        <v>N/A</v>
        <stp/>
        <stp>VOLUME</stp>
        <stp>.QQQ251121C498</stp>
        <tr r="U50" s="2"/>
      </tp>
      <tp t="s">
        <v>N/A</v>
        <stp/>
        <stp>VOLUME</stp>
        <stp>.QQQ251128C491</stp>
        <tr r="V57" s="2"/>
      </tp>
      <tp t="s">
        <v>N/A</v>
        <stp/>
        <stp>VOLUME</stp>
        <stp>.QQQ251128P492</stp>
        <tr r="V56" s="2"/>
      </tp>
      <tp t="s">
        <v>N/A</v>
        <stp/>
        <stp>VOLUME</stp>
        <stp>.QQQ251128C492</stp>
        <tr r="V56" s="2"/>
      </tp>
      <tp t="s">
        <v>N/A</v>
        <stp/>
        <stp>VOLUME</stp>
        <stp>.QQQ251128P493</stp>
        <tr r="V55" s="2"/>
      </tp>
      <tp t="s">
        <v>N/A</v>
        <stp/>
        <stp>VOLUME</stp>
        <stp>.QQQ251128C493</stp>
        <tr r="V55" s="2"/>
      </tp>
      <tp>
        <v>7</v>
        <stp/>
        <stp>VOLUME</stp>
        <stp>.QQQ251121P485</stp>
        <tr r="U63" s="2"/>
        <tr r="U63" s="2"/>
      </tp>
      <tp>
        <v>109</v>
        <stp/>
        <stp>VOLUME</stp>
        <stp>.QQQ251121C485</stp>
        <tr r="U63" s="2"/>
        <tr r="U63" s="2"/>
      </tp>
      <tp t="s">
        <v>N/A</v>
        <stp/>
        <stp>VOLUME</stp>
        <stp>.QQQ251121P484</stp>
        <tr r="U64" s="2"/>
      </tp>
      <tp t="s">
        <v>N/A</v>
        <stp/>
        <stp>VOLUME</stp>
        <stp>.QQQ251121C484</stp>
        <tr r="U64" s="2"/>
      </tp>
      <tp t="s">
        <v>N/A</v>
        <stp/>
        <stp>VOLUME</stp>
        <stp>.QQQ251121P487</stp>
        <tr r="U61" s="2"/>
      </tp>
      <tp t="s">
        <v>N/A</v>
        <stp/>
        <stp>VOLUME</stp>
        <stp>.QQQ251121C487</stp>
        <tr r="U61" s="2"/>
      </tp>
      <tp t="s">
        <v>N/A</v>
        <stp/>
        <stp>VOLUME</stp>
        <stp>.QQQ251121P486</stp>
        <tr r="U62" s="2"/>
      </tp>
      <tp t="s">
        <v>N/A</v>
        <stp/>
        <stp>VOLUME</stp>
        <stp>.QQQ251121C486</stp>
        <tr r="U62" s="2"/>
      </tp>
      <tp t="s">
        <v>N/A</v>
        <stp/>
        <stp>VOLUME</stp>
        <stp>.QQQ251121P481</stp>
        <tr r="U67" s="2"/>
      </tp>
      <tp t="s">
        <v>N/A</v>
        <stp/>
        <stp>VOLUME</stp>
        <stp>.QQQ251128P488</stp>
        <tr r="V60" s="2"/>
      </tp>
      <tp t="s">
        <v>N/A</v>
        <stp/>
        <stp>VOLUME</stp>
        <stp>.QQQ251121C481</stp>
        <tr r="U67" s="2"/>
      </tp>
      <tp t="s">
        <v>N/A</v>
        <stp/>
        <stp>VOLUME</stp>
        <stp>.QQQ251128C488</stp>
        <tr r="V60" s="2"/>
      </tp>
      <tp>
        <v>8</v>
        <stp/>
        <stp>VOLUME</stp>
        <stp>.QQQ251121P480</stp>
        <tr r="U68" s="2"/>
        <tr r="U68" s="2"/>
      </tp>
      <tp t="s">
        <v>N/A</v>
        <stp/>
        <stp>VOLUME</stp>
        <stp>.QQQ251128P489</stp>
        <tr r="V59" s="2"/>
      </tp>
      <tp>
        <v>5</v>
        <stp/>
        <stp>VOLUME</stp>
        <stp>.QQQ251121C480</stp>
        <tr r="U68" s="2"/>
        <tr r="U68" s="2"/>
      </tp>
      <tp t="s">
        <v>N/A</v>
        <stp/>
        <stp>VOLUME</stp>
        <stp>.QQQ251128C489</stp>
        <tr r="V59" s="2"/>
      </tp>
      <tp t="s">
        <v>N/A</v>
        <stp/>
        <stp>VOLUME</stp>
        <stp>.QQQ251121P483</stp>
        <tr r="U65" s="2"/>
      </tp>
      <tp t="s">
        <v>N/A</v>
        <stp/>
        <stp>VOLUME</stp>
        <stp>.QQQ251121C483</stp>
        <tr r="U65" s="2"/>
      </tp>
      <tp t="s">
        <v>N/A</v>
        <stp/>
        <stp>VOLUME</stp>
        <stp>.QQQ251121P482</stp>
        <tr r="U66" s="2"/>
      </tp>
      <tp t="s">
        <v>N/A</v>
        <stp/>
        <stp>VOLUME</stp>
        <stp>.QQQ251121C482</stp>
        <tr r="U66" s="2"/>
      </tp>
      <tp t="s">
        <v>N/A</v>
        <stp/>
        <stp>VOLUME</stp>
        <stp>.QQQ251128P484</stp>
        <tr r="V64" s="2"/>
      </tp>
      <tp t="s">
        <v>N/A</v>
        <stp/>
        <stp>VOLUME</stp>
        <stp>.QQQ251128C484</stp>
        <tr r="V64" s="2"/>
      </tp>
      <tp t="s">
        <v>N/A</v>
        <stp/>
        <stp>VOLUME</stp>
        <stp>.QQQ251128P485</stp>
        <tr r="V63" s="2"/>
      </tp>
      <tp t="s">
        <v>N/A</v>
        <stp/>
        <stp>VOLUME</stp>
        <stp>.QQQ251128C485</stp>
        <tr r="V63" s="2"/>
      </tp>
      <tp t="s">
        <v>N/A</v>
        <stp/>
        <stp>VOLUME</stp>
        <stp>.QQQ251128P486</stp>
        <tr r="V62" s="2"/>
      </tp>
      <tp t="s">
        <v>N/A</v>
        <stp/>
        <stp>VOLUME</stp>
        <stp>.QQQ251128C486</stp>
        <tr r="V62" s="2"/>
      </tp>
      <tp t="s">
        <v>N/A</v>
        <stp/>
        <stp>VOLUME</stp>
        <stp>.QQQ251128P487</stp>
        <tr r="V61" s="2"/>
      </tp>
      <tp t="s">
        <v>N/A</v>
        <stp/>
        <stp>VOLUME</stp>
        <stp>.QQQ251128C487</stp>
        <tr r="V61" s="2"/>
      </tp>
      <tp t="s">
        <v>N/A</v>
        <stp/>
        <stp>VOLUME</stp>
        <stp>.QQQ251121P489</stp>
        <tr r="U59" s="2"/>
      </tp>
      <tp t="s">
        <v>N/A</v>
        <stp/>
        <stp>VOLUME</stp>
        <stp>.QQQ251128P480</stp>
        <tr r="V68" s="2"/>
      </tp>
      <tp t="s">
        <v>N/A</v>
        <stp/>
        <stp>VOLUME</stp>
        <stp>.QQQ251121C489</stp>
        <tr r="U59" s="2"/>
      </tp>
      <tp t="s">
        <v>N/A</v>
        <stp/>
        <stp>VOLUME</stp>
        <stp>.QQQ251128C480</stp>
        <tr r="V68" s="2"/>
      </tp>
      <tp t="s">
        <v>N/A</v>
        <stp/>
        <stp>VOLUME</stp>
        <stp>.QQQ251121P488</stp>
        <tr r="U60" s="2"/>
      </tp>
      <tp t="s">
        <v>N/A</v>
        <stp/>
        <stp>VOLUME</stp>
        <stp>.QQQ251128P481</stp>
        <tr r="V67" s="2"/>
      </tp>
      <tp t="s">
        <v>N/A</v>
        <stp/>
        <stp>VOLUME</stp>
        <stp>.SPY250829P582</stp>
        <tr r="P5" s="2"/>
      </tp>
      <tp t="s">
        <v>N/A</v>
        <stp/>
        <stp>VOLUME</stp>
        <stp>.QQQ251121C488</stp>
        <tr r="U60" s="2"/>
      </tp>
      <tp t="s">
        <v>N/A</v>
        <stp/>
        <stp>VOLUME</stp>
        <stp>.QQQ251128C481</stp>
        <tr r="V67" s="2"/>
      </tp>
      <tp>
        <v>34</v>
        <stp/>
        <stp>VOLUME</stp>
        <stp>.SPY250829C582</stp>
        <tr r="P5" s="2"/>
        <tr r="P5" s="2"/>
      </tp>
      <tp t="s">
        <v>N/A</v>
        <stp/>
        <stp>VOLUME</stp>
        <stp>.QQQ251128P482</stp>
        <tr r="V66" s="2"/>
      </tp>
      <tp t="s">
        <v>N/A</v>
        <stp/>
        <stp>VOLUME</stp>
        <stp>.SPY250829P581</stp>
        <tr r="P6" s="2"/>
      </tp>
      <tp t="s">
        <v>N/A</v>
        <stp/>
        <stp>VOLUME</stp>
        <stp>.QQQ251128C482</stp>
        <tr r="V66" s="2"/>
      </tp>
      <tp>
        <v>2</v>
        <stp/>
        <stp>VOLUME</stp>
        <stp>.SPY250829C581</stp>
        <tr r="P6" s="2"/>
        <tr r="P6" s="2"/>
      </tp>
      <tp t="s">
        <v>N/A</v>
        <stp/>
        <stp>VOLUME</stp>
        <stp>.QQQ251128P483</stp>
        <tr r="V65" s="2"/>
      </tp>
      <tp>
        <v>3</v>
        <stp/>
        <stp>VOLUME</stp>
        <stp>.SPY250829P580</stp>
        <tr r="P7" s="2"/>
        <tr r="P7" s="2"/>
      </tp>
      <tp t="s">
        <v>N/A</v>
        <stp/>
        <stp>VOLUME</stp>
        <stp>.QQQ251128C483</stp>
        <tr r="V65" s="2"/>
      </tp>
      <tp>
        <v>6</v>
        <stp/>
        <stp>VOLUME</stp>
        <stp>.SPY250829C580</stp>
        <tr r="P7" s="2"/>
        <tr r="P7" s="2"/>
      </tp>
      <tp t="s">
        <v>N/A</v>
        <stp/>
        <stp>VOLUME</stp>
        <stp>.QQQ251017P502</stp>
        <tr r="S46" s="2"/>
      </tp>
      <tp t="s">
        <v>N/A</v>
        <stp/>
        <stp>VOLUME</stp>
        <stp>.QQQ251017C502</stp>
        <tr r="S46" s="2"/>
      </tp>
      <tp t="s">
        <v>N/A</v>
        <stp/>
        <stp>VOLUME</stp>
        <stp>.QQQ251017P501</stp>
        <tr r="S47" s="2"/>
      </tp>
      <tp t="s">
        <v>N/A</v>
        <stp/>
        <stp>VOLUME</stp>
        <stp>.QQQ251017C501</stp>
        <tr r="S47" s="2"/>
      </tp>
      <tp t="s">
        <v>N/A</v>
        <stp/>
        <stp>VOLUME</stp>
        <stp>.QQQ251017P500</stp>
        <tr r="S48" s="2"/>
      </tp>
      <tp t="s">
        <v>N/A</v>
        <stp/>
        <stp>VOLUME</stp>
        <stp>.QQQ251017C500</stp>
        <tr r="S48" s="2"/>
      </tp>
      <tp t="s">
        <v>N/A</v>
        <stp/>
        <stp>VOLUME</stp>
        <stp>.QQQ251031P501</stp>
        <tr r="T47" s="2"/>
      </tp>
      <tp t="s">
        <v>N/A</v>
        <stp/>
        <stp>VOLUME</stp>
        <stp>.QQQ251031C501</stp>
        <tr r="T47" s="2"/>
      </tp>
      <tp t="s">
        <v>N/A</v>
        <stp/>
        <stp>VOLUME</stp>
        <stp>.QQQ251031P500</stp>
        <tr r="T48" s="2"/>
      </tp>
      <tp t="s">
        <v>N/A</v>
        <stp/>
        <stp>VOLUME</stp>
        <stp>.QQQ251031C500</stp>
        <tr r="T48" s="2"/>
      </tp>
      <tp t="s">
        <v>N/A</v>
        <stp/>
        <stp>VOLUME</stp>
        <stp>.QQQ251031P502</stp>
        <tr r="T46" s="2"/>
      </tp>
      <tp t="s">
        <v>N/A</v>
        <stp/>
        <stp>VOLUME</stp>
        <stp>.QQQ251031C502</stp>
        <tr r="T46" s="2"/>
      </tp>
      <tp>
        <v>31</v>
        <stp/>
        <stp>VOLUME</stp>
        <stp>.QQQ251121P475</stp>
        <tr r="U73" s="2"/>
        <tr r="U73" s="2"/>
      </tp>
      <tp>
        <v>1</v>
        <stp/>
        <stp>VOLUME</stp>
        <stp>.QQQ251121C475</stp>
        <tr r="U73" s="2"/>
        <tr r="U73" s="2"/>
      </tp>
      <tp t="s">
        <v>N/A</v>
        <stp/>
        <stp>VOLUME</stp>
        <stp>.QQQ251121P474</stp>
        <tr r="U74" s="2"/>
      </tp>
      <tp t="s">
        <v>N/A</v>
        <stp/>
        <stp>VOLUME</stp>
        <stp>.QQQ251121C474</stp>
        <tr r="U74" s="2"/>
      </tp>
      <tp t="s">
        <v>N/A</v>
        <stp/>
        <stp>VOLUME</stp>
        <stp>.QQQ251121P477</stp>
        <tr r="U71" s="2"/>
      </tp>
      <tp t="s">
        <v>N/A</v>
        <stp/>
        <stp>VOLUME</stp>
        <stp>.QQQ251121C477</stp>
        <tr r="U71" s="2"/>
      </tp>
      <tp t="s">
        <v>N/A</v>
        <stp/>
        <stp>VOLUME</stp>
        <stp>.QQQ251121P476</stp>
        <tr r="U72" s="2"/>
      </tp>
      <tp t="s">
        <v>N/A</v>
        <stp/>
        <stp>VOLUME</stp>
        <stp>.QQQ251121C476</stp>
        <tr r="U72" s="2"/>
      </tp>
      <tp t="s">
        <v>N/A</v>
        <stp/>
        <stp>VOLUME</stp>
        <stp>.QQQ251121P471</stp>
        <tr r="U77" s="2"/>
      </tp>
      <tp t="s">
        <v>N/A</v>
        <stp/>
        <stp>VOLUME</stp>
        <stp>.QQQ251128P478</stp>
        <tr r="V70" s="2"/>
      </tp>
      <tp t="s">
        <v>N/A</v>
        <stp/>
        <stp>VOLUME</stp>
        <stp>.QQQ251121C471</stp>
        <tr r="U77" s="2"/>
      </tp>
      <tp t="s">
        <v>N/A</v>
        <stp/>
        <stp>VOLUME</stp>
        <stp>.QQQ251128C478</stp>
        <tr r="V70" s="2"/>
      </tp>
      <tp>
        <v>38</v>
        <stp/>
        <stp>VOLUME</stp>
        <stp>.QQQ251121P470</stp>
        <tr r="U78" s="2"/>
        <tr r="U78" s="2"/>
      </tp>
      <tp t="s">
        <v>N/A</v>
        <stp/>
        <stp>VOLUME</stp>
        <stp>.QQQ251128P479</stp>
        <tr r="V69" s="2"/>
      </tp>
      <tp>
        <v>9</v>
        <stp/>
        <stp>VOLUME</stp>
        <stp>.QQQ251121C470</stp>
        <tr r="U78" s="2"/>
        <tr r="U78" s="2"/>
      </tp>
      <tp t="s">
        <v>N/A</v>
        <stp/>
        <stp>VOLUME</stp>
        <stp>.QQQ251128C479</stp>
        <tr r="V69" s="2"/>
      </tp>
      <tp t="s">
        <v>N/A</v>
        <stp/>
        <stp>VOLUME</stp>
        <stp>.QQQ251121P473</stp>
        <tr r="U75" s="2"/>
      </tp>
      <tp t="s">
        <v>N/A</v>
        <stp/>
        <stp>VOLUME</stp>
        <stp>.SPY250829P579</stp>
        <tr r="P8" s="2"/>
      </tp>
      <tp t="s">
        <v>N/A</v>
        <stp/>
        <stp>VOLUME</stp>
        <stp>.QQQ251121C473</stp>
        <tr r="U75" s="2"/>
      </tp>
      <tp t="s">
        <v>N/A</v>
        <stp/>
        <stp>VOLUME</stp>
        <stp>.SPY250829C579</stp>
        <tr r="P8" s="2"/>
      </tp>
      <tp t="s">
        <v>N/A</v>
        <stp/>
        <stp>VOLUME</stp>
        <stp>.QQQ251121P472</stp>
        <tr r="U76" s="2"/>
      </tp>
      <tp>
        <v>21</v>
        <stp/>
        <stp>VOLUME</stp>
        <stp>.SPY250829P578</stp>
        <tr r="P9" s="2"/>
        <tr r="P9" s="2"/>
      </tp>
      <tp t="s">
        <v>N/A</v>
        <stp/>
        <stp>VOLUME</stp>
        <stp>.QQQ251121C472</stp>
        <tr r="U76" s="2"/>
      </tp>
      <tp t="s">
        <v>N/A</v>
        <stp/>
        <stp>VOLUME</stp>
        <stp>.SPY250829C578</stp>
        <tr r="P9" s="2"/>
      </tp>
      <tp t="s">
        <v>N/A</v>
        <stp/>
        <stp>VOLUME</stp>
        <stp>.QQQ251128P474</stp>
        <tr r="V74" s="2"/>
      </tp>
      <tp t="s">
        <v>N/A</v>
        <stp/>
        <stp>VOLUME</stp>
        <stp>.SPY250829P577</stp>
        <tr r="P10" s="2"/>
      </tp>
      <tp t="s">
        <v>N/A</v>
        <stp/>
        <stp>VOLUME</stp>
        <stp>.QQQ251128C474</stp>
        <tr r="V74" s="2"/>
      </tp>
      <tp t="s">
        <v>N/A</v>
        <stp/>
        <stp>VOLUME</stp>
        <stp>.SPY250829C577</stp>
        <tr r="P10" s="2"/>
      </tp>
      <tp t="s">
        <v>N/A</v>
        <stp/>
        <stp>VOLUME</stp>
        <stp>.QQQ251128P475</stp>
        <tr r="V73" s="2"/>
      </tp>
      <tp t="s">
        <v>N/A</v>
        <stp/>
        <stp>VOLUME</stp>
        <stp>.SPY250829P576</stp>
        <tr r="P11" s="2"/>
      </tp>
      <tp t="s">
        <v>N/A</v>
        <stp/>
        <stp>VOLUME</stp>
        <stp>.QQQ251128C475</stp>
        <tr r="V73" s="2"/>
      </tp>
      <tp t="s">
        <v>N/A</v>
        <stp/>
        <stp>VOLUME</stp>
        <stp>.SPY250829C576</stp>
        <tr r="P11" s="2"/>
      </tp>
      <tp t="s">
        <v>N/A</v>
        <stp/>
        <stp>VOLUME</stp>
        <stp>.QQQ251128P476</stp>
        <tr r="V72" s="2"/>
      </tp>
      <tp>
        <v>10</v>
        <stp/>
        <stp>VOLUME</stp>
        <stp>.SPY250815P549</stp>
        <tr r="O38" s="2"/>
        <tr r="O38" s="2"/>
      </tp>
      <tp>
        <v>2</v>
        <stp/>
        <stp>VOLUME</stp>
        <stp>.SPY250829P575</stp>
        <tr r="P12" s="2"/>
        <tr r="P12" s="2"/>
      </tp>
      <tp t="s">
        <v>N/A</v>
        <stp/>
        <stp>VOLUME</stp>
        <stp>.QQQ251128C476</stp>
        <tr r="V72" s="2"/>
      </tp>
      <tp t="s">
        <v>N/A</v>
        <stp/>
        <stp>VOLUME</stp>
        <stp>.SPY250815C549</stp>
        <tr r="O38" s="2"/>
      </tp>
      <tp t="s">
        <v>N/A</v>
        <stp/>
        <stp>VOLUME</stp>
        <stp>.SPY250829C575</stp>
        <tr r="P12" s="2"/>
      </tp>
      <tp t="s">
        <v>N/A</v>
        <stp/>
        <stp>VOLUME</stp>
        <stp>.QQQ251128P477</stp>
        <tr r="V71" s="2"/>
      </tp>
      <tp>
        <v>53</v>
        <stp/>
        <stp>VOLUME</stp>
        <stp>.SPY250815P548</stp>
        <tr r="O39" s="2"/>
        <tr r="O39" s="2"/>
      </tp>
      <tp>
        <v>5</v>
        <stp/>
        <stp>VOLUME</stp>
        <stp>.SPY250829P574</stp>
        <tr r="P13" s="2"/>
        <tr r="P13" s="2"/>
      </tp>
      <tp t="s">
        <v>N/A</v>
        <stp/>
        <stp>VOLUME</stp>
        <stp>.QQQ251128C477</stp>
        <tr r="V71" s="2"/>
      </tp>
      <tp>
        <v>1</v>
        <stp/>
        <stp>VOLUME</stp>
        <stp>.SPY250815C548</stp>
        <tr r="O39" s="2"/>
        <tr r="O39" s="2"/>
      </tp>
      <tp>
        <v>1</v>
        <stp/>
        <stp>VOLUME</stp>
        <stp>.SPY250829C574</stp>
        <tr r="P13" s="2"/>
        <tr r="P13" s="2"/>
      </tp>
      <tp t="s">
        <v>N/A</v>
        <stp/>
        <stp>VOLUME</stp>
        <stp>.QQQ251121P479</stp>
        <tr r="U69" s="2"/>
      </tp>
      <tp t="s">
        <v>N/A</v>
        <stp/>
        <stp>VOLUME</stp>
        <stp>.QQQ251128P470</stp>
        <tr r="V78" s="2"/>
      </tp>
      <tp t="s">
        <v>N/A</v>
        <stp/>
        <stp>VOLUME</stp>
        <stp>.SPY250829P573</stp>
        <tr r="P14" s="2"/>
      </tp>
      <tp t="s">
        <v>N/A</v>
        <stp/>
        <stp>VOLUME</stp>
        <stp>.QQQ251121C479</stp>
        <tr r="U69" s="2"/>
      </tp>
      <tp t="s">
        <v>N/A</v>
        <stp/>
        <stp>VOLUME</stp>
        <stp>.QQQ251128C470</stp>
        <tr r="V78" s="2"/>
      </tp>
      <tp>
        <v>6</v>
        <stp/>
        <stp>VOLUME</stp>
        <stp>.SPY250829C573</stp>
        <tr r="P14" s="2"/>
        <tr r="P14" s="2"/>
      </tp>
      <tp t="s">
        <v>N/A</v>
        <stp/>
        <stp>VOLUME</stp>
        <stp>.QQQ251121P478</stp>
        <tr r="U70" s="2"/>
      </tp>
      <tp t="s">
        <v>N/A</v>
        <stp/>
        <stp>VOLUME</stp>
        <stp>.QQQ251128P471</stp>
        <tr r="V77" s="2"/>
      </tp>
      <tp t="s">
        <v>N/A</v>
        <stp/>
        <stp>VOLUME</stp>
        <stp>.SPY250829P572</stp>
        <tr r="P15" s="2"/>
      </tp>
      <tp t="s">
        <v>N/A</v>
        <stp/>
        <stp>VOLUME</stp>
        <stp>.QQQ251121C478</stp>
        <tr r="U70" s="2"/>
      </tp>
      <tp t="s">
        <v>N/A</v>
        <stp/>
        <stp>VOLUME</stp>
        <stp>.QQQ251128C471</stp>
        <tr r="V77" s="2"/>
      </tp>
      <tp t="s">
        <v>N/A</v>
        <stp/>
        <stp>VOLUME</stp>
        <stp>.SPY250829C572</stp>
        <tr r="P15" s="2"/>
      </tp>
      <tp t="s">
        <v>N/A</v>
        <stp/>
        <stp>VOLUME</stp>
        <stp>.QQQ251128P472</stp>
        <tr r="V76" s="2"/>
      </tp>
      <tp>
        <v>1</v>
        <stp/>
        <stp>VOLUME</stp>
        <stp>.SPY250829P571</stp>
        <tr r="P16" s="2"/>
        <tr r="P16" s="2"/>
      </tp>
      <tp t="s">
        <v>N/A</v>
        <stp/>
        <stp>VOLUME</stp>
        <stp>.QQQ251128C472</stp>
        <tr r="V76" s="2"/>
      </tp>
      <tp t="s">
        <v>N/A</v>
        <stp/>
        <stp>VOLUME</stp>
        <stp>.SPY250829C571</stp>
        <tr r="P16" s="2"/>
      </tp>
      <tp t="s">
        <v>N/A</v>
        <stp/>
        <stp>VOLUME</stp>
        <stp>.QQQ251128P473</stp>
        <tr r="V75" s="2"/>
      </tp>
      <tp>
        <v>28</v>
        <stp/>
        <stp>VOLUME</stp>
        <stp>.SPY250829P570</stp>
        <tr r="P17" s="2"/>
        <tr r="P17" s="2"/>
      </tp>
      <tp t="s">
        <v>N/A</v>
        <stp/>
        <stp>VOLUME</stp>
        <stp>.QQQ251128C473</stp>
        <tr r="V75" s="2"/>
      </tp>
      <tp>
        <v>13</v>
        <stp/>
        <stp>VOLUME</stp>
        <stp>.SPY250829C570</stp>
        <tr r="P17" s="2"/>
        <tr r="P17" s="2"/>
      </tp>
      <tp>
        <v>123</v>
        <stp/>
        <stp>VOLUME</stp>
        <stp>.SPY250815P553</stp>
        <tr r="O34" s="2"/>
        <tr r="O34" s="2"/>
      </tp>
      <tp>
        <v>1</v>
        <stp/>
        <stp>VOLUME</stp>
        <stp>.SPY250815C553</stp>
        <tr r="O34" s="2"/>
        <tr r="O34" s="2"/>
      </tp>
      <tp>
        <v>5</v>
        <stp/>
        <stp>VOLUME</stp>
        <stp>.SPY250815P552</stp>
        <tr r="O35" s="2"/>
        <tr r="O35" s="2"/>
      </tp>
      <tp t="s">
        <v>N/A</v>
        <stp/>
        <stp>VOLUME</stp>
        <stp>.SPY250815C552</stp>
        <tr r="O35" s="2"/>
      </tp>
      <tp>
        <v>2</v>
        <stp/>
        <stp>VOLUME</stp>
        <stp>.SPY250815P551</stp>
        <tr r="O36" s="2"/>
        <tr r="O36" s="2"/>
      </tp>
      <tp>
        <v>1</v>
        <stp/>
        <stp>VOLUME</stp>
        <stp>.SPY250815C551</stp>
        <tr r="O36" s="2"/>
        <tr r="O36" s="2"/>
      </tp>
      <tp>
        <v>390</v>
        <stp/>
        <stp>VOLUME</stp>
        <stp>.SPY250815P550</stp>
        <tr r="O37" s="2"/>
        <tr r="O37" s="2"/>
      </tp>
      <tp>
        <v>37</v>
        <stp/>
        <stp>VOLUME</stp>
        <stp>.SPY250815C550</stp>
        <tr r="O37" s="2"/>
        <tr r="O37" s="2"/>
      </tp>
      <tp t="s">
        <v>N/A</v>
        <stp/>
        <stp>VOLUME</stp>
        <stp>.QQQ251128P468</stp>
        <tr r="V80" s="2"/>
      </tp>
      <tp>
        <v>10</v>
        <stp/>
        <stp>VOLUME</stp>
        <stp>.SPY250815P557</stp>
        <tr r="O30" s="2"/>
        <tr r="O30" s="2"/>
      </tp>
      <tp t="s">
        <v>N/A</v>
        <stp/>
        <stp>VOLUME</stp>
        <stp>.QQQ251128C468</stp>
        <tr r="V80" s="2"/>
      </tp>
      <tp>
        <v>1</v>
        <stp/>
        <stp>VOLUME</stp>
        <stp>.SPY250815C557</stp>
        <tr r="O30" s="2"/>
        <tr r="O30" s="2"/>
      </tp>
      <tp t="s">
        <v>N/A</v>
        <stp/>
        <stp>VOLUME</stp>
        <stp>.QQQ251128P469</stp>
        <tr r="V79" s="2"/>
      </tp>
      <tp>
        <v>11</v>
        <stp/>
        <stp>VOLUME</stp>
        <stp>.SPY250815P556</stp>
        <tr r="O31" s="2"/>
        <tr r="O31" s="2"/>
      </tp>
      <tp t="s">
        <v>N/A</v>
        <stp/>
        <stp>VOLUME</stp>
        <stp>.QQQ251128C469</stp>
        <tr r="V79" s="2"/>
      </tp>
      <tp>
        <v>10</v>
        <stp/>
        <stp>VOLUME</stp>
        <stp>.SPY250815C556</stp>
        <tr r="O31" s="2"/>
        <tr r="O31" s="2"/>
      </tp>
      <tp>
        <v>180</v>
        <stp/>
        <stp>VOLUME</stp>
        <stp>.SPY250815P555</stp>
        <tr r="O32" s="2"/>
        <tr r="O32" s="2"/>
      </tp>
      <tp t="s">
        <v>N/A</v>
        <stp/>
        <stp>VOLUME</stp>
        <stp>.SPY250829P569</stp>
        <tr r="P18" s="2"/>
      </tp>
      <tp>
        <v>3</v>
        <stp/>
        <stp>VOLUME</stp>
        <stp>.SPY250815C555</stp>
        <tr r="O32" s="2"/>
        <tr r="O32" s="2"/>
      </tp>
      <tp>
        <v>4</v>
        <stp/>
        <stp>VOLUME</stp>
        <stp>.SPY250829C569</stp>
        <tr r="P18" s="2"/>
        <tr r="P18" s="2"/>
      </tp>
      <tp>
        <v>11</v>
        <stp/>
        <stp>VOLUME</stp>
        <stp>.SPY250815P554</stp>
        <tr r="O33" s="2"/>
        <tr r="O33" s="2"/>
      </tp>
      <tp>
        <v>6</v>
        <stp/>
        <stp>VOLUME</stp>
        <stp>.SPY250829P568</stp>
        <tr r="P19" s="2"/>
        <tr r="P19" s="2"/>
      </tp>
      <tp>
        <v>1</v>
        <stp/>
        <stp>VOLUME</stp>
        <stp>.SPY250815C554</stp>
        <tr r="O33" s="2"/>
        <tr r="O33" s="2"/>
      </tp>
      <tp>
        <v>11</v>
        <stp/>
        <stp>VOLUME</stp>
        <stp>.SPY250829C568</stp>
        <tr r="P19" s="2"/>
        <tr r="P19" s="2"/>
      </tp>
      <tp>
        <v>40</v>
        <stp/>
        <stp>VOLUME</stp>
        <stp>.SPY250829P567</stp>
        <tr r="P20" s="2"/>
        <tr r="P20" s="2"/>
      </tp>
      <tp>
        <v>11</v>
        <stp/>
        <stp>VOLUME</stp>
        <stp>.SPY250829C567</stp>
        <tr r="P20" s="2"/>
        <tr r="P20" s="2"/>
      </tp>
      <tp t="s">
        <v>N/A</v>
        <stp/>
        <stp>VOLUME</stp>
        <stp>.SPY250829P566</stp>
        <tr r="P21" s="2"/>
      </tp>
      <tp>
        <v>23</v>
        <stp/>
        <stp>VOLUME</stp>
        <stp>.SPY250829C566</stp>
        <tr r="P21" s="2"/>
        <tr r="P21" s="2"/>
      </tp>
      <tp>
        <v>2</v>
        <stp/>
        <stp>VOLUME</stp>
        <stp>.SPY250815P559</stp>
        <tr r="O28" s="2"/>
        <tr r="O28" s="2"/>
      </tp>
      <tp>
        <v>69</v>
        <stp/>
        <stp>VOLUME</stp>
        <stp>.SPY250829P565</stp>
        <tr r="P22" s="2"/>
        <tr r="P22" s="2"/>
      </tp>
      <tp t="s">
        <v>N/A</v>
        <stp/>
        <stp>VOLUME</stp>
        <stp>.SPY250815C559</stp>
        <tr r="O28" s="2"/>
      </tp>
      <tp>
        <v>17</v>
        <stp/>
        <stp>VOLUME</stp>
        <stp>.SPY250829C565</stp>
        <tr r="P22" s="2"/>
        <tr r="P22" s="2"/>
      </tp>
      <tp>
        <v>4</v>
        <stp/>
        <stp>VOLUME</stp>
        <stp>.SPY250815P558</stp>
        <tr r="O29" s="2"/>
        <tr r="O29" s="2"/>
      </tp>
      <tp>
        <v>16</v>
        <stp/>
        <stp>VOLUME</stp>
        <stp>.SPY250829P564</stp>
        <tr r="P23" s="2"/>
        <tr r="P23" s="2"/>
      </tp>
      <tp>
        <v>10</v>
        <stp/>
        <stp>VOLUME</stp>
        <stp>.SPY250815C558</stp>
        <tr r="O29" s="2"/>
        <tr r="O29" s="2"/>
      </tp>
      <tp>
        <v>3</v>
        <stp/>
        <stp>VOLUME</stp>
        <stp>.SPY250829C564</stp>
        <tr r="P23" s="2"/>
        <tr r="P23" s="2"/>
      </tp>
      <tp t="s">
        <v>N/A</v>
        <stp/>
        <stp>VOLUME</stp>
        <stp>.QQQ251121P469</stp>
        <tr r="U79" s="2"/>
      </tp>
      <tp>
        <v>2</v>
        <stp/>
        <stp>VOLUME</stp>
        <stp>.SPY250829P563</stp>
        <tr r="P24" s="2"/>
        <tr r="P24" s="2"/>
      </tp>
      <tp t="s">
        <v>N/A</v>
        <stp/>
        <stp>VOLUME</stp>
        <stp>.QQQ251121C469</stp>
        <tr r="U79" s="2"/>
      </tp>
      <tp>
        <v>11</v>
        <stp/>
        <stp>VOLUME</stp>
        <stp>.SPY250829C563</stp>
        <tr r="P24" s="2"/>
        <tr r="P24" s="2"/>
      </tp>
      <tp t="s">
        <v>N/A</v>
        <stp/>
        <stp>VOLUME</stp>
        <stp>.QQQ251121P468</stp>
        <tr r="U80" s="2"/>
      </tp>
      <tp t="s">
        <v>N/A</v>
        <stp/>
        <stp>VOLUME</stp>
        <stp>.SPY250829P562</stp>
        <tr r="P25" s="2"/>
      </tp>
      <tp t="s">
        <v>N/A</v>
        <stp/>
        <stp>VOLUME</stp>
        <stp>.QQQ251121C468</stp>
        <tr r="U80" s="2"/>
      </tp>
      <tp t="s">
        <v>N/A</v>
        <stp/>
        <stp>VOLUME</stp>
        <stp>.SPY250829C562</stp>
        <tr r="P25" s="2"/>
      </tp>
      <tp t="s">
        <v>N/A</v>
        <stp/>
        <stp>VOLUME</stp>
        <stp>.SPY250829P561</stp>
        <tr r="P26" s="2"/>
      </tp>
      <tp t="s">
        <v>N/A</v>
        <stp/>
        <stp>VOLUME</stp>
        <stp>.SPY250829C561</stp>
        <tr r="P26" s="2"/>
      </tp>
      <tp>
        <v>10</v>
        <stp/>
        <stp>VOLUME</stp>
        <stp>.SPY250829P560</stp>
        <tr r="P27" s="2"/>
        <tr r="P27" s="2"/>
      </tp>
      <tp>
        <v>1</v>
        <stp/>
        <stp>VOLUME</stp>
        <stp>.SPY250829C560</stp>
        <tr r="P27" s="2"/>
        <tr r="P27" s="2"/>
      </tp>
      <tp>
        <v>143</v>
        <stp/>
        <stp>VOLUME</stp>
        <stp>.SPY250815P563</stp>
        <tr r="O24" s="2"/>
        <tr r="O24" s="2"/>
      </tp>
      <tp>
        <v>13</v>
        <stp/>
        <stp>VOLUME</stp>
        <stp>.SPY250815C563</stp>
        <tr r="O24" s="2"/>
        <tr r="O24" s="2"/>
      </tp>
      <tp>
        <v>111</v>
        <stp/>
        <stp>VOLUME</stp>
        <stp>.SPY250815P562</stp>
        <tr r="O25" s="2"/>
        <tr r="O25" s="2"/>
      </tp>
      <tp>
        <v>1</v>
        <stp/>
        <stp>VOLUME</stp>
        <stp>.SPY250815C562</stp>
        <tr r="O25" s="2"/>
        <tr r="O25" s="2"/>
      </tp>
      <tp>
        <v>146</v>
        <stp/>
        <stp>VOLUME</stp>
        <stp>.SPY250815P561</stp>
        <tr r="O26" s="2"/>
        <tr r="O26" s="2"/>
      </tp>
      <tp t="s">
        <v>N/A</v>
        <stp/>
        <stp>VOLUME</stp>
        <stp>.SPY250815C561</stp>
        <tr r="O26" s="2"/>
      </tp>
      <tp>
        <v>593</v>
        <stp/>
        <stp>VOLUME</stp>
        <stp>.SPY250815P560</stp>
        <tr r="O27" s="2"/>
        <tr r="O27" s="2"/>
      </tp>
      <tp>
        <v>54</v>
        <stp/>
        <stp>VOLUME</stp>
        <stp>.SPY250815C560</stp>
        <tr r="O27" s="2"/>
        <tr r="O27" s="2"/>
      </tp>
      <tp>
        <v>26</v>
        <stp/>
        <stp>VOLUME</stp>
        <stp>.SPY250815P567</stp>
        <tr r="O20" s="2"/>
        <tr r="O20" s="2"/>
      </tp>
      <tp>
        <v>40</v>
        <stp/>
        <stp>VOLUME</stp>
        <stp>.SPY250815C567</stp>
        <tr r="O20" s="2"/>
        <tr r="O20" s="2"/>
      </tp>
      <tp>
        <v>47</v>
        <stp/>
        <stp>VOLUME</stp>
        <stp>.SPY250815P566</stp>
        <tr r="O21" s="2"/>
        <tr r="O21" s="2"/>
      </tp>
      <tp>
        <v>23</v>
        <stp/>
        <stp>VOLUME</stp>
        <stp>.SPY250815C566</stp>
        <tr r="O21" s="2"/>
        <tr r="O21" s="2"/>
      </tp>
      <tp>
        <v>239</v>
        <stp/>
        <stp>VOLUME</stp>
        <stp>.SPY250815P565</stp>
        <tr r="O22" s="2"/>
        <tr r="O22" s="2"/>
      </tp>
      <tp t="s">
        <v>N/A</v>
        <stp/>
        <stp>VOLUME</stp>
        <stp>.SPY250829P559</stp>
        <tr r="P28" s="2"/>
      </tp>
      <tp>
        <v>95</v>
        <stp/>
        <stp>VOLUME</stp>
        <stp>.SPY250815C565</stp>
        <tr r="O22" s="2"/>
        <tr r="O22" s="2"/>
      </tp>
      <tp t="s">
        <v>N/A</v>
        <stp/>
        <stp>VOLUME</stp>
        <stp>.SPY250829C559</stp>
        <tr r="P28" s="2"/>
      </tp>
      <tp>
        <v>177</v>
        <stp/>
        <stp>VOLUME</stp>
        <stp>.SPY250815P564</stp>
        <tr r="O23" s="2"/>
        <tr r="O23" s="2"/>
      </tp>
      <tp>
        <v>7</v>
        <stp/>
        <stp>VOLUME</stp>
        <stp>.SPY250829P558</stp>
        <tr r="P29" s="2"/>
        <tr r="P29" s="2"/>
      </tp>
      <tp>
        <v>40</v>
        <stp/>
        <stp>VOLUME</stp>
        <stp>.SPY250815C564</stp>
        <tr r="O23" s="2"/>
        <tr r="O23" s="2"/>
      </tp>
      <tp t="s">
        <v>N/A</v>
        <stp/>
        <stp>VOLUME</stp>
        <stp>.SPY250829C558</stp>
        <tr r="P29" s="2"/>
      </tp>
      <tp t="s">
        <v>N/A</v>
        <stp/>
        <stp>VOLUME</stp>
        <stp>.SPY250829P557</stp>
        <tr r="P30" s="2"/>
      </tp>
      <tp t="s">
        <v>N/A</v>
        <stp/>
        <stp>VOLUME</stp>
        <stp>.SPY250829C557</stp>
        <tr r="P30" s="2"/>
      </tp>
      <tp>
        <v>1</v>
        <stp/>
        <stp>VOLUME</stp>
        <stp>.SPY250829P556</stp>
        <tr r="P31" s="2"/>
        <tr r="P31" s="2"/>
      </tp>
      <tp t="s">
        <v>N/A</v>
        <stp/>
        <stp>VOLUME</stp>
        <stp>.SPY250829C556</stp>
        <tr r="P31" s="2"/>
      </tp>
      <tp>
        <v>28</v>
        <stp/>
        <stp>VOLUME</stp>
        <stp>.SPY250815P569</stp>
        <tr r="O18" s="2"/>
        <tr r="O18" s="2"/>
      </tp>
      <tp>
        <v>24</v>
        <stp/>
        <stp>VOLUME</stp>
        <stp>.SPY250829P555</stp>
        <tr r="P32" s="2"/>
        <tr r="P32" s="2"/>
      </tp>
      <tp>
        <v>18</v>
        <stp/>
        <stp>VOLUME</stp>
        <stp>.SPY250815C569</stp>
        <tr r="O18" s="2"/>
        <tr r="O18" s="2"/>
      </tp>
      <tp>
        <v>1</v>
        <stp/>
        <stp>VOLUME</stp>
        <stp>.SPY250829C555</stp>
        <tr r="P32" s="2"/>
        <tr r="P32" s="2"/>
      </tp>
      <tp>
        <v>98</v>
        <stp/>
        <stp>VOLUME</stp>
        <stp>.SPY250815P568</stp>
        <tr r="O19" s="2"/>
        <tr r="O19" s="2"/>
      </tp>
      <tp>
        <v>3</v>
        <stp/>
        <stp>VOLUME</stp>
        <stp>.SPY250829P554</stp>
        <tr r="P33" s="2"/>
        <tr r="P33" s="2"/>
      </tp>
      <tp>
        <v>202</v>
        <stp/>
        <stp>VOLUME</stp>
        <stp>.SPY250815C568</stp>
        <tr r="O19" s="2"/>
        <tr r="O19" s="2"/>
      </tp>
      <tp t="s">
        <v>N/A</v>
        <stp/>
        <stp>VOLUME</stp>
        <stp>.SPY250829C554</stp>
        <tr r="P33" s="2"/>
      </tp>
      <tp>
        <v>3</v>
        <stp/>
        <stp>VOLUME</stp>
        <stp>.SPY250829P553</stp>
        <tr r="P34" s="2"/>
        <tr r="P34" s="2"/>
      </tp>
      <tp t="s">
        <v>N/A</v>
        <stp/>
        <stp>VOLUME</stp>
        <stp>.SPY250829C553</stp>
        <tr r="P34" s="2"/>
      </tp>
      <tp t="s">
        <v>N/A</v>
        <stp/>
        <stp>VOLUME</stp>
        <stp>.SPY250829P552</stp>
        <tr r="P35" s="2"/>
      </tp>
      <tp t="s">
        <v>N/A</v>
        <stp/>
        <stp>VOLUME</stp>
        <stp>.SPY250829C552</stp>
        <tr r="P35" s="2"/>
      </tp>
      <tp>
        <v>2</v>
        <stp/>
        <stp>VOLUME</stp>
        <stp>.SPY250829P551</stp>
        <tr r="P36" s="2"/>
        <tr r="P36" s="2"/>
      </tp>
      <tp t="s">
        <v>N/A</v>
        <stp/>
        <stp>VOLUME</stp>
        <stp>.SPY250829C551</stp>
        <tr r="P36" s="2"/>
      </tp>
      <tp>
        <v>36</v>
        <stp/>
        <stp>VOLUME</stp>
        <stp>.SPY250829P550</stp>
        <tr r="P37" s="2"/>
        <tr r="P37" s="2"/>
      </tp>
      <tp>
        <v>15</v>
        <stp/>
        <stp>VOLUME</stp>
        <stp>.SPY250829C550</stp>
        <tr r="P37" s="2"/>
        <tr r="P37" s="2"/>
      </tp>
      <tp>
        <v>1</v>
        <stp/>
        <stp>VOLUME</stp>
        <stp>.SPY250815P573</stp>
        <tr r="O14" s="2"/>
        <tr r="O14" s="2"/>
      </tp>
      <tp>
        <v>10</v>
        <stp/>
        <stp>VOLUME</stp>
        <stp>.SPY250815C573</stp>
        <tr r="O14" s="2"/>
        <tr r="O14" s="2"/>
      </tp>
      <tp>
        <v>64</v>
        <stp/>
        <stp>VOLUME</stp>
        <stp>.SPY250815P572</stp>
        <tr r="O15" s="2"/>
        <tr r="O15" s="2"/>
      </tp>
      <tp>
        <v>58</v>
        <stp/>
        <stp>VOLUME</stp>
        <stp>.SPY250815C572</stp>
        <tr r="O15" s="2"/>
        <tr r="O15" s="2"/>
      </tp>
      <tp>
        <v>3</v>
        <stp/>
        <stp>VOLUME</stp>
        <stp>.SPY250815P571</stp>
        <tr r="O16" s="2"/>
        <tr r="O16" s="2"/>
      </tp>
      <tp>
        <v>124</v>
        <stp/>
        <stp>VOLUME</stp>
        <stp>.SPY250815C571</stp>
        <tr r="O16" s="2"/>
        <tr r="O16" s="2"/>
      </tp>
      <tp>
        <v>104</v>
        <stp/>
        <stp>VOLUME</stp>
        <stp>.SPY250815P570</stp>
        <tr r="O17" s="2"/>
        <tr r="O17" s="2"/>
      </tp>
      <tp>
        <v>64</v>
        <stp/>
        <stp>VOLUME</stp>
        <stp>.SPY250815C570</stp>
        <tr r="O17" s="2"/>
        <tr r="O17" s="2"/>
      </tp>
      <tp>
        <v>34</v>
        <stp/>
        <stp>VOLUME</stp>
        <stp>.SPY250815P577</stp>
        <tr r="O10" s="2"/>
        <tr r="O10" s="2"/>
      </tp>
      <tp>
        <v>63</v>
        <stp/>
        <stp>VOLUME</stp>
        <stp>.SPY250815C577</stp>
        <tr r="O10" s="2"/>
        <tr r="O10" s="2"/>
      </tp>
      <tp>
        <v>2</v>
        <stp/>
        <stp>VOLUME</stp>
        <stp>.SPY250815P576</stp>
        <tr r="O11" s="2"/>
        <tr r="O11" s="2"/>
      </tp>
      <tp>
        <v>97</v>
        <stp/>
        <stp>VOLUME</stp>
        <stp>.SPY250815C576</stp>
        <tr r="O11" s="2"/>
        <tr r="O11" s="2"/>
      </tp>
      <tp>
        <v>5</v>
        <stp/>
        <stp>VOLUME</stp>
        <stp>.SPY250815P575</stp>
        <tr r="O12" s="2"/>
        <tr r="O12" s="2"/>
      </tp>
      <tp t="s">
        <v>N/A</v>
        <stp/>
        <stp>VOLUME</stp>
        <stp>.SPY250829P549</stp>
        <tr r="P38" s="2"/>
      </tp>
      <tp>
        <v>160</v>
        <stp/>
        <stp>VOLUME</stp>
        <stp>.SPY250815C575</stp>
        <tr r="O12" s="2"/>
        <tr r="O12" s="2"/>
      </tp>
      <tp t="s">
        <v>N/A</v>
        <stp/>
        <stp>VOLUME</stp>
        <stp>.SPY250829C549</stp>
        <tr r="P38" s="2"/>
      </tp>
      <tp>
        <v>20</v>
        <stp/>
        <stp>VOLUME</stp>
        <stp>.SPY250815P574</stp>
        <tr r="O13" s="2"/>
        <tr r="O13" s="2"/>
      </tp>
      <tp t="s">
        <v>N/A</v>
        <stp/>
        <stp>VOLUME</stp>
        <stp>.SPY250829P548</stp>
        <tr r="P39" s="2"/>
      </tp>
      <tp>
        <v>29</v>
        <stp/>
        <stp>VOLUME</stp>
        <stp>.SPY250815C574</stp>
        <tr r="O13" s="2"/>
        <tr r="O13" s="2"/>
      </tp>
      <tp t="s">
        <v>N/A</v>
        <stp/>
        <stp>VOLUME</stp>
        <stp>.SPY250829C548</stp>
        <tr r="P39" s="2"/>
      </tp>
      <tp>
        <v>35</v>
        <stp/>
        <stp>VOLUME</stp>
        <stp>.SPY250815P579</stp>
        <tr r="O8" s="2"/>
        <tr r="O8" s="2"/>
      </tp>
      <tp>
        <v>53</v>
        <stp/>
        <stp>VOLUME</stp>
        <stp>.SPY250815C579</stp>
        <tr r="O8" s="2"/>
        <tr r="O8" s="2"/>
      </tp>
      <tp>
        <v>34</v>
        <stp/>
        <stp>VOLUME</stp>
        <stp>.SPY250815P578</stp>
        <tr r="O9" s="2"/>
        <tr r="O9" s="2"/>
      </tp>
      <tp>
        <v>101</v>
        <stp/>
        <stp>VOLUME</stp>
        <stp>.SPY250815C578</stp>
        <tr r="O9" s="2"/>
        <tr r="O9" s="2"/>
      </tp>
      <tp>
        <v>-1</v>
        <stp/>
        <stp>DELTA</stp>
        <stp>.SPXW250516P5850</stp>
        <tr r="CI87" s="1"/>
        <tr r="CI87" s="1"/>
      </tp>
      <tp>
        <v>0.15</v>
        <stp/>
        <stp>DELTA</stp>
        <stp>.SPXW250516C5850</stp>
        <tr r="CH87" s="1"/>
        <tr r="CH87" s="1"/>
      </tp>
      <tp>
        <v>-1</v>
        <stp/>
        <stp>DELTA</stp>
        <stp>.SPXW250516P5840</stp>
        <tr r="CI88" s="1"/>
        <tr r="CI88" s="1"/>
      </tp>
      <tp>
        <v>0.16</v>
        <stp/>
        <stp>DELTA</stp>
        <stp>.SPXW250516C5840</stp>
        <tr r="CH88" s="1"/>
        <tr r="CH88" s="1"/>
      </tp>
      <tp>
        <v>-1</v>
        <stp/>
        <stp>DELTA</stp>
        <stp>.SPXW250516P5870</stp>
        <tr r="CI85" s="1"/>
        <tr r="CI85" s="1"/>
      </tp>
      <tp>
        <v>0.12</v>
        <stp/>
        <stp>DELTA</stp>
        <stp>.SPXW250516C5870</stp>
        <tr r="CH85" s="1"/>
        <tr r="CH85" s="1"/>
      </tp>
      <tp>
        <v>-1</v>
        <stp/>
        <stp>DELTA</stp>
        <stp>.SPXW250516P5860</stp>
        <tr r="CI86" s="1"/>
        <tr r="CI86" s="1"/>
      </tp>
      <tp>
        <v>0.13</v>
        <stp/>
        <stp>DELTA</stp>
        <stp>.SPXW250516C5860</stp>
        <tr r="CH86" s="1"/>
        <tr r="CH86" s="1"/>
      </tp>
      <tp>
        <v>-1</v>
        <stp/>
        <stp>DELTA</stp>
        <stp>.SPXW250516P5810</stp>
        <tr r="CI91" s="1"/>
        <tr r="CI91" s="1"/>
      </tp>
      <tp>
        <v>0.22</v>
        <stp/>
        <stp>DELTA</stp>
        <stp>.SPXW250516C5810</stp>
        <tr r="CH91" s="1"/>
        <tr r="CH91" s="1"/>
      </tp>
      <tp>
        <v>-1</v>
        <stp/>
        <stp>DELTA</stp>
        <stp>.SPXW250516P5800</stp>
        <tr r="CI92" s="1"/>
        <tr r="CI92" s="1"/>
      </tp>
      <tp>
        <v>0.24</v>
        <stp/>
        <stp>DELTA</stp>
        <stp>.SPXW250516C5800</stp>
        <tr r="CH92" s="1"/>
        <tr r="CH92" s="1"/>
      </tp>
      <tp>
        <v>-1</v>
        <stp/>
        <stp>DELTA</stp>
        <stp>.SPXW250516P5830</stp>
        <tr r="CI89" s="1"/>
        <tr r="CI89" s="1"/>
      </tp>
      <tp>
        <v>0.18</v>
        <stp/>
        <stp>DELTA</stp>
        <stp>.SPXW250516C5830</stp>
        <tr r="CH89" s="1"/>
        <tr r="CH89" s="1"/>
      </tp>
      <tp>
        <v>-1</v>
        <stp/>
        <stp>DELTA</stp>
        <stp>.SPXW250516P5820</stp>
        <tr r="CI90" s="1"/>
        <tr r="CI90" s="1"/>
      </tp>
      <tp>
        <v>0.2</v>
        <stp/>
        <stp>DELTA</stp>
        <stp>.SPXW250516C5820</stp>
        <tr r="CH90" s="1"/>
        <tr r="CH90" s="1"/>
      </tp>
      <tp t="s">
        <v>N/A</v>
        <stp/>
        <stp>VOLUME</stp>
        <stp>.SPX250815C5830</stp>
        <tr r="O90" s="2"/>
      </tp>
      <tp t="s">
        <v>N/A</v>
        <stp/>
        <stp>VOLUME</stp>
        <stp>.SPX251017C5810</stp>
        <tr r="S92" s="2"/>
      </tp>
      <tp t="s">
        <v>N/A</v>
        <stp/>
        <stp>VOLUME</stp>
        <stp>.SPX251017P5810</stp>
        <tr r="S92" s="2"/>
      </tp>
      <tp t="s">
        <v>N/A</v>
        <stp/>
        <stp>VOLUME</stp>
        <stp>.SPX250815P5830</stp>
        <tr r="O90" s="2"/>
      </tp>
      <tp t="s">
        <v>N/A</v>
        <stp/>
        <stp>VOLUME</stp>
        <stp>.SPX250815C5820</stp>
        <tr r="O91" s="2"/>
      </tp>
      <tp t="s">
        <v>N/A</v>
        <stp/>
        <stp>VOLUME</stp>
        <stp>.SPX251017C5800</stp>
        <tr r="S93" s="2"/>
      </tp>
      <tp t="s">
        <v>N/A</v>
        <stp/>
        <stp>VOLUME</stp>
        <stp>.SPX251017P5800</stp>
        <tr r="S93" s="2"/>
      </tp>
      <tp t="s">
        <v>N/A</v>
        <stp/>
        <stp>VOLUME</stp>
        <stp>.SPX250815P5820</stp>
        <tr r="O91" s="2"/>
      </tp>
      <tp t="s">
        <v>N/A</v>
        <stp/>
        <stp>VOLUME</stp>
        <stp>.SPX250815C5810</stp>
        <tr r="O92" s="2"/>
      </tp>
      <tp t="s">
        <v>N/A</v>
        <stp/>
        <stp>VOLUME</stp>
        <stp>.SPX251017C5830</stp>
        <tr r="S90" s="2"/>
      </tp>
      <tp t="s">
        <v>N/A</v>
        <stp/>
        <stp>VOLUME</stp>
        <stp>.SPX251017P5830</stp>
        <tr r="S90" s="2"/>
      </tp>
      <tp t="s">
        <v>N/A</v>
        <stp/>
        <stp>VOLUME</stp>
        <stp>.SPX250815P5810</stp>
        <tr r="O92" s="2"/>
      </tp>
      <tp>
        <v>1</v>
        <stp/>
        <stp>VOLUME</stp>
        <stp>.SPX250815C5800</stp>
        <tr r="O93" s="2"/>
        <tr r="O93" s="2"/>
      </tp>
      <tp t="s">
        <v>N/A</v>
        <stp/>
        <stp>VOLUME</stp>
        <stp>.SPX251017C5820</stp>
        <tr r="S91" s="2"/>
      </tp>
      <tp t="s">
        <v>N/A</v>
        <stp/>
        <stp>VOLUME</stp>
        <stp>.SPX251017P5820</stp>
        <tr r="S91" s="2"/>
      </tp>
      <tp t="s">
        <v>N/A</v>
        <stp/>
        <stp>VOLUME</stp>
        <stp>.SPX250815P5800</stp>
        <tr r="O93" s="2"/>
      </tp>
      <tp t="s">
        <v>N/A</v>
        <stp/>
        <stp>VOLUME</stp>
        <stp>.SPX250815C5870</stp>
        <tr r="O86" s="2"/>
      </tp>
      <tp t="s">
        <v>N/A</v>
        <stp/>
        <stp>VOLUME</stp>
        <stp>.SPX251017C5850</stp>
        <tr r="S88" s="2"/>
      </tp>
      <tp t="s">
        <v>N/A</v>
        <stp/>
        <stp>VOLUME</stp>
        <stp>.SPX251017P5850</stp>
        <tr r="S88" s="2"/>
      </tp>
      <tp t="s">
        <v>N/A</v>
        <stp/>
        <stp>VOLUME</stp>
        <stp>.SPX250815P5870</stp>
        <tr r="O86" s="2"/>
      </tp>
      <tp t="s">
        <v>N/A</v>
        <stp/>
        <stp>VOLUME</stp>
        <stp>.SPX250815C5860</stp>
        <tr r="O87" s="2"/>
      </tp>
      <tp t="s">
        <v>N/A</v>
        <stp/>
        <stp>VOLUME</stp>
        <stp>.SPX251017C5840</stp>
        <tr r="S89" s="2"/>
      </tp>
      <tp t="s">
        <v>N/A</v>
        <stp/>
        <stp>VOLUME</stp>
        <stp>.SPX251017P5840</stp>
        <tr r="S89" s="2"/>
      </tp>
      <tp t="s">
        <v>N/A</v>
        <stp/>
        <stp>VOLUME</stp>
        <stp>.SPX250815P5860</stp>
        <tr r="O87" s="2"/>
      </tp>
      <tp t="s">
        <v>N/A</v>
        <stp/>
        <stp>VOLUME</stp>
        <stp>.SPX250815C5850</stp>
        <tr r="O88" s="2"/>
      </tp>
      <tp t="s">
        <v>N/A</v>
        <stp/>
        <stp>VOLUME</stp>
        <stp>.SPX251017C5870</stp>
        <tr r="S86" s="2"/>
      </tp>
      <tp t="s">
        <v>N/A</v>
        <stp/>
        <stp>VOLUME</stp>
        <stp>.SPX251017P5870</stp>
        <tr r="S86" s="2"/>
      </tp>
      <tp t="s">
        <v>N/A</v>
        <stp/>
        <stp>VOLUME</stp>
        <stp>.SPX250815P5850</stp>
        <tr r="O88" s="2"/>
      </tp>
      <tp t="s">
        <v>N/A</v>
        <stp/>
        <stp>VOLUME</stp>
        <stp>.SPX250815C5840</stp>
        <tr r="O89" s="2"/>
      </tp>
      <tp t="s">
        <v>N/A</v>
        <stp/>
        <stp>VOLUME</stp>
        <stp>.SPX251017C5860</stp>
        <tr r="S87" s="2"/>
      </tp>
      <tp t="s">
        <v>N/A</v>
        <stp/>
        <stp>VOLUME</stp>
        <stp>.SPX251017P5860</stp>
        <tr r="S87" s="2"/>
      </tp>
      <tp t="s">
        <v>N/A</v>
        <stp/>
        <stp>VOLUME</stp>
        <stp>.SPX250815P5840</stp>
        <tr r="O89" s="2"/>
      </tp>
      <tp t="s">
        <v>N/A</v>
        <stp/>
        <stp>VOLUME</stp>
        <stp>.SPX250718C5860</stp>
        <tr r="M87" s="2"/>
      </tp>
      <tp t="s">
        <v>N/A</v>
        <stp/>
        <stp>VOLUME</stp>
        <stp>.SPX250919C5870</stp>
        <tr r="Q86" s="2"/>
      </tp>
      <tp t="s">
        <v>N/A</v>
        <stp/>
        <stp>VOLUME</stp>
        <stp>.SPX251219C5870</stp>
        <tr r="W86" s="2"/>
      </tp>
      <tp t="s">
        <v>N/A</v>
        <stp/>
        <stp>VOLUME</stp>
        <stp>.SPX251219P5870</stp>
        <tr r="W86" s="2"/>
      </tp>
      <tp t="s">
        <v>N/A</v>
        <stp/>
        <stp>VOLUME</stp>
        <stp>.SPX250718P5860</stp>
        <tr r="M87" s="2"/>
      </tp>
      <tp t="s">
        <v>N/A</v>
        <stp/>
        <stp>VOLUME</stp>
        <stp>.SPX250919P5870</stp>
        <tr r="Q86" s="2"/>
      </tp>
      <tp t="s">
        <v>N/A</v>
        <stp/>
        <stp>VOLUME</stp>
        <stp>.SPX250718C5870</stp>
        <tr r="M86" s="2"/>
      </tp>
      <tp t="s">
        <v>N/A</v>
        <stp/>
        <stp>VOLUME</stp>
        <stp>.SPX250919C5860</stp>
        <tr r="Q87" s="2"/>
      </tp>
      <tp t="s">
        <v>N/A</v>
        <stp/>
        <stp>VOLUME</stp>
        <stp>.SPX251219C5860</stp>
        <tr r="W87" s="2"/>
      </tp>
      <tp t="s">
        <v>N/A</v>
        <stp/>
        <stp>VOLUME</stp>
        <stp>.SPX251219P5860</stp>
        <tr r="W87" s="2"/>
      </tp>
      <tp t="s">
        <v>N/A</v>
        <stp/>
        <stp>VOLUME</stp>
        <stp>.SPX250718P5870</stp>
        <tr r="M86" s="2"/>
      </tp>
      <tp t="s">
        <v>N/A</v>
        <stp/>
        <stp>VOLUME</stp>
        <stp>.SPX250919P5860</stp>
        <tr r="Q87" s="2"/>
      </tp>
      <tp t="s">
        <v>N/A</v>
        <stp/>
        <stp>VOLUME</stp>
        <stp>.SPX250718C5840</stp>
        <tr r="M89" s="2"/>
      </tp>
      <tp>
        <v>5</v>
        <stp/>
        <stp>VOLUME</stp>
        <stp>.SPX250919C5850</stp>
        <tr r="Q88" s="2"/>
        <tr r="Q88" s="2"/>
      </tp>
      <tp t="s">
        <v>N/A</v>
        <stp/>
        <stp>VOLUME</stp>
        <stp>.SPX251219C5850</stp>
        <tr r="W88" s="2"/>
      </tp>
      <tp t="s">
        <v>N/A</v>
        <stp/>
        <stp>VOLUME</stp>
        <stp>.SPX251219P5850</stp>
        <tr r="W88" s="2"/>
      </tp>
      <tp t="s">
        <v>N/A</v>
        <stp/>
        <stp>VOLUME</stp>
        <stp>.SPX250718P5840</stp>
        <tr r="M89" s="2"/>
      </tp>
      <tp t="s">
        <v>N/A</v>
        <stp/>
        <stp>VOLUME</stp>
        <stp>.SPX250919P5850</stp>
        <tr r="Q88" s="2"/>
      </tp>
      <tp t="s">
        <v>N/A</v>
        <stp/>
        <stp>VOLUME</stp>
        <stp>.SPX250718C5850</stp>
        <tr r="M88" s="2"/>
      </tp>
      <tp t="s">
        <v>N/A</v>
        <stp/>
        <stp>VOLUME</stp>
        <stp>.SPX250919C5840</stp>
        <tr r="Q89" s="2"/>
      </tp>
      <tp t="s">
        <v>N/A</v>
        <stp/>
        <stp>VOLUME</stp>
        <stp>.SPX251219C5840</stp>
        <tr r="W89" s="2"/>
      </tp>
      <tp t="s">
        <v>N/A</v>
        <stp/>
        <stp>VOLUME</stp>
        <stp>.SPX251219P5840</stp>
        <tr r="W89" s="2"/>
      </tp>
      <tp t="s">
        <v>N/A</v>
        <stp/>
        <stp>VOLUME</stp>
        <stp>.SPX250718P5850</stp>
        <tr r="M88" s="2"/>
      </tp>
      <tp t="s">
        <v>N/A</v>
        <stp/>
        <stp>VOLUME</stp>
        <stp>.SPX250919P5840</stp>
        <tr r="Q89" s="2"/>
      </tp>
      <tp t="s">
        <v>N/A</v>
        <stp/>
        <stp>VOLUME</stp>
        <stp>.SPX250718C5820</stp>
        <tr r="M91" s="2"/>
      </tp>
      <tp t="s">
        <v>N/A</v>
        <stp/>
        <stp>VOLUME</stp>
        <stp>.SPX250919C5830</stp>
        <tr r="Q90" s="2"/>
      </tp>
      <tp t="s">
        <v>N/A</v>
        <stp/>
        <stp>VOLUME</stp>
        <stp>.SPX251219C5830</stp>
        <tr r="W90" s="2"/>
      </tp>
      <tp t="s">
        <v>N/A</v>
        <stp/>
        <stp>VOLUME</stp>
        <stp>.SPX251219P5830</stp>
        <tr r="W90" s="2"/>
      </tp>
      <tp t="s">
        <v>N/A</v>
        <stp/>
        <stp>VOLUME</stp>
        <stp>.SPX250718P5820</stp>
        <tr r="M91" s="2"/>
      </tp>
      <tp t="s">
        <v>N/A</v>
        <stp/>
        <stp>VOLUME</stp>
        <stp>.SPX250919P5830</stp>
        <tr r="Q90" s="2"/>
      </tp>
      <tp t="s">
        <v>N/A</v>
        <stp/>
        <stp>VOLUME</stp>
        <stp>.SPX250718C5830</stp>
        <tr r="M90" s="2"/>
      </tp>
      <tp t="s">
        <v>N/A</v>
        <stp/>
        <stp>VOLUME</stp>
        <stp>.SPX250919C5820</stp>
        <tr r="Q91" s="2"/>
      </tp>
      <tp t="s">
        <v>N/A</v>
        <stp/>
        <stp>VOLUME</stp>
        <stp>.SPX251219C5820</stp>
        <tr r="W91" s="2"/>
      </tp>
      <tp t="s">
        <v>N/A</v>
        <stp/>
        <stp>VOLUME</stp>
        <stp>.SPX251219P5820</stp>
        <tr r="W91" s="2"/>
      </tp>
      <tp t="s">
        <v>N/A</v>
        <stp/>
        <stp>VOLUME</stp>
        <stp>.SPX250718P5830</stp>
        <tr r="M90" s="2"/>
      </tp>
      <tp t="s">
        <v>N/A</v>
        <stp/>
        <stp>VOLUME</stp>
        <stp>.SPX250919P5820</stp>
        <tr r="Q91" s="2"/>
      </tp>
      <tp t="s">
        <v>N/A</v>
        <stp/>
        <stp>VOLUME</stp>
        <stp>.SPX250718C5800</stp>
        <tr r="M93" s="2"/>
      </tp>
      <tp t="s">
        <v>N/A</v>
        <stp/>
        <stp>VOLUME</stp>
        <stp>.SPX250919C5810</stp>
        <tr r="Q92" s="2"/>
      </tp>
      <tp t="s">
        <v>N/A</v>
        <stp/>
        <stp>VOLUME</stp>
        <stp>.SPX251219C5810</stp>
        <tr r="W92" s="2"/>
      </tp>
      <tp t="s">
        <v>N/A</v>
        <stp/>
        <stp>VOLUME</stp>
        <stp>.SPX251219P5810</stp>
        <tr r="W92" s="2"/>
      </tp>
      <tp t="s">
        <v>N/A</v>
        <stp/>
        <stp>VOLUME</stp>
        <stp>.SPX250718P5800</stp>
        <tr r="M93" s="2"/>
      </tp>
      <tp t="s">
        <v>N/A</v>
        <stp/>
        <stp>VOLUME</stp>
        <stp>.SPX250919P5810</stp>
        <tr r="Q92" s="2"/>
      </tp>
      <tp t="s">
        <v>N/A</v>
        <stp/>
        <stp>VOLUME</stp>
        <stp>.SPX250718C5810</stp>
        <tr r="M92" s="2"/>
      </tp>
      <tp t="s">
        <v>N/A</v>
        <stp/>
        <stp>VOLUME</stp>
        <stp>.SPX250919C5800</stp>
        <tr r="Q93" s="2"/>
      </tp>
      <tp t="s">
        <v>N/A</v>
        <stp/>
        <stp>VOLUME</stp>
        <stp>.SPX251219C5800</stp>
        <tr r="W93" s="2"/>
      </tp>
      <tp t="s">
        <v>N/A</v>
        <stp/>
        <stp>VOLUME</stp>
        <stp>.SPX251219P5800</stp>
        <tr r="W93" s="2"/>
      </tp>
      <tp t="s">
        <v>N/A</v>
        <stp/>
        <stp>VOLUME</stp>
        <stp>.SPX250718P5810</stp>
        <tr r="M92" s="2"/>
      </tp>
      <tp t="s">
        <v>N/A</v>
        <stp/>
        <stp>VOLUME</stp>
        <stp>.SPX250919P5800</stp>
        <tr r="Q93" s="2"/>
      </tp>
      <tp t="s">
        <v>27.82%</v>
        <stp/>
        <stp>IMPL_VOL</stp>
        <stp>.NDX250516C19900</stp>
        <tr r="EP163" s="1"/>
      </tp>
      <tp t="s">
        <v>27.79%</v>
        <stp/>
        <stp>IMPL_VOL</stp>
        <stp>.NDX250516C19925</stp>
        <tr r="EP162" s="1"/>
      </tp>
      <tp t="s">
        <v>27.71%</v>
        <stp/>
        <stp>IMPL_VOL</stp>
        <stp>.NDX250516C19950</stp>
        <tr r="EP161" s="1"/>
      </tp>
      <tp t="s">
        <v>27.60%</v>
        <stp/>
        <stp>IMPL_VOL</stp>
        <stp>.NDX250516C19975</stp>
        <tr r="EP160" s="1"/>
      </tp>
      <tp t="s">
        <v>29.46%</v>
        <stp/>
        <stp>IMPL_VOL</stp>
        <stp>.NDX250516P19925</stp>
        <tr r="EQ162" s="1"/>
      </tp>
      <tp t="s">
        <v>29.54%</v>
        <stp/>
        <stp>IMPL_VOL</stp>
        <stp>.NDX250516P19900</stp>
        <tr r="EQ163" s="1"/>
      </tp>
      <tp t="s">
        <v>29.33%</v>
        <stp/>
        <stp>IMPL_VOL</stp>
        <stp>.NDX250516P19975</stp>
        <tr r="EQ160" s="1"/>
      </tp>
      <tp t="s">
        <v>29.42%</v>
        <stp/>
        <stp>IMPL_VOL</stp>
        <stp>.NDX250516P19950</stp>
        <tr r="EQ161" s="1"/>
      </tp>
      <tp t="s">
        <v>27.99%</v>
        <stp/>
        <stp>IMPL_VOL</stp>
        <stp>.NDX250516C19800</stp>
        <tr r="EP167" s="1"/>
      </tp>
      <tp t="s">
        <v>28.12%</v>
        <stp/>
        <stp>IMPL_VOL</stp>
        <stp>.NDX250516C19825</stp>
        <tr r="EP166" s="1"/>
      </tp>
      <tp t="s">
        <v>27.94%</v>
        <stp/>
        <stp>IMPL_VOL</stp>
        <stp>.NDX250516C19850</stp>
        <tr r="EP165" s="1"/>
      </tp>
      <tp t="s">
        <v>28.03%</v>
        <stp/>
        <stp>IMPL_VOL</stp>
        <stp>.NDX250516C19875</stp>
        <tr r="EP164" s="1"/>
      </tp>
      <tp t="s">
        <v>29.74%</v>
        <stp/>
        <stp>IMPL_VOL</stp>
        <stp>.NDX250516P19825</stp>
        <tr r="EQ166" s="1"/>
      </tp>
      <tp t="s">
        <v>29.84%</v>
        <stp/>
        <stp>IMPL_VOL</stp>
        <stp>.NDX250516P19800</stp>
        <tr r="EQ167" s="1"/>
      </tp>
      <tp t="s">
        <v>29.65%</v>
        <stp/>
        <stp>IMPL_VOL</stp>
        <stp>.NDX250516P19875</stp>
        <tr r="EQ164" s="1"/>
      </tp>
      <tp t="s">
        <v>29.71%</v>
        <stp/>
        <stp>IMPL_VOL</stp>
        <stp>.NDX250516P19850</stp>
        <tr r="EQ165" s="1"/>
      </tp>
      <tp t="s">
        <v>N/A</v>
        <stp/>
        <stp>VOLUME</stp>
        <stp>.SPX250620C5860</stp>
        <tr r="K87" s="2"/>
      </tp>
      <tp t="s">
        <v>N/A</v>
        <stp/>
        <stp>VOLUME</stp>
        <stp>.SPX250523C5850</stp>
        <tr r="H88" s="2"/>
      </tp>
      <tp t="s">
        <v>N/A</v>
        <stp/>
        <stp>VOLUME</stp>
        <stp>.SPX251121C5870</stp>
        <tr r="U86" s="2"/>
      </tp>
      <tp t="s">
        <v>N/A</v>
        <stp/>
        <stp>VOLUME</stp>
        <stp>.SPX251121P5870</stp>
        <tr r="U86" s="2"/>
      </tp>
      <tp t="s">
        <v>N/A</v>
        <stp/>
        <stp>VOLUME</stp>
        <stp>.SPX250620P5860</stp>
        <tr r="K87" s="2"/>
      </tp>
      <tp t="s">
        <v>N/A</v>
        <stp/>
        <stp>VOLUME</stp>
        <stp>.SPX250523P5850</stp>
        <tr r="H88" s="2"/>
      </tp>
      <tp t="s">
        <v>N/A</v>
        <stp/>
        <stp>VOLUME</stp>
        <stp>.SPX250620C5870</stp>
        <tr r="K86" s="2"/>
      </tp>
      <tp t="s">
        <v>N/A</v>
        <stp/>
        <stp>VOLUME</stp>
        <stp>.SPX250523C5840</stp>
        <tr r="H89" s="2"/>
      </tp>
      <tp t="s">
        <v>N/A</v>
        <stp/>
        <stp>VOLUME</stp>
        <stp>.SPX251121C5860</stp>
        <tr r="U87" s="2"/>
      </tp>
      <tp t="s">
        <v>N/A</v>
        <stp/>
        <stp>VOLUME</stp>
        <stp>.SPX251121P5860</stp>
        <tr r="U87" s="2"/>
      </tp>
      <tp t="s">
        <v>N/A</v>
        <stp/>
        <stp>VOLUME</stp>
        <stp>.SPX250620P5870</stp>
        <tr r="K86" s="2"/>
      </tp>
      <tp t="s">
        <v>N/A</v>
        <stp/>
        <stp>VOLUME</stp>
        <stp>.SPX250523P5840</stp>
        <tr r="H89" s="2"/>
      </tp>
      <tp t="s">
        <v>N/A</v>
        <stp/>
        <stp>VOLUME</stp>
        <stp>.SPX250620C5840</stp>
        <tr r="K89" s="2"/>
      </tp>
      <tp t="s">
        <v>N/A</v>
        <stp/>
        <stp>VOLUME</stp>
        <stp>.SPX250523C5870</stp>
        <tr r="H86" s="2"/>
      </tp>
      <tp t="s">
        <v>N/A</v>
        <stp/>
        <stp>VOLUME</stp>
        <stp>.SPX251121C5850</stp>
        <tr r="U88" s="2"/>
      </tp>
      <tp t="s">
        <v>N/A</v>
        <stp/>
        <stp>VOLUME</stp>
        <stp>.SPX251121P5850</stp>
        <tr r="U88" s="2"/>
      </tp>
      <tp t="s">
        <v>N/A</v>
        <stp/>
        <stp>VOLUME</stp>
        <stp>.SPX250620P5840</stp>
        <tr r="K89" s="2"/>
      </tp>
      <tp t="s">
        <v>N/A</v>
        <stp/>
        <stp>VOLUME</stp>
        <stp>.SPX250523P5870</stp>
        <tr r="H86" s="2"/>
      </tp>
      <tp t="s">
        <v>N/A</v>
        <stp/>
        <stp>VOLUME</stp>
        <stp>.SPX250620C5850</stp>
        <tr r="K88" s="2"/>
      </tp>
      <tp t="s">
        <v>N/A</v>
        <stp/>
        <stp>VOLUME</stp>
        <stp>.SPX250523C5860</stp>
        <tr r="H87" s="2"/>
      </tp>
      <tp t="s">
        <v>N/A</v>
        <stp/>
        <stp>VOLUME</stp>
        <stp>.SPX251121C5840</stp>
        <tr r="U89" s="2"/>
      </tp>
      <tp t="s">
        <v>N/A</v>
        <stp/>
        <stp>VOLUME</stp>
        <stp>.SPX251121P5840</stp>
        <tr r="U89" s="2"/>
      </tp>
      <tp t="s">
        <v>N/A</v>
        <stp/>
        <stp>VOLUME</stp>
        <stp>.SPX250620P5850</stp>
        <tr r="K88" s="2"/>
      </tp>
      <tp t="s">
        <v>N/A</v>
        <stp/>
        <stp>VOLUME</stp>
        <stp>.SPX250523P5860</stp>
        <tr r="H87" s="2"/>
      </tp>
      <tp t="s">
        <v>N/A</v>
        <stp/>
        <stp>VOLUME</stp>
        <stp>.SPX250620C5820</stp>
        <tr r="K91" s="2"/>
      </tp>
      <tp t="s">
        <v>N/A</v>
        <stp/>
        <stp>VOLUME</stp>
        <stp>.SPX250523C5810</stp>
        <tr r="H92" s="2"/>
      </tp>
      <tp t="s">
        <v>N/A</v>
        <stp/>
        <stp>VOLUME</stp>
        <stp>.SPX251121C5830</stp>
        <tr r="U90" s="2"/>
      </tp>
      <tp t="s">
        <v>N/A</v>
        <stp/>
        <stp>VOLUME</stp>
        <stp>.SPX251121P5830</stp>
        <tr r="U90" s="2"/>
      </tp>
      <tp t="s">
        <v>N/A</v>
        <stp/>
        <stp>VOLUME</stp>
        <stp>.SPX250620P5820</stp>
        <tr r="K91" s="2"/>
      </tp>
      <tp t="s">
        <v>N/A</v>
        <stp/>
        <stp>VOLUME</stp>
        <stp>.SPX250523P5810</stp>
        <tr r="H92" s="2"/>
      </tp>
      <tp t="s">
        <v>N/A</v>
        <stp/>
        <stp>VOLUME</stp>
        <stp>.SPX250620C5830</stp>
        <tr r="K90" s="2"/>
      </tp>
      <tp t="s">
        <v>N/A</v>
        <stp/>
        <stp>VOLUME</stp>
        <stp>.SPX250523C5800</stp>
        <tr r="H93" s="2"/>
      </tp>
      <tp t="s">
        <v>N/A</v>
        <stp/>
        <stp>VOLUME</stp>
        <stp>.SPX251121C5820</stp>
        <tr r="U91" s="2"/>
      </tp>
      <tp t="s">
        <v>N/A</v>
        <stp/>
        <stp>VOLUME</stp>
        <stp>.SPX251121P5820</stp>
        <tr r="U91" s="2"/>
      </tp>
      <tp t="s">
        <v>N/A</v>
        <stp/>
        <stp>VOLUME</stp>
        <stp>.SPX250620P5830</stp>
        <tr r="K90" s="2"/>
      </tp>
      <tp t="s">
        <v>N/A</v>
        <stp/>
        <stp>VOLUME</stp>
        <stp>.SPX250523P5800</stp>
        <tr r="H93" s="2"/>
      </tp>
      <tp t="s">
        <v>N/A</v>
        <stp/>
        <stp>VOLUME</stp>
        <stp>.SPX250620C5800</stp>
        <tr r="K93" s="2"/>
      </tp>
      <tp t="s">
        <v>N/A</v>
        <stp/>
        <stp>VOLUME</stp>
        <stp>.SPX250523C5830</stp>
        <tr r="H90" s="2"/>
      </tp>
      <tp t="s">
        <v>N/A</v>
        <stp/>
        <stp>VOLUME</stp>
        <stp>.SPX251121C5810</stp>
        <tr r="U92" s="2"/>
      </tp>
      <tp t="s">
        <v>N/A</v>
        <stp/>
        <stp>VOLUME</stp>
        <stp>.SPX251121P5810</stp>
        <tr r="U92" s="2"/>
      </tp>
      <tp t="s">
        <v>N/A</v>
        <stp/>
        <stp>VOLUME</stp>
        <stp>.SPX250620P5800</stp>
        <tr r="K93" s="2"/>
      </tp>
      <tp t="s">
        <v>N/A</v>
        <stp/>
        <stp>VOLUME</stp>
        <stp>.SPX250523P5830</stp>
        <tr r="H90" s="2"/>
      </tp>
      <tp t="s">
        <v>N/A</v>
        <stp/>
        <stp>VOLUME</stp>
        <stp>.SPX250620C5810</stp>
        <tr r="K92" s="2"/>
      </tp>
      <tp t="s">
        <v>N/A</v>
        <stp/>
        <stp>VOLUME</stp>
        <stp>.SPX250523C5820</stp>
        <tr r="H91" s="2"/>
      </tp>
      <tp t="s">
        <v>N/A</v>
        <stp/>
        <stp>VOLUME</stp>
        <stp>.SPX251121C5800</stp>
        <tr r="U93" s="2"/>
      </tp>
      <tp t="s">
        <v>N/A</v>
        <stp/>
        <stp>VOLUME</stp>
        <stp>.SPX251121P5800</stp>
        <tr r="U93" s="2"/>
      </tp>
      <tp t="s">
        <v>N/A</v>
        <stp/>
        <stp>VOLUME</stp>
        <stp>.SPX250620P5810</stp>
        <tr r="K92" s="2"/>
      </tp>
      <tp t="s">
        <v>N/A</v>
        <stp/>
        <stp>VOLUME</stp>
        <stp>.SPX250523P5820</stp>
        <tr r="H91" s="2"/>
      </tp>
      <tp>
        <v>1145</v>
        <stp/>
        <stp>OPEN_INT</stp>
        <stp>.SPXW250508C5790</stp>
        <tr r="AS93" s="1"/>
        <tr r="AS93" s="1"/>
      </tp>
      <tp>
        <v>1006</v>
        <stp/>
        <stp>OPEN_INT</stp>
        <stp>.SPXW250509C5780</stp>
        <tr r="AU94" s="1"/>
        <tr r="AU94" s="1"/>
      </tp>
      <tp>
        <v>150</v>
        <stp/>
        <stp>OPEN_INT</stp>
        <stp>.SPXW250516C5670</stp>
        <tr r="AW105" s="1"/>
        <tr r="AW105" s="1"/>
      </tp>
      <tp>
        <v>17</v>
        <stp/>
        <stp>OPEN_INT</stp>
        <stp>.SPXW250508P5790</stp>
        <tr r="AT93" s="1"/>
        <tr r="AT93" s="1"/>
      </tp>
      <tp>
        <v>86</v>
        <stp/>
        <stp>OPEN_INT</stp>
        <stp>.SPXW250509P5780</stp>
        <tr r="AV94" s="1"/>
        <tr r="AV94" s="1"/>
      </tp>
      <tp>
        <v>532</v>
        <stp/>
        <stp>OPEN_INT</stp>
        <stp>.SPXW250516P5670</stp>
        <tr r="AX105" s="1"/>
        <tr r="AX105" s="1"/>
      </tp>
      <tp>
        <v>1439</v>
        <stp/>
        <stp>OPEN_INT</stp>
        <stp>.SPXW250508C5780</stp>
        <tr r="AS94" s="1"/>
        <tr r="AS94" s="1"/>
      </tp>
      <tp>
        <v>1853</v>
        <stp/>
        <stp>OPEN_INT</stp>
        <stp>.SPXW250509C5790</stp>
        <tr r="AU93" s="1"/>
        <tr r="AU93" s="1"/>
      </tp>
      <tp>
        <v>475</v>
        <stp/>
        <stp>OPEN_INT</stp>
        <stp>.SPXW250516C5660</stp>
        <tr r="AW106" s="1"/>
        <tr r="AW106" s="1"/>
      </tp>
      <tp>
        <v>11</v>
        <stp/>
        <stp>OPEN_INT</stp>
        <stp>.SPXW250508P5780</stp>
        <tr r="AT94" s="1"/>
        <tr r="AT94" s="1"/>
      </tp>
      <tp>
        <v>562</v>
        <stp/>
        <stp>OPEN_INT</stp>
        <stp>.SPXW250509P5790</stp>
        <tr r="AV93" s="1"/>
        <tr r="AV93" s="1"/>
      </tp>
      <tp>
        <v>366</v>
        <stp/>
        <stp>OPEN_INT</stp>
        <stp>.SPXW250516P5660</stp>
        <tr r="AX106" s="1"/>
        <tr r="AX106" s="1"/>
      </tp>
      <tp>
        <v>892</v>
        <stp/>
        <stp>OPEN_INT</stp>
        <stp>.SPXW250516C5650</stp>
        <tr r="AW107" s="1"/>
        <tr r="AW107" s="1"/>
      </tp>
      <tp>
        <v>871</v>
        <stp/>
        <stp>OPEN_INT</stp>
        <stp>.SPXW250516P5650</stp>
        <tr r="AX107" s="1"/>
        <tr r="AX107" s="1"/>
      </tp>
      <tp>
        <v>731</v>
        <stp/>
        <stp>OPEN_INT</stp>
        <stp>.SPXW250516C5640</stp>
        <tr r="AW108" s="1"/>
        <tr r="AW108" s="1"/>
      </tp>
      <tp>
        <v>944</v>
        <stp/>
        <stp>OPEN_INT</stp>
        <stp>.SPXW250516P5640</stp>
        <tr r="AX108" s="1"/>
        <tr r="AX108" s="1"/>
      </tp>
      <tp>
        <v>380</v>
        <stp/>
        <stp>OPEN_INT</stp>
        <stp>.SPXW250516C5630</stp>
        <tr r="AW109" s="1"/>
        <tr r="AW109" s="1"/>
      </tp>
      <tp>
        <v>1110</v>
        <stp/>
        <stp>OPEN_INT</stp>
        <stp>.SPXW250516P5630</stp>
        <tr r="AX109" s="1"/>
        <tr r="AX109" s="1"/>
      </tp>
      <tp>
        <v>619</v>
        <stp/>
        <stp>OPEN_INT</stp>
        <stp>.SPXW250516C5620</stp>
        <tr r="AW110" s="1"/>
        <tr r="AW110" s="1"/>
      </tp>
      <tp>
        <v>777</v>
        <stp/>
        <stp>OPEN_INT</stp>
        <stp>.SPXW250516P5620</stp>
        <tr r="AX110" s="1"/>
        <tr r="AX110" s="1"/>
      </tp>
      <tp>
        <v>1209</v>
        <stp/>
        <stp>OPEN_INT</stp>
        <stp>.SPXW250516C5610</stp>
        <tr r="AW111" s="1"/>
        <tr r="AW111" s="1"/>
      </tp>
      <tp>
        <v>465</v>
        <stp/>
        <stp>OPEN_INT</stp>
        <stp>.SPXW250516P5610</stp>
        <tr r="AX111" s="1"/>
        <tr r="AX111" s="1"/>
      </tp>
      <tp>
        <v>3152</v>
        <stp/>
        <stp>OPEN_INT</stp>
        <stp>.SPXW250516C5600</stp>
        <tr r="AW112" s="1"/>
        <tr r="AW112" s="1"/>
      </tp>
      <tp>
        <v>2122</v>
        <stp/>
        <stp>OPEN_INT</stp>
        <stp>.SPXW250516P5600</stp>
        <tr r="AX112" s="1"/>
        <tr r="AX112" s="1"/>
      </tp>
      <tp>
        <v>851</v>
        <stp/>
        <stp>OPEN_INT</stp>
        <stp>.SPXW250508C5710</stp>
        <tr r="AS101" s="1"/>
        <tr r="AS101" s="1"/>
      </tp>
      <tp>
        <v>3989</v>
        <stp/>
        <stp>OPEN_INT</stp>
        <stp>.SPXW250509C5700</stp>
        <tr r="AU102" s="1"/>
        <tr r="AU102" s="1"/>
      </tp>
      <tp>
        <v>38</v>
        <stp/>
        <stp>OPEN_INT</stp>
        <stp>.SPXW250508P5710</stp>
        <tr r="AT101" s="1"/>
        <tr r="AT101" s="1"/>
      </tp>
      <tp>
        <v>1922</v>
        <stp/>
        <stp>OPEN_INT</stp>
        <stp>.SPXW250509P5700</stp>
        <tr r="AV102" s="1"/>
        <tr r="AV102" s="1"/>
      </tp>
      <tp>
        <v>2458</v>
        <stp/>
        <stp>OPEN_INT</stp>
        <stp>.SPXW250508C5700</stp>
        <tr r="AS102" s="1"/>
        <tr r="AS102" s="1"/>
      </tp>
      <tp>
        <v>2369</v>
        <stp/>
        <stp>OPEN_INT</stp>
        <stp>.SPXW250509C5710</stp>
        <tr r="AU101" s="1"/>
        <tr r="AU101" s="1"/>
      </tp>
      <tp>
        <v>160</v>
        <stp/>
        <stp>OPEN_INT</stp>
        <stp>.SPXW250508P5700</stp>
        <tr r="AT102" s="1"/>
        <tr r="AT102" s="1"/>
      </tp>
      <tp>
        <v>813</v>
        <stp/>
        <stp>OPEN_INT</stp>
        <stp>.SPXW250509P5710</stp>
        <tr r="AV101" s="1"/>
        <tr r="AV101" s="1"/>
      </tp>
      <tp>
        <v>704</v>
        <stp/>
        <stp>OPEN_INT</stp>
        <stp>.SPXW250508C5730</stp>
        <tr r="AS99" s="1"/>
        <tr r="AS99" s="1"/>
      </tp>
      <tp t="s">
        <v>N/A</v>
        <stp/>
        <stp>OPEN_INT</stp>
        <stp>.SPXW250509C5720</stp>
        <tr r="AU100" s="1"/>
      </tp>
      <tp>
        <v>50</v>
        <stp/>
        <stp>OPEN_INT</stp>
        <stp>.SPXW250508P5730</stp>
        <tr r="AT99" s="1"/>
        <tr r="AT99" s="1"/>
      </tp>
      <tp t="s">
        <v>N/A</v>
        <stp/>
        <stp>OPEN_INT</stp>
        <stp>.SPXW250509P5720</stp>
        <tr r="AV100" s="1"/>
      </tp>
      <tp>
        <v>923</v>
        <stp/>
        <stp>OPEN_INT</stp>
        <stp>.SPXW250508C5720</stp>
        <tr r="AS100" s="1"/>
        <tr r="AS100" s="1"/>
      </tp>
      <tp>
        <v>1117</v>
        <stp/>
        <stp>OPEN_INT</stp>
        <stp>.SPXW250509C5730</stp>
        <tr r="AU99" s="1"/>
        <tr r="AU99" s="1"/>
      </tp>
      <tp>
        <v>34</v>
        <stp/>
        <stp>OPEN_INT</stp>
        <stp>.SPXW250508P5720</stp>
        <tr r="AT100" s="1"/>
        <tr r="AT100" s="1"/>
      </tp>
      <tp>
        <v>202</v>
        <stp/>
        <stp>OPEN_INT</stp>
        <stp>.SPXW250509P5730</stp>
        <tr r="AV99" s="1"/>
        <tr r="AV99" s="1"/>
      </tp>
      <tp>
        <v>2108</v>
        <stp/>
        <stp>OPEN_INT</stp>
        <stp>.SPXW250508C5750</stp>
        <tr r="AS97" s="1"/>
        <tr r="AS97" s="1"/>
      </tp>
      <tp>
        <v>1602</v>
        <stp/>
        <stp>OPEN_INT</stp>
        <stp>.SPXW250509C5740</stp>
        <tr r="AU98" s="1"/>
        <tr r="AU98" s="1"/>
      </tp>
      <tp>
        <v>766</v>
        <stp/>
        <stp>OPEN_INT</stp>
        <stp>.SPXW250508P5750</stp>
        <tr r="AT97" s="1"/>
        <tr r="AT97" s="1"/>
      </tp>
      <tp>
        <v>139</v>
        <stp/>
        <stp>OPEN_INT</stp>
        <stp>.SPXW250509P5740</stp>
        <tr r="AV98" s="1"/>
        <tr r="AV98" s="1"/>
      </tp>
      <tp>
        <v>2064</v>
        <stp/>
        <stp>OPEN_INT</stp>
        <stp>.SPXW250508C5740</stp>
        <tr r="AS98" s="1"/>
        <tr r="AS98" s="1"/>
      </tp>
      <tp>
        <v>3846</v>
        <stp/>
        <stp>OPEN_INT</stp>
        <stp>.SPXW250509C5750</stp>
        <tr r="AU97" s="1"/>
        <tr r="AU97" s="1"/>
      </tp>
      <tp>
        <v>98</v>
        <stp/>
        <stp>OPEN_INT</stp>
        <stp>.SPXW250508P5740</stp>
        <tr r="AT98" s="1"/>
        <tr r="AT98" s="1"/>
      </tp>
      <tp>
        <v>496</v>
        <stp/>
        <stp>OPEN_INT</stp>
        <stp>.SPXW250509P5750</stp>
        <tr r="AV97" s="1"/>
        <tr r="AV97" s="1"/>
      </tp>
      <tp>
        <v>480</v>
        <stp/>
        <stp>OPEN_INT</stp>
        <stp>.SPXW250508C5770</stp>
        <tr r="AS95" s="1"/>
        <tr r="AS95" s="1"/>
      </tp>
      <tp>
        <v>2655</v>
        <stp/>
        <stp>OPEN_INT</stp>
        <stp>.SPXW250509C5760</stp>
        <tr r="AU96" s="1"/>
        <tr r="AU96" s="1"/>
      </tp>
      <tp>
        <v>563</v>
        <stp/>
        <stp>OPEN_INT</stp>
        <stp>.SPXW250516C5690</stp>
        <tr r="AW103" s="1"/>
        <tr r="AW103" s="1"/>
      </tp>
      <tp>
        <v>361</v>
        <stp/>
        <stp>OPEN_INT</stp>
        <stp>.SPXW250508P5770</stp>
        <tr r="AT95" s="1"/>
        <tr r="AT95" s="1"/>
      </tp>
      <tp>
        <v>310</v>
        <stp/>
        <stp>OPEN_INT</stp>
        <stp>.SPXW250509P5760</stp>
        <tr r="AV96" s="1"/>
        <tr r="AV96" s="1"/>
      </tp>
      <tp>
        <v>298</v>
        <stp/>
        <stp>OPEN_INT</stp>
        <stp>.SPXW250516P5690</stp>
        <tr r="AX103" s="1"/>
        <tr r="AX103" s="1"/>
      </tp>
      <tp>
        <v>1035</v>
        <stp/>
        <stp>OPEN_INT</stp>
        <stp>.SPXW250508C5760</stp>
        <tr r="AS96" s="1"/>
        <tr r="AS96" s="1"/>
      </tp>
      <tp>
        <v>1391</v>
        <stp/>
        <stp>OPEN_INT</stp>
        <stp>.SPXW250509C5770</stp>
        <tr r="AU95" s="1"/>
        <tr r="AU95" s="1"/>
      </tp>
      <tp>
        <v>564</v>
        <stp/>
        <stp>OPEN_INT</stp>
        <stp>.SPXW250516C5680</stp>
        <tr r="AW104" s="1"/>
        <tr r="AW104" s="1"/>
      </tp>
      <tp>
        <v>423</v>
        <stp/>
        <stp>OPEN_INT</stp>
        <stp>.SPXW250508P5760</stp>
        <tr r="AT96" s="1"/>
        <tr r="AT96" s="1"/>
      </tp>
      <tp>
        <v>369</v>
        <stp/>
        <stp>OPEN_INT</stp>
        <stp>.SPXW250509P5770</stp>
        <tr r="AV95" s="1"/>
        <tr r="AV95" s="1"/>
      </tp>
      <tp>
        <v>755</v>
        <stp/>
        <stp>OPEN_INT</stp>
        <stp>.SPXW250516P5680</stp>
        <tr r="AX104" s="1"/>
        <tr r="AX104" s="1"/>
      </tp>
      <tp>
        <v>909</v>
        <stp/>
        <stp>OPEN_INT</stp>
        <stp>.SPXW250508C5690</stp>
        <tr r="AS103" s="1"/>
        <tr r="AS103" s="1"/>
      </tp>
      <tp>
        <v>3536</v>
        <stp/>
        <stp>OPEN_INT</stp>
        <stp>.SPXW250509C5680</stp>
        <tr r="AU104" s="1"/>
        <tr r="AU104" s="1"/>
      </tp>
      <tp>
        <v>409</v>
        <stp/>
        <stp>OPEN_INT</stp>
        <stp>.SPXW250516C5770</stp>
        <tr r="AW95" s="1"/>
        <tr r="AW95" s="1"/>
      </tp>
      <tp>
        <v>99</v>
        <stp/>
        <stp>OPEN_INT</stp>
        <stp>.SPXW250508P5690</stp>
        <tr r="AT103" s="1"/>
        <tr r="AT103" s="1"/>
      </tp>
      <tp>
        <v>581</v>
        <stp/>
        <stp>OPEN_INT</stp>
        <stp>.SPXW250509P5680</stp>
        <tr r="AV104" s="1"/>
        <tr r="AV104" s="1"/>
      </tp>
      <tp>
        <v>203</v>
        <stp/>
        <stp>OPEN_INT</stp>
        <stp>.SPXW250516P5770</stp>
        <tr r="AX95" s="1"/>
        <tr r="AX95" s="1"/>
      </tp>
      <tp>
        <v>605</v>
        <stp/>
        <stp>OPEN_INT</stp>
        <stp>.SPXW250508C5680</stp>
        <tr r="AS104" s="1"/>
        <tr r="AS104" s="1"/>
      </tp>
      <tp>
        <v>1409</v>
        <stp/>
        <stp>OPEN_INT</stp>
        <stp>.SPXW250509C5690</stp>
        <tr r="AU103" s="1"/>
        <tr r="AU103" s="1"/>
      </tp>
      <tp>
        <v>460</v>
        <stp/>
        <stp>OPEN_INT</stp>
        <stp>.SPXW250516C5760</stp>
        <tr r="AW96" s="1"/>
        <tr r="AW96" s="1"/>
      </tp>
      <tp>
        <v>93</v>
        <stp/>
        <stp>OPEN_INT</stp>
        <stp>.SPXW250508P5680</stp>
        <tr r="AT104" s="1"/>
        <tr r="AT104" s="1"/>
      </tp>
      <tp>
        <v>492</v>
        <stp/>
        <stp>OPEN_INT</stp>
        <stp>.SPXW250509P5690</stp>
        <tr r="AV103" s="1"/>
        <tr r="AV103" s="1"/>
      </tp>
      <tp>
        <v>348</v>
        <stp/>
        <stp>OPEN_INT</stp>
        <stp>.SPXW250516P5760</stp>
        <tr r="AX96" s="1"/>
        <tr r="AX96" s="1"/>
      </tp>
      <tp>
        <v>2542</v>
        <stp/>
        <stp>OPEN_INT</stp>
        <stp>.SPXW250516C5750</stp>
        <tr r="AW97" s="1"/>
        <tr r="AW97" s="1"/>
      </tp>
      <tp>
        <v>345</v>
        <stp/>
        <stp>OPEN_INT</stp>
        <stp>.SPXW250516P5750</stp>
        <tr r="AX97" s="1"/>
        <tr r="AX97" s="1"/>
      </tp>
      <tp>
        <v>361</v>
        <stp/>
        <stp>OPEN_INT</stp>
        <stp>.SPXW250516C5740</stp>
        <tr r="AW98" s="1"/>
        <tr r="AW98" s="1"/>
      </tp>
      <tp>
        <v>190</v>
        <stp/>
        <stp>OPEN_INT</stp>
        <stp>.SPXW250516P5740</stp>
        <tr r="AX98" s="1"/>
        <tr r="AX98" s="1"/>
      </tp>
      <tp>
        <v>354</v>
        <stp/>
        <stp>OPEN_INT</stp>
        <stp>.SPXW250516C5730</stp>
        <tr r="AW99" s="1"/>
        <tr r="AW99" s="1"/>
      </tp>
      <tp>
        <v>106</v>
        <stp/>
        <stp>OPEN_INT</stp>
        <stp>.SPXW250516P5730</stp>
        <tr r="AX99" s="1"/>
        <tr r="AX99" s="1"/>
      </tp>
      <tp>
        <v>475</v>
        <stp/>
        <stp>OPEN_INT</stp>
        <stp>.SPXW250516C5720</stp>
        <tr r="AW100" s="1"/>
        <tr r="AW100" s="1"/>
      </tp>
      <tp>
        <v>198</v>
        <stp/>
        <stp>OPEN_INT</stp>
        <stp>.SPXW250516P5720</stp>
        <tr r="AX100" s="1"/>
        <tr r="AX100" s="1"/>
      </tp>
      <tp>
        <v>858</v>
        <stp/>
        <stp>OPEN_INT</stp>
        <stp>.SPXW250516C5710</stp>
        <tr r="AW101" s="1"/>
        <tr r="AW101" s="1"/>
      </tp>
      <tp>
        <v>590</v>
        <stp/>
        <stp>OPEN_INT</stp>
        <stp>.SPXW250516P5710</stp>
        <tr r="AX101" s="1"/>
        <tr r="AX101" s="1"/>
      </tp>
      <tp>
        <v>3560</v>
        <stp/>
        <stp>OPEN_INT</stp>
        <stp>.SPXW250516C5700</stp>
        <tr r="AW102" s="1"/>
        <tr r="AW102" s="1"/>
      </tp>
      <tp>
        <v>6254</v>
        <stp/>
        <stp>OPEN_INT</stp>
        <stp>.SPXW250516P5700</stp>
        <tr r="AX102" s="1"/>
        <tr r="AX102" s="1"/>
      </tp>
      <tp>
        <v>1411</v>
        <stp/>
        <stp>OPEN_INT</stp>
        <stp>.SPXW250508C5610</stp>
        <tr r="AS111" s="1"/>
        <tr r="AS111" s="1"/>
      </tp>
      <tp>
        <v>2808</v>
        <stp/>
        <stp>OPEN_INT</stp>
        <stp>.SPXW250509C5600</stp>
        <tr r="AU112" s="1"/>
        <tr r="AU112" s="1"/>
      </tp>
      <tp>
        <v>1547</v>
        <stp/>
        <stp>OPEN_INT</stp>
        <stp>.SPXW250508P5610</stp>
        <tr r="AT111" s="1"/>
        <tr r="AT111" s="1"/>
      </tp>
      <tp>
        <v>4717</v>
        <stp/>
        <stp>OPEN_INT</stp>
        <stp>.SPXW250509P5600</stp>
        <tr r="AV112" s="1"/>
        <tr r="AV112" s="1"/>
      </tp>
      <tp>
        <v>2248</v>
        <stp/>
        <stp>OPEN_INT</stp>
        <stp>.SPXW250508C5600</stp>
        <tr r="AS112" s="1"/>
        <tr r="AS112" s="1"/>
      </tp>
      <tp>
        <v>675</v>
        <stp/>
        <stp>OPEN_INT</stp>
        <stp>.SPXW250509C5610</stp>
        <tr r="AU111" s="1"/>
        <tr r="AU111" s="1"/>
      </tp>
      <tp>
        <v>2487</v>
        <stp/>
        <stp>OPEN_INT</stp>
        <stp>.SPXW250508P5600</stp>
        <tr r="AT112" s="1"/>
        <tr r="AT112" s="1"/>
      </tp>
      <tp>
        <v>1105</v>
        <stp/>
        <stp>OPEN_INT</stp>
        <stp>.SPXW250509P5610</stp>
        <tr r="AV111" s="1"/>
        <tr r="AV111" s="1"/>
      </tp>
      <tp>
        <v>1324</v>
        <stp/>
        <stp>OPEN_INT</stp>
        <stp>.SPXW250508C5630</stp>
        <tr r="AS109" s="1"/>
        <tr r="AS109" s="1"/>
      </tp>
      <tp>
        <v>1685</v>
        <stp/>
        <stp>OPEN_INT</stp>
        <stp>.SPXW250509C5620</stp>
        <tr r="AU110" s="1"/>
        <tr r="AU110" s="1"/>
      </tp>
      <tp>
        <v>1816</v>
        <stp/>
        <stp>OPEN_INT</stp>
        <stp>.SPXW250508P5630</stp>
        <tr r="AT109" s="1"/>
        <tr r="AT109" s="1"/>
      </tp>
      <tp>
        <v>2334</v>
        <stp/>
        <stp>OPEN_INT</stp>
        <stp>.SPXW250509P5620</stp>
        <tr r="AV110" s="1"/>
        <tr r="AV110" s="1"/>
      </tp>
      <tp>
        <v>407</v>
        <stp/>
        <stp>OPEN_INT</stp>
        <stp>.SPXW250508C5620</stp>
        <tr r="AS110" s="1"/>
        <tr r="AS110" s="1"/>
      </tp>
      <tp>
        <v>1052</v>
        <stp/>
        <stp>OPEN_INT</stp>
        <stp>.SPXW250509C5630</stp>
        <tr r="AU109" s="1"/>
        <tr r="AU109" s="1"/>
      </tp>
      <tp>
        <v>799</v>
        <stp/>
        <stp>OPEN_INT</stp>
        <stp>.SPXW250508P5620</stp>
        <tr r="AT110" s="1"/>
        <tr r="AT110" s="1"/>
      </tp>
      <tp>
        <v>1204</v>
        <stp/>
        <stp>OPEN_INT</stp>
        <stp>.SPXW250509P5630</stp>
        <tr r="AV109" s="1"/>
        <tr r="AV109" s="1"/>
      </tp>
      <tp>
        <v>2291</v>
        <stp/>
        <stp>OPEN_INT</stp>
        <stp>.SPXW250508C5650</stp>
        <tr r="AS107" s="1"/>
        <tr r="AS107" s="1"/>
      </tp>
      <tp>
        <v>1190</v>
        <stp/>
        <stp>OPEN_INT</stp>
        <stp>.SPXW250509C5640</stp>
        <tr r="AU108" s="1"/>
        <tr r="AU108" s="1"/>
      </tp>
      <tp>
        <v>932</v>
        <stp/>
        <stp>OPEN_INT</stp>
        <stp>.SPXW250508P5650</stp>
        <tr r="AT107" s="1"/>
        <tr r="AT107" s="1"/>
      </tp>
      <tp>
        <v>844</v>
        <stp/>
        <stp>OPEN_INT</stp>
        <stp>.SPXW250509P5640</stp>
        <tr r="AV108" s="1"/>
        <tr r="AV108" s="1"/>
      </tp>
      <tp>
        <v>1214</v>
        <stp/>
        <stp>OPEN_INT</stp>
        <stp>.SPXW250508C5640</stp>
        <tr r="AS108" s="1"/>
        <tr r="AS108" s="1"/>
      </tp>
      <tp>
        <v>3508</v>
        <stp/>
        <stp>OPEN_INT</stp>
        <stp>.SPXW250509C5650</stp>
        <tr r="AU107" s="1"/>
        <tr r="AU107" s="1"/>
      </tp>
      <tp>
        <v>725</v>
        <stp/>
        <stp>OPEN_INT</stp>
        <stp>.SPXW250508P5640</stp>
        <tr r="AT108" s="1"/>
        <tr r="AT108" s="1"/>
      </tp>
      <tp>
        <v>3195</v>
        <stp/>
        <stp>OPEN_INT</stp>
        <stp>.SPXW250509P5650</stp>
        <tr r="AV107" s="1"/>
        <tr r="AV107" s="1"/>
      </tp>
      <tp>
        <v>599</v>
        <stp/>
        <stp>OPEN_INT</stp>
        <stp>.SPXW250508C5670</stp>
        <tr r="AS105" s="1"/>
        <tr r="AS105" s="1"/>
      </tp>
      <tp>
        <v>1391</v>
        <stp/>
        <stp>OPEN_INT</stp>
        <stp>.SPXW250509C5660</stp>
        <tr r="AU106" s="1"/>
        <tr r="AU106" s="1"/>
      </tp>
      <tp>
        <v>676</v>
        <stp/>
        <stp>OPEN_INT</stp>
        <stp>.SPXW250516C5790</stp>
        <tr r="AW93" s="1"/>
        <tr r="AW93" s="1"/>
      </tp>
      <tp>
        <v>410</v>
        <stp/>
        <stp>OPEN_INT</stp>
        <stp>.SPXW250508P5670</stp>
        <tr r="AT105" s="1"/>
        <tr r="AT105" s="1"/>
      </tp>
      <tp>
        <v>1440</v>
        <stp/>
        <stp>OPEN_INT</stp>
        <stp>.SPXW250509P5660</stp>
        <tr r="AV106" s="1"/>
        <tr r="AV106" s="1"/>
      </tp>
      <tp>
        <v>208</v>
        <stp/>
        <stp>OPEN_INT</stp>
        <stp>.SPXW250516P5790</stp>
        <tr r="AX93" s="1"/>
        <tr r="AX93" s="1"/>
      </tp>
      <tp>
        <v>715</v>
        <stp/>
        <stp>OPEN_INT</stp>
        <stp>.SPXW250508C5660</stp>
        <tr r="AS106" s="1"/>
        <tr r="AS106" s="1"/>
      </tp>
      <tp>
        <v>897</v>
        <stp/>
        <stp>OPEN_INT</stp>
        <stp>.SPXW250509C5670</stp>
        <tr r="AU105" s="1"/>
        <tr r="AU105" s="1"/>
      </tp>
      <tp>
        <v>428</v>
        <stp/>
        <stp>OPEN_INT</stp>
        <stp>.SPXW250516C5780</stp>
        <tr r="AW94" s="1"/>
        <tr r="AW94" s="1"/>
      </tp>
      <tp>
        <v>182</v>
        <stp/>
        <stp>OPEN_INT</stp>
        <stp>.SPXW250508P5660</stp>
        <tr r="AT106" s="1"/>
        <tr r="AT106" s="1"/>
      </tp>
      <tp>
        <v>865</v>
        <stp/>
        <stp>OPEN_INT</stp>
        <stp>.SPXW250509P5670</stp>
        <tr r="AV105" s="1"/>
        <tr r="AV105" s="1"/>
      </tp>
      <tp>
        <v>451</v>
        <stp/>
        <stp>OPEN_INT</stp>
        <stp>.SPXW250516P5780</stp>
        <tr r="AX94" s="1"/>
        <tr r="AX94" s="1"/>
      </tp>
      <tp>
        <v>173</v>
        <stp/>
        <stp>OPEN_INT</stp>
        <stp>.SPXW250508C5590</stp>
        <tr r="AS113" s="1"/>
        <tr r="AS113" s="1"/>
      </tp>
      <tp>
        <v>404</v>
        <stp/>
        <stp>OPEN_INT</stp>
        <stp>.SPXW250509C5580</stp>
        <tr r="AU114" s="1"/>
        <tr r="AU114" s="1"/>
      </tp>
      <tp>
        <v>117</v>
        <stp/>
        <stp>OPEN_INT</stp>
        <stp>.SPXW250516C5470</stp>
        <tr r="AW125" s="1"/>
        <tr r="AW125" s="1"/>
      </tp>
      <tp>
        <v>474</v>
        <stp/>
        <stp>OPEN_INT</stp>
        <stp>.SPXW250508P5590</stp>
        <tr r="AT113" s="1"/>
        <tr r="AT113" s="1"/>
      </tp>
      <tp>
        <v>1701</v>
        <stp/>
        <stp>OPEN_INT</stp>
        <stp>.SPXW250509P5580</stp>
        <tr r="AV114" s="1"/>
        <tr r="AV114" s="1"/>
      </tp>
      <tp>
        <v>333</v>
        <stp/>
        <stp>OPEN_INT</stp>
        <stp>.SPXW250516P5470</stp>
        <tr r="AX125" s="1"/>
        <tr r="AX125" s="1"/>
      </tp>
      <tp>
        <v>92</v>
        <stp/>
        <stp>OPEN_INT</stp>
        <stp>.SPXW250508C5580</stp>
        <tr r="AS114" s="1"/>
        <tr r="AS114" s="1"/>
      </tp>
      <tp>
        <v>728</v>
        <stp/>
        <stp>OPEN_INT</stp>
        <stp>.SPXW250509C5590</stp>
        <tr r="AU113" s="1"/>
        <tr r="AU113" s="1"/>
      </tp>
      <tp>
        <v>460</v>
        <stp/>
        <stp>OPEN_INT</stp>
        <stp>.SPXW250516C5460</stp>
        <tr r="AW126" s="1"/>
        <tr r="AW126" s="1"/>
      </tp>
      <tp>
        <v>1078</v>
        <stp/>
        <stp>OPEN_INT</stp>
        <stp>.SPXW250508P5580</stp>
        <tr r="AT114" s="1"/>
        <tr r="AT114" s="1"/>
      </tp>
      <tp>
        <v>1155</v>
        <stp/>
        <stp>OPEN_INT</stp>
        <stp>.SPXW250509P5590</stp>
        <tr r="AV113" s="1"/>
        <tr r="AV113" s="1"/>
      </tp>
      <tp>
        <v>337</v>
        <stp/>
        <stp>OPEN_INT</stp>
        <stp>.SPXW250516P5460</stp>
        <tr r="AX126" s="1"/>
        <tr r="AX126" s="1"/>
      </tp>
      <tp>
        <v>721</v>
        <stp/>
        <stp>OPEN_INT</stp>
        <stp>.SPXW250516C5450</stp>
        <tr r="AW127" s="1"/>
        <tr r="AW127" s="1"/>
      </tp>
      <tp>
        <v>2116</v>
        <stp/>
        <stp>OPEN_INT</stp>
        <stp>.SPXW250516P5450</stp>
        <tr r="AX127" s="1"/>
        <tr r="AX127" s="1"/>
      </tp>
      <tp>
        <v>659</v>
        <stp/>
        <stp>OPEN_INT</stp>
        <stp>.SPXW250516C5440</stp>
        <tr r="AW128" s="1"/>
        <tr r="AW128" s="1"/>
      </tp>
      <tp>
        <v>1214</v>
        <stp/>
        <stp>OPEN_INT</stp>
        <stp>.SPXW250516P5440</stp>
        <tr r="AX128" s="1"/>
        <tr r="AX128" s="1"/>
      </tp>
      <tp>
        <v>116</v>
        <stp/>
        <stp>OPEN_INT</stp>
        <stp>.SPXW250516C5430</stp>
        <tr r="AW129" s="1"/>
        <tr r="AW129" s="1"/>
      </tp>
      <tp>
        <v>265</v>
        <stp/>
        <stp>OPEN_INT</stp>
        <stp>.SPXW250516P5430</stp>
        <tr r="AX129" s="1"/>
        <tr r="AX129" s="1"/>
      </tp>
      <tp>
        <v>309</v>
        <stp/>
        <stp>OPEN_INT</stp>
        <stp>.SPXW250516C5420</stp>
        <tr r="AW130" s="1"/>
        <tr r="AW130" s="1"/>
      </tp>
      <tp>
        <v>335</v>
        <stp/>
        <stp>OPEN_INT</stp>
        <stp>.SPXW250516P5420</stp>
        <tr r="AX130" s="1"/>
        <tr r="AX130" s="1"/>
      </tp>
      <tp>
        <v>186</v>
        <stp/>
        <stp>OPEN_INT</stp>
        <stp>.SPXW250508C5510</stp>
        <tr r="AS121" s="1"/>
        <tr r="AS121" s="1"/>
      </tp>
      <tp>
        <v>1677</v>
        <stp/>
        <stp>OPEN_INT</stp>
        <stp>.SPXW250509C5500</stp>
        <tr r="AU122" s="1"/>
        <tr r="AU122" s="1"/>
      </tp>
      <tp>
        <v>542</v>
        <stp/>
        <stp>OPEN_INT</stp>
        <stp>.SPXW250508P5510</stp>
        <tr r="AT121" s="1"/>
        <tr r="AT121" s="1"/>
      </tp>
      <tp>
        <v>5547</v>
        <stp/>
        <stp>OPEN_INT</stp>
        <stp>.SPXW250509P5500</stp>
        <tr r="AV122" s="1"/>
        <tr r="AV122" s="1"/>
      </tp>
      <tp>
        <v>467</v>
        <stp/>
        <stp>OPEN_INT</stp>
        <stp>.SPXW250508C5500</stp>
        <tr r="AS122" s="1"/>
        <tr r="AS122" s="1"/>
      </tp>
      <tp>
        <v>377</v>
        <stp/>
        <stp>OPEN_INT</stp>
        <stp>.SPXW250509C5510</stp>
        <tr r="AU121" s="1"/>
        <tr r="AU121" s="1"/>
      </tp>
      <tp>
        <v>2474</v>
        <stp/>
        <stp>OPEN_INT</stp>
        <stp>.SPXW250508P5500</stp>
        <tr r="AT122" s="1"/>
        <tr r="AT122" s="1"/>
      </tp>
      <tp>
        <v>844</v>
        <stp/>
        <stp>OPEN_INT</stp>
        <stp>.SPXW250509P5510</stp>
        <tr r="AV121" s="1"/>
        <tr r="AV121" s="1"/>
      </tp>
      <tp>
        <v>70</v>
        <stp/>
        <stp>OPEN_INT</stp>
        <stp>.SPXW250508C5530</stp>
        <tr r="AS119" s="1"/>
        <tr r="AS119" s="1"/>
      </tp>
      <tp>
        <v>341</v>
        <stp/>
        <stp>OPEN_INT</stp>
        <stp>.SPXW250509C5520</stp>
        <tr r="AU120" s="1"/>
        <tr r="AU120" s="1"/>
      </tp>
      <tp>
        <v>1134</v>
        <stp/>
        <stp>OPEN_INT</stp>
        <stp>.SPXW250508P5530</stp>
        <tr r="AT119" s="1"/>
        <tr r="AT119" s="1"/>
      </tp>
      <tp>
        <v>651</v>
        <stp/>
        <stp>OPEN_INT</stp>
        <stp>.SPXW250509P5520</stp>
        <tr r="AV120" s="1"/>
        <tr r="AV120" s="1"/>
      </tp>
      <tp>
        <v>156</v>
        <stp/>
        <stp>OPEN_INT</stp>
        <stp>.SPXW250508C5520</stp>
        <tr r="AS120" s="1"/>
        <tr r="AS120" s="1"/>
      </tp>
      <tp>
        <v>134</v>
        <stp/>
        <stp>OPEN_INT</stp>
        <stp>.SPXW250509C5530</stp>
        <tr r="AU119" s="1"/>
        <tr r="AU119" s="1"/>
      </tp>
      <tp>
        <v>518</v>
        <stp/>
        <stp>OPEN_INT</stp>
        <stp>.SPXW250508P5520</stp>
        <tr r="AT120" s="1"/>
        <tr r="AT120" s="1"/>
      </tp>
      <tp>
        <v>669</v>
        <stp/>
        <stp>OPEN_INT</stp>
        <stp>.SPXW250509P5530</stp>
        <tr r="AV119" s="1"/>
        <tr r="AV119" s="1"/>
      </tp>
      <tp>
        <v>244</v>
        <stp/>
        <stp>OPEN_INT</stp>
        <stp>.SPXW250508C5550</stp>
        <tr r="AS117" s="1"/>
        <tr r="AS117" s="1"/>
      </tp>
      <tp>
        <v>751</v>
        <stp/>
        <stp>OPEN_INT</stp>
        <stp>.SPXW250509C5540</stp>
        <tr r="AU118" s="1"/>
        <tr r="AU118" s="1"/>
      </tp>
      <tp>
        <v>1889</v>
        <stp/>
        <stp>OPEN_INT</stp>
        <stp>.SPXW250508P5550</stp>
        <tr r="AT117" s="1"/>
        <tr r="AT117" s="1"/>
      </tp>
      <tp>
        <v>4411</v>
        <stp/>
        <stp>OPEN_INT</stp>
        <stp>.SPXW250509P5540</stp>
        <tr r="AV118" s="1"/>
        <tr r="AV118" s="1"/>
      </tp>
      <tp>
        <v>38</v>
        <stp/>
        <stp>OPEN_INT</stp>
        <stp>.SPXW250508C5540</stp>
        <tr r="AS118" s="1"/>
        <tr r="AS118" s="1"/>
      </tp>
      <tp>
        <v>1234</v>
        <stp/>
        <stp>OPEN_INT</stp>
        <stp>.SPXW250509C5550</stp>
        <tr r="AU117" s="1"/>
        <tr r="AU117" s="1"/>
      </tp>
      <tp>
        <v>396</v>
        <stp/>
        <stp>OPEN_INT</stp>
        <stp>.SPXW250508P5540</stp>
        <tr r="AT118" s="1"/>
        <tr r="AT118" s="1"/>
      </tp>
      <tp>
        <v>4838</v>
        <stp/>
        <stp>OPEN_INT</stp>
        <stp>.SPXW250509P5550</stp>
        <tr r="AV117" s="1"/>
        <tr r="AV117" s="1"/>
      </tp>
      <tp>
        <v>57</v>
        <stp/>
        <stp>OPEN_INT</stp>
        <stp>.SPXW250508C5570</stp>
        <tr r="AS115" s="1"/>
        <tr r="AS115" s="1"/>
      </tp>
      <tp>
        <v>244</v>
        <stp/>
        <stp>OPEN_INT</stp>
        <stp>.SPXW250509C5560</stp>
        <tr r="AU116" s="1"/>
        <tr r="AU116" s="1"/>
      </tp>
      <tp>
        <v>447</v>
        <stp/>
        <stp>OPEN_INT</stp>
        <stp>.SPXW250516C5490</stp>
        <tr r="AW123" s="1"/>
        <tr r="AW123" s="1"/>
      </tp>
      <tp>
        <v>1306</v>
        <stp/>
        <stp>OPEN_INT</stp>
        <stp>.SPXW250508P5570</stp>
        <tr r="AT115" s="1"/>
        <tr r="AT115" s="1"/>
      </tp>
      <tp>
        <v>842</v>
        <stp/>
        <stp>OPEN_INT</stp>
        <stp>.SPXW250509P5560</stp>
        <tr r="AV116" s="1"/>
        <tr r="AV116" s="1"/>
      </tp>
      <tp>
        <v>475</v>
        <stp/>
        <stp>OPEN_INT</stp>
        <stp>.SPXW250516P5490</stp>
        <tr r="AX123" s="1"/>
        <tr r="AX123" s="1"/>
      </tp>
      <tp>
        <v>72</v>
        <stp/>
        <stp>OPEN_INT</stp>
        <stp>.SPXW250508C5560</stp>
        <tr r="AS116" s="1"/>
        <tr r="AS116" s="1"/>
      </tp>
      <tp>
        <v>192</v>
        <stp/>
        <stp>OPEN_INT</stp>
        <stp>.SPXW250509C5570</stp>
        <tr r="AU115" s="1"/>
        <tr r="AU115" s="1"/>
      </tp>
      <tp>
        <v>153</v>
        <stp/>
        <stp>OPEN_INT</stp>
        <stp>.SPXW250516C5480</stp>
        <tr r="AW124" s="1"/>
        <tr r="AW124" s="1"/>
      </tp>
      <tp>
        <v>1501</v>
        <stp/>
        <stp>OPEN_INT</stp>
        <stp>.SPXW250508P5560</stp>
        <tr r="AT116" s="1"/>
        <tr r="AT116" s="1"/>
      </tp>
      <tp>
        <v>2685</v>
        <stp/>
        <stp>OPEN_INT</stp>
        <stp>.SPXW250509P5570</stp>
        <tr r="AV115" s="1"/>
        <tr r="AV115" s="1"/>
      </tp>
      <tp>
        <v>1754</v>
        <stp/>
        <stp>OPEN_INT</stp>
        <stp>.SPXW250516P5480</stp>
        <tr r="AX124" s="1"/>
        <tr r="AX124" s="1"/>
      </tp>
      <tp>
        <v>62</v>
        <stp/>
        <stp>OPEN_INT</stp>
        <stp>.SPXW250508C5490</stp>
        <tr r="AS123" s="1"/>
        <tr r="AS123" s="1"/>
      </tp>
      <tp>
        <v>766</v>
        <stp/>
        <stp>OPEN_INT</stp>
        <stp>.SPXW250509C5480</stp>
        <tr r="AU124" s="1"/>
        <tr r="AU124" s="1"/>
      </tp>
      <tp>
        <v>215</v>
        <stp/>
        <stp>OPEN_INT</stp>
        <stp>.SPXW250516C5570</stp>
        <tr r="AW115" s="1"/>
        <tr r="AW115" s="1"/>
      </tp>
      <tp>
        <v>609</v>
        <stp/>
        <stp>OPEN_INT</stp>
        <stp>.SPXW250508P5490</stp>
        <tr r="AT123" s="1"/>
        <tr r="AT123" s="1"/>
      </tp>
      <tp>
        <v>1127</v>
        <stp/>
        <stp>OPEN_INT</stp>
        <stp>.SPXW250509P5480</stp>
        <tr r="AV124" s="1"/>
        <tr r="AV124" s="1"/>
      </tp>
      <tp>
        <v>1269</v>
        <stp/>
        <stp>OPEN_INT</stp>
        <stp>.SPXW250516P5570</stp>
        <tr r="AX115" s="1"/>
        <tr r="AX115" s="1"/>
      </tp>
      <tp>
        <v>663</v>
        <stp/>
        <stp>OPEN_INT</stp>
        <stp>.SPXW250508C5480</stp>
        <tr r="AS124" s="1"/>
        <tr r="AS124" s="1"/>
      </tp>
      <tp>
        <v>352</v>
        <stp/>
        <stp>OPEN_INT</stp>
        <stp>.SPXW250509C5490</stp>
        <tr r="AU123" s="1"/>
        <tr r="AU123" s="1"/>
      </tp>
      <tp>
        <v>212</v>
        <stp/>
        <stp>OPEN_INT</stp>
        <stp>.SPXW250516C5560</stp>
        <tr r="AW116" s="1"/>
        <tr r="AW116" s="1"/>
      </tp>
      <tp>
        <v>619</v>
        <stp/>
        <stp>OPEN_INT</stp>
        <stp>.SPXW250508P5480</stp>
        <tr r="AT124" s="1"/>
        <tr r="AT124" s="1"/>
      </tp>
      <tp>
        <v>846</v>
        <stp/>
        <stp>OPEN_INT</stp>
        <stp>.SPXW250509P5490</stp>
        <tr r="AV123" s="1"/>
        <tr r="AV123" s="1"/>
      </tp>
      <tp>
        <v>436</v>
        <stp/>
        <stp>OPEN_INT</stp>
        <stp>.SPXW250516P5560</stp>
        <tr r="AX116" s="1"/>
        <tr r="AX116" s="1"/>
      </tp>
      <tp>
        <v>757</v>
        <stp/>
        <stp>OPEN_INT</stp>
        <stp>.SPXW250516C5550</stp>
        <tr r="AW117" s="1"/>
        <tr r="AW117" s="1"/>
      </tp>
      <tp>
        <v>2186</v>
        <stp/>
        <stp>OPEN_INT</stp>
        <stp>.SPXW250516P5550</stp>
        <tr r="AX117" s="1"/>
        <tr r="AX117" s="1"/>
      </tp>
      <tp>
        <v>483</v>
        <stp/>
        <stp>OPEN_INT</stp>
        <stp>.SPXW250516C5540</stp>
        <tr r="AW118" s="1"/>
        <tr r="AW118" s="1"/>
      </tp>
      <tp>
        <v>495</v>
        <stp/>
        <stp>OPEN_INT</stp>
        <stp>.SPXW250516P5540</stp>
        <tr r="AX118" s="1"/>
        <tr r="AX118" s="1"/>
      </tp>
      <tp>
        <v>141</v>
        <stp/>
        <stp>OPEN_INT</stp>
        <stp>.SPXW250516C5530</stp>
        <tr r="AW119" s="1"/>
        <tr r="AW119" s="1"/>
      </tp>
      <tp>
        <v>1060</v>
        <stp/>
        <stp>OPEN_INT</stp>
        <stp>.SPXW250516P5530</stp>
        <tr r="AX119" s="1"/>
        <tr r="AX119" s="1"/>
      </tp>
      <tp>
        <v>141</v>
        <stp/>
        <stp>OPEN_INT</stp>
        <stp>.SPXW250516C5520</stp>
        <tr r="AW120" s="1"/>
        <tr r="AW120" s="1"/>
      </tp>
      <tp>
        <v>392</v>
        <stp/>
        <stp>OPEN_INT</stp>
        <stp>.SPXW250516P5520</stp>
        <tr r="AX120" s="1"/>
        <tr r="AX120" s="1"/>
      </tp>
      <tp>
        <v>375</v>
        <stp/>
        <stp>OPEN_INT</stp>
        <stp>.SPXW250516C5510</stp>
        <tr r="AW121" s="1"/>
        <tr r="AW121" s="1"/>
      </tp>
      <tp>
        <v>160</v>
        <stp/>
        <stp>OPEN_INT</stp>
        <stp>.SPXW250516P5510</stp>
        <tr r="AX121" s="1"/>
        <tr r="AX121" s="1"/>
      </tp>
      <tp>
        <v>1022</v>
        <stp/>
        <stp>OPEN_INT</stp>
        <stp>.SPXW250516C5500</stp>
        <tr r="AW122" s="1"/>
        <tr r="AW122" s="1"/>
      </tp>
      <tp>
        <v>2773</v>
        <stp/>
        <stp>OPEN_INT</stp>
        <stp>.SPXW250516P5500</stp>
        <tr r="AX122" s="1"/>
        <tr r="AX122" s="1"/>
      </tp>
      <tp>
        <v>40</v>
        <stp/>
        <stp>OPEN_INT</stp>
        <stp>.SPXW250508C5430</stp>
        <tr r="AS129" s="1"/>
        <tr r="AS129" s="1"/>
      </tp>
      <tp>
        <v>147</v>
        <stp/>
        <stp>OPEN_INT</stp>
        <stp>.SPXW250509C5420</stp>
        <tr r="AU130" s="1"/>
        <tr r="AU130" s="1"/>
      </tp>
      <tp>
        <v>483</v>
        <stp/>
        <stp>OPEN_INT</stp>
        <stp>.SPXW250508P5430</stp>
        <tr r="AT129" s="1"/>
        <tr r="AT129" s="1"/>
      </tp>
      <tp>
        <v>1753</v>
        <stp/>
        <stp>OPEN_INT</stp>
        <stp>.SPXW250509P5420</stp>
        <tr r="AV130" s="1"/>
        <tr r="AV130" s="1"/>
      </tp>
      <tp>
        <v>54</v>
        <stp/>
        <stp>OPEN_INT</stp>
        <stp>.SPXW250508C5420</stp>
        <tr r="AS130" s="1"/>
        <tr r="AS130" s="1"/>
      </tp>
      <tp>
        <v>1100</v>
        <stp/>
        <stp>OPEN_INT</stp>
        <stp>.SPXW250509C5430</stp>
        <tr r="AU129" s="1"/>
        <tr r="AU129" s="1"/>
      </tp>
      <tp>
        <v>664</v>
        <stp/>
        <stp>OPEN_INT</stp>
        <stp>.SPXW250508P5420</stp>
        <tr r="AT130" s="1"/>
        <tr r="AT130" s="1"/>
      </tp>
      <tp>
        <v>890</v>
        <stp/>
        <stp>OPEN_INT</stp>
        <stp>.SPXW250509P5430</stp>
        <tr r="AV129" s="1"/>
        <tr r="AV129" s="1"/>
      </tp>
      <tp>
        <v>550</v>
        <stp/>
        <stp>OPEN_INT</stp>
        <stp>.SPXW250508C5450</stp>
        <tr r="AS127" s="1"/>
        <tr r="AS127" s="1"/>
      </tp>
      <tp>
        <v>287</v>
        <stp/>
        <stp>OPEN_INT</stp>
        <stp>.SPXW250509C5440</stp>
        <tr r="AU128" s="1"/>
        <tr r="AU128" s="1"/>
      </tp>
      <tp>
        <v>2972</v>
        <stp/>
        <stp>OPEN_INT</stp>
        <stp>.SPXW250508P5450</stp>
        <tr r="AT127" s="1"/>
        <tr r="AT127" s="1"/>
      </tp>
      <tp>
        <v>2623</v>
        <stp/>
        <stp>OPEN_INT</stp>
        <stp>.SPXW250509P5440</stp>
        <tr r="AV128" s="1"/>
        <tr r="AV128" s="1"/>
      </tp>
      <tp>
        <v>221</v>
        <stp/>
        <stp>OPEN_INT</stp>
        <stp>.SPXW250508C5440</stp>
        <tr r="AS128" s="1"/>
        <tr r="AS128" s="1"/>
      </tp>
      <tp>
        <v>983</v>
        <stp/>
        <stp>OPEN_INT</stp>
        <stp>.SPXW250509C5450</stp>
        <tr r="AU127" s="1"/>
        <tr r="AU127" s="1"/>
      </tp>
      <tp>
        <v>995</v>
        <stp/>
        <stp>OPEN_INT</stp>
        <stp>.SPXW250508P5440</stp>
        <tr r="AT128" s="1"/>
        <tr r="AT128" s="1"/>
      </tp>
      <tp>
        <v>6960</v>
        <stp/>
        <stp>OPEN_INT</stp>
        <stp>.SPXW250509P5450</stp>
        <tr r="AV127" s="1"/>
        <tr r="AV127" s="1"/>
      </tp>
      <tp>
        <v>671</v>
        <stp/>
        <stp>OPEN_INT</stp>
        <stp>.SPXW250508C5470</stp>
        <tr r="AS125" s="1"/>
        <tr r="AS125" s="1"/>
      </tp>
      <tp>
        <v>318</v>
        <stp/>
        <stp>OPEN_INT</stp>
        <stp>.SPXW250509C5460</stp>
        <tr r="AU126" s="1"/>
        <tr r="AU126" s="1"/>
      </tp>
      <tp>
        <v>334</v>
        <stp/>
        <stp>OPEN_INT</stp>
        <stp>.SPXW250516C5590</stp>
        <tr r="AW113" s="1"/>
        <tr r="AW113" s="1"/>
      </tp>
      <tp>
        <v>894</v>
        <stp/>
        <stp>OPEN_INT</stp>
        <stp>.SPXW250508P5470</stp>
        <tr r="AT125" s="1"/>
        <tr r="AT125" s="1"/>
      </tp>
      <tp>
        <v>1202</v>
        <stp/>
        <stp>OPEN_INT</stp>
        <stp>.SPXW250509P5460</stp>
        <tr r="AV126" s="1"/>
        <tr r="AV126" s="1"/>
      </tp>
      <tp>
        <v>570</v>
        <stp/>
        <stp>OPEN_INT</stp>
        <stp>.SPXW250516P5590</stp>
        <tr r="AX113" s="1"/>
        <tr r="AX113" s="1"/>
      </tp>
      <tp>
        <v>97</v>
        <stp/>
        <stp>OPEN_INT</stp>
        <stp>.SPXW250508C5460</stp>
        <tr r="AS126" s="1"/>
        <tr r="AS126" s="1"/>
      </tp>
      <tp>
        <v>128</v>
        <stp/>
        <stp>OPEN_INT</stp>
        <stp>.SPXW250509C5470</stp>
        <tr r="AU125" s="1"/>
        <tr r="AU125" s="1"/>
      </tp>
      <tp>
        <v>318</v>
        <stp/>
        <stp>OPEN_INT</stp>
        <stp>.SPXW250516C5580</stp>
        <tr r="AW114" s="1"/>
        <tr r="AW114" s="1"/>
      </tp>
      <tp>
        <v>580</v>
        <stp/>
        <stp>OPEN_INT</stp>
        <stp>.SPXW250508P5460</stp>
        <tr r="AT126" s="1"/>
        <tr r="AT126" s="1"/>
      </tp>
      <tp>
        <v>645</v>
        <stp/>
        <stp>OPEN_INT</stp>
        <stp>.SPXW250509P5470</stp>
        <tr r="AV125" s="1"/>
        <tr r="AV125" s="1"/>
      </tp>
      <tp>
        <v>435</v>
        <stp/>
        <stp>OPEN_INT</stp>
        <stp>.SPXW250516P5580</stp>
        <tr r="AX114" s="1"/>
        <tr r="AX114" s="1"/>
      </tp>
      <tp t="s">
        <v>28.31%</v>
        <stp/>
        <stp>IMPL_VOL</stp>
        <stp>.NDX250516C19300</stp>
        <tr r="EP187" s="1"/>
      </tp>
      <tp t="s">
        <v>26.69%</v>
        <stp/>
        <stp>IMPL_VOL</stp>
        <stp>.NDX250516C20300</stp>
        <tr r="EP147" s="1"/>
      </tp>
      <tp t="s">
        <v>28.38%</v>
        <stp/>
        <stp>IMPL_VOL</stp>
        <stp>.NDX250516C19325</stp>
        <tr r="EP186" s="1"/>
      </tp>
      <tp t="s">
        <v>26.62%</v>
        <stp/>
        <stp>IMPL_VOL</stp>
        <stp>.NDX250516C20325</stp>
        <tr r="EP146" s="1"/>
      </tp>
      <tp t="s">
        <v>28.42%</v>
        <stp/>
        <stp>IMPL_VOL</stp>
        <stp>.NDX250516C19350</stp>
        <tr r="EP185" s="1"/>
      </tp>
      <tp t="s">
        <v>26.53%</v>
        <stp/>
        <stp>IMPL_VOL</stp>
        <stp>.NDX250516C20350</stp>
        <tr r="EP145" s="1"/>
      </tp>
      <tp t="s">
        <v>28.45%</v>
        <stp/>
        <stp>IMPL_VOL</stp>
        <stp>.NDX250516C19375</stp>
        <tr r="EP184" s="1"/>
      </tp>
      <tp t="s">
        <v>26.47%</v>
        <stp/>
        <stp>IMPL_VOL</stp>
        <stp>.NDX250516C20375</stp>
        <tr r="EP144" s="1"/>
      </tp>
      <tp t="s">
        <v>31.12%</v>
        <stp/>
        <stp>IMPL_VOL</stp>
        <stp>.NDX250516P19325</stp>
        <tr r="EQ186" s="1"/>
      </tp>
      <tp t="s">
        <v>28.51%</v>
        <stp/>
        <stp>IMPL_VOL</stp>
        <stp>.NDX250516P20325</stp>
        <tr r="EQ146" s="1"/>
      </tp>
      <tp t="s">
        <v>31.19%</v>
        <stp/>
        <stp>IMPL_VOL</stp>
        <stp>.NDX250516P19300</stp>
        <tr r="EQ187" s="1"/>
      </tp>
      <tp t="s">
        <v>28.48%</v>
        <stp/>
        <stp>IMPL_VOL</stp>
        <stp>.NDX250516P20300</stp>
        <tr r="EQ147" s="1"/>
      </tp>
      <tp t="s">
        <v>30.92%</v>
        <stp/>
        <stp>IMPL_VOL</stp>
        <stp>.NDX250516P19375</stp>
        <tr r="EQ184" s="1"/>
      </tp>
      <tp t="s">
        <v>28.61%</v>
        <stp/>
        <stp>IMPL_VOL</stp>
        <stp>.NDX250516P20375</stp>
        <tr r="EQ144" s="1"/>
      </tp>
      <tp t="s">
        <v>30.99%</v>
        <stp/>
        <stp>IMPL_VOL</stp>
        <stp>.NDX250516P19350</stp>
        <tr r="EQ185" s="1"/>
      </tp>
      <tp t="s">
        <v>28.35%</v>
        <stp/>
        <stp>IMPL_VOL</stp>
        <stp>.NDX250516P20350</stp>
        <tr r="EQ145" s="1"/>
      </tp>
      <tp t="s">
        <v>27.00%</v>
        <stp/>
        <stp>IMPL_VOL</stp>
        <stp>.NDX250516C20200</stp>
        <tr r="EP151" s="1"/>
      </tp>
      <tp t="s">
        <v>26.91%</v>
        <stp/>
        <stp>IMPL_VOL</stp>
        <stp>.NDX250516C20225</stp>
        <tr r="EP150" s="1"/>
      </tp>
      <tp t="s">
        <v>29.13%</v>
        <stp/>
        <stp>IMPL_VOL</stp>
        <stp>.NDX250516C19250</stp>
        <tr r="EP189" s="1"/>
      </tp>
      <tp t="s">
        <v>26.85%</v>
        <stp/>
        <stp>IMPL_VOL</stp>
        <stp>.NDX250516C20250</stp>
        <tr r="EP149" s="1"/>
      </tp>
      <tp t="s">
        <v>28.24%</v>
        <stp/>
        <stp>IMPL_VOL</stp>
        <stp>.NDX250516C19275</stp>
        <tr r="EP188" s="1"/>
      </tp>
      <tp t="s">
        <v>26.77%</v>
        <stp/>
        <stp>IMPL_VOL</stp>
        <stp>.NDX250516C20275</stp>
        <tr r="EP148" s="1"/>
      </tp>
      <tp t="s">
        <v>28.64%</v>
        <stp/>
        <stp>IMPL_VOL</stp>
        <stp>.NDX250516P20225</stp>
        <tr r="EQ150" s="1"/>
      </tp>
      <tp t="s">
        <v>28.69%</v>
        <stp/>
        <stp>IMPL_VOL</stp>
        <stp>.NDX250516P20200</stp>
        <tr r="EQ151" s="1"/>
      </tp>
      <tp t="s">
        <v>31.27%</v>
        <stp/>
        <stp>IMPL_VOL</stp>
        <stp>.NDX250516P19275</stp>
        <tr r="EQ188" s="1"/>
      </tp>
      <tp t="s">
        <v>28.64%</v>
        <stp/>
        <stp>IMPL_VOL</stp>
        <stp>.NDX250516P20275</stp>
        <tr r="EQ148" s="1"/>
      </tp>
      <tp t="s">
        <v>31.35%</v>
        <stp/>
        <stp>IMPL_VOL</stp>
        <stp>.NDX250516P19250</stp>
        <tr r="EQ189" s="1"/>
      </tp>
      <tp t="s">
        <v>28.59%</v>
        <stp/>
        <stp>IMPL_VOL</stp>
        <stp>.NDX250516P20250</stp>
        <tr r="EQ149" s="1"/>
      </tp>
      <tp t="s">
        <v>27.28%</v>
        <stp/>
        <stp>IMPL_VOL</stp>
        <stp>.NDX250516C20100</stp>
        <tr r="EP155" s="1"/>
      </tp>
      <tp t="s">
        <v>27.21%</v>
        <stp/>
        <stp>IMPL_VOL</stp>
        <stp>.NDX250516C20125</stp>
        <tr r="EP154" s="1"/>
      </tp>
      <tp t="s">
        <v>27.13%</v>
        <stp/>
        <stp>IMPL_VOL</stp>
        <stp>.NDX250516C20150</stp>
        <tr r="EP153" s="1"/>
      </tp>
      <tp t="s">
        <v>27.07%</v>
        <stp/>
        <stp>IMPL_VOL</stp>
        <stp>.NDX250516C20175</stp>
        <tr r="EP152" s="1"/>
      </tp>
      <tp t="s">
        <v>28.90%</v>
        <stp/>
        <stp>IMPL_VOL</stp>
        <stp>.NDX250516P20125</stp>
        <tr r="EQ154" s="1"/>
      </tp>
      <tp t="s">
        <v>28.97%</v>
        <stp/>
        <stp>IMPL_VOL</stp>
        <stp>.NDX250516P20100</stp>
        <tr r="EQ155" s="1"/>
      </tp>
      <tp t="s">
        <v>28.75%</v>
        <stp/>
        <stp>IMPL_VOL</stp>
        <stp>.NDX250516P20175</stp>
        <tr r="EQ152" s="1"/>
      </tp>
      <tp t="s">
        <v>28.85%</v>
        <stp/>
        <stp>IMPL_VOL</stp>
        <stp>.NDX250516P20150</stp>
        <tr r="EQ153" s="1"/>
      </tp>
      <tp>
        <v>275</v>
        <stp/>
        <stp>OPEN_INT</stp>
        <stp>.SPXW250516C5870</stp>
        <tr r="AW85" s="1"/>
        <tr r="AW85" s="1"/>
      </tp>
      <tp>
        <v>157</v>
        <stp/>
        <stp>OPEN_INT</stp>
        <stp>.SPXW250516P5870</stp>
        <tr r="AX85" s="1"/>
        <tr r="AX85" s="1"/>
      </tp>
      <tp>
        <v>921</v>
        <stp/>
        <stp>OPEN_INT</stp>
        <stp>.SPXW250516C5860</stp>
        <tr r="AW86" s="1"/>
        <tr r="AW86" s="1"/>
      </tp>
      <tp>
        <v>243</v>
        <stp/>
        <stp>OPEN_INT</stp>
        <stp>.SPXW250516P5860</stp>
        <tr r="AX86" s="1"/>
        <tr r="AX86" s="1"/>
      </tp>
      <tp>
        <v>2908</v>
        <stp/>
        <stp>OPEN_INT</stp>
        <stp>.SPXW250516C5850</stp>
        <tr r="AW87" s="1"/>
        <tr r="AW87" s="1"/>
      </tp>
      <tp>
        <v>807</v>
        <stp/>
        <stp>OPEN_INT</stp>
        <stp>.SPXW250516P5850</stp>
        <tr r="AX87" s="1"/>
        <tr r="AX87" s="1"/>
      </tp>
      <tp>
        <v>359</v>
        <stp/>
        <stp>OPEN_INT</stp>
        <stp>.SPXW250516C5840</stp>
        <tr r="AW88" s="1"/>
        <tr r="AW88" s="1"/>
      </tp>
      <tp>
        <v>136</v>
        <stp/>
        <stp>OPEN_INT</stp>
        <stp>.SPXW250516P5840</stp>
        <tr r="AX88" s="1"/>
        <tr r="AX88" s="1"/>
      </tp>
      <tp>
        <v>337</v>
        <stp/>
        <stp>OPEN_INT</stp>
        <stp>.SPXW250516C5830</stp>
        <tr r="AW89" s="1"/>
        <tr r="AW89" s="1"/>
      </tp>
      <tp>
        <v>103</v>
        <stp/>
        <stp>OPEN_INT</stp>
        <stp>.SPXW250516P5830</stp>
        <tr r="AX89" s="1"/>
        <tr r="AX89" s="1"/>
      </tp>
      <tp>
        <v>663</v>
        <stp/>
        <stp>OPEN_INT</stp>
        <stp>.SPXW250516C5820</stp>
        <tr r="AW90" s="1"/>
        <tr r="AW90" s="1"/>
      </tp>
      <tp>
        <v>212</v>
        <stp/>
        <stp>OPEN_INT</stp>
        <stp>.SPXW250516P5820</stp>
        <tr r="AX90" s="1"/>
        <tr r="AX90" s="1"/>
      </tp>
      <tp>
        <v>430</v>
        <stp/>
        <stp>OPEN_INT</stp>
        <stp>.SPXW250516C5810</stp>
        <tr r="AW91" s="1"/>
        <tr r="AW91" s="1"/>
      </tp>
      <tp>
        <v>667</v>
        <stp/>
        <stp>OPEN_INT</stp>
        <stp>.SPXW250516P5810</stp>
        <tr r="AX91" s="1"/>
        <tr r="AX91" s="1"/>
      </tp>
      <tp>
        <v>22888</v>
        <stp/>
        <stp>OPEN_INT</stp>
        <stp>.SPXW250516C5800</stp>
        <tr r="AW92" s="1"/>
        <tr r="AW92" s="1"/>
      </tp>
      <tp>
        <v>7534</v>
        <stp/>
        <stp>OPEN_INT</stp>
        <stp>.SPXW250516P5800</stp>
        <tr r="AX92" s="1"/>
        <tr r="AX92" s="1"/>
      </tp>
      <tp t="s">
        <v>27.57%</v>
        <stp/>
        <stp>IMPL_VOL</stp>
        <stp>.NDX250516C20000</stp>
        <tr r="EP159" s="1"/>
      </tp>
      <tp t="s">
        <v>27.51%</v>
        <stp/>
        <stp>IMPL_VOL</stp>
        <stp>.NDX250516C20025</stp>
        <tr r="EP158" s="1"/>
      </tp>
      <tp t="s">
        <v>27.43%</v>
        <stp/>
        <stp>IMPL_VOL</stp>
        <stp>.NDX250516C20050</stp>
        <tr r="EP157" s="1"/>
      </tp>
      <tp t="s">
        <v>27.37%</v>
        <stp/>
        <stp>IMPL_VOL</stp>
        <stp>.NDX250516C20075</stp>
        <tr r="EP156" s="1"/>
      </tp>
      <tp t="s">
        <v>29.19%</v>
        <stp/>
        <stp>IMPL_VOL</stp>
        <stp>.NDX250516P20025</stp>
        <tr r="EQ158" s="1"/>
      </tp>
      <tp t="s">
        <v>29.27%</v>
        <stp/>
        <stp>IMPL_VOL</stp>
        <stp>.NDX250516P20000</stp>
        <tr r="EQ159" s="1"/>
      </tp>
      <tp t="s">
        <v>29.06%</v>
        <stp/>
        <stp>IMPL_VOL</stp>
        <stp>.NDX250516P20075</stp>
        <tr r="EQ156" s="1"/>
      </tp>
      <tp t="s">
        <v>29.11%</v>
        <stp/>
        <stp>IMPL_VOL</stp>
        <stp>.NDX250516P20050</stp>
        <tr r="EQ157" s="1"/>
      </tp>
      <tp>
        <v>690</v>
        <stp/>
        <stp>OPEN_INT</stp>
        <stp>.SPXW250508C5810</stp>
        <tr r="AS91" s="1"/>
        <tr r="AS91" s="1"/>
      </tp>
      <tp>
        <v>7493</v>
        <stp/>
        <stp>OPEN_INT</stp>
        <stp>.SPXW250509C5800</stp>
        <tr r="AU92" s="1"/>
        <tr r="AU92" s="1"/>
      </tp>
      <tp>
        <v>6</v>
        <stp/>
        <stp>OPEN_INT</stp>
        <stp>.SPXW250508P5810</stp>
        <tr r="AT91" s="1"/>
        <tr r="AT91" s="1"/>
      </tp>
      <tp>
        <v>222</v>
        <stp/>
        <stp>OPEN_INT</stp>
        <stp>.SPXW250509P5800</stp>
        <tr r="AV92" s="1"/>
        <tr r="AV92" s="1"/>
      </tp>
      <tp>
        <v>1404</v>
        <stp/>
        <stp>OPEN_INT</stp>
        <stp>.SPXW250508C5800</stp>
        <tr r="AS92" s="1"/>
        <tr r="AS92" s="1"/>
      </tp>
      <tp>
        <v>1040</v>
        <stp/>
        <stp>OPEN_INT</stp>
        <stp>.SPXW250509C5810</stp>
        <tr r="AU91" s="1"/>
        <tr r="AU91" s="1"/>
      </tp>
      <tp>
        <v>128</v>
        <stp/>
        <stp>OPEN_INT</stp>
        <stp>.SPXW250508P5800</stp>
        <tr r="AT92" s="1"/>
        <tr r="AT92" s="1"/>
      </tp>
      <tp>
        <v>79</v>
        <stp/>
        <stp>OPEN_INT</stp>
        <stp>.SPXW250509P5810</stp>
        <tr r="AV91" s="1"/>
        <tr r="AV91" s="1"/>
      </tp>
      <tp>
        <v>371</v>
        <stp/>
        <stp>OPEN_INT</stp>
        <stp>.SPXW250508C5830</stp>
        <tr r="AS89" s="1"/>
        <tr r="AS89" s="1"/>
      </tp>
      <tp>
        <v>1668</v>
        <stp/>
        <stp>OPEN_INT</stp>
        <stp>.SPXW250509C5820</stp>
        <tr r="AU90" s="1"/>
        <tr r="AU90" s="1"/>
      </tp>
      <tp>
        <v>5</v>
        <stp/>
        <stp>OPEN_INT</stp>
        <stp>.SPXW250508P5830</stp>
        <tr r="AT89" s="1"/>
        <tr r="AT89" s="1"/>
      </tp>
      <tp>
        <v>316</v>
        <stp/>
        <stp>OPEN_INT</stp>
        <stp>.SPXW250509P5820</stp>
        <tr r="AV90" s="1"/>
        <tr r="AV90" s="1"/>
      </tp>
      <tp>
        <v>921</v>
        <stp/>
        <stp>OPEN_INT</stp>
        <stp>.SPXW250508C5820</stp>
        <tr r="AS90" s="1"/>
        <tr r="AS90" s="1"/>
      </tp>
      <tp>
        <v>1432</v>
        <stp/>
        <stp>OPEN_INT</stp>
        <stp>.SPXW250509C5830</stp>
        <tr r="AU89" s="1"/>
        <tr r="AU89" s="1"/>
      </tp>
      <tp>
        <v>43</v>
        <stp/>
        <stp>OPEN_INT</stp>
        <stp>.SPXW250508P5820</stp>
        <tr r="AT90" s="1"/>
        <tr r="AT90" s="1"/>
      </tp>
      <tp>
        <v>406</v>
        <stp/>
        <stp>OPEN_INT</stp>
        <stp>.SPXW250509P5830</stp>
        <tr r="AV89" s="1"/>
        <tr r="AV89" s="1"/>
      </tp>
      <tp>
        <v>1220</v>
        <stp/>
        <stp>OPEN_INT</stp>
        <stp>.SPXW250508C5850</stp>
        <tr r="AS87" s="1"/>
        <tr r="AS87" s="1"/>
      </tp>
      <tp>
        <v>1471</v>
        <stp/>
        <stp>OPEN_INT</stp>
        <stp>.SPXW250509C5840</stp>
        <tr r="AU88" s="1"/>
        <tr r="AU88" s="1"/>
      </tp>
      <tp>
        <v>16</v>
        <stp/>
        <stp>OPEN_INT</stp>
        <stp>.SPXW250508P5850</stp>
        <tr r="AT87" s="1"/>
        <tr r="AT87" s="1"/>
      </tp>
      <tp>
        <v>14</v>
        <stp/>
        <stp>OPEN_INT</stp>
        <stp>.SPXW250509P5840</stp>
        <tr r="AV88" s="1"/>
        <tr r="AV88" s="1"/>
      </tp>
      <tp>
        <v>399</v>
        <stp/>
        <stp>OPEN_INT</stp>
        <stp>.SPXW250508C5840</stp>
        <tr r="AS88" s="1"/>
        <tr r="AS88" s="1"/>
      </tp>
      <tp>
        <v>8457</v>
        <stp/>
        <stp>OPEN_INT</stp>
        <stp>.SPXW250509C5850</stp>
        <tr r="AU87" s="1"/>
        <tr r="AU87" s="1"/>
      </tp>
      <tp>
        <v>5</v>
        <stp/>
        <stp>OPEN_INT</stp>
        <stp>.SPXW250508P5840</stp>
        <tr r="AT88" s="1"/>
        <tr r="AT88" s="1"/>
      </tp>
      <tp>
        <v>211</v>
        <stp/>
        <stp>OPEN_INT</stp>
        <stp>.SPXW250509P5850</stp>
        <tr r="AV87" s="1"/>
        <tr r="AV87" s="1"/>
      </tp>
      <tp>
        <v>336</v>
        <stp/>
        <stp>OPEN_INT</stp>
        <stp>.SPXW250508C5870</stp>
        <tr r="AS85" s="1"/>
        <tr r="AS85" s="1"/>
      </tp>
      <tp>
        <v>434</v>
        <stp/>
        <stp>OPEN_INT</stp>
        <stp>.SPXW250509C5860</stp>
        <tr r="AU86" s="1"/>
        <tr r="AU86" s="1"/>
      </tp>
      <tp>
        <v>9</v>
        <stp/>
        <stp>OPEN_INT</stp>
        <stp>.SPXW250508P5870</stp>
        <tr r="AT85" s="1"/>
        <tr r="AT85" s="1"/>
      </tp>
      <tp>
        <v>2</v>
        <stp/>
        <stp>OPEN_INT</stp>
        <stp>.SPXW250509P5860</stp>
        <tr r="AV86" s="1"/>
        <tr r="AV86" s="1"/>
      </tp>
      <tp>
        <v>183</v>
        <stp/>
        <stp>OPEN_INT</stp>
        <stp>.SPXW250508C5860</stp>
        <tr r="AS86" s="1"/>
        <tr r="AS86" s="1"/>
      </tp>
      <tp>
        <v>899</v>
        <stp/>
        <stp>OPEN_INT</stp>
        <stp>.SPXW250509C5870</stp>
        <tr r="AU85" s="1"/>
        <tr r="AU85" s="1"/>
      </tp>
      <tp>
        <v>4</v>
        <stp/>
        <stp>OPEN_INT</stp>
        <stp>.SPXW250508P5860</stp>
        <tr r="AT86" s="1"/>
        <tr r="AT86" s="1"/>
      </tp>
      <tp>
        <v>1</v>
        <stp/>
        <stp>OPEN_INT</stp>
        <stp>.SPXW250509P5870</stp>
        <tr r="AV85" s="1"/>
        <tr r="AV85" s="1"/>
      </tp>
      <tp t="s">
        <v>28.70%</v>
        <stp/>
        <stp>IMPL_VOL</stp>
        <stp>.NDX250516C19700</stp>
        <tr r="EP171" s="1"/>
      </tp>
      <tp t="s">
        <v>28.24%</v>
        <stp/>
        <stp>IMPL_VOL</stp>
        <stp>.NDX250516C19725</stp>
        <tr r="EP170" s="1"/>
      </tp>
      <tp t="s">
        <v>28.13%</v>
        <stp/>
        <stp>IMPL_VOL</stp>
        <stp>.NDX250516C19750</stp>
        <tr r="EP169" s="1"/>
      </tp>
      <tp t="s">
        <v>28.20%</v>
        <stp/>
        <stp>IMPL_VOL</stp>
        <stp>.NDX250516C19775</stp>
        <tr r="EP168" s="1"/>
      </tp>
      <tp t="s">
        <v>30.03%</v>
        <stp/>
        <stp>IMPL_VOL</stp>
        <stp>.NDX250516P19725</stp>
        <tr r="EQ170" s="1"/>
      </tp>
      <tp t="s">
        <v>30.10%</v>
        <stp/>
        <stp>IMPL_VOL</stp>
        <stp>.NDX250516P19700</stp>
        <tr r="EQ171" s="1"/>
      </tp>
      <tp t="s">
        <v>29.91%</v>
        <stp/>
        <stp>IMPL_VOL</stp>
        <stp>.NDX250516P19775</stp>
        <tr r="EQ168" s="1"/>
      </tp>
      <tp t="s">
        <v>29.98%</v>
        <stp/>
        <stp>IMPL_VOL</stp>
        <stp>.NDX250516P19750</stp>
        <tr r="EQ169" s="1"/>
      </tp>
      <tp t="s">
        <v>N/A</v>
        <stp/>
        <stp>VOLUME</stp>
        <stp>.SPX250620C5760</stp>
        <tr r="K97" s="2"/>
      </tp>
      <tp t="s">
        <v>N/A</v>
        <stp/>
        <stp>VOLUME</stp>
        <stp>.SPX250523C5750</stp>
        <tr r="H98" s="2"/>
      </tp>
      <tp t="s">
        <v>N/A</v>
        <stp/>
        <stp>VOLUME</stp>
        <stp>.SPX250815C5430</stp>
        <tr r="O130" s="2"/>
      </tp>
      <tp t="s">
        <v>N/A</v>
        <stp/>
        <stp>VOLUME</stp>
        <stp>.SPX251121C5770</stp>
        <tr r="U96" s="2"/>
      </tp>
      <tp t="s">
        <v>N/A</v>
        <stp/>
        <stp>VOLUME</stp>
        <stp>.SPX251121P5770</stp>
        <tr r="U96" s="2"/>
      </tp>
      <tp t="s">
        <v>N/A</v>
        <stp/>
        <stp>VOLUME</stp>
        <stp>.SPX250620P5760</stp>
        <tr r="K97" s="2"/>
      </tp>
      <tp t="s">
        <v>N/A</v>
        <stp/>
        <stp>VOLUME</stp>
        <stp>.SPX250523P5750</stp>
        <tr r="H98" s="2"/>
      </tp>
      <tp t="s">
        <v>N/A</v>
        <stp/>
        <stp>VOLUME</stp>
        <stp>.SPX250815P5430</stp>
        <tr r="O130" s="2"/>
      </tp>
      <tp t="s">
        <v>N/A</v>
        <stp/>
        <stp>VOLUME</stp>
        <stp>.SPX250620C5770</stp>
        <tr r="K96" s="2"/>
      </tp>
      <tp t="s">
        <v>N/A</v>
        <stp/>
        <stp>VOLUME</stp>
        <stp>.SPX250523C5740</stp>
        <tr r="H99" s="2"/>
      </tp>
      <tp t="s">
        <v>N/A</v>
        <stp/>
        <stp>VOLUME</stp>
        <stp>.SPX250815C5420</stp>
        <tr r="O131" s="2"/>
      </tp>
      <tp t="s">
        <v>N/A</v>
        <stp/>
        <stp>VOLUME</stp>
        <stp>.SPX251121C5760</stp>
        <tr r="U97" s="2"/>
      </tp>
      <tp t="s">
        <v>N/A</v>
        <stp/>
        <stp>VOLUME</stp>
        <stp>.SPX251121P5760</stp>
        <tr r="U97" s="2"/>
      </tp>
      <tp t="s">
        <v>N/A</v>
        <stp/>
        <stp>VOLUME</stp>
        <stp>.SPX250620P5770</stp>
        <tr r="K96" s="2"/>
      </tp>
      <tp t="s">
        <v>N/A</v>
        <stp/>
        <stp>VOLUME</stp>
        <stp>.SPX250523P5740</stp>
        <tr r="H99" s="2"/>
      </tp>
      <tp t="s">
        <v>N/A</v>
        <stp/>
        <stp>VOLUME</stp>
        <stp>.SPX250815P5420</stp>
        <tr r="O131" s="2"/>
      </tp>
      <tp t="s">
        <v>N/A</v>
        <stp/>
        <stp>VOLUME</stp>
        <stp>.SPX250620C5740</stp>
        <tr r="K99" s="2"/>
      </tp>
      <tp t="s">
        <v>N/A</v>
        <stp/>
        <stp>VOLUME</stp>
        <stp>.SPX250523C5770</stp>
        <tr r="H96" s="2"/>
      </tp>
      <tp>
        <v>4</v>
        <stp/>
        <stp>VOLUME</stp>
        <stp>.SPX251121C5750</stp>
        <tr r="U98" s="2"/>
        <tr r="U98" s="2"/>
      </tp>
      <tp t="s">
        <v>N/A</v>
        <stp/>
        <stp>VOLUME</stp>
        <stp>.SPX251017C5430</stp>
        <tr r="S130" s="2"/>
      </tp>
      <tp t="s">
        <v>N/A</v>
        <stp/>
        <stp>VOLUME</stp>
        <stp>.SPX251121P5750</stp>
        <tr r="U98" s="2"/>
      </tp>
      <tp t="s">
        <v>N/A</v>
        <stp/>
        <stp>VOLUME</stp>
        <stp>.SPX251017P5430</stp>
        <tr r="S130" s="2"/>
      </tp>
      <tp t="s">
        <v>N/A</v>
        <stp/>
        <stp>VOLUME</stp>
        <stp>.SPX250620P5740</stp>
        <tr r="K99" s="2"/>
      </tp>
      <tp t="s">
        <v>N/A</v>
        <stp/>
        <stp>VOLUME</stp>
        <stp>.SPX250523P5770</stp>
        <tr r="H96" s="2"/>
      </tp>
      <tp t="s">
        <v>N/A</v>
        <stp/>
        <stp>VOLUME</stp>
        <stp>.SPX250620C5750</stp>
        <tr r="K98" s="2"/>
      </tp>
      <tp t="s">
        <v>N/A</v>
        <stp/>
        <stp>VOLUME</stp>
        <stp>.SPX250523C5760</stp>
        <tr r="H97" s="2"/>
      </tp>
      <tp t="s">
        <v>N/A</v>
        <stp/>
        <stp>VOLUME</stp>
        <stp>.SPX251121C5740</stp>
        <tr r="U99" s="2"/>
      </tp>
      <tp t="s">
        <v>N/A</v>
        <stp/>
        <stp>VOLUME</stp>
        <stp>.SPX251017C5420</stp>
        <tr r="S131" s="2"/>
      </tp>
      <tp t="s">
        <v>N/A</v>
        <stp/>
        <stp>VOLUME</stp>
        <stp>.SPX251121P5740</stp>
        <tr r="U99" s="2"/>
      </tp>
      <tp t="s">
        <v>N/A</v>
        <stp/>
        <stp>VOLUME</stp>
        <stp>.SPX251017P5420</stp>
        <tr r="S131" s="2"/>
      </tp>
      <tp t="s">
        <v>N/A</v>
        <stp/>
        <stp>VOLUME</stp>
        <stp>.SPX250620P5750</stp>
        <tr r="K98" s="2"/>
      </tp>
      <tp t="s">
        <v>N/A</v>
        <stp/>
        <stp>VOLUME</stp>
        <stp>.SPX250523P5760</stp>
        <tr r="H97" s="2"/>
      </tp>
      <tp t="s">
        <v>N/A</v>
        <stp/>
        <stp>VOLUME</stp>
        <stp>.SPX250620C5720</stp>
        <tr r="K101" s="2"/>
      </tp>
      <tp t="s">
        <v>N/A</v>
        <stp/>
        <stp>VOLUME</stp>
        <stp>.SPX250523C5710</stp>
        <tr r="H102" s="2"/>
      </tp>
      <tp t="s">
        <v>N/A</v>
        <stp/>
        <stp>VOLUME</stp>
        <stp>.SPX250815C5470</stp>
        <tr r="O126" s="2"/>
      </tp>
      <tp t="s">
        <v>N/A</v>
        <stp/>
        <stp>VOLUME</stp>
        <stp>.SPX251121C5730</stp>
        <tr r="U100" s="2"/>
      </tp>
      <tp t="s">
        <v>N/A</v>
        <stp/>
        <stp>VOLUME</stp>
        <stp>.SPX251017C5450</stp>
        <tr r="S128" s="2"/>
      </tp>
      <tp t="s">
        <v>N/A</v>
        <stp/>
        <stp>VOLUME</stp>
        <stp>.SPX251121P5730</stp>
        <tr r="U100" s="2"/>
      </tp>
      <tp t="s">
        <v>N/A</v>
        <stp/>
        <stp>VOLUME</stp>
        <stp>.SPX251017P5450</stp>
        <tr r="S128" s="2"/>
      </tp>
      <tp t="s">
        <v>N/A</v>
        <stp/>
        <stp>VOLUME</stp>
        <stp>.SPX250620P5720</stp>
        <tr r="K101" s="2"/>
      </tp>
      <tp t="s">
        <v>N/A</v>
        <stp/>
        <stp>VOLUME</stp>
        <stp>.SPX250523P5710</stp>
        <tr r="H102" s="2"/>
      </tp>
      <tp t="s">
        <v>N/A</v>
        <stp/>
        <stp>VOLUME</stp>
        <stp>.SPX250815P5470</stp>
        <tr r="O126" s="2"/>
      </tp>
      <tp t="s">
        <v>N/A</v>
        <stp/>
        <stp>VOLUME</stp>
        <stp>.SPX250620C5730</stp>
        <tr r="K100" s="2"/>
      </tp>
      <tp t="s">
        <v>N/A</v>
        <stp/>
        <stp>VOLUME</stp>
        <stp>.SPX250523C5700</stp>
        <tr r="H103" s="2"/>
      </tp>
      <tp t="s">
        <v>N/A</v>
        <stp/>
        <stp>VOLUME</stp>
        <stp>.SPX250815C5460</stp>
        <tr r="O127" s="2"/>
      </tp>
      <tp t="s">
        <v>N/A</v>
        <stp/>
        <stp>VOLUME</stp>
        <stp>.SPX251121C5720</stp>
        <tr r="U101" s="2"/>
      </tp>
      <tp t="s">
        <v>N/A</v>
        <stp/>
        <stp>VOLUME</stp>
        <stp>.SPX251017C5440</stp>
        <tr r="S129" s="2"/>
      </tp>
      <tp t="s">
        <v>N/A</v>
        <stp/>
        <stp>VOLUME</stp>
        <stp>.SPX251121P5720</stp>
        <tr r="U101" s="2"/>
      </tp>
      <tp t="s">
        <v>N/A</v>
        <stp/>
        <stp>VOLUME</stp>
        <stp>.SPX251017P5440</stp>
        <tr r="S129" s="2"/>
      </tp>
      <tp t="s">
        <v>N/A</v>
        <stp/>
        <stp>VOLUME</stp>
        <stp>.SPX250620P5730</stp>
        <tr r="K100" s="2"/>
      </tp>
      <tp t="s">
        <v>N/A</v>
        <stp/>
        <stp>VOLUME</stp>
        <stp>.SPX250523P5700</stp>
        <tr r="H103" s="2"/>
      </tp>
      <tp t="s">
        <v>N/A</v>
        <stp/>
        <stp>VOLUME</stp>
        <stp>.SPX250815P5460</stp>
        <tr r="O127" s="2"/>
      </tp>
      <tp t="s">
        <v>N/A</v>
        <stp/>
        <stp>VOLUME</stp>
        <stp>.SPX250718C5480</stp>
        <tr r="M125" s="2"/>
      </tp>
      <tp t="s">
        <v>N/A</v>
        <stp/>
        <stp>VOLUME</stp>
        <stp>.SPX250620C5700</stp>
        <tr r="K103" s="2"/>
      </tp>
      <tp t="s">
        <v>N/A</v>
        <stp/>
        <stp>VOLUME</stp>
        <stp>.SPX250523C5730</stp>
        <tr r="H100" s="2"/>
      </tp>
      <tp t="s">
        <v>N/A</v>
        <stp/>
        <stp>VOLUME</stp>
        <stp>.SPX250919C5490</stp>
        <tr r="Q124" s="2"/>
      </tp>
      <tp t="s">
        <v>N/A</v>
        <stp/>
        <stp>VOLUME</stp>
        <stp>.SPX250815C5450</stp>
        <tr r="O128" s="2"/>
      </tp>
      <tp t="s">
        <v>N/A</v>
        <stp/>
        <stp>VOLUME</stp>
        <stp>.SPX251219C5490</stp>
        <tr r="W124" s="2"/>
      </tp>
      <tp t="s">
        <v>N/A</v>
        <stp/>
        <stp>VOLUME</stp>
        <stp>.SPX251121C5710</stp>
        <tr r="U102" s="2"/>
      </tp>
      <tp t="s">
        <v>N/A</v>
        <stp/>
        <stp>VOLUME</stp>
        <stp>.SPX251017C5470</stp>
        <tr r="S126" s="2"/>
      </tp>
      <tp t="s">
        <v>N/A</v>
        <stp/>
        <stp>VOLUME</stp>
        <stp>.SPX251219P5490</stp>
        <tr r="W124" s="2"/>
      </tp>
      <tp t="s">
        <v>N/A</v>
        <stp/>
        <stp>VOLUME</stp>
        <stp>.SPX251121P5710</stp>
        <tr r="U102" s="2"/>
      </tp>
      <tp t="s">
        <v>N/A</v>
        <stp/>
        <stp>VOLUME</stp>
        <stp>.SPX251017P5470</stp>
        <tr r="S126" s="2"/>
      </tp>
      <tp t="s">
        <v>N/A</v>
        <stp/>
        <stp>VOLUME</stp>
        <stp>.SPX250718P5480</stp>
        <tr r="M125" s="2"/>
      </tp>
      <tp t="s">
        <v>N/A</v>
        <stp/>
        <stp>VOLUME</stp>
        <stp>.SPX250620P5700</stp>
        <tr r="K103" s="2"/>
      </tp>
      <tp t="s">
        <v>N/A</v>
        <stp/>
        <stp>VOLUME</stp>
        <stp>.SPX250523P5730</stp>
        <tr r="H100" s="2"/>
      </tp>
      <tp t="s">
        <v>N/A</v>
        <stp/>
        <stp>VOLUME</stp>
        <stp>.SPX250919P5490</stp>
        <tr r="Q124" s="2"/>
      </tp>
      <tp t="s">
        <v>N/A</v>
        <stp/>
        <stp>VOLUME</stp>
        <stp>.SPX250815P5450</stp>
        <tr r="O128" s="2"/>
      </tp>
      <tp t="s">
        <v>N/A</v>
        <stp/>
        <stp>VOLUME</stp>
        <stp>.SPX250718C5490</stp>
        <tr r="M124" s="2"/>
      </tp>
      <tp t="s">
        <v>N/A</v>
        <stp/>
        <stp>VOLUME</stp>
        <stp>.SPX250620C5710</stp>
        <tr r="K102" s="2"/>
      </tp>
      <tp t="s">
        <v>N/A</v>
        <stp/>
        <stp>VOLUME</stp>
        <stp>.SPX250523C5720</stp>
        <tr r="H101" s="2"/>
      </tp>
      <tp t="s">
        <v>N/A</v>
        <stp/>
        <stp>VOLUME</stp>
        <stp>.SPX250919C5480</stp>
        <tr r="Q125" s="2"/>
      </tp>
      <tp t="s">
        <v>N/A</v>
        <stp/>
        <stp>VOLUME</stp>
        <stp>.SPX250815C5440</stp>
        <tr r="O129" s="2"/>
      </tp>
      <tp t="s">
        <v>N/A</v>
        <stp/>
        <stp>VOLUME</stp>
        <stp>.SPX251219C5480</stp>
        <tr r="W125" s="2"/>
      </tp>
      <tp t="s">
        <v>N/A</v>
        <stp/>
        <stp>VOLUME</stp>
        <stp>.SPX251121C5700</stp>
        <tr r="U103" s="2"/>
      </tp>
      <tp t="s">
        <v>N/A</v>
        <stp/>
        <stp>VOLUME</stp>
        <stp>.SPX251017C5460</stp>
        <tr r="S127" s="2"/>
      </tp>
      <tp t="s">
        <v>N/A</v>
        <stp/>
        <stp>VOLUME</stp>
        <stp>.SPX251219P5480</stp>
        <tr r="W125" s="2"/>
      </tp>
      <tp t="s">
        <v>N/A</v>
        <stp/>
        <stp>VOLUME</stp>
        <stp>.SPX251121P5700</stp>
        <tr r="U103" s="2"/>
      </tp>
      <tp t="s">
        <v>N/A</v>
        <stp/>
        <stp>VOLUME</stp>
        <stp>.SPX251017P5460</stp>
        <tr r="S127" s="2"/>
      </tp>
      <tp t="s">
        <v>N/A</v>
        <stp/>
        <stp>VOLUME</stp>
        <stp>.SPX250718P5490</stp>
        <tr r="M124" s="2"/>
      </tp>
      <tp t="s">
        <v>N/A</v>
        <stp/>
        <stp>VOLUME</stp>
        <stp>.SPX250620P5710</stp>
        <tr r="K102" s="2"/>
      </tp>
      <tp t="s">
        <v>N/A</v>
        <stp/>
        <stp>VOLUME</stp>
        <stp>.SPX250523P5720</stp>
        <tr r="H101" s="2"/>
      </tp>
      <tp t="s">
        <v>N/A</v>
        <stp/>
        <stp>VOLUME</stp>
        <stp>.SPX250919P5480</stp>
        <tr r="Q125" s="2"/>
      </tp>
      <tp t="s">
        <v>N/A</v>
        <stp/>
        <stp>VOLUME</stp>
        <stp>.SPX250815P5440</stp>
        <tr r="O129" s="2"/>
      </tp>
      <tp t="s">
        <v>N/A</v>
        <stp/>
        <stp>VOLUME</stp>
        <stp>.SPX250718C5460</stp>
        <tr r="M127" s="2"/>
      </tp>
      <tp t="s">
        <v>N/A</v>
        <stp/>
        <stp>VOLUME</stp>
        <stp>.SPX250919C5470</stp>
        <tr r="Q126" s="2"/>
      </tp>
      <tp t="s">
        <v>N/A</v>
        <stp/>
        <stp>VOLUME</stp>
        <stp>.SPX251219C5470</stp>
        <tr r="W126" s="2"/>
      </tp>
      <tp t="s">
        <v>N/A</v>
        <stp/>
        <stp>VOLUME</stp>
        <stp>.SPX251017C5490</stp>
        <tr r="S124" s="2"/>
      </tp>
      <tp t="s">
        <v>N/A</v>
        <stp/>
        <stp>VOLUME</stp>
        <stp>.SPX251219P5470</stp>
        <tr r="W126" s="2"/>
      </tp>
      <tp t="s">
        <v>N/A</v>
        <stp/>
        <stp>VOLUME</stp>
        <stp>.SPX251017P5490</stp>
        <tr r="S124" s="2"/>
      </tp>
      <tp t="s">
        <v>N/A</v>
        <stp/>
        <stp>VOLUME</stp>
        <stp>.SPX250718P5460</stp>
        <tr r="M127" s="2"/>
      </tp>
      <tp t="s">
        <v>N/A</v>
        <stp/>
        <stp>VOLUME</stp>
        <stp>.SPX250919P5470</stp>
        <tr r="Q126" s="2"/>
      </tp>
      <tp t="s">
        <v>N/A</v>
        <stp/>
        <stp>VOLUME</stp>
        <stp>.SPX250718C5470</stp>
        <tr r="M126" s="2"/>
      </tp>
      <tp t="s">
        <v>N/A</v>
        <stp/>
        <stp>VOLUME</stp>
        <stp>.SPX250919C5460</stp>
        <tr r="Q127" s="2"/>
      </tp>
      <tp t="s">
        <v>N/A</v>
        <stp/>
        <stp>VOLUME</stp>
        <stp>.SPX251219C5460</stp>
        <tr r="W127" s="2"/>
      </tp>
      <tp t="s">
        <v>N/A</v>
        <stp/>
        <stp>VOLUME</stp>
        <stp>.SPX251017C5480</stp>
        <tr r="S125" s="2"/>
      </tp>
      <tp t="s">
        <v>N/A</v>
        <stp/>
        <stp>VOLUME</stp>
        <stp>.SPX251219P5460</stp>
        <tr r="W127" s="2"/>
      </tp>
      <tp t="s">
        <v>N/A</v>
        <stp/>
        <stp>VOLUME</stp>
        <stp>.SPX251017P5480</stp>
        <tr r="S125" s="2"/>
      </tp>
      <tp t="s">
        <v>N/A</v>
        <stp/>
        <stp>VOLUME</stp>
        <stp>.SPX250718P5470</stp>
        <tr r="M126" s="2"/>
      </tp>
      <tp t="s">
        <v>N/A</v>
        <stp/>
        <stp>VOLUME</stp>
        <stp>.SPX250919P5460</stp>
        <tr r="Q127" s="2"/>
      </tp>
      <tp t="s">
        <v>N/A</v>
        <stp/>
        <stp>VOLUME</stp>
        <stp>.SPX250718C5440</stp>
        <tr r="M129" s="2"/>
      </tp>
      <tp t="s">
        <v>N/A</v>
        <stp/>
        <stp>VOLUME</stp>
        <stp>.SPX250919C5450</stp>
        <tr r="Q128" s="2"/>
      </tp>
      <tp t="s">
        <v>N/A</v>
        <stp/>
        <stp>VOLUME</stp>
        <stp>.SPX250815C5490</stp>
        <tr r="O124" s="2"/>
      </tp>
      <tp t="s">
        <v>N/A</v>
        <stp/>
        <stp>VOLUME</stp>
        <stp>.SPX251219C5450</stp>
        <tr r="W128" s="2"/>
      </tp>
      <tp t="s">
        <v>N/A</v>
        <stp/>
        <stp>VOLUME</stp>
        <stp>.SPX251219P5450</stp>
        <tr r="W128" s="2"/>
      </tp>
      <tp t="s">
        <v>N/A</v>
        <stp/>
        <stp>VOLUME</stp>
        <stp>.SPX250718P5440</stp>
        <tr r="M129" s="2"/>
      </tp>
      <tp t="s">
        <v>N/A</v>
        <stp/>
        <stp>VOLUME</stp>
        <stp>.SPX250919P5450</stp>
        <tr r="Q128" s="2"/>
      </tp>
      <tp t="s">
        <v>N/A</v>
        <stp/>
        <stp>VOLUME</stp>
        <stp>.SPX250815P5490</stp>
        <tr r="O124" s="2"/>
      </tp>
      <tp t="s">
        <v>N/A</v>
        <stp/>
        <stp>VOLUME</stp>
        <stp>.SPX250718C5450</stp>
        <tr r="M128" s="2"/>
      </tp>
      <tp t="s">
        <v>N/A</v>
        <stp/>
        <stp>VOLUME</stp>
        <stp>.SPX250919C5440</stp>
        <tr r="Q129" s="2"/>
      </tp>
      <tp t="s">
        <v>N/A</v>
        <stp/>
        <stp>VOLUME</stp>
        <stp>.SPX250815C5480</stp>
        <tr r="O125" s="2"/>
      </tp>
      <tp t="s">
        <v>N/A</v>
        <stp/>
        <stp>VOLUME</stp>
        <stp>.SPX251219C5440</stp>
        <tr r="W129" s="2"/>
      </tp>
      <tp t="s">
        <v>N/A</v>
        <stp/>
        <stp>VOLUME</stp>
        <stp>.SPX251219P5440</stp>
        <tr r="W129" s="2"/>
      </tp>
      <tp t="s">
        <v>N/A</v>
        <stp/>
        <stp>VOLUME</stp>
        <stp>.SPX250718P5450</stp>
        <tr r="M128" s="2"/>
      </tp>
      <tp t="s">
        <v>N/A</v>
        <stp/>
        <stp>VOLUME</stp>
        <stp>.SPX250919P5440</stp>
        <tr r="Q129" s="2"/>
      </tp>
      <tp t="s">
        <v>N/A</v>
        <stp/>
        <stp>VOLUME</stp>
        <stp>.SPX250815P5480</stp>
        <tr r="O125" s="2"/>
      </tp>
      <tp t="s">
        <v>N/A</v>
        <stp/>
        <stp>VOLUME</stp>
        <stp>.SPX250718C5420</stp>
        <tr r="M131" s="2"/>
      </tp>
      <tp t="s">
        <v>N/A</v>
        <stp/>
        <stp>VOLUME</stp>
        <stp>.SPX250523C5790</stp>
        <tr r="H94" s="2"/>
      </tp>
      <tp t="s">
        <v>N/A</v>
        <stp/>
        <stp>VOLUME</stp>
        <stp>.SPX250919C5430</stp>
        <tr r="Q130" s="2"/>
      </tp>
      <tp t="s">
        <v>N/A</v>
        <stp/>
        <stp>VOLUME</stp>
        <stp>.SPX251219C5430</stp>
        <tr r="W130" s="2"/>
      </tp>
      <tp t="s">
        <v>N/A</v>
        <stp/>
        <stp>VOLUME</stp>
        <stp>.SPX251219P5430</stp>
        <tr r="W130" s="2"/>
      </tp>
      <tp t="s">
        <v>N/A</v>
        <stp/>
        <stp>VOLUME</stp>
        <stp>.SPX250718P5420</stp>
        <tr r="M131" s="2"/>
      </tp>
      <tp t="s">
        <v>N/A</v>
        <stp/>
        <stp>VOLUME</stp>
        <stp>.SPX250523P5790</stp>
        <tr r="H94" s="2"/>
      </tp>
      <tp t="s">
        <v>N/A</v>
        <stp/>
        <stp>VOLUME</stp>
        <stp>.SPX250919P5430</stp>
        <tr r="Q130" s="2"/>
      </tp>
      <tp t="s">
        <v>N/A</v>
        <stp/>
        <stp>VOLUME</stp>
        <stp>.SPX250718C5430</stp>
        <tr r="M130" s="2"/>
      </tp>
      <tp t="s">
        <v>N/A</v>
        <stp/>
        <stp>VOLUME</stp>
        <stp>.SPX250523C5780</stp>
        <tr r="H95" s="2"/>
      </tp>
      <tp t="s">
        <v>N/A</v>
        <stp/>
        <stp>VOLUME</stp>
        <stp>.SPX250919C5420</stp>
        <tr r="Q131" s="2"/>
      </tp>
      <tp t="s">
        <v>N/A</v>
        <stp/>
        <stp>VOLUME</stp>
        <stp>.SPX251219C5420</stp>
        <tr r="W131" s="2"/>
      </tp>
      <tp t="s">
        <v>N/A</v>
        <stp/>
        <stp>VOLUME</stp>
        <stp>.SPX251219P5420</stp>
        <tr r="W131" s="2"/>
      </tp>
      <tp t="s">
        <v>N/A</v>
        <stp/>
        <stp>VOLUME</stp>
        <stp>.SPX250718P5430</stp>
        <tr r="M130" s="2"/>
      </tp>
      <tp t="s">
        <v>N/A</v>
        <stp/>
        <stp>VOLUME</stp>
        <stp>.SPX250523P5780</stp>
        <tr r="H95" s="2"/>
      </tp>
      <tp t="s">
        <v>N/A</v>
        <stp/>
        <stp>VOLUME</stp>
        <stp>.SPX250919P5420</stp>
        <tr r="Q131" s="2"/>
      </tp>
      <tp t="s">
        <v>N/A</v>
        <stp/>
        <stp>VOLUME</stp>
        <stp>.SPX250620C5780</stp>
        <tr r="K95" s="2"/>
      </tp>
      <tp t="s">
        <v>N/A</v>
        <stp/>
        <stp>VOLUME</stp>
        <stp>.SPX251121C5790</stp>
        <tr r="U94" s="2"/>
      </tp>
      <tp t="s">
        <v>N/A</v>
        <stp/>
        <stp>VOLUME</stp>
        <stp>.SPX251121P5790</stp>
        <tr r="U94" s="2"/>
      </tp>
      <tp t="s">
        <v>N/A</v>
        <stp/>
        <stp>VOLUME</stp>
        <stp>.SPX250620P5780</stp>
        <tr r="K95" s="2"/>
      </tp>
      <tp t="s">
        <v>N/A</v>
        <stp/>
        <stp>VOLUME</stp>
        <stp>.SPX250620C5790</stp>
        <tr r="K94" s="2"/>
      </tp>
      <tp t="s">
        <v>N/A</v>
        <stp/>
        <stp>VOLUME</stp>
        <stp>.SPX251121C5780</stp>
        <tr r="U95" s="2"/>
      </tp>
      <tp t="s">
        <v>N/A</v>
        <stp/>
        <stp>VOLUME</stp>
        <stp>.SPX251121P5780</stp>
        <tr r="U95" s="2"/>
      </tp>
      <tp t="s">
        <v>N/A</v>
        <stp/>
        <stp>VOLUME</stp>
        <stp>.SPX250620P5790</stp>
        <tr r="K94" s="2"/>
      </tp>
      <tp t="s">
        <v>28.54%</v>
        <stp/>
        <stp>IMPL_VOL</stp>
        <stp>.NDX250516C19600</stp>
        <tr r="EP175" s="1"/>
      </tp>
      <tp t="s">
        <v>28.53%</v>
        <stp/>
        <stp>IMPL_VOL</stp>
        <stp>.NDX250516C19625</stp>
        <tr r="EP174" s="1"/>
      </tp>
      <tp t="s">
        <v>28.54%</v>
        <stp/>
        <stp>IMPL_VOL</stp>
        <stp>.NDX250516C19650</stp>
        <tr r="EP173" s="1"/>
      </tp>
      <tp t="s">
        <v>28.43%</v>
        <stp/>
        <stp>IMPL_VOL</stp>
        <stp>.NDX250516C19675</stp>
        <tr r="EP172" s="1"/>
      </tp>
      <tp t="s">
        <v>30.31%</v>
        <stp/>
        <stp>IMPL_VOL</stp>
        <stp>.NDX250516P19625</stp>
        <tr r="EQ174" s="1"/>
      </tp>
      <tp t="s">
        <v>30.35%</v>
        <stp/>
        <stp>IMPL_VOL</stp>
        <stp>.NDX250516P19600</stp>
        <tr r="EQ175" s="1"/>
      </tp>
      <tp t="s">
        <v>30.19%</v>
        <stp/>
        <stp>IMPL_VOL</stp>
        <stp>.NDX250516P19675</stp>
        <tr r="EQ172" s="1"/>
      </tp>
      <tp t="s">
        <v>30.23%</v>
        <stp/>
        <stp>IMPL_VOL</stp>
        <stp>.NDX250516P19650</stp>
        <tr r="EQ173" s="1"/>
      </tp>
      <tp t="s">
        <v>N/A</v>
        <stp/>
        <stp>VOLUME</stp>
        <stp>.SPX250620C5660</stp>
        <tr r="K107" s="2"/>
      </tp>
      <tp t="s">
        <v>N/A</v>
        <stp/>
        <stp>VOLUME</stp>
        <stp>.SPX250523C5650</stp>
        <tr r="H108" s="2"/>
      </tp>
      <tp t="s">
        <v>N/A</v>
        <stp/>
        <stp>VOLUME</stp>
        <stp>.SPX250815C5530</stp>
        <tr r="O120" s="2"/>
      </tp>
      <tp t="s">
        <v>N/A</v>
        <stp/>
        <stp>VOLUME</stp>
        <stp>.SPX251121C5670</stp>
        <tr r="U106" s="2"/>
      </tp>
      <tp t="s">
        <v>N/A</v>
        <stp/>
        <stp>VOLUME</stp>
        <stp>.SPX251017C5510</stp>
        <tr r="S122" s="2"/>
      </tp>
      <tp t="s">
        <v>N/A</v>
        <stp/>
        <stp>VOLUME</stp>
        <stp>.SPX251121P5670</stp>
        <tr r="U106" s="2"/>
      </tp>
      <tp t="s">
        <v>N/A</v>
        <stp/>
        <stp>VOLUME</stp>
        <stp>.SPX251017P5510</stp>
        <tr r="S122" s="2"/>
      </tp>
      <tp t="s">
        <v>N/A</v>
        <stp/>
        <stp>VOLUME</stp>
        <stp>.SPX250620P5660</stp>
        <tr r="K107" s="2"/>
      </tp>
      <tp t="s">
        <v>N/A</v>
        <stp/>
        <stp>VOLUME</stp>
        <stp>.SPX250523P5650</stp>
        <tr r="H108" s="2"/>
      </tp>
      <tp t="s">
        <v>N/A</v>
        <stp/>
        <stp>VOLUME</stp>
        <stp>.SPX250815P5530</stp>
        <tr r="O120" s="2"/>
      </tp>
      <tp t="s">
        <v>N/A</v>
        <stp/>
        <stp>VOLUME</stp>
        <stp>.SPX250620C5670</stp>
        <tr r="K106" s="2"/>
      </tp>
      <tp t="s">
        <v>N/A</v>
        <stp/>
        <stp>VOLUME</stp>
        <stp>.SPX250523C5640</stp>
        <tr r="H109" s="2"/>
      </tp>
      <tp t="s">
        <v>N/A</v>
        <stp/>
        <stp>VOLUME</stp>
        <stp>.SPX250815C5520</stp>
        <tr r="O121" s="2"/>
      </tp>
      <tp t="s">
        <v>N/A</v>
        <stp/>
        <stp>VOLUME</stp>
        <stp>.SPX251121C5660</stp>
        <tr r="U107" s="2"/>
      </tp>
      <tp t="s">
        <v>N/A</v>
        <stp/>
        <stp>VOLUME</stp>
        <stp>.SPX251017C5500</stp>
        <tr r="S123" s="2"/>
      </tp>
      <tp t="s">
        <v>N/A</v>
        <stp/>
        <stp>VOLUME</stp>
        <stp>.SPX251121P5660</stp>
        <tr r="U107" s="2"/>
      </tp>
      <tp t="s">
        <v>N/A</v>
        <stp/>
        <stp>VOLUME</stp>
        <stp>.SPX251017P5500</stp>
        <tr r="S123" s="2"/>
      </tp>
      <tp t="s">
        <v>N/A</v>
        <stp/>
        <stp>VOLUME</stp>
        <stp>.SPX250620P5670</stp>
        <tr r="K106" s="2"/>
      </tp>
      <tp t="s">
        <v>N/A</v>
        <stp/>
        <stp>VOLUME</stp>
        <stp>.SPX250523P5640</stp>
        <tr r="H109" s="2"/>
      </tp>
      <tp t="s">
        <v>N/A</v>
        <stp/>
        <stp>VOLUME</stp>
        <stp>.SPX250815P5520</stp>
        <tr r="O121" s="2"/>
      </tp>
      <tp t="s">
        <v>N/A</v>
        <stp/>
        <stp>VOLUME</stp>
        <stp>.SPX250620C5640</stp>
        <tr r="K109" s="2"/>
      </tp>
      <tp t="s">
        <v>N/A</v>
        <stp/>
        <stp>VOLUME</stp>
        <stp>.SPX250523C5670</stp>
        <tr r="H106" s="2"/>
      </tp>
      <tp t="s">
        <v>N/A</v>
        <stp/>
        <stp>VOLUME</stp>
        <stp>.SPX250815C5510</stp>
        <tr r="O122" s="2"/>
      </tp>
      <tp t="s">
        <v>N/A</v>
        <stp/>
        <stp>VOLUME</stp>
        <stp>.SPX251121C5650</stp>
        <tr r="U108" s="2"/>
      </tp>
      <tp t="s">
        <v>N/A</v>
        <stp/>
        <stp>VOLUME</stp>
        <stp>.SPX251017C5530</stp>
        <tr r="S120" s="2"/>
      </tp>
      <tp t="s">
        <v>N/A</v>
        <stp/>
        <stp>VOLUME</stp>
        <stp>.SPX251121P5650</stp>
        <tr r="U108" s="2"/>
      </tp>
      <tp t="s">
        <v>N/A</v>
        <stp/>
        <stp>VOLUME</stp>
        <stp>.SPX251017P5530</stp>
        <tr r="S120" s="2"/>
      </tp>
      <tp t="s">
        <v>N/A</v>
        <stp/>
        <stp>VOLUME</stp>
        <stp>.SPX250620P5640</stp>
        <tr r="K109" s="2"/>
      </tp>
      <tp t="s">
        <v>N/A</v>
        <stp/>
        <stp>VOLUME</stp>
        <stp>.SPX250523P5670</stp>
        <tr r="H106" s="2"/>
      </tp>
      <tp t="s">
        <v>N/A</v>
        <stp/>
        <stp>VOLUME</stp>
        <stp>.SPX250815P5510</stp>
        <tr r="O122" s="2"/>
      </tp>
      <tp t="s">
        <v>N/A</v>
        <stp/>
        <stp>VOLUME</stp>
        <stp>.SPX250620C5650</stp>
        <tr r="K108" s="2"/>
      </tp>
      <tp t="s">
        <v>N/A</v>
        <stp/>
        <stp>VOLUME</stp>
        <stp>.SPX250523C5660</stp>
        <tr r="H107" s="2"/>
      </tp>
      <tp t="s">
        <v>N/A</v>
        <stp/>
        <stp>VOLUME</stp>
        <stp>.SPX250815C5500</stp>
        <tr r="O123" s="2"/>
      </tp>
      <tp t="s">
        <v>N/A</v>
        <stp/>
        <stp>VOLUME</stp>
        <stp>.SPX251121C5640</stp>
        <tr r="U109" s="2"/>
      </tp>
      <tp t="s">
        <v>N/A</v>
        <stp/>
        <stp>VOLUME</stp>
        <stp>.SPX251017C5520</stp>
        <tr r="S121" s="2"/>
      </tp>
      <tp t="s">
        <v>N/A</v>
        <stp/>
        <stp>VOLUME</stp>
        <stp>.SPX251121P5640</stp>
        <tr r="U109" s="2"/>
      </tp>
      <tp t="s">
        <v>N/A</v>
        <stp/>
        <stp>VOLUME</stp>
        <stp>.SPX251017P5520</stp>
        <tr r="S121" s="2"/>
      </tp>
      <tp t="s">
        <v>N/A</v>
        <stp/>
        <stp>VOLUME</stp>
        <stp>.SPX250620P5650</stp>
        <tr r="K108" s="2"/>
      </tp>
      <tp t="s">
        <v>N/A</v>
        <stp/>
        <stp>VOLUME</stp>
        <stp>.SPX250523P5660</stp>
        <tr r="H107" s="2"/>
      </tp>
      <tp t="s">
        <v>N/A</v>
        <stp/>
        <stp>VOLUME</stp>
        <stp>.SPX250815P5500</stp>
        <tr r="O123" s="2"/>
      </tp>
      <tp t="s">
        <v>N/A</v>
        <stp/>
        <stp>VOLUME</stp>
        <stp>.SPX250620C5620</stp>
        <tr r="K111" s="2"/>
      </tp>
      <tp t="s">
        <v>N/A</v>
        <stp/>
        <stp>VOLUME</stp>
        <stp>.SPX250523C5610</stp>
        <tr r="H112" s="2"/>
      </tp>
      <tp t="s">
        <v>N/A</v>
        <stp/>
        <stp>VOLUME</stp>
        <stp>.SPX250815C5570</stp>
        <tr r="O116" s="2"/>
      </tp>
      <tp t="s">
        <v>N/A</v>
        <stp/>
        <stp>VOLUME</stp>
        <stp>.SPX251121C5630</stp>
        <tr r="U110" s="2"/>
      </tp>
      <tp t="s">
        <v>N/A</v>
        <stp/>
        <stp>VOLUME</stp>
        <stp>.SPX251017C5550</stp>
        <tr r="S118" s="2"/>
      </tp>
      <tp t="s">
        <v>N/A</v>
        <stp/>
        <stp>VOLUME</stp>
        <stp>.SPX251121P5630</stp>
        <tr r="U110" s="2"/>
      </tp>
      <tp t="s">
        <v>N/A</v>
        <stp/>
        <stp>VOLUME</stp>
        <stp>.SPX251017P5550</stp>
        <tr r="S118" s="2"/>
      </tp>
      <tp t="s">
        <v>N/A</v>
        <stp/>
        <stp>VOLUME</stp>
        <stp>.SPX250620P5620</stp>
        <tr r="K111" s="2"/>
      </tp>
      <tp t="s">
        <v>N/A</v>
        <stp/>
        <stp>VOLUME</stp>
        <stp>.SPX250523P5610</stp>
        <tr r="H112" s="2"/>
      </tp>
      <tp t="s">
        <v>N/A</v>
        <stp/>
        <stp>VOLUME</stp>
        <stp>.SPX250815P5570</stp>
        <tr r="O116" s="2"/>
      </tp>
      <tp t="s">
        <v>N/A</v>
        <stp/>
        <stp>VOLUME</stp>
        <stp>.SPX250620C5630</stp>
        <tr r="K110" s="2"/>
      </tp>
      <tp t="s">
        <v>N/A</v>
        <stp/>
        <stp>VOLUME</stp>
        <stp>.SPX250523C5600</stp>
        <tr r="H113" s="2"/>
      </tp>
      <tp t="s">
        <v>N/A</v>
        <stp/>
        <stp>VOLUME</stp>
        <stp>.SPX250815C5560</stp>
        <tr r="O117" s="2"/>
      </tp>
      <tp t="s">
        <v>N/A</v>
        <stp/>
        <stp>VOLUME</stp>
        <stp>.SPX251121C5620</stp>
        <tr r="U111" s="2"/>
      </tp>
      <tp t="s">
        <v>N/A</v>
        <stp/>
        <stp>VOLUME</stp>
        <stp>.SPX251017C5540</stp>
        <tr r="S119" s="2"/>
      </tp>
      <tp t="s">
        <v>N/A</v>
        <stp/>
        <stp>VOLUME</stp>
        <stp>.SPX251121P5620</stp>
        <tr r="U111" s="2"/>
      </tp>
      <tp t="s">
        <v>N/A</v>
        <stp/>
        <stp>VOLUME</stp>
        <stp>.SPX251017P5540</stp>
        <tr r="S119" s="2"/>
      </tp>
      <tp t="s">
        <v>N/A</v>
        <stp/>
        <stp>VOLUME</stp>
        <stp>.SPX250620P5630</stp>
        <tr r="K110" s="2"/>
      </tp>
      <tp t="s">
        <v>N/A</v>
        <stp/>
        <stp>VOLUME</stp>
        <stp>.SPX250523P5600</stp>
        <tr r="H113" s="2"/>
      </tp>
      <tp t="s">
        <v>N/A</v>
        <stp/>
        <stp>VOLUME</stp>
        <stp>.SPX250815P5560</stp>
        <tr r="O117" s="2"/>
      </tp>
      <tp t="s">
        <v>N/A</v>
        <stp/>
        <stp>VOLUME</stp>
        <stp>.SPX250718C5580</stp>
        <tr r="M115" s="2"/>
      </tp>
      <tp t="s">
        <v>N/A</v>
        <stp/>
        <stp>VOLUME</stp>
        <stp>.SPX250620C5600</stp>
        <tr r="K113" s="2"/>
      </tp>
      <tp t="s">
        <v>N/A</v>
        <stp/>
        <stp>VOLUME</stp>
        <stp>.SPX250523C5630</stp>
        <tr r="H110" s="2"/>
      </tp>
      <tp t="s">
        <v>N/A</v>
        <stp/>
        <stp>VOLUME</stp>
        <stp>.SPX250919C5590</stp>
        <tr r="Q114" s="2"/>
      </tp>
      <tp t="s">
        <v>N/A</v>
        <stp/>
        <stp>VOLUME</stp>
        <stp>.SPX250815C5550</stp>
        <tr r="O118" s="2"/>
      </tp>
      <tp t="s">
        <v>N/A</v>
        <stp/>
        <stp>VOLUME</stp>
        <stp>.SPX251219C5590</stp>
        <tr r="W114" s="2"/>
      </tp>
      <tp t="s">
        <v>N/A</v>
        <stp/>
        <stp>VOLUME</stp>
        <stp>.SPX251121C5610</stp>
        <tr r="U112" s="2"/>
      </tp>
      <tp t="s">
        <v>N/A</v>
        <stp/>
        <stp>VOLUME</stp>
        <stp>.SPX251017C5570</stp>
        <tr r="S116" s="2"/>
      </tp>
      <tp t="s">
        <v>N/A</v>
        <stp/>
        <stp>VOLUME</stp>
        <stp>.SPX251219P5590</stp>
        <tr r="W114" s="2"/>
      </tp>
      <tp t="s">
        <v>N/A</v>
        <stp/>
        <stp>VOLUME</stp>
        <stp>.SPX251121P5610</stp>
        <tr r="U112" s="2"/>
      </tp>
      <tp t="s">
        <v>N/A</v>
        <stp/>
        <stp>VOLUME</stp>
        <stp>.SPX251017P5570</stp>
        <tr r="S116" s="2"/>
      </tp>
      <tp t="s">
        <v>N/A</v>
        <stp/>
        <stp>VOLUME</stp>
        <stp>.SPX250718P5580</stp>
        <tr r="M115" s="2"/>
      </tp>
      <tp t="s">
        <v>N/A</v>
        <stp/>
        <stp>VOLUME</stp>
        <stp>.SPX250620P5600</stp>
        <tr r="K113" s="2"/>
      </tp>
      <tp t="s">
        <v>N/A</v>
        <stp/>
        <stp>VOLUME</stp>
        <stp>.SPX250523P5630</stp>
        <tr r="H110" s="2"/>
      </tp>
      <tp t="s">
        <v>N/A</v>
        <stp/>
        <stp>VOLUME</stp>
        <stp>.SPX250919P5590</stp>
        <tr r="Q114" s="2"/>
      </tp>
      <tp t="s">
        <v>N/A</v>
        <stp/>
        <stp>VOLUME</stp>
        <stp>.SPX250815P5550</stp>
        <tr r="O118" s="2"/>
      </tp>
      <tp t="s">
        <v>N/A</v>
        <stp/>
        <stp>VOLUME</stp>
        <stp>.SPX250718C5590</stp>
        <tr r="M114" s="2"/>
      </tp>
      <tp t="s">
        <v>N/A</v>
        <stp/>
        <stp>VOLUME</stp>
        <stp>.SPX250620C5610</stp>
        <tr r="K112" s="2"/>
      </tp>
      <tp t="s">
        <v>N/A</v>
        <stp/>
        <stp>VOLUME</stp>
        <stp>.SPX250523C5620</stp>
        <tr r="H111" s="2"/>
      </tp>
      <tp t="s">
        <v>N/A</v>
        <stp/>
        <stp>VOLUME</stp>
        <stp>.SPX250919C5580</stp>
        <tr r="Q115" s="2"/>
      </tp>
      <tp t="s">
        <v>N/A</v>
        <stp/>
        <stp>VOLUME</stp>
        <stp>.SPX250815C5540</stp>
        <tr r="O119" s="2"/>
      </tp>
      <tp t="s">
        <v>N/A</v>
        <stp/>
        <stp>VOLUME</stp>
        <stp>.SPX251219C5580</stp>
        <tr r="W115" s="2"/>
      </tp>
      <tp t="s">
        <v>N/A</v>
        <stp/>
        <stp>VOLUME</stp>
        <stp>.SPX251121C5600</stp>
        <tr r="U113" s="2"/>
      </tp>
      <tp t="s">
        <v>N/A</v>
        <stp/>
        <stp>VOLUME</stp>
        <stp>.SPX251017C5560</stp>
        <tr r="S117" s="2"/>
      </tp>
      <tp t="s">
        <v>N/A</v>
        <stp/>
        <stp>VOLUME</stp>
        <stp>.SPX251219P5580</stp>
        <tr r="W115" s="2"/>
      </tp>
      <tp t="s">
        <v>N/A</v>
        <stp/>
        <stp>VOLUME</stp>
        <stp>.SPX251121P5600</stp>
        <tr r="U113" s="2"/>
      </tp>
      <tp t="s">
        <v>N/A</v>
        <stp/>
        <stp>VOLUME</stp>
        <stp>.SPX251017P5560</stp>
        <tr r="S117" s="2"/>
      </tp>
      <tp t="s">
        <v>N/A</v>
        <stp/>
        <stp>VOLUME</stp>
        <stp>.SPX250718P5590</stp>
        <tr r="M114" s="2"/>
      </tp>
      <tp t="s">
        <v>N/A</v>
        <stp/>
        <stp>VOLUME</stp>
        <stp>.SPX250620P5610</stp>
        <tr r="K112" s="2"/>
      </tp>
      <tp t="s">
        <v>N/A</v>
        <stp/>
        <stp>VOLUME</stp>
        <stp>.SPX250523P5620</stp>
        <tr r="H111" s="2"/>
      </tp>
      <tp t="s">
        <v>N/A</v>
        <stp/>
        <stp>VOLUME</stp>
        <stp>.SPX250919P5580</stp>
        <tr r="Q115" s="2"/>
      </tp>
      <tp t="s">
        <v>N/A</v>
        <stp/>
        <stp>VOLUME</stp>
        <stp>.SPX250815P5540</stp>
        <tr r="O119" s="2"/>
      </tp>
      <tp t="s">
        <v>N/A</v>
        <stp/>
        <stp>VOLUME</stp>
        <stp>.SPX250718C5560</stp>
        <tr r="M117" s="2"/>
      </tp>
      <tp t="s">
        <v>N/A</v>
        <stp/>
        <stp>VOLUME</stp>
        <stp>.SPX250919C5570</stp>
        <tr r="Q116" s="2"/>
      </tp>
      <tp t="s">
        <v>N/A</v>
        <stp/>
        <stp>VOLUME</stp>
        <stp>.SPX251219C5570</stp>
        <tr r="W116" s="2"/>
      </tp>
      <tp t="s">
        <v>N/A</v>
        <stp/>
        <stp>VOLUME</stp>
        <stp>.SPX251017C5590</stp>
        <tr r="S114" s="2"/>
      </tp>
      <tp t="s">
        <v>N/A</v>
        <stp/>
        <stp>VOLUME</stp>
        <stp>.SPX251219P5570</stp>
        <tr r="W116" s="2"/>
      </tp>
      <tp t="s">
        <v>N/A</v>
        <stp/>
        <stp>VOLUME</stp>
        <stp>.SPX251017P5590</stp>
        <tr r="S114" s="2"/>
      </tp>
      <tp t="s">
        <v>N/A</v>
        <stp/>
        <stp>VOLUME</stp>
        <stp>.SPX250718P5560</stp>
        <tr r="M117" s="2"/>
      </tp>
      <tp t="s">
        <v>N/A</v>
        <stp/>
        <stp>VOLUME</stp>
        <stp>.SPX250919P5570</stp>
        <tr r="Q116" s="2"/>
      </tp>
      <tp t="s">
        <v>N/A</v>
        <stp/>
        <stp>VOLUME</stp>
        <stp>.SPX250718C5570</stp>
        <tr r="M116" s="2"/>
      </tp>
      <tp t="s">
        <v>N/A</v>
        <stp/>
        <stp>VOLUME</stp>
        <stp>.SPX250919C5560</stp>
        <tr r="Q117" s="2"/>
      </tp>
      <tp t="s">
        <v>N/A</v>
        <stp/>
        <stp>VOLUME</stp>
        <stp>.SPX251219C5560</stp>
        <tr r="W117" s="2"/>
      </tp>
      <tp t="s">
        <v>N/A</v>
        <stp/>
        <stp>VOLUME</stp>
        <stp>.SPX251017C5580</stp>
        <tr r="S115" s="2"/>
      </tp>
      <tp t="s">
        <v>N/A</v>
        <stp/>
        <stp>VOLUME</stp>
        <stp>.SPX251219P5560</stp>
        <tr r="W117" s="2"/>
      </tp>
      <tp t="s">
        <v>N/A</v>
        <stp/>
        <stp>VOLUME</stp>
        <stp>.SPX251017P5580</stp>
        <tr r="S115" s="2"/>
      </tp>
      <tp t="s">
        <v>N/A</v>
        <stp/>
        <stp>VOLUME</stp>
        <stp>.SPX250718P5570</stp>
        <tr r="M116" s="2"/>
      </tp>
      <tp t="s">
        <v>N/A</v>
        <stp/>
        <stp>VOLUME</stp>
        <stp>.SPX250919P5560</stp>
        <tr r="Q117" s="2"/>
      </tp>
      <tp t="s">
        <v>N/A</v>
        <stp/>
        <stp>VOLUME</stp>
        <stp>.SPX250718C5540</stp>
        <tr r="M119" s="2"/>
      </tp>
      <tp t="s">
        <v>N/A</v>
        <stp/>
        <stp>VOLUME</stp>
        <stp>.SPX250919C5550</stp>
        <tr r="Q118" s="2"/>
      </tp>
      <tp t="s">
        <v>N/A</v>
        <stp/>
        <stp>VOLUME</stp>
        <stp>.SPX250815C5590</stp>
        <tr r="O114" s="2"/>
      </tp>
      <tp t="s">
        <v>N/A</v>
        <stp/>
        <stp>VOLUME</stp>
        <stp>.SPX251219C5550</stp>
        <tr r="W118" s="2"/>
      </tp>
      <tp t="s">
        <v>N/A</v>
        <stp/>
        <stp>VOLUME</stp>
        <stp>.SPX251219P5550</stp>
        <tr r="W118" s="2"/>
      </tp>
      <tp t="s">
        <v>N/A</v>
        <stp/>
        <stp>VOLUME</stp>
        <stp>.SPX250718P5540</stp>
        <tr r="M119" s="2"/>
      </tp>
      <tp t="s">
        <v>N/A</v>
        <stp/>
        <stp>VOLUME</stp>
        <stp>.SPX250919P5550</stp>
        <tr r="Q118" s="2"/>
      </tp>
      <tp t="s">
        <v>N/A</v>
        <stp/>
        <stp>VOLUME</stp>
        <stp>.SPX250815P5590</stp>
        <tr r="O114" s="2"/>
      </tp>
      <tp t="s">
        <v>N/A</v>
        <stp/>
        <stp>VOLUME</stp>
        <stp>.SPX250718C5550</stp>
        <tr r="M118" s="2"/>
      </tp>
      <tp t="s">
        <v>N/A</v>
        <stp/>
        <stp>VOLUME</stp>
        <stp>.SPX250919C5540</stp>
        <tr r="Q119" s="2"/>
      </tp>
      <tp t="s">
        <v>N/A</v>
        <stp/>
        <stp>VOLUME</stp>
        <stp>.SPX250815C5580</stp>
        <tr r="O115" s="2"/>
      </tp>
      <tp t="s">
        <v>N/A</v>
        <stp/>
        <stp>VOLUME</stp>
        <stp>.SPX251219C5540</stp>
        <tr r="W119" s="2"/>
      </tp>
      <tp t="s">
        <v>N/A</v>
        <stp/>
        <stp>VOLUME</stp>
        <stp>.SPX251219P5540</stp>
        <tr r="W119" s="2"/>
      </tp>
      <tp t="s">
        <v>N/A</v>
        <stp/>
        <stp>VOLUME</stp>
        <stp>.SPX250718P5550</stp>
        <tr r="M118" s="2"/>
      </tp>
      <tp t="s">
        <v>N/A</v>
        <stp/>
        <stp>VOLUME</stp>
        <stp>.SPX250919P5540</stp>
        <tr r="Q119" s="2"/>
      </tp>
      <tp t="s">
        <v>N/A</v>
        <stp/>
        <stp>VOLUME</stp>
        <stp>.SPX250815P5580</stp>
        <tr r="O115" s="2"/>
      </tp>
      <tp t="s">
        <v>N/A</v>
        <stp/>
        <stp>VOLUME</stp>
        <stp>.SPX250718C5520</stp>
        <tr r="M121" s="2"/>
      </tp>
      <tp t="s">
        <v>N/A</v>
        <stp/>
        <stp>VOLUME</stp>
        <stp>.SPX250523C5690</stp>
        <tr r="H104" s="2"/>
      </tp>
      <tp t="s">
        <v>N/A</v>
        <stp/>
        <stp>VOLUME</stp>
        <stp>.SPX250919C5530</stp>
        <tr r="Q120" s="2"/>
      </tp>
      <tp t="s">
        <v>N/A</v>
        <stp/>
        <stp>VOLUME</stp>
        <stp>.SPX251219C5530</stp>
        <tr r="W120" s="2"/>
      </tp>
      <tp t="s">
        <v>N/A</v>
        <stp/>
        <stp>VOLUME</stp>
        <stp>.SPX251219P5530</stp>
        <tr r="W120" s="2"/>
      </tp>
      <tp t="s">
        <v>N/A</v>
        <stp/>
        <stp>VOLUME</stp>
        <stp>.SPX250718P5520</stp>
        <tr r="M121" s="2"/>
      </tp>
      <tp t="s">
        <v>N/A</v>
        <stp/>
        <stp>VOLUME</stp>
        <stp>.SPX250523P5690</stp>
        <tr r="H104" s="2"/>
      </tp>
      <tp t="s">
        <v>N/A</v>
        <stp/>
        <stp>VOLUME</stp>
        <stp>.SPX250919P5530</stp>
        <tr r="Q120" s="2"/>
      </tp>
      <tp t="s">
        <v>N/A</v>
        <stp/>
        <stp>VOLUME</stp>
        <stp>.SPX250718C5530</stp>
        <tr r="M120" s="2"/>
      </tp>
      <tp t="s">
        <v>N/A</v>
        <stp/>
        <stp>VOLUME</stp>
        <stp>.SPX250523C5680</stp>
        <tr r="H105" s="2"/>
      </tp>
      <tp t="s">
        <v>N/A</v>
        <stp/>
        <stp>VOLUME</stp>
        <stp>.SPX250919C5520</stp>
        <tr r="Q121" s="2"/>
      </tp>
      <tp t="s">
        <v>N/A</v>
        <stp/>
        <stp>VOLUME</stp>
        <stp>.SPX251219C5520</stp>
        <tr r="W121" s="2"/>
      </tp>
      <tp t="s">
        <v>N/A</v>
        <stp/>
        <stp>VOLUME</stp>
        <stp>.SPX251219P5520</stp>
        <tr r="W121" s="2"/>
      </tp>
      <tp t="s">
        <v>N/A</v>
        <stp/>
        <stp>VOLUME</stp>
        <stp>.SPX250718P5530</stp>
        <tr r="M120" s="2"/>
      </tp>
      <tp t="s">
        <v>N/A</v>
        <stp/>
        <stp>VOLUME</stp>
        <stp>.SPX250523P5680</stp>
        <tr r="H105" s="2"/>
      </tp>
      <tp t="s">
        <v>N/A</v>
        <stp/>
        <stp>VOLUME</stp>
        <stp>.SPX250919P5520</stp>
        <tr r="Q121" s="2"/>
      </tp>
      <tp t="s">
        <v>N/A</v>
        <stp/>
        <stp>VOLUME</stp>
        <stp>.SPX250718C5500</stp>
        <tr r="M123" s="2"/>
      </tp>
      <tp t="s">
        <v>N/A</v>
        <stp/>
        <stp>VOLUME</stp>
        <stp>.SPX250620C5680</stp>
        <tr r="K105" s="2"/>
      </tp>
      <tp t="s">
        <v>N/A</v>
        <stp/>
        <stp>VOLUME</stp>
        <stp>.SPX250919C5510</stp>
        <tr r="Q122" s="2"/>
      </tp>
      <tp t="s">
        <v>N/A</v>
        <stp/>
        <stp>VOLUME</stp>
        <stp>.SPX251219C5510</stp>
        <tr r="W122" s="2"/>
      </tp>
      <tp t="s">
        <v>N/A</v>
        <stp/>
        <stp>VOLUME</stp>
        <stp>.SPX251121C5690</stp>
        <tr r="U104" s="2"/>
      </tp>
      <tp t="s">
        <v>N/A</v>
        <stp/>
        <stp>VOLUME</stp>
        <stp>.SPX251219P5510</stp>
        <tr r="W122" s="2"/>
      </tp>
      <tp t="s">
        <v>N/A</v>
        <stp/>
        <stp>VOLUME</stp>
        <stp>.SPX251121P5690</stp>
        <tr r="U104" s="2"/>
      </tp>
      <tp t="s">
        <v>N/A</v>
        <stp/>
        <stp>VOLUME</stp>
        <stp>.SPX250718P5500</stp>
        <tr r="M123" s="2"/>
      </tp>
      <tp t="s">
        <v>N/A</v>
        <stp/>
        <stp>VOLUME</stp>
        <stp>.SPX250620P5680</stp>
        <tr r="K105" s="2"/>
      </tp>
      <tp t="s">
        <v>N/A</v>
        <stp/>
        <stp>VOLUME</stp>
        <stp>.SPX250919P5510</stp>
        <tr r="Q122" s="2"/>
      </tp>
      <tp t="s">
        <v>N/A</v>
        <stp/>
        <stp>VOLUME</stp>
        <stp>.SPX250718C5510</stp>
        <tr r="M122" s="2"/>
      </tp>
      <tp t="s">
        <v>N/A</v>
        <stp/>
        <stp>VOLUME</stp>
        <stp>.SPX250620C5690</stp>
        <tr r="K104" s="2"/>
      </tp>
      <tp t="s">
        <v>N/A</v>
        <stp/>
        <stp>VOLUME</stp>
        <stp>.SPX250919C5500</stp>
        <tr r="Q123" s="2"/>
      </tp>
      <tp t="s">
        <v>N/A</v>
        <stp/>
        <stp>VOLUME</stp>
        <stp>.SPX251219C5500</stp>
        <tr r="W123" s="2"/>
      </tp>
      <tp t="s">
        <v>N/A</v>
        <stp/>
        <stp>VOLUME</stp>
        <stp>.SPX251121C5680</stp>
        <tr r="U105" s="2"/>
      </tp>
      <tp t="s">
        <v>N/A</v>
        <stp/>
        <stp>VOLUME</stp>
        <stp>.SPX251219P5500</stp>
        <tr r="W123" s="2"/>
      </tp>
      <tp t="s">
        <v>N/A</v>
        <stp/>
        <stp>VOLUME</stp>
        <stp>.SPX251121P5680</stp>
        <tr r="U105" s="2"/>
      </tp>
      <tp t="s">
        <v>N/A</v>
        <stp/>
        <stp>VOLUME</stp>
        <stp>.SPX250718P5510</stp>
        <tr r="M122" s="2"/>
      </tp>
      <tp t="s">
        <v>N/A</v>
        <stp/>
        <stp>VOLUME</stp>
        <stp>.SPX250620P5690</stp>
        <tr r="K104" s="2"/>
      </tp>
      <tp t="s">
        <v>N/A</v>
        <stp/>
        <stp>VOLUME</stp>
        <stp>.SPX250919P5500</stp>
        <tr r="Q123" s="2"/>
      </tp>
      <tp t="s">
        <v>28.59%</v>
        <stp/>
        <stp>IMPL_VOL</stp>
        <stp>.NDX250516C19500</stp>
        <tr r="EP179" s="1"/>
      </tp>
      <tp t="s">
        <v>26.17%</v>
        <stp/>
        <stp>IMPL_VOL</stp>
        <stp>.NDX250516C20500</stp>
        <tr r="EP139" s="1"/>
      </tp>
      <tp t="s">
        <v>28.59%</v>
        <stp/>
        <stp>IMPL_VOL</stp>
        <stp>.NDX250516C19525</stp>
        <tr r="EP178" s="1"/>
      </tp>
      <tp t="s">
        <v>26.09%</v>
        <stp/>
        <stp>IMPL_VOL</stp>
        <stp>.NDX250516C20525</stp>
        <tr r="EP138" s="1"/>
      </tp>
      <tp t="s">
        <v>28.56%</v>
        <stp/>
        <stp>IMPL_VOL</stp>
        <stp>.NDX250516C19550</stp>
        <tr r="EP177" s="1"/>
      </tp>
      <tp t="s">
        <v>26.06%</v>
        <stp/>
        <stp>IMPL_VOL</stp>
        <stp>.NDX250516C20550</stp>
        <tr r="EP137" s="1"/>
      </tp>
      <tp t="s">
        <v>28.55%</v>
        <stp/>
        <stp>IMPL_VOL</stp>
        <stp>.NDX250516C19575</stp>
        <tr r="EP176" s="1"/>
      </tp>
      <tp t="s">
        <v>30.55%</v>
        <stp/>
        <stp>IMPL_VOL</stp>
        <stp>.NDX250516P19525</stp>
        <tr r="EQ178" s="1"/>
      </tp>
      <tp t="s">
        <v>27.85%</v>
        <stp/>
        <stp>IMPL_VOL</stp>
        <stp>.NDX250516P20525</stp>
        <tr r="EQ138" s="1"/>
      </tp>
      <tp t="s">
        <v>30.63%</v>
        <stp/>
        <stp>IMPL_VOL</stp>
        <stp>.NDX250516P19500</stp>
        <tr r="EQ179" s="1"/>
      </tp>
      <tp t="s">
        <v>27.98%</v>
        <stp/>
        <stp>IMPL_VOL</stp>
        <stp>.NDX250516P20500</stp>
        <tr r="EQ139" s="1"/>
      </tp>
      <tp t="s">
        <v>30.44%</v>
        <stp/>
        <stp>IMPL_VOL</stp>
        <stp>.NDX250516P19575</stp>
        <tr r="EQ176" s="1"/>
      </tp>
      <tp t="s">
        <v>30.47%</v>
        <stp/>
        <stp>IMPL_VOL</stp>
        <stp>.NDX250516P19550</stp>
        <tr r="EQ177" s="1"/>
      </tp>
      <tp t="s">
        <v>28.13%</v>
        <stp/>
        <stp>IMPL_VOL</stp>
        <stp>.NDX250516P20550</stp>
        <tr r="EQ137" s="1"/>
      </tp>
      <tp t="s">
        <v>N/A</v>
        <stp/>
        <stp>VOLUME</stp>
        <stp>.SPX250620C5560</stp>
        <tr r="K117" s="2"/>
      </tp>
      <tp t="s">
        <v>N/A</v>
        <stp/>
        <stp>VOLUME</stp>
        <stp>.SPX250523C5550</stp>
        <tr r="H118" s="2"/>
      </tp>
      <tp t="s">
        <v>N/A</v>
        <stp/>
        <stp>VOLUME</stp>
        <stp>.SPX250815C5630</stp>
        <tr r="O110" s="2"/>
      </tp>
      <tp t="s">
        <v>N/A</v>
        <stp/>
        <stp>VOLUME</stp>
        <stp>.SPX251121C5570</stp>
        <tr r="U116" s="2"/>
      </tp>
      <tp t="s">
        <v>N/A</v>
        <stp/>
        <stp>VOLUME</stp>
        <stp>.SPX251017C5610</stp>
        <tr r="S112" s="2"/>
      </tp>
      <tp t="s">
        <v>N/A</v>
        <stp/>
        <stp>VOLUME</stp>
        <stp>.SPX251121P5570</stp>
        <tr r="U116" s="2"/>
      </tp>
      <tp t="s">
        <v>N/A</v>
        <stp/>
        <stp>VOLUME</stp>
        <stp>.SPX251017P5610</stp>
        <tr r="S112" s="2"/>
      </tp>
      <tp t="s">
        <v>N/A</v>
        <stp/>
        <stp>VOLUME</stp>
        <stp>.SPX250620P5560</stp>
        <tr r="K117" s="2"/>
      </tp>
      <tp t="s">
        <v>N/A</v>
        <stp/>
        <stp>VOLUME</stp>
        <stp>.SPX250523P5550</stp>
        <tr r="H118" s="2"/>
      </tp>
      <tp t="s">
        <v>N/A</v>
        <stp/>
        <stp>VOLUME</stp>
        <stp>.SPX250815P5630</stp>
        <tr r="O110" s="2"/>
      </tp>
      <tp t="s">
        <v>N/A</v>
        <stp/>
        <stp>VOLUME</stp>
        <stp>.SPX250620C5570</stp>
        <tr r="K116" s="2"/>
      </tp>
      <tp t="s">
        <v>N/A</v>
        <stp/>
        <stp>VOLUME</stp>
        <stp>.SPX250523C5540</stp>
        <tr r="H119" s="2"/>
      </tp>
      <tp t="s">
        <v>N/A</v>
        <stp/>
        <stp>VOLUME</stp>
        <stp>.SPX250815C5620</stp>
        <tr r="O111" s="2"/>
      </tp>
      <tp t="s">
        <v>N/A</v>
        <stp/>
        <stp>VOLUME</stp>
        <stp>.SPX251121C5560</stp>
        <tr r="U117" s="2"/>
      </tp>
      <tp t="s">
        <v>N/A</v>
        <stp/>
        <stp>VOLUME</stp>
        <stp>.SPX251017C5600</stp>
        <tr r="S113" s="2"/>
      </tp>
      <tp t="s">
        <v>N/A</v>
        <stp/>
        <stp>VOLUME</stp>
        <stp>.SPX251121P5560</stp>
        <tr r="U117" s="2"/>
      </tp>
      <tp t="s">
        <v>N/A</v>
        <stp/>
        <stp>VOLUME</stp>
        <stp>.SPX251017P5600</stp>
        <tr r="S113" s="2"/>
      </tp>
      <tp t="s">
        <v>N/A</v>
        <stp/>
        <stp>VOLUME</stp>
        <stp>.SPX250620P5570</stp>
        <tr r="K116" s="2"/>
      </tp>
      <tp t="s">
        <v>N/A</v>
        <stp/>
        <stp>VOLUME</stp>
        <stp>.SPX250523P5540</stp>
        <tr r="H119" s="2"/>
      </tp>
      <tp t="s">
        <v>N/A</v>
        <stp/>
        <stp>VOLUME</stp>
        <stp>.SPX250815P5620</stp>
        <tr r="O111" s="2"/>
      </tp>
      <tp t="s">
        <v>N/A</v>
        <stp/>
        <stp>VOLUME</stp>
        <stp>.SPX250620C5540</stp>
        <tr r="K119" s="2"/>
      </tp>
      <tp t="s">
        <v>N/A</v>
        <stp/>
        <stp>VOLUME</stp>
        <stp>.SPX250523C5570</stp>
        <tr r="H116" s="2"/>
      </tp>
      <tp t="s">
        <v>N/A</v>
        <stp/>
        <stp>VOLUME</stp>
        <stp>.SPX250815C5610</stp>
        <tr r="O112" s="2"/>
      </tp>
      <tp t="s">
        <v>N/A</v>
        <stp/>
        <stp>VOLUME</stp>
        <stp>.SPX251121C5550</stp>
        <tr r="U118" s="2"/>
      </tp>
      <tp t="s">
        <v>N/A</v>
        <stp/>
        <stp>VOLUME</stp>
        <stp>.SPX251017C5630</stp>
        <tr r="S110" s="2"/>
      </tp>
      <tp t="s">
        <v>N/A</v>
        <stp/>
        <stp>VOLUME</stp>
        <stp>.SPX251121P5550</stp>
        <tr r="U118" s="2"/>
      </tp>
      <tp t="s">
        <v>N/A</v>
        <stp/>
        <stp>VOLUME</stp>
        <stp>.SPX251017P5630</stp>
        <tr r="S110" s="2"/>
      </tp>
      <tp t="s">
        <v>N/A</v>
        <stp/>
        <stp>VOLUME</stp>
        <stp>.SPX250620P5540</stp>
        <tr r="K119" s="2"/>
      </tp>
      <tp t="s">
        <v>N/A</v>
        <stp/>
        <stp>VOLUME</stp>
        <stp>.SPX250523P5570</stp>
        <tr r="H116" s="2"/>
      </tp>
      <tp t="s">
        <v>N/A</v>
        <stp/>
        <stp>VOLUME</stp>
        <stp>.SPX250815P5610</stp>
        <tr r="O112" s="2"/>
      </tp>
      <tp t="s">
        <v>N/A</v>
        <stp/>
        <stp>VOLUME</stp>
        <stp>.SPX250620C5550</stp>
        <tr r="K118" s="2"/>
      </tp>
      <tp t="s">
        <v>N/A</v>
        <stp/>
        <stp>VOLUME</stp>
        <stp>.SPX250523C5560</stp>
        <tr r="H117" s="2"/>
      </tp>
      <tp t="s">
        <v>N/A</v>
        <stp/>
        <stp>VOLUME</stp>
        <stp>.SPX250815C5600</stp>
        <tr r="O113" s="2"/>
      </tp>
      <tp t="s">
        <v>N/A</v>
        <stp/>
        <stp>VOLUME</stp>
        <stp>.SPX251121C5540</stp>
        <tr r="U119" s="2"/>
      </tp>
      <tp t="s">
        <v>N/A</v>
        <stp/>
        <stp>VOLUME</stp>
        <stp>.SPX251017C5620</stp>
        <tr r="S111" s="2"/>
      </tp>
      <tp t="s">
        <v>N/A</v>
        <stp/>
        <stp>VOLUME</stp>
        <stp>.SPX251121P5540</stp>
        <tr r="U119" s="2"/>
      </tp>
      <tp t="s">
        <v>N/A</v>
        <stp/>
        <stp>VOLUME</stp>
        <stp>.SPX251017P5620</stp>
        <tr r="S111" s="2"/>
      </tp>
      <tp t="s">
        <v>N/A</v>
        <stp/>
        <stp>VOLUME</stp>
        <stp>.SPX250620P5550</stp>
        <tr r="K118" s="2"/>
      </tp>
      <tp t="s">
        <v>N/A</v>
        <stp/>
        <stp>VOLUME</stp>
        <stp>.SPX250523P5560</stp>
        <tr r="H117" s="2"/>
      </tp>
      <tp t="s">
        <v>N/A</v>
        <stp/>
        <stp>VOLUME</stp>
        <stp>.SPX250815P5600</stp>
        <tr r="O113" s="2"/>
      </tp>
      <tp t="s">
        <v>N/A</v>
        <stp/>
        <stp>VOLUME</stp>
        <stp>.SPX250620C5520</stp>
        <tr r="K121" s="2"/>
      </tp>
      <tp t="s">
        <v>N/A</v>
        <stp/>
        <stp>VOLUME</stp>
        <stp>.SPX250523C5510</stp>
        <tr r="H122" s="2"/>
      </tp>
      <tp t="s">
        <v>N/A</v>
        <stp/>
        <stp>VOLUME</stp>
        <stp>.SPX250815C5670</stp>
        <tr r="O106" s="2"/>
      </tp>
      <tp t="s">
        <v>N/A</v>
        <stp/>
        <stp>VOLUME</stp>
        <stp>.SPX251121C5530</stp>
        <tr r="U120" s="2"/>
      </tp>
      <tp t="s">
        <v>N/A</v>
        <stp/>
        <stp>VOLUME</stp>
        <stp>.SPX251017C5650</stp>
        <tr r="S108" s="2"/>
      </tp>
      <tp t="s">
        <v>N/A</v>
        <stp/>
        <stp>VOLUME</stp>
        <stp>.SPX251121P5530</stp>
        <tr r="U120" s="2"/>
      </tp>
      <tp t="s">
        <v>N/A</v>
        <stp/>
        <stp>VOLUME</stp>
        <stp>.SPX251017P5650</stp>
        <tr r="S108" s="2"/>
      </tp>
      <tp t="s">
        <v>N/A</v>
        <stp/>
        <stp>VOLUME</stp>
        <stp>.SPX250620P5520</stp>
        <tr r="K121" s="2"/>
      </tp>
      <tp t="s">
        <v>N/A</v>
        <stp/>
        <stp>VOLUME</stp>
        <stp>.SPX250523P5510</stp>
        <tr r="H122" s="2"/>
      </tp>
      <tp t="s">
        <v>N/A</v>
        <stp/>
        <stp>VOLUME</stp>
        <stp>.SPX250815P5670</stp>
        <tr r="O106" s="2"/>
      </tp>
      <tp t="s">
        <v>N/A</v>
        <stp/>
        <stp>VOLUME</stp>
        <stp>.SPX250620C5530</stp>
        <tr r="K120" s="2"/>
      </tp>
      <tp t="s">
        <v>N/A</v>
        <stp/>
        <stp>VOLUME</stp>
        <stp>.SPX250523C5500</stp>
        <tr r="H123" s="2"/>
      </tp>
      <tp t="s">
        <v>N/A</v>
        <stp/>
        <stp>VOLUME</stp>
        <stp>.SPX250815C5660</stp>
        <tr r="O107" s="2"/>
      </tp>
      <tp t="s">
        <v>N/A</v>
        <stp/>
        <stp>VOLUME</stp>
        <stp>.SPX251121C5520</stp>
        <tr r="U121" s="2"/>
      </tp>
      <tp t="s">
        <v>N/A</v>
        <stp/>
        <stp>VOLUME</stp>
        <stp>.SPX251017C5640</stp>
        <tr r="S109" s="2"/>
      </tp>
      <tp t="s">
        <v>N/A</v>
        <stp/>
        <stp>VOLUME</stp>
        <stp>.SPX251121P5520</stp>
        <tr r="U121" s="2"/>
      </tp>
      <tp t="s">
        <v>N/A</v>
        <stp/>
        <stp>VOLUME</stp>
        <stp>.SPX251017P5640</stp>
        <tr r="S109" s="2"/>
      </tp>
      <tp t="s">
        <v>N/A</v>
        <stp/>
        <stp>VOLUME</stp>
        <stp>.SPX250620P5530</stp>
        <tr r="K120" s="2"/>
      </tp>
      <tp t="s">
        <v>N/A</v>
        <stp/>
        <stp>VOLUME</stp>
        <stp>.SPX250523P5500</stp>
        <tr r="H123" s="2"/>
      </tp>
      <tp t="s">
        <v>N/A</v>
        <stp/>
        <stp>VOLUME</stp>
        <stp>.SPX250815P5660</stp>
        <tr r="O107" s="2"/>
      </tp>
      <tp t="s">
        <v>N/A</v>
        <stp/>
        <stp>VOLUME</stp>
        <stp>.SPX250718C5680</stp>
        <tr r="M105" s="2"/>
      </tp>
      <tp t="s">
        <v>N/A</v>
        <stp/>
        <stp>VOLUME</stp>
        <stp>.SPX250620C5500</stp>
        <tr r="K123" s="2"/>
      </tp>
      <tp t="s">
        <v>N/A</v>
        <stp/>
        <stp>VOLUME</stp>
        <stp>.SPX250523C5530</stp>
        <tr r="H120" s="2"/>
      </tp>
      <tp t="s">
        <v>N/A</v>
        <stp/>
        <stp>VOLUME</stp>
        <stp>.SPX250919C5690</stp>
        <tr r="Q104" s="2"/>
      </tp>
      <tp t="s">
        <v>N/A</v>
        <stp/>
        <stp>VOLUME</stp>
        <stp>.SPX250815C5650</stp>
        <tr r="O108" s="2"/>
      </tp>
      <tp t="s">
        <v>N/A</v>
        <stp/>
        <stp>VOLUME</stp>
        <stp>.SPX251219C5690</stp>
        <tr r="W104" s="2"/>
      </tp>
      <tp t="s">
        <v>N/A</v>
        <stp/>
        <stp>VOLUME</stp>
        <stp>.SPX251121C5510</stp>
        <tr r="U122" s="2"/>
      </tp>
      <tp t="s">
        <v>N/A</v>
        <stp/>
        <stp>VOLUME</stp>
        <stp>.SPX251017C5670</stp>
        <tr r="S106" s="2"/>
      </tp>
      <tp t="s">
        <v>N/A</v>
        <stp/>
        <stp>VOLUME</stp>
        <stp>.SPX251219P5690</stp>
        <tr r="W104" s="2"/>
      </tp>
      <tp t="s">
        <v>N/A</v>
        <stp/>
        <stp>VOLUME</stp>
        <stp>.SPX251121P5510</stp>
        <tr r="U122" s="2"/>
      </tp>
      <tp t="s">
        <v>N/A</v>
        <stp/>
        <stp>VOLUME</stp>
        <stp>.SPX251017P5670</stp>
        <tr r="S106" s="2"/>
      </tp>
      <tp t="s">
        <v>N/A</v>
        <stp/>
        <stp>VOLUME</stp>
        <stp>.SPX250718P5680</stp>
        <tr r="M105" s="2"/>
      </tp>
      <tp t="s">
        <v>N/A</v>
        <stp/>
        <stp>VOLUME</stp>
        <stp>.SPX250620P5500</stp>
        <tr r="K123" s="2"/>
      </tp>
      <tp t="s">
        <v>N/A</v>
        <stp/>
        <stp>VOLUME</stp>
        <stp>.SPX250523P5530</stp>
        <tr r="H120" s="2"/>
      </tp>
      <tp t="s">
        <v>N/A</v>
        <stp/>
        <stp>VOLUME</stp>
        <stp>.SPX250919P5690</stp>
        <tr r="Q104" s="2"/>
      </tp>
      <tp t="s">
        <v>N/A</v>
        <stp/>
        <stp>VOLUME</stp>
        <stp>.SPX250815P5650</stp>
        <tr r="O108" s="2"/>
      </tp>
      <tp t="s">
        <v>N/A</v>
        <stp/>
        <stp>VOLUME</stp>
        <stp>.SPX250718C5690</stp>
        <tr r="M104" s="2"/>
      </tp>
      <tp t="s">
        <v>N/A</v>
        <stp/>
        <stp>VOLUME</stp>
        <stp>.SPX250620C5510</stp>
        <tr r="K122" s="2"/>
      </tp>
      <tp t="s">
        <v>N/A</v>
        <stp/>
        <stp>VOLUME</stp>
        <stp>.SPX250523C5520</stp>
        <tr r="H121" s="2"/>
      </tp>
      <tp t="s">
        <v>N/A</v>
        <stp/>
        <stp>VOLUME</stp>
        <stp>.SPX250919C5680</stp>
        <tr r="Q105" s="2"/>
      </tp>
      <tp t="s">
        <v>N/A</v>
        <stp/>
        <stp>VOLUME</stp>
        <stp>.SPX250815C5640</stp>
        <tr r="O109" s="2"/>
      </tp>
      <tp t="s">
        <v>N/A</v>
        <stp/>
        <stp>VOLUME</stp>
        <stp>.SPX251219C5680</stp>
        <tr r="W105" s="2"/>
      </tp>
      <tp t="s">
        <v>N/A</v>
        <stp/>
        <stp>VOLUME</stp>
        <stp>.SPX251121C5500</stp>
        <tr r="U123" s="2"/>
      </tp>
      <tp t="s">
        <v>N/A</v>
        <stp/>
        <stp>VOLUME</stp>
        <stp>.SPX251017C5660</stp>
        <tr r="S107" s="2"/>
      </tp>
      <tp t="s">
        <v>N/A</v>
        <stp/>
        <stp>VOLUME</stp>
        <stp>.SPX251219P5680</stp>
        <tr r="W105" s="2"/>
      </tp>
      <tp t="s">
        <v>N/A</v>
        <stp/>
        <stp>VOLUME</stp>
        <stp>.SPX251121P5500</stp>
        <tr r="U123" s="2"/>
      </tp>
      <tp t="s">
        <v>N/A</v>
        <stp/>
        <stp>VOLUME</stp>
        <stp>.SPX251017P5660</stp>
        <tr r="S107" s="2"/>
      </tp>
      <tp t="s">
        <v>N/A</v>
        <stp/>
        <stp>VOLUME</stp>
        <stp>.SPX250718P5690</stp>
        <tr r="M104" s="2"/>
      </tp>
      <tp t="s">
        <v>N/A</v>
        <stp/>
        <stp>VOLUME</stp>
        <stp>.SPX250620P5510</stp>
        <tr r="K122" s="2"/>
      </tp>
      <tp t="s">
        <v>N/A</v>
        <stp/>
        <stp>VOLUME</stp>
        <stp>.SPX250523P5520</stp>
        <tr r="H121" s="2"/>
      </tp>
      <tp t="s">
        <v>N/A</v>
        <stp/>
        <stp>VOLUME</stp>
        <stp>.SPX250919P5680</stp>
        <tr r="Q105" s="2"/>
      </tp>
      <tp t="s">
        <v>N/A</v>
        <stp/>
        <stp>VOLUME</stp>
        <stp>.SPX250815P5640</stp>
        <tr r="O109" s="2"/>
      </tp>
      <tp t="s">
        <v>N/A</v>
        <stp/>
        <stp>VOLUME</stp>
        <stp>.SPX250718C5660</stp>
        <tr r="M107" s="2"/>
      </tp>
      <tp t="s">
        <v>N/A</v>
        <stp/>
        <stp>VOLUME</stp>
        <stp>.SPX250919C5670</stp>
        <tr r="Q106" s="2"/>
      </tp>
      <tp t="s">
        <v>N/A</v>
        <stp/>
        <stp>VOLUME</stp>
        <stp>.SPX251219C5670</stp>
        <tr r="W106" s="2"/>
      </tp>
      <tp t="s">
        <v>N/A</v>
        <stp/>
        <stp>VOLUME</stp>
        <stp>.SPX251017C5690</stp>
        <tr r="S104" s="2"/>
      </tp>
      <tp t="s">
        <v>N/A</v>
        <stp/>
        <stp>VOLUME</stp>
        <stp>.SPX251219P5670</stp>
        <tr r="W106" s="2"/>
      </tp>
      <tp t="s">
        <v>N/A</v>
        <stp/>
        <stp>VOLUME</stp>
        <stp>.SPX251017P5690</stp>
        <tr r="S104" s="2"/>
      </tp>
      <tp t="s">
        <v>N/A</v>
        <stp/>
        <stp>VOLUME</stp>
        <stp>.SPX250718P5660</stp>
        <tr r="M107" s="2"/>
      </tp>
      <tp t="s">
        <v>N/A</v>
        <stp/>
        <stp>VOLUME</stp>
        <stp>.SPX250919P5670</stp>
        <tr r="Q106" s="2"/>
      </tp>
      <tp t="s">
        <v>N/A</v>
        <stp/>
        <stp>VOLUME</stp>
        <stp>.SPX250718C5670</stp>
        <tr r="M106" s="2"/>
      </tp>
      <tp t="s">
        <v>N/A</v>
        <stp/>
        <stp>VOLUME</stp>
        <stp>.SPX250919C5660</stp>
        <tr r="Q107" s="2"/>
      </tp>
      <tp t="s">
        <v>N/A</v>
        <stp/>
        <stp>VOLUME</stp>
        <stp>.SPX251219C5660</stp>
        <tr r="W107" s="2"/>
      </tp>
      <tp t="s">
        <v>N/A</v>
        <stp/>
        <stp>VOLUME</stp>
        <stp>.SPX251017C5680</stp>
        <tr r="S105" s="2"/>
      </tp>
      <tp t="s">
        <v>N/A</v>
        <stp/>
        <stp>VOLUME</stp>
        <stp>.SPX251219P5660</stp>
        <tr r="W107" s="2"/>
      </tp>
      <tp t="s">
        <v>N/A</v>
        <stp/>
        <stp>VOLUME</stp>
        <stp>.SPX251017P5680</stp>
        <tr r="S105" s="2"/>
      </tp>
      <tp t="s">
        <v>N/A</v>
        <stp/>
        <stp>VOLUME</stp>
        <stp>.SPX250718P5670</stp>
        <tr r="M106" s="2"/>
      </tp>
      <tp t="s">
        <v>N/A</v>
        <stp/>
        <stp>VOLUME</stp>
        <stp>.SPX250919P5660</stp>
        <tr r="Q107" s="2"/>
      </tp>
      <tp t="s">
        <v>N/A</v>
        <stp/>
        <stp>VOLUME</stp>
        <stp>.SPX250718C5640</stp>
        <tr r="M109" s="2"/>
      </tp>
      <tp t="s">
        <v>N/A</v>
        <stp/>
        <stp>VOLUME</stp>
        <stp>.SPX250919C5650</stp>
        <tr r="Q108" s="2"/>
      </tp>
      <tp t="s">
        <v>N/A</v>
        <stp/>
        <stp>VOLUME</stp>
        <stp>.SPX250815C5690</stp>
        <tr r="O104" s="2"/>
      </tp>
      <tp t="s">
        <v>N/A</v>
        <stp/>
        <stp>VOLUME</stp>
        <stp>.SPX251219C5650</stp>
        <tr r="W108" s="2"/>
      </tp>
      <tp t="s">
        <v>N/A</v>
        <stp/>
        <stp>VOLUME</stp>
        <stp>.SPX251219P5650</stp>
        <tr r="W108" s="2"/>
      </tp>
      <tp t="s">
        <v>N/A</v>
        <stp/>
        <stp>VOLUME</stp>
        <stp>.SPX250718P5640</stp>
        <tr r="M109" s="2"/>
      </tp>
      <tp t="s">
        <v>N/A</v>
        <stp/>
        <stp>VOLUME</stp>
        <stp>.SPX250919P5650</stp>
        <tr r="Q108" s="2"/>
      </tp>
      <tp t="s">
        <v>N/A</v>
        <stp/>
        <stp>VOLUME</stp>
        <stp>.SPX250815P5690</stp>
        <tr r="O104" s="2"/>
      </tp>
      <tp t="s">
        <v>N/A</v>
        <stp/>
        <stp>VOLUME</stp>
        <stp>.SPX250718C5650</stp>
        <tr r="M108" s="2"/>
      </tp>
      <tp t="s">
        <v>N/A</v>
        <stp/>
        <stp>VOLUME</stp>
        <stp>.SPX250919C5640</stp>
        <tr r="Q109" s="2"/>
      </tp>
      <tp t="s">
        <v>N/A</v>
        <stp/>
        <stp>VOLUME</stp>
        <stp>.SPX250815C5680</stp>
        <tr r="O105" s="2"/>
      </tp>
      <tp t="s">
        <v>N/A</v>
        <stp/>
        <stp>VOLUME</stp>
        <stp>.SPX251219C5640</stp>
        <tr r="W109" s="2"/>
      </tp>
      <tp t="s">
        <v>N/A</v>
        <stp/>
        <stp>VOLUME</stp>
        <stp>.SPX251219P5640</stp>
        <tr r="W109" s="2"/>
      </tp>
      <tp t="s">
        <v>N/A</v>
        <stp/>
        <stp>VOLUME</stp>
        <stp>.SPX250718P5650</stp>
        <tr r="M108" s="2"/>
      </tp>
      <tp t="s">
        <v>N/A</v>
        <stp/>
        <stp>VOLUME</stp>
        <stp>.SPX250919P5640</stp>
        <tr r="Q109" s="2"/>
      </tp>
      <tp t="s">
        <v>N/A</v>
        <stp/>
        <stp>VOLUME</stp>
        <stp>.SPX250815P5680</stp>
        <tr r="O105" s="2"/>
      </tp>
      <tp t="s">
        <v>N/A</v>
        <stp/>
        <stp>VOLUME</stp>
        <stp>.SPX250718C5620</stp>
        <tr r="M111" s="2"/>
      </tp>
      <tp t="s">
        <v>N/A</v>
        <stp/>
        <stp>VOLUME</stp>
        <stp>.SPX250523C5590</stp>
        <tr r="H114" s="2"/>
      </tp>
      <tp t="s">
        <v>N/A</v>
        <stp/>
        <stp>VOLUME</stp>
        <stp>.SPX250919C5630</stp>
        <tr r="Q110" s="2"/>
      </tp>
      <tp t="s">
        <v>N/A</v>
        <stp/>
        <stp>VOLUME</stp>
        <stp>.SPX251219C5630</stp>
        <tr r="W110" s="2"/>
      </tp>
      <tp t="s">
        <v>N/A</v>
        <stp/>
        <stp>VOLUME</stp>
        <stp>.SPX251219P5630</stp>
        <tr r="W110" s="2"/>
      </tp>
      <tp t="s">
        <v>N/A</v>
        <stp/>
        <stp>VOLUME</stp>
        <stp>.SPX250718P5620</stp>
        <tr r="M111" s="2"/>
      </tp>
      <tp t="s">
        <v>N/A</v>
        <stp/>
        <stp>VOLUME</stp>
        <stp>.SPX250523P5590</stp>
        <tr r="H114" s="2"/>
      </tp>
      <tp t="s">
        <v>N/A</v>
        <stp/>
        <stp>VOLUME</stp>
        <stp>.SPX250919P5630</stp>
        <tr r="Q110" s="2"/>
      </tp>
      <tp t="s">
        <v>N/A</v>
        <stp/>
        <stp>VOLUME</stp>
        <stp>.SPX250718C5630</stp>
        <tr r="M110" s="2"/>
      </tp>
      <tp t="s">
        <v>N/A</v>
        <stp/>
        <stp>VOLUME</stp>
        <stp>.SPX250523C5580</stp>
        <tr r="H115" s="2"/>
      </tp>
      <tp t="s">
        <v>N/A</v>
        <stp/>
        <stp>VOLUME</stp>
        <stp>.SPX250919C5620</stp>
        <tr r="Q111" s="2"/>
      </tp>
      <tp t="s">
        <v>N/A</v>
        <stp/>
        <stp>VOLUME</stp>
        <stp>.SPX251219C5620</stp>
        <tr r="W111" s="2"/>
      </tp>
      <tp t="s">
        <v>N/A</v>
        <stp/>
        <stp>VOLUME</stp>
        <stp>.SPX251219P5620</stp>
        <tr r="W111" s="2"/>
      </tp>
      <tp t="s">
        <v>N/A</v>
        <stp/>
        <stp>VOLUME</stp>
        <stp>.SPX250718P5630</stp>
        <tr r="M110" s="2"/>
      </tp>
      <tp t="s">
        <v>N/A</v>
        <stp/>
        <stp>VOLUME</stp>
        <stp>.SPX250523P5580</stp>
        <tr r="H115" s="2"/>
      </tp>
      <tp t="s">
        <v>N/A</v>
        <stp/>
        <stp>VOLUME</stp>
        <stp>.SPX250919P5620</stp>
        <tr r="Q111" s="2"/>
      </tp>
      <tp t="s">
        <v>N/A</v>
        <stp/>
        <stp>VOLUME</stp>
        <stp>.SPX250718C5600</stp>
        <tr r="M113" s="2"/>
      </tp>
      <tp t="s">
        <v>N/A</v>
        <stp/>
        <stp>VOLUME</stp>
        <stp>.SPX250620C5580</stp>
        <tr r="K115" s="2"/>
      </tp>
      <tp t="s">
        <v>N/A</v>
        <stp/>
        <stp>VOLUME</stp>
        <stp>.SPX250919C5610</stp>
        <tr r="Q112" s="2"/>
      </tp>
      <tp t="s">
        <v>N/A</v>
        <stp/>
        <stp>VOLUME</stp>
        <stp>.SPX251219C5610</stp>
        <tr r="W112" s="2"/>
      </tp>
      <tp t="s">
        <v>N/A</v>
        <stp/>
        <stp>VOLUME</stp>
        <stp>.SPX251121C5590</stp>
        <tr r="U114" s="2"/>
      </tp>
      <tp t="s">
        <v>N/A</v>
        <stp/>
        <stp>VOLUME</stp>
        <stp>.SPX251219P5610</stp>
        <tr r="W112" s="2"/>
      </tp>
      <tp t="s">
        <v>N/A</v>
        <stp/>
        <stp>VOLUME</stp>
        <stp>.SPX251121P5590</stp>
        <tr r="U114" s="2"/>
      </tp>
      <tp t="s">
        <v>N/A</v>
        <stp/>
        <stp>VOLUME</stp>
        <stp>.SPX250718P5600</stp>
        <tr r="M113" s="2"/>
      </tp>
      <tp t="s">
        <v>N/A</v>
        <stp/>
        <stp>VOLUME</stp>
        <stp>.SPX250620P5580</stp>
        <tr r="K115" s="2"/>
      </tp>
      <tp t="s">
        <v>N/A</v>
        <stp/>
        <stp>VOLUME</stp>
        <stp>.SPX250919P5610</stp>
        <tr r="Q112" s="2"/>
      </tp>
      <tp t="s">
        <v>N/A</v>
        <stp/>
        <stp>VOLUME</stp>
        <stp>.SPX250718C5610</stp>
        <tr r="M112" s="2"/>
      </tp>
      <tp t="s">
        <v>N/A</v>
        <stp/>
        <stp>VOLUME</stp>
        <stp>.SPX250620C5590</stp>
        <tr r="K114" s="2"/>
      </tp>
      <tp t="s">
        <v>N/A</v>
        <stp/>
        <stp>VOLUME</stp>
        <stp>.SPX250919C5600</stp>
        <tr r="Q113" s="2"/>
      </tp>
      <tp t="s">
        <v>N/A</v>
        <stp/>
        <stp>VOLUME</stp>
        <stp>.SPX251219C5600</stp>
        <tr r="W113" s="2"/>
      </tp>
      <tp t="s">
        <v>N/A</v>
        <stp/>
        <stp>VOLUME</stp>
        <stp>.SPX251121C5580</stp>
        <tr r="U115" s="2"/>
      </tp>
      <tp t="s">
        <v>N/A</v>
        <stp/>
        <stp>VOLUME</stp>
        <stp>.SPX251219P5600</stp>
        <tr r="W113" s="2"/>
      </tp>
      <tp t="s">
        <v>N/A</v>
        <stp/>
        <stp>VOLUME</stp>
        <stp>.SPX251121P5580</stp>
        <tr r="U115" s="2"/>
      </tp>
      <tp t="s">
        <v>N/A</v>
        <stp/>
        <stp>VOLUME</stp>
        <stp>.SPX250718P5610</stp>
        <tr r="M112" s="2"/>
      </tp>
      <tp t="s">
        <v>N/A</v>
        <stp/>
        <stp>VOLUME</stp>
        <stp>.SPX250620P5590</stp>
        <tr r="K114" s="2"/>
      </tp>
      <tp t="s">
        <v>N/A</v>
        <stp/>
        <stp>VOLUME</stp>
        <stp>.SPX250919P5600</stp>
        <tr r="Q113" s="2"/>
      </tp>
      <tp t="s">
        <v>28.50%</v>
        <stp/>
        <stp>IMPL_VOL</stp>
        <stp>.NDX250516C19400</stp>
        <tr r="EP183" s="1"/>
      </tp>
      <tp t="s">
        <v>26.44%</v>
        <stp/>
        <stp>IMPL_VOL</stp>
        <stp>.NDX250516C20400</stp>
        <tr r="EP143" s="1"/>
      </tp>
      <tp t="s">
        <v>28.54%</v>
        <stp/>
        <stp>IMPL_VOL</stp>
        <stp>.NDX250516C19425</stp>
        <tr r="EP182" s="1"/>
      </tp>
      <tp t="s">
        <v>26.34%</v>
        <stp/>
        <stp>IMPL_VOL</stp>
        <stp>.NDX250516C20425</stp>
        <tr r="EP142" s="1"/>
      </tp>
      <tp t="s">
        <v>28.56%</v>
        <stp/>
        <stp>IMPL_VOL</stp>
        <stp>.NDX250516C19450</stp>
        <tr r="EP181" s="1"/>
      </tp>
      <tp t="s">
        <v>26.27%</v>
        <stp/>
        <stp>IMPL_VOL</stp>
        <stp>.NDX250516C20450</stp>
        <tr r="EP141" s="1"/>
      </tp>
      <tp t="s">
        <v>28.58%</v>
        <stp/>
        <stp>IMPL_VOL</stp>
        <stp>.NDX250516C19475</stp>
        <tr r="EP180" s="1"/>
      </tp>
      <tp t="s">
        <v>26.19%</v>
        <stp/>
        <stp>IMPL_VOL</stp>
        <stp>.NDX250516C20475</stp>
        <tr r="EP140" s="1"/>
      </tp>
      <tp t="s">
        <v>30.84%</v>
        <stp/>
        <stp>IMPL_VOL</stp>
        <stp>.NDX250516P19425</stp>
        <tr r="EQ182" s="1"/>
      </tp>
      <tp t="s">
        <v>28.13%</v>
        <stp/>
        <stp>IMPL_VOL</stp>
        <stp>.NDX250516P20425</stp>
        <tr r="EQ142" s="1"/>
      </tp>
      <tp t="s">
        <v>30.86%</v>
        <stp/>
        <stp>IMPL_VOL</stp>
        <stp>.NDX250516P19400</stp>
        <tr r="EQ183" s="1"/>
      </tp>
      <tp t="s">
        <v>28.26%</v>
        <stp/>
        <stp>IMPL_VOL</stp>
        <stp>.NDX250516P20400</stp>
        <tr r="EQ143" s="1"/>
      </tp>
      <tp t="s">
        <v>30.67%</v>
        <stp/>
        <stp>IMPL_VOL</stp>
        <stp>.NDX250516P19475</stp>
        <tr r="EQ180" s="1"/>
      </tp>
      <tp t="s">
        <v>28.14%</v>
        <stp/>
        <stp>IMPL_VOL</stp>
        <stp>.NDX250516P20475</stp>
        <tr r="EQ140" s="1"/>
      </tp>
      <tp t="s">
        <v>30.73%</v>
        <stp/>
        <stp>IMPL_VOL</stp>
        <stp>.NDX250516P19450</stp>
        <tr r="EQ181" s="1"/>
      </tp>
      <tp t="s">
        <v>28.25%</v>
        <stp/>
        <stp>IMPL_VOL</stp>
        <stp>.NDX250516P20450</stp>
        <tr r="EQ141" s="1"/>
      </tp>
      <tp t="s">
        <v>N/A</v>
        <stp/>
        <stp>VOLUME</stp>
        <stp>.SPX250620C5460</stp>
        <tr r="K127" s="2"/>
      </tp>
      <tp t="s">
        <v>N/A</v>
        <stp/>
        <stp>VOLUME</stp>
        <stp>.SPX250523C5450</stp>
        <tr r="H128" s="2"/>
      </tp>
      <tp t="s">
        <v>N/A</v>
        <stp/>
        <stp>VOLUME</stp>
        <stp>.SPX250815C5730</stp>
        <tr r="O100" s="2"/>
      </tp>
      <tp t="s">
        <v>N/A</v>
        <stp/>
        <stp>VOLUME</stp>
        <stp>.SPX251121C5470</stp>
        <tr r="U126" s="2"/>
      </tp>
      <tp t="s">
        <v>N/A</v>
        <stp/>
        <stp>VOLUME</stp>
        <stp>.SPX251017C5710</stp>
        <tr r="S102" s="2"/>
      </tp>
      <tp t="s">
        <v>N/A</v>
        <stp/>
        <stp>VOLUME</stp>
        <stp>.SPX251121P5470</stp>
        <tr r="U126" s="2"/>
      </tp>
      <tp t="s">
        <v>N/A</v>
        <stp/>
        <stp>VOLUME</stp>
        <stp>.SPX251017P5710</stp>
        <tr r="S102" s="2"/>
      </tp>
      <tp t="s">
        <v>N/A</v>
        <stp/>
        <stp>VOLUME</stp>
        <stp>.SPX250620P5460</stp>
        <tr r="K127" s="2"/>
      </tp>
      <tp t="s">
        <v>N/A</v>
        <stp/>
        <stp>VOLUME</stp>
        <stp>.SPX250523P5450</stp>
        <tr r="H128" s="2"/>
      </tp>
      <tp t="s">
        <v>N/A</v>
        <stp/>
        <stp>VOLUME</stp>
        <stp>.SPX250815P5730</stp>
        <tr r="O100" s="2"/>
      </tp>
      <tp t="s">
        <v>N/A</v>
        <stp/>
        <stp>VOLUME</stp>
        <stp>.SPX250620C5470</stp>
        <tr r="K126" s="2"/>
      </tp>
      <tp t="s">
        <v>N/A</v>
        <stp/>
        <stp>VOLUME</stp>
        <stp>.SPX250523C5440</stp>
        <tr r="H129" s="2"/>
      </tp>
      <tp t="s">
        <v>N/A</v>
        <stp/>
        <stp>VOLUME</stp>
        <stp>.SPX250815C5720</stp>
        <tr r="O101" s="2"/>
      </tp>
      <tp t="s">
        <v>N/A</v>
        <stp/>
        <stp>VOLUME</stp>
        <stp>.SPX251121C5460</stp>
        <tr r="U127" s="2"/>
      </tp>
      <tp t="s">
        <v>N/A</v>
        <stp/>
        <stp>VOLUME</stp>
        <stp>.SPX251017C5700</stp>
        <tr r="S103" s="2"/>
      </tp>
      <tp t="s">
        <v>N/A</v>
        <stp/>
        <stp>VOLUME</stp>
        <stp>.SPX251121P5460</stp>
        <tr r="U127" s="2"/>
      </tp>
      <tp t="s">
        <v>N/A</v>
        <stp/>
        <stp>VOLUME</stp>
        <stp>.SPX251017P5700</stp>
        <tr r="S103" s="2"/>
      </tp>
      <tp t="s">
        <v>N/A</v>
        <stp/>
        <stp>VOLUME</stp>
        <stp>.SPX250620P5470</stp>
        <tr r="K126" s="2"/>
      </tp>
      <tp t="s">
        <v>N/A</v>
        <stp/>
        <stp>VOLUME</stp>
        <stp>.SPX250523P5440</stp>
        <tr r="H129" s="2"/>
      </tp>
      <tp t="s">
        <v>N/A</v>
        <stp/>
        <stp>VOLUME</stp>
        <stp>.SPX250815P5720</stp>
        <tr r="O101" s="2"/>
      </tp>
      <tp t="s">
        <v>N/A</v>
        <stp/>
        <stp>VOLUME</stp>
        <stp>.SPX250620C5440</stp>
        <tr r="K129" s="2"/>
      </tp>
      <tp t="s">
        <v>N/A</v>
        <stp/>
        <stp>VOLUME</stp>
        <stp>.SPX250523C5470</stp>
        <tr r="H126" s="2"/>
      </tp>
      <tp t="s">
        <v>N/A</v>
        <stp/>
        <stp>VOLUME</stp>
        <stp>.SPX250815C5710</stp>
        <tr r="O102" s="2"/>
      </tp>
      <tp t="s">
        <v>N/A</v>
        <stp/>
        <stp>VOLUME</stp>
        <stp>.SPX251121C5450</stp>
        <tr r="U128" s="2"/>
      </tp>
      <tp t="s">
        <v>N/A</v>
        <stp/>
        <stp>VOLUME</stp>
        <stp>.SPX251017C5730</stp>
        <tr r="S100" s="2"/>
      </tp>
      <tp t="s">
        <v>N/A</v>
        <stp/>
        <stp>VOLUME</stp>
        <stp>.SPX251121P5450</stp>
        <tr r="U128" s="2"/>
      </tp>
      <tp t="s">
        <v>N/A</v>
        <stp/>
        <stp>VOLUME</stp>
        <stp>.SPX251017P5730</stp>
        <tr r="S100" s="2"/>
      </tp>
      <tp t="s">
        <v>N/A</v>
        <stp/>
        <stp>VOLUME</stp>
        <stp>.SPX250620P5440</stp>
        <tr r="K129" s="2"/>
      </tp>
      <tp t="s">
        <v>N/A</v>
        <stp/>
        <stp>VOLUME</stp>
        <stp>.SPX250523P5470</stp>
        <tr r="H126" s="2"/>
      </tp>
      <tp t="s">
        <v>N/A</v>
        <stp/>
        <stp>VOLUME</stp>
        <stp>.SPX250815P5710</stp>
        <tr r="O102" s="2"/>
      </tp>
      <tp t="s">
        <v>N/A</v>
        <stp/>
        <stp>VOLUME</stp>
        <stp>.SPX250620C5450</stp>
        <tr r="K128" s="2"/>
      </tp>
      <tp t="s">
        <v>N/A</v>
        <stp/>
        <stp>VOLUME</stp>
        <stp>.SPX250523C5460</stp>
        <tr r="H127" s="2"/>
      </tp>
      <tp t="s">
        <v>N/A</v>
        <stp/>
        <stp>VOLUME</stp>
        <stp>.SPX250815C5700</stp>
        <tr r="O103" s="2"/>
      </tp>
      <tp t="s">
        <v>N/A</v>
        <stp/>
        <stp>VOLUME</stp>
        <stp>.SPX251121C5440</stp>
        <tr r="U129" s="2"/>
      </tp>
      <tp t="s">
        <v>N/A</v>
        <stp/>
        <stp>VOLUME</stp>
        <stp>.SPX251017C5720</stp>
        <tr r="S101" s="2"/>
      </tp>
      <tp t="s">
        <v>N/A</v>
        <stp/>
        <stp>VOLUME</stp>
        <stp>.SPX251121P5440</stp>
        <tr r="U129" s="2"/>
      </tp>
      <tp t="s">
        <v>N/A</v>
        <stp/>
        <stp>VOLUME</stp>
        <stp>.SPX251017P5720</stp>
        <tr r="S101" s="2"/>
      </tp>
      <tp t="s">
        <v>N/A</v>
        <stp/>
        <stp>VOLUME</stp>
        <stp>.SPX250620P5450</stp>
        <tr r="K128" s="2"/>
      </tp>
      <tp t="s">
        <v>N/A</v>
        <stp/>
        <stp>VOLUME</stp>
        <stp>.SPX250523P5460</stp>
        <tr r="H127" s="2"/>
      </tp>
      <tp t="s">
        <v>N/A</v>
        <stp/>
        <stp>VOLUME</stp>
        <stp>.SPX250815P5700</stp>
        <tr r="O103" s="2"/>
      </tp>
      <tp t="s">
        <v>N/A</v>
        <stp/>
        <stp>VOLUME</stp>
        <stp>.SPX250620C5420</stp>
        <tr r="K131" s="2"/>
      </tp>
      <tp t="s">
        <v>N/A</v>
        <stp/>
        <stp>VOLUME</stp>
        <stp>.SPX250815C5770</stp>
        <tr r="O96" s="2"/>
      </tp>
      <tp t="s">
        <v>N/A</v>
        <stp/>
        <stp>VOLUME</stp>
        <stp>.SPX251121C5430</stp>
        <tr r="U130" s="2"/>
      </tp>
      <tp t="s">
        <v>N/A</v>
        <stp/>
        <stp>VOLUME</stp>
        <stp>.SPX251017C5750</stp>
        <tr r="S98" s="2"/>
      </tp>
      <tp t="s">
        <v>N/A</v>
        <stp/>
        <stp>VOLUME</stp>
        <stp>.SPX251121P5430</stp>
        <tr r="U130" s="2"/>
      </tp>
      <tp t="s">
        <v>N/A</v>
        <stp/>
        <stp>VOLUME</stp>
        <stp>.SPX251017P5750</stp>
        <tr r="S98" s="2"/>
      </tp>
      <tp t="s">
        <v>N/A</v>
        <stp/>
        <stp>VOLUME</stp>
        <stp>.SPX250620P5420</stp>
        <tr r="K131" s="2"/>
      </tp>
      <tp t="s">
        <v>N/A</v>
        <stp/>
        <stp>VOLUME</stp>
        <stp>.SPX250815P5770</stp>
        <tr r="O96" s="2"/>
      </tp>
      <tp t="s">
        <v>N/A</v>
        <stp/>
        <stp>VOLUME</stp>
        <stp>.SPX250620C5430</stp>
        <tr r="K130" s="2"/>
      </tp>
      <tp t="s">
        <v>N/A</v>
        <stp/>
        <stp>VOLUME</stp>
        <stp>.SPX250815C5760</stp>
        <tr r="O97" s="2"/>
      </tp>
      <tp t="s">
        <v>N/A</v>
        <stp/>
        <stp>VOLUME</stp>
        <stp>.SPX251121C5420</stp>
        <tr r="U131" s="2"/>
      </tp>
      <tp t="s">
        <v>N/A</v>
        <stp/>
        <stp>VOLUME</stp>
        <stp>.SPX251017C5740</stp>
        <tr r="S99" s="2"/>
      </tp>
      <tp t="s">
        <v>N/A</v>
        <stp/>
        <stp>VOLUME</stp>
        <stp>.SPX251121P5420</stp>
        <tr r="U131" s="2"/>
      </tp>
      <tp t="s">
        <v>N/A</v>
        <stp/>
        <stp>VOLUME</stp>
        <stp>.SPX251017P5740</stp>
        <tr r="S99" s="2"/>
      </tp>
      <tp t="s">
        <v>N/A</v>
        <stp/>
        <stp>VOLUME</stp>
        <stp>.SPX250620P5430</stp>
        <tr r="K130" s="2"/>
      </tp>
      <tp t="s">
        <v>N/A</v>
        <stp/>
        <stp>VOLUME</stp>
        <stp>.SPX250815P5760</stp>
        <tr r="O97" s="2"/>
      </tp>
      <tp t="s">
        <v>N/A</v>
        <stp/>
        <stp>VOLUME</stp>
        <stp>.SPX250718C5780</stp>
        <tr r="M95" s="2"/>
      </tp>
      <tp t="s">
        <v>N/A</v>
        <stp/>
        <stp>VOLUME</stp>
        <stp>.SPX250523C5430</stp>
        <tr r="H130" s="2"/>
      </tp>
      <tp t="s">
        <v>N/A</v>
        <stp/>
        <stp>VOLUME</stp>
        <stp>.SPX250919C5790</stp>
        <tr r="Q94" s="2"/>
      </tp>
      <tp t="s">
        <v>N/A</v>
        <stp/>
        <stp>VOLUME</stp>
        <stp>.SPX250815C5750</stp>
        <tr r="O98" s="2"/>
      </tp>
      <tp t="s">
        <v>N/A</v>
        <stp/>
        <stp>VOLUME</stp>
        <stp>.SPX251219C5790</stp>
        <tr r="W94" s="2"/>
      </tp>
      <tp t="s">
        <v>N/A</v>
        <stp/>
        <stp>VOLUME</stp>
        <stp>.SPX251017C5770</stp>
        <tr r="S96" s="2"/>
      </tp>
      <tp t="s">
        <v>N/A</v>
        <stp/>
        <stp>VOLUME</stp>
        <stp>.SPX251219P5790</stp>
        <tr r="W94" s="2"/>
      </tp>
      <tp t="s">
        <v>N/A</v>
        <stp/>
        <stp>VOLUME</stp>
        <stp>.SPX251017P5770</stp>
        <tr r="S96" s="2"/>
      </tp>
      <tp t="s">
        <v>N/A</v>
        <stp/>
        <stp>VOLUME</stp>
        <stp>.SPX250718P5780</stp>
        <tr r="M95" s="2"/>
      </tp>
      <tp t="s">
        <v>N/A</v>
        <stp/>
        <stp>VOLUME</stp>
        <stp>.SPX250523P5430</stp>
        <tr r="H130" s="2"/>
      </tp>
      <tp t="s">
        <v>N/A</v>
        <stp/>
        <stp>VOLUME</stp>
        <stp>.SPX250919P5790</stp>
        <tr r="Q94" s="2"/>
      </tp>
      <tp t="s">
        <v>N/A</v>
        <stp/>
        <stp>VOLUME</stp>
        <stp>.SPX250815P5750</stp>
        <tr r="O98" s="2"/>
      </tp>
      <tp t="s">
        <v>N/A</v>
        <stp/>
        <stp>VOLUME</stp>
        <stp>.SPX250718C5790</stp>
        <tr r="M94" s="2"/>
      </tp>
      <tp t="s">
        <v>N/A</v>
        <stp/>
        <stp>VOLUME</stp>
        <stp>.SPX250523C5420</stp>
        <tr r="H131" s="2"/>
      </tp>
      <tp t="s">
        <v>N/A</v>
        <stp/>
        <stp>VOLUME</stp>
        <stp>.SPX250919C5780</stp>
        <tr r="Q95" s="2"/>
      </tp>
      <tp t="s">
        <v>N/A</v>
        <stp/>
        <stp>VOLUME</stp>
        <stp>.SPX250815C5740</stp>
        <tr r="O99" s="2"/>
      </tp>
      <tp t="s">
        <v>N/A</v>
        <stp/>
        <stp>VOLUME</stp>
        <stp>.SPX251219C5780</stp>
        <tr r="W95" s="2"/>
      </tp>
      <tp t="s">
        <v>N/A</v>
        <stp/>
        <stp>VOLUME</stp>
        <stp>.SPX251017C5760</stp>
        <tr r="S97" s="2"/>
      </tp>
      <tp t="s">
        <v>N/A</v>
        <stp/>
        <stp>VOLUME</stp>
        <stp>.SPX251219P5780</stp>
        <tr r="W95" s="2"/>
      </tp>
      <tp t="s">
        <v>N/A</v>
        <stp/>
        <stp>VOLUME</stp>
        <stp>.SPX251017P5760</stp>
        <tr r="S97" s="2"/>
      </tp>
      <tp t="s">
        <v>N/A</v>
        <stp/>
        <stp>VOLUME</stp>
        <stp>.SPX250718P5790</stp>
        <tr r="M94" s="2"/>
      </tp>
      <tp t="s">
        <v>N/A</v>
        <stp/>
        <stp>VOLUME</stp>
        <stp>.SPX250523P5420</stp>
        <tr r="H131" s="2"/>
      </tp>
      <tp t="s">
        <v>N/A</v>
        <stp/>
        <stp>VOLUME</stp>
        <stp>.SPX250919P5780</stp>
        <tr r="Q95" s="2"/>
      </tp>
      <tp t="s">
        <v>N/A</v>
        <stp/>
        <stp>VOLUME</stp>
        <stp>.SPX250815P5740</stp>
        <tr r="O99" s="2"/>
      </tp>
      <tp t="s">
        <v>N/A</v>
        <stp/>
        <stp>VOLUME</stp>
        <stp>.SPX250718C5760</stp>
        <tr r="M97" s="2"/>
      </tp>
      <tp t="s">
        <v>N/A</v>
        <stp/>
        <stp>VOLUME</stp>
        <stp>.SPX250919C5770</stp>
        <tr r="Q96" s="2"/>
      </tp>
      <tp t="s">
        <v>N/A</v>
        <stp/>
        <stp>VOLUME</stp>
        <stp>.SPX251219C5770</stp>
        <tr r="W96" s="2"/>
      </tp>
      <tp t="s">
        <v>N/A</v>
        <stp/>
        <stp>VOLUME</stp>
        <stp>.SPX251017C5790</stp>
        <tr r="S94" s="2"/>
      </tp>
      <tp t="s">
        <v>N/A</v>
        <stp/>
        <stp>VOLUME</stp>
        <stp>.SPX251219P5770</stp>
        <tr r="W96" s="2"/>
      </tp>
      <tp t="s">
        <v>N/A</v>
        <stp/>
        <stp>VOLUME</stp>
        <stp>.SPX251017P5790</stp>
        <tr r="S94" s="2"/>
      </tp>
      <tp t="s">
        <v>N/A</v>
        <stp/>
        <stp>VOLUME</stp>
        <stp>.SPX250718P5760</stp>
        <tr r="M97" s="2"/>
      </tp>
      <tp t="s">
        <v>N/A</v>
        <stp/>
        <stp>VOLUME</stp>
        <stp>.SPX250919P5770</stp>
        <tr r="Q96" s="2"/>
      </tp>
      <tp t="s">
        <v>N/A</v>
        <stp/>
        <stp>VOLUME</stp>
        <stp>.SPX250718C5770</stp>
        <tr r="M96" s="2"/>
      </tp>
      <tp t="s">
        <v>N/A</v>
        <stp/>
        <stp>VOLUME</stp>
        <stp>.SPX250919C5760</stp>
        <tr r="Q97" s="2"/>
      </tp>
      <tp t="s">
        <v>N/A</v>
        <stp/>
        <stp>VOLUME</stp>
        <stp>.SPX251219C5760</stp>
        <tr r="W97" s="2"/>
      </tp>
      <tp t="s">
        <v>N/A</v>
        <stp/>
        <stp>VOLUME</stp>
        <stp>.SPX251017C5780</stp>
        <tr r="S95" s="2"/>
      </tp>
      <tp t="s">
        <v>N/A</v>
        <stp/>
        <stp>VOLUME</stp>
        <stp>.SPX251219P5760</stp>
        <tr r="W97" s="2"/>
      </tp>
      <tp t="s">
        <v>N/A</v>
        <stp/>
        <stp>VOLUME</stp>
        <stp>.SPX251017P5780</stp>
        <tr r="S95" s="2"/>
      </tp>
      <tp t="s">
        <v>N/A</v>
        <stp/>
        <stp>VOLUME</stp>
        <stp>.SPX250718P5770</stp>
        <tr r="M96" s="2"/>
      </tp>
      <tp t="s">
        <v>N/A</v>
        <stp/>
        <stp>VOLUME</stp>
        <stp>.SPX250919P5760</stp>
        <tr r="Q97" s="2"/>
      </tp>
      <tp t="s">
        <v>N/A</v>
        <stp/>
        <stp>VOLUME</stp>
        <stp>.SPX250718C5740</stp>
        <tr r="M99" s="2"/>
      </tp>
      <tp t="s">
        <v>N/A</v>
        <stp/>
        <stp>VOLUME</stp>
        <stp>.SPX250919C5750</stp>
        <tr r="Q98" s="2"/>
      </tp>
      <tp t="s">
        <v>N/A</v>
        <stp/>
        <stp>VOLUME</stp>
        <stp>.SPX250815C5790</stp>
        <tr r="O94" s="2"/>
      </tp>
      <tp t="s">
        <v>N/A</v>
        <stp/>
        <stp>VOLUME</stp>
        <stp>.SPX251219C5750</stp>
        <tr r="W98" s="2"/>
      </tp>
      <tp t="s">
        <v>N/A</v>
        <stp/>
        <stp>VOLUME</stp>
        <stp>.SPX251219P5750</stp>
        <tr r="W98" s="2"/>
      </tp>
      <tp t="s">
        <v>N/A</v>
        <stp/>
        <stp>VOLUME</stp>
        <stp>.SPX250718P5740</stp>
        <tr r="M99" s="2"/>
      </tp>
      <tp t="s">
        <v>N/A</v>
        <stp/>
        <stp>VOLUME</stp>
        <stp>.SPX250919P5750</stp>
        <tr r="Q98" s="2"/>
      </tp>
      <tp t="s">
        <v>N/A</v>
        <stp/>
        <stp>VOLUME</stp>
        <stp>.SPX250815P5790</stp>
        <tr r="O94" s="2"/>
      </tp>
      <tp t="s">
        <v>N/A</v>
        <stp/>
        <stp>VOLUME</stp>
        <stp>.SPX250718C5750</stp>
        <tr r="M98" s="2"/>
      </tp>
      <tp t="s">
        <v>N/A</v>
        <stp/>
        <stp>VOLUME</stp>
        <stp>.SPX250919C5740</stp>
        <tr r="Q99" s="2"/>
      </tp>
      <tp t="s">
        <v>N/A</v>
        <stp/>
        <stp>VOLUME</stp>
        <stp>.SPX250815C5780</stp>
        <tr r="O95" s="2"/>
      </tp>
      <tp t="s">
        <v>N/A</v>
        <stp/>
        <stp>VOLUME</stp>
        <stp>.SPX251219C5740</stp>
        <tr r="W99" s="2"/>
      </tp>
      <tp t="s">
        <v>N/A</v>
        <stp/>
        <stp>VOLUME</stp>
        <stp>.SPX251219P5740</stp>
        <tr r="W99" s="2"/>
      </tp>
      <tp t="s">
        <v>N/A</v>
        <stp/>
        <stp>VOLUME</stp>
        <stp>.SPX250718P5750</stp>
        <tr r="M98" s="2"/>
      </tp>
      <tp t="s">
        <v>N/A</v>
        <stp/>
        <stp>VOLUME</stp>
        <stp>.SPX250919P5740</stp>
        <tr r="Q99" s="2"/>
      </tp>
      <tp t="s">
        <v>N/A</v>
        <stp/>
        <stp>VOLUME</stp>
        <stp>.SPX250815P5780</stp>
        <tr r="O95" s="2"/>
      </tp>
      <tp t="s">
        <v>N/A</v>
        <stp/>
        <stp>VOLUME</stp>
        <stp>.SPX250718C5720</stp>
        <tr r="M101" s="2"/>
      </tp>
      <tp t="s">
        <v>N/A</v>
        <stp/>
        <stp>VOLUME</stp>
        <stp>.SPX250523C5490</stp>
        <tr r="H124" s="2"/>
      </tp>
      <tp t="s">
        <v>N/A</v>
        <stp/>
        <stp>VOLUME</stp>
        <stp>.SPX250919C5730</stp>
        <tr r="Q100" s="2"/>
      </tp>
      <tp t="s">
        <v>N/A</v>
        <stp/>
        <stp>VOLUME</stp>
        <stp>.SPX251219C5730</stp>
        <tr r="W100" s="2"/>
      </tp>
      <tp t="s">
        <v>N/A</v>
        <stp/>
        <stp>VOLUME</stp>
        <stp>.SPX251219P5730</stp>
        <tr r="W100" s="2"/>
      </tp>
      <tp t="s">
        <v>N/A</v>
        <stp/>
        <stp>VOLUME</stp>
        <stp>.SPX250718P5720</stp>
        <tr r="M101" s="2"/>
      </tp>
      <tp t="s">
        <v>N/A</v>
        <stp/>
        <stp>VOLUME</stp>
        <stp>.SPX250523P5490</stp>
        <tr r="H124" s="2"/>
      </tp>
      <tp t="s">
        <v>N/A</v>
        <stp/>
        <stp>VOLUME</stp>
        <stp>.SPX250919P5730</stp>
        <tr r="Q100" s="2"/>
      </tp>
      <tp t="s">
        <v>N/A</v>
        <stp/>
        <stp>VOLUME</stp>
        <stp>.SPX250718C5730</stp>
        <tr r="M100" s="2"/>
      </tp>
      <tp t="s">
        <v>N/A</v>
        <stp/>
        <stp>VOLUME</stp>
        <stp>.SPX250523C5480</stp>
        <tr r="H125" s="2"/>
      </tp>
      <tp t="s">
        <v>N/A</v>
        <stp/>
        <stp>VOLUME</stp>
        <stp>.SPX250919C5720</stp>
        <tr r="Q101" s="2"/>
      </tp>
      <tp t="s">
        <v>N/A</v>
        <stp/>
        <stp>VOLUME</stp>
        <stp>.SPX251219C5720</stp>
        <tr r="W101" s="2"/>
      </tp>
      <tp t="s">
        <v>N/A</v>
        <stp/>
        <stp>VOLUME</stp>
        <stp>.SPX251219P5720</stp>
        <tr r="W101" s="2"/>
      </tp>
      <tp t="s">
        <v>N/A</v>
        <stp/>
        <stp>VOLUME</stp>
        <stp>.SPX250718P5730</stp>
        <tr r="M100" s="2"/>
      </tp>
      <tp t="s">
        <v>N/A</v>
        <stp/>
        <stp>VOLUME</stp>
        <stp>.SPX250523P5480</stp>
        <tr r="H125" s="2"/>
      </tp>
      <tp t="s">
        <v>N/A</v>
        <stp/>
        <stp>VOLUME</stp>
        <stp>.SPX250919P5720</stp>
        <tr r="Q101" s="2"/>
      </tp>
      <tp t="s">
        <v>N/A</v>
        <stp/>
        <stp>VOLUME</stp>
        <stp>.SPX250718C5700</stp>
        <tr r="M103" s="2"/>
      </tp>
      <tp t="s">
        <v>N/A</v>
        <stp/>
        <stp>VOLUME</stp>
        <stp>.SPX250620C5480</stp>
        <tr r="K125" s="2"/>
      </tp>
      <tp t="s">
        <v>N/A</v>
        <stp/>
        <stp>VOLUME</stp>
        <stp>.SPX250919C5710</stp>
        <tr r="Q102" s="2"/>
      </tp>
      <tp t="s">
        <v>N/A</v>
        <stp/>
        <stp>VOLUME</stp>
        <stp>.SPX251219C5710</stp>
        <tr r="W102" s="2"/>
      </tp>
      <tp t="s">
        <v>N/A</v>
        <stp/>
        <stp>VOLUME</stp>
        <stp>.SPX251121C5490</stp>
        <tr r="U124" s="2"/>
      </tp>
      <tp t="s">
        <v>N/A</v>
        <stp/>
        <stp>VOLUME</stp>
        <stp>.SPX251219P5710</stp>
        <tr r="W102" s="2"/>
      </tp>
      <tp t="s">
        <v>N/A</v>
        <stp/>
        <stp>VOLUME</stp>
        <stp>.SPX251121P5490</stp>
        <tr r="U124" s="2"/>
      </tp>
      <tp t="s">
        <v>N/A</v>
        <stp/>
        <stp>VOLUME</stp>
        <stp>.SPX250718P5700</stp>
        <tr r="M103" s="2"/>
      </tp>
      <tp t="s">
        <v>N/A</v>
        <stp/>
        <stp>VOLUME</stp>
        <stp>.SPX250620P5480</stp>
        <tr r="K125" s="2"/>
      </tp>
      <tp t="s">
        <v>N/A</v>
        <stp/>
        <stp>VOLUME</stp>
        <stp>.SPX250919P5710</stp>
        <tr r="Q102" s="2"/>
      </tp>
      <tp t="s">
        <v>N/A</v>
        <stp/>
        <stp>VOLUME</stp>
        <stp>.SPX250718C5710</stp>
        <tr r="M102" s="2"/>
      </tp>
      <tp t="s">
        <v>N/A</v>
        <stp/>
        <stp>VOLUME</stp>
        <stp>.SPX250620C5490</stp>
        <tr r="K124" s="2"/>
      </tp>
      <tp>
        <v>2</v>
        <stp/>
        <stp>VOLUME</stp>
        <stp>.SPX250919C5700</stp>
        <tr r="Q103" s="2"/>
        <tr r="Q103" s="2"/>
      </tp>
      <tp t="s">
        <v>N/A</v>
        <stp/>
        <stp>VOLUME</stp>
        <stp>.SPX251219C5700</stp>
        <tr r="W103" s="2"/>
      </tp>
      <tp t="s">
        <v>N/A</v>
        <stp/>
        <stp>VOLUME</stp>
        <stp>.SPX251121C5480</stp>
        <tr r="U125" s="2"/>
      </tp>
      <tp t="s">
        <v>N/A</v>
        <stp/>
        <stp>VOLUME</stp>
        <stp>.SPX251219P5700</stp>
        <tr r="W103" s="2"/>
      </tp>
      <tp t="s">
        <v>N/A</v>
        <stp/>
        <stp>VOLUME</stp>
        <stp>.SPX251121P5480</stp>
        <tr r="U125" s="2"/>
      </tp>
      <tp t="s">
        <v>N/A</v>
        <stp/>
        <stp>VOLUME</stp>
        <stp>.SPX250718P5710</stp>
        <tr r="M102" s="2"/>
      </tp>
      <tp t="s">
        <v>N/A</v>
        <stp/>
        <stp>VOLUME</stp>
        <stp>.SPX250620P5490</stp>
        <tr r="K124" s="2"/>
      </tp>
      <tp t="s">
        <v>N/A</v>
        <stp/>
        <stp>VOLUME</stp>
        <stp>.SPX250919P5700</stp>
        <tr r="Q103" s="2"/>
      </tp>
      <tp t="s">
        <v>59.81%</v>
        <stp/>
        <stp>IMPL_VOL</stp>
        <stp>.SPXW250508C5730</stp>
        <tr r="EL99" s="1"/>
      </tp>
      <tp t="s">
        <v>N/A</v>
        <stp/>
        <stp>IMPL_VOL</stp>
        <stp>.SPXW250509C5720</stp>
        <tr r="EN100" s="1"/>
      </tp>
      <tp t="s">
        <v>--</v>
        <stp/>
        <stp>IMPL_VOL</stp>
        <stp>.SPXW250508P5730</stp>
        <tr r="EM99" s="1"/>
      </tp>
      <tp t="s">
        <v>N/A</v>
        <stp/>
        <stp>IMPL_VOL</stp>
        <stp>.SPXW250509P5720</stp>
        <tr r="EO100" s="1"/>
      </tp>
      <tp t="s">
        <v>52.10%</v>
        <stp/>
        <stp>IMPL_VOL</stp>
        <stp>.SPXW250508C5720</stp>
        <tr r="EL100" s="1"/>
      </tp>
      <tp t="s">
        <v>59.81%</v>
        <stp/>
        <stp>IMPL_VOL</stp>
        <stp>.SPXW250509C5730</stp>
        <tr r="EN99" s="1"/>
      </tp>
      <tp t="s">
        <v>--</v>
        <stp/>
        <stp>IMPL_VOL</stp>
        <stp>.SPXW250508P5720</stp>
        <tr r="EM100" s="1"/>
      </tp>
      <tp t="s">
        <v>91.07%</v>
        <stp/>
        <stp>IMPL_VOL</stp>
        <stp>.SPXW250509P5730</stp>
        <tr r="EO99" s="1"/>
      </tp>
      <tp t="s">
        <v>44.29%</v>
        <stp/>
        <stp>IMPL_VOL</stp>
        <stp>.SPXW250508C5710</stp>
        <tr r="EL101" s="1"/>
      </tp>
      <tp t="s">
        <v>36.33%</v>
        <stp/>
        <stp>IMPL_VOL</stp>
        <stp>.SPXW250509C5700</stp>
        <tr r="EN102" s="1"/>
      </tp>
      <tp t="s">
        <v>--</v>
        <stp/>
        <stp>IMPL_VOL</stp>
        <stp>.SPXW250508P5710</stp>
        <tr r="EM101" s="1"/>
      </tp>
      <tp t="s">
        <v>58.23%</v>
        <stp/>
        <stp>IMPL_VOL</stp>
        <stp>.SPXW250509P5700</stp>
        <tr r="EO102" s="1"/>
      </tp>
      <tp t="s">
        <v>36.33%</v>
        <stp/>
        <stp>IMPL_VOL</stp>
        <stp>.SPXW250508C5700</stp>
        <tr r="EL102" s="1"/>
      </tp>
      <tp t="s">
        <v>44.29%</v>
        <stp/>
        <stp>IMPL_VOL</stp>
        <stp>.SPXW250509C5710</stp>
        <tr r="EN101" s="1"/>
      </tp>
      <tp t="s">
        <v>--</v>
        <stp/>
        <stp>IMPL_VOL</stp>
        <stp>.SPXW250508P5700</stp>
        <tr r="EM102" s="1"/>
      </tp>
      <tp t="s">
        <v>69.48%</v>
        <stp/>
        <stp>IMPL_VOL</stp>
        <stp>.SPXW250509P5710</stp>
        <tr r="EO101" s="1"/>
      </tp>
      <tp t="s">
        <v>89.44%</v>
        <stp/>
        <stp>IMPL_VOL</stp>
        <stp>.SPXW250508C5770</stp>
        <tr r="EL95" s="1"/>
      </tp>
      <tp t="s">
        <v>82.13%</v>
        <stp/>
        <stp>IMPL_VOL</stp>
        <stp>.SPXW250509C5760</stp>
        <tr r="EN96" s="1"/>
      </tp>
      <tp t="s">
        <v>35.65%</v>
        <stp/>
        <stp>IMPL_VOL</stp>
        <stp>.SPXW250516C5690</stp>
        <tr r="EP103" s="1"/>
      </tp>
      <tp t="s">
        <v>--</v>
        <stp/>
        <stp>IMPL_VOL</stp>
        <stp>.SPXW250508P5770</stp>
        <tr r="EM95" s="1"/>
      </tp>
      <tp t="s">
        <v>121.88%</v>
        <stp/>
        <stp>IMPL_VOL</stp>
        <stp>.SPXW250509P5760</stp>
        <tr r="EO96" s="1"/>
      </tp>
      <tp t="s">
        <v>9.90%</v>
        <stp/>
        <stp>IMPL_VOL</stp>
        <stp>.SPXW250516P5690</stp>
        <tr r="EQ103" s="1"/>
      </tp>
      <tp t="s">
        <v>82.13%</v>
        <stp/>
        <stp>IMPL_VOL</stp>
        <stp>.SPXW250508C5760</stp>
        <tr r="EL96" s="1"/>
      </tp>
      <tp t="s">
        <v>89.44%</v>
        <stp/>
        <stp>IMPL_VOL</stp>
        <stp>.SPXW250509C5770</stp>
        <tr r="EN95" s="1"/>
      </tp>
      <tp t="s">
        <v>36.43%</v>
        <stp/>
        <stp>IMPL_VOL</stp>
        <stp>.SPXW250516C5680</stp>
        <tr r="EP104" s="1"/>
      </tp>
      <tp t="s">
        <v>--</v>
        <stp/>
        <stp>IMPL_VOL</stp>
        <stp>.SPXW250508P5760</stp>
        <tr r="EM96" s="1"/>
      </tp>
      <tp t="s">
        <v>125.65%</v>
        <stp/>
        <stp>IMPL_VOL</stp>
        <stp>.SPXW250509P5770</stp>
        <tr r="EO95" s="1"/>
      </tp>
      <tp t="s">
        <v>11.02%</v>
        <stp/>
        <stp>IMPL_VOL</stp>
        <stp>.SPXW250516P5680</stp>
        <tr r="EQ104" s="1"/>
      </tp>
      <tp t="s">
        <v>74.81%</v>
        <stp/>
        <stp>IMPL_VOL</stp>
        <stp>.SPXW250508C5750</stp>
        <tr r="EL97" s="1"/>
      </tp>
      <tp t="s">
        <v>67.44%</v>
        <stp/>
        <stp>IMPL_VOL</stp>
        <stp>.SPXW250509C5740</stp>
        <tr r="EN98" s="1"/>
      </tp>
      <tp t="s">
        <v>--</v>
        <stp/>
        <stp>IMPL_VOL</stp>
        <stp>.SPXW250508P5750</stp>
        <tr r="EM97" s="1"/>
      </tp>
      <tp t="s">
        <v>101.52%</v>
        <stp/>
        <stp>IMPL_VOL</stp>
        <stp>.SPXW250509P5740</stp>
        <tr r="EO98" s="1"/>
      </tp>
      <tp t="s">
        <v>67.44%</v>
        <stp/>
        <stp>IMPL_VOL</stp>
        <stp>.SPXW250508C5740</stp>
        <tr r="EL98" s="1"/>
      </tp>
      <tp t="s">
        <v>74.81%</v>
        <stp/>
        <stp>IMPL_VOL</stp>
        <stp>.SPXW250509C5750</stp>
        <tr r="EN97" s="1"/>
      </tp>
      <tp t="s">
        <v>--</v>
        <stp/>
        <stp>IMPL_VOL</stp>
        <stp>.SPXW250508P5740</stp>
        <tr r="EM98" s="1"/>
      </tp>
      <tp t="s">
        <v>111.78%</v>
        <stp/>
        <stp>IMPL_VOL</stp>
        <stp>.SPXW250509P5750</stp>
        <tr r="EO97" s="1"/>
      </tp>
      <tp t="s">
        <v>38.88%</v>
        <stp/>
        <stp>IMPL_VOL</stp>
        <stp>.SPXW250516C5650</stp>
        <tr r="EP107" s="1"/>
      </tp>
      <tp t="s">
        <v>13.47%</v>
        <stp/>
        <stp>IMPL_VOL</stp>
        <stp>.SPXW250516P5650</stp>
        <tr r="EQ107" s="1"/>
      </tp>
      <tp t="s">
        <v>39.73%</v>
        <stp/>
        <stp>IMPL_VOL</stp>
        <stp>.SPXW250516C5640</stp>
        <tr r="EP108" s="1"/>
      </tp>
      <tp t="s">
        <v>14.11%</v>
        <stp/>
        <stp>IMPL_VOL</stp>
        <stp>.SPXW250516P5640</stp>
        <tr r="EQ108" s="1"/>
      </tp>
      <tp t="s">
        <v>103.86%</v>
        <stp/>
        <stp>IMPL_VOL</stp>
        <stp>.SPXW250508C5790</stp>
        <tr r="EL93" s="1"/>
      </tp>
      <tp t="s">
        <v>96.68%</v>
        <stp/>
        <stp>IMPL_VOL</stp>
        <stp>.SPXW250509C5780</stp>
        <tr r="EN94" s="1"/>
      </tp>
      <tp t="s">
        <v>37.19%</v>
        <stp/>
        <stp>IMPL_VOL</stp>
        <stp>.SPXW250516C5670</stp>
        <tr r="EP105" s="1"/>
      </tp>
      <tp t="s">
        <v>--</v>
        <stp/>
        <stp>IMPL_VOL</stp>
        <stp>.SPXW250508P5790</stp>
        <tr r="EM93" s="1"/>
      </tp>
      <tp t="s">
        <v>126.87%</v>
        <stp/>
        <stp>IMPL_VOL</stp>
        <stp>.SPXW250509P5780</stp>
        <tr r="EO94" s="1"/>
      </tp>
      <tp t="s">
        <v>11.94%</v>
        <stp/>
        <stp>IMPL_VOL</stp>
        <stp>.SPXW250516P5670</stp>
        <tr r="EQ105" s="1"/>
      </tp>
      <tp t="s">
        <v>96.68%</v>
        <stp/>
        <stp>IMPL_VOL</stp>
        <stp>.SPXW250508C5780</stp>
        <tr r="EL94" s="1"/>
      </tp>
      <tp t="s">
        <v>103.86%</v>
        <stp/>
        <stp>IMPL_VOL</stp>
        <stp>.SPXW250509C5790</stp>
        <tr r="EN93" s="1"/>
      </tp>
      <tp t="s">
        <v>38.03%</v>
        <stp/>
        <stp>IMPL_VOL</stp>
        <stp>.SPXW250516C5660</stp>
        <tr r="EP106" s="1"/>
      </tp>
      <tp t="s">
        <v>--</v>
        <stp/>
        <stp>IMPL_VOL</stp>
        <stp>.SPXW250508P5780</stp>
        <tr r="EM94" s="1"/>
      </tp>
      <tp t="s">
        <v>132.22%</v>
        <stp/>
        <stp>IMPL_VOL</stp>
        <stp>.SPXW250509P5790</stp>
        <tr r="EO93" s="1"/>
      </tp>
      <tp t="s">
        <v>12.75%</v>
        <stp/>
        <stp>IMPL_VOL</stp>
        <stp>.SPXW250516P5660</stp>
        <tr r="EQ106" s="1"/>
      </tp>
      <tp t="s">
        <v>42.86%</v>
        <stp/>
        <stp>IMPL_VOL</stp>
        <stp>.SPXW250516C5610</stp>
        <tr r="EP111" s="1"/>
      </tp>
      <tp t="s">
        <v>15.75%</v>
        <stp/>
        <stp>IMPL_VOL</stp>
        <stp>.SPXW250516P5610</stp>
        <tr r="EQ111" s="1"/>
      </tp>
      <tp t="s">
        <v>43.84%</v>
        <stp/>
        <stp>IMPL_VOL</stp>
        <stp>.SPXW250516C5600</stp>
        <tr r="EP112" s="1"/>
      </tp>
      <tp t="s">
        <v>16.23%</v>
        <stp/>
        <stp>IMPL_VOL</stp>
        <stp>.SPXW250516P5600</stp>
        <tr r="EQ112" s="1"/>
      </tp>
      <tp t="s">
        <v>41.00%</v>
        <stp/>
        <stp>IMPL_VOL</stp>
        <stp>.SPXW250516C5630</stp>
        <tr r="EP109" s="1"/>
      </tp>
      <tp t="s">
        <v>14.71%</v>
        <stp/>
        <stp>IMPL_VOL</stp>
        <stp>.SPXW250516P5630</stp>
        <tr r="EQ109" s="1"/>
      </tp>
      <tp t="s">
        <v>41.91%</v>
        <stp/>
        <stp>IMPL_VOL</stp>
        <stp>.SPXW250516C5620</stp>
        <tr r="EP110" s="1"/>
      </tp>
      <tp t="s">
        <v>15.24%</v>
        <stp/>
        <stp>IMPL_VOL</stp>
        <stp>.SPXW250516P5620</stp>
        <tr r="EQ110" s="1"/>
      </tp>
      <tp t="s">
        <v>89.18%</v>
        <stp/>
        <stp>IMPL_VOL</stp>
        <stp>.SPXW250508C5630</stp>
        <tr r="EL109" s="1"/>
      </tp>
      <tp t="s">
        <v>--</v>
        <stp/>
        <stp>IMPL_VOL</stp>
        <stp>.SPXW250509C5620</stp>
        <tr r="EN110" s="1"/>
      </tp>
      <tp t="s">
        <v>28.16%</v>
        <stp/>
        <stp>IMPL_VOL</stp>
        <stp>.SPXW250508P5630</stp>
        <tr r="EM109" s="1"/>
      </tp>
      <tp t="s">
        <v>36.47%</v>
        <stp/>
        <stp>IMPL_VOL</stp>
        <stp>.SPXW250509P5620</stp>
        <tr r="EO110" s="1"/>
      </tp>
      <tp t="s">
        <v>101.65%</v>
        <stp/>
        <stp>IMPL_VOL</stp>
        <stp>.SPXW250508C5620</stp>
        <tr r="EL110" s="1"/>
      </tp>
      <tp t="s">
        <v>--</v>
        <stp/>
        <stp>IMPL_VOL</stp>
        <stp>.SPXW250509C5630</stp>
        <tr r="EN109" s="1"/>
      </tp>
      <tp t="s">
        <v>36.47%</v>
        <stp/>
        <stp>IMPL_VOL</stp>
        <stp>.SPXW250508P5620</stp>
        <tr r="EM110" s="1"/>
      </tp>
      <tp t="s">
        <v>28.16%</v>
        <stp/>
        <stp>IMPL_VOL</stp>
        <stp>.SPXW250509P5630</stp>
        <tr r="EO109" s="1"/>
      </tp>
      <tp t="s">
        <v>122.22%</v>
        <stp/>
        <stp>IMPL_VOL</stp>
        <stp>.SPXW250508C5610</stp>
        <tr r="EL111" s="1"/>
      </tp>
      <tp t="s">
        <v>--</v>
        <stp/>
        <stp>IMPL_VOL</stp>
        <stp>.SPXW250509C5600</stp>
        <tr r="EN112" s="1"/>
      </tp>
      <tp t="s">
        <v>44.56%</v>
        <stp/>
        <stp>IMPL_VOL</stp>
        <stp>.SPXW250508P5610</stp>
        <tr r="EM111" s="1"/>
      </tp>
      <tp t="s">
        <v>52.54%</v>
        <stp/>
        <stp>IMPL_VOL</stp>
        <stp>.SPXW250509P5600</stp>
        <tr r="EO112" s="1"/>
      </tp>
      <tp t="s">
        <v>137.82%</v>
        <stp/>
        <stp>IMPL_VOL</stp>
        <stp>.SPXW250508C5600</stp>
        <tr r="EL112" s="1"/>
      </tp>
      <tp t="s">
        <v>--</v>
        <stp/>
        <stp>IMPL_VOL</stp>
        <stp>.SPXW250509C5610</stp>
        <tr r="EN111" s="1"/>
      </tp>
      <tp t="s">
        <v>52.54%</v>
        <stp/>
        <stp>IMPL_VOL</stp>
        <stp>.SPXW250508P5600</stp>
        <tr r="EM112" s="1"/>
      </tp>
      <tp t="s">
        <v>44.56%</v>
        <stp/>
        <stp>IMPL_VOL</stp>
        <stp>.SPXW250509P5610</stp>
        <tr r="EO111" s="1"/>
      </tp>
      <tp t="s">
        <v>10.85%</v>
        <stp/>
        <stp>IMPL_VOL</stp>
        <stp>.SPXW250508C5670</stp>
        <tr r="EL105" s="1"/>
      </tp>
      <tp t="s">
        <v>2.85%</v>
        <stp/>
        <stp>IMPL_VOL</stp>
        <stp>.SPXW250509C5660</stp>
        <tr r="EN106" s="1"/>
      </tp>
      <tp t="s">
        <v>29.38%</v>
        <stp/>
        <stp>IMPL_VOL</stp>
        <stp>.SPXW250516C5790</stp>
        <tr r="EP93" s="1"/>
      </tp>
      <tp t="s">
        <v>--</v>
        <stp/>
        <stp>IMPL_VOL</stp>
        <stp>.SPXW250508P5670</stp>
        <tr r="EM105" s="1"/>
      </tp>
      <tp t="s">
        <v>3.00%</v>
        <stp/>
        <stp>IMPL_VOL</stp>
        <stp>.SPXW250509P5660</stp>
        <tr r="EO106" s="1"/>
      </tp>
      <tp t="s">
        <v>--</v>
        <stp/>
        <stp>IMPL_VOL</stp>
        <stp>.SPXW250516P5790</stp>
        <tr r="EQ93" s="1"/>
      </tp>
      <tp t="s">
        <v>23.38%</v>
        <stp/>
        <stp>IMPL_VOL</stp>
        <stp>.SPXW250508C5660</stp>
        <tr r="EL106" s="1"/>
      </tp>
      <tp t="s">
        <v>10.85%</v>
        <stp/>
        <stp>IMPL_VOL</stp>
        <stp>.SPXW250509C5670</stp>
        <tr r="EN105" s="1"/>
      </tp>
      <tp t="s">
        <v>29.91%</v>
        <stp/>
        <stp>IMPL_VOL</stp>
        <stp>.SPXW250516C5780</stp>
        <tr r="EP94" s="1"/>
      </tp>
      <tp t="s">
        <v>--</v>
        <stp/>
        <stp>IMPL_VOL</stp>
        <stp>.SPXW250508P5660</stp>
        <tr r="EM106" s="1"/>
      </tp>
      <tp t="s">
        <v>21.37%</v>
        <stp/>
        <stp>IMPL_VOL</stp>
        <stp>.SPXW250509P5670</stp>
        <tr r="EO105" s="1"/>
      </tp>
      <tp t="s">
        <v>--</v>
        <stp/>
        <stp>IMPL_VOL</stp>
        <stp>.SPXW250516P5780</stp>
        <tr r="EQ94" s="1"/>
      </tp>
      <tp t="s">
        <v>49.77%</v>
        <stp/>
        <stp>IMPL_VOL</stp>
        <stp>.SPXW250508C5650</stp>
        <tr r="EL107" s="1"/>
      </tp>
      <tp t="s">
        <v>35.61%</v>
        <stp/>
        <stp>IMPL_VOL</stp>
        <stp>.SPXW250509C5640</stp>
        <tr r="EN108" s="1"/>
      </tp>
      <tp t="s">
        <v>10.73%</v>
        <stp/>
        <stp>IMPL_VOL</stp>
        <stp>.SPXW250508P5650</stp>
        <tr r="EM107" s="1"/>
      </tp>
      <tp t="s">
        <v>19.73%</v>
        <stp/>
        <stp>IMPL_VOL</stp>
        <stp>.SPXW250509P5640</stp>
        <tr r="EO108" s="1"/>
      </tp>
      <tp t="s">
        <v>71.93%</v>
        <stp/>
        <stp>IMPL_VOL</stp>
        <stp>.SPXW250508C5640</stp>
        <tr r="EL108" s="1"/>
      </tp>
      <tp t="s">
        <v>15.16%</v>
        <stp/>
        <stp>IMPL_VOL</stp>
        <stp>.SPXW250509C5650</stp>
        <tr r="EN107" s="1"/>
      </tp>
      <tp t="s">
        <v>19.73%</v>
        <stp/>
        <stp>IMPL_VOL</stp>
        <stp>.SPXW250508P5640</stp>
        <tr r="EM108" s="1"/>
      </tp>
      <tp t="s">
        <v>10.73%</v>
        <stp/>
        <stp>IMPL_VOL</stp>
        <stp>.SPXW250509P5650</stp>
        <tr r="EO107" s="1"/>
      </tp>
      <tp t="s">
        <v>31.66%</v>
        <stp/>
        <stp>IMPL_VOL</stp>
        <stp>.SPXW250516C5750</stp>
        <tr r="EP97" s="1"/>
      </tp>
      <tp t="s">
        <v>--</v>
        <stp/>
        <stp>IMPL_VOL</stp>
        <stp>.SPXW250516P5750</stp>
        <tr r="EQ97" s="1"/>
      </tp>
      <tp t="s">
        <v>32.25%</v>
        <stp/>
        <stp>IMPL_VOL</stp>
        <stp>.SPXW250516C5740</stp>
        <tr r="EP98" s="1"/>
      </tp>
      <tp t="s">
        <v>--</v>
        <stp/>
        <stp>IMPL_VOL</stp>
        <stp>.SPXW250516P5740</stp>
        <tr r="EQ98" s="1"/>
      </tp>
      <tp t="s">
        <v>28.14%</v>
        <stp/>
        <stp>IMPL_VOL</stp>
        <stp>.SPXW250508C5690</stp>
        <tr r="EL103" s="1"/>
      </tp>
      <tp t="s">
        <v>19.79%</v>
        <stp/>
        <stp>IMPL_VOL</stp>
        <stp>.SPXW250509C5680</stp>
        <tr r="EN104" s="1"/>
      </tp>
      <tp t="s">
        <v>30.47%</v>
        <stp/>
        <stp>IMPL_VOL</stp>
        <stp>.SPXW250516C5770</stp>
        <tr r="EP95" s="1"/>
      </tp>
      <tp t="s">
        <v>--</v>
        <stp/>
        <stp>IMPL_VOL</stp>
        <stp>.SPXW250508P5690</stp>
        <tr r="EM103" s="1"/>
      </tp>
      <tp t="s">
        <v>--</v>
        <stp/>
        <stp>IMPL_VOL</stp>
        <stp>.SPXW250509P5680</stp>
        <tr r="EO104" s="1"/>
      </tp>
      <tp t="s">
        <v>--</v>
        <stp/>
        <stp>IMPL_VOL</stp>
        <stp>.SPXW250516P5770</stp>
        <tr r="EQ95" s="1"/>
      </tp>
      <tp t="s">
        <v>19.79%</v>
        <stp/>
        <stp>IMPL_VOL</stp>
        <stp>.SPXW250508C5680</stp>
        <tr r="EL104" s="1"/>
      </tp>
      <tp t="s">
        <v>28.14%</v>
        <stp/>
        <stp>IMPL_VOL</stp>
        <stp>.SPXW250509C5690</stp>
        <tr r="EN103" s="1"/>
      </tp>
      <tp t="s">
        <v>31.07%</v>
        <stp/>
        <stp>IMPL_VOL</stp>
        <stp>.SPXW250516C5760</stp>
        <tr r="EP96" s="1"/>
      </tp>
      <tp t="s">
        <v>--</v>
        <stp/>
        <stp>IMPL_VOL</stp>
        <stp>.SPXW250508P5680</stp>
        <tr r="EM104" s="1"/>
      </tp>
      <tp t="s">
        <v>46.55%</v>
        <stp/>
        <stp>IMPL_VOL</stp>
        <stp>.SPXW250509P5690</stp>
        <tr r="EO103" s="1"/>
      </tp>
      <tp t="s">
        <v>--</v>
        <stp/>
        <stp>IMPL_VOL</stp>
        <stp>.SPXW250516P5760</stp>
        <tr r="EQ96" s="1"/>
      </tp>
      <tp t="s">
        <v>34.47%</v>
        <stp/>
        <stp>IMPL_VOL</stp>
        <stp>.SPXW250516C5710</stp>
        <tr r="EP101" s="1"/>
      </tp>
      <tp t="s">
        <v>6.05%</v>
        <stp/>
        <stp>IMPL_VOL</stp>
        <stp>.SPXW250516P5710</stp>
        <tr r="EQ101" s="1"/>
      </tp>
      <tp t="s">
        <v>34.94%</v>
        <stp/>
        <stp>IMPL_VOL</stp>
        <stp>.SPXW250516C5700</stp>
        <tr r="EP102" s="1"/>
      </tp>
      <tp t="s">
        <v>8.45%</v>
        <stp/>
        <stp>IMPL_VOL</stp>
        <stp>.SPXW250516P5700</stp>
        <tr r="EQ102" s="1"/>
      </tp>
      <tp t="s">
        <v>32.89%</v>
        <stp/>
        <stp>IMPL_VOL</stp>
        <stp>.SPXW250516C5730</stp>
        <tr r="EP99" s="1"/>
      </tp>
      <tp t="s">
        <v>--</v>
        <stp/>
        <stp>IMPL_VOL</stp>
        <stp>.SPXW250516P5730</stp>
        <tr r="EQ99" s="1"/>
      </tp>
      <tp t="s">
        <v>33.55%</v>
        <stp/>
        <stp>IMPL_VOL</stp>
        <stp>.SPXW250516C5720</stp>
        <tr r="EP100" s="1"/>
      </tp>
      <tp t="s">
        <v>--</v>
        <stp/>
        <stp>IMPL_VOL</stp>
        <stp>.SPXW250516P5720</stp>
        <tr r="EQ100" s="1"/>
      </tp>
      <tp t="s">
        <v>66.04%</v>
        <stp/>
        <stp>IMPL_VOL</stp>
        <stp>.QQQ250508C502</stp>
        <tr r="EL45" s="1"/>
      </tp>
      <tp t="s">
        <v>672.58%</v>
        <stp/>
        <stp>IMPL_VOL</stp>
        <stp>.QQQ250508P502</stp>
        <tr r="EM45" s="1"/>
      </tp>
      <tp t="s">
        <v>66.04%</v>
        <stp/>
        <stp>IMPL_VOL</stp>
        <stp>.QQQ250509C502</stp>
        <tr r="EN45" s="1"/>
      </tp>
      <tp t="s">
        <v>709.22%</v>
        <stp/>
        <stp>IMPL_VOL</stp>
        <stp>.QQQ250509P502</stp>
        <tr r="EO45" s="1"/>
      </tp>
      <tp t="s">
        <v>47.00%</v>
        <stp/>
        <stp>IMPL_VOL</stp>
        <stp>.QQQ250508C500</stp>
        <tr r="EL47" s="1"/>
      </tp>
      <tp t="s">
        <v>56.62%</v>
        <stp/>
        <stp>IMPL_VOL</stp>
        <stp>.QQQ250509C501</stp>
        <tr r="EN46" s="1"/>
      </tp>
      <tp t="s">
        <v>621.65%</v>
        <stp/>
        <stp>IMPL_VOL</stp>
        <stp>.QQQ250508P500</stp>
        <tr r="EM47" s="1"/>
      </tp>
      <tp t="s">
        <v>681.70%</v>
        <stp/>
        <stp>IMPL_VOL</stp>
        <stp>.QQQ250509P501</stp>
        <tr r="EO46" s="1"/>
      </tp>
      <tp t="s">
        <v>56.62%</v>
        <stp/>
        <stp>IMPL_VOL</stp>
        <stp>.QQQ250508C501</stp>
        <tr r="EL46" s="1"/>
      </tp>
      <tp t="s">
        <v>47.00%</v>
        <stp/>
        <stp>IMPL_VOL</stp>
        <stp>.QQQ250509C500</stp>
        <tr r="EN47" s="1"/>
      </tp>
      <tp t="s">
        <v>645.27%</v>
        <stp/>
        <stp>IMPL_VOL</stp>
        <stp>.QQQ250508P501</stp>
        <tr r="EM46" s="1"/>
      </tp>
      <tp t="s">
        <v>653.49%</v>
        <stp/>
        <stp>IMPL_VOL</stp>
        <stp>.QQQ250509P500</stp>
        <tr r="EO47" s="1"/>
      </tp>
      <tp t="s">
        <v>16.29%</v>
        <stp/>
        <stp>IMPL_VOL</stp>
        <stp>.QQQ250516C500</stp>
        <tr r="EP47" s="1"/>
      </tp>
      <tp t="s">
        <v>52.65%</v>
        <stp/>
        <stp>IMPL_VOL</stp>
        <stp>.QQQ250516P500</stp>
        <tr r="EQ47" s="1"/>
      </tp>
      <tp t="s">
        <v>16.68%</v>
        <stp/>
        <stp>IMPL_VOL</stp>
        <stp>.QQQ250516C501</stp>
        <tr r="EP46" s="1"/>
      </tp>
      <tp t="s">
        <v>52.31%</v>
        <stp/>
        <stp>IMPL_VOL</stp>
        <stp>.QQQ250516P501</stp>
        <tr r="EQ46" s="1"/>
      </tp>
      <tp t="s">
        <v>17.08%</v>
        <stp/>
        <stp>IMPL_VOL</stp>
        <stp>.QQQ250516C502</stp>
        <tr r="EP45" s="1"/>
      </tp>
      <tp t="s">
        <v>53.23%</v>
        <stp/>
        <stp>IMPL_VOL</stp>
        <stp>.QQQ250516P502</stp>
        <tr r="EQ45" s="1"/>
      </tp>
      <tp>
        <v>0.01</v>
        <stp/>
        <stp>ASK</stp>
        <stp>.SPY250508C568</stp>
        <tr r="DC18" s="1"/>
        <tr r="DC18" s="1"/>
      </tp>
      <tp>
        <v>3.23</v>
        <stp/>
        <stp>ASK</stp>
        <stp>.SPY250508P568</stp>
        <tr r="DD18" s="1"/>
        <tr r="DD18" s="1"/>
      </tp>
      <tp>
        <v>0.01</v>
        <stp/>
        <stp>ASK</stp>
        <stp>.SPY250508C569</stp>
        <tr r="DC17" s="1"/>
        <tr r="DC17" s="1"/>
      </tp>
      <tp>
        <v>4.2300000000000004</v>
        <stp/>
        <stp>ASK</stp>
        <stp>.SPY250508P569</stp>
        <tr r="DD17" s="1"/>
        <tr r="DD17" s="1"/>
      </tp>
      <tp>
        <v>3.15</v>
        <stp/>
        <stp>ASK</stp>
        <stp>.SPY250508C562</stp>
        <tr r="DC24" s="1"/>
        <tr r="DC24" s="1"/>
      </tp>
      <tp>
        <v>0.02</v>
        <stp/>
        <stp>ASK</stp>
        <stp>.SPY250508P562</stp>
        <tr r="DD24" s="1"/>
        <tr r="DD24" s="1"/>
      </tp>
      <tp>
        <v>1.95</v>
        <stp/>
        <stp>ASK</stp>
        <stp>.SPY250508C563</stp>
        <tr r="DC23" s="1"/>
        <tr r="DC23" s="1"/>
      </tp>
      <tp>
        <v>0.02</v>
        <stp/>
        <stp>ASK</stp>
        <stp>.SPY250508P563</stp>
        <tr r="DD23" s="1"/>
        <tr r="DD23" s="1"/>
      </tp>
      <tp>
        <v>5.93</v>
        <stp/>
        <stp>ASK</stp>
        <stp>.SPY250508C560</stp>
        <tr r="DC26" s="1"/>
        <tr r="DC26" s="1"/>
      </tp>
      <tp>
        <v>0.01</v>
        <stp/>
        <stp>ASK</stp>
        <stp>.SPY250508P560</stp>
        <tr r="DD26" s="1"/>
        <tr r="DD26" s="1"/>
      </tp>
      <tp>
        <v>3.95</v>
        <stp/>
        <stp>ASK</stp>
        <stp>.SPY250508C561</stp>
        <tr r="DC25" s="1"/>
        <tr r="DC25" s="1"/>
      </tp>
      <tp>
        <v>0.02</v>
        <stp/>
        <stp>ASK</stp>
        <stp>.SPY250508P561</stp>
        <tr r="DD25" s="1"/>
        <tr r="DD25" s="1"/>
      </tp>
      <tp>
        <v>0.03</v>
        <stp/>
        <stp>ASK</stp>
        <stp>.SPY250508C566</stp>
        <tr r="DC20" s="1"/>
        <tr r="DC20" s="1"/>
      </tp>
      <tp>
        <v>1.24</v>
        <stp/>
        <stp>ASK</stp>
        <stp>.SPY250508P566</stp>
        <tr r="DD20" s="1"/>
        <tr r="DD20" s="1"/>
      </tp>
      <tp>
        <v>0.02</v>
        <stp/>
        <stp>ASK</stp>
        <stp>.SPY250508C567</stp>
        <tr r="DC19" s="1"/>
        <tr r="DC19" s="1"/>
      </tp>
      <tp>
        <v>2.23</v>
        <stp/>
        <stp>ASK</stp>
        <stp>.SPY250508P567</stp>
        <tr r="DD19" s="1"/>
        <tr r="DD19" s="1"/>
      </tp>
      <tp>
        <v>0.91</v>
        <stp/>
        <stp>ASK</stp>
        <stp>.SPY250508C564</stp>
        <tr r="DC22" s="1"/>
        <tr r="DC22" s="1"/>
      </tp>
      <tp>
        <v>0.03</v>
        <stp/>
        <stp>ASK</stp>
        <stp>.SPY250508P564</stp>
        <tr r="DD22" s="1"/>
        <tr r="DD22" s="1"/>
      </tp>
      <tp>
        <v>0.14000000000000001</v>
        <stp/>
        <stp>ASK</stp>
        <stp>.SPY250508C565</stp>
        <tr r="DC21" s="1"/>
        <tr r="DC21" s="1"/>
      </tp>
      <tp>
        <v>0.32</v>
        <stp/>
        <stp>ASK</stp>
        <stp>.SPY250508P565</stp>
        <tr r="DD21" s="1"/>
        <tr r="DD21" s="1"/>
      </tp>
      <tp>
        <v>14.04</v>
        <stp/>
        <stp>BID</stp>
        <stp>.SPY250508C550</stp>
        <tr r="DE36" s="1"/>
        <tr r="DE36" s="1"/>
      </tp>
      <tp>
        <v>0</v>
        <stp/>
        <stp>BID</stp>
        <stp>.SPY250508P550</stp>
        <tr r="DF36" s="1"/>
        <tr r="DF36" s="1"/>
      </tp>
      <tp>
        <v>12.96</v>
        <stp/>
        <stp>BID</stp>
        <stp>.SPY250508C551</stp>
        <tr r="DE35" s="1"/>
        <tr r="DE35" s="1"/>
      </tp>
      <tp>
        <v>0</v>
        <stp/>
        <stp>BID</stp>
        <stp>.SPY250508P551</stp>
        <tr r="DF35" s="1"/>
        <tr r="DF35" s="1"/>
      </tp>
      <tp>
        <v>12.04</v>
        <stp/>
        <stp>BID</stp>
        <stp>.SPY250508C552</stp>
        <tr r="DE34" s="1"/>
        <tr r="DE34" s="1"/>
      </tp>
      <tp>
        <v>0</v>
        <stp/>
        <stp>BID</stp>
        <stp>.SPY250508P552</stp>
        <tr r="DF34" s="1"/>
        <tr r="DF34" s="1"/>
      </tp>
      <tp>
        <v>10.98</v>
        <stp/>
        <stp>BID</stp>
        <stp>.SPY250508C553</stp>
        <tr r="DE33" s="1"/>
        <tr r="DE33" s="1"/>
      </tp>
      <tp>
        <v>0</v>
        <stp/>
        <stp>BID</stp>
        <stp>.SPY250508P553</stp>
        <tr r="DF33" s="1"/>
        <tr r="DF33" s="1"/>
      </tp>
      <tp>
        <v>9.98</v>
        <stp/>
        <stp>BID</stp>
        <stp>.SPY250508C554</stp>
        <tr r="DE32" s="1"/>
        <tr r="DE32" s="1"/>
      </tp>
      <tp>
        <v>0</v>
        <stp/>
        <stp>BID</stp>
        <stp>.SPY250508P554</stp>
        <tr r="DF32" s="1"/>
        <tr r="DF32" s="1"/>
      </tp>
      <tp>
        <v>8.98</v>
        <stp/>
        <stp>BID</stp>
        <stp>.SPY250508C555</stp>
        <tr r="DE31" s="1"/>
        <tr r="DE31" s="1"/>
      </tp>
      <tp>
        <v>0</v>
        <stp/>
        <stp>BID</stp>
        <stp>.SPY250508P555</stp>
        <tr r="DF31" s="1"/>
        <tr r="DF31" s="1"/>
      </tp>
      <tp>
        <v>7.99</v>
        <stp/>
        <stp>BID</stp>
        <stp>.SPY250508C556</stp>
        <tr r="DE30" s="1"/>
        <tr r="DE30" s="1"/>
      </tp>
      <tp>
        <v>0</v>
        <stp/>
        <stp>BID</stp>
        <stp>.SPY250508P556</stp>
        <tr r="DF30" s="1"/>
        <tr r="DF30" s="1"/>
      </tp>
      <tp>
        <v>6.99</v>
        <stp/>
        <stp>BID</stp>
        <stp>.SPY250508C557</stp>
        <tr r="DE29" s="1"/>
        <tr r="DE29" s="1"/>
      </tp>
      <tp>
        <v>0</v>
        <stp/>
        <stp>BID</stp>
        <stp>.SPY250508P557</stp>
        <tr r="DF29" s="1"/>
        <tr r="DF29" s="1"/>
      </tp>
      <tp>
        <v>5.99</v>
        <stp/>
        <stp>BID</stp>
        <stp>.SPY250508C558</stp>
        <tr r="DE28" s="1"/>
        <tr r="DE28" s="1"/>
      </tp>
      <tp>
        <v>0</v>
        <stp/>
        <stp>BID</stp>
        <stp>.SPY250508P558</stp>
        <tr r="DF28" s="1"/>
        <tr r="DF28" s="1"/>
      </tp>
      <tp>
        <v>4.99</v>
        <stp/>
        <stp>BID</stp>
        <stp>.SPY250508C559</stp>
        <tr r="DE27" s="1"/>
        <tr r="DE27" s="1"/>
      </tp>
      <tp>
        <v>0</v>
        <stp/>
        <stp>BID</stp>
        <stp>.SPY250508P559</stp>
        <tr r="DF27" s="1"/>
        <tr r="DF27" s="1"/>
      </tp>
      <tp>
        <v>0.01</v>
        <stp/>
        <stp>ASK</stp>
        <stp>.SPY250508C578</stp>
        <tr r="DC8" s="1"/>
        <tr r="DC8" s="1"/>
      </tp>
      <tp>
        <v>14.02</v>
        <stp/>
        <stp>ASK</stp>
        <stp>.SPY250508P578</stp>
        <tr r="DD8" s="1"/>
        <tr r="DD8" s="1"/>
      </tp>
      <tp>
        <v>0.01</v>
        <stp/>
        <stp>ASK</stp>
        <stp>.SPY250508C579</stp>
        <tr r="DC7" s="1"/>
        <tr r="DC7" s="1"/>
      </tp>
      <tp>
        <v>15.09</v>
        <stp/>
        <stp>ASK</stp>
        <stp>.SPY250508P579</stp>
        <tr r="DD7" s="1"/>
        <tr r="DD7" s="1"/>
      </tp>
      <tp>
        <v>0.01</v>
        <stp/>
        <stp>ASK</stp>
        <stp>.SPY250508C572</stp>
        <tr r="DC14" s="1"/>
        <tr r="DC14" s="1"/>
      </tp>
      <tp>
        <v>8.02</v>
        <stp/>
        <stp>ASK</stp>
        <stp>.SPY250508P572</stp>
        <tr r="DD14" s="1"/>
        <tr r="DD14" s="1"/>
      </tp>
      <tp>
        <v>0.01</v>
        <stp/>
        <stp>ASK</stp>
        <stp>.SPY250508C573</stp>
        <tr r="DC13" s="1"/>
        <tr r="DC13" s="1"/>
      </tp>
      <tp>
        <v>9.02</v>
        <stp/>
        <stp>ASK</stp>
        <stp>.SPY250508P573</stp>
        <tr r="DD13" s="1"/>
        <tr r="DD13" s="1"/>
      </tp>
      <tp>
        <v>0.01</v>
        <stp/>
        <stp>ASK</stp>
        <stp>.SPY250508C570</stp>
        <tr r="DC16" s="1"/>
        <tr r="DC16" s="1"/>
      </tp>
      <tp>
        <v>6.01</v>
        <stp/>
        <stp>ASK</stp>
        <stp>.SPY250508P570</stp>
        <tr r="DD16" s="1"/>
        <tr r="DD16" s="1"/>
      </tp>
      <tp>
        <v>0.01</v>
        <stp/>
        <stp>ASK</stp>
        <stp>.SPY250508C571</stp>
        <tr r="DC15" s="1"/>
        <tr r="DC15" s="1"/>
      </tp>
      <tp>
        <v>6.73</v>
        <stp/>
        <stp>ASK</stp>
        <stp>.SPY250508P571</stp>
        <tr r="DD15" s="1"/>
        <tr r="DD15" s="1"/>
      </tp>
      <tp>
        <v>0.01</v>
        <stp/>
        <stp>ASK</stp>
        <stp>.SPY250508C576</stp>
        <tr r="DC10" s="1"/>
        <tr r="DC10" s="1"/>
      </tp>
      <tp>
        <v>12.02</v>
        <stp/>
        <stp>ASK</stp>
        <stp>.SPY250508P576</stp>
        <tr r="DD10" s="1"/>
        <tr r="DD10" s="1"/>
      </tp>
      <tp>
        <v>0.01</v>
        <stp/>
        <stp>ASK</stp>
        <stp>.SPY250508C577</stp>
        <tr r="DC9" s="1"/>
        <tr r="DC9" s="1"/>
      </tp>
      <tp>
        <v>13.02</v>
        <stp/>
        <stp>ASK</stp>
        <stp>.SPY250508P577</stp>
        <tr r="DD9" s="1"/>
        <tr r="DD9" s="1"/>
      </tp>
      <tp>
        <v>0.01</v>
        <stp/>
        <stp>ASK</stp>
        <stp>.SPY250508C574</stp>
        <tr r="DC12" s="1"/>
        <tr r="DC12" s="1"/>
      </tp>
      <tp>
        <v>10.02</v>
        <stp/>
        <stp>ASK</stp>
        <stp>.SPY250508P574</stp>
        <tr r="DD12" s="1"/>
        <tr r="DD12" s="1"/>
      </tp>
      <tp>
        <v>0.01</v>
        <stp/>
        <stp>ASK</stp>
        <stp>.SPY250508C575</stp>
        <tr r="DC11" s="1"/>
        <tr r="DC11" s="1"/>
      </tp>
      <tp>
        <v>11.02</v>
        <stp/>
        <stp>ASK</stp>
        <stp>.SPY250508P575</stp>
        <tr r="DD11" s="1"/>
        <tr r="DD11" s="1"/>
      </tp>
      <tp>
        <v>15.98</v>
        <stp/>
        <stp>BID</stp>
        <stp>.SPY250508C548</stp>
        <tr r="DE38" s="1"/>
        <tr r="DE38" s="1"/>
      </tp>
      <tp>
        <v>0</v>
        <stp/>
        <stp>BID</stp>
        <stp>.SPY250508P548</stp>
        <tr r="DF38" s="1"/>
        <tr r="DF38" s="1"/>
      </tp>
      <tp>
        <v>14.98</v>
        <stp/>
        <stp>BID</stp>
        <stp>.SPY250508C549</stp>
        <tr r="DE37" s="1"/>
        <tr r="DE37" s="1"/>
      </tp>
      <tp>
        <v>0</v>
        <stp/>
        <stp>BID</stp>
        <stp>.SPY250508P549</stp>
        <tr r="DF37" s="1"/>
        <tr r="DF37" s="1"/>
      </tp>
      <tp>
        <v>18.079999999999998</v>
        <stp/>
        <stp>ASK</stp>
        <stp>.SPY250508C548</stp>
        <tr r="DC38" s="1"/>
        <tr r="DC38" s="1"/>
      </tp>
      <tp>
        <v>0.01</v>
        <stp/>
        <stp>ASK</stp>
        <stp>.SPY250508P548</stp>
        <tr r="DD38" s="1"/>
        <tr r="DD38" s="1"/>
      </tp>
      <tp>
        <v>16.940000000000001</v>
        <stp/>
        <stp>ASK</stp>
        <stp>.SPY250508C549</stp>
        <tr r="DC37" s="1"/>
        <tr r="DC37" s="1"/>
      </tp>
      <tp>
        <v>0.01</v>
        <stp/>
        <stp>ASK</stp>
        <stp>.SPY250508P549</stp>
        <tr r="DD37" s="1"/>
        <tr r="DD37" s="1"/>
      </tp>
      <tp>
        <v>0</v>
        <stp/>
        <stp>BID</stp>
        <stp>.SPY250508C570</stp>
        <tr r="DE16" s="1"/>
        <tr r="DE16" s="1"/>
      </tp>
      <tp>
        <v>4.2</v>
        <stp/>
        <stp>BID</stp>
        <stp>.SPY250508P570</stp>
        <tr r="DF16" s="1"/>
        <tr r="DF16" s="1"/>
      </tp>
      <tp>
        <v>0</v>
        <stp/>
        <stp>BID</stp>
        <stp>.SPY250508C571</stp>
        <tr r="DE15" s="1"/>
        <tr r="DE15" s="1"/>
      </tp>
      <tp>
        <v>5.07</v>
        <stp/>
        <stp>BID</stp>
        <stp>.SPY250508P571</stp>
        <tr r="DF15" s="1"/>
        <tr r="DF15" s="1"/>
      </tp>
      <tp>
        <v>0</v>
        <stp/>
        <stp>BID</stp>
        <stp>.SPY250508C572</stp>
        <tr r="DE14" s="1"/>
        <tr r="DE14" s="1"/>
      </tp>
      <tp>
        <v>6.07</v>
        <stp/>
        <stp>BID</stp>
        <stp>.SPY250508P572</stp>
        <tr r="DF14" s="1"/>
        <tr r="DF14" s="1"/>
      </tp>
      <tp>
        <v>0</v>
        <stp/>
        <stp>BID</stp>
        <stp>.SPY250508C573</stp>
        <tr r="DE13" s="1"/>
        <tr r="DE13" s="1"/>
      </tp>
      <tp>
        <v>7.1</v>
        <stp/>
        <stp>BID</stp>
        <stp>.SPY250508P573</stp>
        <tr r="DF13" s="1"/>
        <tr r="DF13" s="1"/>
      </tp>
      <tp>
        <v>0</v>
        <stp/>
        <stp>BID</stp>
        <stp>.SPY250508C574</stp>
        <tr r="DE12" s="1"/>
        <tr r="DE12" s="1"/>
      </tp>
      <tp>
        <v>8.07</v>
        <stp/>
        <stp>BID</stp>
        <stp>.SPY250508P574</stp>
        <tr r="DF12" s="1"/>
        <tr r="DF12" s="1"/>
      </tp>
      <tp>
        <v>0</v>
        <stp/>
        <stp>BID</stp>
        <stp>.SPY250508C575</stp>
        <tr r="DE11" s="1"/>
        <tr r="DE11" s="1"/>
      </tp>
      <tp>
        <v>9.07</v>
        <stp/>
        <stp>BID</stp>
        <stp>.SPY250508P575</stp>
        <tr r="DF11" s="1"/>
        <tr r="DF11" s="1"/>
      </tp>
      <tp>
        <v>0</v>
        <stp/>
        <stp>BID</stp>
        <stp>.SPY250508C576</stp>
        <tr r="DE10" s="1"/>
        <tr r="DE10" s="1"/>
      </tp>
      <tp>
        <v>10.08</v>
        <stp/>
        <stp>BID</stp>
        <stp>.SPY250508P576</stp>
        <tr r="DF10" s="1"/>
        <tr r="DF10" s="1"/>
      </tp>
      <tp>
        <v>0</v>
        <stp/>
        <stp>BID</stp>
        <stp>.SPY250508C577</stp>
        <tr r="DE9" s="1"/>
        <tr r="DE9" s="1"/>
      </tp>
      <tp>
        <v>11.03</v>
        <stp/>
        <stp>BID</stp>
        <stp>.SPY250508P577</stp>
        <tr r="DF9" s="1"/>
        <tr r="DF9" s="1"/>
      </tp>
      <tp>
        <v>0</v>
        <stp/>
        <stp>BID</stp>
        <stp>.SPY250508C578</stp>
        <tr r="DE8" s="1"/>
        <tr r="DE8" s="1"/>
      </tp>
      <tp>
        <v>11.96</v>
        <stp/>
        <stp>BID</stp>
        <stp>.SPY250508P578</stp>
        <tr r="DF8" s="1"/>
        <tr r="DF8" s="1"/>
      </tp>
      <tp>
        <v>0</v>
        <stp/>
        <stp>BID</stp>
        <stp>.SPY250508C579</stp>
        <tr r="DE7" s="1"/>
        <tr r="DE7" s="1"/>
      </tp>
      <tp>
        <v>13.07</v>
        <stp/>
        <stp>BID</stp>
        <stp>.SPY250508P579</stp>
        <tr r="DF7" s="1"/>
        <tr r="DF7" s="1"/>
      </tp>
      <tp>
        <v>6.93</v>
        <stp/>
        <stp>ASK</stp>
        <stp>.SPY250508C558</stp>
        <tr r="DC28" s="1"/>
        <tr r="DC28" s="1"/>
      </tp>
      <tp>
        <v>0.01</v>
        <stp/>
        <stp>ASK</stp>
        <stp>.SPY250508P558</stp>
        <tr r="DD28" s="1"/>
        <tr r="DD28" s="1"/>
      </tp>
      <tp>
        <v>6.9</v>
        <stp/>
        <stp>ASK</stp>
        <stp>.SPY250508C559</stp>
        <tr r="DC27" s="1"/>
        <tr r="DC27" s="1"/>
      </tp>
      <tp>
        <v>0.01</v>
        <stp/>
        <stp>ASK</stp>
        <stp>.SPY250508P559</stp>
        <tr r="DD27" s="1"/>
        <tr r="DD27" s="1"/>
      </tp>
      <tp>
        <v>13.95</v>
        <stp/>
        <stp>ASK</stp>
        <stp>.SPY250508C552</stp>
        <tr r="DC34" s="1"/>
        <tr r="DC34" s="1"/>
      </tp>
      <tp>
        <v>0.01</v>
        <stp/>
        <stp>ASK</stp>
        <stp>.SPY250508P552</stp>
        <tr r="DD34" s="1"/>
        <tr r="DD34" s="1"/>
      </tp>
      <tp>
        <v>12.93</v>
        <stp/>
        <stp>ASK</stp>
        <stp>.SPY250508C553</stp>
        <tr r="DC33" s="1"/>
        <tr r="DC33" s="1"/>
      </tp>
      <tp>
        <v>0.01</v>
        <stp/>
        <stp>ASK</stp>
        <stp>.SPY250508P553</stp>
        <tr r="DD33" s="1"/>
        <tr r="DD33" s="1"/>
      </tp>
      <tp>
        <v>16.05</v>
        <stp/>
        <stp>ASK</stp>
        <stp>.SPY250508C550</stp>
        <tr r="DC36" s="1"/>
        <tr r="DC36" s="1"/>
      </tp>
      <tp>
        <v>0.01</v>
        <stp/>
        <stp>ASK</stp>
        <stp>.SPY250508P550</stp>
        <tr r="DD36" s="1"/>
        <tr r="DD36" s="1"/>
      </tp>
      <tp>
        <v>14.93</v>
        <stp/>
        <stp>ASK</stp>
        <stp>.SPY250508C551</stp>
        <tr r="DC35" s="1"/>
        <tr r="DC35" s="1"/>
      </tp>
      <tp>
        <v>0.01</v>
        <stp/>
        <stp>ASK</stp>
        <stp>.SPY250508P551</stp>
        <tr r="DD35" s="1"/>
        <tr r="DD35" s="1"/>
      </tp>
      <tp>
        <v>9.9499999999999993</v>
        <stp/>
        <stp>ASK</stp>
        <stp>.SPY250508C556</stp>
        <tr r="DC30" s="1"/>
        <tr r="DC30" s="1"/>
      </tp>
      <tp>
        <v>0.01</v>
        <stp/>
        <stp>ASK</stp>
        <stp>.SPY250508P556</stp>
        <tr r="DD30" s="1"/>
        <tr r="DD30" s="1"/>
      </tp>
      <tp>
        <v>8.94</v>
        <stp/>
        <stp>ASK</stp>
        <stp>.SPY250508C557</stp>
        <tr r="DC29" s="1"/>
        <tr r="DC29" s="1"/>
      </tp>
      <tp>
        <v>0.01</v>
        <stp/>
        <stp>ASK</stp>
        <stp>.SPY250508P557</stp>
        <tr r="DD29" s="1"/>
        <tr r="DD29" s="1"/>
      </tp>
      <tp>
        <v>11.94</v>
        <stp/>
        <stp>ASK</stp>
        <stp>.SPY250508C554</stp>
        <tr r="DC32" s="1"/>
        <tr r="DC32" s="1"/>
      </tp>
      <tp>
        <v>0.01</v>
        <stp/>
        <stp>ASK</stp>
        <stp>.SPY250508P554</stp>
        <tr r="DD32" s="1"/>
        <tr r="DD32" s="1"/>
      </tp>
      <tp>
        <v>10.95</v>
        <stp/>
        <stp>ASK</stp>
        <stp>.SPY250508C555</stp>
        <tr r="DC31" s="1"/>
        <tr r="DC31" s="1"/>
      </tp>
      <tp>
        <v>0.01</v>
        <stp/>
        <stp>ASK</stp>
        <stp>.SPY250508P555</stp>
        <tr r="DD31" s="1"/>
        <tr r="DD31" s="1"/>
      </tp>
      <tp>
        <v>4.1900000000000004</v>
        <stp/>
        <stp>BID</stp>
        <stp>.SPY250508C560</stp>
        <tr r="DE26" s="1"/>
        <tr r="DE26" s="1"/>
      </tp>
      <tp>
        <v>0</v>
        <stp/>
        <stp>BID</stp>
        <stp>.SPY250508P560</stp>
        <tr r="DF26" s="1"/>
        <tr r="DF26" s="1"/>
      </tp>
      <tp>
        <v>3.32</v>
        <stp/>
        <stp>BID</stp>
        <stp>.SPY250508C561</stp>
        <tr r="DE25" s="1"/>
        <tr r="DE25" s="1"/>
      </tp>
      <tp>
        <v>0.01</v>
        <stp/>
        <stp>BID</stp>
        <stp>.SPY250508P561</stp>
        <tr r="DF25" s="1"/>
        <tr r="DF25" s="1"/>
      </tp>
      <tp>
        <v>1.99</v>
        <stp/>
        <stp>BID</stp>
        <stp>.SPY250508C562</stp>
        <tr r="DE24" s="1"/>
        <tr r="DE24" s="1"/>
      </tp>
      <tp>
        <v>0.01</v>
        <stp/>
        <stp>BID</stp>
        <stp>.SPY250508P562</stp>
        <tr r="DF24" s="1"/>
        <tr r="DF24" s="1"/>
      </tp>
      <tp>
        <v>1.28</v>
        <stp/>
        <stp>BID</stp>
        <stp>.SPY250508C563</stp>
        <tr r="DE23" s="1"/>
        <tr r="DE23" s="1"/>
      </tp>
      <tp>
        <v>0.01</v>
        <stp/>
        <stp>BID</stp>
        <stp>.SPY250508P563</stp>
        <tr r="DF23" s="1"/>
        <tr r="DF23" s="1"/>
      </tp>
      <tp>
        <v>0.79</v>
        <stp/>
        <stp>BID</stp>
        <stp>.SPY250508C564</stp>
        <tr r="DE22" s="1"/>
        <tr r="DE22" s="1"/>
      </tp>
      <tp>
        <v>0.02</v>
        <stp/>
        <stp>BID</stp>
        <stp>.SPY250508P564</stp>
        <tr r="DF22" s="1"/>
        <tr r="DF22" s="1"/>
      </tp>
      <tp>
        <v>0.12</v>
        <stp/>
        <stp>BID</stp>
        <stp>.SPY250508C565</stp>
        <tr r="DE21" s="1"/>
        <tr r="DE21" s="1"/>
      </tp>
      <tp>
        <v>0.28000000000000003</v>
        <stp/>
        <stp>BID</stp>
        <stp>.SPY250508P565</stp>
        <tr r="DF21" s="1"/>
        <tr r="DF21" s="1"/>
      </tp>
      <tp>
        <v>0.02</v>
        <stp/>
        <stp>BID</stp>
        <stp>.SPY250508C566</stp>
        <tr r="DE20" s="1"/>
        <tr r="DE20" s="1"/>
      </tp>
      <tp>
        <v>1.1100000000000001</v>
        <stp/>
        <stp>BID</stp>
        <stp>.SPY250508P566</stp>
        <tr r="DF20" s="1"/>
        <tr r="DF20" s="1"/>
      </tp>
      <tp>
        <v>0.01</v>
        <stp/>
        <stp>BID</stp>
        <stp>.SPY250508C567</stp>
        <tr r="DE19" s="1"/>
        <tr r="DE19" s="1"/>
      </tp>
      <tp>
        <v>2.1</v>
        <stp/>
        <stp>BID</stp>
        <stp>.SPY250508P567</stp>
        <tr r="DF19" s="1"/>
        <tr r="DF19" s="1"/>
      </tp>
      <tp>
        <v>0</v>
        <stp/>
        <stp>BID</stp>
        <stp>.SPY250508C568</stp>
        <tr r="DE18" s="1"/>
        <tr r="DE18" s="1"/>
      </tp>
      <tp>
        <v>3.1</v>
        <stp/>
        <stp>BID</stp>
        <stp>.SPY250508P568</stp>
        <tr r="DF18" s="1"/>
        <tr r="DF18" s="1"/>
      </tp>
      <tp>
        <v>0</v>
        <stp/>
        <stp>BID</stp>
        <stp>.SPY250508C569</stp>
        <tr r="DE17" s="1"/>
        <tr r="DE17" s="1"/>
      </tp>
      <tp>
        <v>3.07</v>
        <stp/>
        <stp>BID</stp>
        <stp>.SPY250508P569</stp>
        <tr r="DF17" s="1"/>
        <tr r="DF17" s="1"/>
      </tp>
      <tp>
        <v>0</v>
        <stp/>
        <stp>BID</stp>
        <stp>.SPY250508C580</stp>
        <tr r="DE6" s="1"/>
        <tr r="DE6" s="1"/>
      </tp>
      <tp>
        <v>14.1</v>
        <stp/>
        <stp>BID</stp>
        <stp>.SPY250508P580</stp>
        <tr r="DF6" s="1"/>
        <tr r="DF6" s="1"/>
      </tp>
      <tp>
        <v>0</v>
        <stp/>
        <stp>BID</stp>
        <stp>.SPY250508C581</stp>
        <tr r="DE5" s="1"/>
        <tr r="DE5" s="1"/>
      </tp>
      <tp>
        <v>15.07</v>
        <stp/>
        <stp>BID</stp>
        <stp>.SPY250508P581</stp>
        <tr r="DF5" s="1"/>
        <tr r="DF5" s="1"/>
      </tp>
      <tp>
        <v>0</v>
        <stp/>
        <stp>BID</stp>
        <stp>.SPY250508C582</stp>
        <tr r="DE4" s="1"/>
        <tr r="DE4" s="1"/>
      </tp>
      <tp>
        <v>15.99</v>
        <stp/>
        <stp>BID</stp>
        <stp>.SPY250508P582</stp>
        <tr r="DF4" s="1"/>
        <tr r="DF4" s="1"/>
      </tp>
      <tp>
        <v>0.01</v>
        <stp/>
        <stp>ASK</stp>
        <stp>.SPY250508C582</stp>
        <tr r="DC4" s="1"/>
        <tr r="DC4" s="1"/>
      </tp>
      <tp>
        <v>18.02</v>
        <stp/>
        <stp>ASK</stp>
        <stp>.SPY250508P582</stp>
        <tr r="DD4" s="1"/>
        <tr r="DD4" s="1"/>
      </tp>
      <tp>
        <v>0.01</v>
        <stp/>
        <stp>ASK</stp>
        <stp>.SPY250508C580</stp>
        <tr r="DC6" s="1"/>
        <tr r="DC6" s="1"/>
      </tp>
      <tp>
        <v>16.02</v>
        <stp/>
        <stp>ASK</stp>
        <stp>.SPY250508P580</stp>
        <tr r="DD6" s="1"/>
        <tr r="DD6" s="1"/>
      </tp>
      <tp>
        <v>0.01</v>
        <stp/>
        <stp>ASK</stp>
        <stp>.SPY250508C581</stp>
        <tr r="DC5" s="1"/>
        <tr r="DC5" s="1"/>
      </tp>
      <tp>
        <v>17.02</v>
        <stp/>
        <stp>ASK</stp>
        <stp>.SPY250508P581</stp>
        <tr r="DD5" s="1"/>
        <tr r="DD5" s="1"/>
      </tp>
      <tp t="s">
        <v>249.42%</v>
        <stp/>
        <stp>IMPL_VOL</stp>
        <stp>.SPXW250508C5530</stp>
        <tr r="EL119" s="1"/>
      </tp>
      <tp t="s">
        <v>--</v>
        <stp/>
        <stp>IMPL_VOL</stp>
        <stp>.SPXW250509C5520</stp>
        <tr r="EN120" s="1"/>
      </tp>
      <tp t="s">
        <v>106.16%</v>
        <stp/>
        <stp>IMPL_VOL</stp>
        <stp>.SPXW250508P5530</stp>
        <tr r="EM119" s="1"/>
      </tp>
      <tp t="s">
        <v>113.66%</v>
        <stp/>
        <stp>IMPL_VOL</stp>
        <stp>.SPXW250509P5520</stp>
        <tr r="EO120" s="1"/>
      </tp>
      <tp t="s">
        <v>263.38%</v>
        <stp/>
        <stp>IMPL_VOL</stp>
        <stp>.SPXW250508C5520</stp>
        <tr r="EL120" s="1"/>
      </tp>
      <tp t="s">
        <v>--</v>
        <stp/>
        <stp>IMPL_VOL</stp>
        <stp>.SPXW250509C5530</stp>
        <tr r="EN119" s="1"/>
      </tp>
      <tp t="s">
        <v>113.66%</v>
        <stp/>
        <stp>IMPL_VOL</stp>
        <stp>.SPXW250508P5520</stp>
        <tr r="EM120" s="1"/>
      </tp>
      <tp t="s">
        <v>106.16%</v>
        <stp/>
        <stp>IMPL_VOL</stp>
        <stp>.SPXW250509P5530</stp>
        <tr r="EO119" s="1"/>
      </tp>
      <tp t="s">
        <v>254.68%</v>
        <stp/>
        <stp>IMPL_VOL</stp>
        <stp>.SPXW250508C5510</stp>
        <tr r="EL121" s="1"/>
      </tp>
      <tp t="s">
        <v>--</v>
        <stp/>
        <stp>IMPL_VOL</stp>
        <stp>.SPXW250509C5500</stp>
        <tr r="EN122" s="1"/>
      </tp>
      <tp t="s">
        <v>121.12%</v>
        <stp/>
        <stp>IMPL_VOL</stp>
        <stp>.SPXW250508P5510</stp>
        <tr r="EM121" s="1"/>
      </tp>
      <tp t="s">
        <v>128.56%</v>
        <stp/>
        <stp>IMPL_VOL</stp>
        <stp>.SPXW250509P5500</stp>
        <tr r="EO122" s="1"/>
      </tp>
      <tp t="s">
        <v>268.48%</v>
        <stp/>
        <stp>IMPL_VOL</stp>
        <stp>.SPXW250508C5500</stp>
        <tr r="EL122" s="1"/>
      </tp>
      <tp t="s">
        <v>--</v>
        <stp/>
        <stp>IMPL_VOL</stp>
        <stp>.SPXW250509C5510</stp>
        <tr r="EN121" s="1"/>
      </tp>
      <tp t="s">
        <v>128.56%</v>
        <stp/>
        <stp>IMPL_VOL</stp>
        <stp>.SPXW250508P5500</stp>
        <tr r="EM122" s="1"/>
      </tp>
      <tp t="s">
        <v>121.12%</v>
        <stp/>
        <stp>IMPL_VOL</stp>
        <stp>.SPXW250509P5510</stp>
        <tr r="EO121" s="1"/>
      </tp>
      <tp t="s">
        <v>182.32%</v>
        <stp/>
        <stp>IMPL_VOL</stp>
        <stp>.SPXW250508C5570</stp>
        <tr r="EL115" s="1"/>
      </tp>
      <tp t="s">
        <v>--</v>
        <stp/>
        <stp>IMPL_VOL</stp>
        <stp>.SPXW250509C5560</stp>
        <tr r="EN116" s="1"/>
      </tp>
      <tp t="s">
        <v>55.50%</v>
        <stp/>
        <stp>IMPL_VOL</stp>
        <stp>.SPXW250516C5490</stp>
        <tr r="EP123" s="1"/>
      </tp>
      <tp t="s">
        <v>75.90%</v>
        <stp/>
        <stp>IMPL_VOL</stp>
        <stp>.SPXW250508P5570</stp>
        <tr r="EM115" s="1"/>
      </tp>
      <tp t="s">
        <v>83.48%</v>
        <stp/>
        <stp>IMPL_VOL</stp>
        <stp>.SPXW250509P5560</stp>
        <tr r="EO116" s="1"/>
      </tp>
      <tp t="s">
        <v>20.54%</v>
        <stp/>
        <stp>IMPL_VOL</stp>
        <stp>.SPXW250516P5490</stp>
        <tr r="EQ123" s="1"/>
      </tp>
      <tp t="s">
        <v>196.59%</v>
        <stp/>
        <stp>IMPL_VOL</stp>
        <stp>.SPXW250508C5560</stp>
        <tr r="EL116" s="1"/>
      </tp>
      <tp t="s">
        <v>--</v>
        <stp/>
        <stp>IMPL_VOL</stp>
        <stp>.SPXW250509C5570</stp>
        <tr r="EN115" s="1"/>
      </tp>
      <tp t="s">
        <v>56.70%</v>
        <stp/>
        <stp>IMPL_VOL</stp>
        <stp>.SPXW250516C5480</stp>
        <tr r="EP124" s="1"/>
      </tp>
      <tp t="s">
        <v>83.48%</v>
        <stp/>
        <stp>IMPL_VOL</stp>
        <stp>.SPXW250508P5560</stp>
        <tr r="EM116" s="1"/>
      </tp>
      <tp t="s">
        <v>75.90%</v>
        <stp/>
        <stp>IMPL_VOL</stp>
        <stp>.SPXW250509P5570</stp>
        <tr r="EO115" s="1"/>
      </tp>
      <tp t="s">
        <v>20.90%</v>
        <stp/>
        <stp>IMPL_VOL</stp>
        <stp>.SPXW250516P5480</stp>
        <tr r="EQ124" s="1"/>
      </tp>
      <tp t="s">
        <v>210.66%</v>
        <stp/>
        <stp>IMPL_VOL</stp>
        <stp>.SPXW250508C5550</stp>
        <tr r="EL117" s="1"/>
      </tp>
      <tp t="s">
        <v>--</v>
        <stp/>
        <stp>IMPL_VOL</stp>
        <stp>.SPXW250509C5540</stp>
        <tr r="EN118" s="1"/>
      </tp>
      <tp t="s">
        <v>91.08%</v>
        <stp/>
        <stp>IMPL_VOL</stp>
        <stp>.SPXW250508P5550</stp>
        <tr r="EM117" s="1"/>
      </tp>
      <tp t="s">
        <v>98.64%</v>
        <stp/>
        <stp>IMPL_VOL</stp>
        <stp>.SPXW250509P5540</stp>
        <tr r="EO118" s="1"/>
      </tp>
      <tp t="s">
        <v>224.54%</v>
        <stp/>
        <stp>IMPL_VOL</stp>
        <stp>.SPXW250508C5540</stp>
        <tr r="EL118" s="1"/>
      </tp>
      <tp t="s">
        <v>--</v>
        <stp/>
        <stp>IMPL_VOL</stp>
        <stp>.SPXW250509C5550</stp>
        <tr r="EN117" s="1"/>
      </tp>
      <tp t="s">
        <v>98.64%</v>
        <stp/>
        <stp>IMPL_VOL</stp>
        <stp>.SPXW250508P5540</stp>
        <tr r="EM118" s="1"/>
      </tp>
      <tp t="s">
        <v>91.08%</v>
        <stp/>
        <stp>IMPL_VOL</stp>
        <stp>.SPXW250509P5550</stp>
        <tr r="EO117" s="1"/>
      </tp>
      <tp t="s">
        <v>60.29%</v>
        <stp/>
        <stp>IMPL_VOL</stp>
        <stp>.SPXW250516C5450</stp>
        <tr r="EP127" s="1"/>
      </tp>
      <tp t="s">
        <v>22.05%</v>
        <stp/>
        <stp>IMPL_VOL</stp>
        <stp>.SPXW250516P5450</stp>
        <tr r="EQ127" s="1"/>
      </tp>
      <tp t="s">
        <v>61.54%</v>
        <stp/>
        <stp>IMPL_VOL</stp>
        <stp>.SPXW250516C5440</stp>
        <tr r="EP128" s="1"/>
      </tp>
      <tp t="s">
        <v>22.49%</v>
        <stp/>
        <stp>IMPL_VOL</stp>
        <stp>.SPXW250516P5440</stp>
        <tr r="EQ128" s="1"/>
      </tp>
      <tp t="s">
        <v>152.98%</v>
        <stp/>
        <stp>IMPL_VOL</stp>
        <stp>.SPXW250508C5590</stp>
        <tr r="EL113" s="1"/>
      </tp>
      <tp t="s">
        <v>--</v>
        <stp/>
        <stp>IMPL_VOL</stp>
        <stp>.SPXW250509C5580</stp>
        <tr r="EN114" s="1"/>
      </tp>
      <tp t="s">
        <v>57.91%</v>
        <stp/>
        <stp>IMPL_VOL</stp>
        <stp>.SPXW250516C5470</stp>
        <tr r="EP125" s="1"/>
      </tp>
      <tp t="s">
        <v>60.43%</v>
        <stp/>
        <stp>IMPL_VOL</stp>
        <stp>.SPXW250508P5590</stp>
        <tr r="EM113" s="1"/>
      </tp>
      <tp t="s">
        <v>68.28%</v>
        <stp/>
        <stp>IMPL_VOL</stp>
        <stp>.SPXW250509P5580</stp>
        <tr r="EO114" s="1"/>
      </tp>
      <tp t="s">
        <v>21.29%</v>
        <stp/>
        <stp>IMPL_VOL</stp>
        <stp>.SPXW250516P5470</stp>
        <tr r="EQ125" s="1"/>
      </tp>
      <tp t="s">
        <v>167.79%</v>
        <stp/>
        <stp>IMPL_VOL</stp>
        <stp>.SPXW250508C5580</stp>
        <tr r="EL114" s="1"/>
      </tp>
      <tp t="s">
        <v>--</v>
        <stp/>
        <stp>IMPL_VOL</stp>
        <stp>.SPXW250509C5590</stp>
        <tr r="EN113" s="1"/>
      </tp>
      <tp t="s">
        <v>59.09%</v>
        <stp/>
        <stp>IMPL_VOL</stp>
        <stp>.SPXW250516C5460</stp>
        <tr r="EP126" s="1"/>
      </tp>
      <tp t="s">
        <v>68.28%</v>
        <stp/>
        <stp>IMPL_VOL</stp>
        <stp>.SPXW250508P5580</stp>
        <tr r="EM114" s="1"/>
      </tp>
      <tp t="s">
        <v>60.43%</v>
        <stp/>
        <stp>IMPL_VOL</stp>
        <stp>.SPXW250509P5590</stp>
        <tr r="EO113" s="1"/>
      </tp>
      <tp t="s">
        <v>21.70%</v>
        <stp/>
        <stp>IMPL_VOL</stp>
        <stp>.SPXW250516P5460</stp>
        <tr r="EQ126" s="1"/>
      </tp>
      <tp t="s">
        <v>62.77%</v>
        <stp/>
        <stp>IMPL_VOL</stp>
        <stp>.SPXW250516C5430</stp>
        <tr r="EP129" s="1"/>
      </tp>
      <tp t="s">
        <v>22.88%</v>
        <stp/>
        <stp>IMPL_VOL</stp>
        <stp>.SPXW250516P5430</stp>
        <tr r="EQ129" s="1"/>
      </tp>
      <tp t="s">
        <v>64.03%</v>
        <stp/>
        <stp>IMPL_VOL</stp>
        <stp>.SPXW250516C5420</stp>
        <tr r="EP130" s="1"/>
      </tp>
      <tp t="s">
        <v>23.34%</v>
        <stp/>
        <stp>IMPL_VOL</stp>
        <stp>.SPXW250516P5420</stp>
        <tr r="EQ130" s="1"/>
      </tp>
      <tp t="s">
        <v>--</v>
        <stp/>
        <stp>IMPL_VOL</stp>
        <stp>.QQQ250516C474</stp>
        <tr r="EP73" s="1"/>
      </tp>
      <tp t="s">
        <v>40.72%</v>
        <stp/>
        <stp>IMPL_VOL</stp>
        <stp>.QQQ250516P474</stp>
        <tr r="EQ73" s="1"/>
      </tp>
      <tp t="s">
        <v>--</v>
        <stp/>
        <stp>IMPL_VOL</stp>
        <stp>.QQQ250516C475</stp>
        <tr r="EP72" s="1"/>
      </tp>
      <tp t="s">
        <v>40.91%</v>
        <stp/>
        <stp>IMPL_VOL</stp>
        <stp>.QQQ250516P475</stp>
        <tr r="EQ72" s="1"/>
      </tp>
      <tp t="s">
        <v>--</v>
        <stp/>
        <stp>IMPL_VOL</stp>
        <stp>.QQQ250508C468</stp>
        <tr r="EL79" s="1"/>
      </tp>
      <tp t="s">
        <v>--</v>
        <stp/>
        <stp>IMPL_VOL</stp>
        <stp>.QQQ250509C469</stp>
        <tr r="EN78" s="1"/>
      </tp>
      <tp t="s">
        <v>--</v>
        <stp/>
        <stp>IMPL_VOL</stp>
        <stp>.QQQ250516C476</stp>
        <tr r="EP71" s="1"/>
      </tp>
      <tp t="s">
        <v>262.41%</v>
        <stp/>
        <stp>IMPL_VOL</stp>
        <stp>.QQQ250508P468</stp>
        <tr r="EM79" s="1"/>
      </tp>
      <tp t="s">
        <v>253.53%</v>
        <stp/>
        <stp>IMPL_VOL</stp>
        <stp>.QQQ250509P469</stp>
        <tr r="EO78" s="1"/>
      </tp>
      <tp t="s">
        <v>41.04%</v>
        <stp/>
        <stp>IMPL_VOL</stp>
        <stp>.QQQ250516P476</stp>
        <tr r="EQ71" s="1"/>
      </tp>
      <tp t="s">
        <v>--</v>
        <stp/>
        <stp>IMPL_VOL</stp>
        <stp>.QQQ250508C469</stp>
        <tr r="EL78" s="1"/>
      </tp>
      <tp t="s">
        <v>--</v>
        <stp/>
        <stp>IMPL_VOL</stp>
        <stp>.QQQ250509C468</stp>
        <tr r="EN79" s="1"/>
      </tp>
      <tp t="s">
        <v>--</v>
        <stp/>
        <stp>IMPL_VOL</stp>
        <stp>.QQQ250516C477</stp>
        <tr r="EP70" s="1"/>
      </tp>
      <tp t="s">
        <v>253.53%</v>
        <stp/>
        <stp>IMPL_VOL</stp>
        <stp>.QQQ250508P469</stp>
        <tr r="EM78" s="1"/>
      </tp>
      <tp t="s">
        <v>262.41%</v>
        <stp/>
        <stp>IMPL_VOL</stp>
        <stp>.QQQ250509P468</stp>
        <tr r="EO79" s="1"/>
      </tp>
      <tp t="s">
        <v>41.21%</v>
        <stp/>
        <stp>IMPL_VOL</stp>
        <stp>.QQQ250516P477</stp>
        <tr r="EQ70" s="1"/>
      </tp>
      <tp t="s">
        <v>--</v>
        <stp/>
        <stp>IMPL_VOL</stp>
        <stp>.QQQ250516C470</stp>
        <tr r="EP77" s="1"/>
      </tp>
      <tp t="s">
        <v>40.29%</v>
        <stp/>
        <stp>IMPL_VOL</stp>
        <stp>.QQQ250516P470</stp>
        <tr r="EQ77" s="1"/>
      </tp>
      <tp t="s">
        <v>--</v>
        <stp/>
        <stp>IMPL_VOL</stp>
        <stp>.QQQ250516C471</stp>
        <tr r="EP76" s="1"/>
      </tp>
      <tp t="s">
        <v>40.40%</v>
        <stp/>
        <stp>IMPL_VOL</stp>
        <stp>.QQQ250516P471</stp>
        <tr r="EQ76" s="1"/>
      </tp>
      <tp t="s">
        <v>--</v>
        <stp/>
        <stp>IMPL_VOL</stp>
        <stp>.QQQ250516C472</stp>
        <tr r="EP75" s="1"/>
      </tp>
      <tp t="s">
        <v>40.50%</v>
        <stp/>
        <stp>IMPL_VOL</stp>
        <stp>.QQQ250516P472</stp>
        <tr r="EQ75" s="1"/>
      </tp>
      <tp t="s">
        <v>--</v>
        <stp/>
        <stp>IMPL_VOL</stp>
        <stp>.QQQ250516C473</stp>
        <tr r="EP74" s="1"/>
      </tp>
      <tp t="s">
        <v>40.62%</v>
        <stp/>
        <stp>IMPL_VOL</stp>
        <stp>.QQQ250516P473</stp>
        <tr r="EQ74" s="1"/>
      </tp>
      <tp t="s">
        <v>--</v>
        <stp/>
        <stp>IMPL_VOL</stp>
        <stp>.QQQ250516C478</stp>
        <tr r="EP69" s="1"/>
      </tp>
      <tp t="s">
        <v>41.37%</v>
        <stp/>
        <stp>IMPL_VOL</stp>
        <stp>.QQQ250516P478</stp>
        <tr r="EQ69" s="1"/>
      </tp>
      <tp t="s">
        <v>--</v>
        <stp/>
        <stp>IMPL_VOL</stp>
        <stp>.QQQ250516C479</stp>
        <tr r="EP68" s="1"/>
      </tp>
      <tp t="s">
        <v>41.57%</v>
        <stp/>
        <stp>IMPL_VOL</stp>
        <stp>.QQQ250516P479</stp>
        <tr r="EQ68" s="1"/>
      </tp>
      <tp t="s">
        <v>--</v>
        <stp/>
        <stp>IMPL_VOL</stp>
        <stp>.QQQ250508C478</stp>
        <tr r="EL69" s="1"/>
      </tp>
      <tp t="s">
        <v>--</v>
        <stp/>
        <stp>IMPL_VOL</stp>
        <stp>.QQQ250509C479</stp>
        <tr r="EN68" s="1"/>
      </tp>
      <tp t="s">
        <v>173.27%</v>
        <stp/>
        <stp>IMPL_VOL</stp>
        <stp>.QQQ250508P478</stp>
        <tr r="EM69" s="1"/>
      </tp>
      <tp t="s">
        <v>164.28%</v>
        <stp/>
        <stp>IMPL_VOL</stp>
        <stp>.QQQ250509P479</stp>
        <tr r="EO68" s="1"/>
      </tp>
      <tp t="s">
        <v>--</v>
        <stp/>
        <stp>IMPL_VOL</stp>
        <stp>.QQQ250508C479</stp>
        <tr r="EL68" s="1"/>
      </tp>
      <tp t="s">
        <v>--</v>
        <stp/>
        <stp>IMPL_VOL</stp>
        <stp>.QQQ250509C478</stp>
        <tr r="EN69" s="1"/>
      </tp>
      <tp t="s">
        <v>164.28%</v>
        <stp/>
        <stp>IMPL_VOL</stp>
        <stp>.QQQ250508P479</stp>
        <tr r="EM68" s="1"/>
      </tp>
      <tp t="s">
        <v>173.27%</v>
        <stp/>
        <stp>IMPL_VOL</stp>
        <stp>.QQQ250509P478</stp>
        <tr r="EO69" s="1"/>
      </tp>
      <tp t="s">
        <v>--</v>
        <stp/>
        <stp>IMPL_VOL</stp>
        <stp>.QQQ250508C472</stp>
        <tr r="EL75" s="1"/>
      </tp>
      <tp t="s">
        <v>--</v>
        <stp/>
        <stp>IMPL_VOL</stp>
        <stp>.QQQ250509C473</stp>
        <tr r="EN74" s="1"/>
      </tp>
      <tp t="s">
        <v>226.88%</v>
        <stp/>
        <stp>IMPL_VOL</stp>
        <stp>.QQQ250508P472</stp>
        <tr r="EM75" s="1"/>
      </tp>
      <tp t="s">
        <v>217.98%</v>
        <stp/>
        <stp>IMPL_VOL</stp>
        <stp>.QQQ250509P473</stp>
        <tr r="EO74" s="1"/>
      </tp>
      <tp t="s">
        <v>--</v>
        <stp/>
        <stp>IMPL_VOL</stp>
        <stp>.QQQ250508C473</stp>
        <tr r="EL74" s="1"/>
      </tp>
      <tp t="s">
        <v>--</v>
        <stp/>
        <stp>IMPL_VOL</stp>
        <stp>.QQQ250509C472</stp>
        <tr r="EN75" s="1"/>
      </tp>
      <tp t="s">
        <v>217.98%</v>
        <stp/>
        <stp>IMPL_VOL</stp>
        <stp>.QQQ250508P473</stp>
        <tr r="EM74" s="1"/>
      </tp>
      <tp t="s">
        <v>226.88%</v>
        <stp/>
        <stp>IMPL_VOL</stp>
        <stp>.QQQ250509P472</stp>
        <tr r="EO75" s="1"/>
      </tp>
      <tp t="s">
        <v>--</v>
        <stp/>
        <stp>IMPL_VOL</stp>
        <stp>.QQQ250508C470</stp>
        <tr r="EL77" s="1"/>
      </tp>
      <tp t="s">
        <v>--</v>
        <stp/>
        <stp>IMPL_VOL</stp>
        <stp>.QQQ250509C471</stp>
        <tr r="EN76" s="1"/>
      </tp>
      <tp t="s">
        <v>244.66%</v>
        <stp/>
        <stp>IMPL_VOL</stp>
        <stp>.QQQ250508P470</stp>
        <tr r="EM77" s="1"/>
      </tp>
      <tp t="s">
        <v>235.77%</v>
        <stp/>
        <stp>IMPL_VOL</stp>
        <stp>.QQQ250509P471</stp>
        <tr r="EO76" s="1"/>
      </tp>
      <tp t="s">
        <v>--</v>
        <stp/>
        <stp>IMPL_VOL</stp>
        <stp>.QQQ250508C471</stp>
        <tr r="EL76" s="1"/>
      </tp>
      <tp t="s">
        <v>--</v>
        <stp/>
        <stp>IMPL_VOL</stp>
        <stp>.QQQ250509C470</stp>
        <tr r="EN77" s="1"/>
      </tp>
      <tp t="s">
        <v>235.77%</v>
        <stp/>
        <stp>IMPL_VOL</stp>
        <stp>.QQQ250508P471</stp>
        <tr r="EM76" s="1"/>
      </tp>
      <tp t="s">
        <v>244.66%</v>
        <stp/>
        <stp>IMPL_VOL</stp>
        <stp>.QQQ250509P470</stp>
        <tr r="EO77" s="1"/>
      </tp>
      <tp t="s">
        <v>--</v>
        <stp/>
        <stp>IMPL_VOL</stp>
        <stp>.QQQ250508C476</stp>
        <tr r="EL71" s="1"/>
      </tp>
      <tp t="s">
        <v>--</v>
        <stp/>
        <stp>IMPL_VOL</stp>
        <stp>.QQQ250509C477</stp>
        <tr r="EN70" s="1"/>
      </tp>
      <tp t="s">
        <v>--</v>
        <stp/>
        <stp>IMPL_VOL</stp>
        <stp>.QQQ250516C468</stp>
        <tr r="EP79" s="1"/>
      </tp>
      <tp t="s">
        <v>191.20%</v>
        <stp/>
        <stp>IMPL_VOL</stp>
        <stp>.QQQ250508P476</stp>
        <tr r="EM71" s="1"/>
      </tp>
      <tp t="s">
        <v>182.25%</v>
        <stp/>
        <stp>IMPL_VOL</stp>
        <stp>.QQQ250509P477</stp>
        <tr r="EO70" s="1"/>
      </tp>
      <tp t="s">
        <v>40.14%</v>
        <stp/>
        <stp>IMPL_VOL</stp>
        <stp>.QQQ250516P468</stp>
        <tr r="EQ79" s="1"/>
      </tp>
      <tp t="s">
        <v>--</v>
        <stp/>
        <stp>IMPL_VOL</stp>
        <stp>.QQQ250508C477</stp>
        <tr r="EL70" s="1"/>
      </tp>
      <tp t="s">
        <v>--</v>
        <stp/>
        <stp>IMPL_VOL</stp>
        <stp>.QQQ250509C476</stp>
        <tr r="EN71" s="1"/>
      </tp>
      <tp t="s">
        <v>--</v>
        <stp/>
        <stp>IMPL_VOL</stp>
        <stp>.QQQ250516C469</stp>
        <tr r="EP78" s="1"/>
      </tp>
      <tp t="s">
        <v>182.25%</v>
        <stp/>
        <stp>IMPL_VOL</stp>
        <stp>.QQQ250508P477</stp>
        <tr r="EM70" s="1"/>
      </tp>
      <tp t="s">
        <v>191.20%</v>
        <stp/>
        <stp>IMPL_VOL</stp>
        <stp>.QQQ250509P476</stp>
        <tr r="EO71" s="1"/>
      </tp>
      <tp t="s">
        <v>40.21%</v>
        <stp/>
        <stp>IMPL_VOL</stp>
        <stp>.QQQ250516P469</stp>
        <tr r="EQ78" s="1"/>
      </tp>
      <tp t="s">
        <v>--</v>
        <stp/>
        <stp>IMPL_VOL</stp>
        <stp>.QQQ250508C474</stp>
        <tr r="EL73" s="1"/>
      </tp>
      <tp t="s">
        <v>--</v>
        <stp/>
        <stp>IMPL_VOL</stp>
        <stp>.QQQ250509C475</stp>
        <tr r="EN72" s="1"/>
      </tp>
      <tp t="s">
        <v>209.07%</v>
        <stp/>
        <stp>IMPL_VOL</stp>
        <stp>.QQQ250508P474</stp>
        <tr r="EM73" s="1"/>
      </tp>
      <tp t="s">
        <v>200.14%</v>
        <stp/>
        <stp>IMPL_VOL</stp>
        <stp>.QQQ250509P475</stp>
        <tr r="EO72" s="1"/>
      </tp>
      <tp t="s">
        <v>--</v>
        <stp/>
        <stp>IMPL_VOL</stp>
        <stp>.QQQ250508C475</stp>
        <tr r="EL72" s="1"/>
      </tp>
      <tp t="s">
        <v>--</v>
        <stp/>
        <stp>IMPL_VOL</stp>
        <stp>.QQQ250509C474</stp>
        <tr r="EN73" s="1"/>
      </tp>
      <tp t="s">
        <v>200.14%</v>
        <stp/>
        <stp>IMPL_VOL</stp>
        <stp>.QQQ250508P475</stp>
        <tr r="EM72" s="1"/>
      </tp>
      <tp t="s">
        <v>209.07%</v>
        <stp/>
        <stp>IMPL_VOL</stp>
        <stp>.QQQ250509P474</stp>
        <tr r="EO73" s="1"/>
      </tp>
      <tp t="s">
        <v>12.43%</v>
        <stp/>
        <stp>IMPL_VOL</stp>
        <stp>.QQQ250516C494</stp>
        <tr r="EP53" s="1"/>
      </tp>
      <tp t="s">
        <v>47.01%</v>
        <stp/>
        <stp>IMPL_VOL</stp>
        <stp>.QQQ250516P494</stp>
        <tr r="EQ53" s="1"/>
      </tp>
      <tp t="s">
        <v>13.33%</v>
        <stp/>
        <stp>IMPL_VOL</stp>
        <stp>.QQQ250516C495</stp>
        <tr r="EP52" s="1"/>
      </tp>
      <tp t="s">
        <v>47.63%</v>
        <stp/>
        <stp>IMPL_VOL</stp>
        <stp>.QQQ250516P495</stp>
        <tr r="EQ52" s="1"/>
      </tp>
      <tp t="s">
        <v>--</v>
        <stp/>
        <stp>IMPL_VOL</stp>
        <stp>.QQQ250508C488</stp>
        <tr r="EL59" s="1"/>
      </tp>
      <tp t="s">
        <v>--</v>
        <stp/>
        <stp>IMPL_VOL</stp>
        <stp>.QQQ250509C489</stp>
        <tr r="EN58" s="1"/>
      </tp>
      <tp t="s">
        <v>14.10%</v>
        <stp/>
        <stp>IMPL_VOL</stp>
        <stp>.QQQ250516C496</stp>
        <tr r="EP51" s="1"/>
      </tp>
      <tp t="s">
        <v>161.51%</v>
        <stp/>
        <stp>IMPL_VOL</stp>
        <stp>.QQQ250508P488</stp>
        <tr r="EM59" s="1"/>
      </tp>
      <tp t="s">
        <v>235.40%</v>
        <stp/>
        <stp>IMPL_VOL</stp>
        <stp>.QQQ250509P489</stp>
        <tr r="EO58" s="1"/>
      </tp>
      <tp t="s">
        <v>48.33%</v>
        <stp/>
        <stp>IMPL_VOL</stp>
        <stp>.QQQ250516P496</stp>
        <tr r="EQ51" s="1"/>
      </tp>
      <tp t="s">
        <v>--</v>
        <stp/>
        <stp>IMPL_VOL</stp>
        <stp>.QQQ250508C489</stp>
        <tr r="EL58" s="1"/>
      </tp>
      <tp t="s">
        <v>--</v>
        <stp/>
        <stp>IMPL_VOL</stp>
        <stp>.QQQ250509C488</stp>
        <tr r="EN59" s="1"/>
      </tp>
      <tp t="s">
        <v>14.78%</v>
        <stp/>
        <stp>IMPL_VOL</stp>
        <stp>.QQQ250516C497</stp>
        <tr r="EP50" s="1"/>
      </tp>
      <tp t="s">
        <v>225.73%</v>
        <stp/>
        <stp>IMPL_VOL</stp>
        <stp>.QQQ250508P489</stp>
        <tr r="EM58" s="1"/>
      </tp>
      <tp t="s">
        <v>153.33%</v>
        <stp/>
        <stp>IMPL_VOL</stp>
        <stp>.QQQ250509P488</stp>
        <tr r="EO59" s="1"/>
      </tp>
      <tp t="s">
        <v>49.57%</v>
        <stp/>
        <stp>IMPL_VOL</stp>
        <stp>.QQQ250516P497</stp>
        <tr r="EQ50" s="1"/>
      </tp>
      <tp t="s">
        <v>--</v>
        <stp/>
        <stp>IMPL_VOL</stp>
        <stp>.QQQ250516C490</stp>
        <tr r="EP57" s="1"/>
      </tp>
      <tp t="s">
        <v>44.86%</v>
        <stp/>
        <stp>IMPL_VOL</stp>
        <stp>.QQQ250516P490</stp>
        <tr r="EQ57" s="1"/>
      </tp>
      <tp t="s">
        <v>6.98%</v>
        <stp/>
        <stp>IMPL_VOL</stp>
        <stp>.QQQ250516C491</stp>
        <tr r="EP56" s="1"/>
      </tp>
      <tp t="s">
        <v>45.34%</v>
        <stp/>
        <stp>IMPL_VOL</stp>
        <stp>.QQQ250516P491</stp>
        <tr r="EQ56" s="1"/>
      </tp>
      <tp t="s">
        <v>9.68%</v>
        <stp/>
        <stp>IMPL_VOL</stp>
        <stp>.QQQ250516C492</stp>
        <tr r="EP55" s="1"/>
      </tp>
      <tp t="s">
        <v>45.90%</v>
        <stp/>
        <stp>IMPL_VOL</stp>
        <stp>.QQQ250516P492</stp>
        <tr r="EQ55" s="1"/>
      </tp>
      <tp t="s">
        <v>11.27%</v>
        <stp/>
        <stp>IMPL_VOL</stp>
        <stp>.QQQ250516C493</stp>
        <tr r="EP54" s="1"/>
      </tp>
      <tp t="s">
        <v>46.42%</v>
        <stp/>
        <stp>IMPL_VOL</stp>
        <stp>.QQQ250516P493</stp>
        <tr r="EQ54" s="1"/>
      </tp>
      <tp t="s">
        <v>--</v>
        <stp/>
        <stp>IMPL_VOL</stp>
        <stp>.QQQ250508C482</stp>
        <tr r="EL65" s="1"/>
      </tp>
      <tp t="s">
        <v>--</v>
        <stp/>
        <stp>IMPL_VOL</stp>
        <stp>.QQQ250509C483</stp>
        <tr r="EN64" s="1"/>
      </tp>
      <tp t="s">
        <v>137.14%</v>
        <stp/>
        <stp>IMPL_VOL</stp>
        <stp>.QQQ250508P482</stp>
        <tr r="EM65" s="1"/>
      </tp>
      <tp t="s">
        <v>128.03%</v>
        <stp/>
        <stp>IMPL_VOL</stp>
        <stp>.QQQ250509P483</stp>
        <tr r="EO64" s="1"/>
      </tp>
      <tp t="s">
        <v>--</v>
        <stp/>
        <stp>IMPL_VOL</stp>
        <stp>.QQQ250508C483</stp>
        <tr r="EL64" s="1"/>
      </tp>
      <tp t="s">
        <v>--</v>
        <stp/>
        <stp>IMPL_VOL</stp>
        <stp>.QQQ250509C482</stp>
        <tr r="EN65" s="1"/>
      </tp>
      <tp t="s">
        <v>128.03%</v>
        <stp/>
        <stp>IMPL_VOL</stp>
        <stp>.QQQ250508P483</stp>
        <tr r="EM64" s="1"/>
      </tp>
      <tp t="s">
        <v>137.14%</v>
        <stp/>
        <stp>IMPL_VOL</stp>
        <stp>.QQQ250509P482</stp>
        <tr r="EO65" s="1"/>
      </tp>
      <tp t="s">
        <v>--</v>
        <stp/>
        <stp>IMPL_VOL</stp>
        <stp>.QQQ250508C480</stp>
        <tr r="EL67" s="1"/>
      </tp>
      <tp t="s">
        <v>--</v>
        <stp/>
        <stp>IMPL_VOL</stp>
        <stp>.QQQ250509C481</stp>
        <tr r="EN66" s="1"/>
      </tp>
      <tp t="s">
        <v>155.26%</v>
        <stp/>
        <stp>IMPL_VOL</stp>
        <stp>.QQQ250508P480</stp>
        <tr r="EM67" s="1"/>
      </tp>
      <tp t="s">
        <v>146.22%</v>
        <stp/>
        <stp>IMPL_VOL</stp>
        <stp>.QQQ250509P481</stp>
        <tr r="EO66" s="1"/>
      </tp>
      <tp t="s">
        <v>--</v>
        <stp/>
        <stp>IMPL_VOL</stp>
        <stp>.QQQ250508C481</stp>
        <tr r="EL66" s="1"/>
      </tp>
      <tp t="s">
        <v>--</v>
        <stp/>
        <stp>IMPL_VOL</stp>
        <stp>.QQQ250509C480</stp>
        <tr r="EN67" s="1"/>
      </tp>
      <tp t="s">
        <v>146.22%</v>
        <stp/>
        <stp>IMPL_VOL</stp>
        <stp>.QQQ250508P481</stp>
        <tr r="EM66" s="1"/>
      </tp>
      <tp t="s">
        <v>155.26%</v>
        <stp/>
        <stp>IMPL_VOL</stp>
        <stp>.QQQ250509P480</stp>
        <tr r="EO67" s="1"/>
      </tp>
      <tp t="s">
        <v>--</v>
        <stp/>
        <stp>IMPL_VOL</stp>
        <stp>.QQQ250508C486</stp>
        <tr r="EL61" s="1"/>
      </tp>
      <tp t="s">
        <v>--</v>
        <stp/>
        <stp>IMPL_VOL</stp>
        <stp>.QQQ250509C487</stp>
        <tr r="EN60" s="1"/>
      </tp>
      <tp t="s">
        <v>15.33%</v>
        <stp/>
        <stp>IMPL_VOL</stp>
        <stp>.QQQ250516C498</stp>
        <tr r="EP49" s="1"/>
      </tp>
      <tp t="s">
        <v>113.81%</v>
        <stp/>
        <stp>IMPL_VOL</stp>
        <stp>.QQQ250508P486</stp>
        <tr r="EM61" s="1"/>
      </tp>
      <tp t="s">
        <v>103.56%</v>
        <stp/>
        <stp>IMPL_VOL</stp>
        <stp>.QQQ250509P487</stp>
        <tr r="EO60" s="1"/>
      </tp>
      <tp t="s">
        <v>50.17%</v>
        <stp/>
        <stp>IMPL_VOL</stp>
        <stp>.QQQ250516P498</stp>
        <tr r="EQ49" s="1"/>
      </tp>
      <tp t="s">
        <v>--</v>
        <stp/>
        <stp>IMPL_VOL</stp>
        <stp>.QQQ250508C487</stp>
        <tr r="EL60" s="1"/>
      </tp>
      <tp t="s">
        <v>--</v>
        <stp/>
        <stp>IMPL_VOL</stp>
        <stp>.QQQ250509C486</stp>
        <tr r="EN61" s="1"/>
      </tp>
      <tp t="s">
        <v>15.89%</v>
        <stp/>
        <stp>IMPL_VOL</stp>
        <stp>.QQQ250516C499</stp>
        <tr r="EP48" s="1"/>
      </tp>
      <tp t="s">
        <v>121.94%</v>
        <stp/>
        <stp>IMPL_VOL</stp>
        <stp>.QQQ250508P487</stp>
        <tr r="EM60" s="1"/>
      </tp>
      <tp t="s">
        <v>100.43%</v>
        <stp/>
        <stp>IMPL_VOL</stp>
        <stp>.QQQ250509P486</stp>
        <tr r="EO61" s="1"/>
      </tp>
      <tp t="s">
        <v>50.85%</v>
        <stp/>
        <stp>IMPL_VOL</stp>
        <stp>.QQQ250516P499</stp>
        <tr r="EQ48" s="1"/>
      </tp>
      <tp t="s">
        <v>--</v>
        <stp/>
        <stp>IMPL_VOL</stp>
        <stp>.QQQ250508C484</stp>
        <tr r="EL63" s="1"/>
      </tp>
      <tp t="s">
        <v>--</v>
        <stp/>
        <stp>IMPL_VOL</stp>
        <stp>.QQQ250509C485</stp>
        <tr r="EN62" s="1"/>
      </tp>
      <tp t="s">
        <v>118.88%</v>
        <stp/>
        <stp>IMPL_VOL</stp>
        <stp>.QQQ250508P484</stp>
        <tr r="EM63" s="1"/>
      </tp>
      <tp t="s">
        <v>109.68%</v>
        <stp/>
        <stp>IMPL_VOL</stp>
        <stp>.QQQ250509P485</stp>
        <tr r="EO62" s="1"/>
      </tp>
      <tp t="s">
        <v>--</v>
        <stp/>
        <stp>IMPL_VOL</stp>
        <stp>.QQQ250508C485</stp>
        <tr r="EL62" s="1"/>
      </tp>
      <tp t="s">
        <v>--</v>
        <stp/>
        <stp>IMPL_VOL</stp>
        <stp>.QQQ250509C484</stp>
        <tr r="EN63" s="1"/>
      </tp>
      <tp t="s">
        <v>109.68%</v>
        <stp/>
        <stp>IMPL_VOL</stp>
        <stp>.QQQ250508P485</stp>
        <tr r="EM62" s="1"/>
      </tp>
      <tp t="s">
        <v>118.88%</v>
        <stp/>
        <stp>IMPL_VOL</stp>
        <stp>.QQQ250509P484</stp>
        <tr r="EO63" s="1"/>
      </tp>
      <tp t="s">
        <v>--</v>
        <stp/>
        <stp>IMPL_VOL</stp>
        <stp>.QQQ250516C484</stp>
        <tr r="EP63" s="1"/>
      </tp>
      <tp t="s">
        <v>42.73%</v>
        <stp/>
        <stp>IMPL_VOL</stp>
        <stp>.QQQ250516P484</stp>
        <tr r="EQ63" s="1"/>
      </tp>
      <tp t="s">
        <v>--</v>
        <stp/>
        <stp>IMPL_VOL</stp>
        <stp>.QQQ250516C485</stp>
        <tr r="EP62" s="1"/>
      </tp>
      <tp t="s">
        <v>43.03%</v>
        <stp/>
        <stp>IMPL_VOL</stp>
        <stp>.QQQ250516P485</stp>
        <tr r="EQ62" s="1"/>
      </tp>
      <tp t="s">
        <v>26.93%</v>
        <stp/>
        <stp>IMPL_VOL</stp>
        <stp>.QQQ250508C498</stp>
        <tr r="EL49" s="1"/>
      </tp>
      <tp t="s">
        <v>37.14%</v>
        <stp/>
        <stp>IMPL_VOL</stp>
        <stp>.QQQ250509C499</stp>
        <tr r="EN48" s="1"/>
      </tp>
      <tp t="s">
        <v>--</v>
        <stp/>
        <stp>IMPL_VOL</stp>
        <stp>.QQQ250516C486</stp>
        <tr r="EP61" s="1"/>
      </tp>
      <tp t="s">
        <v>561.08%</v>
        <stp/>
        <stp>IMPL_VOL</stp>
        <stp>.QQQ250508P498</stp>
        <tr r="EM49" s="1"/>
      </tp>
      <tp t="s">
        <v>624.51%</v>
        <stp/>
        <stp>IMPL_VOL</stp>
        <stp>.QQQ250509P499</stp>
        <tr r="EO48" s="1"/>
      </tp>
      <tp t="s">
        <v>43.34%</v>
        <stp/>
        <stp>IMPL_VOL</stp>
        <stp>.QQQ250516P486</stp>
        <tr r="EQ61" s="1"/>
      </tp>
      <tp t="s">
        <v>37.14%</v>
        <stp/>
        <stp>IMPL_VOL</stp>
        <stp>.QQQ250508C499</stp>
        <tr r="EL48" s="1"/>
      </tp>
      <tp t="s">
        <v>26.93%</v>
        <stp/>
        <stp>IMPL_VOL</stp>
        <stp>.QQQ250509C498</stp>
        <tr r="EN49" s="1"/>
      </tp>
      <tp t="s">
        <v>--</v>
        <stp/>
        <stp>IMPL_VOL</stp>
        <stp>.QQQ250516C487</stp>
        <tr r="EP60" s="1"/>
      </tp>
      <tp t="s">
        <v>590.80%</v>
        <stp/>
        <stp>IMPL_VOL</stp>
        <stp>.QQQ250508P499</stp>
        <tr r="EM48" s="1"/>
      </tp>
      <tp t="s">
        <v>594.66%</v>
        <stp/>
        <stp>IMPL_VOL</stp>
        <stp>.QQQ250509P498</stp>
        <tr r="EO49" s="1"/>
      </tp>
      <tp t="s">
        <v>43.68%</v>
        <stp/>
        <stp>IMPL_VOL</stp>
        <stp>.QQQ250516P487</stp>
        <tr r="EQ60" s="1"/>
      </tp>
      <tp t="s">
        <v>--</v>
        <stp/>
        <stp>IMPL_VOL</stp>
        <stp>.QQQ250516C480</stp>
        <tr r="EP67" s="1"/>
      </tp>
      <tp t="s">
        <v>41.76%</v>
        <stp/>
        <stp>IMPL_VOL</stp>
        <stp>.QQQ250516P480</stp>
        <tr r="EQ67" s="1"/>
      </tp>
      <tp t="s">
        <v>--</v>
        <stp/>
        <stp>IMPL_VOL</stp>
        <stp>.QQQ250516C481</stp>
        <tr r="EP66" s="1"/>
      </tp>
      <tp t="s">
        <v>41.99%</v>
        <stp/>
        <stp>IMPL_VOL</stp>
        <stp>.QQQ250516P481</stp>
        <tr r="EQ66" s="1"/>
      </tp>
      <tp t="s">
        <v>--</v>
        <stp/>
        <stp>IMPL_VOL</stp>
        <stp>.QQQ250516C482</stp>
        <tr r="EP65" s="1"/>
      </tp>
      <tp t="s">
        <v>42.22%</v>
        <stp/>
        <stp>IMPL_VOL</stp>
        <stp>.QQQ250516P482</stp>
        <tr r="EQ65" s="1"/>
      </tp>
      <tp t="s">
        <v>--</v>
        <stp/>
        <stp>IMPL_VOL</stp>
        <stp>.QQQ250516C483</stp>
        <tr r="EP64" s="1"/>
      </tp>
      <tp t="s">
        <v>42.47%</v>
        <stp/>
        <stp>IMPL_VOL</stp>
        <stp>.QQQ250516P483</stp>
        <tr r="EQ64" s="1"/>
      </tp>
      <tp t="s">
        <v>--</v>
        <stp/>
        <stp>IMPL_VOL</stp>
        <stp>.QQQ250508C492</stp>
        <tr r="EL55" s="1"/>
      </tp>
      <tp t="s">
        <v>--</v>
        <stp/>
        <stp>IMPL_VOL</stp>
        <stp>.QQQ250509C493</stp>
        <tr r="EN54" s="1"/>
      </tp>
      <tp t="s">
        <v>388.77%</v>
        <stp/>
        <stp>IMPL_VOL</stp>
        <stp>.QQQ250508P492</stp>
        <tr r="EM55" s="1"/>
      </tp>
      <tp t="s">
        <v>425.90%</v>
        <stp/>
        <stp>IMPL_VOL</stp>
        <stp>.QQQ250509P493</stp>
        <tr r="EO54" s="1"/>
      </tp>
      <tp t="s">
        <v>--</v>
        <stp/>
        <stp>IMPL_VOL</stp>
        <stp>.QQQ250508C493</stp>
        <tr r="EL54" s="1"/>
      </tp>
      <tp t="s">
        <v>--</v>
        <stp/>
        <stp>IMPL_VOL</stp>
        <stp>.QQQ250509C492</stp>
        <tr r="EN55" s="1"/>
      </tp>
      <tp t="s">
        <v>452.80%</v>
        <stp/>
        <stp>IMPL_VOL</stp>
        <stp>.QQQ250508P493</stp>
        <tr r="EM54" s="1"/>
      </tp>
      <tp t="s">
        <v>385.64%</v>
        <stp/>
        <stp>IMPL_VOL</stp>
        <stp>.QQQ250509P492</stp>
        <tr r="EO55" s="1"/>
      </tp>
      <tp t="s">
        <v>--</v>
        <stp/>
        <stp>IMPL_VOL</stp>
        <stp>.QQQ250508C490</stp>
        <tr r="EL57" s="1"/>
      </tp>
      <tp t="s">
        <v>--</v>
        <stp/>
        <stp>IMPL_VOL</stp>
        <stp>.QQQ250509C491</stp>
        <tr r="EN56" s="1"/>
      </tp>
      <tp t="s">
        <v>281.87%</v>
        <stp/>
        <stp>IMPL_VOL</stp>
        <stp>.QQQ250508P490</stp>
        <tr r="EM57" s="1"/>
      </tp>
      <tp t="s">
        <v>349.44%</v>
        <stp/>
        <stp>IMPL_VOL</stp>
        <stp>.QQQ250509P491</stp>
        <tr r="EO56" s="1"/>
      </tp>
      <tp t="s">
        <v>--</v>
        <stp/>
        <stp>IMPL_VOL</stp>
        <stp>.QQQ250508C491</stp>
        <tr r="EL56" s="1"/>
      </tp>
      <tp t="s">
        <v>--</v>
        <stp/>
        <stp>IMPL_VOL</stp>
        <stp>.QQQ250509C490</stp>
        <tr r="EN57" s="1"/>
      </tp>
      <tp t="s">
        <v>329.94%</v>
        <stp/>
        <stp>IMPL_VOL</stp>
        <stp>.QQQ250508P491</stp>
        <tr r="EM56" s="1"/>
      </tp>
      <tp t="s">
        <v>305.88%</v>
        <stp/>
        <stp>IMPL_VOL</stp>
        <stp>.QQQ250509P490</stp>
        <tr r="EO57" s="1"/>
      </tp>
      <tp t="s">
        <v>4.04%</v>
        <stp/>
        <stp>IMPL_VOL</stp>
        <stp>.QQQ250508C496</stp>
        <tr r="EL51" s="1"/>
      </tp>
      <tp t="s">
        <v>16.17%</v>
        <stp/>
        <stp>IMPL_VOL</stp>
        <stp>.QQQ250509C497</stp>
        <tr r="EN50" s="1"/>
      </tp>
      <tp t="s">
        <v>--</v>
        <stp/>
        <stp>IMPL_VOL</stp>
        <stp>.QQQ250516C488</stp>
        <tr r="EP59" s="1"/>
      </tp>
      <tp t="s">
        <v>500.66%</v>
        <stp/>
        <stp>IMPL_VOL</stp>
        <stp>.QQQ250508P496</stp>
        <tr r="EM51" s="1"/>
      </tp>
      <tp t="s">
        <v>563.82%</v>
        <stp/>
        <stp>IMPL_VOL</stp>
        <stp>.QQQ250509P497</stp>
        <tr r="EO50" s="1"/>
      </tp>
      <tp t="s">
        <v>44.06%</v>
        <stp/>
        <stp>IMPL_VOL</stp>
        <stp>.QQQ250516P488</stp>
        <tr r="EQ59" s="1"/>
      </tp>
      <tp t="s">
        <v>16.17%</v>
        <stp/>
        <stp>IMPL_VOL</stp>
        <stp>.QQQ250508C497</stp>
        <tr r="EL50" s="1"/>
      </tp>
      <tp t="s">
        <v>4.04%</v>
        <stp/>
        <stp>IMPL_VOL</stp>
        <stp>.QQQ250509C496</stp>
        <tr r="EN51" s="1"/>
      </tp>
      <tp t="s">
        <v>--</v>
        <stp/>
        <stp>IMPL_VOL</stp>
        <stp>.QQQ250516C489</stp>
        <tr r="EP58" s="1"/>
      </tp>
      <tp t="s">
        <v>530.32%</v>
        <stp/>
        <stp>IMPL_VOL</stp>
        <stp>.QQQ250508P497</stp>
        <tr r="EM50" s="1"/>
      </tp>
      <tp t="s">
        <v>531.45%</v>
        <stp/>
        <stp>IMPL_VOL</stp>
        <stp>.QQQ250509P496</stp>
        <tr r="EO51" s="1"/>
      </tp>
      <tp t="s">
        <v>44.44%</v>
        <stp/>
        <stp>IMPL_VOL</stp>
        <stp>.QQQ250516P489</stp>
        <tr r="EQ58" s="1"/>
      </tp>
      <tp t="s">
        <v>--</v>
        <stp/>
        <stp>IMPL_VOL</stp>
        <stp>.QQQ250508C494</stp>
        <tr r="EL53" s="1"/>
      </tp>
      <tp t="s">
        <v>--</v>
        <stp/>
        <stp>IMPL_VOL</stp>
        <stp>.QQQ250509C495</stp>
        <tr r="EN52" s="1"/>
      </tp>
      <tp t="s">
        <v>430.67%</v>
        <stp/>
        <stp>IMPL_VOL</stp>
        <stp>.QQQ250508P494</stp>
        <tr r="EM53" s="1"/>
      </tp>
      <tp t="s">
        <v>498.12%</v>
        <stp/>
        <stp>IMPL_VOL</stp>
        <stp>.QQQ250509P495</stp>
        <tr r="EO52" s="1"/>
      </tp>
      <tp t="s">
        <v>--</v>
        <stp/>
        <stp>IMPL_VOL</stp>
        <stp>.QQQ250508C495</stp>
        <tr r="EL52" s="1"/>
      </tp>
      <tp t="s">
        <v>--</v>
        <stp/>
        <stp>IMPL_VOL</stp>
        <stp>.QQQ250509C494</stp>
        <tr r="EN53" s="1"/>
      </tp>
      <tp t="s">
        <v>467.27%</v>
        <stp/>
        <stp>IMPL_VOL</stp>
        <stp>.QQQ250508P495</stp>
        <tr r="EM52" s="1"/>
      </tp>
      <tp t="s">
        <v>463.38%</v>
        <stp/>
        <stp>IMPL_VOL</stp>
        <stp>.QQQ250509P494</stp>
        <tr r="EO53" s="1"/>
      </tp>
      <tp t="s">
        <v>342.91%</v>
        <stp/>
        <stp>IMPL_VOL</stp>
        <stp>.SPXW250508C5430</stp>
        <tr r="EL129" s="1"/>
      </tp>
      <tp t="s">
        <v>282.55%</v>
        <stp/>
        <stp>IMPL_VOL</stp>
        <stp>.SPXW250509C5420</stp>
        <tr r="EN130" s="1"/>
      </tp>
      <tp t="s">
        <v>180.59%</v>
        <stp/>
        <stp>IMPL_VOL</stp>
        <stp>.SPXW250508P5430</stp>
        <tr r="EM129" s="1"/>
      </tp>
      <tp t="s">
        <v>187.95%</v>
        <stp/>
        <stp>IMPL_VOL</stp>
        <stp>.SPXW250509P5420</stp>
        <tr r="EO130" s="1"/>
      </tp>
      <tp t="s">
        <v>354.99%</v>
        <stp/>
        <stp>IMPL_VOL</stp>
        <stp>.SPXW250508C5420</stp>
        <tr r="EL130" s="1"/>
      </tp>
      <tp t="s">
        <v>272.31%</v>
        <stp/>
        <stp>IMPL_VOL</stp>
        <stp>.SPXW250509C5430</stp>
        <tr r="EN129" s="1"/>
      </tp>
      <tp t="s">
        <v>187.95%</v>
        <stp/>
        <stp>IMPL_VOL</stp>
        <stp>.SPXW250508P5420</stp>
        <tr r="EM130" s="1"/>
      </tp>
      <tp t="s">
        <v>180.59%</v>
        <stp/>
        <stp>IMPL_VOL</stp>
        <stp>.SPXW250509P5430</stp>
        <tr r="EO129" s="1"/>
      </tp>
      <tp t="s">
        <v>306.97%</v>
        <stp/>
        <stp>IMPL_VOL</stp>
        <stp>.SPXW250508C5470</stp>
        <tr r="EL125" s="1"/>
      </tp>
      <tp t="s">
        <v>--</v>
        <stp/>
        <stp>IMPL_VOL</stp>
        <stp>.SPXW250509C5460</stp>
        <tr r="EN126" s="1"/>
      </tp>
      <tp t="s">
        <v>44.82%</v>
        <stp/>
        <stp>IMPL_VOL</stp>
        <stp>.SPXW250516C5590</stp>
        <tr r="EP113" s="1"/>
      </tp>
      <tp t="s">
        <v>151.08%</v>
        <stp/>
        <stp>IMPL_VOL</stp>
        <stp>.SPXW250508P5470</stp>
        <tr r="EM125" s="1"/>
      </tp>
      <tp t="s">
        <v>158.47%</v>
        <stp/>
        <stp>IMPL_VOL</stp>
        <stp>.SPXW250509P5460</stp>
        <tr r="EO126" s="1"/>
      </tp>
      <tp t="s">
        <v>16.65%</v>
        <stp/>
        <stp>IMPL_VOL</stp>
        <stp>.SPXW250516P5590</stp>
        <tr r="EQ113" s="1"/>
      </tp>
      <tp t="s">
        <v>318.73%</v>
        <stp/>
        <stp>IMPL_VOL</stp>
        <stp>.SPXW250508C5460</stp>
        <tr r="EL126" s="1"/>
      </tp>
      <tp t="s">
        <v>--</v>
        <stp/>
        <stp>IMPL_VOL</stp>
        <stp>.SPXW250509C5470</stp>
        <tr r="EN125" s="1"/>
      </tp>
      <tp t="s">
        <v>45.80%</v>
        <stp/>
        <stp>IMPL_VOL</stp>
        <stp>.SPXW250516C5580</stp>
        <tr r="EP114" s="1"/>
      </tp>
      <tp t="s">
        <v>158.47%</v>
        <stp/>
        <stp>IMPL_VOL</stp>
        <stp>.SPXW250508P5460</stp>
        <tr r="EM126" s="1"/>
      </tp>
      <tp t="s">
        <v>151.08%</v>
        <stp/>
        <stp>IMPL_VOL</stp>
        <stp>.SPXW250509P5470</stp>
        <tr r="EO125" s="1"/>
      </tp>
      <tp t="s">
        <v>17.09%</v>
        <stp/>
        <stp>IMPL_VOL</stp>
        <stp>.SPXW250516P5580</stp>
        <tr r="EQ114" s="1"/>
      </tp>
      <tp t="s">
        <v>332.24%</v>
        <stp/>
        <stp>IMPL_VOL</stp>
        <stp>.SPXW250508C5450</stp>
        <tr r="EL127" s="1"/>
      </tp>
      <tp t="s">
        <v>262.04%</v>
        <stp/>
        <stp>IMPL_VOL</stp>
        <stp>.SPXW250509C5440</stp>
        <tr r="EN128" s="1"/>
      </tp>
      <tp t="s">
        <v>165.86%</v>
        <stp/>
        <stp>IMPL_VOL</stp>
        <stp>.SPXW250508P5450</stp>
        <tr r="EM127" s="1"/>
      </tp>
      <tp t="s">
        <v>173.23%</v>
        <stp/>
        <stp>IMPL_VOL</stp>
        <stp>.SPXW250509P5440</stp>
        <tr r="EO128" s="1"/>
      </tp>
      <tp t="s">
        <v>327.58%</v>
        <stp/>
        <stp>IMPL_VOL</stp>
        <stp>.SPXW250508C5440</stp>
        <tr r="EL128" s="1"/>
      </tp>
      <tp t="s">
        <v>--</v>
        <stp/>
        <stp>IMPL_VOL</stp>
        <stp>.SPXW250509C5450</stp>
        <tr r="EN127" s="1"/>
      </tp>
      <tp t="s">
        <v>173.23%</v>
        <stp/>
        <stp>IMPL_VOL</stp>
        <stp>.SPXW250508P5440</stp>
        <tr r="EM128" s="1"/>
      </tp>
      <tp t="s">
        <v>165.86%</v>
        <stp/>
        <stp>IMPL_VOL</stp>
        <stp>.SPXW250509P5450</stp>
        <tr r="EO127" s="1"/>
      </tp>
      <tp t="s">
        <v>48.97%</v>
        <stp/>
        <stp>IMPL_VOL</stp>
        <stp>.SPXW250516C5550</stp>
        <tr r="EP117" s="1"/>
      </tp>
      <tp t="s">
        <v>18.27%</v>
        <stp/>
        <stp>IMPL_VOL</stp>
        <stp>.SPXW250516P5550</stp>
        <tr r="EQ117" s="1"/>
      </tp>
      <tp t="s">
        <v>50.09%</v>
        <stp/>
        <stp>IMPL_VOL</stp>
        <stp>.SPXW250516C5540</stp>
        <tr r="EP118" s="1"/>
      </tp>
      <tp t="s">
        <v>18.61%</v>
        <stp/>
        <stp>IMPL_VOL</stp>
        <stp>.SPXW250516P5540</stp>
        <tr r="EQ118" s="1"/>
      </tp>
      <tp t="s">
        <v>271.00%</v>
        <stp/>
        <stp>IMPL_VOL</stp>
        <stp>.SPXW250508C5490</stp>
        <tr r="EL123" s="1"/>
      </tp>
      <tp t="s">
        <v>--</v>
        <stp/>
        <stp>IMPL_VOL</stp>
        <stp>.SPXW250509C5480</stp>
        <tr r="EN124" s="1"/>
      </tp>
      <tp t="s">
        <v>46.63%</v>
        <stp/>
        <stp>IMPL_VOL</stp>
        <stp>.SPXW250516C5570</stp>
        <tr r="EP115" s="1"/>
      </tp>
      <tp t="s">
        <v>136.24%</v>
        <stp/>
        <stp>IMPL_VOL</stp>
        <stp>.SPXW250508P5490</stp>
        <tr r="EM123" s="1"/>
      </tp>
      <tp t="s">
        <v>143.67%</v>
        <stp/>
        <stp>IMPL_VOL</stp>
        <stp>.SPXW250509P5480</stp>
        <tr r="EO124" s="1"/>
      </tp>
      <tp t="s">
        <v>17.48%</v>
        <stp/>
        <stp>IMPL_VOL</stp>
        <stp>.SPXW250516P5570</stp>
        <tr r="EQ115" s="1"/>
      </tp>
      <tp t="s">
        <v>283.52%</v>
        <stp/>
        <stp>IMPL_VOL</stp>
        <stp>.SPXW250508C5480</stp>
        <tr r="EL124" s="1"/>
      </tp>
      <tp t="s">
        <v>--</v>
        <stp/>
        <stp>IMPL_VOL</stp>
        <stp>.SPXW250509C5490</stp>
        <tr r="EN123" s="1"/>
      </tp>
      <tp t="s">
        <v>47.61%</v>
        <stp/>
        <stp>IMPL_VOL</stp>
        <stp>.SPXW250516C5560</stp>
        <tr r="EP116" s="1"/>
      </tp>
      <tp t="s">
        <v>143.67%</v>
        <stp/>
        <stp>IMPL_VOL</stp>
        <stp>.SPXW250508P5480</stp>
        <tr r="EM124" s="1"/>
      </tp>
      <tp t="s">
        <v>136.24%</v>
        <stp/>
        <stp>IMPL_VOL</stp>
        <stp>.SPXW250509P5490</stp>
        <tr r="EO123" s="1"/>
      </tp>
      <tp t="s">
        <v>17.89%</v>
        <stp/>
        <stp>IMPL_VOL</stp>
        <stp>.SPXW250516P5560</stp>
        <tr r="EQ116" s="1"/>
      </tp>
      <tp t="s">
        <v>53.71%</v>
        <stp/>
        <stp>IMPL_VOL</stp>
        <stp>.SPXW250516C5510</stp>
        <tr r="EP121" s="1"/>
      </tp>
      <tp t="s">
        <v>19.75%</v>
        <stp/>
        <stp>IMPL_VOL</stp>
        <stp>.SPXW250516P5510</stp>
        <tr r="EQ121" s="1"/>
      </tp>
      <tp t="s">
        <v>54.30%</v>
        <stp/>
        <stp>IMPL_VOL</stp>
        <stp>.SPXW250516C5500</stp>
        <tr r="EP122" s="1"/>
      </tp>
      <tp t="s">
        <v>20.13%</v>
        <stp/>
        <stp>IMPL_VOL</stp>
        <stp>.SPXW250516P5500</stp>
        <tr r="EQ122" s="1"/>
      </tp>
      <tp t="s">
        <v>50.90%</v>
        <stp/>
        <stp>IMPL_VOL</stp>
        <stp>.SPXW250516C5530</stp>
        <tr r="EP119" s="1"/>
      </tp>
      <tp t="s">
        <v>19.00%</v>
        <stp/>
        <stp>IMPL_VOL</stp>
        <stp>.SPXW250516P5530</stp>
        <tr r="EQ119" s="1"/>
      </tp>
      <tp t="s">
        <v>52.09%</v>
        <stp/>
        <stp>IMPL_VOL</stp>
        <stp>.SPXW250516C5520</stp>
        <tr r="EP120" s="1"/>
      </tp>
      <tp t="s">
        <v>19.35%</v>
        <stp/>
        <stp>IMPL_VOL</stp>
        <stp>.SPXW250516P5520</stp>
        <tr r="EQ120" s="1"/>
      </tp>
      <tp>
        <v>0</v>
        <stp/>
        <stp>OPEN_INT</stp>
        <stp>.QQQ250508P502</stp>
        <tr r="AT45" s="1"/>
        <tr r="AT45" s="1"/>
      </tp>
      <tp>
        <v>466</v>
        <stp/>
        <stp>OPEN_INT</stp>
        <stp>.QQQ250508C502</stp>
        <tr r="AS45" s="1"/>
        <tr r="AS45" s="1"/>
      </tp>
      <tp>
        <v>1</v>
        <stp/>
        <stp>OPEN_INT</stp>
        <stp>.QQQ250509P502</stp>
        <tr r="AV45" s="1"/>
        <tr r="AV45" s="1"/>
      </tp>
      <tp>
        <v>1808</v>
        <stp/>
        <stp>OPEN_INT</stp>
        <stp>.QQQ250509C502</stp>
        <tr r="AU45" s="1"/>
        <tr r="AU45" s="1"/>
      </tp>
      <tp>
        <v>9</v>
        <stp/>
        <stp>OPEN_INT</stp>
        <stp>.QQQ250508P500</stp>
        <tr r="AT47" s="1"/>
        <tr r="AT47" s="1"/>
      </tp>
      <tp>
        <v>18</v>
        <stp/>
        <stp>OPEN_INT</stp>
        <stp>.QQQ250509P501</stp>
        <tr r="AV46" s="1"/>
        <tr r="AV46" s="1"/>
      </tp>
      <tp>
        <v>4374</v>
        <stp/>
        <stp>OPEN_INT</stp>
        <stp>.QQQ250508C500</stp>
        <tr r="AS47" s="1"/>
        <tr r="AS47" s="1"/>
      </tp>
      <tp>
        <v>2358</v>
        <stp/>
        <stp>OPEN_INT</stp>
        <stp>.QQQ250509C501</stp>
        <tr r="AU46" s="1"/>
        <tr r="AU46" s="1"/>
      </tp>
      <tp>
        <v>0</v>
        <stp/>
        <stp>OPEN_INT</stp>
        <stp>.QQQ250508P501</stp>
        <tr r="AT46" s="1"/>
        <tr r="AT46" s="1"/>
      </tp>
      <tp>
        <v>98</v>
        <stp/>
        <stp>OPEN_INT</stp>
        <stp>.QQQ250509P500</stp>
        <tr r="AV47" s="1"/>
        <tr r="AV47" s="1"/>
      </tp>
      <tp>
        <v>599</v>
        <stp/>
        <stp>OPEN_INT</stp>
        <stp>.QQQ250508C501</stp>
        <tr r="AS46" s="1"/>
        <tr r="AS46" s="1"/>
      </tp>
      <tp>
        <v>13017</v>
        <stp/>
        <stp>OPEN_INT</stp>
        <stp>.QQQ250509C500</stp>
        <tr r="AU47" s="1"/>
        <tr r="AU47" s="1"/>
      </tp>
      <tp>
        <v>3037</v>
        <stp/>
        <stp>OPEN_INT</stp>
        <stp>.QQQ250516P500</stp>
        <tr r="AX47" s="1"/>
        <tr r="AX47" s="1"/>
      </tp>
      <tp>
        <v>55098</v>
        <stp/>
        <stp>OPEN_INT</stp>
        <stp>.QQQ250516C500</stp>
        <tr r="AW47" s="1"/>
        <tr r="AW47" s="1"/>
      </tp>
      <tp>
        <v>29</v>
        <stp/>
        <stp>OPEN_INT</stp>
        <stp>.QQQ250516P501</stp>
        <tr r="AX46" s="1"/>
        <tr r="AX46" s="1"/>
      </tp>
      <tp>
        <v>2599</v>
        <stp/>
        <stp>OPEN_INT</stp>
        <stp>.QQQ250516C501</stp>
        <tr r="AW46" s="1"/>
        <tr r="AW46" s="1"/>
      </tp>
      <tp>
        <v>116</v>
        <stp/>
        <stp>OPEN_INT</stp>
        <stp>.QQQ250516P502</stp>
        <tr r="AX45" s="1"/>
        <tr r="AX45" s="1"/>
      </tp>
      <tp>
        <v>3358</v>
        <stp/>
        <stp>OPEN_INT</stp>
        <stp>.QQQ250516C502</stp>
        <tr r="AW45" s="1"/>
        <tr r="AW45" s="1"/>
      </tp>
      <tp>
        <v>30239</v>
        <stp/>
        <stp>OPEN_INT</stp>
        <stp>.QQQ250516P470</stp>
        <tr r="AX77" s="1"/>
        <tr r="AX77" s="1"/>
      </tp>
      <tp>
        <v>34931</v>
        <stp/>
        <stp>OPEN_INT</stp>
        <stp>.QQQ250516C470</stp>
        <tr r="AW77" s="1"/>
        <tr r="AW77" s="1"/>
      </tp>
      <tp>
        <v>994</v>
        <stp/>
        <stp>OPEN_INT</stp>
        <stp>.QQQ250516P471</stp>
        <tr r="AX76" s="1"/>
        <tr r="AX76" s="1"/>
      </tp>
      <tp>
        <v>45</v>
        <stp/>
        <stp>OPEN_INT</stp>
        <stp>.QQQ250516C471</stp>
        <tr r="AW76" s="1"/>
        <tr r="AW76" s="1"/>
      </tp>
      <tp>
        <v>1251</v>
        <stp/>
        <stp>OPEN_INT</stp>
        <stp>.QQQ250516P472</stp>
        <tr r="AX75" s="1"/>
        <tr r="AX75" s="1"/>
      </tp>
      <tp>
        <v>122</v>
        <stp/>
        <stp>OPEN_INT</stp>
        <stp>.QQQ250516C472</stp>
        <tr r="AW75" s="1"/>
        <tr r="AW75" s="1"/>
      </tp>
      <tp>
        <v>1069</v>
        <stp/>
        <stp>OPEN_INT</stp>
        <stp>.QQQ250516P473</stp>
        <tr r="AX74" s="1"/>
        <tr r="AX74" s="1"/>
      </tp>
      <tp>
        <v>21</v>
        <stp/>
        <stp>OPEN_INT</stp>
        <stp>.QQQ250516C473</stp>
        <tr r="AW74" s="1"/>
        <tr r="AW74" s="1"/>
      </tp>
      <tp>
        <v>388</v>
        <stp/>
        <stp>OPEN_INT</stp>
        <stp>.QQQ250516P474</stp>
        <tr r="AX73" s="1"/>
        <tr r="AX73" s="1"/>
      </tp>
      <tp>
        <v>96</v>
        <stp/>
        <stp>OPEN_INT</stp>
        <stp>.QQQ250516C474</stp>
        <tr r="AW73" s="1"/>
        <tr r="AW73" s="1"/>
      </tp>
      <tp>
        <v>21581</v>
        <stp/>
        <stp>OPEN_INT</stp>
        <stp>.QQQ250516P475</stp>
        <tr r="AX72" s="1"/>
        <tr r="AX72" s="1"/>
      </tp>
      <tp>
        <v>28347</v>
        <stp/>
        <stp>OPEN_INT</stp>
        <stp>.QQQ250516C475</stp>
        <tr r="AW72" s="1"/>
        <tr r="AW72" s="1"/>
      </tp>
      <tp>
        <v>1901</v>
        <stp/>
        <stp>OPEN_INT</stp>
        <stp>.QQQ250508P468</stp>
        <tr r="AT79" s="1"/>
        <tr r="AT79" s="1"/>
      </tp>
      <tp>
        <v>2453</v>
        <stp/>
        <stp>OPEN_INT</stp>
        <stp>.QQQ250509P469</stp>
        <tr r="AV78" s="1"/>
        <tr r="AV78" s="1"/>
      </tp>
      <tp>
        <v>706</v>
        <stp/>
        <stp>OPEN_INT</stp>
        <stp>.QQQ250516P476</stp>
        <tr r="AX71" s="1"/>
        <tr r="AX71" s="1"/>
      </tp>
      <tp>
        <v>132</v>
        <stp/>
        <stp>OPEN_INT</stp>
        <stp>.QQQ250508C468</stp>
        <tr r="AS79" s="1"/>
        <tr r="AS79" s="1"/>
      </tp>
      <tp>
        <v>665</v>
        <stp/>
        <stp>OPEN_INT</stp>
        <stp>.QQQ250509C469</stp>
        <tr r="AU78" s="1"/>
        <tr r="AU78" s="1"/>
      </tp>
      <tp>
        <v>148</v>
        <stp/>
        <stp>OPEN_INT</stp>
        <stp>.QQQ250516C476</stp>
        <tr r="AW71" s="1"/>
        <tr r="AW71" s="1"/>
      </tp>
      <tp>
        <v>1938</v>
        <stp/>
        <stp>OPEN_INT</stp>
        <stp>.QQQ250508P469</stp>
        <tr r="AT78" s="1"/>
        <tr r="AT78" s="1"/>
      </tp>
      <tp>
        <v>2215</v>
        <stp/>
        <stp>OPEN_INT</stp>
        <stp>.QQQ250509P468</stp>
        <tr r="AV79" s="1"/>
        <tr r="AV79" s="1"/>
      </tp>
      <tp>
        <v>1752</v>
        <stp/>
        <stp>OPEN_INT</stp>
        <stp>.QQQ250516P477</stp>
        <tr r="AX70" s="1"/>
        <tr r="AX70" s="1"/>
      </tp>
      <tp>
        <v>56</v>
        <stp/>
        <stp>OPEN_INT</stp>
        <stp>.QQQ250508C469</stp>
        <tr r="AS78" s="1"/>
        <tr r="AS78" s="1"/>
      </tp>
      <tp>
        <v>980</v>
        <stp/>
        <stp>OPEN_INT</stp>
        <stp>.QQQ250509C468</stp>
        <tr r="AU79" s="1"/>
        <tr r="AU79" s="1"/>
      </tp>
      <tp>
        <v>101</v>
        <stp/>
        <stp>OPEN_INT</stp>
        <stp>.QQQ250516C477</stp>
        <tr r="AW70" s="1"/>
        <tr r="AW70" s="1"/>
      </tp>
      <tp>
        <v>871</v>
        <stp/>
        <stp>OPEN_INT</stp>
        <stp>.QQQ250516P478</stp>
        <tr r="AX69" s="1"/>
        <tr r="AX69" s="1"/>
      </tp>
      <tp>
        <v>428</v>
        <stp/>
        <stp>OPEN_INT</stp>
        <stp>.QQQ250516C478</stp>
        <tr r="AW69" s="1"/>
        <tr r="AW69" s="1"/>
      </tp>
      <tp>
        <v>1094</v>
        <stp/>
        <stp>OPEN_INT</stp>
        <stp>.QQQ250516P479</stp>
        <tr r="AX68" s="1"/>
        <tr r="AX68" s="1"/>
      </tp>
      <tp>
        <v>207</v>
        <stp/>
        <stp>OPEN_INT</stp>
        <stp>.QQQ250516C479</stp>
        <tr r="AW68" s="1"/>
        <tr r="AW68" s="1"/>
      </tp>
      <tp>
        <v>4405</v>
        <stp/>
        <stp>OPEN_INT</stp>
        <stp>.QQQ250508P478</stp>
        <tr r="AT69" s="1"/>
        <tr r="AT69" s="1"/>
      </tp>
      <tp>
        <v>3048</v>
        <stp/>
        <stp>OPEN_INT</stp>
        <stp>.QQQ250509P479</stp>
        <tr r="AV68" s="1"/>
        <tr r="AV68" s="1"/>
      </tp>
      <tp>
        <v>934</v>
        <stp/>
        <stp>OPEN_INT</stp>
        <stp>.QQQ250508C478</stp>
        <tr r="AS69" s="1"/>
        <tr r="AS69" s="1"/>
      </tp>
      <tp>
        <v>792</v>
        <stp/>
        <stp>OPEN_INT</stp>
        <stp>.QQQ250509C479</stp>
        <tr r="AU68" s="1"/>
        <tr r="AU68" s="1"/>
      </tp>
      <tp>
        <v>2922</v>
        <stp/>
        <stp>OPEN_INT</stp>
        <stp>.QQQ250508P479</stp>
        <tr r="AT68" s="1"/>
        <tr r="AT68" s="1"/>
      </tp>
      <tp>
        <v>3298</v>
        <stp/>
        <stp>OPEN_INT</stp>
        <stp>.QQQ250509P478</stp>
        <tr r="AV69" s="1"/>
        <tr r="AV69" s="1"/>
      </tp>
      <tp>
        <v>1384</v>
        <stp/>
        <stp>OPEN_INT</stp>
        <stp>.QQQ250508C479</stp>
        <tr r="AS68" s="1"/>
        <tr r="AS68" s="1"/>
      </tp>
      <tp>
        <v>1013</v>
        <stp/>
        <stp>OPEN_INT</stp>
        <stp>.QQQ250509C478</stp>
        <tr r="AU69" s="1"/>
        <tr r="AU69" s="1"/>
      </tp>
      <tp>
        <v>2786</v>
        <stp/>
        <stp>OPEN_INT</stp>
        <stp>.QQQ250508P476</stp>
        <tr r="AT71" s="1"/>
        <tr r="AT71" s="1"/>
      </tp>
      <tp>
        <v>2155</v>
        <stp/>
        <stp>OPEN_INT</stp>
        <stp>.QQQ250509P477</stp>
        <tr r="AV70" s="1"/>
        <tr r="AV70" s="1"/>
      </tp>
      <tp>
        <v>1848</v>
        <stp/>
        <stp>OPEN_INT</stp>
        <stp>.QQQ250516P468</stp>
        <tr r="AX79" s="1"/>
        <tr r="AX79" s="1"/>
      </tp>
      <tp>
        <v>382</v>
        <stp/>
        <stp>OPEN_INT</stp>
        <stp>.QQQ250508C476</stp>
        <tr r="AS71" s="1"/>
        <tr r="AS71" s="1"/>
      </tp>
      <tp>
        <v>926</v>
        <stp/>
        <stp>OPEN_INT</stp>
        <stp>.QQQ250509C477</stp>
        <tr r="AU70" s="1"/>
        <tr r="AU70" s="1"/>
      </tp>
      <tp>
        <v>1737</v>
        <stp/>
        <stp>OPEN_INT</stp>
        <stp>.QQQ250516C468</stp>
        <tr r="AW79" s="1"/>
        <tr r="AW79" s="1"/>
      </tp>
      <tp>
        <v>6265</v>
        <stp/>
        <stp>OPEN_INT</stp>
        <stp>.QQQ250508P477</stp>
        <tr r="AT70" s="1"/>
        <tr r="AT70" s="1"/>
      </tp>
      <tp>
        <v>3056</v>
        <stp/>
        <stp>OPEN_INT</stp>
        <stp>.QQQ250509P476</stp>
        <tr r="AV71" s="1"/>
        <tr r="AV71" s="1"/>
      </tp>
      <tp>
        <v>1968</v>
        <stp/>
        <stp>OPEN_INT</stp>
        <stp>.QQQ250516P469</stp>
        <tr r="AX78" s="1"/>
        <tr r="AX78" s="1"/>
      </tp>
      <tp>
        <v>724</v>
        <stp/>
        <stp>OPEN_INT</stp>
        <stp>.QQQ250508C477</stp>
        <tr r="AS70" s="1"/>
        <tr r="AS70" s="1"/>
      </tp>
      <tp>
        <v>718</v>
        <stp/>
        <stp>OPEN_INT</stp>
        <stp>.QQQ250509C476</stp>
        <tr r="AU71" s="1"/>
        <tr r="AU71" s="1"/>
      </tp>
      <tp>
        <v>967</v>
        <stp/>
        <stp>OPEN_INT</stp>
        <stp>.QQQ250516C469</stp>
        <tr r="AW78" s="1"/>
        <tr r="AW78" s="1"/>
      </tp>
      <tp>
        <v>5738</v>
        <stp/>
        <stp>OPEN_INT</stp>
        <stp>.QQQ250508P474</stp>
        <tr r="AT73" s="1"/>
        <tr r="AT73" s="1"/>
      </tp>
      <tp>
        <v>6907</v>
        <stp/>
        <stp>OPEN_INT</stp>
        <stp>.QQQ250509P475</stp>
        <tr r="AV72" s="1"/>
        <tr r="AV72" s="1"/>
      </tp>
      <tp>
        <v>201</v>
        <stp/>
        <stp>OPEN_INT</stp>
        <stp>.QQQ250508C474</stp>
        <tr r="AS73" s="1"/>
        <tr r="AS73" s="1"/>
      </tp>
      <tp>
        <v>3656</v>
        <stp/>
        <stp>OPEN_INT</stp>
        <stp>.QQQ250509C475</stp>
        <tr r="AU72" s="1"/>
        <tr r="AU72" s="1"/>
      </tp>
      <tp>
        <v>8228</v>
        <stp/>
        <stp>OPEN_INT</stp>
        <stp>.QQQ250508P475</stp>
        <tr r="AT72" s="1"/>
        <tr r="AT72" s="1"/>
      </tp>
      <tp>
        <v>2515</v>
        <stp/>
        <stp>OPEN_INT</stp>
        <stp>.QQQ250509P474</stp>
        <tr r="AV73" s="1"/>
        <tr r="AV73" s="1"/>
      </tp>
      <tp>
        <v>480</v>
        <stp/>
        <stp>OPEN_INT</stp>
        <stp>.QQQ250508C475</stp>
        <tr r="AS72" s="1"/>
        <tr r="AS72" s="1"/>
      </tp>
      <tp>
        <v>448</v>
        <stp/>
        <stp>OPEN_INT</stp>
        <stp>.QQQ250509C474</stp>
        <tr r="AU73" s="1"/>
        <tr r="AU73" s="1"/>
      </tp>
      <tp>
        <v>4020</v>
        <stp/>
        <stp>OPEN_INT</stp>
        <stp>.QQQ250508P472</stp>
        <tr r="AT75" s="1"/>
        <tr r="AT75" s="1"/>
      </tp>
      <tp>
        <v>3635</v>
        <stp/>
        <stp>OPEN_INT</stp>
        <stp>.QQQ250509P473</stp>
        <tr r="AV74" s="1"/>
        <tr r="AV74" s="1"/>
      </tp>
      <tp>
        <v>378</v>
        <stp/>
        <stp>OPEN_INT</stp>
        <stp>.QQQ250508C472</stp>
        <tr r="AS75" s="1"/>
        <tr r="AS75" s="1"/>
      </tp>
      <tp>
        <v>1362</v>
        <stp/>
        <stp>OPEN_INT</stp>
        <stp>.QQQ250509C473</stp>
        <tr r="AU74" s="1"/>
        <tr r="AU74" s="1"/>
      </tp>
      <tp>
        <v>2909</v>
        <stp/>
        <stp>OPEN_INT</stp>
        <stp>.QQQ250508P473</stp>
        <tr r="AT74" s="1"/>
        <tr r="AT74" s="1"/>
      </tp>
      <tp>
        <v>2166</v>
        <stp/>
        <stp>OPEN_INT</stp>
        <stp>.QQQ250509P472</stp>
        <tr r="AV75" s="1"/>
        <tr r="AV75" s="1"/>
      </tp>
      <tp>
        <v>631</v>
        <stp/>
        <stp>OPEN_INT</stp>
        <stp>.QQQ250508C473</stp>
        <tr r="AS74" s="1"/>
        <tr r="AS74" s="1"/>
      </tp>
      <tp>
        <v>1137</v>
        <stp/>
        <stp>OPEN_INT</stp>
        <stp>.QQQ250509C472</stp>
        <tr r="AU75" s="1"/>
        <tr r="AU75" s="1"/>
      </tp>
      <tp>
        <v>8671</v>
        <stp/>
        <stp>OPEN_INT</stp>
        <stp>.QQQ250508P470</stp>
        <tr r="AT77" s="1"/>
        <tr r="AT77" s="1"/>
      </tp>
      <tp>
        <v>2481</v>
        <stp/>
        <stp>OPEN_INT</stp>
        <stp>.QQQ250509P471</stp>
        <tr r="AV76" s="1"/>
        <tr r="AV76" s="1"/>
      </tp>
      <tp>
        <v>692</v>
        <stp/>
        <stp>OPEN_INT</stp>
        <stp>.QQQ250508C470</stp>
        <tr r="AS77" s="1"/>
        <tr r="AS77" s="1"/>
      </tp>
      <tp>
        <v>1098</v>
        <stp/>
        <stp>OPEN_INT</stp>
        <stp>.QQQ250509C471</stp>
        <tr r="AU76" s="1"/>
        <tr r="AU76" s="1"/>
      </tp>
      <tp>
        <v>1910</v>
        <stp/>
        <stp>OPEN_INT</stp>
        <stp>.QQQ250508P471</stp>
        <tr r="AT76" s="1"/>
        <tr r="AT76" s="1"/>
      </tp>
      <tp>
        <v>10957</v>
        <stp/>
        <stp>OPEN_INT</stp>
        <stp>.QQQ250509P470</stp>
        <tr r="AV77" s="1"/>
        <tr r="AV77" s="1"/>
      </tp>
      <tp>
        <v>469</v>
        <stp/>
        <stp>OPEN_INT</stp>
        <stp>.QQQ250508C471</stp>
        <tr r="AS76" s="1"/>
        <tr r="AS76" s="1"/>
      </tp>
      <tp>
        <v>3191</v>
        <stp/>
        <stp>OPEN_INT</stp>
        <stp>.QQQ250509C470</stp>
        <tr r="AU77" s="1"/>
        <tr r="AU77" s="1"/>
      </tp>
      <tp>
        <v>14293</v>
        <stp/>
        <stp>OPEN_INT</stp>
        <stp>.QQQ250516P490</stp>
        <tr r="AX57" s="1"/>
        <tr r="AX57" s="1"/>
      </tp>
      <tp>
        <v>64740</v>
        <stp/>
        <stp>OPEN_INT</stp>
        <stp>.QQQ250516C490</stp>
        <tr r="AW57" s="1"/>
        <tr r="AW57" s="1"/>
      </tp>
      <tp>
        <v>299</v>
        <stp/>
        <stp>OPEN_INT</stp>
        <stp>.QQQ250516P491</stp>
        <tr r="AX56" s="1"/>
        <tr r="AX56" s="1"/>
      </tp>
      <tp>
        <v>787</v>
        <stp/>
        <stp>OPEN_INT</stp>
        <stp>.QQQ250516C491</stp>
        <tr r="AW56" s="1"/>
        <tr r="AW56" s="1"/>
      </tp>
      <tp>
        <v>588</v>
        <stp/>
        <stp>OPEN_INT</stp>
        <stp>.QQQ250516P492</stp>
        <tr r="AX55" s="1"/>
        <tr r="AX55" s="1"/>
      </tp>
      <tp>
        <v>1025</v>
        <stp/>
        <stp>OPEN_INT</stp>
        <stp>.QQQ250516C492</stp>
        <tr r="AW55" s="1"/>
        <tr r="AW55" s="1"/>
      </tp>
      <tp>
        <v>108</v>
        <stp/>
        <stp>OPEN_INT</stp>
        <stp>.QQQ250516P493</stp>
        <tr r="AX54" s="1"/>
        <tr r="AX54" s="1"/>
      </tp>
      <tp>
        <v>728</v>
        <stp/>
        <stp>OPEN_INT</stp>
        <stp>.QQQ250516C493</stp>
        <tr r="AW54" s="1"/>
        <tr r="AW54" s="1"/>
      </tp>
      <tp>
        <v>110</v>
        <stp/>
        <stp>OPEN_INT</stp>
        <stp>.QQQ250516P494</stp>
        <tr r="AX53" s="1"/>
        <tr r="AX53" s="1"/>
      </tp>
      <tp>
        <v>449</v>
        <stp/>
        <stp>OPEN_INT</stp>
        <stp>.QQQ250516C494</stp>
        <tr r="AW53" s="1"/>
        <tr r="AW53" s="1"/>
      </tp>
      <tp>
        <v>2488</v>
        <stp/>
        <stp>OPEN_INT</stp>
        <stp>.QQQ250516P495</stp>
        <tr r="AX52" s="1"/>
        <tr r="AX52" s="1"/>
      </tp>
      <tp>
        <v>38799</v>
        <stp/>
        <stp>OPEN_INT</stp>
        <stp>.QQQ250516C495</stp>
        <tr r="AW52" s="1"/>
        <tr r="AW52" s="1"/>
      </tp>
      <tp>
        <v>1020</v>
        <stp/>
        <stp>OPEN_INT</stp>
        <stp>.QQQ250508P488</stp>
        <tr r="AT59" s="1"/>
        <tr r="AT59" s="1"/>
      </tp>
      <tp>
        <v>3345</v>
        <stp/>
        <stp>OPEN_INT</stp>
        <stp>.QQQ250509P489</stp>
        <tr r="AV58" s="1"/>
        <tr r="AV58" s="1"/>
      </tp>
      <tp>
        <v>48</v>
        <stp/>
        <stp>OPEN_INT</stp>
        <stp>.QQQ250516P496</stp>
        <tr r="AX51" s="1"/>
        <tr r="AX51" s="1"/>
      </tp>
      <tp>
        <v>2414</v>
        <stp/>
        <stp>OPEN_INT</stp>
        <stp>.QQQ250508C488</stp>
        <tr r="AS59" s="1"/>
        <tr r="AS59" s="1"/>
      </tp>
      <tp>
        <v>992</v>
        <stp/>
        <stp>OPEN_INT</stp>
        <stp>.QQQ250516C496</stp>
        <tr r="AW51" s="1"/>
        <tr r="AW51" s="1"/>
      </tp>
      <tp>
        <v>286</v>
        <stp/>
        <stp>OPEN_INT</stp>
        <stp>.QQQ250508P489</stp>
        <tr r="AT58" s="1"/>
        <tr r="AT58" s="1"/>
      </tp>
      <tp>
        <v>3490</v>
        <stp/>
        <stp>OPEN_INT</stp>
        <stp>.QQQ250509P488</stp>
        <tr r="AV59" s="1"/>
        <tr r="AV59" s="1"/>
      </tp>
      <tp>
        <v>76</v>
        <stp/>
        <stp>OPEN_INT</stp>
        <stp>.QQQ250516P497</stp>
        <tr r="AX50" s="1"/>
        <tr r="AX50" s="1"/>
      </tp>
      <tp>
        <v>4762</v>
        <stp/>
        <stp>OPEN_INT</stp>
        <stp>.QQQ250508C489</stp>
        <tr r="AS58" s="1"/>
        <tr r="AS58" s="1"/>
      </tp>
      <tp>
        <v>2815</v>
        <stp/>
        <stp>OPEN_INT</stp>
        <stp>.QQQ250509C488</stp>
        <tr r="AU59" s="1"/>
        <tr r="AU59" s="1"/>
      </tp>
      <tp>
        <v>808</v>
        <stp/>
        <stp>OPEN_INT</stp>
        <stp>.QQQ250516C497</stp>
        <tr r="AW50" s="1"/>
        <tr r="AW50" s="1"/>
      </tp>
      <tp>
        <v>439</v>
        <stp/>
        <stp>OPEN_INT</stp>
        <stp>.QQQ250508P486</stp>
        <tr r="AT61" s="1"/>
        <tr r="AT61" s="1"/>
      </tp>
      <tp>
        <v>2257</v>
        <stp/>
        <stp>OPEN_INT</stp>
        <stp>.QQQ250509P487</stp>
        <tr r="AV60" s="1"/>
        <tr r="AV60" s="1"/>
      </tp>
      <tp>
        <v>35</v>
        <stp/>
        <stp>OPEN_INT</stp>
        <stp>.QQQ250516P498</stp>
        <tr r="AX49" s="1"/>
        <tr r="AX49" s="1"/>
      </tp>
      <tp>
        <v>1837</v>
        <stp/>
        <stp>OPEN_INT</stp>
        <stp>.QQQ250508C486</stp>
        <tr r="AS61" s="1"/>
        <tr r="AS61" s="1"/>
      </tp>
      <tp>
        <v>2634</v>
        <stp/>
        <stp>OPEN_INT</stp>
        <stp>.QQQ250509C487</stp>
        <tr r="AU60" s="1"/>
        <tr r="AU60" s="1"/>
      </tp>
      <tp>
        <v>1535</v>
        <stp/>
        <stp>OPEN_INT</stp>
        <stp>.QQQ250516C498</stp>
        <tr r="AW49" s="1"/>
        <tr r="AW49" s="1"/>
      </tp>
      <tp>
        <v>399</v>
        <stp/>
        <stp>OPEN_INT</stp>
        <stp>.QQQ250508P487</stp>
        <tr r="AT60" s="1"/>
        <tr r="AT60" s="1"/>
      </tp>
      <tp>
        <v>3636</v>
        <stp/>
        <stp>OPEN_INT</stp>
        <stp>.QQQ250509P486</stp>
        <tr r="AV61" s="1"/>
        <tr r="AV61" s="1"/>
      </tp>
      <tp>
        <v>3</v>
        <stp/>
        <stp>OPEN_INT</stp>
        <stp>.QQQ250516P499</stp>
        <tr r="AX48" s="1"/>
        <tr r="AX48" s="1"/>
      </tp>
      <tp>
        <v>2600</v>
        <stp/>
        <stp>OPEN_INT</stp>
        <stp>.QQQ250508C487</stp>
        <tr r="AS60" s="1"/>
        <tr r="AS60" s="1"/>
      </tp>
      <tp>
        <v>2181</v>
        <stp/>
        <stp>OPEN_INT</stp>
        <stp>.QQQ250509C486</stp>
        <tr r="AU61" s="1"/>
        <tr r="AU61" s="1"/>
      </tp>
      <tp>
        <v>784</v>
        <stp/>
        <stp>OPEN_INT</stp>
        <stp>.QQQ250516C499</stp>
        <tr r="AW48" s="1"/>
        <tr r="AW48" s="1"/>
      </tp>
      <tp>
        <v>1513</v>
        <stp/>
        <stp>OPEN_INT</stp>
        <stp>.QQQ250508P484</stp>
        <tr r="AT63" s="1"/>
        <tr r="AT63" s="1"/>
      </tp>
      <tp>
        <v>12569</v>
        <stp/>
        <stp>OPEN_INT</stp>
        <stp>.QQQ250509P485</stp>
        <tr r="AV62" s="1"/>
        <tr r="AV62" s="1"/>
      </tp>
      <tp>
        <v>1891</v>
        <stp/>
        <stp>OPEN_INT</stp>
        <stp>.QQQ250508C484</stp>
        <tr r="AS63" s="1"/>
        <tr r="AS63" s="1"/>
      </tp>
      <tp>
        <v>7560</v>
        <stp/>
        <stp>OPEN_INT</stp>
        <stp>.QQQ250509C485</stp>
        <tr r="AU62" s="1"/>
        <tr r="AU62" s="1"/>
      </tp>
      <tp>
        <v>3503</v>
        <stp/>
        <stp>OPEN_INT</stp>
        <stp>.QQQ250508P485</stp>
        <tr r="AT62" s="1"/>
        <tr r="AT62" s="1"/>
      </tp>
      <tp>
        <v>8332</v>
        <stp/>
        <stp>OPEN_INT</stp>
        <stp>.QQQ250509P484</stp>
        <tr r="AV63" s="1"/>
        <tr r="AV63" s="1"/>
      </tp>
      <tp>
        <v>3752</v>
        <stp/>
        <stp>OPEN_INT</stp>
        <stp>.QQQ250508C485</stp>
        <tr r="AS62" s="1"/>
        <tr r="AS62" s="1"/>
      </tp>
      <tp>
        <v>1773</v>
        <stp/>
        <stp>OPEN_INT</stp>
        <stp>.QQQ250509C484</stp>
        <tr r="AU63" s="1"/>
        <tr r="AU63" s="1"/>
      </tp>
      <tp>
        <v>3762</v>
        <stp/>
        <stp>OPEN_INT</stp>
        <stp>.QQQ250508P482</stp>
        <tr r="AT65" s="1"/>
        <tr r="AT65" s="1"/>
      </tp>
      <tp>
        <v>4053</v>
        <stp/>
        <stp>OPEN_INT</stp>
        <stp>.QQQ250509P483</stp>
        <tr r="AV64" s="1"/>
        <tr r="AV64" s="1"/>
      </tp>
      <tp>
        <v>2429</v>
        <stp/>
        <stp>OPEN_INT</stp>
        <stp>.QQQ250508C482</stp>
        <tr r="AS65" s="1"/>
        <tr r="AS65" s="1"/>
      </tp>
      <tp>
        <v>1801</v>
        <stp/>
        <stp>OPEN_INT</stp>
        <stp>.QQQ250509C483</stp>
        <tr r="AU64" s="1"/>
        <tr r="AU64" s="1"/>
      </tp>
      <tp>
        <v>2492</v>
        <stp/>
        <stp>OPEN_INT</stp>
        <stp>.QQQ250508P483</stp>
        <tr r="AT64" s="1"/>
        <tr r="AT64" s="1"/>
      </tp>
      <tp>
        <v>4716</v>
        <stp/>
        <stp>OPEN_INT</stp>
        <stp>.QQQ250509P482</stp>
        <tr r="AV65" s="1"/>
        <tr r="AV65" s="1"/>
      </tp>
      <tp>
        <v>3501</v>
        <stp/>
        <stp>OPEN_INT</stp>
        <stp>.QQQ250508C483</stp>
        <tr r="AS64" s="1"/>
        <tr r="AS64" s="1"/>
      </tp>
      <tp>
        <v>2461</v>
        <stp/>
        <stp>OPEN_INT</stp>
        <stp>.QQQ250509C482</stp>
        <tr r="AU65" s="1"/>
        <tr r="AU65" s="1"/>
      </tp>
      <tp>
        <v>4805</v>
        <stp/>
        <stp>OPEN_INT</stp>
        <stp>.QQQ250508P480</stp>
        <tr r="AT67" s="1"/>
        <tr r="AT67" s="1"/>
      </tp>
      <tp>
        <v>2552</v>
        <stp/>
        <stp>OPEN_INT</stp>
        <stp>.QQQ250509P481</stp>
        <tr r="AV66" s="1"/>
        <tr r="AV66" s="1"/>
      </tp>
      <tp>
        <v>2821</v>
        <stp/>
        <stp>OPEN_INT</stp>
        <stp>.QQQ250508C480</stp>
        <tr r="AS67" s="1"/>
        <tr r="AS67" s="1"/>
      </tp>
      <tp>
        <v>1987</v>
        <stp/>
        <stp>OPEN_INT</stp>
        <stp>.QQQ250509C481</stp>
        <tr r="AU66" s="1"/>
        <tr r="AU66" s="1"/>
      </tp>
      <tp>
        <v>2161</v>
        <stp/>
        <stp>OPEN_INT</stp>
        <stp>.QQQ250508P481</stp>
        <tr r="AT66" s="1"/>
        <tr r="AT66" s="1"/>
      </tp>
      <tp>
        <v>10827</v>
        <stp/>
        <stp>OPEN_INT</stp>
        <stp>.QQQ250509P480</stp>
        <tr r="AV67" s="1"/>
        <tr r="AV67" s="1"/>
      </tp>
      <tp>
        <v>2276</v>
        <stp/>
        <stp>OPEN_INT</stp>
        <stp>.QQQ250508C481</stp>
        <tr r="AS66" s="1"/>
        <tr r="AS66" s="1"/>
      </tp>
      <tp>
        <v>3923</v>
        <stp/>
        <stp>OPEN_INT</stp>
        <stp>.QQQ250509C480</stp>
        <tr r="AU67" s="1"/>
        <tr r="AU67" s="1"/>
      </tp>
      <tp>
        <v>27312</v>
        <stp/>
        <stp>OPEN_INT</stp>
        <stp>.QQQ250516P480</stp>
        <tr r="AX67" s="1"/>
        <tr r="AX67" s="1"/>
      </tp>
      <tp>
        <v>29641</v>
        <stp/>
        <stp>OPEN_INT</stp>
        <stp>.QQQ250516C480</stp>
        <tr r="AW67" s="1"/>
        <tr r="AW67" s="1"/>
      </tp>
      <tp>
        <v>773</v>
        <stp/>
        <stp>OPEN_INT</stp>
        <stp>.QQQ250516P481</stp>
        <tr r="AX66" s="1"/>
        <tr r="AX66" s="1"/>
      </tp>
      <tp>
        <v>584</v>
        <stp/>
        <stp>OPEN_INT</stp>
        <stp>.QQQ250516C481</stp>
        <tr r="AW66" s="1"/>
        <tr r="AW66" s="1"/>
      </tp>
      <tp>
        <v>647</v>
        <stp/>
        <stp>OPEN_INT</stp>
        <stp>.QQQ250516P482</stp>
        <tr r="AX65" s="1"/>
        <tr r="AX65" s="1"/>
      </tp>
      <tp>
        <v>578</v>
        <stp/>
        <stp>OPEN_INT</stp>
        <stp>.QQQ250516C482</stp>
        <tr r="AW65" s="1"/>
        <tr r="AW65" s="1"/>
      </tp>
      <tp>
        <v>1856</v>
        <stp/>
        <stp>OPEN_INT</stp>
        <stp>.QQQ250516P483</stp>
        <tr r="AX64" s="1"/>
        <tr r="AX64" s="1"/>
      </tp>
      <tp>
        <v>687</v>
        <stp/>
        <stp>OPEN_INT</stp>
        <stp>.QQQ250516C483</stp>
        <tr r="AW64" s="1"/>
        <tr r="AW64" s="1"/>
      </tp>
      <tp>
        <v>1518</v>
        <stp/>
        <stp>OPEN_INT</stp>
        <stp>.QQQ250516P484</stp>
        <tr r="AX63" s="1"/>
        <tr r="AX63" s="1"/>
      </tp>
      <tp>
        <v>1519</v>
        <stp/>
        <stp>OPEN_INT</stp>
        <stp>.QQQ250516C484</stp>
        <tr r="AW63" s="1"/>
        <tr r="AW63" s="1"/>
      </tp>
      <tp>
        <v>12419</v>
        <stp/>
        <stp>OPEN_INT</stp>
        <stp>.QQQ250516P485</stp>
        <tr r="AX62" s="1"/>
        <tr r="AX62" s="1"/>
      </tp>
      <tp>
        <v>27338</v>
        <stp/>
        <stp>OPEN_INT</stp>
        <stp>.QQQ250516C485</stp>
        <tr r="AW62" s="1"/>
        <tr r="AW62" s="1"/>
      </tp>
      <tp>
        <v>6</v>
        <stp/>
        <stp>OPEN_INT</stp>
        <stp>.QQQ250508P498</stp>
        <tr r="AT49" s="1"/>
        <tr r="AT49" s="1"/>
      </tp>
      <tp>
        <v>47</v>
        <stp/>
        <stp>OPEN_INT</stp>
        <stp>.QQQ250509P499</stp>
        <tr r="AV48" s="1"/>
        <tr r="AV48" s="1"/>
      </tp>
      <tp>
        <v>590</v>
        <stp/>
        <stp>OPEN_INT</stp>
        <stp>.QQQ250516P486</stp>
        <tr r="AX61" s="1"/>
        <tr r="AX61" s="1"/>
      </tp>
      <tp>
        <v>1066</v>
        <stp/>
        <stp>OPEN_INT</stp>
        <stp>.QQQ250508C498</stp>
        <tr r="AS49" s="1"/>
        <tr r="AS49" s="1"/>
      </tp>
      <tp>
        <v>2492</v>
        <stp/>
        <stp>OPEN_INT</stp>
        <stp>.QQQ250509C499</stp>
        <tr r="AU48" s="1"/>
        <tr r="AU48" s="1"/>
      </tp>
      <tp>
        <v>638</v>
        <stp/>
        <stp>OPEN_INT</stp>
        <stp>.QQQ250516C486</stp>
        <tr r="AW61" s="1"/>
        <tr r="AW61" s="1"/>
      </tp>
      <tp>
        <v>16</v>
        <stp/>
        <stp>OPEN_INT</stp>
        <stp>.QQQ250508P499</stp>
        <tr r="AT48" s="1"/>
        <tr r="AT48" s="1"/>
      </tp>
      <tp>
        <v>64</v>
        <stp/>
        <stp>OPEN_INT</stp>
        <stp>.QQQ250509P498</stp>
        <tr r="AV49" s="1"/>
        <tr r="AV49" s="1"/>
      </tp>
      <tp>
        <v>713</v>
        <stp/>
        <stp>OPEN_INT</stp>
        <stp>.QQQ250516P487</stp>
        <tr r="AX60" s="1"/>
        <tr r="AX60" s="1"/>
      </tp>
      <tp>
        <v>885</v>
        <stp/>
        <stp>OPEN_INT</stp>
        <stp>.QQQ250508C499</stp>
        <tr r="AS48" s="1"/>
        <tr r="AS48" s="1"/>
      </tp>
      <tp>
        <v>2562</v>
        <stp/>
        <stp>OPEN_INT</stp>
        <stp>.QQQ250509C498</stp>
        <tr r="AU49" s="1"/>
        <tr r="AU49" s="1"/>
      </tp>
      <tp>
        <v>757</v>
        <stp/>
        <stp>OPEN_INT</stp>
        <stp>.QQQ250516C487</stp>
        <tr r="AW60" s="1"/>
        <tr r="AW60" s="1"/>
      </tp>
      <tp>
        <v>35</v>
        <stp/>
        <stp>OPEN_INT</stp>
        <stp>.QQQ250508P496</stp>
        <tr r="AT51" s="1"/>
        <tr r="AT51" s="1"/>
      </tp>
      <tp>
        <v>280</v>
        <stp/>
        <stp>OPEN_INT</stp>
        <stp>.QQQ250509P497</stp>
        <tr r="AV50" s="1"/>
        <tr r="AV50" s="1"/>
      </tp>
      <tp>
        <v>1008</v>
        <stp/>
        <stp>OPEN_INT</stp>
        <stp>.QQQ250516P488</stp>
        <tr r="AX59" s="1"/>
        <tr r="AX59" s="1"/>
      </tp>
      <tp>
        <v>1165</v>
        <stp/>
        <stp>OPEN_INT</stp>
        <stp>.QQQ250508C496</stp>
        <tr r="AS51" s="1"/>
        <tr r="AS51" s="1"/>
      </tp>
      <tp>
        <v>3438</v>
        <stp/>
        <stp>OPEN_INT</stp>
        <stp>.QQQ250509C497</stp>
        <tr r="AU50" s="1"/>
        <tr r="AU50" s="1"/>
      </tp>
      <tp>
        <v>1483</v>
        <stp/>
        <stp>OPEN_INT</stp>
        <stp>.QQQ250516C488</stp>
        <tr r="AW59" s="1"/>
        <tr r="AW59" s="1"/>
      </tp>
      <tp>
        <v>4</v>
        <stp/>
        <stp>OPEN_INT</stp>
        <stp>.QQQ250508P497</stp>
        <tr r="AT50" s="1"/>
        <tr r="AT50" s="1"/>
      </tp>
      <tp>
        <v>226</v>
        <stp/>
        <stp>OPEN_INT</stp>
        <stp>.QQQ250509P496</stp>
        <tr r="AV51" s="1"/>
        <tr r="AV51" s="1"/>
      </tp>
      <tp>
        <v>336</v>
        <stp/>
        <stp>OPEN_INT</stp>
        <stp>.QQQ250516P489</stp>
        <tr r="AX58" s="1"/>
        <tr r="AX58" s="1"/>
      </tp>
      <tp>
        <v>904</v>
        <stp/>
        <stp>OPEN_INT</stp>
        <stp>.QQQ250508C497</stp>
        <tr r="AS50" s="1"/>
        <tr r="AS50" s="1"/>
      </tp>
      <tp>
        <v>2517</v>
        <stp/>
        <stp>OPEN_INT</stp>
        <stp>.QQQ250509C496</stp>
        <tr r="AU51" s="1"/>
        <tr r="AU51" s="1"/>
      </tp>
      <tp>
        <v>631</v>
        <stp/>
        <stp>OPEN_INT</stp>
        <stp>.QQQ250516C489</stp>
        <tr r="AW58" s="1"/>
        <tr r="AW58" s="1"/>
      </tp>
      <tp>
        <v>55</v>
        <stp/>
        <stp>OPEN_INT</stp>
        <stp>.QQQ250508P494</stp>
        <tr r="AT53" s="1"/>
        <tr r="AT53" s="1"/>
      </tp>
      <tp>
        <v>1634</v>
        <stp/>
        <stp>OPEN_INT</stp>
        <stp>.QQQ250509P495</stp>
        <tr r="AV52" s="1"/>
        <tr r="AV52" s="1"/>
      </tp>
      <tp>
        <v>948</v>
        <stp/>
        <stp>OPEN_INT</stp>
        <stp>.QQQ250508C494</stp>
        <tr r="AS53" s="1"/>
        <tr r="AS53" s="1"/>
      </tp>
      <tp>
        <v>10961</v>
        <stp/>
        <stp>OPEN_INT</stp>
        <stp>.QQQ250509C495</stp>
        <tr r="AU52" s="1"/>
        <tr r="AU52" s="1"/>
      </tp>
      <tp>
        <v>58</v>
        <stp/>
        <stp>OPEN_INT</stp>
        <stp>.QQQ250508P495</stp>
        <tr r="AT52" s="1"/>
        <tr r="AT52" s="1"/>
      </tp>
      <tp>
        <v>371</v>
        <stp/>
        <stp>OPEN_INT</stp>
        <stp>.QQQ250509P494</stp>
        <tr r="AV53" s="1"/>
        <tr r="AV53" s="1"/>
      </tp>
      <tp>
        <v>1487</v>
        <stp/>
        <stp>OPEN_INT</stp>
        <stp>.QQQ250508C495</stp>
        <tr r="AS52" s="1"/>
        <tr r="AS52" s="1"/>
      </tp>
      <tp>
        <v>3016</v>
        <stp/>
        <stp>OPEN_INT</stp>
        <stp>.QQQ250509C494</stp>
        <tr r="AU53" s="1"/>
        <tr r="AU53" s="1"/>
      </tp>
      <tp>
        <v>191</v>
        <stp/>
        <stp>OPEN_INT</stp>
        <stp>.QQQ250508P492</stp>
        <tr r="AT55" s="1"/>
        <tr r="AT55" s="1"/>
      </tp>
      <tp>
        <v>670</v>
        <stp/>
        <stp>OPEN_INT</stp>
        <stp>.QQQ250509P493</stp>
        <tr r="AV54" s="1"/>
        <tr r="AV54" s="1"/>
      </tp>
      <tp>
        <v>2863</v>
        <stp/>
        <stp>OPEN_INT</stp>
        <stp>.QQQ250508C492</stp>
        <tr r="AS55" s="1"/>
        <tr r="AS55" s="1"/>
      </tp>
      <tp>
        <v>6093</v>
        <stp/>
        <stp>OPEN_INT</stp>
        <stp>.QQQ250509C493</stp>
        <tr r="AU54" s="1"/>
        <tr r="AU54" s="1"/>
      </tp>
      <tp>
        <v>32</v>
        <stp/>
        <stp>OPEN_INT</stp>
        <stp>.QQQ250508P493</stp>
        <tr r="AT54" s="1"/>
        <tr r="AT54" s="1"/>
      </tp>
      <tp>
        <v>2292</v>
        <stp/>
        <stp>OPEN_INT</stp>
        <stp>.QQQ250509P492</stp>
        <tr r="AV55" s="1"/>
        <tr r="AV55" s="1"/>
      </tp>
      <tp>
        <v>994</v>
        <stp/>
        <stp>OPEN_INT</stp>
        <stp>.QQQ250508C493</stp>
        <tr r="AS54" s="1"/>
        <tr r="AS54" s="1"/>
      </tp>
      <tp>
        <v>5394</v>
        <stp/>
        <stp>OPEN_INT</stp>
        <stp>.QQQ250509C492</stp>
        <tr r="AU55" s="1"/>
        <tr r="AU55" s="1"/>
      </tp>
      <tp>
        <v>310</v>
        <stp/>
        <stp>OPEN_INT</stp>
        <stp>.QQQ250508P490</stp>
        <tr r="AT57" s="1"/>
        <tr r="AT57" s="1"/>
      </tp>
      <tp>
        <v>1929</v>
        <stp/>
        <stp>OPEN_INT</stp>
        <stp>.QQQ250509P491</stp>
        <tr r="AV56" s="1"/>
        <tr r="AV56" s="1"/>
      </tp>
      <tp>
        <v>6493</v>
        <stp/>
        <stp>OPEN_INT</stp>
        <stp>.QQQ250508C490</stp>
        <tr r="AS57" s="1"/>
        <tr r="AS57" s="1"/>
      </tp>
      <tp>
        <v>4571</v>
        <stp/>
        <stp>OPEN_INT</stp>
        <stp>.QQQ250509C491</stp>
        <tr r="AU56" s="1"/>
        <tr r="AU56" s="1"/>
      </tp>
      <tp>
        <v>129</v>
        <stp/>
        <stp>OPEN_INT</stp>
        <stp>.QQQ250508P491</stp>
        <tr r="AT56" s="1"/>
        <tr r="AT56" s="1"/>
      </tp>
      <tp>
        <v>5316</v>
        <stp/>
        <stp>OPEN_INT</stp>
        <stp>.QQQ250509P490</stp>
        <tr r="AV57" s="1"/>
        <tr r="AV57" s="1"/>
      </tp>
      <tp>
        <v>1839</v>
        <stp/>
        <stp>OPEN_INT</stp>
        <stp>.QQQ250508C491</stp>
        <tr r="AS56" s="1"/>
        <tr r="AS56" s="1"/>
      </tp>
      <tp>
        <v>10598</v>
        <stp/>
        <stp>OPEN_INT</stp>
        <stp>.QQQ250509C490</stp>
        <tr r="AU57" s="1"/>
        <tr r="AU57" s="1"/>
      </tp>
      <tp>
        <v>58</v>
        <stp/>
        <stp>OPEN_INT</stp>
        <stp>.NDX250516P19900</stp>
        <tr r="AX163" s="1"/>
        <tr r="AX163" s="1"/>
      </tp>
      <tp>
        <v>5</v>
        <stp/>
        <stp>OPEN_INT</stp>
        <stp>.NDX250516P19925</stp>
        <tr r="AX162" s="1"/>
        <tr r="AX162" s="1"/>
      </tp>
      <tp>
        <v>7</v>
        <stp/>
        <stp>OPEN_INT</stp>
        <stp>.NDX250516P19950</stp>
        <tr r="AX161" s="1"/>
        <tr r="AX161" s="1"/>
      </tp>
      <tp>
        <v>10</v>
        <stp/>
        <stp>OPEN_INT</stp>
        <stp>.NDX250516P19975</stp>
        <tr r="AX160" s="1"/>
        <tr r="AX160" s="1"/>
      </tp>
      <tp>
        <v>13</v>
        <stp/>
        <stp>OPEN_INT</stp>
        <stp>.NDX250516C19925</stp>
        <tr r="AW162" s="1"/>
        <tr r="AW162" s="1"/>
      </tp>
      <tp>
        <v>54</v>
        <stp/>
        <stp>OPEN_INT</stp>
        <stp>.NDX250516C19900</stp>
        <tr r="AW163" s="1"/>
        <tr r="AW163" s="1"/>
      </tp>
      <tp>
        <v>16</v>
        <stp/>
        <stp>OPEN_INT</stp>
        <stp>.NDX250516C19975</stp>
        <tr r="AW160" s="1"/>
        <tr r="AW160" s="1"/>
      </tp>
      <tp>
        <v>28</v>
        <stp/>
        <stp>OPEN_INT</stp>
        <stp>.NDX250516C19950</stp>
        <tr r="AW161" s="1"/>
        <tr r="AW161" s="1"/>
      </tp>
      <tp>
        <v>28</v>
        <stp/>
        <stp>OPEN_INT</stp>
        <stp>.NDX250516P19800</stp>
        <tr r="AX167" s="1"/>
        <tr r="AX167" s="1"/>
      </tp>
      <tp>
        <v>28</v>
        <stp/>
        <stp>OPEN_INT</stp>
        <stp>.NDX250516P19825</stp>
        <tr r="AX166" s="1"/>
        <tr r="AX166" s="1"/>
      </tp>
      <tp>
        <v>7</v>
        <stp/>
        <stp>OPEN_INT</stp>
        <stp>.NDX250516P19850</stp>
        <tr r="AX165" s="1"/>
        <tr r="AX165" s="1"/>
      </tp>
      <tp>
        <v>8</v>
        <stp/>
        <stp>OPEN_INT</stp>
        <stp>.NDX250516P19875</stp>
        <tr r="AX164" s="1"/>
        <tr r="AX164" s="1"/>
      </tp>
      <tp>
        <v>32</v>
        <stp/>
        <stp>OPEN_INT</stp>
        <stp>.NDX250516C19825</stp>
        <tr r="AW166" s="1"/>
        <tr r="AW166" s="1"/>
      </tp>
      <tp>
        <v>34</v>
        <stp/>
        <stp>OPEN_INT</stp>
        <stp>.NDX250516C19800</stp>
        <tr r="AW167" s="1"/>
        <tr r="AW167" s="1"/>
      </tp>
      <tp>
        <v>14</v>
        <stp/>
        <stp>OPEN_INT</stp>
        <stp>.NDX250516C19875</stp>
        <tr r="AW164" s="1"/>
        <tr r="AW164" s="1"/>
      </tp>
      <tp>
        <v>24</v>
        <stp/>
        <stp>OPEN_INT</stp>
        <stp>.NDX250516C19850</stp>
        <tr r="AW165" s="1"/>
        <tr r="AW165" s="1"/>
      </tp>
      <tp>
        <v>48</v>
        <stp/>
        <stp>OPEN_INT</stp>
        <stp>.NDX250516P19700</stp>
        <tr r="AX171" s="1"/>
        <tr r="AX171" s="1"/>
      </tp>
      <tp>
        <v>27</v>
        <stp/>
        <stp>OPEN_INT</stp>
        <stp>.NDX250516P19725</stp>
        <tr r="AX170" s="1"/>
        <tr r="AX170" s="1"/>
      </tp>
      <tp>
        <v>15</v>
        <stp/>
        <stp>OPEN_INT</stp>
        <stp>.NDX250516P19750</stp>
        <tr r="AX169" s="1"/>
        <tr r="AX169" s="1"/>
      </tp>
      <tp>
        <v>10</v>
        <stp/>
        <stp>OPEN_INT</stp>
        <stp>.NDX250516P19775</stp>
        <tr r="AX168" s="1"/>
        <tr r="AX168" s="1"/>
      </tp>
      <tp>
        <v>43</v>
        <stp/>
        <stp>OPEN_INT</stp>
        <stp>.NDX250516C19725</stp>
        <tr r="AW170" s="1"/>
        <tr r="AW170" s="1"/>
      </tp>
      <tp>
        <v>37</v>
        <stp/>
        <stp>OPEN_INT</stp>
        <stp>.NDX250516C19700</stp>
        <tr r="AW171" s="1"/>
        <tr r="AW171" s="1"/>
      </tp>
      <tp>
        <v>22</v>
        <stp/>
        <stp>OPEN_INT</stp>
        <stp>.NDX250516C19775</stp>
        <tr r="AW168" s="1"/>
        <tr r="AW168" s="1"/>
      </tp>
      <tp>
        <v>71</v>
        <stp/>
        <stp>OPEN_INT</stp>
        <stp>.NDX250516C19750</stp>
        <tr r="AW169" s="1"/>
        <tr r="AW169" s="1"/>
      </tp>
      <tp>
        <v>55</v>
        <stp/>
        <stp>OPEN_INT</stp>
        <stp>.NDX250516P19600</stp>
        <tr r="AX175" s="1"/>
        <tr r="AX175" s="1"/>
      </tp>
      <tp>
        <v>8</v>
        <stp/>
        <stp>OPEN_INT</stp>
        <stp>.NDX250516P19625</stp>
        <tr r="AX174" s="1"/>
        <tr r="AX174" s="1"/>
      </tp>
      <tp>
        <v>21</v>
        <stp/>
        <stp>OPEN_INT</stp>
        <stp>.NDX250516P19650</stp>
        <tr r="AX173" s="1"/>
        <tr r="AX173" s="1"/>
      </tp>
      <tp>
        <v>12</v>
        <stp/>
        <stp>OPEN_INT</stp>
        <stp>.NDX250516P19675</stp>
        <tr r="AX172" s="1"/>
        <tr r="AX172" s="1"/>
      </tp>
      <tp>
        <v>28</v>
        <stp/>
        <stp>OPEN_INT</stp>
        <stp>.NDX250516C19625</stp>
        <tr r="AW174" s="1"/>
        <tr r="AW174" s="1"/>
      </tp>
      <tp>
        <v>58</v>
        <stp/>
        <stp>OPEN_INT</stp>
        <stp>.NDX250516C19600</stp>
        <tr r="AW175" s="1"/>
        <tr r="AW175" s="1"/>
      </tp>
      <tp>
        <v>8</v>
        <stp/>
        <stp>OPEN_INT</stp>
        <stp>.NDX250516C19675</stp>
        <tr r="AW172" s="1"/>
        <tr r="AW172" s="1"/>
      </tp>
      <tp>
        <v>10</v>
        <stp/>
        <stp>OPEN_INT</stp>
        <stp>.NDX250516C19650</stp>
        <tr r="AW173" s="1"/>
        <tr r="AW173" s="1"/>
      </tp>
      <tp>
        <v>138</v>
        <stp/>
        <stp>OPEN_INT</stp>
        <stp>.NDX250516P20500</stp>
        <tr r="AX139" s="1"/>
        <tr r="AX139" s="1"/>
      </tp>
      <tp>
        <v>97</v>
        <stp/>
        <stp>OPEN_INT</stp>
        <stp>.NDX250516P19500</stp>
        <tr r="AX179" s="1"/>
        <tr r="AX179" s="1"/>
      </tp>
      <tp>
        <v>6</v>
        <stp/>
        <stp>OPEN_INT</stp>
        <stp>.NDX250516P20525</stp>
        <tr r="AX138" s="1"/>
        <tr r="AX138" s="1"/>
      </tp>
      <tp>
        <v>3</v>
        <stp/>
        <stp>OPEN_INT</stp>
        <stp>.NDX250516P19525</stp>
        <tr r="AX178" s="1"/>
        <tr r="AX178" s="1"/>
      </tp>
      <tp>
        <v>6</v>
        <stp/>
        <stp>OPEN_INT</stp>
        <stp>.NDX250516P20550</stp>
        <tr r="AX137" s="1"/>
        <tr r="AX137" s="1"/>
      </tp>
      <tp>
        <v>41</v>
        <stp/>
        <stp>OPEN_INT</stp>
        <stp>.NDX250516P19550</stp>
        <tr r="AX177" s="1"/>
        <tr r="AX177" s="1"/>
      </tp>
      <tp>
        <v>8</v>
        <stp/>
        <stp>OPEN_INT</stp>
        <stp>.NDX250516P19575</stp>
        <tr r="AX176" s="1"/>
        <tr r="AX176" s="1"/>
      </tp>
      <tp>
        <v>7</v>
        <stp/>
        <stp>OPEN_INT</stp>
        <stp>.NDX250516C20525</stp>
        <tr r="AW138" s="1"/>
        <tr r="AW138" s="1"/>
      </tp>
      <tp>
        <v>22</v>
        <stp/>
        <stp>OPEN_INT</stp>
        <stp>.NDX250516C19525</stp>
        <tr r="AW178" s="1"/>
        <tr r="AW178" s="1"/>
      </tp>
      <tp>
        <v>207</v>
        <stp/>
        <stp>OPEN_INT</stp>
        <stp>.NDX250516C20500</stp>
        <tr r="AW139" s="1"/>
        <tr r="AW139" s="1"/>
      </tp>
      <tp>
        <v>81</v>
        <stp/>
        <stp>OPEN_INT</stp>
        <stp>.NDX250516C19500</stp>
        <tr r="AW179" s="1"/>
        <tr r="AW179" s="1"/>
      </tp>
      <tp t="s">
        <v>--</v>
        <stp/>
        <stp>IMPL_VOL</stp>
        <stp>.SPY250508C548</stp>
        <tr r="EL38" s="1"/>
      </tp>
      <tp t="s">
        <v>--</v>
        <stp/>
        <stp>IMPL_VOL</stp>
        <stp>.SPY250509C549</stp>
        <tr r="EN37" s="1"/>
      </tp>
      <tp t="s">
        <v>--</v>
        <stp/>
        <stp>IMPL_VOL</stp>
        <stp>.SPY250516C556</stp>
        <tr r="EP30" s="1"/>
      </tp>
      <tp t="s">
        <v>191.17%</v>
        <stp/>
        <stp>IMPL_VOL</stp>
        <stp>.SPY250508P548</stp>
        <tr r="EM38" s="1"/>
      </tp>
      <tp t="s">
        <v>183.48%</v>
        <stp/>
        <stp>IMPL_VOL</stp>
        <stp>.SPY250509P549</stp>
        <tr r="EO37" s="1"/>
      </tp>
      <tp t="s">
        <v>34.13%</v>
        <stp/>
        <stp>IMPL_VOL</stp>
        <stp>.SPY250516P556</stp>
        <tr r="EQ30" s="1"/>
      </tp>
      <tp t="s">
        <v>--</v>
        <stp/>
        <stp>IMPL_VOL</stp>
        <stp>.SPY250508C549</stp>
        <tr r="EL37" s="1"/>
      </tp>
      <tp t="s">
        <v>--</v>
        <stp/>
        <stp>IMPL_VOL</stp>
        <stp>.SPY250509C548</stp>
        <tr r="EN38" s="1"/>
      </tp>
      <tp t="s">
        <v>--</v>
        <stp/>
        <stp>IMPL_VOL</stp>
        <stp>.SPY250516C557</stp>
        <tr r="EP29" s="1"/>
      </tp>
      <tp t="s">
        <v>183.48%</v>
        <stp/>
        <stp>IMPL_VOL</stp>
        <stp>.SPY250508P549</stp>
        <tr r="EM37" s="1"/>
      </tp>
      <tp t="s">
        <v>191.17%</v>
        <stp/>
        <stp>IMPL_VOL</stp>
        <stp>.SPY250509P548</stp>
        <tr r="EO38" s="1"/>
      </tp>
      <tp t="s">
        <v>34.26%</v>
        <stp/>
        <stp>IMPL_VOL</stp>
        <stp>.SPY250516P557</stp>
        <tr r="EQ29" s="1"/>
      </tp>
      <tp t="s">
        <v>--</v>
        <stp/>
        <stp>IMPL_VOL</stp>
        <stp>.SPY250516C554</stp>
        <tr r="EP32" s="1"/>
      </tp>
      <tp t="s">
        <v>33.98%</v>
        <stp/>
        <stp>IMPL_VOL</stp>
        <stp>.SPY250516P554</stp>
        <tr r="EQ32" s="1"/>
      </tp>
      <tp t="s">
        <v>--</v>
        <stp/>
        <stp>IMPL_VOL</stp>
        <stp>.SPY250516C555</stp>
        <tr r="EP31" s="1"/>
      </tp>
      <tp t="s">
        <v>34.04%</v>
        <stp/>
        <stp>IMPL_VOL</stp>
        <stp>.SPY250516P555</stp>
        <tr r="EQ31" s="1"/>
      </tp>
      <tp t="s">
        <v>--</v>
        <stp/>
        <stp>IMPL_VOL</stp>
        <stp>.SPY250516C552</stp>
        <tr r="EP34" s="1"/>
      </tp>
      <tp t="s">
        <v>33.83%</v>
        <stp/>
        <stp>IMPL_VOL</stp>
        <stp>.SPY250516P552</stp>
        <tr r="EQ34" s="1"/>
      </tp>
      <tp t="s">
        <v>--</v>
        <stp/>
        <stp>IMPL_VOL</stp>
        <stp>.SPY250516C553</stp>
        <tr r="EP33" s="1"/>
      </tp>
      <tp t="s">
        <v>33.89%</v>
        <stp/>
        <stp>IMPL_VOL</stp>
        <stp>.SPY250516P553</stp>
        <tr r="EQ33" s="1"/>
      </tp>
      <tp t="s">
        <v>--</v>
        <stp/>
        <stp>IMPL_VOL</stp>
        <stp>.SPY250516C550</stp>
        <tr r="EP36" s="1"/>
      </tp>
      <tp t="s">
        <v>33.81%</v>
        <stp/>
        <stp>IMPL_VOL</stp>
        <stp>.SPY250516P550</stp>
        <tr r="EQ36" s="1"/>
      </tp>
      <tp t="s">
        <v>--</v>
        <stp/>
        <stp>IMPL_VOL</stp>
        <stp>.SPY250516C551</stp>
        <tr r="EP35" s="1"/>
      </tp>
      <tp t="s">
        <v>33.81%</v>
        <stp/>
        <stp>IMPL_VOL</stp>
        <stp>.SPY250516P551</stp>
        <tr r="EQ35" s="1"/>
      </tp>
      <tp t="s">
        <v>--</v>
        <stp/>
        <stp>IMPL_VOL</stp>
        <stp>.SPY250516C558</stp>
        <tr r="EP28" s="1"/>
      </tp>
      <tp t="s">
        <v>34.39%</v>
        <stp/>
        <stp>IMPL_VOL</stp>
        <stp>.SPY250516P558</stp>
        <tr r="EQ28" s="1"/>
      </tp>
      <tp t="s">
        <v>--</v>
        <stp/>
        <stp>IMPL_VOL</stp>
        <stp>.SPY250516C559</stp>
        <tr r="EP27" s="1"/>
      </tp>
      <tp t="s">
        <v>34.53%</v>
        <stp/>
        <stp>IMPL_VOL</stp>
        <stp>.SPY250516P559</stp>
        <tr r="EQ27" s="1"/>
      </tp>
      <tp>
        <v>16</v>
        <stp/>
        <stp>OPEN_INT</stp>
        <stp>.NDX250516C19575</stp>
        <tr r="AW176" s="1"/>
        <tr r="AW176" s="1"/>
      </tp>
      <tp t="s">
        <v>--</v>
        <stp/>
        <stp>IMPL_VOL</stp>
        <stp>.SPY250508C558</stp>
        <tr r="EL28" s="1"/>
      </tp>
      <tp t="s">
        <v>--</v>
        <stp/>
        <stp>IMPL_VOL</stp>
        <stp>.SPY250509C559</stp>
        <tr r="EN27" s="1"/>
      </tp>
      <tp t="s">
        <v>113.55%</v>
        <stp/>
        <stp>IMPL_VOL</stp>
        <stp>.SPY250508P558</stp>
        <tr r="EM28" s="1"/>
      </tp>
      <tp t="s">
        <v>105.65%</v>
        <stp/>
        <stp>IMPL_VOL</stp>
        <stp>.SPY250509P559</stp>
        <tr r="EO27" s="1"/>
      </tp>
      <tp t="s">
        <v>--</v>
        <stp/>
        <stp>IMPL_VOL</stp>
        <stp>.SPY250508C559</stp>
        <tr r="EL27" s="1"/>
      </tp>
      <tp t="s">
        <v>--</v>
        <stp/>
        <stp>IMPL_VOL</stp>
        <stp>.SPY250509C558</stp>
        <tr r="EN28" s="1"/>
      </tp>
      <tp t="s">
        <v>105.65%</v>
        <stp/>
        <stp>IMPL_VOL</stp>
        <stp>.SPY250508P559</stp>
        <tr r="EM27" s="1"/>
      </tp>
      <tp t="s">
        <v>113.55%</v>
        <stp/>
        <stp>IMPL_VOL</stp>
        <stp>.SPY250509P558</stp>
        <tr r="EO28" s="1"/>
      </tp>
      <tp t="s">
        <v>--</v>
        <stp/>
        <stp>IMPL_VOL</stp>
        <stp>.SPY250508C550</stp>
        <tr r="EL36" s="1"/>
      </tp>
      <tp t="s">
        <v>--</v>
        <stp/>
        <stp>IMPL_VOL</stp>
        <stp>.SPY250509C551</stp>
        <tr r="EN35" s="1"/>
      </tp>
      <tp t="s">
        <v>175.79%</v>
        <stp/>
        <stp>IMPL_VOL</stp>
        <stp>.SPY250508P550</stp>
        <tr r="EM36" s="1"/>
      </tp>
      <tp t="s">
        <v>168.08%</v>
        <stp/>
        <stp>IMPL_VOL</stp>
        <stp>.SPY250509P551</stp>
        <tr r="EO35" s="1"/>
      </tp>
      <tp t="s">
        <v>--</v>
        <stp/>
        <stp>IMPL_VOL</stp>
        <stp>.SPY250508C551</stp>
        <tr r="EL35" s="1"/>
      </tp>
      <tp t="s">
        <v>--</v>
        <stp/>
        <stp>IMPL_VOL</stp>
        <stp>.SPY250509C550</stp>
        <tr r="EN36" s="1"/>
      </tp>
      <tp t="s">
        <v>168.08%</v>
        <stp/>
        <stp>IMPL_VOL</stp>
        <stp>.SPY250508P551</stp>
        <tr r="EM35" s="1"/>
      </tp>
      <tp t="s">
        <v>175.79%</v>
        <stp/>
        <stp>IMPL_VOL</stp>
        <stp>.SPY250509P550</stp>
        <tr r="EO36" s="1"/>
      </tp>
      <tp t="s">
        <v>--</v>
        <stp/>
        <stp>IMPL_VOL</stp>
        <stp>.SPY250508C552</stp>
        <tr r="EL34" s="1"/>
      </tp>
      <tp t="s">
        <v>--</v>
        <stp/>
        <stp>IMPL_VOL</stp>
        <stp>.SPY250509C553</stp>
        <tr r="EN33" s="1"/>
      </tp>
      <tp t="s">
        <v>160.36%</v>
        <stp/>
        <stp>IMPL_VOL</stp>
        <stp>.SPY250508P552</stp>
        <tr r="EM34" s="1"/>
      </tp>
      <tp t="s">
        <v>152.61%</v>
        <stp/>
        <stp>IMPL_VOL</stp>
        <stp>.SPY250509P553</stp>
        <tr r="EO33" s="1"/>
      </tp>
      <tp t="s">
        <v>--</v>
        <stp/>
        <stp>IMPL_VOL</stp>
        <stp>.SPY250508C553</stp>
        <tr r="EL33" s="1"/>
      </tp>
      <tp t="s">
        <v>--</v>
        <stp/>
        <stp>IMPL_VOL</stp>
        <stp>.SPY250509C552</stp>
        <tr r="EN34" s="1"/>
      </tp>
      <tp t="s">
        <v>152.61%</v>
        <stp/>
        <stp>IMPL_VOL</stp>
        <stp>.SPY250508P553</stp>
        <tr r="EM33" s="1"/>
      </tp>
      <tp t="s">
        <v>160.36%</v>
        <stp/>
        <stp>IMPL_VOL</stp>
        <stp>.SPY250509P552</stp>
        <tr r="EO34" s="1"/>
      </tp>
      <tp t="s">
        <v>--</v>
        <stp/>
        <stp>IMPL_VOL</stp>
        <stp>.SPY250508C554</stp>
        <tr r="EL32" s="1"/>
      </tp>
      <tp t="s">
        <v>--</v>
        <stp/>
        <stp>IMPL_VOL</stp>
        <stp>.SPY250509C555</stp>
        <tr r="EN31" s="1"/>
      </tp>
      <tp t="s">
        <v>144.85%</v>
        <stp/>
        <stp>IMPL_VOL</stp>
        <stp>.SPY250508P554</stp>
        <tr r="EM32" s="1"/>
      </tp>
      <tp t="s">
        <v>137.07%</v>
        <stp/>
        <stp>IMPL_VOL</stp>
        <stp>.SPY250509P555</stp>
        <tr r="EO31" s="1"/>
      </tp>
      <tp t="s">
        <v>--</v>
        <stp/>
        <stp>IMPL_VOL</stp>
        <stp>.SPY250508C555</stp>
        <tr r="EL31" s="1"/>
      </tp>
      <tp t="s">
        <v>--</v>
        <stp/>
        <stp>IMPL_VOL</stp>
        <stp>.SPY250509C554</stp>
        <tr r="EN32" s="1"/>
      </tp>
      <tp t="s">
        <v>137.07%</v>
        <stp/>
        <stp>IMPL_VOL</stp>
        <stp>.SPY250508P555</stp>
        <tr r="EM31" s="1"/>
      </tp>
      <tp t="s">
        <v>144.85%</v>
        <stp/>
        <stp>IMPL_VOL</stp>
        <stp>.SPY250509P554</stp>
        <tr r="EO32" s="1"/>
      </tp>
      <tp t="s">
        <v>--</v>
        <stp/>
        <stp>IMPL_VOL</stp>
        <stp>.SPY250508C556</stp>
        <tr r="EL30" s="1"/>
      </tp>
      <tp t="s">
        <v>--</v>
        <stp/>
        <stp>IMPL_VOL</stp>
        <stp>.SPY250509C557</stp>
        <tr r="EN29" s="1"/>
      </tp>
      <tp t="s">
        <v>--</v>
        <stp/>
        <stp>IMPL_VOL</stp>
        <stp>.SPY250516C548</stp>
        <tr r="EP38" s="1"/>
      </tp>
      <tp t="s">
        <v>129.26%</v>
        <stp/>
        <stp>IMPL_VOL</stp>
        <stp>.SPY250508P556</stp>
        <tr r="EM30" s="1"/>
      </tp>
      <tp t="s">
        <v>121.42%</v>
        <stp/>
        <stp>IMPL_VOL</stp>
        <stp>.SPY250509P557</stp>
        <tr r="EO29" s="1"/>
      </tp>
      <tp t="s">
        <v>33.70%</v>
        <stp/>
        <stp>IMPL_VOL</stp>
        <stp>.SPY250516P548</stp>
        <tr r="EQ38" s="1"/>
      </tp>
      <tp t="s">
        <v>--</v>
        <stp/>
        <stp>IMPL_VOL</stp>
        <stp>.SPY250508C557</stp>
        <tr r="EL29" s="1"/>
      </tp>
      <tp t="s">
        <v>--</v>
        <stp/>
        <stp>IMPL_VOL</stp>
        <stp>.SPY250509C556</stp>
        <tr r="EN30" s="1"/>
      </tp>
      <tp t="s">
        <v>--</v>
        <stp/>
        <stp>IMPL_VOL</stp>
        <stp>.SPY250516C549</stp>
        <tr r="EP37" s="1"/>
      </tp>
      <tp t="s">
        <v>121.42%</v>
        <stp/>
        <stp>IMPL_VOL</stp>
        <stp>.SPY250508P557</stp>
        <tr r="EM29" s="1"/>
      </tp>
      <tp t="s">
        <v>129.26%</v>
        <stp/>
        <stp>IMPL_VOL</stp>
        <stp>.SPY250509P556</stp>
        <tr r="EO30" s="1"/>
      </tp>
      <tp t="s">
        <v>33.69%</v>
        <stp/>
        <stp>IMPL_VOL</stp>
        <stp>.SPY250516P549</stp>
        <tr r="EQ37" s="1"/>
      </tp>
      <tp t="s">
        <v>--</v>
        <stp/>
        <stp>IMPL_VOL</stp>
        <stp>.SPY250508C568</stp>
        <tr r="EL18" s="1"/>
      </tp>
      <tp t="s">
        <v>--</v>
        <stp/>
        <stp>IMPL_VOL</stp>
        <stp>.SPY250509C569</stp>
        <tr r="EN17" s="1"/>
      </tp>
      <tp t="s">
        <v>14.61%</v>
        <stp/>
        <stp>IMPL_VOL</stp>
        <stp>.SPY250516C576</stp>
        <tr r="EP10" s="1"/>
      </tp>
      <tp t="s">
        <v>265.30%</v>
        <stp/>
        <stp>IMPL_VOL</stp>
        <stp>.SPY250508P568</stp>
        <tr r="EM18" s="1"/>
      </tp>
      <tp t="s">
        <v>328.25%</v>
        <stp/>
        <stp>IMPL_VOL</stp>
        <stp>.SPY250509P569</stp>
        <tr r="EO17" s="1"/>
      </tp>
      <tp t="s">
        <v>40.93%</v>
        <stp/>
        <stp>IMPL_VOL</stp>
        <stp>.SPY250516P576</stp>
        <tr r="EQ10" s="1"/>
      </tp>
      <tp t="s">
        <v>--</v>
        <stp/>
        <stp>IMPL_VOL</stp>
        <stp>.SPY250508C569</stp>
        <tr r="EL17" s="1"/>
      </tp>
      <tp t="s">
        <v>--</v>
        <stp/>
        <stp>IMPL_VOL</stp>
        <stp>.SPY250509C568</stp>
        <tr r="EN18" s="1"/>
      </tp>
      <tp t="s">
        <v>14.83%</v>
        <stp/>
        <stp>IMPL_VOL</stp>
        <stp>.SPY250516C577</stp>
        <tr r="EP9" s="1"/>
      </tp>
      <tp t="s">
        <v>269.52%</v>
        <stp/>
        <stp>IMPL_VOL</stp>
        <stp>.SPY250508P569</stp>
        <tr r="EM17" s="1"/>
      </tp>
      <tp t="s">
        <v>295.41%</v>
        <stp/>
        <stp>IMPL_VOL</stp>
        <stp>.SPY250509P568</stp>
        <tr r="EO18" s="1"/>
      </tp>
      <tp t="s">
        <v>41.61%</v>
        <stp/>
        <stp>IMPL_VOL</stp>
        <stp>.SPY250516P577</stp>
        <tr r="EQ9" s="1"/>
      </tp>
      <tp t="s">
        <v>14.04%</v>
        <stp/>
        <stp>IMPL_VOL</stp>
        <stp>.SPY250516C574</stp>
        <tr r="EP12" s="1"/>
      </tp>
      <tp t="s">
        <v>39.62%</v>
        <stp/>
        <stp>IMPL_VOL</stp>
        <stp>.SPY250516P574</stp>
        <tr r="EQ12" s="1"/>
      </tp>
      <tp t="s">
        <v>14.34%</v>
        <stp/>
        <stp>IMPL_VOL</stp>
        <stp>.SPY250516C575</stp>
        <tr r="EP11" s="1"/>
      </tp>
      <tp t="s">
        <v>40.28%</v>
        <stp/>
        <stp>IMPL_VOL</stp>
        <stp>.SPY250516P575</stp>
        <tr r="EQ11" s="1"/>
      </tp>
      <tp t="s">
        <v>13.30%</v>
        <stp/>
        <stp>IMPL_VOL</stp>
        <stp>.SPY250516C572</stp>
        <tr r="EP14" s="1"/>
      </tp>
      <tp t="s">
        <v>38.52%</v>
        <stp/>
        <stp>IMPL_VOL</stp>
        <stp>.SPY250516P572</stp>
        <tr r="EQ14" s="1"/>
      </tp>
      <tp t="s">
        <v>13.70%</v>
        <stp/>
        <stp>IMPL_VOL</stp>
        <stp>.SPY250516C573</stp>
        <tr r="EP13" s="1"/>
      </tp>
      <tp t="s">
        <v>39.07%</v>
        <stp/>
        <stp>IMPL_VOL</stp>
        <stp>.SPY250516P573</stp>
        <tr r="EQ13" s="1"/>
      </tp>
      <tp t="s">
        <v>12.27%</v>
        <stp/>
        <stp>IMPL_VOL</stp>
        <stp>.SPY250516C570</stp>
        <tr r="EP16" s="1"/>
      </tp>
      <tp t="s">
        <v>37.59%</v>
        <stp/>
        <stp>IMPL_VOL</stp>
        <stp>.SPY250516P570</stp>
        <tr r="EQ16" s="1"/>
      </tp>
      <tp t="s">
        <v>12.84%</v>
        <stp/>
        <stp>IMPL_VOL</stp>
        <stp>.SPY250516C571</stp>
        <tr r="EP15" s="1"/>
      </tp>
      <tp t="s">
        <v>38.02%</v>
        <stp/>
        <stp>IMPL_VOL</stp>
        <stp>.SPY250516P571</stp>
        <tr r="EQ15" s="1"/>
      </tp>
      <tp t="s">
        <v>--</v>
        <stp/>
        <stp>IMPL_VOL</stp>
        <stp>.SPY250508C560</stp>
        <tr r="EL26" s="1"/>
      </tp>
      <tp t="s">
        <v>--</v>
        <stp/>
        <stp>IMPL_VOL</stp>
        <stp>.SPY250509C561</stp>
        <tr r="EN25" s="1"/>
      </tp>
      <tp t="s">
        <v>97.70%</v>
        <stp/>
        <stp>IMPL_VOL</stp>
        <stp>.SPY250508P560</stp>
        <tr r="EM26" s="1"/>
      </tp>
      <tp t="s">
        <v>89.71%</v>
        <stp/>
        <stp>IMPL_VOL</stp>
        <stp>.SPY250509P561</stp>
        <tr r="EO25" s="1"/>
      </tp>
      <tp t="s">
        <v>--</v>
        <stp/>
        <stp>IMPL_VOL</stp>
        <stp>.SPY250508C561</stp>
        <tr r="EL25" s="1"/>
      </tp>
      <tp t="s">
        <v>--</v>
        <stp/>
        <stp>IMPL_VOL</stp>
        <stp>.SPY250509C560</stp>
        <tr r="EN26" s="1"/>
      </tp>
      <tp t="s">
        <v>101.51%</v>
        <stp/>
        <stp>IMPL_VOL</stp>
        <stp>.SPY250508P561</stp>
        <tr r="EM25" s="1"/>
      </tp>
      <tp t="s">
        <v>97.70%</v>
        <stp/>
        <stp>IMPL_VOL</stp>
        <stp>.SPY250509P560</stp>
        <tr r="EO26" s="1"/>
      </tp>
      <tp t="s">
        <v>--</v>
        <stp/>
        <stp>IMPL_VOL</stp>
        <stp>.SPY250508C562</stp>
        <tr r="EL24" s="1"/>
      </tp>
      <tp t="s">
        <v>--</v>
        <stp/>
        <stp>IMPL_VOL</stp>
        <stp>.SPY250509C563</stp>
        <tr r="EN23" s="1"/>
      </tp>
      <tp t="s">
        <v>92.69%</v>
        <stp/>
        <stp>IMPL_VOL</stp>
        <stp>.SPY250508P562</stp>
        <tr r="EM24" s="1"/>
      </tp>
      <tp t="s">
        <v>73.56%</v>
        <stp/>
        <stp>IMPL_VOL</stp>
        <stp>.SPY250509P563</stp>
        <tr r="EO23" s="1"/>
      </tp>
      <tp t="s">
        <v>--</v>
        <stp/>
        <stp>IMPL_VOL</stp>
        <stp>.SPY250508C563</stp>
        <tr r="EL23" s="1"/>
      </tp>
      <tp t="s">
        <v>--</v>
        <stp/>
        <stp>IMPL_VOL</stp>
        <stp>.SPY250509C562</stp>
        <tr r="EN24" s="1"/>
      </tp>
      <tp t="s">
        <v>83.77%</v>
        <stp/>
        <stp>IMPL_VOL</stp>
        <stp>.SPY250508P563</stp>
        <tr r="EM23" s="1"/>
      </tp>
      <tp t="s">
        <v>81.67%</v>
        <stp/>
        <stp>IMPL_VOL</stp>
        <stp>.SPY250509P562</stp>
        <tr r="EO24" s="1"/>
      </tp>
      <tp t="s">
        <v>--</v>
        <stp/>
        <stp>IMPL_VOL</stp>
        <stp>.SPY250508C564</stp>
        <tr r="EL22" s="1"/>
      </tp>
      <tp t="s">
        <v>--</v>
        <stp/>
        <stp>IMPL_VOL</stp>
        <stp>.SPY250509C565</stp>
        <tr r="EN21" s="1"/>
      </tp>
      <tp t="s">
        <v>80.70%</v>
        <stp/>
        <stp>IMPL_VOL</stp>
        <stp>.SPY250508P564</stp>
        <tr r="EM22" s="1"/>
      </tp>
      <tp t="s">
        <v>150.54%</v>
        <stp/>
        <stp>IMPL_VOL</stp>
        <stp>.SPY250509P565</stp>
        <tr r="EO21" s="1"/>
      </tp>
      <tp t="s">
        <v>--</v>
        <stp/>
        <stp>IMPL_VOL</stp>
        <stp>.SPY250508C565</stp>
        <tr r="EL21" s="1"/>
      </tp>
      <tp t="s">
        <v>--</v>
        <stp/>
        <stp>IMPL_VOL</stp>
        <stp>.SPY250509C564</stp>
        <tr r="EN22" s="1"/>
      </tp>
      <tp t="s">
        <v>120.43%</v>
        <stp/>
        <stp>IMPL_VOL</stp>
        <stp>.SPY250508P565</stp>
        <tr r="EM21" s="1"/>
      </tp>
      <tp t="s">
        <v>74.73%</v>
        <stp/>
        <stp>IMPL_VOL</stp>
        <stp>.SPY250509P564</stp>
        <tr r="EO22" s="1"/>
      </tp>
      <tp t="s">
        <v>--</v>
        <stp/>
        <stp>IMPL_VOL</stp>
        <stp>.SPY250508C566</stp>
        <tr r="EL20" s="1"/>
      </tp>
      <tp t="s">
        <v>--</v>
        <stp/>
        <stp>IMPL_VOL</stp>
        <stp>.SPY250509C567</stp>
        <tr r="EN19" s="1"/>
      </tp>
      <tp t="s">
        <v>15.03%</v>
        <stp/>
        <stp>IMPL_VOL</stp>
        <stp>.SPY250516C578</stp>
        <tr r="EP8" s="1"/>
      </tp>
      <tp t="s">
        <v>179.74%</v>
        <stp/>
        <stp>IMPL_VOL</stp>
        <stp>.SPY250508P566</stp>
        <tr r="EM20" s="1"/>
      </tp>
      <tp t="s">
        <v>257.49%</v>
        <stp/>
        <stp>IMPL_VOL</stp>
        <stp>.SPY250509P567</stp>
        <tr r="EO19" s="1"/>
      </tp>
      <tp t="s">
        <v>42.40%</v>
        <stp/>
        <stp>IMPL_VOL</stp>
        <stp>.SPY250516P578</stp>
        <tr r="EQ8" s="1"/>
      </tp>
      <tp t="s">
        <v>--</v>
        <stp/>
        <stp>IMPL_VOL</stp>
        <stp>.SPY250508C567</stp>
        <tr r="EL19" s="1"/>
      </tp>
      <tp t="s">
        <v>--</v>
        <stp/>
        <stp>IMPL_VOL</stp>
        <stp>.SPY250509C566</stp>
        <tr r="EN20" s="1"/>
      </tp>
      <tp t="s">
        <v>15.25%</v>
        <stp/>
        <stp>IMPL_VOL</stp>
        <stp>.SPY250516C579</stp>
        <tr r="EP7" s="1"/>
      </tp>
      <tp t="s">
        <v>226.24%</v>
        <stp/>
        <stp>IMPL_VOL</stp>
        <stp>.SPY250508P567</stp>
        <tr r="EM19" s="1"/>
      </tp>
      <tp t="s">
        <v>213.10%</v>
        <stp/>
        <stp>IMPL_VOL</stp>
        <stp>.SPY250509P566</stp>
        <tr r="EO20" s="1"/>
      </tp>
      <tp t="s">
        <v>43.19%</v>
        <stp/>
        <stp>IMPL_VOL</stp>
        <stp>.SPY250516P579</stp>
        <tr r="EQ7" s="1"/>
      </tp>
      <tp>
        <v>14</v>
        <stp/>
        <stp>OPEN_INT</stp>
        <stp>.NDX250516C20550</stp>
        <tr r="AW137" s="1"/>
        <tr r="AW137" s="1"/>
      </tp>
      <tp>
        <v>31</v>
        <stp/>
        <stp>OPEN_INT</stp>
        <stp>.NDX250516C19550</stp>
        <tr r="AW177" s="1"/>
        <tr r="AW177" s="1"/>
      </tp>
      <tp t="s">
        <v>62.79%</v>
        <stp/>
        <stp>IMPL_VOL</stp>
        <stp>.SPY250508C578</stp>
        <tr r="EL8" s="1"/>
      </tp>
      <tp t="s">
        <v>70.77%</v>
        <stp/>
        <stp>IMPL_VOL</stp>
        <stp>.SPY250509C579</stp>
        <tr r="EN7" s="1"/>
      </tp>
      <tp t="s">
        <v>7.96%</v>
        <stp/>
        <stp>IMPL_VOL</stp>
        <stp>.SPY250516C566</stp>
        <tr r="EP20" s="1"/>
      </tp>
      <tp t="s">
        <v>527.82%</v>
        <stp/>
        <stp>IMPL_VOL</stp>
        <stp>.SPY250508P578</stp>
        <tr r="EM8" s="1"/>
      </tp>
      <tp t="s">
        <v>596.04%</v>
        <stp/>
        <stp>IMPL_VOL</stp>
        <stp>.SPY250509P579</stp>
        <tr r="EO7" s="1"/>
      </tp>
      <tp t="s">
        <v>36.11%</v>
        <stp/>
        <stp>IMPL_VOL</stp>
        <stp>.SPY250516P566</stp>
        <tr r="EQ20" s="1"/>
      </tp>
      <tp t="s">
        <v>70.77%</v>
        <stp/>
        <stp>IMPL_VOL</stp>
        <stp>.SPY250508C579</stp>
        <tr r="EL7" s="1"/>
      </tp>
      <tp t="s">
        <v>62.79%</v>
        <stp/>
        <stp>IMPL_VOL</stp>
        <stp>.SPY250509C578</stp>
        <tr r="EN8" s="1"/>
      </tp>
      <tp t="s">
        <v>9.63%</v>
        <stp/>
        <stp>IMPL_VOL</stp>
        <stp>.SPY250516C567</stp>
        <tr r="EP19" s="1"/>
      </tp>
      <tp t="s">
        <v>555.68%</v>
        <stp/>
        <stp>IMPL_VOL</stp>
        <stp>.SPY250508P579</stp>
        <tr r="EM7" s="1"/>
      </tp>
      <tp t="s">
        <v>573.29%</v>
        <stp/>
        <stp>IMPL_VOL</stp>
        <stp>.SPY250509P578</stp>
        <tr r="EO8" s="1"/>
      </tp>
      <tp t="s">
        <v>36.43%</v>
        <stp/>
        <stp>IMPL_VOL</stp>
        <stp>.SPY250516P567</stp>
        <tr r="EQ19" s="1"/>
      </tp>
      <tp t="s">
        <v>--</v>
        <stp/>
        <stp>IMPL_VOL</stp>
        <stp>.SPY250516C564</stp>
        <tr r="EP22" s="1"/>
      </tp>
      <tp t="s">
        <v>35.54%</v>
        <stp/>
        <stp>IMPL_VOL</stp>
        <stp>.SPY250516P564</stp>
        <tr r="EQ22" s="1"/>
      </tp>
      <tp t="s">
        <v>0.09%</v>
        <stp/>
        <stp>IMPL_VOL</stp>
        <stp>.SPY250516C565</stp>
        <tr r="EP21" s="1"/>
      </tp>
      <tp t="s">
        <v>35.81%</v>
        <stp/>
        <stp>IMPL_VOL</stp>
        <stp>.SPY250516P565</stp>
        <tr r="EQ21" s="1"/>
      </tp>
      <tp t="s">
        <v>--</v>
        <stp/>
        <stp>IMPL_VOL</stp>
        <stp>.SPY250516C562</stp>
        <tr r="EP24" s="1"/>
      </tp>
      <tp t="s">
        <v>35.07%</v>
        <stp/>
        <stp>IMPL_VOL</stp>
        <stp>.SPY250516P562</stp>
        <tr r="EQ24" s="1"/>
      </tp>
      <tp t="s">
        <v>--</v>
        <stp/>
        <stp>IMPL_VOL</stp>
        <stp>.SPY250516C563</stp>
        <tr r="EP23" s="1"/>
      </tp>
      <tp t="s">
        <v>35.31%</v>
        <stp/>
        <stp>IMPL_VOL</stp>
        <stp>.SPY250516P563</stp>
        <tr r="EQ23" s="1"/>
      </tp>
      <tp t="s">
        <v>--</v>
        <stp/>
        <stp>IMPL_VOL</stp>
        <stp>.SPY250516C560</stp>
        <tr r="EP26" s="1"/>
      </tp>
      <tp t="s">
        <v>34.70%</v>
        <stp/>
        <stp>IMPL_VOL</stp>
        <stp>.SPY250516P560</stp>
        <tr r="EQ26" s="1"/>
      </tp>
      <tp t="s">
        <v>--</v>
        <stp/>
        <stp>IMPL_VOL</stp>
        <stp>.SPY250516C561</stp>
        <tr r="EP25" s="1"/>
      </tp>
      <tp t="s">
        <v>34.88%</v>
        <stp/>
        <stp>IMPL_VOL</stp>
        <stp>.SPY250516P561</stp>
        <tr r="EQ25" s="1"/>
      </tp>
      <tp t="s">
        <v>--</v>
        <stp/>
        <stp>IMPL_VOL</stp>
        <stp>.SPY250508C570</stp>
        <tr r="EL16" s="1"/>
      </tp>
      <tp t="s">
        <v>--</v>
        <stp/>
        <stp>IMPL_VOL</stp>
        <stp>.SPY250509C571</stp>
        <tr r="EN15" s="1"/>
      </tp>
      <tp t="s">
        <v>328.28%</v>
        <stp/>
        <stp>IMPL_VOL</stp>
        <stp>.SPY250508P570</stp>
        <tr r="EM16" s="1"/>
      </tp>
      <tp t="s">
        <v>387.40%</v>
        <stp/>
        <stp>IMPL_VOL</stp>
        <stp>.SPY250509P571</stp>
        <tr r="EO15" s="1"/>
      </tp>
      <tp t="s">
        <v>--</v>
        <stp/>
        <stp>IMPL_VOL</stp>
        <stp>.SPY250508C571</stp>
        <tr r="EL15" s="1"/>
      </tp>
      <tp t="s">
        <v>--</v>
        <stp/>
        <stp>IMPL_VOL</stp>
        <stp>.SPY250509C570</stp>
        <tr r="EN16" s="1"/>
      </tp>
      <tp t="s">
        <v>346.14%</v>
        <stp/>
        <stp>IMPL_VOL</stp>
        <stp>.SPY250508P571</stp>
        <tr r="EM15" s="1"/>
      </tp>
      <tp t="s">
        <v>360.66%</v>
        <stp/>
        <stp>IMPL_VOL</stp>
        <stp>.SPY250509P570</stp>
        <tr r="EO16" s="1"/>
      </tp>
      <tp t="s">
        <v>10.78%</v>
        <stp/>
        <stp>IMPL_VOL</stp>
        <stp>.SPY250508C572</stp>
        <tr r="EL14" s="1"/>
      </tp>
      <tp t="s">
        <v>20.37%</v>
        <stp/>
        <stp>IMPL_VOL</stp>
        <stp>.SPY250509C573</stp>
        <tr r="EN13" s="1"/>
      </tp>
      <tp t="s">
        <v>382.76%</v>
        <stp/>
        <stp>IMPL_VOL</stp>
        <stp>.SPY250508P572</stp>
        <tr r="EM14" s="1"/>
      </tp>
      <tp t="s">
        <v>448.45%</v>
        <stp/>
        <stp>IMPL_VOL</stp>
        <stp>.SPY250509P573</stp>
        <tr r="EO13" s="1"/>
      </tp>
      <tp t="s">
        <v>20.37%</v>
        <stp/>
        <stp>IMPL_VOL</stp>
        <stp>.SPY250508C573</stp>
        <tr r="EL13" s="1"/>
      </tp>
      <tp t="s">
        <v>10.78%</v>
        <stp/>
        <stp>IMPL_VOL</stp>
        <stp>.SPY250509C572</stp>
        <tr r="EN14" s="1"/>
      </tp>
      <tp t="s">
        <v>410.54%</v>
        <stp/>
        <stp>IMPL_VOL</stp>
        <stp>.SPY250508P573</stp>
        <tr r="EM13" s="1"/>
      </tp>
      <tp t="s">
        <v>415.91%</v>
        <stp/>
        <stp>IMPL_VOL</stp>
        <stp>.SPY250509P572</stp>
        <tr r="EO14" s="1"/>
      </tp>
      <tp t="s">
        <v>29.36%</v>
        <stp/>
        <stp>IMPL_VOL</stp>
        <stp>.SPY250508C574</stp>
        <tr r="EL12" s="1"/>
      </tp>
      <tp t="s">
        <v>38.02%</v>
        <stp/>
        <stp>IMPL_VOL</stp>
        <stp>.SPY250509C575</stp>
        <tr r="EN11" s="1"/>
      </tp>
      <tp t="s">
        <v>435.51%</v>
        <stp/>
        <stp>IMPL_VOL</stp>
        <stp>.SPY250508P574</stp>
        <tr r="EM12" s="1"/>
      </tp>
      <tp t="s">
        <v>499.68%</v>
        <stp/>
        <stp>IMPL_VOL</stp>
        <stp>.SPY250509P575</stp>
        <tr r="EO11" s="1"/>
      </tp>
      <tp t="s">
        <v>38.02%</v>
        <stp/>
        <stp>IMPL_VOL</stp>
        <stp>.SPY250508C575</stp>
        <tr r="EL11" s="1"/>
      </tp>
      <tp t="s">
        <v>29.36%</v>
        <stp/>
        <stp>IMPL_VOL</stp>
        <stp>.SPY250509C574</stp>
        <tr r="EN12" s="1"/>
      </tp>
      <tp t="s">
        <v>460.47%</v>
        <stp/>
        <stp>IMPL_VOL</stp>
        <stp>.SPY250508P575</stp>
        <tr r="EM11" s="1"/>
      </tp>
      <tp t="s">
        <v>474.49%</v>
        <stp/>
        <stp>IMPL_VOL</stp>
        <stp>.SPY250509P574</stp>
        <tr r="EO12" s="1"/>
      </tp>
      <tp t="s">
        <v>46.45%</v>
        <stp/>
        <stp>IMPL_VOL</stp>
        <stp>.SPY250508C576</stp>
        <tr r="EL10" s="1"/>
      </tp>
      <tp t="s">
        <v>54.69%</v>
        <stp/>
        <stp>IMPL_VOL</stp>
        <stp>.SPY250509C577</stp>
        <tr r="EN9" s="1"/>
      </tp>
      <tp t="s">
        <v>10.73%</v>
        <stp/>
        <stp>IMPL_VOL</stp>
        <stp>.SPY250516C568</stp>
        <tr r="EP18" s="1"/>
      </tp>
      <tp t="s">
        <v>484.97%</v>
        <stp/>
        <stp>IMPL_VOL</stp>
        <stp>.SPY250508P576</stp>
        <tr r="EM10" s="1"/>
      </tp>
      <tp t="s">
        <v>549.44%</v>
        <stp/>
        <stp>IMPL_VOL</stp>
        <stp>.SPY250509P577</stp>
        <tr r="EO9" s="1"/>
      </tp>
      <tp t="s">
        <v>36.79%</v>
        <stp/>
        <stp>IMPL_VOL</stp>
        <stp>.SPY250516P568</stp>
        <tr r="EQ18" s="1"/>
      </tp>
      <tp t="s">
        <v>54.69%</v>
        <stp/>
        <stp>IMPL_VOL</stp>
        <stp>.SPY250508C577</stp>
        <tr r="EL9" s="1"/>
      </tp>
      <tp t="s">
        <v>46.45%</v>
        <stp/>
        <stp>IMPL_VOL</stp>
        <stp>.SPY250509C576</stp>
        <tr r="EN10" s="1"/>
      </tp>
      <tp t="s">
        <v>11.60%</v>
        <stp/>
        <stp>IMPL_VOL</stp>
        <stp>.SPY250516C569</stp>
        <tr r="EP17" s="1"/>
      </tp>
      <tp t="s">
        <v>507.00%</v>
        <stp/>
        <stp>IMPL_VOL</stp>
        <stp>.SPY250508P577</stp>
        <tr r="EM9" s="1"/>
      </tp>
      <tp t="s">
        <v>524.14%</v>
        <stp/>
        <stp>IMPL_VOL</stp>
        <stp>.SPY250509P576</stp>
        <tr r="EO10" s="1"/>
      </tp>
      <tp t="s">
        <v>37.17%</v>
        <stp/>
        <stp>IMPL_VOL</stp>
        <stp>.SPY250516P569</stp>
        <tr r="EQ17" s="1"/>
      </tp>
      <tp t="s">
        <v>78.64%</v>
        <stp/>
        <stp>IMPL_VOL</stp>
        <stp>.SPY250508C580</stp>
        <tr r="EL6" s="1"/>
      </tp>
      <tp t="s">
        <v>86.42%</v>
        <stp/>
        <stp>IMPL_VOL</stp>
        <stp>.SPY250509C581</stp>
        <tr r="EN5" s="1"/>
      </tp>
      <tp t="s">
        <v>576.41%</v>
        <stp/>
        <stp>IMPL_VOL</stp>
        <stp>.SPY250508P580</stp>
        <tr r="EM6" s="1"/>
      </tp>
      <tp t="s">
        <v>639.53%</v>
        <stp/>
        <stp>IMPL_VOL</stp>
        <stp>.SPY250509P581</stp>
        <tr r="EO5" s="1"/>
      </tp>
      <tp t="s">
        <v>86.42%</v>
        <stp/>
        <stp>IMPL_VOL</stp>
        <stp>.SPY250508C581</stp>
        <tr r="EL5" s="1"/>
      </tp>
      <tp t="s">
        <v>78.64%</v>
        <stp/>
        <stp>IMPL_VOL</stp>
        <stp>.SPY250509C580</stp>
        <tr r="EN6" s="1"/>
      </tp>
      <tp t="s">
        <v>596.99%</v>
        <stp/>
        <stp>IMPL_VOL</stp>
        <stp>.SPY250508P581</stp>
        <tr r="EM5" s="1"/>
      </tp>
      <tp t="s">
        <v>618.30%</v>
        <stp/>
        <stp>IMPL_VOL</stp>
        <stp>.SPY250509P580</stp>
        <tr r="EO6" s="1"/>
      </tp>
      <tp t="s">
        <v>94.12%</v>
        <stp/>
        <stp>IMPL_VOL</stp>
        <stp>.SPY250508C582</stp>
        <tr r="EL4" s="1"/>
      </tp>
      <tp t="s">
        <v>615.60%</v>
        <stp/>
        <stp>IMPL_VOL</stp>
        <stp>.SPY250508P582</stp>
        <tr r="EM4" s="1"/>
      </tp>
      <tp t="s">
        <v>94.12%</v>
        <stp/>
        <stp>IMPL_VOL</stp>
        <stp>.SPY250509C582</stp>
        <tr r="EN4" s="1"/>
      </tp>
      <tp t="s">
        <v>660.98%</v>
        <stp/>
        <stp>IMPL_VOL</stp>
        <stp>.SPY250509P582</stp>
        <tr r="EO4" s="1"/>
      </tp>
      <tp t="s">
        <v>15.72%</v>
        <stp/>
        <stp>IMPL_VOL</stp>
        <stp>.SPY250516C582</stp>
        <tr r="EP4" s="1"/>
      </tp>
      <tp t="s">
        <v>45.86%</v>
        <stp/>
        <stp>IMPL_VOL</stp>
        <stp>.SPY250516P582</stp>
        <tr r="EQ4" s="1"/>
      </tp>
      <tp t="s">
        <v>15.40%</v>
        <stp/>
        <stp>IMPL_VOL</stp>
        <stp>.SPY250516C580</stp>
        <tr r="EP6" s="1"/>
      </tp>
      <tp t="s">
        <v>44.08%</v>
        <stp/>
        <stp>IMPL_VOL</stp>
        <stp>.SPY250516P580</stp>
        <tr r="EQ6" s="1"/>
      </tp>
      <tp t="s">
        <v>15.59%</v>
        <stp/>
        <stp>IMPL_VOL</stp>
        <stp>.SPY250516C581</stp>
        <tr r="EP5" s="1"/>
      </tp>
      <tp t="s">
        <v>44.94%</v>
        <stp/>
        <stp>IMPL_VOL</stp>
        <stp>.SPY250516P581</stp>
        <tr r="EQ5" s="1"/>
      </tp>
      <tp>
        <v>0</v>
        <stp/>
        <stp>BID</stp>
        <stp>.QQQ250508C502</stp>
        <tr r="DE45" s="1"/>
        <tr r="DE45" s="1"/>
      </tp>
      <tp>
        <v>11.81</v>
        <stp/>
        <stp>BID</stp>
        <stp>.QQQ250508P502</stp>
        <tr r="DF45" s="1"/>
        <tr r="DF45" s="1"/>
      </tp>
      <tp>
        <v>0</v>
        <stp/>
        <stp>BID</stp>
        <stp>.QQQ250508C500</stp>
        <tr r="DE47" s="1"/>
        <tr r="DE47" s="1"/>
      </tp>
      <tp>
        <v>9.81</v>
        <stp/>
        <stp>BID</stp>
        <stp>.QQQ250508P500</stp>
        <tr r="DF47" s="1"/>
        <tr r="DF47" s="1"/>
      </tp>
      <tp>
        <v>0</v>
        <stp/>
        <stp>BID</stp>
        <stp>.QQQ250508C501</stp>
        <tr r="DE46" s="1"/>
        <tr r="DE46" s="1"/>
      </tp>
      <tp>
        <v>10.81</v>
        <stp/>
        <stp>BID</stp>
        <stp>.QQQ250508P501</stp>
        <tr r="DF46" s="1"/>
        <tr r="DF46" s="1"/>
      </tp>
      <tp>
        <v>0.01</v>
        <stp/>
        <stp>ASK</stp>
        <stp>.QQQ250508C500</stp>
        <tr r="DC47" s="1"/>
        <tr r="DC47" s="1"/>
      </tp>
      <tp>
        <v>13.36</v>
        <stp/>
        <stp>ASK</stp>
        <stp>.QQQ250508P500</stp>
        <tr r="DD47" s="1"/>
        <tr r="DD47" s="1"/>
      </tp>
      <tp>
        <v>0.01</v>
        <stp/>
        <stp>ASK</stp>
        <stp>.QQQ250508C501</stp>
        <tr r="DC46" s="1"/>
        <tr r="DC46" s="1"/>
      </tp>
      <tp>
        <v>14.23</v>
        <stp/>
        <stp>ASK</stp>
        <stp>.QQQ250508P501</stp>
        <tr r="DD46" s="1"/>
        <tr r="DD46" s="1"/>
      </tp>
      <tp>
        <v>0.01</v>
        <stp/>
        <stp>ASK</stp>
        <stp>.QQQ250508C502</stp>
        <tr r="DC45" s="1"/>
        <tr r="DC45" s="1"/>
      </tp>
      <tp>
        <v>15.23</v>
        <stp/>
        <stp>ASK</stp>
        <stp>.QQQ250508P502</stp>
        <tr r="DD45" s="1"/>
        <tr r="DD45" s="1"/>
      </tp>
      <tp>
        <v>95</v>
        <stp/>
        <stp>OPEN_INT</stp>
        <stp>.NDX250516P20400</stp>
        <tr r="AX143" s="1"/>
        <tr r="AX143" s="1"/>
      </tp>
      <tp>
        <v>54</v>
        <stp/>
        <stp>OPEN_INT</stp>
        <stp>.NDX250516P19400</stp>
        <tr r="AX183" s="1"/>
        <tr r="AX183" s="1"/>
      </tp>
      <tp>
        <v>44</v>
        <stp/>
        <stp>OPEN_INT</stp>
        <stp>.NDX250516P20425</stp>
        <tr r="AX142" s="1"/>
        <tr r="AX142" s="1"/>
      </tp>
      <tp>
        <v>28</v>
        <stp/>
        <stp>OPEN_INT</stp>
        <stp>.NDX250516P19425</stp>
        <tr r="AX182" s="1"/>
        <tr r="AX182" s="1"/>
      </tp>
      <tp>
        <v>5</v>
        <stp/>
        <stp>OPEN_INT</stp>
        <stp>.NDX250516P20450</stp>
        <tr r="AX141" s="1"/>
        <tr r="AX141" s="1"/>
      </tp>
      <tp>
        <v>15</v>
        <stp/>
        <stp>OPEN_INT</stp>
        <stp>.NDX250516P19450</stp>
        <tr r="AX181" s="1"/>
        <tr r="AX181" s="1"/>
      </tp>
      <tp>
        <v>3</v>
        <stp/>
        <stp>OPEN_INT</stp>
        <stp>.NDX250516P20475</stp>
        <tr r="AX140" s="1"/>
        <tr r="AX140" s="1"/>
      </tp>
      <tp>
        <v>34</v>
        <stp/>
        <stp>OPEN_INT</stp>
        <stp>.NDX250516P19475</stp>
        <tr r="AX180" s="1"/>
        <tr r="AX180" s="1"/>
      </tp>
      <tp>
        <v>23</v>
        <stp/>
        <stp>OPEN_INT</stp>
        <stp>.NDX250516C20425</stp>
        <tr r="AW142" s="1"/>
        <tr r="AW142" s="1"/>
      </tp>
      <tp>
        <v>33</v>
        <stp/>
        <stp>OPEN_INT</stp>
        <stp>.NDX250516C19425</stp>
        <tr r="AW182" s="1"/>
        <tr r="AW182" s="1"/>
      </tp>
      <tp>
        <v>62</v>
        <stp/>
        <stp>OPEN_INT</stp>
        <stp>.NDX250516C20400</stp>
        <tr r="AW143" s="1"/>
        <tr r="AW143" s="1"/>
      </tp>
      <tp>
        <v>41</v>
        <stp/>
        <stp>OPEN_INT</stp>
        <stp>.NDX250516C19400</stp>
        <tr r="AW183" s="1"/>
        <tr r="AW183" s="1"/>
      </tp>
      <tp>
        <v>17</v>
        <stp/>
        <stp>OPEN_INT</stp>
        <stp>.NDX250516C20475</stp>
        <tr r="AW140" s="1"/>
        <tr r="AW140" s="1"/>
      </tp>
      <tp>
        <v>257</v>
        <stp/>
        <stp>OPEN_INT</stp>
        <stp>.NDX250516C19475</stp>
        <tr r="AW180" s="1"/>
        <tr r="AW180" s="1"/>
      </tp>
      <tp>
        <v>12</v>
        <stp/>
        <stp>OPEN_INT</stp>
        <stp>.NDX250516C20450</stp>
        <tr r="AW141" s="1"/>
        <tr r="AW141" s="1"/>
      </tp>
      <tp>
        <v>25</v>
        <stp/>
        <stp>OPEN_INT</stp>
        <stp>.NDX250516C19450</stp>
        <tr r="AW181" s="1"/>
        <tr r="AW181" s="1"/>
      </tp>
      <tp>
        <v>21.97</v>
        <stp/>
        <stp>ASK</stp>
        <stp>.QQQ250508C468</stp>
        <tr r="DC79" s="1"/>
        <tr r="DC79" s="1"/>
      </tp>
      <tp>
        <v>0.01</v>
        <stp/>
        <stp>ASK</stp>
        <stp>.QQQ250508P468</stp>
        <tr r="DD79" s="1"/>
        <tr r="DD79" s="1"/>
      </tp>
      <tp>
        <v>20.97</v>
        <stp/>
        <stp>ASK</stp>
        <stp>.QQQ250508C469</stp>
        <tr r="DC78" s="1"/>
        <tr r="DC78" s="1"/>
      </tp>
      <tp>
        <v>0.01</v>
        <stp/>
        <stp>ASK</stp>
        <stp>.QQQ250508P469</stp>
        <tr r="DD78" s="1"/>
        <tr r="DD78" s="1"/>
      </tp>
      <tp>
        <v>12.37</v>
        <stp/>
        <stp>ASK</stp>
        <stp>.QQQ250508C478</stp>
        <tr r="DC69" s="1"/>
        <tr r="DC69" s="1"/>
      </tp>
      <tp>
        <v>0.01</v>
        <stp/>
        <stp>ASK</stp>
        <stp>.QQQ250508P478</stp>
        <tr r="DD69" s="1"/>
        <tr r="DD69" s="1"/>
      </tp>
      <tp>
        <v>11.37</v>
        <stp/>
        <stp>ASK</stp>
        <stp>.QQQ250508C479</stp>
        <tr r="DC68" s="1"/>
        <tr r="DC68" s="1"/>
      </tp>
      <tp>
        <v>0.01</v>
        <stp/>
        <stp>ASK</stp>
        <stp>.QQQ250508P479</stp>
        <tr r="DD68" s="1"/>
        <tr r="DD68" s="1"/>
      </tp>
      <tp>
        <v>20.18</v>
        <stp/>
        <stp>ASK</stp>
        <stp>.QQQ250508C470</stp>
        <tr r="DC77" s="1"/>
        <tr r="DC77" s="1"/>
      </tp>
      <tp>
        <v>0.01</v>
        <stp/>
        <stp>ASK</stp>
        <stp>.QQQ250508P470</stp>
        <tr r="DD77" s="1"/>
        <tr r="DD77" s="1"/>
      </tp>
      <tp>
        <v>18.97</v>
        <stp/>
        <stp>ASK</stp>
        <stp>.QQQ250508C471</stp>
        <tr r="DC76" s="1"/>
        <tr r="DC76" s="1"/>
      </tp>
      <tp>
        <v>0.01</v>
        <stp/>
        <stp>ASK</stp>
        <stp>.QQQ250508P471</stp>
        <tr r="DD76" s="1"/>
        <tr r="DD76" s="1"/>
      </tp>
      <tp>
        <v>18.18</v>
        <stp/>
        <stp>ASK</stp>
        <stp>.QQQ250508C472</stp>
        <tr r="DC75" s="1"/>
        <tr r="DC75" s="1"/>
      </tp>
      <tp>
        <v>0.01</v>
        <stp/>
        <stp>ASK</stp>
        <stp>.QQQ250508P472</stp>
        <tr r="DD75" s="1"/>
        <tr r="DD75" s="1"/>
      </tp>
      <tp>
        <v>17.18</v>
        <stp/>
        <stp>ASK</stp>
        <stp>.QQQ250508C473</stp>
        <tr r="DC74" s="1"/>
        <tr r="DC74" s="1"/>
      </tp>
      <tp>
        <v>0.01</v>
        <stp/>
        <stp>ASK</stp>
        <stp>.QQQ250508P473</stp>
        <tr r="DD74" s="1"/>
        <tr r="DD74" s="1"/>
      </tp>
      <tp>
        <v>16.18</v>
        <stp/>
        <stp>ASK</stp>
        <stp>.QQQ250508C474</stp>
        <tr r="DC73" s="1"/>
        <tr r="DC73" s="1"/>
      </tp>
      <tp>
        <v>0.01</v>
        <stp/>
        <stp>ASK</stp>
        <stp>.QQQ250508P474</stp>
        <tr r="DD73" s="1"/>
        <tr r="DD73" s="1"/>
      </tp>
      <tp>
        <v>14.98</v>
        <stp/>
        <stp>ASK</stp>
        <stp>.QQQ250508C475</stp>
        <tr r="DC72" s="1"/>
        <tr r="DC72" s="1"/>
      </tp>
      <tp>
        <v>0.01</v>
        <stp/>
        <stp>ASK</stp>
        <stp>.QQQ250508P475</stp>
        <tr r="DD72" s="1"/>
        <tr r="DD72" s="1"/>
      </tp>
      <tp>
        <v>14.19</v>
        <stp/>
        <stp>ASK</stp>
        <stp>.QQQ250508C476</stp>
        <tr r="DC71" s="1"/>
        <tr r="DC71" s="1"/>
      </tp>
      <tp>
        <v>0.01</v>
        <stp/>
        <stp>ASK</stp>
        <stp>.QQQ250508P476</stp>
        <tr r="DD71" s="1"/>
        <tr r="DD71" s="1"/>
      </tp>
      <tp>
        <v>13.19</v>
        <stp/>
        <stp>ASK</stp>
        <stp>.QQQ250508C477</stp>
        <tr r="DC70" s="1"/>
        <tr r="DC70" s="1"/>
      </tp>
      <tp>
        <v>0.01</v>
        <stp/>
        <stp>ASK</stp>
        <stp>.QQQ250508P477</stp>
        <tr r="DD70" s="1"/>
        <tr r="DD70" s="1"/>
      </tp>
      <tp>
        <v>14.78</v>
        <stp/>
        <stp>BID</stp>
        <stp>.QQQ250508C472</stp>
        <tr r="DE75" s="1"/>
        <tr r="DE75" s="1"/>
      </tp>
      <tp>
        <v>0</v>
        <stp/>
        <stp>BID</stp>
        <stp>.QQQ250508P472</stp>
        <tr r="DF75" s="1"/>
        <tr r="DF75" s="1"/>
      </tp>
      <tp>
        <v>13.78</v>
        <stp/>
        <stp>BID</stp>
        <stp>.QQQ250508C473</stp>
        <tr r="DE74" s="1"/>
        <tr r="DE74" s="1"/>
      </tp>
      <tp>
        <v>0</v>
        <stp/>
        <stp>BID</stp>
        <stp>.QQQ250508P473</stp>
        <tr r="DF74" s="1"/>
        <tr r="DF74" s="1"/>
      </tp>
      <tp>
        <v>16.760000000000002</v>
        <stp/>
        <stp>BID</stp>
        <stp>.QQQ250508C470</stp>
        <tr r="DE77" s="1"/>
        <tr r="DE77" s="1"/>
      </tp>
      <tp>
        <v>0</v>
        <stp/>
        <stp>BID</stp>
        <stp>.QQQ250508P470</stp>
        <tr r="DF77" s="1"/>
        <tr r="DF77" s="1"/>
      </tp>
      <tp>
        <v>15.76</v>
        <stp/>
        <stp>BID</stp>
        <stp>.QQQ250508C471</stp>
        <tr r="DE76" s="1"/>
        <tr r="DE76" s="1"/>
      </tp>
      <tp>
        <v>0</v>
        <stp/>
        <stp>BID</stp>
        <stp>.QQQ250508P471</stp>
        <tr r="DF76" s="1"/>
        <tr r="DF76" s="1"/>
      </tp>
      <tp>
        <v>10.78</v>
        <stp/>
        <stp>BID</stp>
        <stp>.QQQ250508C476</stp>
        <tr r="DE71" s="1"/>
        <tr r="DE71" s="1"/>
      </tp>
      <tp>
        <v>0</v>
        <stp/>
        <stp>BID</stp>
        <stp>.QQQ250508P476</stp>
        <tr r="DF71" s="1"/>
        <tr r="DF71" s="1"/>
      </tp>
      <tp>
        <v>9.5500000000000007</v>
        <stp/>
        <stp>BID</stp>
        <stp>.QQQ250508C477</stp>
        <tr r="DE70" s="1"/>
        <tr r="DE70" s="1"/>
      </tp>
      <tp>
        <v>0</v>
        <stp/>
        <stp>BID</stp>
        <stp>.QQQ250508P477</stp>
        <tr r="DF70" s="1"/>
        <tr r="DF70" s="1"/>
      </tp>
      <tp>
        <v>12.78</v>
        <stp/>
        <stp>BID</stp>
        <stp>.QQQ250508C474</stp>
        <tr r="DE73" s="1"/>
        <tr r="DE73" s="1"/>
      </tp>
      <tp>
        <v>0</v>
        <stp/>
        <stp>BID</stp>
        <stp>.QQQ250508P474</stp>
        <tr r="DF73" s="1"/>
        <tr r="DF73" s="1"/>
      </tp>
      <tp>
        <v>11.78</v>
        <stp/>
        <stp>BID</stp>
        <stp>.QQQ250508C475</stp>
        <tr r="DE72" s="1"/>
        <tr r="DE72" s="1"/>
      </tp>
      <tp>
        <v>0</v>
        <stp/>
        <stp>BID</stp>
        <stp>.QQQ250508P475</stp>
        <tr r="DF72" s="1"/>
        <tr r="DF72" s="1"/>
      </tp>
      <tp>
        <v>8.65</v>
        <stp/>
        <stp>BID</stp>
        <stp>.QQQ250508C478</stp>
        <tr r="DE69" s="1"/>
        <tr r="DE69" s="1"/>
      </tp>
      <tp>
        <v>0</v>
        <stp/>
        <stp>BID</stp>
        <stp>.QQQ250508P478</stp>
        <tr r="DF69" s="1"/>
        <tr r="DF69" s="1"/>
      </tp>
      <tp>
        <v>7.65</v>
        <stp/>
        <stp>BID</stp>
        <stp>.QQQ250508C479</stp>
        <tr r="DE68" s="1"/>
        <tr r="DE68" s="1"/>
      </tp>
      <tp>
        <v>0</v>
        <stp/>
        <stp>BID</stp>
        <stp>.QQQ250508P479</stp>
        <tr r="DF68" s="1"/>
        <tr r="DF68" s="1"/>
      </tp>
      <tp>
        <v>18.760000000000002</v>
        <stp/>
        <stp>BID</stp>
        <stp>.QQQ250508C468</stp>
        <tr r="DE79" s="1"/>
        <tr r="DE79" s="1"/>
      </tp>
      <tp>
        <v>0</v>
        <stp/>
        <stp>BID</stp>
        <stp>.QQQ250508P468</stp>
        <tr r="DF79" s="1"/>
        <tr r="DF79" s="1"/>
      </tp>
      <tp>
        <v>17.760000000000002</v>
        <stp/>
        <stp>BID</stp>
        <stp>.QQQ250508C469</stp>
        <tr r="DE78" s="1"/>
        <tr r="DE78" s="1"/>
      </tp>
      <tp>
        <v>0</v>
        <stp/>
        <stp>BID</stp>
        <stp>.QQQ250508P469</stp>
        <tr r="DF78" s="1"/>
        <tr r="DF78" s="1"/>
      </tp>
      <tp>
        <v>0</v>
        <stp/>
        <stp>BID</stp>
        <stp>.QQQ250508C492</stp>
        <tr r="DE55" s="1"/>
        <tr r="DE55" s="1"/>
      </tp>
      <tp>
        <v>2.58</v>
        <stp/>
        <stp>BID</stp>
        <stp>.QQQ250508P492</stp>
        <tr r="DF55" s="1"/>
        <tr r="DF55" s="1"/>
      </tp>
      <tp>
        <v>0</v>
        <stp/>
        <stp>BID</stp>
        <stp>.QQQ250508C493</stp>
        <tr r="DE54" s="1"/>
        <tr r="DE54" s="1"/>
      </tp>
      <tp>
        <v>4.16</v>
        <stp/>
        <stp>BID</stp>
        <stp>.QQQ250508P493</stp>
        <tr r="DF54" s="1"/>
        <tr r="DF54" s="1"/>
      </tp>
      <tp>
        <v>0.02</v>
        <stp/>
        <stp>BID</stp>
        <stp>.QQQ250508C490</stp>
        <tr r="DE57" s="1"/>
        <tr r="DE57" s="1"/>
      </tp>
      <tp>
        <v>1.8</v>
        <stp/>
        <stp>BID</stp>
        <stp>.QQQ250508P490</stp>
        <tr r="DF57" s="1"/>
        <tr r="DF57" s="1"/>
      </tp>
      <tp>
        <v>0.01</v>
        <stp/>
        <stp>BID</stp>
        <stp>.QQQ250508C491</stp>
        <tr r="DE56" s="1"/>
        <tr r="DE56" s="1"/>
      </tp>
      <tp>
        <v>2.73</v>
        <stp/>
        <stp>BID</stp>
        <stp>.QQQ250508P491</stp>
        <tr r="DF56" s="1"/>
        <tr r="DF56" s="1"/>
      </tp>
      <tp>
        <v>0</v>
        <stp/>
        <stp>BID</stp>
        <stp>.QQQ250508C496</stp>
        <tr r="DE51" s="1"/>
        <tr r="DE51" s="1"/>
      </tp>
      <tp>
        <v>5.81</v>
        <stp/>
        <stp>BID</stp>
        <stp>.QQQ250508P496</stp>
        <tr r="DF51" s="1"/>
        <tr r="DF51" s="1"/>
      </tp>
      <tp>
        <v>0</v>
        <stp/>
        <stp>BID</stp>
        <stp>.QQQ250508C497</stp>
        <tr r="DE50" s="1"/>
        <tr r="DE50" s="1"/>
      </tp>
      <tp>
        <v>6.81</v>
        <stp/>
        <stp>BID</stp>
        <stp>.QQQ250508P497</stp>
        <tr r="DF50" s="1"/>
        <tr r="DF50" s="1"/>
      </tp>
      <tp>
        <v>0</v>
        <stp/>
        <stp>BID</stp>
        <stp>.QQQ250508C494</stp>
        <tr r="DE53" s="1"/>
        <tr r="DE53" s="1"/>
      </tp>
      <tp>
        <v>3.81</v>
        <stp/>
        <stp>BID</stp>
        <stp>.QQQ250508P494</stp>
        <tr r="DF53" s="1"/>
        <tr r="DF53" s="1"/>
      </tp>
      <tp>
        <v>0</v>
        <stp/>
        <stp>BID</stp>
        <stp>.QQQ250508C495</stp>
        <tr r="DE52" s="1"/>
        <tr r="DE52" s="1"/>
      </tp>
      <tp>
        <v>4.8099999999999996</v>
        <stp/>
        <stp>BID</stp>
        <stp>.QQQ250508P495</stp>
        <tr r="DF52" s="1"/>
        <tr r="DF52" s="1"/>
      </tp>
      <tp>
        <v>0</v>
        <stp/>
        <stp>BID</stp>
        <stp>.QQQ250508C498</stp>
        <tr r="DE49" s="1"/>
        <tr r="DE49" s="1"/>
      </tp>
      <tp>
        <v>7.81</v>
        <stp/>
        <stp>BID</stp>
        <stp>.QQQ250508P498</stp>
        <tr r="DF49" s="1"/>
        <tr r="DF49" s="1"/>
      </tp>
      <tp>
        <v>0</v>
        <stp/>
        <stp>BID</stp>
        <stp>.QQQ250508C499</stp>
        <tr r="DE48" s="1"/>
        <tr r="DE48" s="1"/>
      </tp>
      <tp>
        <v>8.81</v>
        <stp/>
        <stp>BID</stp>
        <stp>.QQQ250508P499</stp>
        <tr r="DF48" s="1"/>
        <tr r="DF48" s="1"/>
      </tp>
      <tp>
        <v>4.72</v>
        <stp/>
        <stp>BID</stp>
        <stp>.QQQ250508C482</stp>
        <tr r="DE65" s="1"/>
        <tr r="DE65" s="1"/>
      </tp>
      <tp>
        <v>0</v>
        <stp/>
        <stp>BID</stp>
        <stp>.QQQ250508P482</stp>
        <tr r="DF65" s="1"/>
        <tr r="DF65" s="1"/>
      </tp>
      <tp>
        <v>4.8099999999999996</v>
        <stp/>
        <stp>BID</stp>
        <stp>.QQQ250508C483</stp>
        <tr r="DE64" s="1"/>
        <tr r="DE64" s="1"/>
      </tp>
      <tp>
        <v>0</v>
        <stp/>
        <stp>BID</stp>
        <stp>.QQQ250508P483</stp>
        <tr r="DF64" s="1"/>
        <tr r="DF64" s="1"/>
      </tp>
      <tp>
        <v>6.65</v>
        <stp/>
        <stp>BID</stp>
        <stp>.QQQ250508C480</stp>
        <tr r="DE67" s="1"/>
        <tr r="DE67" s="1"/>
      </tp>
      <tp>
        <v>0</v>
        <stp/>
        <stp>BID</stp>
        <stp>.QQQ250508P480</stp>
        <tr r="DF67" s="1"/>
        <tr r="DF67" s="1"/>
      </tp>
      <tp>
        <v>5.65</v>
        <stp/>
        <stp>BID</stp>
        <stp>.QQQ250508C481</stp>
        <tr r="DE66" s="1"/>
        <tr r="DE66" s="1"/>
      </tp>
      <tp>
        <v>0</v>
        <stp/>
        <stp>BID</stp>
        <stp>.QQQ250508P481</stp>
        <tr r="DF66" s="1"/>
        <tr r="DF66" s="1"/>
      </tp>
      <tp>
        <v>0.3</v>
        <stp/>
        <stp>BID</stp>
        <stp>.QQQ250508C486</stp>
        <tr r="DE61" s="1"/>
        <tr r="DE61" s="1"/>
      </tp>
      <tp>
        <v>0.01</v>
        <stp/>
        <stp>BID</stp>
        <stp>.QQQ250508P486</stp>
        <tr r="DF61" s="1"/>
        <tr r="DF61" s="1"/>
      </tp>
      <tp>
        <v>1.05</v>
        <stp/>
        <stp>BID</stp>
        <stp>.QQQ250508C487</stp>
        <tr r="DE60" s="1"/>
        <tr r="DE60" s="1"/>
      </tp>
      <tp>
        <v>0.04</v>
        <stp/>
        <stp>BID</stp>
        <stp>.QQQ250508P487</stp>
        <tr r="DF60" s="1"/>
        <tr r="DF60" s="1"/>
      </tp>
      <tp>
        <v>3.78</v>
        <stp/>
        <stp>BID</stp>
        <stp>.QQQ250508C484</stp>
        <tr r="DE63" s="1"/>
        <tr r="DE63" s="1"/>
      </tp>
      <tp>
        <v>0</v>
        <stp/>
        <stp>BID</stp>
        <stp>.QQQ250508P484</stp>
        <tr r="DF63" s="1"/>
        <tr r="DF63" s="1"/>
      </tp>
      <tp>
        <v>1.85</v>
        <stp/>
        <stp>BID</stp>
        <stp>.QQQ250508C485</stp>
        <tr r="DE62" s="1"/>
        <tr r="DE62" s="1"/>
      </tp>
      <tp>
        <v>0</v>
        <stp/>
        <stp>BID</stp>
        <stp>.QQQ250508P485</stp>
        <tr r="DF62" s="1"/>
        <tr r="DF62" s="1"/>
      </tp>
      <tp>
        <v>0.31</v>
        <stp/>
        <stp>BID</stp>
        <stp>.QQQ250508C488</stp>
        <tr r="DE59" s="1"/>
        <tr r="DE59" s="1"/>
      </tp>
      <tp>
        <v>0.26</v>
        <stp/>
        <stp>BID</stp>
        <stp>.QQQ250508P488</stp>
        <tr r="DF59" s="1"/>
        <tr r="DF59" s="1"/>
      </tp>
      <tp>
        <v>0.06</v>
        <stp/>
        <stp>BID</stp>
        <stp>.QQQ250508C489</stp>
        <tr r="DE58" s="1"/>
        <tr r="DE58" s="1"/>
      </tp>
      <tp>
        <v>0.94</v>
        <stp/>
        <stp>BID</stp>
        <stp>.QQQ250508P489</stp>
        <tr r="DF58" s="1"/>
        <tr r="DF58" s="1"/>
      </tp>
      <tp>
        <v>0.36</v>
        <stp/>
        <stp>ASK</stp>
        <stp>.QQQ250508C488</stp>
        <tr r="DC59" s="1"/>
        <tr r="DC59" s="1"/>
      </tp>
      <tp>
        <v>0.28999999999999998</v>
        <stp/>
        <stp>ASK</stp>
        <stp>.QQQ250508P488</stp>
        <tr r="DD59" s="1"/>
        <tr r="DD59" s="1"/>
      </tp>
      <tp>
        <v>7.0000000000000007E-2</v>
        <stp/>
        <stp>ASK</stp>
        <stp>.QQQ250508C489</stp>
        <tr r="DC58" s="1"/>
        <tr r="DC58" s="1"/>
      </tp>
      <tp>
        <v>1.05</v>
        <stp/>
        <stp>ASK</stp>
        <stp>.QQQ250508P489</stp>
        <tr r="DD58" s="1"/>
        <tr r="DD58" s="1"/>
      </tp>
      <tp>
        <v>10.19</v>
        <stp/>
        <stp>ASK</stp>
        <stp>.QQQ250508C480</stp>
        <tr r="DC67" s="1"/>
        <tr r="DC67" s="1"/>
      </tp>
      <tp>
        <v>0.01</v>
        <stp/>
        <stp>ASK</stp>
        <stp>.QQQ250508P480</stp>
        <tr r="DD67" s="1"/>
        <tr r="DD67" s="1"/>
      </tp>
      <tp>
        <v>9.19</v>
        <stp/>
        <stp>ASK</stp>
        <stp>.QQQ250508C481</stp>
        <tr r="DC66" s="1"/>
        <tr r="DC66" s="1"/>
      </tp>
      <tp>
        <v>0.01</v>
        <stp/>
        <stp>ASK</stp>
        <stp>.QQQ250508P481</stp>
        <tr r="DD66" s="1"/>
        <tr r="DD66" s="1"/>
      </tp>
      <tp>
        <v>8.19</v>
        <stp/>
        <stp>ASK</stp>
        <stp>.QQQ250508C482</stp>
        <tr r="DC65" s="1"/>
        <tr r="DC65" s="1"/>
      </tp>
      <tp>
        <v>0.01</v>
        <stp/>
        <stp>ASK</stp>
        <stp>.QQQ250508P482</stp>
        <tr r="DD65" s="1"/>
        <tr r="DD65" s="1"/>
      </tp>
      <tp>
        <v>7.19</v>
        <stp/>
        <stp>ASK</stp>
        <stp>.QQQ250508C483</stp>
        <tr r="DC64" s="1"/>
        <tr r="DC64" s="1"/>
      </tp>
      <tp>
        <v>0.01</v>
        <stp/>
        <stp>ASK</stp>
        <stp>.QQQ250508P483</stp>
        <tr r="DD64" s="1"/>
        <tr r="DD64" s="1"/>
      </tp>
      <tp>
        <v>6.02</v>
        <stp/>
        <stp>ASK</stp>
        <stp>.QQQ250508C484</stp>
        <tr r="DC63" s="1"/>
        <tr r="DC63" s="1"/>
      </tp>
      <tp>
        <v>0.01</v>
        <stp/>
        <stp>ASK</stp>
        <stp>.QQQ250508P484</stp>
        <tr r="DD63" s="1"/>
        <tr r="DD63" s="1"/>
      </tp>
      <tp>
        <v>5</v>
        <stp/>
        <stp>ASK</stp>
        <stp>.QQQ250508C485</stp>
        <tr r="DC62" s="1"/>
        <tr r="DC62" s="1"/>
      </tp>
      <tp>
        <v>0.01</v>
        <stp/>
        <stp>ASK</stp>
        <stp>.QQQ250508P485</stp>
        <tr r="DD62" s="1"/>
        <tr r="DD62" s="1"/>
      </tp>
      <tp>
        <v>4.21</v>
        <stp/>
        <stp>ASK</stp>
        <stp>.QQQ250508C486</stp>
        <tr r="DC61" s="1"/>
        <tr r="DC61" s="1"/>
      </tp>
      <tp>
        <v>0.02</v>
        <stp/>
        <stp>ASK</stp>
        <stp>.QQQ250508P486</stp>
        <tr r="DD61" s="1"/>
        <tr r="DD61" s="1"/>
      </tp>
      <tp>
        <v>1.2</v>
        <stp/>
        <stp>ASK</stp>
        <stp>.QQQ250508C487</stp>
        <tr r="DC60" s="1"/>
        <tr r="DC60" s="1"/>
      </tp>
      <tp>
        <v>0.05</v>
        <stp/>
        <stp>ASK</stp>
        <stp>.QQQ250508P487</stp>
        <tr r="DD60" s="1"/>
        <tr r="DD60" s="1"/>
      </tp>
      <tp>
        <v>0.01</v>
        <stp/>
        <stp>ASK</stp>
        <stp>.QQQ250508C498</stp>
        <tr r="DC49" s="1"/>
        <tr r="DC49" s="1"/>
      </tp>
      <tp>
        <v>11.3</v>
        <stp/>
        <stp>ASK</stp>
        <stp>.QQQ250508P498</stp>
        <tr r="DD49" s="1"/>
        <tr r="DD49" s="1"/>
      </tp>
      <tp>
        <v>0.01</v>
        <stp/>
        <stp>ASK</stp>
        <stp>.QQQ250508C499</stp>
        <tr r="DC48" s="1"/>
        <tr r="DC48" s="1"/>
      </tp>
      <tp>
        <v>12.3</v>
        <stp/>
        <stp>ASK</stp>
        <stp>.QQQ250508P499</stp>
        <tr r="DD48" s="1"/>
        <tr r="DD48" s="1"/>
      </tp>
      <tp>
        <v>0.03</v>
        <stp/>
        <stp>ASK</stp>
        <stp>.QQQ250508C490</stp>
        <tr r="DC57" s="1"/>
        <tr r="DC57" s="1"/>
      </tp>
      <tp>
        <v>2.0299999999999998</v>
        <stp/>
        <stp>ASK</stp>
        <stp>.QQQ250508P490</stp>
        <tr r="DD57" s="1"/>
        <tr r="DD57" s="1"/>
      </tp>
      <tp>
        <v>0.02</v>
        <stp/>
        <stp>ASK</stp>
        <stp>.QQQ250508C491</stp>
        <tr r="DC56" s="1"/>
        <tr r="DC56" s="1"/>
      </tp>
      <tp>
        <v>3.03</v>
        <stp/>
        <stp>ASK</stp>
        <stp>.QQQ250508P491</stp>
        <tr r="DD56" s="1"/>
        <tr r="DD56" s="1"/>
      </tp>
      <tp>
        <v>0.01</v>
        <stp/>
        <stp>ASK</stp>
        <stp>.QQQ250508C492</stp>
        <tr r="DC55" s="1"/>
        <tr r="DC55" s="1"/>
      </tp>
      <tp>
        <v>5.6</v>
        <stp/>
        <stp>ASK</stp>
        <stp>.QQQ250508P492</stp>
        <tr r="DD55" s="1"/>
        <tr r="DD55" s="1"/>
      </tp>
      <tp>
        <v>0.01</v>
        <stp/>
        <stp>ASK</stp>
        <stp>.QQQ250508C493</stp>
        <tr r="DC54" s="1"/>
        <tr r="DC54" s="1"/>
      </tp>
      <tp>
        <v>6.73</v>
        <stp/>
        <stp>ASK</stp>
        <stp>.QQQ250508P493</stp>
        <tr r="DD54" s="1"/>
        <tr r="DD54" s="1"/>
      </tp>
      <tp>
        <v>0.01</v>
        <stp/>
        <stp>ASK</stp>
        <stp>.QQQ250508C494</stp>
        <tr r="DC53" s="1"/>
        <tr r="DC53" s="1"/>
      </tp>
      <tp>
        <v>7.33</v>
        <stp/>
        <stp>ASK</stp>
        <stp>.QQQ250508P494</stp>
        <tr r="DD53" s="1"/>
        <tr r="DD53" s="1"/>
      </tp>
      <tp>
        <v>0.01</v>
        <stp/>
        <stp>ASK</stp>
        <stp>.QQQ250508C495</stp>
        <tr r="DC52" s="1"/>
        <tr r="DC52" s="1"/>
      </tp>
      <tp>
        <v>8.3699999999999992</v>
        <stp/>
        <stp>ASK</stp>
        <stp>.QQQ250508P495</stp>
        <tr r="DD52" s="1"/>
        <tr r="DD52" s="1"/>
      </tp>
      <tp>
        <v>0.01</v>
        <stp/>
        <stp>ASK</stp>
        <stp>.QQQ250508C496</stp>
        <tr r="DC51" s="1"/>
        <tr r="DC51" s="1"/>
      </tp>
      <tp>
        <v>9.3699999999999992</v>
        <stp/>
        <stp>ASK</stp>
        <stp>.QQQ250508P496</stp>
        <tr r="DD51" s="1"/>
        <tr r="DD51" s="1"/>
      </tp>
      <tp>
        <v>0.01</v>
        <stp/>
        <stp>ASK</stp>
        <stp>.QQQ250508C497</stp>
        <tr r="DC50" s="1"/>
        <tr r="DC50" s="1"/>
      </tp>
      <tp>
        <v>10.3</v>
        <stp/>
        <stp>ASK</stp>
        <stp>.QQQ250508P497</stp>
        <tr r="DD50" s="1"/>
        <tr r="DD50" s="1"/>
      </tp>
      <tp>
        <v>25</v>
        <stp/>
        <stp>OPEN_INT</stp>
        <stp>.NDX250516P20300</stp>
        <tr r="AX147" s="1"/>
        <tr r="AX147" s="1"/>
      </tp>
      <tp>
        <v>15</v>
        <stp/>
        <stp>OPEN_INT</stp>
        <stp>.NDX250516P19300</stp>
        <tr r="AX187" s="1"/>
        <tr r="AX187" s="1"/>
      </tp>
      <tp>
        <v>7</v>
        <stp/>
        <stp>OPEN_INT</stp>
        <stp>.NDX250516P20325</stp>
        <tr r="AX146" s="1"/>
        <tr r="AX146" s="1"/>
      </tp>
      <tp>
        <v>24</v>
        <stp/>
        <stp>OPEN_INT</stp>
        <stp>.NDX250516P19325</stp>
        <tr r="AX186" s="1"/>
        <tr r="AX186" s="1"/>
      </tp>
      <tp>
        <v>13</v>
        <stp/>
        <stp>OPEN_INT</stp>
        <stp>.NDX250516P20350</stp>
        <tr r="AX145" s="1"/>
        <tr r="AX145" s="1"/>
      </tp>
      <tp>
        <v>16</v>
        <stp/>
        <stp>OPEN_INT</stp>
        <stp>.NDX250516P19350</stp>
        <tr r="AX185" s="1"/>
        <tr r="AX185" s="1"/>
      </tp>
      <tp>
        <v>6</v>
        <stp/>
        <stp>OPEN_INT</stp>
        <stp>.NDX250516P20375</stp>
        <tr r="AX144" s="1"/>
        <tr r="AX144" s="1"/>
      </tp>
      <tp>
        <v>12</v>
        <stp/>
        <stp>OPEN_INT</stp>
        <stp>.NDX250516P19375</stp>
        <tr r="AX184" s="1"/>
        <tr r="AX184" s="1"/>
      </tp>
      <tp>
        <v>14</v>
        <stp/>
        <stp>OPEN_INT</stp>
        <stp>.NDX250516C20325</stp>
        <tr r="AW146" s="1"/>
        <tr r="AW146" s="1"/>
      </tp>
      <tp>
        <v>30</v>
        <stp/>
        <stp>OPEN_INT</stp>
        <stp>.NDX250516C19325</stp>
        <tr r="AW186" s="1"/>
        <tr r="AW186" s="1"/>
      </tp>
      <tp>
        <v>54</v>
        <stp/>
        <stp>OPEN_INT</stp>
        <stp>.NDX250516C20300</stp>
        <tr r="AW147" s="1"/>
        <tr r="AW147" s="1"/>
      </tp>
      <tp>
        <v>69</v>
        <stp/>
        <stp>OPEN_INT</stp>
        <stp>.NDX250516C19300</stp>
        <tr r="AW187" s="1"/>
        <tr r="AW187" s="1"/>
      </tp>
      <tp>
        <v>809</v>
        <stp/>
        <stp>OPEN_INT</stp>
        <stp>.SPY250516P572</stp>
        <tr r="AX14" s="1"/>
        <tr r="AX14" s="1"/>
      </tp>
      <tp>
        <v>2830</v>
        <stp/>
        <stp>OPEN_INT</stp>
        <stp>.SPY250516C572</stp>
        <tr r="AW14" s="1"/>
        <tr r="AW14" s="1"/>
      </tp>
      <tp>
        <v>532</v>
        <stp/>
        <stp>OPEN_INT</stp>
        <stp>.SPY250516P573</stp>
        <tr r="AX13" s="1"/>
        <tr r="AX13" s="1"/>
      </tp>
      <tp>
        <v>3726</v>
        <stp/>
        <stp>OPEN_INT</stp>
        <stp>.SPY250516C573</stp>
        <tr r="AW13" s="1"/>
        <tr r="AW13" s="1"/>
      </tp>
      <tp>
        <v>16060</v>
        <stp/>
        <stp>OPEN_INT</stp>
        <stp>.SPY250516P570</stp>
        <tr r="AX16" s="1"/>
        <tr r="AX16" s="1"/>
      </tp>
      <tp>
        <v>21921</v>
        <stp/>
        <stp>OPEN_INT</stp>
        <stp>.SPY250516C570</stp>
        <tr r="AW16" s="1"/>
        <tr r="AW16" s="1"/>
      </tp>
      <tp>
        <v>871</v>
        <stp/>
        <stp>OPEN_INT</stp>
        <stp>.SPY250516P571</stp>
        <tr r="AX15" s="1"/>
        <tr r="AX15" s="1"/>
      </tp>
      <tp>
        <v>3097</v>
        <stp/>
        <stp>OPEN_INT</stp>
        <stp>.SPY250516C571</stp>
        <tr r="AW15" s="1"/>
        <tr r="AW15" s="1"/>
      </tp>
      <tp>
        <v>425</v>
        <stp/>
        <stp>OPEN_INT</stp>
        <stp>.SPY250508P568</stp>
        <tr r="AT18" s="1"/>
        <tr r="AT18" s="1"/>
      </tp>
      <tp>
        <v>3665</v>
        <stp/>
        <stp>OPEN_INT</stp>
        <stp>.SPY250509P569</stp>
        <tr r="AV17" s="1"/>
        <tr r="AV17" s="1"/>
      </tp>
      <tp>
        <v>309</v>
        <stp/>
        <stp>OPEN_INT</stp>
        <stp>.SPY250516P576</stp>
        <tr r="AX10" s="1"/>
        <tr r="AX10" s="1"/>
      </tp>
      <tp>
        <v>5549</v>
        <stp/>
        <stp>OPEN_INT</stp>
        <stp>.SPY250508C568</stp>
        <tr r="AS18" s="1"/>
        <tr r="AS18" s="1"/>
      </tp>
      <tp>
        <v>8923</v>
        <stp/>
        <stp>OPEN_INT</stp>
        <stp>.SPY250509C569</stp>
        <tr r="AU17" s="1"/>
        <tr r="AU17" s="1"/>
      </tp>
      <tp>
        <v>4396</v>
        <stp/>
        <stp>OPEN_INT</stp>
        <stp>.SPY250516C576</stp>
        <tr r="AW10" s="1"/>
        <tr r="AW10" s="1"/>
      </tp>
      <tp>
        <v>411</v>
        <stp/>
        <stp>OPEN_INT</stp>
        <stp>.SPY250508P569</stp>
        <tr r="AT17" s="1"/>
        <tr r="AT17" s="1"/>
      </tp>
      <tp>
        <v>4366</v>
        <stp/>
        <stp>OPEN_INT</stp>
        <stp>.SPY250509P568</stp>
        <tr r="AV18" s="1"/>
        <tr r="AV18" s="1"/>
      </tp>
      <tp>
        <v>38</v>
        <stp/>
        <stp>OPEN_INT</stp>
        <stp>.SPY250516P577</stp>
        <tr r="AX9" s="1"/>
        <tr r="AX9" s="1"/>
      </tp>
      <tp>
        <v>9199</v>
        <stp/>
        <stp>OPEN_INT</stp>
        <stp>.SPY250508C569</stp>
        <tr r="AS17" s="1"/>
        <tr r="AS17" s="1"/>
      </tp>
      <tp>
        <v>10091</v>
        <stp/>
        <stp>OPEN_INT</stp>
        <stp>.SPY250509C568</stp>
        <tr r="AU18" s="1"/>
        <tr r="AU18" s="1"/>
      </tp>
      <tp>
        <v>4664</v>
        <stp/>
        <stp>OPEN_INT</stp>
        <stp>.SPY250516C577</stp>
        <tr r="AW9" s="1"/>
        <tr r="AW9" s="1"/>
      </tp>
      <tp>
        <v>368</v>
        <stp/>
        <stp>OPEN_INT</stp>
        <stp>.SPY250516P574</stp>
        <tr r="AX12" s="1"/>
        <tr r="AX12" s="1"/>
      </tp>
      <tp>
        <v>2859</v>
        <stp/>
        <stp>OPEN_INT</stp>
        <stp>.SPY250516C574</stp>
        <tr r="AW12" s="1"/>
        <tr r="AW12" s="1"/>
      </tp>
      <tp>
        <v>2972</v>
        <stp/>
        <stp>OPEN_INT</stp>
        <stp>.SPY250516P575</stp>
        <tr r="AX11" s="1"/>
        <tr r="AX11" s="1"/>
      </tp>
      <tp>
        <v>48089</v>
        <stp/>
        <stp>OPEN_INT</stp>
        <stp>.SPY250516C575</stp>
        <tr r="AW11" s="1"/>
        <tr r="AW11" s="1"/>
      </tp>
      <tp>
        <v>967</v>
        <stp/>
        <stp>OPEN_INT</stp>
        <stp>.SPY250508P564</stp>
        <tr r="AT22" s="1"/>
        <tr r="AT22" s="1"/>
      </tp>
      <tp>
        <v>11403</v>
        <stp/>
        <stp>OPEN_INT</stp>
        <stp>.SPY250509P565</stp>
        <tr r="AV21" s="1"/>
        <tr r="AV21" s="1"/>
      </tp>
      <tp>
        <v>5429</v>
        <stp/>
        <stp>OPEN_INT</stp>
        <stp>.SPY250508C564</stp>
        <tr r="AS22" s="1"/>
        <tr r="AS22" s="1"/>
      </tp>
      <tp>
        <v>8590</v>
        <stp/>
        <stp>OPEN_INT</stp>
        <stp>.SPY250509C565</stp>
        <tr r="AU21" s="1"/>
        <tr r="AU21" s="1"/>
      </tp>
      <tp>
        <v>1182</v>
        <stp/>
        <stp>OPEN_INT</stp>
        <stp>.SPY250508P565</stp>
        <tr r="AT21" s="1"/>
        <tr r="AT21" s="1"/>
      </tp>
      <tp>
        <v>5374</v>
        <stp/>
        <stp>OPEN_INT</stp>
        <stp>.SPY250509P564</stp>
        <tr r="AV22" s="1"/>
        <tr r="AV22" s="1"/>
      </tp>
      <tp>
        <v>6077</v>
        <stp/>
        <stp>OPEN_INT</stp>
        <stp>.SPY250508C565</stp>
        <tr r="AS21" s="1"/>
        <tr r="AS21" s="1"/>
      </tp>
      <tp>
        <v>4240</v>
        <stp/>
        <stp>OPEN_INT</stp>
        <stp>.SPY250509C564</stp>
        <tr r="AU22" s="1"/>
        <tr r="AU22" s="1"/>
      </tp>
      <tp>
        <v>748</v>
        <stp/>
        <stp>OPEN_INT</stp>
        <stp>.SPY250508P566</stp>
        <tr r="AT20" s="1"/>
        <tr r="AT20" s="1"/>
      </tp>
      <tp>
        <v>2979</v>
        <stp/>
        <stp>OPEN_INT</stp>
        <stp>.SPY250509P567</stp>
        <tr r="AV19" s="1"/>
        <tr r="AV19" s="1"/>
      </tp>
      <tp>
        <v>295</v>
        <stp/>
        <stp>OPEN_INT</stp>
        <stp>.SPY250516P578</stp>
        <tr r="AX8" s="1"/>
        <tr r="AX8" s="1"/>
      </tp>
      <tp>
        <v>7336</v>
        <stp/>
        <stp>OPEN_INT</stp>
        <stp>.SPY250508C566</stp>
        <tr r="AS20" s="1"/>
        <tr r="AS20" s="1"/>
      </tp>
      <tp>
        <v>9415</v>
        <stp/>
        <stp>OPEN_INT</stp>
        <stp>.SPY250509C567</stp>
        <tr r="AU19" s="1"/>
        <tr r="AU19" s="1"/>
      </tp>
      <tp>
        <v>10374</v>
        <stp/>
        <stp>OPEN_INT</stp>
        <stp>.SPY250516C578</stp>
        <tr r="AW8" s="1"/>
        <tr r="AW8" s="1"/>
      </tp>
      <tp>
        <v>269</v>
        <stp/>
        <stp>OPEN_INT</stp>
        <stp>.SPY250508P567</stp>
        <tr r="AT19" s="1"/>
        <tr r="AT19" s="1"/>
      </tp>
      <tp>
        <v>4830</v>
        <stp/>
        <stp>OPEN_INT</stp>
        <stp>.SPY250509P566</stp>
        <tr r="AV20" s="1"/>
        <tr r="AV20" s="1"/>
      </tp>
      <tp>
        <v>12</v>
        <stp/>
        <stp>OPEN_INT</stp>
        <stp>.SPY250516P579</stp>
        <tr r="AX7" s="1"/>
        <tr r="AX7" s="1"/>
      </tp>
      <tp>
        <v>4214</v>
        <stp/>
        <stp>OPEN_INT</stp>
        <stp>.SPY250508C567</stp>
        <tr r="AS19" s="1"/>
        <tr r="AS19" s="1"/>
      </tp>
      <tp>
        <v>8954</v>
        <stp/>
        <stp>OPEN_INT</stp>
        <stp>.SPY250509C566</stp>
        <tr r="AU20" s="1"/>
        <tr r="AU20" s="1"/>
      </tp>
      <tp>
        <v>4881</v>
        <stp/>
        <stp>OPEN_INT</stp>
        <stp>.SPY250516C579</stp>
        <tr r="AW7" s="1"/>
        <tr r="AW7" s="1"/>
      </tp>
      <tp>
        <v>4548</v>
        <stp/>
        <stp>OPEN_INT</stp>
        <stp>.SPY250508P560</stp>
        <tr r="AT26" s="1"/>
        <tr r="AT26" s="1"/>
      </tp>
      <tp>
        <v>4832</v>
        <stp/>
        <stp>OPEN_INT</stp>
        <stp>.SPY250509P561</stp>
        <tr r="AV25" s="1"/>
        <tr r="AV25" s="1"/>
      </tp>
      <tp>
        <v>4994</v>
        <stp/>
        <stp>OPEN_INT</stp>
        <stp>.SPY250508C560</stp>
        <tr r="AS26" s="1"/>
        <tr r="AS26" s="1"/>
      </tp>
      <tp>
        <v>2797</v>
        <stp/>
        <stp>OPEN_INT</stp>
        <stp>.SPY250509C561</stp>
        <tr r="AU25" s="1"/>
        <tr r="AU25" s="1"/>
      </tp>
      <tp>
        <v>3082</v>
        <stp/>
        <stp>OPEN_INT</stp>
        <stp>.SPY250508P561</stp>
        <tr r="AT25" s="1"/>
        <tr r="AT25" s="1"/>
      </tp>
      <tp>
        <v>15833</v>
        <stp/>
        <stp>OPEN_INT</stp>
        <stp>.SPY250509P560</stp>
        <tr r="AV26" s="1"/>
        <tr r="AV26" s="1"/>
      </tp>
      <tp>
        <v>3377</v>
        <stp/>
        <stp>OPEN_INT</stp>
        <stp>.SPY250508C561</stp>
        <tr r="AS25" s="1"/>
        <tr r="AS25" s="1"/>
      </tp>
      <tp>
        <v>8543</v>
        <stp/>
        <stp>OPEN_INT</stp>
        <stp>.SPY250509C560</stp>
        <tr r="AU26" s="1"/>
        <tr r="AU26" s="1"/>
      </tp>
      <tp>
        <v>2000</v>
        <stp/>
        <stp>OPEN_INT</stp>
        <stp>.SPY250508P562</stp>
        <tr r="AT24" s="1"/>
        <tr r="AT24" s="1"/>
      </tp>
      <tp>
        <v>6460</v>
        <stp/>
        <stp>OPEN_INT</stp>
        <stp>.SPY250509P563</stp>
        <tr r="AV23" s="1"/>
        <tr r="AV23" s="1"/>
      </tp>
      <tp>
        <v>4047</v>
        <stp/>
        <stp>OPEN_INT</stp>
        <stp>.SPY250508C562</stp>
        <tr r="AS24" s="1"/>
        <tr r="AS24" s="1"/>
      </tp>
      <tp>
        <v>3033</v>
        <stp/>
        <stp>OPEN_INT</stp>
        <stp>.SPY250509C563</stp>
        <tr r="AU23" s="1"/>
        <tr r="AU23" s="1"/>
      </tp>
      <tp>
        <v>1039</v>
        <stp/>
        <stp>OPEN_INT</stp>
        <stp>.SPY250508P563</stp>
        <tr r="AT23" s="1"/>
        <tr r="AT23" s="1"/>
      </tp>
      <tp>
        <v>7703</v>
        <stp/>
        <stp>OPEN_INT</stp>
        <stp>.SPY250509P562</stp>
        <tr r="AV24" s="1"/>
        <tr r="AV24" s="1"/>
      </tp>
      <tp>
        <v>3554</v>
        <stp/>
        <stp>OPEN_INT</stp>
        <stp>.SPY250508C563</stp>
        <tr r="AS23" s="1"/>
        <tr r="AS23" s="1"/>
      </tp>
      <tp>
        <v>3358</v>
        <stp/>
        <stp>OPEN_INT</stp>
        <stp>.SPY250509C562</stp>
        <tr r="AU24" s="1"/>
        <tr r="AU24" s="1"/>
      </tp>
      <tp>
        <v>16</v>
        <stp/>
        <stp>OPEN_INT</stp>
        <stp>.NDX250516C20375</stp>
        <tr r="AW144" s="1"/>
        <tr r="AW144" s="1"/>
      </tp>
      <tp>
        <v>18</v>
        <stp/>
        <stp>OPEN_INT</stp>
        <stp>.NDX250516C19375</stp>
        <tr r="AW184" s="1"/>
        <tr r="AW184" s="1"/>
      </tp>
      <tp>
        <v>3006</v>
        <stp/>
        <stp>OPEN_INT</stp>
        <stp>.SPY250516P562</stp>
        <tr r="AX24" s="1"/>
        <tr r="AX24" s="1"/>
      </tp>
      <tp>
        <v>5448</v>
        <stp/>
        <stp>OPEN_INT</stp>
        <stp>.SPY250516C562</stp>
        <tr r="AW24" s="1"/>
        <tr r="AW24" s="1"/>
      </tp>
      <tp>
        <v>2369</v>
        <stp/>
        <stp>OPEN_INT</stp>
        <stp>.SPY250516P563</stp>
        <tr r="AX23" s="1"/>
        <tr r="AX23" s="1"/>
      </tp>
      <tp>
        <v>4571</v>
        <stp/>
        <stp>OPEN_INT</stp>
        <stp>.SPY250516C563</stp>
        <tr r="AW23" s="1"/>
        <tr r="AW23" s="1"/>
      </tp>
      <tp>
        <v>33477</v>
        <stp/>
        <stp>OPEN_INT</stp>
        <stp>.SPY250516P560</stp>
        <tr r="AX26" s="1"/>
        <tr r="AX26" s="1"/>
      </tp>
      <tp>
        <v>11371</v>
        <stp/>
        <stp>OPEN_INT</stp>
        <stp>.SPY250516C560</stp>
        <tr r="AW26" s="1"/>
        <tr r="AW26" s="1"/>
      </tp>
      <tp>
        <v>1601</v>
        <stp/>
        <stp>OPEN_INT</stp>
        <stp>.SPY250516P561</stp>
        <tr r="AX25" s="1"/>
        <tr r="AX25" s="1"/>
      </tp>
      <tp>
        <v>2999</v>
        <stp/>
        <stp>OPEN_INT</stp>
        <stp>.SPY250516C561</stp>
        <tr r="AW25" s="1"/>
        <tr r="AW25" s="1"/>
      </tp>
      <tp>
        <v>11</v>
        <stp/>
        <stp>OPEN_INT</stp>
        <stp>.SPY250508P578</stp>
        <tr r="AT8" s="1"/>
        <tr r="AT8" s="1"/>
      </tp>
      <tp>
        <v>9</v>
        <stp/>
        <stp>OPEN_INT</stp>
        <stp>.SPY250509P579</stp>
        <tr r="AV7" s="1"/>
        <tr r="AV7" s="1"/>
      </tp>
      <tp>
        <v>3770</v>
        <stp/>
        <stp>OPEN_INT</stp>
        <stp>.SPY250516P566</stp>
        <tr r="AX20" s="1"/>
        <tr r="AX20" s="1"/>
      </tp>
      <tp>
        <v>2560</v>
        <stp/>
        <stp>OPEN_INT</stp>
        <stp>.SPY250508C578</stp>
        <tr r="AS8" s="1"/>
        <tr r="AS8" s="1"/>
      </tp>
      <tp>
        <v>12052</v>
        <stp/>
        <stp>OPEN_INT</stp>
        <stp>.SPY250509C579</stp>
        <tr r="AU7" s="1"/>
        <tr r="AU7" s="1"/>
      </tp>
      <tp>
        <v>5539</v>
        <stp/>
        <stp>OPEN_INT</stp>
        <stp>.SPY250516C566</stp>
        <tr r="AW20" s="1"/>
        <tr r="AW20" s="1"/>
      </tp>
      <tp>
        <v>0</v>
        <stp/>
        <stp>OPEN_INT</stp>
        <stp>.SPY250508P579</stp>
        <tr r="AT7" s="1"/>
        <tr r="AT7" s="1"/>
      </tp>
      <tp>
        <v>15</v>
        <stp/>
        <stp>OPEN_INT</stp>
        <stp>.SPY250509P578</stp>
        <tr r="AV8" s="1"/>
        <tr r="AV8" s="1"/>
      </tp>
      <tp>
        <v>3231</v>
        <stp/>
        <stp>OPEN_INT</stp>
        <stp>.SPY250516P567</stp>
        <tr r="AX19" s="1"/>
        <tr r="AX19" s="1"/>
      </tp>
      <tp>
        <v>5159</v>
        <stp/>
        <stp>OPEN_INT</stp>
        <stp>.SPY250508C579</stp>
        <tr r="AS7" s="1"/>
        <tr r="AS7" s="1"/>
      </tp>
      <tp>
        <v>4793</v>
        <stp/>
        <stp>OPEN_INT</stp>
        <stp>.SPY250509C578</stp>
        <tr r="AU8" s="1"/>
        <tr r="AU8" s="1"/>
      </tp>
      <tp>
        <v>4563</v>
        <stp/>
        <stp>OPEN_INT</stp>
        <stp>.SPY250516C567</stp>
        <tr r="AW19" s="1"/>
        <tr r="AW19" s="1"/>
      </tp>
      <tp>
        <v>2037</v>
        <stp/>
        <stp>OPEN_INT</stp>
        <stp>.SPY250516P564</stp>
        <tr r="AX22" s="1"/>
        <tr r="AX22" s="1"/>
      </tp>
      <tp>
        <v>3149</v>
        <stp/>
        <stp>OPEN_INT</stp>
        <stp>.SPY250516C564</stp>
        <tr r="AW22" s="1"/>
        <tr r="AW22" s="1"/>
      </tp>
      <tp>
        <v>12287</v>
        <stp/>
        <stp>OPEN_INT</stp>
        <stp>.SPY250516P565</stp>
        <tr r="AX21" s="1"/>
        <tr r="AX21" s="1"/>
      </tp>
      <tp>
        <v>18222</v>
        <stp/>
        <stp>OPEN_INT</stp>
        <stp>.SPY250516C565</stp>
        <tr r="AW21" s="1"/>
        <tr r="AW21" s="1"/>
      </tp>
      <tp>
        <v>27</v>
        <stp/>
        <stp>OPEN_INT</stp>
        <stp>.SPY250508P574</stp>
        <tr r="AT12" s="1"/>
        <tr r="AT12" s="1"/>
      </tp>
      <tp>
        <v>129</v>
        <stp/>
        <stp>OPEN_INT</stp>
        <stp>.SPY250509P575</stp>
        <tr r="AV11" s="1"/>
        <tr r="AV11" s="1"/>
      </tp>
      <tp>
        <v>3089</v>
        <stp/>
        <stp>OPEN_INT</stp>
        <stp>.SPY250508C574</stp>
        <tr r="AS12" s="1"/>
        <tr r="AS12" s="1"/>
      </tp>
      <tp>
        <v>19915</v>
        <stp/>
        <stp>OPEN_INT</stp>
        <stp>.SPY250509C575</stp>
        <tr r="AU11" s="1"/>
        <tr r="AU11" s="1"/>
      </tp>
      <tp>
        <v>129</v>
        <stp/>
        <stp>OPEN_INT</stp>
        <stp>.SPY250508P575</stp>
        <tr r="AT11" s="1"/>
        <tr r="AT11" s="1"/>
      </tp>
      <tp>
        <v>90</v>
        <stp/>
        <stp>OPEN_INT</stp>
        <stp>.SPY250509P574</stp>
        <tr r="AV12" s="1"/>
        <tr r="AV12" s="1"/>
      </tp>
      <tp>
        <v>7042</v>
        <stp/>
        <stp>OPEN_INT</stp>
        <stp>.SPY250508C575</stp>
        <tr r="AS11" s="1"/>
        <tr r="AS11" s="1"/>
      </tp>
      <tp>
        <v>4115</v>
        <stp/>
        <stp>OPEN_INT</stp>
        <stp>.SPY250509C574</stp>
        <tr r="AU12" s="1"/>
        <tr r="AU12" s="1"/>
      </tp>
      <tp>
        <v>77</v>
        <stp/>
        <stp>OPEN_INT</stp>
        <stp>.SPY250508P576</stp>
        <tr r="AT10" s="1"/>
        <tr r="AT10" s="1"/>
      </tp>
      <tp>
        <v>10</v>
        <stp/>
        <stp>OPEN_INT</stp>
        <stp>.SPY250509P577</stp>
        <tr r="AV9" s="1"/>
        <tr r="AV9" s="1"/>
      </tp>
      <tp>
        <v>3296</v>
        <stp/>
        <stp>OPEN_INT</stp>
        <stp>.SPY250516P568</stp>
        <tr r="AX18" s="1"/>
        <tr r="AX18" s="1"/>
      </tp>
      <tp>
        <v>2335</v>
        <stp/>
        <stp>OPEN_INT</stp>
        <stp>.SPY250508C576</stp>
        <tr r="AS10" s="1"/>
        <tr r="AS10" s="1"/>
      </tp>
      <tp>
        <v>4796</v>
        <stp/>
        <stp>OPEN_INT</stp>
        <stp>.SPY250509C577</stp>
        <tr r="AU9" s="1"/>
        <tr r="AU9" s="1"/>
      </tp>
      <tp>
        <v>7460</v>
        <stp/>
        <stp>OPEN_INT</stp>
        <stp>.SPY250516C568</stp>
        <tr r="AW18" s="1"/>
        <tr r="AW18" s="1"/>
      </tp>
      <tp>
        <v>39</v>
        <stp/>
        <stp>OPEN_INT</stp>
        <stp>.SPY250508P577</stp>
        <tr r="AT9" s="1"/>
        <tr r="AT9" s="1"/>
      </tp>
      <tp>
        <v>87</v>
        <stp/>
        <stp>OPEN_INT</stp>
        <stp>.SPY250509P576</stp>
        <tr r="AV10" s="1"/>
        <tr r="AV10" s="1"/>
      </tp>
      <tp>
        <v>2398</v>
        <stp/>
        <stp>OPEN_INT</stp>
        <stp>.SPY250516P569</stp>
        <tr r="AX17" s="1"/>
        <tr r="AX17" s="1"/>
      </tp>
      <tp>
        <v>1704</v>
        <stp/>
        <stp>OPEN_INT</stp>
        <stp>.SPY250508C577</stp>
        <tr r="AS9" s="1"/>
        <tr r="AS9" s="1"/>
      </tp>
      <tp>
        <v>4756</v>
        <stp/>
        <stp>OPEN_INT</stp>
        <stp>.SPY250509C576</stp>
        <tr r="AU10" s="1"/>
        <tr r="AU10" s="1"/>
      </tp>
      <tp>
        <v>3633</v>
        <stp/>
        <stp>OPEN_INT</stp>
        <stp>.SPY250516C569</stp>
        <tr r="AW17" s="1"/>
        <tr r="AW17" s="1"/>
      </tp>
      <tp>
        <v>822</v>
        <stp/>
        <stp>OPEN_INT</stp>
        <stp>.SPY250508P570</stp>
        <tr r="AT16" s="1"/>
        <tr r="AT16" s="1"/>
      </tp>
      <tp>
        <v>1983</v>
        <stp/>
        <stp>OPEN_INT</stp>
        <stp>.SPY250509P571</stp>
        <tr r="AV15" s="1"/>
        <tr r="AV15" s="1"/>
      </tp>
      <tp>
        <v>13291</v>
        <stp/>
        <stp>OPEN_INT</stp>
        <stp>.SPY250508C570</stp>
        <tr r="AS16" s="1"/>
        <tr r="AS16" s="1"/>
      </tp>
      <tp>
        <v>8834</v>
        <stp/>
        <stp>OPEN_INT</stp>
        <stp>.SPY250509C571</stp>
        <tr r="AU15" s="1"/>
        <tr r="AU15" s="1"/>
      </tp>
      <tp>
        <v>148</v>
        <stp/>
        <stp>OPEN_INT</stp>
        <stp>.SPY250508P571</stp>
        <tr r="AT15" s="1"/>
        <tr r="AT15" s="1"/>
      </tp>
      <tp>
        <v>4234</v>
        <stp/>
        <stp>OPEN_INT</stp>
        <stp>.SPY250509P570</stp>
        <tr r="AV16" s="1"/>
        <tr r="AV16" s="1"/>
      </tp>
      <tp>
        <v>4163</v>
        <stp/>
        <stp>OPEN_INT</stp>
        <stp>.SPY250508C571</stp>
        <tr r="AS15" s="1"/>
        <tr r="AS15" s="1"/>
      </tp>
      <tp>
        <v>19050</v>
        <stp/>
        <stp>OPEN_INT</stp>
        <stp>.SPY250509C570</stp>
        <tr r="AU16" s="1"/>
        <tr r="AU16" s="1"/>
      </tp>
      <tp>
        <v>48</v>
        <stp/>
        <stp>OPEN_INT</stp>
        <stp>.SPY250508P572</stp>
        <tr r="AT14" s="1"/>
        <tr r="AT14" s="1"/>
      </tp>
      <tp>
        <v>205</v>
        <stp/>
        <stp>OPEN_INT</stp>
        <stp>.SPY250509P573</stp>
        <tr r="AV13" s="1"/>
        <tr r="AV13" s="1"/>
      </tp>
      <tp>
        <v>2915</v>
        <stp/>
        <stp>OPEN_INT</stp>
        <stp>.SPY250508C572</stp>
        <tr r="AS14" s="1"/>
        <tr r="AS14" s="1"/>
      </tp>
      <tp>
        <v>7342</v>
        <stp/>
        <stp>OPEN_INT</stp>
        <stp>.SPY250509C573</stp>
        <tr r="AU13" s="1"/>
        <tr r="AU13" s="1"/>
      </tp>
      <tp>
        <v>113</v>
        <stp/>
        <stp>OPEN_INT</stp>
        <stp>.SPY250508P573</stp>
        <tr r="AT13" s="1"/>
        <tr r="AT13" s="1"/>
      </tp>
      <tp>
        <v>828</v>
        <stp/>
        <stp>OPEN_INT</stp>
        <stp>.SPY250509P572</stp>
        <tr r="AV14" s="1"/>
        <tr r="AV14" s="1"/>
      </tp>
      <tp>
        <v>2876</v>
        <stp/>
        <stp>OPEN_INT</stp>
        <stp>.SPY250508C573</stp>
        <tr r="AS13" s="1"/>
        <tr r="AS13" s="1"/>
      </tp>
      <tp>
        <v>13194</v>
        <stp/>
        <stp>OPEN_INT</stp>
        <stp>.SPY250509C572</stp>
        <tr r="AU14" s="1"/>
        <tr r="AU14" s="1"/>
      </tp>
      <tp>
        <v>3250</v>
        <stp/>
        <stp>OPEN_INT</stp>
        <stp>.SPY250516P552</stp>
        <tr r="AX34" s="1"/>
        <tr r="AX34" s="1"/>
      </tp>
      <tp>
        <v>1985</v>
        <stp/>
        <stp>OPEN_INT</stp>
        <stp>.SPY250516C552</stp>
        <tr r="AW34" s="1"/>
        <tr r="AW34" s="1"/>
      </tp>
      <tp>
        <v>1737</v>
        <stp/>
        <stp>OPEN_INT</stp>
        <stp>.SPY250516P553</stp>
        <tr r="AX33" s="1"/>
        <tr r="AX33" s="1"/>
      </tp>
      <tp>
        <v>2517</v>
        <stp/>
        <stp>OPEN_INT</stp>
        <stp>.SPY250516C553</stp>
        <tr r="AW33" s="1"/>
        <tr r="AW33" s="1"/>
      </tp>
      <tp>
        <v>68016</v>
        <stp/>
        <stp>OPEN_INT</stp>
        <stp>.SPY250516P550</stp>
        <tr r="AX36" s="1"/>
        <tr r="AX36" s="1"/>
      </tp>
      <tp>
        <v>25029</v>
        <stp/>
        <stp>OPEN_INT</stp>
        <stp>.SPY250516C550</stp>
        <tr r="AW36" s="1"/>
        <tr r="AW36" s="1"/>
      </tp>
      <tp>
        <v>2647</v>
        <stp/>
        <stp>OPEN_INT</stp>
        <stp>.SPY250516P551</stp>
        <tr r="AX35" s="1"/>
        <tr r="AX35" s="1"/>
      </tp>
      <tp>
        <v>7295</v>
        <stp/>
        <stp>OPEN_INT</stp>
        <stp>.SPY250516C551</stp>
        <tr r="AW35" s="1"/>
        <tr r="AW35" s="1"/>
      </tp>
      <tp>
        <v>3958</v>
        <stp/>
        <stp>OPEN_INT</stp>
        <stp>.SPY250508P548</stp>
        <tr r="AT38" s="1"/>
        <tr r="AT38" s="1"/>
      </tp>
      <tp>
        <v>5525</v>
        <stp/>
        <stp>OPEN_INT</stp>
        <stp>.SPY250509P549</stp>
        <tr r="AV37" s="1"/>
        <tr r="AV37" s="1"/>
      </tp>
      <tp>
        <v>1880</v>
        <stp/>
        <stp>OPEN_INT</stp>
        <stp>.SPY250516P556</stp>
        <tr r="AX30" s="1"/>
        <tr r="AX30" s="1"/>
      </tp>
      <tp>
        <v>295</v>
        <stp/>
        <stp>OPEN_INT</stp>
        <stp>.SPY250508C548</stp>
        <tr r="AS38" s="1"/>
        <tr r="AS38" s="1"/>
      </tp>
      <tp>
        <v>763</v>
        <stp/>
        <stp>OPEN_INT</stp>
        <stp>.SPY250509C549</stp>
        <tr r="AU37" s="1"/>
        <tr r="AU37" s="1"/>
      </tp>
      <tp>
        <v>1594</v>
        <stp/>
        <stp>OPEN_INT</stp>
        <stp>.SPY250516C556</stp>
        <tr r="AW30" s="1"/>
        <tr r="AW30" s="1"/>
      </tp>
      <tp>
        <v>2893</v>
        <stp/>
        <stp>OPEN_INT</stp>
        <stp>.SPY250508P549</stp>
        <tr r="AT37" s="1"/>
        <tr r="AT37" s="1"/>
      </tp>
      <tp>
        <v>6469</v>
        <stp/>
        <stp>OPEN_INT</stp>
        <stp>.SPY250509P548</stp>
        <tr r="AV38" s="1"/>
        <tr r="AV38" s="1"/>
      </tp>
      <tp>
        <v>9672</v>
        <stp/>
        <stp>OPEN_INT</stp>
        <stp>.SPY250516P557</stp>
        <tr r="AX29" s="1"/>
        <tr r="AX29" s="1"/>
      </tp>
      <tp>
        <v>198</v>
        <stp/>
        <stp>OPEN_INT</stp>
        <stp>.SPY250508C549</stp>
        <tr r="AS37" s="1"/>
        <tr r="AS37" s="1"/>
      </tp>
      <tp>
        <v>993</v>
        <stp/>
        <stp>OPEN_INT</stp>
        <stp>.SPY250509C548</stp>
        <tr r="AU38" s="1"/>
        <tr r="AU38" s="1"/>
      </tp>
      <tp>
        <v>2046</v>
        <stp/>
        <stp>OPEN_INT</stp>
        <stp>.SPY250516C557</stp>
        <tr r="AW29" s="1"/>
        <tr r="AW29" s="1"/>
      </tp>
      <tp>
        <v>2591</v>
        <stp/>
        <stp>OPEN_INT</stp>
        <stp>.SPY250516P554</stp>
        <tr r="AX32" s="1"/>
        <tr r="AX32" s="1"/>
      </tp>
      <tp>
        <v>2061</v>
        <stp/>
        <stp>OPEN_INT</stp>
        <stp>.SPY250516C554</stp>
        <tr r="AW32" s="1"/>
        <tr r="AW32" s="1"/>
      </tp>
      <tp>
        <v>66778</v>
        <stp/>
        <stp>OPEN_INT</stp>
        <stp>.SPY250516P555</stp>
        <tr r="AX31" s="1"/>
        <tr r="AX31" s="1"/>
      </tp>
      <tp>
        <v>9058</v>
        <stp/>
        <stp>OPEN_INT</stp>
        <stp>.SPY250516C555</stp>
        <tr r="AW31" s="1"/>
        <tr r="AW31" s="1"/>
      </tp>
      <tp>
        <v>4304</v>
        <stp/>
        <stp>OPEN_INT</stp>
        <stp>.SPY250516P558</stp>
        <tr r="AX28" s="1"/>
        <tr r="AX28" s="1"/>
      </tp>
      <tp>
        <v>11331</v>
        <stp/>
        <stp>OPEN_INT</stp>
        <stp>.SPY250516C558</stp>
        <tr r="AW28" s="1"/>
        <tr r="AW28" s="1"/>
      </tp>
      <tp>
        <v>2139</v>
        <stp/>
        <stp>OPEN_INT</stp>
        <stp>.SPY250516P559</stp>
        <tr r="AX27" s="1"/>
        <tr r="AX27" s="1"/>
      </tp>
      <tp>
        <v>3305</v>
        <stp/>
        <stp>OPEN_INT</stp>
        <stp>.SPY250516C559</stp>
        <tr r="AW27" s="1"/>
        <tr r="AW27" s="1"/>
      </tp>
      <tp>
        <v>22</v>
        <stp/>
        <stp>OPEN_INT</stp>
        <stp>.NDX250516C20350</stp>
        <tr r="AW145" s="1"/>
        <tr r="AW145" s="1"/>
      </tp>
      <tp>
        <v>31</v>
        <stp/>
        <stp>OPEN_INT</stp>
        <stp>.NDX250516C19350</stp>
        <tr r="AW185" s="1"/>
        <tr r="AW185" s="1"/>
      </tp>
      <tp>
        <v>6675</v>
        <stp/>
        <stp>OPEN_INT</stp>
        <stp>.SPY250508P558</stp>
        <tr r="AT28" s="1"/>
        <tr r="AT28" s="1"/>
      </tp>
      <tp>
        <v>4972</v>
        <stp/>
        <stp>OPEN_INT</stp>
        <stp>.SPY250509P559</stp>
        <tr r="AV27" s="1"/>
        <tr r="AV27" s="1"/>
      </tp>
      <tp>
        <v>2546</v>
        <stp/>
        <stp>OPEN_INT</stp>
        <stp>.SPY250508C558</stp>
        <tr r="AS28" s="1"/>
        <tr r="AS28" s="1"/>
      </tp>
      <tp>
        <v>4022</v>
        <stp/>
        <stp>OPEN_INT</stp>
        <stp>.SPY250509C559</stp>
        <tr r="AU27" s="1"/>
        <tr r="AU27" s="1"/>
      </tp>
      <tp>
        <v>6246</v>
        <stp/>
        <stp>OPEN_INT</stp>
        <stp>.SPY250508P559</stp>
        <tr r="AT27" s="1"/>
        <tr r="AT27" s="1"/>
      </tp>
      <tp>
        <v>7744</v>
        <stp/>
        <stp>OPEN_INT</stp>
        <stp>.SPY250509P558</stp>
        <tr r="AV28" s="1"/>
        <tr r="AV28" s="1"/>
      </tp>
      <tp>
        <v>3164</v>
        <stp/>
        <stp>OPEN_INT</stp>
        <stp>.SPY250508C559</stp>
        <tr r="AS27" s="1"/>
        <tr r="AS27" s="1"/>
      </tp>
      <tp>
        <v>1849</v>
        <stp/>
        <stp>OPEN_INT</stp>
        <stp>.SPY250509C558</stp>
        <tr r="AU28" s="1"/>
        <tr r="AU28" s="1"/>
      </tp>
      <tp>
        <v>4468</v>
        <stp/>
        <stp>OPEN_INT</stp>
        <stp>.SPY250508P554</stp>
        <tr r="AT32" s="1"/>
        <tr r="AT32" s="1"/>
      </tp>
      <tp>
        <v>19429</v>
        <stp/>
        <stp>OPEN_INT</stp>
        <stp>.SPY250509P555</stp>
        <tr r="AV31" s="1"/>
        <tr r="AV31" s="1"/>
      </tp>
      <tp>
        <v>770</v>
        <stp/>
        <stp>OPEN_INT</stp>
        <stp>.SPY250508C554</stp>
        <tr r="AS32" s="1"/>
        <tr r="AS32" s="1"/>
      </tp>
      <tp>
        <v>9529</v>
        <stp/>
        <stp>OPEN_INT</stp>
        <stp>.SPY250509C555</stp>
        <tr r="AU31" s="1"/>
        <tr r="AU31" s="1"/>
      </tp>
      <tp>
        <v>7465</v>
        <stp/>
        <stp>OPEN_INT</stp>
        <stp>.SPY250508P555</stp>
        <tr r="AT31" s="1"/>
        <tr r="AT31" s="1"/>
      </tp>
      <tp>
        <v>8058</v>
        <stp/>
        <stp>OPEN_INT</stp>
        <stp>.SPY250509P554</stp>
        <tr r="AV32" s="1"/>
        <tr r="AV32" s="1"/>
      </tp>
      <tp>
        <v>1329</v>
        <stp/>
        <stp>OPEN_INT</stp>
        <stp>.SPY250508C555</stp>
        <tr r="AS31" s="1"/>
        <tr r="AS31" s="1"/>
      </tp>
      <tp>
        <v>762</v>
        <stp/>
        <stp>OPEN_INT</stp>
        <stp>.SPY250509C554</stp>
        <tr r="AU32" s="1"/>
        <tr r="AU32" s="1"/>
      </tp>
      <tp>
        <v>3438</v>
        <stp/>
        <stp>OPEN_INT</stp>
        <stp>.SPY250508P556</stp>
        <tr r="AT30" s="1"/>
        <tr r="AT30" s="1"/>
      </tp>
      <tp>
        <v>7454</v>
        <stp/>
        <stp>OPEN_INT</stp>
        <stp>.SPY250509P557</stp>
        <tr r="AV29" s="1"/>
        <tr r="AV29" s="1"/>
      </tp>
      <tp>
        <v>5862</v>
        <stp/>
        <stp>OPEN_INT</stp>
        <stp>.SPY250516P548</stp>
        <tr r="AX38" s="1"/>
        <tr r="AX38" s="1"/>
      </tp>
      <tp>
        <v>919</v>
        <stp/>
        <stp>OPEN_INT</stp>
        <stp>.SPY250508C556</stp>
        <tr r="AS30" s="1"/>
        <tr r="AS30" s="1"/>
      </tp>
      <tp>
        <v>1121</v>
        <stp/>
        <stp>OPEN_INT</stp>
        <stp>.SPY250509C557</stp>
        <tr r="AU29" s="1"/>
        <tr r="AU29" s="1"/>
      </tp>
      <tp>
        <v>5696</v>
        <stp/>
        <stp>OPEN_INT</stp>
        <stp>.SPY250516C548</stp>
        <tr r="AW38" s="1"/>
        <tr r="AW38" s="1"/>
      </tp>
      <tp>
        <v>4235</v>
        <stp/>
        <stp>OPEN_INT</stp>
        <stp>.SPY250508P557</stp>
        <tr r="AT29" s="1"/>
        <tr r="AT29" s="1"/>
      </tp>
      <tp>
        <v>5676</v>
        <stp/>
        <stp>OPEN_INT</stp>
        <stp>.SPY250509P556</stp>
        <tr r="AV30" s="1"/>
        <tr r="AV30" s="1"/>
      </tp>
      <tp>
        <v>4909</v>
        <stp/>
        <stp>OPEN_INT</stp>
        <stp>.SPY250516P549</stp>
        <tr r="AX37" s="1"/>
        <tr r="AX37" s="1"/>
      </tp>
      <tp>
        <v>1986</v>
        <stp/>
        <stp>OPEN_INT</stp>
        <stp>.SPY250508C557</stp>
        <tr r="AS29" s="1"/>
        <tr r="AS29" s="1"/>
      </tp>
      <tp>
        <v>1662</v>
        <stp/>
        <stp>OPEN_INT</stp>
        <stp>.SPY250509C556</stp>
        <tr r="AU30" s="1"/>
        <tr r="AU30" s="1"/>
      </tp>
      <tp>
        <v>4403</v>
        <stp/>
        <stp>OPEN_INT</stp>
        <stp>.SPY250516C549</stp>
        <tr r="AW37" s="1"/>
        <tr r="AW37" s="1"/>
      </tp>
      <tp>
        <v>9203</v>
        <stp/>
        <stp>OPEN_INT</stp>
        <stp>.SPY250508P550</stp>
        <tr r="AT36" s="1"/>
        <tr r="AT36" s="1"/>
      </tp>
      <tp>
        <v>5176</v>
        <stp/>
        <stp>OPEN_INT</stp>
        <stp>.SPY250509P551</stp>
        <tr r="AV35" s="1"/>
        <tr r="AV35" s="1"/>
      </tp>
      <tp>
        <v>664</v>
        <stp/>
        <stp>OPEN_INT</stp>
        <stp>.SPY250508C550</stp>
        <tr r="AS36" s="1"/>
        <tr r="AS36" s="1"/>
      </tp>
      <tp>
        <v>1137</v>
        <stp/>
        <stp>OPEN_INT</stp>
        <stp>.SPY250509C551</stp>
        <tr r="AU35" s="1"/>
        <tr r="AU35" s="1"/>
      </tp>
      <tp>
        <v>3362</v>
        <stp/>
        <stp>OPEN_INT</stp>
        <stp>.SPY250508P551</stp>
        <tr r="AT35" s="1"/>
        <tr r="AT35" s="1"/>
      </tp>
      <tp>
        <v>30439</v>
        <stp/>
        <stp>OPEN_INT</stp>
        <stp>.SPY250509P550</stp>
        <tr r="AV36" s="1"/>
        <tr r="AV36" s="1"/>
      </tp>
      <tp>
        <v>327</v>
        <stp/>
        <stp>OPEN_INT</stp>
        <stp>.SPY250508C551</stp>
        <tr r="AS35" s="1"/>
        <tr r="AS35" s="1"/>
      </tp>
      <tp>
        <v>8580</v>
        <stp/>
        <stp>OPEN_INT</stp>
        <stp>.SPY250509C550</stp>
        <tr r="AU36" s="1"/>
        <tr r="AU36" s="1"/>
      </tp>
      <tp>
        <v>3028</v>
        <stp/>
        <stp>OPEN_INT</stp>
        <stp>.SPY250508P552</stp>
        <tr r="AT34" s="1"/>
        <tr r="AT34" s="1"/>
      </tp>
      <tp>
        <v>4373</v>
        <stp/>
        <stp>OPEN_INT</stp>
        <stp>.SPY250509P553</stp>
        <tr r="AV33" s="1"/>
        <tr r="AV33" s="1"/>
      </tp>
      <tp>
        <v>251</v>
        <stp/>
        <stp>OPEN_INT</stp>
        <stp>.SPY250508C552</stp>
        <tr r="AS34" s="1"/>
        <tr r="AS34" s="1"/>
      </tp>
      <tp>
        <v>844</v>
        <stp/>
        <stp>OPEN_INT</stp>
        <stp>.SPY250509C553</stp>
        <tr r="AU33" s="1"/>
        <tr r="AU33" s="1"/>
      </tp>
      <tp>
        <v>3243</v>
        <stp/>
        <stp>OPEN_INT</stp>
        <stp>.SPY250508P553</stp>
        <tr r="AT33" s="1"/>
        <tr r="AT33" s="1"/>
      </tp>
      <tp>
        <v>10369</v>
        <stp/>
        <stp>OPEN_INT</stp>
        <stp>.SPY250509P552</stp>
        <tr r="AV34" s="1"/>
        <tr r="AV34" s="1"/>
      </tp>
      <tp>
        <v>273</v>
        <stp/>
        <stp>OPEN_INT</stp>
        <stp>.SPY250508C553</stp>
        <tr r="AS33" s="1"/>
        <tr r="AS33" s="1"/>
      </tp>
      <tp>
        <v>544</v>
        <stp/>
        <stp>OPEN_INT</stp>
        <stp>.SPY250509C552</stp>
        <tr r="AU34" s="1"/>
        <tr r="AU34" s="1"/>
      </tp>
      <tp>
        <v>49</v>
        <stp/>
        <stp>OPEN_INT</stp>
        <stp>.SPY250508P580</stp>
        <tr r="AT6" s="1"/>
        <tr r="AT6" s="1"/>
      </tp>
      <tp>
        <v>25</v>
        <stp/>
        <stp>OPEN_INT</stp>
        <stp>.SPY250509P581</stp>
        <tr r="AV5" s="1"/>
        <tr r="AV5" s="1"/>
      </tp>
      <tp>
        <v>6751</v>
        <stp/>
        <stp>OPEN_INT</stp>
        <stp>.SPY250508C580</stp>
        <tr r="AS6" s="1"/>
        <tr r="AS6" s="1"/>
      </tp>
      <tp>
        <v>3016</v>
        <stp/>
        <stp>OPEN_INT</stp>
        <stp>.SPY250509C581</stp>
        <tr r="AU5" s="1"/>
        <tr r="AU5" s="1"/>
      </tp>
      <tp>
        <v>0</v>
        <stp/>
        <stp>OPEN_INT</stp>
        <stp>.SPY250508P581</stp>
        <tr r="AT5" s="1"/>
        <tr r="AT5" s="1"/>
      </tp>
      <tp>
        <v>138</v>
        <stp/>
        <stp>OPEN_INT</stp>
        <stp>.SPY250509P580</stp>
        <tr r="AV6" s="1"/>
        <tr r="AV6" s="1"/>
      </tp>
      <tp>
        <v>4943</v>
        <stp/>
        <stp>OPEN_INT</stp>
        <stp>.SPY250508C581</stp>
        <tr r="AS5" s="1"/>
        <tr r="AS5" s="1"/>
      </tp>
      <tp>
        <v>19175</v>
        <stp/>
        <stp>OPEN_INT</stp>
        <stp>.SPY250509C580</stp>
        <tr r="AU6" s="1"/>
        <tr r="AU6" s="1"/>
      </tp>
      <tp>
        <v>20</v>
        <stp/>
        <stp>OPEN_INT</stp>
        <stp>.SPY250508P582</stp>
        <tr r="AT4" s="1"/>
        <tr r="AT4" s="1"/>
      </tp>
      <tp>
        <v>1703</v>
        <stp/>
        <stp>OPEN_INT</stp>
        <stp>.SPY250508C582</stp>
        <tr r="AS4" s="1"/>
        <tr r="AS4" s="1"/>
      </tp>
      <tp>
        <v>17</v>
        <stp/>
        <stp>OPEN_INT</stp>
        <stp>.SPY250509P582</stp>
        <tr r="AV4" s="1"/>
        <tr r="AV4" s="1"/>
      </tp>
      <tp>
        <v>5262</v>
        <stp/>
        <stp>OPEN_INT</stp>
        <stp>.SPY250509C582</stp>
        <tr r="AU4" s="1"/>
        <tr r="AU4" s="1"/>
      </tp>
      <tp>
        <v>2</v>
        <stp/>
        <stp>OPEN_INT</stp>
        <stp>.SPY250516P582</stp>
        <tr r="AX4" s="1"/>
        <tr r="AX4" s="1"/>
      </tp>
      <tp>
        <v>3822</v>
        <stp/>
        <stp>OPEN_INT</stp>
        <stp>.SPY250516C582</stp>
        <tr r="AW4" s="1"/>
        <tr r="AW4" s="1"/>
      </tp>
      <tp>
        <v>1631</v>
        <stp/>
        <stp>OPEN_INT</stp>
        <stp>.SPY250516P580</stp>
        <tr r="AX6" s="1"/>
        <tr r="AX6" s="1"/>
      </tp>
      <tp>
        <v>30852</v>
        <stp/>
        <stp>OPEN_INT</stp>
        <stp>.SPY250516C580</stp>
        <tr r="AW6" s="1"/>
        <tr r="AW6" s="1"/>
      </tp>
      <tp>
        <v>44</v>
        <stp/>
        <stp>OPEN_INT</stp>
        <stp>.SPY250516P581</stp>
        <tr r="AX5" s="1"/>
        <tr r="AX5" s="1"/>
      </tp>
      <tp>
        <v>4554</v>
        <stp/>
        <stp>OPEN_INT</stp>
        <stp>.SPY250516C581</stp>
        <tr r="AW5" s="1"/>
        <tr r="AW5" s="1"/>
      </tp>
      <tp>
        <v>16</v>
        <stp/>
        <stp>OPEN_INT</stp>
        <stp>.NDX250516P20200</stp>
        <tr r="AX151" s="1"/>
        <tr r="AX151" s="1"/>
      </tp>
      <tp>
        <v>29</v>
        <stp/>
        <stp>OPEN_INT</stp>
        <stp>.NDX250516P20225</stp>
        <tr r="AX150" s="1"/>
        <tr r="AX150" s="1"/>
      </tp>
      <tp>
        <v>5</v>
        <stp/>
        <stp>OPEN_INT</stp>
        <stp>.NDX250516P20250</stp>
        <tr r="AX149" s="1"/>
        <tr r="AX149" s="1"/>
      </tp>
      <tp>
        <v>7</v>
        <stp/>
        <stp>OPEN_INT</stp>
        <stp>.NDX250516P19250</stp>
        <tr r="AX189" s="1"/>
        <tr r="AX189" s="1"/>
      </tp>
      <tp>
        <v>2</v>
        <stp/>
        <stp>OPEN_INT</stp>
        <stp>.NDX250516P20275</stp>
        <tr r="AX148" s="1"/>
        <tr r="AX148" s="1"/>
      </tp>
      <tp>
        <v>6</v>
        <stp/>
        <stp>OPEN_INT</stp>
        <stp>.NDX250516P19275</stp>
        <tr r="AX188" s="1"/>
        <tr r="AX188" s="1"/>
      </tp>
      <tp>
        <v>34</v>
        <stp/>
        <stp>OPEN_INT</stp>
        <stp>.NDX250516C20225</stp>
        <tr r="AW150" s="1"/>
        <tr r="AW150" s="1"/>
      </tp>
      <tp>
        <v>56</v>
        <stp/>
        <stp>OPEN_INT</stp>
        <stp>.NDX250516C20200</stp>
        <tr r="AW151" s="1"/>
        <tr r="AW151" s="1"/>
      </tp>
      <tp>
        <v>24</v>
        <stp/>
        <stp>OPEN_INT</stp>
        <stp>.NDX250516C20275</stp>
        <tr r="AW148" s="1"/>
        <tr r="AW148" s="1"/>
      </tp>
      <tp>
        <v>10</v>
        <stp/>
        <stp>OPEN_INT</stp>
        <stp>.NDX250516C19275</stp>
        <tr r="AW188" s="1"/>
        <tr r="AW188" s="1"/>
      </tp>
      <tp>
        <v>58</v>
        <stp/>
        <stp>OPEN_INT</stp>
        <stp>.NDX250516C20250</stp>
        <tr r="AW149" s="1"/>
        <tr r="AW149" s="1"/>
      </tp>
      <tp>
        <v>21</v>
        <stp/>
        <stp>OPEN_INT</stp>
        <stp>.NDX250516C19250</stp>
        <tr r="AW189" s="1"/>
        <tr r="AW189" s="1"/>
      </tp>
      <tp>
        <v>75</v>
        <stp/>
        <stp>OPEN_INT</stp>
        <stp>.NDX250516P20100</stp>
        <tr r="AX155" s="1"/>
        <tr r="AX155" s="1"/>
      </tp>
      <tp>
        <v>31</v>
        <stp/>
        <stp>OPEN_INT</stp>
        <stp>.NDX250516P20125</stp>
        <tr r="AX154" s="1"/>
        <tr r="AX154" s="1"/>
      </tp>
      <tp>
        <v>8</v>
        <stp/>
        <stp>OPEN_INT</stp>
        <stp>.NDX250516P20150</stp>
        <tr r="AX153" s="1"/>
        <tr r="AX153" s="1"/>
      </tp>
      <tp>
        <v>11</v>
        <stp/>
        <stp>OPEN_INT</stp>
        <stp>.NDX250516P20175</stp>
        <tr r="AX152" s="1"/>
        <tr r="AX152" s="1"/>
      </tp>
      <tp>
        <v>31</v>
        <stp/>
        <stp>OPEN_INT</stp>
        <stp>.NDX250516C20125</stp>
        <tr r="AW154" s="1"/>
        <tr r="AW154" s="1"/>
      </tp>
      <tp>
        <v>92</v>
        <stp/>
        <stp>OPEN_INT</stp>
        <stp>.NDX250516C20100</stp>
        <tr r="AW155" s="1"/>
        <tr r="AW155" s="1"/>
      </tp>
      <tp>
        <v>17</v>
        <stp/>
        <stp>OPEN_INT</stp>
        <stp>.NDX250516C20175</stp>
        <tr r="AW152" s="1"/>
        <tr r="AW152" s="1"/>
      </tp>
      <tp>
        <v>21</v>
        <stp/>
        <stp>OPEN_INT</stp>
        <stp>.NDX250516C20150</stp>
        <tr r="AW153" s="1"/>
        <tr r="AW153" s="1"/>
      </tp>
      <tp t="s">
        <v>26.60%</v>
        <stp/>
        <stp>IMPL_VOL</stp>
        <stp>.SPXW250516C5850</stp>
        <tr r="EP87" s="1"/>
      </tp>
      <tp t="s">
        <v>--</v>
        <stp/>
        <stp>IMPL_VOL</stp>
        <stp>.SPXW250516P5850</stp>
        <tr r="EQ87" s="1"/>
      </tp>
      <tp t="s">
        <v>26.99%</v>
        <stp/>
        <stp>IMPL_VOL</stp>
        <stp>.SPXW250516C5840</stp>
        <tr r="EP88" s="1"/>
      </tp>
      <tp t="s">
        <v>--</v>
        <stp/>
        <stp>IMPL_VOL</stp>
        <stp>.SPXW250516P5840</stp>
        <tr r="EQ88" s="1"/>
      </tp>
      <tp t="s">
        <v>25.90%</v>
        <stp/>
        <stp>IMPL_VOL</stp>
        <stp>.SPXW250516C5870</stp>
        <tr r="EP85" s="1"/>
      </tp>
      <tp t="s">
        <v>--</v>
        <stp/>
        <stp>IMPL_VOL</stp>
        <stp>.SPXW250516P5870</stp>
        <tr r="EQ85" s="1"/>
      </tp>
      <tp t="s">
        <v>26.24%</v>
        <stp/>
        <stp>IMPL_VOL</stp>
        <stp>.SPXW250516C5860</stp>
        <tr r="EP86" s="1"/>
      </tp>
      <tp t="s">
        <v>--</v>
        <stp/>
        <stp>IMPL_VOL</stp>
        <stp>.SPXW250516P5860</stp>
        <tr r="EQ86" s="1"/>
      </tp>
      <tp t="s">
        <v>28.36%</v>
        <stp/>
        <stp>IMPL_VOL</stp>
        <stp>.SPXW250516C5810</stp>
        <tr r="EP91" s="1"/>
      </tp>
      <tp t="s">
        <v>--</v>
        <stp/>
        <stp>IMPL_VOL</stp>
        <stp>.SPXW250516P5810</stp>
        <tr r="EQ91" s="1"/>
      </tp>
      <tp t="s">
        <v>28.88%</v>
        <stp/>
        <stp>IMPL_VOL</stp>
        <stp>.SPXW250516C5800</stp>
        <tr r="EP92" s="1"/>
      </tp>
      <tp t="s">
        <v>--</v>
        <stp/>
        <stp>IMPL_VOL</stp>
        <stp>.SPXW250516P5800</stp>
        <tr r="EQ92" s="1"/>
      </tp>
      <tp t="s">
        <v>27.44%</v>
        <stp/>
        <stp>IMPL_VOL</stp>
        <stp>.SPXW250516C5830</stp>
        <tr r="EP89" s="1"/>
      </tp>
      <tp t="s">
        <v>--</v>
        <stp/>
        <stp>IMPL_VOL</stp>
        <stp>.SPXW250516P5830</stp>
        <tr r="EQ89" s="1"/>
      </tp>
      <tp t="s">
        <v>27.86%</v>
        <stp/>
        <stp>IMPL_VOL</stp>
        <stp>.SPXW250516C5820</stp>
        <tr r="EP90" s="1"/>
      </tp>
      <tp t="s">
        <v>--</v>
        <stp/>
        <stp>IMPL_VOL</stp>
        <stp>.SPXW250516P5820</stp>
        <tr r="EQ90" s="1"/>
      </tp>
      <tp>
        <v>120</v>
        <stp/>
        <stp>OPEN_INT</stp>
        <stp>.NDX250516P20000</stp>
        <tr r="AX159" s="1"/>
        <tr r="AX159" s="1"/>
      </tp>
      <tp>
        <v>33</v>
        <stp/>
        <stp>OPEN_INT</stp>
        <stp>.NDX250516P20025</stp>
        <tr r="AX158" s="1"/>
        <tr r="AX158" s="1"/>
      </tp>
      <tp>
        <v>13</v>
        <stp/>
        <stp>OPEN_INT</stp>
        <stp>.NDX250516P20050</stp>
        <tr r="AX157" s="1"/>
        <tr r="AX157" s="1"/>
      </tp>
      <tp>
        <v>20</v>
        <stp/>
        <stp>OPEN_INT</stp>
        <stp>.NDX250516P20075</stp>
        <tr r="AX156" s="1"/>
        <tr r="AX156" s="1"/>
      </tp>
      <tp>
        <v>35</v>
        <stp/>
        <stp>OPEN_INT</stp>
        <stp>.NDX250516C20025</stp>
        <tr r="AW158" s="1"/>
        <tr r="AW158" s="1"/>
      </tp>
      <tp>
        <v>144</v>
        <stp/>
        <stp>OPEN_INT</stp>
        <stp>.NDX250516C20000</stp>
        <tr r="AW159" s="1"/>
        <tr r="AW159" s="1"/>
      </tp>
      <tp>
        <v>36</v>
        <stp/>
        <stp>OPEN_INT</stp>
        <stp>.NDX250516C20075</stp>
        <tr r="AW156" s="1"/>
        <tr r="AW156" s="1"/>
      </tp>
      <tp>
        <v>30</v>
        <stp/>
        <stp>OPEN_INT</stp>
        <stp>.NDX250516C20050</stp>
        <tr r="AW157" s="1"/>
        <tr r="AW157" s="1"/>
      </tp>
      <tp t="s">
        <v>132.31%</v>
        <stp/>
        <stp>IMPL_VOL</stp>
        <stp>.SPXW250508C5830</stp>
        <tr r="EL89" s="1"/>
      </tp>
      <tp t="s">
        <v>125.31%</v>
        <stp/>
        <stp>IMPL_VOL</stp>
        <stp>.SPXW250509C5820</stp>
        <tr r="EN90" s="1"/>
      </tp>
      <tp t="s">
        <v>--</v>
        <stp/>
        <stp>IMPL_VOL</stp>
        <stp>.SPXW250508P5830</stp>
        <tr r="EM89" s="1"/>
      </tp>
      <tp t="s">
        <v>125.28%</v>
        <stp/>
        <stp>IMPL_VOL</stp>
        <stp>.SPXW250509P5820</stp>
        <tr r="EO90" s="1"/>
      </tp>
      <tp t="s">
        <v>125.31%</v>
        <stp/>
        <stp>IMPL_VOL</stp>
        <stp>.SPXW250508C5820</stp>
        <tr r="EL90" s="1"/>
      </tp>
      <tp t="s">
        <v>132.31%</v>
        <stp/>
        <stp>IMPL_VOL</stp>
        <stp>.SPXW250509C5830</stp>
        <tr r="EN89" s="1"/>
      </tp>
      <tp t="s">
        <v>--</v>
        <stp/>
        <stp>IMPL_VOL</stp>
        <stp>.SPXW250508P5820</stp>
        <tr r="EM90" s="1"/>
      </tp>
      <tp t="s">
        <v>132.30%</v>
        <stp/>
        <stp>IMPL_VOL</stp>
        <stp>.SPXW250509P5830</stp>
        <tr r="EO89" s="1"/>
      </tp>
      <tp t="s">
        <v>118.05%</v>
        <stp/>
        <stp>IMPL_VOL</stp>
        <stp>.SPXW250508C5810</stp>
        <tr r="EL91" s="1"/>
      </tp>
      <tp t="s">
        <v>110.98%</v>
        <stp/>
        <stp>IMPL_VOL</stp>
        <stp>.SPXW250509C5800</stp>
        <tr r="EN92" s="1"/>
      </tp>
      <tp t="s">
        <v>--</v>
        <stp/>
        <stp>IMPL_VOL</stp>
        <stp>.SPXW250508P5810</stp>
        <tr r="EM91" s="1"/>
      </tp>
      <tp t="s">
        <v>140.89%</v>
        <stp/>
        <stp>IMPL_VOL</stp>
        <stp>.SPXW250509P5800</stp>
        <tr r="EO92" s="1"/>
      </tp>
      <tp t="s">
        <v>110.98%</v>
        <stp/>
        <stp>IMPL_VOL</stp>
        <stp>.SPXW250508C5800</stp>
        <tr r="EL92" s="1"/>
      </tp>
      <tp t="s">
        <v>118.05%</v>
        <stp/>
        <stp>IMPL_VOL</stp>
        <stp>.SPXW250509C5810</stp>
        <tr r="EN91" s="1"/>
      </tp>
      <tp t="s">
        <v>--</v>
        <stp/>
        <stp>IMPL_VOL</stp>
        <stp>.SPXW250508P5800</stp>
        <tr r="EM92" s="1"/>
      </tp>
      <tp t="s">
        <v>118.01%</v>
        <stp/>
        <stp>IMPL_VOL</stp>
        <stp>.SPXW250509P5810</stp>
        <tr r="EO91" s="1"/>
      </tp>
      <tp t="s">
        <v>159.92%</v>
        <stp/>
        <stp>IMPL_VOL</stp>
        <stp>.SPXW250508C5870</stp>
        <tr r="EL85" s="1"/>
      </tp>
      <tp t="s">
        <v>153.08%</v>
        <stp/>
        <stp>IMPL_VOL</stp>
        <stp>.SPXW250509C5860</stp>
        <tr r="EN86" s="1"/>
      </tp>
      <tp t="s">
        <v>--</v>
        <stp/>
        <stp>IMPL_VOL</stp>
        <stp>.SPXW250508P5870</stp>
        <tr r="EM85" s="1"/>
      </tp>
      <tp t="s">
        <v>222.02%</v>
        <stp/>
        <stp>IMPL_VOL</stp>
        <stp>.SPXW250509P5860</stp>
        <tr r="EO86" s="1"/>
      </tp>
      <tp t="s">
        <v>153.08%</v>
        <stp/>
        <stp>IMPL_VOL</stp>
        <stp>.SPXW250508C5860</stp>
        <tr r="EL86" s="1"/>
      </tp>
      <tp t="s">
        <v>159.92%</v>
        <stp/>
        <stp>IMPL_VOL</stp>
        <stp>.SPXW250509C5870</stp>
        <tr r="EN85" s="1"/>
      </tp>
      <tp t="s">
        <v>--</v>
        <stp/>
        <stp>IMPL_VOL</stp>
        <stp>.SPXW250508P5860</stp>
        <tr r="EM86" s="1"/>
      </tp>
      <tp t="s">
        <v>231.23%</v>
        <stp/>
        <stp>IMPL_VOL</stp>
        <stp>.SPXW250509P5870</stp>
        <tr r="EO85" s="1"/>
      </tp>
      <tp t="s">
        <v>146.19%</v>
        <stp/>
        <stp>IMPL_VOL</stp>
        <stp>.SPXW250508C5850</stp>
        <tr r="EL87" s="1"/>
      </tp>
      <tp t="s">
        <v>139.27%</v>
        <stp/>
        <stp>IMPL_VOL</stp>
        <stp>.SPXW250509C5840</stp>
        <tr r="EN88" s="1"/>
      </tp>
      <tp t="s">
        <v>--</v>
        <stp/>
        <stp>IMPL_VOL</stp>
        <stp>.SPXW250508P5850</stp>
        <tr r="EM87" s="1"/>
      </tp>
      <tp t="s">
        <v>205.64%</v>
        <stp/>
        <stp>IMPL_VOL</stp>
        <stp>.SPXW250509P5840</stp>
        <tr r="EO88" s="1"/>
      </tp>
      <tp t="s">
        <v>139.27%</v>
        <stp/>
        <stp>IMPL_VOL</stp>
        <stp>.SPXW250508C5840</stp>
        <tr r="EL88" s="1"/>
      </tp>
      <tp t="s">
        <v>146.19%</v>
        <stp/>
        <stp>IMPL_VOL</stp>
        <stp>.SPXW250509C5850</stp>
        <tr r="EN87" s="1"/>
      </tp>
      <tp t="s">
        <v>--</v>
        <stp/>
        <stp>IMPL_VOL</stp>
        <stp>.SPXW250508P5840</stp>
        <tr r="EM88" s="1"/>
      </tp>
      <tp t="s">
        <v>215.07%</v>
        <stp/>
        <stp>IMPL_VOL</stp>
        <stp>.SPXW250509P5850</stp>
        <tr r="EO87" s="1"/>
      </tp>
      <tp>
        <v>-0.09</v>
        <stp/>
        <stp>DELTA</stp>
        <stp>.NDXP250508P19725</stp>
        <tr r="CE170" s="1"/>
        <tr r="CE170" s="1"/>
      </tp>
      <tp>
        <v>-7.0000000000000007E-2</v>
        <stp/>
        <stp>DELTA</stp>
        <stp>.NDXP250509P19625</stp>
        <tr r="CG174" s="1"/>
        <tr r="CG174" s="1"/>
      </tp>
      <tp>
        <v>-0.05</v>
        <stp/>
        <stp>DELTA</stp>
        <stp>.NDXP250508P19700</stp>
        <tr r="CE171" s="1"/>
        <tr r="CE171" s="1"/>
      </tp>
      <tp>
        <v>0</v>
        <stp/>
        <stp>DELTA</stp>
        <stp>.NDXP250509P19600</stp>
        <tr r="CG175" s="1"/>
        <tr r="CG175" s="1"/>
      </tp>
      <tp>
        <v>-0.1</v>
        <stp/>
        <stp>DELTA</stp>
        <stp>.NDXP250508P19775</stp>
        <tr r="CE168" s="1"/>
        <tr r="CE168" s="1"/>
      </tp>
      <tp>
        <v>-0.08</v>
        <stp/>
        <stp>DELTA</stp>
        <stp>.NDXP250509P19675</stp>
        <tr r="CG172" s="1"/>
        <tr r="CG172" s="1"/>
      </tp>
      <tp>
        <v>-0.03</v>
        <stp/>
        <stp>DELTA</stp>
        <stp>.NDXP250508P19750</stp>
        <tr r="CE169" s="1"/>
        <tr r="CE169" s="1"/>
      </tp>
      <tp>
        <v>-0.08</v>
        <stp/>
        <stp>DELTA</stp>
        <stp>.NDXP250509P19650</stp>
        <tr r="CG173" s="1"/>
        <tr r="CG173" s="1"/>
      </tp>
      <tp>
        <v>0.93</v>
        <stp/>
        <stp>DELTA</stp>
        <stp>.NDXP250508C19700</stp>
        <tr r="CD171" s="1"/>
        <tr r="CD171" s="1"/>
      </tp>
      <tp>
        <v>0.97</v>
        <stp/>
        <stp>DELTA</stp>
        <stp>.NDXP250509C19600</stp>
        <tr r="CF175" s="1"/>
        <tr r="CF175" s="1"/>
      </tp>
      <tp>
        <v>0.92</v>
        <stp/>
        <stp>DELTA</stp>
        <stp>.NDXP250508C19725</stp>
        <tr r="CD170" s="1"/>
        <tr r="CD170" s="1"/>
      </tp>
      <tp>
        <v>1</v>
        <stp/>
        <stp>DELTA</stp>
        <stp>.NDXP250509C19625</stp>
        <tr r="CF174" s="1"/>
        <tr r="CF174" s="1"/>
      </tp>
      <tp>
        <v>0.9</v>
        <stp/>
        <stp>DELTA</stp>
        <stp>.NDXP250508C19750</stp>
        <tr r="CD169" s="1"/>
        <tr r="CD169" s="1"/>
      </tp>
      <tp>
        <v>1</v>
        <stp/>
        <stp>DELTA</stp>
        <stp>.NDXP250509C19650</stp>
        <tr r="CF173" s="1"/>
        <tr r="CF173" s="1"/>
      </tp>
      <tp>
        <v>0.91</v>
        <stp/>
        <stp>DELTA</stp>
        <stp>.NDXP250508C19775</stp>
        <tr r="CD168" s="1"/>
        <tr r="CD168" s="1"/>
      </tp>
      <tp>
        <v>1</v>
        <stp/>
        <stp>DELTA</stp>
        <stp>.NDXP250509C19675</stp>
        <tr r="CF172" s="1"/>
        <tr r="CF172" s="1"/>
      </tp>
      <tp t="s">
        <v>N/A</v>
        <stp/>
        <stp>VOLUME</stp>
        <stp>.NDXP250829C19575</stp>
        <tr r="P177" s="2"/>
      </tp>
      <tp t="s">
        <v>N/A</v>
        <stp/>
        <stp>VOLUME</stp>
        <stp>.NDXP250508C20475</stp>
        <tr r="BA140" s="1"/>
      </tp>
      <tp t="s">
        <v>N/A</v>
        <stp/>
        <stp>VOLUME</stp>
        <stp>.NDXP250508C19475</stp>
        <tr r="BA180" s="1"/>
      </tp>
      <tp>
        <v>9</v>
        <stp/>
        <stp>VOLUME</stp>
        <stp>.NDXP250509C19575</stp>
        <tr r="BC176" s="1"/>
        <tr r="BC176" s="1"/>
      </tp>
      <tp t="s">
        <v>N/A</v>
        <stp/>
        <stp>VOLUME</stp>
        <stp>.NDXP251128C20475</stp>
        <tr r="V141" s="2"/>
      </tp>
      <tp t="s">
        <v>N/A</v>
        <stp/>
        <stp>VOLUME</stp>
        <stp>.NDXP251128C19475</stp>
        <tr r="V181" s="2"/>
      </tp>
      <tp t="s">
        <v>N/A</v>
        <stp/>
        <stp>VOLUME</stp>
        <stp>.NDXP250829C20550</stp>
        <tr r="P138" s="2"/>
      </tp>
      <tp t="s">
        <v>N/A</v>
        <stp/>
        <stp>VOLUME</stp>
        <stp>.NDXP250829C19550</stp>
        <tr r="P178" s="2"/>
      </tp>
      <tp t="s">
        <v>N/A</v>
        <stp/>
        <stp>VOLUME</stp>
        <stp>.NDXP250508C20450</stp>
        <tr r="BA141" s="1"/>
      </tp>
      <tp>
        <v>61</v>
        <stp/>
        <stp>VOLUME</stp>
        <stp>.NDXP250509C20550</stp>
        <tr r="BC137" s="1"/>
        <tr r="BC137" s="1"/>
      </tp>
      <tp t="s">
        <v>N/A</v>
        <stp/>
        <stp>VOLUME</stp>
        <stp>.NDXP250508C19450</stp>
        <tr r="BA181" s="1"/>
      </tp>
      <tp t="s">
        <v>N/A</v>
        <stp/>
        <stp>VOLUME</stp>
        <stp>.NDXP250509C19550</stp>
        <tr r="BC177" s="1"/>
      </tp>
      <tp t="s">
        <v>N/A</v>
        <stp/>
        <stp>VOLUME</stp>
        <stp>.NDXP251128C20450</stp>
        <tr r="V142" s="2"/>
      </tp>
      <tp t="s">
        <v>N/A</v>
        <stp/>
        <stp>VOLUME</stp>
        <stp>.NDXP251128C19450</stp>
        <tr r="V182" s="2"/>
      </tp>
      <tp t="s">
        <v>N/A</v>
        <stp/>
        <stp>VOLUME</stp>
        <stp>.NDXP251128C20425</stp>
        <tr r="V143" s="2"/>
      </tp>
      <tp t="s">
        <v>N/A</v>
        <stp/>
        <stp>VOLUME</stp>
        <stp>.NDXP251128C19425</stp>
        <tr r="V183" s="2"/>
      </tp>
      <tp t="s">
        <v>N/A</v>
        <stp/>
        <stp>VOLUME</stp>
        <stp>.NDXP250829C20525</stp>
        <tr r="P139" s="2"/>
      </tp>
      <tp t="s">
        <v>N/A</v>
        <stp/>
        <stp>VOLUME</stp>
        <stp>.NDXP250829C19525</stp>
        <tr r="P179" s="2"/>
      </tp>
      <tp t="s">
        <v>N/A</v>
        <stp/>
        <stp>VOLUME</stp>
        <stp>.NDXP250508C20425</stp>
        <tr r="BA142" s="1"/>
      </tp>
      <tp>
        <v>31</v>
        <stp/>
        <stp>VOLUME</stp>
        <stp>.NDXP250509C20525</stp>
        <tr r="BC138" s="1"/>
        <tr r="BC138" s="1"/>
      </tp>
      <tp t="s">
        <v>N/A</v>
        <stp/>
        <stp>VOLUME</stp>
        <stp>.NDXP250508C19425</stp>
        <tr r="BA182" s="1"/>
      </tp>
      <tp t="s">
        <v>N/A</v>
        <stp/>
        <stp>VOLUME</stp>
        <stp>.NDXP250509C19525</stp>
        <tr r="BC178" s="1"/>
      </tp>
      <tp t="s">
        <v>N/A</v>
        <stp/>
        <stp>VOLUME</stp>
        <stp>.NDXP251128C20400</stp>
        <tr r="V144" s="2"/>
      </tp>
      <tp t="s">
        <v>N/A</v>
        <stp/>
        <stp>VOLUME</stp>
        <stp>.NDXP251128C19400</stp>
        <tr r="V184" s="2"/>
      </tp>
      <tp t="s">
        <v>N/A</v>
        <stp/>
        <stp>VOLUME</stp>
        <stp>.NDXP250829C20500</stp>
        <tr r="P140" s="2"/>
      </tp>
      <tp t="s">
        <v>N/A</v>
        <stp/>
        <stp>VOLUME</stp>
        <stp>.NDXP250829C19500</stp>
        <tr r="P180" s="2"/>
      </tp>
      <tp t="s">
        <v>N/A</v>
        <stp/>
        <stp>VOLUME</stp>
        <stp>.NDXP250508C20400</stp>
        <tr r="BA143" s="1"/>
      </tp>
      <tp>
        <v>239</v>
        <stp/>
        <stp>VOLUME</stp>
        <stp>.NDXP250509C20500</stp>
        <tr r="BC139" s="1"/>
        <tr r="BC139" s="1"/>
      </tp>
      <tp t="s">
        <v>N/A</v>
        <stp/>
        <stp>VOLUME</stp>
        <stp>.NDXP250508C19400</stp>
        <tr r="BA183" s="1"/>
      </tp>
      <tp>
        <v>9</v>
        <stp/>
        <stp>VOLUME</stp>
        <stp>.NDXP250509C19500</stp>
        <tr r="BC179" s="1"/>
        <tr r="BC179" s="1"/>
      </tp>
      <tp t="s">
        <v>N/A</v>
        <stp/>
        <stp>VOLUME</stp>
        <stp>.NDXP251128P20450</stp>
        <tr r="V142" s="2"/>
      </tp>
      <tp t="s">
        <v>N/A</v>
        <stp/>
        <stp>VOLUME</stp>
        <stp>.NDXP251128P19450</stp>
        <tr r="V182" s="2"/>
      </tp>
      <tp t="s">
        <v>N/A</v>
        <stp/>
        <stp>VOLUME</stp>
        <stp>.NDXP250829P20550</stp>
        <tr r="P138" s="2"/>
      </tp>
      <tp t="s">
        <v>N/A</v>
        <stp/>
        <stp>VOLUME</stp>
        <stp>.NDXP250829P19550</stp>
        <tr r="P178" s="2"/>
      </tp>
      <tp t="s">
        <v>N/A</v>
        <stp/>
        <stp>VOLUME</stp>
        <stp>.NDXP250508P20450</stp>
        <tr r="BB141" s="1"/>
      </tp>
      <tp t="s">
        <v>N/A</v>
        <stp/>
        <stp>VOLUME</stp>
        <stp>.NDXP250509P20550</stp>
        <tr r="BD137" s="1"/>
      </tp>
      <tp t="s">
        <v>N/A</v>
        <stp/>
        <stp>VOLUME</stp>
        <stp>.NDXP250508P19450</stp>
        <tr r="BB181" s="1"/>
      </tp>
      <tp>
        <v>51</v>
        <stp/>
        <stp>VOLUME</stp>
        <stp>.NDXP250509P19550</stp>
        <tr r="BD177" s="1"/>
        <tr r="BD177" s="1"/>
      </tp>
      <tp t="s">
        <v>N/A</v>
        <stp/>
        <stp>VOLUME</stp>
        <stp>.NDXP251128P20475</stp>
        <tr r="V141" s="2"/>
      </tp>
      <tp t="s">
        <v>N/A</v>
        <stp/>
        <stp>VOLUME</stp>
        <stp>.NDXP251128P19475</stp>
        <tr r="V181" s="2"/>
      </tp>
      <tp t="s">
        <v>N/A</v>
        <stp/>
        <stp>VOLUME</stp>
        <stp>.NDXP250829P19575</stp>
        <tr r="P177" s="2"/>
      </tp>
      <tp t="s">
        <v>N/A</v>
        <stp/>
        <stp>VOLUME</stp>
        <stp>.NDXP250508P20475</stp>
        <tr r="BB140" s="1"/>
      </tp>
      <tp t="s">
        <v>N/A</v>
        <stp/>
        <stp>VOLUME</stp>
        <stp>.NDXP250508P19475</stp>
        <tr r="BB180" s="1"/>
      </tp>
      <tp>
        <v>50</v>
        <stp/>
        <stp>VOLUME</stp>
        <stp>.NDXP250509P19575</stp>
        <tr r="BD176" s="1"/>
        <tr r="BD176" s="1"/>
      </tp>
      <tp t="s">
        <v>N/A</v>
        <stp/>
        <stp>VOLUME</stp>
        <stp>.NDXP250829P20500</stp>
        <tr r="P140" s="2"/>
      </tp>
      <tp t="s">
        <v>N/A</v>
        <stp/>
        <stp>VOLUME</stp>
        <stp>.NDXP250829P19500</stp>
        <tr r="P180" s="2"/>
      </tp>
      <tp t="s">
        <v>N/A</v>
        <stp/>
        <stp>VOLUME</stp>
        <stp>.NDXP250508P20400</stp>
        <tr r="BB143" s="1"/>
      </tp>
      <tp>
        <v>7</v>
        <stp/>
        <stp>VOLUME</stp>
        <stp>.NDXP250509P20500</stp>
        <tr r="BD139" s="1"/>
        <tr r="BD139" s="1"/>
      </tp>
      <tp t="s">
        <v>N/A</v>
        <stp/>
        <stp>VOLUME</stp>
        <stp>.NDXP250508P19400</stp>
        <tr r="BB183" s="1"/>
      </tp>
      <tp>
        <v>178</v>
        <stp/>
        <stp>VOLUME</stp>
        <stp>.NDXP250509P19500</stp>
        <tr r="BD179" s="1"/>
        <tr r="BD179" s="1"/>
      </tp>
      <tp t="s">
        <v>N/A</v>
        <stp/>
        <stp>VOLUME</stp>
        <stp>.NDXP251128P20400</stp>
        <tr r="V144" s="2"/>
      </tp>
      <tp t="s">
        <v>N/A</v>
        <stp/>
        <stp>VOLUME</stp>
        <stp>.NDXP251128P19400</stp>
        <tr r="V184" s="2"/>
      </tp>
      <tp t="s">
        <v>N/A</v>
        <stp/>
        <stp>VOLUME</stp>
        <stp>.NDXP250829P20525</stp>
        <tr r="P139" s="2"/>
      </tp>
      <tp t="s">
        <v>N/A</v>
        <stp/>
        <stp>VOLUME</stp>
        <stp>.NDXP250829P19525</stp>
        <tr r="P179" s="2"/>
      </tp>
      <tp t="s">
        <v>N/A</v>
        <stp/>
        <stp>VOLUME</stp>
        <stp>.NDXP250508P20425</stp>
        <tr r="BB142" s="1"/>
      </tp>
      <tp t="s">
        <v>N/A</v>
        <stp/>
        <stp>VOLUME</stp>
        <stp>.NDXP250509P20525</stp>
        <tr r="BD138" s="1"/>
      </tp>
      <tp t="s">
        <v>N/A</v>
        <stp/>
        <stp>VOLUME</stp>
        <stp>.NDXP250508P19425</stp>
        <tr r="BB182" s="1"/>
      </tp>
      <tp>
        <v>32</v>
        <stp/>
        <stp>VOLUME</stp>
        <stp>.NDXP250509P19525</stp>
        <tr r="BD178" s="1"/>
        <tr r="BD178" s="1"/>
      </tp>
      <tp t="s">
        <v>N/A</v>
        <stp/>
        <stp>VOLUME</stp>
        <stp>.NDXP251128P20425</stp>
        <tr r="V143" s="2"/>
      </tp>
      <tp t="s">
        <v>N/A</v>
        <stp/>
        <stp>VOLUME</stp>
        <stp>.NDXP251128P19425</stp>
        <tr r="V183" s="2"/>
      </tp>
      <tp>
        <v>-7.0000000000000007E-2</v>
        <stp/>
        <stp>DELTA</stp>
        <stp>.NDXP250508P19625</stp>
        <tr r="CE174" s="1"/>
        <tr r="CE174" s="1"/>
      </tp>
      <tp>
        <v>-0.09</v>
        <stp/>
        <stp>DELTA</stp>
        <stp>.NDXP250509P19725</stp>
        <tr r="CG170" s="1"/>
        <tr r="CG170" s="1"/>
      </tp>
      <tp>
        <v>-7.0000000000000007E-2</v>
        <stp/>
        <stp>DELTA</stp>
        <stp>.NDXP250508P19600</stp>
        <tr r="CE175" s="1"/>
        <tr r="CE175" s="1"/>
      </tp>
      <tp>
        <v>-0.03</v>
        <stp/>
        <stp>DELTA</stp>
        <stp>.NDXP250509P19700</stp>
        <tr r="CG171" s="1"/>
        <tr r="CG171" s="1"/>
      </tp>
      <tp>
        <v>-0.08</v>
        <stp/>
        <stp>DELTA</stp>
        <stp>.NDXP250508P19675</stp>
        <tr r="CE172" s="1"/>
        <tr r="CE172" s="1"/>
      </tp>
      <tp>
        <v>-0.1</v>
        <stp/>
        <stp>DELTA</stp>
        <stp>.NDXP250509P19775</stp>
        <tr r="CG168" s="1"/>
        <tr r="CG168" s="1"/>
      </tp>
      <tp>
        <v>-0.08</v>
        <stp/>
        <stp>DELTA</stp>
        <stp>.NDXP250508P19650</stp>
        <tr r="CE173" s="1"/>
        <tr r="CE173" s="1"/>
      </tp>
      <tp>
        <v>-7.0000000000000007E-2</v>
        <stp/>
        <stp>DELTA</stp>
        <stp>.NDXP250509P19750</stp>
        <tr r="CG169" s="1"/>
        <tr r="CG169" s="1"/>
      </tp>
      <tp>
        <v>0.96</v>
        <stp/>
        <stp>DELTA</stp>
        <stp>.NDXP250508C19600</stp>
        <tr r="CD175" s="1"/>
        <tr r="CD175" s="1"/>
      </tp>
      <tp>
        <v>1</v>
        <stp/>
        <stp>DELTA</stp>
        <stp>.NDXP250509C19700</stp>
        <tr r="CF171" s="1"/>
        <tr r="CF171" s="1"/>
      </tp>
      <tp>
        <v>0.93</v>
        <stp/>
        <stp>DELTA</stp>
        <stp>.NDXP250508C19625</stp>
        <tr r="CD174" s="1"/>
        <tr r="CD174" s="1"/>
      </tp>
      <tp>
        <v>1</v>
        <stp/>
        <stp>DELTA</stp>
        <stp>.NDXP250509C19725</stp>
        <tr r="CF170" s="1"/>
        <tr r="CF170" s="1"/>
      </tp>
      <tp>
        <v>0.93</v>
        <stp/>
        <stp>DELTA</stp>
        <stp>.NDXP250508C19650</stp>
        <tr r="CD173" s="1"/>
        <tr r="CD173" s="1"/>
      </tp>
      <tp>
        <v>1</v>
        <stp/>
        <stp>DELTA</stp>
        <stp>.NDXP250509C19750</stp>
        <tr r="CF169" s="1"/>
        <tr r="CF169" s="1"/>
      </tp>
      <tp>
        <v>0.93</v>
        <stp/>
        <stp>DELTA</stp>
        <stp>.NDXP250508C19675</stp>
        <tr r="CD172" s="1"/>
        <tr r="CD172" s="1"/>
      </tp>
      <tp>
        <v>1</v>
        <stp/>
        <stp>DELTA</stp>
        <stp>.NDXP250509C19775</stp>
        <tr r="CF168" s="1"/>
        <tr r="CF168" s="1"/>
      </tp>
      <tp t="s">
        <v>N/A</v>
        <stp/>
        <stp>VOLUME</stp>
        <stp>.NDXP250829C20475</stp>
        <tr r="P141" s="2"/>
      </tp>
      <tp t="s">
        <v>N/A</v>
        <stp/>
        <stp>VOLUME</stp>
        <stp>.NDXP250829C19475</stp>
        <tr r="P181" s="2"/>
      </tp>
      <tp>
        <v>299</v>
        <stp/>
        <stp>VOLUME</stp>
        <stp>.NDXP250509C20475</stp>
        <tr r="BC140" s="1"/>
        <tr r="BC140" s="1"/>
      </tp>
      <tp t="s">
        <v>N/A</v>
        <stp/>
        <stp>VOLUME</stp>
        <stp>.NDXP250508C19575</stp>
        <tr r="BA176" s="1"/>
      </tp>
      <tp t="s">
        <v>N/A</v>
        <stp/>
        <stp>VOLUME</stp>
        <stp>.NDXP250509C19475</stp>
        <tr r="BC180" s="1"/>
      </tp>
      <tp t="s">
        <v>N/A</v>
        <stp/>
        <stp>VOLUME</stp>
        <stp>.NDXP251128C19575</stp>
        <tr r="V177" s="2"/>
      </tp>
      <tp t="s">
        <v>N/A</v>
        <stp/>
        <stp>VOLUME</stp>
        <stp>.NDXP250829C20450</stp>
        <tr r="P142" s="2"/>
      </tp>
      <tp t="s">
        <v>N/A</v>
        <stp/>
        <stp>VOLUME</stp>
        <stp>.NDXP250829C19450</stp>
        <tr r="P182" s="2"/>
      </tp>
      <tp t="s">
        <v>N/A</v>
        <stp/>
        <stp>VOLUME</stp>
        <stp>.NDXP250508C20550</stp>
        <tr r="BA137" s="1"/>
      </tp>
      <tp>
        <v>92</v>
        <stp/>
        <stp>VOLUME</stp>
        <stp>.NDXP250509C20450</stp>
        <tr r="BC141" s="1"/>
        <tr r="BC141" s="1"/>
      </tp>
      <tp t="s">
        <v>N/A</v>
        <stp/>
        <stp>VOLUME</stp>
        <stp>.NDXP250508C19550</stp>
        <tr r="BA177" s="1"/>
      </tp>
      <tp t="s">
        <v>N/A</v>
        <stp/>
        <stp>VOLUME</stp>
        <stp>.NDXP250509C19450</stp>
        <tr r="BC181" s="1"/>
      </tp>
      <tp t="s">
        <v>N/A</v>
        <stp/>
        <stp>VOLUME</stp>
        <stp>.NDXP251128C20550</stp>
        <tr r="V138" s="2"/>
      </tp>
      <tp t="s">
        <v>N/A</v>
        <stp/>
        <stp>VOLUME</stp>
        <stp>.NDXP251128C19550</stp>
        <tr r="V178" s="2"/>
      </tp>
      <tp t="s">
        <v>N/A</v>
        <stp/>
        <stp>VOLUME</stp>
        <stp>.NDXP251128C20525</stp>
        <tr r="V139" s="2"/>
      </tp>
      <tp t="s">
        <v>N/A</v>
        <stp/>
        <stp>VOLUME</stp>
        <stp>.NDXP251128C19525</stp>
        <tr r="V179" s="2"/>
      </tp>
      <tp t="s">
        <v>N/A</v>
        <stp/>
        <stp>VOLUME</stp>
        <stp>.NDXP250829C20425</stp>
        <tr r="P143" s="2"/>
      </tp>
      <tp t="s">
        <v>N/A</v>
        <stp/>
        <stp>VOLUME</stp>
        <stp>.NDXP250829C19425</stp>
        <tr r="P183" s="2"/>
      </tp>
      <tp t="s">
        <v>N/A</v>
        <stp/>
        <stp>VOLUME</stp>
        <stp>.NDXP250508C20525</stp>
        <tr r="BA138" s="1"/>
      </tp>
      <tp>
        <v>41</v>
        <stp/>
        <stp>VOLUME</stp>
        <stp>.NDXP250509C20425</stp>
        <tr r="BC142" s="1"/>
        <tr r="BC142" s="1"/>
      </tp>
      <tp t="s">
        <v>N/A</v>
        <stp/>
        <stp>VOLUME</stp>
        <stp>.NDXP250508C19525</stp>
        <tr r="BA178" s="1"/>
      </tp>
      <tp t="s">
        <v>N/A</v>
        <stp/>
        <stp>VOLUME</stp>
        <stp>.NDXP250509C19425</stp>
        <tr r="BC182" s="1"/>
      </tp>
      <tp t="s">
        <v>N/A</v>
        <stp/>
        <stp>VOLUME</stp>
        <stp>.NDXP251128C20500</stp>
        <tr r="V140" s="2"/>
      </tp>
      <tp t="s">
        <v>N/A</v>
        <stp/>
        <stp>VOLUME</stp>
        <stp>.NDXP251128C19500</stp>
        <tr r="V180" s="2"/>
      </tp>
      <tp t="s">
        <v>N/A</v>
        <stp/>
        <stp>VOLUME</stp>
        <stp>.NDXP250829C20400</stp>
        <tr r="P144" s="2"/>
      </tp>
      <tp t="s">
        <v>N/A</v>
        <stp/>
        <stp>VOLUME</stp>
        <stp>.NDXP250829C19400</stp>
        <tr r="P184" s="2"/>
      </tp>
      <tp t="s">
        <v>N/A</v>
        <stp/>
        <stp>VOLUME</stp>
        <stp>.NDXP250508C20500</stp>
        <tr r="BA139" s="1"/>
      </tp>
      <tp>
        <v>340</v>
        <stp/>
        <stp>VOLUME</stp>
        <stp>.NDXP250509C20400</stp>
        <tr r="BC143" s="1"/>
        <tr r="BC143" s="1"/>
      </tp>
      <tp t="s">
        <v>N/A</v>
        <stp/>
        <stp>VOLUME</stp>
        <stp>.NDXP250508C19500</stp>
        <tr r="BA179" s="1"/>
      </tp>
      <tp t="s">
        <v>N/A</v>
        <stp/>
        <stp>VOLUME</stp>
        <stp>.NDXP250509C19400</stp>
        <tr r="BC183" s="1"/>
      </tp>
      <tp t="s">
        <v>N/A</v>
        <stp/>
        <stp>VOLUME</stp>
        <stp>.NDXP251128P20550</stp>
        <tr r="V138" s="2"/>
      </tp>
      <tp t="s">
        <v>N/A</v>
        <stp/>
        <stp>VOLUME</stp>
        <stp>.NDXP251128P19550</stp>
        <tr r="V178" s="2"/>
      </tp>
      <tp t="s">
        <v>N/A</v>
        <stp/>
        <stp>VOLUME</stp>
        <stp>.NDXP250829P20450</stp>
        <tr r="P142" s="2"/>
      </tp>
      <tp t="s">
        <v>N/A</v>
        <stp/>
        <stp>VOLUME</stp>
        <stp>.NDXP250829P19450</stp>
        <tr r="P182" s="2"/>
      </tp>
      <tp t="s">
        <v>N/A</v>
        <stp/>
        <stp>VOLUME</stp>
        <stp>.NDXP250508P20550</stp>
        <tr r="BB137" s="1"/>
      </tp>
      <tp t="s">
        <v>N/A</v>
        <stp/>
        <stp>VOLUME</stp>
        <stp>.NDXP250509P20450</stp>
        <tr r="BD141" s="1"/>
      </tp>
      <tp t="s">
        <v>N/A</v>
        <stp/>
        <stp>VOLUME</stp>
        <stp>.NDXP250508P19550</stp>
        <tr r="BB177" s="1"/>
      </tp>
      <tp>
        <v>29</v>
        <stp/>
        <stp>VOLUME</stp>
        <stp>.NDXP250509P19450</stp>
        <tr r="BD181" s="1"/>
        <tr r="BD181" s="1"/>
      </tp>
      <tp t="s">
        <v>N/A</v>
        <stp/>
        <stp>VOLUME</stp>
        <stp>.NDXP251128P19575</stp>
        <tr r="V177" s="2"/>
      </tp>
      <tp t="s">
        <v>N/A</v>
        <stp/>
        <stp>VOLUME</stp>
        <stp>.NDXP250829P20475</stp>
        <tr r="P141" s="2"/>
      </tp>
      <tp t="s">
        <v>N/A</v>
        <stp/>
        <stp>VOLUME</stp>
        <stp>.NDXP250829P19475</stp>
        <tr r="P181" s="2"/>
      </tp>
      <tp t="s">
        <v>N/A</v>
        <stp/>
        <stp>VOLUME</stp>
        <stp>.NDXP250509P20475</stp>
        <tr r="BD140" s="1"/>
      </tp>
      <tp t="s">
        <v>N/A</v>
        <stp/>
        <stp>VOLUME</stp>
        <stp>.NDXP250508P19575</stp>
        <tr r="BB176" s="1"/>
      </tp>
      <tp>
        <v>5</v>
        <stp/>
        <stp>VOLUME</stp>
        <stp>.NDXP250509P19475</stp>
        <tr r="BD180" s="1"/>
        <tr r="BD180" s="1"/>
      </tp>
      <tp t="s">
        <v>N/A</v>
        <stp/>
        <stp>VOLUME</stp>
        <stp>.NDXP250829P20400</stp>
        <tr r="P144" s="2"/>
      </tp>
      <tp t="s">
        <v>N/A</v>
        <stp/>
        <stp>VOLUME</stp>
        <stp>.NDXP250829P19400</stp>
        <tr r="P184" s="2"/>
      </tp>
      <tp t="s">
        <v>N/A</v>
        <stp/>
        <stp>VOLUME</stp>
        <stp>.NDXP250508P20500</stp>
        <tr r="BB139" s="1"/>
      </tp>
      <tp>
        <v>8</v>
        <stp/>
        <stp>VOLUME</stp>
        <stp>.NDXP250509P20400</stp>
        <tr r="BD143" s="1"/>
        <tr r="BD143" s="1"/>
      </tp>
      <tp t="s">
        <v>N/A</v>
        <stp/>
        <stp>VOLUME</stp>
        <stp>.NDXP250508P19500</stp>
        <tr r="BB179" s="1"/>
      </tp>
      <tp>
        <v>142</v>
        <stp/>
        <stp>VOLUME</stp>
        <stp>.NDXP250509P19400</stp>
        <tr r="BD183" s="1"/>
        <tr r="BD183" s="1"/>
      </tp>
      <tp t="s">
        <v>N/A</v>
        <stp/>
        <stp>VOLUME</stp>
        <stp>.NDXP251128P20500</stp>
        <tr r="V140" s="2"/>
      </tp>
      <tp t="s">
        <v>N/A</v>
        <stp/>
        <stp>VOLUME</stp>
        <stp>.NDXP251128P19500</stp>
        <tr r="V180" s="2"/>
      </tp>
      <tp t="s">
        <v>N/A</v>
        <stp/>
        <stp>VOLUME</stp>
        <stp>.NDXP250829P20425</stp>
        <tr r="P143" s="2"/>
      </tp>
      <tp t="s">
        <v>N/A</v>
        <stp/>
        <stp>VOLUME</stp>
        <stp>.NDXP250829P19425</stp>
        <tr r="P183" s="2"/>
      </tp>
      <tp t="s">
        <v>N/A</v>
        <stp/>
        <stp>VOLUME</stp>
        <stp>.NDXP250508P20525</stp>
        <tr r="BB138" s="1"/>
      </tp>
      <tp>
        <v>3</v>
        <stp/>
        <stp>VOLUME</stp>
        <stp>.NDXP250509P20425</stp>
        <tr r="BD142" s="1"/>
        <tr r="BD142" s="1"/>
      </tp>
      <tp t="s">
        <v>N/A</v>
        <stp/>
        <stp>VOLUME</stp>
        <stp>.NDXP250508P19525</stp>
        <tr r="BB178" s="1"/>
      </tp>
      <tp>
        <v>26</v>
        <stp/>
        <stp>VOLUME</stp>
        <stp>.NDXP250509P19425</stp>
        <tr r="BD182" s="1"/>
        <tr r="BD182" s="1"/>
      </tp>
      <tp t="s">
        <v>N/A</v>
        <stp/>
        <stp>VOLUME</stp>
        <stp>.NDXP251128P20525</stp>
        <tr r="V139" s="2"/>
      </tp>
      <tp t="s">
        <v>N/A</v>
        <stp/>
        <stp>VOLUME</stp>
        <stp>.NDXP251128P19525</stp>
        <tr r="V179" s="2"/>
      </tp>
      <tp>
        <v>-1</v>
        <stp/>
        <stp>DELTA</stp>
        <stp>.NDXP250508P20525</stp>
        <tr r="CE138" s="1"/>
        <tr r="CE138" s="1"/>
      </tp>
      <tp>
        <v>-0.97</v>
        <stp/>
        <stp>DELTA</stp>
        <stp>.NDXP250509P20425</stp>
        <tr r="CG142" s="1"/>
        <tr r="CG142" s="1"/>
      </tp>
      <tp>
        <v>-0.06</v>
        <stp/>
        <stp>DELTA</stp>
        <stp>.NDXP250508P19525</stp>
        <tr r="CE178" s="1"/>
        <tr r="CE178" s="1"/>
      </tp>
      <tp>
        <v>-0.06</v>
        <stp/>
        <stp>DELTA</stp>
        <stp>.NDXP250509P19425</stp>
        <tr r="CG182" s="1"/>
        <tr r="CG182" s="1"/>
      </tp>
      <tp>
        <v>-0.97</v>
        <stp/>
        <stp>DELTA</stp>
        <stp>.NDXP250508P20500</stp>
        <tr r="CE139" s="1"/>
        <tr r="CE139" s="1"/>
      </tp>
      <tp>
        <v>-0.97</v>
        <stp/>
        <stp>DELTA</stp>
        <stp>.NDXP250509P20400</stp>
        <tr r="CG143" s="1"/>
        <tr r="CG143" s="1"/>
      </tp>
      <tp>
        <v>-0.02</v>
        <stp/>
        <stp>DELTA</stp>
        <stp>.NDXP250508P19500</stp>
        <tr r="CE179" s="1"/>
        <tr r="CE179" s="1"/>
      </tp>
      <tp>
        <v>-0.05</v>
        <stp/>
        <stp>DELTA</stp>
        <stp>.NDXP250509P19400</stp>
        <tr r="CG183" s="1"/>
        <tr r="CG183" s="1"/>
      </tp>
      <tp>
        <v>-0.97</v>
        <stp/>
        <stp>DELTA</stp>
        <stp>.NDXP250509P20475</stp>
        <tr r="CG140" s="1"/>
        <tr r="CG140" s="1"/>
      </tp>
      <tp>
        <v>-7.0000000000000007E-2</v>
        <stp/>
        <stp>DELTA</stp>
        <stp>.NDXP250508P19575</stp>
        <tr r="CE176" s="1"/>
        <tr r="CE176" s="1"/>
      </tp>
      <tp>
        <v>-0.06</v>
        <stp/>
        <stp>DELTA</stp>
        <stp>.NDXP250509P19475</stp>
        <tr r="CG180" s="1"/>
        <tr r="CG180" s="1"/>
      </tp>
      <tp>
        <v>-1</v>
        <stp/>
        <stp>DELTA</stp>
        <stp>.NDXP250508P20550</stp>
        <tr r="CE137" s="1"/>
        <tr r="CE137" s="1"/>
      </tp>
      <tp>
        <v>-0.97</v>
        <stp/>
        <stp>DELTA</stp>
        <stp>.NDXP250509P20450</stp>
        <tr r="CG141" s="1"/>
        <tr r="CG141" s="1"/>
      </tp>
      <tp>
        <v>-7.0000000000000007E-2</v>
        <stp/>
        <stp>DELTA</stp>
        <stp>.NDXP250508P19550</stp>
        <tr r="CE177" s="1"/>
        <tr r="CE177" s="1"/>
      </tp>
      <tp>
        <v>-0.06</v>
        <stp/>
        <stp>DELTA</stp>
        <stp>.NDXP250509P19450</stp>
        <tr r="CG181" s="1"/>
        <tr r="CG181" s="1"/>
      </tp>
      <tp>
        <v>0</v>
        <stp/>
        <stp>DELTA</stp>
        <stp>.NDXP250508C20500</stp>
        <tr r="CD139" s="1"/>
        <tr r="CD139" s="1"/>
      </tp>
      <tp>
        <v>0</v>
        <stp/>
        <stp>DELTA</stp>
        <stp>.NDXP250509C20400</stp>
        <tr r="CF143" s="1"/>
        <tr r="CF143" s="1"/>
      </tp>
      <tp>
        <v>0.94</v>
        <stp/>
        <stp>DELTA</stp>
        <stp>.NDXP250508C19500</stp>
        <tr r="CD179" s="1"/>
        <tr r="CD179" s="1"/>
      </tp>
      <tp>
        <v>1</v>
        <stp/>
        <stp>DELTA</stp>
        <stp>.NDXP250509C19400</stp>
        <tr r="CF183" s="1"/>
        <tr r="CF183" s="1"/>
      </tp>
      <tp>
        <v>7.0000000000000007E-2</v>
        <stp/>
        <stp>DELTA</stp>
        <stp>.NDXP250508C20525</stp>
        <tr r="CD138" s="1"/>
        <tr r="CD138" s="1"/>
      </tp>
      <tp>
        <v>0.08</v>
        <stp/>
        <stp>DELTA</stp>
        <stp>.NDXP250509C20425</stp>
        <tr r="CF142" s="1"/>
        <tr r="CF142" s="1"/>
      </tp>
      <tp>
        <v>0.94</v>
        <stp/>
        <stp>DELTA</stp>
        <stp>.NDXP250508C19525</stp>
        <tr r="CD178" s="1"/>
        <tr r="CD178" s="1"/>
      </tp>
      <tp>
        <v>0.98</v>
        <stp/>
        <stp>DELTA</stp>
        <stp>.NDXP250509C19425</stp>
        <tr r="CF182" s="1"/>
        <tr r="CF182" s="1"/>
      </tp>
      <tp>
        <v>0</v>
        <stp/>
        <stp>DELTA</stp>
        <stp>.NDXP250508C20550</stp>
        <tr r="CD137" s="1"/>
        <tr r="CD137" s="1"/>
      </tp>
      <tp>
        <v>0.04</v>
        <stp/>
        <stp>DELTA</stp>
        <stp>.NDXP250509C20450</stp>
        <tr r="CF141" s="1"/>
        <tr r="CF141" s="1"/>
      </tp>
      <tp>
        <v>0.94</v>
        <stp/>
        <stp>DELTA</stp>
        <stp>.NDXP250508C19550</stp>
        <tr r="CD177" s="1"/>
        <tr r="CD177" s="1"/>
      </tp>
      <tp>
        <v>0.98</v>
        <stp/>
        <stp>DELTA</stp>
        <stp>.NDXP250509C19450</stp>
        <tr r="CF181" s="1"/>
        <tr r="CF181" s="1"/>
      </tp>
      <tp>
        <v>0.08</v>
        <stp/>
        <stp>DELTA</stp>
        <stp>.NDXP250509C20475</stp>
        <tr r="CF140" s="1"/>
        <tr r="CF140" s="1"/>
      </tp>
      <tp>
        <v>0.96</v>
        <stp/>
        <stp>DELTA</stp>
        <stp>.NDXP250508C19575</stp>
        <tr r="CD176" s="1"/>
        <tr r="CD176" s="1"/>
      </tp>
      <tp>
        <v>0.98</v>
        <stp/>
        <stp>DELTA</stp>
        <stp>.NDXP250509C19475</stp>
        <tr r="CF180" s="1"/>
        <tr r="CF180" s="1"/>
      </tp>
      <tp t="s">
        <v>N/A</v>
        <stp/>
        <stp>VOLUME</stp>
        <stp>.NDXP250829C19775</stp>
        <tr r="P169" s="2"/>
      </tp>
      <tp t="s">
        <v>N/A</v>
        <stp/>
        <stp>VOLUME</stp>
        <stp>.NDXP250606C19875</stp>
        <tr r="J165" s="2"/>
      </tp>
      <tp t="s">
        <v>N/A</v>
        <stp/>
        <stp>VOLUME</stp>
        <stp>.NDXP250508C19675</stp>
        <tr r="BA172" s="1"/>
      </tp>
      <tp t="s">
        <v>N/A</v>
        <stp/>
        <stp>VOLUME</stp>
        <stp>.NDXP250509C19775</stp>
        <tr r="BC168" s="1"/>
      </tp>
      <tp t="s">
        <v>N/A</v>
        <stp/>
        <stp>VOLUME</stp>
        <stp>.NDXP251128C19675</stp>
        <tr r="V173" s="2"/>
      </tp>
      <tp t="s">
        <v>N/A</v>
        <stp/>
        <stp>VOLUME</stp>
        <stp>.NDXP250829C19750</stp>
        <tr r="P170" s="2"/>
      </tp>
      <tp t="s">
        <v>N/A</v>
        <stp/>
        <stp>VOLUME</stp>
        <stp>.NDXP250606C19850</stp>
        <tr r="J166" s="2"/>
      </tp>
      <tp t="s">
        <v>N/A</v>
        <stp/>
        <stp>VOLUME</stp>
        <stp>.NDXP250508C19650</stp>
        <tr r="BA173" s="1"/>
      </tp>
      <tp>
        <v>1</v>
        <stp/>
        <stp>VOLUME</stp>
        <stp>.NDXP250509C19750</stp>
        <tr r="BC169" s="1"/>
        <tr r="BC169" s="1"/>
      </tp>
      <tp t="s">
        <v>N/A</v>
        <stp/>
        <stp>VOLUME</stp>
        <stp>.NDXP251128C19650</stp>
        <tr r="V174" s="2"/>
      </tp>
      <tp t="s">
        <v>N/A</v>
        <stp/>
        <stp>VOLUME</stp>
        <stp>.NDXP251128C19625</stp>
        <tr r="V175" s="2"/>
      </tp>
      <tp t="s">
        <v>N/A</v>
        <stp/>
        <stp>VOLUME</stp>
        <stp>.NDXP250829C19725</stp>
        <tr r="P171" s="2"/>
      </tp>
      <tp t="s">
        <v>N/A</v>
        <stp/>
        <stp>VOLUME</stp>
        <stp>.NDXP250606C19825</stp>
        <tr r="J167" s="2"/>
      </tp>
      <tp t="s">
        <v>N/A</v>
        <stp/>
        <stp>VOLUME</stp>
        <stp>.NDXP250508C19625</stp>
        <tr r="BA174" s="1"/>
      </tp>
      <tp t="s">
        <v>N/A</v>
        <stp/>
        <stp>VOLUME</stp>
        <stp>.NDXP250509C19725</stp>
        <tr r="BC170" s="1"/>
      </tp>
      <tp t="s">
        <v>N/A</v>
        <stp/>
        <stp>VOLUME</stp>
        <stp>.NDXP251128C19600</stp>
        <tr r="V176" s="2"/>
      </tp>
      <tp t="s">
        <v>N/A</v>
        <stp/>
        <stp>VOLUME</stp>
        <stp>.NDXP250829C19700</stp>
        <tr r="P172" s="2"/>
      </tp>
      <tp t="s">
        <v>N/A</v>
        <stp/>
        <stp>VOLUME</stp>
        <stp>.NDXP250606C19800</stp>
        <tr r="J168" s="2"/>
      </tp>
      <tp t="s">
        <v>N/A</v>
        <stp/>
        <stp>VOLUME</stp>
        <stp>.NDXP250508C19600</stp>
        <tr r="BA175" s="1"/>
      </tp>
      <tp>
        <v>5</v>
        <stp/>
        <stp>VOLUME</stp>
        <stp>.NDXP250509C19700</stp>
        <tr r="BC171" s="1"/>
        <tr r="BC171" s="1"/>
      </tp>
      <tp t="s">
        <v>N/A</v>
        <stp/>
        <stp>VOLUME</stp>
        <stp>.NDXP251128P19650</stp>
        <tr r="V174" s="2"/>
      </tp>
      <tp t="s">
        <v>N/A</v>
        <stp/>
        <stp>VOLUME</stp>
        <stp>.NDXP250829P19750</stp>
        <tr r="P170" s="2"/>
      </tp>
      <tp t="s">
        <v>N/A</v>
        <stp/>
        <stp>VOLUME</stp>
        <stp>.NDXP250606P19850</stp>
        <tr r="J166" s="2"/>
      </tp>
      <tp t="s">
        <v>N/A</v>
        <stp/>
        <stp>VOLUME</stp>
        <stp>.NDXP250508P19650</stp>
        <tr r="BB173" s="1"/>
      </tp>
      <tp>
        <v>290</v>
        <stp/>
        <stp>VOLUME</stp>
        <stp>.NDXP250509P19750</stp>
        <tr r="BD169" s="1"/>
        <tr r="BD169" s="1"/>
      </tp>
      <tp t="s">
        <v>N/A</v>
        <stp/>
        <stp>VOLUME</stp>
        <stp>.NDXP251128P19675</stp>
        <tr r="V173" s="2"/>
      </tp>
      <tp t="s">
        <v>N/A</v>
        <stp/>
        <stp>VOLUME</stp>
        <stp>.NDXP250829P19775</stp>
        <tr r="P169" s="2"/>
      </tp>
      <tp t="s">
        <v>N/A</v>
        <stp/>
        <stp>VOLUME</stp>
        <stp>.NDXP250606P19875</stp>
        <tr r="J165" s="2"/>
      </tp>
      <tp t="s">
        <v>N/A</v>
        <stp/>
        <stp>VOLUME</stp>
        <stp>.NDXP250508P19675</stp>
        <tr r="BB172" s="1"/>
      </tp>
      <tp>
        <v>69</v>
        <stp/>
        <stp>VOLUME</stp>
        <stp>.NDXP250509P19775</stp>
        <tr r="BD168" s="1"/>
        <tr r="BD168" s="1"/>
      </tp>
      <tp t="s">
        <v>N/A</v>
        <stp/>
        <stp>VOLUME</stp>
        <stp>.NDXP250829P19700</stp>
        <tr r="P172" s="2"/>
      </tp>
      <tp t="s">
        <v>N/A</v>
        <stp/>
        <stp>VOLUME</stp>
        <stp>.NDXP250606P19800</stp>
        <tr r="J168" s="2"/>
      </tp>
      <tp t="s">
        <v>N/A</v>
        <stp/>
        <stp>VOLUME</stp>
        <stp>.NDXP250508P19600</stp>
        <tr r="BB175" s="1"/>
      </tp>
      <tp>
        <v>312</v>
        <stp/>
        <stp>VOLUME</stp>
        <stp>.NDXP250509P19700</stp>
        <tr r="BD171" s="1"/>
        <tr r="BD171" s="1"/>
      </tp>
      <tp t="s">
        <v>N/A</v>
        <stp/>
        <stp>VOLUME</stp>
        <stp>.NDXP251128P19600</stp>
        <tr r="V176" s="2"/>
      </tp>
      <tp t="s">
        <v>N/A</v>
        <stp/>
        <stp>VOLUME</stp>
        <stp>.NDXP250829P19725</stp>
        <tr r="P171" s="2"/>
      </tp>
      <tp t="s">
        <v>N/A</v>
        <stp/>
        <stp>VOLUME</stp>
        <stp>.NDXP250606P19825</stp>
        <tr r="J167" s="2"/>
      </tp>
      <tp t="s">
        <v>N/A</v>
        <stp/>
        <stp>VOLUME</stp>
        <stp>.NDXP250508P19625</stp>
        <tr r="BB174" s="1"/>
      </tp>
      <tp>
        <v>41</v>
        <stp/>
        <stp>VOLUME</stp>
        <stp>.NDXP250509P19725</stp>
        <tr r="BD170" s="1"/>
        <tr r="BD170" s="1"/>
      </tp>
      <tp t="s">
        <v>N/A</v>
        <stp/>
        <stp>VOLUME</stp>
        <stp>.NDXP251128P19625</stp>
        <tr r="V175" s="2"/>
      </tp>
      <tp>
        <v>-1</v>
        <stp/>
        <stp>DELTA</stp>
        <stp>.NDXP250508P20425</stp>
        <tr r="CE142" s="1"/>
        <tr r="CE142" s="1"/>
      </tp>
      <tp>
        <v>-0.99</v>
        <stp/>
        <stp>DELTA</stp>
        <stp>.NDXP250509P20525</stp>
        <tr r="CG138" s="1"/>
        <tr r="CG138" s="1"/>
      </tp>
      <tp>
        <v>-0.06</v>
        <stp/>
        <stp>DELTA</stp>
        <stp>.NDXP250508P19425</stp>
        <tr r="CE182" s="1"/>
        <tr r="CE182" s="1"/>
      </tp>
      <tp>
        <v>-0.01</v>
        <stp/>
        <stp>DELTA</stp>
        <stp>.NDXP250509P19525</stp>
        <tr r="CG178" s="1"/>
        <tr r="CG178" s="1"/>
      </tp>
      <tp>
        <v>-1</v>
        <stp/>
        <stp>DELTA</stp>
        <stp>.NDXP250508P20400</stp>
        <tr r="CE143" s="1"/>
        <tr r="CE143" s="1"/>
      </tp>
      <tp>
        <v>-1</v>
        <stp/>
        <stp>DELTA</stp>
        <stp>.NDXP250509P20500</stp>
        <tr r="CG139" s="1"/>
        <tr r="CG139" s="1"/>
      </tp>
      <tp>
        <v>0</v>
        <stp/>
        <stp>DELTA</stp>
        <stp>.NDXP250508P19400</stp>
        <tr r="CE183" s="1"/>
        <tr r="CE183" s="1"/>
      </tp>
      <tp>
        <v>-0.01</v>
        <stp/>
        <stp>DELTA</stp>
        <stp>.NDXP250509P19500</stp>
        <tr r="CG179" s="1"/>
        <tr r="CG179" s="1"/>
      </tp>
      <tp>
        <v>-1</v>
        <stp/>
        <stp>DELTA</stp>
        <stp>.NDXP250508P20475</stp>
        <tr r="CE140" s="1"/>
        <tr r="CE140" s="1"/>
      </tp>
      <tp>
        <v>0</v>
        <stp/>
        <stp>DELTA</stp>
        <stp>.NDXP250508P19475</stp>
        <tr r="CE180" s="1"/>
        <tr r="CE180" s="1"/>
      </tp>
      <tp>
        <v>-7.0000000000000007E-2</v>
        <stp/>
        <stp>DELTA</stp>
        <stp>.NDXP250509P19575</stp>
        <tr r="CG176" s="1"/>
        <tr r="CG176" s="1"/>
      </tp>
      <tp>
        <v>-1</v>
        <stp/>
        <stp>DELTA</stp>
        <stp>.NDXP250508P20450</stp>
        <tr r="CE141" s="1"/>
        <tr r="CE141" s="1"/>
      </tp>
      <tp>
        <v>-1</v>
        <stp/>
        <stp>DELTA</stp>
        <stp>.NDXP250509P20550</stp>
        <tr r="CG137" s="1"/>
        <tr r="CG137" s="1"/>
      </tp>
      <tp>
        <v>-0.06</v>
        <stp/>
        <stp>DELTA</stp>
        <stp>.NDXP250508P19450</stp>
        <tr r="CE181" s="1"/>
        <tr r="CE181" s="1"/>
      </tp>
      <tp>
        <v>-0.04</v>
        <stp/>
        <stp>DELTA</stp>
        <stp>.NDXP250509P19550</stp>
        <tr r="CG177" s="1"/>
        <tr r="CG177" s="1"/>
      </tp>
      <tp>
        <v>0.01</v>
        <stp/>
        <stp>DELTA</stp>
        <stp>.NDXP250508C20400</stp>
        <tr r="CD143" s="1"/>
        <tr r="CD143" s="1"/>
      </tp>
      <tp>
        <v>0</v>
        <stp/>
        <stp>DELTA</stp>
        <stp>.NDXP250509C20500</stp>
        <tr r="CF139" s="1"/>
        <tr r="CF139" s="1"/>
      </tp>
      <tp>
        <v>0.95</v>
        <stp/>
        <stp>DELTA</stp>
        <stp>.NDXP250508C19400</stp>
        <tr r="CD183" s="1"/>
        <tr r="CD183" s="1"/>
      </tp>
      <tp>
        <v>0.97</v>
        <stp/>
        <stp>DELTA</stp>
        <stp>.NDXP250509C19500</stp>
        <tr r="CF179" s="1"/>
        <tr r="CF179" s="1"/>
      </tp>
      <tp>
        <v>0.02</v>
        <stp/>
        <stp>DELTA</stp>
        <stp>.NDXP250508C20425</stp>
        <tr r="CD142" s="1"/>
        <tr r="CD142" s="1"/>
      </tp>
      <tp>
        <v>7.0000000000000007E-2</v>
        <stp/>
        <stp>DELTA</stp>
        <stp>.NDXP250509C20525</stp>
        <tr r="CF138" s="1"/>
        <tr r="CF138" s="1"/>
      </tp>
      <tp>
        <v>0.95</v>
        <stp/>
        <stp>DELTA</stp>
        <stp>.NDXP250508C19425</stp>
        <tr r="CD182" s="1"/>
        <tr r="CD182" s="1"/>
      </tp>
      <tp>
        <v>1</v>
        <stp/>
        <stp>DELTA</stp>
        <stp>.NDXP250509C19525</stp>
        <tr r="CF178" s="1"/>
        <tr r="CF178" s="1"/>
      </tp>
      <tp>
        <v>0.08</v>
        <stp/>
        <stp>DELTA</stp>
        <stp>.NDXP250508C20450</stp>
        <tr r="CD141" s="1"/>
        <tr r="CD141" s="1"/>
      </tp>
      <tp>
        <v>7.0000000000000007E-2</v>
        <stp/>
        <stp>DELTA</stp>
        <stp>.NDXP250509C20550</stp>
        <tr r="CF137" s="1"/>
        <tr r="CF137" s="1"/>
      </tp>
      <tp>
        <v>0.95</v>
        <stp/>
        <stp>DELTA</stp>
        <stp>.NDXP250508C19450</stp>
        <tr r="CD181" s="1"/>
        <tr r="CD181" s="1"/>
      </tp>
      <tp>
        <v>0.97</v>
        <stp/>
        <stp>DELTA</stp>
        <stp>.NDXP250509C19550</stp>
        <tr r="CF177" s="1"/>
        <tr r="CF177" s="1"/>
      </tp>
      <tp>
        <v>0.01</v>
        <stp/>
        <stp>DELTA</stp>
        <stp>.NDXP250508C20475</stp>
        <tr r="CD140" s="1"/>
        <tr r="CD140" s="1"/>
      </tp>
      <tp>
        <v>0.95</v>
        <stp/>
        <stp>DELTA</stp>
        <stp>.NDXP250508C19475</stp>
        <tr r="CD180" s="1"/>
        <tr r="CD180" s="1"/>
      </tp>
      <tp>
        <v>1</v>
        <stp/>
        <stp>DELTA</stp>
        <stp>.NDXP250509C19575</stp>
        <tr r="CF176" s="1"/>
        <tr r="CF176" s="1"/>
      </tp>
      <tp t="s">
        <v>N/A</v>
        <stp/>
        <stp>VOLUME</stp>
        <stp>.NDXP250829C19675</stp>
        <tr r="P173" s="2"/>
      </tp>
      <tp t="s">
        <v>N/A</v>
        <stp/>
        <stp>VOLUME</stp>
        <stp>.NDXP250606C19975</stp>
        <tr r="J161" s="2"/>
      </tp>
      <tp t="s">
        <v>N/A</v>
        <stp/>
        <stp>VOLUME</stp>
        <stp>.NDXP250508C19775</stp>
        <tr r="BA168" s="1"/>
      </tp>
      <tp>
        <v>2</v>
        <stp/>
        <stp>VOLUME</stp>
        <stp>.NDXP250509C19675</stp>
        <tr r="BC172" s="1"/>
        <tr r="BC172" s="1"/>
      </tp>
      <tp t="s">
        <v>N/A</v>
        <stp/>
        <stp>VOLUME</stp>
        <stp>.NDXP251128C19775</stp>
        <tr r="V169" s="2"/>
      </tp>
      <tp t="s">
        <v>N/A</v>
        <stp/>
        <stp>VOLUME</stp>
        <stp>.NDXP250829C19650</stp>
        <tr r="P174" s="2"/>
      </tp>
      <tp t="s">
        <v>N/A</v>
        <stp/>
        <stp>VOLUME</stp>
        <stp>.NDXP250606C19950</stp>
        <tr r="J162" s="2"/>
      </tp>
      <tp t="s">
        <v>N/A</v>
        <stp/>
        <stp>VOLUME</stp>
        <stp>.NDXP250508C19750</stp>
        <tr r="BA169" s="1"/>
      </tp>
      <tp>
        <v>22</v>
        <stp/>
        <stp>VOLUME</stp>
        <stp>.NDXP250509C19650</stp>
        <tr r="BC173" s="1"/>
        <tr r="BC173" s="1"/>
      </tp>
      <tp t="s">
        <v>N/A</v>
        <stp/>
        <stp>VOLUME</stp>
        <stp>.NDXP251128C19750</stp>
        <tr r="V170" s="2"/>
      </tp>
      <tp t="s">
        <v>N/A</v>
        <stp/>
        <stp>VOLUME</stp>
        <stp>.NDXP251128C19725</stp>
        <tr r="V171" s="2"/>
      </tp>
      <tp t="s">
        <v>N/A</v>
        <stp/>
        <stp>VOLUME</stp>
        <stp>.NDXP250829C19625</stp>
        <tr r="P175" s="2"/>
      </tp>
      <tp t="s">
        <v>N/A</v>
        <stp/>
        <stp>VOLUME</stp>
        <stp>.NDXP250606C19925</stp>
        <tr r="J163" s="2"/>
      </tp>
      <tp t="s">
        <v>N/A</v>
        <stp/>
        <stp>VOLUME</stp>
        <stp>.NDXP250508C19725</stp>
        <tr r="BA170" s="1"/>
      </tp>
      <tp t="s">
        <v>N/A</v>
        <stp/>
        <stp>VOLUME</stp>
        <stp>.NDXP250509C19625</stp>
        <tr r="BC174" s="1"/>
      </tp>
      <tp t="s">
        <v>N/A</v>
        <stp/>
        <stp>VOLUME</stp>
        <stp>.NDXP251128C19700</stp>
        <tr r="V172" s="2"/>
      </tp>
      <tp t="s">
        <v>N/A</v>
        <stp/>
        <stp>VOLUME</stp>
        <stp>.NDXP250829C19600</stp>
        <tr r="P176" s="2"/>
      </tp>
      <tp t="s">
        <v>N/A</v>
        <stp/>
        <stp>VOLUME</stp>
        <stp>.NDXP250606C19900</stp>
        <tr r="J164" s="2"/>
      </tp>
      <tp t="s">
        <v>N/A</v>
        <stp/>
        <stp>VOLUME</stp>
        <stp>.NDXP250508C19700</stp>
        <tr r="BA171" s="1"/>
      </tp>
      <tp>
        <v>1</v>
        <stp/>
        <stp>VOLUME</stp>
        <stp>.NDXP250509C19600</stp>
        <tr r="BC175" s="1"/>
        <tr r="BC175" s="1"/>
      </tp>
      <tp t="s">
        <v>N/A</v>
        <stp/>
        <stp>VOLUME</stp>
        <stp>.NDXP251128P19750</stp>
        <tr r="V170" s="2"/>
      </tp>
      <tp t="s">
        <v>N/A</v>
        <stp/>
        <stp>VOLUME</stp>
        <stp>.NDXP250829P19650</stp>
        <tr r="P174" s="2"/>
      </tp>
      <tp>
        <v>2</v>
        <stp/>
        <stp>VOLUME</stp>
        <stp>.NDXP250606P19950</stp>
        <tr r="J162" s="2"/>
        <tr r="J162" s="2"/>
      </tp>
      <tp t="s">
        <v>N/A</v>
        <stp/>
        <stp>VOLUME</stp>
        <stp>.NDXP250508P19750</stp>
        <tr r="BB169" s="1"/>
      </tp>
      <tp>
        <v>678</v>
        <stp/>
        <stp>VOLUME</stp>
        <stp>.NDXP250509P19650</stp>
        <tr r="BD173" s="1"/>
        <tr r="BD173" s="1"/>
      </tp>
      <tp t="s">
        <v>N/A</v>
        <stp/>
        <stp>VOLUME</stp>
        <stp>.NDXP251128P19775</stp>
        <tr r="V169" s="2"/>
      </tp>
      <tp t="s">
        <v>N/A</v>
        <stp/>
        <stp>VOLUME</stp>
        <stp>.NDXP250829P19675</stp>
        <tr r="P173" s="2"/>
      </tp>
      <tp t="s">
        <v>N/A</v>
        <stp/>
        <stp>VOLUME</stp>
        <stp>.NDXP250606P19975</stp>
        <tr r="J161" s="2"/>
      </tp>
      <tp t="s">
        <v>N/A</v>
        <stp/>
        <stp>VOLUME</stp>
        <stp>.NDXP250508P19775</stp>
        <tr r="BB168" s="1"/>
      </tp>
      <tp>
        <v>42</v>
        <stp/>
        <stp>VOLUME</stp>
        <stp>.NDXP250509P19675</stp>
        <tr r="BD172" s="1"/>
        <tr r="BD172" s="1"/>
      </tp>
      <tp t="s">
        <v>N/A</v>
        <stp/>
        <stp>VOLUME</stp>
        <stp>.NDXP250829P19600</stp>
        <tr r="P176" s="2"/>
      </tp>
      <tp t="s">
        <v>N/A</v>
        <stp/>
        <stp>VOLUME</stp>
        <stp>.NDXP250606P19900</stp>
        <tr r="J164" s="2"/>
      </tp>
      <tp t="s">
        <v>N/A</v>
        <stp/>
        <stp>VOLUME</stp>
        <stp>.NDXP250508P19700</stp>
        <tr r="BB171" s="1"/>
      </tp>
      <tp>
        <v>562</v>
        <stp/>
        <stp>VOLUME</stp>
        <stp>.NDXP250509P19600</stp>
        <tr r="BD175" s="1"/>
        <tr r="BD175" s="1"/>
      </tp>
      <tp t="s">
        <v>N/A</v>
        <stp/>
        <stp>VOLUME</stp>
        <stp>.NDXP251128P19700</stp>
        <tr r="V172" s="2"/>
      </tp>
      <tp t="s">
        <v>N/A</v>
        <stp/>
        <stp>VOLUME</stp>
        <stp>.NDXP250829P19625</stp>
        <tr r="P175" s="2"/>
      </tp>
      <tp t="s">
        <v>N/A</v>
        <stp/>
        <stp>VOLUME</stp>
        <stp>.NDXP250606P19925</stp>
        <tr r="J163" s="2"/>
      </tp>
      <tp t="s">
        <v>N/A</v>
        <stp/>
        <stp>VOLUME</stp>
        <stp>.NDXP250508P19725</stp>
        <tr r="BB170" s="1"/>
      </tp>
      <tp>
        <v>48</v>
        <stp/>
        <stp>VOLUME</stp>
        <stp>.NDXP250509P19625</stp>
        <tr r="BD174" s="1"/>
        <tr r="BD174" s="1"/>
      </tp>
      <tp t="s">
        <v>N/A</v>
        <stp/>
        <stp>VOLUME</stp>
        <stp>.NDXP251128P19725</stp>
        <tr r="V171" s="2"/>
      </tp>
      <tp>
        <v>80</v>
        <stp/>
        <stp>OPEN_INT</stp>
        <stp>.NDXP250508C19900</stp>
        <tr r="AS163" s="1"/>
        <tr r="AS163" s="1"/>
      </tp>
      <tp>
        <v>38</v>
        <stp/>
        <stp>OPEN_INT</stp>
        <stp>.NDXP250509C19800</stp>
        <tr r="AU167" s="1"/>
        <tr r="AU167" s="1"/>
      </tp>
      <tp>
        <v>5</v>
        <stp/>
        <stp>OPEN_INT</stp>
        <stp>.NDXP250508C19925</stp>
        <tr r="AS162" s="1"/>
        <tr r="AS162" s="1"/>
      </tp>
      <tp>
        <v>15</v>
        <stp/>
        <stp>OPEN_INT</stp>
        <stp>.NDXP250509C19825</stp>
        <tr r="AU166" s="1"/>
        <tr r="AU166" s="1"/>
      </tp>
      <tp>
        <v>11</v>
        <stp/>
        <stp>OPEN_INT</stp>
        <stp>.NDXP250508C19950</stp>
        <tr r="AS161" s="1"/>
        <tr r="AS161" s="1"/>
      </tp>
      <tp>
        <v>7</v>
        <stp/>
        <stp>OPEN_INT</stp>
        <stp>.NDXP250509C19850</stp>
        <tr r="AU165" s="1"/>
        <tr r="AU165" s="1"/>
      </tp>
      <tp>
        <v>12</v>
        <stp/>
        <stp>OPEN_INT</stp>
        <stp>.NDXP250508C19975</stp>
        <tr r="AS160" s="1"/>
        <tr r="AS160" s="1"/>
      </tp>
      <tp>
        <v>6</v>
        <stp/>
        <stp>OPEN_INT</stp>
        <stp>.NDXP250509C19875</stp>
        <tr r="AU164" s="1"/>
        <tr r="AU164" s="1"/>
      </tp>
      <tp>
        <v>2</v>
        <stp/>
        <stp>OPEN_INT</stp>
        <stp>.NDXP250508P19925</stp>
        <tr r="AT162" s="1"/>
        <tr r="AT162" s="1"/>
      </tp>
      <tp>
        <v>6</v>
        <stp/>
        <stp>OPEN_INT</stp>
        <stp>.NDXP250509P19825</stp>
        <tr r="AV166" s="1"/>
        <tr r="AV166" s="1"/>
      </tp>
      <tp>
        <v>13</v>
        <stp/>
        <stp>OPEN_INT</stp>
        <stp>.NDXP250508P19900</stp>
        <tr r="AT163" s="1"/>
        <tr r="AT163" s="1"/>
      </tp>
      <tp>
        <v>24</v>
        <stp/>
        <stp>OPEN_INT</stp>
        <stp>.NDXP250509P19800</stp>
        <tr r="AV167" s="1"/>
        <tr r="AV167" s="1"/>
      </tp>
      <tp>
        <v>4</v>
        <stp/>
        <stp>OPEN_INT</stp>
        <stp>.NDXP250508P19975</stp>
        <tr r="AT160" s="1"/>
        <tr r="AT160" s="1"/>
      </tp>
      <tp>
        <v>6</v>
        <stp/>
        <stp>OPEN_INT</stp>
        <stp>.NDXP250509P19875</stp>
        <tr r="AV164" s="1"/>
        <tr r="AV164" s="1"/>
      </tp>
      <tp>
        <v>2</v>
        <stp/>
        <stp>OPEN_INT</stp>
        <stp>.NDXP250508P19950</stp>
        <tr r="AT161" s="1"/>
        <tr r="AT161" s="1"/>
      </tp>
      <tp>
        <v>17</v>
        <stp/>
        <stp>OPEN_INT</stp>
        <stp>.NDXP250509P19850</stp>
        <tr r="AV165" s="1"/>
        <tr r="AV165" s="1"/>
      </tp>
      <tp>
        <v>-1</v>
        <stp/>
        <stp>DELTA</stp>
        <stp>.NDXP250508P20325</stp>
        <tr r="CE146" s="1"/>
        <tr r="CE146" s="1"/>
      </tp>
      <tp>
        <v>-0.92</v>
        <stp/>
        <stp>DELTA</stp>
        <stp>.NDXP250509P20225</stp>
        <tr r="CG150" s="1"/>
        <tr r="CG150" s="1"/>
      </tp>
      <tp>
        <v>-0.05</v>
        <stp/>
        <stp>DELTA</stp>
        <stp>.NDXP250508P19325</stp>
        <tr r="CE186" s="1"/>
        <tr r="CE186" s="1"/>
      </tp>
      <tp>
        <v>-1</v>
        <stp/>
        <stp>DELTA</stp>
        <stp>.NDXP250508P20300</stp>
        <tr r="CE147" s="1"/>
        <tr r="CE147" s="1"/>
      </tp>
      <tp>
        <v>-0.91</v>
        <stp/>
        <stp>DELTA</stp>
        <stp>.NDXP250509P20200</stp>
        <tr r="CG151" s="1"/>
        <tr r="CG151" s="1"/>
      </tp>
      <tp>
        <v>-0.05</v>
        <stp/>
        <stp>DELTA</stp>
        <stp>.NDXP250508P19300</stp>
        <tr r="CE187" s="1"/>
        <tr r="CE187" s="1"/>
      </tp>
      <tp>
        <v>-1</v>
        <stp/>
        <stp>DELTA</stp>
        <stp>.NDXP250508P20375</stp>
        <tr r="CE144" s="1"/>
        <tr r="CE144" s="1"/>
      </tp>
      <tp>
        <v>-0.93</v>
        <stp/>
        <stp>DELTA</stp>
        <stp>.NDXP250509P20275</stp>
        <tr r="CG148" s="1"/>
        <tr r="CG148" s="1"/>
      </tp>
      <tp>
        <v>-0.05</v>
        <stp/>
        <stp>DELTA</stp>
        <stp>.NDXP250508P19375</stp>
        <tr r="CE184" s="1"/>
        <tr r="CE184" s="1"/>
      </tp>
      <tp>
        <v>0</v>
        <stp/>
        <stp>DELTA</stp>
        <stp>.NDXP250509P19275</stp>
        <tr r="CG188" s="1"/>
        <tr r="CG188" s="1"/>
      </tp>
      <tp>
        <v>-1</v>
        <stp/>
        <stp>DELTA</stp>
        <stp>.NDXP250508P20350</stp>
        <tr r="CE145" s="1"/>
        <tr r="CE145" s="1"/>
      </tp>
      <tp>
        <v>-0.93</v>
        <stp/>
        <stp>DELTA</stp>
        <stp>.NDXP250509P20250</stp>
        <tr r="CG149" s="1"/>
        <tr r="CG149" s="1"/>
      </tp>
      <tp>
        <v>0</v>
        <stp/>
        <stp>DELTA</stp>
        <stp>.NDXP250508P19350</stp>
        <tr r="CE185" s="1"/>
        <tr r="CE185" s="1"/>
      </tp>
      <tp>
        <v>0</v>
        <stp/>
        <stp>DELTA</stp>
        <stp>.NDXP250509P19250</stp>
        <tr r="CG189" s="1"/>
        <tr r="CG189" s="1"/>
      </tp>
      <tp>
        <v>7.0000000000000007E-2</v>
        <stp/>
        <stp>DELTA</stp>
        <stp>.NDXP250508C20300</stp>
        <tr r="CD147" s="1"/>
        <tr r="CD147" s="1"/>
      </tp>
      <tp>
        <v>0</v>
        <stp/>
        <stp>DELTA</stp>
        <stp>.NDXP250509C20200</stp>
        <tr r="CF151" s="1"/>
        <tr r="CF151" s="1"/>
      </tp>
      <tp>
        <v>0.96</v>
        <stp/>
        <stp>DELTA</stp>
        <stp>.NDXP250508C19300</stp>
        <tr r="CD187" s="1"/>
        <tr r="CD187" s="1"/>
      </tp>
      <tp>
        <v>0</v>
        <stp/>
        <stp>DELTA</stp>
        <stp>.NDXP250508C20325</stp>
        <tr r="CD146" s="1"/>
        <tr r="CD146" s="1"/>
      </tp>
      <tp>
        <v>7.0000000000000007E-2</v>
        <stp/>
        <stp>DELTA</stp>
        <stp>.NDXP250509C20225</stp>
        <tr r="CF150" s="1"/>
        <tr r="CF150" s="1"/>
      </tp>
      <tp>
        <v>0.95</v>
        <stp/>
        <stp>DELTA</stp>
        <stp>.NDXP250508C19325</stp>
        <tr r="CD186" s="1"/>
        <tr r="CD186" s="1"/>
      </tp>
      <tp>
        <v>0.1</v>
        <stp/>
        <stp>DELTA</stp>
        <stp>.NDXP250508C20350</stp>
        <tr r="CD145" s="1"/>
        <tr r="CD145" s="1"/>
      </tp>
      <tp>
        <v>0.01</v>
        <stp/>
        <stp>DELTA</stp>
        <stp>.NDXP250509C20250</stp>
        <tr r="CF149" s="1"/>
        <tr r="CF149" s="1"/>
      </tp>
      <tp>
        <v>0.95</v>
        <stp/>
        <stp>DELTA</stp>
        <stp>.NDXP250508C19350</stp>
        <tr r="CD185" s="1"/>
        <tr r="CD185" s="1"/>
      </tp>
      <tp>
        <v>1</v>
        <stp/>
        <stp>DELTA</stp>
        <stp>.NDXP250509C19250</stp>
        <tr r="CF189" s="1"/>
        <tr r="CF189" s="1"/>
      </tp>
      <tp>
        <v>0.09</v>
        <stp/>
        <stp>DELTA</stp>
        <stp>.NDXP250508C20375</stp>
        <tr r="CD144" s="1"/>
        <tr r="CD144" s="1"/>
      </tp>
      <tp>
        <v>0.01</v>
        <stp/>
        <stp>DELTA</stp>
        <stp>.NDXP250509C20275</stp>
        <tr r="CF148" s="1"/>
        <tr r="CF148" s="1"/>
      </tp>
      <tp>
        <v>0.95</v>
        <stp/>
        <stp>DELTA</stp>
        <stp>.NDXP250508C19375</stp>
        <tr r="CD184" s="1"/>
        <tr r="CD184" s="1"/>
      </tp>
      <tp>
        <v>1</v>
        <stp/>
        <stp>DELTA</stp>
        <stp>.NDXP250509C19275</stp>
        <tr r="CF188" s="1"/>
        <tr r="CF188" s="1"/>
      </tp>
      <tp t="s">
        <v>N/A</v>
        <stp/>
        <stp>VOLUME</stp>
        <stp>.NDXP250829C20175</stp>
        <tr r="P153" s="2"/>
      </tp>
      <tp t="s">
        <v>N/A</v>
        <stp/>
        <stp>VOLUME</stp>
        <stp>.NDXP250930C19875</stp>
        <tr r="R165" s="2"/>
      </tp>
      <tp t="s">
        <v>N/A</v>
        <stp/>
        <stp>VOLUME</stp>
        <stp>.NDXP250731C19975</stp>
        <tr r="N161" s="2"/>
      </tp>
      <tp t="s">
        <v>N/A</v>
        <stp/>
        <stp>VOLUME</stp>
        <stp>.NDXP250630C19875</stp>
        <tr r="L165" s="2"/>
      </tp>
      <tp t="s">
        <v>N/A</v>
        <stp/>
        <stp>VOLUME</stp>
        <stp>.NDXP250508C20075</stp>
        <tr r="BA156" s="1"/>
      </tp>
      <tp>
        <v>178</v>
        <stp/>
        <stp>VOLUME</stp>
        <stp>.NDXP250509C20175</stp>
        <tr r="BC152" s="1"/>
        <tr r="BC152" s="1"/>
      </tp>
      <tp>
        <v>1</v>
        <stp/>
        <stp>VOLUME</stp>
        <stp>.NDXP250530C19875</stp>
        <tr r="I165" s="2"/>
        <tr r="I165" s="2"/>
      </tp>
      <tp t="s">
        <v>N/A</v>
        <stp/>
        <stp>VOLUME</stp>
        <stp>.NDXP251231C19975</stp>
        <tr r="X161" s="2"/>
      </tp>
      <tp t="s">
        <v>N/A</v>
        <stp/>
        <stp>VOLUME</stp>
        <stp>.NDXP251128C20075</stp>
        <tr r="V157" s="2"/>
      </tp>
      <tp t="s">
        <v>N/A</v>
        <stp/>
        <stp>VOLUME</stp>
        <stp>.NDXP251031C19975</stp>
        <tr r="T161" s="2"/>
      </tp>
      <tp t="s">
        <v>N/A</v>
        <stp/>
        <stp>VOLUME</stp>
        <stp>.NDXP250829C20150</stp>
        <tr r="P154" s="2"/>
      </tp>
      <tp t="s">
        <v>N/A</v>
        <stp/>
        <stp>VOLUME</stp>
        <stp>.NDXP250930C19850</stp>
        <tr r="R166" s="2"/>
      </tp>
      <tp t="s">
        <v>N/A</v>
        <stp/>
        <stp>VOLUME</stp>
        <stp>.NDXP250630C19850</stp>
        <tr r="L166" s="2"/>
      </tp>
      <tp t="s">
        <v>N/A</v>
        <stp/>
        <stp>VOLUME</stp>
        <stp>.NDXP250508C20050</stp>
        <tr r="BA157" s="1"/>
      </tp>
      <tp>
        <v>763</v>
        <stp/>
        <stp>VOLUME</stp>
        <stp>.NDXP250509C20150</stp>
        <tr r="BC153" s="1"/>
        <tr r="BC153" s="1"/>
      </tp>
      <tp t="s">
        <v>N/A</v>
        <stp/>
        <stp>VOLUME</stp>
        <stp>.NDXP250731C19950</stp>
        <tr r="N162" s="2"/>
      </tp>
      <tp t="s">
        <v>N/A</v>
        <stp/>
        <stp>VOLUME</stp>
        <stp>.NDXP250530C19850</stp>
        <tr r="I166" s="2"/>
      </tp>
      <tp t="s">
        <v>N/A</v>
        <stp/>
        <stp>VOLUME</stp>
        <stp>.NDXP251231C19950</stp>
        <tr r="X162" s="2"/>
      </tp>
      <tp t="s">
        <v>N/A</v>
        <stp/>
        <stp>VOLUME</stp>
        <stp>.NDXP251128C20050</stp>
        <tr r="V158" s="2"/>
      </tp>
      <tp t="s">
        <v>N/A</v>
        <stp/>
        <stp>VOLUME</stp>
        <stp>.NDXP251031C19950</stp>
        <tr r="T162" s="2"/>
      </tp>
      <tp t="s">
        <v>N/A</v>
        <stp/>
        <stp>VOLUME</stp>
        <stp>.NDXP251231C19925</stp>
        <tr r="X163" s="2"/>
      </tp>
      <tp t="s">
        <v>N/A</v>
        <stp/>
        <stp>VOLUME</stp>
        <stp>.NDXP251128C20025</stp>
        <tr r="V159" s="2"/>
      </tp>
      <tp t="s">
        <v>N/A</v>
        <stp/>
        <stp>VOLUME</stp>
        <stp>.NDXP251031C19925</stp>
        <tr r="T163" s="2"/>
      </tp>
      <tp t="s">
        <v>N/A</v>
        <stp/>
        <stp>VOLUME</stp>
        <stp>.NDXP250829C20125</stp>
        <tr r="P155" s="2"/>
      </tp>
      <tp t="s">
        <v>N/A</v>
        <stp/>
        <stp>VOLUME</stp>
        <stp>.NDXP250930C19825</stp>
        <tr r="R167" s="2"/>
      </tp>
      <tp t="s">
        <v>N/A</v>
        <stp/>
        <stp>VOLUME</stp>
        <stp>.NDXP250731C19925</stp>
        <tr r="N163" s="2"/>
      </tp>
      <tp t="s">
        <v>N/A</v>
        <stp/>
        <stp>VOLUME</stp>
        <stp>.NDXP250630C19825</stp>
        <tr r="L167" s="2"/>
      </tp>
      <tp t="s">
        <v>N/A</v>
        <stp/>
        <stp>VOLUME</stp>
        <stp>.NDXP250508C20025</stp>
        <tr r="BA158" s="1"/>
      </tp>
      <tp>
        <v>300</v>
        <stp/>
        <stp>VOLUME</stp>
        <stp>.NDXP250509C20125</stp>
        <tr r="BC154" s="1"/>
        <tr r="BC154" s="1"/>
      </tp>
      <tp>
        <v>1</v>
        <stp/>
        <stp>VOLUME</stp>
        <stp>.NDXP250530C19825</stp>
        <tr r="I167" s="2"/>
        <tr r="I167" s="2"/>
      </tp>
      <tp t="s">
        <v>N/A</v>
        <stp/>
        <stp>VOLUME</stp>
        <stp>.NDXP251231C19900</stp>
        <tr r="X164" s="2"/>
      </tp>
      <tp t="s">
        <v>N/A</v>
        <stp/>
        <stp>VOLUME</stp>
        <stp>.NDXP251128C20000</stp>
        <tr r="V160" s="2"/>
      </tp>
      <tp t="s">
        <v>N/A</v>
        <stp/>
        <stp>VOLUME</stp>
        <stp>.NDXP251031C19900</stp>
        <tr r="T164" s="2"/>
      </tp>
      <tp t="s">
        <v>N/A</v>
        <stp/>
        <stp>VOLUME</stp>
        <stp>.NDXP250829C20100</stp>
        <tr r="P156" s="2"/>
      </tp>
      <tp t="s">
        <v>N/A</v>
        <stp/>
        <stp>VOLUME</stp>
        <stp>.NDXP250930C19800</stp>
        <tr r="R168" s="2"/>
      </tp>
      <tp t="s">
        <v>N/A</v>
        <stp/>
        <stp>VOLUME</stp>
        <stp>.NDXP250630C19800</stp>
        <tr r="L168" s="2"/>
      </tp>
      <tp t="s">
        <v>N/A</v>
        <stp/>
        <stp>VOLUME</stp>
        <stp>.NDXP250508C20000</stp>
        <tr r="BA159" s="1"/>
      </tp>
      <tp>
        <v>1040</v>
        <stp/>
        <stp>VOLUME</stp>
        <stp>.NDXP250509C20100</stp>
        <tr r="BC155" s="1"/>
        <tr r="BC155" s="1"/>
      </tp>
      <tp t="s">
        <v>N/A</v>
        <stp/>
        <stp>VOLUME</stp>
        <stp>.NDXP250731C19900</stp>
        <tr r="N164" s="2"/>
      </tp>
      <tp t="s">
        <v>N/A</v>
        <stp/>
        <stp>VOLUME</stp>
        <stp>.NDXP250530C19800</stp>
        <tr r="I168" s="2"/>
      </tp>
      <tp t="s">
        <v>N/A</v>
        <stp/>
        <stp>VOLUME</stp>
        <stp>.SPXW250930C5680</stp>
        <tr r="R105" s="2"/>
      </tp>
      <tp t="s">
        <v>N/A</v>
        <stp/>
        <stp>VOLUME</stp>
        <stp>.SPXW250829C5710</stp>
        <tr r="P102" s="2"/>
      </tp>
      <tp t="s">
        <v>N/A</v>
        <stp/>
        <stp>VOLUME</stp>
        <stp>.SPXW250508C5500</stp>
        <tr r="BA122" s="1"/>
      </tp>
      <tp t="s">
        <v>N/A</v>
        <stp/>
        <stp>VOLUME</stp>
        <stp>.SPXW250509C5510</stp>
        <tr r="BC121" s="1"/>
      </tp>
      <tp t="s">
        <v>N/A</v>
        <stp/>
        <stp>VOLUME</stp>
        <stp>.SPXW250530C5680</stp>
        <tr r="I105" s="2"/>
      </tp>
      <tp t="s">
        <v>N/A</v>
        <stp/>
        <stp>VOLUME</stp>
        <stp>.SPXW250731C5690</stp>
        <tr r="N104" s="2"/>
      </tp>
      <tp t="s">
        <v>N/A</v>
        <stp/>
        <stp>VOLUME</stp>
        <stp>.SPXW250630C5680</stp>
        <tr r="L105" s="2"/>
      </tp>
      <tp t="s">
        <v>N/A</v>
        <stp/>
        <stp>VOLUME</stp>
        <stp>.SPXW251128C5700</stp>
        <tr r="V103" s="2"/>
      </tp>
      <tp t="s">
        <v>N/A</v>
        <stp/>
        <stp>VOLUME</stp>
        <stp>.SPXW251031C5690</stp>
        <tr r="T104" s="2"/>
      </tp>
      <tp t="s">
        <v>N/A</v>
        <stp/>
        <stp>VOLUME</stp>
        <stp>.SPXW251231C5690</stp>
        <tr r="X104" s="2"/>
      </tp>
      <tp t="s">
        <v>N/A</v>
        <stp/>
        <stp>VOLUME</stp>
        <stp>.SPXW251128P5700</stp>
        <tr r="V103" s="2"/>
      </tp>
      <tp t="s">
        <v>N/A</v>
        <stp/>
        <stp>VOLUME</stp>
        <stp>.SPXW251031P5690</stp>
        <tr r="T104" s="2"/>
      </tp>
      <tp t="s">
        <v>N/A</v>
        <stp/>
        <stp>VOLUME</stp>
        <stp>.SPXW251231P5690</stp>
        <tr r="X104" s="2"/>
      </tp>
      <tp t="s">
        <v>N/A</v>
        <stp/>
        <stp>VOLUME</stp>
        <stp>.SPXW250930P5680</stp>
        <tr r="R105" s="2"/>
      </tp>
      <tp t="s">
        <v>N/A</v>
        <stp/>
        <stp>VOLUME</stp>
        <stp>.SPXW250829P5710</stp>
        <tr r="P102" s="2"/>
      </tp>
      <tp t="s">
        <v>N/A</v>
        <stp/>
        <stp>VOLUME</stp>
        <stp>.SPXW250508P5500</stp>
        <tr r="BB122" s="1"/>
      </tp>
      <tp t="s">
        <v>N/A</v>
        <stp/>
        <stp>VOLUME</stp>
        <stp>.SPXW250509P5510</stp>
        <tr r="BD121" s="1"/>
      </tp>
      <tp t="s">
        <v>N/A</v>
        <stp/>
        <stp>VOLUME</stp>
        <stp>.SPXW250530P5680</stp>
        <tr r="I105" s="2"/>
      </tp>
      <tp t="s">
        <v>N/A</v>
        <stp/>
        <stp>VOLUME</stp>
        <stp>.SPXW250731P5690</stp>
        <tr r="N104" s="2"/>
      </tp>
      <tp t="s">
        <v>N/A</v>
        <stp/>
        <stp>VOLUME</stp>
        <stp>.SPXW250630P5680</stp>
        <tr r="L105" s="2"/>
      </tp>
      <tp t="s">
        <v>N/A</v>
        <stp/>
        <stp>VOLUME</stp>
        <stp>.SPXW250930C5690</stp>
        <tr r="R104" s="2"/>
      </tp>
      <tp t="s">
        <v>N/A</v>
        <stp/>
        <stp>VOLUME</stp>
        <stp>.SPXW250829C5700</stp>
        <tr r="P103" s="2"/>
      </tp>
      <tp t="s">
        <v>N/A</v>
        <stp/>
        <stp>VOLUME</stp>
        <stp>.SPXW250508C5510</stp>
        <tr r="BA121" s="1"/>
      </tp>
      <tp t="s">
        <v>N/A</v>
        <stp/>
        <stp>VOLUME</stp>
        <stp>.SPXW250509C5500</stp>
        <tr r="BC122" s="1"/>
      </tp>
      <tp t="s">
        <v>N/A</v>
        <stp/>
        <stp>VOLUME</stp>
        <stp>.SPXW250530C5690</stp>
        <tr r="I104" s="2"/>
      </tp>
      <tp t="s">
        <v>N/A</v>
        <stp/>
        <stp>VOLUME</stp>
        <stp>.SPXW250731C5680</stp>
        <tr r="N105" s="2"/>
      </tp>
      <tp t="s">
        <v>N/A</v>
        <stp/>
        <stp>VOLUME</stp>
        <stp>.SPXW250630C5690</stp>
        <tr r="L104" s="2"/>
      </tp>
      <tp t="s">
        <v>N/A</v>
        <stp/>
        <stp>VOLUME</stp>
        <stp>.SPXW251128C5710</stp>
        <tr r="V102" s="2"/>
      </tp>
      <tp t="s">
        <v>N/A</v>
        <stp/>
        <stp>VOLUME</stp>
        <stp>.SPXW251031C5680</stp>
        <tr r="T105" s="2"/>
      </tp>
      <tp t="s">
        <v>N/A</v>
        <stp/>
        <stp>VOLUME</stp>
        <stp>.SPXW251231C5680</stp>
        <tr r="X105" s="2"/>
      </tp>
      <tp t="s">
        <v>N/A</v>
        <stp/>
        <stp>VOLUME</stp>
        <stp>.SPXW251128P5710</stp>
        <tr r="V102" s="2"/>
      </tp>
      <tp t="s">
        <v>N/A</v>
        <stp/>
        <stp>VOLUME</stp>
        <stp>.SPXW251031P5680</stp>
        <tr r="T105" s="2"/>
      </tp>
      <tp t="s">
        <v>N/A</v>
        <stp/>
        <stp>VOLUME</stp>
        <stp>.SPXW251231P5680</stp>
        <tr r="X105" s="2"/>
      </tp>
      <tp t="s">
        <v>N/A</v>
        <stp/>
        <stp>VOLUME</stp>
        <stp>.SPXW250930P5690</stp>
        <tr r="R104" s="2"/>
      </tp>
      <tp t="s">
        <v>N/A</v>
        <stp/>
        <stp>VOLUME</stp>
        <stp>.SPXW250829P5700</stp>
        <tr r="P103" s="2"/>
      </tp>
      <tp t="s">
        <v>N/A</v>
        <stp/>
        <stp>VOLUME</stp>
        <stp>.SPXW250508P5510</stp>
        <tr r="BB121" s="1"/>
      </tp>
      <tp t="s">
        <v>N/A</v>
        <stp/>
        <stp>VOLUME</stp>
        <stp>.SPXW250509P5500</stp>
        <tr r="BD122" s="1"/>
      </tp>
      <tp t="s">
        <v>N/A</v>
        <stp/>
        <stp>VOLUME</stp>
        <stp>.SPXW250530P5690</stp>
        <tr r="I104" s="2"/>
      </tp>
      <tp t="s">
        <v>N/A</v>
        <stp/>
        <stp>VOLUME</stp>
        <stp>.SPXW250731P5680</stp>
        <tr r="N105" s="2"/>
      </tp>
      <tp t="s">
        <v>N/A</v>
        <stp/>
        <stp>VOLUME</stp>
        <stp>.SPXW250630P5690</stp>
        <tr r="L104" s="2"/>
      </tp>
      <tp t="s">
        <v>N/A</v>
        <stp/>
        <stp>VOLUME</stp>
        <stp>.SPXW250829C5730</stp>
        <tr r="P100" s="2"/>
      </tp>
      <tp t="s">
        <v>N/A</v>
        <stp/>
        <stp>VOLUME</stp>
        <stp>.SPXW250508C5520</stp>
        <tr r="BA120" s="1"/>
      </tp>
      <tp t="s">
        <v>N/A</v>
        <stp/>
        <stp>VOLUME</stp>
        <stp>.SPXW250509C5530</stp>
        <tr r="BC119" s="1"/>
      </tp>
      <tp t="s">
        <v>N/A</v>
        <stp/>
        <stp>VOLUME</stp>
        <stp>.SPXW251128C5720</stp>
        <tr r="V101" s="2"/>
      </tp>
      <tp t="s">
        <v>N/A</v>
        <stp/>
        <stp>VOLUME</stp>
        <stp>.SPXW251128P5720</stp>
        <tr r="V101" s="2"/>
      </tp>
      <tp t="s">
        <v>N/A</v>
        <stp/>
        <stp>VOLUME</stp>
        <stp>.SPXW250829P5730</stp>
        <tr r="P100" s="2"/>
      </tp>
      <tp t="s">
        <v>N/A</v>
        <stp/>
        <stp>VOLUME</stp>
        <stp>.SPXW250508P5520</stp>
        <tr r="BB120" s="1"/>
      </tp>
      <tp t="s">
        <v>N/A</v>
        <stp/>
        <stp>VOLUME</stp>
        <stp>.SPXW250509P5530</stp>
        <tr r="BD119" s="1"/>
      </tp>
      <tp>
        <v>1</v>
        <stp/>
        <stp>VOLUME</stp>
        <stp>.SPXW250829C5720</stp>
        <tr r="P101" s="2"/>
        <tr r="P101" s="2"/>
      </tp>
      <tp t="s">
        <v>N/A</v>
        <stp/>
        <stp>VOLUME</stp>
        <stp>.SPXW250508C5530</stp>
        <tr r="BA119" s="1"/>
      </tp>
      <tp t="s">
        <v>N/A</v>
        <stp/>
        <stp>VOLUME</stp>
        <stp>.SPXW250509C5520</stp>
        <tr r="BC120" s="1"/>
      </tp>
      <tp t="s">
        <v>N/A</v>
        <stp/>
        <stp>VOLUME</stp>
        <stp>.SPXW251128C5730</stp>
        <tr r="V100" s="2"/>
      </tp>
      <tp t="s">
        <v>N/A</v>
        <stp/>
        <stp>VOLUME</stp>
        <stp>.SPXW251128P5730</stp>
        <tr r="V100" s="2"/>
      </tp>
      <tp t="s">
        <v>N/A</v>
        <stp/>
        <stp>VOLUME</stp>
        <stp>.SPXW250829P5720</stp>
        <tr r="P101" s="2"/>
      </tp>
      <tp t="s">
        <v>N/A</v>
        <stp/>
        <stp>VOLUME</stp>
        <stp>.SPXW250508P5530</stp>
        <tr r="BB119" s="1"/>
      </tp>
      <tp t="s">
        <v>N/A</v>
        <stp/>
        <stp>VOLUME</stp>
        <stp>.SPXW250509P5520</stp>
        <tr r="BD120" s="1"/>
      </tp>
      <tp t="s">
        <v>N/A</v>
        <stp/>
        <stp>VOLUME</stp>
        <stp>.SPXW250829C5750</stp>
        <tr r="P98" s="2"/>
      </tp>
      <tp t="s">
        <v>N/A</v>
        <stp/>
        <stp>VOLUME</stp>
        <stp>.SPXW250508C5540</stp>
        <tr r="BA118" s="1"/>
      </tp>
      <tp t="s">
        <v>N/A</v>
        <stp/>
        <stp>VOLUME</stp>
        <stp>.SPXW250509C5550</stp>
        <tr r="BC117" s="1"/>
      </tp>
      <tp t="s">
        <v>N/A</v>
        <stp/>
        <stp>VOLUME</stp>
        <stp>.SPXW251128C5740</stp>
        <tr r="V99" s="2"/>
      </tp>
      <tp t="s">
        <v>N/A</v>
        <stp/>
        <stp>VOLUME</stp>
        <stp>.SPXW251128P5740</stp>
        <tr r="V99" s="2"/>
      </tp>
      <tp t="s">
        <v>N/A</v>
        <stp/>
        <stp>VOLUME</stp>
        <stp>.SPXW250829P5750</stp>
        <tr r="P98" s="2"/>
      </tp>
      <tp t="s">
        <v>N/A</v>
        <stp/>
        <stp>VOLUME</stp>
        <stp>.SPXW250508P5540</stp>
        <tr r="BB118" s="1"/>
      </tp>
      <tp t="s">
        <v>N/A</v>
        <stp/>
        <stp>VOLUME</stp>
        <stp>.SPXW250509P5550</stp>
        <tr r="BD117" s="1"/>
      </tp>
      <tp t="s">
        <v>N/A</v>
        <stp/>
        <stp>VOLUME</stp>
        <stp>.SPXW250829C5740</stp>
        <tr r="P99" s="2"/>
      </tp>
      <tp t="s">
        <v>N/A</v>
        <stp/>
        <stp>VOLUME</stp>
        <stp>.SPXW250508C5550</stp>
        <tr r="BA117" s="1"/>
      </tp>
      <tp t="s">
        <v>N/A</v>
        <stp/>
        <stp>VOLUME</stp>
        <stp>.SPXW250509C5540</stp>
        <tr r="BC118" s="1"/>
      </tp>
      <tp t="s">
        <v>N/A</v>
        <stp/>
        <stp>VOLUME</stp>
        <stp>.SPXW251128C5750</stp>
        <tr r="V98" s="2"/>
      </tp>
      <tp t="s">
        <v>N/A</v>
        <stp/>
        <stp>VOLUME</stp>
        <stp>.SPXW251128P5750</stp>
        <tr r="V98" s="2"/>
      </tp>
      <tp t="s">
        <v>N/A</v>
        <stp/>
        <stp>VOLUME</stp>
        <stp>.SPXW250829P5740</stp>
        <tr r="P99" s="2"/>
      </tp>
      <tp t="s">
        <v>N/A</v>
        <stp/>
        <stp>VOLUME</stp>
        <stp>.SPXW250508P5550</stp>
        <tr r="BB117" s="1"/>
      </tp>
      <tp t="s">
        <v>N/A</v>
        <stp/>
        <stp>VOLUME</stp>
        <stp>.SPXW250509P5540</stp>
        <tr r="BD118" s="1"/>
      </tp>
      <tp t="s">
        <v>N/A</v>
        <stp/>
        <stp>VOLUME</stp>
        <stp>.SPXW250829C5770</stp>
        <tr r="P96" s="2"/>
      </tp>
      <tp t="s">
        <v>N/A</v>
        <stp/>
        <stp>VOLUME</stp>
        <stp>.SPXW250508C5560</stp>
        <tr r="BA116" s="1"/>
      </tp>
      <tp t="s">
        <v>N/A</v>
        <stp/>
        <stp>VOLUME</stp>
        <stp>.SPXW250509C5570</stp>
        <tr r="BC115" s="1"/>
      </tp>
      <tp t="s">
        <v>N/A</v>
        <stp/>
        <stp>VOLUME</stp>
        <stp>.SPXW250516C5480</stp>
        <tr r="BE124" s="1"/>
      </tp>
      <tp t="s">
        <v>N/A</v>
        <stp/>
        <stp>VOLUME</stp>
        <stp>.SPXW250606C5580</stp>
        <tr r="J115" s="2"/>
      </tp>
      <tp t="s">
        <v>N/A</v>
        <stp/>
        <stp>VOLUME</stp>
        <stp>.SPXW251128C5760</stp>
        <tr r="V97" s="2"/>
      </tp>
      <tp t="s">
        <v>N/A</v>
        <stp/>
        <stp>VOLUME</stp>
        <stp>.SPXW251128P5760</stp>
        <tr r="V97" s="2"/>
      </tp>
      <tp t="s">
        <v>N/A</v>
        <stp/>
        <stp>VOLUME</stp>
        <stp>.SPXW250829P5770</stp>
        <tr r="P96" s="2"/>
      </tp>
      <tp t="s">
        <v>N/A</v>
        <stp/>
        <stp>VOLUME</stp>
        <stp>.SPXW250508P5560</stp>
        <tr r="BB116" s="1"/>
      </tp>
      <tp t="s">
        <v>N/A</v>
        <stp/>
        <stp>VOLUME</stp>
        <stp>.SPXW250509P5570</stp>
        <tr r="BD115" s="1"/>
      </tp>
      <tp t="s">
        <v>N/A</v>
        <stp/>
        <stp>VOLUME</stp>
        <stp>.SPXW250516P5480</stp>
        <tr r="BF124" s="1"/>
      </tp>
      <tp t="s">
        <v>N/A</v>
        <stp/>
        <stp>VOLUME</stp>
        <stp>.SPXW250606P5580</stp>
        <tr r="J115" s="2"/>
      </tp>
      <tp t="s">
        <v>N/A</v>
        <stp/>
        <stp>VOLUME</stp>
        <stp>.SPXW250829C5760</stp>
        <tr r="P97" s="2"/>
      </tp>
      <tp t="s">
        <v>N/A</v>
        <stp/>
        <stp>VOLUME</stp>
        <stp>.SPXW250508C5570</stp>
        <tr r="BA115" s="1"/>
      </tp>
      <tp t="s">
        <v>N/A</v>
        <stp/>
        <stp>VOLUME</stp>
        <stp>.SPXW250509C5560</stp>
        <tr r="BC116" s="1"/>
      </tp>
      <tp t="s">
        <v>N/A</v>
        <stp/>
        <stp>VOLUME</stp>
        <stp>.SPXW250516C5490</stp>
        <tr r="BE123" s="1"/>
      </tp>
      <tp t="s">
        <v>N/A</v>
        <stp/>
        <stp>VOLUME</stp>
        <stp>.SPXW250606C5590</stp>
        <tr r="J114" s="2"/>
      </tp>
      <tp t="s">
        <v>N/A</v>
        <stp/>
        <stp>VOLUME</stp>
        <stp>.SPXW251128C5770</stp>
        <tr r="V96" s="2"/>
      </tp>
      <tp t="s">
        <v>N/A</v>
        <stp/>
        <stp>VOLUME</stp>
        <stp>.SPXW251128P5770</stp>
        <tr r="V96" s="2"/>
      </tp>
      <tp t="s">
        <v>N/A</v>
        <stp/>
        <stp>VOLUME</stp>
        <stp>.SPXW250829P5760</stp>
        <tr r="P97" s="2"/>
      </tp>
      <tp t="s">
        <v>N/A</v>
        <stp/>
        <stp>VOLUME</stp>
        <stp>.SPXW250508P5570</stp>
        <tr r="BB115" s="1"/>
      </tp>
      <tp t="s">
        <v>N/A</v>
        <stp/>
        <stp>VOLUME</stp>
        <stp>.SPXW250509P5560</stp>
        <tr r="BD116" s="1"/>
      </tp>
      <tp t="s">
        <v>N/A</v>
        <stp/>
        <stp>VOLUME</stp>
        <stp>.SPXW250516P5490</stp>
        <tr r="BF123" s="1"/>
      </tp>
      <tp t="s">
        <v>N/A</v>
        <stp/>
        <stp>VOLUME</stp>
        <stp>.SPXW250606P5590</stp>
        <tr r="J114" s="2"/>
      </tp>
      <tp t="s">
        <v>N/A</v>
        <stp/>
        <stp>VOLUME</stp>
        <stp>.NDXP251231P19950</stp>
        <tr r="X162" s="2"/>
      </tp>
      <tp t="s">
        <v>N/A</v>
        <stp/>
        <stp>VOLUME</stp>
        <stp>.NDXP251128P20050</stp>
        <tr r="V158" s="2"/>
      </tp>
      <tp t="s">
        <v>N/A</v>
        <stp/>
        <stp>VOLUME</stp>
        <stp>.NDXP251031P19950</stp>
        <tr r="T162" s="2"/>
      </tp>
      <tp t="s">
        <v>N/A</v>
        <stp/>
        <stp>VOLUME</stp>
        <stp>.SPXW250930C5600</stp>
        <tr r="R113" s="2"/>
      </tp>
      <tp t="s">
        <v>N/A</v>
        <stp/>
        <stp>VOLUME</stp>
        <stp>.SPXW250829C5790</stp>
        <tr r="P94" s="2"/>
      </tp>
      <tp t="s">
        <v>N/A</v>
        <stp/>
        <stp>VOLUME</stp>
        <stp>.SPXW250508C5580</stp>
        <tr r="BA114" s="1"/>
      </tp>
      <tp t="s">
        <v>N/A</v>
        <stp/>
        <stp>VOLUME</stp>
        <stp>.SPXW250509C5590</stp>
        <tr r="BC113" s="1"/>
      </tp>
      <tp t="s">
        <v>N/A</v>
        <stp/>
        <stp>VOLUME</stp>
        <stp>.SPXW250516C5460</stp>
        <tr r="BE126" s="1"/>
      </tp>
      <tp t="s">
        <v>N/A</v>
        <stp/>
        <stp>VOLUME</stp>
        <stp>.SPXW250530C5600</stp>
        <tr r="I113" s="2"/>
      </tp>
      <tp t="s">
        <v>N/A</v>
        <stp/>
        <stp>VOLUME</stp>
        <stp>.SPXW250731C5610</stp>
        <tr r="N112" s="2"/>
      </tp>
      <tp t="s">
        <v>N/A</v>
        <stp/>
        <stp>VOLUME</stp>
        <stp>.SPXW250606C5560</stp>
        <tr r="J117" s="2"/>
      </tp>
      <tp t="s">
        <v>N/A</v>
        <stp/>
        <stp>VOLUME</stp>
        <stp>.SPXW250630C5600</stp>
        <tr r="L113" s="2"/>
      </tp>
      <tp t="s">
        <v>N/A</v>
        <stp/>
        <stp>VOLUME</stp>
        <stp>.SPXW251128C5780</stp>
        <tr r="V95" s="2"/>
      </tp>
      <tp t="s">
        <v>N/A</v>
        <stp/>
        <stp>VOLUME</stp>
        <stp>.SPXW251031C5610</stp>
        <tr r="T112" s="2"/>
      </tp>
      <tp t="s">
        <v>N/A</v>
        <stp/>
        <stp>VOLUME</stp>
        <stp>.SPXW251231C5610</stp>
        <tr r="X112" s="2"/>
      </tp>
      <tp t="s">
        <v>N/A</v>
        <stp/>
        <stp>VOLUME</stp>
        <stp>.SPXW251128P5780</stp>
        <tr r="V95" s="2"/>
      </tp>
      <tp t="s">
        <v>N/A</v>
        <stp/>
        <stp>VOLUME</stp>
        <stp>.SPXW251031P5610</stp>
        <tr r="T112" s="2"/>
      </tp>
      <tp t="s">
        <v>N/A</v>
        <stp/>
        <stp>VOLUME</stp>
        <stp>.SPXW251231P5610</stp>
        <tr r="X112" s="2"/>
      </tp>
      <tp t="s">
        <v>N/A</v>
        <stp/>
        <stp>VOLUME</stp>
        <stp>.SPXW250930P5600</stp>
        <tr r="R113" s="2"/>
      </tp>
      <tp t="s">
        <v>N/A</v>
        <stp/>
        <stp>VOLUME</stp>
        <stp>.SPXW250829P5790</stp>
        <tr r="P94" s="2"/>
      </tp>
      <tp t="s">
        <v>N/A</v>
        <stp/>
        <stp>VOLUME</stp>
        <stp>.SPXW250508P5580</stp>
        <tr r="BB114" s="1"/>
      </tp>
      <tp t="s">
        <v>N/A</v>
        <stp/>
        <stp>VOLUME</stp>
        <stp>.SPXW250509P5590</stp>
        <tr r="BD113" s="1"/>
      </tp>
      <tp t="s">
        <v>N/A</v>
        <stp/>
        <stp>VOLUME</stp>
        <stp>.SPXW250516P5460</stp>
        <tr r="BF126" s="1"/>
      </tp>
      <tp t="s">
        <v>N/A</v>
        <stp/>
        <stp>VOLUME</stp>
        <stp>.SPXW250530P5600</stp>
        <tr r="I113" s="2"/>
      </tp>
      <tp t="s">
        <v>N/A</v>
        <stp/>
        <stp>VOLUME</stp>
        <stp>.SPXW250731P5610</stp>
        <tr r="N112" s="2"/>
      </tp>
      <tp t="s">
        <v>N/A</v>
        <stp/>
        <stp>VOLUME</stp>
        <stp>.SPXW250606P5560</stp>
        <tr r="J117" s="2"/>
      </tp>
      <tp t="s">
        <v>N/A</v>
        <stp/>
        <stp>VOLUME</stp>
        <stp>.SPXW250630P5600</stp>
        <tr r="L113" s="2"/>
      </tp>
      <tp t="s">
        <v>N/A</v>
        <stp/>
        <stp>VOLUME</stp>
        <stp>.NDXP250829P20150</stp>
        <tr r="P154" s="2"/>
      </tp>
      <tp t="s">
        <v>N/A</v>
        <stp/>
        <stp>VOLUME</stp>
        <stp>.NDXP250930P19850</stp>
        <tr r="R166" s="2"/>
      </tp>
      <tp t="s">
        <v>N/A</v>
        <stp/>
        <stp>VOLUME</stp>
        <stp>.NDXP250630P19850</stp>
        <tr r="L166" s="2"/>
      </tp>
      <tp t="s">
        <v>N/A</v>
        <stp/>
        <stp>VOLUME</stp>
        <stp>.NDXP250508P20050</stp>
        <tr r="BB157" s="1"/>
      </tp>
      <tp>
        <v>135</v>
        <stp/>
        <stp>VOLUME</stp>
        <stp>.NDXP250509P20150</stp>
        <tr r="BD153" s="1"/>
        <tr r="BD153" s="1"/>
      </tp>
      <tp t="s">
        <v>N/A</v>
        <stp/>
        <stp>VOLUME</stp>
        <stp>.NDXP250731P19950</stp>
        <tr r="N162" s="2"/>
      </tp>
      <tp t="s">
        <v>N/A</v>
        <stp/>
        <stp>VOLUME</stp>
        <stp>.NDXP250530P19850</stp>
        <tr r="I166" s="2"/>
      </tp>
      <tp t="s">
        <v>N/A</v>
        <stp/>
        <stp>VOLUME</stp>
        <stp>.SPXW250930C5610</stp>
        <tr r="R112" s="2"/>
      </tp>
      <tp t="s">
        <v>N/A</v>
        <stp/>
        <stp>VOLUME</stp>
        <stp>.SPXW250829C5780</stp>
        <tr r="P95" s="2"/>
      </tp>
      <tp t="s">
        <v>N/A</v>
        <stp/>
        <stp>VOLUME</stp>
        <stp>.SPXW250508C5590</stp>
        <tr r="BA113" s="1"/>
      </tp>
      <tp t="s">
        <v>N/A</v>
        <stp/>
        <stp>VOLUME</stp>
        <stp>.SPXW250509C5580</stp>
        <tr r="BC114" s="1"/>
      </tp>
      <tp t="s">
        <v>N/A</v>
        <stp/>
        <stp>VOLUME</stp>
        <stp>.SPXW250516C5470</stp>
        <tr r="BE125" s="1"/>
      </tp>
      <tp t="s">
        <v>N/A</v>
        <stp/>
        <stp>VOLUME</stp>
        <stp>.SPXW250530C5610</stp>
        <tr r="I112" s="2"/>
      </tp>
      <tp t="s">
        <v>N/A</v>
        <stp/>
        <stp>VOLUME</stp>
        <stp>.SPXW250731C5600</stp>
        <tr r="N113" s="2"/>
      </tp>
      <tp t="s">
        <v>N/A</v>
        <stp/>
        <stp>VOLUME</stp>
        <stp>.SPXW250606C5570</stp>
        <tr r="J116" s="2"/>
      </tp>
      <tp t="s">
        <v>N/A</v>
        <stp/>
        <stp>VOLUME</stp>
        <stp>.SPXW250630C5610</stp>
        <tr r="L112" s="2"/>
      </tp>
      <tp t="s">
        <v>N/A</v>
        <stp/>
        <stp>VOLUME</stp>
        <stp>.SPXW251128C5790</stp>
        <tr r="V94" s="2"/>
      </tp>
      <tp t="s">
        <v>N/A</v>
        <stp/>
        <stp>VOLUME</stp>
        <stp>.SPXW251031C5600</stp>
        <tr r="T113" s="2"/>
      </tp>
      <tp t="s">
        <v>N/A</v>
        <stp/>
        <stp>VOLUME</stp>
        <stp>.SPXW251231C5600</stp>
        <tr r="X113" s="2"/>
      </tp>
      <tp t="s">
        <v>N/A</v>
        <stp/>
        <stp>VOLUME</stp>
        <stp>.SPXW251128P5790</stp>
        <tr r="V94" s="2"/>
      </tp>
      <tp t="s">
        <v>N/A</v>
        <stp/>
        <stp>VOLUME</stp>
        <stp>.SPXW251031P5600</stp>
        <tr r="T113" s="2"/>
      </tp>
      <tp t="s">
        <v>N/A</v>
        <stp/>
        <stp>VOLUME</stp>
        <stp>.SPXW251231P5600</stp>
        <tr r="X113" s="2"/>
      </tp>
      <tp t="s">
        <v>N/A</v>
        <stp/>
        <stp>VOLUME</stp>
        <stp>.SPXW250930P5610</stp>
        <tr r="R112" s="2"/>
      </tp>
      <tp t="s">
        <v>N/A</v>
        <stp/>
        <stp>VOLUME</stp>
        <stp>.SPXW250829P5780</stp>
        <tr r="P95" s="2"/>
      </tp>
      <tp t="s">
        <v>N/A</v>
        <stp/>
        <stp>VOLUME</stp>
        <stp>.SPXW250508P5590</stp>
        <tr r="BB113" s="1"/>
      </tp>
      <tp t="s">
        <v>N/A</v>
        <stp/>
        <stp>VOLUME</stp>
        <stp>.SPXW250509P5580</stp>
        <tr r="BD114" s="1"/>
      </tp>
      <tp t="s">
        <v>N/A</v>
        <stp/>
        <stp>VOLUME</stp>
        <stp>.SPXW250516P5470</stp>
        <tr r="BF125" s="1"/>
      </tp>
      <tp t="s">
        <v>N/A</v>
        <stp/>
        <stp>VOLUME</stp>
        <stp>.SPXW250530P5610</stp>
        <tr r="I112" s="2"/>
      </tp>
      <tp t="s">
        <v>N/A</v>
        <stp/>
        <stp>VOLUME</stp>
        <stp>.SPXW250731P5600</stp>
        <tr r="N113" s="2"/>
      </tp>
      <tp t="s">
        <v>N/A</v>
        <stp/>
        <stp>VOLUME</stp>
        <stp>.SPXW250606P5570</stp>
        <tr r="J116" s="2"/>
      </tp>
      <tp t="s">
        <v>N/A</v>
        <stp/>
        <stp>VOLUME</stp>
        <stp>.SPXW250630P5610</stp>
        <tr r="L112" s="2"/>
      </tp>
      <tp t="s">
        <v>N/A</v>
        <stp/>
        <stp>VOLUME</stp>
        <stp>.NDXP251231P19975</stp>
        <tr r="X161" s="2"/>
      </tp>
      <tp t="s">
        <v>N/A</v>
        <stp/>
        <stp>VOLUME</stp>
        <stp>.NDXP251128P20075</stp>
        <tr r="V157" s="2"/>
      </tp>
      <tp t="s">
        <v>N/A</v>
        <stp/>
        <stp>VOLUME</stp>
        <stp>.NDXP251031P19975</stp>
        <tr r="T161" s="2"/>
      </tp>
      <tp t="s">
        <v>N/A</v>
        <stp/>
        <stp>VOLUME</stp>
        <stp>.SPXW250930C5620</stp>
        <tr r="R111" s="2"/>
      </tp>
      <tp t="s">
        <v>N/A</v>
        <stp/>
        <stp>VOLUME</stp>
        <stp>.SPXW250516C5440</stp>
        <tr r="BE128" s="1"/>
      </tp>
      <tp t="s">
        <v>N/A</v>
        <stp/>
        <stp>VOLUME</stp>
        <stp>.SPXW250530C5620</stp>
        <tr r="I111" s="2"/>
      </tp>
      <tp t="s">
        <v>N/A</v>
        <stp/>
        <stp>VOLUME</stp>
        <stp>.SPXW250731C5630</stp>
        <tr r="N110" s="2"/>
      </tp>
      <tp t="s">
        <v>N/A</v>
        <stp/>
        <stp>VOLUME</stp>
        <stp>.SPXW250606C5540</stp>
        <tr r="J119" s="2"/>
      </tp>
      <tp t="s">
        <v>N/A</v>
        <stp/>
        <stp>VOLUME</stp>
        <stp>.SPXW250630C5620</stp>
        <tr r="L111" s="2"/>
      </tp>
      <tp t="s">
        <v>N/A</v>
        <stp/>
        <stp>VOLUME</stp>
        <stp>.SPXW251031C5630</stp>
        <tr r="T110" s="2"/>
      </tp>
      <tp t="s">
        <v>N/A</v>
        <stp/>
        <stp>VOLUME</stp>
        <stp>.SPXW251231C5630</stp>
        <tr r="X110" s="2"/>
      </tp>
      <tp t="s">
        <v>N/A</v>
        <stp/>
        <stp>VOLUME</stp>
        <stp>.SPXW251031P5630</stp>
        <tr r="T110" s="2"/>
      </tp>
      <tp t="s">
        <v>N/A</v>
        <stp/>
        <stp>VOLUME</stp>
        <stp>.SPXW251231P5630</stp>
        <tr r="X110" s="2"/>
      </tp>
      <tp t="s">
        <v>N/A</v>
        <stp/>
        <stp>VOLUME</stp>
        <stp>.SPXW250930P5620</stp>
        <tr r="R111" s="2"/>
      </tp>
      <tp t="s">
        <v>N/A</v>
        <stp/>
        <stp>VOLUME</stp>
        <stp>.SPXW250516P5440</stp>
        <tr r="BF128" s="1"/>
      </tp>
      <tp t="s">
        <v>N/A</v>
        <stp/>
        <stp>VOLUME</stp>
        <stp>.SPXW250530P5620</stp>
        <tr r="I111" s="2"/>
      </tp>
      <tp t="s">
        <v>N/A</v>
        <stp/>
        <stp>VOLUME</stp>
        <stp>.SPXW250731P5630</stp>
        <tr r="N110" s="2"/>
      </tp>
      <tp t="s">
        <v>N/A</v>
        <stp/>
        <stp>VOLUME</stp>
        <stp>.SPXW250606P5540</stp>
        <tr r="J119" s="2"/>
      </tp>
      <tp t="s">
        <v>N/A</v>
        <stp/>
        <stp>VOLUME</stp>
        <stp>.SPXW250630P5620</stp>
        <tr r="L111" s="2"/>
      </tp>
      <tp t="s">
        <v>N/A</v>
        <stp/>
        <stp>VOLUME</stp>
        <stp>.NDXP250829P20175</stp>
        <tr r="P153" s="2"/>
      </tp>
      <tp t="s">
        <v>N/A</v>
        <stp/>
        <stp>VOLUME</stp>
        <stp>.NDXP250930P19875</stp>
        <tr r="R165" s="2"/>
      </tp>
      <tp t="s">
        <v>N/A</v>
        <stp/>
        <stp>VOLUME</stp>
        <stp>.NDXP250731P19975</stp>
        <tr r="N161" s="2"/>
      </tp>
      <tp t="s">
        <v>N/A</v>
        <stp/>
        <stp>VOLUME</stp>
        <stp>.NDXP250630P19875</stp>
        <tr r="L165" s="2"/>
      </tp>
      <tp t="s">
        <v>N/A</v>
        <stp/>
        <stp>VOLUME</stp>
        <stp>.NDXP250508P20075</stp>
        <tr r="BB156" s="1"/>
      </tp>
      <tp>
        <v>16</v>
        <stp/>
        <stp>VOLUME</stp>
        <stp>.NDXP250509P20175</stp>
        <tr r="BD152" s="1"/>
        <tr r="BD152" s="1"/>
      </tp>
      <tp t="s">
        <v>N/A</v>
        <stp/>
        <stp>VOLUME</stp>
        <stp>.NDXP250530P19875</stp>
        <tr r="I165" s="2"/>
      </tp>
      <tp t="s">
        <v>N/A</v>
        <stp/>
        <stp>VOLUME</stp>
        <stp>.SPXW250930C5630</stp>
        <tr r="R110" s="2"/>
      </tp>
      <tp t="s">
        <v>N/A</v>
        <stp/>
        <stp>VOLUME</stp>
        <stp>.SPXW250516C5450</stp>
        <tr r="BE127" s="1"/>
      </tp>
      <tp t="s">
        <v>N/A</v>
        <stp/>
        <stp>VOLUME</stp>
        <stp>.SPXW250530C5630</stp>
        <tr r="I110" s="2"/>
      </tp>
      <tp t="s">
        <v>N/A</v>
        <stp/>
        <stp>VOLUME</stp>
        <stp>.SPXW250731C5620</stp>
        <tr r="N111" s="2"/>
      </tp>
      <tp t="s">
        <v>N/A</v>
        <stp/>
        <stp>VOLUME</stp>
        <stp>.SPXW250606C5550</stp>
        <tr r="J118" s="2"/>
      </tp>
      <tp t="s">
        <v>N/A</v>
        <stp/>
        <stp>VOLUME</stp>
        <stp>.SPXW250630C5630</stp>
        <tr r="L110" s="2"/>
      </tp>
      <tp t="s">
        <v>N/A</v>
        <stp/>
        <stp>VOLUME</stp>
        <stp>.SPXW251031C5620</stp>
        <tr r="T111" s="2"/>
      </tp>
      <tp t="s">
        <v>N/A</v>
        <stp/>
        <stp>VOLUME</stp>
        <stp>.SPXW251231C5620</stp>
        <tr r="X111" s="2"/>
      </tp>
      <tp t="s">
        <v>N/A</v>
        <stp/>
        <stp>VOLUME</stp>
        <stp>.SPXW251031P5620</stp>
        <tr r="T111" s="2"/>
      </tp>
      <tp t="s">
        <v>N/A</v>
        <stp/>
        <stp>VOLUME</stp>
        <stp>.SPXW251231P5620</stp>
        <tr r="X111" s="2"/>
      </tp>
      <tp t="s">
        <v>N/A</v>
        <stp/>
        <stp>VOLUME</stp>
        <stp>.SPXW250930P5630</stp>
        <tr r="R110" s="2"/>
      </tp>
      <tp t="s">
        <v>N/A</v>
        <stp/>
        <stp>VOLUME</stp>
        <stp>.SPXW250516P5450</stp>
        <tr r="BF127" s="1"/>
      </tp>
      <tp t="s">
        <v>N/A</v>
        <stp/>
        <stp>VOLUME</stp>
        <stp>.SPXW250530P5630</stp>
        <tr r="I110" s="2"/>
      </tp>
      <tp t="s">
        <v>N/A</v>
        <stp/>
        <stp>VOLUME</stp>
        <stp>.SPXW250731P5620</stp>
        <tr r="N111" s="2"/>
      </tp>
      <tp>
        <v>1</v>
        <stp/>
        <stp>VOLUME</stp>
        <stp>.SPXW250606P5550</stp>
        <tr r="J118" s="2"/>
        <tr r="J118" s="2"/>
      </tp>
      <tp t="s">
        <v>N/A</v>
        <stp/>
        <stp>VOLUME</stp>
        <stp>.SPXW250630P5630</stp>
        <tr r="L110" s="2"/>
      </tp>
      <tp t="s">
        <v>N/A</v>
        <stp/>
        <stp>VOLUME</stp>
        <stp>.QQQP500</stp>
        <tr r="G48" s="2"/>
        <tr r="F48" s="2"/>
        <tr r="E48" s="2"/>
        <tr r="D48" s="2"/>
        <tr r="C48" s="2"/>
        <tr r="B48" s="2"/>
      </tp>
      <tp t="s">
        <v>N/A</v>
        <stp/>
        <stp>VOLUME</stp>
        <stp>.QQQC500</stp>
        <tr r="G48" s="2"/>
        <tr r="F48" s="2"/>
        <tr r="E48" s="2"/>
        <tr r="D48" s="2"/>
        <tr r="C48" s="2"/>
        <tr r="B48" s="2"/>
      </tp>
      <tp t="s">
        <v>N/A</v>
        <stp/>
        <stp>VOLUME</stp>
        <stp>.QQQP501</stp>
        <tr r="G47" s="2"/>
        <tr r="F47" s="2"/>
        <tr r="E47" s="2"/>
        <tr r="D47" s="2"/>
        <tr r="C47" s="2"/>
        <tr r="B47" s="2"/>
      </tp>
      <tp t="s">
        <v>N/A</v>
        <stp/>
        <stp>VOLUME</stp>
        <stp>.QQQC501</stp>
        <tr r="G47" s="2"/>
        <tr r="F47" s="2"/>
        <tr r="E47" s="2"/>
        <tr r="D47" s="2"/>
        <tr r="C47" s="2"/>
        <tr r="B47" s="2"/>
      </tp>
      <tp t="s">
        <v>N/A</v>
        <stp/>
        <stp>VOLUME</stp>
        <stp>.QQQP502</stp>
        <tr r="G46" s="2"/>
        <tr r="F46" s="2"/>
        <tr r="E46" s="2"/>
        <tr r="D46" s="2"/>
        <tr r="C46" s="2"/>
        <tr r="B46" s="2"/>
      </tp>
      <tp t="s">
        <v>N/A</v>
        <stp/>
        <stp>VOLUME</stp>
        <stp>.QQQC502</stp>
        <tr r="G46" s="2"/>
        <tr r="F46" s="2"/>
        <tr r="E46" s="2"/>
        <tr r="D46" s="2"/>
        <tr r="C46" s="2"/>
        <tr r="B46" s="2"/>
      </tp>
      <tp t="s">
        <v>N/A</v>
        <stp/>
        <stp>VOLUME</stp>
        <stp>.NDXP250829P20100</stp>
        <tr r="P156" s="2"/>
      </tp>
      <tp t="s">
        <v>N/A</v>
        <stp/>
        <stp>VOLUME</stp>
        <stp>.NDXP250930P19800</stp>
        <tr r="R168" s="2"/>
      </tp>
      <tp t="s">
        <v>N/A</v>
        <stp/>
        <stp>VOLUME</stp>
        <stp>.NDXP250630P19800</stp>
        <tr r="L168" s="2"/>
      </tp>
      <tp t="s">
        <v>N/A</v>
        <stp/>
        <stp>VOLUME</stp>
        <stp>.NDXP250508P20000</stp>
        <tr r="BB159" s="1"/>
      </tp>
      <tp>
        <v>253</v>
        <stp/>
        <stp>VOLUME</stp>
        <stp>.NDXP250509P20100</stp>
        <tr r="BD155" s="1"/>
        <tr r="BD155" s="1"/>
      </tp>
      <tp t="s">
        <v>N/A</v>
        <stp/>
        <stp>VOLUME</stp>
        <stp>.NDXP250731P19900</stp>
        <tr r="N164" s="2"/>
      </tp>
      <tp>
        <v>3</v>
        <stp/>
        <stp>VOLUME</stp>
        <stp>.NDXP250530P19800</stp>
        <tr r="I168" s="2"/>
        <tr r="I168" s="2"/>
      </tp>
      <tp t="s">
        <v>N/A</v>
        <stp/>
        <stp>VOLUME</stp>
        <stp>.SPXW250930C5640</stp>
        <tr r="R109" s="2"/>
      </tp>
      <tp t="s">
        <v>N/A</v>
        <stp/>
        <stp>VOLUME</stp>
        <stp>.SPXW250516C5420</stp>
        <tr r="BE130" s="1"/>
      </tp>
      <tp t="s">
        <v>N/A</v>
        <stp/>
        <stp>VOLUME</stp>
        <stp>.SPXW250530C5640</stp>
        <tr r="I109" s="2"/>
      </tp>
      <tp t="s">
        <v>N/A</v>
        <stp/>
        <stp>VOLUME</stp>
        <stp>.SPXW250731C5650</stp>
        <tr r="N108" s="2"/>
      </tp>
      <tp t="s">
        <v>N/A</v>
        <stp/>
        <stp>VOLUME</stp>
        <stp>.SPXW250606C5520</stp>
        <tr r="J121" s="2"/>
      </tp>
      <tp t="s">
        <v>N/A</v>
        <stp/>
        <stp>VOLUME</stp>
        <stp>.SPXW250630C5640</stp>
        <tr r="L109" s="2"/>
      </tp>
      <tp t="s">
        <v>N/A</v>
        <stp/>
        <stp>VOLUME</stp>
        <stp>.SPXW251031C5650</stp>
        <tr r="T108" s="2"/>
      </tp>
      <tp t="s">
        <v>N/A</v>
        <stp/>
        <stp>VOLUME</stp>
        <stp>.SPXW251231C5650</stp>
        <tr r="X108" s="2"/>
      </tp>
      <tp t="s">
        <v>N/A</v>
        <stp/>
        <stp>VOLUME</stp>
        <stp>.SPXW251031P5650</stp>
        <tr r="T108" s="2"/>
      </tp>
      <tp t="s">
        <v>N/A</v>
        <stp/>
        <stp>VOLUME</stp>
        <stp>.SPXW251231P5650</stp>
        <tr r="X108" s="2"/>
      </tp>
      <tp t="s">
        <v>N/A</v>
        <stp/>
        <stp>VOLUME</stp>
        <stp>.SPXW250930P5640</stp>
        <tr r="R109" s="2"/>
      </tp>
      <tp t="s">
        <v>N/A</v>
        <stp/>
        <stp>VOLUME</stp>
        <stp>.SPXW250516P5420</stp>
        <tr r="BF130" s="1"/>
      </tp>
      <tp t="s">
        <v>N/A</v>
        <stp/>
        <stp>VOLUME</stp>
        <stp>.SPXW250530P5640</stp>
        <tr r="I109" s="2"/>
      </tp>
      <tp t="s">
        <v>N/A</v>
        <stp/>
        <stp>VOLUME</stp>
        <stp>.SPXW250731P5650</stp>
        <tr r="N108" s="2"/>
      </tp>
      <tp t="s">
        <v>N/A</v>
        <stp/>
        <stp>VOLUME</stp>
        <stp>.SPXW250606P5520</stp>
        <tr r="J121" s="2"/>
      </tp>
      <tp t="s">
        <v>N/A</v>
        <stp/>
        <stp>VOLUME</stp>
        <stp>.SPXW250630P5640</stp>
        <tr r="L109" s="2"/>
      </tp>
      <tp t="s">
        <v>N/A</v>
        <stp/>
        <stp>VOLUME</stp>
        <stp>.NDXP251231P19900</stp>
        <tr r="X164" s="2"/>
      </tp>
      <tp t="s">
        <v>N/A</v>
        <stp/>
        <stp>VOLUME</stp>
        <stp>.NDXP251128P20000</stp>
        <tr r="V160" s="2"/>
      </tp>
      <tp t="s">
        <v>N/A</v>
        <stp/>
        <stp>VOLUME</stp>
        <stp>.NDXP251031P19900</stp>
        <tr r="T164" s="2"/>
      </tp>
      <tp t="s">
        <v>N/A</v>
        <stp/>
        <stp>VOLUME</stp>
        <stp>.SPXW250930C5650</stp>
        <tr r="R108" s="2"/>
      </tp>
      <tp t="s">
        <v>N/A</v>
        <stp/>
        <stp>VOLUME</stp>
        <stp>.SPXW250516C5430</stp>
        <tr r="BE129" s="1"/>
      </tp>
      <tp t="s">
        <v>N/A</v>
        <stp/>
        <stp>VOLUME</stp>
        <stp>.SPXW250530C5650</stp>
        <tr r="I108" s="2"/>
      </tp>
      <tp t="s">
        <v>N/A</v>
        <stp/>
        <stp>VOLUME</stp>
        <stp>.SPXW250731C5640</stp>
        <tr r="N109" s="2"/>
      </tp>
      <tp t="s">
        <v>N/A</v>
        <stp/>
        <stp>VOLUME</stp>
        <stp>.SPXW250606C5530</stp>
        <tr r="J120" s="2"/>
      </tp>
      <tp t="s">
        <v>N/A</v>
        <stp/>
        <stp>VOLUME</stp>
        <stp>.SPXW250630C5650</stp>
        <tr r="L108" s="2"/>
      </tp>
      <tp t="s">
        <v>N/A</v>
        <stp/>
        <stp>VOLUME</stp>
        <stp>.SPXW251031C5640</stp>
        <tr r="T109" s="2"/>
      </tp>
      <tp t="s">
        <v>N/A</v>
        <stp/>
        <stp>VOLUME</stp>
        <stp>.SPXW251231C5640</stp>
        <tr r="X109" s="2"/>
      </tp>
      <tp t="s">
        <v>N/A</v>
        <stp/>
        <stp>VOLUME</stp>
        <stp>.SPXW251031P5640</stp>
        <tr r="T109" s="2"/>
      </tp>
      <tp t="s">
        <v>N/A</v>
        <stp/>
        <stp>VOLUME</stp>
        <stp>.SPXW251231P5640</stp>
        <tr r="X109" s="2"/>
      </tp>
      <tp t="s">
        <v>N/A</v>
        <stp/>
        <stp>VOLUME</stp>
        <stp>.SPXW250930P5650</stp>
        <tr r="R108" s="2"/>
      </tp>
      <tp>
        <v>5</v>
        <stp/>
        <stp>VOLUME</stp>
        <stp>.SPXW250516P5430</stp>
        <tr r="BF129" s="1"/>
        <tr r="BF129" s="1"/>
      </tp>
      <tp t="s">
        <v>N/A</v>
        <stp/>
        <stp>VOLUME</stp>
        <stp>.SPXW250530P5650</stp>
        <tr r="I108" s="2"/>
      </tp>
      <tp t="s">
        <v>N/A</v>
        <stp/>
        <stp>VOLUME</stp>
        <stp>.SPXW250731P5640</stp>
        <tr r="N109" s="2"/>
      </tp>
      <tp t="s">
        <v>N/A</v>
        <stp/>
        <stp>VOLUME</stp>
        <stp>.SPXW250606P5530</stp>
        <tr r="J120" s="2"/>
      </tp>
      <tp t="s">
        <v>N/A</v>
        <stp/>
        <stp>VOLUME</stp>
        <stp>.SPXW250630P5650</stp>
        <tr r="L108" s="2"/>
      </tp>
      <tp t="s">
        <v>N/A</v>
        <stp/>
        <stp>VOLUME</stp>
        <stp>.NDXP250829P20125</stp>
        <tr r="P155" s="2"/>
      </tp>
      <tp t="s">
        <v>N/A</v>
        <stp/>
        <stp>VOLUME</stp>
        <stp>.NDXP250930P19825</stp>
        <tr r="R167" s="2"/>
      </tp>
      <tp t="s">
        <v>N/A</v>
        <stp/>
        <stp>VOLUME</stp>
        <stp>.NDXP250731P19925</stp>
        <tr r="N163" s="2"/>
      </tp>
      <tp t="s">
        <v>N/A</v>
        <stp/>
        <stp>VOLUME</stp>
        <stp>.NDXP250630P19825</stp>
        <tr r="L167" s="2"/>
      </tp>
      <tp t="s">
        <v>N/A</v>
        <stp/>
        <stp>VOLUME</stp>
        <stp>.NDXP250508P20025</stp>
        <tr r="BB158" s="1"/>
      </tp>
      <tp>
        <v>29</v>
        <stp/>
        <stp>VOLUME</stp>
        <stp>.NDXP250509P20125</stp>
        <tr r="BD154" s="1"/>
        <tr r="BD154" s="1"/>
      </tp>
      <tp t="s">
        <v>N/A</v>
        <stp/>
        <stp>VOLUME</stp>
        <stp>.NDXP250530P19825</stp>
        <tr r="I167" s="2"/>
      </tp>
      <tp t="s">
        <v>N/A</v>
        <stp/>
        <stp>VOLUME</stp>
        <stp>.SPXW250930C5660</stp>
        <tr r="R107" s="2"/>
      </tp>
      <tp t="s">
        <v>N/A</v>
        <stp/>
        <stp>VOLUME</stp>
        <stp>.SPXW250530C5660</stp>
        <tr r="I107" s="2"/>
      </tp>
      <tp t="s">
        <v>N/A</v>
        <stp/>
        <stp>VOLUME</stp>
        <stp>.SPXW250731C5670</stp>
        <tr r="N106" s="2"/>
      </tp>
      <tp t="s">
        <v>N/A</v>
        <stp/>
        <stp>VOLUME</stp>
        <stp>.SPXW250606C5500</stp>
        <tr r="J123" s="2"/>
      </tp>
      <tp t="s">
        <v>N/A</v>
        <stp/>
        <stp>VOLUME</stp>
        <stp>.SPXW250630C5660</stp>
        <tr r="L107" s="2"/>
      </tp>
      <tp t="s">
        <v>N/A</v>
        <stp/>
        <stp>VOLUME</stp>
        <stp>.SPXW251031C5670</stp>
        <tr r="T106" s="2"/>
      </tp>
      <tp t="s">
        <v>N/A</v>
        <stp/>
        <stp>VOLUME</stp>
        <stp>.SPXW251231C5670</stp>
        <tr r="X106" s="2"/>
      </tp>
      <tp t="s">
        <v>N/A</v>
        <stp/>
        <stp>VOLUME</stp>
        <stp>.SPXW251031P5670</stp>
        <tr r="T106" s="2"/>
      </tp>
      <tp t="s">
        <v>N/A</v>
        <stp/>
        <stp>VOLUME</stp>
        <stp>.SPXW251231P5670</stp>
        <tr r="X106" s="2"/>
      </tp>
      <tp t="s">
        <v>N/A</v>
        <stp/>
        <stp>VOLUME</stp>
        <stp>.SPXW250930P5660</stp>
        <tr r="R107" s="2"/>
      </tp>
      <tp t="s">
        <v>N/A</v>
        <stp/>
        <stp>VOLUME</stp>
        <stp>.SPXW250530P5660</stp>
        <tr r="I107" s="2"/>
      </tp>
      <tp t="s">
        <v>N/A</v>
        <stp/>
        <stp>VOLUME</stp>
        <stp>.SPXW250731P5670</stp>
        <tr r="N106" s="2"/>
      </tp>
      <tp t="s">
        <v>N/A</v>
        <stp/>
        <stp>VOLUME</stp>
        <stp>.SPXW250606P5500</stp>
        <tr r="J123" s="2"/>
      </tp>
      <tp t="s">
        <v>N/A</v>
        <stp/>
        <stp>VOLUME</stp>
        <stp>.SPXW250630P5660</stp>
        <tr r="L107" s="2"/>
      </tp>
      <tp t="s">
        <v>N/A</v>
        <stp/>
        <stp>VOLUME</stp>
        <stp>.NDXP251231P19925</stp>
        <tr r="X163" s="2"/>
      </tp>
      <tp t="s">
        <v>N/A</v>
        <stp/>
        <stp>VOLUME</stp>
        <stp>.NDXP251128P20025</stp>
        <tr r="V159" s="2"/>
      </tp>
      <tp t="s">
        <v>N/A</v>
        <stp/>
        <stp>VOLUME</stp>
        <stp>.NDXP251031P19925</stp>
        <tr r="T163" s="2"/>
      </tp>
      <tp t="s">
        <v>N/A</v>
        <stp/>
        <stp>VOLUME</stp>
        <stp>.SPXW250930C5670</stp>
        <tr r="R106" s="2"/>
      </tp>
      <tp t="s">
        <v>N/A</v>
        <stp/>
        <stp>VOLUME</stp>
        <stp>.SPXW250530C5670</stp>
        <tr r="I106" s="2"/>
      </tp>
      <tp t="s">
        <v>N/A</v>
        <stp/>
        <stp>VOLUME</stp>
        <stp>.SPXW250731C5660</stp>
        <tr r="N107" s="2"/>
      </tp>
      <tp t="s">
        <v>N/A</v>
        <stp/>
        <stp>VOLUME</stp>
        <stp>.SPXW250606C5510</stp>
        <tr r="J122" s="2"/>
      </tp>
      <tp t="s">
        <v>N/A</v>
        <stp/>
        <stp>VOLUME</stp>
        <stp>.SPXW250630C5670</stp>
        <tr r="L106" s="2"/>
      </tp>
      <tp t="s">
        <v>N/A</v>
        <stp/>
        <stp>VOLUME</stp>
        <stp>.SPXW251031C5660</stp>
        <tr r="T107" s="2"/>
      </tp>
      <tp t="s">
        <v>N/A</v>
        <stp/>
        <stp>VOLUME</stp>
        <stp>.SPXW251231C5660</stp>
        <tr r="X107" s="2"/>
      </tp>
      <tp t="s">
        <v>N/A</v>
        <stp/>
        <stp>VOLUME</stp>
        <stp>.SPXW251031P5660</stp>
        <tr r="T107" s="2"/>
      </tp>
      <tp t="s">
        <v>N/A</v>
        <stp/>
        <stp>VOLUME</stp>
        <stp>.SPXW251231P5660</stp>
        <tr r="X107" s="2"/>
      </tp>
      <tp t="s">
        <v>N/A</v>
        <stp/>
        <stp>VOLUME</stp>
        <stp>.SPXW250930P5670</stp>
        <tr r="R106" s="2"/>
      </tp>
      <tp t="s">
        <v>N/A</v>
        <stp/>
        <stp>VOLUME</stp>
        <stp>.SPXW250530P5670</stp>
        <tr r="I106" s="2"/>
      </tp>
      <tp t="s">
        <v>N/A</v>
        <stp/>
        <stp>VOLUME</stp>
        <stp>.SPXW250731P5660</stp>
        <tr r="N107" s="2"/>
      </tp>
      <tp t="s">
        <v>N/A</v>
        <stp/>
        <stp>VOLUME</stp>
        <stp>.SPXW250606P5510</stp>
        <tr r="J122" s="2"/>
      </tp>
      <tp t="s">
        <v>N/A</v>
        <stp/>
        <stp>VOLUME</stp>
        <stp>.SPXW250630P5670</stp>
        <tr r="L106" s="2"/>
      </tp>
      <tp>
        <v>42</v>
        <stp/>
        <stp>OPEN_INT</stp>
        <stp>.NDXP250508C19800</stp>
        <tr r="AS167" s="1"/>
        <tr r="AS167" s="1"/>
      </tp>
      <tp>
        <v>16</v>
        <stp/>
        <stp>OPEN_INT</stp>
        <stp>.NDXP250509C19900</stp>
        <tr r="AU163" s="1"/>
        <tr r="AU163" s="1"/>
      </tp>
      <tp>
        <v>8</v>
        <stp/>
        <stp>OPEN_INT</stp>
        <stp>.NDXP250508C19825</stp>
        <tr r="AS166" s="1"/>
        <tr r="AS166" s="1"/>
      </tp>
      <tp>
        <v>4</v>
        <stp/>
        <stp>OPEN_INT</stp>
        <stp>.NDXP250509C19925</stp>
        <tr r="AU162" s="1"/>
        <tr r="AU162" s="1"/>
      </tp>
      <tp>
        <v>9</v>
        <stp/>
        <stp>OPEN_INT</stp>
        <stp>.NDXP250508C19850</stp>
        <tr r="AS165" s="1"/>
        <tr r="AS165" s="1"/>
      </tp>
      <tp>
        <v>6</v>
        <stp/>
        <stp>OPEN_INT</stp>
        <stp>.NDXP250509C19950</stp>
        <tr r="AU161" s="1"/>
        <tr r="AU161" s="1"/>
      </tp>
      <tp>
        <v>4</v>
        <stp/>
        <stp>OPEN_INT</stp>
        <stp>.NDXP250508C19875</stp>
        <tr r="AS164" s="1"/>
        <tr r="AS164" s="1"/>
      </tp>
      <tp>
        <v>5</v>
        <stp/>
        <stp>OPEN_INT</stp>
        <stp>.NDXP250509C19975</stp>
        <tr r="AU160" s="1"/>
        <tr r="AU160" s="1"/>
      </tp>
      <tp>
        <v>4</v>
        <stp/>
        <stp>OPEN_INT</stp>
        <stp>.NDXP250508P19825</stp>
        <tr r="AT166" s="1"/>
        <tr r="AT166" s="1"/>
      </tp>
      <tp>
        <v>6</v>
        <stp/>
        <stp>OPEN_INT</stp>
        <stp>.NDXP250509P19925</stp>
        <tr r="AV162" s="1"/>
        <tr r="AV162" s="1"/>
      </tp>
      <tp>
        <v>15</v>
        <stp/>
        <stp>OPEN_INT</stp>
        <stp>.NDXP250508P19800</stp>
        <tr r="AT167" s="1"/>
        <tr r="AT167" s="1"/>
      </tp>
      <tp>
        <v>15</v>
        <stp/>
        <stp>OPEN_INT</stp>
        <stp>.NDXP250509P19900</stp>
        <tr r="AV163" s="1"/>
        <tr r="AV163" s="1"/>
      </tp>
      <tp>
        <v>4</v>
        <stp/>
        <stp>OPEN_INT</stp>
        <stp>.NDXP250508P19875</stp>
        <tr r="AT164" s="1"/>
        <tr r="AT164" s="1"/>
      </tp>
      <tp>
        <v>11</v>
        <stp/>
        <stp>OPEN_INT</stp>
        <stp>.NDXP250509P19975</stp>
        <tr r="AV160" s="1"/>
        <tr r="AV160" s="1"/>
      </tp>
      <tp>
        <v>3</v>
        <stp/>
        <stp>OPEN_INT</stp>
        <stp>.NDXP250508P19850</stp>
        <tr r="AT165" s="1"/>
        <tr r="AT165" s="1"/>
      </tp>
      <tp>
        <v>23</v>
        <stp/>
        <stp>OPEN_INT</stp>
        <stp>.NDXP250509P19950</stp>
        <tr r="AV161" s="1"/>
        <tr r="AV161" s="1"/>
      </tp>
      <tp>
        <v>-1</v>
        <stp/>
        <stp>DELTA</stp>
        <stp>.NDXP250508P20225</stp>
        <tr r="CE150" s="1"/>
        <tr r="CE150" s="1"/>
      </tp>
      <tp>
        <v>-0.96</v>
        <stp/>
        <stp>DELTA</stp>
        <stp>.NDXP250509P20325</stp>
        <tr r="CG146" s="1"/>
        <tr r="CG146" s="1"/>
      </tp>
      <tp>
        <v>-0.05</v>
        <stp/>
        <stp>DELTA</stp>
        <stp>.NDXP250509P19325</stp>
        <tr r="CG186" s="1"/>
        <tr r="CG186" s="1"/>
      </tp>
      <tp>
        <v>-1</v>
        <stp/>
        <stp>DELTA</stp>
        <stp>.NDXP250508P20200</stp>
        <tr r="CE151" s="1"/>
        <tr r="CE151" s="1"/>
      </tp>
      <tp>
        <v>-0.96</v>
        <stp/>
        <stp>DELTA</stp>
        <stp>.NDXP250509P20300</stp>
        <tr r="CG147" s="1"/>
        <tr r="CG147" s="1"/>
      </tp>
      <tp>
        <v>0</v>
        <stp/>
        <stp>DELTA</stp>
        <stp>.NDXP250509P19300</stp>
        <tr r="CG187" s="1"/>
        <tr r="CG187" s="1"/>
      </tp>
      <tp>
        <v>-1</v>
        <stp/>
        <stp>DELTA</stp>
        <stp>.NDXP250508P20275</stp>
        <tr r="CE148" s="1"/>
        <tr r="CE148" s="1"/>
      </tp>
      <tp>
        <v>-0.97</v>
        <stp/>
        <stp>DELTA</stp>
        <stp>.NDXP250509P20375</stp>
        <tr r="CG144" s="1"/>
        <tr r="CG144" s="1"/>
      </tp>
      <tp>
        <v>-0.05</v>
        <stp/>
        <stp>DELTA</stp>
        <stp>.NDXP250508P19275</stp>
        <tr r="CE188" s="1"/>
        <tr r="CE188" s="1"/>
      </tp>
      <tp>
        <v>-0.05</v>
        <stp/>
        <stp>DELTA</stp>
        <stp>.NDXP250509P19375</stp>
        <tr r="CG184" s="1"/>
        <tr r="CG184" s="1"/>
      </tp>
      <tp>
        <v>-1</v>
        <stp/>
        <stp>DELTA</stp>
        <stp>.NDXP250508P20250</stp>
        <tr r="CE149" s="1"/>
        <tr r="CE149" s="1"/>
      </tp>
      <tp>
        <v>-0.97</v>
        <stp/>
        <stp>DELTA</stp>
        <stp>.NDXP250509P20350</stp>
        <tr r="CG145" s="1"/>
        <tr r="CG145" s="1"/>
      </tp>
      <tp>
        <v>-0.01</v>
        <stp/>
        <stp>DELTA</stp>
        <stp>.NDXP250508P19250</stp>
        <tr r="CE189" s="1"/>
        <tr r="CE189" s="1"/>
      </tp>
      <tp>
        <v>0</v>
        <stp/>
        <stp>DELTA</stp>
        <stp>.NDXP250509P19350</stp>
        <tr r="CG185" s="1"/>
        <tr r="CG185" s="1"/>
      </tp>
      <tp>
        <v>0.02</v>
        <stp/>
        <stp>DELTA</stp>
        <stp>.NDXP250508C20200</stp>
        <tr r="CD151" s="1"/>
        <tr r="CD151" s="1"/>
      </tp>
      <tp>
        <v>0</v>
        <stp/>
        <stp>DELTA</stp>
        <stp>.NDXP250509C20300</stp>
        <tr r="CF147" s="1"/>
        <tr r="CF147" s="1"/>
      </tp>
      <tp>
        <v>1</v>
        <stp/>
        <stp>DELTA</stp>
        <stp>.NDXP250509C19300</stp>
        <tr r="CF187" s="1"/>
        <tr r="CF187" s="1"/>
      </tp>
      <tp>
        <v>0.13</v>
        <stp/>
        <stp>DELTA</stp>
        <stp>.NDXP250508C20225</stp>
        <tr r="CD150" s="1"/>
        <tr r="CD150" s="1"/>
      </tp>
      <tp>
        <v>0.09</v>
        <stp/>
        <stp>DELTA</stp>
        <stp>.NDXP250509C20325</stp>
        <tr r="CF146" s="1"/>
        <tr r="CF146" s="1"/>
      </tp>
      <tp>
        <v>1</v>
        <stp/>
        <stp>DELTA</stp>
        <stp>.NDXP250509C19325</stp>
        <tr r="CF186" s="1"/>
        <tr r="CF186" s="1"/>
      </tp>
      <tp>
        <v>0.01</v>
        <stp/>
        <stp>DELTA</stp>
        <stp>.NDXP250508C20250</stp>
        <tr r="CD149" s="1"/>
        <tr r="CD149" s="1"/>
      </tp>
      <tp>
        <v>0.01</v>
        <stp/>
        <stp>DELTA</stp>
        <stp>.NDXP250509C20350</stp>
        <tr r="CF145" s="1"/>
        <tr r="CF145" s="1"/>
      </tp>
      <tp>
        <v>0.96</v>
        <stp/>
        <stp>DELTA</stp>
        <stp>.NDXP250508C19250</stp>
        <tr r="CD189" s="1"/>
        <tr r="CD189" s="1"/>
      </tp>
      <tp>
        <v>1</v>
        <stp/>
        <stp>DELTA</stp>
        <stp>.NDXP250509C19350</stp>
        <tr r="CF185" s="1"/>
        <tr r="CF185" s="1"/>
      </tp>
      <tp>
        <v>0.04</v>
        <stp/>
        <stp>DELTA</stp>
        <stp>.NDXP250508C20275</stp>
        <tr r="CD148" s="1"/>
        <tr r="CD148" s="1"/>
      </tp>
      <tp>
        <v>0.01</v>
        <stp/>
        <stp>DELTA</stp>
        <stp>.NDXP250509C20375</stp>
        <tr r="CF144" s="1"/>
        <tr r="CF144" s="1"/>
      </tp>
      <tp>
        <v>0.96</v>
        <stp/>
        <stp>DELTA</stp>
        <stp>.NDXP250508C19275</stp>
        <tr r="CD188" s="1"/>
        <tr r="CD188" s="1"/>
      </tp>
      <tp>
        <v>1</v>
        <stp/>
        <stp>DELTA</stp>
        <stp>.NDXP250509C19375</stp>
        <tr r="CF184" s="1"/>
        <tr r="CF184" s="1"/>
      </tp>
      <tp t="s">
        <v>N/A</v>
        <stp/>
        <stp>VOLUME</stp>
        <stp>.NDXP250829C20075</stp>
        <tr r="P157" s="2"/>
      </tp>
      <tp t="s">
        <v>N/A</v>
        <stp/>
        <stp>VOLUME</stp>
        <stp>.NDXP250930C19975</stp>
        <tr r="R161" s="2"/>
      </tp>
      <tp t="s">
        <v>N/A</v>
        <stp/>
        <stp>VOLUME</stp>
        <stp>.NDXP250731C19875</stp>
        <tr r="N165" s="2"/>
      </tp>
      <tp t="s">
        <v>N/A</v>
        <stp/>
        <stp>VOLUME</stp>
        <stp>.NDXP250630C19975</stp>
        <tr r="L161" s="2"/>
      </tp>
      <tp t="s">
        <v>N/A</v>
        <stp/>
        <stp>VOLUME</stp>
        <stp>.NDXP250508C20175</stp>
        <tr r="BA152" s="1"/>
      </tp>
      <tp>
        <v>247</v>
        <stp/>
        <stp>VOLUME</stp>
        <stp>.NDXP250509C20075</stp>
        <tr r="BC156" s="1"/>
        <tr r="BC156" s="1"/>
      </tp>
      <tp t="s">
        <v>N/A</v>
        <stp/>
        <stp>VOLUME</stp>
        <stp>.NDXP250530C19975</stp>
        <tr r="I161" s="2"/>
      </tp>
      <tp t="s">
        <v>N/A</v>
        <stp/>
        <stp>VOLUME</stp>
        <stp>.NDXP251231C19875</stp>
        <tr r="X165" s="2"/>
      </tp>
      <tp t="s">
        <v>N/A</v>
        <stp/>
        <stp>VOLUME</stp>
        <stp>.NDXP251128C20175</stp>
        <tr r="V153" s="2"/>
      </tp>
      <tp t="s">
        <v>N/A</v>
        <stp/>
        <stp>VOLUME</stp>
        <stp>.NDXP251031C19875</stp>
        <tr r="T165" s="2"/>
      </tp>
      <tp t="s">
        <v>N/A</v>
        <stp/>
        <stp>VOLUME</stp>
        <stp>.NDXP250829C20050</stp>
        <tr r="P158" s="2"/>
      </tp>
      <tp t="s">
        <v>N/A</v>
        <stp/>
        <stp>VOLUME</stp>
        <stp>.NDXP250930C19950</stp>
        <tr r="R162" s="2"/>
      </tp>
      <tp>
        <v>1</v>
        <stp/>
        <stp>VOLUME</stp>
        <stp>.NDXP250630C19950</stp>
        <tr r="L162" s="2"/>
        <tr r="L162" s="2"/>
      </tp>
      <tp t="s">
        <v>N/A</v>
        <stp/>
        <stp>VOLUME</stp>
        <stp>.NDXP250508C20150</stp>
        <tr r="BA153" s="1"/>
      </tp>
      <tp>
        <v>489</v>
        <stp/>
        <stp>VOLUME</stp>
        <stp>.NDXP250509C20050</stp>
        <tr r="BC157" s="1"/>
        <tr r="BC157" s="1"/>
      </tp>
      <tp t="s">
        <v>N/A</v>
        <stp/>
        <stp>VOLUME</stp>
        <stp>.NDXP250731C19850</stp>
        <tr r="N166" s="2"/>
      </tp>
      <tp t="s">
        <v>N/A</v>
        <stp/>
        <stp>VOLUME</stp>
        <stp>.NDXP250530C19950</stp>
        <tr r="I162" s="2"/>
      </tp>
      <tp t="s">
        <v>N/A</v>
        <stp/>
        <stp>VOLUME</stp>
        <stp>.NDXP251231C19850</stp>
        <tr r="X166" s="2"/>
      </tp>
      <tp t="s">
        <v>N/A</v>
        <stp/>
        <stp>VOLUME</stp>
        <stp>.NDXP251128C20150</stp>
        <tr r="V154" s="2"/>
      </tp>
      <tp t="s">
        <v>N/A</v>
        <stp/>
        <stp>VOLUME</stp>
        <stp>.NDXP251031C19850</stp>
        <tr r="T166" s="2"/>
      </tp>
      <tp t="s">
        <v>N/A</v>
        <stp/>
        <stp>VOLUME</stp>
        <stp>.NDXP251231C19825</stp>
        <tr r="X167" s="2"/>
      </tp>
      <tp t="s">
        <v>N/A</v>
        <stp/>
        <stp>VOLUME</stp>
        <stp>.NDXP251128C20125</stp>
        <tr r="V155" s="2"/>
      </tp>
      <tp t="s">
        <v>N/A</v>
        <stp/>
        <stp>VOLUME</stp>
        <stp>.NDXP251031C19825</stp>
        <tr r="T167" s="2"/>
      </tp>
      <tp t="s">
        <v>N/A</v>
        <stp/>
        <stp>VOLUME</stp>
        <stp>.NDXP250829C20025</stp>
        <tr r="P159" s="2"/>
      </tp>
      <tp t="s">
        <v>N/A</v>
        <stp/>
        <stp>VOLUME</stp>
        <stp>.NDXP250930C19925</stp>
        <tr r="R163" s="2"/>
      </tp>
      <tp t="s">
        <v>N/A</v>
        <stp/>
        <stp>VOLUME</stp>
        <stp>.NDXP250731C19825</stp>
        <tr r="N167" s="2"/>
      </tp>
      <tp t="s">
        <v>N/A</v>
        <stp/>
        <stp>VOLUME</stp>
        <stp>.NDXP250630C19925</stp>
        <tr r="L163" s="2"/>
      </tp>
      <tp t="s">
        <v>N/A</v>
        <stp/>
        <stp>VOLUME</stp>
        <stp>.NDXP250508C20125</stp>
        <tr r="BA154" s="1"/>
      </tp>
      <tp>
        <v>185</v>
        <stp/>
        <stp>VOLUME</stp>
        <stp>.NDXP250509C20025</stp>
        <tr r="BC158" s="1"/>
        <tr r="BC158" s="1"/>
      </tp>
      <tp t="s">
        <v>N/A</v>
        <stp/>
        <stp>VOLUME</stp>
        <stp>.NDXP250530C19925</stp>
        <tr r="I163" s="2"/>
      </tp>
      <tp t="s">
        <v>N/A</v>
        <stp/>
        <stp>VOLUME</stp>
        <stp>.NDXP251231C19800</stp>
        <tr r="X168" s="2"/>
      </tp>
      <tp t="s">
        <v>N/A</v>
        <stp/>
        <stp>VOLUME</stp>
        <stp>.NDXP251128C20100</stp>
        <tr r="V156" s="2"/>
      </tp>
      <tp t="s">
        <v>N/A</v>
        <stp/>
        <stp>VOLUME</stp>
        <stp>.NDXP251031C19800</stp>
        <tr r="T168" s="2"/>
      </tp>
      <tp t="s">
        <v>N/A</v>
        <stp/>
        <stp>VOLUME</stp>
        <stp>.NDXP250829C20000</stp>
        <tr r="P160" s="2"/>
      </tp>
      <tp t="s">
        <v>N/A</v>
        <stp/>
        <stp>VOLUME</stp>
        <stp>.NDXP250930C19900</stp>
        <tr r="R164" s="2"/>
      </tp>
      <tp t="s">
        <v>N/A</v>
        <stp/>
        <stp>VOLUME</stp>
        <stp>.NDXP250630C19900</stp>
        <tr r="L164" s="2"/>
      </tp>
      <tp t="s">
        <v>N/A</v>
        <stp/>
        <stp>VOLUME</stp>
        <stp>.NDXP250508C20100</stp>
        <tr r="BA155" s="1"/>
      </tp>
      <tp>
        <v>194</v>
        <stp/>
        <stp>VOLUME</stp>
        <stp>.NDXP250509C20000</stp>
        <tr r="BC159" s="1"/>
        <tr r="BC159" s="1"/>
      </tp>
      <tp t="s">
        <v>N/A</v>
        <stp/>
        <stp>VOLUME</stp>
        <stp>.NDXP250731C19800</stp>
        <tr r="N168" s="2"/>
      </tp>
      <tp t="s">
        <v>N/A</v>
        <stp/>
        <stp>VOLUME</stp>
        <stp>.NDXP250530C19900</stp>
        <tr r="I164" s="2"/>
      </tp>
      <tp t="s">
        <v>N/A</v>
        <stp/>
        <stp>VOLUME</stp>
        <stp>.SPXW250930C5780</stp>
        <tr r="R95" s="2"/>
      </tp>
      <tp t="s">
        <v>N/A</v>
        <stp/>
        <stp>VOLUME</stp>
        <stp>.SPXW250829C5610</stp>
        <tr r="P112" s="2"/>
      </tp>
      <tp t="s">
        <v>N/A</v>
        <stp/>
        <stp>VOLUME</stp>
        <stp>.SPXW250530C5780</stp>
        <tr r="I95" s="2"/>
      </tp>
      <tp t="s">
        <v>N/A</v>
        <stp/>
        <stp>VOLUME</stp>
        <stp>.SPXW250731C5790</stp>
        <tr r="N94" s="2"/>
      </tp>
      <tp t="s">
        <v>N/A</v>
        <stp/>
        <stp>VOLUME</stp>
        <stp>.SPXW250630C5780</stp>
        <tr r="L95" s="2"/>
      </tp>
      <tp t="s">
        <v>N/A</v>
        <stp/>
        <stp>VOLUME</stp>
        <stp>.SPXW251128C5600</stp>
        <tr r="V113" s="2"/>
      </tp>
      <tp t="s">
        <v>N/A</v>
        <stp/>
        <stp>VOLUME</stp>
        <stp>.SPXW251031C5790</stp>
        <tr r="T94" s="2"/>
      </tp>
      <tp t="s">
        <v>N/A</v>
        <stp/>
        <stp>VOLUME</stp>
        <stp>.SPXW251231C5790</stp>
        <tr r="X94" s="2"/>
      </tp>
      <tp t="s">
        <v>N/A</v>
        <stp/>
        <stp>VOLUME</stp>
        <stp>.SPXW251128P5600</stp>
        <tr r="V113" s="2"/>
      </tp>
      <tp t="s">
        <v>N/A</v>
        <stp/>
        <stp>VOLUME</stp>
        <stp>.SPXW251031P5790</stp>
        <tr r="T94" s="2"/>
      </tp>
      <tp t="s">
        <v>N/A</v>
        <stp/>
        <stp>VOLUME</stp>
        <stp>.SPXW251231P5790</stp>
        <tr r="X94" s="2"/>
      </tp>
      <tp t="s">
        <v>N/A</v>
        <stp/>
        <stp>VOLUME</stp>
        <stp>.SPXW250930P5780</stp>
        <tr r="R95" s="2"/>
      </tp>
      <tp t="s">
        <v>N/A</v>
        <stp/>
        <stp>VOLUME</stp>
        <stp>.SPXW250829P5610</stp>
        <tr r="P112" s="2"/>
      </tp>
      <tp t="s">
        <v>N/A</v>
        <stp/>
        <stp>VOLUME</stp>
        <stp>.SPXW250530P5780</stp>
        <tr r="I95" s="2"/>
      </tp>
      <tp t="s">
        <v>N/A</v>
        <stp/>
        <stp>VOLUME</stp>
        <stp>.SPXW250731P5790</stp>
        <tr r="N94" s="2"/>
      </tp>
      <tp t="s">
        <v>N/A</v>
        <stp/>
        <stp>VOLUME</stp>
        <stp>.SPXW250630P5780</stp>
        <tr r="L95" s="2"/>
      </tp>
      <tp t="s">
        <v>N/A</v>
        <stp/>
        <stp>VOLUME</stp>
        <stp>.SPXW250930C5790</stp>
        <tr r="R94" s="2"/>
      </tp>
      <tp t="s">
        <v>N/A</v>
        <stp/>
        <stp>VOLUME</stp>
        <stp>.SPXW250829C5600</stp>
        <tr r="P113" s="2"/>
      </tp>
      <tp t="s">
        <v>N/A</v>
        <stp/>
        <stp>VOLUME</stp>
        <stp>.SPXW250530C5790</stp>
        <tr r="I94" s="2"/>
      </tp>
      <tp t="s">
        <v>N/A</v>
        <stp/>
        <stp>VOLUME</stp>
        <stp>.SPXW250731C5780</stp>
        <tr r="N95" s="2"/>
      </tp>
      <tp t="s">
        <v>N/A</v>
        <stp/>
        <stp>VOLUME</stp>
        <stp>.SPXW250630C5790</stp>
        <tr r="L94" s="2"/>
      </tp>
      <tp t="s">
        <v>N/A</v>
        <stp/>
        <stp>VOLUME</stp>
        <stp>.SPXW251128C5610</stp>
        <tr r="V112" s="2"/>
      </tp>
      <tp t="s">
        <v>N/A</v>
        <stp/>
        <stp>VOLUME</stp>
        <stp>.SPXW251031C5780</stp>
        <tr r="T95" s="2"/>
      </tp>
      <tp t="s">
        <v>N/A</v>
        <stp/>
        <stp>VOLUME</stp>
        <stp>.SPXW251231C5780</stp>
        <tr r="X95" s="2"/>
      </tp>
      <tp t="s">
        <v>N/A</v>
        <stp/>
        <stp>VOLUME</stp>
        <stp>.SPXW251128P5610</stp>
        <tr r="V112" s="2"/>
      </tp>
      <tp t="s">
        <v>N/A</v>
        <stp/>
        <stp>VOLUME</stp>
        <stp>.SPXW251031P5780</stp>
        <tr r="T95" s="2"/>
      </tp>
      <tp t="s">
        <v>N/A</v>
        <stp/>
        <stp>VOLUME</stp>
        <stp>.SPXW251231P5780</stp>
        <tr r="X95" s="2"/>
      </tp>
      <tp t="s">
        <v>N/A</v>
        <stp/>
        <stp>VOLUME</stp>
        <stp>.SPXW250930P5790</stp>
        <tr r="R94" s="2"/>
      </tp>
      <tp t="s">
        <v>N/A</v>
        <stp/>
        <stp>VOLUME</stp>
        <stp>.SPXW250829P5600</stp>
        <tr r="P113" s="2"/>
      </tp>
      <tp t="s">
        <v>N/A</v>
        <stp/>
        <stp>VOLUME</stp>
        <stp>.SPXW250530P5790</stp>
        <tr r="I94" s="2"/>
      </tp>
      <tp t="s">
        <v>N/A</v>
        <stp/>
        <stp>VOLUME</stp>
        <stp>.SPXW250731P5780</stp>
        <tr r="N95" s="2"/>
      </tp>
      <tp t="s">
        <v>N/A</v>
        <stp/>
        <stp>VOLUME</stp>
        <stp>.SPXW250630P5790</stp>
        <tr r="L94" s="2"/>
      </tp>
      <tp t="s">
        <v>N/A</v>
        <stp/>
        <stp>VOLUME</stp>
        <stp>.SPXW250829C5630</stp>
        <tr r="P110" s="2"/>
      </tp>
      <tp t="s">
        <v>N/A</v>
        <stp/>
        <stp>VOLUME</stp>
        <stp>.SPXW250508C5420</stp>
        <tr r="BA130" s="1"/>
      </tp>
      <tp t="s">
        <v>N/A</v>
        <stp/>
        <stp>VOLUME</stp>
        <stp>.SPXW250509C5430</stp>
        <tr r="BC129" s="1"/>
      </tp>
      <tp t="s">
        <v>N/A</v>
        <stp/>
        <stp>VOLUME</stp>
        <stp>.SPXW251128C5620</stp>
        <tr r="V111" s="2"/>
      </tp>
      <tp t="s">
        <v>N/A</v>
        <stp/>
        <stp>VOLUME</stp>
        <stp>.SPXW251128P5620</stp>
        <tr r="V111" s="2"/>
      </tp>
      <tp t="s">
        <v>N/A</v>
        <stp/>
        <stp>VOLUME</stp>
        <stp>.SPXW250829P5630</stp>
        <tr r="P110" s="2"/>
      </tp>
      <tp t="s">
        <v>N/A</v>
        <stp/>
        <stp>VOLUME</stp>
        <stp>.SPXW250508P5420</stp>
        <tr r="BB130" s="1"/>
      </tp>
      <tp t="s">
        <v>N/A</v>
        <stp/>
        <stp>VOLUME</stp>
        <stp>.SPXW250509P5430</stp>
        <tr r="BD129" s="1"/>
      </tp>
      <tp t="s">
        <v>N/A</v>
        <stp/>
        <stp>VOLUME</stp>
        <stp>.SPXW250829C5620</stp>
        <tr r="P111" s="2"/>
      </tp>
      <tp t="s">
        <v>N/A</v>
        <stp/>
        <stp>VOLUME</stp>
        <stp>.SPXW250508C5430</stp>
        <tr r="BA129" s="1"/>
      </tp>
      <tp t="s">
        <v>N/A</v>
        <stp/>
        <stp>VOLUME</stp>
        <stp>.SPXW250509C5420</stp>
        <tr r="BC130" s="1"/>
      </tp>
      <tp t="s">
        <v>N/A</v>
        <stp/>
        <stp>VOLUME</stp>
        <stp>.SPXW251128C5630</stp>
        <tr r="V110" s="2"/>
      </tp>
      <tp t="s">
        <v>N/A</v>
        <stp/>
        <stp>VOLUME</stp>
        <stp>.SPXW251128P5630</stp>
        <tr r="V110" s="2"/>
      </tp>
      <tp t="s">
        <v>N/A</v>
        <stp/>
        <stp>VOLUME</stp>
        <stp>.SPXW250829P5620</stp>
        <tr r="P111" s="2"/>
      </tp>
      <tp t="s">
        <v>N/A</v>
        <stp/>
        <stp>VOLUME</stp>
        <stp>.SPXW250508P5430</stp>
        <tr r="BB129" s="1"/>
      </tp>
      <tp t="s">
        <v>N/A</v>
        <stp/>
        <stp>VOLUME</stp>
        <stp>.SPXW250509P5420</stp>
        <tr r="BD130" s="1"/>
      </tp>
      <tp t="s">
        <v>N/A</v>
        <stp/>
        <stp>VOLUME</stp>
        <stp>.QQQP488</stp>
        <tr r="G60" s="2"/>
        <tr r="B60" s="2"/>
        <tr r="D60" s="2"/>
        <tr r="C60" s="2"/>
        <tr r="E60" s="2"/>
        <tr r="F60" s="2"/>
      </tp>
      <tp t="s">
        <v>N/A</v>
        <stp/>
        <stp>VOLUME</stp>
        <stp>.QQQC488</stp>
        <tr r="G60" s="2"/>
        <tr r="B60" s="2"/>
        <tr r="D60" s="2"/>
        <tr r="C60" s="2"/>
        <tr r="E60" s="2"/>
        <tr r="F60" s="2"/>
      </tp>
      <tp t="s">
        <v>N/A</v>
        <stp/>
        <stp>VOLUME</stp>
        <stp>.QQQP489</stp>
        <tr r="C59" s="2"/>
        <tr r="E59" s="2"/>
        <tr r="G59" s="2"/>
        <tr r="D59" s="2"/>
        <tr r="B59" s="2"/>
        <tr r="F59" s="2"/>
      </tp>
      <tp t="s">
        <v>N/A</v>
        <stp/>
        <stp>VOLUME</stp>
        <stp>.QQQC489</stp>
        <tr r="C59" s="2"/>
        <tr r="E59" s="2"/>
        <tr r="G59" s="2"/>
        <tr r="D59" s="2"/>
        <tr r="B59" s="2"/>
        <tr r="F59" s="2"/>
      </tp>
      <tp t="s">
        <v>N/A</v>
        <stp/>
        <stp>VOLUME</stp>
        <stp>.QQQP484</stp>
        <tr r="E64" s="2"/>
        <tr r="B64" s="2"/>
        <tr r="D64" s="2"/>
        <tr r="F64" s="2"/>
        <tr r="G64" s="2"/>
        <tr r="C64" s="2"/>
      </tp>
      <tp t="s">
        <v>N/A</v>
        <stp/>
        <stp>VOLUME</stp>
        <stp>.QQQC484</stp>
        <tr r="E64" s="2"/>
        <tr r="B64" s="2"/>
        <tr r="D64" s="2"/>
        <tr r="F64" s="2"/>
        <tr r="G64" s="2"/>
        <tr r="C64" s="2"/>
      </tp>
      <tp t="s">
        <v>N/A</v>
        <stp/>
        <stp>VOLUME</stp>
        <stp>.QQQP485</stp>
        <tr r="F63" s="2"/>
        <tr r="C63" s="2"/>
        <tr r="E63" s="2"/>
        <tr r="B63" s="2"/>
        <tr r="G63" s="2"/>
        <tr r="D63" s="2"/>
      </tp>
      <tp t="s">
        <v>N/A</v>
        <stp/>
        <stp>VOLUME</stp>
        <stp>.QQQC485</stp>
        <tr r="F63" s="2"/>
        <tr r="C63" s="2"/>
        <tr r="E63" s="2"/>
        <tr r="B63" s="2"/>
        <tr r="G63" s="2"/>
        <tr r="D63" s="2"/>
      </tp>
      <tp t="s">
        <v>N/A</v>
        <stp/>
        <stp>VOLUME</stp>
        <stp>.QQQP486</stp>
        <tr r="C62" s="2"/>
        <tr r="B62" s="2"/>
        <tr r="D62" s="2"/>
        <tr r="F62" s="2"/>
        <tr r="E62" s="2"/>
        <tr r="G62" s="2"/>
      </tp>
      <tp t="s">
        <v>N/A</v>
        <stp/>
        <stp>VOLUME</stp>
        <stp>.QQQC486</stp>
        <tr r="C62" s="2"/>
        <tr r="B62" s="2"/>
        <tr r="D62" s="2"/>
        <tr r="F62" s="2"/>
        <tr r="E62" s="2"/>
        <tr r="G62" s="2"/>
      </tp>
      <tp t="s">
        <v>N/A</v>
        <stp/>
        <stp>VOLUME</stp>
        <stp>.QQQP487</stp>
        <tr r="B61" s="2"/>
        <tr r="D61" s="2"/>
        <tr r="G61" s="2"/>
        <tr r="F61" s="2"/>
        <tr r="C61" s="2"/>
        <tr r="E61" s="2"/>
      </tp>
      <tp t="s">
        <v>N/A</v>
        <stp/>
        <stp>VOLUME</stp>
        <stp>.QQQC487</stp>
        <tr r="B61" s="2"/>
        <tr r="D61" s="2"/>
        <tr r="G61" s="2"/>
        <tr r="F61" s="2"/>
        <tr r="C61" s="2"/>
        <tr r="E61" s="2"/>
      </tp>
      <tp t="s">
        <v>N/A</v>
        <stp/>
        <stp>VOLUME</stp>
        <stp>.QQQP480</stp>
        <tr r="B68" s="2"/>
        <tr r="D68" s="2"/>
        <tr r="C68" s="2"/>
        <tr r="F68" s="2"/>
        <tr r="E68" s="2"/>
        <tr r="G68" s="2"/>
      </tp>
      <tp t="s">
        <v>N/A</v>
        <stp/>
        <stp>VOLUME</stp>
        <stp>.QQQC480</stp>
        <tr r="B68" s="2"/>
        <tr r="D68" s="2"/>
        <tr r="C68" s="2"/>
        <tr r="F68" s="2"/>
        <tr r="E68" s="2"/>
        <tr r="G68" s="2"/>
      </tp>
      <tp t="s">
        <v>N/A</v>
        <stp/>
        <stp>VOLUME</stp>
        <stp>.QQQP481</stp>
        <tr r="F67" s="2"/>
        <tr r="C67" s="2"/>
        <tr r="E67" s="2"/>
        <tr r="G67" s="2"/>
        <tr r="B67" s="2"/>
        <tr r="D67" s="2"/>
      </tp>
      <tp t="s">
        <v>N/A</v>
        <stp/>
        <stp>VOLUME</stp>
        <stp>.QQQC481</stp>
        <tr r="F67" s="2"/>
        <tr r="C67" s="2"/>
        <tr r="E67" s="2"/>
        <tr r="G67" s="2"/>
        <tr r="B67" s="2"/>
        <tr r="D67" s="2"/>
      </tp>
      <tp t="s">
        <v>N/A</v>
        <stp/>
        <stp>VOLUME</stp>
        <stp>.QQQP482</stp>
        <tr r="B66" s="2"/>
        <tr r="F66" s="2"/>
        <tr r="E66" s="2"/>
        <tr r="D66" s="2"/>
        <tr r="G66" s="2"/>
        <tr r="C66" s="2"/>
      </tp>
      <tp t="s">
        <v>N/A</v>
        <stp/>
        <stp>VOLUME</stp>
        <stp>.QQQC482</stp>
        <tr r="B66" s="2"/>
        <tr r="F66" s="2"/>
        <tr r="E66" s="2"/>
        <tr r="D66" s="2"/>
        <tr r="G66" s="2"/>
        <tr r="C66" s="2"/>
      </tp>
      <tp t="s">
        <v>N/A</v>
        <stp/>
        <stp>VOLUME</stp>
        <stp>.QQQP483</stp>
        <tr r="B65" s="2"/>
        <tr r="E65" s="2"/>
        <tr r="D65" s="2"/>
        <tr r="G65" s="2"/>
        <tr r="F65" s="2"/>
        <tr r="C65" s="2"/>
      </tp>
      <tp t="s">
        <v>N/A</v>
        <stp/>
        <stp>VOLUME</stp>
        <stp>.QQQC483</stp>
        <tr r="B65" s="2"/>
        <tr r="E65" s="2"/>
        <tr r="D65" s="2"/>
        <tr r="G65" s="2"/>
        <tr r="F65" s="2"/>
        <tr r="C65" s="2"/>
      </tp>
      <tp t="s">
        <v>N/A</v>
        <stp/>
        <stp>VOLUME</stp>
        <stp>.SPXW250829C5650</stp>
        <tr r="P108" s="2"/>
      </tp>
      <tp t="s">
        <v>N/A</v>
        <stp/>
        <stp>VOLUME</stp>
        <stp>.SPXW250508C5440</stp>
        <tr r="BA128" s="1"/>
      </tp>
      <tp t="s">
        <v>N/A</v>
        <stp/>
        <stp>VOLUME</stp>
        <stp>.SPXW250509C5450</stp>
        <tr r="BC127" s="1"/>
      </tp>
      <tp t="s">
        <v>N/A</v>
        <stp/>
        <stp>VOLUME</stp>
        <stp>.SPXW251128C5640</stp>
        <tr r="V109" s="2"/>
      </tp>
      <tp t="s">
        <v>N/A</v>
        <stp/>
        <stp>VOLUME</stp>
        <stp>.SPXW251128P5640</stp>
        <tr r="V109" s="2"/>
      </tp>
      <tp t="s">
        <v>N/A</v>
        <stp/>
        <stp>VOLUME</stp>
        <stp>.SPXW250829P5650</stp>
        <tr r="P108" s="2"/>
      </tp>
      <tp t="s">
        <v>N/A</v>
        <stp/>
        <stp>VOLUME</stp>
        <stp>.SPXW250508P5440</stp>
        <tr r="BB128" s="1"/>
      </tp>
      <tp t="s">
        <v>N/A</v>
        <stp/>
        <stp>VOLUME</stp>
        <stp>.SPXW250509P5450</stp>
        <tr r="BD127" s="1"/>
      </tp>
      <tp t="s">
        <v>N/A</v>
        <stp/>
        <stp>VOLUME</stp>
        <stp>.QQQP498</stp>
        <tr r="G50" s="2"/>
        <tr r="F50" s="2"/>
        <tr r="E50" s="2"/>
        <tr r="D50" s="2"/>
        <tr r="B50" s="2"/>
        <tr r="C50" s="2"/>
      </tp>
      <tp t="s">
        <v>N/A</v>
        <stp/>
        <stp>VOLUME</stp>
        <stp>.QQQC498</stp>
        <tr r="G50" s="2"/>
        <tr r="F50" s="2"/>
        <tr r="E50" s="2"/>
        <tr r="D50" s="2"/>
        <tr r="B50" s="2"/>
        <tr r="C50" s="2"/>
      </tp>
      <tp t="s">
        <v>N/A</v>
        <stp/>
        <stp>VOLUME</stp>
        <stp>.QQQP499</stp>
        <tr r="G49" s="2"/>
        <tr r="F49" s="2"/>
        <tr r="E49" s="2"/>
        <tr r="D49" s="2"/>
        <tr r="C49" s="2"/>
        <tr r="B49" s="2"/>
      </tp>
      <tp t="s">
        <v>N/A</v>
        <stp/>
        <stp>VOLUME</stp>
        <stp>.QQQC499</stp>
        <tr r="G49" s="2"/>
        <tr r="F49" s="2"/>
        <tr r="E49" s="2"/>
        <tr r="D49" s="2"/>
        <tr r="C49" s="2"/>
        <tr r="B49" s="2"/>
      </tp>
      <tp t="s">
        <v>N/A</v>
        <stp/>
        <stp>VOLUME</stp>
        <stp>.QQQP494</stp>
        <tr r="F54" s="2"/>
        <tr r="B54" s="2"/>
        <tr r="G54" s="2"/>
        <tr r="E54" s="2"/>
        <tr r="D54" s="2"/>
        <tr r="C54" s="2"/>
      </tp>
      <tp t="s">
        <v>N/A</v>
        <stp/>
        <stp>VOLUME</stp>
        <stp>.QQQC494</stp>
        <tr r="F54" s="2"/>
        <tr r="B54" s="2"/>
        <tr r="G54" s="2"/>
        <tr r="E54" s="2"/>
        <tr r="D54" s="2"/>
        <tr r="C54" s="2"/>
      </tp>
      <tp t="s">
        <v>N/A</v>
        <stp/>
        <stp>VOLUME</stp>
        <stp>.QQQP495</stp>
        <tr r="G53" s="2"/>
        <tr r="E53" s="2"/>
        <tr r="B53" s="2"/>
        <tr r="F53" s="2"/>
        <tr r="D53" s="2"/>
        <tr r="C53" s="2"/>
      </tp>
      <tp t="s">
        <v>N/A</v>
        <stp/>
        <stp>VOLUME</stp>
        <stp>.QQQC495</stp>
        <tr r="G53" s="2"/>
        <tr r="E53" s="2"/>
        <tr r="B53" s="2"/>
        <tr r="F53" s="2"/>
        <tr r="D53" s="2"/>
        <tr r="C53" s="2"/>
      </tp>
      <tp t="s">
        <v>N/A</v>
        <stp/>
        <stp>VOLUME</stp>
        <stp>.QQQP496</stp>
        <tr r="G52" s="2"/>
        <tr r="F52" s="2"/>
        <tr r="C52" s="2"/>
        <tr r="E52" s="2"/>
        <tr r="B52" s="2"/>
        <tr r="D52" s="2"/>
      </tp>
      <tp t="s">
        <v>N/A</v>
        <stp/>
        <stp>VOLUME</stp>
        <stp>.QQQC496</stp>
        <tr r="G52" s="2"/>
        <tr r="F52" s="2"/>
        <tr r="C52" s="2"/>
        <tr r="E52" s="2"/>
        <tr r="B52" s="2"/>
        <tr r="D52" s="2"/>
      </tp>
      <tp t="s">
        <v>N/A</v>
        <stp/>
        <stp>VOLUME</stp>
        <stp>.QQQP497</stp>
        <tr r="G51" s="2"/>
        <tr r="F51" s="2"/>
        <tr r="E51" s="2"/>
        <tr r="C51" s="2"/>
        <tr r="B51" s="2"/>
        <tr r="D51" s="2"/>
      </tp>
      <tp t="s">
        <v>N/A</v>
        <stp/>
        <stp>VOLUME</stp>
        <stp>.QQQC497</stp>
        <tr r="G51" s="2"/>
        <tr r="F51" s="2"/>
        <tr r="E51" s="2"/>
        <tr r="C51" s="2"/>
        <tr r="B51" s="2"/>
        <tr r="D51" s="2"/>
      </tp>
      <tp t="s">
        <v>N/A</v>
        <stp/>
        <stp>VOLUME</stp>
        <stp>.QQQP490</stp>
        <tr r="C58" s="2"/>
        <tr r="G58" s="2"/>
        <tr r="E58" s="2"/>
        <tr r="B58" s="2"/>
        <tr r="F58" s="2"/>
        <tr r="D58" s="2"/>
      </tp>
      <tp t="s">
        <v>N/A</v>
        <stp/>
        <stp>VOLUME</stp>
        <stp>.QQQC490</stp>
        <tr r="C58" s="2"/>
        <tr r="G58" s="2"/>
        <tr r="E58" s="2"/>
        <tr r="B58" s="2"/>
        <tr r="F58" s="2"/>
        <tr r="D58" s="2"/>
      </tp>
      <tp t="s">
        <v>N/A</v>
        <stp/>
        <stp>VOLUME</stp>
        <stp>.QQQP491</stp>
        <tr r="E57" s="2"/>
        <tr r="G57" s="2"/>
        <tr r="C57" s="2"/>
        <tr r="F57" s="2"/>
        <tr r="B57" s="2"/>
        <tr r="D57" s="2"/>
      </tp>
      <tp t="s">
        <v>N/A</v>
        <stp/>
        <stp>VOLUME</stp>
        <stp>.QQQC491</stp>
        <tr r="E57" s="2"/>
        <tr r="G57" s="2"/>
        <tr r="C57" s="2"/>
        <tr r="F57" s="2"/>
        <tr r="B57" s="2"/>
        <tr r="D57" s="2"/>
      </tp>
      <tp t="s">
        <v>N/A</v>
        <stp/>
        <stp>VOLUME</stp>
        <stp>.QQQP492</stp>
        <tr r="B56" s="2"/>
        <tr r="D56" s="2"/>
        <tr r="E56" s="2"/>
        <tr r="C56" s="2"/>
        <tr r="F56" s="2"/>
        <tr r="G56" s="2"/>
      </tp>
      <tp t="s">
        <v>N/A</v>
        <stp/>
        <stp>VOLUME</stp>
        <stp>.QQQC492</stp>
        <tr r="B56" s="2"/>
        <tr r="D56" s="2"/>
        <tr r="E56" s="2"/>
        <tr r="C56" s="2"/>
        <tr r="F56" s="2"/>
        <tr r="G56" s="2"/>
      </tp>
      <tp t="s">
        <v>N/A</v>
        <stp/>
        <stp>VOLUME</stp>
        <stp>.QQQP493</stp>
        <tr r="B55" s="2"/>
        <tr r="E55" s="2"/>
        <tr r="F55" s="2"/>
        <tr r="G55" s="2"/>
        <tr r="C55" s="2"/>
        <tr r="D55" s="2"/>
      </tp>
      <tp t="s">
        <v>N/A</v>
        <stp/>
        <stp>VOLUME</stp>
        <stp>.QQQC493</stp>
        <tr r="B55" s="2"/>
        <tr r="E55" s="2"/>
        <tr r="F55" s="2"/>
        <tr r="G55" s="2"/>
        <tr r="C55" s="2"/>
        <tr r="D55" s="2"/>
      </tp>
      <tp t="s">
        <v>N/A</v>
        <stp/>
        <stp>VOLUME</stp>
        <stp>.SPXW250829C5640</stp>
        <tr r="P109" s="2"/>
      </tp>
      <tp t="s">
        <v>N/A</v>
        <stp/>
        <stp>VOLUME</stp>
        <stp>.SPXW250508C5450</stp>
        <tr r="BA127" s="1"/>
      </tp>
      <tp t="s">
        <v>N/A</v>
        <stp/>
        <stp>VOLUME</stp>
        <stp>.SPXW250509C5440</stp>
        <tr r="BC128" s="1"/>
      </tp>
      <tp t="s">
        <v>N/A</v>
        <stp/>
        <stp>VOLUME</stp>
        <stp>.SPXW251128C5650</stp>
        <tr r="V108" s="2"/>
      </tp>
      <tp t="s">
        <v>N/A</v>
        <stp/>
        <stp>VOLUME</stp>
        <stp>.SPXW251128P5650</stp>
        <tr r="V108" s="2"/>
      </tp>
      <tp t="s">
        <v>N/A</v>
        <stp/>
        <stp>VOLUME</stp>
        <stp>.SPXW250829P5640</stp>
        <tr r="P109" s="2"/>
      </tp>
      <tp t="s">
        <v>N/A</v>
        <stp/>
        <stp>VOLUME</stp>
        <stp>.SPXW250508P5450</stp>
        <tr r="BB127" s="1"/>
      </tp>
      <tp t="s">
        <v>N/A</v>
        <stp/>
        <stp>VOLUME</stp>
        <stp>.SPXW250509P5440</stp>
        <tr r="BD128" s="1"/>
      </tp>
      <tp t="s">
        <v>N/A</v>
        <stp/>
        <stp>VOLUME</stp>
        <stp>.SPXW250829C5670</stp>
        <tr r="P106" s="2"/>
      </tp>
      <tp t="s">
        <v>N/A</v>
        <stp/>
        <stp>VOLUME</stp>
        <stp>.SPXW250508C5460</stp>
        <tr r="BA126" s="1"/>
      </tp>
      <tp t="s">
        <v>N/A</v>
        <stp/>
        <stp>VOLUME</stp>
        <stp>.SPXW250509C5470</stp>
        <tr r="BC125" s="1"/>
      </tp>
      <tp t="s">
        <v>N/A</v>
        <stp/>
        <stp>VOLUME</stp>
        <stp>.SPXW250516C5580</stp>
        <tr r="BE114" s="1"/>
      </tp>
      <tp t="s">
        <v>N/A</v>
        <stp/>
        <stp>VOLUME</stp>
        <stp>.SPXW250606C5480</stp>
        <tr r="J125" s="2"/>
      </tp>
      <tp t="s">
        <v>N/A</v>
        <stp/>
        <stp>VOLUME</stp>
        <stp>.SPXW251128C5660</stp>
        <tr r="V107" s="2"/>
      </tp>
      <tp t="s">
        <v>N/A</v>
        <stp/>
        <stp>VOLUME</stp>
        <stp>.SPXW251128P5660</stp>
        <tr r="V107" s="2"/>
      </tp>
      <tp t="s">
        <v>N/A</v>
        <stp/>
        <stp>VOLUME</stp>
        <stp>.SPXW250829P5670</stp>
        <tr r="P106" s="2"/>
      </tp>
      <tp t="s">
        <v>N/A</v>
        <stp/>
        <stp>VOLUME</stp>
        <stp>.SPXW250508P5460</stp>
        <tr r="BB126" s="1"/>
      </tp>
      <tp t="s">
        <v>N/A</v>
        <stp/>
        <stp>VOLUME</stp>
        <stp>.SPXW250509P5470</stp>
        <tr r="BD125" s="1"/>
      </tp>
      <tp t="s">
        <v>N/A</v>
        <stp/>
        <stp>VOLUME</stp>
        <stp>.SPXW250516P5580</stp>
        <tr r="BF114" s="1"/>
      </tp>
      <tp t="s">
        <v>N/A</v>
        <stp/>
        <stp>VOLUME</stp>
        <stp>.SPXW250606P5480</stp>
        <tr r="J125" s="2"/>
      </tp>
      <tp t="s">
        <v>N/A</v>
        <stp/>
        <stp>VOLUME</stp>
        <stp>.SPXW250829C5660</stp>
        <tr r="P107" s="2"/>
      </tp>
      <tp t="s">
        <v>N/A</v>
        <stp/>
        <stp>VOLUME</stp>
        <stp>.SPXW250508C5470</stp>
        <tr r="BA125" s="1"/>
      </tp>
      <tp t="s">
        <v>N/A</v>
        <stp/>
        <stp>VOLUME</stp>
        <stp>.SPXW250509C5460</stp>
        <tr r="BC126" s="1"/>
      </tp>
      <tp t="s">
        <v>N/A</v>
        <stp/>
        <stp>VOLUME</stp>
        <stp>.SPXW250516C5590</stp>
        <tr r="BE113" s="1"/>
      </tp>
      <tp t="s">
        <v>N/A</v>
        <stp/>
        <stp>VOLUME</stp>
        <stp>.SPXW250606C5490</stp>
        <tr r="J124" s="2"/>
      </tp>
      <tp t="s">
        <v>N/A</v>
        <stp/>
        <stp>VOLUME</stp>
        <stp>.SPXW251128C5670</stp>
        <tr r="V106" s="2"/>
      </tp>
      <tp t="s">
        <v>N/A</v>
        <stp/>
        <stp>VOLUME</stp>
        <stp>.SPXW251128P5670</stp>
        <tr r="V106" s="2"/>
      </tp>
      <tp t="s">
        <v>N/A</v>
        <stp/>
        <stp>VOLUME</stp>
        <stp>.SPXW250829P5660</stp>
        <tr r="P107" s="2"/>
      </tp>
      <tp t="s">
        <v>N/A</v>
        <stp/>
        <stp>VOLUME</stp>
        <stp>.SPXW250508P5470</stp>
        <tr r="BB125" s="1"/>
      </tp>
      <tp t="s">
        <v>N/A</v>
        <stp/>
        <stp>VOLUME</stp>
        <stp>.SPXW250509P5460</stp>
        <tr r="BD126" s="1"/>
      </tp>
      <tp t="s">
        <v>N/A</v>
        <stp/>
        <stp>VOLUME</stp>
        <stp>.SPXW250516P5590</stp>
        <tr r="BF113" s="1"/>
      </tp>
      <tp t="s">
        <v>N/A</v>
        <stp/>
        <stp>VOLUME</stp>
        <stp>.SPXW250606P5490</stp>
        <tr r="J124" s="2"/>
      </tp>
      <tp t="s">
        <v>N/A</v>
        <stp/>
        <stp>VOLUME</stp>
        <stp>.NDXP251231P19850</stp>
        <tr r="X166" s="2"/>
      </tp>
      <tp t="s">
        <v>N/A</v>
        <stp/>
        <stp>VOLUME</stp>
        <stp>.NDXP251128P20150</stp>
        <tr r="V154" s="2"/>
      </tp>
      <tp t="s">
        <v>N/A</v>
        <stp/>
        <stp>VOLUME</stp>
        <stp>.NDXP251031P19850</stp>
        <tr r="T166" s="2"/>
      </tp>
      <tp t="s">
        <v>N/A</v>
        <stp/>
        <stp>VOLUME</stp>
        <stp>.SPXW250930C5700</stp>
        <tr r="R103" s="2"/>
      </tp>
      <tp t="s">
        <v>N/A</v>
        <stp/>
        <stp>VOLUME</stp>
        <stp>.SPXW250829C5690</stp>
        <tr r="P104" s="2"/>
      </tp>
      <tp t="s">
        <v>N/A</v>
        <stp/>
        <stp>VOLUME</stp>
        <stp>.SPXW250508C5480</stp>
        <tr r="BA124" s="1"/>
      </tp>
      <tp t="s">
        <v>N/A</v>
        <stp/>
        <stp>VOLUME</stp>
        <stp>.SPXW250509C5490</stp>
        <tr r="BC123" s="1"/>
      </tp>
      <tp t="s">
        <v>N/A</v>
        <stp/>
        <stp>VOLUME</stp>
        <stp>.SPXW250516C5560</stp>
        <tr r="BE116" s="1"/>
      </tp>
      <tp t="s">
        <v>N/A</v>
        <stp/>
        <stp>VOLUME</stp>
        <stp>.SPXW250530C5700</stp>
        <tr r="I103" s="2"/>
      </tp>
      <tp t="s">
        <v>N/A</v>
        <stp/>
        <stp>VOLUME</stp>
        <stp>.SPXW250731C5710</stp>
        <tr r="N102" s="2"/>
      </tp>
      <tp t="s">
        <v>N/A</v>
        <stp/>
        <stp>VOLUME</stp>
        <stp>.SPXW250606C5460</stp>
        <tr r="J127" s="2"/>
      </tp>
      <tp t="s">
        <v>N/A</v>
        <stp/>
        <stp>VOLUME</stp>
        <stp>.SPXW250630C5700</stp>
        <tr r="L103" s="2"/>
      </tp>
      <tp t="s">
        <v>N/A</v>
        <stp/>
        <stp>VOLUME</stp>
        <stp>.SPXW251128C5680</stp>
        <tr r="V105" s="2"/>
      </tp>
      <tp t="s">
        <v>N/A</v>
        <stp/>
        <stp>VOLUME</stp>
        <stp>.SPXW251031C5710</stp>
        <tr r="T102" s="2"/>
      </tp>
      <tp t="s">
        <v>N/A</v>
        <stp/>
        <stp>VOLUME</stp>
        <stp>.SPXW251231C5710</stp>
        <tr r="X102" s="2"/>
      </tp>
      <tp t="s">
        <v>N/A</v>
        <stp/>
        <stp>VOLUME</stp>
        <stp>.SPXW251128P5680</stp>
        <tr r="V105" s="2"/>
      </tp>
      <tp t="s">
        <v>N/A</v>
        <stp/>
        <stp>VOLUME</stp>
        <stp>.SPXW251031P5710</stp>
        <tr r="T102" s="2"/>
      </tp>
      <tp t="s">
        <v>N/A</v>
        <stp/>
        <stp>VOLUME</stp>
        <stp>.SPXW251231P5710</stp>
        <tr r="X102" s="2"/>
      </tp>
      <tp t="s">
        <v>N/A</v>
        <stp/>
        <stp>VOLUME</stp>
        <stp>.SPXW250930P5700</stp>
        <tr r="R103" s="2"/>
      </tp>
      <tp t="s">
        <v>N/A</v>
        <stp/>
        <stp>VOLUME</stp>
        <stp>.SPXW250829P5690</stp>
        <tr r="P104" s="2"/>
      </tp>
      <tp t="s">
        <v>N/A</v>
        <stp/>
        <stp>VOLUME</stp>
        <stp>.SPXW250508P5480</stp>
        <tr r="BB124" s="1"/>
      </tp>
      <tp t="s">
        <v>N/A</v>
        <stp/>
        <stp>VOLUME</stp>
        <stp>.SPXW250509P5490</stp>
        <tr r="BD123" s="1"/>
      </tp>
      <tp t="s">
        <v>N/A</v>
        <stp/>
        <stp>VOLUME</stp>
        <stp>.SPXW250516P5560</stp>
        <tr r="BF116" s="1"/>
      </tp>
      <tp t="s">
        <v>N/A</v>
        <stp/>
        <stp>VOLUME</stp>
        <stp>.SPXW250530P5700</stp>
        <tr r="I103" s="2"/>
      </tp>
      <tp t="s">
        <v>N/A</v>
        <stp/>
        <stp>VOLUME</stp>
        <stp>.SPXW250731P5710</stp>
        <tr r="N102" s="2"/>
      </tp>
      <tp t="s">
        <v>N/A</v>
        <stp/>
        <stp>VOLUME</stp>
        <stp>.SPXW250606P5460</stp>
        <tr r="J127" s="2"/>
      </tp>
      <tp t="s">
        <v>N/A</v>
        <stp/>
        <stp>VOLUME</stp>
        <stp>.SPXW250630P5700</stp>
        <tr r="L103" s="2"/>
      </tp>
      <tp t="s">
        <v>N/A</v>
        <stp/>
        <stp>VOLUME</stp>
        <stp>.NDXP250829P20050</stp>
        <tr r="P158" s="2"/>
      </tp>
      <tp t="s">
        <v>N/A</v>
        <stp/>
        <stp>VOLUME</stp>
        <stp>.NDXP250930P19950</stp>
        <tr r="R162" s="2"/>
      </tp>
      <tp t="s">
        <v>N/A</v>
        <stp/>
        <stp>VOLUME</stp>
        <stp>.NDXP250630P19950</stp>
        <tr r="L162" s="2"/>
      </tp>
      <tp t="s">
        <v>N/A</v>
        <stp/>
        <stp>VOLUME</stp>
        <stp>.NDXP250508P20150</stp>
        <tr r="BB153" s="1"/>
      </tp>
      <tp>
        <v>542</v>
        <stp/>
        <stp>VOLUME</stp>
        <stp>.NDXP250509P20050</stp>
        <tr r="BD157" s="1"/>
        <tr r="BD157" s="1"/>
      </tp>
      <tp t="s">
        <v>N/A</v>
        <stp/>
        <stp>VOLUME</stp>
        <stp>.NDXP250731P19850</stp>
        <tr r="N166" s="2"/>
      </tp>
      <tp>
        <v>2</v>
        <stp/>
        <stp>VOLUME</stp>
        <stp>.NDXP250530P19950</stp>
        <tr r="I162" s="2"/>
        <tr r="I162" s="2"/>
      </tp>
      <tp t="s">
        <v>N/A</v>
        <stp/>
        <stp>VOLUME</stp>
        <stp>.SPXW250930C5710</stp>
        <tr r="R102" s="2"/>
      </tp>
      <tp t="s">
        <v>N/A</v>
        <stp/>
        <stp>VOLUME</stp>
        <stp>.SPXW250829C5680</stp>
        <tr r="P105" s="2"/>
      </tp>
      <tp t="s">
        <v>N/A</v>
        <stp/>
        <stp>VOLUME</stp>
        <stp>.SPXW250508C5490</stp>
        <tr r="BA123" s="1"/>
      </tp>
      <tp t="s">
        <v>N/A</v>
        <stp/>
        <stp>VOLUME</stp>
        <stp>.SPXW250509C5480</stp>
        <tr r="BC124" s="1"/>
      </tp>
      <tp t="s">
        <v>N/A</v>
        <stp/>
        <stp>VOLUME</stp>
        <stp>.SPXW250516C5570</stp>
        <tr r="BE115" s="1"/>
      </tp>
      <tp t="s">
        <v>N/A</v>
        <stp/>
        <stp>VOLUME</stp>
        <stp>.SPXW250530C5710</stp>
        <tr r="I102" s="2"/>
      </tp>
      <tp t="s">
        <v>N/A</v>
        <stp/>
        <stp>VOLUME</stp>
        <stp>.SPXW250731C5700</stp>
        <tr r="N103" s="2"/>
      </tp>
      <tp t="s">
        <v>N/A</v>
        <stp/>
        <stp>VOLUME</stp>
        <stp>.SPXW250606C5470</stp>
        <tr r="J126" s="2"/>
      </tp>
      <tp t="s">
        <v>N/A</v>
        <stp/>
        <stp>VOLUME</stp>
        <stp>.SPXW250630C5710</stp>
        <tr r="L102" s="2"/>
      </tp>
      <tp t="s">
        <v>N/A</v>
        <stp/>
        <stp>VOLUME</stp>
        <stp>.SPXW251128C5690</stp>
        <tr r="V104" s="2"/>
      </tp>
      <tp t="s">
        <v>N/A</v>
        <stp/>
        <stp>VOLUME</stp>
        <stp>.SPXW251031C5700</stp>
        <tr r="T103" s="2"/>
      </tp>
      <tp t="s">
        <v>N/A</v>
        <stp/>
        <stp>VOLUME</stp>
        <stp>.SPXW251231C5700</stp>
        <tr r="X103" s="2"/>
      </tp>
      <tp t="s">
        <v>N/A</v>
        <stp/>
        <stp>VOLUME</stp>
        <stp>.SPXW251128P5690</stp>
        <tr r="V104" s="2"/>
      </tp>
      <tp t="s">
        <v>N/A</v>
        <stp/>
        <stp>VOLUME</stp>
        <stp>.SPXW251031P5700</stp>
        <tr r="T103" s="2"/>
      </tp>
      <tp t="s">
        <v>N/A</v>
        <stp/>
        <stp>VOLUME</stp>
        <stp>.SPXW251231P5700</stp>
        <tr r="X103" s="2"/>
      </tp>
      <tp t="s">
        <v>N/A</v>
        <stp/>
        <stp>VOLUME</stp>
        <stp>.SPXW250930P5710</stp>
        <tr r="R102" s="2"/>
      </tp>
      <tp t="s">
        <v>N/A</v>
        <stp/>
        <stp>VOLUME</stp>
        <stp>.SPXW250829P5680</stp>
        <tr r="P105" s="2"/>
      </tp>
      <tp t="s">
        <v>N/A</v>
        <stp/>
        <stp>VOLUME</stp>
        <stp>.SPXW250508P5490</stp>
        <tr r="BB123" s="1"/>
      </tp>
      <tp t="s">
        <v>N/A</v>
        <stp/>
        <stp>VOLUME</stp>
        <stp>.SPXW250509P5480</stp>
        <tr r="BD124" s="1"/>
      </tp>
      <tp t="s">
        <v>N/A</v>
        <stp/>
        <stp>VOLUME</stp>
        <stp>.SPXW250516P5570</stp>
        <tr r="BF115" s="1"/>
      </tp>
      <tp t="s">
        <v>N/A</v>
        <stp/>
        <stp>VOLUME</stp>
        <stp>.SPXW250530P5710</stp>
        <tr r="I102" s="2"/>
      </tp>
      <tp t="s">
        <v>N/A</v>
        <stp/>
        <stp>VOLUME</stp>
        <stp>.SPXW250731P5700</stp>
        <tr r="N103" s="2"/>
      </tp>
      <tp t="s">
        <v>N/A</v>
        <stp/>
        <stp>VOLUME</stp>
        <stp>.SPXW250606P5470</stp>
        <tr r="J126" s="2"/>
      </tp>
      <tp t="s">
        <v>N/A</v>
        <stp/>
        <stp>VOLUME</stp>
        <stp>.SPXW250630P5710</stp>
        <tr r="L102" s="2"/>
      </tp>
      <tp t="s">
        <v>N/A</v>
        <stp/>
        <stp>VOLUME</stp>
        <stp>.QQQP468</stp>
        <tr r="B80" s="2"/>
        <tr r="F80" s="2"/>
        <tr r="G80" s="2"/>
        <tr r="D80" s="2"/>
        <tr r="E80" s="2"/>
        <tr r="C80" s="2"/>
      </tp>
      <tp t="s">
        <v>N/A</v>
        <stp/>
        <stp>VOLUME</stp>
        <stp>.QQQC468</stp>
        <tr r="B80" s="2"/>
        <tr r="F80" s="2"/>
        <tr r="G80" s="2"/>
        <tr r="D80" s="2"/>
        <tr r="E80" s="2"/>
        <tr r="C80" s="2"/>
      </tp>
      <tp t="s">
        <v>N/A</v>
        <stp/>
        <stp>VOLUME</stp>
        <stp>.QQQP469</stp>
        <tr r="E79" s="2"/>
        <tr r="B79" s="2"/>
        <tr r="C79" s="2"/>
        <tr r="D79" s="2"/>
        <tr r="F79" s="2"/>
        <tr r="G79" s="2"/>
      </tp>
      <tp t="s">
        <v>N/A</v>
        <stp/>
        <stp>VOLUME</stp>
        <stp>.QQQC469</stp>
        <tr r="E79" s="2"/>
        <tr r="B79" s="2"/>
        <tr r="C79" s="2"/>
        <tr r="D79" s="2"/>
        <tr r="F79" s="2"/>
        <tr r="G79" s="2"/>
      </tp>
      <tp t="s">
        <v>N/A</v>
        <stp/>
        <stp>VOLUME</stp>
        <stp>.NDXP251231P19875</stp>
        <tr r="X165" s="2"/>
      </tp>
      <tp t="s">
        <v>N/A</v>
        <stp/>
        <stp>VOLUME</stp>
        <stp>.NDXP251128P20175</stp>
        <tr r="V153" s="2"/>
      </tp>
      <tp t="s">
        <v>N/A</v>
        <stp/>
        <stp>VOLUME</stp>
        <stp>.NDXP251031P19875</stp>
        <tr r="T165" s="2"/>
      </tp>
      <tp t="s">
        <v>N/A</v>
        <stp/>
        <stp>VOLUME</stp>
        <stp>.SPXW250930C5720</stp>
        <tr r="R101" s="2"/>
      </tp>
      <tp t="s">
        <v>N/A</v>
        <stp/>
        <stp>VOLUME</stp>
        <stp>.SPXW250516C5540</stp>
        <tr r="BE118" s="1"/>
      </tp>
      <tp t="s">
        <v>N/A</v>
        <stp/>
        <stp>VOLUME</stp>
        <stp>.SPXW250530C5720</stp>
        <tr r="I101" s="2"/>
      </tp>
      <tp t="s">
        <v>N/A</v>
        <stp/>
        <stp>VOLUME</stp>
        <stp>.SPXW250731C5730</stp>
        <tr r="N100" s="2"/>
      </tp>
      <tp t="s">
        <v>N/A</v>
        <stp/>
        <stp>VOLUME</stp>
        <stp>.SPXW250606C5440</stp>
        <tr r="J129" s="2"/>
      </tp>
      <tp t="s">
        <v>N/A</v>
        <stp/>
        <stp>VOLUME</stp>
        <stp>.SPXW250630C5720</stp>
        <tr r="L101" s="2"/>
      </tp>
      <tp t="s">
        <v>N/A</v>
        <stp/>
        <stp>VOLUME</stp>
        <stp>.SPXW251031C5730</stp>
        <tr r="T100" s="2"/>
      </tp>
      <tp t="s">
        <v>N/A</v>
        <stp/>
        <stp>VOLUME</stp>
        <stp>.SPXW251231C5730</stp>
        <tr r="X100" s="2"/>
      </tp>
      <tp t="s">
        <v>N/A</v>
        <stp/>
        <stp>VOLUME</stp>
        <stp>.SPXW251031P5730</stp>
        <tr r="T100" s="2"/>
      </tp>
      <tp t="s">
        <v>N/A</v>
        <stp/>
        <stp>VOLUME</stp>
        <stp>.SPXW251231P5730</stp>
        <tr r="X100" s="2"/>
      </tp>
      <tp t="s">
        <v>N/A</v>
        <stp/>
        <stp>VOLUME</stp>
        <stp>.SPXW250930P5720</stp>
        <tr r="R101" s="2"/>
      </tp>
      <tp>
        <v>2</v>
        <stp/>
        <stp>VOLUME</stp>
        <stp>.SPXW250516P5540</stp>
        <tr r="BF118" s="1"/>
        <tr r="BF118" s="1"/>
      </tp>
      <tp t="s">
        <v>N/A</v>
        <stp/>
        <stp>VOLUME</stp>
        <stp>.SPXW250530P5720</stp>
        <tr r="I101" s="2"/>
      </tp>
      <tp t="s">
        <v>N/A</v>
        <stp/>
        <stp>VOLUME</stp>
        <stp>.SPXW250731P5730</stp>
        <tr r="N100" s="2"/>
      </tp>
      <tp t="s">
        <v>N/A</v>
        <stp/>
        <stp>VOLUME</stp>
        <stp>.SPXW250606P5440</stp>
        <tr r="J129" s="2"/>
      </tp>
      <tp t="s">
        <v>N/A</v>
        <stp/>
        <stp>VOLUME</stp>
        <stp>.SPXW250630P5720</stp>
        <tr r="L101" s="2"/>
      </tp>
      <tp t="s">
        <v>N/A</v>
        <stp/>
        <stp>VOLUME</stp>
        <stp>.QQQP478</stp>
        <tr r="E70" s="2"/>
        <tr r="D70" s="2"/>
        <tr r="B70" s="2"/>
        <tr r="C70" s="2"/>
        <tr r="G70" s="2"/>
        <tr r="F70" s="2"/>
      </tp>
      <tp t="s">
        <v>N/A</v>
        <stp/>
        <stp>VOLUME</stp>
        <stp>.QQQC478</stp>
        <tr r="E70" s="2"/>
        <tr r="D70" s="2"/>
        <tr r="B70" s="2"/>
        <tr r="C70" s="2"/>
        <tr r="G70" s="2"/>
        <tr r="F70" s="2"/>
      </tp>
      <tp t="s">
        <v>N/A</v>
        <stp/>
        <stp>VOLUME</stp>
        <stp>.QQQP479</stp>
        <tr r="D69" s="2"/>
        <tr r="F69" s="2"/>
        <tr r="B69" s="2"/>
        <tr r="E69" s="2"/>
        <tr r="C69" s="2"/>
        <tr r="G69" s="2"/>
      </tp>
      <tp t="s">
        <v>N/A</v>
        <stp/>
        <stp>VOLUME</stp>
        <stp>.QQQC479</stp>
        <tr r="D69" s="2"/>
        <tr r="F69" s="2"/>
        <tr r="B69" s="2"/>
        <tr r="E69" s="2"/>
        <tr r="C69" s="2"/>
        <tr r="G69" s="2"/>
      </tp>
      <tp t="s">
        <v>N/A</v>
        <stp/>
        <stp>VOLUME</stp>
        <stp>.QQQP474</stp>
        <tr r="D74" s="2"/>
        <tr r="G74" s="2"/>
        <tr r="F74" s="2"/>
        <tr r="E74" s="2"/>
        <tr r="C74" s="2"/>
        <tr r="B74" s="2"/>
      </tp>
      <tp t="s">
        <v>N/A</v>
        <stp/>
        <stp>VOLUME</stp>
        <stp>.QQQC474</stp>
        <tr r="D74" s="2"/>
        <tr r="G74" s="2"/>
        <tr r="F74" s="2"/>
        <tr r="E74" s="2"/>
        <tr r="C74" s="2"/>
        <tr r="B74" s="2"/>
      </tp>
      <tp t="s">
        <v>N/A</v>
        <stp/>
        <stp>VOLUME</stp>
        <stp>.QQQP475</stp>
        <tr r="B73" s="2"/>
        <tr r="G73" s="2"/>
        <tr r="C73" s="2"/>
        <tr r="E73" s="2"/>
        <tr r="D73" s="2"/>
        <tr r="F73" s="2"/>
      </tp>
      <tp t="s">
        <v>N/A</v>
        <stp/>
        <stp>VOLUME</stp>
        <stp>.QQQC475</stp>
        <tr r="B73" s="2"/>
        <tr r="G73" s="2"/>
        <tr r="C73" s="2"/>
        <tr r="E73" s="2"/>
        <tr r="D73" s="2"/>
        <tr r="F73" s="2"/>
      </tp>
      <tp t="s">
        <v>N/A</v>
        <stp/>
        <stp>VOLUME</stp>
        <stp>.QQQP476</stp>
        <tr r="D72" s="2"/>
        <tr r="E72" s="2"/>
        <tr r="F72" s="2"/>
        <tr r="C72" s="2"/>
        <tr r="G72" s="2"/>
        <tr r="B72" s="2"/>
      </tp>
      <tp t="s">
        <v>N/A</v>
        <stp/>
        <stp>VOLUME</stp>
        <stp>.QQQC476</stp>
        <tr r="D72" s="2"/>
        <tr r="E72" s="2"/>
        <tr r="F72" s="2"/>
        <tr r="C72" s="2"/>
        <tr r="G72" s="2"/>
        <tr r="B72" s="2"/>
      </tp>
      <tp t="s">
        <v>N/A</v>
        <stp/>
        <stp>VOLUME</stp>
        <stp>.QQQP477</stp>
        <tr r="E71" s="2"/>
        <tr r="D71" s="2"/>
        <tr r="G71" s="2"/>
        <tr r="B71" s="2"/>
        <tr r="F71" s="2"/>
        <tr r="C71" s="2"/>
      </tp>
      <tp t="s">
        <v>N/A</v>
        <stp/>
        <stp>VOLUME</stp>
        <stp>.QQQC477</stp>
        <tr r="E71" s="2"/>
        <tr r="D71" s="2"/>
        <tr r="G71" s="2"/>
        <tr r="B71" s="2"/>
        <tr r="F71" s="2"/>
        <tr r="C71" s="2"/>
      </tp>
      <tp t="s">
        <v>N/A</v>
        <stp/>
        <stp>VOLUME</stp>
        <stp>.QQQP470</stp>
        <tr r="F78" s="2"/>
        <tr r="B78" s="2"/>
        <tr r="C78" s="2"/>
        <tr r="E78" s="2"/>
        <tr r="G78" s="2"/>
        <tr r="D78" s="2"/>
      </tp>
      <tp t="s">
        <v>N/A</v>
        <stp/>
        <stp>VOLUME</stp>
        <stp>.QQQC470</stp>
        <tr r="F78" s="2"/>
        <tr r="B78" s="2"/>
        <tr r="C78" s="2"/>
        <tr r="E78" s="2"/>
        <tr r="G78" s="2"/>
        <tr r="D78" s="2"/>
      </tp>
      <tp t="s">
        <v>N/A</v>
        <stp/>
        <stp>VOLUME</stp>
        <stp>.QQQP471</stp>
        <tr r="E77" s="2"/>
        <tr r="F77" s="2"/>
        <tr r="D77" s="2"/>
        <tr r="G77" s="2"/>
        <tr r="B77" s="2"/>
        <tr r="C77" s="2"/>
      </tp>
      <tp t="s">
        <v>N/A</v>
        <stp/>
        <stp>VOLUME</stp>
        <stp>.QQQC471</stp>
        <tr r="E77" s="2"/>
        <tr r="F77" s="2"/>
        <tr r="D77" s="2"/>
        <tr r="G77" s="2"/>
        <tr r="B77" s="2"/>
        <tr r="C77" s="2"/>
      </tp>
      <tp t="s">
        <v>N/A</v>
        <stp/>
        <stp>VOLUME</stp>
        <stp>.QQQP472</stp>
        <tr r="C76" s="2"/>
        <tr r="B76" s="2"/>
        <tr r="F76" s="2"/>
        <tr r="D76" s="2"/>
        <tr r="E76" s="2"/>
        <tr r="G76" s="2"/>
      </tp>
      <tp t="s">
        <v>N/A</v>
        <stp/>
        <stp>VOLUME</stp>
        <stp>.QQQC472</stp>
        <tr r="C76" s="2"/>
        <tr r="B76" s="2"/>
        <tr r="F76" s="2"/>
        <tr r="D76" s="2"/>
        <tr r="E76" s="2"/>
        <tr r="G76" s="2"/>
      </tp>
      <tp t="s">
        <v>N/A</v>
        <stp/>
        <stp>VOLUME</stp>
        <stp>.QQQP473</stp>
        <tr r="E75" s="2"/>
        <tr r="F75" s="2"/>
        <tr r="C75" s="2"/>
        <tr r="B75" s="2"/>
        <tr r="D75" s="2"/>
        <tr r="G75" s="2"/>
      </tp>
      <tp t="s">
        <v>N/A</v>
        <stp/>
        <stp>VOLUME</stp>
        <stp>.QQQC473</stp>
        <tr r="E75" s="2"/>
        <tr r="F75" s="2"/>
        <tr r="C75" s="2"/>
        <tr r="B75" s="2"/>
        <tr r="D75" s="2"/>
        <tr r="G75" s="2"/>
      </tp>
      <tp t="s">
        <v>N/A</v>
        <stp/>
        <stp>VOLUME</stp>
        <stp>.NDXP250829P20075</stp>
        <tr r="P157" s="2"/>
      </tp>
      <tp t="s">
        <v>N/A</v>
        <stp/>
        <stp>VOLUME</stp>
        <stp>.NDXP250930P19975</stp>
        <tr r="R161" s="2"/>
      </tp>
      <tp t="s">
        <v>N/A</v>
        <stp/>
        <stp>VOLUME</stp>
        <stp>.NDXP250731P19875</stp>
        <tr r="N165" s="2"/>
      </tp>
      <tp t="s">
        <v>N/A</v>
        <stp/>
        <stp>VOLUME</stp>
        <stp>.NDXP250630P19975</stp>
        <tr r="L161" s="2"/>
      </tp>
      <tp t="s">
        <v>N/A</v>
        <stp/>
        <stp>VOLUME</stp>
        <stp>.NDXP250508P20175</stp>
        <tr r="BB152" s="1"/>
      </tp>
      <tp>
        <v>165</v>
        <stp/>
        <stp>VOLUME</stp>
        <stp>.NDXP250509P20075</stp>
        <tr r="BD156" s="1"/>
        <tr r="BD156" s="1"/>
      </tp>
      <tp t="s">
        <v>N/A</v>
        <stp/>
        <stp>VOLUME</stp>
        <stp>.NDXP250530P19975</stp>
        <tr r="I161" s="2"/>
      </tp>
      <tp t="s">
        <v>N/A</v>
        <stp/>
        <stp>VOLUME</stp>
        <stp>.SPXW250930C5730</stp>
        <tr r="R100" s="2"/>
      </tp>
      <tp t="s">
        <v>N/A</v>
        <stp/>
        <stp>VOLUME</stp>
        <stp>.SPXW250516C5550</stp>
        <tr r="BE117" s="1"/>
      </tp>
      <tp t="s">
        <v>N/A</v>
        <stp/>
        <stp>VOLUME</stp>
        <stp>.SPXW250530C5730</stp>
        <tr r="I100" s="2"/>
      </tp>
      <tp t="s">
        <v>N/A</v>
        <stp/>
        <stp>VOLUME</stp>
        <stp>.SPXW250731C5720</stp>
        <tr r="N101" s="2"/>
      </tp>
      <tp t="s">
        <v>N/A</v>
        <stp/>
        <stp>VOLUME</stp>
        <stp>.SPXW250606C5450</stp>
        <tr r="J128" s="2"/>
      </tp>
      <tp t="s">
        <v>N/A</v>
        <stp/>
        <stp>VOLUME</stp>
        <stp>.SPXW250630C5730</stp>
        <tr r="L100" s="2"/>
      </tp>
      <tp t="s">
        <v>N/A</v>
        <stp/>
        <stp>VOLUME</stp>
        <stp>.SPXW251031C5720</stp>
        <tr r="T101" s="2"/>
      </tp>
      <tp t="s">
        <v>N/A</v>
        <stp/>
        <stp>VOLUME</stp>
        <stp>.SPXW251231C5720</stp>
        <tr r="X101" s="2"/>
      </tp>
      <tp t="s">
        <v>N/A</v>
        <stp/>
        <stp>VOLUME</stp>
        <stp>.SPXW251031P5720</stp>
        <tr r="T101" s="2"/>
      </tp>
      <tp t="s">
        <v>N/A</v>
        <stp/>
        <stp>VOLUME</stp>
        <stp>.SPXW251231P5720</stp>
        <tr r="X101" s="2"/>
      </tp>
      <tp t="s">
        <v>N/A</v>
        <stp/>
        <stp>VOLUME</stp>
        <stp>.SPXW250930P5730</stp>
        <tr r="R100" s="2"/>
      </tp>
      <tp>
        <v>1</v>
        <stp/>
        <stp>VOLUME</stp>
        <stp>.SPXW250516P5550</stp>
        <tr r="BF117" s="1"/>
        <tr r="BF117" s="1"/>
      </tp>
      <tp t="s">
        <v>N/A</v>
        <stp/>
        <stp>VOLUME</stp>
        <stp>.SPXW250530P5730</stp>
        <tr r="I100" s="2"/>
      </tp>
      <tp t="s">
        <v>N/A</v>
        <stp/>
        <stp>VOLUME</stp>
        <stp>.SPXW250731P5720</stp>
        <tr r="N101" s="2"/>
      </tp>
      <tp t="s">
        <v>N/A</v>
        <stp/>
        <stp>VOLUME</stp>
        <stp>.SPXW250606P5450</stp>
        <tr r="J128" s="2"/>
      </tp>
      <tp t="s">
        <v>N/A</v>
        <stp/>
        <stp>VOLUME</stp>
        <stp>.SPXW250630P5730</stp>
        <tr r="L100" s="2"/>
      </tp>
      <tp t="s">
        <v>N/A</v>
        <stp/>
        <stp>VOLUME</stp>
        <stp>.NDXP250829P20000</stp>
        <tr r="P160" s="2"/>
      </tp>
      <tp t="s">
        <v>N/A</v>
        <stp/>
        <stp>VOLUME</stp>
        <stp>.NDXP250930P19900</stp>
        <tr r="R164" s="2"/>
      </tp>
      <tp t="s">
        <v>N/A</v>
        <stp/>
        <stp>VOLUME</stp>
        <stp>.NDXP250630P19900</stp>
        <tr r="L164" s="2"/>
      </tp>
      <tp t="s">
        <v>N/A</v>
        <stp/>
        <stp>VOLUME</stp>
        <stp>.NDXP250508P20100</stp>
        <tr r="BB155" s="1"/>
      </tp>
      <tp>
        <v>877</v>
        <stp/>
        <stp>VOLUME</stp>
        <stp>.NDXP250509P20000</stp>
        <tr r="BD159" s="1"/>
        <tr r="BD159" s="1"/>
      </tp>
      <tp t="s">
        <v>N/A</v>
        <stp/>
        <stp>VOLUME</stp>
        <stp>.NDXP250731P19800</stp>
        <tr r="N168" s="2"/>
      </tp>
      <tp>
        <v>4</v>
        <stp/>
        <stp>VOLUME</stp>
        <stp>.NDXP250530P19900</stp>
        <tr r="I164" s="2"/>
        <tr r="I164" s="2"/>
      </tp>
      <tp t="s">
        <v>N/A</v>
        <stp/>
        <stp>VOLUME</stp>
        <stp>.SPXW250930C5740</stp>
        <tr r="R99" s="2"/>
      </tp>
      <tp t="s">
        <v>N/A</v>
        <stp/>
        <stp>VOLUME</stp>
        <stp>.SPXW250516C5520</stp>
        <tr r="BE120" s="1"/>
      </tp>
      <tp t="s">
        <v>N/A</v>
        <stp/>
        <stp>VOLUME</stp>
        <stp>.SPXW250530C5740</stp>
        <tr r="I99" s="2"/>
      </tp>
      <tp t="s">
        <v>N/A</v>
        <stp/>
        <stp>VOLUME</stp>
        <stp>.SPXW250731C5750</stp>
        <tr r="N98" s="2"/>
      </tp>
      <tp t="s">
        <v>N/A</v>
        <stp/>
        <stp>VOLUME</stp>
        <stp>.SPXW250606C5420</stp>
        <tr r="J131" s="2"/>
      </tp>
      <tp t="s">
        <v>N/A</v>
        <stp/>
        <stp>VOLUME</stp>
        <stp>.SPXW250630C5740</stp>
        <tr r="L99" s="2"/>
      </tp>
      <tp t="s">
        <v>N/A</v>
        <stp/>
        <stp>VOLUME</stp>
        <stp>.SPXW251031C5750</stp>
        <tr r="T98" s="2"/>
      </tp>
      <tp t="s">
        <v>N/A</v>
        <stp/>
        <stp>VOLUME</stp>
        <stp>.SPXW251231C5750</stp>
        <tr r="X98" s="2"/>
      </tp>
      <tp t="s">
        <v>N/A</v>
        <stp/>
        <stp>VOLUME</stp>
        <stp>.SPXW251031P5750</stp>
        <tr r="T98" s="2"/>
      </tp>
      <tp t="s">
        <v>N/A</v>
        <stp/>
        <stp>VOLUME</stp>
        <stp>.SPXW251231P5750</stp>
        <tr r="X98" s="2"/>
      </tp>
      <tp t="s">
        <v>N/A</v>
        <stp/>
        <stp>VOLUME</stp>
        <stp>.SPXW250930P5740</stp>
        <tr r="R99" s="2"/>
      </tp>
      <tp t="s">
        <v>N/A</v>
        <stp/>
        <stp>VOLUME</stp>
        <stp>.SPXW250516P5520</stp>
        <tr r="BF120" s="1"/>
      </tp>
      <tp t="s">
        <v>N/A</v>
        <stp/>
        <stp>VOLUME</stp>
        <stp>.SPXW250530P5740</stp>
        <tr r="I99" s="2"/>
      </tp>
      <tp t="s">
        <v>N/A</v>
        <stp/>
        <stp>VOLUME</stp>
        <stp>.SPXW250731P5750</stp>
        <tr r="N98" s="2"/>
      </tp>
      <tp t="s">
        <v>N/A</v>
        <stp/>
        <stp>VOLUME</stp>
        <stp>.SPXW250606P5420</stp>
        <tr r="J131" s="2"/>
      </tp>
      <tp t="s">
        <v>N/A</v>
        <stp/>
        <stp>VOLUME</stp>
        <stp>.SPXW250630P5740</stp>
        <tr r="L99" s="2"/>
      </tp>
      <tp t="s">
        <v>N/A</v>
        <stp/>
        <stp>VOLUME</stp>
        <stp>.NDXP251231P19800</stp>
        <tr r="X168" s="2"/>
      </tp>
      <tp t="s">
        <v>N/A</v>
        <stp/>
        <stp>VOLUME</stp>
        <stp>.NDXP251128P20100</stp>
        <tr r="V156" s="2"/>
      </tp>
      <tp t="s">
        <v>N/A</v>
        <stp/>
        <stp>VOLUME</stp>
        <stp>.NDXP251031P19800</stp>
        <tr r="T168" s="2"/>
      </tp>
      <tp t="s">
        <v>N/A</v>
        <stp/>
        <stp>VOLUME</stp>
        <stp>.SPXW250930C5750</stp>
        <tr r="R98" s="2"/>
      </tp>
      <tp t="s">
        <v>N/A</v>
        <stp/>
        <stp>VOLUME</stp>
        <stp>.SPXW250516C5530</stp>
        <tr r="BE119" s="1"/>
      </tp>
      <tp t="s">
        <v>N/A</v>
        <stp/>
        <stp>VOLUME</stp>
        <stp>.SPXW250530C5750</stp>
        <tr r="I98" s="2"/>
      </tp>
      <tp t="s">
        <v>N/A</v>
        <stp/>
        <stp>VOLUME</stp>
        <stp>.SPXW250731C5740</stp>
        <tr r="N99" s="2"/>
      </tp>
      <tp t="s">
        <v>N/A</v>
        <stp/>
        <stp>VOLUME</stp>
        <stp>.SPXW250606C5430</stp>
        <tr r="J130" s="2"/>
      </tp>
      <tp t="s">
        <v>N/A</v>
        <stp/>
        <stp>VOLUME</stp>
        <stp>.SPXW250630C5750</stp>
        <tr r="L98" s="2"/>
      </tp>
      <tp t="s">
        <v>N/A</v>
        <stp/>
        <stp>VOLUME</stp>
        <stp>.SPXW251031C5740</stp>
        <tr r="T99" s="2"/>
      </tp>
      <tp t="s">
        <v>N/A</v>
        <stp/>
        <stp>VOLUME</stp>
        <stp>.SPXW251231C5740</stp>
        <tr r="X99" s="2"/>
      </tp>
      <tp t="s">
        <v>N/A</v>
        <stp/>
        <stp>VOLUME</stp>
        <stp>.SPXW251031P5740</stp>
        <tr r="T99" s="2"/>
      </tp>
      <tp t="s">
        <v>N/A</v>
        <stp/>
        <stp>VOLUME</stp>
        <stp>.SPXW251231P5740</stp>
        <tr r="X99" s="2"/>
      </tp>
      <tp t="s">
        <v>N/A</v>
        <stp/>
        <stp>VOLUME</stp>
        <stp>.SPXW250930P5750</stp>
        <tr r="R98" s="2"/>
      </tp>
      <tp>
        <v>1</v>
        <stp/>
        <stp>VOLUME</stp>
        <stp>.SPXW250516P5530</stp>
        <tr r="BF119" s="1"/>
        <tr r="BF119" s="1"/>
      </tp>
      <tp t="s">
        <v>N/A</v>
        <stp/>
        <stp>VOLUME</stp>
        <stp>.SPXW250530P5750</stp>
        <tr r="I98" s="2"/>
      </tp>
      <tp t="s">
        <v>N/A</v>
        <stp/>
        <stp>VOLUME</stp>
        <stp>.SPXW250731P5740</stp>
        <tr r="N99" s="2"/>
      </tp>
      <tp t="s">
        <v>N/A</v>
        <stp/>
        <stp>VOLUME</stp>
        <stp>.SPXW250606P5430</stp>
        <tr r="J130" s="2"/>
      </tp>
      <tp t="s">
        <v>N/A</v>
        <stp/>
        <stp>VOLUME</stp>
        <stp>.SPXW250630P5750</stp>
        <tr r="L98" s="2"/>
      </tp>
      <tp t="s">
        <v>N/A</v>
        <stp/>
        <stp>VOLUME</stp>
        <stp>.NDXP250829P20025</stp>
        <tr r="P159" s="2"/>
      </tp>
      <tp t="s">
        <v>N/A</v>
        <stp/>
        <stp>VOLUME</stp>
        <stp>.NDXP250930P19925</stp>
        <tr r="R163" s="2"/>
      </tp>
      <tp t="s">
        <v>N/A</v>
        <stp/>
        <stp>VOLUME</stp>
        <stp>.NDXP250731P19825</stp>
        <tr r="N167" s="2"/>
      </tp>
      <tp t="s">
        <v>N/A</v>
        <stp/>
        <stp>VOLUME</stp>
        <stp>.NDXP250630P19925</stp>
        <tr r="L163" s="2"/>
      </tp>
      <tp t="s">
        <v>N/A</v>
        <stp/>
        <stp>VOLUME</stp>
        <stp>.NDXP250508P20125</stp>
        <tr r="BB154" s="1"/>
      </tp>
      <tp>
        <v>247</v>
        <stp/>
        <stp>VOLUME</stp>
        <stp>.NDXP250509P20025</stp>
        <tr r="BD158" s="1"/>
        <tr r="BD158" s="1"/>
      </tp>
      <tp t="s">
        <v>N/A</v>
        <stp/>
        <stp>VOLUME</stp>
        <stp>.NDXP250530P19925</stp>
        <tr r="I163" s="2"/>
      </tp>
      <tp t="s">
        <v>N/A</v>
        <stp/>
        <stp>VOLUME</stp>
        <stp>.SPXW250930C5760</stp>
        <tr r="R97" s="2"/>
      </tp>
      <tp t="s">
        <v>N/A</v>
        <stp/>
        <stp>VOLUME</stp>
        <stp>.SPXW250516C5500</stp>
        <tr r="BE122" s="1"/>
      </tp>
      <tp t="s">
        <v>N/A</v>
        <stp/>
        <stp>VOLUME</stp>
        <stp>.SPXW250530C5760</stp>
        <tr r="I97" s="2"/>
      </tp>
      <tp t="s">
        <v>N/A</v>
        <stp/>
        <stp>VOLUME</stp>
        <stp>.SPXW250731C5770</stp>
        <tr r="N96" s="2"/>
      </tp>
      <tp t="s">
        <v>N/A</v>
        <stp/>
        <stp>VOLUME</stp>
        <stp>.SPXW250630C5760</stp>
        <tr r="L97" s="2"/>
      </tp>
      <tp t="s">
        <v>N/A</v>
        <stp/>
        <stp>VOLUME</stp>
        <stp>.SPXW251031C5770</stp>
        <tr r="T96" s="2"/>
      </tp>
      <tp t="s">
        <v>N/A</v>
        <stp/>
        <stp>VOLUME</stp>
        <stp>.SPXW251231C5770</stp>
        <tr r="X96" s="2"/>
      </tp>
      <tp t="s">
        <v>N/A</v>
        <stp/>
        <stp>VOLUME</stp>
        <stp>.SPXW251031P5770</stp>
        <tr r="T96" s="2"/>
      </tp>
      <tp t="s">
        <v>N/A</v>
        <stp/>
        <stp>VOLUME</stp>
        <stp>.SPXW251231P5770</stp>
        <tr r="X96" s="2"/>
      </tp>
      <tp t="s">
        <v>N/A</v>
        <stp/>
        <stp>VOLUME</stp>
        <stp>.SPXW250930P5760</stp>
        <tr r="R97" s="2"/>
      </tp>
      <tp>
        <v>2</v>
        <stp/>
        <stp>VOLUME</stp>
        <stp>.SPXW250516P5500</stp>
        <tr r="BF122" s="1"/>
        <tr r="BF122" s="1"/>
      </tp>
      <tp t="s">
        <v>N/A</v>
        <stp/>
        <stp>VOLUME</stp>
        <stp>.SPXW250530P5760</stp>
        <tr r="I97" s="2"/>
      </tp>
      <tp t="s">
        <v>N/A</v>
        <stp/>
        <stp>VOLUME</stp>
        <stp>.SPXW250731P5770</stp>
        <tr r="N96" s="2"/>
      </tp>
      <tp t="s">
        <v>N/A</v>
        <stp/>
        <stp>VOLUME</stp>
        <stp>.SPXW250630P5760</stp>
        <tr r="L97" s="2"/>
      </tp>
      <tp t="s">
        <v>N/A</v>
        <stp/>
        <stp>VOLUME</stp>
        <stp>.NDXP251231P19825</stp>
        <tr r="X167" s="2"/>
      </tp>
      <tp t="s">
        <v>N/A</v>
        <stp/>
        <stp>VOLUME</stp>
        <stp>.NDXP251128P20125</stp>
        <tr r="V155" s="2"/>
      </tp>
      <tp t="s">
        <v>N/A</v>
        <stp/>
        <stp>VOLUME</stp>
        <stp>.NDXP251031P19825</stp>
        <tr r="T167" s="2"/>
      </tp>
      <tp t="s">
        <v>N/A</v>
        <stp/>
        <stp>VOLUME</stp>
        <stp>.SPXW250930C5770</stp>
        <tr r="R96" s="2"/>
      </tp>
      <tp t="s">
        <v>N/A</v>
        <stp/>
        <stp>VOLUME</stp>
        <stp>.SPXW250516C5510</stp>
        <tr r="BE121" s="1"/>
      </tp>
      <tp t="s">
        <v>N/A</v>
        <stp/>
        <stp>VOLUME</stp>
        <stp>.SPXW250530C5770</stp>
        <tr r="I96" s="2"/>
      </tp>
      <tp t="s">
        <v>N/A</v>
        <stp/>
        <stp>VOLUME</stp>
        <stp>.SPXW250731C5760</stp>
        <tr r="N97" s="2"/>
      </tp>
      <tp t="s">
        <v>N/A</v>
        <stp/>
        <stp>VOLUME</stp>
        <stp>.SPXW250630C5770</stp>
        <tr r="L96" s="2"/>
      </tp>
      <tp t="s">
        <v>N/A</v>
        <stp/>
        <stp>VOLUME</stp>
        <stp>.SPXW251031C5760</stp>
        <tr r="T97" s="2"/>
      </tp>
      <tp t="s">
        <v>N/A</v>
        <stp/>
        <stp>VOLUME</stp>
        <stp>.SPXW251231C5760</stp>
        <tr r="X97" s="2"/>
      </tp>
      <tp t="s">
        <v>N/A</v>
        <stp/>
        <stp>VOLUME</stp>
        <stp>.SPXW251031P5760</stp>
        <tr r="T97" s="2"/>
      </tp>
      <tp t="s">
        <v>N/A</v>
        <stp/>
        <stp>VOLUME</stp>
        <stp>.SPXW251231P5760</stp>
        <tr r="X97" s="2"/>
      </tp>
      <tp t="s">
        <v>N/A</v>
        <stp/>
        <stp>VOLUME</stp>
        <stp>.SPXW250930P5770</stp>
        <tr r="R96" s="2"/>
      </tp>
      <tp>
        <v>1</v>
        <stp/>
        <stp>VOLUME</stp>
        <stp>.SPXW250516P5510</stp>
        <tr r="BF121" s="1"/>
        <tr r="BF121" s="1"/>
      </tp>
      <tp t="s">
        <v>N/A</v>
        <stp/>
        <stp>VOLUME</stp>
        <stp>.SPXW250530P5770</stp>
        <tr r="I96" s="2"/>
      </tp>
      <tp t="s">
        <v>N/A</v>
        <stp/>
        <stp>VOLUME</stp>
        <stp>.SPXW250731P5760</stp>
        <tr r="N97" s="2"/>
      </tp>
      <tp t="s">
        <v>N/A</v>
        <stp/>
        <stp>VOLUME</stp>
        <stp>.SPXW250630P5770</stp>
        <tr r="L96" s="2"/>
      </tp>
      <tp>
        <v>-1</v>
        <stp/>
        <stp>DELTA</stp>
        <stp>.NDXP250508P20125</stp>
        <tr r="CE154" s="1"/>
        <tr r="CE154" s="1"/>
      </tp>
      <tp>
        <v>-0.06</v>
        <stp/>
        <stp>DELTA</stp>
        <stp>.NDXP250509P20025</stp>
        <tr r="CG158" s="1"/>
        <tr r="CG158" s="1"/>
      </tp>
      <tp>
        <v>-1</v>
        <stp/>
        <stp>DELTA</stp>
        <stp>.NDXP250508P20100</stp>
        <tr r="CE155" s="1"/>
        <tr r="CE155" s="1"/>
      </tp>
      <tp>
        <v>-0.01</v>
        <stp/>
        <stp>DELTA</stp>
        <stp>.NDXP250509P20000</stp>
        <tr r="CG159" s="1"/>
        <tr r="CG159" s="1"/>
      </tp>
      <tp>
        <v>-1</v>
        <stp/>
        <stp>DELTA</stp>
        <stp>.NDXP250508P20175</stp>
        <tr r="CE152" s="1"/>
        <tr r="CE152" s="1"/>
      </tp>
      <tp>
        <v>-0.93</v>
        <stp/>
        <stp>DELTA</stp>
        <stp>.NDXP250509P20075</stp>
        <tr r="CG156" s="1"/>
        <tr r="CG156" s="1"/>
      </tp>
      <tp>
        <v>-1</v>
        <stp/>
        <stp>DELTA</stp>
        <stp>.NDXP250508P20150</stp>
        <tr r="CE153" s="1"/>
        <tr r="CE153" s="1"/>
      </tp>
      <tp>
        <v>-0.11</v>
        <stp/>
        <stp>DELTA</stp>
        <stp>.NDXP250509P20050</stp>
        <tr r="CG157" s="1"/>
        <tr r="CG157" s="1"/>
      </tp>
      <tp>
        <v>0.02</v>
        <stp/>
        <stp>DELTA</stp>
        <stp>.NDXP250508C20100</stp>
        <tr r="CD155" s="1"/>
        <tr r="CD155" s="1"/>
      </tp>
      <tp>
        <v>1</v>
        <stp/>
        <stp>DELTA</stp>
        <stp>.NDXP250509C20000</stp>
        <tr r="CF159" s="1"/>
        <tr r="CF159" s="1"/>
      </tp>
      <tp>
        <v>0.01</v>
        <stp/>
        <stp>DELTA</stp>
        <stp>.NDXP250508C20125</stp>
        <tr r="CD154" s="1"/>
        <tr r="CD154" s="1"/>
      </tp>
      <tp>
        <v>1</v>
        <stp/>
        <stp>DELTA</stp>
        <stp>.NDXP250509C20025</stp>
        <tr r="CF158" s="1"/>
        <tr r="CF158" s="1"/>
      </tp>
      <tp>
        <v>0.03</v>
        <stp/>
        <stp>DELTA</stp>
        <stp>.NDXP250508C20150</stp>
        <tr r="CD153" s="1"/>
        <tr r="CD153" s="1"/>
      </tp>
      <tp>
        <v>0.76</v>
        <stp/>
        <stp>DELTA</stp>
        <stp>.NDXP250509C20050</stp>
        <tr r="CF157" s="1"/>
        <tr r="CF157" s="1"/>
      </tp>
      <tp>
        <v>0.02</v>
        <stp/>
        <stp>DELTA</stp>
        <stp>.NDXP250508C20175</stp>
        <tr r="CD152" s="1"/>
        <tr r="CD152" s="1"/>
      </tp>
      <tp>
        <v>0.09</v>
        <stp/>
        <stp>DELTA</stp>
        <stp>.NDXP250509C20075</stp>
        <tr r="CF156" s="1"/>
        <tr r="CF156" s="1"/>
      </tp>
      <tp t="s">
        <v>N/A</v>
        <stp/>
        <stp>VOLUME</stp>
        <stp>.NDXP250829C20375</stp>
        <tr r="P145" s="2"/>
      </tp>
      <tp t="s">
        <v>N/A</v>
        <stp/>
        <stp>VOLUME</stp>
        <stp>.NDXP250829C19375</stp>
        <tr r="P185" s="2"/>
      </tp>
      <tp t="s">
        <v>N/A</v>
        <stp/>
        <stp>VOLUME</stp>
        <stp>.NDXP250508C20275</stp>
        <tr r="BA148" s="1"/>
      </tp>
      <tp>
        <v>117</v>
        <stp/>
        <stp>VOLUME</stp>
        <stp>.NDXP250509C20375</stp>
        <tr r="BC144" s="1"/>
        <tr r="BC144" s="1"/>
      </tp>
      <tp t="s">
        <v>N/A</v>
        <stp/>
        <stp>VOLUME</stp>
        <stp>.NDXP250508C19275</stp>
        <tr r="BA188" s="1"/>
      </tp>
      <tp t="s">
        <v>N/A</v>
        <stp/>
        <stp>VOLUME</stp>
        <stp>.NDXP250509C19375</stp>
        <tr r="BC184" s="1"/>
      </tp>
      <tp t="s">
        <v>N/A</v>
        <stp/>
        <stp>VOLUME</stp>
        <stp>.NDXP251128C20275</stp>
        <tr r="V149" s="2"/>
      </tp>
      <tp t="s">
        <v>N/A</v>
        <stp/>
        <stp>VOLUME</stp>
        <stp>.NDXP251128C19275</stp>
        <tr r="V189" s="2"/>
      </tp>
      <tp t="s">
        <v>N/A</v>
        <stp/>
        <stp>VOLUME</stp>
        <stp>.NDXP250829C20350</stp>
        <tr r="P146" s="2"/>
      </tp>
      <tp t="s">
        <v>N/A</v>
        <stp/>
        <stp>VOLUME</stp>
        <stp>.NDXP250829C19350</stp>
        <tr r="P186" s="2"/>
      </tp>
      <tp t="s">
        <v>N/A</v>
        <stp/>
        <stp>VOLUME</stp>
        <stp>.NDXP250508C20250</stp>
        <tr r="BA149" s="1"/>
      </tp>
      <tp>
        <v>360</v>
        <stp/>
        <stp>VOLUME</stp>
        <stp>.NDXP250509C20350</stp>
        <tr r="BC145" s="1"/>
        <tr r="BC145" s="1"/>
      </tp>
      <tp t="s">
        <v>N/A</v>
        <stp/>
        <stp>VOLUME</stp>
        <stp>.NDXP250508C19250</stp>
        <tr r="BA189" s="1"/>
      </tp>
      <tp t="s">
        <v>N/A</v>
        <stp/>
        <stp>VOLUME</stp>
        <stp>.NDXP250509C19350</stp>
        <tr r="BC185" s="1"/>
      </tp>
      <tp t="s">
        <v>N/A</v>
        <stp/>
        <stp>VOLUME</stp>
        <stp>.NDXP251128C20250</stp>
        <tr r="V150" s="2"/>
      </tp>
      <tp t="s">
        <v>N/A</v>
        <stp/>
        <stp>VOLUME</stp>
        <stp>.NDXP251128C19250</stp>
        <tr r="V190" s="2"/>
      </tp>
      <tp t="s">
        <v>N/A</v>
        <stp/>
        <stp>VOLUME</stp>
        <stp>.NDXP251128C20225</stp>
        <tr r="V151" s="2"/>
      </tp>
      <tp t="s">
        <v>N/A</v>
        <stp/>
        <stp>VOLUME</stp>
        <stp>.NDXP250829C20325</stp>
        <tr r="P147" s="2"/>
      </tp>
      <tp t="s">
        <v>N/A</v>
        <stp/>
        <stp>VOLUME</stp>
        <stp>.NDXP250829C19325</stp>
        <tr r="P187" s="2"/>
      </tp>
      <tp t="s">
        <v>N/A</v>
        <stp/>
        <stp>VOLUME</stp>
        <stp>.NDXP250508C20225</stp>
        <tr r="BA150" s="1"/>
      </tp>
      <tp>
        <v>100</v>
        <stp/>
        <stp>VOLUME</stp>
        <stp>.NDXP250509C20325</stp>
        <tr r="BC146" s="1"/>
        <tr r="BC146" s="1"/>
      </tp>
      <tp t="s">
        <v>N/A</v>
        <stp/>
        <stp>VOLUME</stp>
        <stp>.NDXP250509C19325</stp>
        <tr r="BC186" s="1"/>
      </tp>
      <tp t="s">
        <v>N/A</v>
        <stp/>
        <stp>VOLUME</stp>
        <stp>.NDXP251128C20200</stp>
        <tr r="V152" s="2"/>
      </tp>
      <tp t="s">
        <v>N/A</v>
        <stp/>
        <stp>VOLUME</stp>
        <stp>.NDXP250829C20300</stp>
        <tr r="P148" s="2"/>
      </tp>
      <tp t="s">
        <v>N/A</v>
        <stp/>
        <stp>VOLUME</stp>
        <stp>.NDXP250829C19300</stp>
        <tr r="P188" s="2"/>
      </tp>
      <tp t="s">
        <v>N/A</v>
        <stp/>
        <stp>VOLUME</stp>
        <stp>.NDXP250508C20200</stp>
        <tr r="BA151" s="1"/>
      </tp>
      <tp>
        <v>755</v>
        <stp/>
        <stp>VOLUME</stp>
        <stp>.NDXP250509C20300</stp>
        <tr r="BC147" s="1"/>
        <tr r="BC147" s="1"/>
      </tp>
      <tp t="s">
        <v>N/A</v>
        <stp/>
        <stp>VOLUME</stp>
        <stp>.NDXP250509C19300</stp>
        <tr r="BC187" s="1"/>
      </tp>
      <tp t="s">
        <v>N/A</v>
        <stp/>
        <stp>VOLUME</stp>
        <stp>.SPXW250930C5480</stp>
        <tr r="R125" s="2"/>
      </tp>
      <tp t="s">
        <v>N/A</v>
        <stp/>
        <stp>VOLUME</stp>
        <stp>.SPXW250829C5510</stp>
        <tr r="P122" s="2"/>
      </tp>
      <tp t="s">
        <v>N/A</v>
        <stp/>
        <stp>VOLUME</stp>
        <stp>.SPXW250508C5700</stp>
        <tr r="BA102" s="1"/>
      </tp>
      <tp t="s">
        <v>N/A</v>
        <stp/>
        <stp>VOLUME</stp>
        <stp>.SPXW250509C5710</stp>
        <tr r="BC101" s="1"/>
      </tp>
      <tp t="s">
        <v>N/A</v>
        <stp/>
        <stp>VOLUME</stp>
        <stp>.SPXW250530C5480</stp>
        <tr r="I125" s="2"/>
      </tp>
      <tp t="s">
        <v>N/A</v>
        <stp/>
        <stp>VOLUME</stp>
        <stp>.SPXW250731C5490</stp>
        <tr r="N124" s="2"/>
      </tp>
      <tp t="s">
        <v>N/A</v>
        <stp/>
        <stp>VOLUME</stp>
        <stp>.SPXW250630C5480</stp>
        <tr r="L125" s="2"/>
      </tp>
      <tp t="s">
        <v>N/A</v>
        <stp/>
        <stp>VOLUME</stp>
        <stp>.SPXW251128C5500</stp>
        <tr r="V123" s="2"/>
      </tp>
      <tp t="s">
        <v>N/A</v>
        <stp/>
        <stp>VOLUME</stp>
        <stp>.SPXW251031C5490</stp>
        <tr r="T124" s="2"/>
      </tp>
      <tp t="s">
        <v>N/A</v>
        <stp/>
        <stp>VOLUME</stp>
        <stp>.SPXW251231C5490</stp>
        <tr r="X124" s="2"/>
      </tp>
      <tp t="s">
        <v>N/A</v>
        <stp/>
        <stp>VOLUME</stp>
        <stp>.SPXW251128P5500</stp>
        <tr r="V123" s="2"/>
      </tp>
      <tp t="s">
        <v>N/A</v>
        <stp/>
        <stp>VOLUME</stp>
        <stp>.SPXW251031P5490</stp>
        <tr r="T124" s="2"/>
      </tp>
      <tp t="s">
        <v>N/A</v>
        <stp/>
        <stp>VOLUME</stp>
        <stp>.SPXW251231P5490</stp>
        <tr r="X124" s="2"/>
      </tp>
      <tp t="s">
        <v>N/A</v>
        <stp/>
        <stp>VOLUME</stp>
        <stp>.SPXW250930P5480</stp>
        <tr r="R125" s="2"/>
      </tp>
      <tp t="s">
        <v>N/A</v>
        <stp/>
        <stp>VOLUME</stp>
        <stp>.SPXW250829P5510</stp>
        <tr r="P122" s="2"/>
      </tp>
      <tp t="s">
        <v>N/A</v>
        <stp/>
        <stp>VOLUME</stp>
        <stp>.SPXW250508P5700</stp>
        <tr r="BB102" s="1"/>
      </tp>
      <tp t="s">
        <v>N/A</v>
        <stp/>
        <stp>VOLUME</stp>
        <stp>.SPXW250509P5710</stp>
        <tr r="BD101" s="1"/>
      </tp>
      <tp t="s">
        <v>N/A</v>
        <stp/>
        <stp>VOLUME</stp>
        <stp>.SPXW250530P5480</stp>
        <tr r="I125" s="2"/>
      </tp>
      <tp t="s">
        <v>N/A</v>
        <stp/>
        <stp>VOLUME</stp>
        <stp>.SPXW250731P5490</stp>
        <tr r="N124" s="2"/>
      </tp>
      <tp t="s">
        <v>N/A</v>
        <stp/>
        <stp>VOLUME</stp>
        <stp>.SPXW250630P5480</stp>
        <tr r="L125" s="2"/>
      </tp>
      <tp t="s">
        <v>N/A</v>
        <stp/>
        <stp>VOLUME</stp>
        <stp>.SPXW250930C5490</stp>
        <tr r="R124" s="2"/>
      </tp>
      <tp t="s">
        <v>N/A</v>
        <stp/>
        <stp>VOLUME</stp>
        <stp>.SPXW250829C5500</stp>
        <tr r="P123" s="2"/>
      </tp>
      <tp t="s">
        <v>N/A</v>
        <stp/>
        <stp>VOLUME</stp>
        <stp>.SPXW250508C5710</stp>
        <tr r="BA101" s="1"/>
      </tp>
      <tp t="s">
        <v>N/A</v>
        <stp/>
        <stp>VOLUME</stp>
        <stp>.SPXW250509C5700</stp>
        <tr r="BC102" s="1"/>
      </tp>
      <tp t="s">
        <v>N/A</v>
        <stp/>
        <stp>VOLUME</stp>
        <stp>.SPXW250530C5490</stp>
        <tr r="I124" s="2"/>
      </tp>
      <tp t="s">
        <v>N/A</v>
        <stp/>
        <stp>VOLUME</stp>
        <stp>.SPXW250731C5480</stp>
        <tr r="N125" s="2"/>
      </tp>
      <tp t="s">
        <v>N/A</v>
        <stp/>
        <stp>VOLUME</stp>
        <stp>.SPXW250630C5490</stp>
        <tr r="L124" s="2"/>
      </tp>
      <tp t="s">
        <v>N/A</v>
        <stp/>
        <stp>VOLUME</stp>
        <stp>.SPXW251128C5510</stp>
        <tr r="V122" s="2"/>
      </tp>
      <tp t="s">
        <v>N/A</v>
        <stp/>
        <stp>VOLUME</stp>
        <stp>.SPXW251031C5480</stp>
        <tr r="T125" s="2"/>
      </tp>
      <tp t="s">
        <v>N/A</v>
        <stp/>
        <stp>VOLUME</stp>
        <stp>.SPXW251231C5480</stp>
        <tr r="X125" s="2"/>
      </tp>
      <tp t="s">
        <v>N/A</v>
        <stp/>
        <stp>VOLUME</stp>
        <stp>.SPXW251128P5510</stp>
        <tr r="V122" s="2"/>
      </tp>
      <tp t="s">
        <v>N/A</v>
        <stp/>
        <stp>VOLUME</stp>
        <stp>.SPXW251031P5480</stp>
        <tr r="T125" s="2"/>
      </tp>
      <tp t="s">
        <v>N/A</v>
        <stp/>
        <stp>VOLUME</stp>
        <stp>.SPXW251231P5480</stp>
        <tr r="X125" s="2"/>
      </tp>
      <tp t="s">
        <v>N/A</v>
        <stp/>
        <stp>VOLUME</stp>
        <stp>.SPXW250930P5490</stp>
        <tr r="R124" s="2"/>
      </tp>
      <tp t="s">
        <v>N/A</v>
        <stp/>
        <stp>VOLUME</stp>
        <stp>.SPXW250829P5500</stp>
        <tr r="P123" s="2"/>
      </tp>
      <tp t="s">
        <v>N/A</v>
        <stp/>
        <stp>VOLUME</stp>
        <stp>.SPXW250508P5710</stp>
        <tr r="BB101" s="1"/>
      </tp>
      <tp t="s">
        <v>N/A</v>
        <stp/>
        <stp>VOLUME</stp>
        <stp>.SPXW250509P5700</stp>
        <tr r="BD102" s="1"/>
      </tp>
      <tp t="s">
        <v>N/A</v>
        <stp/>
        <stp>VOLUME</stp>
        <stp>.SPXW250530P5490</stp>
        <tr r="I124" s="2"/>
      </tp>
      <tp t="s">
        <v>N/A</v>
        <stp/>
        <stp>VOLUME</stp>
        <stp>.SPXW250731P5480</stp>
        <tr r="N125" s="2"/>
      </tp>
      <tp t="s">
        <v>N/A</v>
        <stp/>
        <stp>VOLUME</stp>
        <stp>.SPXW250630P5490</stp>
        <tr r="L124" s="2"/>
      </tp>
      <tp t="s">
        <v>N/A</v>
        <stp/>
        <stp>VOLUME</stp>
        <stp>.SPXW250829C5530</stp>
        <tr r="P120" s="2"/>
      </tp>
      <tp t="s">
        <v>N/A</v>
        <stp/>
        <stp>VOLUME</stp>
        <stp>.SPXW250508C5720</stp>
        <tr r="BA100" s="1"/>
      </tp>
      <tp t="s">
        <v>N/A</v>
        <stp/>
        <stp>VOLUME</stp>
        <stp>.SPXW250509C5730</stp>
        <tr r="BC99" s="1"/>
      </tp>
      <tp t="s">
        <v>N/A</v>
        <stp/>
        <stp>VOLUME</stp>
        <stp>.SPXW251128C5520</stp>
        <tr r="V121" s="2"/>
      </tp>
      <tp t="s">
        <v>N/A</v>
        <stp/>
        <stp>VOLUME</stp>
        <stp>.SPXW251128P5520</stp>
        <tr r="V121" s="2"/>
      </tp>
      <tp t="s">
        <v>N/A</v>
        <stp/>
        <stp>VOLUME</stp>
        <stp>.SPXW250829P5530</stp>
        <tr r="P120" s="2"/>
      </tp>
      <tp t="s">
        <v>N/A</v>
        <stp/>
        <stp>VOLUME</stp>
        <stp>.SPXW250508P5720</stp>
        <tr r="BB100" s="1"/>
      </tp>
      <tp t="s">
        <v>N/A</v>
        <stp/>
        <stp>VOLUME</stp>
        <stp>.SPXW250509P5730</stp>
        <tr r="BD99" s="1"/>
      </tp>
      <tp t="s">
        <v>N/A</v>
        <stp/>
        <stp>VOLUME</stp>
        <stp>.SPXW250829C5520</stp>
        <tr r="P121" s="2"/>
      </tp>
      <tp t="s">
        <v>N/A</v>
        <stp/>
        <stp>VOLUME</stp>
        <stp>.SPXW250508C5730</stp>
        <tr r="BA99" s="1"/>
      </tp>
      <tp t="s">
        <v>N/A</v>
        <stp/>
        <stp>VOLUME</stp>
        <stp>.SPXW250509C5720</stp>
        <tr r="BC100" s="1"/>
      </tp>
      <tp t="s">
        <v>N/A</v>
        <stp/>
        <stp>VOLUME</stp>
        <stp>.SPXW251128C5530</stp>
        <tr r="V120" s="2"/>
      </tp>
      <tp t="s">
        <v>N/A</v>
        <stp/>
        <stp>VOLUME</stp>
        <stp>.SPXW251128P5530</stp>
        <tr r="V120" s="2"/>
      </tp>
      <tp t="s">
        <v>N/A</v>
        <stp/>
        <stp>VOLUME</stp>
        <stp>.SPXW250829P5520</stp>
        <tr r="P121" s="2"/>
      </tp>
      <tp t="s">
        <v>N/A</v>
        <stp/>
        <stp>VOLUME</stp>
        <stp>.SPXW250508P5730</stp>
        <tr r="BB99" s="1"/>
      </tp>
      <tp t="s">
        <v>N/A</v>
        <stp/>
        <stp>VOLUME</stp>
        <stp>.SPXW250509P5720</stp>
        <tr r="BD100" s="1"/>
      </tp>
      <tp t="s">
        <v>N/A</v>
        <stp/>
        <stp>VOLUME</stp>
        <stp>.SPXW250829C5550</stp>
        <tr r="P118" s="2"/>
      </tp>
      <tp t="s">
        <v>N/A</v>
        <stp/>
        <stp>VOLUME</stp>
        <stp>.SPXW250508C5740</stp>
        <tr r="BA98" s="1"/>
      </tp>
      <tp t="s">
        <v>N/A</v>
        <stp/>
        <stp>VOLUME</stp>
        <stp>.SPXW250509C5750</stp>
        <tr r="BC97" s="1"/>
      </tp>
      <tp t="s">
        <v>N/A</v>
        <stp/>
        <stp>VOLUME</stp>
        <stp>.SPXW251128C5540</stp>
        <tr r="V119" s="2"/>
      </tp>
      <tp t="s">
        <v>N/A</v>
        <stp/>
        <stp>VOLUME</stp>
        <stp>.SPXW251128P5540</stp>
        <tr r="V119" s="2"/>
      </tp>
      <tp t="s">
        <v>N/A</v>
        <stp/>
        <stp>VOLUME</stp>
        <stp>.SPXW250829P5550</stp>
        <tr r="P118" s="2"/>
      </tp>
      <tp t="s">
        <v>N/A</v>
        <stp/>
        <stp>VOLUME</stp>
        <stp>.SPXW250508P5740</stp>
        <tr r="BB98" s="1"/>
      </tp>
      <tp t="s">
        <v>N/A</v>
        <stp/>
        <stp>VOLUME</stp>
        <stp>.SPXW250509P5750</stp>
        <tr r="BD97" s="1"/>
      </tp>
      <tp t="s">
        <v>N/A</v>
        <stp/>
        <stp>VOLUME</stp>
        <stp>.SPYP580</stp>
        <tr r="D7" s="2"/>
        <tr r="F7" s="2"/>
        <tr r="E7" s="2"/>
        <tr r="C7" s="2"/>
        <tr r="B7" s="2"/>
        <tr r="G7" s="2"/>
      </tp>
      <tp t="s">
        <v>N/A</v>
        <stp/>
        <stp>VOLUME</stp>
        <stp>.SPYC580</stp>
        <tr r="D7" s="2"/>
        <tr r="F7" s="2"/>
        <tr r="E7" s="2"/>
        <tr r="C7" s="2"/>
        <tr r="B7" s="2"/>
        <tr r="G7" s="2"/>
      </tp>
      <tp t="s">
        <v>N/A</v>
        <stp/>
        <stp>VOLUME</stp>
        <stp>.SPYP581</stp>
        <tr r="E6" s="2"/>
        <tr r="C6" s="2"/>
        <tr r="D6" s="2"/>
        <tr r="B6" s="2"/>
        <tr r="F6" s="2"/>
        <tr r="G6" s="2"/>
      </tp>
      <tp t="s">
        <v>N/A</v>
        <stp/>
        <stp>VOLUME</stp>
        <stp>.SPYC581</stp>
        <tr r="E6" s="2"/>
        <tr r="C6" s="2"/>
        <tr r="D6" s="2"/>
        <tr r="B6" s="2"/>
        <tr r="F6" s="2"/>
        <tr r="G6" s="2"/>
      </tp>
      <tp t="s">
        <v>N/A</v>
        <stp/>
        <stp>VOLUME</stp>
        <stp>.SPYP582</stp>
        <tr r="G5" s="2"/>
        <tr r="F5" s="2"/>
        <tr r="E5" s="2"/>
        <tr r="D5" s="2"/>
        <tr r="C5" s="2"/>
        <tr r="B5" s="2"/>
      </tp>
      <tp t="s">
        <v>N/A</v>
        <stp/>
        <stp>VOLUME</stp>
        <stp>.SPYC582</stp>
        <tr r="G5" s="2"/>
        <tr r="F5" s="2"/>
        <tr r="E5" s="2"/>
        <tr r="D5" s="2"/>
        <tr r="C5" s="2"/>
        <tr r="B5" s="2"/>
      </tp>
      <tp t="s">
        <v>N/A</v>
        <stp/>
        <stp>VOLUME</stp>
        <stp>.SPXW250829C5540</stp>
        <tr r="P119" s="2"/>
      </tp>
      <tp t="s">
        <v>N/A</v>
        <stp/>
        <stp>VOLUME</stp>
        <stp>.SPXW250508C5750</stp>
        <tr r="BA97" s="1"/>
      </tp>
      <tp t="s">
        <v>N/A</v>
        <stp/>
        <stp>VOLUME</stp>
        <stp>.SPXW250509C5740</stp>
        <tr r="BC98" s="1"/>
      </tp>
      <tp t="s">
        <v>N/A</v>
        <stp/>
        <stp>VOLUME</stp>
        <stp>.SPXW251128C5550</stp>
        <tr r="V118" s="2"/>
      </tp>
      <tp t="s">
        <v>N/A</v>
        <stp/>
        <stp>VOLUME</stp>
        <stp>.SPXW251128P5550</stp>
        <tr r="V118" s="2"/>
      </tp>
      <tp t="s">
        <v>N/A</v>
        <stp/>
        <stp>VOLUME</stp>
        <stp>.SPXW250829P5540</stp>
        <tr r="P119" s="2"/>
      </tp>
      <tp t="s">
        <v>N/A</v>
        <stp/>
        <stp>VOLUME</stp>
        <stp>.SPXW250508P5750</stp>
        <tr r="BB97" s="1"/>
      </tp>
      <tp t="s">
        <v>N/A</v>
        <stp/>
        <stp>VOLUME</stp>
        <stp>.SPXW250509P5740</stp>
        <tr r="BD98" s="1"/>
      </tp>
      <tp t="s">
        <v>N/A</v>
        <stp/>
        <stp>VOLUME</stp>
        <stp>.SPXW250829C5570</stp>
        <tr r="P116" s="2"/>
      </tp>
      <tp t="s">
        <v>N/A</v>
        <stp/>
        <stp>VOLUME</stp>
        <stp>.SPXW250508C5760</stp>
        <tr r="BA96" s="1"/>
      </tp>
      <tp t="s">
        <v>N/A</v>
        <stp/>
        <stp>VOLUME</stp>
        <stp>.SPXW250509C5770</stp>
        <tr r="BC95" s="1"/>
      </tp>
      <tp t="s">
        <v>N/A</v>
        <stp/>
        <stp>VOLUME</stp>
        <stp>.SPXW250516C5680</stp>
        <tr r="BE104" s="1"/>
      </tp>
      <tp t="s">
        <v>N/A</v>
        <stp/>
        <stp>VOLUME</stp>
        <stp>.SPXW250606C5780</stp>
        <tr r="J95" s="2"/>
      </tp>
      <tp t="s">
        <v>N/A</v>
        <stp/>
        <stp>VOLUME</stp>
        <stp>.SPXW251128C5560</stp>
        <tr r="V117" s="2"/>
      </tp>
      <tp t="s">
        <v>N/A</v>
        <stp/>
        <stp>VOLUME</stp>
        <stp>.SPXW251128P5560</stp>
        <tr r="V117" s="2"/>
      </tp>
      <tp t="s">
        <v>N/A</v>
        <stp/>
        <stp>VOLUME</stp>
        <stp>.SPXW250829P5570</stp>
        <tr r="P116" s="2"/>
      </tp>
      <tp t="s">
        <v>N/A</v>
        <stp/>
        <stp>VOLUME</stp>
        <stp>.SPXW250508P5760</stp>
        <tr r="BB96" s="1"/>
      </tp>
      <tp t="s">
        <v>N/A</v>
        <stp/>
        <stp>VOLUME</stp>
        <stp>.SPXW250509P5770</stp>
        <tr r="BD95" s="1"/>
      </tp>
      <tp t="s">
        <v>N/A</v>
        <stp/>
        <stp>VOLUME</stp>
        <stp>.SPXW250516P5680</stp>
        <tr r="BF104" s="1"/>
      </tp>
      <tp t="s">
        <v>N/A</v>
        <stp/>
        <stp>VOLUME</stp>
        <stp>.SPXW250606P5780</stp>
        <tr r="J95" s="2"/>
      </tp>
      <tp t="s">
        <v>N/A</v>
        <stp/>
        <stp>VOLUME</stp>
        <stp>.SPXW250829C5560</stp>
        <tr r="P117" s="2"/>
      </tp>
      <tp t="s">
        <v>N/A</v>
        <stp/>
        <stp>VOLUME</stp>
        <stp>.SPXW250508C5770</stp>
        <tr r="BA95" s="1"/>
      </tp>
      <tp t="s">
        <v>N/A</v>
        <stp/>
        <stp>VOLUME</stp>
        <stp>.SPXW250509C5760</stp>
        <tr r="BC96" s="1"/>
      </tp>
      <tp t="s">
        <v>N/A</v>
        <stp/>
        <stp>VOLUME</stp>
        <stp>.SPXW250516C5690</stp>
        <tr r="BE103" s="1"/>
      </tp>
      <tp t="s">
        <v>N/A</v>
        <stp/>
        <stp>VOLUME</stp>
        <stp>.SPXW250606C5790</stp>
        <tr r="J94" s="2"/>
      </tp>
      <tp t="s">
        <v>N/A</v>
        <stp/>
        <stp>VOLUME</stp>
        <stp>.SPXW251128C5570</stp>
        <tr r="V116" s="2"/>
      </tp>
      <tp t="s">
        <v>N/A</v>
        <stp/>
        <stp>VOLUME</stp>
        <stp>.SPXW251128P5570</stp>
        <tr r="V116" s="2"/>
      </tp>
      <tp t="s">
        <v>N/A</v>
        <stp/>
        <stp>VOLUME</stp>
        <stp>.SPXW250829P5560</stp>
        <tr r="P117" s="2"/>
      </tp>
      <tp t="s">
        <v>N/A</v>
        <stp/>
        <stp>VOLUME</stp>
        <stp>.SPXW250508P5770</stp>
        <tr r="BB95" s="1"/>
      </tp>
      <tp t="s">
        <v>N/A</v>
        <stp/>
        <stp>VOLUME</stp>
        <stp>.SPXW250509P5760</stp>
        <tr r="BD96" s="1"/>
      </tp>
      <tp>
        <v>1</v>
        <stp/>
        <stp>VOLUME</stp>
        <stp>.SPXW250516P5690</stp>
        <tr r="BF103" s="1"/>
        <tr r="BF103" s="1"/>
      </tp>
      <tp t="s">
        <v>N/A</v>
        <stp/>
        <stp>VOLUME</stp>
        <stp>.SPXW250606P5790</stp>
        <tr r="J94" s="2"/>
      </tp>
      <tp t="s">
        <v>N/A</v>
        <stp/>
        <stp>VOLUME</stp>
        <stp>.SPYP554</stp>
        <tr r="E33" s="2"/>
        <tr r="D33" s="2"/>
        <tr r="B33" s="2"/>
        <tr r="F33" s="2"/>
        <tr r="G33" s="2"/>
        <tr r="C33" s="2"/>
      </tp>
      <tp t="s">
        <v>N/A</v>
        <stp/>
        <stp>VOLUME</stp>
        <stp>.SPYC554</stp>
        <tr r="E33" s="2"/>
        <tr r="D33" s="2"/>
        <tr r="B33" s="2"/>
        <tr r="F33" s="2"/>
        <tr r="G33" s="2"/>
        <tr r="C33" s="2"/>
      </tp>
      <tp t="s">
        <v>N/A</v>
        <stp/>
        <stp>VOLUME</stp>
        <stp>.SPYP555</stp>
        <tr r="D32" s="2"/>
        <tr r="G32" s="2"/>
        <tr r="C32" s="2"/>
        <tr r="E32" s="2"/>
        <tr r="F32" s="2"/>
        <tr r="B32" s="2"/>
      </tp>
      <tp t="s">
        <v>N/A</v>
        <stp/>
        <stp>VOLUME</stp>
        <stp>.SPYC555</stp>
        <tr r="D32" s="2"/>
        <tr r="G32" s="2"/>
        <tr r="C32" s="2"/>
        <tr r="E32" s="2"/>
        <tr r="F32" s="2"/>
        <tr r="B32" s="2"/>
      </tp>
      <tp t="s">
        <v>N/A</v>
        <stp/>
        <stp>VOLUME</stp>
        <stp>.SPYP556</stp>
        <tr r="E31" s="2"/>
        <tr r="B31" s="2"/>
        <tr r="F31" s="2"/>
        <tr r="D31" s="2"/>
        <tr r="C31" s="2"/>
        <tr r="G31" s="2"/>
      </tp>
      <tp t="s">
        <v>N/A</v>
        <stp/>
        <stp>VOLUME</stp>
        <stp>.SPYC556</stp>
        <tr r="E31" s="2"/>
        <tr r="B31" s="2"/>
        <tr r="F31" s="2"/>
        <tr r="D31" s="2"/>
        <tr r="C31" s="2"/>
        <tr r="G31" s="2"/>
      </tp>
      <tp t="s">
        <v>N/A</v>
        <stp/>
        <stp>VOLUME</stp>
        <stp>.SPYP557</stp>
        <tr r="C30" s="2"/>
        <tr r="D30" s="2"/>
        <tr r="E30" s="2"/>
        <tr r="B30" s="2"/>
        <tr r="F30" s="2"/>
        <tr r="G30" s="2"/>
      </tp>
      <tp t="s">
        <v>N/A</v>
        <stp/>
        <stp>VOLUME</stp>
        <stp>.SPYC557</stp>
        <tr r="C30" s="2"/>
        <tr r="D30" s="2"/>
        <tr r="E30" s="2"/>
        <tr r="B30" s="2"/>
        <tr r="F30" s="2"/>
        <tr r="G30" s="2"/>
      </tp>
      <tp t="s">
        <v>N/A</v>
        <stp/>
        <stp>VOLUME</stp>
        <stp>.SPYP550</stp>
        <tr r="D37" s="2"/>
        <tr r="E37" s="2"/>
        <tr r="C37" s="2"/>
        <tr r="B37" s="2"/>
        <tr r="F37" s="2"/>
        <tr r="G37" s="2"/>
      </tp>
      <tp t="s">
        <v>N/A</v>
        <stp/>
        <stp>VOLUME</stp>
        <stp>.SPYC550</stp>
        <tr r="D37" s="2"/>
        <tr r="E37" s="2"/>
        <tr r="C37" s="2"/>
        <tr r="B37" s="2"/>
        <tr r="F37" s="2"/>
        <tr r="G37" s="2"/>
      </tp>
      <tp t="s">
        <v>N/A</v>
        <stp/>
        <stp>VOLUME</stp>
        <stp>.SPYP551</stp>
        <tr r="D36" s="2"/>
        <tr r="E36" s="2"/>
        <tr r="F36" s="2"/>
        <tr r="B36" s="2"/>
        <tr r="G36" s="2"/>
        <tr r="C36" s="2"/>
      </tp>
      <tp t="s">
        <v>N/A</v>
        <stp/>
        <stp>VOLUME</stp>
        <stp>.SPYC551</stp>
        <tr r="D36" s="2"/>
        <tr r="E36" s="2"/>
        <tr r="F36" s="2"/>
        <tr r="B36" s="2"/>
        <tr r="G36" s="2"/>
        <tr r="C36" s="2"/>
      </tp>
      <tp t="s">
        <v>N/A</v>
        <stp/>
        <stp>VOLUME</stp>
        <stp>.SPYP552</stp>
        <tr r="C35" s="2"/>
        <tr r="B35" s="2"/>
        <tr r="G35" s="2"/>
        <tr r="E35" s="2"/>
        <tr r="D35" s="2"/>
        <tr r="F35" s="2"/>
      </tp>
      <tp t="s">
        <v>N/A</v>
        <stp/>
        <stp>VOLUME</stp>
        <stp>.SPYC552</stp>
        <tr r="C35" s="2"/>
        <tr r="B35" s="2"/>
        <tr r="G35" s="2"/>
        <tr r="E35" s="2"/>
        <tr r="D35" s="2"/>
        <tr r="F35" s="2"/>
      </tp>
      <tp t="s">
        <v>N/A</v>
        <stp/>
        <stp>VOLUME</stp>
        <stp>.SPYP553</stp>
        <tr r="C34" s="2"/>
        <tr r="F34" s="2"/>
        <tr r="D34" s="2"/>
        <tr r="B34" s="2"/>
        <tr r="E34" s="2"/>
        <tr r="G34" s="2"/>
      </tp>
      <tp t="s">
        <v>N/A</v>
        <stp/>
        <stp>VOLUME</stp>
        <stp>.SPYC553</stp>
        <tr r="C34" s="2"/>
        <tr r="F34" s="2"/>
        <tr r="D34" s="2"/>
        <tr r="B34" s="2"/>
        <tr r="E34" s="2"/>
        <tr r="G34" s="2"/>
      </tp>
      <tp t="s">
        <v>N/A</v>
        <stp/>
        <stp>VOLUME</stp>
        <stp>.SPYP558</stp>
        <tr r="B29" s="2"/>
        <tr r="D29" s="2"/>
        <tr r="C29" s="2"/>
        <tr r="F29" s="2"/>
        <tr r="G29" s="2"/>
        <tr r="E29" s="2"/>
      </tp>
      <tp t="s">
        <v>N/A</v>
        <stp/>
        <stp>VOLUME</stp>
        <stp>.SPYC558</stp>
        <tr r="B29" s="2"/>
        <tr r="D29" s="2"/>
        <tr r="C29" s="2"/>
        <tr r="F29" s="2"/>
        <tr r="G29" s="2"/>
        <tr r="E29" s="2"/>
      </tp>
      <tp t="s">
        <v>N/A</v>
        <stp/>
        <stp>VOLUME</stp>
        <stp>.SPYP559</stp>
        <tr r="C28" s="2"/>
        <tr r="E28" s="2"/>
        <tr r="F28" s="2"/>
        <tr r="D28" s="2"/>
        <tr r="G28" s="2"/>
        <tr r="B28" s="2"/>
      </tp>
      <tp t="s">
        <v>N/A</v>
        <stp/>
        <stp>VOLUME</stp>
        <stp>.SPYC559</stp>
        <tr r="C28" s="2"/>
        <tr r="E28" s="2"/>
        <tr r="F28" s="2"/>
        <tr r="D28" s="2"/>
        <tr r="G28" s="2"/>
        <tr r="B28" s="2"/>
      </tp>
      <tp t="s">
        <v>N/A</v>
        <stp/>
        <stp>VOLUME</stp>
        <stp>.NDXP251128P20250</stp>
        <tr r="V150" s="2"/>
      </tp>
      <tp t="s">
        <v>N/A</v>
        <stp/>
        <stp>VOLUME</stp>
        <stp>.NDXP251128P19250</stp>
        <tr r="V190" s="2"/>
      </tp>
      <tp t="s">
        <v>N/A</v>
        <stp/>
        <stp>VOLUME</stp>
        <stp>.SPXW250829C5590</stp>
        <tr r="P114" s="2"/>
      </tp>
      <tp t="s">
        <v>N/A</v>
        <stp/>
        <stp>VOLUME</stp>
        <stp>.SPXW250508C5780</stp>
        <tr r="BA94" s="1"/>
      </tp>
      <tp t="s">
        <v>N/A</v>
        <stp/>
        <stp>VOLUME</stp>
        <stp>.SPXW250509C5790</stp>
        <tr r="BC93" s="1"/>
      </tp>
      <tp t="s">
        <v>N/A</v>
        <stp/>
        <stp>VOLUME</stp>
        <stp>.SPXW250516C5660</stp>
        <tr r="BE106" s="1"/>
      </tp>
      <tp t="s">
        <v>N/A</v>
        <stp/>
        <stp>VOLUME</stp>
        <stp>.SPXW250606C5760</stp>
        <tr r="J97" s="2"/>
      </tp>
      <tp t="s">
        <v>N/A</v>
        <stp/>
        <stp>VOLUME</stp>
        <stp>.SPXW251128C5580</stp>
        <tr r="V115" s="2"/>
      </tp>
      <tp t="s">
        <v>N/A</v>
        <stp/>
        <stp>VOLUME</stp>
        <stp>.SPXW251128P5580</stp>
        <tr r="V115" s="2"/>
      </tp>
      <tp t="s">
        <v>N/A</v>
        <stp/>
        <stp>VOLUME</stp>
        <stp>.SPXW250829P5590</stp>
        <tr r="P114" s="2"/>
      </tp>
      <tp t="s">
        <v>N/A</v>
        <stp/>
        <stp>VOLUME</stp>
        <stp>.SPXW250508P5780</stp>
        <tr r="BB94" s="1"/>
      </tp>
      <tp t="s">
        <v>N/A</v>
        <stp/>
        <stp>VOLUME</stp>
        <stp>.SPXW250509P5790</stp>
        <tr r="BD93" s="1"/>
      </tp>
      <tp t="s">
        <v>N/A</v>
        <stp/>
        <stp>VOLUME</stp>
        <stp>.SPXW250516P5660</stp>
        <tr r="BF106" s="1"/>
      </tp>
      <tp t="s">
        <v>N/A</v>
        <stp/>
        <stp>VOLUME</stp>
        <stp>.SPXW250606P5760</stp>
        <tr r="J97" s="2"/>
      </tp>
      <tp t="s">
        <v>N/A</v>
        <stp/>
        <stp>VOLUME</stp>
        <stp>.SPYP548</stp>
        <tr r="E39" s="2"/>
        <tr r="C39" s="2"/>
        <tr r="F39" s="2"/>
        <tr r="B39" s="2"/>
        <tr r="G39" s="2"/>
        <tr r="D39" s="2"/>
      </tp>
      <tp t="s">
        <v>N/A</v>
        <stp/>
        <stp>VOLUME</stp>
        <stp>.SPYC548</stp>
        <tr r="E39" s="2"/>
        <tr r="C39" s="2"/>
        <tr r="F39" s="2"/>
        <tr r="B39" s="2"/>
        <tr r="G39" s="2"/>
        <tr r="D39" s="2"/>
      </tp>
      <tp t="s">
        <v>N/A</v>
        <stp/>
        <stp>VOLUME</stp>
        <stp>.SPYP549</stp>
        <tr r="D38" s="2"/>
        <tr r="C38" s="2"/>
        <tr r="F38" s="2"/>
        <tr r="B38" s="2"/>
        <tr r="E38" s="2"/>
        <tr r="G38" s="2"/>
      </tp>
      <tp t="s">
        <v>N/A</v>
        <stp/>
        <stp>VOLUME</stp>
        <stp>.SPYC549</stp>
        <tr r="D38" s="2"/>
        <tr r="C38" s="2"/>
        <tr r="F38" s="2"/>
        <tr r="B38" s="2"/>
        <tr r="E38" s="2"/>
        <tr r="G38" s="2"/>
      </tp>
      <tp t="s">
        <v>N/A</v>
        <stp/>
        <stp>VOLUME</stp>
        <stp>.NDXP250829P20350</stp>
        <tr r="P146" s="2"/>
      </tp>
      <tp t="s">
        <v>N/A</v>
        <stp/>
        <stp>VOLUME</stp>
        <stp>.NDXP250829P19350</stp>
        <tr r="P186" s="2"/>
      </tp>
      <tp t="s">
        <v>N/A</v>
        <stp/>
        <stp>VOLUME</stp>
        <stp>.NDXP250508P20250</stp>
        <tr r="BB149" s="1"/>
      </tp>
      <tp>
        <v>8</v>
        <stp/>
        <stp>VOLUME</stp>
        <stp>.NDXP250509P20350</stp>
        <tr r="BD145" s="1"/>
        <tr r="BD145" s="1"/>
      </tp>
      <tp t="s">
        <v>N/A</v>
        <stp/>
        <stp>VOLUME</stp>
        <stp>.NDXP250508P19250</stp>
        <tr r="BB189" s="1"/>
      </tp>
      <tp>
        <v>402</v>
        <stp/>
        <stp>VOLUME</stp>
        <stp>.NDXP250509P19350</stp>
        <tr r="BD185" s="1"/>
        <tr r="BD185" s="1"/>
      </tp>
      <tp t="s">
        <v>N/A</v>
        <stp/>
        <stp>VOLUME</stp>
        <stp>.SPXW250829C5580</stp>
        <tr r="P115" s="2"/>
      </tp>
      <tp t="s">
        <v>N/A</v>
        <stp/>
        <stp>VOLUME</stp>
        <stp>.SPXW250508C5790</stp>
        <tr r="BA93" s="1"/>
      </tp>
      <tp t="s">
        <v>N/A</v>
        <stp/>
        <stp>VOLUME</stp>
        <stp>.SPXW250509C5780</stp>
        <tr r="BC94" s="1"/>
      </tp>
      <tp t="s">
        <v>N/A</v>
        <stp/>
        <stp>VOLUME</stp>
        <stp>.SPXW250516C5670</stp>
        <tr r="BE105" s="1"/>
      </tp>
      <tp t="s">
        <v>N/A</v>
        <stp/>
        <stp>VOLUME</stp>
        <stp>.SPXW250606C5770</stp>
        <tr r="J96" s="2"/>
      </tp>
      <tp t="s">
        <v>N/A</v>
        <stp/>
        <stp>VOLUME</stp>
        <stp>.SPXW251128C5590</stp>
        <tr r="V114" s="2"/>
      </tp>
      <tp t="s">
        <v>N/A</v>
        <stp/>
        <stp>VOLUME</stp>
        <stp>.SPXW251128P5590</stp>
        <tr r="V114" s="2"/>
      </tp>
      <tp t="s">
        <v>N/A</v>
        <stp/>
        <stp>VOLUME</stp>
        <stp>.SPXW250829P5580</stp>
        <tr r="P115" s="2"/>
      </tp>
      <tp t="s">
        <v>N/A</v>
        <stp/>
        <stp>VOLUME</stp>
        <stp>.SPXW250508P5790</stp>
        <tr r="BB93" s="1"/>
      </tp>
      <tp t="s">
        <v>N/A</v>
        <stp/>
        <stp>VOLUME</stp>
        <stp>.SPXW250509P5780</stp>
        <tr r="BD94" s="1"/>
      </tp>
      <tp t="s">
        <v>N/A</v>
        <stp/>
        <stp>VOLUME</stp>
        <stp>.SPXW250516P5670</stp>
        <tr r="BF105" s="1"/>
      </tp>
      <tp t="s">
        <v>N/A</v>
        <stp/>
        <stp>VOLUME</stp>
        <stp>.SPXW250606P5770</stp>
        <tr r="J96" s="2"/>
      </tp>
      <tp t="s">
        <v>N/A</v>
        <stp/>
        <stp>VOLUME</stp>
        <stp>.SPYP574</stp>
        <tr r="G13" s="2"/>
        <tr r="C13" s="2"/>
        <tr r="B13" s="2"/>
        <tr r="D13" s="2"/>
        <tr r="F13" s="2"/>
        <tr r="E13" s="2"/>
      </tp>
      <tp t="s">
        <v>N/A</v>
        <stp/>
        <stp>VOLUME</stp>
        <stp>.SPYC574</stp>
        <tr r="G13" s="2"/>
        <tr r="C13" s="2"/>
        <tr r="B13" s="2"/>
        <tr r="D13" s="2"/>
        <tr r="F13" s="2"/>
        <tr r="E13" s="2"/>
      </tp>
      <tp t="s">
        <v>N/A</v>
        <stp/>
        <stp>VOLUME</stp>
        <stp>.SPYP575</stp>
        <tr r="B12" s="2"/>
        <tr r="E12" s="2"/>
        <tr r="F12" s="2"/>
        <tr r="G12" s="2"/>
        <tr r="C12" s="2"/>
        <tr r="D12" s="2"/>
      </tp>
      <tp t="s">
        <v>N/A</v>
        <stp/>
        <stp>VOLUME</stp>
        <stp>.SPYC575</stp>
        <tr r="B12" s="2"/>
        <tr r="E12" s="2"/>
        <tr r="F12" s="2"/>
        <tr r="G12" s="2"/>
        <tr r="C12" s="2"/>
        <tr r="D12" s="2"/>
      </tp>
      <tp t="s">
        <v>N/A</v>
        <stp/>
        <stp>VOLUME</stp>
        <stp>.SPYP576</stp>
        <tr r="F11" s="2"/>
        <tr r="D11" s="2"/>
        <tr r="B11" s="2"/>
        <tr r="E11" s="2"/>
        <tr r="G11" s="2"/>
        <tr r="C11" s="2"/>
      </tp>
      <tp t="s">
        <v>N/A</v>
        <stp/>
        <stp>VOLUME</stp>
        <stp>.SPYC576</stp>
        <tr r="F11" s="2"/>
        <tr r="D11" s="2"/>
        <tr r="B11" s="2"/>
        <tr r="E11" s="2"/>
        <tr r="G11" s="2"/>
        <tr r="C11" s="2"/>
      </tp>
      <tp t="s">
        <v>N/A</v>
        <stp/>
        <stp>VOLUME</stp>
        <stp>.SPYP577</stp>
        <tr r="C10" s="2"/>
        <tr r="G10" s="2"/>
        <tr r="E10" s="2"/>
        <tr r="F10" s="2"/>
        <tr r="D10" s="2"/>
        <tr r="B10" s="2"/>
      </tp>
      <tp t="s">
        <v>N/A</v>
        <stp/>
        <stp>VOLUME</stp>
        <stp>.SPYC577</stp>
        <tr r="C10" s="2"/>
        <tr r="G10" s="2"/>
        <tr r="E10" s="2"/>
        <tr r="F10" s="2"/>
        <tr r="D10" s="2"/>
        <tr r="B10" s="2"/>
      </tp>
      <tp t="s">
        <v>N/A</v>
        <stp/>
        <stp>VOLUME</stp>
        <stp>.SPYP570</stp>
        <tr r="E17" s="2"/>
        <tr r="G17" s="2"/>
        <tr r="B17" s="2"/>
        <tr r="D17" s="2"/>
        <tr r="F17" s="2"/>
        <tr r="C17" s="2"/>
      </tp>
      <tp t="s">
        <v>N/A</v>
        <stp/>
        <stp>VOLUME</stp>
        <stp>.SPYC570</stp>
        <tr r="E17" s="2"/>
        <tr r="G17" s="2"/>
        <tr r="B17" s="2"/>
        <tr r="D17" s="2"/>
        <tr r="F17" s="2"/>
        <tr r="C17" s="2"/>
      </tp>
      <tp t="s">
        <v>N/A</v>
        <stp/>
        <stp>VOLUME</stp>
        <stp>.SPYP571</stp>
        <tr r="B16" s="2"/>
        <tr r="F16" s="2"/>
        <tr r="D16" s="2"/>
        <tr r="G16" s="2"/>
        <tr r="E16" s="2"/>
        <tr r="C16" s="2"/>
      </tp>
      <tp t="s">
        <v>N/A</v>
        <stp/>
        <stp>VOLUME</stp>
        <stp>.SPYC571</stp>
        <tr r="B16" s="2"/>
        <tr r="F16" s="2"/>
        <tr r="D16" s="2"/>
        <tr r="G16" s="2"/>
        <tr r="E16" s="2"/>
        <tr r="C16" s="2"/>
      </tp>
      <tp t="s">
        <v>N/A</v>
        <stp/>
        <stp>VOLUME</stp>
        <stp>.SPYP572</stp>
        <tr r="C15" s="2"/>
        <tr r="G15" s="2"/>
        <tr r="F15" s="2"/>
        <tr r="D15" s="2"/>
        <tr r="E15" s="2"/>
        <tr r="B15" s="2"/>
      </tp>
      <tp t="s">
        <v>N/A</v>
        <stp/>
        <stp>VOLUME</stp>
        <stp>.SPYC572</stp>
        <tr r="C15" s="2"/>
        <tr r="G15" s="2"/>
        <tr r="F15" s="2"/>
        <tr r="D15" s="2"/>
        <tr r="E15" s="2"/>
        <tr r="B15" s="2"/>
      </tp>
      <tp t="s">
        <v>N/A</v>
        <stp/>
        <stp>VOLUME</stp>
        <stp>.SPYP573</stp>
        <tr r="D14" s="2"/>
        <tr r="F14" s="2"/>
        <tr r="E14" s="2"/>
        <tr r="B14" s="2"/>
        <tr r="C14" s="2"/>
        <tr r="G14" s="2"/>
      </tp>
      <tp t="s">
        <v>N/A</v>
        <stp/>
        <stp>VOLUME</stp>
        <stp>.SPYC573</stp>
        <tr r="D14" s="2"/>
        <tr r="F14" s="2"/>
        <tr r="E14" s="2"/>
        <tr r="B14" s="2"/>
        <tr r="C14" s="2"/>
        <tr r="G14" s="2"/>
      </tp>
      <tp t="s">
        <v>N/A</v>
        <stp/>
        <stp>VOLUME</stp>
        <stp>.SPYP578</stp>
        <tr r="E9" s="2"/>
        <tr r="B9" s="2"/>
        <tr r="D9" s="2"/>
        <tr r="F9" s="2"/>
        <tr r="G9" s="2"/>
        <tr r="C9" s="2"/>
      </tp>
      <tp t="s">
        <v>N/A</v>
        <stp/>
        <stp>VOLUME</stp>
        <stp>.SPYC578</stp>
        <tr r="E9" s="2"/>
        <tr r="B9" s="2"/>
        <tr r="D9" s="2"/>
        <tr r="F9" s="2"/>
        <tr r="G9" s="2"/>
        <tr r="C9" s="2"/>
      </tp>
      <tp t="s">
        <v>N/A</v>
        <stp/>
        <stp>VOLUME</stp>
        <stp>.SPYP579</stp>
        <tr r="E8" s="2"/>
        <tr r="C8" s="2"/>
        <tr r="G8" s="2"/>
        <tr r="F8" s="2"/>
        <tr r="B8" s="2"/>
        <tr r="D8" s="2"/>
      </tp>
      <tp t="s">
        <v>N/A</v>
        <stp/>
        <stp>VOLUME</stp>
        <stp>.SPYC579</stp>
        <tr r="E8" s="2"/>
        <tr r="C8" s="2"/>
        <tr r="G8" s="2"/>
        <tr r="F8" s="2"/>
        <tr r="B8" s="2"/>
        <tr r="D8" s="2"/>
      </tp>
      <tp t="s">
        <v>N/A</v>
        <stp/>
        <stp>VOLUME</stp>
        <stp>.NDXP251128P20275</stp>
        <tr r="V149" s="2"/>
      </tp>
      <tp t="s">
        <v>N/A</v>
        <stp/>
        <stp>VOLUME</stp>
        <stp>.NDXP251128P19275</stp>
        <tr r="V189" s="2"/>
      </tp>
      <tp t="s">
        <v>N/A</v>
        <stp/>
        <stp>VOLUME</stp>
        <stp>.SPXW250930C5420</stp>
        <tr r="R131" s="2"/>
      </tp>
      <tp>
        <v>2</v>
        <stp/>
        <stp>VOLUME</stp>
        <stp>.SPXW250516C5640</stp>
        <tr r="BE108" s="1"/>
        <tr r="BE108" s="1"/>
      </tp>
      <tp t="s">
        <v>N/A</v>
        <stp/>
        <stp>VOLUME</stp>
        <stp>.SPXW250530C5420</stp>
        <tr r="I131" s="2"/>
      </tp>
      <tp t="s">
        <v>N/A</v>
        <stp/>
        <stp>VOLUME</stp>
        <stp>.SPXW250731C5430</stp>
        <tr r="N130" s="2"/>
      </tp>
      <tp t="s">
        <v>N/A</v>
        <stp/>
        <stp>VOLUME</stp>
        <stp>.SPXW250606C5740</stp>
        <tr r="J99" s="2"/>
      </tp>
      <tp t="s">
        <v>N/A</v>
        <stp/>
        <stp>VOLUME</stp>
        <stp>.SPXW250630C5420</stp>
        <tr r="L131" s="2"/>
      </tp>
      <tp t="s">
        <v>N/A</v>
        <stp/>
        <stp>VOLUME</stp>
        <stp>.SPXW251031C5430</stp>
        <tr r="T130" s="2"/>
      </tp>
      <tp t="s">
        <v>N/A</v>
        <stp/>
        <stp>VOLUME</stp>
        <stp>.SPXW251231C5430</stp>
        <tr r="X130" s="2"/>
      </tp>
      <tp t="s">
        <v>N/A</v>
        <stp/>
        <stp>VOLUME</stp>
        <stp>.SPXW251031P5430</stp>
        <tr r="T130" s="2"/>
      </tp>
      <tp t="s">
        <v>N/A</v>
        <stp/>
        <stp>VOLUME</stp>
        <stp>.SPXW251231P5430</stp>
        <tr r="X130" s="2"/>
      </tp>
      <tp t="s">
        <v>N/A</v>
        <stp/>
        <stp>VOLUME</stp>
        <stp>.SPXW250930P5420</stp>
        <tr r="R131" s="2"/>
      </tp>
      <tp t="s">
        <v>N/A</v>
        <stp/>
        <stp>VOLUME</stp>
        <stp>.SPXW250516P5640</stp>
        <tr r="BF108" s="1"/>
      </tp>
      <tp t="s">
        <v>N/A</v>
        <stp/>
        <stp>VOLUME</stp>
        <stp>.SPXW250530P5420</stp>
        <tr r="I131" s="2"/>
      </tp>
      <tp t="s">
        <v>N/A</v>
        <stp/>
        <stp>VOLUME</stp>
        <stp>.SPXW250731P5430</stp>
        <tr r="N130" s="2"/>
      </tp>
      <tp t="s">
        <v>N/A</v>
        <stp/>
        <stp>VOLUME</stp>
        <stp>.SPXW250606P5740</stp>
        <tr r="J99" s="2"/>
      </tp>
      <tp t="s">
        <v>N/A</v>
        <stp/>
        <stp>VOLUME</stp>
        <stp>.SPXW250630P5420</stp>
        <tr r="L131" s="2"/>
      </tp>
      <tp t="s">
        <v>N/A</v>
        <stp/>
        <stp>VOLUME</stp>
        <stp>.SPYP564</stp>
        <tr r="F23" s="2"/>
        <tr r="C23" s="2"/>
        <tr r="G23" s="2"/>
        <tr r="E23" s="2"/>
        <tr r="B23" s="2"/>
        <tr r="D23" s="2"/>
      </tp>
      <tp t="s">
        <v>N/A</v>
        <stp/>
        <stp>VOLUME</stp>
        <stp>.SPYC564</stp>
        <tr r="F23" s="2"/>
        <tr r="C23" s="2"/>
        <tr r="G23" s="2"/>
        <tr r="E23" s="2"/>
        <tr r="B23" s="2"/>
        <tr r="D23" s="2"/>
      </tp>
      <tp t="s">
        <v>N/A</v>
        <stp/>
        <stp>VOLUME</stp>
        <stp>.SPYP565</stp>
        <tr r="E22" s="2"/>
        <tr r="B22" s="2"/>
        <tr r="G22" s="2"/>
        <tr r="C22" s="2"/>
        <tr r="F22" s="2"/>
        <tr r="D22" s="2"/>
      </tp>
      <tp t="s">
        <v>N/A</v>
        <stp/>
        <stp>VOLUME</stp>
        <stp>.SPYC565</stp>
        <tr r="E22" s="2"/>
        <tr r="B22" s="2"/>
        <tr r="G22" s="2"/>
        <tr r="C22" s="2"/>
        <tr r="F22" s="2"/>
        <tr r="D22" s="2"/>
      </tp>
      <tp t="s">
        <v>N/A</v>
        <stp/>
        <stp>VOLUME</stp>
        <stp>.SPYP566</stp>
        <tr r="D21" s="2"/>
        <tr r="G21" s="2"/>
        <tr r="C21" s="2"/>
        <tr r="F21" s="2"/>
        <tr r="E21" s="2"/>
        <tr r="B21" s="2"/>
      </tp>
      <tp t="s">
        <v>N/A</v>
        <stp/>
        <stp>VOLUME</stp>
        <stp>.SPYC566</stp>
        <tr r="D21" s="2"/>
        <tr r="G21" s="2"/>
        <tr r="C21" s="2"/>
        <tr r="F21" s="2"/>
        <tr r="E21" s="2"/>
        <tr r="B21" s="2"/>
      </tp>
      <tp t="s">
        <v>N/A</v>
        <stp/>
        <stp>VOLUME</stp>
        <stp>.SPYP567</stp>
        <tr r="C20" s="2"/>
        <tr r="D20" s="2"/>
        <tr r="E20" s="2"/>
        <tr r="G20" s="2"/>
        <tr r="F20" s="2"/>
        <tr r="B20" s="2"/>
      </tp>
      <tp t="s">
        <v>N/A</v>
        <stp/>
        <stp>VOLUME</stp>
        <stp>.SPYC567</stp>
        <tr r="C20" s="2"/>
        <tr r="D20" s="2"/>
        <tr r="E20" s="2"/>
        <tr r="G20" s="2"/>
        <tr r="F20" s="2"/>
        <tr r="B20" s="2"/>
      </tp>
      <tp t="s">
        <v>N/A</v>
        <stp/>
        <stp>VOLUME</stp>
        <stp>.SPYP560</stp>
        <tr r="E27" s="2"/>
        <tr r="B27" s="2"/>
        <tr r="C27" s="2"/>
        <tr r="F27" s="2"/>
        <tr r="D27" s="2"/>
        <tr r="G27" s="2"/>
      </tp>
      <tp t="s">
        <v>N/A</v>
        <stp/>
        <stp>VOLUME</stp>
        <stp>.SPYC560</stp>
        <tr r="E27" s="2"/>
        <tr r="B27" s="2"/>
        <tr r="C27" s="2"/>
        <tr r="F27" s="2"/>
        <tr r="D27" s="2"/>
        <tr r="G27" s="2"/>
      </tp>
      <tp t="s">
        <v>N/A</v>
        <stp/>
        <stp>VOLUME</stp>
        <stp>.SPYP561</stp>
        <tr r="E26" s="2"/>
        <tr r="C26" s="2"/>
        <tr r="B26" s="2"/>
        <tr r="F26" s="2"/>
        <tr r="G26" s="2"/>
        <tr r="D26" s="2"/>
      </tp>
      <tp t="s">
        <v>N/A</v>
        <stp/>
        <stp>VOLUME</stp>
        <stp>.SPYC561</stp>
        <tr r="E26" s="2"/>
        <tr r="C26" s="2"/>
        <tr r="B26" s="2"/>
        <tr r="F26" s="2"/>
        <tr r="G26" s="2"/>
        <tr r="D26" s="2"/>
      </tp>
      <tp t="s">
        <v>N/A</v>
        <stp/>
        <stp>VOLUME</stp>
        <stp>.SPYP562</stp>
        <tr r="F25" s="2"/>
        <tr r="C25" s="2"/>
        <tr r="E25" s="2"/>
        <tr r="D25" s="2"/>
        <tr r="B25" s="2"/>
        <tr r="G25" s="2"/>
      </tp>
      <tp t="s">
        <v>N/A</v>
        <stp/>
        <stp>VOLUME</stp>
        <stp>.SPYC562</stp>
        <tr r="F25" s="2"/>
        <tr r="C25" s="2"/>
        <tr r="E25" s="2"/>
        <tr r="D25" s="2"/>
        <tr r="B25" s="2"/>
        <tr r="G25" s="2"/>
      </tp>
      <tp t="s">
        <v>N/A</v>
        <stp/>
        <stp>VOLUME</stp>
        <stp>.SPYP563</stp>
        <tr r="B24" s="2"/>
        <tr r="C24" s="2"/>
        <tr r="D24" s="2"/>
        <tr r="F24" s="2"/>
        <tr r="E24" s="2"/>
        <tr r="G24" s="2"/>
      </tp>
      <tp t="s">
        <v>N/A</v>
        <stp/>
        <stp>VOLUME</stp>
        <stp>.SPYC563</stp>
        <tr r="B24" s="2"/>
        <tr r="C24" s="2"/>
        <tr r="D24" s="2"/>
        <tr r="F24" s="2"/>
        <tr r="E24" s="2"/>
        <tr r="G24" s="2"/>
      </tp>
      <tp t="s">
        <v>N/A</v>
        <stp/>
        <stp>VOLUME</stp>
        <stp>.SPYP568</stp>
        <tr r="G19" s="2"/>
        <tr r="C19" s="2"/>
        <tr r="E19" s="2"/>
        <tr r="F19" s="2"/>
        <tr r="D19" s="2"/>
        <tr r="B19" s="2"/>
      </tp>
      <tp t="s">
        <v>N/A</v>
        <stp/>
        <stp>VOLUME</stp>
        <stp>.SPYC568</stp>
        <tr r="G19" s="2"/>
        <tr r="C19" s="2"/>
        <tr r="E19" s="2"/>
        <tr r="F19" s="2"/>
        <tr r="D19" s="2"/>
        <tr r="B19" s="2"/>
      </tp>
      <tp t="s">
        <v>N/A</v>
        <stp/>
        <stp>VOLUME</stp>
        <stp>.SPYP569</stp>
        <tr r="C18" s="2"/>
        <tr r="F18" s="2"/>
        <tr r="E18" s="2"/>
        <tr r="D18" s="2"/>
        <tr r="B18" s="2"/>
        <tr r="G18" s="2"/>
      </tp>
      <tp t="s">
        <v>N/A</v>
        <stp/>
        <stp>VOLUME</stp>
        <stp>.SPYC569</stp>
        <tr r="C18" s="2"/>
        <tr r="F18" s="2"/>
        <tr r="E18" s="2"/>
        <tr r="D18" s="2"/>
        <tr r="B18" s="2"/>
        <tr r="G18" s="2"/>
      </tp>
      <tp t="s">
        <v>N/A</v>
        <stp/>
        <stp>VOLUME</stp>
        <stp>.NDXP250829P20375</stp>
        <tr r="P145" s="2"/>
      </tp>
      <tp t="s">
        <v>N/A</v>
        <stp/>
        <stp>VOLUME</stp>
        <stp>.NDXP250829P19375</stp>
        <tr r="P185" s="2"/>
      </tp>
      <tp t="s">
        <v>N/A</v>
        <stp/>
        <stp>VOLUME</stp>
        <stp>.NDXP250508P20275</stp>
        <tr r="BB148" s="1"/>
      </tp>
      <tp t="s">
        <v>N/A</v>
        <stp/>
        <stp>VOLUME</stp>
        <stp>.NDXP250509P20375</stp>
        <tr r="BD144" s="1"/>
      </tp>
      <tp t="s">
        <v>N/A</v>
        <stp/>
        <stp>VOLUME</stp>
        <stp>.NDXP250508P19275</stp>
        <tr r="BB188" s="1"/>
      </tp>
      <tp>
        <v>1</v>
        <stp/>
        <stp>VOLUME</stp>
        <stp>.NDXP250509P19375</stp>
        <tr r="BD184" s="1"/>
        <tr r="BD184" s="1"/>
      </tp>
      <tp t="s">
        <v>N/A</v>
        <stp/>
        <stp>VOLUME</stp>
        <stp>.SPXW250930C5430</stp>
        <tr r="R130" s="2"/>
      </tp>
      <tp t="s">
        <v>N/A</v>
        <stp/>
        <stp>VOLUME</stp>
        <stp>.SPXW250516C5650</stp>
        <tr r="BE107" s="1"/>
      </tp>
      <tp t="s">
        <v>N/A</v>
        <stp/>
        <stp>VOLUME</stp>
        <stp>.SPXW250530C5430</stp>
        <tr r="I130" s="2"/>
      </tp>
      <tp t="s">
        <v>N/A</v>
        <stp/>
        <stp>VOLUME</stp>
        <stp>.SPXW250731C5420</stp>
        <tr r="N131" s="2"/>
      </tp>
      <tp t="s">
        <v>N/A</v>
        <stp/>
        <stp>VOLUME</stp>
        <stp>.SPXW250606C5750</stp>
        <tr r="J98" s="2"/>
      </tp>
      <tp t="s">
        <v>N/A</v>
        <stp/>
        <stp>VOLUME</stp>
        <stp>.SPXW250630C5430</stp>
        <tr r="L130" s="2"/>
      </tp>
      <tp t="s">
        <v>N/A</v>
        <stp/>
        <stp>VOLUME</stp>
        <stp>.SPXW251031C5420</stp>
        <tr r="T131" s="2"/>
      </tp>
      <tp t="s">
        <v>N/A</v>
        <stp/>
        <stp>VOLUME</stp>
        <stp>.SPXW251231C5420</stp>
        <tr r="X131" s="2"/>
      </tp>
      <tp t="s">
        <v>N/A</v>
        <stp/>
        <stp>VOLUME</stp>
        <stp>.SPXW251031P5420</stp>
        <tr r="T131" s="2"/>
      </tp>
      <tp t="s">
        <v>N/A</v>
        <stp/>
        <stp>VOLUME</stp>
        <stp>.SPXW251231P5420</stp>
        <tr r="X131" s="2"/>
      </tp>
      <tp t="s">
        <v>N/A</v>
        <stp/>
        <stp>VOLUME</stp>
        <stp>.SPXW250930P5430</stp>
        <tr r="R130" s="2"/>
      </tp>
      <tp t="s">
        <v>N/A</v>
        <stp/>
        <stp>VOLUME</stp>
        <stp>.SPXW250516P5650</stp>
        <tr r="BF107" s="1"/>
      </tp>
      <tp t="s">
        <v>N/A</v>
        <stp/>
        <stp>VOLUME</stp>
        <stp>.SPXW250530P5430</stp>
        <tr r="I130" s="2"/>
      </tp>
      <tp t="s">
        <v>N/A</v>
        <stp/>
        <stp>VOLUME</stp>
        <stp>.SPXW250731P5420</stp>
        <tr r="N131" s="2"/>
      </tp>
      <tp t="s">
        <v>N/A</v>
        <stp/>
        <stp>VOLUME</stp>
        <stp>.SPXW250606P5750</stp>
        <tr r="J98" s="2"/>
      </tp>
      <tp t="s">
        <v>N/A</v>
        <stp/>
        <stp>VOLUME</stp>
        <stp>.SPXW250630P5430</stp>
        <tr r="L130" s="2"/>
      </tp>
      <tp t="s">
        <v>N/A</v>
        <stp/>
        <stp>VOLUME</stp>
        <stp>.NDXP250829P20300</stp>
        <tr r="P148" s="2"/>
      </tp>
      <tp t="s">
        <v>N/A</v>
        <stp/>
        <stp>VOLUME</stp>
        <stp>.NDXP250829P19300</stp>
        <tr r="P188" s="2"/>
      </tp>
      <tp t="s">
        <v>N/A</v>
        <stp/>
        <stp>VOLUME</stp>
        <stp>.NDXP250508P20200</stp>
        <tr r="BB151" s="1"/>
      </tp>
      <tp>
        <v>3</v>
        <stp/>
        <stp>VOLUME</stp>
        <stp>.NDXP250509P20300</stp>
        <tr r="BD147" s="1"/>
        <tr r="BD147" s="1"/>
      </tp>
      <tp>
        <v>214</v>
        <stp/>
        <stp>VOLUME</stp>
        <stp>.NDXP250509P19300</stp>
        <tr r="BD187" s="1"/>
        <tr r="BD187" s="1"/>
      </tp>
      <tp t="s">
        <v>N/A</v>
        <stp/>
        <stp>VOLUME</stp>
        <stp>.SPXW250930C5440</stp>
        <tr r="R129" s="2"/>
      </tp>
      <tp t="s">
        <v>N/A</v>
        <stp/>
        <stp>VOLUME</stp>
        <stp>.SPXW250516C5620</stp>
        <tr r="BE110" s="1"/>
      </tp>
      <tp t="s">
        <v>N/A</v>
        <stp/>
        <stp>VOLUME</stp>
        <stp>.SPXW250530C5440</stp>
        <tr r="I129" s="2"/>
      </tp>
      <tp t="s">
        <v>N/A</v>
        <stp/>
        <stp>VOLUME</stp>
        <stp>.SPXW250731C5450</stp>
        <tr r="N128" s="2"/>
      </tp>
      <tp t="s">
        <v>N/A</v>
        <stp/>
        <stp>VOLUME</stp>
        <stp>.SPXW250606C5720</stp>
        <tr r="J101" s="2"/>
      </tp>
      <tp t="s">
        <v>N/A</v>
        <stp/>
        <stp>VOLUME</stp>
        <stp>.SPXW250630C5440</stp>
        <tr r="L129" s="2"/>
      </tp>
      <tp t="s">
        <v>N/A</v>
        <stp/>
        <stp>VOLUME</stp>
        <stp>.SPXW251031C5450</stp>
        <tr r="T128" s="2"/>
      </tp>
      <tp t="s">
        <v>N/A</v>
        <stp/>
        <stp>VOLUME</stp>
        <stp>.SPXW251231C5450</stp>
        <tr r="X128" s="2"/>
      </tp>
      <tp t="s">
        <v>N/A</v>
        <stp/>
        <stp>VOLUME</stp>
        <stp>.SPXW251031P5450</stp>
        <tr r="T128" s="2"/>
      </tp>
      <tp t="s">
        <v>N/A</v>
        <stp/>
        <stp>VOLUME</stp>
        <stp>.SPXW251231P5450</stp>
        <tr r="X128" s="2"/>
      </tp>
      <tp t="s">
        <v>N/A</v>
        <stp/>
        <stp>VOLUME</stp>
        <stp>.SPXW250930P5440</stp>
        <tr r="R129" s="2"/>
      </tp>
      <tp t="s">
        <v>N/A</v>
        <stp/>
        <stp>VOLUME</stp>
        <stp>.SPXW250516P5620</stp>
        <tr r="BF110" s="1"/>
      </tp>
      <tp t="s">
        <v>N/A</v>
        <stp/>
        <stp>VOLUME</stp>
        <stp>.SPXW250530P5440</stp>
        <tr r="I129" s="2"/>
      </tp>
      <tp t="s">
        <v>N/A</v>
        <stp/>
        <stp>VOLUME</stp>
        <stp>.SPXW250731P5450</stp>
        <tr r="N128" s="2"/>
      </tp>
      <tp t="s">
        <v>N/A</v>
        <stp/>
        <stp>VOLUME</stp>
        <stp>.SPXW250606P5720</stp>
        <tr r="J101" s="2"/>
      </tp>
      <tp t="s">
        <v>N/A</v>
        <stp/>
        <stp>VOLUME</stp>
        <stp>.SPXW250630P5440</stp>
        <tr r="L129" s="2"/>
      </tp>
      <tp t="s">
        <v>N/A</v>
        <stp/>
        <stp>VOLUME</stp>
        <stp>.NDXP251128P20200</stp>
        <tr r="V152" s="2"/>
      </tp>
      <tp t="s">
        <v>N/A</v>
        <stp/>
        <stp>VOLUME</stp>
        <stp>.SPXW250930C5450</stp>
        <tr r="R128" s="2"/>
      </tp>
      <tp t="s">
        <v>N/A</v>
        <stp/>
        <stp>VOLUME</stp>
        <stp>.SPXW250516C5630</stp>
        <tr r="BE109" s="1"/>
      </tp>
      <tp t="s">
        <v>N/A</v>
        <stp/>
        <stp>VOLUME</stp>
        <stp>.SPXW250530C5450</stp>
        <tr r="I128" s="2"/>
      </tp>
      <tp t="s">
        <v>N/A</v>
        <stp/>
        <stp>VOLUME</stp>
        <stp>.SPXW250731C5440</stp>
        <tr r="N129" s="2"/>
      </tp>
      <tp t="s">
        <v>N/A</v>
        <stp/>
        <stp>VOLUME</stp>
        <stp>.SPXW250606C5730</stp>
        <tr r="J100" s="2"/>
      </tp>
      <tp t="s">
        <v>N/A</v>
        <stp/>
        <stp>VOLUME</stp>
        <stp>.SPXW250630C5450</stp>
        <tr r="L128" s="2"/>
      </tp>
      <tp t="s">
        <v>N/A</v>
        <stp/>
        <stp>VOLUME</stp>
        <stp>.SPXW251031C5440</stp>
        <tr r="T129" s="2"/>
      </tp>
      <tp t="s">
        <v>N/A</v>
        <stp/>
        <stp>VOLUME</stp>
        <stp>.SPXW251231C5440</stp>
        <tr r="X129" s="2"/>
      </tp>
      <tp t="s">
        <v>N/A</v>
        <stp/>
        <stp>VOLUME</stp>
        <stp>.SPXW251031P5440</stp>
        <tr r="T129" s="2"/>
      </tp>
      <tp t="s">
        <v>N/A</v>
        <stp/>
        <stp>VOLUME</stp>
        <stp>.SPXW251231P5440</stp>
        <tr r="X129" s="2"/>
      </tp>
      <tp t="s">
        <v>N/A</v>
        <stp/>
        <stp>VOLUME</stp>
        <stp>.SPXW250930P5450</stp>
        <tr r="R128" s="2"/>
      </tp>
      <tp t="s">
        <v>N/A</v>
        <stp/>
        <stp>VOLUME</stp>
        <stp>.SPXW250516P5630</stp>
        <tr r="BF109" s="1"/>
      </tp>
      <tp t="s">
        <v>N/A</v>
        <stp/>
        <stp>VOLUME</stp>
        <stp>.SPXW250530P5450</stp>
        <tr r="I128" s="2"/>
      </tp>
      <tp t="s">
        <v>N/A</v>
        <stp/>
        <stp>VOLUME</stp>
        <stp>.SPXW250731P5440</stp>
        <tr r="N129" s="2"/>
      </tp>
      <tp t="s">
        <v>N/A</v>
        <stp/>
        <stp>VOLUME</stp>
        <stp>.SPXW250606P5730</stp>
        <tr r="J100" s="2"/>
      </tp>
      <tp>
        <v>4</v>
        <stp/>
        <stp>VOLUME</stp>
        <stp>.SPXW250630P5450</stp>
        <tr r="L128" s="2"/>
        <tr r="L128" s="2"/>
      </tp>
      <tp t="s">
        <v>N/A</v>
        <stp/>
        <stp>VOLUME</stp>
        <stp>.NDXP250829P20325</stp>
        <tr r="P147" s="2"/>
      </tp>
      <tp t="s">
        <v>N/A</v>
        <stp/>
        <stp>VOLUME</stp>
        <stp>.NDXP250829P19325</stp>
        <tr r="P187" s="2"/>
      </tp>
      <tp t="s">
        <v>N/A</v>
        <stp/>
        <stp>VOLUME</stp>
        <stp>.NDXP250508P20225</stp>
        <tr r="BB150" s="1"/>
      </tp>
      <tp t="s">
        <v>N/A</v>
        <stp/>
        <stp>VOLUME</stp>
        <stp>.NDXP250509P20325</stp>
        <tr r="BD146" s="1"/>
      </tp>
      <tp>
        <v>1</v>
        <stp/>
        <stp>VOLUME</stp>
        <stp>.NDXP250509P19325</stp>
        <tr r="BD186" s="1"/>
        <tr r="BD186" s="1"/>
      </tp>
      <tp t="s">
        <v>N/A</v>
        <stp/>
        <stp>VOLUME</stp>
        <stp>.SPXW250930C5460</stp>
        <tr r="R127" s="2"/>
      </tp>
      <tp t="s">
        <v>N/A</v>
        <stp/>
        <stp>VOLUME</stp>
        <stp>.SPXW250516C5600</stp>
        <tr r="BE112" s="1"/>
      </tp>
      <tp t="s">
        <v>N/A</v>
        <stp/>
        <stp>VOLUME</stp>
        <stp>.SPXW250530C5460</stp>
        <tr r="I127" s="2"/>
      </tp>
      <tp t="s">
        <v>N/A</v>
        <stp/>
        <stp>VOLUME</stp>
        <stp>.SPXW250731C5470</stp>
        <tr r="N126" s="2"/>
      </tp>
      <tp t="s">
        <v>N/A</v>
        <stp/>
        <stp>VOLUME</stp>
        <stp>.SPXW250606C5700</stp>
        <tr r="J103" s="2"/>
      </tp>
      <tp t="s">
        <v>N/A</v>
        <stp/>
        <stp>VOLUME</stp>
        <stp>.SPXW250630C5460</stp>
        <tr r="L127" s="2"/>
      </tp>
      <tp t="s">
        <v>N/A</v>
        <stp/>
        <stp>VOLUME</stp>
        <stp>.SPXW251031C5470</stp>
        <tr r="T126" s="2"/>
      </tp>
      <tp t="s">
        <v>N/A</v>
        <stp/>
        <stp>VOLUME</stp>
        <stp>.SPXW251231C5470</stp>
        <tr r="X126" s="2"/>
      </tp>
      <tp t="s">
        <v>N/A</v>
        <stp/>
        <stp>VOLUME</stp>
        <stp>.SPXW251031P5470</stp>
        <tr r="T126" s="2"/>
      </tp>
      <tp t="s">
        <v>N/A</v>
        <stp/>
        <stp>VOLUME</stp>
        <stp>.SPXW251231P5470</stp>
        <tr r="X126" s="2"/>
      </tp>
      <tp t="s">
        <v>N/A</v>
        <stp/>
        <stp>VOLUME</stp>
        <stp>.SPXW250930P5460</stp>
        <tr r="R127" s="2"/>
      </tp>
      <tp>
        <v>2</v>
        <stp/>
        <stp>VOLUME</stp>
        <stp>.SPXW250516P5600</stp>
        <tr r="BF112" s="1"/>
        <tr r="BF112" s="1"/>
      </tp>
      <tp t="s">
        <v>N/A</v>
        <stp/>
        <stp>VOLUME</stp>
        <stp>.SPXW250530P5460</stp>
        <tr r="I127" s="2"/>
      </tp>
      <tp t="s">
        <v>N/A</v>
        <stp/>
        <stp>VOLUME</stp>
        <stp>.SPXW250731P5470</stp>
        <tr r="N126" s="2"/>
      </tp>
      <tp t="s">
        <v>N/A</v>
        <stp/>
        <stp>VOLUME</stp>
        <stp>.SPXW250606P5700</stp>
        <tr r="J103" s="2"/>
      </tp>
      <tp t="s">
        <v>N/A</v>
        <stp/>
        <stp>VOLUME</stp>
        <stp>.SPXW250630P5460</stp>
        <tr r="L127" s="2"/>
      </tp>
      <tp t="s">
        <v>N/A</v>
        <stp/>
        <stp>VOLUME</stp>
        <stp>.NDXP251128P20225</stp>
        <tr r="V151" s="2"/>
      </tp>
      <tp t="s">
        <v>N/A</v>
        <stp/>
        <stp>VOLUME</stp>
        <stp>.SPXW250930C5470</stp>
        <tr r="R126" s="2"/>
      </tp>
      <tp t="s">
        <v>N/A</v>
        <stp/>
        <stp>VOLUME</stp>
        <stp>.SPXW250516C5610</stp>
        <tr r="BE111" s="1"/>
      </tp>
      <tp t="s">
        <v>N/A</v>
        <stp/>
        <stp>VOLUME</stp>
        <stp>.SPXW250530C5470</stp>
        <tr r="I126" s="2"/>
      </tp>
      <tp t="s">
        <v>N/A</v>
        <stp/>
        <stp>VOLUME</stp>
        <stp>.SPXW250731C5460</stp>
        <tr r="N127" s="2"/>
      </tp>
      <tp t="s">
        <v>N/A</v>
        <stp/>
        <stp>VOLUME</stp>
        <stp>.SPXW250606C5710</stp>
        <tr r="J102" s="2"/>
      </tp>
      <tp t="s">
        <v>N/A</v>
        <stp/>
        <stp>VOLUME</stp>
        <stp>.SPXW250630C5470</stp>
        <tr r="L126" s="2"/>
      </tp>
      <tp t="s">
        <v>N/A</v>
        <stp/>
        <stp>VOLUME</stp>
        <stp>.SPXW251031C5460</stp>
        <tr r="T127" s="2"/>
      </tp>
      <tp t="s">
        <v>N/A</v>
        <stp/>
        <stp>VOLUME</stp>
        <stp>.SPXW251231C5460</stp>
        <tr r="X127" s="2"/>
      </tp>
      <tp t="s">
        <v>N/A</v>
        <stp/>
        <stp>VOLUME</stp>
        <stp>.SPXW251031P5460</stp>
        <tr r="T127" s="2"/>
      </tp>
      <tp t="s">
        <v>N/A</v>
        <stp/>
        <stp>VOLUME</stp>
        <stp>.SPXW251231P5460</stp>
        <tr r="X127" s="2"/>
      </tp>
      <tp t="s">
        <v>N/A</v>
        <stp/>
        <stp>VOLUME</stp>
        <stp>.SPXW250930P5470</stp>
        <tr r="R126" s="2"/>
      </tp>
      <tp t="s">
        <v>N/A</v>
        <stp/>
        <stp>VOLUME</stp>
        <stp>.SPXW250516P5610</stp>
        <tr r="BF111" s="1"/>
      </tp>
      <tp t="s">
        <v>N/A</v>
        <stp/>
        <stp>VOLUME</stp>
        <stp>.SPXW250530P5470</stp>
        <tr r="I126" s="2"/>
      </tp>
      <tp t="s">
        <v>N/A</v>
        <stp/>
        <stp>VOLUME</stp>
        <stp>.SPXW250731P5460</stp>
        <tr r="N127" s="2"/>
      </tp>
      <tp t="s">
        <v>N/A</v>
        <stp/>
        <stp>VOLUME</stp>
        <stp>.SPXW250606P5710</stp>
        <tr r="J102" s="2"/>
      </tp>
      <tp t="s">
        <v>N/A</v>
        <stp/>
        <stp>VOLUME</stp>
        <stp>.SPXW250630P5470</stp>
        <tr r="L126" s="2"/>
      </tp>
      <tp>
        <v>-0.27</v>
        <stp/>
        <stp>DELTA</stp>
        <stp>.NDXP250508P20025</stp>
        <tr r="CE158" s="1"/>
        <tr r="CE158" s="1"/>
      </tp>
      <tp>
        <v>-1</v>
        <stp/>
        <stp>DELTA</stp>
        <stp>.NDXP250509P20125</stp>
        <tr r="CG154" s="1"/>
        <tr r="CG154" s="1"/>
      </tp>
      <tp>
        <v>-0.02</v>
        <stp/>
        <stp>DELTA</stp>
        <stp>.NDXP250508P20000</stp>
        <tr r="CE159" s="1"/>
        <tr r="CE159" s="1"/>
      </tp>
      <tp>
        <v>-1</v>
        <stp/>
        <stp>DELTA</stp>
        <stp>.NDXP250509P20100</stp>
        <tr r="CG155" s="1"/>
        <tr r="CG155" s="1"/>
      </tp>
      <tp>
        <v>-0.78</v>
        <stp/>
        <stp>DELTA</stp>
        <stp>.NDXP250508P20075</stp>
        <tr r="CE156" s="1"/>
        <tr r="CE156" s="1"/>
      </tp>
      <tp>
        <v>-0.88</v>
        <stp/>
        <stp>DELTA</stp>
        <stp>.NDXP250509P20175</stp>
        <tr r="CG152" s="1"/>
        <tr r="CG152" s="1"/>
      </tp>
      <tp>
        <v>-0.16</v>
        <stp/>
        <stp>DELTA</stp>
        <stp>.NDXP250508P20050</stp>
        <tr r="CE157" s="1"/>
        <tr r="CE157" s="1"/>
      </tp>
      <tp>
        <v>-0.86</v>
        <stp/>
        <stp>DELTA</stp>
        <stp>.NDXP250509P20150</stp>
        <tr r="CG153" s="1"/>
        <tr r="CG153" s="1"/>
      </tp>
      <tp>
        <v>0.82</v>
        <stp/>
        <stp>DELTA</stp>
        <stp>.NDXP250508C20000</stp>
        <tr r="CD159" s="1"/>
        <tr r="CD159" s="1"/>
      </tp>
      <tp>
        <v>0.05</v>
        <stp/>
        <stp>DELTA</stp>
        <stp>.NDXP250509C20100</stp>
        <tr r="CF155" s="1"/>
        <tr r="CF155" s="1"/>
      </tp>
      <tp>
        <v>0.74</v>
        <stp/>
        <stp>DELTA</stp>
        <stp>.NDXP250508C20025</stp>
        <tr r="CD158" s="1"/>
        <tr r="CD158" s="1"/>
      </tp>
      <tp>
        <v>0</v>
        <stp/>
        <stp>DELTA</stp>
        <stp>.NDXP250509C20125</stp>
        <tr r="CF154" s="1"/>
        <tr r="CF154" s="1"/>
      </tp>
      <tp>
        <v>0.74</v>
        <stp/>
        <stp>DELTA</stp>
        <stp>.NDXP250508C20050</stp>
        <tr r="CD157" s="1"/>
        <tr r="CD157" s="1"/>
      </tp>
      <tp>
        <v>0</v>
        <stp/>
        <stp>DELTA</stp>
        <stp>.NDXP250509C20150</stp>
        <tr r="CF153" s="1"/>
        <tr r="CF153" s="1"/>
      </tp>
      <tp>
        <v>0.17</v>
        <stp/>
        <stp>DELTA</stp>
        <stp>.NDXP250508C20075</stp>
        <tr r="CD156" s="1"/>
        <tr r="CD156" s="1"/>
      </tp>
      <tp>
        <v>0.16</v>
        <stp/>
        <stp>DELTA</stp>
        <stp>.NDXP250509C20175</stp>
        <tr r="CF152" s="1"/>
        <tr r="CF152" s="1"/>
      </tp>
      <tp t="s">
        <v>N/A</v>
        <stp/>
        <stp>VOLUME</stp>
        <stp>.NDXP250829C20275</stp>
        <tr r="P149" s="2"/>
      </tp>
      <tp t="s">
        <v>N/A</v>
        <stp/>
        <stp>VOLUME</stp>
        <stp>.NDXP250829C19275</stp>
        <tr r="P189" s="2"/>
      </tp>
      <tp t="s">
        <v>N/A</v>
        <stp/>
        <stp>VOLUME</stp>
        <stp>.NDXP250508C20375</stp>
        <tr r="BA144" s="1"/>
      </tp>
      <tp>
        <v>110</v>
        <stp/>
        <stp>VOLUME</stp>
        <stp>.NDXP250509C20275</stp>
        <tr r="BC148" s="1"/>
        <tr r="BC148" s="1"/>
      </tp>
      <tp t="s">
        <v>N/A</v>
        <stp/>
        <stp>VOLUME</stp>
        <stp>.NDXP250508C19375</stp>
        <tr r="BA184" s="1"/>
      </tp>
      <tp t="s">
        <v>N/A</v>
        <stp/>
        <stp>VOLUME</stp>
        <stp>.NDXP250509C19275</stp>
        <tr r="BC188" s="1"/>
      </tp>
      <tp t="s">
        <v>N/A</v>
        <stp/>
        <stp>VOLUME</stp>
        <stp>.NDXP251128C20375</stp>
        <tr r="V145" s="2"/>
      </tp>
      <tp t="s">
        <v>N/A</v>
        <stp/>
        <stp>VOLUME</stp>
        <stp>.NDXP251128C19375</stp>
        <tr r="V185" s="2"/>
      </tp>
      <tp t="s">
        <v>N/A</v>
        <stp/>
        <stp>VOLUME</stp>
        <stp>.NDXP250829C20250</stp>
        <tr r="P150" s="2"/>
      </tp>
      <tp t="s">
        <v>N/A</v>
        <stp/>
        <stp>VOLUME</stp>
        <stp>.NDXP250829C19250</stp>
        <tr r="P190" s="2"/>
      </tp>
      <tp t="s">
        <v>N/A</v>
        <stp/>
        <stp>VOLUME</stp>
        <stp>.NDXP250508C20350</stp>
        <tr r="BA145" s="1"/>
      </tp>
      <tp>
        <v>400</v>
        <stp/>
        <stp>VOLUME</stp>
        <stp>.NDXP250509C20250</stp>
        <tr r="BC149" s="1"/>
        <tr r="BC149" s="1"/>
      </tp>
      <tp t="s">
        <v>N/A</v>
        <stp/>
        <stp>VOLUME</stp>
        <stp>.NDXP250508C19350</stp>
        <tr r="BA185" s="1"/>
      </tp>
      <tp t="s">
        <v>N/A</v>
        <stp/>
        <stp>VOLUME</stp>
        <stp>.NDXP250509C19250</stp>
        <tr r="BC189" s="1"/>
      </tp>
      <tp t="s">
        <v>N/A</v>
        <stp/>
        <stp>VOLUME</stp>
        <stp>.NDXP251128C20350</stp>
        <tr r="V146" s="2"/>
      </tp>
      <tp t="s">
        <v>N/A</v>
        <stp/>
        <stp>VOLUME</stp>
        <stp>.NDXP251128C19350</stp>
        <tr r="V186" s="2"/>
      </tp>
      <tp t="s">
        <v>N/A</v>
        <stp/>
        <stp>VOLUME</stp>
        <stp>.NDXP251128C20325</stp>
        <tr r="V147" s="2"/>
      </tp>
      <tp t="s">
        <v>N/A</v>
        <stp/>
        <stp>VOLUME</stp>
        <stp>.NDXP251128C19325</stp>
        <tr r="V187" s="2"/>
      </tp>
      <tp t="s">
        <v>N/A</v>
        <stp/>
        <stp>VOLUME</stp>
        <stp>.NDXP250829C20225</stp>
        <tr r="P151" s="2"/>
      </tp>
      <tp t="s">
        <v>N/A</v>
        <stp/>
        <stp>VOLUME</stp>
        <stp>.NDXP250508C20325</stp>
        <tr r="BA146" s="1"/>
      </tp>
      <tp>
        <v>97</v>
        <stp/>
        <stp>VOLUME</stp>
        <stp>.NDXP250509C20225</stp>
        <tr r="BC150" s="1"/>
        <tr r="BC150" s="1"/>
      </tp>
      <tp t="s">
        <v>N/A</v>
        <stp/>
        <stp>VOLUME</stp>
        <stp>.NDXP250508C19325</stp>
        <tr r="BA186" s="1"/>
      </tp>
      <tp t="s">
        <v>N/A</v>
        <stp/>
        <stp>VOLUME</stp>
        <stp>.NDXP251128C20300</stp>
        <tr r="V148" s="2"/>
      </tp>
      <tp t="s">
        <v>N/A</v>
        <stp/>
        <stp>VOLUME</stp>
        <stp>.NDXP251128C19300</stp>
        <tr r="V188" s="2"/>
      </tp>
      <tp t="s">
        <v>N/A</v>
        <stp/>
        <stp>VOLUME</stp>
        <stp>.NDXP250829C20200</stp>
        <tr r="P152" s="2"/>
      </tp>
      <tp t="s">
        <v>N/A</v>
        <stp/>
        <stp>VOLUME</stp>
        <stp>.NDXP250508C20300</stp>
        <tr r="BA147" s="1"/>
      </tp>
      <tp>
        <v>1232</v>
        <stp/>
        <stp>VOLUME</stp>
        <stp>.NDXP250509C20200</stp>
        <tr r="BC151" s="1"/>
        <tr r="BC151" s="1"/>
      </tp>
      <tp t="s">
        <v>N/A</v>
        <stp/>
        <stp>VOLUME</stp>
        <stp>.NDXP250508C19300</stp>
        <tr r="BA187" s="1"/>
      </tp>
      <tp t="s">
        <v>N/A</v>
        <stp/>
        <stp>VOLUME</stp>
        <stp>.SPXW250930C5580</stp>
        <tr r="R115" s="2"/>
      </tp>
      <tp t="s">
        <v>N/A</v>
        <stp/>
        <stp>VOLUME</stp>
        <stp>.SPXW250508C5600</stp>
        <tr r="BA112" s="1"/>
      </tp>
      <tp t="s">
        <v>N/A</v>
        <stp/>
        <stp>VOLUME</stp>
        <stp>.SPXW250509C5610</stp>
        <tr r="BC111" s="1"/>
      </tp>
      <tp t="s">
        <v>N/A</v>
        <stp/>
        <stp>VOLUME</stp>
        <stp>.SPXW250530C5580</stp>
        <tr r="I115" s="2"/>
      </tp>
      <tp t="s">
        <v>N/A</v>
        <stp/>
        <stp>VOLUME</stp>
        <stp>.SPXW250731C5590</stp>
        <tr r="N114" s="2"/>
      </tp>
      <tp t="s">
        <v>N/A</v>
        <stp/>
        <stp>VOLUME</stp>
        <stp>.SPXW250630C5580</stp>
        <tr r="L115" s="2"/>
      </tp>
      <tp t="s">
        <v>N/A</v>
        <stp/>
        <stp>VOLUME</stp>
        <stp>.SPXW251031C5590</stp>
        <tr r="T114" s="2"/>
      </tp>
      <tp t="s">
        <v>N/A</v>
        <stp/>
        <stp>VOLUME</stp>
        <stp>.SPXW251231C5590</stp>
        <tr r="X114" s="2"/>
      </tp>
      <tp t="s">
        <v>N/A</v>
        <stp/>
        <stp>VOLUME</stp>
        <stp>.SPXW251031P5590</stp>
        <tr r="T114" s="2"/>
      </tp>
      <tp t="s">
        <v>N/A</v>
        <stp/>
        <stp>VOLUME</stp>
        <stp>.SPXW251231P5590</stp>
        <tr r="X114" s="2"/>
      </tp>
      <tp t="s">
        <v>N/A</v>
        <stp/>
        <stp>VOLUME</stp>
        <stp>.SPXW250930P5580</stp>
        <tr r="R115" s="2"/>
      </tp>
      <tp t="s">
        <v>N/A</v>
        <stp/>
        <stp>VOLUME</stp>
        <stp>.SPXW250508P5600</stp>
        <tr r="BB112" s="1"/>
      </tp>
      <tp t="s">
        <v>N/A</v>
        <stp/>
        <stp>VOLUME</stp>
        <stp>.SPXW250509P5610</stp>
        <tr r="BD111" s="1"/>
      </tp>
      <tp t="s">
        <v>N/A</v>
        <stp/>
        <stp>VOLUME</stp>
        <stp>.SPXW250530P5580</stp>
        <tr r="I115" s="2"/>
      </tp>
      <tp t="s">
        <v>N/A</v>
        <stp/>
        <stp>VOLUME</stp>
        <stp>.SPXW250731P5590</stp>
        <tr r="N114" s="2"/>
      </tp>
      <tp t="s">
        <v>N/A</v>
        <stp/>
        <stp>VOLUME</stp>
        <stp>.SPXW250630P5580</stp>
        <tr r="L115" s="2"/>
      </tp>
      <tp t="s">
        <v>N/A</v>
        <stp/>
        <stp>VOLUME</stp>
        <stp>.SPXW250930C5590</stp>
        <tr r="R114" s="2"/>
      </tp>
      <tp t="s">
        <v>N/A</v>
        <stp/>
        <stp>VOLUME</stp>
        <stp>.SPXW250508C5610</stp>
        <tr r="BA111" s="1"/>
      </tp>
      <tp t="s">
        <v>N/A</v>
        <stp/>
        <stp>VOLUME</stp>
        <stp>.SPXW250509C5600</stp>
        <tr r="BC112" s="1"/>
      </tp>
      <tp t="s">
        <v>N/A</v>
        <stp/>
        <stp>VOLUME</stp>
        <stp>.SPXW250530C5590</stp>
        <tr r="I114" s="2"/>
      </tp>
      <tp t="s">
        <v>N/A</v>
        <stp/>
        <stp>VOLUME</stp>
        <stp>.SPXW250731C5580</stp>
        <tr r="N115" s="2"/>
      </tp>
      <tp t="s">
        <v>N/A</v>
        <stp/>
        <stp>VOLUME</stp>
        <stp>.SPXW250630C5590</stp>
        <tr r="L114" s="2"/>
      </tp>
      <tp t="s">
        <v>N/A</v>
        <stp/>
        <stp>VOLUME</stp>
        <stp>.SPXW251031C5580</stp>
        <tr r="T115" s="2"/>
      </tp>
      <tp t="s">
        <v>N/A</v>
        <stp/>
        <stp>VOLUME</stp>
        <stp>.SPXW251231C5580</stp>
        <tr r="X115" s="2"/>
      </tp>
      <tp t="s">
        <v>N/A</v>
        <stp/>
        <stp>VOLUME</stp>
        <stp>.SPXW251031P5580</stp>
        <tr r="T115" s="2"/>
      </tp>
      <tp t="s">
        <v>N/A</v>
        <stp/>
        <stp>VOLUME</stp>
        <stp>.SPXW251231P5580</stp>
        <tr r="X115" s="2"/>
      </tp>
      <tp t="s">
        <v>N/A</v>
        <stp/>
        <stp>VOLUME</stp>
        <stp>.SPXW250930P5590</stp>
        <tr r="R114" s="2"/>
      </tp>
      <tp t="s">
        <v>N/A</v>
        <stp/>
        <stp>VOLUME</stp>
        <stp>.SPXW250508P5610</stp>
        <tr r="BB111" s="1"/>
      </tp>
      <tp t="s">
        <v>N/A</v>
        <stp/>
        <stp>VOLUME</stp>
        <stp>.SPXW250509P5600</stp>
        <tr r="BD112" s="1"/>
      </tp>
      <tp t="s">
        <v>N/A</v>
        <stp/>
        <stp>VOLUME</stp>
        <stp>.SPXW250530P5590</stp>
        <tr r="I114" s="2"/>
      </tp>
      <tp t="s">
        <v>N/A</v>
        <stp/>
        <stp>VOLUME</stp>
        <stp>.SPXW250731P5580</stp>
        <tr r="N115" s="2"/>
      </tp>
      <tp t="s">
        <v>N/A</v>
        <stp/>
        <stp>VOLUME</stp>
        <stp>.SPXW250630P5590</stp>
        <tr r="L114" s="2"/>
      </tp>
      <tp t="s">
        <v>N/A</v>
        <stp/>
        <stp>VOLUME</stp>
        <stp>.SPXW250829C5430</stp>
        <tr r="P130" s="2"/>
      </tp>
      <tp t="s">
        <v>N/A</v>
        <stp/>
        <stp>VOLUME</stp>
        <stp>.SPXW250508C5620</stp>
        <tr r="BA110" s="1"/>
      </tp>
      <tp t="s">
        <v>N/A</v>
        <stp/>
        <stp>VOLUME</stp>
        <stp>.SPXW250509C5630</stp>
        <tr r="BC109" s="1"/>
      </tp>
      <tp t="s">
        <v>N/A</v>
        <stp/>
        <stp>VOLUME</stp>
        <stp>.SPXW251128C5420</stp>
        <tr r="V131" s="2"/>
      </tp>
      <tp t="s">
        <v>N/A</v>
        <stp/>
        <stp>VOLUME</stp>
        <stp>.SPXW251128P5420</stp>
        <tr r="V131" s="2"/>
      </tp>
      <tp t="s">
        <v>N/A</v>
        <stp/>
        <stp>VOLUME</stp>
        <stp>.SPXW250829P5430</stp>
        <tr r="P130" s="2"/>
      </tp>
      <tp t="s">
        <v>N/A</v>
        <stp/>
        <stp>VOLUME</stp>
        <stp>.SPXW250508P5620</stp>
        <tr r="BB110" s="1"/>
      </tp>
      <tp t="s">
        <v>N/A</v>
        <stp/>
        <stp>VOLUME</stp>
        <stp>.SPXW250509P5630</stp>
        <tr r="BD109" s="1"/>
      </tp>
      <tp t="s">
        <v>N/A</v>
        <stp/>
        <stp>VOLUME</stp>
        <stp>.SPXW250829C5420</stp>
        <tr r="P131" s="2"/>
      </tp>
      <tp t="s">
        <v>N/A</v>
        <stp/>
        <stp>VOLUME</stp>
        <stp>.SPXW250508C5630</stp>
        <tr r="BA109" s="1"/>
      </tp>
      <tp t="s">
        <v>N/A</v>
        <stp/>
        <stp>VOLUME</stp>
        <stp>.SPXW250509C5620</stp>
        <tr r="BC110" s="1"/>
      </tp>
      <tp t="s">
        <v>N/A</v>
        <stp/>
        <stp>VOLUME</stp>
        <stp>.SPXW251128C5430</stp>
        <tr r="V130" s="2"/>
      </tp>
      <tp t="s">
        <v>N/A</v>
        <stp/>
        <stp>VOLUME</stp>
        <stp>.SPXW251128P5430</stp>
        <tr r="V130" s="2"/>
      </tp>
      <tp t="s">
        <v>N/A</v>
        <stp/>
        <stp>VOLUME</stp>
        <stp>.SPXW250829P5420</stp>
        <tr r="P131" s="2"/>
      </tp>
      <tp t="s">
        <v>N/A</v>
        <stp/>
        <stp>VOLUME</stp>
        <stp>.SPXW250508P5630</stp>
        <tr r="BB109" s="1"/>
      </tp>
      <tp t="s">
        <v>N/A</v>
        <stp/>
        <stp>VOLUME</stp>
        <stp>.SPXW250509P5620</stp>
        <tr r="BD110" s="1"/>
      </tp>
      <tp t="s">
        <v>N/A</v>
        <stp/>
        <stp>VOLUME</stp>
        <stp>.SPXW250829C5450</stp>
        <tr r="P128" s="2"/>
      </tp>
      <tp t="s">
        <v>N/A</v>
        <stp/>
        <stp>VOLUME</stp>
        <stp>.SPXW250508C5640</stp>
        <tr r="BA108" s="1"/>
      </tp>
      <tp t="s">
        <v>N/A</v>
        <stp/>
        <stp>VOLUME</stp>
        <stp>.SPXW250509C5650</stp>
        <tr r="BC107" s="1"/>
      </tp>
      <tp t="s">
        <v>N/A</v>
        <stp/>
        <stp>VOLUME</stp>
        <stp>.SPXW251128C5440</stp>
        <tr r="V129" s="2"/>
      </tp>
      <tp t="s">
        <v>N/A</v>
        <stp/>
        <stp>VOLUME</stp>
        <stp>.SPXW251128P5440</stp>
        <tr r="V129" s="2"/>
      </tp>
      <tp t="s">
        <v>N/A</v>
        <stp/>
        <stp>VOLUME</stp>
        <stp>.SPXW250829P5450</stp>
        <tr r="P128" s="2"/>
      </tp>
      <tp t="s">
        <v>N/A</v>
        <stp/>
        <stp>VOLUME</stp>
        <stp>.SPXW250508P5640</stp>
        <tr r="BB108" s="1"/>
      </tp>
      <tp t="s">
        <v>N/A</v>
        <stp/>
        <stp>VOLUME</stp>
        <stp>.SPXW250509P5650</stp>
        <tr r="BD107" s="1"/>
      </tp>
      <tp t="s">
        <v>N/A</v>
        <stp/>
        <stp>VOLUME</stp>
        <stp>.SPXW250829C5440</stp>
        <tr r="P129" s="2"/>
      </tp>
      <tp t="s">
        <v>N/A</v>
        <stp/>
        <stp>VOLUME</stp>
        <stp>.SPXW250508C5650</stp>
        <tr r="BA107" s="1"/>
      </tp>
      <tp t="s">
        <v>N/A</v>
        <stp/>
        <stp>VOLUME</stp>
        <stp>.SPXW250509C5640</stp>
        <tr r="BC108" s="1"/>
      </tp>
      <tp t="s">
        <v>N/A</v>
        <stp/>
        <stp>VOLUME</stp>
        <stp>.SPXW251128C5450</stp>
        <tr r="V128" s="2"/>
      </tp>
      <tp t="s">
        <v>N/A</v>
        <stp/>
        <stp>VOLUME</stp>
        <stp>.SPXW251128P5450</stp>
        <tr r="V128" s="2"/>
      </tp>
      <tp t="s">
        <v>N/A</v>
        <stp/>
        <stp>VOLUME</stp>
        <stp>.SPXW250829P5440</stp>
        <tr r="P129" s="2"/>
      </tp>
      <tp t="s">
        <v>N/A</v>
        <stp/>
        <stp>VOLUME</stp>
        <stp>.SPXW250508P5650</stp>
        <tr r="BB107" s="1"/>
      </tp>
      <tp t="s">
        <v>N/A</v>
        <stp/>
        <stp>VOLUME</stp>
        <stp>.SPXW250509P5640</stp>
        <tr r="BD108" s="1"/>
      </tp>
      <tp t="s">
        <v>N/A</v>
        <stp/>
        <stp>VOLUME</stp>
        <stp>.SPXW250829C5470</stp>
        <tr r="P126" s="2"/>
      </tp>
      <tp t="s">
        <v>N/A</v>
        <stp/>
        <stp>VOLUME</stp>
        <stp>.SPXW250508C5660</stp>
        <tr r="BA106" s="1"/>
      </tp>
      <tp t="s">
        <v>N/A</v>
        <stp/>
        <stp>VOLUME</stp>
        <stp>.SPXW250509C5670</stp>
        <tr r="BC105" s="1"/>
      </tp>
      <tp t="s">
        <v>N/A</v>
        <stp/>
        <stp>VOLUME</stp>
        <stp>.SPXW250516C5780</stp>
        <tr r="BE94" s="1"/>
      </tp>
      <tp t="s">
        <v>N/A</v>
        <stp/>
        <stp>VOLUME</stp>
        <stp>.SPXW250606C5680</stp>
        <tr r="J105" s="2"/>
      </tp>
      <tp t="s">
        <v>N/A</v>
        <stp/>
        <stp>VOLUME</stp>
        <stp>.SPXW251128C5460</stp>
        <tr r="V127" s="2"/>
      </tp>
      <tp t="s">
        <v>N/A</v>
        <stp/>
        <stp>VOLUME</stp>
        <stp>.SPXW251128P5460</stp>
        <tr r="V127" s="2"/>
      </tp>
      <tp t="s">
        <v>N/A</v>
        <stp/>
        <stp>VOLUME</stp>
        <stp>.SPXW250829P5470</stp>
        <tr r="P126" s="2"/>
      </tp>
      <tp t="s">
        <v>N/A</v>
        <stp/>
        <stp>VOLUME</stp>
        <stp>.SPXW250508P5660</stp>
        <tr r="BB106" s="1"/>
      </tp>
      <tp t="s">
        <v>N/A</v>
        <stp/>
        <stp>VOLUME</stp>
        <stp>.SPXW250509P5670</stp>
        <tr r="BD105" s="1"/>
      </tp>
      <tp t="s">
        <v>N/A</v>
        <stp/>
        <stp>VOLUME</stp>
        <stp>.SPXW250516P5780</stp>
        <tr r="BF94" s="1"/>
      </tp>
      <tp t="s">
        <v>N/A</v>
        <stp/>
        <stp>VOLUME</stp>
        <stp>.SPXW250606P5680</stp>
        <tr r="J105" s="2"/>
      </tp>
      <tp t="s">
        <v>N/A</v>
        <stp/>
        <stp>VOLUME</stp>
        <stp>.SPXW250829C5460</stp>
        <tr r="P127" s="2"/>
      </tp>
      <tp t="s">
        <v>N/A</v>
        <stp/>
        <stp>VOLUME</stp>
        <stp>.SPXW250508C5670</stp>
        <tr r="BA105" s="1"/>
      </tp>
      <tp t="s">
        <v>N/A</v>
        <stp/>
        <stp>VOLUME</stp>
        <stp>.SPXW250509C5660</stp>
        <tr r="BC106" s="1"/>
      </tp>
      <tp t="s">
        <v>N/A</v>
        <stp/>
        <stp>VOLUME</stp>
        <stp>.SPXW250516C5790</stp>
        <tr r="BE93" s="1"/>
      </tp>
      <tp t="s">
        <v>N/A</v>
        <stp/>
        <stp>VOLUME</stp>
        <stp>.SPXW250606C5690</stp>
        <tr r="J104" s="2"/>
      </tp>
      <tp t="s">
        <v>N/A</v>
        <stp/>
        <stp>VOLUME</stp>
        <stp>.SPXW251128C5470</stp>
        <tr r="V126" s="2"/>
      </tp>
      <tp t="s">
        <v>N/A</v>
        <stp/>
        <stp>VOLUME</stp>
        <stp>.SPXW251128P5470</stp>
        <tr r="V126" s="2"/>
      </tp>
      <tp t="s">
        <v>N/A</v>
        <stp/>
        <stp>VOLUME</stp>
        <stp>.SPXW250829P5460</stp>
        <tr r="P127" s="2"/>
      </tp>
      <tp t="s">
        <v>N/A</v>
        <stp/>
        <stp>VOLUME</stp>
        <stp>.SPXW250508P5670</stp>
        <tr r="BB105" s="1"/>
      </tp>
      <tp t="s">
        <v>N/A</v>
        <stp/>
        <stp>VOLUME</stp>
        <stp>.SPXW250509P5660</stp>
        <tr r="BD106" s="1"/>
      </tp>
      <tp t="s">
        <v>N/A</v>
        <stp/>
        <stp>VOLUME</stp>
        <stp>.SPXW250516P5790</stp>
        <tr r="BF93" s="1"/>
      </tp>
      <tp t="s">
        <v>N/A</v>
        <stp/>
        <stp>VOLUME</stp>
        <stp>.SPXW250606P5690</stp>
        <tr r="J104" s="2"/>
      </tp>
      <tp t="s">
        <v>N/A</v>
        <stp/>
        <stp>VOLUME</stp>
        <stp>.NDXP251128P20350</stp>
        <tr r="V146" s="2"/>
      </tp>
      <tp t="s">
        <v>N/A</v>
        <stp/>
        <stp>VOLUME</stp>
        <stp>.NDXP251128P19350</stp>
        <tr r="V186" s="2"/>
      </tp>
      <tp t="s">
        <v>N/A</v>
        <stp/>
        <stp>VOLUME</stp>
        <stp>.SPXW250930C5500</stp>
        <tr r="R123" s="2"/>
      </tp>
      <tp t="s">
        <v>N/A</v>
        <stp/>
        <stp>VOLUME</stp>
        <stp>.SPXW250829C5490</stp>
        <tr r="P124" s="2"/>
      </tp>
      <tp t="s">
        <v>N/A</v>
        <stp/>
        <stp>VOLUME</stp>
        <stp>.SPXW250508C5680</stp>
        <tr r="BA104" s="1"/>
      </tp>
      <tp t="s">
        <v>N/A</v>
        <stp/>
        <stp>VOLUME</stp>
        <stp>.SPXW250509C5690</stp>
        <tr r="BC103" s="1"/>
      </tp>
      <tp t="s">
        <v>N/A</v>
        <stp/>
        <stp>VOLUME</stp>
        <stp>.SPXW250516C5760</stp>
        <tr r="BE96" s="1"/>
      </tp>
      <tp t="s">
        <v>N/A</v>
        <stp/>
        <stp>VOLUME</stp>
        <stp>.SPXW250530C5500</stp>
        <tr r="I123" s="2"/>
      </tp>
      <tp t="s">
        <v>N/A</v>
        <stp/>
        <stp>VOLUME</stp>
        <stp>.SPXW250731C5510</stp>
        <tr r="N122" s="2"/>
      </tp>
      <tp t="s">
        <v>N/A</v>
        <stp/>
        <stp>VOLUME</stp>
        <stp>.SPXW250606C5660</stp>
        <tr r="J107" s="2"/>
      </tp>
      <tp t="s">
        <v>N/A</v>
        <stp/>
        <stp>VOLUME</stp>
        <stp>.SPXW250630C5500</stp>
        <tr r="L123" s="2"/>
      </tp>
      <tp t="s">
        <v>N/A</v>
        <stp/>
        <stp>VOLUME</stp>
        <stp>.SPXW251128C5480</stp>
        <tr r="V125" s="2"/>
      </tp>
      <tp t="s">
        <v>N/A</v>
        <stp/>
        <stp>VOLUME</stp>
        <stp>.SPXW251031C5510</stp>
        <tr r="T122" s="2"/>
      </tp>
      <tp t="s">
        <v>N/A</v>
        <stp/>
        <stp>VOLUME</stp>
        <stp>.SPXW251231C5510</stp>
        <tr r="X122" s="2"/>
      </tp>
      <tp t="s">
        <v>N/A</v>
        <stp/>
        <stp>VOLUME</stp>
        <stp>.SPXW251128P5480</stp>
        <tr r="V125" s="2"/>
      </tp>
      <tp t="s">
        <v>N/A</v>
        <stp/>
        <stp>VOLUME</stp>
        <stp>.SPXW251031P5510</stp>
        <tr r="T122" s="2"/>
      </tp>
      <tp t="s">
        <v>N/A</v>
        <stp/>
        <stp>VOLUME</stp>
        <stp>.SPXW251231P5510</stp>
        <tr r="X122" s="2"/>
      </tp>
      <tp t="s">
        <v>N/A</v>
        <stp/>
        <stp>VOLUME</stp>
        <stp>.SPXW250930P5500</stp>
        <tr r="R123" s="2"/>
      </tp>
      <tp t="s">
        <v>N/A</v>
        <stp/>
        <stp>VOLUME</stp>
        <stp>.SPXW250829P5490</stp>
        <tr r="P124" s="2"/>
      </tp>
      <tp t="s">
        <v>N/A</v>
        <stp/>
        <stp>VOLUME</stp>
        <stp>.SPXW250508P5680</stp>
        <tr r="BB104" s="1"/>
      </tp>
      <tp t="s">
        <v>N/A</v>
        <stp/>
        <stp>VOLUME</stp>
        <stp>.SPXW250509P5690</stp>
        <tr r="BD103" s="1"/>
      </tp>
      <tp t="s">
        <v>N/A</v>
        <stp/>
        <stp>VOLUME</stp>
        <stp>.SPXW250516P5760</stp>
        <tr r="BF96" s="1"/>
      </tp>
      <tp t="s">
        <v>N/A</v>
        <stp/>
        <stp>VOLUME</stp>
        <stp>.SPXW250530P5500</stp>
        <tr r="I123" s="2"/>
      </tp>
      <tp t="s">
        <v>N/A</v>
        <stp/>
        <stp>VOLUME</stp>
        <stp>.SPXW250731P5510</stp>
        <tr r="N122" s="2"/>
      </tp>
      <tp t="s">
        <v>N/A</v>
        <stp/>
        <stp>VOLUME</stp>
        <stp>.SPXW250606P5660</stp>
        <tr r="J107" s="2"/>
      </tp>
      <tp t="s">
        <v>N/A</v>
        <stp/>
        <stp>VOLUME</stp>
        <stp>.SPXW250630P5500</stp>
        <tr r="L123" s="2"/>
      </tp>
      <tp t="s">
        <v>N/A</v>
        <stp/>
        <stp>VOLUME</stp>
        <stp>.NDXP250829P20250</stp>
        <tr r="P150" s="2"/>
      </tp>
      <tp t="s">
        <v>N/A</v>
        <stp/>
        <stp>VOLUME</stp>
        <stp>.NDXP250829P19250</stp>
        <tr r="P190" s="2"/>
      </tp>
      <tp t="s">
        <v>N/A</v>
        <stp/>
        <stp>VOLUME</stp>
        <stp>.NDXP250508P20350</stp>
        <tr r="BB145" s="1"/>
      </tp>
      <tp>
        <v>27</v>
        <stp/>
        <stp>VOLUME</stp>
        <stp>.NDXP250509P20250</stp>
        <tr r="BD149" s="1"/>
        <tr r="BD149" s="1"/>
      </tp>
      <tp t="s">
        <v>N/A</v>
        <stp/>
        <stp>VOLUME</stp>
        <stp>.NDXP250508P19350</stp>
        <tr r="BB185" s="1"/>
      </tp>
      <tp>
        <v>8</v>
        <stp/>
        <stp>VOLUME</stp>
        <stp>.NDXP250509P19250</stp>
        <tr r="BD189" s="1"/>
        <tr r="BD189" s="1"/>
      </tp>
      <tp t="s">
        <v>N/A</v>
        <stp/>
        <stp>VOLUME</stp>
        <stp>.SPXW250930C5510</stp>
        <tr r="R122" s="2"/>
      </tp>
      <tp t="s">
        <v>N/A</v>
        <stp/>
        <stp>VOLUME</stp>
        <stp>.SPXW250829C5480</stp>
        <tr r="P125" s="2"/>
      </tp>
      <tp t="s">
        <v>N/A</v>
        <stp/>
        <stp>VOLUME</stp>
        <stp>.SPXW250508C5690</stp>
        <tr r="BA103" s="1"/>
      </tp>
      <tp t="s">
        <v>N/A</v>
        <stp/>
        <stp>VOLUME</stp>
        <stp>.SPXW250509C5680</stp>
        <tr r="BC104" s="1"/>
      </tp>
      <tp t="s">
        <v>N/A</v>
        <stp/>
        <stp>VOLUME</stp>
        <stp>.SPXW250516C5770</stp>
        <tr r="BE95" s="1"/>
      </tp>
      <tp t="s">
        <v>N/A</v>
        <stp/>
        <stp>VOLUME</stp>
        <stp>.SPXW250530C5510</stp>
        <tr r="I122" s="2"/>
      </tp>
      <tp t="s">
        <v>N/A</v>
        <stp/>
        <stp>VOLUME</stp>
        <stp>.SPXW250731C5500</stp>
        <tr r="N123" s="2"/>
      </tp>
      <tp t="s">
        <v>N/A</v>
        <stp/>
        <stp>VOLUME</stp>
        <stp>.SPXW250606C5670</stp>
        <tr r="J106" s="2"/>
      </tp>
      <tp t="s">
        <v>N/A</v>
        <stp/>
        <stp>VOLUME</stp>
        <stp>.SPXW250630C5510</stp>
        <tr r="L122" s="2"/>
      </tp>
      <tp t="s">
        <v>N/A</v>
        <stp/>
        <stp>VOLUME</stp>
        <stp>.SPXW251128C5490</stp>
        <tr r="V124" s="2"/>
      </tp>
      <tp t="s">
        <v>N/A</v>
        <stp/>
        <stp>VOLUME</stp>
        <stp>.SPXW251031C5500</stp>
        <tr r="T123" s="2"/>
      </tp>
      <tp t="s">
        <v>N/A</v>
        <stp/>
        <stp>VOLUME</stp>
        <stp>.SPXW251231C5500</stp>
        <tr r="X123" s="2"/>
      </tp>
      <tp t="s">
        <v>N/A</v>
        <stp/>
        <stp>VOLUME</stp>
        <stp>.SPXW251128P5490</stp>
        <tr r="V124" s="2"/>
      </tp>
      <tp t="s">
        <v>N/A</v>
        <stp/>
        <stp>VOLUME</stp>
        <stp>.SPXW251031P5500</stp>
        <tr r="T123" s="2"/>
      </tp>
      <tp t="s">
        <v>N/A</v>
        <stp/>
        <stp>VOLUME</stp>
        <stp>.SPXW251231P5500</stp>
        <tr r="X123" s="2"/>
      </tp>
      <tp t="s">
        <v>N/A</v>
        <stp/>
        <stp>VOLUME</stp>
        <stp>.SPXW250930P5510</stp>
        <tr r="R122" s="2"/>
      </tp>
      <tp t="s">
        <v>N/A</v>
        <stp/>
        <stp>VOLUME</stp>
        <stp>.SPXW250829P5480</stp>
        <tr r="P125" s="2"/>
      </tp>
      <tp t="s">
        <v>N/A</v>
        <stp/>
        <stp>VOLUME</stp>
        <stp>.SPXW250508P5690</stp>
        <tr r="BB103" s="1"/>
      </tp>
      <tp t="s">
        <v>N/A</v>
        <stp/>
        <stp>VOLUME</stp>
        <stp>.SPXW250509P5680</stp>
        <tr r="BD104" s="1"/>
      </tp>
      <tp t="s">
        <v>N/A</v>
        <stp/>
        <stp>VOLUME</stp>
        <stp>.SPXW250516P5770</stp>
        <tr r="BF95" s="1"/>
      </tp>
      <tp t="s">
        <v>N/A</v>
        <stp/>
        <stp>VOLUME</stp>
        <stp>.SPXW250530P5510</stp>
        <tr r="I122" s="2"/>
      </tp>
      <tp t="s">
        <v>N/A</v>
        <stp/>
        <stp>VOLUME</stp>
        <stp>.SPXW250731P5500</stp>
        <tr r="N123" s="2"/>
      </tp>
      <tp t="s">
        <v>N/A</v>
        <stp/>
        <stp>VOLUME</stp>
        <stp>.SPXW250606P5670</stp>
        <tr r="J106" s="2"/>
      </tp>
      <tp t="s">
        <v>N/A</v>
        <stp/>
        <stp>VOLUME</stp>
        <stp>.SPXW250630P5510</stp>
        <tr r="L122" s="2"/>
      </tp>
      <tp t="s">
        <v>N/A</v>
        <stp/>
        <stp>VOLUME</stp>
        <stp>.NDXP251128P20375</stp>
        <tr r="V145" s="2"/>
      </tp>
      <tp t="s">
        <v>N/A</v>
        <stp/>
        <stp>VOLUME</stp>
        <stp>.NDXP251128P19375</stp>
        <tr r="V185" s="2"/>
      </tp>
      <tp t="s">
        <v>N/A</v>
        <stp/>
        <stp>VOLUME</stp>
        <stp>.SPXW250930C5520</stp>
        <tr r="R121" s="2"/>
      </tp>
      <tp t="s">
        <v>N/A</v>
        <stp/>
        <stp>VOLUME</stp>
        <stp>.SPXW250516C5740</stp>
        <tr r="BE98" s="1"/>
      </tp>
      <tp t="s">
        <v>N/A</v>
        <stp/>
        <stp>VOLUME</stp>
        <stp>.SPXW250530C5520</stp>
        <tr r="I121" s="2"/>
      </tp>
      <tp t="s">
        <v>N/A</v>
        <stp/>
        <stp>VOLUME</stp>
        <stp>.SPXW250731C5530</stp>
        <tr r="N120" s="2"/>
      </tp>
      <tp t="s">
        <v>N/A</v>
        <stp/>
        <stp>VOLUME</stp>
        <stp>.SPXW250606C5640</stp>
        <tr r="J109" s="2"/>
      </tp>
      <tp t="s">
        <v>N/A</v>
        <stp/>
        <stp>VOLUME</stp>
        <stp>.SPXW250630C5520</stp>
        <tr r="L121" s="2"/>
      </tp>
      <tp t="s">
        <v>N/A</v>
        <stp/>
        <stp>VOLUME</stp>
        <stp>.SPXW251031C5530</stp>
        <tr r="T120" s="2"/>
      </tp>
      <tp t="s">
        <v>N/A</v>
        <stp/>
        <stp>VOLUME</stp>
        <stp>.SPXW251231C5530</stp>
        <tr r="X120" s="2"/>
      </tp>
      <tp t="s">
        <v>N/A</v>
        <stp/>
        <stp>VOLUME</stp>
        <stp>.SPXW251031P5530</stp>
        <tr r="T120" s="2"/>
      </tp>
      <tp t="s">
        <v>N/A</v>
        <stp/>
        <stp>VOLUME</stp>
        <stp>.SPXW251231P5530</stp>
        <tr r="X120" s="2"/>
      </tp>
      <tp t="s">
        <v>N/A</v>
        <stp/>
        <stp>VOLUME</stp>
        <stp>.SPXW250930P5520</stp>
        <tr r="R121" s="2"/>
      </tp>
      <tp t="s">
        <v>N/A</v>
        <stp/>
        <stp>VOLUME</stp>
        <stp>.SPXW250516P5740</stp>
        <tr r="BF98" s="1"/>
      </tp>
      <tp t="s">
        <v>N/A</v>
        <stp/>
        <stp>VOLUME</stp>
        <stp>.SPXW250530P5520</stp>
        <tr r="I121" s="2"/>
      </tp>
      <tp t="s">
        <v>N/A</v>
        <stp/>
        <stp>VOLUME</stp>
        <stp>.SPXW250731P5530</stp>
        <tr r="N120" s="2"/>
      </tp>
      <tp t="s">
        <v>N/A</v>
        <stp/>
        <stp>VOLUME</stp>
        <stp>.SPXW250606P5640</stp>
        <tr r="J109" s="2"/>
      </tp>
      <tp t="s">
        <v>N/A</v>
        <stp/>
        <stp>VOLUME</stp>
        <stp>.SPXW250630P5520</stp>
        <tr r="L121" s="2"/>
      </tp>
      <tp t="s">
        <v>N/A</v>
        <stp/>
        <stp>VOLUME</stp>
        <stp>.NDXP250829P20275</stp>
        <tr r="P149" s="2"/>
      </tp>
      <tp t="s">
        <v>N/A</v>
        <stp/>
        <stp>VOLUME</stp>
        <stp>.NDXP250829P19275</stp>
        <tr r="P189" s="2"/>
      </tp>
      <tp t="s">
        <v>N/A</v>
        <stp/>
        <stp>VOLUME</stp>
        <stp>.NDXP250508P20375</stp>
        <tr r="BB144" s="1"/>
      </tp>
      <tp>
        <v>1</v>
        <stp/>
        <stp>VOLUME</stp>
        <stp>.NDXP250509P20275</stp>
        <tr r="BD148" s="1"/>
        <tr r="BD148" s="1"/>
      </tp>
      <tp t="s">
        <v>N/A</v>
        <stp/>
        <stp>VOLUME</stp>
        <stp>.NDXP250508P19375</stp>
        <tr r="BB184" s="1"/>
      </tp>
      <tp>
        <v>1</v>
        <stp/>
        <stp>VOLUME</stp>
        <stp>.NDXP250509P19275</stp>
        <tr r="BD188" s="1"/>
        <tr r="BD188" s="1"/>
      </tp>
      <tp t="s">
        <v>N/A</v>
        <stp/>
        <stp>VOLUME</stp>
        <stp>.SPXW250930C5530</stp>
        <tr r="R120" s="2"/>
      </tp>
      <tp t="s">
        <v>N/A</v>
        <stp/>
        <stp>VOLUME</stp>
        <stp>.SPXW250516C5750</stp>
        <tr r="BE97" s="1"/>
      </tp>
      <tp t="s">
        <v>N/A</v>
        <stp/>
        <stp>VOLUME</stp>
        <stp>.SPXW250530C5530</stp>
        <tr r="I120" s="2"/>
      </tp>
      <tp t="s">
        <v>N/A</v>
        <stp/>
        <stp>VOLUME</stp>
        <stp>.SPXW250731C5520</stp>
        <tr r="N121" s="2"/>
      </tp>
      <tp t="s">
        <v>N/A</v>
        <stp/>
        <stp>VOLUME</stp>
        <stp>.SPXW250606C5650</stp>
        <tr r="J108" s="2"/>
      </tp>
      <tp t="s">
        <v>N/A</v>
        <stp/>
        <stp>VOLUME</stp>
        <stp>.SPXW250630C5530</stp>
        <tr r="L120" s="2"/>
      </tp>
      <tp t="s">
        <v>N/A</v>
        <stp/>
        <stp>VOLUME</stp>
        <stp>.SPXW251031C5520</stp>
        <tr r="T121" s="2"/>
      </tp>
      <tp t="s">
        <v>N/A</v>
        <stp/>
        <stp>VOLUME</stp>
        <stp>.SPXW251231C5520</stp>
        <tr r="X121" s="2"/>
      </tp>
      <tp t="s">
        <v>N/A</v>
        <stp/>
        <stp>VOLUME</stp>
        <stp>.SPXW251031P5520</stp>
        <tr r="T121" s="2"/>
      </tp>
      <tp t="s">
        <v>N/A</v>
        <stp/>
        <stp>VOLUME</stp>
        <stp>.SPXW251231P5520</stp>
        <tr r="X121" s="2"/>
      </tp>
      <tp t="s">
        <v>N/A</v>
        <stp/>
        <stp>VOLUME</stp>
        <stp>.SPXW250930P5530</stp>
        <tr r="R120" s="2"/>
      </tp>
      <tp t="s">
        <v>N/A</v>
        <stp/>
        <stp>VOLUME</stp>
        <stp>.SPXW250516P5750</stp>
        <tr r="BF97" s="1"/>
      </tp>
      <tp t="s">
        <v>N/A</v>
        <stp/>
        <stp>VOLUME</stp>
        <stp>.SPXW250530P5530</stp>
        <tr r="I120" s="2"/>
      </tp>
      <tp t="s">
        <v>N/A</v>
        <stp/>
        <stp>VOLUME</stp>
        <stp>.SPXW250731P5520</stp>
        <tr r="N121" s="2"/>
      </tp>
      <tp t="s">
        <v>N/A</v>
        <stp/>
        <stp>VOLUME</stp>
        <stp>.SPXW250606P5650</stp>
        <tr r="J108" s="2"/>
      </tp>
      <tp t="s">
        <v>N/A</v>
        <stp/>
        <stp>VOLUME</stp>
        <stp>.SPXW250630P5530</stp>
        <tr r="L120" s="2"/>
      </tp>
      <tp t="s">
        <v>N/A</v>
        <stp/>
        <stp>VOLUME</stp>
        <stp>.NDXP250829P20200</stp>
        <tr r="P152" s="2"/>
      </tp>
      <tp t="s">
        <v>N/A</v>
        <stp/>
        <stp>VOLUME</stp>
        <stp>.NDXP250508P20300</stp>
        <tr r="BB147" s="1"/>
      </tp>
      <tp>
        <v>58</v>
        <stp/>
        <stp>VOLUME</stp>
        <stp>.NDXP250509P20200</stp>
        <tr r="BD151" s="1"/>
        <tr r="BD151" s="1"/>
      </tp>
      <tp t="s">
        <v>N/A</v>
        <stp/>
        <stp>VOLUME</stp>
        <stp>.NDXP250508P19300</stp>
        <tr r="BB187" s="1"/>
      </tp>
      <tp t="s">
        <v>N/A</v>
        <stp/>
        <stp>VOLUME</stp>
        <stp>.SPXW250930C5540</stp>
        <tr r="R119" s="2"/>
      </tp>
      <tp t="s">
        <v>N/A</v>
        <stp/>
        <stp>VOLUME</stp>
        <stp>.SPXW250516C5720</stp>
        <tr r="BE100" s="1"/>
      </tp>
      <tp t="s">
        <v>N/A</v>
        <stp/>
        <stp>VOLUME</stp>
        <stp>.SPXW250530C5540</stp>
        <tr r="I119" s="2"/>
      </tp>
      <tp t="s">
        <v>N/A</v>
        <stp/>
        <stp>VOLUME</stp>
        <stp>.SPXW250731C5550</stp>
        <tr r="N118" s="2"/>
      </tp>
      <tp t="s">
        <v>N/A</v>
        <stp/>
        <stp>VOLUME</stp>
        <stp>.SPXW250606C5620</stp>
        <tr r="J111" s="2"/>
      </tp>
      <tp t="s">
        <v>N/A</v>
        <stp/>
        <stp>VOLUME</stp>
        <stp>.SPXW250630C5540</stp>
        <tr r="L119" s="2"/>
      </tp>
      <tp t="s">
        <v>N/A</v>
        <stp/>
        <stp>VOLUME</stp>
        <stp>.SPXW251031C5550</stp>
        <tr r="T118" s="2"/>
      </tp>
      <tp t="s">
        <v>N/A</v>
        <stp/>
        <stp>VOLUME</stp>
        <stp>.SPXW251231C5550</stp>
        <tr r="X118" s="2"/>
      </tp>
      <tp t="s">
        <v>N/A</v>
        <stp/>
        <stp>VOLUME</stp>
        <stp>.SPXW251031P5550</stp>
        <tr r="T118" s="2"/>
      </tp>
      <tp t="s">
        <v>N/A</v>
        <stp/>
        <stp>VOLUME</stp>
        <stp>.SPXW251231P5550</stp>
        <tr r="X118" s="2"/>
      </tp>
      <tp t="s">
        <v>N/A</v>
        <stp/>
        <stp>VOLUME</stp>
        <stp>.SPXW250930P5540</stp>
        <tr r="R119" s="2"/>
      </tp>
      <tp t="s">
        <v>N/A</v>
        <stp/>
        <stp>VOLUME</stp>
        <stp>.SPXW250516P5720</stp>
        <tr r="BF100" s="1"/>
      </tp>
      <tp t="s">
        <v>N/A</v>
        <stp/>
        <stp>VOLUME</stp>
        <stp>.SPXW250530P5540</stp>
        <tr r="I119" s="2"/>
      </tp>
      <tp t="s">
        <v>N/A</v>
        <stp/>
        <stp>VOLUME</stp>
        <stp>.SPXW250731P5550</stp>
        <tr r="N118" s="2"/>
      </tp>
      <tp t="s">
        <v>N/A</v>
        <stp/>
        <stp>VOLUME</stp>
        <stp>.SPXW250606P5620</stp>
        <tr r="J111" s="2"/>
      </tp>
      <tp t="s">
        <v>N/A</v>
        <stp/>
        <stp>VOLUME</stp>
        <stp>.SPXW250630P5540</stp>
        <tr r="L119" s="2"/>
      </tp>
      <tp t="s">
        <v>N/A</v>
        <stp/>
        <stp>VOLUME</stp>
        <stp>.NDXP251128P20300</stp>
        <tr r="V148" s="2"/>
      </tp>
      <tp t="s">
        <v>N/A</v>
        <stp/>
        <stp>VOLUME</stp>
        <stp>.NDXP251128P19300</stp>
        <tr r="V188" s="2"/>
      </tp>
      <tp t="s">
        <v>N/A</v>
        <stp/>
        <stp>VOLUME</stp>
        <stp>.SPXW250930C5550</stp>
        <tr r="R118" s="2"/>
      </tp>
      <tp t="s">
        <v>N/A</v>
        <stp/>
        <stp>VOLUME</stp>
        <stp>.SPXW250516C5730</stp>
        <tr r="BE99" s="1"/>
      </tp>
      <tp t="s">
        <v>N/A</v>
        <stp/>
        <stp>VOLUME</stp>
        <stp>.SPXW250530C5550</stp>
        <tr r="I118" s="2"/>
      </tp>
      <tp t="s">
        <v>N/A</v>
        <stp/>
        <stp>VOLUME</stp>
        <stp>.SPXW250731C5540</stp>
        <tr r="N119" s="2"/>
      </tp>
      <tp t="s">
        <v>N/A</v>
        <stp/>
        <stp>VOLUME</stp>
        <stp>.SPXW250606C5630</stp>
        <tr r="J110" s="2"/>
      </tp>
      <tp t="s">
        <v>N/A</v>
        <stp/>
        <stp>VOLUME</stp>
        <stp>.SPXW250630C5550</stp>
        <tr r="L118" s="2"/>
      </tp>
      <tp t="s">
        <v>N/A</v>
        <stp/>
        <stp>VOLUME</stp>
        <stp>.SPXW251031C5540</stp>
        <tr r="T119" s="2"/>
      </tp>
      <tp t="s">
        <v>N/A</v>
        <stp/>
        <stp>VOLUME</stp>
        <stp>.SPXW251231C5540</stp>
        <tr r="X119" s="2"/>
      </tp>
      <tp t="s">
        <v>N/A</v>
        <stp/>
        <stp>VOLUME</stp>
        <stp>.SPXW251031P5540</stp>
        <tr r="T119" s="2"/>
      </tp>
      <tp t="s">
        <v>N/A</v>
        <stp/>
        <stp>VOLUME</stp>
        <stp>.SPXW251231P5540</stp>
        <tr r="X119" s="2"/>
      </tp>
      <tp t="s">
        <v>N/A</v>
        <stp/>
        <stp>VOLUME</stp>
        <stp>.SPXW250930P5550</stp>
        <tr r="R118" s="2"/>
      </tp>
      <tp t="s">
        <v>N/A</v>
        <stp/>
        <stp>VOLUME</stp>
        <stp>.SPXW250516P5730</stp>
        <tr r="BF99" s="1"/>
      </tp>
      <tp t="s">
        <v>N/A</v>
        <stp/>
        <stp>VOLUME</stp>
        <stp>.SPXW250530P5550</stp>
        <tr r="I118" s="2"/>
      </tp>
      <tp t="s">
        <v>N/A</v>
        <stp/>
        <stp>VOLUME</stp>
        <stp>.SPXW250731P5540</stp>
        <tr r="N119" s="2"/>
      </tp>
      <tp t="s">
        <v>N/A</v>
        <stp/>
        <stp>VOLUME</stp>
        <stp>.SPXW250606P5630</stp>
        <tr r="J110" s="2"/>
      </tp>
      <tp t="s">
        <v>N/A</v>
        <stp/>
        <stp>VOLUME</stp>
        <stp>.SPXW250630P5550</stp>
        <tr r="L118" s="2"/>
      </tp>
      <tp t="s">
        <v>N/A</v>
        <stp/>
        <stp>VOLUME</stp>
        <stp>.NDXP250829P20225</stp>
        <tr r="P151" s="2"/>
      </tp>
      <tp t="s">
        <v>N/A</v>
        <stp/>
        <stp>VOLUME</stp>
        <stp>.NDXP250508P20325</stp>
        <tr r="BB146" s="1"/>
      </tp>
      <tp>
        <v>33</v>
        <stp/>
        <stp>VOLUME</stp>
        <stp>.NDXP250509P20225</stp>
        <tr r="BD150" s="1"/>
        <tr r="BD150" s="1"/>
      </tp>
      <tp t="s">
        <v>N/A</v>
        <stp/>
        <stp>VOLUME</stp>
        <stp>.NDXP250508P19325</stp>
        <tr r="BB186" s="1"/>
      </tp>
      <tp t="s">
        <v>N/A</v>
        <stp/>
        <stp>VOLUME</stp>
        <stp>.SPXW250930C5560</stp>
        <tr r="R117" s="2"/>
      </tp>
      <tp>
        <v>2</v>
        <stp/>
        <stp>VOLUME</stp>
        <stp>.SPXW250516C5700</stp>
        <tr r="BE102" s="1"/>
        <tr r="BE102" s="1"/>
      </tp>
      <tp t="s">
        <v>N/A</v>
        <stp/>
        <stp>VOLUME</stp>
        <stp>.SPXW250530C5560</stp>
        <tr r="I117" s="2"/>
      </tp>
      <tp t="s">
        <v>N/A</v>
        <stp/>
        <stp>VOLUME</stp>
        <stp>.SPXW250731C5570</stp>
        <tr r="N116" s="2"/>
      </tp>
      <tp t="s">
        <v>N/A</v>
        <stp/>
        <stp>VOLUME</stp>
        <stp>.SPXW250606C5600</stp>
        <tr r="J113" s="2"/>
      </tp>
      <tp t="s">
        <v>N/A</v>
        <stp/>
        <stp>VOLUME</stp>
        <stp>.SPXW250630C5560</stp>
        <tr r="L117" s="2"/>
      </tp>
      <tp t="s">
        <v>N/A</v>
        <stp/>
        <stp>VOLUME</stp>
        <stp>.SPXW251031C5570</stp>
        <tr r="T116" s="2"/>
      </tp>
      <tp t="s">
        <v>N/A</v>
        <stp/>
        <stp>VOLUME</stp>
        <stp>.SPXW251231C5570</stp>
        <tr r="X116" s="2"/>
      </tp>
      <tp t="s">
        <v>N/A</v>
        <stp/>
        <stp>VOLUME</stp>
        <stp>.SPXW251031P5570</stp>
        <tr r="T116" s="2"/>
      </tp>
      <tp t="s">
        <v>N/A</v>
        <stp/>
        <stp>VOLUME</stp>
        <stp>.SPXW251231P5570</stp>
        <tr r="X116" s="2"/>
      </tp>
      <tp t="s">
        <v>N/A</v>
        <stp/>
        <stp>VOLUME</stp>
        <stp>.SPXW250930P5560</stp>
        <tr r="R117" s="2"/>
      </tp>
      <tp>
        <v>1</v>
        <stp/>
        <stp>VOLUME</stp>
        <stp>.SPXW250516P5700</stp>
        <tr r="BF102" s="1"/>
        <tr r="BF102" s="1"/>
      </tp>
      <tp t="s">
        <v>N/A</v>
        <stp/>
        <stp>VOLUME</stp>
        <stp>.SPXW250530P5560</stp>
        <tr r="I117" s="2"/>
      </tp>
      <tp t="s">
        <v>N/A</v>
        <stp/>
        <stp>VOLUME</stp>
        <stp>.SPXW250731P5570</stp>
        <tr r="N116" s="2"/>
      </tp>
      <tp t="s">
        <v>N/A</v>
        <stp/>
        <stp>VOLUME</stp>
        <stp>.SPXW250606P5600</stp>
        <tr r="J113" s="2"/>
      </tp>
      <tp t="s">
        <v>N/A</v>
        <stp/>
        <stp>VOLUME</stp>
        <stp>.SPXW250630P5560</stp>
        <tr r="L117" s="2"/>
      </tp>
      <tp t="s">
        <v>N/A</v>
        <stp/>
        <stp>VOLUME</stp>
        <stp>.NDXP251128P20325</stp>
        <tr r="V147" s="2"/>
      </tp>
      <tp t="s">
        <v>N/A</v>
        <stp/>
        <stp>VOLUME</stp>
        <stp>.NDXP251128P19325</stp>
        <tr r="V187" s="2"/>
      </tp>
      <tp t="s">
        <v>N/A</v>
        <stp/>
        <stp>VOLUME</stp>
        <stp>.SPXW250930C5570</stp>
        <tr r="R116" s="2"/>
      </tp>
      <tp t="s">
        <v>N/A</v>
        <stp/>
        <stp>VOLUME</stp>
        <stp>.SPXW250516C5710</stp>
        <tr r="BE101" s="1"/>
      </tp>
      <tp t="s">
        <v>N/A</v>
        <stp/>
        <stp>VOLUME</stp>
        <stp>.SPXW250530C5570</stp>
        <tr r="I116" s="2"/>
      </tp>
      <tp t="s">
        <v>N/A</v>
        <stp/>
        <stp>VOLUME</stp>
        <stp>.SPXW250731C5560</stp>
        <tr r="N117" s="2"/>
      </tp>
      <tp t="s">
        <v>N/A</v>
        <stp/>
        <stp>VOLUME</stp>
        <stp>.SPXW250606C5610</stp>
        <tr r="J112" s="2"/>
      </tp>
      <tp t="s">
        <v>N/A</v>
        <stp/>
        <stp>VOLUME</stp>
        <stp>.SPXW250630C5570</stp>
        <tr r="L116" s="2"/>
      </tp>
      <tp t="s">
        <v>N/A</v>
        <stp/>
        <stp>VOLUME</stp>
        <stp>.SPXW251031C5560</stp>
        <tr r="T117" s="2"/>
      </tp>
      <tp t="s">
        <v>N/A</v>
        <stp/>
        <stp>VOLUME</stp>
        <stp>.SPXW251231C5560</stp>
        <tr r="X117" s="2"/>
      </tp>
      <tp t="s">
        <v>N/A</v>
        <stp/>
        <stp>VOLUME</stp>
        <stp>.SPXW251031P5560</stp>
        <tr r="T117" s="2"/>
      </tp>
      <tp t="s">
        <v>N/A</v>
        <stp/>
        <stp>VOLUME</stp>
        <stp>.SPXW251231P5560</stp>
        <tr r="X117" s="2"/>
      </tp>
      <tp t="s">
        <v>N/A</v>
        <stp/>
        <stp>VOLUME</stp>
        <stp>.SPXW250930P5570</stp>
        <tr r="R116" s="2"/>
      </tp>
      <tp t="s">
        <v>N/A</v>
        <stp/>
        <stp>VOLUME</stp>
        <stp>.SPXW250516P5710</stp>
        <tr r="BF101" s="1"/>
      </tp>
      <tp t="s">
        <v>N/A</v>
        <stp/>
        <stp>VOLUME</stp>
        <stp>.SPXW250530P5570</stp>
        <tr r="I116" s="2"/>
      </tp>
      <tp t="s">
        <v>N/A</v>
        <stp/>
        <stp>VOLUME</stp>
        <stp>.SPXW250731P5560</stp>
        <tr r="N117" s="2"/>
      </tp>
      <tp t="s">
        <v>N/A</v>
        <stp/>
        <stp>VOLUME</stp>
        <stp>.SPXW250606P5610</stp>
        <tr r="J112" s="2"/>
      </tp>
      <tp t="s">
        <v>N/A</v>
        <stp/>
        <stp>VOLUME</stp>
        <stp>.SPXW250630P5570</stp>
        <tr r="L116" s="2"/>
      </tp>
      <tp>
        <v>14</v>
        <stp/>
        <stp>OPEN_INT</stp>
        <stp>.NDXP250508C19500</stp>
        <tr r="AS179" s="1"/>
        <tr r="AS179" s="1"/>
      </tp>
      <tp>
        <v>9</v>
        <stp/>
        <stp>OPEN_INT</stp>
        <stp>.NDXP250509C19400</stp>
        <tr r="AU183" s="1"/>
        <tr r="AU183" s="1"/>
      </tp>
      <tp>
        <v>26</v>
        <stp/>
        <stp>OPEN_INT</stp>
        <stp>.NDXP250508C20500</stp>
        <tr r="AS139" s="1"/>
        <tr r="AS139" s="1"/>
      </tp>
      <tp>
        <v>66</v>
        <stp/>
        <stp>OPEN_INT</stp>
        <stp>.NDXP250509C20400</stp>
        <tr r="AU143" s="1"/>
        <tr r="AU143" s="1"/>
      </tp>
      <tp>
        <v>0</v>
        <stp/>
        <stp>OPEN_INT</stp>
        <stp>.NDXP250508C19525</stp>
        <tr r="AS178" s="1"/>
        <tr r="AS178" s="1"/>
      </tp>
      <tp>
        <v>1</v>
        <stp/>
        <stp>OPEN_INT</stp>
        <stp>.NDXP250509C19425</stp>
        <tr r="AU182" s="1"/>
        <tr r="AU182" s="1"/>
      </tp>
      <tp>
        <v>4</v>
        <stp/>
        <stp>OPEN_INT</stp>
        <stp>.NDXP250508C20525</stp>
        <tr r="AS138" s="1"/>
        <tr r="AS138" s="1"/>
      </tp>
      <tp>
        <v>4</v>
        <stp/>
        <stp>OPEN_INT</stp>
        <stp>.NDXP250509C20425</stp>
        <tr r="AU142" s="1"/>
        <tr r="AU142" s="1"/>
      </tp>
      <tp>
        <v>0</v>
        <stp/>
        <stp>OPEN_INT</stp>
        <stp>.NDXP250508C19550</stp>
        <tr r="AS177" s="1"/>
        <tr r="AS177" s="1"/>
      </tp>
      <tp>
        <v>8</v>
        <stp/>
        <stp>OPEN_INT</stp>
        <stp>.NDXP250509C19450</stp>
        <tr r="AU181" s="1"/>
        <tr r="AU181" s="1"/>
      </tp>
      <tp>
        <v>5</v>
        <stp/>
        <stp>OPEN_INT</stp>
        <stp>.NDXP250508C20550</stp>
        <tr r="AS137" s="1"/>
        <tr r="AS137" s="1"/>
      </tp>
      <tp>
        <v>40</v>
        <stp/>
        <stp>OPEN_INT</stp>
        <stp>.NDXP250509C20450</stp>
        <tr r="AU141" s="1"/>
        <tr r="AU141" s="1"/>
      </tp>
      <tp>
        <v>1</v>
        <stp/>
        <stp>OPEN_INT</stp>
        <stp>.NDXP250508C19575</stp>
        <tr r="AS176" s="1"/>
        <tr r="AS176" s="1"/>
      </tp>
      <tp>
        <v>1</v>
        <stp/>
        <stp>OPEN_INT</stp>
        <stp>.NDXP250509C19475</stp>
        <tr r="AU180" s="1"/>
        <tr r="AU180" s="1"/>
      </tp>
      <tp>
        <v>10</v>
        <stp/>
        <stp>OPEN_INT</stp>
        <stp>.NDXP250509C20475</stp>
        <tr r="AU140" s="1"/>
        <tr r="AU140" s="1"/>
      </tp>
      <tp>
        <v>3</v>
        <stp/>
        <stp>OPEN_INT</stp>
        <stp>.NDXP250508P19525</stp>
        <tr r="AT178" s="1"/>
        <tr r="AT178" s="1"/>
      </tp>
      <tp>
        <v>36</v>
        <stp/>
        <stp>OPEN_INT</stp>
        <stp>.NDXP250509P19425</stp>
        <tr r="AV182" s="1"/>
        <tr r="AV182" s="1"/>
      </tp>
      <tp>
        <v>0</v>
        <stp/>
        <stp>OPEN_INT</stp>
        <stp>.NDXP250508P20525</stp>
        <tr r="AT138" s="1"/>
        <tr r="AT138" s="1"/>
      </tp>
      <tp>
        <v>3</v>
        <stp/>
        <stp>OPEN_INT</stp>
        <stp>.NDXP250509P20425</stp>
        <tr r="AV142" s="1"/>
        <tr r="AV142" s="1"/>
      </tp>
      <tp>
        <v>11</v>
        <stp/>
        <stp>OPEN_INT</stp>
        <stp>.NDXP250508P19500</stp>
        <tr r="AT179" s="1"/>
        <tr r="AT179" s="1"/>
      </tp>
      <tp>
        <v>40</v>
        <stp/>
        <stp>OPEN_INT</stp>
        <stp>.NDXP250509P19400</stp>
        <tr r="AV183" s="1"/>
        <tr r="AV183" s="1"/>
      </tp>
      <tp>
        <v>1</v>
        <stp/>
        <stp>OPEN_INT</stp>
        <stp>.NDXP250508P20500</stp>
        <tr r="AT139" s="1"/>
        <tr r="AT139" s="1"/>
      </tp>
      <tp>
        <v>1</v>
        <stp/>
        <stp>OPEN_INT</stp>
        <stp>.NDXP250509P20400</stp>
        <tr r="AV143" s="1"/>
        <tr r="AV143" s="1"/>
      </tp>
      <tp>
        <v>7</v>
        <stp/>
        <stp>OPEN_INT</stp>
        <stp>.NDXP250508P19575</stp>
        <tr r="AT176" s="1"/>
        <tr r="AT176" s="1"/>
      </tp>
      <tp>
        <v>10</v>
        <stp/>
        <stp>OPEN_INT</stp>
        <stp>.NDXP250509P19475</stp>
        <tr r="AV180" s="1"/>
        <tr r="AV180" s="1"/>
      </tp>
      <tp>
        <v>0</v>
        <stp/>
        <stp>OPEN_INT</stp>
        <stp>.NDXP250509P20475</stp>
        <tr r="AV140" s="1"/>
        <tr r="AV140" s="1"/>
      </tp>
      <tp>
        <v>11</v>
        <stp/>
        <stp>OPEN_INT</stp>
        <stp>.NDXP250508P19550</stp>
        <tr r="AT177" s="1"/>
        <tr r="AT177" s="1"/>
      </tp>
      <tp>
        <v>18</v>
        <stp/>
        <stp>OPEN_INT</stp>
        <stp>.NDXP250509P19450</stp>
        <tr r="AV181" s="1"/>
        <tr r="AV181" s="1"/>
      </tp>
      <tp>
        <v>0</v>
        <stp/>
        <stp>OPEN_INT</stp>
        <stp>.NDXP250508P20550</stp>
        <tr r="AT137" s="1"/>
        <tr r="AT137" s="1"/>
      </tp>
      <tp>
        <v>2</v>
        <stp/>
        <stp>OPEN_INT</stp>
        <stp>.NDXP250509P20450</stp>
        <tr r="AV141" s="1"/>
        <tr r="AV141" s="1"/>
      </tp>
      <tp t="s">
        <v>N/A</v>
        <stp/>
        <stp>VOLUME</stp>
        <stp>.NDXP250930C20475</stp>
        <tr r="R141" s="2"/>
      </tp>
      <tp t="s">
        <v>N/A</v>
        <stp/>
        <stp>VOLUME</stp>
        <stp>.NDXP250930C19475</stp>
        <tr r="R181" s="2"/>
      </tp>
      <tp t="s">
        <v>N/A</v>
        <stp/>
        <stp>VOLUME</stp>
        <stp>.NDXP250731C19575</stp>
        <tr r="N177" s="2"/>
      </tp>
      <tp t="s">
        <v>N/A</v>
        <stp/>
        <stp>VOLUME</stp>
        <stp>.NDXP250606C19275</stp>
        <tr r="J189" s="2"/>
      </tp>
      <tp t="s">
        <v>N/A</v>
        <stp/>
        <stp>VOLUME</stp>
        <stp>.NDXP250630C19475</stp>
        <tr r="L181" s="2"/>
      </tp>
      <tp t="s">
        <v>N/A</v>
        <stp/>
        <stp>VOLUME</stp>
        <stp>.NDXP250530C20475</stp>
        <tr r="I141" s="2"/>
      </tp>
      <tp t="s">
        <v>N/A</v>
        <stp/>
        <stp>VOLUME</stp>
        <stp>.NDXP250530C19475</stp>
        <tr r="I181" s="2"/>
      </tp>
      <tp t="s">
        <v>N/A</v>
        <stp/>
        <stp>VOLUME</stp>
        <stp>.NDXP250606C20275</stp>
        <tr r="J149" s="2"/>
      </tp>
      <tp t="s">
        <v>N/A</v>
        <stp/>
        <stp>VOLUME</stp>
        <stp>.NDXP250630C20475</stp>
        <tr r="L141" s="2"/>
      </tp>
      <tp t="s">
        <v>N/A</v>
        <stp/>
        <stp>VOLUME</stp>
        <stp>.NDXP251231C19575</stp>
        <tr r="X177" s="2"/>
      </tp>
      <tp t="s">
        <v>N/A</v>
        <stp/>
        <stp>VOLUME</stp>
        <stp>.NDXP251031C19575</stp>
        <tr r="T177" s="2"/>
      </tp>
      <tp t="s">
        <v>N/A</v>
        <stp/>
        <stp>VOLUME</stp>
        <stp>.NDXP250930C20450</stp>
        <tr r="R142" s="2"/>
      </tp>
      <tp t="s">
        <v>N/A</v>
        <stp/>
        <stp>VOLUME</stp>
        <stp>.NDXP250930C19450</stp>
        <tr r="R182" s="2"/>
      </tp>
      <tp>
        <v>1</v>
        <stp/>
        <stp>VOLUME</stp>
        <stp>.NDXP250606C19250</stp>
        <tr r="J190" s="2"/>
        <tr r="J190" s="2"/>
      </tp>
      <tp t="s">
        <v>N/A</v>
        <stp/>
        <stp>VOLUME</stp>
        <stp>.NDXP250630C19450</stp>
        <tr r="L182" s="2"/>
      </tp>
      <tp t="s">
        <v>N/A</v>
        <stp/>
        <stp>VOLUME</stp>
        <stp>.NDXP250530C20450</stp>
        <tr r="I142" s="2"/>
      </tp>
      <tp t="s">
        <v>N/A</v>
        <stp/>
        <stp>VOLUME</stp>
        <stp>.NDXP250731C19550</stp>
        <tr r="N178" s="2"/>
      </tp>
      <tp t="s">
        <v>N/A</v>
        <stp/>
        <stp>VOLUME</stp>
        <stp>.NDXP250731C20550</stp>
        <tr r="N138" s="2"/>
      </tp>
      <tp t="s">
        <v>N/A</v>
        <stp/>
        <stp>VOLUME</stp>
        <stp>.NDXP250530C19450</stp>
        <tr r="I182" s="2"/>
      </tp>
      <tp>
        <v>1</v>
        <stp/>
        <stp>VOLUME</stp>
        <stp>.NDXP250606C20250</stp>
        <tr r="J150" s="2"/>
        <tr r="J150" s="2"/>
      </tp>
      <tp t="s">
        <v>N/A</v>
        <stp/>
        <stp>VOLUME</stp>
        <stp>.NDXP250630C20450</stp>
        <tr r="L142" s="2"/>
      </tp>
      <tp t="s">
        <v>N/A</v>
        <stp/>
        <stp>VOLUME</stp>
        <stp>.NDXP251231C19550</stp>
        <tr r="X178" s="2"/>
      </tp>
      <tp t="s">
        <v>N/A</v>
        <stp/>
        <stp>VOLUME</stp>
        <stp>.NDXP251031C20550</stp>
        <tr r="T138" s="2"/>
      </tp>
      <tp t="s">
        <v>N/A</v>
        <stp/>
        <stp>VOLUME</stp>
        <stp>.NDXP251031C19550</stp>
        <tr r="T178" s="2"/>
      </tp>
      <tp t="s">
        <v>N/A</v>
        <stp/>
        <stp>VOLUME</stp>
        <stp>.NDXP251231C20550</stp>
        <tr r="X138" s="2"/>
      </tp>
      <tp t="s">
        <v>N/A</v>
        <stp/>
        <stp>VOLUME</stp>
        <stp>.NDXP251031C20525</stp>
        <tr r="T139" s="2"/>
      </tp>
      <tp t="s">
        <v>N/A</v>
        <stp/>
        <stp>VOLUME</stp>
        <stp>.NDXP251231C19525</stp>
        <tr r="X179" s="2"/>
      </tp>
      <tp t="s">
        <v>N/A</v>
        <stp/>
        <stp>VOLUME</stp>
        <stp>.NDXP251231C20525</stp>
        <tr r="X139" s="2"/>
      </tp>
      <tp t="s">
        <v>N/A</v>
        <stp/>
        <stp>VOLUME</stp>
        <stp>.NDXP251031C19525</stp>
        <tr r="T179" s="2"/>
      </tp>
      <tp t="s">
        <v>N/A</v>
        <stp/>
        <stp>VOLUME</stp>
        <stp>.NDXP250930C20425</stp>
        <tr r="R143" s="2"/>
      </tp>
      <tp t="s">
        <v>N/A</v>
        <stp/>
        <stp>VOLUME</stp>
        <stp>.NDXP250930C19425</stp>
        <tr r="R183" s="2"/>
      </tp>
      <tp t="s">
        <v>N/A</v>
        <stp/>
        <stp>VOLUME</stp>
        <stp>.NDXP250731C19525</stp>
        <tr r="N179" s="2"/>
      </tp>
      <tp t="s">
        <v>N/A</v>
        <stp/>
        <stp>VOLUME</stp>
        <stp>.NDXP250630C19425</stp>
        <tr r="L183" s="2"/>
      </tp>
      <tp t="s">
        <v>N/A</v>
        <stp/>
        <stp>VOLUME</stp>
        <stp>.NDXP250530C20425</stp>
        <tr r="I143" s="2"/>
      </tp>
      <tp t="s">
        <v>N/A</v>
        <stp/>
        <stp>VOLUME</stp>
        <stp>.NDXP250530C19425</stp>
        <tr r="I183" s="2"/>
      </tp>
      <tp t="s">
        <v>N/A</v>
        <stp/>
        <stp>VOLUME</stp>
        <stp>.NDXP250606C20225</stp>
        <tr r="J151" s="2"/>
      </tp>
      <tp t="s">
        <v>N/A</v>
        <stp/>
        <stp>VOLUME</stp>
        <stp>.NDXP250630C20425</stp>
        <tr r="L143" s="2"/>
      </tp>
      <tp t="s">
        <v>N/A</v>
        <stp/>
        <stp>VOLUME</stp>
        <stp>.NDXP250731C20525</stp>
        <tr r="N139" s="2"/>
      </tp>
      <tp t="s">
        <v>N/A</v>
        <stp/>
        <stp>VOLUME</stp>
        <stp>.NDXP251231C19500</stp>
        <tr r="X180" s="2"/>
      </tp>
      <tp t="s">
        <v>N/A</v>
        <stp/>
        <stp>VOLUME</stp>
        <stp>.NDXP251031C20500</stp>
        <tr r="T140" s="2"/>
      </tp>
      <tp t="s">
        <v>N/A</v>
        <stp/>
        <stp>VOLUME</stp>
        <stp>.NDXP251031C19500</stp>
        <tr r="T180" s="2"/>
      </tp>
      <tp t="s">
        <v>N/A</v>
        <stp/>
        <stp>VOLUME</stp>
        <stp>.NDXP251231C20500</stp>
        <tr r="X140" s="2"/>
      </tp>
      <tp t="s">
        <v>N/A</v>
        <stp/>
        <stp>VOLUME</stp>
        <stp>.NDXP250930C20400</stp>
        <tr r="R144" s="2"/>
      </tp>
      <tp t="s">
        <v>N/A</v>
        <stp/>
        <stp>VOLUME</stp>
        <stp>.NDXP250930C19400</stp>
        <tr r="R184" s="2"/>
      </tp>
      <tp t="s">
        <v>N/A</v>
        <stp/>
        <stp>VOLUME</stp>
        <stp>.NDXP250630C19400</stp>
        <tr r="L184" s="2"/>
      </tp>
      <tp>
        <v>9</v>
        <stp/>
        <stp>VOLUME</stp>
        <stp>.NDXP250530C20400</stp>
        <tr r="I144" s="2"/>
        <tr r="I144" s="2"/>
      </tp>
      <tp t="s">
        <v>N/A</v>
        <stp/>
        <stp>VOLUME</stp>
        <stp>.NDXP250731C19500</stp>
        <tr r="N180" s="2"/>
      </tp>
      <tp t="s">
        <v>N/A</v>
        <stp/>
        <stp>VOLUME</stp>
        <stp>.NDXP250731C20500</stp>
        <tr r="N140" s="2"/>
      </tp>
      <tp t="s">
        <v>N/A</v>
        <stp/>
        <stp>VOLUME</stp>
        <stp>.NDXP250530C19400</stp>
        <tr r="I184" s="2"/>
      </tp>
      <tp>
        <v>2</v>
        <stp/>
        <stp>VOLUME</stp>
        <stp>.NDXP250606C20200</stp>
        <tr r="J152" s="2"/>
        <tr r="J152" s="2"/>
      </tp>
      <tp t="s">
        <v>N/A</v>
        <stp/>
        <stp>VOLUME</stp>
        <stp>.NDXP250630C20400</stp>
        <tr r="L144" s="2"/>
      </tp>
      <tp t="s">
        <v>N/A</v>
        <stp/>
        <stp>VOLUME</stp>
        <stp>.NDXP251231P19550</stp>
        <tr r="X178" s="2"/>
      </tp>
      <tp t="s">
        <v>N/A</v>
        <stp/>
        <stp>VOLUME</stp>
        <stp>.NDXP251031P20550</stp>
        <tr r="T138" s="2"/>
      </tp>
      <tp t="s">
        <v>N/A</v>
        <stp/>
        <stp>VOLUME</stp>
        <stp>.NDXP251031P19550</stp>
        <tr r="T178" s="2"/>
      </tp>
      <tp t="s">
        <v>N/A</v>
        <stp/>
        <stp>VOLUME</stp>
        <stp>.NDXP251231P20550</stp>
        <tr r="X138" s="2"/>
      </tp>
      <tp t="s">
        <v>N/A</v>
        <stp/>
        <stp>VOLUME</stp>
        <stp>.SPXW250516C5860</stp>
        <tr r="BE86" s="1"/>
      </tp>
      <tp t="s">
        <v>N/A</v>
        <stp/>
        <stp>VOLUME</stp>
        <stp>.SPXW250516P5860</stp>
        <tr r="BF86" s="1"/>
      </tp>
      <tp t="s">
        <v>N/A</v>
        <stp/>
        <stp>VOLUME</stp>
        <stp>.NDXP250930P20450</stp>
        <tr r="R142" s="2"/>
      </tp>
      <tp t="s">
        <v>N/A</v>
        <stp/>
        <stp>VOLUME</stp>
        <stp>.NDXP250930P19450</stp>
        <tr r="R182" s="2"/>
      </tp>
      <tp t="s">
        <v>N/A</v>
        <stp/>
        <stp>VOLUME</stp>
        <stp>.NDXP250606P19250</stp>
        <tr r="J190" s="2"/>
      </tp>
      <tp t="s">
        <v>N/A</v>
        <stp/>
        <stp>VOLUME</stp>
        <stp>.NDXP250630P19450</stp>
        <tr r="L182" s="2"/>
      </tp>
      <tp t="s">
        <v>N/A</v>
        <stp/>
        <stp>VOLUME</stp>
        <stp>.NDXP250530P20450</stp>
        <tr r="I142" s="2"/>
      </tp>
      <tp t="s">
        <v>N/A</v>
        <stp/>
        <stp>VOLUME</stp>
        <stp>.NDXP250731P19550</stp>
        <tr r="N178" s="2"/>
      </tp>
      <tp t="s">
        <v>N/A</v>
        <stp/>
        <stp>VOLUME</stp>
        <stp>.NDXP250731P20550</stp>
        <tr r="N138" s="2"/>
      </tp>
      <tp t="s">
        <v>N/A</v>
        <stp/>
        <stp>VOLUME</stp>
        <stp>.NDXP250530P19450</stp>
        <tr r="I182" s="2"/>
      </tp>
      <tp t="s">
        <v>N/A</v>
        <stp/>
        <stp>VOLUME</stp>
        <stp>.NDXP250606P20250</stp>
        <tr r="J150" s="2"/>
      </tp>
      <tp t="s">
        <v>N/A</v>
        <stp/>
        <stp>VOLUME</stp>
        <stp>.NDXP250630P20450</stp>
        <tr r="L142" s="2"/>
      </tp>
      <tp t="s">
        <v>N/A</v>
        <stp/>
        <stp>VOLUME</stp>
        <stp>.SPXW250516C5870</stp>
        <tr r="BE85" s="1"/>
      </tp>
      <tp t="s">
        <v>N/A</v>
        <stp/>
        <stp>VOLUME</stp>
        <stp>.SPXW250516P5870</stp>
        <tr r="BF85" s="1"/>
      </tp>
      <tp t="s">
        <v>N/A</v>
        <stp/>
        <stp>VOLUME</stp>
        <stp>.NDXP251231P19575</stp>
        <tr r="X177" s="2"/>
      </tp>
      <tp t="s">
        <v>N/A</v>
        <stp/>
        <stp>VOLUME</stp>
        <stp>.NDXP251031P19575</stp>
        <tr r="T177" s="2"/>
      </tp>
      <tp>
        <v>12</v>
        <stp/>
        <stp>VOLUME</stp>
        <stp>.SPXW250516C5840</stp>
        <tr r="BE88" s="1"/>
        <tr r="BE88" s="1"/>
      </tp>
      <tp t="s">
        <v>N/A</v>
        <stp/>
        <stp>VOLUME</stp>
        <stp>.SPXW250516P5840</stp>
        <tr r="BF88" s="1"/>
      </tp>
      <tp t="s">
        <v>N/A</v>
        <stp/>
        <stp>VOLUME</stp>
        <stp>.NDXP250930P20475</stp>
        <tr r="R141" s="2"/>
      </tp>
      <tp t="s">
        <v>N/A</v>
        <stp/>
        <stp>VOLUME</stp>
        <stp>.NDXP250930P19475</stp>
        <tr r="R181" s="2"/>
      </tp>
      <tp t="s">
        <v>N/A</v>
        <stp/>
        <stp>VOLUME</stp>
        <stp>.NDXP250731P19575</stp>
        <tr r="N177" s="2"/>
      </tp>
      <tp t="s">
        <v>N/A</v>
        <stp/>
        <stp>VOLUME</stp>
        <stp>.NDXP250606P19275</stp>
        <tr r="J189" s="2"/>
      </tp>
      <tp t="s">
        <v>N/A</v>
        <stp/>
        <stp>VOLUME</stp>
        <stp>.NDXP250630P19475</stp>
        <tr r="L181" s="2"/>
      </tp>
      <tp t="s">
        <v>N/A</v>
        <stp/>
        <stp>VOLUME</stp>
        <stp>.NDXP250530P20475</stp>
        <tr r="I141" s="2"/>
      </tp>
      <tp t="s">
        <v>N/A</v>
        <stp/>
        <stp>VOLUME</stp>
        <stp>.NDXP250530P19475</stp>
        <tr r="I181" s="2"/>
      </tp>
      <tp t="s">
        <v>N/A</v>
        <stp/>
        <stp>VOLUME</stp>
        <stp>.NDXP250606P20275</stp>
        <tr r="J149" s="2"/>
      </tp>
      <tp t="s">
        <v>N/A</v>
        <stp/>
        <stp>VOLUME</stp>
        <stp>.NDXP250630P20475</stp>
        <tr r="L141" s="2"/>
      </tp>
      <tp t="s">
        <v>N/A</v>
        <stp/>
        <stp>VOLUME</stp>
        <stp>.SPXW250516C5850</stp>
        <tr r="BE87" s="1"/>
      </tp>
      <tp t="s">
        <v>N/A</v>
        <stp/>
        <stp>VOLUME</stp>
        <stp>.SPXW250516P5850</stp>
        <tr r="BF87" s="1"/>
      </tp>
      <tp t="s">
        <v>N/A</v>
        <stp/>
        <stp>VOLUME</stp>
        <stp>.NDXP250930P20400</stp>
        <tr r="R144" s="2"/>
      </tp>
      <tp t="s">
        <v>N/A</v>
        <stp/>
        <stp>VOLUME</stp>
        <stp>.NDXP250930P19400</stp>
        <tr r="R184" s="2"/>
      </tp>
      <tp t="s">
        <v>N/A</v>
        <stp/>
        <stp>VOLUME</stp>
        <stp>.NDXP250630P19400</stp>
        <tr r="L184" s="2"/>
      </tp>
      <tp t="s">
        <v>N/A</v>
        <stp/>
        <stp>VOLUME</stp>
        <stp>.NDXP250530P20400</stp>
        <tr r="I144" s="2"/>
      </tp>
      <tp t="s">
        <v>N/A</v>
        <stp/>
        <stp>VOLUME</stp>
        <stp>.NDXP250731P19500</stp>
        <tr r="N180" s="2"/>
      </tp>
      <tp t="s">
        <v>N/A</v>
        <stp/>
        <stp>VOLUME</stp>
        <stp>.NDXP250731P20500</stp>
        <tr r="N140" s="2"/>
      </tp>
      <tp t="s">
        <v>N/A</v>
        <stp/>
        <stp>VOLUME</stp>
        <stp>.NDXP250530P19400</stp>
        <tr r="I184" s="2"/>
      </tp>
      <tp t="s">
        <v>N/A</v>
        <stp/>
        <stp>VOLUME</stp>
        <stp>.NDXP250606P20200</stp>
        <tr r="J152" s="2"/>
      </tp>
      <tp t="s">
        <v>N/A</v>
        <stp/>
        <stp>VOLUME</stp>
        <stp>.NDXP250630P20400</stp>
        <tr r="L144" s="2"/>
      </tp>
      <tp t="s">
        <v>N/A</v>
        <stp/>
        <stp>VOLUME</stp>
        <stp>.SPXW250516C5820</stp>
        <tr r="BE90" s="1"/>
      </tp>
      <tp t="s">
        <v>N/A</v>
        <stp/>
        <stp>VOLUME</stp>
        <stp>.SPXW250516P5820</stp>
        <tr r="BF90" s="1"/>
      </tp>
      <tp t="s">
        <v>N/A</v>
        <stp/>
        <stp>VOLUME</stp>
        <stp>.NDXP251231P19500</stp>
        <tr r="X180" s="2"/>
      </tp>
      <tp t="s">
        <v>N/A</v>
        <stp/>
        <stp>VOLUME</stp>
        <stp>.NDXP251031P20500</stp>
        <tr r="T140" s="2"/>
      </tp>
      <tp t="s">
        <v>N/A</v>
        <stp/>
        <stp>VOLUME</stp>
        <stp>.NDXP251031P19500</stp>
        <tr r="T180" s="2"/>
      </tp>
      <tp t="s">
        <v>N/A</v>
        <stp/>
        <stp>VOLUME</stp>
        <stp>.NDXP251231P20500</stp>
        <tr r="X140" s="2"/>
      </tp>
      <tp t="s">
        <v>N/A</v>
        <stp/>
        <stp>VOLUME</stp>
        <stp>.SPXW250516C5830</stp>
        <tr r="BE89" s="1"/>
      </tp>
      <tp t="s">
        <v>N/A</v>
        <stp/>
        <stp>VOLUME</stp>
        <stp>.SPXW250516P5830</stp>
        <tr r="BF89" s="1"/>
      </tp>
      <tp t="s">
        <v>N/A</v>
        <stp/>
        <stp>VOLUME</stp>
        <stp>.NDXP250930P20425</stp>
        <tr r="R143" s="2"/>
      </tp>
      <tp t="s">
        <v>N/A</v>
        <stp/>
        <stp>VOLUME</stp>
        <stp>.NDXP250930P19425</stp>
        <tr r="R183" s="2"/>
      </tp>
      <tp t="s">
        <v>N/A</v>
        <stp/>
        <stp>VOLUME</stp>
        <stp>.NDXP250731P19525</stp>
        <tr r="N179" s="2"/>
      </tp>
      <tp t="s">
        <v>N/A</v>
        <stp/>
        <stp>VOLUME</stp>
        <stp>.NDXP250630P19425</stp>
        <tr r="L183" s="2"/>
      </tp>
      <tp t="s">
        <v>N/A</v>
        <stp/>
        <stp>VOLUME</stp>
        <stp>.NDXP250530P20425</stp>
        <tr r="I143" s="2"/>
      </tp>
      <tp t="s">
        <v>N/A</v>
        <stp/>
        <stp>VOLUME</stp>
        <stp>.NDXP250530P19425</stp>
        <tr r="I183" s="2"/>
      </tp>
      <tp t="s">
        <v>N/A</v>
        <stp/>
        <stp>VOLUME</stp>
        <stp>.NDXP250606P20225</stp>
        <tr r="J151" s="2"/>
      </tp>
      <tp t="s">
        <v>N/A</v>
        <stp/>
        <stp>VOLUME</stp>
        <stp>.NDXP250630P20425</stp>
        <tr r="L143" s="2"/>
      </tp>
      <tp t="s">
        <v>N/A</v>
        <stp/>
        <stp>VOLUME</stp>
        <stp>.NDXP250731P20525</stp>
        <tr r="N139" s="2"/>
      </tp>
      <tp t="s">
        <v>N/A</v>
        <stp/>
        <stp>VOLUME</stp>
        <stp>.SPXW250516C5800</stp>
        <tr r="BE92" s="1"/>
      </tp>
      <tp t="s">
        <v>N/A</v>
        <stp/>
        <stp>VOLUME</stp>
        <stp>.SPXW250516P5800</stp>
        <tr r="BF92" s="1"/>
      </tp>
      <tp t="s">
        <v>N/A</v>
        <stp/>
        <stp>VOLUME</stp>
        <stp>.NDXP251031P20525</stp>
        <tr r="T139" s="2"/>
      </tp>
      <tp t="s">
        <v>N/A</v>
        <stp/>
        <stp>VOLUME</stp>
        <stp>.NDXP251231P19525</stp>
        <tr r="X179" s="2"/>
      </tp>
      <tp t="s">
        <v>N/A</v>
        <stp/>
        <stp>VOLUME</stp>
        <stp>.NDXP251231P20525</stp>
        <tr r="X139" s="2"/>
      </tp>
      <tp t="s">
        <v>N/A</v>
        <stp/>
        <stp>VOLUME</stp>
        <stp>.NDXP251031P19525</stp>
        <tr r="T179" s="2"/>
      </tp>
      <tp t="s">
        <v>N/A</v>
        <stp/>
        <stp>VOLUME</stp>
        <stp>.SPXW250516C5810</stp>
        <tr r="BE91" s="1"/>
      </tp>
      <tp t="s">
        <v>N/A</v>
        <stp/>
        <stp>VOLUME</stp>
        <stp>.SPXW250516P5810</stp>
        <tr r="BF91" s="1"/>
      </tp>
      <tp>
        <v>16</v>
        <stp/>
        <stp>OPEN_INT</stp>
        <stp>.NDXP250508C19400</stp>
        <tr r="AS183" s="1"/>
        <tr r="AS183" s="1"/>
      </tp>
      <tp>
        <v>15</v>
        <stp/>
        <stp>OPEN_INT</stp>
        <stp>.NDXP250509C19500</stp>
        <tr r="AU179" s="1"/>
        <tr r="AU179" s="1"/>
      </tp>
      <tp>
        <v>30</v>
        <stp/>
        <stp>OPEN_INT</stp>
        <stp>.NDXP250508C20400</stp>
        <tr r="AS143" s="1"/>
        <tr r="AS143" s="1"/>
      </tp>
      <tp>
        <v>63</v>
        <stp/>
        <stp>OPEN_INT</stp>
        <stp>.NDXP250509C20500</stp>
        <tr r="AU139" s="1"/>
        <tr r="AU139" s="1"/>
      </tp>
      <tp>
        <v>1</v>
        <stp/>
        <stp>OPEN_INT</stp>
        <stp>.NDXP250508C19425</stp>
        <tr r="AS182" s="1"/>
        <tr r="AS182" s="1"/>
      </tp>
      <tp>
        <v>4</v>
        <stp/>
        <stp>OPEN_INT</stp>
        <stp>.NDXP250509C19525</stp>
        <tr r="AU178" s="1"/>
        <tr r="AU178" s="1"/>
      </tp>
      <tp>
        <v>6</v>
        <stp/>
        <stp>OPEN_INT</stp>
        <stp>.NDXP250508C20425</stp>
        <tr r="AS142" s="1"/>
        <tr r="AS142" s="1"/>
      </tp>
      <tp>
        <v>8</v>
        <stp/>
        <stp>OPEN_INT</stp>
        <stp>.NDXP250509C20525</stp>
        <tr r="AU138" s="1"/>
        <tr r="AU138" s="1"/>
      </tp>
      <tp>
        <v>0</v>
        <stp/>
        <stp>OPEN_INT</stp>
        <stp>.NDXP250508C19450</stp>
        <tr r="AS181" s="1"/>
        <tr r="AS181" s="1"/>
      </tp>
      <tp>
        <v>5</v>
        <stp/>
        <stp>OPEN_INT</stp>
        <stp>.NDXP250509C19550</stp>
        <tr r="AU177" s="1"/>
        <tr r="AU177" s="1"/>
      </tp>
      <tp>
        <v>12</v>
        <stp/>
        <stp>OPEN_INT</stp>
        <stp>.NDXP250508C20450</stp>
        <tr r="AS141" s="1"/>
        <tr r="AS141" s="1"/>
      </tp>
      <tp>
        <v>35</v>
        <stp/>
        <stp>OPEN_INT</stp>
        <stp>.NDXP250509C20550</stp>
        <tr r="AU137" s="1"/>
        <tr r="AU137" s="1"/>
      </tp>
      <tp>
        <v>0</v>
        <stp/>
        <stp>OPEN_INT</stp>
        <stp>.NDXP250508C19475</stp>
        <tr r="AS180" s="1"/>
        <tr r="AS180" s="1"/>
      </tp>
      <tp>
        <v>16</v>
        <stp/>
        <stp>OPEN_INT</stp>
        <stp>.NDXP250509C19575</stp>
        <tr r="AU176" s="1"/>
        <tr r="AU176" s="1"/>
      </tp>
      <tp>
        <v>7</v>
        <stp/>
        <stp>OPEN_INT</stp>
        <stp>.NDXP250508C20475</stp>
        <tr r="AS140" s="1"/>
        <tr r="AS140" s="1"/>
      </tp>
      <tp>
        <v>9</v>
        <stp/>
        <stp>OPEN_INT</stp>
        <stp>.NDXP250508P19425</stp>
        <tr r="AT182" s="1"/>
        <tr r="AT182" s="1"/>
      </tp>
      <tp>
        <v>6</v>
        <stp/>
        <stp>OPEN_INT</stp>
        <stp>.NDXP250509P19525</stp>
        <tr r="AV178" s="1"/>
        <tr r="AV178" s="1"/>
      </tp>
      <tp>
        <v>0</v>
        <stp/>
        <stp>OPEN_INT</stp>
        <stp>.NDXP250508P20425</stp>
        <tr r="AT142" s="1"/>
        <tr r="AT142" s="1"/>
      </tp>
      <tp>
        <v>0</v>
        <stp/>
        <stp>OPEN_INT</stp>
        <stp>.NDXP250509P20525</stp>
        <tr r="AV138" s="1"/>
        <tr r="AV138" s="1"/>
      </tp>
      <tp>
        <v>16</v>
        <stp/>
        <stp>OPEN_INT</stp>
        <stp>.NDXP250508P19400</stp>
        <tr r="AT183" s="1"/>
        <tr r="AT183" s="1"/>
      </tp>
      <tp>
        <v>37</v>
        <stp/>
        <stp>OPEN_INT</stp>
        <stp>.NDXP250509P19500</stp>
        <tr r="AV179" s="1"/>
        <tr r="AV179" s="1"/>
      </tp>
      <tp>
        <v>1</v>
        <stp/>
        <stp>OPEN_INT</stp>
        <stp>.NDXP250508P20400</stp>
        <tr r="AT143" s="1"/>
        <tr r="AT143" s="1"/>
      </tp>
      <tp>
        <v>10</v>
        <stp/>
        <stp>OPEN_INT</stp>
        <stp>.NDXP250509P20500</stp>
        <tr r="AV139" s="1"/>
        <tr r="AV139" s="1"/>
      </tp>
      <tp>
        <v>11</v>
        <stp/>
        <stp>OPEN_INT</stp>
        <stp>.NDXP250508P19475</stp>
        <tr r="AT180" s="1"/>
        <tr r="AT180" s="1"/>
      </tp>
      <tp>
        <v>6</v>
        <stp/>
        <stp>OPEN_INT</stp>
        <stp>.NDXP250509P19575</stp>
        <tr r="AV176" s="1"/>
        <tr r="AV176" s="1"/>
      </tp>
      <tp>
        <v>0</v>
        <stp/>
        <stp>OPEN_INT</stp>
        <stp>.NDXP250508P20475</stp>
        <tr r="AT140" s="1"/>
        <tr r="AT140" s="1"/>
      </tp>
      <tp>
        <v>26</v>
        <stp/>
        <stp>OPEN_INT</stp>
        <stp>.NDXP250508P19450</stp>
        <tr r="AT181" s="1"/>
        <tr r="AT181" s="1"/>
      </tp>
      <tp>
        <v>12</v>
        <stp/>
        <stp>OPEN_INT</stp>
        <stp>.NDXP250509P19550</stp>
        <tr r="AV177" s="1"/>
        <tr r="AV177" s="1"/>
      </tp>
      <tp>
        <v>0</v>
        <stp/>
        <stp>OPEN_INT</stp>
        <stp>.NDXP250508P20450</stp>
        <tr r="AT141" s="1"/>
        <tr r="AT141" s="1"/>
      </tp>
      <tp>
        <v>3</v>
        <stp/>
        <stp>OPEN_INT</stp>
        <stp>.NDXP250509P20550</stp>
        <tr r="AV137" s="1"/>
        <tr r="AV137" s="1"/>
      </tp>
      <tp t="s">
        <v>N/A</v>
        <stp/>
        <stp>VOLUME</stp>
        <stp>.NDXP250930C19575</stp>
        <tr r="R177" s="2"/>
      </tp>
      <tp t="s">
        <v>N/A</v>
        <stp/>
        <stp>VOLUME</stp>
        <stp>.NDXP250731C19475</stp>
        <tr r="N181" s="2"/>
      </tp>
      <tp t="s">
        <v>N/A</v>
        <stp/>
        <stp>VOLUME</stp>
        <stp>.NDXP250606C19375</stp>
        <tr r="J185" s="2"/>
      </tp>
      <tp t="s">
        <v>N/A</v>
        <stp/>
        <stp>VOLUME</stp>
        <stp>.NDXP250630C19575</stp>
        <tr r="L177" s="2"/>
      </tp>
      <tp t="s">
        <v>N/A</v>
        <stp/>
        <stp>VOLUME</stp>
        <stp>.NDXP250530C19575</stp>
        <tr r="I177" s="2"/>
      </tp>
      <tp t="s">
        <v>N/A</v>
        <stp/>
        <stp>VOLUME</stp>
        <stp>.NDXP250606C20375</stp>
        <tr r="J145" s="2"/>
      </tp>
      <tp t="s">
        <v>N/A</v>
        <stp/>
        <stp>VOLUME</stp>
        <stp>.NDXP250731C20475</stp>
        <tr r="N141" s="2"/>
      </tp>
      <tp t="s">
        <v>N/A</v>
        <stp/>
        <stp>VOLUME</stp>
        <stp>.NDXP251031C20475</stp>
        <tr r="T141" s="2"/>
      </tp>
      <tp t="s">
        <v>N/A</v>
        <stp/>
        <stp>VOLUME</stp>
        <stp>.NDXP251231C19475</stp>
        <tr r="X181" s="2"/>
      </tp>
      <tp t="s">
        <v>N/A</v>
        <stp/>
        <stp>VOLUME</stp>
        <stp>.NDXP251231C20475</stp>
        <tr r="X141" s="2"/>
      </tp>
      <tp t="s">
        <v>N/A</v>
        <stp/>
        <stp>VOLUME</stp>
        <stp>.NDXP251031C19475</stp>
        <tr r="T181" s="2"/>
      </tp>
      <tp t="s">
        <v>N/A</v>
        <stp/>
        <stp>VOLUME</stp>
        <stp>.NDXP250930C20550</stp>
        <tr r="R138" s="2"/>
      </tp>
      <tp t="s">
        <v>N/A</v>
        <stp/>
        <stp>VOLUME</stp>
        <stp>.NDXP250930C19550</stp>
        <tr r="R178" s="2"/>
      </tp>
      <tp t="s">
        <v>N/A</v>
        <stp/>
        <stp>VOLUME</stp>
        <stp>.NDXP250606C19350</stp>
        <tr r="J186" s="2"/>
      </tp>
      <tp t="s">
        <v>N/A</v>
        <stp/>
        <stp>VOLUME</stp>
        <stp>.NDXP250630C19550</stp>
        <tr r="L178" s="2"/>
      </tp>
      <tp>
        <v>1</v>
        <stp/>
        <stp>VOLUME</stp>
        <stp>.NDXP250530C20550</stp>
        <tr r="I138" s="2"/>
        <tr r="I138" s="2"/>
      </tp>
      <tp t="s">
        <v>N/A</v>
        <stp/>
        <stp>VOLUME</stp>
        <stp>.NDXP250731C19450</stp>
        <tr r="N182" s="2"/>
      </tp>
      <tp t="s">
        <v>N/A</v>
        <stp/>
        <stp>VOLUME</stp>
        <stp>.NDXP250731C20450</stp>
        <tr r="N142" s="2"/>
      </tp>
      <tp>
        <v>1</v>
        <stp/>
        <stp>VOLUME</stp>
        <stp>.NDXP250530C19550</stp>
        <tr r="I178" s="2"/>
        <tr r="I178" s="2"/>
      </tp>
      <tp t="s">
        <v>N/A</v>
        <stp/>
        <stp>VOLUME</stp>
        <stp>.NDXP250606C20350</stp>
        <tr r="J146" s="2"/>
      </tp>
      <tp t="s">
        <v>N/A</v>
        <stp/>
        <stp>VOLUME</stp>
        <stp>.NDXP250630C20550</stp>
        <tr r="L138" s="2"/>
      </tp>
      <tp t="s">
        <v>N/A</v>
        <stp/>
        <stp>VOLUME</stp>
        <stp>.NDXP251231C19450</stp>
        <tr r="X182" s="2"/>
      </tp>
      <tp t="s">
        <v>N/A</v>
        <stp/>
        <stp>VOLUME</stp>
        <stp>.NDXP251031C20450</stp>
        <tr r="T142" s="2"/>
      </tp>
      <tp t="s">
        <v>N/A</v>
        <stp/>
        <stp>VOLUME</stp>
        <stp>.NDXP251031C19450</stp>
        <tr r="T182" s="2"/>
      </tp>
      <tp t="s">
        <v>N/A</v>
        <stp/>
        <stp>VOLUME</stp>
        <stp>.NDXP251231C20450</stp>
        <tr r="X142" s="2"/>
      </tp>
      <tp t="s">
        <v>N/A</v>
        <stp/>
        <stp>VOLUME</stp>
        <stp>.NDXP251031C20425</stp>
        <tr r="T143" s="2"/>
      </tp>
      <tp t="s">
        <v>N/A</v>
        <stp/>
        <stp>VOLUME</stp>
        <stp>.NDXP251231C19425</stp>
        <tr r="X183" s="2"/>
      </tp>
      <tp t="s">
        <v>N/A</v>
        <stp/>
        <stp>VOLUME</stp>
        <stp>.NDXP251231C20425</stp>
        <tr r="X143" s="2"/>
      </tp>
      <tp t="s">
        <v>N/A</v>
        <stp/>
        <stp>VOLUME</stp>
        <stp>.NDXP251031C19425</stp>
        <tr r="T183" s="2"/>
      </tp>
      <tp t="s">
        <v>N/A</v>
        <stp/>
        <stp>VOLUME</stp>
        <stp>.NDXP250930C20525</stp>
        <tr r="R139" s="2"/>
      </tp>
      <tp t="s">
        <v>N/A</v>
        <stp/>
        <stp>VOLUME</stp>
        <stp>.NDXP250930C19525</stp>
        <tr r="R179" s="2"/>
      </tp>
      <tp t="s">
        <v>N/A</v>
        <stp/>
        <stp>VOLUME</stp>
        <stp>.NDXP250731C19425</stp>
        <tr r="N183" s="2"/>
      </tp>
      <tp t="s">
        <v>N/A</v>
        <stp/>
        <stp>VOLUME</stp>
        <stp>.NDXP250606C19325</stp>
        <tr r="J187" s="2"/>
      </tp>
      <tp t="s">
        <v>N/A</v>
        <stp/>
        <stp>VOLUME</stp>
        <stp>.NDXP250630C19525</stp>
        <tr r="L179" s="2"/>
      </tp>
      <tp t="s">
        <v>N/A</v>
        <stp/>
        <stp>VOLUME</stp>
        <stp>.NDXP250530C20525</stp>
        <tr r="I139" s="2"/>
      </tp>
      <tp t="s">
        <v>N/A</v>
        <stp/>
        <stp>VOLUME</stp>
        <stp>.NDXP250530C19525</stp>
        <tr r="I179" s="2"/>
      </tp>
      <tp t="s">
        <v>N/A</v>
        <stp/>
        <stp>VOLUME</stp>
        <stp>.NDXP250606C20325</stp>
        <tr r="J147" s="2"/>
      </tp>
      <tp t="s">
        <v>N/A</v>
        <stp/>
        <stp>VOLUME</stp>
        <stp>.NDXP250630C20525</stp>
        <tr r="L139" s="2"/>
      </tp>
      <tp t="s">
        <v>N/A</v>
        <stp/>
        <stp>VOLUME</stp>
        <stp>.NDXP250731C20425</stp>
        <tr r="N143" s="2"/>
      </tp>
      <tp t="s">
        <v>N/A</v>
        <stp/>
        <stp>VOLUME</stp>
        <stp>.NDXP251231C19400</stp>
        <tr r="X184" s="2"/>
      </tp>
      <tp t="s">
        <v>N/A</v>
        <stp/>
        <stp>VOLUME</stp>
        <stp>.NDXP251031C20400</stp>
        <tr r="T144" s="2"/>
      </tp>
      <tp t="s">
        <v>N/A</v>
        <stp/>
        <stp>VOLUME</stp>
        <stp>.NDXP251031C19400</stp>
        <tr r="T184" s="2"/>
      </tp>
      <tp t="s">
        <v>N/A</v>
        <stp/>
        <stp>VOLUME</stp>
        <stp>.NDXP251231C20400</stp>
        <tr r="X144" s="2"/>
      </tp>
      <tp t="s">
        <v>N/A</v>
        <stp/>
        <stp>VOLUME</stp>
        <stp>.NDXP250930C20500</stp>
        <tr r="R140" s="2"/>
      </tp>
      <tp t="s">
        <v>N/A</v>
        <stp/>
        <stp>VOLUME</stp>
        <stp>.NDXP250930C19500</stp>
        <tr r="R180" s="2"/>
      </tp>
      <tp t="s">
        <v>N/A</v>
        <stp/>
        <stp>VOLUME</stp>
        <stp>.NDXP250606C19300</stp>
        <tr r="J188" s="2"/>
      </tp>
      <tp t="s">
        <v>N/A</v>
        <stp/>
        <stp>VOLUME</stp>
        <stp>.NDXP250630C19500</stp>
        <tr r="L180" s="2"/>
      </tp>
      <tp>
        <v>1</v>
        <stp/>
        <stp>VOLUME</stp>
        <stp>.NDXP250530C20500</stp>
        <tr r="I140" s="2"/>
        <tr r="I140" s="2"/>
      </tp>
      <tp t="s">
        <v>N/A</v>
        <stp/>
        <stp>VOLUME</stp>
        <stp>.NDXP250731C19400</stp>
        <tr r="N184" s="2"/>
      </tp>
      <tp t="s">
        <v>N/A</v>
        <stp/>
        <stp>VOLUME</stp>
        <stp>.NDXP250731C20400</stp>
        <tr r="N144" s="2"/>
      </tp>
      <tp>
        <v>1</v>
        <stp/>
        <stp>VOLUME</stp>
        <stp>.NDXP250530C19500</stp>
        <tr r="I180" s="2"/>
        <tr r="I180" s="2"/>
      </tp>
      <tp>
        <v>3</v>
        <stp/>
        <stp>VOLUME</stp>
        <stp>.NDXP250606C20300</stp>
        <tr r="J148" s="2"/>
        <tr r="J148" s="2"/>
      </tp>
      <tp t="s">
        <v>N/A</v>
        <stp/>
        <stp>VOLUME</stp>
        <stp>.NDXP250630C20500</stp>
        <tr r="L140" s="2"/>
      </tp>
      <tp t="s">
        <v>N/A</v>
        <stp/>
        <stp>VOLUME</stp>
        <stp>.SPXW250508C5800</stp>
        <tr r="BA92" s="1"/>
      </tp>
      <tp t="s">
        <v>N/A</v>
        <stp/>
        <stp>VOLUME</stp>
        <stp>.SPXW250509C5810</stp>
        <tr r="BC91" s="1"/>
      </tp>
      <tp t="s">
        <v>N/A</v>
        <stp/>
        <stp>VOLUME</stp>
        <stp>.SPXW250508P5800</stp>
        <tr r="BB92" s="1"/>
      </tp>
      <tp t="s">
        <v>N/A</v>
        <stp/>
        <stp>VOLUME</stp>
        <stp>.SPXW250509P5810</stp>
        <tr r="BD91" s="1"/>
      </tp>
      <tp t="s">
        <v>N/A</v>
        <stp/>
        <stp>VOLUME</stp>
        <stp>.SPXW250508C5810</stp>
        <tr r="BA91" s="1"/>
      </tp>
      <tp t="s">
        <v>N/A</v>
        <stp/>
        <stp>VOLUME</stp>
        <stp>.SPXW250509C5800</stp>
        <tr r="BC92" s="1"/>
      </tp>
      <tp t="s">
        <v>N/A</v>
        <stp/>
        <stp>VOLUME</stp>
        <stp>.SPXW250508P5810</stp>
        <tr r="BB91" s="1"/>
      </tp>
      <tp t="s">
        <v>N/A</v>
        <stp/>
        <stp>VOLUME</stp>
        <stp>.SPXW250509P5800</stp>
        <tr r="BD92" s="1"/>
      </tp>
      <tp t="s">
        <v>N/A</v>
        <stp/>
        <stp>VOLUME</stp>
        <stp>.SPXW250508C5820</stp>
        <tr r="BA90" s="1"/>
      </tp>
      <tp t="s">
        <v>N/A</v>
        <stp/>
        <stp>VOLUME</stp>
        <stp>.SPXW250509C5830</stp>
        <tr r="BC89" s="1"/>
      </tp>
      <tp t="s">
        <v>N/A</v>
        <stp/>
        <stp>VOLUME</stp>
        <stp>.SPXW250508P5820</stp>
        <tr r="BB90" s="1"/>
      </tp>
      <tp t="s">
        <v>N/A</v>
        <stp/>
        <stp>VOLUME</stp>
        <stp>.SPXW250509P5830</stp>
        <tr r="BD89" s="1"/>
      </tp>
      <tp t="s">
        <v>N/A</v>
        <stp/>
        <stp>VOLUME</stp>
        <stp>.SPXW250508C5830</stp>
        <tr r="BA89" s="1"/>
      </tp>
      <tp t="s">
        <v>N/A</v>
        <stp/>
        <stp>VOLUME</stp>
        <stp>.SPXW250509C5820</stp>
        <tr r="BC90" s="1"/>
      </tp>
      <tp t="s">
        <v>N/A</v>
        <stp/>
        <stp>VOLUME</stp>
        <stp>.SPXW250508P5830</stp>
        <tr r="BB89" s="1"/>
      </tp>
      <tp t="s">
        <v>N/A</v>
        <stp/>
        <stp>VOLUME</stp>
        <stp>.SPXW250509P5820</stp>
        <tr r="BD90" s="1"/>
      </tp>
      <tp t="s">
        <v>N/A</v>
        <stp/>
        <stp>VOLUME</stp>
        <stp>.SPXW250508C5840</stp>
        <tr r="BA88" s="1"/>
      </tp>
      <tp t="s">
        <v>N/A</v>
        <stp/>
        <stp>VOLUME</stp>
        <stp>.SPXW250509C5850</stp>
        <tr r="BC87" s="1"/>
      </tp>
      <tp t="s">
        <v>N/A</v>
        <stp/>
        <stp>VOLUME</stp>
        <stp>.SPXW250508P5840</stp>
        <tr r="BB88" s="1"/>
      </tp>
      <tp t="s">
        <v>N/A</v>
        <stp/>
        <stp>VOLUME</stp>
        <stp>.SPXW250509P5850</stp>
        <tr r="BD87" s="1"/>
      </tp>
      <tp t="s">
        <v>N/A</v>
        <stp/>
        <stp>VOLUME</stp>
        <stp>.SPXW250508C5850</stp>
        <tr r="BA87" s="1"/>
      </tp>
      <tp t="s">
        <v>N/A</v>
        <stp/>
        <stp>VOLUME</stp>
        <stp>.SPXW250509C5840</stp>
        <tr r="BC88" s="1"/>
      </tp>
      <tp t="s">
        <v>N/A</v>
        <stp/>
        <stp>VOLUME</stp>
        <stp>.SPXW250508P5850</stp>
        <tr r="BB87" s="1"/>
      </tp>
      <tp t="s">
        <v>N/A</v>
        <stp/>
        <stp>VOLUME</stp>
        <stp>.SPXW250509P5840</stp>
        <tr r="BD88" s="1"/>
      </tp>
      <tp t="s">
        <v>N/A</v>
        <stp/>
        <stp>VOLUME</stp>
        <stp>.SPXW250508C5860</stp>
        <tr r="BA86" s="1"/>
      </tp>
      <tp t="s">
        <v>N/A</v>
        <stp/>
        <stp>VOLUME</stp>
        <stp>.SPXW250509C5870</stp>
        <tr r="BC85" s="1"/>
      </tp>
      <tp t="s">
        <v>N/A</v>
        <stp/>
        <stp>VOLUME</stp>
        <stp>.SPXW250508P5860</stp>
        <tr r="BB86" s="1"/>
      </tp>
      <tp t="s">
        <v>N/A</v>
        <stp/>
        <stp>VOLUME</stp>
        <stp>.SPXW250509P5870</stp>
        <tr r="BD85" s="1"/>
      </tp>
      <tp t="s">
        <v>N/A</v>
        <stp/>
        <stp>VOLUME</stp>
        <stp>.SPXW250508C5870</stp>
        <tr r="BA85" s="1"/>
      </tp>
      <tp t="s">
        <v>N/A</v>
        <stp/>
        <stp>VOLUME</stp>
        <stp>.SPXW250509C5860</stp>
        <tr r="BC86" s="1"/>
      </tp>
      <tp t="s">
        <v>N/A</v>
        <stp/>
        <stp>VOLUME</stp>
        <stp>.SPXW250508P5870</stp>
        <tr r="BB85" s="1"/>
      </tp>
      <tp t="s">
        <v>N/A</v>
        <stp/>
        <stp>VOLUME</stp>
        <stp>.SPXW250509P5860</stp>
        <tr r="BD86" s="1"/>
      </tp>
      <tp t="s">
        <v>N/A</v>
        <stp/>
        <stp>VOLUME</stp>
        <stp>.NDXP251231P19450</stp>
        <tr r="X182" s="2"/>
      </tp>
      <tp t="s">
        <v>N/A</v>
        <stp/>
        <stp>VOLUME</stp>
        <stp>.NDXP251031P20450</stp>
        <tr r="T142" s="2"/>
      </tp>
      <tp t="s">
        <v>N/A</v>
        <stp/>
        <stp>VOLUME</stp>
        <stp>.NDXP251031P19450</stp>
        <tr r="T182" s="2"/>
      </tp>
      <tp t="s">
        <v>N/A</v>
        <stp/>
        <stp>VOLUME</stp>
        <stp>.NDXP251231P20450</stp>
        <tr r="X142" s="2"/>
      </tp>
      <tp t="s">
        <v>N/A</v>
        <stp/>
        <stp>VOLUME</stp>
        <stp>.SPXW250606C5860</stp>
        <tr r="J87" s="2"/>
      </tp>
      <tp t="s">
        <v>N/A</v>
        <stp/>
        <stp>VOLUME</stp>
        <stp>.SPXW250606P5860</stp>
        <tr r="J87" s="2"/>
      </tp>
      <tp t="s">
        <v>N/A</v>
        <stp/>
        <stp>VOLUME</stp>
        <stp>.NDXP250930P20550</stp>
        <tr r="R138" s="2"/>
      </tp>
      <tp t="s">
        <v>N/A</v>
        <stp/>
        <stp>VOLUME</stp>
        <stp>.NDXP250930P19550</stp>
        <tr r="R178" s="2"/>
      </tp>
      <tp>
        <v>4</v>
        <stp/>
        <stp>VOLUME</stp>
        <stp>.NDXP250606P19350</stp>
        <tr r="J186" s="2"/>
        <tr r="J186" s="2"/>
      </tp>
      <tp t="s">
        <v>N/A</v>
        <stp/>
        <stp>VOLUME</stp>
        <stp>.NDXP250630P19550</stp>
        <tr r="L178" s="2"/>
      </tp>
      <tp t="s">
        <v>N/A</v>
        <stp/>
        <stp>VOLUME</stp>
        <stp>.NDXP250530P20550</stp>
        <tr r="I138" s="2"/>
      </tp>
      <tp t="s">
        <v>N/A</v>
        <stp/>
        <stp>VOLUME</stp>
        <stp>.NDXP250731P19450</stp>
        <tr r="N182" s="2"/>
      </tp>
      <tp t="s">
        <v>N/A</v>
        <stp/>
        <stp>VOLUME</stp>
        <stp>.NDXP250731P20450</stp>
        <tr r="N142" s="2"/>
      </tp>
      <tp>
        <v>2</v>
        <stp/>
        <stp>VOLUME</stp>
        <stp>.NDXP250530P19550</stp>
        <tr r="I178" s="2"/>
        <tr r="I178" s="2"/>
      </tp>
      <tp t="s">
        <v>N/A</v>
        <stp/>
        <stp>VOLUME</stp>
        <stp>.NDXP250606P20350</stp>
        <tr r="J146" s="2"/>
      </tp>
      <tp t="s">
        <v>N/A</v>
        <stp/>
        <stp>VOLUME</stp>
        <stp>.NDXP250630P20550</stp>
        <tr r="L138" s="2"/>
      </tp>
      <tp t="s">
        <v>N/A</v>
        <stp/>
        <stp>VOLUME</stp>
        <stp>.SPXW250606C5870</stp>
        <tr r="J86" s="2"/>
      </tp>
      <tp t="s">
        <v>N/A</v>
        <stp/>
        <stp>VOLUME</stp>
        <stp>.SPXW250606P5870</stp>
        <tr r="J86" s="2"/>
      </tp>
      <tp t="s">
        <v>N/A</v>
        <stp/>
        <stp>VOLUME</stp>
        <stp>.NDXP251031P20475</stp>
        <tr r="T141" s="2"/>
      </tp>
      <tp t="s">
        <v>N/A</v>
        <stp/>
        <stp>VOLUME</stp>
        <stp>.NDXP251231P19475</stp>
        <tr r="X181" s="2"/>
      </tp>
      <tp t="s">
        <v>N/A</v>
        <stp/>
        <stp>VOLUME</stp>
        <stp>.NDXP251231P20475</stp>
        <tr r="X141" s="2"/>
      </tp>
      <tp t="s">
        <v>N/A</v>
        <stp/>
        <stp>VOLUME</stp>
        <stp>.NDXP251031P19475</stp>
        <tr r="T181" s="2"/>
      </tp>
      <tp t="s">
        <v>N/A</v>
        <stp/>
        <stp>VOLUME</stp>
        <stp>.SPXW250606C5840</stp>
        <tr r="J89" s="2"/>
      </tp>
      <tp t="s">
        <v>N/A</v>
        <stp/>
        <stp>VOLUME</stp>
        <stp>.SPXW250606P5840</stp>
        <tr r="J89" s="2"/>
      </tp>
      <tp t="s">
        <v>N/A</v>
        <stp/>
        <stp>VOLUME</stp>
        <stp>.NDXP250930P19575</stp>
        <tr r="R177" s="2"/>
      </tp>
      <tp t="s">
        <v>N/A</v>
        <stp/>
        <stp>VOLUME</stp>
        <stp>.NDXP250731P19475</stp>
        <tr r="N181" s="2"/>
      </tp>
      <tp t="s">
        <v>N/A</v>
        <stp/>
        <stp>VOLUME</stp>
        <stp>.NDXP250606P19375</stp>
        <tr r="J185" s="2"/>
      </tp>
      <tp t="s">
        <v>N/A</v>
        <stp/>
        <stp>VOLUME</stp>
        <stp>.NDXP250630P19575</stp>
        <tr r="L177" s="2"/>
      </tp>
      <tp t="s">
        <v>N/A</v>
        <stp/>
        <stp>VOLUME</stp>
        <stp>.NDXP250530P19575</stp>
        <tr r="I177" s="2"/>
      </tp>
      <tp t="s">
        <v>N/A</v>
        <stp/>
        <stp>VOLUME</stp>
        <stp>.NDXP250606P20375</stp>
        <tr r="J145" s="2"/>
      </tp>
      <tp t="s">
        <v>N/A</v>
        <stp/>
        <stp>VOLUME</stp>
        <stp>.NDXP250731P20475</stp>
        <tr r="N141" s="2"/>
      </tp>
      <tp t="s">
        <v>N/A</v>
        <stp/>
        <stp>VOLUME</stp>
        <stp>.SPXW250606C5850</stp>
        <tr r="J88" s="2"/>
      </tp>
      <tp t="s">
        <v>N/A</v>
        <stp/>
        <stp>VOLUME</stp>
        <stp>.SPXW250606P5850</stp>
        <tr r="J88" s="2"/>
      </tp>
      <tp t="s">
        <v>N/A</v>
        <stp/>
        <stp>VOLUME</stp>
        <stp>.NDXP250930P20500</stp>
        <tr r="R140" s="2"/>
      </tp>
      <tp t="s">
        <v>N/A</v>
        <stp/>
        <stp>VOLUME</stp>
        <stp>.NDXP250930P19500</stp>
        <tr r="R180" s="2"/>
      </tp>
      <tp>
        <v>3</v>
        <stp/>
        <stp>VOLUME</stp>
        <stp>.NDXP250606P19300</stp>
        <tr r="J188" s="2"/>
        <tr r="J188" s="2"/>
      </tp>
      <tp t="s">
        <v>N/A</v>
        <stp/>
        <stp>VOLUME</stp>
        <stp>.NDXP250630P19500</stp>
        <tr r="L180" s="2"/>
      </tp>
      <tp t="s">
        <v>N/A</v>
        <stp/>
        <stp>VOLUME</stp>
        <stp>.NDXP250530P20500</stp>
        <tr r="I140" s="2"/>
      </tp>
      <tp t="s">
        <v>N/A</v>
        <stp/>
        <stp>VOLUME</stp>
        <stp>.NDXP250731P19400</stp>
        <tr r="N184" s="2"/>
      </tp>
      <tp t="s">
        <v>N/A</v>
        <stp/>
        <stp>VOLUME</stp>
        <stp>.NDXP250731P20400</stp>
        <tr r="N144" s="2"/>
      </tp>
      <tp>
        <v>3</v>
        <stp/>
        <stp>VOLUME</stp>
        <stp>.NDXP250530P19500</stp>
        <tr r="I180" s="2"/>
        <tr r="I180" s="2"/>
      </tp>
      <tp t="s">
        <v>N/A</v>
        <stp/>
        <stp>VOLUME</stp>
        <stp>.NDXP250606P20300</stp>
        <tr r="J148" s="2"/>
      </tp>
      <tp t="s">
        <v>N/A</v>
        <stp/>
        <stp>VOLUME</stp>
        <stp>.NDXP250630P20500</stp>
        <tr r="L140" s="2"/>
      </tp>
      <tp t="s">
        <v>N/A</v>
        <stp/>
        <stp>VOLUME</stp>
        <stp>.SPXW250606C5820</stp>
        <tr r="J91" s="2"/>
      </tp>
      <tp t="s">
        <v>N/A</v>
        <stp/>
        <stp>VOLUME</stp>
        <stp>.SPXW250606P5820</stp>
        <tr r="J91" s="2"/>
      </tp>
      <tp t="s">
        <v>N/A</v>
        <stp/>
        <stp>VOLUME</stp>
        <stp>.NDXP251231P19400</stp>
        <tr r="X184" s="2"/>
      </tp>
      <tp t="s">
        <v>N/A</v>
        <stp/>
        <stp>VOLUME</stp>
        <stp>.NDXP251031P20400</stp>
        <tr r="T144" s="2"/>
      </tp>
      <tp t="s">
        <v>N/A</v>
        <stp/>
        <stp>VOLUME</stp>
        <stp>.NDXP251031P19400</stp>
        <tr r="T184" s="2"/>
      </tp>
      <tp t="s">
        <v>N/A</v>
        <stp/>
        <stp>VOLUME</stp>
        <stp>.NDXP251231P20400</stp>
        <tr r="X144" s="2"/>
      </tp>
      <tp t="s">
        <v>N/A</v>
        <stp/>
        <stp>VOLUME</stp>
        <stp>.SPXW250606C5830</stp>
        <tr r="J90" s="2"/>
      </tp>
      <tp t="s">
        <v>N/A</v>
        <stp/>
        <stp>VOLUME</stp>
        <stp>.SPXW250606P5830</stp>
        <tr r="J90" s="2"/>
      </tp>
      <tp t="s">
        <v>N/A</v>
        <stp/>
        <stp>VOLUME</stp>
        <stp>.NDXP250930P20525</stp>
        <tr r="R139" s="2"/>
      </tp>
      <tp t="s">
        <v>N/A</v>
        <stp/>
        <stp>VOLUME</stp>
        <stp>.NDXP250930P19525</stp>
        <tr r="R179" s="2"/>
      </tp>
      <tp t="s">
        <v>N/A</v>
        <stp/>
        <stp>VOLUME</stp>
        <stp>.NDXP250731P19425</stp>
        <tr r="N183" s="2"/>
      </tp>
      <tp t="s">
        <v>N/A</v>
        <stp/>
        <stp>VOLUME</stp>
        <stp>.NDXP250606P19325</stp>
        <tr r="J187" s="2"/>
      </tp>
      <tp t="s">
        <v>N/A</v>
        <stp/>
        <stp>VOLUME</stp>
        <stp>.NDXP250630P19525</stp>
        <tr r="L179" s="2"/>
      </tp>
      <tp t="s">
        <v>N/A</v>
        <stp/>
        <stp>VOLUME</stp>
        <stp>.NDXP250530P20525</stp>
        <tr r="I139" s="2"/>
      </tp>
      <tp t="s">
        <v>N/A</v>
        <stp/>
        <stp>VOLUME</stp>
        <stp>.NDXP250530P19525</stp>
        <tr r="I179" s="2"/>
      </tp>
      <tp t="s">
        <v>N/A</v>
        <stp/>
        <stp>VOLUME</stp>
        <stp>.NDXP250606P20325</stp>
        <tr r="J147" s="2"/>
      </tp>
      <tp t="s">
        <v>N/A</v>
        <stp/>
        <stp>VOLUME</stp>
        <stp>.NDXP250630P20525</stp>
        <tr r="L139" s="2"/>
      </tp>
      <tp t="s">
        <v>N/A</v>
        <stp/>
        <stp>VOLUME</stp>
        <stp>.NDXP250731P20425</stp>
        <tr r="N143" s="2"/>
      </tp>
      <tp t="s">
        <v>N/A</v>
        <stp/>
        <stp>VOLUME</stp>
        <stp>.SPXW250606C5800</stp>
        <tr r="J93" s="2"/>
      </tp>
      <tp t="s">
        <v>N/A</v>
        <stp/>
        <stp>VOLUME</stp>
        <stp>.SPXW250606P5800</stp>
        <tr r="J93" s="2"/>
      </tp>
      <tp t="s">
        <v>N/A</v>
        <stp/>
        <stp>VOLUME</stp>
        <stp>.NDXP251031P20425</stp>
        <tr r="T143" s="2"/>
      </tp>
      <tp t="s">
        <v>N/A</v>
        <stp/>
        <stp>VOLUME</stp>
        <stp>.NDXP251231P19425</stp>
        <tr r="X183" s="2"/>
      </tp>
      <tp t="s">
        <v>N/A</v>
        <stp/>
        <stp>VOLUME</stp>
        <stp>.NDXP251231P20425</stp>
        <tr r="X143" s="2"/>
      </tp>
      <tp t="s">
        <v>N/A</v>
        <stp/>
        <stp>VOLUME</stp>
        <stp>.NDXP251031P19425</stp>
        <tr r="T183" s="2"/>
      </tp>
      <tp t="s">
        <v>N/A</v>
        <stp/>
        <stp>VOLUME</stp>
        <stp>.SPXW250606C5810</stp>
        <tr r="J92" s="2"/>
      </tp>
      <tp t="s">
        <v>N/A</v>
        <stp/>
        <stp>VOLUME</stp>
        <stp>.SPXW250606P5810</stp>
        <tr r="J92" s="2"/>
      </tp>
      <tp>
        <v>2</v>
        <stp/>
        <stp>OPEN_INT</stp>
        <stp>.NDXP250508C19700</stp>
        <tr r="AS171" s="1"/>
        <tr r="AS171" s="1"/>
      </tp>
      <tp>
        <v>11</v>
        <stp/>
        <stp>OPEN_INT</stp>
        <stp>.NDXP250509C19600</stp>
        <tr r="AU175" s="1"/>
        <tr r="AU175" s="1"/>
      </tp>
      <tp>
        <v>2</v>
        <stp/>
        <stp>OPEN_INT</stp>
        <stp>.NDXP250508C19725</stp>
        <tr r="AS170" s="1"/>
        <tr r="AS170" s="1"/>
      </tp>
      <tp>
        <v>4</v>
        <stp/>
        <stp>OPEN_INT</stp>
        <stp>.NDXP250509C19625</stp>
        <tr r="AU174" s="1"/>
        <tr r="AU174" s="1"/>
      </tp>
      <tp>
        <v>3</v>
        <stp/>
        <stp>OPEN_INT</stp>
        <stp>.NDXP250508C19750</stp>
        <tr r="AS169" s="1"/>
        <tr r="AS169" s="1"/>
      </tp>
      <tp>
        <v>95</v>
        <stp/>
        <stp>OPEN_INT</stp>
        <stp>.NDXP250509C19650</stp>
        <tr r="AU173" s="1"/>
        <tr r="AU173" s="1"/>
      </tp>
      <tp>
        <v>1</v>
        <stp/>
        <stp>OPEN_INT</stp>
        <stp>.NDXP250508C19775</stp>
        <tr r="AS168" s="1"/>
        <tr r="AS168" s="1"/>
      </tp>
      <tp>
        <v>5</v>
        <stp/>
        <stp>OPEN_INT</stp>
        <stp>.NDXP250509C19675</stp>
        <tr r="AU172" s="1"/>
        <tr r="AU172" s="1"/>
      </tp>
      <tp>
        <v>4</v>
        <stp/>
        <stp>OPEN_INT</stp>
        <stp>.NDXP250508P19725</stp>
        <tr r="AT170" s="1"/>
        <tr r="AT170" s="1"/>
      </tp>
      <tp>
        <v>4</v>
        <stp/>
        <stp>OPEN_INT</stp>
        <stp>.NDXP250509P19625</stp>
        <tr r="AV174" s="1"/>
        <tr r="AV174" s="1"/>
      </tp>
      <tp>
        <v>38</v>
        <stp/>
        <stp>OPEN_INT</stp>
        <stp>.NDXP250508P19700</stp>
        <tr r="AT171" s="1"/>
        <tr r="AT171" s="1"/>
      </tp>
      <tp>
        <v>22</v>
        <stp/>
        <stp>OPEN_INT</stp>
        <stp>.NDXP250509P19600</stp>
        <tr r="AV175" s="1"/>
        <tr r="AV175" s="1"/>
      </tp>
      <tp>
        <v>6</v>
        <stp/>
        <stp>OPEN_INT</stp>
        <stp>.NDXP250508P19775</stp>
        <tr r="AT168" s="1"/>
        <tr r="AT168" s="1"/>
      </tp>
      <tp>
        <v>7</v>
        <stp/>
        <stp>OPEN_INT</stp>
        <stp>.NDXP250509P19675</stp>
        <tr r="AV172" s="1"/>
        <tr r="AV172" s="1"/>
      </tp>
      <tp>
        <v>7</v>
        <stp/>
        <stp>OPEN_INT</stp>
        <stp>.NDXP250508P19750</stp>
        <tr r="AT169" s="1"/>
        <tr r="AT169" s="1"/>
      </tp>
      <tp>
        <v>24</v>
        <stp/>
        <stp>OPEN_INT</stp>
        <stp>.NDXP250509P19650</stp>
        <tr r="AV173" s="1"/>
        <tr r="AV173" s="1"/>
      </tp>
      <tp t="s">
        <v>N/A</v>
        <stp/>
        <stp>VOLUME</stp>
        <stp>.NDXP250930C19675</stp>
        <tr r="R173" s="2"/>
      </tp>
      <tp t="s">
        <v>N/A</v>
        <stp/>
        <stp>VOLUME</stp>
        <stp>.NDXP250731C19775</stp>
        <tr r="N169" s="2"/>
      </tp>
      <tp t="s">
        <v>N/A</v>
        <stp/>
        <stp>VOLUME</stp>
        <stp>.NDXP250630C19675</stp>
        <tr r="L173" s="2"/>
      </tp>
      <tp t="s">
        <v>N/A</v>
        <stp/>
        <stp>VOLUME</stp>
        <stp>.NDXP250530C19675</stp>
        <tr r="I173" s="2"/>
      </tp>
      <tp t="s">
        <v>N/A</v>
        <stp/>
        <stp>VOLUME</stp>
        <stp>.NDXP250606C20075</stp>
        <tr r="J157" s="2"/>
      </tp>
      <tp t="s">
        <v>N/A</v>
        <stp/>
        <stp>VOLUME</stp>
        <stp>.NDXP251231C19775</stp>
        <tr r="X169" s="2"/>
      </tp>
      <tp t="s">
        <v>N/A</v>
        <stp/>
        <stp>VOLUME</stp>
        <stp>.NDXP251031C19775</stp>
        <tr r="T169" s="2"/>
      </tp>
      <tp t="s">
        <v>N/A</v>
        <stp/>
        <stp>VOLUME</stp>
        <stp>.NDXP250930C19650</stp>
        <tr r="R174" s="2"/>
      </tp>
      <tp t="s">
        <v>N/A</v>
        <stp/>
        <stp>VOLUME</stp>
        <stp>.NDXP250630C19650</stp>
        <tr r="L174" s="2"/>
      </tp>
      <tp t="s">
        <v>N/A</v>
        <stp/>
        <stp>VOLUME</stp>
        <stp>.NDXP250731C19750</stp>
        <tr r="N170" s="2"/>
      </tp>
      <tp t="s">
        <v>N/A</v>
        <stp/>
        <stp>VOLUME</stp>
        <stp>.NDXP250530C19650</stp>
        <tr r="I174" s="2"/>
      </tp>
      <tp t="s">
        <v>N/A</v>
        <stp/>
        <stp>VOLUME</stp>
        <stp>.NDXP250606C20050</stp>
        <tr r="J158" s="2"/>
      </tp>
      <tp t="s">
        <v>N/A</v>
        <stp/>
        <stp>VOLUME</stp>
        <stp>.NDXP251231C19750</stp>
        <tr r="X170" s="2"/>
      </tp>
      <tp t="s">
        <v>N/A</v>
        <stp/>
        <stp>VOLUME</stp>
        <stp>.NDXP251031C19750</stp>
        <tr r="T170" s="2"/>
      </tp>
      <tp t="s">
        <v>N/A</v>
        <stp/>
        <stp>VOLUME</stp>
        <stp>.NDXP251231C19725</stp>
        <tr r="X171" s="2"/>
      </tp>
      <tp t="s">
        <v>N/A</v>
        <stp/>
        <stp>VOLUME</stp>
        <stp>.NDXP251031C19725</stp>
        <tr r="T171" s="2"/>
      </tp>
      <tp t="s">
        <v>N/A</v>
        <stp/>
        <stp>VOLUME</stp>
        <stp>.NDXP250930C19625</stp>
        <tr r="R175" s="2"/>
      </tp>
      <tp t="s">
        <v>N/A</v>
        <stp/>
        <stp>VOLUME</stp>
        <stp>.NDXP250731C19725</stp>
        <tr r="N171" s="2"/>
      </tp>
      <tp t="s">
        <v>N/A</v>
        <stp/>
        <stp>VOLUME</stp>
        <stp>.NDXP250630C19625</stp>
        <tr r="L175" s="2"/>
      </tp>
      <tp t="s">
        <v>N/A</v>
        <stp/>
        <stp>VOLUME</stp>
        <stp>.NDXP250530C19625</stp>
        <tr r="I175" s="2"/>
      </tp>
      <tp t="s">
        <v>N/A</v>
        <stp/>
        <stp>VOLUME</stp>
        <stp>.NDXP250606C20025</stp>
        <tr r="J159" s="2"/>
      </tp>
      <tp t="s">
        <v>N/A</v>
        <stp/>
        <stp>VOLUME</stp>
        <stp>.NDXP251231C19700</stp>
        <tr r="X172" s="2"/>
      </tp>
      <tp t="s">
        <v>N/A</v>
        <stp/>
        <stp>VOLUME</stp>
        <stp>.NDXP251031C19700</stp>
        <tr r="T172" s="2"/>
      </tp>
      <tp t="s">
        <v>N/A</v>
        <stp/>
        <stp>VOLUME</stp>
        <stp>.NDXP250930C19600</stp>
        <tr r="R176" s="2"/>
      </tp>
      <tp t="s">
        <v>N/A</v>
        <stp/>
        <stp>VOLUME</stp>
        <stp>.NDXP250630C19600</stp>
        <tr r="L176" s="2"/>
      </tp>
      <tp t="s">
        <v>N/A</v>
        <stp/>
        <stp>VOLUME</stp>
        <stp>.NDXP250731C19700</stp>
        <tr r="N172" s="2"/>
      </tp>
      <tp t="s">
        <v>N/A</v>
        <stp/>
        <stp>VOLUME</stp>
        <stp>.NDXP250530C19600</stp>
        <tr r="I176" s="2"/>
      </tp>
      <tp t="s">
        <v>N/A</v>
        <stp/>
        <stp>VOLUME</stp>
        <stp>.NDXP250606C20000</stp>
        <tr r="J160" s="2"/>
      </tp>
      <tp t="s">
        <v>N/A</v>
        <stp/>
        <stp>VOLUME</stp>
        <stp>.NDXP251231P19750</stp>
        <tr r="X170" s="2"/>
      </tp>
      <tp t="s">
        <v>N/A</v>
        <stp/>
        <stp>VOLUME</stp>
        <stp>.NDXP251031P19750</stp>
        <tr r="T170" s="2"/>
      </tp>
      <tp t="s">
        <v>N/A</v>
        <stp/>
        <stp>VOLUME</stp>
        <stp>.SPXW250930C5800</stp>
        <tr r="R93" s="2"/>
      </tp>
      <tp t="s">
        <v>N/A</v>
        <stp/>
        <stp>VOLUME</stp>
        <stp>.SPXW250530C5800</stp>
        <tr r="I93" s="2"/>
      </tp>
      <tp t="s">
        <v>N/A</v>
        <stp/>
        <stp>VOLUME</stp>
        <stp>.SPXW250731C5810</stp>
        <tr r="N92" s="2"/>
      </tp>
      <tp t="s">
        <v>N/A</v>
        <stp/>
        <stp>VOLUME</stp>
        <stp>.SPXW250630C5800</stp>
        <tr r="L93" s="2"/>
      </tp>
      <tp t="s">
        <v>N/A</v>
        <stp/>
        <stp>VOLUME</stp>
        <stp>.SPXW251031C5810</stp>
        <tr r="T92" s="2"/>
      </tp>
      <tp t="s">
        <v>N/A</v>
        <stp/>
        <stp>VOLUME</stp>
        <stp>.SPXW251231C5810</stp>
        <tr r="X92" s="2"/>
      </tp>
      <tp t="s">
        <v>N/A</v>
        <stp/>
        <stp>VOLUME</stp>
        <stp>.SPXW251031P5810</stp>
        <tr r="T92" s="2"/>
      </tp>
      <tp t="s">
        <v>N/A</v>
        <stp/>
        <stp>VOLUME</stp>
        <stp>.SPXW251231P5810</stp>
        <tr r="X92" s="2"/>
      </tp>
      <tp t="s">
        <v>N/A</v>
        <stp/>
        <stp>VOLUME</stp>
        <stp>.SPXW250930P5800</stp>
        <tr r="R93" s="2"/>
      </tp>
      <tp t="s">
        <v>N/A</v>
        <stp/>
        <stp>VOLUME</stp>
        <stp>.SPXW250530P5800</stp>
        <tr r="I93" s="2"/>
      </tp>
      <tp t="s">
        <v>N/A</v>
        <stp/>
        <stp>VOLUME</stp>
        <stp>.SPXW250731P5810</stp>
        <tr r="N92" s="2"/>
      </tp>
      <tp t="s">
        <v>N/A</v>
        <stp/>
        <stp>VOLUME</stp>
        <stp>.SPXW250630P5800</stp>
        <tr r="L93" s="2"/>
      </tp>
      <tp t="s">
        <v>N/A</v>
        <stp/>
        <stp>VOLUME</stp>
        <stp>.NDXP250930P19650</stp>
        <tr r="R174" s="2"/>
      </tp>
      <tp t="s">
        <v>N/A</v>
        <stp/>
        <stp>VOLUME</stp>
        <stp>.NDXP250630P19650</stp>
        <tr r="L174" s="2"/>
      </tp>
      <tp t="s">
        <v>N/A</v>
        <stp/>
        <stp>VOLUME</stp>
        <stp>.NDXP250731P19750</stp>
        <tr r="N170" s="2"/>
      </tp>
      <tp t="s">
        <v>N/A</v>
        <stp/>
        <stp>VOLUME</stp>
        <stp>.NDXP250530P19650</stp>
        <tr r="I174" s="2"/>
      </tp>
      <tp t="s">
        <v>N/A</v>
        <stp/>
        <stp>VOLUME</stp>
        <stp>.NDXP250606P20050</stp>
        <tr r="J158" s="2"/>
      </tp>
      <tp t="s">
        <v>N/A</v>
        <stp/>
        <stp>VOLUME</stp>
        <stp>.SPXW250930C5810</stp>
        <tr r="R92" s="2"/>
      </tp>
      <tp t="s">
        <v>N/A</v>
        <stp/>
        <stp>VOLUME</stp>
        <stp>.SPXW250530C5810</stp>
        <tr r="I92" s="2"/>
      </tp>
      <tp t="s">
        <v>N/A</v>
        <stp/>
        <stp>VOLUME</stp>
        <stp>.SPXW250731C5800</stp>
        <tr r="N93" s="2"/>
      </tp>
      <tp t="s">
        <v>N/A</v>
        <stp/>
        <stp>VOLUME</stp>
        <stp>.SPXW250630C5810</stp>
        <tr r="L92" s="2"/>
      </tp>
      <tp t="s">
        <v>N/A</v>
        <stp/>
        <stp>VOLUME</stp>
        <stp>.SPXW251031C5800</stp>
        <tr r="T93" s="2"/>
      </tp>
      <tp t="s">
        <v>N/A</v>
        <stp/>
        <stp>VOLUME</stp>
        <stp>.SPXW251231C5800</stp>
        <tr r="X93" s="2"/>
      </tp>
      <tp t="s">
        <v>N/A</v>
        <stp/>
        <stp>VOLUME</stp>
        <stp>.SPXW251031P5800</stp>
        <tr r="T93" s="2"/>
      </tp>
      <tp t="s">
        <v>N/A</v>
        <stp/>
        <stp>VOLUME</stp>
        <stp>.SPXW251231P5800</stp>
        <tr r="X93" s="2"/>
      </tp>
      <tp t="s">
        <v>N/A</v>
        <stp/>
        <stp>VOLUME</stp>
        <stp>.SPXW250930P5810</stp>
        <tr r="R92" s="2"/>
      </tp>
      <tp t="s">
        <v>N/A</v>
        <stp/>
        <stp>VOLUME</stp>
        <stp>.SPXW250530P5810</stp>
        <tr r="I92" s="2"/>
      </tp>
      <tp t="s">
        <v>N/A</v>
        <stp/>
        <stp>VOLUME</stp>
        <stp>.SPXW250731P5800</stp>
        <tr r="N93" s="2"/>
      </tp>
      <tp t="s">
        <v>N/A</v>
        <stp/>
        <stp>VOLUME</stp>
        <stp>.SPXW250630P5810</stp>
        <tr r="L92" s="2"/>
      </tp>
      <tp t="s">
        <v>N/A</v>
        <stp/>
        <stp>VOLUME</stp>
        <stp>.NDXP251231P19775</stp>
        <tr r="X169" s="2"/>
      </tp>
      <tp t="s">
        <v>N/A</v>
        <stp/>
        <stp>VOLUME</stp>
        <stp>.NDXP251031P19775</stp>
        <tr r="T169" s="2"/>
      </tp>
      <tp t="s">
        <v>N/A</v>
        <stp/>
        <stp>VOLUME</stp>
        <stp>.SPXW250930C5820</stp>
        <tr r="R91" s="2"/>
      </tp>
      <tp t="s">
        <v>N/A</v>
        <stp/>
        <stp>VOLUME</stp>
        <stp>.SPXW250530C5820</stp>
        <tr r="I91" s="2"/>
      </tp>
      <tp t="s">
        <v>N/A</v>
        <stp/>
        <stp>VOLUME</stp>
        <stp>.SPXW250731C5830</stp>
        <tr r="N90" s="2"/>
      </tp>
      <tp t="s">
        <v>N/A</v>
        <stp/>
        <stp>VOLUME</stp>
        <stp>.SPXW250630C5820</stp>
        <tr r="L91" s="2"/>
      </tp>
      <tp t="s">
        <v>N/A</v>
        <stp/>
        <stp>VOLUME</stp>
        <stp>.SPXW251031C5830</stp>
        <tr r="T90" s="2"/>
      </tp>
      <tp t="s">
        <v>N/A</v>
        <stp/>
        <stp>VOLUME</stp>
        <stp>.SPXW251231C5830</stp>
        <tr r="X90" s="2"/>
      </tp>
      <tp t="s">
        <v>N/A</v>
        <stp/>
        <stp>VOLUME</stp>
        <stp>.SPXW251031P5830</stp>
        <tr r="T90" s="2"/>
      </tp>
      <tp t="s">
        <v>N/A</v>
        <stp/>
        <stp>VOLUME</stp>
        <stp>.SPXW251231P5830</stp>
        <tr r="X90" s="2"/>
      </tp>
      <tp t="s">
        <v>N/A</v>
        <stp/>
        <stp>VOLUME</stp>
        <stp>.SPXW250930P5820</stp>
        <tr r="R91" s="2"/>
      </tp>
      <tp t="s">
        <v>N/A</v>
        <stp/>
        <stp>VOLUME</stp>
        <stp>.SPXW250530P5820</stp>
        <tr r="I91" s="2"/>
      </tp>
      <tp t="s">
        <v>N/A</v>
        <stp/>
        <stp>VOLUME</stp>
        <stp>.SPXW250731P5830</stp>
        <tr r="N90" s="2"/>
      </tp>
      <tp t="s">
        <v>N/A</v>
        <stp/>
        <stp>VOLUME</stp>
        <stp>.SPXW250630P5820</stp>
        <tr r="L91" s="2"/>
      </tp>
      <tp t="s">
        <v>N/A</v>
        <stp/>
        <stp>VOLUME</stp>
        <stp>.NDXP250930P19675</stp>
        <tr r="R173" s="2"/>
      </tp>
      <tp t="s">
        <v>N/A</v>
        <stp/>
        <stp>VOLUME</stp>
        <stp>.NDXP250731P19775</stp>
        <tr r="N169" s="2"/>
      </tp>
      <tp t="s">
        <v>N/A</v>
        <stp/>
        <stp>VOLUME</stp>
        <stp>.NDXP250630P19675</stp>
        <tr r="L173" s="2"/>
      </tp>
      <tp>
        <v>2</v>
        <stp/>
        <stp>VOLUME</stp>
        <stp>.NDXP250530P19675</stp>
        <tr r="I173" s="2"/>
        <tr r="I173" s="2"/>
      </tp>
      <tp t="s">
        <v>N/A</v>
        <stp/>
        <stp>VOLUME</stp>
        <stp>.NDXP250606P20075</stp>
        <tr r="J157" s="2"/>
      </tp>
      <tp t="s">
        <v>N/A</v>
        <stp/>
        <stp>VOLUME</stp>
        <stp>.SPXW250930C5830</stp>
        <tr r="R90" s="2"/>
      </tp>
      <tp t="s">
        <v>N/A</v>
        <stp/>
        <stp>VOLUME</stp>
        <stp>.SPXW250530C5830</stp>
        <tr r="I90" s="2"/>
      </tp>
      <tp t="s">
        <v>N/A</v>
        <stp/>
        <stp>VOLUME</stp>
        <stp>.SPXW250731C5820</stp>
        <tr r="N91" s="2"/>
      </tp>
      <tp t="s">
        <v>N/A</v>
        <stp/>
        <stp>VOLUME</stp>
        <stp>.SPXW250630C5830</stp>
        <tr r="L90" s="2"/>
      </tp>
      <tp t="s">
        <v>N/A</v>
        <stp/>
        <stp>VOLUME</stp>
        <stp>.SPXW251031C5820</stp>
        <tr r="T91" s="2"/>
      </tp>
      <tp t="s">
        <v>N/A</v>
        <stp/>
        <stp>VOLUME</stp>
        <stp>.SPXW251231C5820</stp>
        <tr r="X91" s="2"/>
      </tp>
      <tp t="s">
        <v>N/A</v>
        <stp/>
        <stp>VOLUME</stp>
        <stp>.SPXW251031P5820</stp>
        <tr r="T91" s="2"/>
      </tp>
      <tp t="s">
        <v>N/A</v>
        <stp/>
        <stp>VOLUME</stp>
        <stp>.SPXW251231P5820</stp>
        <tr r="X91" s="2"/>
      </tp>
      <tp t="s">
        <v>N/A</v>
        <stp/>
        <stp>VOLUME</stp>
        <stp>.SPXW250930P5830</stp>
        <tr r="R90" s="2"/>
      </tp>
      <tp t="s">
        <v>N/A</v>
        <stp/>
        <stp>VOLUME</stp>
        <stp>.SPXW250530P5830</stp>
        <tr r="I90" s="2"/>
      </tp>
      <tp t="s">
        <v>N/A</v>
        <stp/>
        <stp>VOLUME</stp>
        <stp>.SPXW250731P5820</stp>
        <tr r="N91" s="2"/>
      </tp>
      <tp t="s">
        <v>N/A</v>
        <stp/>
        <stp>VOLUME</stp>
        <stp>.SPXW250630P5830</stp>
        <tr r="L90" s="2"/>
      </tp>
      <tp t="s">
        <v>N/A</v>
        <stp/>
        <stp>VOLUME</stp>
        <stp>.NDXP250930P19600</stp>
        <tr r="R176" s="2"/>
      </tp>
      <tp t="s">
        <v>N/A</v>
        <stp/>
        <stp>VOLUME</stp>
        <stp>.NDXP250630P19600</stp>
        <tr r="L176" s="2"/>
      </tp>
      <tp t="s">
        <v>N/A</v>
        <stp/>
        <stp>VOLUME</stp>
        <stp>.NDXP250731P19700</stp>
        <tr r="N172" s="2"/>
      </tp>
      <tp t="s">
        <v>N/A</v>
        <stp/>
        <stp>VOLUME</stp>
        <stp>.NDXP250530P19600</stp>
        <tr r="I176" s="2"/>
      </tp>
      <tp t="s">
        <v>N/A</v>
        <stp/>
        <stp>VOLUME</stp>
        <stp>.NDXP250606P20000</stp>
        <tr r="J160" s="2"/>
      </tp>
      <tp t="s">
        <v>N/A</v>
        <stp/>
        <stp>VOLUME</stp>
        <stp>.SPXW250930C5840</stp>
        <tr r="R89" s="2"/>
      </tp>
      <tp t="s">
        <v>N/A</v>
        <stp/>
        <stp>VOLUME</stp>
        <stp>.SPXW250530C5840</stp>
        <tr r="I89" s="2"/>
      </tp>
      <tp t="s">
        <v>N/A</v>
        <stp/>
        <stp>VOLUME</stp>
        <stp>.SPXW250731C5850</stp>
        <tr r="N88" s="2"/>
      </tp>
      <tp t="s">
        <v>N/A</v>
        <stp/>
        <stp>VOLUME</stp>
        <stp>.SPXW250630C5840</stp>
        <tr r="L89" s="2"/>
      </tp>
      <tp t="s">
        <v>N/A</v>
        <stp/>
        <stp>VOLUME</stp>
        <stp>.SPXW251031C5850</stp>
        <tr r="T88" s="2"/>
      </tp>
      <tp t="s">
        <v>N/A</v>
        <stp/>
        <stp>VOLUME</stp>
        <stp>.SPXW251231C5850</stp>
        <tr r="X88" s="2"/>
      </tp>
      <tp t="s">
        <v>N/A</v>
        <stp/>
        <stp>VOLUME</stp>
        <stp>.SPXW251031P5850</stp>
        <tr r="T88" s="2"/>
      </tp>
      <tp t="s">
        <v>N/A</v>
        <stp/>
        <stp>VOLUME</stp>
        <stp>.SPXW251231P5850</stp>
        <tr r="X88" s="2"/>
      </tp>
      <tp t="s">
        <v>N/A</v>
        <stp/>
        <stp>VOLUME</stp>
        <stp>.SPXW250930P5840</stp>
        <tr r="R89" s="2"/>
      </tp>
      <tp t="s">
        <v>N/A</v>
        <stp/>
        <stp>VOLUME</stp>
        <stp>.SPXW250530P5840</stp>
        <tr r="I89" s="2"/>
      </tp>
      <tp t="s">
        <v>N/A</v>
        <stp/>
        <stp>VOLUME</stp>
        <stp>.SPXW250731P5850</stp>
        <tr r="N88" s="2"/>
      </tp>
      <tp t="s">
        <v>N/A</v>
        <stp/>
        <stp>VOLUME</stp>
        <stp>.SPXW250630P5840</stp>
        <tr r="L89" s="2"/>
      </tp>
      <tp t="s">
        <v>N/A</v>
        <stp/>
        <stp>VOLUME</stp>
        <stp>.NDXP251231P19700</stp>
        <tr r="X172" s="2"/>
      </tp>
      <tp t="s">
        <v>N/A</v>
        <stp/>
        <stp>VOLUME</stp>
        <stp>.NDXP251031P19700</stp>
        <tr r="T172" s="2"/>
      </tp>
      <tp t="s">
        <v>N/A</v>
        <stp/>
        <stp>VOLUME</stp>
        <stp>.SPXW250930C5850</stp>
        <tr r="R88" s="2"/>
      </tp>
      <tp t="s">
        <v>N/A</v>
        <stp/>
        <stp>VOLUME</stp>
        <stp>.SPXW250530C5850</stp>
        <tr r="I88" s="2"/>
      </tp>
      <tp t="s">
        <v>N/A</v>
        <stp/>
        <stp>VOLUME</stp>
        <stp>.SPXW250731C5840</stp>
        <tr r="N89" s="2"/>
      </tp>
      <tp t="s">
        <v>N/A</v>
        <stp/>
        <stp>VOLUME</stp>
        <stp>.SPXW250630C5850</stp>
        <tr r="L88" s="2"/>
      </tp>
      <tp t="s">
        <v>N/A</v>
        <stp/>
        <stp>VOLUME</stp>
        <stp>.SPXW251031C5840</stp>
        <tr r="T89" s="2"/>
      </tp>
      <tp t="s">
        <v>N/A</v>
        <stp/>
        <stp>VOLUME</stp>
        <stp>.SPXW251231C5840</stp>
        <tr r="X89" s="2"/>
      </tp>
      <tp t="s">
        <v>N/A</v>
        <stp/>
        <stp>VOLUME</stp>
        <stp>.SPXW251031P5840</stp>
        <tr r="T89" s="2"/>
      </tp>
      <tp t="s">
        <v>N/A</v>
        <stp/>
        <stp>VOLUME</stp>
        <stp>.SPXW251231P5840</stp>
        <tr r="X89" s="2"/>
      </tp>
      <tp t="s">
        <v>N/A</v>
        <stp/>
        <stp>VOLUME</stp>
        <stp>.SPXW250930P5850</stp>
        <tr r="R88" s="2"/>
      </tp>
      <tp t="s">
        <v>N/A</v>
        <stp/>
        <stp>VOLUME</stp>
        <stp>.SPXW250530P5850</stp>
        <tr r="I88" s="2"/>
      </tp>
      <tp t="s">
        <v>N/A</v>
        <stp/>
        <stp>VOLUME</stp>
        <stp>.SPXW250731P5840</stp>
        <tr r="N89" s="2"/>
      </tp>
      <tp t="s">
        <v>N/A</v>
        <stp/>
        <stp>VOLUME</stp>
        <stp>.SPXW250630P5850</stp>
        <tr r="L88" s="2"/>
      </tp>
      <tp t="s">
        <v>N/A</v>
        <stp/>
        <stp>VOLUME</stp>
        <stp>.NDXP250930P19625</stp>
        <tr r="R175" s="2"/>
      </tp>
      <tp t="s">
        <v>N/A</v>
        <stp/>
        <stp>VOLUME</stp>
        <stp>.NDXP250731P19725</stp>
        <tr r="N171" s="2"/>
      </tp>
      <tp t="s">
        <v>N/A</v>
        <stp/>
        <stp>VOLUME</stp>
        <stp>.NDXP250630P19625</stp>
        <tr r="L175" s="2"/>
      </tp>
      <tp t="s">
        <v>N/A</v>
        <stp/>
        <stp>VOLUME</stp>
        <stp>.NDXP250530P19625</stp>
        <tr r="I175" s="2"/>
      </tp>
      <tp t="s">
        <v>N/A</v>
        <stp/>
        <stp>VOLUME</stp>
        <stp>.NDXP250606P20025</stp>
        <tr r="J159" s="2"/>
      </tp>
      <tp t="s">
        <v>N/A</v>
        <stp/>
        <stp>VOLUME</stp>
        <stp>.SPXW250930C5860</stp>
        <tr r="R87" s="2"/>
      </tp>
      <tp t="s">
        <v>N/A</v>
        <stp/>
        <stp>VOLUME</stp>
        <stp>.SPXW250530C5860</stp>
        <tr r="I87" s="2"/>
      </tp>
      <tp t="s">
        <v>N/A</v>
        <stp/>
        <stp>VOLUME</stp>
        <stp>.SPXW250731C5870</stp>
        <tr r="N86" s="2"/>
      </tp>
      <tp t="s">
        <v>N/A</v>
        <stp/>
        <stp>VOLUME</stp>
        <stp>.SPXW250630C5860</stp>
        <tr r="L87" s="2"/>
      </tp>
      <tp t="s">
        <v>N/A</v>
        <stp/>
        <stp>VOLUME</stp>
        <stp>.SPXW251031C5870</stp>
        <tr r="T86" s="2"/>
      </tp>
      <tp t="s">
        <v>N/A</v>
        <stp/>
        <stp>VOLUME</stp>
        <stp>.SPXW251231C5870</stp>
        <tr r="X86" s="2"/>
      </tp>
      <tp t="s">
        <v>N/A</v>
        <stp/>
        <stp>VOLUME</stp>
        <stp>.SPXW251031P5870</stp>
        <tr r="T86" s="2"/>
      </tp>
      <tp t="s">
        <v>N/A</v>
        <stp/>
        <stp>VOLUME</stp>
        <stp>.SPXW251231P5870</stp>
        <tr r="X86" s="2"/>
      </tp>
      <tp t="s">
        <v>N/A</v>
        <stp/>
        <stp>VOLUME</stp>
        <stp>.SPXW250930P5860</stp>
        <tr r="R87" s="2"/>
      </tp>
      <tp t="s">
        <v>N/A</v>
        <stp/>
        <stp>VOLUME</stp>
        <stp>.SPXW250530P5860</stp>
        <tr r="I87" s="2"/>
      </tp>
      <tp t="s">
        <v>N/A</v>
        <stp/>
        <stp>VOLUME</stp>
        <stp>.SPXW250731P5870</stp>
        <tr r="N86" s="2"/>
      </tp>
      <tp t="s">
        <v>N/A</v>
        <stp/>
        <stp>VOLUME</stp>
        <stp>.SPXW250630P5860</stp>
        <tr r="L87" s="2"/>
      </tp>
      <tp t="s">
        <v>N/A</v>
        <stp/>
        <stp>VOLUME</stp>
        <stp>.NDXP251231P19725</stp>
        <tr r="X171" s="2"/>
      </tp>
      <tp t="s">
        <v>N/A</v>
        <stp/>
        <stp>VOLUME</stp>
        <stp>.NDXP251031P19725</stp>
        <tr r="T171" s="2"/>
      </tp>
      <tp t="s">
        <v>N/A</v>
        <stp/>
        <stp>VOLUME</stp>
        <stp>.SPXW250930C5870</stp>
        <tr r="R86" s="2"/>
      </tp>
      <tp t="s">
        <v>N/A</v>
        <stp/>
        <stp>VOLUME</stp>
        <stp>.SPXW250530C5870</stp>
        <tr r="I86" s="2"/>
      </tp>
      <tp t="s">
        <v>N/A</v>
        <stp/>
        <stp>VOLUME</stp>
        <stp>.SPXW250731C5860</stp>
        <tr r="N87" s="2"/>
      </tp>
      <tp t="s">
        <v>N/A</v>
        <stp/>
        <stp>VOLUME</stp>
        <stp>.SPXW250630C5870</stp>
        <tr r="L86" s="2"/>
      </tp>
      <tp t="s">
        <v>N/A</v>
        <stp/>
        <stp>VOLUME</stp>
        <stp>.SPXW251031C5860</stp>
        <tr r="T87" s="2"/>
      </tp>
      <tp t="s">
        <v>N/A</v>
        <stp/>
        <stp>VOLUME</stp>
        <stp>.SPXW251231C5860</stp>
        <tr r="X87" s="2"/>
      </tp>
      <tp t="s">
        <v>N/A</v>
        <stp/>
        <stp>VOLUME</stp>
        <stp>.SPXW251031P5860</stp>
        <tr r="T87" s="2"/>
      </tp>
      <tp t="s">
        <v>N/A</v>
        <stp/>
        <stp>VOLUME</stp>
        <stp>.SPXW251231P5860</stp>
        <tr r="X87" s="2"/>
      </tp>
      <tp t="s">
        <v>N/A</v>
        <stp/>
        <stp>VOLUME</stp>
        <stp>.SPXW250930P5870</stp>
        <tr r="R86" s="2"/>
      </tp>
      <tp t="s">
        <v>N/A</v>
        <stp/>
        <stp>VOLUME</stp>
        <stp>.SPXW250530P5870</stp>
        <tr r="I86" s="2"/>
      </tp>
      <tp t="s">
        <v>N/A</v>
        <stp/>
        <stp>VOLUME</stp>
        <stp>.SPXW250731P5860</stp>
        <tr r="N87" s="2"/>
      </tp>
      <tp t="s">
        <v>N/A</v>
        <stp/>
        <stp>VOLUME</stp>
        <stp>.SPXW250630P5870</stp>
        <tr r="L86" s="2"/>
      </tp>
      <tp>
        <v>12</v>
        <stp/>
        <stp>OPEN_INT</stp>
        <stp>.NDXP250508C19600</stp>
        <tr r="AS175" s="1"/>
        <tr r="AS175" s="1"/>
      </tp>
      <tp>
        <v>6</v>
        <stp/>
        <stp>OPEN_INT</stp>
        <stp>.NDXP250509C19700</stp>
        <tr r="AU171" s="1"/>
        <tr r="AU171" s="1"/>
      </tp>
      <tp>
        <v>0</v>
        <stp/>
        <stp>OPEN_INT</stp>
        <stp>.NDXP250508C19625</stp>
        <tr r="AS174" s="1"/>
        <tr r="AS174" s="1"/>
      </tp>
      <tp>
        <v>9</v>
        <stp/>
        <stp>OPEN_INT</stp>
        <stp>.NDXP250509C19725</stp>
        <tr r="AU170" s="1"/>
        <tr r="AU170" s="1"/>
      </tp>
      <tp>
        <v>4</v>
        <stp/>
        <stp>OPEN_INT</stp>
        <stp>.NDXP250508C19650</stp>
        <tr r="AS173" s="1"/>
        <tr r="AS173" s="1"/>
      </tp>
      <tp>
        <v>12</v>
        <stp/>
        <stp>OPEN_INT</stp>
        <stp>.NDXP250509C19750</stp>
        <tr r="AU169" s="1"/>
        <tr r="AU169" s="1"/>
      </tp>
      <tp>
        <v>0</v>
        <stp/>
        <stp>OPEN_INT</stp>
        <stp>.NDXP250508C19675</stp>
        <tr r="AS172" s="1"/>
        <tr r="AS172" s="1"/>
      </tp>
      <tp>
        <v>12</v>
        <stp/>
        <stp>OPEN_INT</stp>
        <stp>.NDXP250509C19775</stp>
        <tr r="AU168" s="1"/>
        <tr r="AU168" s="1"/>
      </tp>
      <tp>
        <v>2</v>
        <stp/>
        <stp>OPEN_INT</stp>
        <stp>.NDXP250508P19625</stp>
        <tr r="AT174" s="1"/>
        <tr r="AT174" s="1"/>
      </tp>
      <tp>
        <v>9</v>
        <stp/>
        <stp>OPEN_INT</stp>
        <stp>.NDXP250509P19725</stp>
        <tr r="AV170" s="1"/>
        <tr r="AV170" s="1"/>
      </tp>
      <tp>
        <v>85</v>
        <stp/>
        <stp>OPEN_INT</stp>
        <stp>.NDXP250508P19600</stp>
        <tr r="AT175" s="1"/>
        <tr r="AT175" s="1"/>
      </tp>
      <tp>
        <v>20</v>
        <stp/>
        <stp>OPEN_INT</stp>
        <stp>.NDXP250509P19700</stp>
        <tr r="AV171" s="1"/>
        <tr r="AV171" s="1"/>
      </tp>
      <tp>
        <v>18</v>
        <stp/>
        <stp>OPEN_INT</stp>
        <stp>.NDXP250508P19675</stp>
        <tr r="AT172" s="1"/>
        <tr r="AT172" s="1"/>
      </tp>
      <tp>
        <v>3</v>
        <stp/>
        <stp>OPEN_INT</stp>
        <stp>.NDXP250509P19775</stp>
        <tr r="AV168" s="1"/>
        <tr r="AV168" s="1"/>
      </tp>
      <tp>
        <v>5</v>
        <stp/>
        <stp>OPEN_INT</stp>
        <stp>.NDXP250508P19650</stp>
        <tr r="AT173" s="1"/>
        <tr r="AT173" s="1"/>
      </tp>
      <tp>
        <v>15</v>
        <stp/>
        <stp>OPEN_INT</stp>
        <stp>.NDXP250509P19750</stp>
        <tr r="AV169" s="1"/>
        <tr r="AV169" s="1"/>
      </tp>
      <tp t="s">
        <v>N/A</v>
        <stp/>
        <stp>VOLUME</stp>
        <stp>.NDXP250930C19775</stp>
        <tr r="R169" s="2"/>
      </tp>
      <tp t="s">
        <v>N/A</v>
        <stp/>
        <stp>VOLUME</stp>
        <stp>.NDXP250731C19675</stp>
        <tr r="N173" s="2"/>
      </tp>
      <tp t="s">
        <v>N/A</v>
        <stp/>
        <stp>VOLUME</stp>
        <stp>.NDXP250630C19775</stp>
        <tr r="L169" s="2"/>
      </tp>
      <tp t="s">
        <v>N/A</v>
        <stp/>
        <stp>VOLUME</stp>
        <stp>.NDXP250530C19775</stp>
        <tr r="I169" s="2"/>
      </tp>
      <tp t="s">
        <v>N/A</v>
        <stp/>
        <stp>VOLUME</stp>
        <stp>.NDXP250606C20175</stp>
        <tr r="J153" s="2"/>
      </tp>
      <tp t="s">
        <v>N/A</v>
        <stp/>
        <stp>VOLUME</stp>
        <stp>.NDXP251231C19675</stp>
        <tr r="X173" s="2"/>
      </tp>
      <tp t="s">
        <v>N/A</v>
        <stp/>
        <stp>VOLUME</stp>
        <stp>.NDXP251031C19675</stp>
        <tr r="T173" s="2"/>
      </tp>
      <tp t="s">
        <v>N/A</v>
        <stp/>
        <stp>VOLUME</stp>
        <stp>.NDXP250930C19750</stp>
        <tr r="R170" s="2"/>
      </tp>
      <tp t="s">
        <v>N/A</v>
        <stp/>
        <stp>VOLUME</stp>
        <stp>.NDXP250630C19750</stp>
        <tr r="L170" s="2"/>
      </tp>
      <tp t="s">
        <v>N/A</v>
        <stp/>
        <stp>VOLUME</stp>
        <stp>.NDXP250731C19650</stp>
        <tr r="N174" s="2"/>
      </tp>
      <tp t="s">
        <v>N/A</v>
        <stp/>
        <stp>VOLUME</stp>
        <stp>.NDXP250530C19750</stp>
        <tr r="I170" s="2"/>
      </tp>
      <tp>
        <v>1</v>
        <stp/>
        <stp>VOLUME</stp>
        <stp>.NDXP250606C20150</stp>
        <tr r="J154" s="2"/>
        <tr r="J154" s="2"/>
      </tp>
      <tp t="s">
        <v>N/A</v>
        <stp/>
        <stp>VOLUME</stp>
        <stp>.NDXP251231C19650</stp>
        <tr r="X174" s="2"/>
      </tp>
      <tp t="s">
        <v>N/A</v>
        <stp/>
        <stp>VOLUME</stp>
        <stp>.NDXP251031C19650</stp>
        <tr r="T174" s="2"/>
      </tp>
      <tp t="s">
        <v>N/A</v>
        <stp/>
        <stp>VOLUME</stp>
        <stp>.NDXP251231C19625</stp>
        <tr r="X175" s="2"/>
      </tp>
      <tp t="s">
        <v>N/A</v>
        <stp/>
        <stp>VOLUME</stp>
        <stp>.NDXP251031C19625</stp>
        <tr r="T175" s="2"/>
      </tp>
      <tp t="s">
        <v>N/A</v>
        <stp/>
        <stp>VOLUME</stp>
        <stp>.NDXP250930C19725</stp>
        <tr r="R171" s="2"/>
      </tp>
      <tp t="s">
        <v>N/A</v>
        <stp/>
        <stp>VOLUME</stp>
        <stp>.NDXP250731C19625</stp>
        <tr r="N175" s="2"/>
      </tp>
      <tp t="s">
        <v>N/A</v>
        <stp/>
        <stp>VOLUME</stp>
        <stp>.NDXP250630C19725</stp>
        <tr r="L171" s="2"/>
      </tp>
      <tp t="s">
        <v>N/A</v>
        <stp/>
        <stp>VOLUME</stp>
        <stp>.NDXP250530C19725</stp>
        <tr r="I171" s="2"/>
      </tp>
      <tp>
        <v>1</v>
        <stp/>
        <stp>VOLUME</stp>
        <stp>.NDXP250606C20125</stp>
        <tr r="J155" s="2"/>
        <tr r="J155" s="2"/>
      </tp>
      <tp t="s">
        <v>N/A</v>
        <stp/>
        <stp>VOLUME</stp>
        <stp>.NDXP251231C19600</stp>
        <tr r="X176" s="2"/>
      </tp>
      <tp t="s">
        <v>N/A</v>
        <stp/>
        <stp>VOLUME</stp>
        <stp>.NDXP251031C19600</stp>
        <tr r="T176" s="2"/>
      </tp>
      <tp t="s">
        <v>N/A</v>
        <stp/>
        <stp>VOLUME</stp>
        <stp>.NDXP250930C19700</stp>
        <tr r="R172" s="2"/>
      </tp>
      <tp t="s">
        <v>N/A</v>
        <stp/>
        <stp>VOLUME</stp>
        <stp>.NDXP250630C19700</stp>
        <tr r="L172" s="2"/>
      </tp>
      <tp t="s">
        <v>N/A</v>
        <stp/>
        <stp>VOLUME</stp>
        <stp>.NDXP250731C19600</stp>
        <tr r="N176" s="2"/>
      </tp>
      <tp>
        <v>2</v>
        <stp/>
        <stp>VOLUME</stp>
        <stp>.NDXP250530C19700</stp>
        <tr r="I172" s="2"/>
        <tr r="I172" s="2"/>
      </tp>
      <tp t="s">
        <v>N/A</v>
        <stp/>
        <stp>VOLUME</stp>
        <stp>.NDXP250606C20100</stp>
        <tr r="J156" s="2"/>
      </tp>
      <tp t="s">
        <v>N/A</v>
        <stp/>
        <stp>VOLUME</stp>
        <stp>.SPXW250829C5810</stp>
        <tr r="P92" s="2"/>
      </tp>
      <tp t="s">
        <v>N/A</v>
        <stp/>
        <stp>VOLUME</stp>
        <stp>.SPXW251128C5800</stp>
        <tr r="V93" s="2"/>
      </tp>
      <tp t="s">
        <v>N/A</v>
        <stp/>
        <stp>VOLUME</stp>
        <stp>.SPXW251128P5800</stp>
        <tr r="V93" s="2"/>
      </tp>
      <tp t="s">
        <v>N/A</v>
        <stp/>
        <stp>VOLUME</stp>
        <stp>.SPXW250829P5810</stp>
        <tr r="P92" s="2"/>
      </tp>
      <tp t="s">
        <v>N/A</v>
        <stp/>
        <stp>VOLUME</stp>
        <stp>.SPXW250829C5800</stp>
        <tr r="P93" s="2"/>
      </tp>
      <tp t="s">
        <v>N/A</v>
        <stp/>
        <stp>VOLUME</stp>
        <stp>.SPXW251128C5810</stp>
        <tr r="V92" s="2"/>
      </tp>
      <tp t="s">
        <v>N/A</v>
        <stp/>
        <stp>VOLUME</stp>
        <stp>.SPXW251128P5810</stp>
        <tr r="V92" s="2"/>
      </tp>
      <tp t="s">
        <v>N/A</v>
        <stp/>
        <stp>VOLUME</stp>
        <stp>.SPXW250829P5800</stp>
        <tr r="P93" s="2"/>
      </tp>
      <tp t="s">
        <v>N/A</v>
        <stp/>
        <stp>VOLUME</stp>
        <stp>.SPXW250829C5830</stp>
        <tr r="P90" s="2"/>
      </tp>
      <tp t="s">
        <v>N/A</v>
        <stp/>
        <stp>VOLUME</stp>
        <stp>.SPXW251128C5820</stp>
        <tr r="V91" s="2"/>
      </tp>
      <tp t="s">
        <v>N/A</v>
        <stp/>
        <stp>VOLUME</stp>
        <stp>.SPXW251128P5820</stp>
        <tr r="V91" s="2"/>
      </tp>
      <tp t="s">
        <v>N/A</v>
        <stp/>
        <stp>VOLUME</stp>
        <stp>.SPXW250829P5830</stp>
        <tr r="P90" s="2"/>
      </tp>
      <tp t="s">
        <v>N/A</v>
        <stp/>
        <stp>VOLUME</stp>
        <stp>.SPXW250829C5820</stp>
        <tr r="P91" s="2"/>
      </tp>
      <tp t="s">
        <v>N/A</v>
        <stp/>
        <stp>VOLUME</stp>
        <stp>.SPXW251128C5830</stp>
        <tr r="V90" s="2"/>
      </tp>
      <tp t="s">
        <v>N/A</v>
        <stp/>
        <stp>VOLUME</stp>
        <stp>.SPXW251128P5830</stp>
        <tr r="V90" s="2"/>
      </tp>
      <tp t="s">
        <v>N/A</v>
        <stp/>
        <stp>VOLUME</stp>
        <stp>.SPXW250829P5820</stp>
        <tr r="P91" s="2"/>
      </tp>
      <tp t="s">
        <v>N/A</v>
        <stp/>
        <stp>VOLUME</stp>
        <stp>.SPXW250829C5850</stp>
        <tr r="P88" s="2"/>
      </tp>
      <tp t="s">
        <v>N/A</v>
        <stp/>
        <stp>VOLUME</stp>
        <stp>.SPXW251128C5840</stp>
        <tr r="V89" s="2"/>
      </tp>
      <tp t="s">
        <v>N/A</v>
        <stp/>
        <stp>VOLUME</stp>
        <stp>.SPXW251128P5840</stp>
        <tr r="V89" s="2"/>
      </tp>
      <tp t="s">
        <v>N/A</v>
        <stp/>
        <stp>VOLUME</stp>
        <stp>.SPXW250829P5850</stp>
        <tr r="P88" s="2"/>
      </tp>
      <tp t="s">
        <v>N/A</v>
        <stp/>
        <stp>VOLUME</stp>
        <stp>.SPXW250829C5840</stp>
        <tr r="P89" s="2"/>
      </tp>
      <tp t="s">
        <v>N/A</v>
        <stp/>
        <stp>VOLUME</stp>
        <stp>.SPXW251128C5850</stp>
        <tr r="V88" s="2"/>
      </tp>
      <tp t="s">
        <v>N/A</v>
        <stp/>
        <stp>VOLUME</stp>
        <stp>.SPXW251128P5850</stp>
        <tr r="V88" s="2"/>
      </tp>
      <tp t="s">
        <v>N/A</v>
        <stp/>
        <stp>VOLUME</stp>
        <stp>.SPXW250829P5840</stp>
        <tr r="P89" s="2"/>
      </tp>
      <tp t="s">
        <v>N/A</v>
        <stp/>
        <stp>VOLUME</stp>
        <stp>.SPXW250829C5870</stp>
        <tr r="P86" s="2"/>
      </tp>
      <tp t="s">
        <v>N/A</v>
        <stp/>
        <stp>VOLUME</stp>
        <stp>.SPXW251128C5860</stp>
        <tr r="V87" s="2"/>
      </tp>
      <tp t="s">
        <v>N/A</v>
        <stp/>
        <stp>VOLUME</stp>
        <stp>.SPXW251128P5860</stp>
        <tr r="V87" s="2"/>
      </tp>
      <tp t="s">
        <v>N/A</v>
        <stp/>
        <stp>VOLUME</stp>
        <stp>.SPXW250829P5870</stp>
        <tr r="P86" s="2"/>
      </tp>
      <tp t="s">
        <v>N/A</v>
        <stp/>
        <stp>VOLUME</stp>
        <stp>.SPXW250829C5860</stp>
        <tr r="P87" s="2"/>
      </tp>
      <tp t="s">
        <v>N/A</v>
        <stp/>
        <stp>VOLUME</stp>
        <stp>.SPXW251128C5870</stp>
        <tr r="V86" s="2"/>
      </tp>
      <tp t="s">
        <v>N/A</v>
        <stp/>
        <stp>VOLUME</stp>
        <stp>.SPXW251128P5870</stp>
        <tr r="V86" s="2"/>
      </tp>
      <tp t="s">
        <v>N/A</v>
        <stp/>
        <stp>VOLUME</stp>
        <stp>.SPXW250829P5860</stp>
        <tr r="P87" s="2"/>
      </tp>
      <tp t="s">
        <v>N/A</v>
        <stp/>
        <stp>VOLUME</stp>
        <stp>.NDXP251231P19650</stp>
        <tr r="X174" s="2"/>
      </tp>
      <tp t="s">
        <v>N/A</v>
        <stp/>
        <stp>VOLUME</stp>
        <stp>.NDXP251031P19650</stp>
        <tr r="T174" s="2"/>
      </tp>
      <tp t="s">
        <v>N/A</v>
        <stp/>
        <stp>VOLUME</stp>
        <stp>.NDXP250930P19750</stp>
        <tr r="R170" s="2"/>
      </tp>
      <tp t="s">
        <v>N/A</v>
        <stp/>
        <stp>VOLUME</stp>
        <stp>.NDXP250630P19750</stp>
        <tr r="L170" s="2"/>
      </tp>
      <tp t="s">
        <v>N/A</v>
        <stp/>
        <stp>VOLUME</stp>
        <stp>.NDXP250731P19650</stp>
        <tr r="N174" s="2"/>
      </tp>
      <tp t="s">
        <v>N/A</v>
        <stp/>
        <stp>VOLUME</stp>
        <stp>.NDXP250530P19750</stp>
        <tr r="I170" s="2"/>
      </tp>
      <tp t="s">
        <v>N/A</v>
        <stp/>
        <stp>VOLUME</stp>
        <stp>.NDXP250606P20150</stp>
        <tr r="J154" s="2"/>
      </tp>
      <tp t="s">
        <v>N/A</v>
        <stp/>
        <stp>VOLUME</stp>
        <stp>.NDXP251231P19675</stp>
        <tr r="X173" s="2"/>
      </tp>
      <tp t="s">
        <v>N/A</v>
        <stp/>
        <stp>VOLUME</stp>
        <stp>.NDXP251031P19675</stp>
        <tr r="T173" s="2"/>
      </tp>
      <tp t="s">
        <v>N/A</v>
        <stp/>
        <stp>VOLUME</stp>
        <stp>.NDXP250930P19775</stp>
        <tr r="R169" s="2"/>
      </tp>
      <tp t="s">
        <v>N/A</v>
        <stp/>
        <stp>VOLUME</stp>
        <stp>.NDXP250731P19675</stp>
        <tr r="N173" s="2"/>
      </tp>
      <tp t="s">
        <v>N/A</v>
        <stp/>
        <stp>VOLUME</stp>
        <stp>.NDXP250630P19775</stp>
        <tr r="L169" s="2"/>
      </tp>
      <tp t="s">
        <v>N/A</v>
        <stp/>
        <stp>VOLUME</stp>
        <stp>.NDXP250530P19775</stp>
        <tr r="I169" s="2"/>
      </tp>
      <tp t="s">
        <v>N/A</v>
        <stp/>
        <stp>VOLUME</stp>
        <stp>.NDXP250606P20175</stp>
        <tr r="J153" s="2"/>
      </tp>
      <tp t="s">
        <v>N/A</v>
        <stp/>
        <stp>VOLUME</stp>
        <stp>.NDXP250930P19700</stp>
        <tr r="R172" s="2"/>
      </tp>
      <tp t="s">
        <v>N/A</v>
        <stp/>
        <stp>VOLUME</stp>
        <stp>.NDXP250630P19700</stp>
        <tr r="L172" s="2"/>
      </tp>
      <tp t="s">
        <v>N/A</v>
        <stp/>
        <stp>VOLUME</stp>
        <stp>.NDXP250731P19600</stp>
        <tr r="N176" s="2"/>
      </tp>
      <tp>
        <v>2</v>
        <stp/>
        <stp>VOLUME</stp>
        <stp>.NDXP250530P19700</stp>
        <tr r="I172" s="2"/>
        <tr r="I172" s="2"/>
      </tp>
      <tp t="s">
        <v>N/A</v>
        <stp/>
        <stp>VOLUME</stp>
        <stp>.NDXP250606P20100</stp>
        <tr r="J156" s="2"/>
      </tp>
      <tp t="s">
        <v>N/A</v>
        <stp/>
        <stp>VOLUME</stp>
        <stp>.NDXP251231P19600</stp>
        <tr r="X176" s="2"/>
      </tp>
      <tp t="s">
        <v>N/A</v>
        <stp/>
        <stp>VOLUME</stp>
        <stp>.NDXP251031P19600</stp>
        <tr r="T176" s="2"/>
      </tp>
      <tp t="s">
        <v>N/A</v>
        <stp/>
        <stp>VOLUME</stp>
        <stp>.NDXP250930P19725</stp>
        <tr r="R171" s="2"/>
      </tp>
      <tp t="s">
        <v>N/A</v>
        <stp/>
        <stp>VOLUME</stp>
        <stp>.NDXP250731P19625</stp>
        <tr r="N175" s="2"/>
      </tp>
      <tp t="s">
        <v>N/A</v>
        <stp/>
        <stp>VOLUME</stp>
        <stp>.NDXP250630P19725</stp>
        <tr r="L171" s="2"/>
      </tp>
      <tp t="s">
        <v>N/A</v>
        <stp/>
        <stp>VOLUME</stp>
        <stp>.NDXP250530P19725</stp>
        <tr r="I171" s="2"/>
      </tp>
      <tp t="s">
        <v>N/A</v>
        <stp/>
        <stp>VOLUME</stp>
        <stp>.NDXP250606P20125</stp>
        <tr r="J155" s="2"/>
      </tp>
      <tp t="s">
        <v>N/A</v>
        <stp/>
        <stp>VOLUME</stp>
        <stp>.NDXP251231P19625</stp>
        <tr r="X175" s="2"/>
      </tp>
      <tp t="s">
        <v>N/A</v>
        <stp/>
        <stp>VOLUME</stp>
        <stp>.NDXP251031P19625</stp>
        <tr r="T175" s="2"/>
      </tp>
      <tp>
        <v>96</v>
        <stp/>
        <stp>OPEN_INT</stp>
        <stp>.NDXP250508C20100</stp>
        <tr r="AS155" s="1"/>
        <tr r="AS155" s="1"/>
      </tp>
      <tp>
        <v>9</v>
        <stp/>
        <stp>OPEN_INT</stp>
        <stp>.NDXP250509C20000</stp>
        <tr r="AU159" s="1"/>
        <tr r="AU159" s="1"/>
      </tp>
      <tp>
        <v>6</v>
        <stp/>
        <stp>OPEN_INT</stp>
        <stp>.NDXP250508C20125</stp>
        <tr r="AS154" s="1"/>
        <tr r="AS154" s="1"/>
      </tp>
      <tp>
        <v>8</v>
        <stp/>
        <stp>OPEN_INT</stp>
        <stp>.NDXP250509C20025</stp>
        <tr r="AU158" s="1"/>
        <tr r="AU158" s="1"/>
      </tp>
      <tp>
        <v>10</v>
        <stp/>
        <stp>OPEN_INT</stp>
        <stp>.NDXP250508C20150</stp>
        <tr r="AS153" s="1"/>
        <tr r="AS153" s="1"/>
      </tp>
      <tp>
        <v>73</v>
        <stp/>
        <stp>OPEN_INT</stp>
        <stp>.NDXP250509C20050</stp>
        <tr r="AU157" s="1"/>
        <tr r="AU157" s="1"/>
      </tp>
      <tp>
        <v>1</v>
        <stp/>
        <stp>OPEN_INT</stp>
        <stp>.NDXP250508C20175</stp>
        <tr r="AS152" s="1"/>
        <tr r="AS152" s="1"/>
      </tp>
      <tp>
        <v>6</v>
        <stp/>
        <stp>OPEN_INT</stp>
        <stp>.NDXP250509C20075</stp>
        <tr r="AU156" s="1"/>
        <tr r="AU156" s="1"/>
      </tp>
      <tp>
        <v>0</v>
        <stp/>
        <stp>OPEN_INT</stp>
        <stp>.NDXP250508P20125</stp>
        <tr r="AT154" s="1"/>
        <tr r="AT154" s="1"/>
      </tp>
      <tp>
        <v>3</v>
        <stp/>
        <stp>OPEN_INT</stp>
        <stp>.NDXP250509P20025</stp>
        <tr r="AV158" s="1"/>
        <tr r="AV158" s="1"/>
      </tp>
      <tp>
        <v>1</v>
        <stp/>
        <stp>OPEN_INT</stp>
        <stp>.NDXP250508P20100</stp>
        <tr r="AT155" s="1"/>
        <tr r="AT155" s="1"/>
      </tp>
      <tp>
        <v>27</v>
        <stp/>
        <stp>OPEN_INT</stp>
        <stp>.NDXP250509P20000</stp>
        <tr r="AV159" s="1"/>
        <tr r="AV159" s="1"/>
      </tp>
      <tp>
        <v>0</v>
        <stp/>
        <stp>OPEN_INT</stp>
        <stp>.NDXP250508P20175</stp>
        <tr r="AT152" s="1"/>
        <tr r="AT152" s="1"/>
      </tp>
      <tp>
        <v>3</v>
        <stp/>
        <stp>OPEN_INT</stp>
        <stp>.NDXP250509P20075</stp>
        <tr r="AV156" s="1"/>
        <tr r="AV156" s="1"/>
      </tp>
      <tp>
        <v>0</v>
        <stp/>
        <stp>OPEN_INT</stp>
        <stp>.NDXP250508P20150</stp>
        <tr r="AT153" s="1"/>
        <tr r="AT153" s="1"/>
      </tp>
      <tp>
        <v>9</v>
        <stp/>
        <stp>OPEN_INT</stp>
        <stp>.NDXP250509P20050</stp>
        <tr r="AV157" s="1"/>
        <tr r="AV157" s="1"/>
      </tp>
      <tp t="s">
        <v>N/A</v>
        <stp/>
        <stp>VOLUME</stp>
        <stp>.NDXP250930C20075</stp>
        <tr r="R157" s="2"/>
      </tp>
      <tp t="s">
        <v>N/A</v>
        <stp/>
        <stp>VOLUME</stp>
        <stp>.NDXP250829C19975</stp>
        <tr r="P161" s="2"/>
      </tp>
      <tp t="s">
        <v>N/A</v>
        <stp/>
        <stp>VOLUME</stp>
        <stp>.NDXP250606C19675</stp>
        <tr r="J173" s="2"/>
      </tp>
      <tp t="s">
        <v>N/A</v>
        <stp/>
        <stp>VOLUME</stp>
        <stp>.NDXP250530C20075</stp>
        <tr r="I157" s="2"/>
      </tp>
      <tp t="s">
        <v>N/A</v>
        <stp/>
        <stp>VOLUME</stp>
        <stp>.NDXP250508C19875</stp>
        <tr r="BA164" s="1"/>
      </tp>
      <tp>
        <v>6</v>
        <stp/>
        <stp>VOLUME</stp>
        <stp>.NDXP250509C19975</stp>
        <tr r="BC160" s="1"/>
        <tr r="BC160" s="1"/>
      </tp>
      <tp t="s">
        <v>N/A</v>
        <stp/>
        <stp>VOLUME</stp>
        <stp>.NDXP250630C20075</stp>
        <tr r="L157" s="2"/>
      </tp>
      <tp t="s">
        <v>N/A</v>
        <stp/>
        <stp>VOLUME</stp>
        <stp>.NDXP250731C20175</stp>
        <tr r="N153" s="2"/>
      </tp>
      <tp t="s">
        <v>N/A</v>
        <stp/>
        <stp>VOLUME</stp>
        <stp>.NDXP251031C20175</stp>
        <tr r="T153" s="2"/>
      </tp>
      <tp t="s">
        <v>N/A</v>
        <stp/>
        <stp>VOLUME</stp>
        <stp>.NDXP251128C19875</stp>
        <tr r="V165" s="2"/>
      </tp>
      <tp t="s">
        <v>N/A</v>
        <stp/>
        <stp>VOLUME</stp>
        <stp>.NDXP251231C20175</stp>
        <tr r="X153" s="2"/>
      </tp>
      <tp t="s">
        <v>N/A</v>
        <stp/>
        <stp>VOLUME</stp>
        <stp>.NDXP250930C20050</stp>
        <tr r="R158" s="2"/>
      </tp>
      <tp t="s">
        <v>N/A</v>
        <stp/>
        <stp>VOLUME</stp>
        <stp>.NDXP250829C19950</stp>
        <tr r="P162" s="2"/>
      </tp>
      <tp t="s">
        <v>N/A</v>
        <stp/>
        <stp>VOLUME</stp>
        <stp>.NDXP250606C19650</stp>
        <tr r="J174" s="2"/>
      </tp>
      <tp>
        <v>2</v>
        <stp/>
        <stp>VOLUME</stp>
        <stp>.NDXP250530C20050</stp>
        <tr r="I158" s="2"/>
        <tr r="I158" s="2"/>
      </tp>
      <tp t="s">
        <v>N/A</v>
        <stp/>
        <stp>VOLUME</stp>
        <stp>.NDXP250731C20150</stp>
        <tr r="N154" s="2"/>
      </tp>
      <tp t="s">
        <v>N/A</v>
        <stp/>
        <stp>VOLUME</stp>
        <stp>.NDXP250508C19850</stp>
        <tr r="BA165" s="1"/>
      </tp>
      <tp>
        <v>22</v>
        <stp/>
        <stp>VOLUME</stp>
        <stp>.NDXP250509C19950</stp>
        <tr r="BC161" s="1"/>
        <tr r="BC161" s="1"/>
      </tp>
      <tp>
        <v>1</v>
        <stp/>
        <stp>VOLUME</stp>
        <stp>.NDXP250630C20050</stp>
        <tr r="L158" s="2"/>
        <tr r="L158" s="2"/>
      </tp>
      <tp t="s">
        <v>N/A</v>
        <stp/>
        <stp>VOLUME</stp>
        <stp>.NDXP251031C20150</stp>
        <tr r="T154" s="2"/>
      </tp>
      <tp t="s">
        <v>N/A</v>
        <stp/>
        <stp>VOLUME</stp>
        <stp>.NDXP251128C19850</stp>
        <tr r="V166" s="2"/>
      </tp>
      <tp t="s">
        <v>N/A</v>
        <stp/>
        <stp>VOLUME</stp>
        <stp>.NDXP251231C20150</stp>
        <tr r="X154" s="2"/>
      </tp>
      <tp t="s">
        <v>N/A</v>
        <stp/>
        <stp>VOLUME</stp>
        <stp>.NDXP251031C20125</stp>
        <tr r="T155" s="2"/>
      </tp>
      <tp t="s">
        <v>N/A</v>
        <stp/>
        <stp>VOLUME</stp>
        <stp>.NDXP251128C19825</stp>
        <tr r="V167" s="2"/>
      </tp>
      <tp t="s">
        <v>N/A</v>
        <stp/>
        <stp>VOLUME</stp>
        <stp>.NDXP251231C20125</stp>
        <tr r="X155" s="2"/>
      </tp>
      <tp t="s">
        <v>N/A</v>
        <stp/>
        <stp>VOLUME</stp>
        <stp>.NDXP250930C20025</stp>
        <tr r="R159" s="2"/>
      </tp>
      <tp t="s">
        <v>N/A</v>
        <stp/>
        <stp>VOLUME</stp>
        <stp>.NDXP250829C19925</stp>
        <tr r="P163" s="2"/>
      </tp>
      <tp t="s">
        <v>N/A</v>
        <stp/>
        <stp>VOLUME</stp>
        <stp>.NDXP250606C19625</stp>
        <tr r="J175" s="2"/>
      </tp>
      <tp t="s">
        <v>N/A</v>
        <stp/>
        <stp>VOLUME</stp>
        <stp>.NDXP250530C20025</stp>
        <tr r="I159" s="2"/>
      </tp>
      <tp t="s">
        <v>N/A</v>
        <stp/>
        <stp>VOLUME</stp>
        <stp>.NDXP250508C19825</stp>
        <tr r="BA166" s="1"/>
      </tp>
      <tp>
        <v>5</v>
        <stp/>
        <stp>VOLUME</stp>
        <stp>.NDXP250509C19925</stp>
        <tr r="BC162" s="1"/>
        <tr r="BC162" s="1"/>
      </tp>
      <tp t="s">
        <v>N/A</v>
        <stp/>
        <stp>VOLUME</stp>
        <stp>.NDXP250630C20025</stp>
        <tr r="L159" s="2"/>
      </tp>
      <tp t="s">
        <v>N/A</v>
        <stp/>
        <stp>VOLUME</stp>
        <stp>.NDXP250731C20125</stp>
        <tr r="N155" s="2"/>
      </tp>
      <tp t="s">
        <v>N/A</v>
        <stp/>
        <stp>VOLUME</stp>
        <stp>.NDXP251031C20100</stp>
        <tr r="T156" s="2"/>
      </tp>
      <tp t="s">
        <v>N/A</v>
        <stp/>
        <stp>VOLUME</stp>
        <stp>.NDXP251128C19800</stp>
        <tr r="V168" s="2"/>
      </tp>
      <tp t="s">
        <v>N/A</v>
        <stp/>
        <stp>VOLUME</stp>
        <stp>.NDXP251231C20100</stp>
        <tr r="X156" s="2"/>
      </tp>
      <tp t="s">
        <v>N/A</v>
        <stp/>
        <stp>VOLUME</stp>
        <stp>.NDXP250930C20000</stp>
        <tr r="R160" s="2"/>
      </tp>
      <tp t="s">
        <v>N/A</v>
        <stp/>
        <stp>VOLUME</stp>
        <stp>.NDXP250829C19900</stp>
        <tr r="P164" s="2"/>
      </tp>
      <tp t="s">
        <v>N/A</v>
        <stp/>
        <stp>VOLUME</stp>
        <stp>.NDXP250606C19600</stp>
        <tr r="J176" s="2"/>
      </tp>
      <tp t="s">
        <v>N/A</v>
        <stp/>
        <stp>VOLUME</stp>
        <stp>.NDXP250530C20000</stp>
        <tr r="I160" s="2"/>
      </tp>
      <tp t="s">
        <v>N/A</v>
        <stp/>
        <stp>VOLUME</stp>
        <stp>.NDXP250731C20100</stp>
        <tr r="N156" s="2"/>
      </tp>
      <tp t="s">
        <v>N/A</v>
        <stp/>
        <stp>VOLUME</stp>
        <stp>.NDXP250508C19800</stp>
        <tr r="BA167" s="1"/>
      </tp>
      <tp>
        <v>4</v>
        <stp/>
        <stp>VOLUME</stp>
        <stp>.NDXP250509C19900</stp>
        <tr r="BC163" s="1"/>
        <tr r="BC163" s="1"/>
      </tp>
      <tp t="s">
        <v>N/A</v>
        <stp/>
        <stp>VOLUME</stp>
        <stp>.NDXP250630C20000</stp>
        <tr r="L160" s="2"/>
      </tp>
      <tp t="s">
        <v>N/A</v>
        <stp/>
        <stp>VOLUME</stp>
        <stp>.NDXP251031P20150</stp>
        <tr r="T154" s="2"/>
      </tp>
      <tp t="s">
        <v>N/A</v>
        <stp/>
        <stp>VOLUME</stp>
        <stp>.NDXP251128P19850</stp>
        <tr r="V166" s="2"/>
      </tp>
      <tp t="s">
        <v>N/A</v>
        <stp/>
        <stp>VOLUME</stp>
        <stp>.NDXP251231P20150</stp>
        <tr r="X154" s="2"/>
      </tp>
      <tp t="s">
        <v>N/A</v>
        <stp/>
        <stp>VOLUME</stp>
        <stp>.NDXP250930P20050</stp>
        <tr r="R158" s="2"/>
      </tp>
      <tp t="s">
        <v>N/A</v>
        <stp/>
        <stp>VOLUME</stp>
        <stp>.NDXP250829P19950</stp>
        <tr r="P162" s="2"/>
      </tp>
      <tp t="s">
        <v>N/A</v>
        <stp/>
        <stp>VOLUME</stp>
        <stp>.NDXP250606P19650</stp>
        <tr r="J174" s="2"/>
      </tp>
      <tp t="s">
        <v>N/A</v>
        <stp/>
        <stp>VOLUME</stp>
        <stp>.NDXP250530P20050</stp>
        <tr r="I158" s="2"/>
      </tp>
      <tp t="s">
        <v>N/A</v>
        <stp/>
        <stp>VOLUME</stp>
        <stp>.NDXP250731P20150</stp>
        <tr r="N154" s="2"/>
      </tp>
      <tp t="s">
        <v>N/A</v>
        <stp/>
        <stp>VOLUME</stp>
        <stp>.NDXP250508P19850</stp>
        <tr r="BB165" s="1"/>
      </tp>
      <tp>
        <v>480</v>
        <stp/>
        <stp>VOLUME</stp>
        <stp>.NDXP250509P19950</stp>
        <tr r="BD161" s="1"/>
        <tr r="BD161" s="1"/>
      </tp>
      <tp>
        <v>10</v>
        <stp/>
        <stp>VOLUME</stp>
        <stp>.NDXP250630P20050</stp>
        <tr r="L158" s="2"/>
        <tr r="L158" s="2"/>
      </tp>
      <tp t="s">
        <v>N/A</v>
        <stp/>
        <stp>VOLUME</stp>
        <stp>.NDXP251031P20175</stp>
        <tr r="T153" s="2"/>
      </tp>
      <tp t="s">
        <v>N/A</v>
        <stp/>
        <stp>VOLUME</stp>
        <stp>.NDXP251128P19875</stp>
        <tr r="V165" s="2"/>
      </tp>
      <tp t="s">
        <v>N/A</v>
        <stp/>
        <stp>VOLUME</stp>
        <stp>.NDXP251231P20175</stp>
        <tr r="X153" s="2"/>
      </tp>
      <tp t="s">
        <v>N/A</v>
        <stp/>
        <stp>VOLUME</stp>
        <stp>.NDXP250930P20075</stp>
        <tr r="R157" s="2"/>
      </tp>
      <tp t="s">
        <v>N/A</v>
        <stp/>
        <stp>VOLUME</stp>
        <stp>.NDXP250829P19975</stp>
        <tr r="P161" s="2"/>
      </tp>
      <tp t="s">
        <v>N/A</v>
        <stp/>
        <stp>VOLUME</stp>
        <stp>.NDXP250606P19675</stp>
        <tr r="J173" s="2"/>
      </tp>
      <tp>
        <v>1</v>
        <stp/>
        <stp>VOLUME</stp>
        <stp>.NDXP250530P20075</stp>
        <tr r="I157" s="2"/>
        <tr r="I157" s="2"/>
      </tp>
      <tp t="s">
        <v>N/A</v>
        <stp/>
        <stp>VOLUME</stp>
        <stp>.NDXP250508P19875</stp>
        <tr r="BB164" s="1"/>
      </tp>
      <tp>
        <v>224</v>
        <stp/>
        <stp>VOLUME</stp>
        <stp>.NDXP250509P19975</stp>
        <tr r="BD160" s="1"/>
        <tr r="BD160" s="1"/>
      </tp>
      <tp t="s">
        <v>N/A</v>
        <stp/>
        <stp>VOLUME</stp>
        <stp>.NDXP250630P20075</stp>
        <tr r="L157" s="2"/>
      </tp>
      <tp t="s">
        <v>N/A</v>
        <stp/>
        <stp>VOLUME</stp>
        <stp>.NDXP250731P20175</stp>
        <tr r="N153" s="2"/>
      </tp>
      <tp t="s">
        <v>N/A</v>
        <stp/>
        <stp>VOLUME</stp>
        <stp>.NDXP250930P20000</stp>
        <tr r="R160" s="2"/>
      </tp>
      <tp t="s">
        <v>N/A</v>
        <stp/>
        <stp>VOLUME</stp>
        <stp>.NDXP250829P19900</stp>
        <tr r="P164" s="2"/>
      </tp>
      <tp t="s">
        <v>N/A</v>
        <stp/>
        <stp>VOLUME</stp>
        <stp>.NDXP250606P19600</stp>
        <tr r="J176" s="2"/>
      </tp>
      <tp t="s">
        <v>N/A</v>
        <stp/>
        <stp>VOLUME</stp>
        <stp>.NDXP250530P20000</stp>
        <tr r="I160" s="2"/>
      </tp>
      <tp t="s">
        <v>N/A</v>
        <stp/>
        <stp>VOLUME</stp>
        <stp>.NDXP250731P20100</stp>
        <tr r="N156" s="2"/>
      </tp>
      <tp t="s">
        <v>N/A</v>
        <stp/>
        <stp>VOLUME</stp>
        <stp>.NDXP250508P19800</stp>
        <tr r="BB167" s="1"/>
      </tp>
      <tp>
        <v>713</v>
        <stp/>
        <stp>VOLUME</stp>
        <stp>.NDXP250509P19900</stp>
        <tr r="BD163" s="1"/>
        <tr r="BD163" s="1"/>
      </tp>
      <tp t="s">
        <v>N/A</v>
        <stp/>
        <stp>VOLUME</stp>
        <stp>.NDXP250630P20000</stp>
        <tr r="L160" s="2"/>
      </tp>
      <tp t="s">
        <v>N/A</v>
        <stp/>
        <stp>VOLUME</stp>
        <stp>.NDXP251031P20100</stp>
        <tr r="T156" s="2"/>
      </tp>
      <tp t="s">
        <v>N/A</v>
        <stp/>
        <stp>VOLUME</stp>
        <stp>.NDXP251128P19800</stp>
        <tr r="V168" s="2"/>
      </tp>
      <tp t="s">
        <v>N/A</v>
        <stp/>
        <stp>VOLUME</stp>
        <stp>.NDXP251231P20100</stp>
        <tr r="X156" s="2"/>
      </tp>
      <tp t="s">
        <v>N/A</v>
        <stp/>
        <stp>VOLUME</stp>
        <stp>.NDXP250930P20025</stp>
        <tr r="R159" s="2"/>
      </tp>
      <tp t="s">
        <v>N/A</v>
        <stp/>
        <stp>VOLUME</stp>
        <stp>.NDXP250829P19925</stp>
        <tr r="P163" s="2"/>
      </tp>
      <tp t="s">
        <v>N/A</v>
        <stp/>
        <stp>VOLUME</stp>
        <stp>.NDXP250606P19625</stp>
        <tr r="J175" s="2"/>
      </tp>
      <tp>
        <v>3</v>
        <stp/>
        <stp>VOLUME</stp>
        <stp>.NDXP250530P20025</stp>
        <tr r="I159" s="2"/>
        <tr r="I159" s="2"/>
      </tp>
      <tp t="s">
        <v>N/A</v>
        <stp/>
        <stp>VOLUME</stp>
        <stp>.NDXP250508P19825</stp>
        <tr r="BB166" s="1"/>
      </tp>
      <tp>
        <v>138</v>
        <stp/>
        <stp>VOLUME</stp>
        <stp>.NDXP250509P19925</stp>
        <tr r="BD162" s="1"/>
        <tr r="BD162" s="1"/>
      </tp>
      <tp t="s">
        <v>N/A</v>
        <stp/>
        <stp>VOLUME</stp>
        <stp>.NDXP250630P20025</stp>
        <tr r="L159" s="2"/>
      </tp>
      <tp t="s">
        <v>N/A</v>
        <stp/>
        <stp>VOLUME</stp>
        <stp>.NDXP250731P20125</stp>
        <tr r="N155" s="2"/>
      </tp>
      <tp t="s">
        <v>N/A</v>
        <stp/>
        <stp>VOLUME</stp>
        <stp>.NDXP251031P20125</stp>
        <tr r="T155" s="2"/>
      </tp>
      <tp t="s">
        <v>N/A</v>
        <stp/>
        <stp>VOLUME</stp>
        <stp>.NDXP251128P19825</stp>
        <tr r="V167" s="2"/>
      </tp>
      <tp t="s">
        <v>N/A</v>
        <stp/>
        <stp>VOLUME</stp>
        <stp>.NDXP251231P20125</stp>
        <tr r="X155" s="2"/>
      </tp>
      <tp>
        <v>49</v>
        <stp/>
        <stp>OPEN_INT</stp>
        <stp>.NDXP250508C20000</stp>
        <tr r="AS159" s="1"/>
        <tr r="AS159" s="1"/>
      </tp>
      <tp>
        <v>18</v>
        <stp/>
        <stp>OPEN_INT</stp>
        <stp>.NDXP250509C20100</stp>
        <tr r="AU155" s="1"/>
        <tr r="AU155" s="1"/>
      </tp>
      <tp>
        <v>10</v>
        <stp/>
        <stp>OPEN_INT</stp>
        <stp>.NDXP250508C20025</stp>
        <tr r="AS158" s="1"/>
        <tr r="AS158" s="1"/>
      </tp>
      <tp>
        <v>7</v>
        <stp/>
        <stp>OPEN_INT</stp>
        <stp>.NDXP250509C20125</stp>
        <tr r="AU154" s="1"/>
        <tr r="AU154" s="1"/>
      </tp>
      <tp>
        <v>12</v>
        <stp/>
        <stp>OPEN_INT</stp>
        <stp>.NDXP250508C20050</stp>
        <tr r="AS157" s="1"/>
        <tr r="AS157" s="1"/>
      </tp>
      <tp>
        <v>14</v>
        <stp/>
        <stp>OPEN_INT</stp>
        <stp>.NDXP250509C20150</stp>
        <tr r="AU153" s="1"/>
        <tr r="AU153" s="1"/>
      </tp>
      <tp>
        <v>6</v>
        <stp/>
        <stp>OPEN_INT</stp>
        <stp>.NDXP250508C20075</stp>
        <tr r="AS156" s="1"/>
        <tr r="AS156" s="1"/>
      </tp>
      <tp>
        <v>21</v>
        <stp/>
        <stp>OPEN_INT</stp>
        <stp>.NDXP250509C20175</stp>
        <tr r="AU152" s="1"/>
        <tr r="AU152" s="1"/>
      </tp>
      <tp>
        <v>2</v>
        <stp/>
        <stp>OPEN_INT</stp>
        <stp>.NDXP250508P20025</stp>
        <tr r="AT158" s="1"/>
        <tr r="AT158" s="1"/>
      </tp>
      <tp>
        <v>4</v>
        <stp/>
        <stp>OPEN_INT</stp>
        <stp>.NDXP250509P20125</stp>
        <tr r="AV154" s="1"/>
        <tr r="AV154" s="1"/>
      </tp>
      <tp>
        <v>4</v>
        <stp/>
        <stp>OPEN_INT</stp>
        <stp>.NDXP250508P20000</stp>
        <tr r="AT159" s="1"/>
        <tr r="AT159" s="1"/>
      </tp>
      <tp>
        <v>19</v>
        <stp/>
        <stp>OPEN_INT</stp>
        <stp>.NDXP250509P20100</stp>
        <tr r="AV155" s="1"/>
        <tr r="AV155" s="1"/>
      </tp>
      <tp>
        <v>1</v>
        <stp/>
        <stp>OPEN_INT</stp>
        <stp>.NDXP250508P20075</stp>
        <tr r="AT156" s="1"/>
        <tr r="AT156" s="1"/>
      </tp>
      <tp>
        <v>1</v>
        <stp/>
        <stp>OPEN_INT</stp>
        <stp>.NDXP250509P20175</stp>
        <tr r="AV152" s="1"/>
        <tr r="AV152" s="1"/>
      </tp>
      <tp>
        <v>0</v>
        <stp/>
        <stp>OPEN_INT</stp>
        <stp>.NDXP250508P20050</stp>
        <tr r="AT157" s="1"/>
        <tr r="AT157" s="1"/>
      </tp>
      <tp>
        <v>23</v>
        <stp/>
        <stp>OPEN_INT</stp>
        <stp>.NDXP250509P20150</stp>
        <tr r="AV153" s="1"/>
        <tr r="AV153" s="1"/>
      </tp>
      <tp t="s">
        <v>N/A</v>
        <stp/>
        <stp>VOLUME</stp>
        <stp>.NDXP250930C20175</stp>
        <tr r="R153" s="2"/>
      </tp>
      <tp t="s">
        <v>N/A</v>
        <stp/>
        <stp>VOLUME</stp>
        <stp>.NDXP250829C19875</stp>
        <tr r="P165" s="2"/>
      </tp>
      <tp t="s">
        <v>N/A</v>
        <stp/>
        <stp>VOLUME</stp>
        <stp>.NDXP250606C19775</stp>
        <tr r="J169" s="2"/>
      </tp>
      <tp t="s">
        <v>N/A</v>
        <stp/>
        <stp>VOLUME</stp>
        <stp>.NDXP250530C20175</stp>
        <tr r="I153" s="2"/>
      </tp>
      <tp t="s">
        <v>N/A</v>
        <stp/>
        <stp>VOLUME</stp>
        <stp>.NDXP250508C19975</stp>
        <tr r="BA160" s="1"/>
      </tp>
      <tp t="s">
        <v>N/A</v>
        <stp/>
        <stp>VOLUME</stp>
        <stp>.NDXP250509C19875</stp>
        <tr r="BC164" s="1"/>
      </tp>
      <tp t="s">
        <v>N/A</v>
        <stp/>
        <stp>VOLUME</stp>
        <stp>.NDXP250630C20175</stp>
        <tr r="L153" s="2"/>
      </tp>
      <tp t="s">
        <v>N/A</v>
        <stp/>
        <stp>VOLUME</stp>
        <stp>.NDXP250731C20075</stp>
        <tr r="N157" s="2"/>
      </tp>
      <tp t="s">
        <v>N/A</v>
        <stp/>
        <stp>VOLUME</stp>
        <stp>.NDXP251031C20075</stp>
        <tr r="T157" s="2"/>
      </tp>
      <tp t="s">
        <v>N/A</v>
        <stp/>
        <stp>VOLUME</stp>
        <stp>.NDXP251128C19975</stp>
        <tr r="V161" s="2"/>
      </tp>
      <tp t="s">
        <v>N/A</v>
        <stp/>
        <stp>VOLUME</stp>
        <stp>.NDXP251231C20075</stp>
        <tr r="X157" s="2"/>
      </tp>
      <tp t="s">
        <v>N/A</v>
        <stp/>
        <stp>VOLUME</stp>
        <stp>.NDXP250930C20150</stp>
        <tr r="R154" s="2"/>
      </tp>
      <tp t="s">
        <v>N/A</v>
        <stp/>
        <stp>VOLUME</stp>
        <stp>.NDXP250829C19850</stp>
        <tr r="P166" s="2"/>
      </tp>
      <tp t="s">
        <v>N/A</v>
        <stp/>
        <stp>VOLUME</stp>
        <stp>.NDXP250606C19750</stp>
        <tr r="J170" s="2"/>
      </tp>
      <tp t="s">
        <v>N/A</v>
        <stp/>
        <stp>VOLUME</stp>
        <stp>.NDXP250530C20150</stp>
        <tr r="I154" s="2"/>
      </tp>
      <tp t="s">
        <v>N/A</v>
        <stp/>
        <stp>VOLUME</stp>
        <stp>.NDXP250731C20050</stp>
        <tr r="N158" s="2"/>
      </tp>
      <tp t="s">
        <v>N/A</v>
        <stp/>
        <stp>VOLUME</stp>
        <stp>.NDXP250508C19950</stp>
        <tr r="BA161" s="1"/>
      </tp>
      <tp>
        <v>3</v>
        <stp/>
        <stp>VOLUME</stp>
        <stp>.NDXP250509C19850</stp>
        <tr r="BC165" s="1"/>
        <tr r="BC165" s="1"/>
      </tp>
      <tp t="s">
        <v>N/A</v>
        <stp/>
        <stp>VOLUME</stp>
        <stp>.NDXP250630C20150</stp>
        <tr r="L154" s="2"/>
      </tp>
      <tp t="s">
        <v>N/A</v>
        <stp/>
        <stp>VOLUME</stp>
        <stp>.NDXP251031C20050</stp>
        <tr r="T158" s="2"/>
      </tp>
      <tp t="s">
        <v>N/A</v>
        <stp/>
        <stp>VOLUME</stp>
        <stp>.NDXP251128C19950</stp>
        <tr r="V162" s="2"/>
      </tp>
      <tp t="s">
        <v>N/A</v>
        <stp/>
        <stp>VOLUME</stp>
        <stp>.NDXP251231C20050</stp>
        <tr r="X158" s="2"/>
      </tp>
      <tp t="s">
        <v>N/A</v>
        <stp/>
        <stp>VOLUME</stp>
        <stp>.NDXP251031C20025</stp>
        <tr r="T159" s="2"/>
      </tp>
      <tp t="s">
        <v>N/A</v>
        <stp/>
        <stp>VOLUME</stp>
        <stp>.NDXP251128C19925</stp>
        <tr r="V163" s="2"/>
      </tp>
      <tp t="s">
        <v>N/A</v>
        <stp/>
        <stp>VOLUME</stp>
        <stp>.NDXP251231C20025</stp>
        <tr r="X159" s="2"/>
      </tp>
      <tp t="s">
        <v>N/A</v>
        <stp/>
        <stp>VOLUME</stp>
        <stp>.NDXP250930C20125</stp>
        <tr r="R155" s="2"/>
      </tp>
      <tp t="s">
        <v>N/A</v>
        <stp/>
        <stp>VOLUME</stp>
        <stp>.NDXP250829C19825</stp>
        <tr r="P167" s="2"/>
      </tp>
      <tp t="s">
        <v>N/A</v>
        <stp/>
        <stp>VOLUME</stp>
        <stp>.NDXP250606C19725</stp>
        <tr r="J171" s="2"/>
      </tp>
      <tp t="s">
        <v>N/A</v>
        <stp/>
        <stp>VOLUME</stp>
        <stp>.NDXP250530C20125</stp>
        <tr r="I155" s="2"/>
      </tp>
      <tp t="s">
        <v>N/A</v>
        <stp/>
        <stp>VOLUME</stp>
        <stp>.NDXP250508C19925</stp>
        <tr r="BA162" s="1"/>
      </tp>
      <tp t="s">
        <v>N/A</v>
        <stp/>
        <stp>VOLUME</stp>
        <stp>.NDXP250509C19825</stp>
        <tr r="BC166" s="1"/>
      </tp>
      <tp t="s">
        <v>N/A</v>
        <stp/>
        <stp>VOLUME</stp>
        <stp>.NDXP250630C20125</stp>
        <tr r="L155" s="2"/>
      </tp>
      <tp t="s">
        <v>N/A</v>
        <stp/>
        <stp>VOLUME</stp>
        <stp>.NDXP250731C20025</stp>
        <tr r="N159" s="2"/>
      </tp>
      <tp t="s">
        <v>N/A</v>
        <stp/>
        <stp>VOLUME</stp>
        <stp>.NDXP251031C20000</stp>
        <tr r="T160" s="2"/>
      </tp>
      <tp t="s">
        <v>N/A</v>
        <stp/>
        <stp>VOLUME</stp>
        <stp>.NDXP251128C19900</stp>
        <tr r="V164" s="2"/>
      </tp>
      <tp t="s">
        <v>N/A</v>
        <stp/>
        <stp>VOLUME</stp>
        <stp>.NDXP251231C20000</stp>
        <tr r="X160" s="2"/>
      </tp>
      <tp t="s">
        <v>N/A</v>
        <stp/>
        <stp>VOLUME</stp>
        <stp>.NDXP250930C20100</stp>
        <tr r="R156" s="2"/>
      </tp>
      <tp t="s">
        <v>N/A</v>
        <stp/>
        <stp>VOLUME</stp>
        <stp>.NDXP250829C19800</stp>
        <tr r="P168" s="2"/>
      </tp>
      <tp t="s">
        <v>N/A</v>
        <stp/>
        <stp>VOLUME</stp>
        <stp>.NDXP250606C19700</stp>
        <tr r="J172" s="2"/>
      </tp>
      <tp t="s">
        <v>N/A</v>
        <stp/>
        <stp>VOLUME</stp>
        <stp>.NDXP250530C20100</stp>
        <tr r="I156" s="2"/>
      </tp>
      <tp t="s">
        <v>N/A</v>
        <stp/>
        <stp>VOLUME</stp>
        <stp>.NDXP250731C20000</stp>
        <tr r="N160" s="2"/>
      </tp>
      <tp t="s">
        <v>N/A</v>
        <stp/>
        <stp>VOLUME</stp>
        <stp>.NDXP250508C19900</stp>
        <tr r="BA163" s="1"/>
      </tp>
      <tp>
        <v>17</v>
        <stp/>
        <stp>VOLUME</stp>
        <stp>.NDXP250509C19800</stp>
        <tr r="BC167" s="1"/>
        <tr r="BC167" s="1"/>
      </tp>
      <tp t="s">
        <v>N/A</v>
        <stp/>
        <stp>VOLUME</stp>
        <stp>.NDXP250630C20100</stp>
        <tr r="L156" s="2"/>
      </tp>
      <tp t="s">
        <v>N/A</v>
        <stp/>
        <stp>VOLUME</stp>
        <stp>.NDXP251031P20050</stp>
        <tr r="T158" s="2"/>
      </tp>
      <tp t="s">
        <v>N/A</v>
        <stp/>
        <stp>VOLUME</stp>
        <stp>.NDXP251128P19950</stp>
        <tr r="V162" s="2"/>
      </tp>
      <tp t="s">
        <v>N/A</v>
        <stp/>
        <stp>VOLUME</stp>
        <stp>.NDXP251231P20050</stp>
        <tr r="X158" s="2"/>
      </tp>
      <tp t="s">
        <v>N/A</v>
        <stp/>
        <stp>VOLUME</stp>
        <stp>.NDXP250930P20150</stp>
        <tr r="R154" s="2"/>
      </tp>
      <tp t="s">
        <v>N/A</v>
        <stp/>
        <stp>VOLUME</stp>
        <stp>.NDXP250829P19850</stp>
        <tr r="P166" s="2"/>
      </tp>
      <tp t="s">
        <v>N/A</v>
        <stp/>
        <stp>VOLUME</stp>
        <stp>.NDXP250606P19750</stp>
        <tr r="J170" s="2"/>
      </tp>
      <tp t="s">
        <v>N/A</v>
        <stp/>
        <stp>VOLUME</stp>
        <stp>.NDXP250530P20150</stp>
        <tr r="I154" s="2"/>
      </tp>
      <tp t="s">
        <v>N/A</v>
        <stp/>
        <stp>VOLUME</stp>
        <stp>.NDXP250731P20050</stp>
        <tr r="N158" s="2"/>
      </tp>
      <tp t="s">
        <v>N/A</v>
        <stp/>
        <stp>VOLUME</stp>
        <stp>.NDXP250508P19950</stp>
        <tr r="BB161" s="1"/>
      </tp>
      <tp>
        <v>238</v>
        <stp/>
        <stp>VOLUME</stp>
        <stp>.NDXP250509P19850</stp>
        <tr r="BD165" s="1"/>
        <tr r="BD165" s="1"/>
      </tp>
      <tp t="s">
        <v>N/A</v>
        <stp/>
        <stp>VOLUME</stp>
        <stp>.NDXP250630P20150</stp>
        <tr r="L154" s="2"/>
      </tp>
      <tp t="s">
        <v>N/A</v>
        <stp/>
        <stp>VOLUME</stp>
        <stp>.NDXP251031P20075</stp>
        <tr r="T157" s="2"/>
      </tp>
      <tp t="s">
        <v>N/A</v>
        <stp/>
        <stp>VOLUME</stp>
        <stp>.NDXP251128P19975</stp>
        <tr r="V161" s="2"/>
      </tp>
      <tp t="s">
        <v>N/A</v>
        <stp/>
        <stp>VOLUME</stp>
        <stp>.NDXP251231P20075</stp>
        <tr r="X157" s="2"/>
      </tp>
      <tp t="s">
        <v>N/A</v>
        <stp/>
        <stp>VOLUME</stp>
        <stp>.NDXP250930P20175</stp>
        <tr r="R153" s="2"/>
      </tp>
      <tp t="s">
        <v>N/A</v>
        <stp/>
        <stp>VOLUME</stp>
        <stp>.NDXP250829P19875</stp>
        <tr r="P165" s="2"/>
      </tp>
      <tp t="s">
        <v>N/A</v>
        <stp/>
        <stp>VOLUME</stp>
        <stp>.NDXP250606P19775</stp>
        <tr r="J169" s="2"/>
      </tp>
      <tp t="s">
        <v>N/A</v>
        <stp/>
        <stp>VOLUME</stp>
        <stp>.NDXP250530P20175</stp>
        <tr r="I153" s="2"/>
      </tp>
      <tp t="s">
        <v>N/A</v>
        <stp/>
        <stp>VOLUME</stp>
        <stp>.NDXP250508P19975</stp>
        <tr r="BB160" s="1"/>
      </tp>
      <tp>
        <v>140</v>
        <stp/>
        <stp>VOLUME</stp>
        <stp>.NDXP250509P19875</stp>
        <tr r="BD164" s="1"/>
        <tr r="BD164" s="1"/>
      </tp>
      <tp t="s">
        <v>N/A</v>
        <stp/>
        <stp>VOLUME</stp>
        <stp>.NDXP250630P20175</stp>
        <tr r="L153" s="2"/>
      </tp>
      <tp t="s">
        <v>N/A</v>
        <stp/>
        <stp>VOLUME</stp>
        <stp>.NDXP250731P20075</stp>
        <tr r="N157" s="2"/>
      </tp>
      <tp t="s">
        <v>N/A</v>
        <stp/>
        <stp>VOLUME</stp>
        <stp>.NDXP250930P20100</stp>
        <tr r="R156" s="2"/>
      </tp>
      <tp t="s">
        <v>N/A</v>
        <stp/>
        <stp>VOLUME</stp>
        <stp>.NDXP250829P19800</stp>
        <tr r="P168" s="2"/>
      </tp>
      <tp t="s">
        <v>N/A</v>
        <stp/>
        <stp>VOLUME</stp>
        <stp>.NDXP250606P19700</stp>
        <tr r="J172" s="2"/>
      </tp>
      <tp>
        <v>8</v>
        <stp/>
        <stp>VOLUME</stp>
        <stp>.NDXP250530P20100</stp>
        <tr r="I156" s="2"/>
        <tr r="I156" s="2"/>
      </tp>
      <tp t="s">
        <v>N/A</v>
        <stp/>
        <stp>VOLUME</stp>
        <stp>.NDXP250731P20000</stp>
        <tr r="N160" s="2"/>
      </tp>
      <tp t="s">
        <v>N/A</v>
        <stp/>
        <stp>VOLUME</stp>
        <stp>.NDXP250508P19900</stp>
        <tr r="BB163" s="1"/>
      </tp>
      <tp>
        <v>2752</v>
        <stp/>
        <stp>VOLUME</stp>
        <stp>.NDXP250509P19800</stp>
        <tr r="BD167" s="1"/>
        <tr r="BD167" s="1"/>
      </tp>
      <tp t="s">
        <v>N/A</v>
        <stp/>
        <stp>VOLUME</stp>
        <stp>.NDXP250630P20100</stp>
        <tr r="L156" s="2"/>
      </tp>
      <tp t="s">
        <v>N/A</v>
        <stp/>
        <stp>VOLUME</stp>
        <stp>.NDXP251031P20000</stp>
        <tr r="T160" s="2"/>
      </tp>
      <tp t="s">
        <v>N/A</v>
        <stp/>
        <stp>VOLUME</stp>
        <stp>.NDXP251128P19900</stp>
        <tr r="V164" s="2"/>
      </tp>
      <tp t="s">
        <v>N/A</v>
        <stp/>
        <stp>VOLUME</stp>
        <stp>.NDXP251231P20000</stp>
        <tr r="X160" s="2"/>
      </tp>
      <tp t="s">
        <v>N/A</v>
        <stp/>
        <stp>VOLUME</stp>
        <stp>.NDXP250930P20125</stp>
        <tr r="R155" s="2"/>
      </tp>
      <tp t="s">
        <v>N/A</v>
        <stp/>
        <stp>VOLUME</stp>
        <stp>.NDXP250829P19825</stp>
        <tr r="P167" s="2"/>
      </tp>
      <tp t="s">
        <v>N/A</v>
        <stp/>
        <stp>VOLUME</stp>
        <stp>.NDXP250606P19725</stp>
        <tr r="J171" s="2"/>
      </tp>
      <tp>
        <v>1</v>
        <stp/>
        <stp>VOLUME</stp>
        <stp>.NDXP250530P20125</stp>
        <tr r="I155" s="2"/>
        <tr r="I155" s="2"/>
      </tp>
      <tp t="s">
        <v>N/A</v>
        <stp/>
        <stp>VOLUME</stp>
        <stp>.NDXP250508P19925</stp>
        <tr r="BB162" s="1"/>
      </tp>
      <tp>
        <v>152</v>
        <stp/>
        <stp>VOLUME</stp>
        <stp>.NDXP250509P19825</stp>
        <tr r="BD166" s="1"/>
        <tr r="BD166" s="1"/>
      </tp>
      <tp t="s">
        <v>N/A</v>
        <stp/>
        <stp>VOLUME</stp>
        <stp>.NDXP250630P20125</stp>
        <tr r="L155" s="2"/>
      </tp>
      <tp t="s">
        <v>N/A</v>
        <stp/>
        <stp>VOLUME</stp>
        <stp>.NDXP250731P20025</stp>
        <tr r="N159" s="2"/>
      </tp>
      <tp t="s">
        <v>N/A</v>
        <stp/>
        <stp>VOLUME</stp>
        <stp>.NDXP251031P20025</stp>
        <tr r="T159" s="2"/>
      </tp>
      <tp t="s">
        <v>N/A</v>
        <stp/>
        <stp>VOLUME</stp>
        <stp>.NDXP251128P19925</stp>
        <tr r="V163" s="2"/>
      </tp>
      <tp t="s">
        <v>N/A</v>
        <stp/>
        <stp>VOLUME</stp>
        <stp>.NDXP251231P20025</stp>
        <tr r="X159" s="2"/>
      </tp>
      <tp>
        <v>11</v>
        <stp/>
        <stp>OPEN_INT</stp>
        <stp>.NDXP250508C19300</stp>
        <tr r="AS187" s="1"/>
        <tr r="AS187" s="1"/>
      </tp>
      <tp>
        <v>28</v>
        <stp/>
        <stp>OPEN_INT</stp>
        <stp>.NDXP250508C20300</stp>
        <tr r="AS147" s="1"/>
        <tr r="AS147" s="1"/>
      </tp>
      <tp>
        <v>51</v>
        <stp/>
        <stp>OPEN_INT</stp>
        <stp>.NDXP250509C20200</stp>
        <tr r="AU151" s="1"/>
        <tr r="AU151" s="1"/>
      </tp>
      <tp>
        <v>2</v>
        <stp/>
        <stp>OPEN_INT</stp>
        <stp>.NDXP250508C19325</stp>
        <tr r="AS186" s="1"/>
        <tr r="AS186" s="1"/>
      </tp>
      <tp>
        <v>2</v>
        <stp/>
        <stp>OPEN_INT</stp>
        <stp>.NDXP250508C20325</stp>
        <tr r="AS146" s="1"/>
        <tr r="AS146" s="1"/>
      </tp>
      <tp>
        <v>10</v>
        <stp/>
        <stp>OPEN_INT</stp>
        <stp>.NDXP250509C20225</stp>
        <tr r="AU150" s="1"/>
        <tr r="AU150" s="1"/>
      </tp>
      <tp>
        <v>1</v>
        <stp/>
        <stp>OPEN_INT</stp>
        <stp>.NDXP250508C19350</stp>
        <tr r="AS185" s="1"/>
        <tr r="AS185" s="1"/>
      </tp>
      <tp>
        <v>2</v>
        <stp/>
        <stp>OPEN_INT</stp>
        <stp>.NDXP250509C19250</stp>
        <tr r="AU189" s="1"/>
        <tr r="AU189" s="1"/>
      </tp>
      <tp>
        <v>13</v>
        <stp/>
        <stp>OPEN_INT</stp>
        <stp>.NDXP250508C20350</stp>
        <tr r="AS145" s="1"/>
        <tr r="AS145" s="1"/>
      </tp>
      <tp>
        <v>72</v>
        <stp/>
        <stp>OPEN_INT</stp>
        <stp>.NDXP250509C20250</stp>
        <tr r="AU149" s="1"/>
        <tr r="AU149" s="1"/>
      </tp>
      <tp>
        <v>0</v>
        <stp/>
        <stp>OPEN_INT</stp>
        <stp>.NDXP250508C19375</stp>
        <tr r="AS184" s="1"/>
        <tr r="AS184" s="1"/>
      </tp>
      <tp>
        <v>7</v>
        <stp/>
        <stp>OPEN_INT</stp>
        <stp>.NDXP250509C19275</stp>
        <tr r="AU188" s="1"/>
        <tr r="AU188" s="1"/>
      </tp>
      <tp>
        <v>2</v>
        <stp/>
        <stp>OPEN_INT</stp>
        <stp>.NDXP250508C20375</stp>
        <tr r="AS144" s="1"/>
        <tr r="AS144" s="1"/>
      </tp>
      <tp>
        <v>28</v>
        <stp/>
        <stp>OPEN_INT</stp>
        <stp>.NDXP250509C20275</stp>
        <tr r="AU148" s="1"/>
        <tr r="AU148" s="1"/>
      </tp>
      <tp>
        <v>7</v>
        <stp/>
        <stp>OPEN_INT</stp>
        <stp>.NDXP250508P19325</stp>
        <tr r="AT186" s="1"/>
        <tr r="AT186" s="1"/>
      </tp>
      <tp>
        <v>0</v>
        <stp/>
        <stp>OPEN_INT</stp>
        <stp>.NDXP250508P20325</stp>
        <tr r="AT146" s="1"/>
        <tr r="AT146" s="1"/>
      </tp>
      <tp>
        <v>16</v>
        <stp/>
        <stp>OPEN_INT</stp>
        <stp>.NDXP250509P20225</stp>
        <tr r="AV150" s="1"/>
        <tr r="AV150" s="1"/>
      </tp>
      <tp>
        <v>12</v>
        <stp/>
        <stp>OPEN_INT</stp>
        <stp>.NDXP250508P19300</stp>
        <tr r="AT187" s="1"/>
        <tr r="AT187" s="1"/>
      </tp>
      <tp>
        <v>4</v>
        <stp/>
        <stp>OPEN_INT</stp>
        <stp>.NDXP250508P20300</stp>
        <tr r="AT147" s="1"/>
        <tr r="AT147" s="1"/>
      </tp>
      <tp>
        <v>12</v>
        <stp/>
        <stp>OPEN_INT</stp>
        <stp>.NDXP250509P20200</stp>
        <tr r="AV151" s="1"/>
        <tr r="AV151" s="1"/>
      </tp>
      <tp>
        <v>5</v>
        <stp/>
        <stp>OPEN_INT</stp>
        <stp>.NDXP250508P19375</stp>
        <tr r="AT184" s="1"/>
        <tr r="AT184" s="1"/>
      </tp>
      <tp>
        <v>10</v>
        <stp/>
        <stp>OPEN_INT</stp>
        <stp>.NDXP250509P19275</stp>
        <tr r="AV188" s="1"/>
        <tr r="AV188" s="1"/>
      </tp>
      <tp>
        <v>9</v>
        <stp/>
        <stp>OPEN_INT</stp>
        <stp>.NDXP250508P20375</stp>
        <tr r="AT144" s="1"/>
        <tr r="AT144" s="1"/>
      </tp>
      <tp>
        <v>1</v>
        <stp/>
        <stp>OPEN_INT</stp>
        <stp>.NDXP250509P20275</stp>
        <tr r="AV148" s="1"/>
        <tr r="AV148" s="1"/>
      </tp>
      <tp>
        <v>6</v>
        <stp/>
        <stp>OPEN_INT</stp>
        <stp>.NDXP250508P19350</stp>
        <tr r="AT185" s="1"/>
        <tr r="AT185" s="1"/>
      </tp>
      <tp>
        <v>36</v>
        <stp/>
        <stp>OPEN_INT</stp>
        <stp>.NDXP250509P19250</stp>
        <tr r="AV189" s="1"/>
        <tr r="AV189" s="1"/>
      </tp>
      <tp>
        <v>0</v>
        <stp/>
        <stp>OPEN_INT</stp>
        <stp>.NDXP250508P20350</stp>
        <tr r="AT145" s="1"/>
        <tr r="AT145" s="1"/>
      </tp>
      <tp>
        <v>8</v>
        <stp/>
        <stp>OPEN_INT</stp>
        <stp>.NDXP250509P20250</stp>
        <tr r="AV149" s="1"/>
        <tr r="AV149" s="1"/>
      </tp>
      <tp>
        <v>-0.01</v>
        <stp/>
        <stp>DELTA</stp>
        <stp>.NDXP250508P19925</stp>
        <tr r="CE162" s="1"/>
        <tr r="CE162" s="1"/>
      </tp>
      <tp>
        <v>-0.11</v>
        <stp/>
        <stp>DELTA</stp>
        <stp>.NDXP250509P19825</stp>
        <tr r="CG166" s="1"/>
        <tr r="CG166" s="1"/>
      </tp>
      <tp>
        <v>-0.13</v>
        <stp/>
        <stp>DELTA</stp>
        <stp>.NDXP250508P19900</stp>
        <tr r="CE163" s="1"/>
        <tr r="CE163" s="1"/>
      </tp>
      <tp>
        <v>0</v>
        <stp/>
        <stp>DELTA</stp>
        <stp>.NDXP250509P19800</stp>
        <tr r="CG167" s="1"/>
        <tr r="CG167" s="1"/>
      </tp>
      <tp>
        <v>-0.01</v>
        <stp/>
        <stp>DELTA</stp>
        <stp>.NDXP250508P19975</stp>
        <tr r="CE160" s="1"/>
        <tr r="CE160" s="1"/>
      </tp>
      <tp>
        <v>-0.12</v>
        <stp/>
        <stp>DELTA</stp>
        <stp>.NDXP250509P19875</stp>
        <tr r="CG164" s="1"/>
        <tr r="CG164" s="1"/>
      </tp>
      <tp>
        <v>0</v>
        <stp/>
        <stp>DELTA</stp>
        <stp>.NDXP250508P19950</stp>
        <tr r="CE161" s="1"/>
        <tr r="CE161" s="1"/>
      </tp>
      <tp>
        <v>-0.11</v>
        <stp/>
        <stp>DELTA</stp>
        <stp>.NDXP250509P19850</stp>
        <tr r="CG165" s="1"/>
        <tr r="CG165" s="1"/>
      </tp>
      <tp>
        <v>0.88</v>
        <stp/>
        <stp>DELTA</stp>
        <stp>.NDXP250508C19900</stp>
        <tr r="CD163" s="1"/>
        <tr r="CD163" s="1"/>
      </tp>
      <tp>
        <v>1</v>
        <stp/>
        <stp>DELTA</stp>
        <stp>.NDXP250509C19800</stp>
        <tr r="CF167" s="1"/>
        <tr r="CF167" s="1"/>
      </tp>
      <tp>
        <v>0.87</v>
        <stp/>
        <stp>DELTA</stp>
        <stp>.NDXP250508C19925</stp>
        <tr r="CD162" s="1"/>
        <tr r="CD162" s="1"/>
      </tp>
      <tp>
        <v>0.98</v>
        <stp/>
        <stp>DELTA</stp>
        <stp>.NDXP250509C19825</stp>
        <tr r="CF166" s="1"/>
        <tr r="CF166" s="1"/>
      </tp>
      <tp>
        <v>0.85</v>
        <stp/>
        <stp>DELTA</stp>
        <stp>.NDXP250508C19950</stp>
        <tr r="CD161" s="1"/>
        <tr r="CD161" s="1"/>
      </tp>
      <tp>
        <v>1</v>
        <stp/>
        <stp>DELTA</stp>
        <stp>.NDXP250509C19850</stp>
        <tr r="CF165" s="1"/>
        <tr r="CF165" s="1"/>
      </tp>
      <tp>
        <v>0.86</v>
        <stp/>
        <stp>DELTA</stp>
        <stp>.NDXP250508C19975</stp>
        <tr r="CD160" s="1"/>
        <tr r="CD160" s="1"/>
      </tp>
      <tp>
        <v>1</v>
        <stp/>
        <stp>DELTA</stp>
        <stp>.NDXP250509C19875</stp>
        <tr r="CF164" s="1"/>
        <tr r="CF164" s="1"/>
      </tp>
      <tp t="s">
        <v>N/A</v>
        <stp/>
        <stp>VOLUME</stp>
        <stp>.NDXP250930C20275</stp>
        <tr r="R149" s="2"/>
      </tp>
      <tp t="s">
        <v>N/A</v>
        <stp/>
        <stp>VOLUME</stp>
        <stp>.NDXP250930C19275</stp>
        <tr r="R189" s="2"/>
      </tp>
      <tp t="s">
        <v>N/A</v>
        <stp/>
        <stp>VOLUME</stp>
        <stp>.NDXP250731C19375</stp>
        <tr r="N185" s="2"/>
      </tp>
      <tp t="s">
        <v>N/A</v>
        <stp/>
        <stp>VOLUME</stp>
        <stp>.NDXP250606C19475</stp>
        <tr r="J181" s="2"/>
      </tp>
      <tp t="s">
        <v>N/A</v>
        <stp/>
        <stp>VOLUME</stp>
        <stp>.NDXP250630C19275</stp>
        <tr r="L189" s="2"/>
      </tp>
      <tp t="s">
        <v>N/A</v>
        <stp/>
        <stp>VOLUME</stp>
        <stp>.NDXP250530C20275</stp>
        <tr r="I149" s="2"/>
      </tp>
      <tp t="s">
        <v>N/A</v>
        <stp/>
        <stp>VOLUME</stp>
        <stp>.NDXP250530C19275</stp>
        <tr r="I189" s="2"/>
      </tp>
      <tp t="s">
        <v>N/A</v>
        <stp/>
        <stp>VOLUME</stp>
        <stp>.NDXP250606C20475</stp>
        <tr r="J141" s="2"/>
      </tp>
      <tp>
        <v>2</v>
        <stp/>
        <stp>VOLUME</stp>
        <stp>.NDXP250630C20275</stp>
        <tr r="L149" s="2"/>
        <tr r="L149" s="2"/>
      </tp>
      <tp t="s">
        <v>N/A</v>
        <stp/>
        <stp>VOLUME</stp>
        <stp>.NDXP250731C20375</stp>
        <tr r="N145" s="2"/>
      </tp>
      <tp t="s">
        <v>N/A</v>
        <stp/>
        <stp>VOLUME</stp>
        <stp>.NDXP251031C20375</stp>
        <tr r="T145" s="2"/>
      </tp>
      <tp t="s">
        <v>N/A</v>
        <stp/>
        <stp>VOLUME</stp>
        <stp>.NDXP251231C19375</stp>
        <tr r="X185" s="2"/>
      </tp>
      <tp t="s">
        <v>N/A</v>
        <stp/>
        <stp>VOLUME</stp>
        <stp>.NDXP251231C20375</stp>
        <tr r="X145" s="2"/>
      </tp>
      <tp t="s">
        <v>N/A</v>
        <stp/>
        <stp>VOLUME</stp>
        <stp>.NDXP251031C19375</stp>
        <tr r="T185" s="2"/>
      </tp>
      <tp t="s">
        <v>N/A</v>
        <stp/>
        <stp>VOLUME</stp>
        <stp>.NDXP250930C20250</stp>
        <tr r="R150" s="2"/>
      </tp>
      <tp t="s">
        <v>N/A</v>
        <stp/>
        <stp>VOLUME</stp>
        <stp>.NDXP250930C19250</stp>
        <tr r="R190" s="2"/>
      </tp>
      <tp t="s">
        <v>N/A</v>
        <stp/>
        <stp>VOLUME</stp>
        <stp>.NDXP250606C19450</stp>
        <tr r="J182" s="2"/>
      </tp>
      <tp t="s">
        <v>N/A</v>
        <stp/>
        <stp>VOLUME</stp>
        <stp>.NDXP250630C19250</stp>
        <tr r="L190" s="2"/>
      </tp>
      <tp t="s">
        <v>N/A</v>
        <stp/>
        <stp>VOLUME</stp>
        <stp>.NDXP250530C20250</stp>
        <tr r="I150" s="2"/>
      </tp>
      <tp t="s">
        <v>N/A</v>
        <stp/>
        <stp>VOLUME</stp>
        <stp>.NDXP250731C19350</stp>
        <tr r="N186" s="2"/>
      </tp>
      <tp t="s">
        <v>N/A</v>
        <stp/>
        <stp>VOLUME</stp>
        <stp>.NDXP250731C20350</stp>
        <tr r="N146" s="2"/>
      </tp>
      <tp t="s">
        <v>N/A</v>
        <stp/>
        <stp>VOLUME</stp>
        <stp>.NDXP250530C19250</stp>
        <tr r="I190" s="2"/>
      </tp>
      <tp>
        <v>16</v>
        <stp/>
        <stp>VOLUME</stp>
        <stp>.NDXP250606C20450</stp>
        <tr r="J142" s="2"/>
        <tr r="J142" s="2"/>
      </tp>
      <tp t="s">
        <v>N/A</v>
        <stp/>
        <stp>VOLUME</stp>
        <stp>.NDXP250630C20250</stp>
        <tr r="L150" s="2"/>
      </tp>
      <tp t="s">
        <v>N/A</v>
        <stp/>
        <stp>VOLUME</stp>
        <stp>.NDXP251231C19350</stp>
        <tr r="X186" s="2"/>
      </tp>
      <tp t="s">
        <v>N/A</v>
        <stp/>
        <stp>VOLUME</stp>
        <stp>.NDXP251031C20350</stp>
        <tr r="T146" s="2"/>
      </tp>
      <tp t="s">
        <v>N/A</v>
        <stp/>
        <stp>VOLUME</stp>
        <stp>.NDXP251031C19350</stp>
        <tr r="T186" s="2"/>
      </tp>
      <tp t="s">
        <v>N/A</v>
        <stp/>
        <stp>VOLUME</stp>
        <stp>.NDXP251231C20350</stp>
        <tr r="X146" s="2"/>
      </tp>
      <tp t="s">
        <v>N/A</v>
        <stp/>
        <stp>VOLUME</stp>
        <stp>.NDXP251031C20325</stp>
        <tr r="T147" s="2"/>
      </tp>
      <tp t="s">
        <v>N/A</v>
        <stp/>
        <stp>VOLUME</stp>
        <stp>.NDXP251231C19325</stp>
        <tr r="X187" s="2"/>
      </tp>
      <tp t="s">
        <v>N/A</v>
        <stp/>
        <stp>VOLUME</stp>
        <stp>.NDXP251231C20325</stp>
        <tr r="X147" s="2"/>
      </tp>
      <tp t="s">
        <v>N/A</v>
        <stp/>
        <stp>VOLUME</stp>
        <stp>.NDXP251031C19325</stp>
        <tr r="T187" s="2"/>
      </tp>
      <tp t="s">
        <v>N/A</v>
        <stp/>
        <stp>VOLUME</stp>
        <stp>.NDXP250930C20225</stp>
        <tr r="R151" s="2"/>
      </tp>
      <tp t="s">
        <v>N/A</v>
        <stp/>
        <stp>VOLUME</stp>
        <stp>.NDXP250731C19325</stp>
        <tr r="N187" s="2"/>
      </tp>
      <tp t="s">
        <v>N/A</v>
        <stp/>
        <stp>VOLUME</stp>
        <stp>.NDXP250606C19425</stp>
        <tr r="J183" s="2"/>
      </tp>
      <tp t="s">
        <v>N/A</v>
        <stp/>
        <stp>VOLUME</stp>
        <stp>.NDXP250530C20225</stp>
        <tr r="I151" s="2"/>
      </tp>
      <tp t="s">
        <v>N/A</v>
        <stp/>
        <stp>VOLUME</stp>
        <stp>.NDXP250606C20425</stp>
        <tr r="J143" s="2"/>
      </tp>
      <tp t="s">
        <v>N/A</v>
        <stp/>
        <stp>VOLUME</stp>
        <stp>.NDXP250630C20225</stp>
        <tr r="L151" s="2"/>
      </tp>
      <tp t="s">
        <v>N/A</v>
        <stp/>
        <stp>VOLUME</stp>
        <stp>.NDXP250731C20325</stp>
        <tr r="N147" s="2"/>
      </tp>
      <tp t="s">
        <v>N/A</v>
        <stp/>
        <stp>VOLUME</stp>
        <stp>.NDXP251231C19300</stp>
        <tr r="X188" s="2"/>
      </tp>
      <tp t="s">
        <v>N/A</v>
        <stp/>
        <stp>VOLUME</stp>
        <stp>.NDXP251031C20300</stp>
        <tr r="T148" s="2"/>
      </tp>
      <tp t="s">
        <v>N/A</v>
        <stp/>
        <stp>VOLUME</stp>
        <stp>.NDXP251031C19300</stp>
        <tr r="T188" s="2"/>
      </tp>
      <tp t="s">
        <v>N/A</v>
        <stp/>
        <stp>VOLUME</stp>
        <stp>.NDXP251231C20300</stp>
        <tr r="X148" s="2"/>
      </tp>
      <tp t="s">
        <v>N/A</v>
        <stp/>
        <stp>VOLUME</stp>
        <stp>.NDXP250930C20200</stp>
        <tr r="R152" s="2"/>
      </tp>
      <tp t="s">
        <v>N/A</v>
        <stp/>
        <stp>VOLUME</stp>
        <stp>.NDXP250606C19400</stp>
        <tr r="J184" s="2"/>
      </tp>
      <tp t="s">
        <v>N/A</v>
        <stp/>
        <stp>VOLUME</stp>
        <stp>.NDXP250530C20200</stp>
        <tr r="I152" s="2"/>
      </tp>
      <tp t="s">
        <v>N/A</v>
        <stp/>
        <stp>VOLUME</stp>
        <stp>.NDXP250731C19300</stp>
        <tr r="N188" s="2"/>
      </tp>
      <tp t="s">
        <v>N/A</v>
        <stp/>
        <stp>VOLUME</stp>
        <stp>.NDXP250731C20300</stp>
        <tr r="N148" s="2"/>
      </tp>
      <tp t="s">
        <v>N/A</v>
        <stp/>
        <stp>VOLUME</stp>
        <stp>.NDXP250606C20400</stp>
        <tr r="J144" s="2"/>
      </tp>
      <tp t="s">
        <v>N/A</v>
        <stp/>
        <stp>VOLUME</stp>
        <stp>.NDXP250630C20200</stp>
        <tr r="L152" s="2"/>
      </tp>
      <tp t="s">
        <v>N/A</v>
        <stp/>
        <stp>VOLUME</stp>
        <stp>.NDXP251231P19350</stp>
        <tr r="X186" s="2"/>
      </tp>
      <tp t="s">
        <v>N/A</v>
        <stp/>
        <stp>VOLUME</stp>
        <stp>.NDXP251031P20350</stp>
        <tr r="T146" s="2"/>
      </tp>
      <tp t="s">
        <v>N/A</v>
        <stp/>
        <stp>VOLUME</stp>
        <stp>.NDXP251031P19350</stp>
        <tr r="T186" s="2"/>
      </tp>
      <tp t="s">
        <v>N/A</v>
        <stp/>
        <stp>VOLUME</stp>
        <stp>.NDXP251231P20350</stp>
        <tr r="X146" s="2"/>
      </tp>
      <tp t="s">
        <v>N/A</v>
        <stp/>
        <stp>VOLUME</stp>
        <stp>.NDXP250930P20250</stp>
        <tr r="R150" s="2"/>
      </tp>
      <tp t="s">
        <v>N/A</v>
        <stp/>
        <stp>VOLUME</stp>
        <stp>.NDXP250930P19250</stp>
        <tr r="R190" s="2"/>
      </tp>
      <tp>
        <v>2</v>
        <stp/>
        <stp>VOLUME</stp>
        <stp>.NDXP250606P19450</stp>
        <tr r="J182" s="2"/>
        <tr r="J182" s="2"/>
      </tp>
      <tp t="s">
        <v>N/A</v>
        <stp/>
        <stp>VOLUME</stp>
        <stp>.NDXP250630P19250</stp>
        <tr r="L190" s="2"/>
      </tp>
      <tp t="s">
        <v>N/A</v>
        <stp/>
        <stp>VOLUME</stp>
        <stp>.NDXP250530P20250</stp>
        <tr r="I150" s="2"/>
      </tp>
      <tp t="s">
        <v>N/A</v>
        <stp/>
        <stp>VOLUME</stp>
        <stp>.NDXP250731P19350</stp>
        <tr r="N186" s="2"/>
      </tp>
      <tp t="s">
        <v>N/A</v>
        <stp/>
        <stp>VOLUME</stp>
        <stp>.NDXP250731P20350</stp>
        <tr r="N146" s="2"/>
      </tp>
      <tp t="s">
        <v>N/A</v>
        <stp/>
        <stp>VOLUME</stp>
        <stp>.NDXP250530P19250</stp>
        <tr r="I190" s="2"/>
      </tp>
      <tp t="s">
        <v>N/A</v>
        <stp/>
        <stp>VOLUME</stp>
        <stp>.NDXP250606P20450</stp>
        <tr r="J142" s="2"/>
      </tp>
      <tp t="s">
        <v>N/A</v>
        <stp/>
        <stp>VOLUME</stp>
        <stp>.NDXP250630P20250</stp>
        <tr r="L150" s="2"/>
      </tp>
      <tp t="s">
        <v>N/A</v>
        <stp/>
        <stp>VOLUME</stp>
        <stp>.NDXP251031P20375</stp>
        <tr r="T145" s="2"/>
      </tp>
      <tp t="s">
        <v>N/A</v>
        <stp/>
        <stp>VOLUME</stp>
        <stp>.NDXP251231P19375</stp>
        <tr r="X185" s="2"/>
      </tp>
      <tp t="s">
        <v>N/A</v>
        <stp/>
        <stp>VOLUME</stp>
        <stp>.NDXP251231P20375</stp>
        <tr r="X145" s="2"/>
      </tp>
      <tp t="s">
        <v>N/A</v>
        <stp/>
        <stp>VOLUME</stp>
        <stp>.NDXP251031P19375</stp>
        <tr r="T185" s="2"/>
      </tp>
      <tp t="s">
        <v>N/A</v>
        <stp/>
        <stp>VOLUME</stp>
        <stp>.NDXP250930P20275</stp>
        <tr r="R149" s="2"/>
      </tp>
      <tp t="s">
        <v>N/A</v>
        <stp/>
        <stp>VOLUME</stp>
        <stp>.NDXP250930P19275</stp>
        <tr r="R189" s="2"/>
      </tp>
      <tp t="s">
        <v>N/A</v>
        <stp/>
        <stp>VOLUME</stp>
        <stp>.NDXP250731P19375</stp>
        <tr r="N185" s="2"/>
      </tp>
      <tp t="s">
        <v>N/A</v>
        <stp/>
        <stp>VOLUME</stp>
        <stp>.NDXP250606P19475</stp>
        <tr r="J181" s="2"/>
      </tp>
      <tp t="s">
        <v>N/A</v>
        <stp/>
        <stp>VOLUME</stp>
        <stp>.NDXP250630P19275</stp>
        <tr r="L189" s="2"/>
      </tp>
      <tp t="s">
        <v>N/A</v>
        <stp/>
        <stp>VOLUME</stp>
        <stp>.NDXP250530P20275</stp>
        <tr r="I149" s="2"/>
      </tp>
      <tp t="s">
        <v>N/A</v>
        <stp/>
        <stp>VOLUME</stp>
        <stp>.NDXP250530P19275</stp>
        <tr r="I189" s="2"/>
      </tp>
      <tp t="s">
        <v>N/A</v>
        <stp/>
        <stp>VOLUME</stp>
        <stp>.NDXP250606P20475</stp>
        <tr r="J141" s="2"/>
      </tp>
      <tp t="s">
        <v>N/A</v>
        <stp/>
        <stp>VOLUME</stp>
        <stp>.NDXP250630P20275</stp>
        <tr r="L149" s="2"/>
      </tp>
      <tp t="s">
        <v>N/A</v>
        <stp/>
        <stp>VOLUME</stp>
        <stp>.NDXP250731P20375</stp>
        <tr r="N145" s="2"/>
      </tp>
      <tp t="s">
        <v>N/A</v>
        <stp/>
        <stp>VOLUME</stp>
        <stp>.NDXP250930P20200</stp>
        <tr r="R152" s="2"/>
      </tp>
      <tp t="s">
        <v>N/A</v>
        <stp/>
        <stp>VOLUME</stp>
        <stp>.NDXP250606P19400</stp>
        <tr r="J184" s="2"/>
      </tp>
      <tp>
        <v>2</v>
        <stp/>
        <stp>VOLUME</stp>
        <stp>.NDXP250530P20200</stp>
        <tr r="I152" s="2"/>
        <tr r="I152" s="2"/>
      </tp>
      <tp t="s">
        <v>N/A</v>
        <stp/>
        <stp>VOLUME</stp>
        <stp>.NDXP250731P19300</stp>
        <tr r="N188" s="2"/>
      </tp>
      <tp t="s">
        <v>N/A</v>
        <stp/>
        <stp>VOLUME</stp>
        <stp>.NDXP250731P20300</stp>
        <tr r="N148" s="2"/>
      </tp>
      <tp t="s">
        <v>N/A</v>
        <stp/>
        <stp>VOLUME</stp>
        <stp>.NDXP250606P20400</stp>
        <tr r="J144" s="2"/>
      </tp>
      <tp t="s">
        <v>N/A</v>
        <stp/>
        <stp>VOLUME</stp>
        <stp>.NDXP250630P20200</stp>
        <tr r="L152" s="2"/>
      </tp>
      <tp t="s">
        <v>N/A</v>
        <stp/>
        <stp>VOLUME</stp>
        <stp>.NDXP251231P19300</stp>
        <tr r="X188" s="2"/>
      </tp>
      <tp t="s">
        <v>N/A</v>
        <stp/>
        <stp>VOLUME</stp>
        <stp>.NDXP251031P20300</stp>
        <tr r="T148" s="2"/>
      </tp>
      <tp t="s">
        <v>N/A</v>
        <stp/>
        <stp>VOLUME</stp>
        <stp>.NDXP251031P19300</stp>
        <tr r="T188" s="2"/>
      </tp>
      <tp t="s">
        <v>N/A</v>
        <stp/>
        <stp>VOLUME</stp>
        <stp>.NDXP251231P20300</stp>
        <tr r="X148" s="2"/>
      </tp>
      <tp t="s">
        <v>N/A</v>
        <stp/>
        <stp>VOLUME</stp>
        <stp>.NDXP250930P20225</stp>
        <tr r="R151" s="2"/>
      </tp>
      <tp t="s">
        <v>N/A</v>
        <stp/>
        <stp>VOLUME</stp>
        <stp>.NDXP250731P19325</stp>
        <tr r="N187" s="2"/>
      </tp>
      <tp>
        <v>6</v>
        <stp/>
        <stp>VOLUME</stp>
        <stp>.NDXP250606P19425</stp>
        <tr r="J183" s="2"/>
        <tr r="J183" s="2"/>
      </tp>
      <tp t="s">
        <v>N/A</v>
        <stp/>
        <stp>VOLUME</stp>
        <stp>.NDXP250530P20225</stp>
        <tr r="I151" s="2"/>
      </tp>
      <tp t="s">
        <v>N/A</v>
        <stp/>
        <stp>VOLUME</stp>
        <stp>.NDXP250606P20425</stp>
        <tr r="J143" s="2"/>
      </tp>
      <tp t="s">
        <v>N/A</v>
        <stp/>
        <stp>VOLUME</stp>
        <stp>.NDXP250630P20225</stp>
        <tr r="L151" s="2"/>
      </tp>
      <tp t="s">
        <v>N/A</v>
        <stp/>
        <stp>VOLUME</stp>
        <stp>.NDXP250731P20325</stp>
        <tr r="N147" s="2"/>
      </tp>
      <tp t="s">
        <v>N/A</v>
        <stp/>
        <stp>VOLUME</stp>
        <stp>.NDXP251031P20325</stp>
        <tr r="T147" s="2"/>
      </tp>
      <tp t="s">
        <v>N/A</v>
        <stp/>
        <stp>VOLUME</stp>
        <stp>.NDXP251231P19325</stp>
        <tr r="X187" s="2"/>
      </tp>
      <tp t="s">
        <v>N/A</v>
        <stp/>
        <stp>VOLUME</stp>
        <stp>.NDXP251231P20325</stp>
        <tr r="X147" s="2"/>
      </tp>
      <tp t="s">
        <v>N/A</v>
        <stp/>
        <stp>VOLUME</stp>
        <stp>.NDXP251031P19325</stp>
        <tr r="T187" s="2"/>
      </tp>
      <tp>
        <v>4</v>
        <stp/>
        <stp>OPEN_INT</stp>
        <stp>.NDXP250509C19300</stp>
        <tr r="AU187" s="1"/>
        <tr r="AU187" s="1"/>
      </tp>
      <tp>
        <v>32</v>
        <stp/>
        <stp>OPEN_INT</stp>
        <stp>.NDXP250508C20200</stp>
        <tr r="AS151" s="1"/>
        <tr r="AS151" s="1"/>
      </tp>
      <tp>
        <v>23</v>
        <stp/>
        <stp>OPEN_INT</stp>
        <stp>.NDXP250509C20300</stp>
        <tr r="AU147" s="1"/>
        <tr r="AU147" s="1"/>
      </tp>
      <tp>
        <v>1</v>
        <stp/>
        <stp>OPEN_INT</stp>
        <stp>.NDXP250509C19325</stp>
        <tr r="AU186" s="1"/>
        <tr r="AU186" s="1"/>
      </tp>
      <tp>
        <v>3</v>
        <stp/>
        <stp>OPEN_INT</stp>
        <stp>.NDXP250508C20225</stp>
        <tr r="AS150" s="1"/>
        <tr r="AS150" s="1"/>
      </tp>
      <tp>
        <v>3</v>
        <stp/>
        <stp>OPEN_INT</stp>
        <stp>.NDXP250509C20325</stp>
        <tr r="AU146" s="1"/>
        <tr r="AU146" s="1"/>
      </tp>
      <tp>
        <v>0</v>
        <stp/>
        <stp>OPEN_INT</stp>
        <stp>.NDXP250508C19250</stp>
        <tr r="AS189" s="1"/>
        <tr r="AS189" s="1"/>
      </tp>
      <tp>
        <v>4</v>
        <stp/>
        <stp>OPEN_INT</stp>
        <stp>.NDXP250509C19350</stp>
        <tr r="AU185" s="1"/>
        <tr r="AU185" s="1"/>
      </tp>
      <tp>
        <v>12</v>
        <stp/>
        <stp>OPEN_INT</stp>
        <stp>.NDXP250508C20250</stp>
        <tr r="AS149" s="1"/>
        <tr r="AS149" s="1"/>
      </tp>
      <tp>
        <v>60</v>
        <stp/>
        <stp>OPEN_INT</stp>
        <stp>.NDXP250509C20350</stp>
        <tr r="AU145" s="1"/>
        <tr r="AU145" s="1"/>
      </tp>
      <tp>
        <v>0</v>
        <stp/>
        <stp>OPEN_INT</stp>
        <stp>.NDXP250508C19275</stp>
        <tr r="AS188" s="1"/>
        <tr r="AS188" s="1"/>
      </tp>
      <tp>
        <v>0</v>
        <stp/>
        <stp>OPEN_INT</stp>
        <stp>.NDXP250509C19375</stp>
        <tr r="AU184" s="1"/>
        <tr r="AU184" s="1"/>
      </tp>
      <tp>
        <v>8</v>
        <stp/>
        <stp>OPEN_INT</stp>
        <stp>.NDXP250508C20275</stp>
        <tr r="AS148" s="1"/>
        <tr r="AS148" s="1"/>
      </tp>
      <tp>
        <v>7</v>
        <stp/>
        <stp>OPEN_INT</stp>
        <stp>.NDXP250509C20375</stp>
        <tr r="AU144" s="1"/>
        <tr r="AU144" s="1"/>
      </tp>
      <tp>
        <v>32</v>
        <stp/>
        <stp>OPEN_INT</stp>
        <stp>.NDXP250509P19325</stp>
        <tr r="AV186" s="1"/>
        <tr r="AV186" s="1"/>
      </tp>
      <tp>
        <v>0</v>
        <stp/>
        <stp>OPEN_INT</stp>
        <stp>.NDXP250508P20225</stp>
        <tr r="AT150" s="1"/>
        <tr r="AT150" s="1"/>
      </tp>
      <tp>
        <v>0</v>
        <stp/>
        <stp>OPEN_INT</stp>
        <stp>.NDXP250509P20325</stp>
        <tr r="AV146" s="1"/>
        <tr r="AV146" s="1"/>
      </tp>
      <tp>
        <v>63</v>
        <stp/>
        <stp>OPEN_INT</stp>
        <stp>.NDXP250509P19300</stp>
        <tr r="AV187" s="1"/>
        <tr r="AV187" s="1"/>
      </tp>
      <tp>
        <v>1</v>
        <stp/>
        <stp>OPEN_INT</stp>
        <stp>.NDXP250508P20200</stp>
        <tr r="AT151" s="1"/>
        <tr r="AT151" s="1"/>
      </tp>
      <tp>
        <v>3</v>
        <stp/>
        <stp>OPEN_INT</stp>
        <stp>.NDXP250509P20300</stp>
        <tr r="AV147" s="1"/>
        <tr r="AV147" s="1"/>
      </tp>
      <tp>
        <v>13</v>
        <stp/>
        <stp>OPEN_INT</stp>
        <stp>.NDXP250508P19275</stp>
        <tr r="AT188" s="1"/>
        <tr r="AT188" s="1"/>
      </tp>
      <tp>
        <v>26</v>
        <stp/>
        <stp>OPEN_INT</stp>
        <stp>.NDXP250509P19375</stp>
        <tr r="AV184" s="1"/>
        <tr r="AV184" s="1"/>
      </tp>
      <tp>
        <v>0</v>
        <stp/>
        <stp>OPEN_INT</stp>
        <stp>.NDXP250508P20275</stp>
        <tr r="AT148" s="1"/>
        <tr r="AT148" s="1"/>
      </tp>
      <tp>
        <v>1</v>
        <stp/>
        <stp>OPEN_INT</stp>
        <stp>.NDXP250509P20375</stp>
        <tr r="AV144" s="1"/>
        <tr r="AV144" s="1"/>
      </tp>
      <tp>
        <v>6</v>
        <stp/>
        <stp>OPEN_INT</stp>
        <stp>.NDXP250508P19250</stp>
        <tr r="AT189" s="1"/>
        <tr r="AT189" s="1"/>
      </tp>
      <tp>
        <v>45</v>
        <stp/>
        <stp>OPEN_INT</stp>
        <stp>.NDXP250509P19350</stp>
        <tr r="AV185" s="1"/>
        <tr r="AV185" s="1"/>
      </tp>
      <tp>
        <v>0</v>
        <stp/>
        <stp>OPEN_INT</stp>
        <stp>.NDXP250508P20250</stp>
        <tr r="AT149" s="1"/>
        <tr r="AT149" s="1"/>
      </tp>
      <tp>
        <v>0</v>
        <stp/>
        <stp>OPEN_INT</stp>
        <stp>.NDXP250509P20350</stp>
        <tr r="AV145" s="1"/>
        <tr r="AV145" s="1"/>
      </tp>
      <tp>
        <v>-0.11</v>
        <stp/>
        <stp>DELTA</stp>
        <stp>.NDXP250508P19825</stp>
        <tr r="CE166" s="1"/>
        <tr r="CE166" s="1"/>
      </tp>
      <tp>
        <v>0</v>
        <stp/>
        <stp>DELTA</stp>
        <stp>.NDXP250509P19925</stp>
        <tr r="CG162" s="1"/>
        <tr r="CG162" s="1"/>
      </tp>
      <tp>
        <v>0</v>
        <stp/>
        <stp>DELTA</stp>
        <stp>.NDXP250508P19800</stp>
        <tr r="CE167" s="1"/>
        <tr r="CE167" s="1"/>
      </tp>
      <tp>
        <v>0</v>
        <stp/>
        <stp>DELTA</stp>
        <stp>.NDXP250509P19900</stp>
        <tr r="CG163" s="1"/>
        <tr r="CG163" s="1"/>
      </tp>
      <tp>
        <v>-0.12</v>
        <stp/>
        <stp>DELTA</stp>
        <stp>.NDXP250508P19875</stp>
        <tr r="CE164" s="1"/>
        <tr r="CE164" s="1"/>
      </tp>
      <tp>
        <v>-0.19</v>
        <stp/>
        <stp>DELTA</stp>
        <stp>.NDXP250509P19975</stp>
        <tr r="CG160" s="1"/>
        <tr r="CG160" s="1"/>
      </tp>
      <tp>
        <v>-0.11</v>
        <stp/>
        <stp>DELTA</stp>
        <stp>.NDXP250508P19850</stp>
        <tr r="CE165" s="1"/>
        <tr r="CE165" s="1"/>
      </tp>
      <tp>
        <v>-0.04</v>
        <stp/>
        <stp>DELTA</stp>
        <stp>.NDXP250509P19950</stp>
        <tr r="CG161" s="1"/>
        <tr r="CG161" s="1"/>
      </tp>
      <tp>
        <v>0.91</v>
        <stp/>
        <stp>DELTA</stp>
        <stp>.NDXP250508C19800</stp>
        <tr r="CD167" s="1"/>
        <tr r="CD167" s="1"/>
      </tp>
      <tp>
        <v>1</v>
        <stp/>
        <stp>DELTA</stp>
        <stp>.NDXP250509C19900</stp>
        <tr r="CF163" s="1"/>
        <tr r="CF163" s="1"/>
      </tp>
      <tp>
        <v>0.9</v>
        <stp/>
        <stp>DELTA</stp>
        <stp>.NDXP250508C19825</stp>
        <tr r="CD166" s="1"/>
        <tr r="CD166" s="1"/>
      </tp>
      <tp>
        <v>1</v>
        <stp/>
        <stp>DELTA</stp>
        <stp>.NDXP250509C19925</stp>
        <tr r="CF162" s="1"/>
        <tr r="CF162" s="1"/>
      </tp>
      <tp>
        <v>0.89</v>
        <stp/>
        <stp>DELTA</stp>
        <stp>.NDXP250508C19850</stp>
        <tr r="CD165" s="1"/>
        <tr r="CD165" s="1"/>
      </tp>
      <tp>
        <v>1</v>
        <stp/>
        <stp>DELTA</stp>
        <stp>.NDXP250509C19950</stp>
        <tr r="CF161" s="1"/>
        <tr r="CF161" s="1"/>
      </tp>
      <tp>
        <v>0.89</v>
        <stp/>
        <stp>DELTA</stp>
        <stp>.NDXP250508C19875</stp>
        <tr r="CD164" s="1"/>
        <tr r="CD164" s="1"/>
      </tp>
      <tp>
        <v>1</v>
        <stp/>
        <stp>DELTA</stp>
        <stp>.NDXP250509C19975</stp>
        <tr r="CF160" s="1"/>
        <tr r="CF160" s="1"/>
      </tp>
      <tp t="s">
        <v>N/A</v>
        <stp/>
        <stp>VOLUME</stp>
        <stp>.NDXP250930C20375</stp>
        <tr r="R145" s="2"/>
      </tp>
      <tp t="s">
        <v>N/A</v>
        <stp/>
        <stp>VOLUME</stp>
        <stp>.NDXP250930C19375</stp>
        <tr r="R185" s="2"/>
      </tp>
      <tp t="s">
        <v>N/A</v>
        <stp/>
        <stp>VOLUME</stp>
        <stp>.NDXP250731C19275</stp>
        <tr r="N189" s="2"/>
      </tp>
      <tp t="s">
        <v>N/A</v>
        <stp/>
        <stp>VOLUME</stp>
        <stp>.NDXP250606C19575</stp>
        <tr r="J177" s="2"/>
      </tp>
      <tp t="s">
        <v>N/A</v>
        <stp/>
        <stp>VOLUME</stp>
        <stp>.NDXP250630C19375</stp>
        <tr r="L185" s="2"/>
      </tp>
      <tp>
        <v>2</v>
        <stp/>
        <stp>VOLUME</stp>
        <stp>.NDXP250530C20375</stp>
        <tr r="I145" s="2"/>
        <tr r="I145" s="2"/>
      </tp>
      <tp t="s">
        <v>N/A</v>
        <stp/>
        <stp>VOLUME</stp>
        <stp>.NDXP250530C19375</stp>
        <tr r="I185" s="2"/>
      </tp>
      <tp t="s">
        <v>N/A</v>
        <stp/>
        <stp>VOLUME</stp>
        <stp>.NDXP250630C20375</stp>
        <tr r="L145" s="2"/>
      </tp>
      <tp t="s">
        <v>N/A</v>
        <stp/>
        <stp>VOLUME</stp>
        <stp>.NDXP250731C20275</stp>
        <tr r="N149" s="2"/>
      </tp>
      <tp t="s">
        <v>N/A</v>
        <stp/>
        <stp>VOLUME</stp>
        <stp>.NDXP251031C20275</stp>
        <tr r="T149" s="2"/>
      </tp>
      <tp t="s">
        <v>N/A</v>
        <stp/>
        <stp>VOLUME</stp>
        <stp>.NDXP251231C19275</stp>
        <tr r="X189" s="2"/>
      </tp>
      <tp t="s">
        <v>N/A</v>
        <stp/>
        <stp>VOLUME</stp>
        <stp>.NDXP251231C20275</stp>
        <tr r="X149" s="2"/>
      </tp>
      <tp t="s">
        <v>N/A</v>
        <stp/>
        <stp>VOLUME</stp>
        <stp>.NDXP251031C19275</stp>
        <tr r="T189" s="2"/>
      </tp>
      <tp t="s">
        <v>N/A</v>
        <stp/>
        <stp>VOLUME</stp>
        <stp>.NDXP250930C20350</stp>
        <tr r="R146" s="2"/>
      </tp>
      <tp t="s">
        <v>N/A</v>
        <stp/>
        <stp>VOLUME</stp>
        <stp>.NDXP250930C19350</stp>
        <tr r="R186" s="2"/>
      </tp>
      <tp t="s">
        <v>N/A</v>
        <stp/>
        <stp>VOLUME</stp>
        <stp>.NDXP250606C19550</stp>
        <tr r="J178" s="2"/>
      </tp>
      <tp t="s">
        <v>N/A</v>
        <stp/>
        <stp>VOLUME</stp>
        <stp>.NDXP250630C19350</stp>
        <tr r="L186" s="2"/>
      </tp>
      <tp t="s">
        <v>N/A</v>
        <stp/>
        <stp>VOLUME</stp>
        <stp>.NDXP250530C20350</stp>
        <tr r="I146" s="2"/>
      </tp>
      <tp t="s">
        <v>N/A</v>
        <stp/>
        <stp>VOLUME</stp>
        <stp>.NDXP250731C19250</stp>
        <tr r="N190" s="2"/>
      </tp>
      <tp t="s">
        <v>N/A</v>
        <stp/>
        <stp>VOLUME</stp>
        <stp>.NDXP250731C20250</stp>
        <tr r="N150" s="2"/>
      </tp>
      <tp t="s">
        <v>N/A</v>
        <stp/>
        <stp>VOLUME</stp>
        <stp>.NDXP250530C19350</stp>
        <tr r="I186" s="2"/>
      </tp>
      <tp t="s">
        <v>N/A</v>
        <stp/>
        <stp>VOLUME</stp>
        <stp>.NDXP250606C20550</stp>
        <tr r="J138" s="2"/>
      </tp>
      <tp t="s">
        <v>N/A</v>
        <stp/>
        <stp>VOLUME</stp>
        <stp>.NDXP250630C20350</stp>
        <tr r="L146" s="2"/>
      </tp>
      <tp t="s">
        <v>N/A</v>
        <stp/>
        <stp>VOLUME</stp>
        <stp>.NDXP251231C19250</stp>
        <tr r="X190" s="2"/>
      </tp>
      <tp t="s">
        <v>N/A</v>
        <stp/>
        <stp>VOLUME</stp>
        <stp>.NDXP251031C20250</stp>
        <tr r="T150" s="2"/>
      </tp>
      <tp t="s">
        <v>N/A</v>
        <stp/>
        <stp>VOLUME</stp>
        <stp>.NDXP251031C19250</stp>
        <tr r="T190" s="2"/>
      </tp>
      <tp t="s">
        <v>N/A</v>
        <stp/>
        <stp>VOLUME</stp>
        <stp>.NDXP251231C20250</stp>
        <tr r="X150" s="2"/>
      </tp>
      <tp t="s">
        <v>N/A</v>
        <stp/>
        <stp>VOLUME</stp>
        <stp>.NDXP251031C20225</stp>
        <tr r="T151" s="2"/>
      </tp>
      <tp t="s">
        <v>N/A</v>
        <stp/>
        <stp>VOLUME</stp>
        <stp>.NDXP251231C20225</stp>
        <tr r="X151" s="2"/>
      </tp>
      <tp t="s">
        <v>N/A</v>
        <stp/>
        <stp>VOLUME</stp>
        <stp>.NDXP250930C20325</stp>
        <tr r="R147" s="2"/>
      </tp>
      <tp t="s">
        <v>N/A</v>
        <stp/>
        <stp>VOLUME</stp>
        <stp>.NDXP250930C19325</stp>
        <tr r="R187" s="2"/>
      </tp>
      <tp t="s">
        <v>N/A</v>
        <stp/>
        <stp>VOLUME</stp>
        <stp>.NDXP250606C19525</stp>
        <tr r="J179" s="2"/>
      </tp>
      <tp t="s">
        <v>N/A</v>
        <stp/>
        <stp>VOLUME</stp>
        <stp>.NDXP250630C19325</stp>
        <tr r="L187" s="2"/>
      </tp>
      <tp t="s">
        <v>N/A</v>
        <stp/>
        <stp>VOLUME</stp>
        <stp>.NDXP250530C20325</stp>
        <tr r="I147" s="2"/>
      </tp>
      <tp t="s">
        <v>N/A</v>
        <stp/>
        <stp>VOLUME</stp>
        <stp>.NDXP250530C19325</stp>
        <tr r="I187" s="2"/>
      </tp>
      <tp t="s">
        <v>N/A</v>
        <stp/>
        <stp>VOLUME</stp>
        <stp>.NDXP250606C20525</stp>
        <tr r="J139" s="2"/>
      </tp>
      <tp t="s">
        <v>N/A</v>
        <stp/>
        <stp>VOLUME</stp>
        <stp>.NDXP250630C20325</stp>
        <tr r="L147" s="2"/>
      </tp>
      <tp t="s">
        <v>N/A</v>
        <stp/>
        <stp>VOLUME</stp>
        <stp>.NDXP250731C20225</stp>
        <tr r="N151" s="2"/>
      </tp>
      <tp t="s">
        <v>N/A</v>
        <stp/>
        <stp>VOLUME</stp>
        <stp>.NDXP251031C20200</stp>
        <tr r="T152" s="2"/>
      </tp>
      <tp t="s">
        <v>N/A</v>
        <stp/>
        <stp>VOLUME</stp>
        <stp>.NDXP251231C20200</stp>
        <tr r="X152" s="2"/>
      </tp>
      <tp t="s">
        <v>N/A</v>
        <stp/>
        <stp>VOLUME</stp>
        <stp>.NDXP250930C20300</stp>
        <tr r="R148" s="2"/>
      </tp>
      <tp t="s">
        <v>N/A</v>
        <stp/>
        <stp>VOLUME</stp>
        <stp>.NDXP250930C19300</stp>
        <tr r="R188" s="2"/>
      </tp>
      <tp t="s">
        <v>N/A</v>
        <stp/>
        <stp>VOLUME</stp>
        <stp>.NDXP250606C19500</stp>
        <tr r="J180" s="2"/>
      </tp>
      <tp t="s">
        <v>N/A</v>
        <stp/>
        <stp>VOLUME</stp>
        <stp>.NDXP250630C19300</stp>
        <tr r="L188" s="2"/>
      </tp>
      <tp>
        <v>5</v>
        <stp/>
        <stp>VOLUME</stp>
        <stp>.NDXP250530C20300</stp>
        <tr r="I148" s="2"/>
        <tr r="I148" s="2"/>
      </tp>
      <tp t="s">
        <v>N/A</v>
        <stp/>
        <stp>VOLUME</stp>
        <stp>.NDXP250731C20200</stp>
        <tr r="N152" s="2"/>
      </tp>
      <tp t="s">
        <v>N/A</v>
        <stp/>
        <stp>VOLUME</stp>
        <stp>.NDXP250530C19300</stp>
        <tr r="I188" s="2"/>
      </tp>
      <tp>
        <v>4</v>
        <stp/>
        <stp>VOLUME</stp>
        <stp>.NDXP250606C20500</stp>
        <tr r="J140" s="2"/>
        <tr r="J140" s="2"/>
      </tp>
      <tp t="s">
        <v>N/A</v>
        <stp/>
        <stp>VOLUME</stp>
        <stp>.NDXP250630C20300</stp>
        <tr r="L148" s="2"/>
      </tp>
      <tp t="s">
        <v>N/A</v>
        <stp/>
        <stp>VOLUME</stp>
        <stp>.NDXP251231P19250</stp>
        <tr r="X190" s="2"/>
      </tp>
      <tp t="s">
        <v>N/A</v>
        <stp/>
        <stp>VOLUME</stp>
        <stp>.NDXP251031P20250</stp>
        <tr r="T150" s="2"/>
      </tp>
      <tp t="s">
        <v>N/A</v>
        <stp/>
        <stp>VOLUME</stp>
        <stp>.NDXP251031P19250</stp>
        <tr r="T190" s="2"/>
      </tp>
      <tp t="s">
        <v>N/A</v>
        <stp/>
        <stp>VOLUME</stp>
        <stp>.NDXP251231P20250</stp>
        <tr r="X150" s="2"/>
      </tp>
      <tp t="s">
        <v>N/A</v>
        <stp/>
        <stp>VOLUME</stp>
        <stp>.NDXP250930P20350</stp>
        <tr r="R146" s="2"/>
      </tp>
      <tp t="s">
        <v>N/A</v>
        <stp/>
        <stp>VOLUME</stp>
        <stp>.NDXP250930P19350</stp>
        <tr r="R186" s="2"/>
      </tp>
      <tp t="s">
        <v>N/A</v>
        <stp/>
        <stp>VOLUME</stp>
        <stp>.NDXP250606P19550</stp>
        <tr r="J178" s="2"/>
      </tp>
      <tp t="s">
        <v>N/A</v>
        <stp/>
        <stp>VOLUME</stp>
        <stp>.NDXP250630P19350</stp>
        <tr r="L186" s="2"/>
      </tp>
      <tp t="s">
        <v>N/A</v>
        <stp/>
        <stp>VOLUME</stp>
        <stp>.NDXP250530P20350</stp>
        <tr r="I146" s="2"/>
      </tp>
      <tp t="s">
        <v>N/A</v>
        <stp/>
        <stp>VOLUME</stp>
        <stp>.NDXP250731P19250</stp>
        <tr r="N190" s="2"/>
      </tp>
      <tp t="s">
        <v>N/A</v>
        <stp/>
        <stp>VOLUME</stp>
        <stp>.NDXP250731P20250</stp>
        <tr r="N150" s="2"/>
      </tp>
      <tp t="s">
        <v>N/A</v>
        <stp/>
        <stp>VOLUME</stp>
        <stp>.NDXP250530P19350</stp>
        <tr r="I186" s="2"/>
      </tp>
      <tp t="s">
        <v>N/A</v>
        <stp/>
        <stp>VOLUME</stp>
        <stp>.NDXP250606P20550</stp>
        <tr r="J138" s="2"/>
      </tp>
      <tp t="s">
        <v>N/A</v>
        <stp/>
        <stp>VOLUME</stp>
        <stp>.NDXP250630P20350</stp>
        <tr r="L146" s="2"/>
      </tp>
      <tp t="s">
        <v>N/A</v>
        <stp/>
        <stp>VOLUME</stp>
        <stp>.NDXP251031P20275</stp>
        <tr r="T149" s="2"/>
      </tp>
      <tp t="s">
        <v>N/A</v>
        <stp/>
        <stp>VOLUME</stp>
        <stp>.NDXP251231P19275</stp>
        <tr r="X189" s="2"/>
      </tp>
      <tp t="s">
        <v>N/A</v>
        <stp/>
        <stp>VOLUME</stp>
        <stp>.NDXP251231P20275</stp>
        <tr r="X149" s="2"/>
      </tp>
      <tp t="s">
        <v>N/A</v>
        <stp/>
        <stp>VOLUME</stp>
        <stp>.NDXP251031P19275</stp>
        <tr r="T189" s="2"/>
      </tp>
      <tp t="s">
        <v>N/A</v>
        <stp/>
        <stp>VOLUME</stp>
        <stp>.NDXP250930P20375</stp>
        <tr r="R145" s="2"/>
      </tp>
      <tp t="s">
        <v>N/A</v>
        <stp/>
        <stp>VOLUME</stp>
        <stp>.NDXP250930P19375</stp>
        <tr r="R185" s="2"/>
      </tp>
      <tp t="s">
        <v>N/A</v>
        <stp/>
        <stp>VOLUME</stp>
        <stp>.NDXP250731P19275</stp>
        <tr r="N189" s="2"/>
      </tp>
      <tp t="s">
        <v>N/A</v>
        <stp/>
        <stp>VOLUME</stp>
        <stp>.NDXP250606P19575</stp>
        <tr r="J177" s="2"/>
      </tp>
      <tp t="s">
        <v>N/A</v>
        <stp/>
        <stp>VOLUME</stp>
        <stp>.NDXP250630P19375</stp>
        <tr r="L185" s="2"/>
      </tp>
      <tp t="s">
        <v>N/A</v>
        <stp/>
        <stp>VOLUME</stp>
        <stp>.NDXP250530P20375</stp>
        <tr r="I145" s="2"/>
      </tp>
      <tp t="s">
        <v>N/A</v>
        <stp/>
        <stp>VOLUME</stp>
        <stp>.NDXP250530P19375</stp>
        <tr r="I185" s="2"/>
      </tp>
      <tp t="s">
        <v>N/A</v>
        <stp/>
        <stp>VOLUME</stp>
        <stp>.NDXP250630P20375</stp>
        <tr r="L145" s="2"/>
      </tp>
      <tp t="s">
        <v>N/A</v>
        <stp/>
        <stp>VOLUME</stp>
        <stp>.NDXP250731P20275</stp>
        <tr r="N149" s="2"/>
      </tp>
      <tp t="s">
        <v>N/A</v>
        <stp/>
        <stp>VOLUME</stp>
        <stp>.NDXP250930P20300</stp>
        <tr r="R148" s="2"/>
      </tp>
      <tp t="s">
        <v>N/A</v>
        <stp/>
        <stp>VOLUME</stp>
        <stp>.NDXP250930P19300</stp>
        <tr r="R188" s="2"/>
      </tp>
      <tp t="s">
        <v>N/A</v>
        <stp/>
        <stp>VOLUME</stp>
        <stp>.NDXP250606P19500</stp>
        <tr r="J180" s="2"/>
      </tp>
      <tp t="s">
        <v>N/A</v>
        <stp/>
        <stp>VOLUME</stp>
        <stp>.NDXP250630P19300</stp>
        <tr r="L188" s="2"/>
      </tp>
      <tp t="s">
        <v>N/A</v>
        <stp/>
        <stp>VOLUME</stp>
        <stp>.NDXP250530P20300</stp>
        <tr r="I148" s="2"/>
      </tp>
      <tp t="s">
        <v>N/A</v>
        <stp/>
        <stp>VOLUME</stp>
        <stp>.NDXP250731P20200</stp>
        <tr r="N152" s="2"/>
      </tp>
      <tp t="s">
        <v>N/A</v>
        <stp/>
        <stp>VOLUME</stp>
        <stp>.NDXP250530P19300</stp>
        <tr r="I188" s="2"/>
      </tp>
      <tp t="s">
        <v>N/A</v>
        <stp/>
        <stp>VOLUME</stp>
        <stp>.NDXP250606P20500</stp>
        <tr r="J140" s="2"/>
      </tp>
      <tp t="s">
        <v>N/A</v>
        <stp/>
        <stp>VOLUME</stp>
        <stp>.NDXP250630P20300</stp>
        <tr r="L148" s="2"/>
      </tp>
      <tp t="s">
        <v>N/A</v>
        <stp/>
        <stp>VOLUME</stp>
        <stp>.NDXP251031P20200</stp>
        <tr r="T152" s="2"/>
      </tp>
      <tp t="s">
        <v>N/A</v>
        <stp/>
        <stp>VOLUME</stp>
        <stp>.NDXP251231P20200</stp>
        <tr r="X152" s="2"/>
      </tp>
      <tp t="s">
        <v>N/A</v>
        <stp/>
        <stp>VOLUME</stp>
        <stp>.NDXP250930P20325</stp>
        <tr r="R147" s="2"/>
      </tp>
      <tp t="s">
        <v>N/A</v>
        <stp/>
        <stp>VOLUME</stp>
        <stp>.NDXP250930P19325</stp>
        <tr r="R187" s="2"/>
      </tp>
      <tp t="s">
        <v>N/A</v>
        <stp/>
        <stp>VOLUME</stp>
        <stp>.NDXP250606P19525</stp>
        <tr r="J179" s="2"/>
      </tp>
      <tp t="s">
        <v>N/A</v>
        <stp/>
        <stp>VOLUME</stp>
        <stp>.NDXP250630P19325</stp>
        <tr r="L187" s="2"/>
      </tp>
      <tp t="s">
        <v>N/A</v>
        <stp/>
        <stp>VOLUME</stp>
        <stp>.NDXP250530P20325</stp>
        <tr r="I147" s="2"/>
      </tp>
      <tp t="s">
        <v>N/A</v>
        <stp/>
        <stp>VOLUME</stp>
        <stp>.NDXP250530P19325</stp>
        <tr r="I187" s="2"/>
      </tp>
      <tp t="s">
        <v>N/A</v>
        <stp/>
        <stp>VOLUME</stp>
        <stp>.NDXP250606P20525</stp>
        <tr r="J139" s="2"/>
      </tp>
      <tp t="s">
        <v>N/A</v>
        <stp/>
        <stp>VOLUME</stp>
        <stp>.NDXP250630P20325</stp>
        <tr r="L147" s="2"/>
      </tp>
      <tp t="s">
        <v>N/A</v>
        <stp/>
        <stp>VOLUME</stp>
        <stp>.NDXP250731P20225</stp>
        <tr r="N151" s="2"/>
      </tp>
      <tp t="s">
        <v>N/A</v>
        <stp/>
        <stp>VOLUME</stp>
        <stp>.NDXP251031P20225</stp>
        <tr r="T151" s="2"/>
      </tp>
      <tp t="s">
        <v>N/A</v>
        <stp/>
        <stp>VOLUME</stp>
        <stp>.NDXP251231P20225</stp>
        <tr r="X151" s="2"/>
      </tp>
      <tp t="s">
        <v>139.91%</v>
        <stp/>
        <stp>IMPL_VOL</stp>
        <stp>.NDXP250508C19775</stp>
        <tr r="EL168" s="1"/>
      </tp>
      <tp t="s">
        <v>--</v>
        <stp/>
        <stp>IMPL_VOL</stp>
        <stp>.NDXP250509C19675</stp>
        <tr r="EN172" s="1"/>
      </tp>
      <tp t="s">
        <v>163.35%</v>
        <stp/>
        <stp>IMPL_VOL</stp>
        <stp>.NDXP250508C19750</stp>
        <tr r="EL169" s="1"/>
      </tp>
      <tp t="s">
        <v>--</v>
        <stp/>
        <stp>IMPL_VOL</stp>
        <stp>.NDXP250509C19650</stp>
        <tr r="EN173" s="1"/>
      </tp>
      <tp t="s">
        <v>158.13%</v>
        <stp/>
        <stp>IMPL_VOL</stp>
        <stp>.NDXP250508C19725</stp>
        <tr r="EL170" s="1"/>
      </tp>
      <tp t="s">
        <v>--</v>
        <stp/>
        <stp>IMPL_VOL</stp>
        <stp>.NDXP250509C19625</stp>
        <tr r="EN174" s="1"/>
      </tp>
      <tp t="s">
        <v>167.56%</v>
        <stp/>
        <stp>IMPL_VOL</stp>
        <stp>.NDXP250508C19700</stp>
        <tr r="EL171" s="1"/>
      </tp>
      <tp t="s">
        <v>166.24%</v>
        <stp/>
        <stp>IMPL_VOL</stp>
        <stp>.NDXP250509C19600</stp>
        <tr r="EN175" s="1"/>
      </tp>
      <tp t="s">
        <v>N/A</v>
        <stp/>
        <stp>VOLUME</stp>
        <stp>.NDX251219P20200</stp>
        <tr r="W152" s="2"/>
      </tp>
      <tp t="s">
        <v>N/A</v>
        <stp/>
        <stp>VOLUME</stp>
        <stp>.NDX250919P20200</stp>
        <tr r="Q152" s="2"/>
      </tp>
      <tp>
        <v>5</v>
        <stp/>
        <stp>VOLUME</stp>
        <stp>.NDX250718P20300</stp>
        <tr r="M148" s="2"/>
        <tr r="M148" s="2"/>
      </tp>
      <tp t="s">
        <v>N/A</v>
        <stp/>
        <stp>VOLUME</stp>
        <stp>.NDX250523P19800</stp>
        <tr r="H168" s="2"/>
      </tp>
      <tp t="s">
        <v>N/A</v>
        <stp/>
        <stp>VOLUME</stp>
        <stp>.NDX250718P19300</stp>
        <tr r="M188" s="2"/>
      </tp>
      <tp t="s">
        <v>N/A</v>
        <stp/>
        <stp>VOLUME</stp>
        <stp>.NDX251219P20225</stp>
        <tr r="W151" s="2"/>
      </tp>
      <tp t="s">
        <v>N/A</v>
        <stp/>
        <stp>VOLUME</stp>
        <stp>.NDX250919P20225</stp>
        <tr r="Q151" s="2"/>
      </tp>
      <tp t="s">
        <v>N/A</v>
        <stp/>
        <stp>VOLUME</stp>
        <stp>.NDX250523P19825</stp>
        <tr r="H167" s="2"/>
      </tp>
      <tp t="s">
        <v>N/A</v>
        <stp/>
        <stp>VOLUME</stp>
        <stp>.NDX250718P20325</stp>
        <tr r="M147" s="2"/>
      </tp>
      <tp t="s">
        <v>N/A</v>
        <stp/>
        <stp>VOLUME</stp>
        <stp>.NDX250718P19325</stp>
        <tr r="M187" s="2"/>
      </tp>
      <tp t="s">
        <v>N/A</v>
        <stp/>
        <stp>VOLUME</stp>
        <stp>.NDX250919P19250</stp>
        <tr r="Q190" s="2"/>
      </tp>
      <tp t="s">
        <v>N/A</v>
        <stp/>
        <stp>VOLUME</stp>
        <stp>.NDX250919P20250</stp>
        <tr r="Q150" s="2"/>
      </tp>
      <tp t="s">
        <v>N/A</v>
        <stp/>
        <stp>VOLUME</stp>
        <stp>.NDX250718P20350</stp>
        <tr r="M146" s="2"/>
      </tp>
      <tp t="s">
        <v>N/A</v>
        <stp/>
        <stp>VOLUME</stp>
        <stp>.NDX250523P19850</stp>
        <tr r="H166" s="2"/>
      </tp>
      <tp t="s">
        <v>N/A</v>
        <stp/>
        <stp>VOLUME</stp>
        <stp>.NDX250718P19350</stp>
        <tr r="M186" s="2"/>
      </tp>
      <tp t="s">
        <v>N/A</v>
        <stp/>
        <stp>VOLUME</stp>
        <stp>.NDX251219P20250</stp>
        <tr r="W150" s="2"/>
      </tp>
      <tp t="s">
        <v>N/A</v>
        <stp/>
        <stp>VOLUME</stp>
        <stp>.NDX251219P19250</stp>
        <tr r="W190" s="2"/>
      </tp>
      <tp t="s">
        <v>N/A</v>
        <stp/>
        <stp>VOLUME</stp>
        <stp>.NDX250919P19275</stp>
        <tr r="Q189" s="2"/>
      </tp>
      <tp t="s">
        <v>N/A</v>
        <stp/>
        <stp>VOLUME</stp>
        <stp>.NDX250919P20275</stp>
        <tr r="Q149" s="2"/>
      </tp>
      <tp t="s">
        <v>N/A</v>
        <stp/>
        <stp>VOLUME</stp>
        <stp>.NDX250523P19875</stp>
        <tr r="H165" s="2"/>
      </tp>
      <tp t="s">
        <v>N/A</v>
        <stp/>
        <stp>VOLUME</stp>
        <stp>.NDX250718P20375</stp>
        <tr r="M145" s="2"/>
      </tp>
      <tp t="s">
        <v>N/A</v>
        <stp/>
        <stp>VOLUME</stp>
        <stp>.NDX250718P19375</stp>
        <tr r="M185" s="2"/>
      </tp>
      <tp t="s">
        <v>N/A</v>
        <stp/>
        <stp>VOLUME</stp>
        <stp>.NDX251219P20275</stp>
        <tr r="W149" s="2"/>
      </tp>
      <tp t="s">
        <v>N/A</v>
        <stp/>
        <stp>VOLUME</stp>
        <stp>.NDX251219P19275</stp>
        <tr r="W189" s="2"/>
      </tp>
      <tp t="s">
        <v>112.31%</v>
        <stp/>
        <stp>IMPL_VOL</stp>
        <stp>.NDXP250508P19750</stp>
        <tr r="EM169" s="1"/>
      </tp>
      <tp t="s">
        <v>192.02%</v>
        <stp/>
        <stp>IMPL_VOL</stp>
        <stp>.NDXP250509P19650</stp>
        <tr r="EO173" s="1"/>
      </tp>
      <tp t="s">
        <v>145.98%</v>
        <stp/>
        <stp>IMPL_VOL</stp>
        <stp>.NDXP250508P19775</stp>
        <tr r="EM168" s="1"/>
      </tp>
      <tp t="s">
        <v>182.99%</v>
        <stp/>
        <stp>IMPL_VOL</stp>
        <stp>.NDXP250509P19675</stp>
        <tr r="EO172" s="1"/>
      </tp>
      <tp t="s">
        <v>148.95%</v>
        <stp/>
        <stp>IMPL_VOL</stp>
        <stp>.NDXP250508P19700</stp>
        <tr r="EM171" s="1"/>
      </tp>
      <tp t="s">
        <v>115.29%</v>
        <stp/>
        <stp>IMPL_VOL</stp>
        <stp>.NDXP250509P19600</stp>
        <tr r="EO175" s="1"/>
      </tp>
      <tp t="s">
        <v>164.68%</v>
        <stp/>
        <stp>IMPL_VOL</stp>
        <stp>.NDXP250508P19725</stp>
        <tr r="EM170" s="1"/>
      </tp>
      <tp t="s">
        <v>200.99%</v>
        <stp/>
        <stp>IMPL_VOL</stp>
        <stp>.NDXP250509P19625</stp>
        <tr r="EO174" s="1"/>
      </tp>
      <tp t="s">
        <v>N/A</v>
        <stp/>
        <stp>VOLUME</stp>
        <stp>.NDX250919C20225</stp>
        <tr r="Q151" s="2"/>
      </tp>
      <tp t="s">
        <v>N/A</v>
        <stp/>
        <stp>VOLUME</stp>
        <stp>.NDX250523C19825</stp>
        <tr r="H167" s="2"/>
      </tp>
      <tp t="s">
        <v>N/A</v>
        <stp/>
        <stp>VOLUME</stp>
        <stp>.NDX250718C20325</stp>
        <tr r="M147" s="2"/>
      </tp>
      <tp t="s">
        <v>N/A</v>
        <stp/>
        <stp>VOLUME</stp>
        <stp>.NDX250718C19325</stp>
        <tr r="M187" s="2"/>
      </tp>
      <tp t="s">
        <v>N/A</v>
        <stp/>
        <stp>VOLUME</stp>
        <stp>.NDX251219C20225</stp>
        <tr r="W151" s="2"/>
      </tp>
      <tp t="s">
        <v>N/A</v>
        <stp/>
        <stp>VOLUME</stp>
        <stp>.NDX250919C20200</stp>
        <tr r="Q152" s="2"/>
      </tp>
      <tp>
        <v>13</v>
        <stp/>
        <stp>VOLUME</stp>
        <stp>.NDX250718C20300</stp>
        <tr r="M148" s="2"/>
        <tr r="M148" s="2"/>
      </tp>
      <tp t="s">
        <v>N/A</v>
        <stp/>
        <stp>VOLUME</stp>
        <stp>.NDX250523C19800</stp>
        <tr r="H168" s="2"/>
      </tp>
      <tp t="s">
        <v>N/A</v>
        <stp/>
        <stp>VOLUME</stp>
        <stp>.NDX250718C19300</stp>
        <tr r="M188" s="2"/>
      </tp>
      <tp t="s">
        <v>N/A</v>
        <stp/>
        <stp>VOLUME</stp>
        <stp>.NDX251219C20200</stp>
        <tr r="W152" s="2"/>
      </tp>
      <tp t="s">
        <v>N/A</v>
        <stp/>
        <stp>VOLUME</stp>
        <stp>.NDX251219C20275</stp>
        <tr r="W149" s="2"/>
      </tp>
      <tp t="s">
        <v>N/A</v>
        <stp/>
        <stp>VOLUME</stp>
        <stp>.NDX251219C19275</stp>
        <tr r="W189" s="2"/>
      </tp>
      <tp t="s">
        <v>N/A</v>
        <stp/>
        <stp>VOLUME</stp>
        <stp>.NDX250919C19275</stp>
        <tr r="Q189" s="2"/>
      </tp>
      <tp t="s">
        <v>N/A</v>
        <stp/>
        <stp>VOLUME</stp>
        <stp>.NDX250919C20275</stp>
        <tr r="Q149" s="2"/>
      </tp>
      <tp t="s">
        <v>N/A</v>
        <stp/>
        <stp>VOLUME</stp>
        <stp>.NDX250523C19875</stp>
        <tr r="H165" s="2"/>
      </tp>
      <tp t="s">
        <v>N/A</v>
        <stp/>
        <stp>VOLUME</stp>
        <stp>.NDX250718C20375</stp>
        <tr r="M145" s="2"/>
      </tp>
      <tp t="s">
        <v>N/A</v>
        <stp/>
        <stp>VOLUME</stp>
        <stp>.NDX250718C19375</stp>
        <tr r="M185" s="2"/>
      </tp>
      <tp t="s">
        <v>N/A</v>
        <stp/>
        <stp>VOLUME</stp>
        <stp>.NDX251219C20250</stp>
        <tr r="W150" s="2"/>
      </tp>
      <tp t="s">
        <v>N/A</v>
        <stp/>
        <stp>VOLUME</stp>
        <stp>.NDX251219C19250</stp>
        <tr r="W190" s="2"/>
      </tp>
      <tp t="s">
        <v>N/A</v>
        <stp/>
        <stp>VOLUME</stp>
        <stp>.NDX250919C19250</stp>
        <tr r="Q190" s="2"/>
      </tp>
      <tp t="s">
        <v>N/A</v>
        <stp/>
        <stp>VOLUME</stp>
        <stp>.NDX250919C20250</stp>
        <tr r="Q150" s="2"/>
      </tp>
      <tp t="s">
        <v>N/A</v>
        <stp/>
        <stp>VOLUME</stp>
        <stp>.NDX250718C20350</stp>
        <tr r="M146" s="2"/>
      </tp>
      <tp t="s">
        <v>N/A</v>
        <stp/>
        <stp>VOLUME</stp>
        <stp>.NDX250523C19850</stp>
        <tr r="H166" s="2"/>
      </tp>
      <tp t="s">
        <v>N/A</v>
        <stp/>
        <stp>VOLUME</stp>
        <stp>.NDX250718C19350</stp>
        <tr r="M186" s="2"/>
      </tp>
      <tp t="s">
        <v>175.98%</v>
        <stp/>
        <stp>IMPL_VOL</stp>
        <stp>.NDXP250508C19675</stp>
        <tr r="EL172" s="1"/>
      </tp>
      <tp t="s">
        <v>--</v>
        <stp/>
        <stp>IMPL_VOL</stp>
        <stp>.NDXP250509C19775</stp>
        <tr r="EN168" s="1"/>
      </tp>
      <tp t="s">
        <v>185.29%</v>
        <stp/>
        <stp>IMPL_VOL</stp>
        <stp>.NDXP250508C19650</stp>
        <tr r="EL173" s="1"/>
      </tp>
      <tp t="s">
        <v>--</v>
        <stp/>
        <stp>IMPL_VOL</stp>
        <stp>.NDXP250509C19750</stp>
        <tr r="EN169" s="1"/>
      </tp>
      <tp t="s">
        <v>200.03%</v>
        <stp/>
        <stp>IMPL_VOL</stp>
        <stp>.NDXP250508C19625</stp>
        <tr r="EL174" s="1"/>
      </tp>
      <tp t="s">
        <v>--</v>
        <stp/>
        <stp>IMPL_VOL</stp>
        <stp>.NDXP250509C19725</stp>
        <tr r="EN170" s="1"/>
      </tp>
      <tp t="s">
        <v>174.40%</v>
        <stp/>
        <stp>IMPL_VOL</stp>
        <stp>.NDXP250508C19600</stp>
        <tr r="EL175" s="1"/>
      </tp>
      <tp t="s">
        <v>--</v>
        <stp/>
        <stp>IMPL_VOL</stp>
        <stp>.NDXP250509C19700</stp>
        <tr r="EN171" s="1"/>
      </tp>
      <tp t="s">
        <v>N/A</v>
        <stp/>
        <stp>VOLUME</stp>
        <stp>.NDX251219P20300</stp>
        <tr r="W148" s="2"/>
      </tp>
      <tp t="s">
        <v>N/A</v>
        <stp/>
        <stp>VOLUME</stp>
        <stp>.NDX251219P19300</stp>
        <tr r="W188" s="2"/>
      </tp>
      <tp t="s">
        <v>N/A</v>
        <stp/>
        <stp>VOLUME</stp>
        <stp>.NDX250919P19300</stp>
        <tr r="Q188" s="2"/>
      </tp>
      <tp t="s">
        <v>N/A</v>
        <stp/>
        <stp>VOLUME</stp>
        <stp>.NDX250919P20300</stp>
        <tr r="Q148" s="2"/>
      </tp>
      <tp t="s">
        <v>N/A</v>
        <stp/>
        <stp>VOLUME</stp>
        <stp>.NDX250718P20200</stp>
        <tr r="M152" s="2"/>
      </tp>
      <tp t="s">
        <v>N/A</v>
        <stp/>
        <stp>VOLUME</stp>
        <stp>.NDX250523P19900</stp>
        <tr r="H164" s="2"/>
      </tp>
      <tp t="s">
        <v>N/A</v>
        <stp/>
        <stp>VOLUME</stp>
        <stp>.NDX251219P20325</stp>
        <tr r="W147" s="2"/>
      </tp>
      <tp t="s">
        <v>N/A</v>
        <stp/>
        <stp>VOLUME</stp>
        <stp>.NDX251219P19325</stp>
        <tr r="W187" s="2"/>
      </tp>
      <tp t="s">
        <v>N/A</v>
        <stp/>
        <stp>VOLUME</stp>
        <stp>.NDX250919P19325</stp>
        <tr r="Q187" s="2"/>
      </tp>
      <tp t="s">
        <v>N/A</v>
        <stp/>
        <stp>VOLUME</stp>
        <stp>.NDX250919P20325</stp>
        <tr r="Q147" s="2"/>
      </tp>
      <tp t="s">
        <v>N/A</v>
        <stp/>
        <stp>VOLUME</stp>
        <stp>.NDX250523P19925</stp>
        <tr r="H163" s="2"/>
      </tp>
      <tp t="s">
        <v>N/A</v>
        <stp/>
        <stp>VOLUME</stp>
        <stp>.NDX250718P20225</stp>
        <tr r="M151" s="2"/>
      </tp>
      <tp t="s">
        <v>N/A</v>
        <stp/>
        <stp>VOLUME</stp>
        <stp>.NDX250919P19350</stp>
        <tr r="Q186" s="2"/>
      </tp>
      <tp t="s">
        <v>N/A</v>
        <stp/>
        <stp>VOLUME</stp>
        <stp>.NDX250919P20350</stp>
        <tr r="Q146" s="2"/>
      </tp>
      <tp t="s">
        <v>N/A</v>
        <stp/>
        <stp>VOLUME</stp>
        <stp>.NDX250718P20250</stp>
        <tr r="M150" s="2"/>
      </tp>
      <tp t="s">
        <v>N/A</v>
        <stp/>
        <stp>VOLUME</stp>
        <stp>.NDX250523P19950</stp>
        <tr r="H162" s="2"/>
      </tp>
      <tp t="s">
        <v>N/A</v>
        <stp/>
        <stp>VOLUME</stp>
        <stp>.NDX250718P19250</stp>
        <tr r="M190" s="2"/>
      </tp>
      <tp t="s">
        <v>N/A</v>
        <stp/>
        <stp>VOLUME</stp>
        <stp>.NDX251219P20350</stp>
        <tr r="W146" s="2"/>
      </tp>
      <tp t="s">
        <v>N/A</v>
        <stp/>
        <stp>VOLUME</stp>
        <stp>.NDX251219P19350</stp>
        <tr r="W186" s="2"/>
      </tp>
      <tp t="s">
        <v>N/A</v>
        <stp/>
        <stp>VOLUME</stp>
        <stp>.NDX250919P19375</stp>
        <tr r="Q185" s="2"/>
      </tp>
      <tp t="s">
        <v>N/A</v>
        <stp/>
        <stp>VOLUME</stp>
        <stp>.NDX250919P20375</stp>
        <tr r="Q145" s="2"/>
      </tp>
      <tp t="s">
        <v>N/A</v>
        <stp/>
        <stp>VOLUME</stp>
        <stp>.NDX250523P19975</stp>
        <tr r="H161" s="2"/>
      </tp>
      <tp t="s">
        <v>N/A</v>
        <stp/>
        <stp>VOLUME</stp>
        <stp>.NDX250718P20275</stp>
        <tr r="M149" s="2"/>
      </tp>
      <tp t="s">
        <v>N/A</v>
        <stp/>
        <stp>VOLUME</stp>
        <stp>.NDX250718P19275</stp>
        <tr r="M189" s="2"/>
      </tp>
      <tp t="s">
        <v>N/A</v>
        <stp/>
        <stp>VOLUME</stp>
        <stp>.NDX251219P20375</stp>
        <tr r="W145" s="2"/>
      </tp>
      <tp t="s">
        <v>N/A</v>
        <stp/>
        <stp>VOLUME</stp>
        <stp>.NDX251219P19375</stp>
        <tr r="W185" s="2"/>
      </tp>
      <tp t="s">
        <v>192.02%</v>
        <stp/>
        <stp>IMPL_VOL</stp>
        <stp>.NDXP250508P19650</stp>
        <tr r="EM173" s="1"/>
      </tp>
      <tp t="s">
        <v>140.23%</v>
        <stp/>
        <stp>IMPL_VOL</stp>
        <stp>.NDXP250509P19750</stp>
        <tr r="EO169" s="1"/>
      </tp>
      <tp t="s">
        <v>182.99%</v>
        <stp/>
        <stp>IMPL_VOL</stp>
        <stp>.NDXP250508P19675</stp>
        <tr r="EM172" s="1"/>
      </tp>
      <tp t="s">
        <v>145.98%</v>
        <stp/>
        <stp>IMPL_VOL</stp>
        <stp>.NDXP250509P19775</stp>
        <tr r="EO168" s="1"/>
      </tp>
      <tp t="s">
        <v>209.88%</v>
        <stp/>
        <stp>IMPL_VOL</stp>
        <stp>.NDXP250508P19600</stp>
        <tr r="EM175" s="1"/>
      </tp>
      <tp t="s">
        <v>129.62%</v>
        <stp/>
        <stp>IMPL_VOL</stp>
        <stp>.NDXP250509P19700</stp>
        <tr r="EO171" s="1"/>
      </tp>
      <tp t="s">
        <v>200.99%</v>
        <stp/>
        <stp>IMPL_VOL</stp>
        <stp>.NDXP250508P19625</stp>
        <tr r="EM174" s="1"/>
      </tp>
      <tp t="s">
        <v>164.68%</v>
        <stp/>
        <stp>IMPL_VOL</stp>
        <stp>.NDXP250509P19725</stp>
        <tr r="EO170" s="1"/>
      </tp>
      <tp t="s">
        <v>N/A</v>
        <stp/>
        <stp>VOLUME</stp>
        <stp>.NDX250919C19325</stp>
        <tr r="Q187" s="2"/>
      </tp>
      <tp t="s">
        <v>N/A</v>
        <stp/>
        <stp>VOLUME</stp>
        <stp>.NDX250919C20325</stp>
        <tr r="Q147" s="2"/>
      </tp>
      <tp t="s">
        <v>N/A</v>
        <stp/>
        <stp>VOLUME</stp>
        <stp>.NDX250523C19925</stp>
        <tr r="H163" s="2"/>
      </tp>
      <tp t="s">
        <v>N/A</v>
        <stp/>
        <stp>VOLUME</stp>
        <stp>.NDX250718C20225</stp>
        <tr r="M151" s="2"/>
      </tp>
      <tp t="s">
        <v>N/A</v>
        <stp/>
        <stp>VOLUME</stp>
        <stp>.NDX251219C20325</stp>
        <tr r="W147" s="2"/>
      </tp>
      <tp t="s">
        <v>N/A</v>
        <stp/>
        <stp>VOLUME</stp>
        <stp>.NDX251219C19325</stp>
        <tr r="W187" s="2"/>
      </tp>
      <tp t="s">
        <v>N/A</v>
        <stp/>
        <stp>VOLUME</stp>
        <stp>.NDX250919C19300</stp>
        <tr r="Q188" s="2"/>
      </tp>
      <tp t="s">
        <v>N/A</v>
        <stp/>
        <stp>VOLUME</stp>
        <stp>.NDX250919C20300</stp>
        <tr r="Q148" s="2"/>
      </tp>
      <tp>
        <v>2</v>
        <stp/>
        <stp>VOLUME</stp>
        <stp>.NDX250718C20200</stp>
        <tr r="M152" s="2"/>
        <tr r="M152" s="2"/>
      </tp>
      <tp t="s">
        <v>N/A</v>
        <stp/>
        <stp>VOLUME</stp>
        <stp>.NDX250523C19900</stp>
        <tr r="H164" s="2"/>
      </tp>
      <tp t="s">
        <v>N/A</v>
        <stp/>
        <stp>VOLUME</stp>
        <stp>.NDX251219C20300</stp>
        <tr r="W148" s="2"/>
      </tp>
      <tp>
        <v>2</v>
        <stp/>
        <stp>VOLUME</stp>
        <stp>.NDX251219C19300</stp>
        <tr r="W188" s="2"/>
        <tr r="W188" s="2"/>
      </tp>
      <tp t="s">
        <v>N/A</v>
        <stp/>
        <stp>VOLUME</stp>
        <stp>.NDX251219C20375</stp>
        <tr r="W145" s="2"/>
      </tp>
      <tp t="s">
        <v>N/A</v>
        <stp/>
        <stp>VOLUME</stp>
        <stp>.NDX251219C19375</stp>
        <tr r="W185" s="2"/>
      </tp>
      <tp t="s">
        <v>N/A</v>
        <stp/>
        <stp>VOLUME</stp>
        <stp>.NDX250919C19375</stp>
        <tr r="Q185" s="2"/>
      </tp>
      <tp t="s">
        <v>N/A</v>
        <stp/>
        <stp>VOLUME</stp>
        <stp>.NDX250919C20375</stp>
        <tr r="Q145" s="2"/>
      </tp>
      <tp t="s">
        <v>N/A</v>
        <stp/>
        <stp>VOLUME</stp>
        <stp>.NDX250523C19975</stp>
        <tr r="H161" s="2"/>
      </tp>
      <tp t="s">
        <v>N/A</v>
        <stp/>
        <stp>VOLUME</stp>
        <stp>.NDX250718C20275</stp>
        <tr r="M149" s="2"/>
      </tp>
      <tp t="s">
        <v>N/A</v>
        <stp/>
        <stp>VOLUME</stp>
        <stp>.NDX250718C19275</stp>
        <tr r="M189" s="2"/>
      </tp>
      <tp t="s">
        <v>N/A</v>
        <stp/>
        <stp>VOLUME</stp>
        <stp>.NDX251219C20350</stp>
        <tr r="W146" s="2"/>
      </tp>
      <tp t="s">
        <v>N/A</v>
        <stp/>
        <stp>VOLUME</stp>
        <stp>.NDX251219C19350</stp>
        <tr r="W186" s="2"/>
      </tp>
      <tp t="s">
        <v>N/A</v>
        <stp/>
        <stp>VOLUME</stp>
        <stp>.NDX250919C19350</stp>
        <tr r="Q186" s="2"/>
      </tp>
      <tp t="s">
        <v>N/A</v>
        <stp/>
        <stp>VOLUME</stp>
        <stp>.NDX250919C20350</stp>
        <tr r="Q146" s="2"/>
      </tp>
      <tp t="s">
        <v>N/A</v>
        <stp/>
        <stp>VOLUME</stp>
        <stp>.NDX250718C20250</stp>
        <tr r="M150" s="2"/>
      </tp>
      <tp t="s">
        <v>N/A</v>
        <stp/>
        <stp>VOLUME</stp>
        <stp>.NDX250523C19950</stp>
        <tr r="H162" s="2"/>
      </tp>
      <tp t="s">
        <v>N/A</v>
        <stp/>
        <stp>VOLUME</stp>
        <stp>.NDX250718C19250</stp>
        <tr r="M190" s="2"/>
      </tp>
      <tp t="s">
        <v>188.81%</v>
        <stp/>
        <stp>IMPL_VOL</stp>
        <stp>.NDXP250509C20475</stp>
        <tr r="EN140" s="1"/>
      </tp>
      <tp t="s">
        <v>186.17%</v>
        <stp/>
        <stp>IMPL_VOL</stp>
        <stp>.NDXP250508C19575</stp>
        <tr r="EL176" s="1"/>
      </tp>
      <tp t="s">
        <v>194.68%</v>
        <stp/>
        <stp>IMPL_VOL</stp>
        <stp>.NDXP250509C19475</stp>
        <tr r="EN180" s="1"/>
      </tp>
      <tp t="s">
        <v>104.28%</v>
        <stp/>
        <stp>IMPL_VOL</stp>
        <stp>.NDXP250508C20550</stp>
        <tr r="EL137" s="1"/>
      </tp>
      <tp t="s">
        <v>143.66%</v>
        <stp/>
        <stp>IMPL_VOL</stp>
        <stp>.NDXP250509C20450</stp>
        <tr r="EN141" s="1"/>
      </tp>
      <tp t="s">
        <v>219.96%</v>
        <stp/>
        <stp>IMPL_VOL</stp>
        <stp>.NDXP250508C19550</stp>
        <tr r="EL177" s="1"/>
      </tp>
      <tp t="s">
        <v>208.01%</v>
        <stp/>
        <stp>IMPL_VOL</stp>
        <stp>.NDXP250509C19450</stp>
        <tr r="EN181" s="1"/>
      </tp>
      <tp t="s">
        <v>205.78%</v>
        <stp/>
        <stp>IMPL_VOL</stp>
        <stp>.NDXP250508C20525</stp>
        <tr r="EL138" s="1"/>
      </tp>
      <tp t="s">
        <v>171.47%</v>
        <stp/>
        <stp>IMPL_VOL</stp>
        <stp>.NDXP250509C20425</stp>
        <tr r="EN142" s="1"/>
      </tp>
      <tp t="s">
        <v>228.49%</v>
        <stp/>
        <stp>IMPL_VOL</stp>
        <stp>.NDXP250508C19525</stp>
        <tr r="EL178" s="1"/>
      </tp>
      <tp t="s">
        <v>208.90%</v>
        <stp/>
        <stp>IMPL_VOL</stp>
        <stp>.NDXP250509C19425</stp>
        <tr r="EN182" s="1"/>
      </tp>
      <tp t="s">
        <v>94.57%</v>
        <stp/>
        <stp>IMPL_VOL</stp>
        <stp>.NDXP250508C20500</stp>
        <tr r="EL139" s="1"/>
      </tp>
      <tp t="s">
        <v>70.49%</v>
        <stp/>
        <stp>IMPL_VOL</stp>
        <stp>.NDXP250509C20400</stp>
        <tr r="EN143" s="1"/>
      </tp>
      <tp t="s">
        <v>236.98%</v>
        <stp/>
        <stp>IMPL_VOL</stp>
        <stp>.NDXP250508C19500</stp>
        <tr r="EL179" s="1"/>
      </tp>
      <tp t="s">
        <v>--</v>
        <stp/>
        <stp>IMPL_VOL</stp>
        <stp>.NDXP250509C19400</stp>
        <tr r="EN183" s="1"/>
      </tp>
      <tp t="s">
        <v>N/A</v>
        <stp/>
        <stp>VOLUME</stp>
        <stp>.NDX251121P19800</stp>
        <tr r="U168" s="2"/>
      </tp>
      <tp>
        <v>2</v>
        <stp/>
        <stp>VOLUME</stp>
        <stp>.NDX251219P20000</stp>
        <tr r="W160" s="2"/>
        <tr r="W160" s="2"/>
      </tp>
      <tp>
        <v>3</v>
        <stp/>
        <stp>VOLUME</stp>
        <stp>.NDX250919P20000</stp>
        <tr r="Q160" s="2"/>
        <tr r="Q160" s="2"/>
      </tp>
      <tp t="s">
        <v>N/A</v>
        <stp/>
        <stp>VOLUME</stp>
        <stp>.NDX250718P20100</stp>
        <tr r="M156" s="2"/>
      </tp>
      <tp>
        <v>1</v>
        <stp/>
        <stp>VOLUME</stp>
        <stp>.NDX250620P19900</stp>
        <tr r="K164" s="2"/>
        <tr r="K164" s="2"/>
      </tp>
      <tp t="s">
        <v>N/A</v>
        <stp/>
        <stp>VOLUME</stp>
        <stp>.NDX251121P19825</stp>
        <tr r="U167" s="2"/>
      </tp>
      <tp t="s">
        <v>N/A</v>
        <stp/>
        <stp>VOLUME</stp>
        <stp>.NDX251219P20025</stp>
        <tr r="W159" s="2"/>
      </tp>
      <tp t="s">
        <v>N/A</v>
        <stp/>
        <stp>VOLUME</stp>
        <stp>.NDX250919P20025</stp>
        <tr r="Q159" s="2"/>
      </tp>
      <tp t="s">
        <v>N/A</v>
        <stp/>
        <stp>VOLUME</stp>
        <stp>.NDX250718P20125</stp>
        <tr r="M155" s="2"/>
      </tp>
      <tp>
        <v>4</v>
        <stp/>
        <stp>VOLUME</stp>
        <stp>.NDX250620P19925</stp>
        <tr r="K163" s="2"/>
        <tr r="K163" s="2"/>
      </tp>
      <tp t="s">
        <v>N/A</v>
        <stp/>
        <stp>VOLUME</stp>
        <stp>.NDX250919P20050</stp>
        <tr r="Q158" s="2"/>
      </tp>
      <tp t="s">
        <v>N/A</v>
        <stp/>
        <stp>VOLUME</stp>
        <stp>.NDX250718P20150</stp>
        <tr r="M154" s="2"/>
      </tp>
      <tp>
        <v>6</v>
        <stp/>
        <stp>VOLUME</stp>
        <stp>.NDX250620P19950</stp>
        <tr r="K162" s="2"/>
        <tr r="K162" s="2"/>
      </tp>
      <tp t="s">
        <v>N/A</v>
        <stp/>
        <stp>VOLUME</stp>
        <stp>.NDX251121P19850</stp>
        <tr r="U166" s="2"/>
      </tp>
      <tp t="s">
        <v>N/A</v>
        <stp/>
        <stp>VOLUME</stp>
        <stp>.NDX251219P20050</stp>
        <tr r="W158" s="2"/>
      </tp>
      <tp t="s">
        <v>N/A</v>
        <stp/>
        <stp>VOLUME</stp>
        <stp>.NDX250919P20075</stp>
        <tr r="Q157" s="2"/>
      </tp>
      <tp t="s">
        <v>N/A</v>
        <stp/>
        <stp>VOLUME</stp>
        <stp>.NDX250718P20175</stp>
        <tr r="M153" s="2"/>
      </tp>
      <tp>
        <v>4</v>
        <stp/>
        <stp>VOLUME</stp>
        <stp>.NDX250620P19975</stp>
        <tr r="K161" s="2"/>
        <tr r="K161" s="2"/>
      </tp>
      <tp t="s">
        <v>N/A</v>
        <stp/>
        <stp>VOLUME</stp>
        <stp>.NDX251121P19875</stp>
        <tr r="U165" s="2"/>
      </tp>
      <tp t="s">
        <v>N/A</v>
        <stp/>
        <stp>VOLUME</stp>
        <stp>.NDX251219P20075</stp>
        <tr r="W157" s="2"/>
      </tp>
      <tp t="s">
        <v>--</v>
        <stp/>
        <stp>IMPL_VOL</stp>
        <stp>.NDXP250508P20550</stp>
        <tr r="EM137" s="1"/>
      </tp>
      <tp t="s">
        <v>129.34%</v>
        <stp/>
        <stp>IMPL_VOL</stp>
        <stp>.NDXP250509P20450</stp>
        <tr r="EO141" s="1"/>
      </tp>
      <tp t="s">
        <v>229.05%</v>
        <stp/>
        <stp>IMPL_VOL</stp>
        <stp>.NDXP250508P19550</stp>
        <tr r="EM177" s="1"/>
      </tp>
      <tp t="s">
        <v>262.15%</v>
        <stp/>
        <stp>IMPL_VOL</stp>
        <stp>.NDXP250509P19450</stp>
        <tr r="EO181" s="1"/>
      </tp>
      <tp t="s">
        <v>141.64%</v>
        <stp/>
        <stp>IMPL_VOL</stp>
        <stp>.NDXP250509P20475</stp>
        <tr r="EO140" s="1"/>
      </tp>
      <tp t="s">
        <v>218.72%</v>
        <stp/>
        <stp>IMPL_VOL</stp>
        <stp>.NDXP250508P19575</stp>
        <tr r="EM176" s="1"/>
      </tp>
      <tp t="s">
        <v>253.55%</v>
        <stp/>
        <stp>IMPL_VOL</stp>
        <stp>.NDXP250509P19475</stp>
        <tr r="EO180" s="1"/>
      </tp>
      <tp t="s">
        <v>146.50%</v>
        <stp/>
        <stp>IMPL_VOL</stp>
        <stp>.NDXP250508P20500</stp>
        <tr r="EM139" s="1"/>
      </tp>
      <tp t="s">
        <v>115.41%</v>
        <stp/>
        <stp>IMPL_VOL</stp>
        <stp>.NDXP250509P20400</stp>
        <tr r="EO143" s="1"/>
      </tp>
      <tp t="s">
        <v>189.36%</v>
        <stp/>
        <stp>IMPL_VOL</stp>
        <stp>.NDXP250508P19500</stp>
        <tr r="EM179" s="1"/>
      </tp>
      <tp t="s">
        <v>279.22%</v>
        <stp/>
        <stp>IMPL_VOL</stp>
        <stp>.NDXP250509P19400</stp>
        <tr r="EO183" s="1"/>
      </tp>
      <tp t="s">
        <v>--</v>
        <stp/>
        <stp>IMPL_VOL</stp>
        <stp>.NDXP250508P20525</stp>
        <tr r="EM138" s="1"/>
      </tp>
      <tp t="s">
        <v>127.42%</v>
        <stp/>
        <stp>IMPL_VOL</stp>
        <stp>.NDXP250509P20425</stp>
        <tr r="EO142" s="1"/>
      </tp>
      <tp t="s">
        <v>236.76%</v>
        <stp/>
        <stp>IMPL_VOL</stp>
        <stp>.NDXP250508P19525</stp>
        <tr r="EM178" s="1"/>
      </tp>
      <tp t="s">
        <v>270.70%</v>
        <stp/>
        <stp>IMPL_VOL</stp>
        <stp>.NDXP250509P19425</stp>
        <tr r="EO182" s="1"/>
      </tp>
      <tp t="s">
        <v>N/A</v>
        <stp/>
        <stp>VOLUME</stp>
        <stp>.NDX250919C20025</stp>
        <tr r="Q159" s="2"/>
      </tp>
      <tp t="s">
        <v>N/A</v>
        <stp/>
        <stp>VOLUME</stp>
        <stp>.NDX250718C20125</stp>
        <tr r="M155" s="2"/>
      </tp>
      <tp t="s">
        <v>N/A</v>
        <stp/>
        <stp>VOLUME</stp>
        <stp>.NDX250620C19925</stp>
        <tr r="K163" s="2"/>
      </tp>
      <tp t="s">
        <v>N/A</v>
        <stp/>
        <stp>VOLUME</stp>
        <stp>.NDX251121C19825</stp>
        <tr r="U167" s="2"/>
      </tp>
      <tp t="s">
        <v>N/A</v>
        <stp/>
        <stp>VOLUME</stp>
        <stp>.NDX251219C20025</stp>
        <tr r="W159" s="2"/>
      </tp>
      <tp>
        <v>5</v>
        <stp/>
        <stp>VOLUME</stp>
        <stp>.NDX250919C20000</stp>
        <tr r="Q160" s="2"/>
        <tr r="Q160" s="2"/>
      </tp>
      <tp>
        <v>2</v>
        <stp/>
        <stp>VOLUME</stp>
        <stp>.NDX250718C20100</stp>
        <tr r="M156" s="2"/>
        <tr r="M156" s="2"/>
      </tp>
      <tp>
        <v>2</v>
        <stp/>
        <stp>VOLUME</stp>
        <stp>.NDX250620C19900</stp>
        <tr r="K164" s="2"/>
        <tr r="K164" s="2"/>
      </tp>
      <tp t="s">
        <v>N/A</v>
        <stp/>
        <stp>VOLUME</stp>
        <stp>.NDX251121C19800</stp>
        <tr r="U168" s="2"/>
      </tp>
      <tp t="s">
        <v>N/A</v>
        <stp/>
        <stp>VOLUME</stp>
        <stp>.NDX251219C20000</stp>
        <tr r="W160" s="2"/>
      </tp>
      <tp t="s">
        <v>N/A</v>
        <stp/>
        <stp>VOLUME</stp>
        <stp>.NDX251121C19875</stp>
        <tr r="U165" s="2"/>
      </tp>
      <tp t="s">
        <v>N/A</v>
        <stp/>
        <stp>VOLUME</stp>
        <stp>.NDX251219C20075</stp>
        <tr r="W157" s="2"/>
      </tp>
      <tp t="s">
        <v>N/A</v>
        <stp/>
        <stp>VOLUME</stp>
        <stp>.NDX250919C20075</stp>
        <tr r="Q157" s="2"/>
      </tp>
      <tp t="s">
        <v>N/A</v>
        <stp/>
        <stp>VOLUME</stp>
        <stp>.NDX250718C20175</stp>
        <tr r="M153" s="2"/>
      </tp>
      <tp t="s">
        <v>N/A</v>
        <stp/>
        <stp>VOLUME</stp>
        <stp>.NDX250620C19975</stp>
        <tr r="K161" s="2"/>
      </tp>
      <tp t="s">
        <v>N/A</v>
        <stp/>
        <stp>VOLUME</stp>
        <stp>.NDX251121C19850</stp>
        <tr r="U166" s="2"/>
      </tp>
      <tp t="s">
        <v>N/A</v>
        <stp/>
        <stp>VOLUME</stp>
        <stp>.NDX251219C20050</stp>
        <tr r="W158" s="2"/>
      </tp>
      <tp t="s">
        <v>N/A</v>
        <stp/>
        <stp>VOLUME</stp>
        <stp>.NDX250919C20050</stp>
        <tr r="Q158" s="2"/>
      </tp>
      <tp t="s">
        <v>N/A</v>
        <stp/>
        <stp>VOLUME</stp>
        <stp>.NDX250718C20150</stp>
        <tr r="M154" s="2"/>
      </tp>
      <tp>
        <v>4</v>
        <stp/>
        <stp>VOLUME</stp>
        <stp>.NDX250620C19950</stp>
        <tr r="K162" s="2"/>
        <tr r="K162" s="2"/>
      </tp>
      <tp t="s">
        <v>113.46%</v>
        <stp/>
        <stp>IMPL_VOL</stp>
        <stp>.NDXP250508C20475</stp>
        <tr r="EL140" s="1"/>
      </tp>
      <tp t="s">
        <v>245.43%</v>
        <stp/>
        <stp>IMPL_VOL</stp>
        <stp>.NDXP250508C19475</stp>
        <tr r="EL180" s="1"/>
      </tp>
      <tp t="s">
        <v>--</v>
        <stp/>
        <stp>IMPL_VOL</stp>
        <stp>.NDXP250509C19575</stp>
        <tr r="EN176" s="1"/>
      </tp>
      <tp t="s">
        <v>180.19%</v>
        <stp/>
        <stp>IMPL_VOL</stp>
        <stp>.NDXP250508C20450</stp>
        <tr r="EL141" s="1"/>
      </tp>
      <tp t="s">
        <v>214.14%</v>
        <stp/>
        <stp>IMPL_VOL</stp>
        <stp>.NDXP250509C20550</stp>
        <tr r="EN137" s="1"/>
      </tp>
      <tp t="s">
        <v>253.84%</v>
        <stp/>
        <stp>IMPL_VOL</stp>
        <stp>.NDXP250508C19450</stp>
        <tr r="EL181" s="1"/>
      </tp>
      <tp t="s">
        <v>181.25%</v>
        <stp/>
        <stp>IMPL_VOL</stp>
        <stp>.NDXP250509C19550</stp>
        <tr r="EN177" s="1"/>
      </tp>
      <tp t="s">
        <v>111.38%</v>
        <stp/>
        <stp>IMPL_VOL</stp>
        <stp>.NDXP250508C20425</stp>
        <tr r="EL142" s="1"/>
      </tp>
      <tp t="s">
        <v>205.78%</v>
        <stp/>
        <stp>IMPL_VOL</stp>
        <stp>.NDXP250509C20525</stp>
        <tr r="EN138" s="1"/>
      </tp>
      <tp t="s">
        <v>262.21%</v>
        <stp/>
        <stp>IMPL_VOL</stp>
        <stp>.NDXP250508C19425</stp>
        <tr r="EL182" s="1"/>
      </tp>
      <tp t="s">
        <v>--</v>
        <stp/>
        <stp>IMPL_VOL</stp>
        <stp>.NDXP250509C19525</stp>
        <tr r="EN178" s="1"/>
      </tp>
      <tp t="s">
        <v>92.78%</v>
        <stp/>
        <stp>IMPL_VOL</stp>
        <stp>.NDXP250508C20400</stp>
        <tr r="EL143" s="1"/>
      </tp>
      <tp t="s">
        <v>89.38%</v>
        <stp/>
        <stp>IMPL_VOL</stp>
        <stp>.NDXP250509C20500</stp>
        <tr r="EN139" s="1"/>
      </tp>
      <tp t="s">
        <v>270.55%</v>
        <stp/>
        <stp>IMPL_VOL</stp>
        <stp>.NDXP250508C19400</stp>
        <tr r="EL183" s="1"/>
      </tp>
      <tp t="s">
        <v>193.41%</v>
        <stp/>
        <stp>IMPL_VOL</stp>
        <stp>.NDXP250509C19500</stp>
        <tr r="EN179" s="1"/>
      </tp>
      <tp t="s">
        <v>N/A</v>
        <stp/>
        <stp>VOLUME</stp>
        <stp>.NDX251121P19900</stp>
        <tr r="U164" s="2"/>
      </tp>
      <tp>
        <v>8</v>
        <stp/>
        <stp>VOLUME</stp>
        <stp>.NDX251219P20100</stp>
        <tr r="W156" s="2"/>
        <tr r="W156" s="2"/>
      </tp>
      <tp>
        <v>1</v>
        <stp/>
        <stp>VOLUME</stp>
        <stp>.NDX250919P20100</stp>
        <tr r="Q156" s="2"/>
        <tr r="Q156" s="2"/>
      </tp>
      <tp>
        <v>2</v>
        <stp/>
        <stp>VOLUME</stp>
        <stp>.NDX250718P20000</stp>
        <tr r="M160" s="2"/>
        <tr r="M160" s="2"/>
      </tp>
      <tp>
        <v>1</v>
        <stp/>
        <stp>VOLUME</stp>
        <stp>.NDX250620P19800</stp>
        <tr r="K168" s="2"/>
        <tr r="K168" s="2"/>
      </tp>
      <tp t="s">
        <v>N/A</v>
        <stp/>
        <stp>VOLUME</stp>
        <stp>.NDX251121P19925</stp>
        <tr r="U163" s="2"/>
      </tp>
      <tp t="s">
        <v>N/A</v>
        <stp/>
        <stp>VOLUME</stp>
        <stp>.NDX251219P20125</stp>
        <tr r="W155" s="2"/>
      </tp>
      <tp t="s">
        <v>N/A</v>
        <stp/>
        <stp>VOLUME</stp>
        <stp>.NDX250919P20125</stp>
        <tr r="Q155" s="2"/>
      </tp>
      <tp t="s">
        <v>N/A</v>
        <stp/>
        <stp>VOLUME</stp>
        <stp>.NDX250718P20025</stp>
        <tr r="M159" s="2"/>
      </tp>
      <tp>
        <v>1</v>
        <stp/>
        <stp>VOLUME</stp>
        <stp>.NDX250620P19825</stp>
        <tr r="K167" s="2"/>
        <tr r="K167" s="2"/>
      </tp>
      <tp t="s">
        <v>N/A</v>
        <stp/>
        <stp>VOLUME</stp>
        <stp>.NDX250919P20150</stp>
        <tr r="Q154" s="2"/>
      </tp>
      <tp t="s">
        <v>N/A</v>
        <stp/>
        <stp>VOLUME</stp>
        <stp>.NDX250718P20050</stp>
        <tr r="M158" s="2"/>
      </tp>
      <tp>
        <v>2</v>
        <stp/>
        <stp>VOLUME</stp>
        <stp>.NDX250620P19850</stp>
        <tr r="K166" s="2"/>
        <tr r="K166" s="2"/>
      </tp>
      <tp t="s">
        <v>N/A</v>
        <stp/>
        <stp>VOLUME</stp>
        <stp>.NDX251121P19950</stp>
        <tr r="U162" s="2"/>
      </tp>
      <tp t="s">
        <v>N/A</v>
        <stp/>
        <stp>VOLUME</stp>
        <stp>.NDX251219P20150</stp>
        <tr r="W154" s="2"/>
      </tp>
      <tp t="s">
        <v>N/A</v>
        <stp/>
        <stp>VOLUME</stp>
        <stp>.NDX250919P20175</stp>
        <tr r="Q153" s="2"/>
      </tp>
      <tp t="s">
        <v>N/A</v>
        <stp/>
        <stp>VOLUME</stp>
        <stp>.NDX250718P20075</stp>
        <tr r="M157" s="2"/>
      </tp>
      <tp t="s">
        <v>N/A</v>
        <stp/>
        <stp>VOLUME</stp>
        <stp>.NDX250620P19875</stp>
        <tr r="K165" s="2"/>
      </tp>
      <tp t="s">
        <v>N/A</v>
        <stp/>
        <stp>VOLUME</stp>
        <stp>.NDX251121P19975</stp>
        <tr r="U161" s="2"/>
      </tp>
      <tp t="s">
        <v>N/A</v>
        <stp/>
        <stp>VOLUME</stp>
        <stp>.NDX251219P20175</stp>
        <tr r="W153" s="2"/>
      </tp>
      <tp t="s">
        <v>--</v>
        <stp/>
        <stp>IMPL_VOL</stp>
        <stp>.NDXP250508P20450</stp>
        <tr r="EM141" s="1"/>
      </tp>
      <tp t="s">
        <v>--</v>
        <stp/>
        <stp>IMPL_VOL</stp>
        <stp>.NDXP250509P20550</stp>
        <tr r="EO137" s="1"/>
      </tp>
      <tp t="s">
        <v>262.72%</v>
        <stp/>
        <stp>IMPL_VOL</stp>
        <stp>.NDXP250508P19450</stp>
        <tr r="EM181" s="1"/>
      </tp>
      <tp t="s">
        <v>196.36%</v>
        <stp/>
        <stp>IMPL_VOL</stp>
        <stp>.NDXP250509P19550</stp>
        <tr r="EO177" s="1"/>
      </tp>
      <tp t="s">
        <v>--</v>
        <stp/>
        <stp>IMPL_VOL</stp>
        <stp>.NDXP250508P20475</stp>
        <tr r="EM140" s="1"/>
      </tp>
      <tp t="s">
        <v>119.98%</v>
        <stp/>
        <stp>IMPL_VOL</stp>
        <stp>.NDXP250508P19475</stp>
        <tr r="EM180" s="1"/>
      </tp>
      <tp t="s">
        <v>218.72%</v>
        <stp/>
        <stp>IMPL_VOL</stp>
        <stp>.NDXP250509P19575</stp>
        <tr r="EO176" s="1"/>
      </tp>
      <tp t="s">
        <v>--</v>
        <stp/>
        <stp>IMPL_VOL</stp>
        <stp>.NDXP250508P20400</stp>
        <tr r="EM143" s="1"/>
      </tp>
      <tp t="s">
        <v>--</v>
        <stp/>
        <stp>IMPL_VOL</stp>
        <stp>.NDXP250509P20500</stp>
        <tr r="EO139" s="1"/>
      </tp>
      <tp t="s">
        <v>134.38%</v>
        <stp/>
        <stp>IMPL_VOL</stp>
        <stp>.NDXP250508P19400</stp>
        <tr r="EM183" s="1"/>
      </tp>
      <tp t="s">
        <v>163.57%</v>
        <stp/>
        <stp>IMPL_VOL</stp>
        <stp>.NDXP250509P19500</stp>
        <tr r="EO179" s="1"/>
      </tp>
      <tp t="s">
        <v>--</v>
        <stp/>
        <stp>IMPL_VOL</stp>
        <stp>.NDXP250508P20425</stp>
        <tr r="EM142" s="1"/>
      </tp>
      <tp t="s">
        <v>136.95%</v>
        <stp/>
        <stp>IMPL_VOL</stp>
        <stp>.NDXP250509P20525</stp>
        <tr r="EO138" s="1"/>
      </tp>
      <tp t="s">
        <v>271.29%</v>
        <stp/>
        <stp>IMPL_VOL</stp>
        <stp>.NDXP250508P19425</stp>
        <tr r="EM182" s="1"/>
      </tp>
      <tp t="s">
        <v>157.68%</v>
        <stp/>
        <stp>IMPL_VOL</stp>
        <stp>.NDXP250509P19525</stp>
        <tr r="EO178" s="1"/>
      </tp>
      <tp t="s">
        <v>N/A</v>
        <stp/>
        <stp>VOLUME</stp>
        <stp>.NDX250919C20125</stp>
        <tr r="Q155" s="2"/>
      </tp>
      <tp t="s">
        <v>N/A</v>
        <stp/>
        <stp>VOLUME</stp>
        <stp>.NDX250718C20025</stp>
        <tr r="M159" s="2"/>
      </tp>
      <tp t="s">
        <v>N/A</v>
        <stp/>
        <stp>VOLUME</stp>
        <stp>.NDX250620C19825</stp>
        <tr r="K167" s="2"/>
      </tp>
      <tp t="s">
        <v>N/A</v>
        <stp/>
        <stp>VOLUME</stp>
        <stp>.NDX251121C19925</stp>
        <tr r="U163" s="2"/>
      </tp>
      <tp t="s">
        <v>N/A</v>
        <stp/>
        <stp>VOLUME</stp>
        <stp>.NDX251219C20125</stp>
        <tr r="W155" s="2"/>
      </tp>
      <tp t="s">
        <v>N/A</v>
        <stp/>
        <stp>VOLUME</stp>
        <stp>.NDX250919C20100</stp>
        <tr r="Q156" s="2"/>
      </tp>
      <tp t="s">
        <v>N/A</v>
        <stp/>
        <stp>VOLUME</stp>
        <stp>.NDX250718C20000</stp>
        <tr r="M160" s="2"/>
      </tp>
      <tp t="s">
        <v>N/A</v>
        <stp/>
        <stp>VOLUME</stp>
        <stp>.NDX250620C19800</stp>
        <tr r="K168" s="2"/>
      </tp>
      <tp t="s">
        <v>N/A</v>
        <stp/>
        <stp>VOLUME</stp>
        <stp>.NDX251121C19900</stp>
        <tr r="U164" s="2"/>
      </tp>
      <tp t="s">
        <v>N/A</v>
        <stp/>
        <stp>VOLUME</stp>
        <stp>.NDX251219C20100</stp>
        <tr r="W156" s="2"/>
      </tp>
      <tp t="s">
        <v>N/A</v>
        <stp/>
        <stp>VOLUME</stp>
        <stp>.NDX251121C19975</stp>
        <tr r="U161" s="2"/>
      </tp>
      <tp t="s">
        <v>N/A</v>
        <stp/>
        <stp>VOLUME</stp>
        <stp>.NDX251219C20175</stp>
        <tr r="W153" s="2"/>
      </tp>
      <tp t="s">
        <v>N/A</v>
        <stp/>
        <stp>VOLUME</stp>
        <stp>.NDX250919C20175</stp>
        <tr r="Q153" s="2"/>
      </tp>
      <tp t="s">
        <v>N/A</v>
        <stp/>
        <stp>VOLUME</stp>
        <stp>.NDX250718C20075</stp>
        <tr r="M157" s="2"/>
      </tp>
      <tp t="s">
        <v>N/A</v>
        <stp/>
        <stp>VOLUME</stp>
        <stp>.NDX250620C19875</stp>
        <tr r="K165" s="2"/>
      </tp>
      <tp t="s">
        <v>N/A</v>
        <stp/>
        <stp>VOLUME</stp>
        <stp>.NDX251121C19950</stp>
        <tr r="U162" s="2"/>
      </tp>
      <tp t="s">
        <v>N/A</v>
        <stp/>
        <stp>VOLUME</stp>
        <stp>.NDX251219C20150</stp>
        <tr r="W154" s="2"/>
      </tp>
      <tp t="s">
        <v>N/A</v>
        <stp/>
        <stp>VOLUME</stp>
        <stp>.NDX250919C20150</stp>
        <tr r="Q154" s="2"/>
      </tp>
      <tp t="s">
        <v>N/A</v>
        <stp/>
        <stp>VOLUME</stp>
        <stp>.NDX250718C20050</stp>
        <tr r="M158" s="2"/>
      </tp>
      <tp t="s">
        <v>N/A</v>
        <stp/>
        <stp>VOLUME</stp>
        <stp>.NDX250620C19850</stp>
        <tr r="K166" s="2"/>
      </tp>
      <tp t="s">
        <v>153.71%</v>
        <stp/>
        <stp>IMPL_VOL</stp>
        <stp>.NDXP250508C20375</stp>
        <tr r="EL144" s="1"/>
      </tp>
      <tp t="s">
        <v>58.63%</v>
        <stp/>
        <stp>IMPL_VOL</stp>
        <stp>.NDXP250509C20275</stp>
        <tr r="EN148" s="1"/>
      </tp>
      <tp t="s">
        <v>278.86%</v>
        <stp/>
        <stp>IMPL_VOL</stp>
        <stp>.NDXP250508C19375</stp>
        <tr r="EL184" s="1"/>
      </tp>
      <tp t="s">
        <v>--</v>
        <stp/>
        <stp>IMPL_VOL</stp>
        <stp>.NDXP250509C19275</stp>
        <tr r="EN188" s="1"/>
      </tp>
      <tp t="s">
        <v>144.65%</v>
        <stp/>
        <stp>IMPL_VOL</stp>
        <stp>.NDXP250508C20350</stp>
        <tr r="EL145" s="1"/>
      </tp>
      <tp t="s">
        <v>53.84%</v>
        <stp/>
        <stp>IMPL_VOL</stp>
        <stp>.NDXP250509C20250</stp>
        <tr r="EN149" s="1"/>
      </tp>
      <tp t="s">
        <v>287.13%</v>
        <stp/>
        <stp>IMPL_VOL</stp>
        <stp>.NDXP250508C19350</stp>
        <tr r="EL185" s="1"/>
      </tp>
      <tp t="s">
        <v>--</v>
        <stp/>
        <stp>IMPL_VOL</stp>
        <stp>.NDXP250509C19250</stp>
        <tr r="EN189" s="1"/>
      </tp>
      <tp t="s">
        <v>56.18%</v>
        <stp/>
        <stp>IMPL_VOL</stp>
        <stp>.NDXP250508C20325</stp>
        <tr r="EL146" s="1"/>
      </tp>
      <tp t="s">
        <v>73.65%</v>
        <stp/>
        <stp>IMPL_VOL</stp>
        <stp>.NDXP250509C20225</stp>
        <tr r="EN150" s="1"/>
      </tp>
      <tp t="s">
        <v>295.38%</v>
        <stp/>
        <stp>IMPL_VOL</stp>
        <stp>.NDXP250508C19325</stp>
        <tr r="EL186" s="1"/>
      </tp>
      <tp t="s">
        <v>105.52%</v>
        <stp/>
        <stp>IMPL_VOL</stp>
        <stp>.NDXP250508C20300</stp>
        <tr r="EL147" s="1"/>
      </tp>
      <tp t="s">
        <v>31.32%</v>
        <stp/>
        <stp>IMPL_VOL</stp>
        <stp>.NDXP250509C20200</stp>
        <tr r="EN151" s="1"/>
      </tp>
      <tp t="s">
        <v>303.60%</v>
        <stp/>
        <stp>IMPL_VOL</stp>
        <stp>.NDXP250508C19300</stp>
        <tr r="EL187" s="1"/>
      </tp>
      <tp t="s">
        <v>N/A</v>
        <stp/>
        <stp>VOLUME</stp>
        <stp>.NDX251017P19800</stp>
        <tr r="S168" s="2"/>
      </tp>
      <tp t="s">
        <v>N/A</v>
        <stp/>
        <stp>VOLUME</stp>
        <stp>.NDX251219P19600</stp>
        <tr r="W176" s="2"/>
      </tp>
      <tp t="s">
        <v>N/A</v>
        <stp/>
        <stp>VOLUME</stp>
        <stp>.NDX250919P19600</stp>
        <tr r="Q176" s="2"/>
      </tp>
      <tp>
        <v>12</v>
        <stp/>
        <stp>VOLUME</stp>
        <stp>.NDX250516P19900</stp>
        <tr r="BF163" s="1"/>
        <tr r="BF163" s="1"/>
      </tp>
      <tp t="s">
        <v>N/A</v>
        <stp/>
        <stp>VOLUME</stp>
        <stp>.NDX250718P19700</stp>
        <tr r="M172" s="2"/>
      </tp>
      <tp t="s">
        <v>N/A</v>
        <stp/>
        <stp>VOLUME</stp>
        <stp>.NDX251017P19825</stp>
        <tr r="S167" s="2"/>
      </tp>
      <tp t="s">
        <v>N/A</v>
        <stp/>
        <stp>VOLUME</stp>
        <stp>.NDX251219P19625</stp>
        <tr r="W175" s="2"/>
      </tp>
      <tp t="s">
        <v>N/A</v>
        <stp/>
        <stp>VOLUME</stp>
        <stp>.NDX250919P19625</stp>
        <tr r="Q175" s="2"/>
      </tp>
      <tp>
        <v>6</v>
        <stp/>
        <stp>VOLUME</stp>
        <stp>.NDX250516P19925</stp>
        <tr r="BF162" s="1"/>
        <tr r="BF162" s="1"/>
      </tp>
      <tp t="s">
        <v>N/A</v>
        <stp/>
        <stp>VOLUME</stp>
        <stp>.NDX250718P19725</stp>
        <tr r="M171" s="2"/>
      </tp>
      <tp t="s">
        <v>N/A</v>
        <stp/>
        <stp>VOLUME</stp>
        <stp>.NDX250919P19650</stp>
        <tr r="Q174" s="2"/>
      </tp>
      <tp>
        <v>6</v>
        <stp/>
        <stp>VOLUME</stp>
        <stp>.NDX250516P19950</stp>
        <tr r="BF161" s="1"/>
        <tr r="BF161" s="1"/>
      </tp>
      <tp t="s">
        <v>N/A</v>
        <stp/>
        <stp>VOLUME</stp>
        <stp>.NDX250718P19750</stp>
        <tr r="M170" s="2"/>
      </tp>
      <tp t="s">
        <v>N/A</v>
        <stp/>
        <stp>VOLUME</stp>
        <stp>.NDX251017P19850</stp>
        <tr r="S166" s="2"/>
      </tp>
      <tp t="s">
        <v>N/A</v>
        <stp/>
        <stp>VOLUME</stp>
        <stp>.NDX251219P19650</stp>
        <tr r="W174" s="2"/>
      </tp>
      <tp t="s">
        <v>N/A</v>
        <stp/>
        <stp>VOLUME</stp>
        <stp>.NDX250919P19675</stp>
        <tr r="Q173" s="2"/>
      </tp>
      <tp>
        <v>4</v>
        <stp/>
        <stp>VOLUME</stp>
        <stp>.NDX250516P19975</stp>
        <tr r="BF160" s="1"/>
        <tr r="BF160" s="1"/>
      </tp>
      <tp t="s">
        <v>N/A</v>
        <stp/>
        <stp>VOLUME</stp>
        <stp>.NDX250718P19775</stp>
        <tr r="M169" s="2"/>
      </tp>
      <tp t="s">
        <v>N/A</v>
        <stp/>
        <stp>VOLUME</stp>
        <stp>.NDX251017P19875</stp>
        <tr r="S165" s="2"/>
      </tp>
      <tp t="s">
        <v>N/A</v>
        <stp/>
        <stp>VOLUME</stp>
        <stp>.NDX251219P19675</stp>
        <tr r="W173" s="2"/>
      </tp>
      <tp t="s">
        <v>--</v>
        <stp/>
        <stp>IMPL_VOL</stp>
        <stp>.NDXP250508P20350</stp>
        <tr r="EM145" s="1"/>
      </tp>
      <tp t="s">
        <v>85.33%</v>
        <stp/>
        <stp>IMPL_VOL</stp>
        <stp>.NDXP250509P20250</stp>
        <tr r="EO149" s="1"/>
      </tp>
      <tp t="s">
        <v>166.71%</v>
        <stp/>
        <stp>IMPL_VOL</stp>
        <stp>.NDXP250508P19350</stp>
        <tr r="EM185" s="1"/>
      </tp>
      <tp t="s">
        <v>163.06%</v>
        <stp/>
        <stp>IMPL_VOL</stp>
        <stp>.NDXP250509P19250</stp>
        <tr r="EO189" s="1"/>
      </tp>
      <tp t="s">
        <v>--</v>
        <stp/>
        <stp>IMPL_VOL</stp>
        <stp>.NDXP250508P20375</stp>
        <tr r="EM144" s="1"/>
      </tp>
      <tp t="s">
        <v>96.29%</v>
        <stp/>
        <stp>IMPL_VOL</stp>
        <stp>.NDXP250509P20275</stp>
        <tr r="EO148" s="1"/>
      </tp>
      <tp t="s">
        <v>287.71%</v>
        <stp/>
        <stp>IMPL_VOL</stp>
        <stp>.NDXP250508P19375</stp>
        <tr r="EM184" s="1"/>
      </tp>
      <tp t="s">
        <v>158.29%</v>
        <stp/>
        <stp>IMPL_VOL</stp>
        <stp>.NDXP250509P19275</stp>
        <tr r="EO188" s="1"/>
      </tp>
      <tp t="s">
        <v>--</v>
        <stp/>
        <stp>IMPL_VOL</stp>
        <stp>.NDXP250508P20300</stp>
        <tr r="EM147" s="1"/>
      </tp>
      <tp t="s">
        <v>67.70%</v>
        <stp/>
        <stp>IMPL_VOL</stp>
        <stp>.NDXP250509P20200</stp>
        <tr r="EO151" s="1"/>
      </tp>
      <tp t="s">
        <v>312.99%</v>
        <stp/>
        <stp>IMPL_VOL</stp>
        <stp>.NDXP250508P19300</stp>
        <tr r="EM187" s="1"/>
      </tp>
      <tp t="s">
        <v>--</v>
        <stp/>
        <stp>IMPL_VOL</stp>
        <stp>.NDXP250508P20325</stp>
        <tr r="EM146" s="1"/>
      </tp>
      <tp t="s">
        <v>76.63%</v>
        <stp/>
        <stp>IMPL_VOL</stp>
        <stp>.NDXP250509P20225</stp>
        <tr r="EO150" s="1"/>
      </tp>
      <tp t="s">
        <v>304.59%</v>
        <stp/>
        <stp>IMPL_VOL</stp>
        <stp>.NDXP250508P19325</stp>
        <tr r="EM186" s="1"/>
      </tp>
      <tp t="s">
        <v>N/A</v>
        <stp/>
        <stp>VOLUME</stp>
        <stp>.NDX250919C19625</stp>
        <tr r="Q175" s="2"/>
      </tp>
      <tp>
        <v>3</v>
        <stp/>
        <stp>VOLUME</stp>
        <stp>.NDX250516C19925</stp>
        <tr r="BE162" s="1"/>
        <tr r="BE162" s="1"/>
      </tp>
      <tp t="s">
        <v>N/A</v>
        <stp/>
        <stp>VOLUME</stp>
        <stp>.NDX250718C19725</stp>
        <tr r="M171" s="2"/>
      </tp>
      <tp t="s">
        <v>N/A</v>
        <stp/>
        <stp>VOLUME</stp>
        <stp>.NDX251017C19825</stp>
        <tr r="S167" s="2"/>
      </tp>
      <tp t="s">
        <v>N/A</v>
        <stp/>
        <stp>VOLUME</stp>
        <stp>.NDX251219C19625</stp>
        <tr r="W175" s="2"/>
      </tp>
      <tp t="s">
        <v>N/A</v>
        <stp/>
        <stp>VOLUME</stp>
        <stp>.NDX250919C19600</stp>
        <tr r="Q176" s="2"/>
      </tp>
      <tp>
        <v>4</v>
        <stp/>
        <stp>VOLUME</stp>
        <stp>.NDX250516C19900</stp>
        <tr r="BE163" s="1"/>
        <tr r="BE163" s="1"/>
      </tp>
      <tp t="s">
        <v>N/A</v>
        <stp/>
        <stp>VOLUME</stp>
        <stp>.NDX250718C19700</stp>
        <tr r="M172" s="2"/>
      </tp>
      <tp t="s">
        <v>N/A</v>
        <stp/>
        <stp>VOLUME</stp>
        <stp>.NDX251017C19800</stp>
        <tr r="S168" s="2"/>
      </tp>
      <tp t="s">
        <v>N/A</v>
        <stp/>
        <stp>VOLUME</stp>
        <stp>.NDX251219C19600</stp>
        <tr r="W176" s="2"/>
      </tp>
      <tp t="s">
        <v>N/A</v>
        <stp/>
        <stp>VOLUME</stp>
        <stp>.NDX251017C19875</stp>
        <tr r="S165" s="2"/>
      </tp>
      <tp t="s">
        <v>N/A</v>
        <stp/>
        <stp>VOLUME</stp>
        <stp>.NDX251219C19675</stp>
        <tr r="W173" s="2"/>
      </tp>
      <tp t="s">
        <v>N/A</v>
        <stp/>
        <stp>VOLUME</stp>
        <stp>.NDX250919C19675</stp>
        <tr r="Q173" s="2"/>
      </tp>
      <tp t="s">
        <v>N/A</v>
        <stp/>
        <stp>VOLUME</stp>
        <stp>.NDX250516C19975</stp>
        <tr r="BE160" s="1"/>
      </tp>
      <tp t="s">
        <v>N/A</v>
        <stp/>
        <stp>VOLUME</stp>
        <stp>.NDX250718C19775</stp>
        <tr r="M169" s="2"/>
      </tp>
      <tp t="s">
        <v>N/A</v>
        <stp/>
        <stp>VOLUME</stp>
        <stp>.NDX251017C19850</stp>
        <tr r="S166" s="2"/>
      </tp>
      <tp t="s">
        <v>N/A</v>
        <stp/>
        <stp>VOLUME</stp>
        <stp>.NDX251219C19650</stp>
        <tr r="W174" s="2"/>
      </tp>
      <tp t="s">
        <v>N/A</v>
        <stp/>
        <stp>VOLUME</stp>
        <stp>.NDX250919C19650</stp>
        <tr r="Q174" s="2"/>
      </tp>
      <tp t="s">
        <v>N/A</v>
        <stp/>
        <stp>VOLUME</stp>
        <stp>.NDX250516C19950</stp>
        <tr r="BE161" s="1"/>
      </tp>
      <tp t="s">
        <v>N/A</v>
        <stp/>
        <stp>VOLUME</stp>
        <stp>.NDX250718C19750</stp>
        <tr r="M170" s="2"/>
      </tp>
      <tp t="s">
        <v>81.41%</v>
        <stp/>
        <stp>IMPL_VOL</stp>
        <stp>.NDXP250508C20275</stp>
        <tr r="EL148" s="1"/>
      </tp>
      <tp t="s">
        <v>94.29%</v>
        <stp/>
        <stp>IMPL_VOL</stp>
        <stp>.NDXP250509C20375</stp>
        <tr r="EN144" s="1"/>
      </tp>
      <tp t="s">
        <v>311.80%</v>
        <stp/>
        <stp>IMPL_VOL</stp>
        <stp>.NDXP250508C19275</stp>
        <tr r="EL188" s="1"/>
      </tp>
      <tp t="s">
        <v>--</v>
        <stp/>
        <stp>IMPL_VOL</stp>
        <stp>.NDXP250509C19375</stp>
        <tr r="EN184" s="1"/>
      </tp>
      <tp t="s">
        <v>48.48%</v>
        <stp/>
        <stp>IMPL_VOL</stp>
        <stp>.NDXP250508C20250</stp>
        <tr r="EL149" s="1"/>
      </tp>
      <tp t="s">
        <v>82.56%</v>
        <stp/>
        <stp>IMPL_VOL</stp>
        <stp>.NDXP250509C20350</stp>
        <tr r="EN145" s="1"/>
      </tp>
      <tp t="s">
        <v>319.97%</v>
        <stp/>
        <stp>IMPL_VOL</stp>
        <stp>.NDXP250508C19250</stp>
        <tr r="EL189" s="1"/>
      </tp>
      <tp t="s">
        <v>--</v>
        <stp/>
        <stp>IMPL_VOL</stp>
        <stp>.NDXP250509C19350</stp>
        <tr r="EN185" s="1"/>
      </tp>
      <tp t="s">
        <v>93.28%</v>
        <stp/>
        <stp>IMPL_VOL</stp>
        <stp>.NDXP250508C20225</stp>
        <tr r="EL150" s="1"/>
      </tp>
      <tp t="s">
        <v>131.06%</v>
        <stp/>
        <stp>IMPL_VOL</stp>
        <stp>.NDXP250509C20325</stp>
        <tr r="EN146" s="1"/>
      </tp>
      <tp t="s">
        <v>--</v>
        <stp/>
        <stp>IMPL_VOL</stp>
        <stp>.NDXP250509C19325</stp>
        <tr r="EN186" s="1"/>
      </tp>
      <tp t="s">
        <v>43.72%</v>
        <stp/>
        <stp>IMPL_VOL</stp>
        <stp>.NDXP250508C20200</stp>
        <tr r="EL151" s="1"/>
      </tp>
      <tp t="s">
        <v>51.31%</v>
        <stp/>
        <stp>IMPL_VOL</stp>
        <stp>.NDXP250509C20300</stp>
        <tr r="EN147" s="1"/>
      </tp>
      <tp t="s">
        <v>--</v>
        <stp/>
        <stp>IMPL_VOL</stp>
        <stp>.NDXP250509C19300</stp>
        <tr r="EN187" s="1"/>
      </tp>
      <tp t="s">
        <v>N/A</v>
        <stp/>
        <stp>VOLUME</stp>
        <stp>.NDX251017P19900</stp>
        <tr r="S164" s="2"/>
      </tp>
      <tp t="s">
        <v>N/A</v>
        <stp/>
        <stp>VOLUME</stp>
        <stp>.NDX251219P19700</stp>
        <tr r="W172" s="2"/>
      </tp>
      <tp t="s">
        <v>N/A</v>
        <stp/>
        <stp>VOLUME</stp>
        <stp>.NDX250919P19700</stp>
        <tr r="Q172" s="2"/>
      </tp>
      <tp>
        <v>23</v>
        <stp/>
        <stp>VOLUME</stp>
        <stp>.NDX250516P19800</stp>
        <tr r="BF167" s="1"/>
        <tr r="BF167" s="1"/>
      </tp>
      <tp>
        <v>1</v>
        <stp/>
        <stp>VOLUME</stp>
        <stp>.NDX250718P19600</stp>
        <tr r="M176" s="2"/>
        <tr r="M176" s="2"/>
      </tp>
      <tp t="s">
        <v>N/A</v>
        <stp/>
        <stp>VOLUME</stp>
        <stp>.NDX251017P19925</stp>
        <tr r="S163" s="2"/>
      </tp>
      <tp t="s">
        <v>N/A</v>
        <stp/>
        <stp>VOLUME</stp>
        <stp>.NDX251219P19725</stp>
        <tr r="W171" s="2"/>
      </tp>
      <tp t="s">
        <v>N/A</v>
        <stp/>
        <stp>VOLUME</stp>
        <stp>.NDX250919P19725</stp>
        <tr r="Q171" s="2"/>
      </tp>
      <tp>
        <v>4</v>
        <stp/>
        <stp>VOLUME</stp>
        <stp>.NDX250516P19825</stp>
        <tr r="BF166" s="1"/>
        <tr r="BF166" s="1"/>
      </tp>
      <tp t="s">
        <v>N/A</v>
        <stp/>
        <stp>VOLUME</stp>
        <stp>.NDX250718P19625</stp>
        <tr r="M175" s="2"/>
      </tp>
      <tp t="s">
        <v>N/A</v>
        <stp/>
        <stp>VOLUME</stp>
        <stp>.NDX250919P19750</stp>
        <tr r="Q170" s="2"/>
      </tp>
      <tp>
        <v>3</v>
        <stp/>
        <stp>VOLUME</stp>
        <stp>.NDX250516P19850</stp>
        <tr r="BF165" s="1"/>
        <tr r="BF165" s="1"/>
      </tp>
      <tp t="s">
        <v>N/A</v>
        <stp/>
        <stp>VOLUME</stp>
        <stp>.NDX250718P19650</stp>
        <tr r="M174" s="2"/>
      </tp>
      <tp t="s">
        <v>N/A</v>
        <stp/>
        <stp>VOLUME</stp>
        <stp>.NDX251017P19950</stp>
        <tr r="S162" s="2"/>
      </tp>
      <tp t="s">
        <v>N/A</v>
        <stp/>
        <stp>VOLUME</stp>
        <stp>.NDX251219P19750</stp>
        <tr r="W170" s="2"/>
      </tp>
      <tp t="s">
        <v>N/A</v>
        <stp/>
        <stp>VOLUME</stp>
        <stp>.NDX250919P19775</stp>
        <tr r="Q169" s="2"/>
      </tp>
      <tp>
        <v>8</v>
        <stp/>
        <stp>VOLUME</stp>
        <stp>.NDX250516P19875</stp>
        <tr r="BF164" s="1"/>
        <tr r="BF164" s="1"/>
      </tp>
      <tp>
        <v>2</v>
        <stp/>
        <stp>VOLUME</stp>
        <stp>.NDX250718P19675</stp>
        <tr r="M173" s="2"/>
        <tr r="M173" s="2"/>
      </tp>
      <tp t="s">
        <v>N/A</v>
        <stp/>
        <stp>VOLUME</stp>
        <stp>.NDX251017P19975</stp>
        <tr r="S161" s="2"/>
      </tp>
      <tp t="s">
        <v>N/A</v>
        <stp/>
        <stp>VOLUME</stp>
        <stp>.NDX251219P19775</stp>
        <tr r="W169" s="2"/>
      </tp>
      <tp t="s">
        <v>--</v>
        <stp/>
        <stp>IMPL_VOL</stp>
        <stp>.NDXP250508P20250</stp>
        <tr r="EM149" s="1"/>
      </tp>
      <tp t="s">
        <v>101.18%</v>
        <stp/>
        <stp>IMPL_VOL</stp>
        <stp>.NDXP250509P20350</stp>
        <tr r="EO145" s="1"/>
      </tp>
      <tp t="s">
        <v>230.14%</v>
        <stp/>
        <stp>IMPL_VOL</stp>
        <stp>.NDXP250508P19250</stp>
        <tr r="EM189" s="1"/>
      </tp>
      <tp t="s">
        <v>163.96%</v>
        <stp/>
        <stp>IMPL_VOL</stp>
        <stp>.NDXP250509P19350</stp>
        <tr r="EO185" s="1"/>
      </tp>
      <tp t="s">
        <v>--</v>
        <stp/>
        <stp>IMPL_VOL</stp>
        <stp>.NDXP250508P20275</stp>
        <tr r="EM148" s="1"/>
      </tp>
      <tp t="s">
        <v>112.93%</v>
        <stp/>
        <stp>IMPL_VOL</stp>
        <stp>.NDXP250509P20375</stp>
        <tr r="EO144" s="1"/>
      </tp>
      <tp t="s">
        <v>321.36%</v>
        <stp/>
        <stp>IMPL_VOL</stp>
        <stp>.NDXP250508P19275</stp>
        <tr r="EM188" s="1"/>
      </tp>
      <tp t="s">
        <v>287.71%</v>
        <stp/>
        <stp>IMPL_VOL</stp>
        <stp>.NDXP250509P19375</stp>
        <tr r="EO184" s="1"/>
      </tp>
      <tp t="s">
        <v>--</v>
        <stp/>
        <stp>IMPL_VOL</stp>
        <stp>.NDXP250508P20200</stp>
        <tr r="EM151" s="1"/>
      </tp>
      <tp t="s">
        <v>89.01%</v>
        <stp/>
        <stp>IMPL_VOL</stp>
        <stp>.NDXP250509P20300</stp>
        <tr r="EO147" s="1"/>
      </tp>
      <tp t="s">
        <v>153.51%</v>
        <stp/>
        <stp>IMPL_VOL</stp>
        <stp>.NDXP250509P19300</stp>
        <tr r="EO187" s="1"/>
      </tp>
      <tp t="s">
        <v>--</v>
        <stp/>
        <stp>IMPL_VOL</stp>
        <stp>.NDXP250508P20225</stp>
        <tr r="EM150" s="1"/>
      </tp>
      <tp t="s">
        <v>99.97%</v>
        <stp/>
        <stp>IMPL_VOL</stp>
        <stp>.NDXP250509P20325</stp>
        <tr r="EO146" s="1"/>
      </tp>
      <tp t="s">
        <v>304.59%</v>
        <stp/>
        <stp>IMPL_VOL</stp>
        <stp>.NDXP250509P19325</stp>
        <tr r="EO186" s="1"/>
      </tp>
      <tp t="s">
        <v>N/A</v>
        <stp/>
        <stp>VOLUME</stp>
        <stp>.NDX250919C19725</stp>
        <tr r="Q171" s="2"/>
      </tp>
      <tp t="s">
        <v>N/A</v>
        <stp/>
        <stp>VOLUME</stp>
        <stp>.NDX250516C19825</stp>
        <tr r="BE166" s="1"/>
      </tp>
      <tp t="s">
        <v>N/A</v>
        <stp/>
        <stp>VOLUME</stp>
        <stp>.NDX250718C19625</stp>
        <tr r="M175" s="2"/>
      </tp>
      <tp t="s">
        <v>N/A</v>
        <stp/>
        <stp>VOLUME</stp>
        <stp>.NDX251017C19925</stp>
        <tr r="S163" s="2"/>
      </tp>
      <tp t="s">
        <v>N/A</v>
        <stp/>
        <stp>VOLUME</stp>
        <stp>.NDX251219C19725</stp>
        <tr r="W171" s="2"/>
      </tp>
      <tp t="s">
        <v>N/A</v>
        <stp/>
        <stp>VOLUME</stp>
        <stp>.NDX250919C19700</stp>
        <tr r="Q172" s="2"/>
      </tp>
      <tp>
        <v>1</v>
        <stp/>
        <stp>VOLUME</stp>
        <stp>.NDX250516C19800</stp>
        <tr r="BE167" s="1"/>
        <tr r="BE167" s="1"/>
      </tp>
      <tp t="s">
        <v>N/A</v>
        <stp/>
        <stp>VOLUME</stp>
        <stp>.NDX250718C19600</stp>
        <tr r="M176" s="2"/>
      </tp>
      <tp t="s">
        <v>N/A</v>
        <stp/>
        <stp>VOLUME</stp>
        <stp>.NDX251017C19900</stp>
        <tr r="S164" s="2"/>
      </tp>
      <tp t="s">
        <v>N/A</v>
        <stp/>
        <stp>VOLUME</stp>
        <stp>.NDX251219C19700</stp>
        <tr r="W172" s="2"/>
      </tp>
      <tp t="s">
        <v>N/A</v>
        <stp/>
        <stp>VOLUME</stp>
        <stp>.NDX251017C19975</stp>
        <tr r="S161" s="2"/>
      </tp>
      <tp t="s">
        <v>N/A</v>
        <stp/>
        <stp>VOLUME</stp>
        <stp>.NDX251219C19775</stp>
        <tr r="W169" s="2"/>
      </tp>
      <tp t="s">
        <v>N/A</v>
        <stp/>
        <stp>VOLUME</stp>
        <stp>.NDX250919C19775</stp>
        <tr r="Q169" s="2"/>
      </tp>
      <tp t="s">
        <v>N/A</v>
        <stp/>
        <stp>VOLUME</stp>
        <stp>.NDX250516C19875</stp>
        <tr r="BE164" s="1"/>
      </tp>
      <tp t="s">
        <v>N/A</v>
        <stp/>
        <stp>VOLUME</stp>
        <stp>.NDX250718C19675</stp>
        <tr r="M173" s="2"/>
      </tp>
      <tp t="s">
        <v>N/A</v>
        <stp/>
        <stp>VOLUME</stp>
        <stp>.NDX251017C19950</stp>
        <tr r="S162" s="2"/>
      </tp>
      <tp t="s">
        <v>N/A</v>
        <stp/>
        <stp>VOLUME</stp>
        <stp>.NDX251219C19750</stp>
        <tr r="W170" s="2"/>
      </tp>
      <tp t="s">
        <v>N/A</v>
        <stp/>
        <stp>VOLUME</stp>
        <stp>.NDX250919C19750</stp>
        <tr r="Q170" s="2"/>
      </tp>
      <tp>
        <v>3</v>
        <stp/>
        <stp>VOLUME</stp>
        <stp>.NDX250516C19850</stp>
        <tr r="BE165" s="1"/>
        <tr r="BE165" s="1"/>
      </tp>
      <tp t="s">
        <v>N/A</v>
        <stp/>
        <stp>VOLUME</stp>
        <stp>.NDX250718C19650</stp>
        <tr r="M174" s="2"/>
      </tp>
      <tp t="s">
        <v>37.27%</v>
        <stp/>
        <stp>IMPL_VOL</stp>
        <stp>.NDXP250508C20175</stp>
        <tr r="EL152" s="1"/>
      </tp>
      <tp t="s">
        <v>6.56%</v>
        <stp/>
        <stp>IMPL_VOL</stp>
        <stp>.NDXP250509C20075</stp>
        <tr r="EN156" s="1"/>
      </tp>
      <tp t="s">
        <v>30.00%</v>
        <stp/>
        <stp>IMPL_VOL</stp>
        <stp>.NDXP250508C20150</stp>
        <tr r="EL153" s="1"/>
      </tp>
      <tp t="s">
        <v>10.96%</v>
        <stp/>
        <stp>IMPL_VOL</stp>
        <stp>.NDXP250509C20050</stp>
        <tr r="EN157" s="1"/>
      </tp>
      <tp t="s">
        <v>19.18%</v>
        <stp/>
        <stp>IMPL_VOL</stp>
        <stp>.NDXP250508C20125</stp>
        <tr r="EL154" s="1"/>
      </tp>
      <tp t="s">
        <v>--</v>
        <stp/>
        <stp>IMPL_VOL</stp>
        <stp>.NDXP250509C20025</stp>
        <tr r="EN158" s="1"/>
      </tp>
      <tp t="s">
        <v>12.52%</v>
        <stp/>
        <stp>IMPL_VOL</stp>
        <stp>.NDXP250508C20100</stp>
        <tr r="EL155" s="1"/>
      </tp>
      <tp t="s">
        <v>--</v>
        <stp/>
        <stp>IMPL_VOL</stp>
        <stp>.NDXP250509C20000</stp>
        <tr r="EN159" s="1"/>
      </tp>
      <tp t="s">
        <v>N/A</v>
        <stp/>
        <stp>VOLUME</stp>
        <stp>.NDX251219P20400</stp>
        <tr r="W144" s="2"/>
      </tp>
      <tp t="s">
        <v>N/A</v>
        <stp/>
        <stp>VOLUME</stp>
        <stp>.NDX251219P19400</stp>
        <tr r="W184" s="2"/>
      </tp>
      <tp t="s">
        <v>N/A</v>
        <stp/>
        <stp>VOLUME</stp>
        <stp>.NDX250815P19800</stp>
        <tr r="O168" s="2"/>
      </tp>
      <tp t="s">
        <v>N/A</v>
        <stp/>
        <stp>VOLUME</stp>
        <stp>.NDX250919P19400</stp>
        <tr r="Q184" s="2"/>
      </tp>
      <tp t="s">
        <v>N/A</v>
        <stp/>
        <stp>VOLUME</stp>
        <stp>.NDX250919P20400</stp>
        <tr r="Q144" s="2"/>
      </tp>
      <tp>
        <v>28</v>
        <stp/>
        <stp>VOLUME</stp>
        <stp>.NDX250718P20500</stp>
        <tr r="M140" s="2"/>
        <tr r="M140" s="2"/>
      </tp>
      <tp>
        <v>3</v>
        <stp/>
        <stp>VOLUME</stp>
        <stp>.NDX250718P19500</stp>
        <tr r="M180" s="2"/>
        <tr r="M180" s="2"/>
      </tp>
      <tp t="s">
        <v>N/A</v>
        <stp/>
        <stp>VOLUME</stp>
        <stp>.NDX251219P20425</stp>
        <tr r="W143" s="2"/>
      </tp>
      <tp t="s">
        <v>N/A</v>
        <stp/>
        <stp>VOLUME</stp>
        <stp>.NDX251219P19425</stp>
        <tr r="W183" s="2"/>
      </tp>
      <tp t="s">
        <v>N/A</v>
        <stp/>
        <stp>VOLUME</stp>
        <stp>.NDX250919P19425</stp>
        <tr r="Q183" s="2"/>
      </tp>
      <tp t="s">
        <v>N/A</v>
        <stp/>
        <stp>VOLUME</stp>
        <stp>.NDX250815P19825</stp>
        <tr r="O167" s="2"/>
      </tp>
      <tp t="s">
        <v>N/A</v>
        <stp/>
        <stp>VOLUME</stp>
        <stp>.NDX250919P20425</stp>
        <tr r="Q143" s="2"/>
      </tp>
      <tp t="s">
        <v>N/A</v>
        <stp/>
        <stp>VOLUME</stp>
        <stp>.NDX250718P20525</stp>
        <tr r="M139" s="2"/>
      </tp>
      <tp t="s">
        <v>N/A</v>
        <stp/>
        <stp>VOLUME</stp>
        <stp>.NDX250718P19525</stp>
        <tr r="M179" s="2"/>
      </tp>
      <tp t="s">
        <v>N/A</v>
        <stp/>
        <stp>VOLUME</stp>
        <stp>.NDX250815P19850</stp>
        <tr r="O166" s="2"/>
      </tp>
      <tp t="s">
        <v>N/A</v>
        <stp/>
        <stp>VOLUME</stp>
        <stp>.NDX250919P19450</stp>
        <tr r="Q182" s="2"/>
      </tp>
      <tp t="s">
        <v>N/A</v>
        <stp/>
        <stp>VOLUME</stp>
        <stp>.NDX250919P20450</stp>
        <tr r="Q142" s="2"/>
      </tp>
      <tp t="s">
        <v>N/A</v>
        <stp/>
        <stp>VOLUME</stp>
        <stp>.NDX250718P20550</stp>
        <tr r="M138" s="2"/>
      </tp>
      <tp t="s">
        <v>N/A</v>
        <stp/>
        <stp>VOLUME</stp>
        <stp>.NDX250718P19550</stp>
        <tr r="M178" s="2"/>
      </tp>
      <tp t="s">
        <v>N/A</v>
        <stp/>
        <stp>VOLUME</stp>
        <stp>.NDX251219P20450</stp>
        <tr r="W142" s="2"/>
      </tp>
      <tp t="s">
        <v>N/A</v>
        <stp/>
        <stp>VOLUME</stp>
        <stp>.NDX251219P19450</stp>
        <tr r="W182" s="2"/>
      </tp>
      <tp t="s">
        <v>N/A</v>
        <stp/>
        <stp>VOLUME</stp>
        <stp>.NDX250919P19475</stp>
        <tr r="Q181" s="2"/>
      </tp>
      <tp t="s">
        <v>N/A</v>
        <stp/>
        <stp>VOLUME</stp>
        <stp>.NDX250815P19875</stp>
        <tr r="O165" s="2"/>
      </tp>
      <tp t="s">
        <v>N/A</v>
        <stp/>
        <stp>VOLUME</stp>
        <stp>.NDX250919P20475</stp>
        <tr r="Q141" s="2"/>
      </tp>
      <tp t="s">
        <v>N/A</v>
        <stp/>
        <stp>VOLUME</stp>
        <stp>.NDX250718P19575</stp>
        <tr r="M177" s="2"/>
      </tp>
      <tp t="s">
        <v>N/A</v>
        <stp/>
        <stp>VOLUME</stp>
        <stp>.NDX251219P20475</stp>
        <tr r="W141" s="2"/>
      </tp>
      <tp t="s">
        <v>N/A</v>
        <stp/>
        <stp>VOLUME</stp>
        <stp>.NDX251219P19475</stp>
        <tr r="W181" s="2"/>
      </tp>
      <tp t="s">
        <v>--</v>
        <stp/>
        <stp>IMPL_VOL</stp>
        <stp>.NDXP250508P20150</stp>
        <tr r="EM153" s="1"/>
      </tp>
      <tp t="s">
        <v>6.29%</v>
        <stp/>
        <stp>IMPL_VOL</stp>
        <stp>.NDXP250509P20050</stp>
        <tr r="EO157" s="1"/>
      </tp>
      <tp t="s">
        <v>--</v>
        <stp/>
        <stp>IMPL_VOL</stp>
        <stp>.NDXP250508P20175</stp>
        <tr r="EM152" s="1"/>
      </tp>
      <tp t="s">
        <v>6.12%</v>
        <stp/>
        <stp>IMPL_VOL</stp>
        <stp>.NDXP250509P20075</stp>
        <tr r="EO156" s="1"/>
      </tp>
      <tp t="s">
        <v>--</v>
        <stp/>
        <stp>IMPL_VOL</stp>
        <stp>.NDXP250508P20100</stp>
        <tr r="EM155" s="1"/>
      </tp>
      <tp t="s">
        <v>17.08%</v>
        <stp/>
        <stp>IMPL_VOL</stp>
        <stp>.NDXP250509P20000</stp>
        <tr r="EO159" s="1"/>
      </tp>
      <tp t="s">
        <v>--</v>
        <stp/>
        <stp>IMPL_VOL</stp>
        <stp>.NDXP250508P20125</stp>
        <tr r="EM154" s="1"/>
      </tp>
      <tp t="s">
        <v>15.19%</v>
        <stp/>
        <stp>IMPL_VOL</stp>
        <stp>.NDXP250509P20025</stp>
        <tr r="EO158" s="1"/>
      </tp>
      <tp t="s">
        <v>N/A</v>
        <stp/>
        <stp>VOLUME</stp>
        <stp>.NDX250919C19425</stp>
        <tr r="Q183" s="2"/>
      </tp>
      <tp t="s">
        <v>N/A</v>
        <stp/>
        <stp>VOLUME</stp>
        <stp>.NDX250815C19825</stp>
        <tr r="O167" s="2"/>
      </tp>
      <tp t="s">
        <v>N/A</v>
        <stp/>
        <stp>VOLUME</stp>
        <stp>.NDX250919C20425</stp>
        <tr r="Q143" s="2"/>
      </tp>
      <tp t="s">
        <v>N/A</v>
        <stp/>
        <stp>VOLUME</stp>
        <stp>.NDX250718C20525</stp>
        <tr r="M139" s="2"/>
      </tp>
      <tp t="s">
        <v>N/A</v>
        <stp/>
        <stp>VOLUME</stp>
        <stp>.NDX250718C19525</stp>
        <tr r="M179" s="2"/>
      </tp>
      <tp t="s">
        <v>N/A</v>
        <stp/>
        <stp>VOLUME</stp>
        <stp>.NDX251219C20425</stp>
        <tr r="W143" s="2"/>
      </tp>
      <tp t="s">
        <v>N/A</v>
        <stp/>
        <stp>VOLUME</stp>
        <stp>.NDX251219C19425</stp>
        <tr r="W183" s="2"/>
      </tp>
      <tp t="s">
        <v>N/A</v>
        <stp/>
        <stp>VOLUME</stp>
        <stp>.NDX250815C19800</stp>
        <tr r="O168" s="2"/>
      </tp>
      <tp t="s">
        <v>N/A</v>
        <stp/>
        <stp>VOLUME</stp>
        <stp>.NDX250919C19400</stp>
        <tr r="Q184" s="2"/>
      </tp>
      <tp t="s">
        <v>N/A</v>
        <stp/>
        <stp>VOLUME</stp>
        <stp>.NDX250919C20400</stp>
        <tr r="Q144" s="2"/>
      </tp>
      <tp>
        <v>79</v>
        <stp/>
        <stp>VOLUME</stp>
        <stp>.NDX250718C20500</stp>
        <tr r="M140" s="2"/>
        <tr r="M140" s="2"/>
      </tp>
      <tp t="s">
        <v>N/A</v>
        <stp/>
        <stp>VOLUME</stp>
        <stp>.NDX250718C19500</stp>
        <tr r="M180" s="2"/>
      </tp>
      <tp t="s">
        <v>N/A</v>
        <stp/>
        <stp>VOLUME</stp>
        <stp>.NDX251219C20400</stp>
        <tr r="W144" s="2"/>
      </tp>
      <tp t="s">
        <v>N/A</v>
        <stp/>
        <stp>VOLUME</stp>
        <stp>.NDX251219C19400</stp>
        <tr r="W184" s="2"/>
      </tp>
      <tp t="s">
        <v>N/A</v>
        <stp/>
        <stp>VOLUME</stp>
        <stp>.NDX251219C20475</stp>
        <tr r="W141" s="2"/>
      </tp>
      <tp t="s">
        <v>N/A</v>
        <stp/>
        <stp>VOLUME</stp>
        <stp>.NDX251219C19475</stp>
        <tr r="W181" s="2"/>
      </tp>
      <tp t="s">
        <v>N/A</v>
        <stp/>
        <stp>VOLUME</stp>
        <stp>.NDX250919C19475</stp>
        <tr r="Q181" s="2"/>
      </tp>
      <tp t="s">
        <v>N/A</v>
        <stp/>
        <stp>VOLUME</stp>
        <stp>.NDX250815C19875</stp>
        <tr r="O165" s="2"/>
      </tp>
      <tp t="s">
        <v>N/A</v>
        <stp/>
        <stp>VOLUME</stp>
        <stp>.NDX250919C20475</stp>
        <tr r="Q141" s="2"/>
      </tp>
      <tp t="s">
        <v>N/A</v>
        <stp/>
        <stp>VOLUME</stp>
        <stp>.NDX250718C19575</stp>
        <tr r="M177" s="2"/>
      </tp>
      <tp t="s">
        <v>N/A</v>
        <stp/>
        <stp>VOLUME</stp>
        <stp>.NDX251219C20450</stp>
        <tr r="W142" s="2"/>
      </tp>
      <tp t="s">
        <v>N/A</v>
        <stp/>
        <stp>VOLUME</stp>
        <stp>.NDX251219C19450</stp>
        <tr r="W182" s="2"/>
      </tp>
      <tp t="s">
        <v>N/A</v>
        <stp/>
        <stp>VOLUME</stp>
        <stp>.NDX250815C19850</stp>
        <tr r="O166" s="2"/>
      </tp>
      <tp t="s">
        <v>N/A</v>
        <stp/>
        <stp>VOLUME</stp>
        <stp>.NDX250919C19450</stp>
        <tr r="Q182" s="2"/>
      </tp>
      <tp t="s">
        <v>N/A</v>
        <stp/>
        <stp>VOLUME</stp>
        <stp>.NDX250919C20450</stp>
        <tr r="Q142" s="2"/>
      </tp>
      <tp t="s">
        <v>N/A</v>
        <stp/>
        <stp>VOLUME</stp>
        <stp>.NDX250718C20550</stp>
        <tr r="M138" s="2"/>
      </tp>
      <tp t="s">
        <v>N/A</v>
        <stp/>
        <stp>VOLUME</stp>
        <stp>.NDX250718C19550</stp>
        <tr r="M178" s="2"/>
      </tp>
      <tp>
        <v>20455.25</v>
        <stp/>
        <stp>MARK</stp>
        <stp>/NQ:XCME</stp>
        <tr r="F44" s="1"/>
        <tr r="F136" s="1"/>
      </tp>
      <tp t="s">
        <v>9.37%</v>
        <stp/>
        <stp>IMPL_VOL</stp>
        <stp>.NDXP250508C20075</stp>
        <tr r="EL156" s="1"/>
      </tp>
      <tp t="s">
        <v>75.90%</v>
        <stp/>
        <stp>IMPL_VOL</stp>
        <stp>.NDXP250509C20175</stp>
        <tr r="EN152" s="1"/>
      </tp>
      <tp t="s">
        <v>11.99%</v>
        <stp/>
        <stp>IMPL_VOL</stp>
        <stp>.NDXP250508C20050</stp>
        <tr r="EL157" s="1"/>
      </tp>
      <tp t="s">
        <v>20.86%</v>
        <stp/>
        <stp>IMPL_VOL</stp>
        <stp>.NDXP250509C20150</stp>
        <tr r="EN153" s="1"/>
      </tp>
      <tp t="s">
        <v>37.96%</v>
        <stp/>
        <stp>IMPL_VOL</stp>
        <stp>.NDXP250508C20025</stp>
        <tr r="EL158" s="1"/>
      </tp>
      <tp t="s">
        <v>15.52%</v>
        <stp/>
        <stp>IMPL_VOL</stp>
        <stp>.NDXP250509C20125</stp>
        <tr r="EN154" s="1"/>
      </tp>
      <tp t="s">
        <v>44.26%</v>
        <stp/>
        <stp>IMPL_VOL</stp>
        <stp>.NDXP250508C20000</stp>
        <tr r="EL159" s="1"/>
      </tp>
      <tp t="s">
        <v>15.01%</v>
        <stp/>
        <stp>IMPL_VOL</stp>
        <stp>.NDXP250509C20100</stp>
        <tr r="EN155" s="1"/>
      </tp>
      <tp t="s">
        <v>N/A</v>
        <stp/>
        <stp>VOLUME</stp>
        <stp>.NDX251219P20500</stp>
        <tr r="W140" s="2"/>
      </tp>
      <tp t="s">
        <v>N/A</v>
        <stp/>
        <stp>VOLUME</stp>
        <stp>.NDX251219P19500</stp>
        <tr r="W180" s="2"/>
      </tp>
      <tp t="s">
        <v>N/A</v>
        <stp/>
        <stp>VOLUME</stp>
        <stp>.NDX250815P19900</stp>
        <tr r="O164" s="2"/>
      </tp>
      <tp t="s">
        <v>N/A</v>
        <stp/>
        <stp>VOLUME</stp>
        <stp>.NDX250919P19500</stp>
        <tr r="Q180" s="2"/>
      </tp>
      <tp>
        <v>1</v>
        <stp/>
        <stp>VOLUME</stp>
        <stp>.NDX250919P20500</stp>
        <tr r="Q140" s="2"/>
        <tr r="Q140" s="2"/>
      </tp>
      <tp t="s">
        <v>N/A</v>
        <stp/>
        <stp>VOLUME</stp>
        <stp>.NDX250718P20400</stp>
        <tr r="M144" s="2"/>
      </tp>
      <tp t="s">
        <v>N/A</v>
        <stp/>
        <stp>VOLUME</stp>
        <stp>.NDX250718P19400</stp>
        <tr r="M184" s="2"/>
      </tp>
      <tp t="s">
        <v>N/A</v>
        <stp/>
        <stp>VOLUME</stp>
        <stp>.NDX251219P20525</stp>
        <tr r="W139" s="2"/>
      </tp>
      <tp t="s">
        <v>N/A</v>
        <stp/>
        <stp>VOLUME</stp>
        <stp>.NDX251219P19525</stp>
        <tr r="W179" s="2"/>
      </tp>
      <tp t="s">
        <v>N/A</v>
        <stp/>
        <stp>VOLUME</stp>
        <stp>.NDX250919P19525</stp>
        <tr r="Q179" s="2"/>
      </tp>
      <tp t="s">
        <v>N/A</v>
        <stp/>
        <stp>VOLUME</stp>
        <stp>.NDX250815P19925</stp>
        <tr r="O163" s="2"/>
      </tp>
      <tp t="s">
        <v>N/A</v>
        <stp/>
        <stp>VOLUME</stp>
        <stp>.NDX250919P20525</stp>
        <tr r="Q139" s="2"/>
      </tp>
      <tp t="s">
        <v>N/A</v>
        <stp/>
        <stp>VOLUME</stp>
        <stp>.NDX250718P20425</stp>
        <tr r="M143" s="2"/>
      </tp>
      <tp>
        <v>2</v>
        <stp/>
        <stp>VOLUME</stp>
        <stp>.NDX250718P19425</stp>
        <tr r="M183" s="2"/>
        <tr r="M183" s="2"/>
      </tp>
      <tp t="s">
        <v>N/A</v>
        <stp/>
        <stp>VOLUME</stp>
        <stp>.NDX250815P19950</stp>
        <tr r="O162" s="2"/>
      </tp>
      <tp t="s">
        <v>N/A</v>
        <stp/>
        <stp>VOLUME</stp>
        <stp>.NDX250919P19550</stp>
        <tr r="Q178" s="2"/>
      </tp>
      <tp t="s">
        <v>N/A</v>
        <stp/>
        <stp>VOLUME</stp>
        <stp>.NDX250919P20550</stp>
        <tr r="Q138" s="2"/>
      </tp>
      <tp t="s">
        <v>N/A</v>
        <stp/>
        <stp>VOLUME</stp>
        <stp>.NDX250718P20450</stp>
        <tr r="M142" s="2"/>
      </tp>
      <tp>
        <v>1</v>
        <stp/>
        <stp>VOLUME</stp>
        <stp>.NDX250718P19450</stp>
        <tr r="M182" s="2"/>
        <tr r="M182" s="2"/>
      </tp>
      <tp t="s">
        <v>N/A</v>
        <stp/>
        <stp>VOLUME</stp>
        <stp>.NDX251219P20550</stp>
        <tr r="W138" s="2"/>
      </tp>
      <tp t="s">
        <v>N/A</v>
        <stp/>
        <stp>VOLUME</stp>
        <stp>.NDX251219P19550</stp>
        <tr r="W178" s="2"/>
      </tp>
      <tp t="s">
        <v>N/A</v>
        <stp/>
        <stp>VOLUME</stp>
        <stp>.NDX250919P19575</stp>
        <tr r="Q177" s="2"/>
      </tp>
      <tp t="s">
        <v>N/A</v>
        <stp/>
        <stp>VOLUME</stp>
        <stp>.NDX250815P19975</stp>
        <tr r="O161" s="2"/>
      </tp>
      <tp t="s">
        <v>N/A</v>
        <stp/>
        <stp>VOLUME</stp>
        <stp>.NDX250718P20475</stp>
        <tr r="M141" s="2"/>
      </tp>
      <tp>
        <v>3</v>
        <stp/>
        <stp>VOLUME</stp>
        <stp>.NDX250718P19475</stp>
        <tr r="M181" s="2"/>
        <tr r="M181" s="2"/>
      </tp>
      <tp t="s">
        <v>N/A</v>
        <stp/>
        <stp>VOLUME</stp>
        <stp>.NDX251219P19575</stp>
        <tr r="W177" s="2"/>
      </tp>
      <tp t="s">
        <v>7.71%</v>
        <stp/>
        <stp>IMPL_VOL</stp>
        <stp>.NDXP250508P20050</stp>
        <tr r="EM157" s="1"/>
      </tp>
      <tp t="s">
        <v>53.82%</v>
        <stp/>
        <stp>IMPL_VOL</stp>
        <stp>.NDXP250509P20150</stp>
        <tr r="EO153" s="1"/>
      </tp>
      <tp t="s">
        <v>11.30%</v>
        <stp/>
        <stp>IMPL_VOL</stp>
        <stp>.NDXP250508P20075</stp>
        <tr r="EM156" s="1"/>
      </tp>
      <tp t="s">
        <v>62.74%</v>
        <stp/>
        <stp>IMPL_VOL</stp>
        <stp>.NDXP250509P20175</stp>
        <tr r="EO152" s="1"/>
      </tp>
      <tp t="s">
        <v>20.19%</v>
        <stp/>
        <stp>IMPL_VOL</stp>
        <stp>.NDXP250508P20000</stp>
        <tr r="EM159" s="1"/>
      </tp>
      <tp t="s">
        <v>--</v>
        <stp/>
        <stp>IMPL_VOL</stp>
        <stp>.NDXP250509P20100</stp>
        <tr r="EO155" s="1"/>
      </tp>
      <tp t="s">
        <v>39.47%</v>
        <stp/>
        <stp>IMPL_VOL</stp>
        <stp>.NDXP250508P20025</stp>
        <tr r="EM158" s="1"/>
      </tp>
      <tp t="s">
        <v>--</v>
        <stp/>
        <stp>IMPL_VOL</stp>
        <stp>.NDXP250509P20125</stp>
        <tr r="EO154" s="1"/>
      </tp>
      <tp t="s">
        <v>N/A</v>
        <stp/>
        <stp>VOLUME</stp>
        <stp>.NDX250919C19525</stp>
        <tr r="Q179" s="2"/>
      </tp>
      <tp t="s">
        <v>N/A</v>
        <stp/>
        <stp>VOLUME</stp>
        <stp>.NDX250815C19925</stp>
        <tr r="O163" s="2"/>
      </tp>
      <tp t="s">
        <v>N/A</v>
        <stp/>
        <stp>VOLUME</stp>
        <stp>.NDX250919C20525</stp>
        <tr r="Q139" s="2"/>
      </tp>
      <tp t="s">
        <v>N/A</v>
        <stp/>
        <stp>VOLUME</stp>
        <stp>.NDX250718C20425</stp>
        <tr r="M143" s="2"/>
      </tp>
      <tp t="s">
        <v>N/A</v>
        <stp/>
        <stp>VOLUME</stp>
        <stp>.NDX250718C19425</stp>
        <tr r="M183" s="2"/>
      </tp>
      <tp t="s">
        <v>N/A</v>
        <stp/>
        <stp>VOLUME</stp>
        <stp>.NDX251219C20525</stp>
        <tr r="W139" s="2"/>
      </tp>
      <tp t="s">
        <v>N/A</v>
        <stp/>
        <stp>VOLUME</stp>
        <stp>.NDX251219C19525</stp>
        <tr r="W179" s="2"/>
      </tp>
      <tp t="s">
        <v>N/A</v>
        <stp/>
        <stp>VOLUME</stp>
        <stp>.NDX250815C19900</stp>
        <tr r="O164" s="2"/>
      </tp>
      <tp t="s">
        <v>N/A</v>
        <stp/>
        <stp>VOLUME</stp>
        <stp>.NDX250919C19500</stp>
        <tr r="Q180" s="2"/>
      </tp>
      <tp>
        <v>1</v>
        <stp/>
        <stp>VOLUME</stp>
        <stp>.NDX250919C20500</stp>
        <tr r="Q140" s="2"/>
        <tr r="Q140" s="2"/>
      </tp>
      <tp>
        <v>2</v>
        <stp/>
        <stp>VOLUME</stp>
        <stp>.NDX250718C20400</stp>
        <tr r="M144" s="2"/>
        <tr r="M144" s="2"/>
      </tp>
      <tp t="s">
        <v>N/A</v>
        <stp/>
        <stp>VOLUME</stp>
        <stp>.NDX250718C19400</stp>
        <tr r="M184" s="2"/>
      </tp>
      <tp t="s">
        <v>N/A</v>
        <stp/>
        <stp>VOLUME</stp>
        <stp>.NDX251219C20500</stp>
        <tr r="W140" s="2"/>
      </tp>
      <tp t="s">
        <v>N/A</v>
        <stp/>
        <stp>VOLUME</stp>
        <stp>.NDX251219C19500</stp>
        <tr r="W180" s="2"/>
      </tp>
      <tp t="s">
        <v>N/A</v>
        <stp/>
        <stp>VOLUME</stp>
        <stp>.NDX251219C19575</stp>
        <tr r="W177" s="2"/>
      </tp>
      <tp t="s">
        <v>N/A</v>
        <stp/>
        <stp>VOLUME</stp>
        <stp>.NDX250919C19575</stp>
        <tr r="Q177" s="2"/>
      </tp>
      <tp t="s">
        <v>N/A</v>
        <stp/>
        <stp>VOLUME</stp>
        <stp>.NDX250815C19975</stp>
        <tr r="O161" s="2"/>
      </tp>
      <tp t="s">
        <v>N/A</v>
        <stp/>
        <stp>VOLUME</stp>
        <stp>.NDX250718C20475</stp>
        <tr r="M141" s="2"/>
      </tp>
      <tp t="s">
        <v>N/A</v>
        <stp/>
        <stp>VOLUME</stp>
        <stp>.NDX250718C19475</stp>
        <tr r="M181" s="2"/>
      </tp>
      <tp t="s">
        <v>N/A</v>
        <stp/>
        <stp>VOLUME</stp>
        <stp>.NDX251219C20550</stp>
        <tr r="W138" s="2"/>
      </tp>
      <tp t="s">
        <v>N/A</v>
        <stp/>
        <stp>VOLUME</stp>
        <stp>.NDX251219C19550</stp>
        <tr r="W178" s="2"/>
      </tp>
      <tp t="s">
        <v>N/A</v>
        <stp/>
        <stp>VOLUME</stp>
        <stp>.NDX250815C19950</stp>
        <tr r="O162" s="2"/>
      </tp>
      <tp t="s">
        <v>N/A</v>
        <stp/>
        <stp>VOLUME</stp>
        <stp>.NDX250919C19550</stp>
        <tr r="Q178" s="2"/>
      </tp>
      <tp t="s">
        <v>N/A</v>
        <stp/>
        <stp>VOLUME</stp>
        <stp>.NDX250919C20550</stp>
        <tr r="Q138" s="2"/>
      </tp>
      <tp t="s">
        <v>N/A</v>
        <stp/>
        <stp>VOLUME</stp>
        <stp>.NDX250718C20450</stp>
        <tr r="M142" s="2"/>
      </tp>
      <tp t="s">
        <v>N/A</v>
        <stp/>
        <stp>VOLUME</stp>
        <stp>.NDX250718C19450</stp>
        <tr r="M182" s="2"/>
      </tp>
      <tp>
        <v>2</v>
        <stp/>
        <stp>VOLUME</stp>
        <stp>.NDX251017P19400</stp>
        <tr r="S184" s="2"/>
        <tr r="S184" s="2"/>
      </tp>
      <tp t="s">
        <v>N/A</v>
        <stp/>
        <stp>VOLUME</stp>
        <stp>.NDX251121P20200</stp>
        <tr r="U152" s="2"/>
      </tp>
      <tp t="s">
        <v>N/A</v>
        <stp/>
        <stp>VOLUME</stp>
        <stp>.NDX251017P20400</stp>
        <tr r="S144" s="2"/>
      </tp>
      <tp>
        <v>6</v>
        <stp/>
        <stp>VOLUME</stp>
        <stp>.NDX250815P19600</stp>
        <tr r="O176" s="2"/>
        <tr r="O176" s="2"/>
      </tp>
      <tp>
        <v>13</v>
        <stp/>
        <stp>VOLUME</stp>
        <stp>.NDX250516P19500</stp>
        <tr r="BF179" s="1"/>
        <tr r="BF179" s="1"/>
      </tp>
      <tp>
        <v>3</v>
        <stp/>
        <stp>VOLUME</stp>
        <stp>.NDX250620P20300</stp>
        <tr r="K148" s="2"/>
        <tr r="K148" s="2"/>
      </tp>
      <tp>
        <v>7</v>
        <stp/>
        <stp>VOLUME</stp>
        <stp>.NDX250620P19300</stp>
        <tr r="K188" s="2"/>
        <tr r="K188" s="2"/>
      </tp>
      <tp t="s">
        <v>N/A</v>
        <stp/>
        <stp>VOLUME</stp>
        <stp>.NDX250516P20500</stp>
        <tr r="BF139" s="1"/>
      </tp>
      <tp t="s">
        <v>N/A</v>
        <stp/>
        <stp>VOLUME</stp>
        <stp>.NDX250523P20000</stp>
        <tr r="H160" s="2"/>
      </tp>
      <tp t="s">
        <v>N/A</v>
        <stp/>
        <stp>VOLUME</stp>
        <stp>.NDX251017P19425</stp>
        <tr r="S183" s="2"/>
      </tp>
      <tp t="s">
        <v>N/A</v>
        <stp/>
        <stp>VOLUME</stp>
        <stp>.NDX251017P20425</stp>
        <tr r="S143" s="2"/>
      </tp>
      <tp t="s">
        <v>N/A</v>
        <stp/>
        <stp>VOLUME</stp>
        <stp>.NDX251121P20225</stp>
        <tr r="U151" s="2"/>
      </tp>
      <tp t="s">
        <v>N/A</v>
        <stp/>
        <stp>VOLUME</stp>
        <stp>.NDX250815P19625</stp>
        <tr r="O175" s="2"/>
      </tp>
      <tp>
        <v>14</v>
        <stp/>
        <stp>VOLUME</stp>
        <stp>.NDX250516P19525</stp>
        <tr r="BF178" s="1"/>
        <tr r="BF178" s="1"/>
      </tp>
      <tp t="s">
        <v>N/A</v>
        <stp/>
        <stp>VOLUME</stp>
        <stp>.NDX250620P20325</stp>
        <tr r="K147" s="2"/>
      </tp>
      <tp t="s">
        <v>N/A</v>
        <stp/>
        <stp>VOLUME</stp>
        <stp>.NDX250620P19325</stp>
        <tr r="K187" s="2"/>
      </tp>
      <tp t="s">
        <v>N/A</v>
        <stp/>
        <stp>VOLUME</stp>
        <stp>.NDX250516P20525</stp>
        <tr r="BF138" s="1"/>
      </tp>
      <tp t="s">
        <v>N/A</v>
        <stp/>
        <stp>VOLUME</stp>
        <stp>.NDX250523P20025</stp>
        <tr r="H159" s="2"/>
      </tp>
      <tp t="s">
        <v>N/A</v>
        <stp/>
        <stp>VOLUME</stp>
        <stp>.NDX250815P19650</stp>
        <tr r="O174" s="2"/>
      </tp>
      <tp>
        <v>15</v>
        <stp/>
        <stp>VOLUME</stp>
        <stp>.NDX250516P19550</stp>
        <tr r="BF177" s="1"/>
        <tr r="BF177" s="1"/>
      </tp>
      <tp t="s">
        <v>N/A</v>
        <stp/>
        <stp>VOLUME</stp>
        <stp>.NDX250620P20350</stp>
        <tr r="K146" s="2"/>
      </tp>
      <tp t="s">
        <v>N/A</v>
        <stp/>
        <stp>VOLUME</stp>
        <stp>.NDX250620P19350</stp>
        <tr r="K186" s="2"/>
      </tp>
      <tp t="s">
        <v>N/A</v>
        <stp/>
        <stp>VOLUME</stp>
        <stp>.NDX250516P20550</stp>
        <tr r="BF137" s="1"/>
      </tp>
      <tp t="s">
        <v>N/A</v>
        <stp/>
        <stp>VOLUME</stp>
        <stp>.NDX250523P20050</stp>
        <tr r="H158" s="2"/>
      </tp>
      <tp t="s">
        <v>N/A</v>
        <stp/>
        <stp>VOLUME</stp>
        <stp>.NDX251017P19450</stp>
        <tr r="S182" s="2"/>
      </tp>
      <tp t="s">
        <v>N/A</v>
        <stp/>
        <stp>VOLUME</stp>
        <stp>.NDX251121P19250</stp>
        <tr r="U190" s="2"/>
      </tp>
      <tp t="s">
        <v>N/A</v>
        <stp/>
        <stp>VOLUME</stp>
        <stp>.NDX251121P20250</stp>
        <tr r="U150" s="2"/>
      </tp>
      <tp t="s">
        <v>N/A</v>
        <stp/>
        <stp>VOLUME</stp>
        <stp>.NDX251017P20450</stp>
        <tr r="S142" s="2"/>
      </tp>
      <tp t="s">
        <v>N/A</v>
        <stp/>
        <stp>VOLUME</stp>
        <stp>.NDX250815P19675</stp>
        <tr r="O173" s="2"/>
      </tp>
      <tp>
        <v>1</v>
        <stp/>
        <stp>VOLUME</stp>
        <stp>.NDX250516P19575</stp>
        <tr r="BF176" s="1"/>
        <tr r="BF176" s="1"/>
      </tp>
      <tp t="s">
        <v>N/A</v>
        <stp/>
        <stp>VOLUME</stp>
        <stp>.NDX250620P20375</stp>
        <tr r="K145" s="2"/>
      </tp>
      <tp t="s">
        <v>N/A</v>
        <stp/>
        <stp>VOLUME</stp>
        <stp>.NDX250620P19375</stp>
        <tr r="K185" s="2"/>
      </tp>
      <tp t="s">
        <v>N/A</v>
        <stp/>
        <stp>VOLUME</stp>
        <stp>.NDX250523P20075</stp>
        <tr r="H157" s="2"/>
      </tp>
      <tp t="s">
        <v>N/A</v>
        <stp/>
        <stp>VOLUME</stp>
        <stp>.NDX251121P19275</stp>
        <tr r="U189" s="2"/>
      </tp>
      <tp t="s">
        <v>N/A</v>
        <stp/>
        <stp>VOLUME</stp>
        <stp>.NDX251017P19475</stp>
        <tr r="S181" s="2"/>
      </tp>
      <tp t="s">
        <v>N/A</v>
        <stp/>
        <stp>VOLUME</stp>
        <stp>.NDX251017P20475</stp>
        <tr r="S141" s="2"/>
      </tp>
      <tp t="s">
        <v>N/A</v>
        <stp/>
        <stp>VOLUME</stp>
        <stp>.NDX251121P20275</stp>
        <tr r="U149" s="2"/>
      </tp>
      <tp t="s">
        <v>N/A</v>
        <stp/>
        <stp>VOLUME</stp>
        <stp>.NDX250815C19625</stp>
        <tr r="O175" s="2"/>
      </tp>
      <tp t="s">
        <v>N/A</v>
        <stp/>
        <stp>VOLUME</stp>
        <stp>.NDX250516C19525</stp>
        <tr r="BE178" s="1"/>
      </tp>
      <tp>
        <v>1</v>
        <stp/>
        <stp>VOLUME</stp>
        <stp>.NDX250620C20325</stp>
        <tr r="K147" s="2"/>
        <tr r="K147" s="2"/>
      </tp>
      <tp t="s">
        <v>N/A</v>
        <stp/>
        <stp>VOLUME</stp>
        <stp>.NDX250620C19325</stp>
        <tr r="K187" s="2"/>
      </tp>
      <tp>
        <v>6</v>
        <stp/>
        <stp>VOLUME</stp>
        <stp>.NDX250516C20525</stp>
        <tr r="BE138" s="1"/>
        <tr r="BE138" s="1"/>
      </tp>
      <tp t="s">
        <v>N/A</v>
        <stp/>
        <stp>VOLUME</stp>
        <stp>.NDX250523C20025</stp>
        <tr r="H159" s="2"/>
      </tp>
      <tp t="s">
        <v>N/A</v>
        <stp/>
        <stp>VOLUME</stp>
        <stp>.NDX251017C19425</stp>
        <tr r="S183" s="2"/>
      </tp>
      <tp t="s">
        <v>N/A</v>
        <stp/>
        <stp>VOLUME</stp>
        <stp>.NDX251017C20425</stp>
        <tr r="S143" s="2"/>
      </tp>
      <tp t="s">
        <v>N/A</v>
        <stp/>
        <stp>VOLUME</stp>
        <stp>.NDX251121C20225</stp>
        <tr r="U151" s="2"/>
      </tp>
      <tp t="s">
        <v>N/A</v>
        <stp/>
        <stp>VOLUME</stp>
        <stp>.NDX250815C19600</stp>
        <tr r="O176" s="2"/>
      </tp>
      <tp t="s">
        <v>N/A</v>
        <stp/>
        <stp>VOLUME</stp>
        <stp>.NDX250516C19500</stp>
        <tr r="BE179" s="1"/>
      </tp>
      <tp t="s">
        <v>N/A</v>
        <stp/>
        <stp>VOLUME</stp>
        <stp>.NDX250620C20300</stp>
        <tr r="K148" s="2"/>
      </tp>
      <tp t="s">
        <v>N/A</v>
        <stp/>
        <stp>VOLUME</stp>
        <stp>.NDX250620C19300</stp>
        <tr r="K188" s="2"/>
      </tp>
      <tp>
        <v>61</v>
        <stp/>
        <stp>VOLUME</stp>
        <stp>.NDX250516C20500</stp>
        <tr r="BE139" s="1"/>
        <tr r="BE139" s="1"/>
      </tp>
      <tp t="s">
        <v>N/A</v>
        <stp/>
        <stp>VOLUME</stp>
        <stp>.NDX250523C20000</stp>
        <tr r="H160" s="2"/>
      </tp>
      <tp t="s">
        <v>N/A</v>
        <stp/>
        <stp>VOLUME</stp>
        <stp>.NDX251017C19400</stp>
        <tr r="S184" s="2"/>
      </tp>
      <tp t="s">
        <v>N/A</v>
        <stp/>
        <stp>VOLUME</stp>
        <stp>.NDX251121C20200</stp>
        <tr r="U152" s="2"/>
      </tp>
      <tp t="s">
        <v>N/A</v>
        <stp/>
        <stp>VOLUME</stp>
        <stp>.NDX251017C20400</stp>
        <tr r="S144" s="2"/>
      </tp>
      <tp t="s">
        <v>N/A</v>
        <stp/>
        <stp>VOLUME</stp>
        <stp>.NDX251121C19275</stp>
        <tr r="U189" s="2"/>
      </tp>
      <tp t="s">
        <v>N/A</v>
        <stp/>
        <stp>VOLUME</stp>
        <stp>.NDX251017C19475</stp>
        <tr r="S181" s="2"/>
      </tp>
      <tp t="s">
        <v>N/A</v>
        <stp/>
        <stp>VOLUME</stp>
        <stp>.NDX251017C20475</stp>
        <tr r="S141" s="2"/>
      </tp>
      <tp t="s">
        <v>N/A</v>
        <stp/>
        <stp>VOLUME</stp>
        <stp>.NDX251121C20275</stp>
        <tr r="U149" s="2"/>
      </tp>
      <tp t="s">
        <v>N/A</v>
        <stp/>
        <stp>VOLUME</stp>
        <stp>.NDX250815C19675</stp>
        <tr r="O173" s="2"/>
      </tp>
      <tp t="s">
        <v>N/A</v>
        <stp/>
        <stp>VOLUME</stp>
        <stp>.NDX250516C19575</stp>
        <tr r="BE176" s="1"/>
      </tp>
      <tp t="s">
        <v>N/A</v>
        <stp/>
        <stp>VOLUME</stp>
        <stp>.NDX250620C20375</stp>
        <tr r="K145" s="2"/>
      </tp>
      <tp t="s">
        <v>N/A</v>
        <stp/>
        <stp>VOLUME</stp>
        <stp>.NDX250620C19375</stp>
        <tr r="K185" s="2"/>
      </tp>
      <tp t="s">
        <v>N/A</v>
        <stp/>
        <stp>VOLUME</stp>
        <stp>.NDX250523C20075</stp>
        <tr r="H157" s="2"/>
      </tp>
      <tp t="s">
        <v>N/A</v>
        <stp/>
        <stp>VOLUME</stp>
        <stp>.NDX251017C19450</stp>
        <tr r="S182" s="2"/>
      </tp>
      <tp t="s">
        <v>N/A</v>
        <stp/>
        <stp>VOLUME</stp>
        <stp>.NDX251121C19250</stp>
        <tr r="U190" s="2"/>
      </tp>
      <tp t="s">
        <v>N/A</v>
        <stp/>
        <stp>VOLUME</stp>
        <stp>.NDX251121C20250</stp>
        <tr r="U150" s="2"/>
      </tp>
      <tp t="s">
        <v>N/A</v>
        <stp/>
        <stp>VOLUME</stp>
        <stp>.NDX251017C20450</stp>
        <tr r="S142" s="2"/>
      </tp>
      <tp t="s">
        <v>N/A</v>
        <stp/>
        <stp>VOLUME</stp>
        <stp>.NDX250815C19650</stp>
        <tr r="O174" s="2"/>
      </tp>
      <tp t="s">
        <v>N/A</v>
        <stp/>
        <stp>VOLUME</stp>
        <stp>.NDX250516C19550</stp>
        <tr r="BE177" s="1"/>
      </tp>
      <tp t="s">
        <v>N/A</v>
        <stp/>
        <stp>VOLUME</stp>
        <stp>.NDX250620C20350</stp>
        <tr r="K146" s="2"/>
      </tp>
      <tp t="s">
        <v>N/A</v>
        <stp/>
        <stp>VOLUME</stp>
        <stp>.NDX250620C19350</stp>
        <tr r="K186" s="2"/>
      </tp>
      <tp>
        <v>6</v>
        <stp/>
        <stp>VOLUME</stp>
        <stp>.NDX250516C20550</stp>
        <tr r="BE137" s="1"/>
        <tr r="BE137" s="1"/>
      </tp>
      <tp t="s">
        <v>N/A</v>
        <stp/>
        <stp>VOLUME</stp>
        <stp>.NDX250523C20050</stp>
        <tr r="H158" s="2"/>
      </tp>
      <tp t="s">
        <v>N/A</v>
        <stp/>
        <stp>VOLUME</stp>
        <stp>.NDX251017P19500</stp>
        <tr r="S180" s="2"/>
      </tp>
      <tp t="s">
        <v>N/A</v>
        <stp/>
        <stp>VOLUME</stp>
        <stp>.NDX251121P19300</stp>
        <tr r="U188" s="2"/>
      </tp>
      <tp t="s">
        <v>N/A</v>
        <stp/>
        <stp>VOLUME</stp>
        <stp>.NDX251121P20300</stp>
        <tr r="U148" s="2"/>
      </tp>
      <tp t="s">
        <v>N/A</v>
        <stp/>
        <stp>VOLUME</stp>
        <stp>.NDX251017P20500</stp>
        <tr r="S140" s="2"/>
      </tp>
      <tp t="s">
        <v>N/A</v>
        <stp/>
        <stp>VOLUME</stp>
        <stp>.NDX250815P19700</stp>
        <tr r="O172" s="2"/>
      </tp>
      <tp>
        <v>9</v>
        <stp/>
        <stp>VOLUME</stp>
        <stp>.NDX250516P19400</stp>
        <tr r="BF183" s="1"/>
        <tr r="BF183" s="1"/>
      </tp>
      <tp>
        <v>5</v>
        <stp/>
        <stp>VOLUME</stp>
        <stp>.NDX250620P20200</stp>
        <tr r="K152" s="2"/>
        <tr r="K152" s="2"/>
      </tp>
      <tp t="s">
        <v>N/A</v>
        <stp/>
        <stp>VOLUME</stp>
        <stp>.NDX250516P20400</stp>
        <tr r="BF143" s="1"/>
      </tp>
      <tp t="s">
        <v>N/A</v>
        <stp/>
        <stp>VOLUME</stp>
        <stp>.NDX250523P20100</stp>
        <tr r="H156" s="2"/>
      </tp>
      <tp t="s">
        <v>N/A</v>
        <stp/>
        <stp>VOLUME</stp>
        <stp>.NDX251121P19325</stp>
        <tr r="U187" s="2"/>
      </tp>
      <tp t="s">
        <v>N/A</v>
        <stp/>
        <stp>VOLUME</stp>
        <stp>.NDX251017P19525</stp>
        <tr r="S179" s="2"/>
      </tp>
      <tp t="s">
        <v>N/A</v>
        <stp/>
        <stp>VOLUME</stp>
        <stp>.NDX251017P20525</stp>
        <tr r="S139" s="2"/>
      </tp>
      <tp t="s">
        <v>N/A</v>
        <stp/>
        <stp>VOLUME</stp>
        <stp>.NDX251121P20325</stp>
        <tr r="U147" s="2"/>
      </tp>
      <tp t="s">
        <v>N/A</v>
        <stp/>
        <stp>VOLUME</stp>
        <stp>.NDX250815P19725</stp>
        <tr r="O171" s="2"/>
      </tp>
      <tp>
        <v>13</v>
        <stp/>
        <stp>VOLUME</stp>
        <stp>.NDX250516P19425</stp>
        <tr r="BF182" s="1"/>
        <tr r="BF182" s="1"/>
      </tp>
      <tp t="s">
        <v>N/A</v>
        <stp/>
        <stp>VOLUME</stp>
        <stp>.NDX250620P20225</stp>
        <tr r="K151" s="2"/>
      </tp>
      <tp t="s">
        <v>N/A</v>
        <stp/>
        <stp>VOLUME</stp>
        <stp>.NDX250516P20425</stp>
        <tr r="BF142" s="1"/>
      </tp>
      <tp t="s">
        <v>N/A</v>
        <stp/>
        <stp>VOLUME</stp>
        <stp>.NDX250523P20125</stp>
        <tr r="H155" s="2"/>
      </tp>
      <tp t="s">
        <v>N/A</v>
        <stp/>
        <stp>VOLUME</stp>
        <stp>.NDX250815P19750</stp>
        <tr r="O170" s="2"/>
      </tp>
      <tp>
        <v>3</v>
        <stp/>
        <stp>VOLUME</stp>
        <stp>.NDX250516P19450</stp>
        <tr r="BF181" s="1"/>
        <tr r="BF181" s="1"/>
      </tp>
      <tp>
        <v>31</v>
        <stp/>
        <stp>VOLUME</stp>
        <stp>.NDX250620P20250</stp>
        <tr r="K150" s="2"/>
        <tr r="K150" s="2"/>
      </tp>
      <tp t="s">
        <v>N/A</v>
        <stp/>
        <stp>VOLUME</stp>
        <stp>.NDX250620P19250</stp>
        <tr r="K190" s="2"/>
      </tp>
      <tp t="s">
        <v>N/A</v>
        <stp/>
        <stp>VOLUME</stp>
        <stp>.NDX250516P20450</stp>
        <tr r="BF141" s="1"/>
      </tp>
      <tp t="s">
        <v>N/A</v>
        <stp/>
        <stp>VOLUME</stp>
        <stp>.NDX250523P20150</stp>
        <tr r="H154" s="2"/>
      </tp>
      <tp t="s">
        <v>N/A</v>
        <stp/>
        <stp>VOLUME</stp>
        <stp>.NDX251017P19550</stp>
        <tr r="S178" s="2"/>
      </tp>
      <tp t="s">
        <v>N/A</v>
        <stp/>
        <stp>VOLUME</stp>
        <stp>.NDX251121P19350</stp>
        <tr r="U186" s="2"/>
      </tp>
      <tp t="s">
        <v>N/A</v>
        <stp/>
        <stp>VOLUME</stp>
        <stp>.NDX251121P20350</stp>
        <tr r="U146" s="2"/>
      </tp>
      <tp t="s">
        <v>N/A</v>
        <stp/>
        <stp>VOLUME</stp>
        <stp>.NDX251017P20550</stp>
        <tr r="S138" s="2"/>
      </tp>
      <tp t="s">
        <v>N/A</v>
        <stp/>
        <stp>VOLUME</stp>
        <stp>.NDX250815P19775</stp>
        <tr r="O169" s="2"/>
      </tp>
      <tp>
        <v>6</v>
        <stp/>
        <stp>VOLUME</stp>
        <stp>.NDX250516P19475</stp>
        <tr r="BF180" s="1"/>
        <tr r="BF180" s="1"/>
      </tp>
      <tp>
        <v>7</v>
        <stp/>
        <stp>VOLUME</stp>
        <stp>.NDX250620P20275</stp>
        <tr r="K149" s="2"/>
        <tr r="K149" s="2"/>
      </tp>
      <tp t="s">
        <v>N/A</v>
        <stp/>
        <stp>VOLUME</stp>
        <stp>.NDX250620P19275</stp>
        <tr r="K189" s="2"/>
      </tp>
      <tp t="s">
        <v>N/A</v>
        <stp/>
        <stp>VOLUME</stp>
        <stp>.NDX250516P20475</stp>
        <tr r="BF140" s="1"/>
      </tp>
      <tp t="s">
        <v>N/A</v>
        <stp/>
        <stp>VOLUME</stp>
        <stp>.NDX250523P20175</stp>
        <tr r="H153" s="2"/>
      </tp>
      <tp t="s">
        <v>N/A</v>
        <stp/>
        <stp>VOLUME</stp>
        <stp>.NDX251121P19375</stp>
        <tr r="U185" s="2"/>
      </tp>
      <tp t="s">
        <v>N/A</v>
        <stp/>
        <stp>VOLUME</stp>
        <stp>.NDX251017P19575</stp>
        <tr r="S177" s="2"/>
      </tp>
      <tp t="s">
        <v>N/A</v>
        <stp/>
        <stp>VOLUME</stp>
        <stp>.NDX251121P20375</stp>
        <tr r="U145" s="2"/>
      </tp>
      <tp t="s">
        <v>N/A</v>
        <stp/>
        <stp>VOLUME</stp>
        <stp>.NDX250815C19725</stp>
        <tr r="O171" s="2"/>
      </tp>
      <tp t="s">
        <v>N/A</v>
        <stp/>
        <stp>VOLUME</stp>
        <stp>.NDX250516C19425</stp>
        <tr r="BE182" s="1"/>
      </tp>
      <tp>
        <v>19</v>
        <stp/>
        <stp>VOLUME</stp>
        <stp>.NDX250620C20225</stp>
        <tr r="K151" s="2"/>
        <tr r="K151" s="2"/>
      </tp>
      <tp t="s">
        <v>N/A</v>
        <stp/>
        <stp>VOLUME</stp>
        <stp>.NDX250516C20425</stp>
        <tr r="BE142" s="1"/>
      </tp>
      <tp t="s">
        <v>N/A</v>
        <stp/>
        <stp>VOLUME</stp>
        <stp>.NDX250523C20125</stp>
        <tr r="H155" s="2"/>
      </tp>
      <tp t="s">
        <v>N/A</v>
        <stp/>
        <stp>VOLUME</stp>
        <stp>.NDX251121C19325</stp>
        <tr r="U187" s="2"/>
      </tp>
      <tp t="s">
        <v>N/A</v>
        <stp/>
        <stp>VOLUME</stp>
        <stp>.NDX251017C19525</stp>
        <tr r="S179" s="2"/>
      </tp>
      <tp t="s">
        <v>N/A</v>
        <stp/>
        <stp>VOLUME</stp>
        <stp>.NDX251017C20525</stp>
        <tr r="S139" s="2"/>
      </tp>
      <tp t="s">
        <v>N/A</v>
        <stp/>
        <stp>VOLUME</stp>
        <stp>.NDX251121C20325</stp>
        <tr r="U147" s="2"/>
      </tp>
      <tp t="s">
        <v>N/A</v>
        <stp/>
        <stp>VOLUME</stp>
        <stp>.NDX250815C19700</stp>
        <tr r="O172" s="2"/>
      </tp>
      <tp t="s">
        <v>N/A</v>
        <stp/>
        <stp>VOLUME</stp>
        <stp>.NDX250516C19400</stp>
        <tr r="BE183" s="1"/>
      </tp>
      <tp>
        <v>4</v>
        <stp/>
        <stp>VOLUME</stp>
        <stp>.NDX250620C20200</stp>
        <tr r="K152" s="2"/>
        <tr r="K152" s="2"/>
      </tp>
      <tp>
        <v>33</v>
        <stp/>
        <stp>VOLUME</stp>
        <stp>.NDX250516C20400</stp>
        <tr r="BE143" s="1"/>
        <tr r="BE143" s="1"/>
      </tp>
      <tp t="s">
        <v>N/A</v>
        <stp/>
        <stp>VOLUME</stp>
        <stp>.NDX250523C20100</stp>
        <tr r="H156" s="2"/>
      </tp>
      <tp t="s">
        <v>N/A</v>
        <stp/>
        <stp>VOLUME</stp>
        <stp>.NDX251017C19500</stp>
        <tr r="S180" s="2"/>
      </tp>
      <tp>
        <v>2</v>
        <stp/>
        <stp>VOLUME</stp>
        <stp>.NDX251121C19300</stp>
        <tr r="U188" s="2"/>
        <tr r="U188" s="2"/>
      </tp>
      <tp t="s">
        <v>N/A</v>
        <stp/>
        <stp>VOLUME</stp>
        <stp>.NDX251121C20300</stp>
        <tr r="U148" s="2"/>
      </tp>
      <tp t="s">
        <v>N/A</v>
        <stp/>
        <stp>VOLUME</stp>
        <stp>.NDX251017C20500</stp>
        <tr r="S140" s="2"/>
      </tp>
      <tp t="s">
        <v>N/A</v>
        <stp/>
        <stp>VOLUME</stp>
        <stp>.NDX251121C19375</stp>
        <tr r="U185" s="2"/>
      </tp>
      <tp t="s">
        <v>N/A</v>
        <stp/>
        <stp>VOLUME</stp>
        <stp>.NDX251017C19575</stp>
        <tr r="S177" s="2"/>
      </tp>
      <tp t="s">
        <v>N/A</v>
        <stp/>
        <stp>VOLUME</stp>
        <stp>.NDX251121C20375</stp>
        <tr r="U145" s="2"/>
      </tp>
      <tp t="s">
        <v>N/A</v>
        <stp/>
        <stp>VOLUME</stp>
        <stp>.NDX250815C19775</stp>
        <tr r="O169" s="2"/>
      </tp>
      <tp t="s">
        <v>N/A</v>
        <stp/>
        <stp>VOLUME</stp>
        <stp>.NDX250516C19475</stp>
        <tr r="BE180" s="1"/>
      </tp>
      <tp>
        <v>23</v>
        <stp/>
        <stp>VOLUME</stp>
        <stp>.NDX250620C20275</stp>
        <tr r="K149" s="2"/>
        <tr r="K149" s="2"/>
      </tp>
      <tp t="s">
        <v>N/A</v>
        <stp/>
        <stp>VOLUME</stp>
        <stp>.NDX250620C19275</stp>
        <tr r="K189" s="2"/>
      </tp>
      <tp>
        <v>13</v>
        <stp/>
        <stp>VOLUME</stp>
        <stp>.NDX250516C20475</stp>
        <tr r="BE140" s="1"/>
        <tr r="BE140" s="1"/>
      </tp>
      <tp t="s">
        <v>N/A</v>
        <stp/>
        <stp>VOLUME</stp>
        <stp>.NDX250523C20175</stp>
        <tr r="H153" s="2"/>
      </tp>
      <tp t="s">
        <v>N/A</v>
        <stp/>
        <stp>VOLUME</stp>
        <stp>.NDX251017C19550</stp>
        <tr r="S178" s="2"/>
      </tp>
      <tp t="s">
        <v>N/A</v>
        <stp/>
        <stp>VOLUME</stp>
        <stp>.NDX251121C19350</stp>
        <tr r="U186" s="2"/>
      </tp>
      <tp t="s">
        <v>N/A</v>
        <stp/>
        <stp>VOLUME</stp>
        <stp>.NDX251121C20350</stp>
        <tr r="U146" s="2"/>
      </tp>
      <tp t="s">
        <v>N/A</v>
        <stp/>
        <stp>VOLUME</stp>
        <stp>.NDX251017C20550</stp>
        <tr r="S138" s="2"/>
      </tp>
      <tp t="s">
        <v>N/A</v>
        <stp/>
        <stp>VOLUME</stp>
        <stp>.NDX250815C19750</stp>
        <tr r="O170" s="2"/>
      </tp>
      <tp t="s">
        <v>N/A</v>
        <stp/>
        <stp>VOLUME</stp>
        <stp>.NDX250516C19450</stp>
        <tr r="BE181" s="1"/>
      </tp>
      <tp>
        <v>6</v>
        <stp/>
        <stp>VOLUME</stp>
        <stp>.NDX250620C20250</stp>
        <tr r="K150" s="2"/>
        <tr r="K150" s="2"/>
      </tp>
      <tp t="s">
        <v>N/A</v>
        <stp/>
        <stp>VOLUME</stp>
        <stp>.NDX250620C19250</stp>
        <tr r="K190" s="2"/>
      </tp>
      <tp>
        <v>1</v>
        <stp/>
        <stp>VOLUME</stp>
        <stp>.NDX250516C20450</stp>
        <tr r="BE141" s="1"/>
        <tr r="BE141" s="1"/>
      </tp>
      <tp t="s">
        <v>N/A</v>
        <stp/>
        <stp>VOLUME</stp>
        <stp>.NDX250523C20150</stp>
        <tr r="H154" s="2"/>
      </tp>
      <tp t="s">
        <v>N/A</v>
        <stp/>
        <stp>VOLUME</stp>
        <stp>.NDX251017P19600</stp>
        <tr r="S176" s="2"/>
      </tp>
      <tp t="s">
        <v>N/A</v>
        <stp/>
        <stp>VOLUME</stp>
        <stp>.NDX251219P19800</stp>
        <tr r="W168" s="2"/>
      </tp>
      <tp t="s">
        <v>N/A</v>
        <stp/>
        <stp>VOLUME</stp>
        <stp>.NDX251121P20000</stp>
        <tr r="U160" s="2"/>
      </tp>
      <tp t="s">
        <v>N/A</v>
        <stp/>
        <stp>VOLUME</stp>
        <stp>.NDX250815P19400</stp>
        <tr r="O184" s="2"/>
      </tp>
      <tp t="s">
        <v>N/A</v>
        <stp/>
        <stp>VOLUME</stp>
        <stp>.NDX250919P19800</stp>
        <tr r="Q168" s="2"/>
      </tp>
      <tp t="s">
        <v>N/A</v>
        <stp/>
        <stp>VOLUME</stp>
        <stp>.NDX250815P20400</stp>
        <tr r="O144" s="2"/>
      </tp>
      <tp>
        <v>8</v>
        <stp/>
        <stp>VOLUME</stp>
        <stp>.NDX250516P19700</stp>
        <tr r="BF171" s="1"/>
        <tr r="BF171" s="1"/>
      </tp>
      <tp>
        <v>3</v>
        <stp/>
        <stp>VOLUME</stp>
        <stp>.NDX250620P20100</stp>
        <tr r="K156" s="2"/>
        <tr r="K156" s="2"/>
      </tp>
      <tp t="s">
        <v>N/A</v>
        <stp/>
        <stp>VOLUME</stp>
        <stp>.NDX250523P20200</stp>
        <tr r="H152" s="2"/>
      </tp>
      <tp t="s">
        <v>N/A</v>
        <stp/>
        <stp>VOLUME</stp>
        <stp>.NDX250718P19900</stp>
        <tr r="M164" s="2"/>
      </tp>
      <tp t="s">
        <v>N/A</v>
        <stp/>
        <stp>VOLUME</stp>
        <stp>.NDX251017P19625</stp>
        <tr r="S175" s="2"/>
      </tp>
      <tp t="s">
        <v>N/A</v>
        <stp/>
        <stp>VOLUME</stp>
        <stp>.NDX251219P19825</stp>
        <tr r="W167" s="2"/>
      </tp>
      <tp t="s">
        <v>N/A</v>
        <stp/>
        <stp>VOLUME</stp>
        <stp>.NDX251121P20025</stp>
        <tr r="U159" s="2"/>
      </tp>
      <tp t="s">
        <v>N/A</v>
        <stp/>
        <stp>VOLUME</stp>
        <stp>.NDX250919P19825</stp>
        <tr r="Q167" s="2"/>
      </tp>
      <tp t="s">
        <v>N/A</v>
        <stp/>
        <stp>VOLUME</stp>
        <stp>.NDX250815P19425</stp>
        <tr r="O183" s="2"/>
      </tp>
      <tp t="s">
        <v>N/A</v>
        <stp/>
        <stp>VOLUME</stp>
        <stp>.NDX250815P20425</stp>
        <tr r="O143" s="2"/>
      </tp>
      <tp>
        <v>2</v>
        <stp/>
        <stp>VOLUME</stp>
        <stp>.NDX250516P19725</stp>
        <tr r="BF170" s="1"/>
        <tr r="BF170" s="1"/>
      </tp>
      <tp>
        <v>29</v>
        <stp/>
        <stp>VOLUME</stp>
        <stp>.NDX250620P20125</stp>
        <tr r="K155" s="2"/>
        <tr r="K155" s="2"/>
      </tp>
      <tp t="s">
        <v>N/A</v>
        <stp/>
        <stp>VOLUME</stp>
        <stp>.NDX250718P19925</stp>
        <tr r="M163" s="2"/>
      </tp>
      <tp t="s">
        <v>N/A</v>
        <stp/>
        <stp>VOLUME</stp>
        <stp>.NDX250523P20225</stp>
        <tr r="H151" s="2"/>
      </tp>
      <tp t="s">
        <v>N/A</v>
        <stp/>
        <stp>VOLUME</stp>
        <stp>.NDX250815P19450</stp>
        <tr r="O182" s="2"/>
      </tp>
      <tp t="s">
        <v>N/A</v>
        <stp/>
        <stp>VOLUME</stp>
        <stp>.NDX250919P19850</stp>
        <tr r="Q166" s="2"/>
      </tp>
      <tp t="s">
        <v>N/A</v>
        <stp/>
        <stp>VOLUME</stp>
        <stp>.NDX250815P20450</stp>
        <tr r="O142" s="2"/>
      </tp>
      <tp>
        <v>13</v>
        <stp/>
        <stp>VOLUME</stp>
        <stp>.NDX250516P19750</stp>
        <tr r="BF169" s="1"/>
        <tr r="BF169" s="1"/>
      </tp>
      <tp t="s">
        <v>N/A</v>
        <stp/>
        <stp>VOLUME</stp>
        <stp>.NDX250523P19250</stp>
        <tr r="H190" s="2"/>
      </tp>
      <tp>
        <v>5</v>
        <stp/>
        <stp>VOLUME</stp>
        <stp>.NDX250620P20150</stp>
        <tr r="K154" s="2"/>
        <tr r="K154" s="2"/>
      </tp>
      <tp t="s">
        <v>N/A</v>
        <stp/>
        <stp>VOLUME</stp>
        <stp>.NDX250523P20250</stp>
        <tr r="H150" s="2"/>
      </tp>
      <tp t="s">
        <v>N/A</v>
        <stp/>
        <stp>VOLUME</stp>
        <stp>.NDX250718P19950</stp>
        <tr r="M162" s="2"/>
      </tp>
      <tp t="s">
        <v>N/A</v>
        <stp/>
        <stp>VOLUME</stp>
        <stp>.NDX251017P19650</stp>
        <tr r="S174" s="2"/>
      </tp>
      <tp t="s">
        <v>N/A</v>
        <stp/>
        <stp>VOLUME</stp>
        <stp>.NDX251219P19850</stp>
        <tr r="W166" s="2"/>
      </tp>
      <tp t="s">
        <v>N/A</v>
        <stp/>
        <stp>VOLUME</stp>
        <stp>.NDX251121P20050</stp>
        <tr r="U158" s="2"/>
      </tp>
      <tp t="s">
        <v>N/A</v>
        <stp/>
        <stp>VOLUME</stp>
        <stp>.NDX250919P19875</stp>
        <tr r="Q165" s="2"/>
      </tp>
      <tp t="s">
        <v>N/A</v>
        <stp/>
        <stp>VOLUME</stp>
        <stp>.NDX250815P19475</stp>
        <tr r="O181" s="2"/>
      </tp>
      <tp t="s">
        <v>N/A</v>
        <stp/>
        <stp>VOLUME</stp>
        <stp>.NDX250815P20475</stp>
        <tr r="O141" s="2"/>
      </tp>
      <tp>
        <v>9</v>
        <stp/>
        <stp>VOLUME</stp>
        <stp>.NDX250516P19775</stp>
        <tr r="BF168" s="1"/>
        <tr r="BF168" s="1"/>
      </tp>
      <tp t="s">
        <v>N/A</v>
        <stp/>
        <stp>VOLUME</stp>
        <stp>.NDX250523P19275</stp>
        <tr r="H189" s="2"/>
      </tp>
      <tp t="s">
        <v>N/A</v>
        <stp/>
        <stp>VOLUME</stp>
        <stp>.NDX250620P20175</stp>
        <tr r="K153" s="2"/>
      </tp>
      <tp t="s">
        <v>N/A</v>
        <stp/>
        <stp>VOLUME</stp>
        <stp>.NDX250718P19975</stp>
        <tr r="M161" s="2"/>
      </tp>
      <tp t="s">
        <v>N/A</v>
        <stp/>
        <stp>VOLUME</stp>
        <stp>.NDX250523P20275</stp>
        <tr r="H149" s="2"/>
      </tp>
      <tp t="s">
        <v>N/A</v>
        <stp/>
        <stp>VOLUME</stp>
        <stp>.NDX251017P19675</stp>
        <tr r="S173" s="2"/>
      </tp>
      <tp t="s">
        <v>N/A</v>
        <stp/>
        <stp>VOLUME</stp>
        <stp>.NDX251219P19875</stp>
        <tr r="W165" s="2"/>
      </tp>
      <tp t="s">
        <v>N/A</v>
        <stp/>
        <stp>VOLUME</stp>
        <stp>.NDX251121P20075</stp>
        <tr r="U157" s="2"/>
      </tp>
      <tp t="s">
        <v>N/A</v>
        <stp/>
        <stp>VOLUME</stp>
        <stp>.NDX250919C19825</stp>
        <tr r="Q167" s="2"/>
      </tp>
      <tp t="s">
        <v>N/A</v>
        <stp/>
        <stp>VOLUME</stp>
        <stp>.NDX250815C19425</stp>
        <tr r="O183" s="2"/>
      </tp>
      <tp t="s">
        <v>N/A</v>
        <stp/>
        <stp>VOLUME</stp>
        <stp>.NDX250815C20425</stp>
        <tr r="O143" s="2"/>
      </tp>
      <tp t="s">
        <v>N/A</v>
        <stp/>
        <stp>VOLUME</stp>
        <stp>.NDX250516C19725</stp>
        <tr r="BE170" s="1"/>
      </tp>
      <tp>
        <v>29</v>
        <stp/>
        <stp>VOLUME</stp>
        <stp>.NDX250620C20125</stp>
        <tr r="K155" s="2"/>
        <tr r="K155" s="2"/>
      </tp>
      <tp t="s">
        <v>N/A</v>
        <stp/>
        <stp>VOLUME</stp>
        <stp>.NDX250718C19925</stp>
        <tr r="M163" s="2"/>
      </tp>
      <tp t="s">
        <v>N/A</v>
        <stp/>
        <stp>VOLUME</stp>
        <stp>.NDX250523C20225</stp>
        <tr r="H151" s="2"/>
      </tp>
      <tp t="s">
        <v>N/A</v>
        <stp/>
        <stp>VOLUME</stp>
        <stp>.NDX251017C19625</stp>
        <tr r="S175" s="2"/>
      </tp>
      <tp t="s">
        <v>N/A</v>
        <stp/>
        <stp>VOLUME</stp>
        <stp>.NDX251219C19825</stp>
        <tr r="W167" s="2"/>
      </tp>
      <tp t="s">
        <v>N/A</v>
        <stp/>
        <stp>VOLUME</stp>
        <stp>.NDX251121C20025</stp>
        <tr r="U159" s="2"/>
      </tp>
      <tp t="s">
        <v>N/A</v>
        <stp/>
        <stp>VOLUME</stp>
        <stp>.NDX250815C19400</stp>
        <tr r="O184" s="2"/>
      </tp>
      <tp t="s">
        <v>N/A</v>
        <stp/>
        <stp>VOLUME</stp>
        <stp>.NDX250919C19800</stp>
        <tr r="Q168" s="2"/>
      </tp>
      <tp t="s">
        <v>N/A</v>
        <stp/>
        <stp>VOLUME</stp>
        <stp>.NDX250815C20400</stp>
        <tr r="O144" s="2"/>
      </tp>
      <tp>
        <v>1</v>
        <stp/>
        <stp>VOLUME</stp>
        <stp>.NDX250516C19700</stp>
        <tr r="BE171" s="1"/>
        <tr r="BE171" s="1"/>
      </tp>
      <tp>
        <v>4</v>
        <stp/>
        <stp>VOLUME</stp>
        <stp>.NDX250620C20100</stp>
        <tr r="K156" s="2"/>
        <tr r="K156" s="2"/>
      </tp>
      <tp t="s">
        <v>N/A</v>
        <stp/>
        <stp>VOLUME</stp>
        <stp>.NDX250523C20200</stp>
        <tr r="H152" s="2"/>
      </tp>
      <tp t="s">
        <v>N/A</v>
        <stp/>
        <stp>VOLUME</stp>
        <stp>.NDX250718C19900</stp>
        <tr r="M164" s="2"/>
      </tp>
      <tp t="s">
        <v>N/A</v>
        <stp/>
        <stp>VOLUME</stp>
        <stp>.NDX251017C19600</stp>
        <tr r="S176" s="2"/>
      </tp>
      <tp t="s">
        <v>N/A</v>
        <stp/>
        <stp>VOLUME</stp>
        <stp>.NDX251219C19800</stp>
        <tr r="W168" s="2"/>
      </tp>
      <tp t="s">
        <v>N/A</v>
        <stp/>
        <stp>VOLUME</stp>
        <stp>.NDX251121C20000</stp>
        <tr r="U160" s="2"/>
      </tp>
      <tp t="s">
        <v>N/A</v>
        <stp/>
        <stp>VOLUME</stp>
        <stp>.NDX251017C19675</stp>
        <tr r="S173" s="2"/>
      </tp>
      <tp t="s">
        <v>N/A</v>
        <stp/>
        <stp>VOLUME</stp>
        <stp>.NDX251219C19875</stp>
        <tr r="W165" s="2"/>
      </tp>
      <tp t="s">
        <v>N/A</v>
        <stp/>
        <stp>VOLUME</stp>
        <stp>.NDX251121C20075</stp>
        <tr r="U157" s="2"/>
      </tp>
      <tp t="s">
        <v>N/A</v>
        <stp/>
        <stp>VOLUME</stp>
        <stp>.NDX250919C19875</stp>
        <tr r="Q165" s="2"/>
      </tp>
      <tp t="s">
        <v>N/A</v>
        <stp/>
        <stp>VOLUME</stp>
        <stp>.NDX250815C19475</stp>
        <tr r="O181" s="2"/>
      </tp>
      <tp t="s">
        <v>N/A</v>
        <stp/>
        <stp>VOLUME</stp>
        <stp>.NDX250815C20475</stp>
        <tr r="O141" s="2"/>
      </tp>
      <tp t="s">
        <v>N/A</v>
        <stp/>
        <stp>VOLUME</stp>
        <stp>.NDX250516C19775</stp>
        <tr r="BE168" s="1"/>
      </tp>
      <tp t="s">
        <v>N/A</v>
        <stp/>
        <stp>VOLUME</stp>
        <stp>.NDX250523C19275</stp>
        <tr r="H189" s="2"/>
      </tp>
      <tp t="s">
        <v>N/A</v>
        <stp/>
        <stp>VOLUME</stp>
        <stp>.NDX250620C20175</stp>
        <tr r="K153" s="2"/>
      </tp>
      <tp t="s">
        <v>N/A</v>
        <stp/>
        <stp>VOLUME</stp>
        <stp>.NDX250718C19975</stp>
        <tr r="M161" s="2"/>
      </tp>
      <tp t="s">
        <v>N/A</v>
        <stp/>
        <stp>VOLUME</stp>
        <stp>.NDX250523C20275</stp>
        <tr r="H149" s="2"/>
      </tp>
      <tp t="s">
        <v>N/A</v>
        <stp/>
        <stp>VOLUME</stp>
        <stp>.NDX251017C19650</stp>
        <tr r="S174" s="2"/>
      </tp>
      <tp t="s">
        <v>N/A</v>
        <stp/>
        <stp>VOLUME</stp>
        <stp>.NDX251219C19850</stp>
        <tr r="W166" s="2"/>
      </tp>
      <tp t="s">
        <v>N/A</v>
        <stp/>
        <stp>VOLUME</stp>
        <stp>.NDX251121C20050</stp>
        <tr r="U158" s="2"/>
      </tp>
      <tp t="s">
        <v>N/A</v>
        <stp/>
        <stp>VOLUME</stp>
        <stp>.NDX250815C19450</stp>
        <tr r="O182" s="2"/>
      </tp>
      <tp t="s">
        <v>N/A</v>
        <stp/>
        <stp>VOLUME</stp>
        <stp>.NDX250919C19850</stp>
        <tr r="Q166" s="2"/>
      </tp>
      <tp t="s">
        <v>N/A</v>
        <stp/>
        <stp>VOLUME</stp>
        <stp>.NDX250815C20450</stp>
        <tr r="O142" s="2"/>
      </tp>
      <tp t="s">
        <v>N/A</v>
        <stp/>
        <stp>VOLUME</stp>
        <stp>.NDX250516C19750</stp>
        <tr r="BE169" s="1"/>
      </tp>
      <tp t="s">
        <v>N/A</v>
        <stp/>
        <stp>VOLUME</stp>
        <stp>.NDX250523C19250</stp>
        <tr r="H190" s="2"/>
      </tp>
      <tp t="s">
        <v>N/A</v>
        <stp/>
        <stp>VOLUME</stp>
        <stp>.NDX250620C20150</stp>
        <tr r="K154" s="2"/>
      </tp>
      <tp t="s">
        <v>N/A</v>
        <stp/>
        <stp>VOLUME</stp>
        <stp>.NDX250523C20250</stp>
        <tr r="H150" s="2"/>
      </tp>
      <tp t="s">
        <v>N/A</v>
        <stp/>
        <stp>VOLUME</stp>
        <stp>.NDX250718C19950</stp>
        <tr r="M162" s="2"/>
      </tp>
      <tp t="s">
        <v>N/A</v>
        <stp/>
        <stp>VOLUME</stp>
        <stp>.NDX251017P19700</stp>
        <tr r="S172" s="2"/>
      </tp>
      <tp t="s">
        <v>N/A</v>
        <stp/>
        <stp>VOLUME</stp>
        <stp>.NDX251219P19900</stp>
        <tr r="W164" s="2"/>
      </tp>
      <tp t="s">
        <v>N/A</v>
        <stp/>
        <stp>VOLUME</stp>
        <stp>.NDX251121P20100</stp>
        <tr r="U156" s="2"/>
      </tp>
      <tp>
        <v>13</v>
        <stp/>
        <stp>VOLUME</stp>
        <stp>.NDX250815P19500</stp>
        <tr r="O180" s="2"/>
        <tr r="O180" s="2"/>
      </tp>
      <tp t="s">
        <v>N/A</v>
        <stp/>
        <stp>VOLUME</stp>
        <stp>.NDX250919P19900</stp>
        <tr r="Q164" s="2"/>
      </tp>
      <tp t="s">
        <v>N/A</v>
        <stp/>
        <stp>VOLUME</stp>
        <stp>.NDX250815P20500</stp>
        <tr r="O140" s="2"/>
      </tp>
      <tp>
        <v>26</v>
        <stp/>
        <stp>VOLUME</stp>
        <stp>.NDX250516P19600</stp>
        <tr r="BF175" s="1"/>
        <tr r="BF175" s="1"/>
      </tp>
      <tp t="s">
        <v>N/A</v>
        <stp/>
        <stp>VOLUME</stp>
        <stp>.NDX250523P19300</stp>
        <tr r="H188" s="2"/>
      </tp>
      <tp>
        <v>26</v>
        <stp/>
        <stp>VOLUME</stp>
        <stp>.NDX250620P20000</stp>
        <tr r="K160" s="2"/>
        <tr r="K160" s="2"/>
      </tp>
      <tp t="s">
        <v>N/A</v>
        <stp/>
        <stp>VOLUME</stp>
        <stp>.NDX250523P20300</stp>
        <tr r="H148" s="2"/>
      </tp>
      <tp>
        <v>2</v>
        <stp/>
        <stp>VOLUME</stp>
        <stp>.NDX250718P19800</stp>
        <tr r="M168" s="2"/>
        <tr r="M168" s="2"/>
      </tp>
      <tp t="s">
        <v>N/A</v>
        <stp/>
        <stp>VOLUME</stp>
        <stp>.NDX251017P19725</stp>
        <tr r="S171" s="2"/>
      </tp>
      <tp t="s">
        <v>N/A</v>
        <stp/>
        <stp>VOLUME</stp>
        <stp>.NDX251219P19925</stp>
        <tr r="W163" s="2"/>
      </tp>
      <tp t="s">
        <v>N/A</v>
        <stp/>
        <stp>VOLUME</stp>
        <stp>.NDX251121P20125</stp>
        <tr r="U155" s="2"/>
      </tp>
      <tp t="s">
        <v>N/A</v>
        <stp/>
        <stp>VOLUME</stp>
        <stp>.NDX250919P19925</stp>
        <tr r="Q163" s="2"/>
      </tp>
      <tp t="s">
        <v>N/A</v>
        <stp/>
        <stp>VOLUME</stp>
        <stp>.NDX250815P19525</stp>
        <tr r="O179" s="2"/>
      </tp>
      <tp t="s">
        <v>N/A</v>
        <stp/>
        <stp>VOLUME</stp>
        <stp>.NDX250815P20525</stp>
        <tr r="O139" s="2"/>
      </tp>
      <tp>
        <v>4</v>
        <stp/>
        <stp>VOLUME</stp>
        <stp>.NDX250516P19625</stp>
        <tr r="BF174" s="1"/>
        <tr r="BF174" s="1"/>
      </tp>
      <tp t="s">
        <v>N/A</v>
        <stp/>
        <stp>VOLUME</stp>
        <stp>.NDX250523P19325</stp>
        <tr r="H187" s="2"/>
      </tp>
      <tp t="s">
        <v>N/A</v>
        <stp/>
        <stp>VOLUME</stp>
        <stp>.NDX250620P20025</stp>
        <tr r="K159" s="2"/>
      </tp>
      <tp t="s">
        <v>N/A</v>
        <stp/>
        <stp>VOLUME</stp>
        <stp>.NDX250718P19825</stp>
        <tr r="M167" s="2"/>
      </tp>
      <tp t="s">
        <v>N/A</v>
        <stp/>
        <stp>VOLUME</stp>
        <stp>.NDX250523P20325</stp>
        <tr r="H147" s="2"/>
      </tp>
      <tp t="s">
        <v>N/A</v>
        <stp/>
        <stp>VOLUME</stp>
        <stp>.NDX250815P19550</stp>
        <tr r="O178" s="2"/>
      </tp>
      <tp t="s">
        <v>N/A</v>
        <stp/>
        <stp>VOLUME</stp>
        <stp>.NDX250919P19950</stp>
        <tr r="Q162" s="2"/>
      </tp>
      <tp t="s">
        <v>N/A</v>
        <stp/>
        <stp>VOLUME</stp>
        <stp>.NDX250815P20550</stp>
        <tr r="O138" s="2"/>
      </tp>
      <tp>
        <v>3</v>
        <stp/>
        <stp>VOLUME</stp>
        <stp>.NDX250516P19650</stp>
        <tr r="BF173" s="1"/>
        <tr r="BF173" s="1"/>
      </tp>
      <tp t="s">
        <v>N/A</v>
        <stp/>
        <stp>VOLUME</stp>
        <stp>.NDX250523P19350</stp>
        <tr r="H186" s="2"/>
      </tp>
      <tp>
        <v>26</v>
        <stp/>
        <stp>VOLUME</stp>
        <stp>.NDX250620P20050</stp>
        <tr r="K158" s="2"/>
        <tr r="K158" s="2"/>
      </tp>
      <tp t="s">
        <v>N/A</v>
        <stp/>
        <stp>VOLUME</stp>
        <stp>.NDX250523P20350</stp>
        <tr r="H146" s="2"/>
      </tp>
      <tp t="s">
        <v>N/A</v>
        <stp/>
        <stp>VOLUME</stp>
        <stp>.NDX250718P19850</stp>
        <tr r="M166" s="2"/>
      </tp>
      <tp t="s">
        <v>N/A</v>
        <stp/>
        <stp>VOLUME</stp>
        <stp>.NDX251017P19750</stp>
        <tr r="S170" s="2"/>
      </tp>
      <tp t="s">
        <v>N/A</v>
        <stp/>
        <stp>VOLUME</stp>
        <stp>.NDX251219P19950</stp>
        <tr r="W162" s="2"/>
      </tp>
      <tp t="s">
        <v>N/A</v>
        <stp/>
        <stp>VOLUME</stp>
        <stp>.NDX251121P20150</stp>
        <tr r="U154" s="2"/>
      </tp>
      <tp t="s">
        <v>N/A</v>
        <stp/>
        <stp>VOLUME</stp>
        <stp>.NDX250919P19975</stp>
        <tr r="Q161" s="2"/>
      </tp>
      <tp t="s">
        <v>N/A</v>
        <stp/>
        <stp>VOLUME</stp>
        <stp>.NDX250815P19575</stp>
        <tr r="O177" s="2"/>
      </tp>
      <tp>
        <v>4</v>
        <stp/>
        <stp>VOLUME</stp>
        <stp>.NDX250516P19675</stp>
        <tr r="BF172" s="1"/>
        <tr r="BF172" s="1"/>
      </tp>
      <tp t="s">
        <v>N/A</v>
        <stp/>
        <stp>VOLUME</stp>
        <stp>.NDX250523P19375</stp>
        <tr r="H185" s="2"/>
      </tp>
      <tp>
        <v>1</v>
        <stp/>
        <stp>VOLUME</stp>
        <stp>.NDX250620P20075</stp>
        <tr r="K157" s="2"/>
        <tr r="K157" s="2"/>
      </tp>
      <tp t="s">
        <v>N/A</v>
        <stp/>
        <stp>VOLUME</stp>
        <stp>.NDX250718P19875</stp>
        <tr r="M165" s="2"/>
      </tp>
      <tp t="s">
        <v>N/A</v>
        <stp/>
        <stp>VOLUME</stp>
        <stp>.NDX250523P20375</stp>
        <tr r="H145" s="2"/>
      </tp>
      <tp t="s">
        <v>N/A</v>
        <stp/>
        <stp>VOLUME</stp>
        <stp>.NDX251017P19775</stp>
        <tr r="S169" s="2"/>
      </tp>
      <tp t="s">
        <v>N/A</v>
        <stp/>
        <stp>VOLUME</stp>
        <stp>.NDX251219P19975</stp>
        <tr r="W161" s="2"/>
      </tp>
      <tp t="s">
        <v>N/A</v>
        <stp/>
        <stp>VOLUME</stp>
        <stp>.NDX251121P20175</stp>
        <tr r="U153" s="2"/>
      </tp>
      <tp t="s">
        <v>N/A</v>
        <stp/>
        <stp>VOLUME</stp>
        <stp>.NDX250919C19925</stp>
        <tr r="Q163" s="2"/>
      </tp>
      <tp t="s">
        <v>N/A</v>
        <stp/>
        <stp>VOLUME</stp>
        <stp>.NDX250815C19525</stp>
        <tr r="O179" s="2"/>
      </tp>
      <tp t="s">
        <v>N/A</v>
        <stp/>
        <stp>VOLUME</stp>
        <stp>.NDX250815C20525</stp>
        <tr r="O139" s="2"/>
      </tp>
      <tp t="s">
        <v>N/A</v>
        <stp/>
        <stp>VOLUME</stp>
        <stp>.NDX250516C19625</stp>
        <tr r="BE174" s="1"/>
      </tp>
      <tp t="s">
        <v>N/A</v>
        <stp/>
        <stp>VOLUME</stp>
        <stp>.NDX250523C19325</stp>
        <tr r="H187" s="2"/>
      </tp>
      <tp>
        <v>13</v>
        <stp/>
        <stp>VOLUME</stp>
        <stp>.NDX250620C20025</stp>
        <tr r="K159" s="2"/>
        <tr r="K159" s="2"/>
      </tp>
      <tp t="s">
        <v>N/A</v>
        <stp/>
        <stp>VOLUME</stp>
        <stp>.NDX250718C19825</stp>
        <tr r="M167" s="2"/>
      </tp>
      <tp t="s">
        <v>N/A</v>
        <stp/>
        <stp>VOLUME</stp>
        <stp>.NDX250523C20325</stp>
        <tr r="H147" s="2"/>
      </tp>
      <tp t="s">
        <v>N/A</v>
        <stp/>
        <stp>VOLUME</stp>
        <stp>.NDX251017C19725</stp>
        <tr r="S171" s="2"/>
      </tp>
      <tp t="s">
        <v>N/A</v>
        <stp/>
        <stp>VOLUME</stp>
        <stp>.NDX251219C19925</stp>
        <tr r="W163" s="2"/>
      </tp>
      <tp t="s">
        <v>N/A</v>
        <stp/>
        <stp>VOLUME</stp>
        <stp>.NDX251121C20125</stp>
        <tr r="U155" s="2"/>
      </tp>
      <tp t="s">
        <v>N/A</v>
        <stp/>
        <stp>VOLUME</stp>
        <stp>.NDX250815C19500</stp>
        <tr r="O180" s="2"/>
      </tp>
      <tp t="s">
        <v>N/A</v>
        <stp/>
        <stp>VOLUME</stp>
        <stp>.NDX250919C19900</stp>
        <tr r="Q164" s="2"/>
      </tp>
      <tp t="s">
        <v>N/A</v>
        <stp/>
        <stp>VOLUME</stp>
        <stp>.NDX250815C20500</stp>
        <tr r="O140" s="2"/>
      </tp>
      <tp t="s">
        <v>N/A</v>
        <stp/>
        <stp>VOLUME</stp>
        <stp>.NDX250516C19600</stp>
        <tr r="BE175" s="1"/>
      </tp>
      <tp t="s">
        <v>N/A</v>
        <stp/>
        <stp>VOLUME</stp>
        <stp>.NDX250523C19300</stp>
        <tr r="H188" s="2"/>
      </tp>
      <tp>
        <v>2</v>
        <stp/>
        <stp>VOLUME</stp>
        <stp>.NDX250620C20000</stp>
        <tr r="K160" s="2"/>
        <tr r="K160" s="2"/>
      </tp>
      <tp t="s">
        <v>N/A</v>
        <stp/>
        <stp>VOLUME</stp>
        <stp>.NDX250523C20300</stp>
        <tr r="H148" s="2"/>
      </tp>
      <tp t="s">
        <v>N/A</v>
        <stp/>
        <stp>VOLUME</stp>
        <stp>.NDX250718C19800</stp>
        <tr r="M168" s="2"/>
      </tp>
      <tp t="s">
        <v>N/A</v>
        <stp/>
        <stp>VOLUME</stp>
        <stp>.NDX251017C19700</stp>
        <tr r="S172" s="2"/>
      </tp>
      <tp t="s">
        <v>N/A</v>
        <stp/>
        <stp>VOLUME</stp>
        <stp>.NDX251219C19900</stp>
        <tr r="W164" s="2"/>
      </tp>
      <tp t="s">
        <v>N/A</v>
        <stp/>
        <stp>VOLUME</stp>
        <stp>.NDX251121C20100</stp>
        <tr r="U156" s="2"/>
      </tp>
      <tp t="s">
        <v>N/A</v>
        <stp/>
        <stp>VOLUME</stp>
        <stp>.NDX251017C19775</stp>
        <tr r="S169" s="2"/>
      </tp>
      <tp t="s">
        <v>N/A</v>
        <stp/>
        <stp>VOLUME</stp>
        <stp>.NDX251219C19975</stp>
        <tr r="W161" s="2"/>
      </tp>
      <tp t="s">
        <v>N/A</v>
        <stp/>
        <stp>VOLUME</stp>
        <stp>.NDX251121C20175</stp>
        <tr r="U153" s="2"/>
      </tp>
      <tp t="s">
        <v>N/A</v>
        <stp/>
        <stp>VOLUME</stp>
        <stp>.NDX250919C19975</stp>
        <tr r="Q161" s="2"/>
      </tp>
      <tp t="s">
        <v>N/A</v>
        <stp/>
        <stp>VOLUME</stp>
        <stp>.NDX250815C19575</stp>
        <tr r="O177" s="2"/>
      </tp>
      <tp>
        <v>1</v>
        <stp/>
        <stp>VOLUME</stp>
        <stp>.NDX250516C19675</stp>
        <tr r="BE172" s="1"/>
        <tr r="BE172" s="1"/>
      </tp>
      <tp t="s">
        <v>N/A</v>
        <stp/>
        <stp>VOLUME</stp>
        <stp>.NDX250523C19375</stp>
        <tr r="H185" s="2"/>
      </tp>
      <tp t="s">
        <v>N/A</v>
        <stp/>
        <stp>VOLUME</stp>
        <stp>.NDX250620C20075</stp>
        <tr r="K157" s="2"/>
      </tp>
      <tp t="s">
        <v>N/A</v>
        <stp/>
        <stp>VOLUME</stp>
        <stp>.NDX250718C19875</stp>
        <tr r="M165" s="2"/>
      </tp>
      <tp t="s">
        <v>N/A</v>
        <stp/>
        <stp>VOLUME</stp>
        <stp>.NDX250523C20375</stp>
        <tr r="H145" s="2"/>
      </tp>
      <tp t="s">
        <v>N/A</v>
        <stp/>
        <stp>VOLUME</stp>
        <stp>.NDX251017C19750</stp>
        <tr r="S170" s="2"/>
      </tp>
      <tp t="s">
        <v>N/A</v>
        <stp/>
        <stp>VOLUME</stp>
        <stp>.NDX251219C19950</stp>
        <tr r="W162" s="2"/>
      </tp>
      <tp t="s">
        <v>N/A</v>
        <stp/>
        <stp>VOLUME</stp>
        <stp>.NDX251121C20150</stp>
        <tr r="U154" s="2"/>
      </tp>
      <tp t="s">
        <v>N/A</v>
        <stp/>
        <stp>VOLUME</stp>
        <stp>.NDX250815C19550</stp>
        <tr r="O178" s="2"/>
      </tp>
      <tp t="s">
        <v>N/A</v>
        <stp/>
        <stp>VOLUME</stp>
        <stp>.NDX250919C19950</stp>
        <tr r="Q162" s="2"/>
      </tp>
      <tp t="s">
        <v>N/A</v>
        <stp/>
        <stp>VOLUME</stp>
        <stp>.NDX250815C20550</stp>
        <tr r="O138" s="2"/>
      </tp>
      <tp t="s">
        <v>N/A</v>
        <stp/>
        <stp>VOLUME</stp>
        <stp>.NDX250516C19650</stp>
        <tr r="BE173" s="1"/>
      </tp>
      <tp t="s">
        <v>N/A</v>
        <stp/>
        <stp>VOLUME</stp>
        <stp>.NDX250523C19350</stp>
        <tr r="H186" s="2"/>
      </tp>
      <tp>
        <v>52</v>
        <stp/>
        <stp>VOLUME</stp>
        <stp>.NDX250620C20050</stp>
        <tr r="K158" s="2"/>
        <tr r="K158" s="2"/>
      </tp>
      <tp t="s">
        <v>N/A</v>
        <stp/>
        <stp>VOLUME</stp>
        <stp>.NDX250523C20350</stp>
        <tr r="H146" s="2"/>
      </tp>
      <tp t="s">
        <v>N/A</v>
        <stp/>
        <stp>VOLUME</stp>
        <stp>.NDX250718C19850</stp>
        <tr r="M166" s="2"/>
      </tp>
      <tp t="e">
        <v>#N/A</v>
        <stp/>
        <stp>MARK</stp>
        <stp/>
        <tr r="G44" s="1"/>
      </tp>
      <tp t="s">
        <v>N/A</v>
        <stp/>
        <stp>VOLUME</stp>
        <stp>.NDX251121P19600</stp>
        <tr r="U176" s="2"/>
      </tp>
      <tp t="s">
        <v>N/A</v>
        <stp/>
        <stp>VOLUME</stp>
        <stp>.NDX251017P20000</stp>
        <tr r="S160" s="2"/>
      </tp>
      <tp t="s">
        <v>N/A</v>
        <stp/>
        <stp>VOLUME</stp>
        <stp>.NDX250815P20200</stp>
        <tr r="O152" s="2"/>
      </tp>
      <tp t="s">
        <v>N/A</v>
        <stp/>
        <stp>VOLUME</stp>
        <stp>.NDX250523P19400</stp>
        <tr r="H184" s="2"/>
      </tp>
      <tp>
        <v>1</v>
        <stp/>
        <stp>VOLUME</stp>
        <stp>.NDX250620P19700</stp>
        <tr r="K172" s="2"/>
        <tr r="K172" s="2"/>
      </tp>
      <tp>
        <v>20</v>
        <stp/>
        <stp>VOLUME</stp>
        <stp>.NDX250516P20100</stp>
        <tr r="BF155" s="1"/>
        <tr r="BF155" s="1"/>
      </tp>
      <tp t="s">
        <v>N/A</v>
        <stp/>
        <stp>VOLUME</stp>
        <stp>.NDX250523P20400</stp>
        <tr r="H144" s="2"/>
      </tp>
      <tp t="s">
        <v>N/A</v>
        <stp/>
        <stp>VOLUME</stp>
        <stp>.NDX251121P19625</stp>
        <tr r="U175" s="2"/>
      </tp>
      <tp t="s">
        <v>N/A</v>
        <stp/>
        <stp>VOLUME</stp>
        <stp>.NDX251017P20025</stp>
        <tr r="S159" s="2"/>
      </tp>
      <tp t="s">
        <v>N/A</v>
        <stp/>
        <stp>VOLUME</stp>
        <stp>.NDX250815P20225</stp>
        <tr r="O151" s="2"/>
      </tp>
      <tp t="s">
        <v>N/A</v>
        <stp/>
        <stp>VOLUME</stp>
        <stp>.NDX250523P19425</stp>
        <tr r="H183" s="2"/>
      </tp>
      <tp t="s">
        <v>N/A</v>
        <stp/>
        <stp>VOLUME</stp>
        <stp>.NDX250620P19725</stp>
        <tr r="K171" s="2"/>
      </tp>
      <tp>
        <v>10</v>
        <stp/>
        <stp>VOLUME</stp>
        <stp>.NDX250516P20125</stp>
        <tr r="BF154" s="1"/>
        <tr r="BF154" s="1"/>
      </tp>
      <tp t="s">
        <v>N/A</v>
        <stp/>
        <stp>VOLUME</stp>
        <stp>.NDX250523P20425</stp>
        <tr r="H143" s="2"/>
      </tp>
      <tp t="s">
        <v>N/A</v>
        <stp/>
        <stp>VOLUME</stp>
        <stp>.NDX250815P19250</stp>
        <tr r="O190" s="2"/>
      </tp>
      <tp t="s">
        <v>N/A</v>
        <stp/>
        <stp>VOLUME</stp>
        <stp>.NDX250815P20250</stp>
        <tr r="O150" s="2"/>
      </tp>
      <tp t="s">
        <v>N/A</v>
        <stp/>
        <stp>VOLUME</stp>
        <stp>.NDX250523P19450</stp>
        <tr r="H182" s="2"/>
      </tp>
      <tp>
        <v>5</v>
        <stp/>
        <stp>VOLUME</stp>
        <stp>.NDX250620P19750</stp>
        <tr r="K170" s="2"/>
        <tr r="K170" s="2"/>
      </tp>
      <tp>
        <v>7</v>
        <stp/>
        <stp>VOLUME</stp>
        <stp>.NDX250516P20150</stp>
        <tr r="BF153" s="1"/>
        <tr r="BF153" s="1"/>
      </tp>
      <tp t="s">
        <v>N/A</v>
        <stp/>
        <stp>VOLUME</stp>
        <stp>.NDX250523P20450</stp>
        <tr r="H142" s="2"/>
      </tp>
      <tp t="s">
        <v>N/A</v>
        <stp/>
        <stp>VOLUME</stp>
        <stp>.NDX251121P19650</stp>
        <tr r="U174" s="2"/>
      </tp>
      <tp t="s">
        <v>N/A</v>
        <stp/>
        <stp>VOLUME</stp>
        <stp>.NDX251017P20050</stp>
        <tr r="S158" s="2"/>
      </tp>
      <tp t="s">
        <v>N/A</v>
        <stp/>
        <stp>VOLUME</stp>
        <stp>.NDX250815P19275</stp>
        <tr r="O189" s="2"/>
      </tp>
      <tp t="s">
        <v>N/A</v>
        <stp/>
        <stp>VOLUME</stp>
        <stp>.NDX250815P20275</stp>
        <tr r="O149" s="2"/>
      </tp>
      <tp t="s">
        <v>N/A</v>
        <stp/>
        <stp>VOLUME</stp>
        <stp>.NDX250523P19475</stp>
        <tr r="H181" s="2"/>
      </tp>
      <tp t="s">
        <v>N/A</v>
        <stp/>
        <stp>VOLUME</stp>
        <stp>.NDX250620P19775</stp>
        <tr r="K169" s="2"/>
      </tp>
      <tp>
        <v>8</v>
        <stp/>
        <stp>VOLUME</stp>
        <stp>.NDX250516P20175</stp>
        <tr r="BF152" s="1"/>
        <tr r="BF152" s="1"/>
      </tp>
      <tp t="s">
        <v>N/A</v>
        <stp/>
        <stp>VOLUME</stp>
        <stp>.NDX250523P20475</stp>
        <tr r="H141" s="2"/>
      </tp>
      <tp t="s">
        <v>N/A</v>
        <stp/>
        <stp>VOLUME</stp>
        <stp>.NDX251121P19675</stp>
        <tr r="U173" s="2"/>
      </tp>
      <tp t="s">
        <v>N/A</v>
        <stp/>
        <stp>VOLUME</stp>
        <stp>.NDX251017P20075</stp>
        <tr r="S157" s="2"/>
      </tp>
      <tp t="s">
        <v>N/A</v>
        <stp/>
        <stp>VOLUME</stp>
        <stp>.NDX250815C20225</stp>
        <tr r="O151" s="2"/>
      </tp>
      <tp t="s">
        <v>N/A</v>
        <stp/>
        <stp>VOLUME</stp>
        <stp>.NDX250523C19425</stp>
        <tr r="H183" s="2"/>
      </tp>
      <tp t="s">
        <v>N/A</v>
        <stp/>
        <stp>VOLUME</stp>
        <stp>.NDX250620C19725</stp>
        <tr r="K171" s="2"/>
      </tp>
      <tp>
        <v>20</v>
        <stp/>
        <stp>VOLUME</stp>
        <stp>.NDX250516C20125</stp>
        <tr r="BE154" s="1"/>
        <tr r="BE154" s="1"/>
      </tp>
      <tp t="s">
        <v>N/A</v>
        <stp/>
        <stp>VOLUME</stp>
        <stp>.NDX250523C20425</stp>
        <tr r="H143" s="2"/>
      </tp>
      <tp t="s">
        <v>N/A</v>
        <stp/>
        <stp>VOLUME</stp>
        <stp>.NDX251121C19625</stp>
        <tr r="U175" s="2"/>
      </tp>
      <tp t="s">
        <v>N/A</v>
        <stp/>
        <stp>VOLUME</stp>
        <stp>.NDX251017C20025</stp>
        <tr r="S159" s="2"/>
      </tp>
      <tp t="s">
        <v>N/A</v>
        <stp/>
        <stp>VOLUME</stp>
        <stp>.NDX250815C20200</stp>
        <tr r="O152" s="2"/>
      </tp>
      <tp t="s">
        <v>N/A</v>
        <stp/>
        <stp>VOLUME</stp>
        <stp>.NDX250523C19400</stp>
        <tr r="H184" s="2"/>
      </tp>
      <tp t="s">
        <v>N/A</v>
        <stp/>
        <stp>VOLUME</stp>
        <stp>.NDX250620C19700</stp>
        <tr r="K172" s="2"/>
      </tp>
      <tp>
        <v>24</v>
        <stp/>
        <stp>VOLUME</stp>
        <stp>.NDX250516C20100</stp>
        <tr r="BE155" s="1"/>
        <tr r="BE155" s="1"/>
      </tp>
      <tp t="s">
        <v>N/A</v>
        <stp/>
        <stp>VOLUME</stp>
        <stp>.NDX250523C20400</stp>
        <tr r="H144" s="2"/>
      </tp>
      <tp t="s">
        <v>N/A</v>
        <stp/>
        <stp>VOLUME</stp>
        <stp>.NDX251121C19600</stp>
        <tr r="U176" s="2"/>
      </tp>
      <tp t="s">
        <v>N/A</v>
        <stp/>
        <stp>VOLUME</stp>
        <stp>.NDX251017C20000</stp>
        <tr r="S160" s="2"/>
      </tp>
      <tp t="s">
        <v>N/A</v>
        <stp/>
        <stp>VOLUME</stp>
        <stp>.NDX251121C19675</stp>
        <tr r="U173" s="2"/>
      </tp>
      <tp t="s">
        <v>N/A</v>
        <stp/>
        <stp>VOLUME</stp>
        <stp>.NDX251017C20075</stp>
        <tr r="S157" s="2"/>
      </tp>
      <tp t="s">
        <v>N/A</v>
        <stp/>
        <stp>VOLUME</stp>
        <stp>.NDX250815C19275</stp>
        <tr r="O189" s="2"/>
      </tp>
      <tp t="s">
        <v>N/A</v>
        <stp/>
        <stp>VOLUME</stp>
        <stp>.NDX250815C20275</stp>
        <tr r="O149" s="2"/>
      </tp>
      <tp t="s">
        <v>N/A</v>
        <stp/>
        <stp>VOLUME</stp>
        <stp>.NDX250523C19475</stp>
        <tr r="H181" s="2"/>
      </tp>
      <tp>
        <v>1</v>
        <stp/>
        <stp>VOLUME</stp>
        <stp>.NDX250620C19775</stp>
        <tr r="K169" s="2"/>
        <tr r="K169" s="2"/>
      </tp>
      <tp>
        <v>11</v>
        <stp/>
        <stp>VOLUME</stp>
        <stp>.NDX250516C20175</stp>
        <tr r="BE152" s="1"/>
        <tr r="BE152" s="1"/>
      </tp>
      <tp t="s">
        <v>N/A</v>
        <stp/>
        <stp>VOLUME</stp>
        <stp>.NDX250523C20475</stp>
        <tr r="H141" s="2"/>
      </tp>
      <tp t="s">
        <v>N/A</v>
        <stp/>
        <stp>VOLUME</stp>
        <stp>.NDX251121C19650</stp>
        <tr r="U174" s="2"/>
      </tp>
      <tp t="s">
        <v>N/A</v>
        <stp/>
        <stp>VOLUME</stp>
        <stp>.NDX251017C20050</stp>
        <tr r="S158" s="2"/>
      </tp>
      <tp t="s">
        <v>N/A</v>
        <stp/>
        <stp>VOLUME</stp>
        <stp>.NDX250815C19250</stp>
        <tr r="O190" s="2"/>
      </tp>
      <tp t="s">
        <v>N/A</v>
        <stp/>
        <stp>VOLUME</stp>
        <stp>.NDX250815C20250</stp>
        <tr r="O150" s="2"/>
      </tp>
      <tp t="s">
        <v>N/A</v>
        <stp/>
        <stp>VOLUME</stp>
        <stp>.NDX250523C19450</stp>
        <tr r="H182" s="2"/>
      </tp>
      <tp>
        <v>1</v>
        <stp/>
        <stp>VOLUME</stp>
        <stp>.NDX250620C19750</stp>
        <tr r="K170" s="2"/>
        <tr r="K170" s="2"/>
      </tp>
      <tp>
        <v>10</v>
        <stp/>
        <stp>VOLUME</stp>
        <stp>.NDX250516C20150</stp>
        <tr r="BE153" s="1"/>
        <tr r="BE153" s="1"/>
      </tp>
      <tp t="s">
        <v>N/A</v>
        <stp/>
        <stp>VOLUME</stp>
        <stp>.NDX250523C20450</stp>
        <tr r="H142" s="2"/>
      </tp>
      <tp t="s">
        <v>N/A</v>
        <stp/>
        <stp>VOLUME</stp>
        <stp>.NDX251121P19700</stp>
        <tr r="U172" s="2"/>
      </tp>
      <tp t="s">
        <v>N/A</v>
        <stp/>
        <stp>VOLUME</stp>
        <stp>.NDX251017P20100</stp>
        <tr r="S156" s="2"/>
      </tp>
      <tp t="s">
        <v>N/A</v>
        <stp/>
        <stp>VOLUME</stp>
        <stp>.NDX250815P19300</stp>
        <tr r="O188" s="2"/>
      </tp>
      <tp t="s">
        <v>N/A</v>
        <stp/>
        <stp>VOLUME</stp>
        <stp>.NDX250815P20300</stp>
        <tr r="O148" s="2"/>
      </tp>
      <tp t="s">
        <v>N/A</v>
        <stp/>
        <stp>VOLUME</stp>
        <stp>.NDX250523P19500</stp>
        <tr r="H180" s="2"/>
      </tp>
      <tp t="s">
        <v>N/A</v>
        <stp/>
        <stp>VOLUME</stp>
        <stp>.NDX250620P19600</stp>
        <tr r="K176" s="2"/>
      </tp>
      <tp>
        <v>21</v>
        <stp/>
        <stp>VOLUME</stp>
        <stp>.NDX250516P20000</stp>
        <tr r="BF159" s="1"/>
        <tr r="BF159" s="1"/>
      </tp>
      <tp t="s">
        <v>N/A</v>
        <stp/>
        <stp>VOLUME</stp>
        <stp>.NDX250523P20500</stp>
        <tr r="H140" s="2"/>
      </tp>
      <tp t="s">
        <v>N/A</v>
        <stp/>
        <stp>VOLUME</stp>
        <stp>.NDX251121P19725</stp>
        <tr r="U171" s="2"/>
      </tp>
      <tp t="s">
        <v>N/A</v>
        <stp/>
        <stp>VOLUME</stp>
        <stp>.NDX251017P20125</stp>
        <tr r="S155" s="2"/>
      </tp>
      <tp t="s">
        <v>N/A</v>
        <stp/>
        <stp>VOLUME</stp>
        <stp>.NDX250815P19325</stp>
        <tr r="O187" s="2"/>
      </tp>
      <tp t="s">
        <v>N/A</v>
        <stp/>
        <stp>VOLUME</stp>
        <stp>.NDX250815P20325</stp>
        <tr r="O147" s="2"/>
      </tp>
      <tp t="s">
        <v>N/A</v>
        <stp/>
        <stp>VOLUME</stp>
        <stp>.NDX250523P19525</stp>
        <tr r="H179" s="2"/>
      </tp>
      <tp>
        <v>1</v>
        <stp/>
        <stp>VOLUME</stp>
        <stp>.NDX250620P19625</stp>
        <tr r="K175" s="2"/>
        <tr r="K175" s="2"/>
      </tp>
      <tp>
        <v>10</v>
        <stp/>
        <stp>VOLUME</stp>
        <stp>.NDX250516P20025</stp>
        <tr r="BF158" s="1"/>
        <tr r="BF158" s="1"/>
      </tp>
      <tp t="s">
        <v>N/A</v>
        <stp/>
        <stp>VOLUME</stp>
        <stp>.NDX250523P20525</stp>
        <tr r="H139" s="2"/>
      </tp>
      <tp t="s">
        <v>N/A</v>
        <stp/>
        <stp>VOLUME</stp>
        <stp>.NDX250815P19350</stp>
        <tr r="O186" s="2"/>
      </tp>
      <tp t="s">
        <v>N/A</v>
        <stp/>
        <stp>VOLUME</stp>
        <stp>.NDX250815P20350</stp>
        <tr r="O146" s="2"/>
      </tp>
      <tp t="s">
        <v>N/A</v>
        <stp/>
        <stp>VOLUME</stp>
        <stp>.NDX250523P19550</stp>
        <tr r="H178" s="2"/>
      </tp>
      <tp t="s">
        <v>N/A</v>
        <stp/>
        <stp>VOLUME</stp>
        <stp>.NDX250620P19650</stp>
        <tr r="K174" s="2"/>
      </tp>
      <tp>
        <v>17</v>
        <stp/>
        <stp>VOLUME</stp>
        <stp>.NDX250516P20050</stp>
        <tr r="BF157" s="1"/>
        <tr r="BF157" s="1"/>
      </tp>
      <tp t="s">
        <v>N/A</v>
        <stp/>
        <stp>VOLUME</stp>
        <stp>.NDX250523P20550</stp>
        <tr r="H138" s="2"/>
      </tp>
      <tp t="s">
        <v>N/A</v>
        <stp/>
        <stp>VOLUME</stp>
        <stp>.NDX251121P19750</stp>
        <tr r="U170" s="2"/>
      </tp>
      <tp t="s">
        <v>N/A</v>
        <stp/>
        <stp>VOLUME</stp>
        <stp>.NDX251017P20150</stp>
        <tr r="S154" s="2"/>
      </tp>
      <tp t="s">
        <v>N/A</v>
        <stp/>
        <stp>VOLUME</stp>
        <stp>.NDX250815P19375</stp>
        <tr r="O185" s="2"/>
      </tp>
      <tp t="s">
        <v>N/A</v>
        <stp/>
        <stp>VOLUME</stp>
        <stp>.NDX250815P20375</stp>
        <tr r="O145" s="2"/>
      </tp>
      <tp t="s">
        <v>N/A</v>
        <stp/>
        <stp>VOLUME</stp>
        <stp>.NDX250523P19575</stp>
        <tr r="H177" s="2"/>
      </tp>
      <tp t="s">
        <v>N/A</v>
        <stp/>
        <stp>VOLUME</stp>
        <stp>.NDX250620P19675</stp>
        <tr r="K173" s="2"/>
      </tp>
      <tp>
        <v>26</v>
        <stp/>
        <stp>VOLUME</stp>
        <stp>.NDX250516P20075</stp>
        <tr r="BF156" s="1"/>
        <tr r="BF156" s="1"/>
      </tp>
      <tp t="s">
        <v>N/A</v>
        <stp/>
        <stp>VOLUME</stp>
        <stp>.NDX251121P19775</stp>
        <tr r="U169" s="2"/>
      </tp>
      <tp t="s">
        <v>N/A</v>
        <stp/>
        <stp>VOLUME</stp>
        <stp>.NDX251017P20175</stp>
        <tr r="S153" s="2"/>
      </tp>
      <tp t="s">
        <v>N/A</v>
        <stp/>
        <stp>VOLUME</stp>
        <stp>.NDX250815C19325</stp>
        <tr r="O187" s="2"/>
      </tp>
      <tp t="s">
        <v>N/A</v>
        <stp/>
        <stp>VOLUME</stp>
        <stp>.NDX250815C20325</stp>
        <tr r="O147" s="2"/>
      </tp>
      <tp t="s">
        <v>N/A</v>
        <stp/>
        <stp>VOLUME</stp>
        <stp>.NDX250523C19525</stp>
        <tr r="H179" s="2"/>
      </tp>
      <tp>
        <v>10</v>
        <stp/>
        <stp>VOLUME</stp>
        <stp>.NDX250620C19625</stp>
        <tr r="K175" s="2"/>
        <tr r="K175" s="2"/>
      </tp>
      <tp>
        <v>5</v>
        <stp/>
        <stp>VOLUME</stp>
        <stp>.NDX250516C20025</stp>
        <tr r="BE158" s="1"/>
        <tr r="BE158" s="1"/>
      </tp>
      <tp t="s">
        <v>N/A</v>
        <stp/>
        <stp>VOLUME</stp>
        <stp>.NDX250523C20525</stp>
        <tr r="H139" s="2"/>
      </tp>
      <tp t="s">
        <v>N/A</v>
        <stp/>
        <stp>VOLUME</stp>
        <stp>.NDX251121C19725</stp>
        <tr r="U171" s="2"/>
      </tp>
      <tp t="s">
        <v>N/A</v>
        <stp/>
        <stp>VOLUME</stp>
        <stp>.NDX251017C20125</stp>
        <tr r="S155" s="2"/>
      </tp>
      <tp t="s">
        <v>N/A</v>
        <stp/>
        <stp>VOLUME</stp>
        <stp>.NDX250815C19300</stp>
        <tr r="O188" s="2"/>
      </tp>
      <tp t="s">
        <v>N/A</v>
        <stp/>
        <stp>VOLUME</stp>
        <stp>.NDX250815C20300</stp>
        <tr r="O148" s="2"/>
      </tp>
      <tp t="s">
        <v>N/A</v>
        <stp/>
        <stp>VOLUME</stp>
        <stp>.NDX250523C19500</stp>
        <tr r="H180" s="2"/>
      </tp>
      <tp t="s">
        <v>N/A</v>
        <stp/>
        <stp>VOLUME</stp>
        <stp>.NDX250620C19600</stp>
        <tr r="K176" s="2"/>
      </tp>
      <tp>
        <v>18</v>
        <stp/>
        <stp>VOLUME</stp>
        <stp>.NDX250516C20000</stp>
        <tr r="BE159" s="1"/>
        <tr r="BE159" s="1"/>
      </tp>
      <tp t="s">
        <v>N/A</v>
        <stp/>
        <stp>VOLUME</stp>
        <stp>.NDX250523C20500</stp>
        <tr r="H140" s="2"/>
      </tp>
      <tp t="s">
        <v>N/A</v>
        <stp/>
        <stp>VOLUME</stp>
        <stp>.NDX251121C19700</stp>
        <tr r="U172" s="2"/>
      </tp>
      <tp t="s">
        <v>N/A</v>
        <stp/>
        <stp>VOLUME</stp>
        <stp>.NDX251017C20100</stp>
        <tr r="S156" s="2"/>
      </tp>
      <tp t="s">
        <v>N/A</v>
        <stp/>
        <stp>VOLUME</stp>
        <stp>.NDX251121C19775</stp>
        <tr r="U169" s="2"/>
      </tp>
      <tp t="s">
        <v>N/A</v>
        <stp/>
        <stp>VOLUME</stp>
        <stp>.NDX251017C20175</stp>
        <tr r="S153" s="2"/>
      </tp>
      <tp t="s">
        <v>N/A</v>
        <stp/>
        <stp>VOLUME</stp>
        <stp>.NDX250815C19375</stp>
        <tr r="O185" s="2"/>
      </tp>
      <tp t="s">
        <v>N/A</v>
        <stp/>
        <stp>VOLUME</stp>
        <stp>.NDX250815C20375</stp>
        <tr r="O145" s="2"/>
      </tp>
      <tp t="s">
        <v>N/A</v>
        <stp/>
        <stp>VOLUME</stp>
        <stp>.NDX250523C19575</stp>
        <tr r="H177" s="2"/>
      </tp>
      <tp t="s">
        <v>N/A</v>
        <stp/>
        <stp>VOLUME</stp>
        <stp>.NDX250620C19675</stp>
        <tr r="K173" s="2"/>
      </tp>
      <tp>
        <v>36</v>
        <stp/>
        <stp>VOLUME</stp>
        <stp>.NDX250516C20075</stp>
        <tr r="BE156" s="1"/>
        <tr r="BE156" s="1"/>
      </tp>
      <tp t="s">
        <v>N/A</v>
        <stp/>
        <stp>VOLUME</stp>
        <stp>.NDX251121C19750</stp>
        <tr r="U170" s="2"/>
      </tp>
      <tp t="s">
        <v>N/A</v>
        <stp/>
        <stp>VOLUME</stp>
        <stp>.NDX251017C20150</stp>
        <tr r="S154" s="2"/>
      </tp>
      <tp t="s">
        <v>N/A</v>
        <stp/>
        <stp>VOLUME</stp>
        <stp>.NDX250815C19350</stp>
        <tr r="O186" s="2"/>
      </tp>
      <tp t="s">
        <v>N/A</v>
        <stp/>
        <stp>VOLUME</stp>
        <stp>.NDX250815C20350</stp>
        <tr r="O146" s="2"/>
      </tp>
      <tp t="s">
        <v>N/A</v>
        <stp/>
        <stp>VOLUME</stp>
        <stp>.NDX250523C19550</stp>
        <tr r="H178" s="2"/>
      </tp>
      <tp t="s">
        <v>N/A</v>
        <stp/>
        <stp>VOLUME</stp>
        <stp>.NDX250620C19650</stp>
        <tr r="K174" s="2"/>
      </tp>
      <tp>
        <v>4</v>
        <stp/>
        <stp>VOLUME</stp>
        <stp>.NDX250516C20050</stp>
        <tr r="BE157" s="1"/>
        <tr r="BE157" s="1"/>
      </tp>
      <tp t="s">
        <v>N/A</v>
        <stp/>
        <stp>VOLUME</stp>
        <stp>.NDX250523C20550</stp>
        <tr r="H138" s="2"/>
      </tp>
      <tp>
        <v>5746.5</v>
        <stp/>
        <stp>MARK</stp>
        <stp>/ES:XCME</stp>
        <tr r="F84" s="1"/>
        <tr r="F3" s="1"/>
      </tp>
      <tp t="s">
        <v>52.63%</v>
        <stp/>
        <stp>IMPL_VOL</stp>
        <stp>.NDXP250508C19975</stp>
        <tr r="EL160" s="1"/>
      </tp>
      <tp t="s">
        <v>--</v>
        <stp/>
        <stp>IMPL_VOL</stp>
        <stp>.NDXP250509C19875</stp>
        <tr r="EN164" s="1"/>
      </tp>
      <tp t="s">
        <v>72.02%</v>
        <stp/>
        <stp>IMPL_VOL</stp>
        <stp>.NDXP250508C19950</stp>
        <tr r="EL161" s="1"/>
      </tp>
      <tp t="s">
        <v>--</v>
        <stp/>
        <stp>IMPL_VOL</stp>
        <stp>.NDXP250509C19850</stp>
        <tr r="EN165" s="1"/>
      </tp>
      <tp t="s">
        <v>82.13%</v>
        <stp/>
        <stp>IMPL_VOL</stp>
        <stp>.NDXP250508C19925</stp>
        <tr r="EL162" s="1"/>
      </tp>
      <tp t="s">
        <v>73.54%</v>
        <stp/>
        <stp>IMPL_VOL</stp>
        <stp>.NDXP250509C19825</stp>
        <tr r="EN166" s="1"/>
      </tp>
      <tp t="s">
        <v>92.83%</v>
        <stp/>
        <stp>IMPL_VOL</stp>
        <stp>.NDXP250508C19900</stp>
        <tr r="EL163" s="1"/>
      </tp>
      <tp t="s">
        <v>--</v>
        <stp/>
        <stp>IMPL_VOL</stp>
        <stp>.NDXP250509C19800</stp>
        <tr r="EN167" s="1"/>
      </tp>
      <tp t="s">
        <v>N/A</v>
        <stp/>
        <stp>VOLUME</stp>
        <stp>.NDX251121P19400</stp>
        <tr r="U184" s="2"/>
      </tp>
      <tp t="s">
        <v>N/A</v>
        <stp/>
        <stp>VOLUME</stp>
        <stp>.NDX251121P20400</stp>
        <tr r="U144" s="2"/>
      </tp>
      <tp t="s">
        <v>N/A</v>
        <stp/>
        <stp>VOLUME</stp>
        <stp>.NDX251017P20200</stp>
        <tr r="S152" s="2"/>
      </tp>
      <tp t="s">
        <v>N/A</v>
        <stp/>
        <stp>VOLUME</stp>
        <stp>.NDX250815P20000</stp>
        <tr r="O160" s="2"/>
      </tp>
      <tp>
        <v>31</v>
        <stp/>
        <stp>VOLUME</stp>
        <stp>.NDX250516P19300</stp>
        <tr r="BF187" s="1"/>
        <tr r="BF187" s="1"/>
      </tp>
      <tp t="s">
        <v>N/A</v>
        <stp/>
        <stp>VOLUME</stp>
        <stp>.NDX250523P19600</stp>
        <tr r="H176" s="2"/>
      </tp>
      <tp>
        <v>4</v>
        <stp/>
        <stp>VOLUME</stp>
        <stp>.NDX250620P20500</stp>
        <tr r="K140" s="2"/>
        <tr r="K140" s="2"/>
      </tp>
      <tp>
        <v>1</v>
        <stp/>
        <stp>VOLUME</stp>
        <stp>.NDX250620P19500</stp>
        <tr r="K180" s="2"/>
        <tr r="K180" s="2"/>
      </tp>
      <tp>
        <v>6</v>
        <stp/>
        <stp>VOLUME</stp>
        <stp>.NDX250516P20300</stp>
        <tr r="BF147" s="1"/>
        <tr r="BF147" s="1"/>
      </tp>
      <tp t="s">
        <v>N/A</v>
        <stp/>
        <stp>VOLUME</stp>
        <stp>.NDX251121P19425</stp>
        <tr r="U183" s="2"/>
      </tp>
      <tp t="s">
        <v>N/A</v>
        <stp/>
        <stp>VOLUME</stp>
        <stp>.NDX251017P20225</stp>
        <tr r="S151" s="2"/>
      </tp>
      <tp t="s">
        <v>N/A</v>
        <stp/>
        <stp>VOLUME</stp>
        <stp>.NDX251121P20425</stp>
        <tr r="U143" s="2"/>
      </tp>
      <tp t="s">
        <v>N/A</v>
        <stp/>
        <stp>VOLUME</stp>
        <stp>.NDX250815P20025</stp>
        <tr r="O159" s="2"/>
      </tp>
      <tp>
        <v>36</v>
        <stp/>
        <stp>VOLUME</stp>
        <stp>.NDX250516P19325</stp>
        <tr r="BF186" s="1"/>
        <tr r="BF186" s="1"/>
      </tp>
      <tp t="s">
        <v>N/A</v>
        <stp/>
        <stp>VOLUME</stp>
        <stp>.NDX250523P19625</stp>
        <tr r="H175" s="2"/>
      </tp>
      <tp t="s">
        <v>N/A</v>
        <stp/>
        <stp>VOLUME</stp>
        <stp>.NDX250620P20525</stp>
        <tr r="K139" s="2"/>
      </tp>
      <tp>
        <v>3</v>
        <stp/>
        <stp>VOLUME</stp>
        <stp>.NDX250620P19525</stp>
        <tr r="K179" s="2"/>
        <tr r="K179" s="2"/>
      </tp>
      <tp>
        <v>11</v>
        <stp/>
        <stp>VOLUME</stp>
        <stp>.NDX250516P20325</stp>
        <tr r="BF146" s="1"/>
        <tr r="BF146" s="1"/>
      </tp>
      <tp t="s">
        <v>N/A</v>
        <stp/>
        <stp>VOLUME</stp>
        <stp>.NDX250815P20050</stp>
        <tr r="O158" s="2"/>
      </tp>
      <tp>
        <v>30</v>
        <stp/>
        <stp>VOLUME</stp>
        <stp>.NDX250516P19350</stp>
        <tr r="BF185" s="1"/>
        <tr r="BF185" s="1"/>
      </tp>
      <tp t="s">
        <v>N/A</v>
        <stp/>
        <stp>VOLUME</stp>
        <stp>.NDX250523P19650</stp>
        <tr r="H174" s="2"/>
      </tp>
      <tp t="s">
        <v>N/A</v>
        <stp/>
        <stp>VOLUME</stp>
        <stp>.NDX250620P20550</stp>
        <tr r="K138" s="2"/>
      </tp>
      <tp>
        <v>2</v>
        <stp/>
        <stp>VOLUME</stp>
        <stp>.NDX250620P19550</stp>
        <tr r="K178" s="2"/>
        <tr r="K178" s="2"/>
      </tp>
      <tp>
        <v>8</v>
        <stp/>
        <stp>VOLUME</stp>
        <stp>.NDX250516P20350</stp>
        <tr r="BF145" s="1"/>
        <tr r="BF145" s="1"/>
      </tp>
      <tp t="s">
        <v>N/A</v>
        <stp/>
        <stp>VOLUME</stp>
        <stp>.NDX251017P19250</stp>
        <tr r="S190" s="2"/>
      </tp>
      <tp t="s">
        <v>N/A</v>
        <stp/>
        <stp>VOLUME</stp>
        <stp>.NDX251121P19450</stp>
        <tr r="U182" s="2"/>
      </tp>
      <tp t="s">
        <v>N/A</v>
        <stp/>
        <stp>VOLUME</stp>
        <stp>.NDX251121P20450</stp>
        <tr r="U142" s="2"/>
      </tp>
      <tp t="s">
        <v>N/A</v>
        <stp/>
        <stp>VOLUME</stp>
        <stp>.NDX251017P20250</stp>
        <tr r="S150" s="2"/>
      </tp>
      <tp t="s">
        <v>N/A</v>
        <stp/>
        <stp>VOLUME</stp>
        <stp>.NDX250815P20075</stp>
        <tr r="O157" s="2"/>
      </tp>
      <tp>
        <v>16</v>
        <stp/>
        <stp>VOLUME</stp>
        <stp>.NDX250516P19375</stp>
        <tr r="BF184" s="1"/>
        <tr r="BF184" s="1"/>
      </tp>
      <tp t="s">
        <v>N/A</v>
        <stp/>
        <stp>VOLUME</stp>
        <stp>.NDX250523P19675</stp>
        <tr r="H173" s="2"/>
      </tp>
      <tp>
        <v>1</v>
        <stp/>
        <stp>VOLUME</stp>
        <stp>.NDX250620P19575</stp>
        <tr r="K177" s="2"/>
        <tr r="K177" s="2"/>
      </tp>
      <tp t="s">
        <v>N/A</v>
        <stp/>
        <stp>VOLUME</stp>
        <stp>.NDX250516P20375</stp>
        <tr r="BF144" s="1"/>
      </tp>
      <tp t="s">
        <v>N/A</v>
        <stp/>
        <stp>VOLUME</stp>
        <stp>.NDX251121P19475</stp>
        <tr r="U181" s="2"/>
      </tp>
      <tp t="s">
        <v>N/A</v>
        <stp/>
        <stp>VOLUME</stp>
        <stp>.NDX251017P19275</stp>
        <tr r="S189" s="2"/>
      </tp>
      <tp t="s">
        <v>N/A</v>
        <stp/>
        <stp>VOLUME</stp>
        <stp>.NDX251017P20275</stp>
        <tr r="S149" s="2"/>
      </tp>
      <tp t="s">
        <v>N/A</v>
        <stp/>
        <stp>VOLUME</stp>
        <stp>.NDX251121P20475</stp>
        <tr r="U141" s="2"/>
      </tp>
      <tp t="s">
        <v>25.88%</v>
        <stp/>
        <stp>IMPL_VOL</stp>
        <stp>.NDXP250508P19950</stp>
        <tr r="EM161" s="1"/>
      </tp>
      <tp t="s">
        <v>116.98%</v>
        <stp/>
        <stp>IMPL_VOL</stp>
        <stp>.NDXP250509P19850</stp>
        <tr r="EO165" s="1"/>
      </tp>
      <tp t="s">
        <v>24.58%</v>
        <stp/>
        <stp>IMPL_VOL</stp>
        <stp>.NDXP250508P19975</stp>
        <tr r="EM160" s="1"/>
      </tp>
      <tp t="s">
        <v>106.98%</v>
        <stp/>
        <stp>IMPL_VOL</stp>
        <stp>.NDXP250509P19875</stp>
        <tr r="EO164" s="1"/>
      </tp>
      <tp t="s">
        <v>96.76%</v>
        <stp/>
        <stp>IMPL_VOL</stp>
        <stp>.NDXP250508P19900</stp>
        <tr r="EM163" s="1"/>
      </tp>
      <tp t="s">
        <v>56.53%</v>
        <stp/>
        <stp>IMPL_VOL</stp>
        <stp>.NDXP250509P19800</stp>
        <tr r="EO167" s="1"/>
      </tp>
      <tp t="s">
        <v>41.49%</v>
        <stp/>
        <stp>IMPL_VOL</stp>
        <stp>.NDXP250508P19925</stp>
        <tr r="EM162" s="1"/>
      </tp>
      <tp t="s">
        <v>126.80%</v>
        <stp/>
        <stp>IMPL_VOL</stp>
        <stp>.NDXP250509P19825</stp>
        <tr r="EO166" s="1"/>
      </tp>
      <tp t="s">
        <v>N/A</v>
        <stp/>
        <stp>VOLUME</stp>
        <stp>.NDX250815C20025</stp>
        <tr r="O159" s="2"/>
      </tp>
      <tp t="s">
        <v>N/A</v>
        <stp/>
        <stp>VOLUME</stp>
        <stp>.NDX250516C19325</stp>
        <tr r="BE186" s="1"/>
      </tp>
      <tp t="s">
        <v>N/A</v>
        <stp/>
        <stp>VOLUME</stp>
        <stp>.NDX250523C19625</stp>
        <tr r="H175" s="2"/>
      </tp>
      <tp t="s">
        <v>N/A</v>
        <stp/>
        <stp>VOLUME</stp>
        <stp>.NDX250620C20525</stp>
        <tr r="K139" s="2"/>
      </tp>
      <tp t="s">
        <v>N/A</v>
        <stp/>
        <stp>VOLUME</stp>
        <stp>.NDX250620C19525</stp>
        <tr r="K179" s="2"/>
      </tp>
      <tp>
        <v>1</v>
        <stp/>
        <stp>VOLUME</stp>
        <stp>.NDX250516C20325</stp>
        <tr r="BE146" s="1"/>
        <tr r="BE146" s="1"/>
      </tp>
      <tp t="s">
        <v>N/A</v>
        <stp/>
        <stp>VOLUME</stp>
        <stp>.NDX251121C19425</stp>
        <tr r="U183" s="2"/>
      </tp>
      <tp t="s">
        <v>N/A</v>
        <stp/>
        <stp>VOLUME</stp>
        <stp>.NDX251017C20225</stp>
        <tr r="S151" s="2"/>
      </tp>
      <tp t="s">
        <v>N/A</v>
        <stp/>
        <stp>VOLUME</stp>
        <stp>.NDX251121C20425</stp>
        <tr r="U143" s="2"/>
      </tp>
      <tp t="s">
        <v>N/A</v>
        <stp/>
        <stp>VOLUME</stp>
        <stp>.NDX250815C20000</stp>
        <tr r="O160" s="2"/>
      </tp>
      <tp t="s">
        <v>N/A</v>
        <stp/>
        <stp>VOLUME</stp>
        <stp>.NDX250516C19300</stp>
        <tr r="BE187" s="1"/>
      </tp>
      <tp t="s">
        <v>N/A</v>
        <stp/>
        <stp>VOLUME</stp>
        <stp>.NDX250523C19600</stp>
        <tr r="H176" s="2"/>
      </tp>
      <tp t="s">
        <v>N/A</v>
        <stp/>
        <stp>VOLUME</stp>
        <stp>.NDX250620C20500</stp>
        <tr r="K140" s="2"/>
      </tp>
      <tp t="s">
        <v>N/A</v>
        <stp/>
        <stp>VOLUME</stp>
        <stp>.NDX250620C19500</stp>
        <tr r="K180" s="2"/>
      </tp>
      <tp>
        <v>8</v>
        <stp/>
        <stp>VOLUME</stp>
        <stp>.NDX250516C20300</stp>
        <tr r="BE147" s="1"/>
        <tr r="BE147" s="1"/>
      </tp>
      <tp t="s">
        <v>N/A</v>
        <stp/>
        <stp>VOLUME</stp>
        <stp>.NDX251121C19400</stp>
        <tr r="U184" s="2"/>
      </tp>
      <tp t="s">
        <v>N/A</v>
        <stp/>
        <stp>VOLUME</stp>
        <stp>.NDX251121C20400</stp>
        <tr r="U144" s="2"/>
      </tp>
      <tp t="s">
        <v>N/A</v>
        <stp/>
        <stp>VOLUME</stp>
        <stp>.NDX251017C20200</stp>
        <tr r="S152" s="2"/>
      </tp>
      <tp t="s">
        <v>N/A</v>
        <stp/>
        <stp>VOLUME</stp>
        <stp>.NDX251121C19475</stp>
        <tr r="U181" s="2"/>
      </tp>
      <tp t="s">
        <v>N/A</v>
        <stp/>
        <stp>VOLUME</stp>
        <stp>.NDX251017C19275</stp>
        <tr r="S189" s="2"/>
      </tp>
      <tp t="s">
        <v>N/A</v>
        <stp/>
        <stp>VOLUME</stp>
        <stp>.NDX251017C20275</stp>
        <tr r="S149" s="2"/>
      </tp>
      <tp t="s">
        <v>N/A</v>
        <stp/>
        <stp>VOLUME</stp>
        <stp>.NDX251121C20475</stp>
        <tr r="U141" s="2"/>
      </tp>
      <tp t="s">
        <v>N/A</v>
        <stp/>
        <stp>VOLUME</stp>
        <stp>.NDX250815C20075</stp>
        <tr r="O157" s="2"/>
      </tp>
      <tp t="s">
        <v>N/A</v>
        <stp/>
        <stp>VOLUME</stp>
        <stp>.NDX250516C19375</stp>
        <tr r="BE184" s="1"/>
      </tp>
      <tp t="s">
        <v>N/A</v>
        <stp/>
        <stp>VOLUME</stp>
        <stp>.NDX250523C19675</stp>
        <tr r="H173" s="2"/>
      </tp>
      <tp t="s">
        <v>N/A</v>
        <stp/>
        <stp>VOLUME</stp>
        <stp>.NDX250620C19575</stp>
        <tr r="K177" s="2"/>
      </tp>
      <tp t="s">
        <v>N/A</v>
        <stp/>
        <stp>VOLUME</stp>
        <stp>.NDX250516C20375</stp>
        <tr r="BE144" s="1"/>
      </tp>
      <tp t="s">
        <v>N/A</v>
        <stp/>
        <stp>VOLUME</stp>
        <stp>.NDX251017C19250</stp>
        <tr r="S190" s="2"/>
      </tp>
      <tp t="s">
        <v>N/A</v>
        <stp/>
        <stp>VOLUME</stp>
        <stp>.NDX251121C19450</stp>
        <tr r="U182" s="2"/>
      </tp>
      <tp t="s">
        <v>N/A</v>
        <stp/>
        <stp>VOLUME</stp>
        <stp>.NDX251121C20450</stp>
        <tr r="U142" s="2"/>
      </tp>
      <tp t="s">
        <v>N/A</v>
        <stp/>
        <stp>VOLUME</stp>
        <stp>.NDX251017C20250</stp>
        <tr r="S150" s="2"/>
      </tp>
      <tp t="s">
        <v>N/A</v>
        <stp/>
        <stp>VOLUME</stp>
        <stp>.NDX250815C20050</stp>
        <tr r="O158" s="2"/>
      </tp>
      <tp t="s">
        <v>N/A</v>
        <stp/>
        <stp>VOLUME</stp>
        <stp>.NDX250516C19350</stp>
        <tr r="BE185" s="1"/>
      </tp>
      <tp t="s">
        <v>N/A</v>
        <stp/>
        <stp>VOLUME</stp>
        <stp>.NDX250523C19650</stp>
        <tr r="H174" s="2"/>
      </tp>
      <tp t="s">
        <v>N/A</v>
        <stp/>
        <stp>VOLUME</stp>
        <stp>.NDX250620C20550</stp>
        <tr r="K138" s="2"/>
      </tp>
      <tp t="s">
        <v>N/A</v>
        <stp/>
        <stp>VOLUME</stp>
        <stp>.NDX250620C19550</stp>
        <tr r="K178" s="2"/>
      </tp>
      <tp>
        <v>1</v>
        <stp/>
        <stp>VOLUME</stp>
        <stp>.NDX250516C20350</stp>
        <tr r="BE145" s="1"/>
        <tr r="BE145" s="1"/>
      </tp>
      <tp t="s">
        <v>102.30%</v>
        <stp/>
        <stp>IMPL_VOL</stp>
        <stp>.NDXP250508C19875</stp>
        <tr r="EL164" s="1"/>
      </tp>
      <tp t="s">
        <v>--</v>
        <stp/>
        <stp>IMPL_VOL</stp>
        <stp>.NDXP250509C19975</stp>
        <tr r="EN160" s="1"/>
      </tp>
      <tp t="s">
        <v>112.41%</v>
        <stp/>
        <stp>IMPL_VOL</stp>
        <stp>.NDXP250508C19850</stp>
        <tr r="EL165" s="1"/>
      </tp>
      <tp t="s">
        <v>--</v>
        <stp/>
        <stp>IMPL_VOL</stp>
        <stp>.NDXP250509C19950</stp>
        <tr r="EN161" s="1"/>
      </tp>
      <tp t="s">
        <v>121.24%</v>
        <stp/>
        <stp>IMPL_VOL</stp>
        <stp>.NDXP250508C19825</stp>
        <tr r="EL166" s="1"/>
      </tp>
      <tp t="s">
        <v>--</v>
        <stp/>
        <stp>IMPL_VOL</stp>
        <stp>.NDXP250509C19925</stp>
        <tr r="EN162" s="1"/>
      </tp>
      <tp t="s">
        <v>132.63%</v>
        <stp/>
        <stp>IMPL_VOL</stp>
        <stp>.NDXP250508C19800</stp>
        <tr r="EL167" s="1"/>
      </tp>
      <tp t="s">
        <v>--</v>
        <stp/>
        <stp>IMPL_VOL</stp>
        <stp>.NDXP250509C19900</stp>
        <tr r="EN163" s="1"/>
      </tp>
      <tp t="s">
        <v>N/A</v>
        <stp/>
        <stp>VOLUME</stp>
        <stp>.NDX251017P19300</stp>
        <tr r="S188" s="2"/>
      </tp>
      <tp t="s">
        <v>N/A</v>
        <stp/>
        <stp>VOLUME</stp>
        <stp>.NDX251121P19500</stp>
        <tr r="U180" s="2"/>
      </tp>
      <tp t="s">
        <v>N/A</v>
        <stp/>
        <stp>VOLUME</stp>
        <stp>.NDX251121P20500</stp>
        <tr r="U140" s="2"/>
      </tp>
      <tp t="s">
        <v>N/A</v>
        <stp/>
        <stp>VOLUME</stp>
        <stp>.NDX251017P20300</stp>
        <tr r="S148" s="2"/>
      </tp>
      <tp t="s">
        <v>N/A</v>
        <stp/>
        <stp>VOLUME</stp>
        <stp>.NDX250815P20100</stp>
        <tr r="O156" s="2"/>
      </tp>
      <tp t="s">
        <v>N/A</v>
        <stp/>
        <stp>VOLUME</stp>
        <stp>.NDX250523P19700</stp>
        <tr r="H172" s="2"/>
      </tp>
      <tp t="s">
        <v>N/A</v>
        <stp/>
        <stp>VOLUME</stp>
        <stp>.NDX250620P20400</stp>
        <tr r="K144" s="2"/>
      </tp>
      <tp>
        <v>6</v>
        <stp/>
        <stp>VOLUME</stp>
        <stp>.NDX250620P19400</stp>
        <tr r="K184" s="2"/>
        <tr r="K184" s="2"/>
      </tp>
      <tp>
        <v>12</v>
        <stp/>
        <stp>VOLUME</stp>
        <stp>.NDX250516P20200</stp>
        <tr r="BF151" s="1"/>
        <tr r="BF151" s="1"/>
      </tp>
      <tp t="s">
        <v>N/A</v>
        <stp/>
        <stp>VOLUME</stp>
        <stp>.NDX251121P19525</stp>
        <tr r="U179" s="2"/>
      </tp>
      <tp t="s">
        <v>N/A</v>
        <stp/>
        <stp>VOLUME</stp>
        <stp>.NDX251017P19325</stp>
        <tr r="S187" s="2"/>
      </tp>
      <tp t="s">
        <v>N/A</v>
        <stp/>
        <stp>VOLUME</stp>
        <stp>.NDX251017P20325</stp>
        <tr r="S147" s="2"/>
      </tp>
      <tp t="s">
        <v>N/A</v>
        <stp/>
        <stp>VOLUME</stp>
        <stp>.NDX251121P20525</stp>
        <tr r="U139" s="2"/>
      </tp>
      <tp t="s">
        <v>N/A</v>
        <stp/>
        <stp>VOLUME</stp>
        <stp>.NDX250815P20125</stp>
        <tr r="O155" s="2"/>
      </tp>
      <tp t="s">
        <v>N/A</v>
        <stp/>
        <stp>VOLUME</stp>
        <stp>.NDX250523P19725</stp>
        <tr r="H171" s="2"/>
      </tp>
      <tp t="s">
        <v>N/A</v>
        <stp/>
        <stp>VOLUME</stp>
        <stp>.NDX250620P20425</stp>
        <tr r="K143" s="2"/>
      </tp>
      <tp>
        <v>3</v>
        <stp/>
        <stp>VOLUME</stp>
        <stp>.NDX250620P19425</stp>
        <tr r="K183" s="2"/>
        <tr r="K183" s="2"/>
      </tp>
      <tp>
        <v>5</v>
        <stp/>
        <stp>VOLUME</stp>
        <stp>.NDX250516P20225</stp>
        <tr r="BF150" s="1"/>
        <tr r="BF150" s="1"/>
      </tp>
      <tp t="s">
        <v>N/A</v>
        <stp/>
        <stp>VOLUME</stp>
        <stp>.NDX250815P20150</stp>
        <tr r="O154" s="2"/>
      </tp>
      <tp>
        <v>23</v>
        <stp/>
        <stp>VOLUME</stp>
        <stp>.NDX250516P19250</stp>
        <tr r="BF189" s="1"/>
        <tr r="BF189" s="1"/>
      </tp>
      <tp t="s">
        <v>N/A</v>
        <stp/>
        <stp>VOLUME</stp>
        <stp>.NDX250523P19750</stp>
        <tr r="H170" s="2"/>
      </tp>
      <tp t="s">
        <v>N/A</v>
        <stp/>
        <stp>VOLUME</stp>
        <stp>.NDX250620P20450</stp>
        <tr r="K142" s="2"/>
      </tp>
      <tp>
        <v>4</v>
        <stp/>
        <stp>VOLUME</stp>
        <stp>.NDX250620P19450</stp>
        <tr r="K182" s="2"/>
        <tr r="K182" s="2"/>
      </tp>
      <tp>
        <v>2</v>
        <stp/>
        <stp>VOLUME</stp>
        <stp>.NDX250516P20250</stp>
        <tr r="BF149" s="1"/>
        <tr r="BF149" s="1"/>
      </tp>
      <tp t="s">
        <v>N/A</v>
        <stp/>
        <stp>VOLUME</stp>
        <stp>.NDX251017P19350</stp>
        <tr r="S186" s="2"/>
      </tp>
      <tp t="s">
        <v>N/A</v>
        <stp/>
        <stp>VOLUME</stp>
        <stp>.NDX251121P19550</stp>
        <tr r="U178" s="2"/>
      </tp>
      <tp t="s">
        <v>N/A</v>
        <stp/>
        <stp>VOLUME</stp>
        <stp>.NDX251121P20550</stp>
        <tr r="U138" s="2"/>
      </tp>
      <tp t="s">
        <v>N/A</v>
        <stp/>
        <stp>VOLUME</stp>
        <stp>.NDX251017P20350</stp>
        <tr r="S146" s="2"/>
      </tp>
      <tp t="s">
        <v>N/A</v>
        <stp/>
        <stp>VOLUME</stp>
        <stp>.NDX250815P20175</stp>
        <tr r="O153" s="2"/>
      </tp>
      <tp>
        <v>42</v>
        <stp/>
        <stp>VOLUME</stp>
        <stp>.NDX250516P19275</stp>
        <tr r="BF188" s="1"/>
        <tr r="BF188" s="1"/>
      </tp>
      <tp t="s">
        <v>N/A</v>
        <stp/>
        <stp>VOLUME</stp>
        <stp>.NDX250523P19775</stp>
        <tr r="H169" s="2"/>
      </tp>
      <tp t="s">
        <v>N/A</v>
        <stp/>
        <stp>VOLUME</stp>
        <stp>.NDX250620P20475</stp>
        <tr r="K141" s="2"/>
      </tp>
      <tp>
        <v>4</v>
        <stp/>
        <stp>VOLUME</stp>
        <stp>.NDX250620P19475</stp>
        <tr r="K181" s="2"/>
        <tr r="K181" s="2"/>
      </tp>
      <tp>
        <v>2</v>
        <stp/>
        <stp>VOLUME</stp>
        <stp>.NDX250516P20275</stp>
        <tr r="BF148" s="1"/>
        <tr r="BF148" s="1"/>
      </tp>
      <tp t="s">
        <v>N/A</v>
        <stp/>
        <stp>VOLUME</stp>
        <stp>.NDX251121P19575</stp>
        <tr r="U177" s="2"/>
      </tp>
      <tp t="s">
        <v>N/A</v>
        <stp/>
        <stp>VOLUME</stp>
        <stp>.NDX251017P19375</stp>
        <tr r="S185" s="2"/>
      </tp>
      <tp t="s">
        <v>N/A</v>
        <stp/>
        <stp>VOLUME</stp>
        <stp>.NDX251017P20375</stp>
        <tr r="S145" s="2"/>
      </tp>
      <tp t="s">
        <v>116.98%</v>
        <stp/>
        <stp>IMPL_VOL</stp>
        <stp>.NDXP250508P19850</stp>
        <tr r="EM165" s="1"/>
      </tp>
      <tp t="s">
        <v>42.13%</v>
        <stp/>
        <stp>IMPL_VOL</stp>
        <stp>.NDXP250509P19950</stp>
        <tr r="EO161" s="1"/>
      </tp>
      <tp t="s">
        <v>106.98%</v>
        <stp/>
        <stp>IMPL_VOL</stp>
        <stp>.NDXP250508P19875</stp>
        <tr r="EM164" s="1"/>
      </tp>
      <tp t="s">
        <v>64.25%</v>
        <stp/>
        <stp>IMPL_VOL</stp>
        <stp>.NDXP250509P19975</stp>
        <tr r="EO160" s="1"/>
      </tp>
      <tp t="s">
        <v>65.67%</v>
        <stp/>
        <stp>IMPL_VOL</stp>
        <stp>.NDXP250508P19800</stp>
        <tr r="EM167" s="1"/>
      </tp>
      <tp t="s">
        <v>36.30%</v>
        <stp/>
        <stp>IMPL_VOL</stp>
        <stp>.NDXP250509P19900</stp>
        <tr r="EO163" s="1"/>
      </tp>
      <tp t="s">
        <v>126.80%</v>
        <stp/>
        <stp>IMPL_VOL</stp>
        <stp>.NDXP250508P19825</stp>
        <tr r="EM166" s="1"/>
      </tp>
      <tp t="s">
        <v>31.12%</v>
        <stp/>
        <stp>IMPL_VOL</stp>
        <stp>.NDXP250509P19925</stp>
        <tr r="EO162" s="1"/>
      </tp>
      <tp t="s">
        <v>N/A</v>
        <stp/>
        <stp>VOLUME</stp>
        <stp>.NDX250815C20125</stp>
        <tr r="O155" s="2"/>
      </tp>
      <tp t="s">
        <v>N/A</v>
        <stp/>
        <stp>VOLUME</stp>
        <stp>.NDX250523C19725</stp>
        <tr r="H171" s="2"/>
      </tp>
      <tp t="s">
        <v>N/A</v>
        <stp/>
        <stp>VOLUME</stp>
        <stp>.NDX250620C20425</stp>
        <tr r="K143" s="2"/>
      </tp>
      <tp t="s">
        <v>N/A</v>
        <stp/>
        <stp>VOLUME</stp>
        <stp>.NDX250620C19425</stp>
        <tr r="K183" s="2"/>
      </tp>
      <tp>
        <v>4</v>
        <stp/>
        <stp>VOLUME</stp>
        <stp>.NDX250516C20225</stp>
        <tr r="BE150" s="1"/>
        <tr r="BE150" s="1"/>
      </tp>
      <tp t="s">
        <v>N/A</v>
        <stp/>
        <stp>VOLUME</stp>
        <stp>.NDX251121C19525</stp>
        <tr r="U179" s="2"/>
      </tp>
      <tp t="s">
        <v>N/A</v>
        <stp/>
        <stp>VOLUME</stp>
        <stp>.NDX251017C19325</stp>
        <tr r="S187" s="2"/>
      </tp>
      <tp t="s">
        <v>N/A</v>
        <stp/>
        <stp>VOLUME</stp>
        <stp>.NDX251017C20325</stp>
        <tr r="S147" s="2"/>
      </tp>
      <tp t="s">
        <v>N/A</v>
        <stp/>
        <stp>VOLUME</stp>
        <stp>.NDX251121C20525</stp>
        <tr r="U139" s="2"/>
      </tp>
      <tp t="s">
        <v>N/A</v>
        <stp/>
        <stp>VOLUME</stp>
        <stp>.NDX250815C20100</stp>
        <tr r="O156" s="2"/>
      </tp>
      <tp t="s">
        <v>N/A</v>
        <stp/>
        <stp>VOLUME</stp>
        <stp>.NDX250523C19700</stp>
        <tr r="H172" s="2"/>
      </tp>
      <tp>
        <v>2</v>
        <stp/>
        <stp>VOLUME</stp>
        <stp>.NDX250620C20400</stp>
        <tr r="K144" s="2"/>
        <tr r="K144" s="2"/>
      </tp>
      <tp t="s">
        <v>N/A</v>
        <stp/>
        <stp>VOLUME</stp>
        <stp>.NDX250620C19400</stp>
        <tr r="K184" s="2"/>
      </tp>
      <tp>
        <v>6</v>
        <stp/>
        <stp>VOLUME</stp>
        <stp>.NDX250516C20200</stp>
        <tr r="BE151" s="1"/>
        <tr r="BE151" s="1"/>
      </tp>
      <tp t="s">
        <v>N/A</v>
        <stp/>
        <stp>VOLUME</stp>
        <stp>.NDX251017C19300</stp>
        <tr r="S188" s="2"/>
      </tp>
      <tp t="s">
        <v>N/A</v>
        <stp/>
        <stp>VOLUME</stp>
        <stp>.NDX251121C19500</stp>
        <tr r="U180" s="2"/>
      </tp>
      <tp t="s">
        <v>N/A</v>
        <stp/>
        <stp>VOLUME</stp>
        <stp>.NDX251121C20500</stp>
        <tr r="U140" s="2"/>
      </tp>
      <tp t="s">
        <v>N/A</v>
        <stp/>
        <stp>VOLUME</stp>
        <stp>.NDX251017C20300</stp>
        <tr r="S148" s="2"/>
      </tp>
      <tp t="s">
        <v>N/A</v>
        <stp/>
        <stp>VOLUME</stp>
        <stp>.NDX251121C19575</stp>
        <tr r="U177" s="2"/>
      </tp>
      <tp t="s">
        <v>N/A</v>
        <stp/>
        <stp>VOLUME</stp>
        <stp>.NDX251017C19375</stp>
        <tr r="S185" s="2"/>
      </tp>
      <tp t="s">
        <v>N/A</v>
        <stp/>
        <stp>VOLUME</stp>
        <stp>.NDX251017C20375</stp>
        <tr r="S145" s="2"/>
      </tp>
      <tp t="s">
        <v>N/A</v>
        <stp/>
        <stp>VOLUME</stp>
        <stp>.NDX250815C20175</stp>
        <tr r="O153" s="2"/>
      </tp>
      <tp t="s">
        <v>N/A</v>
        <stp/>
        <stp>VOLUME</stp>
        <stp>.NDX250516C19275</stp>
        <tr r="BE188" s="1"/>
      </tp>
      <tp t="s">
        <v>N/A</v>
        <stp/>
        <stp>VOLUME</stp>
        <stp>.NDX250523C19775</stp>
        <tr r="H169" s="2"/>
      </tp>
      <tp t="s">
        <v>N/A</v>
        <stp/>
        <stp>VOLUME</stp>
        <stp>.NDX250620C20475</stp>
        <tr r="K141" s="2"/>
      </tp>
      <tp t="s">
        <v>N/A</v>
        <stp/>
        <stp>VOLUME</stp>
        <stp>.NDX250620C19475</stp>
        <tr r="K181" s="2"/>
      </tp>
      <tp>
        <v>8</v>
        <stp/>
        <stp>VOLUME</stp>
        <stp>.NDX250516C20275</stp>
        <tr r="BE148" s="1"/>
        <tr r="BE148" s="1"/>
      </tp>
      <tp t="s">
        <v>N/A</v>
        <stp/>
        <stp>VOLUME</stp>
        <stp>.NDX251017C19350</stp>
        <tr r="S186" s="2"/>
      </tp>
      <tp t="s">
        <v>N/A</v>
        <stp/>
        <stp>VOLUME</stp>
        <stp>.NDX251121C19550</stp>
        <tr r="U178" s="2"/>
      </tp>
      <tp t="s">
        <v>N/A</v>
        <stp/>
        <stp>VOLUME</stp>
        <stp>.NDX251121C20550</stp>
        <tr r="U138" s="2"/>
      </tp>
      <tp t="s">
        <v>N/A</v>
        <stp/>
        <stp>VOLUME</stp>
        <stp>.NDX251017C20350</stp>
        <tr r="S146" s="2"/>
      </tp>
      <tp t="s">
        <v>N/A</v>
        <stp/>
        <stp>VOLUME</stp>
        <stp>.NDX250815C20150</stp>
        <tr r="O154" s="2"/>
      </tp>
      <tp t="s">
        <v>N/A</v>
        <stp/>
        <stp>VOLUME</stp>
        <stp>.NDX250516C19250</stp>
        <tr r="BE189" s="1"/>
      </tp>
      <tp t="s">
        <v>N/A</v>
        <stp/>
        <stp>VOLUME</stp>
        <stp>.NDX250523C19750</stp>
        <tr r="H170" s="2"/>
      </tp>
      <tp>
        <v>2</v>
        <stp/>
        <stp>VOLUME</stp>
        <stp>.NDX250620C20450</stp>
        <tr r="K142" s="2"/>
        <tr r="K142" s="2"/>
      </tp>
      <tp t="s">
        <v>N/A</v>
        <stp/>
        <stp>VOLUME</stp>
        <stp>.NDX250620C19450</stp>
        <tr r="K182" s="2"/>
      </tp>
      <tp>
        <v>8</v>
        <stp/>
        <stp>VOLUME</stp>
        <stp>.NDX250516C20250</stp>
        <tr r="BE149" s="1"/>
        <tr r="BE14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GEX (Millones)</a:t>
            </a:r>
          </a:p>
        </c:rich>
      </c:tx>
      <c:layout>
        <c:manualLayout>
          <c:xMode val="edge"/>
          <c:yMode val="edge"/>
          <c:x val="0.71319634280599442"/>
          <c:y val="2.13932569128014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Hoja1!$BQ$4:$BQ$38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Hoja1!$BS$4:$BS$38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Hoja1!$BU$4:$BU$38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37465600"/>
        <c:axId val="237467136"/>
      </c:barChart>
      <c:catAx>
        <c:axId val="237465600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237467136"/>
        <c:crosses val="autoZero"/>
        <c:auto val="1"/>
        <c:lblAlgn val="ctr"/>
        <c:lblOffset val="100"/>
        <c:noMultiLvlLbl val="0"/>
      </c:catAx>
      <c:valAx>
        <c:axId val="237467136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37465600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Hoja1!$BQ$45:$BQ$79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Hoja1!$BS$45:$BS$79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Hoja1!$BU$45:$BU$79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7156096"/>
        <c:axId val="158991488"/>
      </c:barChart>
      <c:catAx>
        <c:axId val="247156096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58991488"/>
        <c:crosses val="autoZero"/>
        <c:auto val="1"/>
        <c:lblAlgn val="ctr"/>
        <c:lblOffset val="100"/>
        <c:noMultiLvlLbl val="0"/>
      </c:catAx>
      <c:valAx>
        <c:axId val="158991488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7156096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34999802033873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Hoja1!$BQ$85:$BQ$130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Hoja1!$BS$85:$BS$130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Hoja1!$BU$85:$BU$130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032448"/>
        <c:axId val="159033984"/>
      </c:barChart>
      <c:catAx>
        <c:axId val="159032448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59033984"/>
        <c:crosses val="autoZero"/>
        <c:auto val="1"/>
        <c:lblAlgn val="ctr"/>
        <c:lblOffset val="100"/>
        <c:noMultiLvlLbl val="0"/>
      </c:catAx>
      <c:valAx>
        <c:axId val="159033984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032448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9966648324671"/>
          <c:y val="4.9371664561910507E-2"/>
          <c:w val="0.73530441899733812"/>
          <c:h val="0.907620596686201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Hoja1!$BQ$137:$BQ$189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Hoja1!$BS$137:$BS$189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Hoja1!$BU$137:$BU$189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121792"/>
        <c:axId val="159123328"/>
      </c:barChart>
      <c:catAx>
        <c:axId val="159121792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59123328"/>
        <c:crosses val="autoZero"/>
        <c:auto val="1"/>
        <c:lblAlgn val="ctr"/>
        <c:lblOffset val="100"/>
        <c:noMultiLvlLbl val="0"/>
      </c:catAx>
      <c:valAx>
        <c:axId val="159123328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121792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Volumen (cientos)</a:t>
            </a:r>
          </a:p>
        </c:rich>
      </c:tx>
      <c:layout>
        <c:manualLayout>
          <c:xMode val="edge"/>
          <c:yMode val="edge"/>
          <c:x val="0.19795610436685485"/>
          <c:y val="2.377028545866824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39003113336217"/>
          <c:y val="5.0076844939373685E-2"/>
          <c:w val="0.80180919853319055"/>
          <c:h val="0.87582309292590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Hoja1!$CQ$4:$CQ$38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Hoja1!$CS$4:$CS$38</c:f>
              <c:numCache>
                <c:formatCode>General</c:formatCode>
                <c:ptCount val="35"/>
                <c:pt idx="0">
                  <c:v>2108</c:v>
                </c:pt>
                <c:pt idx="1">
                  <c:v>4377</c:v>
                </c:pt>
                <c:pt idx="2">
                  <c:v>11656</c:v>
                </c:pt>
                <c:pt idx="3">
                  <c:v>7107</c:v>
                </c:pt>
                <c:pt idx="4">
                  <c:v>6215</c:v>
                </c:pt>
                <c:pt idx="5">
                  <c:v>13662</c:v>
                </c:pt>
                <c:pt idx="6">
                  <c:v>17153</c:v>
                </c:pt>
                <c:pt idx="7">
                  <c:v>41787</c:v>
                </c:pt>
                <c:pt idx="8">
                  <c:v>27281</c:v>
                </c:pt>
                <c:pt idx="9">
                  <c:v>35680</c:v>
                </c:pt>
                <c:pt idx="10">
                  <c:v>71679</c:v>
                </c:pt>
                <c:pt idx="11">
                  <c:v>80054</c:v>
                </c:pt>
                <c:pt idx="12">
                  <c:v>219860</c:v>
                </c:pt>
                <c:pt idx="13">
                  <c:v>172119</c:v>
                </c:pt>
                <c:pt idx="14">
                  <c:v>198971</c:v>
                </c:pt>
                <c:pt idx="15">
                  <c:v>324710</c:v>
                </c:pt>
                <c:pt idx="16">
                  <c:v>214588</c:v>
                </c:pt>
                <c:pt idx="17">
                  <c:v>143983</c:v>
                </c:pt>
                <c:pt idx="18">
                  <c:v>-111654</c:v>
                </c:pt>
                <c:pt idx="19">
                  <c:v>-258340</c:v>
                </c:pt>
                <c:pt idx="20">
                  <c:v>-133080</c:v>
                </c:pt>
                <c:pt idx="21">
                  <c:v>-119874</c:v>
                </c:pt>
                <c:pt idx="22">
                  <c:v>-229284</c:v>
                </c:pt>
                <c:pt idx="23">
                  <c:v>-70658</c:v>
                </c:pt>
                <c:pt idx="24">
                  <c:v>-45610</c:v>
                </c:pt>
                <c:pt idx="25">
                  <c:v>-34450</c:v>
                </c:pt>
                <c:pt idx="26">
                  <c:v>-34225</c:v>
                </c:pt>
                <c:pt idx="27">
                  <c:v>-49250</c:v>
                </c:pt>
                <c:pt idx="28">
                  <c:v>-20615</c:v>
                </c:pt>
                <c:pt idx="29">
                  <c:v>-15183</c:v>
                </c:pt>
                <c:pt idx="30">
                  <c:v>-14091</c:v>
                </c:pt>
                <c:pt idx="31">
                  <c:v>-7968</c:v>
                </c:pt>
                <c:pt idx="32">
                  <c:v>-18947</c:v>
                </c:pt>
                <c:pt idx="33">
                  <c:v>-8351</c:v>
                </c:pt>
                <c:pt idx="34">
                  <c:v>-3896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Hoja1!$CU$4:$CU$38</c:f>
              <c:numCache>
                <c:formatCode>General</c:formatCode>
                <c:ptCount val="35"/>
                <c:pt idx="0">
                  <c:v>3382</c:v>
                </c:pt>
                <c:pt idx="1">
                  <c:v>3704</c:v>
                </c:pt>
                <c:pt idx="2">
                  <c:v>24281</c:v>
                </c:pt>
                <c:pt idx="3">
                  <c:v>2342</c:v>
                </c:pt>
                <c:pt idx="4">
                  <c:v>4119</c:v>
                </c:pt>
                <c:pt idx="5">
                  <c:v>2432</c:v>
                </c:pt>
                <c:pt idx="6">
                  <c:v>3630</c:v>
                </c:pt>
                <c:pt idx="7">
                  <c:v>19568</c:v>
                </c:pt>
                <c:pt idx="8">
                  <c:v>1682</c:v>
                </c:pt>
                <c:pt idx="9">
                  <c:v>1987</c:v>
                </c:pt>
                <c:pt idx="10">
                  <c:v>2659</c:v>
                </c:pt>
                <c:pt idx="11">
                  <c:v>3554</c:v>
                </c:pt>
                <c:pt idx="12">
                  <c:v>26265</c:v>
                </c:pt>
                <c:pt idx="13">
                  <c:v>3813</c:v>
                </c:pt>
                <c:pt idx="14">
                  <c:v>5536</c:v>
                </c:pt>
                <c:pt idx="15">
                  <c:v>9905</c:v>
                </c:pt>
                <c:pt idx="16">
                  <c:v>3790</c:v>
                </c:pt>
                <c:pt idx="17">
                  <c:v>585</c:v>
                </c:pt>
                <c:pt idx="18">
                  <c:v>460</c:v>
                </c:pt>
                <c:pt idx="19">
                  <c:v>-1189</c:v>
                </c:pt>
                <c:pt idx="20">
                  <c:v>-2674</c:v>
                </c:pt>
                <c:pt idx="21">
                  <c:v>-1411</c:v>
                </c:pt>
                <c:pt idx="22">
                  <c:v>-17336</c:v>
                </c:pt>
                <c:pt idx="23">
                  <c:v>-2311</c:v>
                </c:pt>
                <c:pt idx="24">
                  <c:v>-1738</c:v>
                </c:pt>
                <c:pt idx="25">
                  <c:v>-1389</c:v>
                </c:pt>
                <c:pt idx="26">
                  <c:v>-1524</c:v>
                </c:pt>
                <c:pt idx="27">
                  <c:v>-13618</c:v>
                </c:pt>
                <c:pt idx="28">
                  <c:v>-2108</c:v>
                </c:pt>
                <c:pt idx="29">
                  <c:v>-1048</c:v>
                </c:pt>
                <c:pt idx="30">
                  <c:v>-3206</c:v>
                </c:pt>
                <c:pt idx="31">
                  <c:v>-2452</c:v>
                </c:pt>
                <c:pt idx="32">
                  <c:v>-58135</c:v>
                </c:pt>
                <c:pt idx="33">
                  <c:v>-2208</c:v>
                </c:pt>
                <c:pt idx="34">
                  <c:v>-3293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Hoja1!$BG$4:$BG$37</c:f>
              <c:numCache>
                <c:formatCode>0</c:formatCode>
                <c:ptCount val="34"/>
                <c:pt idx="0">
                  <c:v>947</c:v>
                </c:pt>
                <c:pt idx="1">
                  <c:v>1650</c:v>
                </c:pt>
                <c:pt idx="2">
                  <c:v>13000</c:v>
                </c:pt>
                <c:pt idx="3">
                  <c:v>1040</c:v>
                </c:pt>
                <c:pt idx="4">
                  <c:v>1371</c:v>
                </c:pt>
                <c:pt idx="5">
                  <c:v>808</c:v>
                </c:pt>
                <c:pt idx="6">
                  <c:v>1417</c:v>
                </c:pt>
                <c:pt idx="7">
                  <c:v>8054</c:v>
                </c:pt>
                <c:pt idx="8">
                  <c:v>700</c:v>
                </c:pt>
                <c:pt idx="9">
                  <c:v>1435</c:v>
                </c:pt>
                <c:pt idx="10">
                  <c:v>1426</c:v>
                </c:pt>
                <c:pt idx="11">
                  <c:v>2170</c:v>
                </c:pt>
                <c:pt idx="12">
                  <c:v>3544</c:v>
                </c:pt>
                <c:pt idx="13">
                  <c:v>413</c:v>
                </c:pt>
                <c:pt idx="14">
                  <c:v>1416</c:v>
                </c:pt>
                <c:pt idx="15">
                  <c:v>-247</c:v>
                </c:pt>
                <c:pt idx="16">
                  <c:v>299</c:v>
                </c:pt>
                <c:pt idx="17">
                  <c:v>-1099</c:v>
                </c:pt>
                <c:pt idx="18">
                  <c:v>-1026</c:v>
                </c:pt>
                <c:pt idx="19">
                  <c:v>173</c:v>
                </c:pt>
                <c:pt idx="20">
                  <c:v>-584</c:v>
                </c:pt>
                <c:pt idx="21">
                  <c:v>-2264</c:v>
                </c:pt>
                <c:pt idx="22">
                  <c:v>-12504</c:v>
                </c:pt>
                <c:pt idx="23">
                  <c:v>-1242</c:v>
                </c:pt>
                <c:pt idx="24">
                  <c:v>-1123</c:v>
                </c:pt>
                <c:pt idx="25">
                  <c:v>-1115</c:v>
                </c:pt>
                <c:pt idx="26">
                  <c:v>-2771</c:v>
                </c:pt>
                <c:pt idx="27">
                  <c:v>-11152</c:v>
                </c:pt>
                <c:pt idx="28">
                  <c:v>-1501</c:v>
                </c:pt>
                <c:pt idx="29">
                  <c:v>-1019</c:v>
                </c:pt>
                <c:pt idx="30">
                  <c:v>-664</c:v>
                </c:pt>
                <c:pt idx="31">
                  <c:v>-410</c:v>
                </c:pt>
                <c:pt idx="32">
                  <c:v>-21245</c:v>
                </c:pt>
                <c:pt idx="33">
                  <c:v>-980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175040"/>
        <c:axId val="159176576"/>
      </c:barChart>
      <c:catAx>
        <c:axId val="15917504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59176576"/>
        <c:crosses val="autoZero"/>
        <c:auto val="1"/>
        <c:lblAlgn val="ctr"/>
        <c:lblOffset val="100"/>
        <c:noMultiLvlLbl val="0"/>
      </c:catAx>
      <c:valAx>
        <c:axId val="15917657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175040"/>
        <c:crosses val="autoZero"/>
        <c:crossBetween val="between"/>
        <c:dispUnits>
          <c:builtInUnit val="thousan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Hoja1!$CQ$45:$CQ$79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Hoja1!$CS$45:$CS$79</c:f>
              <c:numCache>
                <c:formatCode>General</c:formatCode>
                <c:ptCount val="35"/>
                <c:pt idx="0">
                  <c:v>2332</c:v>
                </c:pt>
                <c:pt idx="1">
                  <c:v>3348</c:v>
                </c:pt>
                <c:pt idx="2">
                  <c:v>10261</c:v>
                </c:pt>
                <c:pt idx="3">
                  <c:v>3264</c:v>
                </c:pt>
                <c:pt idx="4">
                  <c:v>10493</c:v>
                </c:pt>
                <c:pt idx="5">
                  <c:v>11884</c:v>
                </c:pt>
                <c:pt idx="6">
                  <c:v>17079</c:v>
                </c:pt>
                <c:pt idx="7">
                  <c:v>67136</c:v>
                </c:pt>
                <c:pt idx="8">
                  <c:v>35537</c:v>
                </c:pt>
                <c:pt idx="9">
                  <c:v>71575</c:v>
                </c:pt>
                <c:pt idx="10">
                  <c:v>85762</c:v>
                </c:pt>
                <c:pt idx="11">
                  <c:v>97315</c:v>
                </c:pt>
                <c:pt idx="12">
                  <c:v>92289</c:v>
                </c:pt>
                <c:pt idx="13">
                  <c:v>70301</c:v>
                </c:pt>
                <c:pt idx="14">
                  <c:v>-32364</c:v>
                </c:pt>
                <c:pt idx="15">
                  <c:v>-52341</c:v>
                </c:pt>
                <c:pt idx="16">
                  <c:v>-91889</c:v>
                </c:pt>
                <c:pt idx="17">
                  <c:v>-84246</c:v>
                </c:pt>
                <c:pt idx="18">
                  <c:v>-44094</c:v>
                </c:pt>
                <c:pt idx="19">
                  <c:v>-30170</c:v>
                </c:pt>
                <c:pt idx="20">
                  <c:v>-15075</c:v>
                </c:pt>
                <c:pt idx="21">
                  <c:v>-8772</c:v>
                </c:pt>
                <c:pt idx="22">
                  <c:v>-26925</c:v>
                </c:pt>
                <c:pt idx="23">
                  <c:v>-6049</c:v>
                </c:pt>
                <c:pt idx="24">
                  <c:v>-5202</c:v>
                </c:pt>
                <c:pt idx="25">
                  <c:v>-3045</c:v>
                </c:pt>
                <c:pt idx="26">
                  <c:v>-2554</c:v>
                </c:pt>
                <c:pt idx="27">
                  <c:v>-5045</c:v>
                </c:pt>
                <c:pt idx="28">
                  <c:v>-3060</c:v>
                </c:pt>
                <c:pt idx="29">
                  <c:v>-2590</c:v>
                </c:pt>
                <c:pt idx="30">
                  <c:v>-310</c:v>
                </c:pt>
                <c:pt idx="31">
                  <c:v>-2059</c:v>
                </c:pt>
                <c:pt idx="32">
                  <c:v>-6088</c:v>
                </c:pt>
                <c:pt idx="33">
                  <c:v>-2045</c:v>
                </c:pt>
                <c:pt idx="34">
                  <c:v>-1126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Hoja1!$CU$45:$CU$79</c:f>
              <c:numCache>
                <c:formatCode>General</c:formatCode>
                <c:ptCount val="35"/>
                <c:pt idx="0">
                  <c:v>913</c:v>
                </c:pt>
                <c:pt idx="1">
                  <c:v>1206</c:v>
                </c:pt>
                <c:pt idx="2">
                  <c:v>14181</c:v>
                </c:pt>
                <c:pt idx="3">
                  <c:v>616</c:v>
                </c:pt>
                <c:pt idx="4">
                  <c:v>931</c:v>
                </c:pt>
                <c:pt idx="5">
                  <c:v>749</c:v>
                </c:pt>
                <c:pt idx="6">
                  <c:v>1074</c:v>
                </c:pt>
                <c:pt idx="7">
                  <c:v>4681</c:v>
                </c:pt>
                <c:pt idx="8">
                  <c:v>777</c:v>
                </c:pt>
                <c:pt idx="9">
                  <c:v>1291</c:v>
                </c:pt>
                <c:pt idx="10">
                  <c:v>1944</c:v>
                </c:pt>
                <c:pt idx="11">
                  <c:v>1024</c:v>
                </c:pt>
                <c:pt idx="12">
                  <c:v>5529</c:v>
                </c:pt>
                <c:pt idx="13">
                  <c:v>732</c:v>
                </c:pt>
                <c:pt idx="14">
                  <c:v>-340</c:v>
                </c:pt>
                <c:pt idx="15">
                  <c:v>-1864</c:v>
                </c:pt>
                <c:pt idx="16">
                  <c:v>-230</c:v>
                </c:pt>
                <c:pt idx="17">
                  <c:v>-11360</c:v>
                </c:pt>
                <c:pt idx="18">
                  <c:v>-1441</c:v>
                </c:pt>
                <c:pt idx="19">
                  <c:v>-1981</c:v>
                </c:pt>
                <c:pt idx="20">
                  <c:v>-395</c:v>
                </c:pt>
                <c:pt idx="21">
                  <c:v>-297</c:v>
                </c:pt>
                <c:pt idx="22">
                  <c:v>-10086</c:v>
                </c:pt>
                <c:pt idx="23">
                  <c:v>-1034</c:v>
                </c:pt>
                <c:pt idx="24">
                  <c:v>-1808</c:v>
                </c:pt>
                <c:pt idx="25">
                  <c:v>-2214</c:v>
                </c:pt>
                <c:pt idx="26">
                  <c:v>-1678</c:v>
                </c:pt>
                <c:pt idx="27">
                  <c:v>-10435</c:v>
                </c:pt>
                <c:pt idx="28">
                  <c:v>-3992</c:v>
                </c:pt>
                <c:pt idx="29">
                  <c:v>-1872</c:v>
                </c:pt>
                <c:pt idx="30">
                  <c:v>-469</c:v>
                </c:pt>
                <c:pt idx="31">
                  <c:v>-887</c:v>
                </c:pt>
                <c:pt idx="32">
                  <c:v>-6162</c:v>
                </c:pt>
                <c:pt idx="33">
                  <c:v>-2167</c:v>
                </c:pt>
                <c:pt idx="34">
                  <c:v>-1191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Hoja1!$BG$45:$BG$79</c:f>
              <c:numCache>
                <c:formatCode>0</c:formatCode>
                <c:ptCount val="35"/>
                <c:pt idx="0">
                  <c:v>-125</c:v>
                </c:pt>
                <c:pt idx="1">
                  <c:v>244</c:v>
                </c:pt>
                <c:pt idx="2">
                  <c:v>20393</c:v>
                </c:pt>
                <c:pt idx="3">
                  <c:v>-226</c:v>
                </c:pt>
                <c:pt idx="4">
                  <c:v>103</c:v>
                </c:pt>
                <c:pt idx="5">
                  <c:v>312</c:v>
                </c:pt>
                <c:pt idx="6">
                  <c:v>91</c:v>
                </c:pt>
                <c:pt idx="7">
                  <c:v>6197</c:v>
                </c:pt>
                <c:pt idx="8">
                  <c:v>146</c:v>
                </c:pt>
                <c:pt idx="9">
                  <c:v>377</c:v>
                </c:pt>
                <c:pt idx="10">
                  <c:v>523</c:v>
                </c:pt>
                <c:pt idx="11">
                  <c:v>1030</c:v>
                </c:pt>
                <c:pt idx="12">
                  <c:v>319</c:v>
                </c:pt>
                <c:pt idx="13">
                  <c:v>-205</c:v>
                </c:pt>
                <c:pt idx="14">
                  <c:v>-249</c:v>
                </c:pt>
                <c:pt idx="15">
                  <c:v>-569</c:v>
                </c:pt>
                <c:pt idx="16">
                  <c:v>-589</c:v>
                </c:pt>
                <c:pt idx="17">
                  <c:v>-4256</c:v>
                </c:pt>
                <c:pt idx="18">
                  <c:v>-1858</c:v>
                </c:pt>
                <c:pt idx="19">
                  <c:v>-364</c:v>
                </c:pt>
                <c:pt idx="20">
                  <c:v>-14</c:v>
                </c:pt>
                <c:pt idx="21">
                  <c:v>-263</c:v>
                </c:pt>
                <c:pt idx="22">
                  <c:v>-16327</c:v>
                </c:pt>
                <c:pt idx="23">
                  <c:v>-87</c:v>
                </c:pt>
                <c:pt idx="24">
                  <c:v>-181</c:v>
                </c:pt>
                <c:pt idx="25">
                  <c:v>-372</c:v>
                </c:pt>
                <c:pt idx="26">
                  <c:v>-348</c:v>
                </c:pt>
                <c:pt idx="27">
                  <c:v>-15432</c:v>
                </c:pt>
                <c:pt idx="28">
                  <c:v>-231</c:v>
                </c:pt>
                <c:pt idx="29">
                  <c:v>-158</c:v>
                </c:pt>
                <c:pt idx="30">
                  <c:v>-817</c:v>
                </c:pt>
                <c:pt idx="31">
                  <c:v>-173</c:v>
                </c:pt>
                <c:pt idx="32">
                  <c:v>-14350</c:v>
                </c:pt>
                <c:pt idx="33">
                  <c:v>-194</c:v>
                </c:pt>
                <c:pt idx="34">
                  <c:v>-379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200000"/>
        <c:axId val="159201536"/>
      </c:barChart>
      <c:catAx>
        <c:axId val="15920000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59201536"/>
        <c:crosses val="autoZero"/>
        <c:auto val="1"/>
        <c:lblAlgn val="ctr"/>
        <c:lblOffset val="100"/>
        <c:noMultiLvlLbl val="0"/>
      </c:catAx>
      <c:valAx>
        <c:axId val="15920153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200000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1000277152577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Hoja1!$CQ$85:$CQ$130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Hoja1!$CS$85:$CS$130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Hoja1!$CU$85:$CU$130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-1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-1</c:v>
                </c:pt>
                <c:pt idx="33">
                  <c:v>-2</c:v>
                </c:pt>
                <c:pt idx="34">
                  <c:v>-1</c:v>
                </c:pt>
                <c:pt idx="35">
                  <c:v>0</c:v>
                </c:pt>
                <c:pt idx="36">
                  <c:v>-1</c:v>
                </c:pt>
                <c:pt idx="37">
                  <c:v>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-5</c:v>
                </c:pt>
                <c:pt idx="45">
                  <c:v>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Hoja1!$BG$85:$BG$130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247744"/>
        <c:axId val="159249536"/>
      </c:barChart>
      <c:catAx>
        <c:axId val="15924774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59249536"/>
        <c:crosses val="autoZero"/>
        <c:auto val="1"/>
        <c:lblAlgn val="ctr"/>
        <c:lblOffset val="100"/>
        <c:noMultiLvlLbl val="0"/>
      </c:catAx>
      <c:valAx>
        <c:axId val="15924953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2477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4.1160031068973667E-2"/>
          <c:w val="0.78602869982248191"/>
          <c:h val="0.9160096834925702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Hoja1!$CQ$137:$CQ$189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Hoja1!$CS$137:$CS$189</c:f>
              <c:numCache>
                <c:formatCode>General</c:formatCode>
                <c:ptCount val="53"/>
                <c:pt idx="0">
                  <c:v>61</c:v>
                </c:pt>
                <c:pt idx="1">
                  <c:v>31</c:v>
                </c:pt>
                <c:pt idx="2">
                  <c:v>232</c:v>
                </c:pt>
                <c:pt idx="3">
                  <c:v>299</c:v>
                </c:pt>
                <c:pt idx="4">
                  <c:v>92</c:v>
                </c:pt>
                <c:pt idx="5">
                  <c:v>38</c:v>
                </c:pt>
                <c:pt idx="6">
                  <c:v>332</c:v>
                </c:pt>
                <c:pt idx="7">
                  <c:v>117</c:v>
                </c:pt>
                <c:pt idx="8">
                  <c:v>352</c:v>
                </c:pt>
                <c:pt idx="9">
                  <c:v>100</c:v>
                </c:pt>
                <c:pt idx="10">
                  <c:v>752</c:v>
                </c:pt>
                <c:pt idx="11">
                  <c:v>109</c:v>
                </c:pt>
                <c:pt idx="12">
                  <c:v>373</c:v>
                </c:pt>
                <c:pt idx="13">
                  <c:v>64</c:v>
                </c:pt>
                <c:pt idx="14">
                  <c:v>1174</c:v>
                </c:pt>
                <c:pt idx="15">
                  <c:v>162</c:v>
                </c:pt>
                <c:pt idx="16">
                  <c:v>628</c:v>
                </c:pt>
                <c:pt idx="17">
                  <c:v>271</c:v>
                </c:pt>
                <c:pt idx="18">
                  <c:v>787</c:v>
                </c:pt>
                <c:pt idx="19">
                  <c:v>82</c:v>
                </c:pt>
                <c:pt idx="20">
                  <c:v>-53</c:v>
                </c:pt>
                <c:pt idx="21">
                  <c:v>-62</c:v>
                </c:pt>
                <c:pt idx="22">
                  <c:v>-683</c:v>
                </c:pt>
                <c:pt idx="23">
                  <c:v>-218</c:v>
                </c:pt>
                <c:pt idx="24">
                  <c:v>-458</c:v>
                </c:pt>
                <c:pt idx="25">
                  <c:v>-133</c:v>
                </c:pt>
                <c:pt idx="26">
                  <c:v>-709</c:v>
                </c:pt>
                <c:pt idx="27">
                  <c:v>-140</c:v>
                </c:pt>
                <c:pt idx="28">
                  <c:v>-235</c:v>
                </c:pt>
                <c:pt idx="29">
                  <c:v>-152</c:v>
                </c:pt>
                <c:pt idx="30">
                  <c:v>-2735</c:v>
                </c:pt>
                <c:pt idx="31">
                  <c:v>-69</c:v>
                </c:pt>
                <c:pt idx="32">
                  <c:v>-289</c:v>
                </c:pt>
                <c:pt idx="33">
                  <c:v>-41</c:v>
                </c:pt>
                <c:pt idx="34">
                  <c:v>-307</c:v>
                </c:pt>
                <c:pt idx="35">
                  <c:v>-40</c:v>
                </c:pt>
                <c:pt idx="36">
                  <c:v>-656</c:v>
                </c:pt>
                <c:pt idx="37">
                  <c:v>-48</c:v>
                </c:pt>
                <c:pt idx="38">
                  <c:v>-561</c:v>
                </c:pt>
                <c:pt idx="39">
                  <c:v>-41</c:v>
                </c:pt>
                <c:pt idx="40">
                  <c:v>-51</c:v>
                </c:pt>
                <c:pt idx="41">
                  <c:v>-32</c:v>
                </c:pt>
                <c:pt idx="42">
                  <c:v>-169</c:v>
                </c:pt>
                <c:pt idx="43">
                  <c:v>-5</c:v>
                </c:pt>
                <c:pt idx="44">
                  <c:v>-29</c:v>
                </c:pt>
                <c:pt idx="45">
                  <c:v>-26</c:v>
                </c:pt>
                <c:pt idx="46">
                  <c:v>-142</c:v>
                </c:pt>
                <c:pt idx="47">
                  <c:v>-1</c:v>
                </c:pt>
                <c:pt idx="48">
                  <c:v>-402</c:v>
                </c:pt>
                <c:pt idx="49">
                  <c:v>-1</c:v>
                </c:pt>
                <c:pt idx="50">
                  <c:v>-214</c:v>
                </c:pt>
                <c:pt idx="51">
                  <c:v>-1</c:v>
                </c:pt>
                <c:pt idx="52">
                  <c:v>-8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Hoja1!$CU$137:$CU$189</c:f>
              <c:numCache>
                <c:formatCode>General</c:formatCode>
                <c:ptCount val="53"/>
                <c:pt idx="0">
                  <c:v>6</c:v>
                </c:pt>
                <c:pt idx="1">
                  <c:v>6</c:v>
                </c:pt>
                <c:pt idx="2">
                  <c:v>61</c:v>
                </c:pt>
                <c:pt idx="3">
                  <c:v>13</c:v>
                </c:pt>
                <c:pt idx="4">
                  <c:v>1</c:v>
                </c:pt>
                <c:pt idx="5">
                  <c:v>0</c:v>
                </c:pt>
                <c:pt idx="6">
                  <c:v>33</c:v>
                </c:pt>
                <c:pt idx="7">
                  <c:v>0</c:v>
                </c:pt>
                <c:pt idx="8">
                  <c:v>-7</c:v>
                </c:pt>
                <c:pt idx="9">
                  <c:v>-10</c:v>
                </c:pt>
                <c:pt idx="10">
                  <c:v>2</c:v>
                </c:pt>
                <c:pt idx="11">
                  <c:v>6</c:v>
                </c:pt>
                <c:pt idx="12">
                  <c:v>6</c:v>
                </c:pt>
                <c:pt idx="13">
                  <c:v>-1</c:v>
                </c:pt>
                <c:pt idx="14">
                  <c:v>-6</c:v>
                </c:pt>
                <c:pt idx="15">
                  <c:v>3</c:v>
                </c:pt>
                <c:pt idx="16">
                  <c:v>3</c:v>
                </c:pt>
                <c:pt idx="17">
                  <c:v>10</c:v>
                </c:pt>
                <c:pt idx="18">
                  <c:v>4</c:v>
                </c:pt>
                <c:pt idx="19">
                  <c:v>10</c:v>
                </c:pt>
                <c:pt idx="20">
                  <c:v>-13</c:v>
                </c:pt>
                <c:pt idx="21">
                  <c:v>-5</c:v>
                </c:pt>
                <c:pt idx="22">
                  <c:v>-3</c:v>
                </c:pt>
                <c:pt idx="23">
                  <c:v>-4</c:v>
                </c:pt>
                <c:pt idx="24">
                  <c:v>-6</c:v>
                </c:pt>
                <c:pt idx="25">
                  <c:v>-3</c:v>
                </c:pt>
                <c:pt idx="26">
                  <c:v>-8</c:v>
                </c:pt>
                <c:pt idx="27">
                  <c:v>-8</c:v>
                </c:pt>
                <c:pt idx="28">
                  <c:v>0</c:v>
                </c:pt>
                <c:pt idx="29">
                  <c:v>-4</c:v>
                </c:pt>
                <c:pt idx="30">
                  <c:v>-22</c:v>
                </c:pt>
                <c:pt idx="31">
                  <c:v>-9</c:v>
                </c:pt>
                <c:pt idx="32">
                  <c:v>-13</c:v>
                </c:pt>
                <c:pt idx="33">
                  <c:v>-2</c:v>
                </c:pt>
                <c:pt idx="34">
                  <c:v>-7</c:v>
                </c:pt>
                <c:pt idx="35">
                  <c:v>-3</c:v>
                </c:pt>
                <c:pt idx="36">
                  <c:v>-3</c:v>
                </c:pt>
                <c:pt idx="37">
                  <c:v>-4</c:v>
                </c:pt>
                <c:pt idx="38">
                  <c:v>-26</c:v>
                </c:pt>
                <c:pt idx="39">
                  <c:v>-1</c:v>
                </c:pt>
                <c:pt idx="40">
                  <c:v>-15</c:v>
                </c:pt>
                <c:pt idx="41">
                  <c:v>-14</c:v>
                </c:pt>
                <c:pt idx="42">
                  <c:v>-13</c:v>
                </c:pt>
                <c:pt idx="43">
                  <c:v>-6</c:v>
                </c:pt>
                <c:pt idx="44">
                  <c:v>-3</c:v>
                </c:pt>
                <c:pt idx="45">
                  <c:v>-13</c:v>
                </c:pt>
                <c:pt idx="46">
                  <c:v>-9</c:v>
                </c:pt>
                <c:pt idx="47">
                  <c:v>-16</c:v>
                </c:pt>
                <c:pt idx="48">
                  <c:v>-30</c:v>
                </c:pt>
                <c:pt idx="49">
                  <c:v>-36</c:v>
                </c:pt>
                <c:pt idx="50">
                  <c:v>-31</c:v>
                </c:pt>
                <c:pt idx="51">
                  <c:v>-42</c:v>
                </c:pt>
                <c:pt idx="52">
                  <c:v>-23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Hoja1!$BG$137:$BG$189</c:f>
              <c:numCache>
                <c:formatCode>General</c:formatCode>
                <c:ptCount val="53"/>
                <c:pt idx="0">
                  <c:v>1</c:v>
                </c:pt>
                <c:pt idx="1">
                  <c:v>0</c:v>
                </c:pt>
                <c:pt idx="2">
                  <c:v>52</c:v>
                </c:pt>
                <c:pt idx="3">
                  <c:v>0</c:v>
                </c:pt>
                <c:pt idx="4">
                  <c:v>18</c:v>
                </c:pt>
                <c:pt idx="5">
                  <c:v>0</c:v>
                </c:pt>
                <c:pt idx="6">
                  <c:v>13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13</c:v>
                </c:pt>
                <c:pt idx="11">
                  <c:v>18</c:v>
                </c:pt>
                <c:pt idx="12">
                  <c:v>-24</c:v>
                </c:pt>
                <c:pt idx="13">
                  <c:v>19</c:v>
                </c:pt>
                <c:pt idx="14">
                  <c:v>1</c:v>
                </c:pt>
                <c:pt idx="15">
                  <c:v>0</c:v>
                </c:pt>
                <c:pt idx="16">
                  <c:v>-4</c:v>
                </c:pt>
                <c:pt idx="17">
                  <c:v>0</c:v>
                </c:pt>
                <c:pt idx="18">
                  <c:v>-14</c:v>
                </c:pt>
                <c:pt idx="19">
                  <c:v>-2</c:v>
                </c:pt>
                <c:pt idx="20">
                  <c:v>19</c:v>
                </c:pt>
                <c:pt idx="21">
                  <c:v>10</c:v>
                </c:pt>
                <c:pt idx="22">
                  <c:v>-26</c:v>
                </c:pt>
                <c:pt idx="23">
                  <c:v>-4</c:v>
                </c:pt>
                <c:pt idx="24">
                  <c:v>-5</c:v>
                </c:pt>
                <c:pt idx="25">
                  <c:v>-4</c:v>
                </c:pt>
                <c:pt idx="26">
                  <c:v>-3</c:v>
                </c:pt>
                <c:pt idx="27">
                  <c:v>1</c:v>
                </c:pt>
                <c:pt idx="28">
                  <c:v>-2</c:v>
                </c:pt>
                <c:pt idx="29">
                  <c:v>0</c:v>
                </c:pt>
                <c:pt idx="30">
                  <c:v>-6</c:v>
                </c:pt>
                <c:pt idx="31">
                  <c:v>1</c:v>
                </c:pt>
                <c:pt idx="32">
                  <c:v>-4</c:v>
                </c:pt>
                <c:pt idx="33">
                  <c:v>0</c:v>
                </c:pt>
                <c:pt idx="34">
                  <c:v>-1</c:v>
                </c:pt>
                <c:pt idx="35">
                  <c:v>-4</c:v>
                </c:pt>
                <c:pt idx="36">
                  <c:v>0</c:v>
                </c:pt>
                <c:pt idx="37">
                  <c:v>9</c:v>
                </c:pt>
                <c:pt idx="38">
                  <c:v>-7</c:v>
                </c:pt>
                <c:pt idx="39">
                  <c:v>-1</c:v>
                </c:pt>
                <c:pt idx="40">
                  <c:v>-3</c:v>
                </c:pt>
                <c:pt idx="41">
                  <c:v>-3</c:v>
                </c:pt>
                <c:pt idx="42">
                  <c:v>-19</c:v>
                </c:pt>
                <c:pt idx="43">
                  <c:v>-7</c:v>
                </c:pt>
                <c:pt idx="44">
                  <c:v>-7</c:v>
                </c:pt>
                <c:pt idx="45">
                  <c:v>-11</c:v>
                </c:pt>
                <c:pt idx="46">
                  <c:v>-8</c:v>
                </c:pt>
                <c:pt idx="47">
                  <c:v>0</c:v>
                </c:pt>
                <c:pt idx="48">
                  <c:v>-4</c:v>
                </c:pt>
                <c:pt idx="49">
                  <c:v>0</c:v>
                </c:pt>
                <c:pt idx="50">
                  <c:v>-6</c:v>
                </c:pt>
                <c:pt idx="51">
                  <c:v>0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280128"/>
        <c:axId val="159286016"/>
      </c:barChart>
      <c:catAx>
        <c:axId val="15928012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59286016"/>
        <c:crosses val="autoZero"/>
        <c:auto val="1"/>
        <c:lblAlgn val="ctr"/>
        <c:lblOffset val="100"/>
        <c:noMultiLvlLbl val="0"/>
      </c:catAx>
      <c:valAx>
        <c:axId val="15928601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2801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DEX (Cientos)</a:t>
            </a:r>
          </a:p>
        </c:rich>
      </c:tx>
      <c:layout>
        <c:manualLayout>
          <c:xMode val="edge"/>
          <c:yMode val="edge"/>
          <c:x val="0.15853868497198109"/>
          <c:y val="2.13931842482990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Hoja1!$CK$4:$CK$38</c:f>
              <c:numCache>
                <c:formatCode>General</c:formatCode>
                <c:ptCount val="35"/>
                <c:pt idx="0">
                  <c:v>-1300</c:v>
                </c:pt>
                <c:pt idx="1">
                  <c:v>0</c:v>
                </c:pt>
                <c:pt idx="2">
                  <c:v>-3087</c:v>
                </c:pt>
                <c:pt idx="3">
                  <c:v>5159</c:v>
                </c:pt>
                <c:pt idx="4">
                  <c:v>1889</c:v>
                </c:pt>
                <c:pt idx="5">
                  <c:v>-636</c:v>
                </c:pt>
                <c:pt idx="6">
                  <c:v>-2131</c:v>
                </c:pt>
                <c:pt idx="7">
                  <c:v>-310.99999999999909</c:v>
                </c:pt>
                <c:pt idx="8">
                  <c:v>1603.9999999999998</c:v>
                </c:pt>
                <c:pt idx="9">
                  <c:v>-350</c:v>
                </c:pt>
                <c:pt idx="10">
                  <c:v>6249</c:v>
                </c:pt>
                <c:pt idx="11">
                  <c:v>409048</c:v>
                </c:pt>
                <c:pt idx="12">
                  <c:v>1291288</c:v>
                </c:pt>
                <c:pt idx="13">
                  <c:v>902638</c:v>
                </c:pt>
                <c:pt idx="14">
                  <c:v>538325</c:v>
                </c:pt>
                <c:pt idx="15">
                  <c:v>412523</c:v>
                </c:pt>
                <c:pt idx="16">
                  <c:v>714900</c:v>
                </c:pt>
                <c:pt idx="17">
                  <c:v>593516</c:v>
                </c:pt>
                <c:pt idx="18">
                  <c:v>540966</c:v>
                </c:pt>
                <c:pt idx="19">
                  <c:v>354361</c:v>
                </c:pt>
                <c:pt idx="20">
                  <c:v>402700</c:v>
                </c:pt>
                <c:pt idx="21">
                  <c:v>334618</c:v>
                </c:pt>
                <c:pt idx="22">
                  <c:v>499400</c:v>
                </c:pt>
                <c:pt idx="23">
                  <c:v>316400</c:v>
                </c:pt>
                <c:pt idx="24">
                  <c:v>254600</c:v>
                </c:pt>
                <c:pt idx="25">
                  <c:v>198600</c:v>
                </c:pt>
                <c:pt idx="26">
                  <c:v>91900</c:v>
                </c:pt>
                <c:pt idx="27">
                  <c:v>132900</c:v>
                </c:pt>
                <c:pt idx="28">
                  <c:v>77000</c:v>
                </c:pt>
                <c:pt idx="29">
                  <c:v>27300</c:v>
                </c:pt>
                <c:pt idx="30">
                  <c:v>25100</c:v>
                </c:pt>
                <c:pt idx="31">
                  <c:v>32700</c:v>
                </c:pt>
                <c:pt idx="32">
                  <c:v>66400</c:v>
                </c:pt>
                <c:pt idx="33">
                  <c:v>19800</c:v>
                </c:pt>
                <c:pt idx="34">
                  <c:v>29500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Hoja1!$CM$4:$CM$38</c:f>
              <c:numCache>
                <c:formatCode>General</c:formatCode>
                <c:ptCount val="35"/>
                <c:pt idx="0">
                  <c:v>-1088</c:v>
                </c:pt>
                <c:pt idx="1">
                  <c:v>-1575</c:v>
                </c:pt>
                <c:pt idx="2">
                  <c:v>-8556</c:v>
                </c:pt>
                <c:pt idx="3">
                  <c:v>11503</c:v>
                </c:pt>
                <c:pt idx="4">
                  <c:v>3893</c:v>
                </c:pt>
                <c:pt idx="5">
                  <c:v>4206</c:v>
                </c:pt>
                <c:pt idx="6">
                  <c:v>-289.99999999999909</c:v>
                </c:pt>
                <c:pt idx="7">
                  <c:v>12691</c:v>
                </c:pt>
                <c:pt idx="8">
                  <c:v>-835.00000000000091</c:v>
                </c:pt>
                <c:pt idx="9">
                  <c:v>3819</c:v>
                </c:pt>
                <c:pt idx="10">
                  <c:v>-2646</c:v>
                </c:pt>
                <c:pt idx="11">
                  <c:v>786233</c:v>
                </c:pt>
                <c:pt idx="12">
                  <c:v>1706002</c:v>
                </c:pt>
                <c:pt idx="13">
                  <c:v>731040</c:v>
                </c:pt>
                <c:pt idx="14">
                  <c:v>834460</c:v>
                </c:pt>
                <c:pt idx="15">
                  <c:v>837235</c:v>
                </c:pt>
                <c:pt idx="16">
                  <c:v>755330</c:v>
                </c:pt>
                <c:pt idx="17">
                  <c:v>665149</c:v>
                </c:pt>
                <c:pt idx="18">
                  <c:v>418626</c:v>
                </c:pt>
                <c:pt idx="19">
                  <c:v>303300</c:v>
                </c:pt>
                <c:pt idx="20">
                  <c:v>335800</c:v>
                </c:pt>
                <c:pt idx="21">
                  <c:v>279700</c:v>
                </c:pt>
                <c:pt idx="22">
                  <c:v>854300</c:v>
                </c:pt>
                <c:pt idx="23">
                  <c:v>402200</c:v>
                </c:pt>
                <c:pt idx="24">
                  <c:v>184900</c:v>
                </c:pt>
                <c:pt idx="25">
                  <c:v>112100</c:v>
                </c:pt>
                <c:pt idx="26">
                  <c:v>166200</c:v>
                </c:pt>
                <c:pt idx="27">
                  <c:v>952900</c:v>
                </c:pt>
                <c:pt idx="28">
                  <c:v>76200</c:v>
                </c:pt>
                <c:pt idx="29">
                  <c:v>84400</c:v>
                </c:pt>
                <c:pt idx="30">
                  <c:v>54400</c:v>
                </c:pt>
                <c:pt idx="31">
                  <c:v>113700</c:v>
                </c:pt>
                <c:pt idx="32">
                  <c:v>858000</c:v>
                </c:pt>
                <c:pt idx="33">
                  <c:v>76300</c:v>
                </c:pt>
                <c:pt idx="34">
                  <c:v>99300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Hoja1!$CO$4:$CO$38</c:f>
              <c:numCache>
                <c:formatCode>General</c:formatCode>
                <c:ptCount val="35"/>
                <c:pt idx="0">
                  <c:v>61026</c:v>
                </c:pt>
                <c:pt idx="1">
                  <c:v>79243.999999999985</c:v>
                </c:pt>
                <c:pt idx="2">
                  <c:v>517549</c:v>
                </c:pt>
                <c:pt idx="3">
                  <c:v>111543.00000000001</c:v>
                </c:pt>
                <c:pt idx="4">
                  <c:v>242240</c:v>
                </c:pt>
                <c:pt idx="5">
                  <c:v>133090</c:v>
                </c:pt>
                <c:pt idx="6">
                  <c:v>123368</c:v>
                </c:pt>
                <c:pt idx="7">
                  <c:v>1519654.9999999998</c:v>
                </c:pt>
                <c:pt idx="8">
                  <c:v>91997</c:v>
                </c:pt>
                <c:pt idx="9">
                  <c:v>132554</c:v>
                </c:pt>
                <c:pt idx="10">
                  <c:v>92560</c:v>
                </c:pt>
                <c:pt idx="11">
                  <c:v>118365</c:v>
                </c:pt>
                <c:pt idx="12">
                  <c:v>494677</c:v>
                </c:pt>
                <c:pt idx="13">
                  <c:v>117335.99999999999</c:v>
                </c:pt>
                <c:pt idx="14">
                  <c:v>369715.99999999994</c:v>
                </c:pt>
                <c:pt idx="15">
                  <c:v>211086</c:v>
                </c:pt>
                <c:pt idx="16">
                  <c:v>320014.99999999994</c:v>
                </c:pt>
                <c:pt idx="17">
                  <c:v>1343007</c:v>
                </c:pt>
                <c:pt idx="18">
                  <c:v>239531</c:v>
                </c:pt>
                <c:pt idx="19">
                  <c:v>374185</c:v>
                </c:pt>
                <c:pt idx="20">
                  <c:v>445602</c:v>
                </c:pt>
                <c:pt idx="21">
                  <c:v>248668</c:v>
                </c:pt>
                <c:pt idx="22">
                  <c:v>132790</c:v>
                </c:pt>
                <c:pt idx="23">
                  <c:v>270608</c:v>
                </c:pt>
                <c:pt idx="24">
                  <c:v>1016892</c:v>
                </c:pt>
                <c:pt idx="25">
                  <c:v>-37200</c:v>
                </c:pt>
                <c:pt idx="26">
                  <c:v>114280</c:v>
                </c:pt>
                <c:pt idx="27">
                  <c:v>-563316</c:v>
                </c:pt>
                <c:pt idx="28">
                  <c:v>151689</c:v>
                </c:pt>
                <c:pt idx="29">
                  <c:v>216960</c:v>
                </c:pt>
                <c:pt idx="30">
                  <c:v>140000</c:v>
                </c:pt>
                <c:pt idx="31">
                  <c:v>684501</c:v>
                </c:pt>
                <c:pt idx="32">
                  <c:v>1414644</c:v>
                </c:pt>
                <c:pt idx="33">
                  <c:v>366665</c:v>
                </c:pt>
                <c:pt idx="34">
                  <c:v>487532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659904"/>
        <c:axId val="159661440"/>
      </c:barChart>
      <c:catAx>
        <c:axId val="15965990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59661440"/>
        <c:crosses val="autoZero"/>
        <c:auto val="1"/>
        <c:lblAlgn val="ctr"/>
        <c:lblOffset val="100"/>
        <c:noMultiLvlLbl val="0"/>
      </c:catAx>
      <c:valAx>
        <c:axId val="15966144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659904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Hoja1!$CK$45:$CK$79</c:f>
              <c:numCache>
                <c:formatCode>General</c:formatCode>
                <c:ptCount val="35"/>
                <c:pt idx="0">
                  <c:v>466</c:v>
                </c:pt>
                <c:pt idx="1">
                  <c:v>599</c:v>
                </c:pt>
                <c:pt idx="2">
                  <c:v>3870</c:v>
                </c:pt>
                <c:pt idx="3">
                  <c:v>4.9999999999998863</c:v>
                </c:pt>
                <c:pt idx="4">
                  <c:v>748</c:v>
                </c:pt>
                <c:pt idx="5">
                  <c:v>1600.0000000000002</c:v>
                </c:pt>
                <c:pt idx="6">
                  <c:v>6405.0000000000009</c:v>
                </c:pt>
                <c:pt idx="7">
                  <c:v>145916</c:v>
                </c:pt>
                <c:pt idx="8">
                  <c:v>92325</c:v>
                </c:pt>
                <c:pt idx="9">
                  <c:v>98024</c:v>
                </c:pt>
                <c:pt idx="10">
                  <c:v>278851</c:v>
                </c:pt>
                <c:pt idx="11">
                  <c:v>179514</c:v>
                </c:pt>
                <c:pt idx="12">
                  <c:v>640310</c:v>
                </c:pt>
                <c:pt idx="13">
                  <c:v>470194</c:v>
                </c:pt>
                <c:pt idx="14">
                  <c:v>231200</c:v>
                </c:pt>
                <c:pt idx="15">
                  <c:v>258803</c:v>
                </c:pt>
                <c:pt idx="16">
                  <c:v>183261</c:v>
                </c:pt>
                <c:pt idx="17">
                  <c:v>375200</c:v>
                </c:pt>
                <c:pt idx="18">
                  <c:v>189100</c:v>
                </c:pt>
                <c:pt idx="19">
                  <c:v>350100</c:v>
                </c:pt>
                <c:pt idx="20">
                  <c:v>242900</c:v>
                </c:pt>
                <c:pt idx="21">
                  <c:v>227600</c:v>
                </c:pt>
                <c:pt idx="22">
                  <c:v>282100</c:v>
                </c:pt>
                <c:pt idx="23">
                  <c:v>138400</c:v>
                </c:pt>
                <c:pt idx="24">
                  <c:v>93400</c:v>
                </c:pt>
                <c:pt idx="25">
                  <c:v>72400</c:v>
                </c:pt>
                <c:pt idx="26">
                  <c:v>38200</c:v>
                </c:pt>
                <c:pt idx="27">
                  <c:v>48000</c:v>
                </c:pt>
                <c:pt idx="28">
                  <c:v>20100</c:v>
                </c:pt>
                <c:pt idx="29">
                  <c:v>63100</c:v>
                </c:pt>
                <c:pt idx="30">
                  <c:v>37800</c:v>
                </c:pt>
                <c:pt idx="31">
                  <c:v>46900</c:v>
                </c:pt>
                <c:pt idx="32">
                  <c:v>69200</c:v>
                </c:pt>
                <c:pt idx="33">
                  <c:v>5600</c:v>
                </c:pt>
                <c:pt idx="34">
                  <c:v>13200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Hoja1!$CM$45:$CM$79</c:f>
              <c:numCache>
                <c:formatCode>General</c:formatCode>
                <c:ptCount val="35"/>
                <c:pt idx="0">
                  <c:v>1750.0000000000002</c:v>
                </c:pt>
                <c:pt idx="1">
                  <c:v>1332</c:v>
                </c:pt>
                <c:pt idx="2">
                  <c:v>7529.0000000000018</c:v>
                </c:pt>
                <c:pt idx="3">
                  <c:v>-93</c:v>
                </c:pt>
                <c:pt idx="4">
                  <c:v>-830</c:v>
                </c:pt>
                <c:pt idx="5">
                  <c:v>-7404.0000000000009</c:v>
                </c:pt>
                <c:pt idx="6">
                  <c:v>6319.0000000000036</c:v>
                </c:pt>
                <c:pt idx="7">
                  <c:v>1017668</c:v>
                </c:pt>
                <c:pt idx="8">
                  <c:v>284905</c:v>
                </c:pt>
                <c:pt idx="9">
                  <c:v>581160</c:v>
                </c:pt>
                <c:pt idx="10">
                  <c:v>450012</c:v>
                </c:pt>
                <c:pt idx="11">
                  <c:v>389585</c:v>
                </c:pt>
                <c:pt idx="12">
                  <c:v>900320</c:v>
                </c:pt>
                <c:pt idx="13">
                  <c:v>-73490</c:v>
                </c:pt>
                <c:pt idx="14">
                  <c:v>250090</c:v>
                </c:pt>
                <c:pt idx="15">
                  <c:v>261143</c:v>
                </c:pt>
                <c:pt idx="16">
                  <c:v>218100</c:v>
                </c:pt>
                <c:pt idx="17">
                  <c:v>756000</c:v>
                </c:pt>
                <c:pt idx="18">
                  <c:v>177300</c:v>
                </c:pt>
                <c:pt idx="19">
                  <c:v>180100</c:v>
                </c:pt>
                <c:pt idx="20">
                  <c:v>246100</c:v>
                </c:pt>
                <c:pt idx="21">
                  <c:v>198700</c:v>
                </c:pt>
                <c:pt idx="22">
                  <c:v>392300</c:v>
                </c:pt>
                <c:pt idx="23">
                  <c:v>79200</c:v>
                </c:pt>
                <c:pt idx="24">
                  <c:v>101300</c:v>
                </c:pt>
                <c:pt idx="25">
                  <c:v>92600</c:v>
                </c:pt>
                <c:pt idx="26">
                  <c:v>71800</c:v>
                </c:pt>
                <c:pt idx="27">
                  <c:v>365600</c:v>
                </c:pt>
                <c:pt idx="28">
                  <c:v>44800</c:v>
                </c:pt>
                <c:pt idx="29">
                  <c:v>136200</c:v>
                </c:pt>
                <c:pt idx="30">
                  <c:v>113700</c:v>
                </c:pt>
                <c:pt idx="31">
                  <c:v>109800</c:v>
                </c:pt>
                <c:pt idx="32">
                  <c:v>319100</c:v>
                </c:pt>
                <c:pt idx="33">
                  <c:v>66500</c:v>
                </c:pt>
                <c:pt idx="34">
                  <c:v>98000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Hoja1!$CO$45:$CO$79</c:f>
              <c:numCache>
                <c:formatCode>General</c:formatCode>
                <c:ptCount val="35"/>
                <c:pt idx="0">
                  <c:v>84054.000000000015</c:v>
                </c:pt>
                <c:pt idx="1">
                  <c:v>78974</c:v>
                </c:pt>
                <c:pt idx="2">
                  <c:v>1709334</c:v>
                </c:pt>
                <c:pt idx="3">
                  <c:v>29633</c:v>
                </c:pt>
                <c:pt idx="4">
                  <c:v>61114.999999999993</c:v>
                </c:pt>
                <c:pt idx="5">
                  <c:v>33368</c:v>
                </c:pt>
                <c:pt idx="6">
                  <c:v>48240</c:v>
                </c:pt>
                <c:pt idx="7">
                  <c:v>2055808</c:v>
                </c:pt>
                <c:pt idx="8">
                  <c:v>22778</c:v>
                </c:pt>
                <c:pt idx="9">
                  <c:v>44752</c:v>
                </c:pt>
                <c:pt idx="10">
                  <c:v>53641</c:v>
                </c:pt>
                <c:pt idx="11">
                  <c:v>58571</c:v>
                </c:pt>
                <c:pt idx="12">
                  <c:v>5902280</c:v>
                </c:pt>
                <c:pt idx="13">
                  <c:v>50332</c:v>
                </c:pt>
                <c:pt idx="14">
                  <c:v>112012</c:v>
                </c:pt>
                <c:pt idx="15">
                  <c:v>50745</c:v>
                </c:pt>
                <c:pt idx="16">
                  <c:v>44330</c:v>
                </c:pt>
                <c:pt idx="17">
                  <c:v>2336392</c:v>
                </c:pt>
                <c:pt idx="18">
                  <c:v>106360</c:v>
                </c:pt>
                <c:pt idx="19">
                  <c:v>16731.999999999993</c:v>
                </c:pt>
                <c:pt idx="20">
                  <c:v>40331</c:v>
                </c:pt>
                <c:pt idx="21">
                  <c:v>39075</c:v>
                </c:pt>
                <c:pt idx="22">
                  <c:v>2308612</c:v>
                </c:pt>
                <c:pt idx="23">
                  <c:v>-4462</c:v>
                </c:pt>
                <c:pt idx="24">
                  <c:v>24509</c:v>
                </c:pt>
                <c:pt idx="25">
                  <c:v>-24940</c:v>
                </c:pt>
                <c:pt idx="26">
                  <c:v>2092</c:v>
                </c:pt>
                <c:pt idx="27">
                  <c:v>2467823</c:v>
                </c:pt>
                <c:pt idx="28">
                  <c:v>3392</c:v>
                </c:pt>
                <c:pt idx="29">
                  <c:v>-13935</c:v>
                </c:pt>
                <c:pt idx="30">
                  <c:v>-5314</c:v>
                </c:pt>
                <c:pt idx="31">
                  <c:v>-8422</c:v>
                </c:pt>
                <c:pt idx="32">
                  <c:v>3130232</c:v>
                </c:pt>
                <c:pt idx="33">
                  <c:v>75052</c:v>
                </c:pt>
                <c:pt idx="34">
                  <c:v>155220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684480"/>
        <c:axId val="159686016"/>
      </c:barChart>
      <c:catAx>
        <c:axId val="15968448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59686016"/>
        <c:crosses val="autoZero"/>
        <c:auto val="1"/>
        <c:lblAlgn val="ctr"/>
        <c:lblOffset val="100"/>
        <c:noMultiLvlLbl val="0"/>
      </c:catAx>
      <c:valAx>
        <c:axId val="15968601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684480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2789681548643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Hoja1!$CK$85:$CK$130</c:f>
              <c:numCache>
                <c:formatCode>General</c:formatCode>
                <c:ptCount val="46"/>
                <c:pt idx="0">
                  <c:v>-900</c:v>
                </c:pt>
                <c:pt idx="1">
                  <c:v>-400</c:v>
                </c:pt>
                <c:pt idx="2">
                  <c:v>-1600</c:v>
                </c:pt>
                <c:pt idx="3">
                  <c:v>-500</c:v>
                </c:pt>
                <c:pt idx="4">
                  <c:v>-500</c:v>
                </c:pt>
                <c:pt idx="5">
                  <c:v>-4300</c:v>
                </c:pt>
                <c:pt idx="6">
                  <c:v>-600</c:v>
                </c:pt>
                <c:pt idx="7">
                  <c:v>-12800</c:v>
                </c:pt>
                <c:pt idx="8">
                  <c:v>-1700</c:v>
                </c:pt>
                <c:pt idx="9">
                  <c:v>-1100</c:v>
                </c:pt>
                <c:pt idx="10">
                  <c:v>-36100</c:v>
                </c:pt>
                <c:pt idx="11">
                  <c:v>-42300</c:v>
                </c:pt>
                <c:pt idx="12">
                  <c:v>-76600</c:v>
                </c:pt>
                <c:pt idx="13">
                  <c:v>-9800</c:v>
                </c:pt>
                <c:pt idx="14">
                  <c:v>-5000</c:v>
                </c:pt>
                <c:pt idx="15">
                  <c:v>-3400</c:v>
                </c:pt>
                <c:pt idx="16">
                  <c:v>-3800</c:v>
                </c:pt>
                <c:pt idx="17">
                  <c:v>-13542</c:v>
                </c:pt>
                <c:pt idx="18">
                  <c:v>-8991</c:v>
                </c:pt>
                <c:pt idx="19">
                  <c:v>-8695</c:v>
                </c:pt>
                <c:pt idx="20">
                  <c:v>-40401</c:v>
                </c:pt>
                <c:pt idx="21">
                  <c:v>17550</c:v>
                </c:pt>
                <c:pt idx="22">
                  <c:v>153924</c:v>
                </c:pt>
                <c:pt idx="23">
                  <c:v>89111</c:v>
                </c:pt>
                <c:pt idx="24">
                  <c:v>102780</c:v>
                </c:pt>
                <c:pt idx="25">
                  <c:v>32574.999999999993</c:v>
                </c:pt>
                <c:pt idx="26">
                  <c:v>117112.99999999999</c:v>
                </c:pt>
                <c:pt idx="27">
                  <c:v>191080</c:v>
                </c:pt>
                <c:pt idx="28">
                  <c:v>14878</c:v>
                </c:pt>
                <c:pt idx="29">
                  <c:v>8004.0000000000009</c:v>
                </c:pt>
                <c:pt idx="30">
                  <c:v>5016</c:v>
                </c:pt>
                <c:pt idx="31">
                  <c:v>6408</c:v>
                </c:pt>
                <c:pt idx="32">
                  <c:v>21716</c:v>
                </c:pt>
                <c:pt idx="33">
                  <c:v>3420.0000000000005</c:v>
                </c:pt>
                <c:pt idx="34">
                  <c:v>6230</c:v>
                </c:pt>
                <c:pt idx="35">
                  <c:v>14040</c:v>
                </c:pt>
                <c:pt idx="36">
                  <c:v>17112</c:v>
                </c:pt>
                <c:pt idx="37">
                  <c:v>42964.000000000007</c:v>
                </c:pt>
                <c:pt idx="38">
                  <c:v>5766</c:v>
                </c:pt>
                <c:pt idx="39">
                  <c:v>62321.999999999993</c:v>
                </c:pt>
                <c:pt idx="40">
                  <c:v>62403.000000000007</c:v>
                </c:pt>
                <c:pt idx="41">
                  <c:v>9021</c:v>
                </c:pt>
                <c:pt idx="42">
                  <c:v>51700</c:v>
                </c:pt>
                <c:pt idx="43">
                  <c:v>20995</c:v>
                </c:pt>
                <c:pt idx="44">
                  <c:v>3800</c:v>
                </c:pt>
                <c:pt idx="45">
                  <c:v>5130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Hoja1!$CM$85:$CM$130</c:f>
              <c:numCache>
                <c:formatCode>General</c:formatCode>
                <c:ptCount val="46"/>
                <c:pt idx="0">
                  <c:v>-98</c:v>
                </c:pt>
                <c:pt idx="1">
                  <c:v>-196</c:v>
                </c:pt>
                <c:pt idx="2">
                  <c:v>-20678</c:v>
                </c:pt>
                <c:pt idx="3">
                  <c:v>-1372</c:v>
                </c:pt>
                <c:pt idx="4">
                  <c:v>-40600</c:v>
                </c:pt>
                <c:pt idx="5">
                  <c:v>-31600</c:v>
                </c:pt>
                <c:pt idx="6">
                  <c:v>-7900</c:v>
                </c:pt>
                <c:pt idx="7">
                  <c:v>-21978</c:v>
                </c:pt>
                <c:pt idx="8">
                  <c:v>-55638</c:v>
                </c:pt>
                <c:pt idx="9">
                  <c:v>-8514</c:v>
                </c:pt>
                <c:pt idx="10">
                  <c:v>-36162</c:v>
                </c:pt>
                <c:pt idx="11">
                  <c:v>-30070</c:v>
                </c:pt>
                <c:pt idx="12">
                  <c:v>-48112</c:v>
                </c:pt>
                <c:pt idx="13">
                  <c:v>-13482.999999999998</c:v>
                </c:pt>
                <c:pt idx="14">
                  <c:v>-19392</c:v>
                </c:pt>
                <c:pt idx="15">
                  <c:v>0</c:v>
                </c:pt>
                <c:pt idx="16">
                  <c:v>-77234.999999999985</c:v>
                </c:pt>
                <c:pt idx="17">
                  <c:v>-178601</c:v>
                </c:pt>
                <c:pt idx="18">
                  <c:v>-44347</c:v>
                </c:pt>
                <c:pt idx="19">
                  <c:v>-54564</c:v>
                </c:pt>
                <c:pt idx="20">
                  <c:v>-73493</c:v>
                </c:pt>
                <c:pt idx="21">
                  <c:v>-8112</c:v>
                </c:pt>
                <c:pt idx="22">
                  <c:v>323362</c:v>
                </c:pt>
                <c:pt idx="23">
                  <c:v>107446.00000000001</c:v>
                </c:pt>
                <c:pt idx="24">
                  <c:v>103996</c:v>
                </c:pt>
                <c:pt idx="25">
                  <c:v>166166</c:v>
                </c:pt>
                <c:pt idx="26">
                  <c:v>67500</c:v>
                </c:pt>
                <c:pt idx="27">
                  <c:v>280800</c:v>
                </c:pt>
                <c:pt idx="28">
                  <c:v>72800</c:v>
                </c:pt>
                <c:pt idx="29">
                  <c:v>40400</c:v>
                </c:pt>
                <c:pt idx="30">
                  <c:v>19200</c:v>
                </c:pt>
                <c:pt idx="31">
                  <c:v>24400</c:v>
                </c:pt>
                <c:pt idx="32">
                  <c:v>123400</c:v>
                </c:pt>
                <c:pt idx="33">
                  <c:v>75100</c:v>
                </c:pt>
                <c:pt idx="34">
                  <c:v>13400</c:v>
                </c:pt>
                <c:pt idx="35">
                  <c:v>34100</c:v>
                </c:pt>
                <c:pt idx="36">
                  <c:v>37700</c:v>
                </c:pt>
                <c:pt idx="37">
                  <c:v>167700</c:v>
                </c:pt>
                <c:pt idx="38">
                  <c:v>35200</c:v>
                </c:pt>
                <c:pt idx="39">
                  <c:v>76600</c:v>
                </c:pt>
                <c:pt idx="40">
                  <c:v>12800</c:v>
                </c:pt>
                <c:pt idx="41">
                  <c:v>31800</c:v>
                </c:pt>
                <c:pt idx="42">
                  <c:v>98300</c:v>
                </c:pt>
                <c:pt idx="43">
                  <c:v>28126</c:v>
                </c:pt>
                <c:pt idx="44">
                  <c:v>107800</c:v>
                </c:pt>
                <c:pt idx="45">
                  <c:v>14406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Hoja1!$CO$85:$CO$130</c:f>
              <c:numCache>
                <c:formatCode>General</c:formatCode>
                <c:ptCount val="46"/>
                <c:pt idx="0">
                  <c:v>-12400</c:v>
                </c:pt>
                <c:pt idx="1">
                  <c:v>-12327</c:v>
                </c:pt>
                <c:pt idx="2">
                  <c:v>-37080</c:v>
                </c:pt>
                <c:pt idx="3">
                  <c:v>-7856</c:v>
                </c:pt>
                <c:pt idx="4">
                  <c:v>-4234</c:v>
                </c:pt>
                <c:pt idx="5">
                  <c:v>-7940</c:v>
                </c:pt>
                <c:pt idx="6">
                  <c:v>-57240</c:v>
                </c:pt>
                <c:pt idx="7">
                  <c:v>-204088</c:v>
                </c:pt>
                <c:pt idx="8">
                  <c:v>-3223.9999999999964</c:v>
                </c:pt>
                <c:pt idx="9">
                  <c:v>-33116</c:v>
                </c:pt>
                <c:pt idx="10">
                  <c:v>-8030.0000000000018</c:v>
                </c:pt>
                <c:pt idx="11">
                  <c:v>-20080</c:v>
                </c:pt>
                <c:pt idx="12">
                  <c:v>51928.000000000015</c:v>
                </c:pt>
                <c:pt idx="13">
                  <c:v>-5643</c:v>
                </c:pt>
                <c:pt idx="14">
                  <c:v>3206</c:v>
                </c:pt>
                <c:pt idx="15">
                  <c:v>-325</c:v>
                </c:pt>
                <c:pt idx="16">
                  <c:v>-15026.000000000007</c:v>
                </c:pt>
                <c:pt idx="17">
                  <c:v>-312410</c:v>
                </c:pt>
                <c:pt idx="18">
                  <c:v>6230</c:v>
                </c:pt>
                <c:pt idx="19">
                  <c:v>-17473.000000000004</c:v>
                </c:pt>
                <c:pt idx="20">
                  <c:v>-20696.000000000004</c:v>
                </c:pt>
                <c:pt idx="21">
                  <c:v>6657</c:v>
                </c:pt>
                <c:pt idx="22">
                  <c:v>8952.0000000000073</c:v>
                </c:pt>
                <c:pt idx="23">
                  <c:v>1714</c:v>
                </c:pt>
                <c:pt idx="24">
                  <c:v>-18680</c:v>
                </c:pt>
                <c:pt idx="25">
                  <c:v>9641.9999999999964</c:v>
                </c:pt>
                <c:pt idx="26">
                  <c:v>57381</c:v>
                </c:pt>
                <c:pt idx="27">
                  <c:v>131825.99999999997</c:v>
                </c:pt>
                <c:pt idx="28">
                  <c:v>6124</c:v>
                </c:pt>
                <c:pt idx="29">
                  <c:v>10146</c:v>
                </c:pt>
                <c:pt idx="30">
                  <c:v>-11835.000000000002</c:v>
                </c:pt>
                <c:pt idx="31">
                  <c:v>5720</c:v>
                </c:pt>
                <c:pt idx="32">
                  <c:v>12043</c:v>
                </c:pt>
                <c:pt idx="33">
                  <c:v>24453.000000000004</c:v>
                </c:pt>
                <c:pt idx="34">
                  <c:v>-5393</c:v>
                </c:pt>
                <c:pt idx="35">
                  <c:v>4884.0000000000018</c:v>
                </c:pt>
                <c:pt idx="36">
                  <c:v>23740.000000000004</c:v>
                </c:pt>
                <c:pt idx="37">
                  <c:v>42788</c:v>
                </c:pt>
                <c:pt idx="38">
                  <c:v>27014.999999999996</c:v>
                </c:pt>
                <c:pt idx="39">
                  <c:v>-3322</c:v>
                </c:pt>
                <c:pt idx="40">
                  <c:v>5643</c:v>
                </c:pt>
                <c:pt idx="41">
                  <c:v>30761</c:v>
                </c:pt>
                <c:pt idx="42">
                  <c:v>39216</c:v>
                </c:pt>
                <c:pt idx="43">
                  <c:v>40823</c:v>
                </c:pt>
                <c:pt idx="44">
                  <c:v>7143</c:v>
                </c:pt>
                <c:pt idx="45">
                  <c:v>21191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337856"/>
        <c:axId val="159339648"/>
      </c:barChart>
      <c:catAx>
        <c:axId val="15933785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59339648"/>
        <c:crosses val="autoZero"/>
        <c:auto val="1"/>
        <c:lblAlgn val="ctr"/>
        <c:lblOffset val="100"/>
        <c:noMultiLvlLbl val="0"/>
      </c:catAx>
      <c:valAx>
        <c:axId val="15933964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337856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3.9034770023745183E-2"/>
          <c:w val="0.78602869982248191"/>
          <c:h val="0.920260205583027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250508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Hoja1!$CK$137:$CK$189</c:f>
              <c:numCache>
                <c:formatCode>General</c:formatCode>
                <c:ptCount val="53"/>
                <c:pt idx="0">
                  <c:v>0</c:v>
                </c:pt>
                <c:pt idx="1">
                  <c:v>28.000000000000004</c:v>
                </c:pt>
                <c:pt idx="2">
                  <c:v>-97</c:v>
                </c:pt>
                <c:pt idx="3">
                  <c:v>7.0000000000000009</c:v>
                </c:pt>
                <c:pt idx="4">
                  <c:v>96</c:v>
                </c:pt>
                <c:pt idx="5">
                  <c:v>12</c:v>
                </c:pt>
                <c:pt idx="6">
                  <c:v>-70</c:v>
                </c:pt>
                <c:pt idx="7">
                  <c:v>-882</c:v>
                </c:pt>
                <c:pt idx="8">
                  <c:v>130</c:v>
                </c:pt>
                <c:pt idx="9">
                  <c:v>0</c:v>
                </c:pt>
                <c:pt idx="10">
                  <c:v>-203.99999999999997</c:v>
                </c:pt>
                <c:pt idx="11">
                  <c:v>32</c:v>
                </c:pt>
                <c:pt idx="12">
                  <c:v>12</c:v>
                </c:pt>
                <c:pt idx="13">
                  <c:v>39</c:v>
                </c:pt>
                <c:pt idx="14">
                  <c:v>-36</c:v>
                </c:pt>
                <c:pt idx="15">
                  <c:v>2</c:v>
                </c:pt>
                <c:pt idx="16">
                  <c:v>30</c:v>
                </c:pt>
                <c:pt idx="17">
                  <c:v>6</c:v>
                </c:pt>
                <c:pt idx="18">
                  <c:v>92</c:v>
                </c:pt>
                <c:pt idx="19">
                  <c:v>24</c:v>
                </c:pt>
                <c:pt idx="20">
                  <c:v>887.99999999999989</c:v>
                </c:pt>
                <c:pt idx="21">
                  <c:v>686</c:v>
                </c:pt>
                <c:pt idx="22">
                  <c:v>4010</c:v>
                </c:pt>
                <c:pt idx="23">
                  <c:v>1028</c:v>
                </c:pt>
                <c:pt idx="24">
                  <c:v>935</c:v>
                </c:pt>
                <c:pt idx="25">
                  <c:v>432.99999999999994</c:v>
                </c:pt>
                <c:pt idx="26">
                  <c:v>6871.0000000000009</c:v>
                </c:pt>
                <c:pt idx="27">
                  <c:v>308</c:v>
                </c:pt>
                <c:pt idx="28">
                  <c:v>768</c:v>
                </c:pt>
                <c:pt idx="29">
                  <c:v>676</c:v>
                </c:pt>
                <c:pt idx="30">
                  <c:v>3822</c:v>
                </c:pt>
                <c:pt idx="31">
                  <c:v>30.999999999999993</c:v>
                </c:pt>
                <c:pt idx="32">
                  <c:v>249</c:v>
                </c:pt>
                <c:pt idx="33">
                  <c:v>148</c:v>
                </c:pt>
                <c:pt idx="34">
                  <c:v>-4</c:v>
                </c:pt>
                <c:pt idx="35">
                  <c:v>-144</c:v>
                </c:pt>
                <c:pt idx="36">
                  <c:v>332</c:v>
                </c:pt>
                <c:pt idx="37">
                  <c:v>-14.000000000000002</c:v>
                </c:pt>
                <c:pt idx="38">
                  <c:v>557</c:v>
                </c:pt>
                <c:pt idx="39">
                  <c:v>46.999999999999993</c:v>
                </c:pt>
                <c:pt idx="40">
                  <c:v>-77</c:v>
                </c:pt>
                <c:pt idx="41">
                  <c:v>-18</c:v>
                </c:pt>
                <c:pt idx="42">
                  <c:v>1294</c:v>
                </c:pt>
                <c:pt idx="43">
                  <c:v>0</c:v>
                </c:pt>
                <c:pt idx="44">
                  <c:v>-156</c:v>
                </c:pt>
                <c:pt idx="45">
                  <c:v>41</c:v>
                </c:pt>
                <c:pt idx="46">
                  <c:v>1520</c:v>
                </c:pt>
                <c:pt idx="47">
                  <c:v>-25</c:v>
                </c:pt>
                <c:pt idx="48">
                  <c:v>95</c:v>
                </c:pt>
                <c:pt idx="49">
                  <c:v>155</c:v>
                </c:pt>
                <c:pt idx="50">
                  <c:v>995.99999999999977</c:v>
                </c:pt>
                <c:pt idx="51">
                  <c:v>-65</c:v>
                </c:pt>
                <c:pt idx="52">
                  <c:v>-6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Hoja1!$CM$137:$CM$189</c:f>
              <c:numCache>
                <c:formatCode>General</c:formatCode>
                <c:ptCount val="53"/>
                <c:pt idx="0">
                  <c:v>-54.999999999999972</c:v>
                </c:pt>
                <c:pt idx="1">
                  <c:v>56.000000000000007</c:v>
                </c:pt>
                <c:pt idx="2">
                  <c:v>-1000</c:v>
                </c:pt>
                <c:pt idx="3">
                  <c:v>80</c:v>
                </c:pt>
                <c:pt idx="4">
                  <c:v>-34</c:v>
                </c:pt>
                <c:pt idx="5">
                  <c:v>-259</c:v>
                </c:pt>
                <c:pt idx="6">
                  <c:v>-97</c:v>
                </c:pt>
                <c:pt idx="7">
                  <c:v>-90</c:v>
                </c:pt>
                <c:pt idx="8">
                  <c:v>60</c:v>
                </c:pt>
                <c:pt idx="9">
                  <c:v>27</c:v>
                </c:pt>
                <c:pt idx="10">
                  <c:v>-288</c:v>
                </c:pt>
                <c:pt idx="11">
                  <c:v>-65</c:v>
                </c:pt>
                <c:pt idx="12">
                  <c:v>-672</c:v>
                </c:pt>
                <c:pt idx="13">
                  <c:v>-1402</c:v>
                </c:pt>
                <c:pt idx="14">
                  <c:v>-1092</c:v>
                </c:pt>
                <c:pt idx="15">
                  <c:v>248</c:v>
                </c:pt>
                <c:pt idx="16">
                  <c:v>-1978</c:v>
                </c:pt>
                <c:pt idx="17">
                  <c:v>-400</c:v>
                </c:pt>
                <c:pt idx="18">
                  <c:v>-1810</c:v>
                </c:pt>
                <c:pt idx="19">
                  <c:v>-225</c:v>
                </c:pt>
                <c:pt idx="20">
                  <c:v>5449</c:v>
                </c:pt>
                <c:pt idx="21">
                  <c:v>782</c:v>
                </c:pt>
                <c:pt idx="22">
                  <c:v>873</c:v>
                </c:pt>
                <c:pt idx="23">
                  <c:v>291</c:v>
                </c:pt>
                <c:pt idx="24">
                  <c:v>508</c:v>
                </c:pt>
                <c:pt idx="25">
                  <c:v>400</c:v>
                </c:pt>
                <c:pt idx="26">
                  <c:v>1600</c:v>
                </c:pt>
                <c:pt idx="27">
                  <c:v>528</c:v>
                </c:pt>
                <c:pt idx="28">
                  <c:v>513</c:v>
                </c:pt>
                <c:pt idx="29">
                  <c:v>1404</c:v>
                </c:pt>
                <c:pt idx="30">
                  <c:v>3800</c:v>
                </c:pt>
                <c:pt idx="31">
                  <c:v>1170</c:v>
                </c:pt>
                <c:pt idx="32">
                  <c:v>1095</c:v>
                </c:pt>
                <c:pt idx="33">
                  <c:v>819</c:v>
                </c:pt>
                <c:pt idx="34">
                  <c:v>540</c:v>
                </c:pt>
                <c:pt idx="35">
                  <c:v>444</c:v>
                </c:pt>
                <c:pt idx="36">
                  <c:v>9308</c:v>
                </c:pt>
                <c:pt idx="37">
                  <c:v>372</c:v>
                </c:pt>
                <c:pt idx="38">
                  <c:v>1067</c:v>
                </c:pt>
                <c:pt idx="39">
                  <c:v>1558</c:v>
                </c:pt>
                <c:pt idx="40">
                  <c:v>436.99999999999994</c:v>
                </c:pt>
                <c:pt idx="41">
                  <c:v>394</c:v>
                </c:pt>
                <c:pt idx="42">
                  <c:v>1418</c:v>
                </c:pt>
                <c:pt idx="43">
                  <c:v>38</c:v>
                </c:pt>
                <c:pt idx="44">
                  <c:v>676</c:v>
                </c:pt>
                <c:pt idx="45">
                  <c:v>-118</c:v>
                </c:pt>
                <c:pt idx="46">
                  <c:v>700</c:v>
                </c:pt>
                <c:pt idx="47">
                  <c:v>-130</c:v>
                </c:pt>
                <c:pt idx="48">
                  <c:v>400</c:v>
                </c:pt>
                <c:pt idx="49">
                  <c:v>-60</c:v>
                </c:pt>
                <c:pt idx="50">
                  <c:v>400</c:v>
                </c:pt>
                <c:pt idx="51">
                  <c:v>700</c:v>
                </c:pt>
                <c:pt idx="52">
                  <c:v>200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Hoja1!$CO$137:$CO$189</c:f>
              <c:numCache>
                <c:formatCode>General</c:formatCode>
                <c:ptCount val="53"/>
                <c:pt idx="0">
                  <c:v>-168</c:v>
                </c:pt>
                <c:pt idx="1">
                  <c:v>-295.00000000000006</c:v>
                </c:pt>
                <c:pt idx="2">
                  <c:v>-5382</c:v>
                </c:pt>
                <c:pt idx="3">
                  <c:v>206</c:v>
                </c:pt>
                <c:pt idx="4">
                  <c:v>-35.999999999999943</c:v>
                </c:pt>
                <c:pt idx="5">
                  <c:v>-2435.9999999999995</c:v>
                </c:pt>
                <c:pt idx="6">
                  <c:v>-4695</c:v>
                </c:pt>
                <c:pt idx="7">
                  <c:v>93.999999999999943</c:v>
                </c:pt>
                <c:pt idx="8">
                  <c:v>-131.99999999999989</c:v>
                </c:pt>
                <c:pt idx="9">
                  <c:v>21.000000000000057</c:v>
                </c:pt>
                <c:pt idx="10">
                  <c:v>368.99999999999977</c:v>
                </c:pt>
                <c:pt idx="11">
                  <c:v>763.99999999999989</c:v>
                </c:pt>
                <c:pt idx="12">
                  <c:v>1962</c:v>
                </c:pt>
                <c:pt idx="13">
                  <c:v>-317</c:v>
                </c:pt>
                <c:pt idx="14">
                  <c:v>1440</c:v>
                </c:pt>
                <c:pt idx="15">
                  <c:v>132</c:v>
                </c:pt>
                <c:pt idx="16">
                  <c:v>534</c:v>
                </c:pt>
                <c:pt idx="17">
                  <c:v>-186.00000000000023</c:v>
                </c:pt>
                <c:pt idx="18">
                  <c:v>683</c:v>
                </c:pt>
                <c:pt idx="19">
                  <c:v>819.99999999999989</c:v>
                </c:pt>
                <c:pt idx="20">
                  <c:v>936.00000000000023</c:v>
                </c:pt>
                <c:pt idx="21">
                  <c:v>372</c:v>
                </c:pt>
                <c:pt idx="22">
                  <c:v>2520</c:v>
                </c:pt>
                <c:pt idx="23">
                  <c:v>481.99999999999989</c:v>
                </c:pt>
                <c:pt idx="24">
                  <c:v>1329.9999999999998</c:v>
                </c:pt>
                <c:pt idx="25">
                  <c:v>580</c:v>
                </c:pt>
                <c:pt idx="26">
                  <c:v>1085.9999999999995</c:v>
                </c:pt>
                <c:pt idx="27">
                  <c:v>578</c:v>
                </c:pt>
                <c:pt idx="28">
                  <c:v>1308.0000000000002</c:v>
                </c:pt>
                <c:pt idx="29">
                  <c:v>1132</c:v>
                </c:pt>
                <c:pt idx="30">
                  <c:v>1354</c:v>
                </c:pt>
                <c:pt idx="31">
                  <c:v>1198</c:v>
                </c:pt>
                <c:pt idx="32">
                  <c:v>4505</c:v>
                </c:pt>
                <c:pt idx="33">
                  <c:v>2285.9999999999995</c:v>
                </c:pt>
                <c:pt idx="34">
                  <c:v>1356.9999999999998</c:v>
                </c:pt>
                <c:pt idx="35">
                  <c:v>268</c:v>
                </c:pt>
                <c:pt idx="36">
                  <c:v>204</c:v>
                </c:pt>
                <c:pt idx="37">
                  <c:v>1956</c:v>
                </c:pt>
                <c:pt idx="38">
                  <c:v>3204</c:v>
                </c:pt>
                <c:pt idx="39">
                  <c:v>1088</c:v>
                </c:pt>
                <c:pt idx="40">
                  <c:v>1619</c:v>
                </c:pt>
                <c:pt idx="41">
                  <c:v>1722</c:v>
                </c:pt>
                <c:pt idx="42">
                  <c:v>4799</c:v>
                </c:pt>
                <c:pt idx="43">
                  <c:v>20719</c:v>
                </c:pt>
                <c:pt idx="44">
                  <c:v>1845</c:v>
                </c:pt>
                <c:pt idx="45">
                  <c:v>2329</c:v>
                </c:pt>
                <c:pt idx="46">
                  <c:v>2662</c:v>
                </c:pt>
                <c:pt idx="47">
                  <c:v>1386</c:v>
                </c:pt>
                <c:pt idx="48">
                  <c:v>2504</c:v>
                </c:pt>
                <c:pt idx="49">
                  <c:v>2358</c:v>
                </c:pt>
                <c:pt idx="50">
                  <c:v>6015</c:v>
                </c:pt>
                <c:pt idx="51">
                  <c:v>828</c:v>
                </c:pt>
                <c:pt idx="52">
                  <c:v>1813.0000000000002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373952"/>
        <c:axId val="159383936"/>
      </c:barChart>
      <c:catAx>
        <c:axId val="15937395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59383936"/>
        <c:crosses val="autoZero"/>
        <c:auto val="1"/>
        <c:lblAlgn val="ctr"/>
        <c:lblOffset val="100"/>
        <c:noMultiLvlLbl val="0"/>
      </c:catAx>
      <c:valAx>
        <c:axId val="15938393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9373952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Hoja1!$EE$4:$EE$38</c:f>
              <c:numCache>
                <c:formatCode>0%</c:formatCode>
                <c:ptCount val="35"/>
                <c:pt idx="0">
                  <c:v>0.94120000000000004</c:v>
                </c:pt>
                <c:pt idx="1">
                  <c:v>0.86419999999999997</c:v>
                </c:pt>
                <c:pt idx="2">
                  <c:v>0.78639999999999999</c:v>
                </c:pt>
                <c:pt idx="3">
                  <c:v>0.7077</c:v>
                </c:pt>
                <c:pt idx="4">
                  <c:v>0.62790000000000001</c:v>
                </c:pt>
                <c:pt idx="5">
                  <c:v>0.54690000000000005</c:v>
                </c:pt>
                <c:pt idx="6">
                  <c:v>0.46450000000000002</c:v>
                </c:pt>
                <c:pt idx="7">
                  <c:v>0.38019999999999998</c:v>
                </c:pt>
                <c:pt idx="8">
                  <c:v>0.29360000000000003</c:v>
                </c:pt>
                <c:pt idx="9">
                  <c:v>0.20369999999999999</c:v>
                </c:pt>
                <c:pt idx="10">
                  <c:v>0.10780000000000001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Hoja1!$EF$4:$EF$38</c:f>
              <c:numCache>
                <c:formatCode>0%</c:formatCode>
                <c:ptCount val="35"/>
                <c:pt idx="0">
                  <c:v>6.1559999999999997</c:v>
                </c:pt>
                <c:pt idx="1">
                  <c:v>5.9699</c:v>
                </c:pt>
                <c:pt idx="2">
                  <c:v>5.7641</c:v>
                </c:pt>
                <c:pt idx="3">
                  <c:v>5.5568</c:v>
                </c:pt>
                <c:pt idx="4">
                  <c:v>5.2782</c:v>
                </c:pt>
                <c:pt idx="5">
                  <c:v>5.07</c:v>
                </c:pt>
                <c:pt idx="6">
                  <c:v>4.8497000000000003</c:v>
                </c:pt>
                <c:pt idx="7">
                  <c:v>4.6047000000000002</c:v>
                </c:pt>
                <c:pt idx="8">
                  <c:v>4.3551000000000002</c:v>
                </c:pt>
                <c:pt idx="9">
                  <c:v>4.1054000000000004</c:v>
                </c:pt>
                <c:pt idx="10">
                  <c:v>3.8275999999999999</c:v>
                </c:pt>
                <c:pt idx="11">
                  <c:v>3.4613999999999998</c:v>
                </c:pt>
                <c:pt idx="12">
                  <c:v>3.2827999999999999</c:v>
                </c:pt>
                <c:pt idx="13">
                  <c:v>2.6951999999999998</c:v>
                </c:pt>
                <c:pt idx="14">
                  <c:v>2.653</c:v>
                </c:pt>
                <c:pt idx="15">
                  <c:v>2.2624</c:v>
                </c:pt>
                <c:pt idx="16">
                  <c:v>1.7974000000000001</c:v>
                </c:pt>
                <c:pt idx="17">
                  <c:v>1.2042999999999999</c:v>
                </c:pt>
                <c:pt idx="18">
                  <c:v>0.80700000000000005</c:v>
                </c:pt>
                <c:pt idx="19">
                  <c:v>0.8377</c:v>
                </c:pt>
                <c:pt idx="20">
                  <c:v>0.92689999999999995</c:v>
                </c:pt>
                <c:pt idx="21">
                  <c:v>1.0150999999999999</c:v>
                </c:pt>
                <c:pt idx="22">
                  <c:v>0.97699999999999998</c:v>
                </c:pt>
                <c:pt idx="23">
                  <c:v>1.0565</c:v>
                </c:pt>
                <c:pt idx="24">
                  <c:v>1.1355</c:v>
                </c:pt>
                <c:pt idx="25">
                  <c:v>1.2141999999999999</c:v>
                </c:pt>
                <c:pt idx="26">
                  <c:v>1.2926</c:v>
                </c:pt>
                <c:pt idx="27">
                  <c:v>1.3707</c:v>
                </c:pt>
                <c:pt idx="28">
                  <c:v>1.4484999999999999</c:v>
                </c:pt>
                <c:pt idx="29">
                  <c:v>1.5261</c:v>
                </c:pt>
                <c:pt idx="30">
                  <c:v>1.6035999999999999</c:v>
                </c:pt>
                <c:pt idx="31">
                  <c:v>1.6808000000000001</c:v>
                </c:pt>
                <c:pt idx="32">
                  <c:v>1.7579</c:v>
                </c:pt>
                <c:pt idx="33">
                  <c:v>1.8348</c:v>
                </c:pt>
                <c:pt idx="34">
                  <c:v>1.9117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30144"/>
        <c:axId val="159431680"/>
      </c:scatterChart>
      <c:valAx>
        <c:axId val="15943014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59431680"/>
        <c:crosses val="autoZero"/>
        <c:crossBetween val="midCat"/>
      </c:valAx>
      <c:valAx>
        <c:axId val="15943168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94301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Hoja1!$EE$45:$EE$79</c:f>
              <c:numCache>
                <c:formatCode>0%</c:formatCode>
                <c:ptCount val="35"/>
                <c:pt idx="0">
                  <c:v>0.66039999999999999</c:v>
                </c:pt>
                <c:pt idx="1">
                  <c:v>0.56620000000000004</c:v>
                </c:pt>
                <c:pt idx="2">
                  <c:v>0.47</c:v>
                </c:pt>
                <c:pt idx="3">
                  <c:v>0.37140000000000001</c:v>
                </c:pt>
                <c:pt idx="4">
                  <c:v>0.26929999999999998</c:v>
                </c:pt>
                <c:pt idx="5">
                  <c:v>0.16170000000000001</c:v>
                </c:pt>
                <c:pt idx="6">
                  <c:v>4.0399999999999998E-2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Hoja1!$EF$45:$EF$79</c:f>
              <c:numCache>
                <c:formatCode>0%</c:formatCode>
                <c:ptCount val="35"/>
                <c:pt idx="0">
                  <c:v>6.7257999999999996</c:v>
                </c:pt>
                <c:pt idx="1">
                  <c:v>6.4527000000000001</c:v>
                </c:pt>
                <c:pt idx="2">
                  <c:v>6.2164999999999999</c:v>
                </c:pt>
                <c:pt idx="3">
                  <c:v>5.9080000000000004</c:v>
                </c:pt>
                <c:pt idx="4">
                  <c:v>5.6108000000000002</c:v>
                </c:pt>
                <c:pt idx="5">
                  <c:v>5.3032000000000004</c:v>
                </c:pt>
                <c:pt idx="6">
                  <c:v>5.0065999999999997</c:v>
                </c:pt>
                <c:pt idx="7">
                  <c:v>4.6726999999999999</c:v>
                </c:pt>
                <c:pt idx="8">
                  <c:v>4.3067000000000002</c:v>
                </c:pt>
                <c:pt idx="9">
                  <c:v>4.5279999999999996</c:v>
                </c:pt>
                <c:pt idx="10">
                  <c:v>3.8877000000000002</c:v>
                </c:pt>
                <c:pt idx="11">
                  <c:v>3.2993999999999999</c:v>
                </c:pt>
                <c:pt idx="12">
                  <c:v>2.8187000000000002</c:v>
                </c:pt>
                <c:pt idx="13">
                  <c:v>2.2572999999999999</c:v>
                </c:pt>
                <c:pt idx="14">
                  <c:v>1.6151</c:v>
                </c:pt>
                <c:pt idx="15">
                  <c:v>1.2194</c:v>
                </c:pt>
                <c:pt idx="16">
                  <c:v>1.1380999999999999</c:v>
                </c:pt>
                <c:pt idx="17">
                  <c:v>1.0968</c:v>
                </c:pt>
                <c:pt idx="18">
                  <c:v>1.1888000000000001</c:v>
                </c:pt>
                <c:pt idx="19">
                  <c:v>1.2803</c:v>
                </c:pt>
                <c:pt idx="20">
                  <c:v>1.3714</c:v>
                </c:pt>
                <c:pt idx="21">
                  <c:v>1.4621999999999999</c:v>
                </c:pt>
                <c:pt idx="22">
                  <c:v>1.5526</c:v>
                </c:pt>
                <c:pt idx="23">
                  <c:v>1.6428</c:v>
                </c:pt>
                <c:pt idx="24">
                  <c:v>1.7326999999999999</c:v>
                </c:pt>
                <c:pt idx="25">
                  <c:v>1.8225</c:v>
                </c:pt>
                <c:pt idx="26">
                  <c:v>1.9119999999999999</c:v>
                </c:pt>
                <c:pt idx="27">
                  <c:v>2.0013999999999998</c:v>
                </c:pt>
                <c:pt idx="28">
                  <c:v>2.0907</c:v>
                </c:pt>
                <c:pt idx="29">
                  <c:v>2.1798000000000002</c:v>
                </c:pt>
                <c:pt idx="30">
                  <c:v>2.2688000000000001</c:v>
                </c:pt>
                <c:pt idx="31">
                  <c:v>2.3576999999999999</c:v>
                </c:pt>
                <c:pt idx="32">
                  <c:v>2.4466000000000001</c:v>
                </c:pt>
                <c:pt idx="33">
                  <c:v>2.5352999999999999</c:v>
                </c:pt>
                <c:pt idx="34">
                  <c:v>2.6240999999999999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39872"/>
        <c:axId val="159527680"/>
      </c:scatterChart>
      <c:valAx>
        <c:axId val="15943987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59527680"/>
        <c:crosses val="autoZero"/>
        <c:crossBetween val="midCat"/>
      </c:valAx>
      <c:valAx>
        <c:axId val="15952768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94398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Hoja1!$EE$85:$EE$130</c:f>
              <c:numCache>
                <c:formatCode>0%</c:formatCode>
                <c:ptCount val="46"/>
                <c:pt idx="0">
                  <c:v>1.5992</c:v>
                </c:pt>
                <c:pt idx="1">
                  <c:v>1.5307999999999999</c:v>
                </c:pt>
                <c:pt idx="2">
                  <c:v>1.4619</c:v>
                </c:pt>
                <c:pt idx="3">
                  <c:v>1.3927</c:v>
                </c:pt>
                <c:pt idx="4">
                  <c:v>1.3230999999999999</c:v>
                </c:pt>
                <c:pt idx="5">
                  <c:v>1.2531000000000001</c:v>
                </c:pt>
                <c:pt idx="6">
                  <c:v>1.1805000000000001</c:v>
                </c:pt>
                <c:pt idx="7">
                  <c:v>1.1097999999999999</c:v>
                </c:pt>
                <c:pt idx="8">
                  <c:v>1.0386</c:v>
                </c:pt>
                <c:pt idx="9">
                  <c:v>0.96679999999999999</c:v>
                </c:pt>
                <c:pt idx="10">
                  <c:v>0.89439999999999997</c:v>
                </c:pt>
                <c:pt idx="11">
                  <c:v>0.82130000000000003</c:v>
                </c:pt>
                <c:pt idx="12">
                  <c:v>0.74809999999999999</c:v>
                </c:pt>
                <c:pt idx="13">
                  <c:v>0.6744</c:v>
                </c:pt>
                <c:pt idx="14">
                  <c:v>0.59809999999999997</c:v>
                </c:pt>
                <c:pt idx="15">
                  <c:v>0.52100000000000002</c:v>
                </c:pt>
                <c:pt idx="16">
                  <c:v>0.44290000000000002</c:v>
                </c:pt>
                <c:pt idx="17">
                  <c:v>0.36330000000000001</c:v>
                </c:pt>
                <c:pt idx="18">
                  <c:v>0.28139999999999998</c:v>
                </c:pt>
                <c:pt idx="19">
                  <c:v>0.19789999999999999</c:v>
                </c:pt>
                <c:pt idx="20">
                  <c:v>0.1085</c:v>
                </c:pt>
                <c:pt idx="21">
                  <c:v>0.23380000000000001</c:v>
                </c:pt>
                <c:pt idx="22">
                  <c:v>0.49769999999999998</c:v>
                </c:pt>
                <c:pt idx="23">
                  <c:v>0.71930000000000005</c:v>
                </c:pt>
                <c:pt idx="24">
                  <c:v>0.89180000000000004</c:v>
                </c:pt>
                <c:pt idx="25">
                  <c:v>1.0165</c:v>
                </c:pt>
                <c:pt idx="26">
                  <c:v>1.2222</c:v>
                </c:pt>
                <c:pt idx="27">
                  <c:v>1.3782000000000001</c:v>
                </c:pt>
                <c:pt idx="28">
                  <c:v>1.5298</c:v>
                </c:pt>
                <c:pt idx="29">
                  <c:v>1.6778999999999999</c:v>
                </c:pt>
                <c:pt idx="30">
                  <c:v>1.8231999999999999</c:v>
                </c:pt>
                <c:pt idx="31">
                  <c:v>1.9659</c:v>
                </c:pt>
                <c:pt idx="32">
                  <c:v>2.1065999999999998</c:v>
                </c:pt>
                <c:pt idx="33">
                  <c:v>2.2454000000000001</c:v>
                </c:pt>
                <c:pt idx="34">
                  <c:v>2.4942000000000002</c:v>
                </c:pt>
                <c:pt idx="35">
                  <c:v>2.6337999999999999</c:v>
                </c:pt>
                <c:pt idx="36">
                  <c:v>2.5468000000000002</c:v>
                </c:pt>
                <c:pt idx="37">
                  <c:v>2.6848000000000001</c:v>
                </c:pt>
                <c:pt idx="38">
                  <c:v>2.71</c:v>
                </c:pt>
                <c:pt idx="39">
                  <c:v>2.8351999999999999</c:v>
                </c:pt>
                <c:pt idx="40">
                  <c:v>3.0697000000000001</c:v>
                </c:pt>
                <c:pt idx="41">
                  <c:v>3.1873</c:v>
                </c:pt>
                <c:pt idx="42">
                  <c:v>3.3224</c:v>
                </c:pt>
                <c:pt idx="43">
                  <c:v>3.2757999999999998</c:v>
                </c:pt>
                <c:pt idx="44">
                  <c:v>3.4291</c:v>
                </c:pt>
                <c:pt idx="45">
                  <c:v>3.5499000000000001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Hoja1!$EF$85:$EF$130</c:f>
              <c:numCache>
                <c:formatCode>0%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0.10730000000000001</c:v>
                </c:pt>
                <c:pt idx="23">
                  <c:v>0.1973</c:v>
                </c:pt>
                <c:pt idx="24">
                  <c:v>0.28160000000000002</c:v>
                </c:pt>
                <c:pt idx="25">
                  <c:v>0.36470000000000002</c:v>
                </c:pt>
                <c:pt idx="26">
                  <c:v>0.4456</c:v>
                </c:pt>
                <c:pt idx="27">
                  <c:v>0.52539999999999998</c:v>
                </c:pt>
                <c:pt idx="28">
                  <c:v>0.60429999999999995</c:v>
                </c:pt>
                <c:pt idx="29">
                  <c:v>0.68279999999999996</c:v>
                </c:pt>
                <c:pt idx="30">
                  <c:v>0.75900000000000001</c:v>
                </c:pt>
                <c:pt idx="31">
                  <c:v>0.83479999999999999</c:v>
                </c:pt>
                <c:pt idx="32">
                  <c:v>0.91080000000000005</c:v>
                </c:pt>
                <c:pt idx="33">
                  <c:v>0.98640000000000005</c:v>
                </c:pt>
                <c:pt idx="34">
                  <c:v>1.0616000000000001</c:v>
                </c:pt>
                <c:pt idx="35">
                  <c:v>1.1366000000000001</c:v>
                </c:pt>
                <c:pt idx="36">
                  <c:v>1.2112000000000001</c:v>
                </c:pt>
                <c:pt idx="37">
                  <c:v>1.2856000000000001</c:v>
                </c:pt>
                <c:pt idx="38">
                  <c:v>1.3624000000000001</c:v>
                </c:pt>
                <c:pt idx="39">
                  <c:v>1.4367000000000001</c:v>
                </c:pt>
                <c:pt idx="40">
                  <c:v>1.5107999999999999</c:v>
                </c:pt>
                <c:pt idx="41">
                  <c:v>1.5847</c:v>
                </c:pt>
                <c:pt idx="42">
                  <c:v>1.6586000000000001</c:v>
                </c:pt>
                <c:pt idx="43">
                  <c:v>1.7323</c:v>
                </c:pt>
                <c:pt idx="44">
                  <c:v>1.8059000000000001</c:v>
                </c:pt>
                <c:pt idx="45">
                  <c:v>1.8794999999999999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45600"/>
        <c:axId val="159551488"/>
      </c:scatterChart>
      <c:valAx>
        <c:axId val="15954560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59551488"/>
        <c:crosses val="autoZero"/>
        <c:crossBetween val="midCat"/>
      </c:valAx>
      <c:valAx>
        <c:axId val="1595514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95456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Hoja1!$EE$137:$EE$189</c:f>
              <c:numCache>
                <c:formatCode>0%</c:formatCode>
                <c:ptCount val="53"/>
                <c:pt idx="0">
                  <c:v>1.0427999999999999</c:v>
                </c:pt>
                <c:pt idx="1">
                  <c:v>2.0577999999999999</c:v>
                </c:pt>
                <c:pt idx="2">
                  <c:v>0.94569999999999999</c:v>
                </c:pt>
                <c:pt idx="3">
                  <c:v>1.1346000000000001</c:v>
                </c:pt>
                <c:pt idx="4">
                  <c:v>1.8019000000000001</c:v>
                </c:pt>
                <c:pt idx="5">
                  <c:v>1.1137999999999999</c:v>
                </c:pt>
                <c:pt idx="6">
                  <c:v>0.92779999999999996</c:v>
                </c:pt>
                <c:pt idx="7">
                  <c:v>1.5370999999999999</c:v>
                </c:pt>
                <c:pt idx="8">
                  <c:v>1.4464999999999999</c:v>
                </c:pt>
                <c:pt idx="9">
                  <c:v>0.56179999999999997</c:v>
                </c:pt>
                <c:pt idx="10">
                  <c:v>1.0551999999999999</c:v>
                </c:pt>
                <c:pt idx="11">
                  <c:v>0.81410000000000005</c:v>
                </c:pt>
                <c:pt idx="12">
                  <c:v>0.48480000000000001</c:v>
                </c:pt>
                <c:pt idx="13">
                  <c:v>0.93279999999999996</c:v>
                </c:pt>
                <c:pt idx="14">
                  <c:v>0.43719999999999998</c:v>
                </c:pt>
                <c:pt idx="15">
                  <c:v>0.37269999999999998</c:v>
                </c:pt>
                <c:pt idx="16">
                  <c:v>0.3</c:v>
                </c:pt>
                <c:pt idx="17">
                  <c:v>0.1918</c:v>
                </c:pt>
                <c:pt idx="18">
                  <c:v>0.12520000000000001</c:v>
                </c:pt>
                <c:pt idx="19">
                  <c:v>9.3700000000000006E-2</c:v>
                </c:pt>
                <c:pt idx="20">
                  <c:v>0.11990000000000001</c:v>
                </c:pt>
                <c:pt idx="21">
                  <c:v>0.37959999999999999</c:v>
                </c:pt>
                <c:pt idx="22">
                  <c:v>0.44259999999999999</c:v>
                </c:pt>
                <c:pt idx="23">
                  <c:v>0.52629999999999999</c:v>
                </c:pt>
                <c:pt idx="24">
                  <c:v>0.72019999999999995</c:v>
                </c:pt>
                <c:pt idx="25">
                  <c:v>0.82130000000000003</c:v>
                </c:pt>
                <c:pt idx="26">
                  <c:v>0.92830000000000001</c:v>
                </c:pt>
                <c:pt idx="27">
                  <c:v>1.0229999999999999</c:v>
                </c:pt>
                <c:pt idx="28">
                  <c:v>1.1241000000000001</c:v>
                </c:pt>
                <c:pt idx="29">
                  <c:v>1.2123999999999999</c:v>
                </c:pt>
                <c:pt idx="30">
                  <c:v>1.3263</c:v>
                </c:pt>
                <c:pt idx="31">
                  <c:v>1.3991</c:v>
                </c:pt>
                <c:pt idx="32">
                  <c:v>1.6335</c:v>
                </c:pt>
                <c:pt idx="33">
                  <c:v>1.5812999999999999</c:v>
                </c:pt>
                <c:pt idx="34">
                  <c:v>1.6756</c:v>
                </c:pt>
                <c:pt idx="35">
                  <c:v>1.7598</c:v>
                </c:pt>
                <c:pt idx="36">
                  <c:v>1.8529</c:v>
                </c:pt>
                <c:pt idx="37">
                  <c:v>2.0003000000000002</c:v>
                </c:pt>
                <c:pt idx="38">
                  <c:v>1.744</c:v>
                </c:pt>
                <c:pt idx="39">
                  <c:v>1.8616999999999999</c:v>
                </c:pt>
                <c:pt idx="40">
                  <c:v>2.1996000000000002</c:v>
                </c:pt>
                <c:pt idx="41">
                  <c:v>2.2848999999999999</c:v>
                </c:pt>
                <c:pt idx="42">
                  <c:v>2.3698000000000001</c:v>
                </c:pt>
                <c:pt idx="43">
                  <c:v>2.4542999999999999</c:v>
                </c:pt>
                <c:pt idx="44">
                  <c:v>2.5384000000000002</c:v>
                </c:pt>
                <c:pt idx="45">
                  <c:v>2.6221000000000001</c:v>
                </c:pt>
                <c:pt idx="46">
                  <c:v>2.7054999999999998</c:v>
                </c:pt>
                <c:pt idx="47">
                  <c:v>2.7886000000000002</c:v>
                </c:pt>
                <c:pt idx="48">
                  <c:v>2.8713000000000002</c:v>
                </c:pt>
                <c:pt idx="49">
                  <c:v>2.9538000000000002</c:v>
                </c:pt>
                <c:pt idx="50">
                  <c:v>3.036</c:v>
                </c:pt>
                <c:pt idx="51">
                  <c:v>3.1179999999999999</c:v>
                </c:pt>
                <c:pt idx="52">
                  <c:v>3.1997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Hoja1!$EF$137:$EF$189</c:f>
              <c:numCache>
                <c:formatCode>0%</c:formatCode>
                <c:ptCount val="53"/>
                <c:pt idx="0">
                  <c:v>0.25</c:v>
                </c:pt>
                <c:pt idx="1">
                  <c:v>0.25</c:v>
                </c:pt>
                <c:pt idx="2">
                  <c:v>1.4650000000000001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0.113</c:v>
                </c:pt>
                <c:pt idx="20">
                  <c:v>7.7100000000000002E-2</c:v>
                </c:pt>
                <c:pt idx="21">
                  <c:v>0.3947</c:v>
                </c:pt>
                <c:pt idx="22">
                  <c:v>0.2019</c:v>
                </c:pt>
                <c:pt idx="23">
                  <c:v>0.24579999999999999</c:v>
                </c:pt>
                <c:pt idx="24">
                  <c:v>0.25879999999999997</c:v>
                </c:pt>
                <c:pt idx="25">
                  <c:v>0.41489999999999999</c:v>
                </c:pt>
                <c:pt idx="26">
                  <c:v>0.96760000000000002</c:v>
                </c:pt>
                <c:pt idx="27">
                  <c:v>1.0698000000000001</c:v>
                </c:pt>
                <c:pt idx="28">
                  <c:v>1.1698</c:v>
                </c:pt>
                <c:pt idx="29">
                  <c:v>1.268</c:v>
                </c:pt>
                <c:pt idx="30">
                  <c:v>0.65669999999999995</c:v>
                </c:pt>
                <c:pt idx="31">
                  <c:v>1.4598</c:v>
                </c:pt>
                <c:pt idx="32">
                  <c:v>1.1231</c:v>
                </c:pt>
                <c:pt idx="33">
                  <c:v>1.6468</c:v>
                </c:pt>
                <c:pt idx="34">
                  <c:v>1.4895</c:v>
                </c:pt>
                <c:pt idx="35">
                  <c:v>1.8299000000000001</c:v>
                </c:pt>
                <c:pt idx="36">
                  <c:v>1.9201999999999999</c:v>
                </c:pt>
                <c:pt idx="37">
                  <c:v>2.0099</c:v>
                </c:pt>
                <c:pt idx="38">
                  <c:v>2.0988000000000002</c:v>
                </c:pt>
                <c:pt idx="39">
                  <c:v>2.1871999999999998</c:v>
                </c:pt>
                <c:pt idx="40">
                  <c:v>2.2905000000000002</c:v>
                </c:pt>
                <c:pt idx="41">
                  <c:v>2.3675999999999999</c:v>
                </c:pt>
                <c:pt idx="42">
                  <c:v>1.8935999999999999</c:v>
                </c:pt>
                <c:pt idx="43">
                  <c:v>1.1998</c:v>
                </c:pt>
                <c:pt idx="44">
                  <c:v>2.6272000000000002</c:v>
                </c:pt>
                <c:pt idx="45">
                  <c:v>2.7128999999999999</c:v>
                </c:pt>
                <c:pt idx="46">
                  <c:v>1.3438000000000001</c:v>
                </c:pt>
                <c:pt idx="47">
                  <c:v>2.8771</c:v>
                </c:pt>
                <c:pt idx="48">
                  <c:v>1.6671</c:v>
                </c:pt>
                <c:pt idx="49">
                  <c:v>3.0459000000000001</c:v>
                </c:pt>
                <c:pt idx="50">
                  <c:v>3.1299000000000001</c:v>
                </c:pt>
                <c:pt idx="51">
                  <c:v>3.2136</c:v>
                </c:pt>
                <c:pt idx="52">
                  <c:v>2.3014000000000001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67872"/>
        <c:axId val="159569408"/>
      </c:scatterChart>
      <c:valAx>
        <c:axId val="15956787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59569408"/>
        <c:crosses val="autoZero"/>
        <c:crossBetween val="midCat"/>
      </c:valAx>
      <c:valAx>
        <c:axId val="15956940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95678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508488</xdr:colOff>
      <xdr:row>0</xdr:row>
      <xdr:rowOff>0</xdr:rowOff>
    </xdr:from>
    <xdr:to>
      <xdr:col>15</xdr:col>
      <xdr:colOff>270622</xdr:colOff>
      <xdr:row>39</xdr:row>
      <xdr:rowOff>49626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22411</xdr:colOff>
      <xdr:row>40</xdr:row>
      <xdr:rowOff>179294</xdr:rowOff>
    </xdr:from>
    <xdr:to>
      <xdr:col>15</xdr:col>
      <xdr:colOff>448235</xdr:colOff>
      <xdr:row>80</xdr:row>
      <xdr:rowOff>40822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32016</xdr:colOff>
      <xdr:row>81</xdr:row>
      <xdr:rowOff>70438</xdr:rowOff>
    </xdr:from>
    <xdr:to>
      <xdr:col>15</xdr:col>
      <xdr:colOff>459441</xdr:colOff>
      <xdr:row>132</xdr:row>
      <xdr:rowOff>68036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32016</xdr:colOff>
      <xdr:row>133</xdr:row>
      <xdr:rowOff>70438</xdr:rowOff>
    </xdr:from>
    <xdr:to>
      <xdr:col>15</xdr:col>
      <xdr:colOff>470647</xdr:colOff>
      <xdr:row>191</xdr:row>
      <xdr:rowOff>68036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103910</xdr:colOff>
      <xdr:row>1</xdr:row>
      <xdr:rowOff>34636</xdr:rowOff>
    </xdr:from>
    <xdr:to>
      <xdr:col>23</xdr:col>
      <xdr:colOff>728383</xdr:colOff>
      <xdr:row>40</xdr:row>
      <xdr:rowOff>97869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89647</xdr:colOff>
      <xdr:row>40</xdr:row>
      <xdr:rowOff>163286</xdr:rowOff>
    </xdr:from>
    <xdr:to>
      <xdr:col>23</xdr:col>
      <xdr:colOff>474569</xdr:colOff>
      <xdr:row>80</xdr:row>
      <xdr:rowOff>74441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78441</xdr:colOff>
      <xdr:row>81</xdr:row>
      <xdr:rowOff>67235</xdr:rowOff>
    </xdr:from>
    <xdr:to>
      <xdr:col>24</xdr:col>
      <xdr:colOff>0</xdr:colOff>
      <xdr:row>132</xdr:row>
      <xdr:rowOff>64833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56032</xdr:colOff>
      <xdr:row>133</xdr:row>
      <xdr:rowOff>67235</xdr:rowOff>
    </xdr:from>
    <xdr:to>
      <xdr:col>23</xdr:col>
      <xdr:colOff>683560</xdr:colOff>
      <xdr:row>191</xdr:row>
      <xdr:rowOff>64833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238125</xdr:colOff>
      <xdr:row>1</xdr:row>
      <xdr:rowOff>0</xdr:rowOff>
    </xdr:from>
    <xdr:to>
      <xdr:col>32</xdr:col>
      <xdr:colOff>145401</xdr:colOff>
      <xdr:row>40</xdr:row>
      <xdr:rowOff>63233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269875</xdr:colOff>
      <xdr:row>41</xdr:row>
      <xdr:rowOff>0</xdr:rowOff>
    </xdr:from>
    <xdr:to>
      <xdr:col>32</xdr:col>
      <xdr:colOff>197224</xdr:colOff>
      <xdr:row>80</xdr:row>
      <xdr:rowOff>67903</xdr:rowOff>
    </xdr:to>
    <xdr:graphicFrame macro="">
      <xdr:nvGraphicFramePr>
        <xdr:cNvPr id="27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254000</xdr:colOff>
      <xdr:row>81</xdr:row>
      <xdr:rowOff>63500</xdr:rowOff>
    </xdr:from>
    <xdr:to>
      <xdr:col>32</xdr:col>
      <xdr:colOff>173425</xdr:colOff>
      <xdr:row>132</xdr:row>
      <xdr:rowOff>61098</xdr:rowOff>
    </xdr:to>
    <xdr:graphicFrame macro="">
      <xdr:nvGraphicFramePr>
        <xdr:cNvPr id="28" name="2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206375</xdr:colOff>
      <xdr:row>133</xdr:row>
      <xdr:rowOff>95250</xdr:rowOff>
    </xdr:from>
    <xdr:to>
      <xdr:col>32</xdr:col>
      <xdr:colOff>127481</xdr:colOff>
      <xdr:row>191</xdr:row>
      <xdr:rowOff>92848</xdr:rowOff>
    </xdr:to>
    <xdr:graphicFrame macro="">
      <xdr:nvGraphicFramePr>
        <xdr:cNvPr id="29" name="2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244930</xdr:colOff>
      <xdr:row>1</xdr:row>
      <xdr:rowOff>81643</xdr:rowOff>
    </xdr:from>
    <xdr:to>
      <xdr:col>38</xdr:col>
      <xdr:colOff>380999</xdr:colOff>
      <xdr:row>41</xdr:row>
      <xdr:rowOff>40821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122463</xdr:colOff>
      <xdr:row>42</xdr:row>
      <xdr:rowOff>68035</xdr:rowOff>
    </xdr:from>
    <xdr:to>
      <xdr:col>39</xdr:col>
      <xdr:colOff>398688</xdr:colOff>
      <xdr:row>83</xdr:row>
      <xdr:rowOff>108858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258538</xdr:colOff>
      <xdr:row>84</xdr:row>
      <xdr:rowOff>-1</xdr:rowOff>
    </xdr:from>
    <xdr:to>
      <xdr:col>39</xdr:col>
      <xdr:colOff>32809</xdr:colOff>
      <xdr:row>131</xdr:row>
      <xdr:rowOff>122464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122465</xdr:colOff>
      <xdr:row>133</xdr:row>
      <xdr:rowOff>160261</xdr:rowOff>
    </xdr:from>
    <xdr:to>
      <xdr:col>38</xdr:col>
      <xdr:colOff>244929</xdr:colOff>
      <xdr:row>198</xdr:row>
      <xdr:rowOff>68035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Y_CBO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QQ_CBO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X_CBO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563.71640519697416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469.81373794456613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1"/>
    </sheetNames>
    <sheetDataSet>
      <sheetData sheetId="0">
        <row r="2">
          <cell r="AD2">
            <v>5826.8235213891576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F1230"/>
  <sheetViews>
    <sheetView tabSelected="1" zoomScaleNormal="100" workbookViewId="0">
      <pane xSplit="1" ySplit="2" topLeftCell="FA1182" activePane="bottomRight" state="frozen"/>
      <selection pane="topRight" activeCell="B1" sqref="B1"/>
      <selection pane="bottomLeft" activeCell="A3" sqref="A3"/>
      <selection pane="bottomRight" activeCell="EU5" sqref="EU5:FF1230"/>
    </sheetView>
  </sheetViews>
  <sheetFormatPr baseColWidth="10" defaultRowHeight="12.75" x14ac:dyDescent="0.2"/>
  <cols>
    <col min="1" max="1" width="12.140625" style="20" customWidth="1"/>
    <col min="2" max="5" width="11.5703125" style="20" customWidth="1"/>
    <col min="6" max="6" width="12" style="20" customWidth="1"/>
    <col min="7" max="7" width="8.28515625" style="1" customWidth="1"/>
    <col min="8" max="16" width="5.42578125" style="1" customWidth="1"/>
    <col min="17" max="18" width="2.140625" style="1" customWidth="1"/>
    <col min="19" max="24" width="7.140625" style="1" customWidth="1"/>
    <col min="25" max="25" width="4" style="1" customWidth="1"/>
    <col min="26" max="26" width="4.28515625" style="1" customWidth="1"/>
    <col min="27" max="32" width="7.140625" style="1" customWidth="1"/>
    <col min="33" max="33" width="5" style="1" customWidth="1"/>
    <col min="34" max="34" width="3" style="1" customWidth="1"/>
    <col min="35" max="35" width="4.28515625" style="1" customWidth="1"/>
    <col min="36" max="41" width="7.140625" style="1" customWidth="1"/>
    <col min="42" max="43" width="10.85546875" style="1" customWidth="1"/>
    <col min="44" max="44" width="3" style="1" customWidth="1"/>
    <col min="45" max="60" width="12" style="1" customWidth="1"/>
    <col min="61" max="61" width="8" style="1" bestFit="1" customWidth="1"/>
    <col min="62" max="67" width="12" style="1" customWidth="1"/>
    <col min="68" max="68" width="9.85546875" style="64" customWidth="1"/>
    <col min="69" max="74" width="12" style="1" customWidth="1"/>
    <col min="75" max="75" width="9.85546875" style="64" customWidth="1"/>
    <col min="76" max="87" width="12" style="1" customWidth="1"/>
    <col min="88" max="88" width="9.85546875" style="64" customWidth="1"/>
    <col min="89" max="101" width="12" style="1" customWidth="1"/>
    <col min="102" max="102" width="10.85546875" style="64" bestFit="1" customWidth="1"/>
    <col min="103" max="103" width="12" style="1" customWidth="1"/>
    <col min="104" max="104" width="9.85546875" style="64" customWidth="1"/>
    <col min="105" max="110" width="12" style="1" customWidth="1"/>
    <col min="111" max="111" width="9.85546875" style="64" customWidth="1"/>
    <col min="112" max="117" width="12" style="1" customWidth="1"/>
    <col min="118" max="119" width="9.85546875" style="64" customWidth="1"/>
    <col min="120" max="133" width="12" style="1" customWidth="1"/>
    <col min="134" max="134" width="11.42578125" style="64" customWidth="1"/>
    <col min="135" max="140" width="12" style="1" customWidth="1"/>
    <col min="141" max="141" width="13.85546875" style="64" customWidth="1"/>
    <col min="142" max="147" width="12" style="1" customWidth="1"/>
    <col min="148" max="148" width="11.42578125" style="64" customWidth="1"/>
    <col min="149" max="149" width="15.85546875" style="64" customWidth="1"/>
    <col min="150" max="150" width="12.140625" style="64" bestFit="1" customWidth="1"/>
    <col min="151" max="151" width="8.7109375" style="67" customWidth="1"/>
    <col min="152" max="152" width="52.5703125" style="67" bestFit="1" customWidth="1"/>
    <col min="153" max="153" width="8.7109375" style="67" customWidth="1"/>
    <col min="154" max="154" width="46.7109375" style="67" customWidth="1"/>
    <col min="155" max="155" width="10" style="67" customWidth="1"/>
    <col min="156" max="156" width="54.5703125" style="67" bestFit="1" customWidth="1"/>
    <col min="157" max="157" width="11.140625" style="67" customWidth="1"/>
    <col min="158" max="158" width="45.5703125" style="67" customWidth="1"/>
    <col min="159" max="159" width="21" style="67" bestFit="1" customWidth="1"/>
    <col min="160" max="160" width="66.5703125" style="67" customWidth="1"/>
    <col min="161" max="161" width="57.85546875" style="68" bestFit="1" customWidth="1"/>
    <col min="162" max="162" width="21" style="68" bestFit="1" customWidth="1"/>
    <col min="163" max="16384" width="11.42578125" style="64"/>
  </cols>
  <sheetData>
    <row r="1" spans="1:162" ht="13.5" thickBot="1" x14ac:dyDescent="0.25">
      <c r="A1" s="17" t="s">
        <v>8</v>
      </c>
      <c r="B1" s="18" t="s">
        <v>4</v>
      </c>
      <c r="C1" s="18" t="s">
        <v>5</v>
      </c>
      <c r="D1" s="18" t="s">
        <v>6</v>
      </c>
      <c r="E1" s="19" t="s">
        <v>7047</v>
      </c>
      <c r="F1" s="20">
        <f>+[1]Sheet1!$AD$2</f>
        <v>563.71640519697416</v>
      </c>
      <c r="G1" s="9" t="s">
        <v>11</v>
      </c>
      <c r="I1" s="104">
        <f ca="1">NOW()</f>
        <v>45788.805365509259</v>
      </c>
      <c r="J1" s="105"/>
      <c r="K1" s="105"/>
      <c r="L1" s="105"/>
      <c r="M1" s="105"/>
      <c r="N1" s="105"/>
      <c r="O1" s="105"/>
      <c r="P1" s="105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 t="s">
        <v>56</v>
      </c>
      <c r="AN1" s="21" t="s">
        <v>57</v>
      </c>
      <c r="AO1" s="21"/>
      <c r="AP1" s="21">
        <v>250508</v>
      </c>
      <c r="AQ1" s="21"/>
      <c r="AR1" s="21"/>
      <c r="AS1" s="22" t="str">
        <f>+B2</f>
        <v>250508</v>
      </c>
      <c r="AT1" s="22" t="str">
        <f>+AS1</f>
        <v>250508</v>
      </c>
      <c r="AU1" s="22" t="str">
        <f>+C2</f>
        <v>250509</v>
      </c>
      <c r="AV1" s="22" t="str">
        <f>+AU1</f>
        <v>250509</v>
      </c>
      <c r="AW1" s="22" t="str">
        <f>+D2</f>
        <v>250516</v>
      </c>
      <c r="AX1" s="22" t="str">
        <f>+AW1</f>
        <v>250516</v>
      </c>
      <c r="AY1" s="23">
        <f>+A3</f>
        <v>571.11</v>
      </c>
      <c r="BA1" s="22" t="str">
        <f>+AS1</f>
        <v>250508</v>
      </c>
      <c r="BB1" s="22"/>
      <c r="BC1" s="22" t="str">
        <f>+AU1</f>
        <v>250509</v>
      </c>
      <c r="BD1" s="22"/>
      <c r="BE1" s="22" t="str">
        <f>+AW1</f>
        <v>250516</v>
      </c>
      <c r="BF1" s="22">
        <f>+AY1</f>
        <v>571.11</v>
      </c>
      <c r="BG1" s="95"/>
      <c r="BH1" s="23">
        <f ca="1">MAX(BH4:BH38)</f>
        <v>334368</v>
      </c>
      <c r="BI1" s="1">
        <f ca="1">IFERROR(IF(MAX(BH4:BH38)&lt;&gt;0,INDEX(A4:A38,MATCH(MAX(BH4:BH38),BH4:BH38,0)),""),"")</f>
        <v>567</v>
      </c>
      <c r="BJ1" s="22"/>
      <c r="BK1" s="22"/>
      <c r="BL1" s="22"/>
      <c r="BM1" s="22"/>
      <c r="BN1" s="22"/>
      <c r="BO1" s="22"/>
      <c r="BP1" s="64">
        <v>1</v>
      </c>
      <c r="BQ1" s="22" t="e">
        <f ca="1">IF(BR1&gt;BR2,IF(MAX(BQ4:BQ38)&lt;&gt;0,INDEX(A4:A38,MATCH(MAX(BQ4:BQ38),BQ4:BQ38,0)),A3),IF(MIN(BQ4:BQ38)&lt;&gt;0,INDEX(A4:A38,MATCH(MIN(BQ4:BQ38),BQ4:BQ38,0))))</f>
        <v>#NUM!</v>
      </c>
      <c r="BR1" s="22" t="e">
        <f ca="1">+MAX(BQ4:BQ38)</f>
        <v>#NUM!</v>
      </c>
      <c r="BS1" s="22" t="e">
        <f ca="1">IF(BT1&gt;BT2,IF(MAX(BS4:BS38)&lt;&gt;0,INDEX(A4:A38,MATCH(MAX(BS4:BS38),BS4:BS38,0)),A3),IF(MIN(BS4:BS38)&lt;&gt;0,INDEX(A4:A38,MATCH(MIN(BS4:BS38),BS4:BS38,0))))</f>
        <v>#NUM!</v>
      </c>
      <c r="BT1" s="22" t="e">
        <f ca="1">+MAX(BS4:BS38)</f>
        <v>#NUM!</v>
      </c>
      <c r="BU1" s="22" t="e">
        <f ca="1">IF(BV1&gt;BV2,IF(MAX(BU4:BU38)&lt;&gt;0,INDEX(A4:A38,MATCH(MAX(BU4:BU38),BU4:BU38,0)),A3),IF(MIN(BU4:BU38)&lt;&gt;0,INDEX(A4:A38,MATCH(MIN(BU4:BU38),BU4:BU38,0))))</f>
        <v>#NUM!</v>
      </c>
      <c r="BV1" s="22" t="e">
        <f ca="1">+MAX(BU4:BU38)</f>
        <v>#NUM!</v>
      </c>
      <c r="BX1" s="22" t="e">
        <f ca="1">IF(BY1&gt;BZ1,IF(MAX(BX4:BX38)&lt;&gt;0,INDEX(G4:G38,MATCH(MAX(BX4:BX38),BX4:BX38,0)),G3),IF(MIN(BX4:BX38)&lt;&gt;0,INDEX(G4:G38,MATCH(MIN(BX4:BX38),BX4:BX38,0))))</f>
        <v>#NUM!</v>
      </c>
      <c r="BY1" s="22" t="e">
        <f ca="1">+MAX(BX4:BX38)</f>
        <v>#NUM!</v>
      </c>
      <c r="BZ1" s="22" t="e">
        <f ca="1">ABS(MIN(BX4:BX38))</f>
        <v>#NUM!</v>
      </c>
      <c r="CA1" s="22"/>
      <c r="CB1" s="22"/>
      <c r="CC1" s="22" t="e">
        <f ca="1">+AVERAGE(BY39:BY40,CA39:CA40,CC39:CC40)</f>
        <v>#N/A</v>
      </c>
      <c r="CD1" s="22"/>
      <c r="CE1" s="22"/>
      <c r="CF1" s="22"/>
      <c r="CG1" s="22"/>
      <c r="CH1" s="22"/>
      <c r="CI1" s="22"/>
      <c r="CK1" s="22">
        <f>IF(CL1&gt;CM1,IF(MAX(CK4:CK38)&lt;&gt;0,INDEX(N4:N38,MATCH(MAX(CK4:CK38),CK4:CK38,0)),N3),IF(MIN(CK4:CK38)&lt;&gt;0,INDEX(N4:N38,MATCH(MIN(CK4:CK38),CK4:CK38,0))))</f>
        <v>0</v>
      </c>
      <c r="CL1" s="22">
        <f>+MAX(CK4:CK38)</f>
        <v>1291288</v>
      </c>
      <c r="CM1" s="22">
        <f>ABS(MIN(CK4:CK38))</f>
        <v>3087</v>
      </c>
      <c r="CN1" s="22"/>
      <c r="CO1" s="22"/>
      <c r="CP1" s="22"/>
      <c r="CQ1" s="22" t="b">
        <f>IF(CR1&gt;CS1,IF(MAX(CQ4:CQ38)&lt;&gt;0,INDEX(A4:A38,MATCH(MAX(CQ4:CQ38),CQ4:CQ38,0)),A3),IF(MIN(CQ4:CQ38)&lt;&gt;0,INDEX(A4:A38,MATCH(MIN(CQ4:CQ38),CQ4:CQ38,0))))</f>
        <v>0</v>
      </c>
      <c r="CR1" s="22">
        <f>+MAX(CQ4:CQ38)</f>
        <v>0</v>
      </c>
      <c r="CS1" s="22">
        <f>ABS(MIN(CQ4:CQ38))</f>
        <v>0</v>
      </c>
      <c r="CT1" s="22"/>
      <c r="CU1" s="22"/>
      <c r="CV1" s="22"/>
      <c r="CW1" s="22" t="e">
        <f ca="1">IF(CX1&gt;CY1,IF(MAX(CW4:CW38)&lt;&gt;0,INDEX(A4:A38,MATCH(MAX(CW4:CW38),CW4:CW38,0)),M3),IF(MIN(CW4:CW38)&lt;&gt;0,INDEX(A4:A38,MATCH(MIN(CW4:CW38),CW4:CW38,0))))</f>
        <v>#NUM!</v>
      </c>
      <c r="CX1" s="61" t="e">
        <f ca="1">+MAX(CW4:CW38)</f>
        <v>#NUM!</v>
      </c>
      <c r="CY1" s="22" t="e">
        <f ca="1">ABS(MIN(CW4:CW38))</f>
        <v>#NUM!</v>
      </c>
      <c r="DA1" s="22" t="str">
        <f>+B2</f>
        <v>250508</v>
      </c>
      <c r="DB1" s="22"/>
      <c r="DC1" s="22" t="str">
        <f>+DA1</f>
        <v>250508</v>
      </c>
      <c r="DD1" s="22"/>
      <c r="DE1" s="22" t="str">
        <f>+DC1</f>
        <v>250508</v>
      </c>
      <c r="DF1" s="22"/>
      <c r="DH1" s="22" t="s">
        <v>28</v>
      </c>
      <c r="DI1" s="22" t="s">
        <v>29</v>
      </c>
      <c r="DJ1" s="22" t="s">
        <v>30</v>
      </c>
      <c r="DK1" s="22" t="s">
        <v>31</v>
      </c>
      <c r="DL1" s="22" t="s">
        <v>32</v>
      </c>
      <c r="DM1" s="22" t="s">
        <v>33</v>
      </c>
      <c r="DP1" s="22" t="s">
        <v>34</v>
      </c>
      <c r="DQ1" s="22" t="s">
        <v>35</v>
      </c>
      <c r="DR1" s="22" t="s">
        <v>36</v>
      </c>
      <c r="DS1" s="22" t="s">
        <v>41</v>
      </c>
      <c r="DT1" s="22"/>
      <c r="DU1" s="22"/>
      <c r="DV1" s="22" t="s">
        <v>56</v>
      </c>
      <c r="DW1" s="22" t="s">
        <v>57</v>
      </c>
      <c r="DX1" s="22">
        <v>0.67708333333333337</v>
      </c>
      <c r="DY1" s="22">
        <v>265</v>
      </c>
      <c r="DZ1" s="22"/>
      <c r="EA1" s="22"/>
      <c r="EB1" s="22">
        <v>6.9444444444444447E-4</v>
      </c>
      <c r="EC1" s="22">
        <v>4.2000000000000003E-2</v>
      </c>
      <c r="EE1" s="22">
        <v>0.25</v>
      </c>
      <c r="EF1" s="22"/>
      <c r="EG1" s="22"/>
      <c r="EH1" s="22"/>
      <c r="EI1" s="22"/>
      <c r="EJ1" s="22"/>
      <c r="EK1" s="65">
        <f ca="1">NOW()</f>
        <v>45788.805365509259</v>
      </c>
      <c r="EL1" s="87">
        <f>B42+$DX$1</f>
        <v>45785.677083333336</v>
      </c>
      <c r="EM1" s="88">
        <f ca="1">+EL1-$EK$1</f>
        <v>-3.128282175923232</v>
      </c>
      <c r="EN1" s="87">
        <f>C42+$DX$1</f>
        <v>45786.677083333336</v>
      </c>
      <c r="EO1" s="88">
        <f ca="1">+EN1-$EK$1</f>
        <v>-2.128282175923232</v>
      </c>
      <c r="EP1" s="87">
        <f>D42+$DX$1</f>
        <v>45793.677083333336</v>
      </c>
      <c r="EQ1" s="88">
        <f ca="1">+EP1-$EK$1</f>
        <v>4.871717824076768</v>
      </c>
      <c r="ES1" s="66"/>
    </row>
    <row r="2" spans="1:162" ht="13.5" thickBot="1" x14ac:dyDescent="0.25">
      <c r="A2" s="24" t="s">
        <v>13</v>
      </c>
      <c r="B2" s="18" t="str">
        <f>+TEXT(B42,"YYMMDD")</f>
        <v>250508</v>
      </c>
      <c r="C2" s="18" t="str">
        <f>+TEXT(C42,"YYMMDD")</f>
        <v>250509</v>
      </c>
      <c r="D2" s="18" t="str">
        <f>+TEXT(D42,"YYMMDD")</f>
        <v>250516</v>
      </c>
      <c r="E2" s="18"/>
      <c r="F2" s="18" t="s">
        <v>0</v>
      </c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 t="s">
        <v>7</v>
      </c>
      <c r="AQ2" s="21" t="s">
        <v>7</v>
      </c>
      <c r="AR2" s="21"/>
      <c r="AS2" s="22" t="s">
        <v>1</v>
      </c>
      <c r="AT2" s="25" t="s">
        <v>1</v>
      </c>
      <c r="AU2" s="22" t="s">
        <v>1</v>
      </c>
      <c r="AV2" s="25" t="s">
        <v>1</v>
      </c>
      <c r="AW2" s="22" t="s">
        <v>1</v>
      </c>
      <c r="AX2" s="25" t="s">
        <v>1</v>
      </c>
      <c r="AY2" s="23" t="s">
        <v>12</v>
      </c>
      <c r="BA2" s="22" t="s">
        <v>7</v>
      </c>
      <c r="BB2" s="25" t="s">
        <v>7</v>
      </c>
      <c r="BC2" s="22" t="s">
        <v>7</v>
      </c>
      <c r="BD2" s="25" t="s">
        <v>7</v>
      </c>
      <c r="BE2" s="22" t="s">
        <v>7</v>
      </c>
      <c r="BF2" s="25" t="s">
        <v>7</v>
      </c>
      <c r="BG2" s="23"/>
      <c r="BH2" s="23" t="s">
        <v>15</v>
      </c>
      <c r="BJ2" s="22" t="str">
        <f>+G1</f>
        <v>GAMMA</v>
      </c>
      <c r="BK2" s="25" t="str">
        <f>+BJ2</f>
        <v>GAMMA</v>
      </c>
      <c r="BL2" s="22" t="str">
        <f>+BK2</f>
        <v>GAMMA</v>
      </c>
      <c r="BM2" s="25" t="str">
        <f>+BL2</f>
        <v>GAMMA</v>
      </c>
      <c r="BN2" s="22" t="str">
        <f>+BM2</f>
        <v>GAMMA</v>
      </c>
      <c r="BO2" s="25" t="str">
        <f>+BN2</f>
        <v>GAMMA</v>
      </c>
      <c r="BQ2" s="22" t="s">
        <v>11</v>
      </c>
      <c r="BR2" s="25" t="e">
        <f ca="1">ABS(+MIN(BQ4:BQ38))</f>
        <v>#NUM!</v>
      </c>
      <c r="BS2" s="22" t="s">
        <v>11</v>
      </c>
      <c r="BT2" s="25" t="e">
        <f ca="1">ABS(+MIN(BS4:BS38))</f>
        <v>#NUM!</v>
      </c>
      <c r="BU2" s="22" t="s">
        <v>11</v>
      </c>
      <c r="BV2" s="25" t="e">
        <f ca="1">ABS(+MIN(BU4:BU38))</f>
        <v>#NUM!</v>
      </c>
      <c r="BX2" s="22" t="s">
        <v>11</v>
      </c>
      <c r="BY2" s="25"/>
      <c r="BZ2" s="22" t="s">
        <v>11</v>
      </c>
      <c r="CA2" s="25"/>
      <c r="CB2" s="22" t="s">
        <v>11</v>
      </c>
      <c r="CC2" s="25"/>
      <c r="CD2" s="22" t="s">
        <v>19</v>
      </c>
      <c r="CE2" s="25" t="str">
        <f>+CD2</f>
        <v>DELTA</v>
      </c>
      <c r="CF2" s="22" t="str">
        <f>+CE2</f>
        <v>DELTA</v>
      </c>
      <c r="CG2" s="25" t="str">
        <f>+CF2</f>
        <v>DELTA</v>
      </c>
      <c r="CH2" s="22" t="str">
        <f>+CG2</f>
        <v>DELTA</v>
      </c>
      <c r="CI2" s="25" t="str">
        <f>+CH2</f>
        <v>DELTA</v>
      </c>
      <c r="CK2" s="22" t="s">
        <v>20</v>
      </c>
      <c r="CL2" s="25"/>
      <c r="CM2" s="22" t="s">
        <v>20</v>
      </c>
      <c r="CN2" s="25"/>
      <c r="CO2" s="22" t="s">
        <v>20</v>
      </c>
      <c r="CP2" s="25"/>
      <c r="CQ2" s="22" t="s">
        <v>16</v>
      </c>
      <c r="CR2" s="25"/>
      <c r="CS2" s="22" t="s">
        <v>16</v>
      </c>
      <c r="CT2" s="25"/>
      <c r="CU2" s="22" t="s">
        <v>16</v>
      </c>
      <c r="CV2" s="25"/>
      <c r="CW2" s="25" t="s">
        <v>11</v>
      </c>
      <c r="CX2" s="60"/>
      <c r="CY2" s="25" t="s">
        <v>11</v>
      </c>
      <c r="DA2" s="22" t="s">
        <v>25</v>
      </c>
      <c r="DB2" s="25" t="s">
        <v>25</v>
      </c>
      <c r="DC2" s="22" t="s">
        <v>27</v>
      </c>
      <c r="DD2" s="25" t="s">
        <v>27</v>
      </c>
      <c r="DE2" s="22" t="s">
        <v>26</v>
      </c>
      <c r="DF2" s="22" t="s">
        <v>26</v>
      </c>
      <c r="DG2" s="64">
        <v>2000</v>
      </c>
      <c r="DH2" s="22" t="s">
        <v>44</v>
      </c>
      <c r="DI2" s="25" t="s">
        <v>45</v>
      </c>
      <c r="DJ2" s="22" t="s">
        <v>42</v>
      </c>
      <c r="DK2" s="25" t="s">
        <v>43</v>
      </c>
      <c r="DL2" s="22" t="s">
        <v>46</v>
      </c>
      <c r="DM2" s="22" t="s">
        <v>47</v>
      </c>
      <c r="DN2" s="60"/>
      <c r="DP2" s="22" t="s">
        <v>49</v>
      </c>
      <c r="DQ2" s="25" t="s">
        <v>48</v>
      </c>
      <c r="DR2" s="22" t="s">
        <v>50</v>
      </c>
      <c r="DS2" s="25" t="s">
        <v>51</v>
      </c>
      <c r="DT2" s="22"/>
      <c r="DU2" s="22"/>
      <c r="DV2" s="22"/>
      <c r="DW2" s="25"/>
      <c r="DX2" s="22"/>
      <c r="DY2" s="25"/>
      <c r="DZ2" s="22"/>
      <c r="EA2" s="25"/>
      <c r="EB2" s="22"/>
      <c r="EC2" s="22"/>
      <c r="EE2" s="22" t="s">
        <v>21</v>
      </c>
      <c r="EF2" s="25" t="s">
        <v>21</v>
      </c>
      <c r="EG2" s="22" t="s">
        <v>21</v>
      </c>
      <c r="EH2" s="25" t="s">
        <v>21</v>
      </c>
      <c r="EI2" s="22" t="s">
        <v>21</v>
      </c>
      <c r="EJ2" s="22" t="s">
        <v>21</v>
      </c>
      <c r="EL2" s="22" t="s">
        <v>21</v>
      </c>
      <c r="EM2" s="25" t="s">
        <v>21</v>
      </c>
      <c r="EN2" s="22" t="s">
        <v>21</v>
      </c>
      <c r="EO2" s="25" t="s">
        <v>21</v>
      </c>
      <c r="EP2" s="22" t="s">
        <v>21</v>
      </c>
      <c r="EQ2" s="22" t="s">
        <v>21</v>
      </c>
      <c r="ES2" s="62">
        <f ca="1">+EL1-$EK$1</f>
        <v>-3.128282175923232</v>
      </c>
      <c r="ET2" s="64" t="s">
        <v>22</v>
      </c>
    </row>
    <row r="3" spans="1:162" s="63" customFormat="1" ht="13.5" thickBot="1" x14ac:dyDescent="0.25">
      <c r="A3" s="26">
        <f>RTD("tos.rtd", ,"MARK", A2)</f>
        <v>571.11</v>
      </c>
      <c r="B3" s="27">
        <f>+AS3/AT3</f>
        <v>-1.681220417383821</v>
      </c>
      <c r="C3" s="27">
        <f>+AU3/AV3</f>
        <v>-1.1841340185124072</v>
      </c>
      <c r="D3" s="27">
        <f>+AW3/AX3</f>
        <v>-1.0910256410256409</v>
      </c>
      <c r="E3" s="28">
        <v>0</v>
      </c>
      <c r="F3" s="26">
        <f>RTD("tos.rtd", ,"MARK", F2)</f>
        <v>5746.5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>
        <v>0</v>
      </c>
      <c r="AP3" s="1">
        <v>3002306</v>
      </c>
      <c r="AQ3" s="1">
        <v>-2671653</v>
      </c>
      <c r="AR3" s="1"/>
      <c r="AS3" s="13">
        <f t="shared" ref="AS3:AX3" si="0">SUM(AS4:AS38)</f>
        <v>125029</v>
      </c>
      <c r="AT3" s="29">
        <f t="shared" si="0"/>
        <v>-74368</v>
      </c>
      <c r="AU3" s="13">
        <f t="shared" si="0"/>
        <v>226050</v>
      </c>
      <c r="AV3" s="29">
        <f t="shared" si="0"/>
        <v>-190899</v>
      </c>
      <c r="AW3" s="13">
        <f t="shared" si="0"/>
        <v>289340</v>
      </c>
      <c r="AX3" s="29">
        <f t="shared" si="0"/>
        <v>-265200</v>
      </c>
      <c r="AY3" s="29">
        <f>SUM(AY4:AY38)</f>
        <v>109952</v>
      </c>
      <c r="AZ3" s="1">
        <v>0</v>
      </c>
      <c r="BA3" s="13">
        <f t="shared" ref="BA3:BF3" si="1">SUM(BA4:BA38)</f>
        <v>0</v>
      </c>
      <c r="BB3" s="29">
        <f t="shared" si="1"/>
        <v>0</v>
      </c>
      <c r="BC3" s="13">
        <f t="shared" si="1"/>
        <v>2660973</v>
      </c>
      <c r="BD3" s="29">
        <f t="shared" si="1"/>
        <v>-2243459</v>
      </c>
      <c r="BE3" s="13">
        <f t="shared" si="1"/>
        <v>182950</v>
      </c>
      <c r="BF3" s="29">
        <f t="shared" si="1"/>
        <v>-174896</v>
      </c>
      <c r="BG3" s="31"/>
      <c r="BH3" s="29">
        <f ca="1">SUM(BH4:BH38)</f>
        <v>404153</v>
      </c>
      <c r="BI3" s="1"/>
      <c r="BJ3" s="3" t="e">
        <f t="shared" ref="BJ3:BO3" ca="1" si="2">SUM(BJ4:BJ38)</f>
        <v>#NUM!</v>
      </c>
      <c r="BK3" s="3" t="e">
        <f t="shared" ca="1" si="2"/>
        <v>#NUM!</v>
      </c>
      <c r="BL3" s="3" t="e">
        <f t="shared" ca="1" si="2"/>
        <v>#NUM!</v>
      </c>
      <c r="BM3" s="3" t="e">
        <f t="shared" ca="1" si="2"/>
        <v>#NUM!</v>
      </c>
      <c r="BN3" s="3" t="e">
        <f t="shared" ca="1" si="2"/>
        <v>#NUM!</v>
      </c>
      <c r="BO3" s="3" t="e">
        <f t="shared" ca="1" si="2"/>
        <v>#NUM!</v>
      </c>
      <c r="BQ3" s="3" t="e">
        <f ca="1">SUM(BQ4:BQ38)</f>
        <v>#NUM!</v>
      </c>
      <c r="BR3" s="3"/>
      <c r="BS3" s="3" t="e">
        <f ca="1">SUM(BS4:BS38)</f>
        <v>#NUM!</v>
      </c>
      <c r="BT3" s="3"/>
      <c r="BU3" s="3" t="e">
        <f ca="1">SUM(BU4:BU38)</f>
        <v>#NUM!</v>
      </c>
      <c r="BV3" s="3"/>
      <c r="BX3" s="3" t="e">
        <f ca="1">SUM(BX4:BX38)</f>
        <v>#NUM!</v>
      </c>
      <c r="BY3" s="3"/>
      <c r="BZ3" s="3" t="e">
        <f ca="1">SUM(BZ4:BZ38)</f>
        <v>#NUM!</v>
      </c>
      <c r="CA3" s="3"/>
      <c r="CB3" s="3" t="e">
        <f ca="1">SUM(CB4:CB38)</f>
        <v>#NUM!</v>
      </c>
      <c r="CC3" s="3"/>
      <c r="CD3" s="3">
        <f t="shared" ref="CD3:CI3" si="3">SUM(CD4:CD38)</f>
        <v>24.11</v>
      </c>
      <c r="CE3" s="3">
        <f t="shared" si="3"/>
        <v>9.0199999999999978</v>
      </c>
      <c r="CF3" s="3">
        <f t="shared" si="3"/>
        <v>24.11</v>
      </c>
      <c r="CG3" s="3">
        <f t="shared" si="3"/>
        <v>9.0399999999999991</v>
      </c>
      <c r="CH3" s="3">
        <f t="shared" si="3"/>
        <v>25.28</v>
      </c>
      <c r="CI3" s="3">
        <f t="shared" si="3"/>
        <v>13.47</v>
      </c>
      <c r="CK3" s="3">
        <f>SUM(CK4:CK38)</f>
        <v>8273569</v>
      </c>
      <c r="CL3" s="3"/>
      <c r="CM3" s="3">
        <f>SUM(CM4:CM38)</f>
        <v>11708897</v>
      </c>
      <c r="CN3" s="3"/>
      <c r="CO3" s="3">
        <f>SUM(CO4:CO38)</f>
        <v>11783059</v>
      </c>
      <c r="CP3" s="3"/>
      <c r="CQ3" s="3">
        <f>SUM(CQ4:CQ38)</f>
        <v>0</v>
      </c>
      <c r="CR3" s="3"/>
      <c r="CS3" s="3">
        <f>SUM(CS4:CS38)</f>
        <v>417514</v>
      </c>
      <c r="CT3" s="3"/>
      <c r="CU3" s="3">
        <f>SUM(CU4:CU38)</f>
        <v>8054</v>
      </c>
      <c r="CV3" s="3"/>
      <c r="CW3" s="3" t="e">
        <f ca="1">SUM(CW4:CW38)</f>
        <v>#NUM!</v>
      </c>
      <c r="CY3" s="3" t="e">
        <f ca="1">SUM(CY4:CY38)</f>
        <v>#NUM!</v>
      </c>
      <c r="DA3" s="3">
        <f t="shared" ref="DA3:DF3" si="4">SUM(DA4:DA38)</f>
        <v>164.13</v>
      </c>
      <c r="DB3" s="3">
        <f t="shared" si="4"/>
        <v>135.15999999999983</v>
      </c>
      <c r="DC3" s="3">
        <f t="shared" si="4"/>
        <v>164.72000000000003</v>
      </c>
      <c r="DD3" s="3">
        <f t="shared" si="4"/>
        <v>167.49999999999986</v>
      </c>
      <c r="DE3" s="3">
        <f t="shared" si="4"/>
        <v>137.62000000000003</v>
      </c>
      <c r="DF3" s="3">
        <f t="shared" si="4"/>
        <v>140.58999999999995</v>
      </c>
      <c r="DG3" s="86"/>
      <c r="DH3" s="3">
        <f t="shared" ref="DH3:DM3" si="5">SUM(DH4:DH38)</f>
        <v>-3264634.359211023</v>
      </c>
      <c r="DI3" s="3">
        <f t="shared" si="5"/>
        <v>202084.7407275599</v>
      </c>
      <c r="DJ3" s="3">
        <f t="shared" si="5"/>
        <v>-2987329</v>
      </c>
      <c r="DK3" s="3">
        <f t="shared" si="5"/>
        <v>-187610</v>
      </c>
      <c r="DL3" s="3">
        <f t="shared" si="5"/>
        <v>-3062549.6184834628</v>
      </c>
      <c r="DM3" s="3">
        <f t="shared" si="5"/>
        <v>-3174939</v>
      </c>
      <c r="DP3" s="3">
        <f t="shared" ref="DP3:DS3" si="6">SUM(DP4:DP38)</f>
        <v>-2103365.6939119035</v>
      </c>
      <c r="DQ3" s="3">
        <f t="shared" si="6"/>
        <v>-1377638.9500000002</v>
      </c>
      <c r="DR3" s="3" t="e">
        <f t="shared" ca="1" si="6"/>
        <v>#NUM!</v>
      </c>
      <c r="DS3" s="3">
        <f t="shared" si="6"/>
        <v>-2591829.1100000003</v>
      </c>
      <c r="DT3" s="3"/>
      <c r="DU3" s="3"/>
      <c r="DV3" s="3"/>
      <c r="DW3" s="3"/>
      <c r="DX3" s="3"/>
      <c r="DY3" s="3"/>
      <c r="DZ3" s="3"/>
      <c r="EA3" s="3"/>
      <c r="EB3" s="3"/>
      <c r="EC3" s="3"/>
      <c r="EE3" s="3">
        <f t="shared" ref="EE3:EJ3" si="7">SUM(EE4:EE38)</f>
        <v>11.924099999999999</v>
      </c>
      <c r="EF3" s="3">
        <f t="shared" si="7"/>
        <v>95.290600000000012</v>
      </c>
      <c r="EG3" s="3">
        <f t="shared" si="7"/>
        <v>11.924099999999999</v>
      </c>
      <c r="EH3" s="3">
        <f t="shared" si="7"/>
        <v>101.93759999999997</v>
      </c>
      <c r="EI3" s="3">
        <f t="shared" si="7"/>
        <v>6.5193000000000003</v>
      </c>
      <c r="EJ3" s="3">
        <f t="shared" si="7"/>
        <v>13.019800000000004</v>
      </c>
      <c r="EK3" s="63" t="e">
        <f ca="1">SUM(EK4:EK38)</f>
        <v>#NUM!</v>
      </c>
      <c r="EL3" s="3">
        <f t="shared" ref="EL3:EQ3" si="8">SUM(EL4:EL38)</f>
        <v>0</v>
      </c>
      <c r="EM3" s="3">
        <f t="shared" si="8"/>
        <v>0</v>
      </c>
      <c r="EN3" s="3">
        <f t="shared" si="8"/>
        <v>0</v>
      </c>
      <c r="EO3" s="3">
        <f t="shared" si="8"/>
        <v>0</v>
      </c>
      <c r="EP3" s="3">
        <f t="shared" si="8"/>
        <v>0</v>
      </c>
      <c r="EQ3" s="3">
        <f t="shared" si="8"/>
        <v>0</v>
      </c>
      <c r="EU3" s="67" t="s">
        <v>37</v>
      </c>
      <c r="EV3" s="67"/>
      <c r="EW3" s="67" t="s">
        <v>38</v>
      </c>
      <c r="EX3" s="67"/>
      <c r="EY3" s="67" t="s">
        <v>39</v>
      </c>
      <c r="EZ3" s="67"/>
      <c r="FA3" s="67" t="s">
        <v>40</v>
      </c>
      <c r="FB3" s="67"/>
      <c r="FC3" s="67" t="s">
        <v>52</v>
      </c>
      <c r="FD3" s="67" t="s">
        <v>53</v>
      </c>
      <c r="FE3" s="67" t="s">
        <v>54</v>
      </c>
      <c r="FF3" s="67" t="s">
        <v>55</v>
      </c>
    </row>
    <row r="4" spans="1:162" s="63" customFormat="1" ht="13.5" thickBot="1" x14ac:dyDescent="0.25">
      <c r="A4" s="2">
        <f>ROUND(565/$A$39,0)*$A$39+17*$A$39</f>
        <v>582</v>
      </c>
      <c r="B4" s="3">
        <f t="shared" ref="B4:B38" si="9">+IF($A$1="ABS",AS4-AT4,AS4+AT4)</f>
        <v>1723</v>
      </c>
      <c r="C4" s="3">
        <f t="shared" ref="C4:C38" si="10">+IF($A$1="ABS",AU4-AV4,AU4+AV4)</f>
        <v>5279</v>
      </c>
      <c r="D4" s="3">
        <f t="shared" ref="D4:D38" si="11">+IF($A$1="ABS",AW4-AX4,AW4+AX4)</f>
        <v>3824</v>
      </c>
      <c r="E4" s="3">
        <f t="shared" ref="E4:E38" si="12">SUM(B4:D4)</f>
        <v>10826</v>
      </c>
      <c r="F4" s="4">
        <f t="shared" ref="F4:F38" si="13">+$F$3/$A$3*A4</f>
        <v>5856.075011819089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>
        <v>1273</v>
      </c>
      <c r="AN4" s="1">
        <v>-36</v>
      </c>
      <c r="AO4" s="1">
        <v>582</v>
      </c>
      <c r="AP4" s="1">
        <v>4064</v>
      </c>
      <c r="AQ4" s="1">
        <v>-38</v>
      </c>
      <c r="AR4" s="1"/>
      <c r="AS4" s="6">
        <f>IF(RTD("tos.rtd",,AS$2,"."&amp;$A$2&amp;$AS$1&amp;"C"&amp;$A4)="N/A",0,RTD("tos.rtd",,AS$2,"."&amp;$A$2&amp;$AS$1&amp;"C"&amp;$A4))</f>
        <v>1703</v>
      </c>
      <c r="AT4" s="7">
        <f>-IF(RTD("tos.rtd",,AT$2,"."&amp;$A$2&amp;$AS$1&amp;"P"&amp;$A4)="N/A",0,RTD("tos.rtd",,AT$2,"."&amp;$A$2&amp;$AS$1&amp;"P"&amp;$A4))</f>
        <v>-20</v>
      </c>
      <c r="AU4" s="6">
        <f>IF(RTD("tos.rtd",,AU$2,"."&amp;$A$2&amp;$AU$1&amp;"C"&amp;$A4)="N/A",0,RTD("tos.rtd",,AU$2,"."&amp;$A$2&amp;$AU$1&amp;"C"&amp;$A4))</f>
        <v>5262</v>
      </c>
      <c r="AV4" s="7">
        <f>-IF(RTD("tos.rtd",,AV$2,"."&amp;$A$2&amp;$AU$1&amp;"P"&amp;$A4)="N/A",0,RTD("tos.rtd",,AV$2,"."&amp;$A$2&amp;$AU$1&amp;"P"&amp;$A4))</f>
        <v>-17</v>
      </c>
      <c r="AW4" s="6">
        <f>IF(RTD("tos.rtd",,AW$2,"."&amp;$A$2&amp;$AW$1&amp;"C"&amp;$A4)="N/A",0,RTD("tos.rtd",,AW$2,"."&amp;$A$2&amp;$AW$1&amp;"C"&amp;$A4))</f>
        <v>3822</v>
      </c>
      <c r="AX4" s="7">
        <f>-IF(RTD("tos.rtd",,AX$2,"."&amp;$A$2&amp;$AW$1&amp;"P"&amp;$A4)="N/A",0,RTD("tos.rtd",,AX$2,"."&amp;$A$2&amp;$AW$1&amp;"P"&amp;$A4))</f>
        <v>-2</v>
      </c>
      <c r="AY4" s="1">
        <f>SUM(AS4:AX4)</f>
        <v>10748</v>
      </c>
      <c r="AZ4" s="8">
        <f>+A4</f>
        <v>582</v>
      </c>
      <c r="BA4" s="30">
        <f>IF(RTD("tos.rtd",,BA$2,"."&amp;$A$2&amp;$AS$1&amp;"C"&amp;$A4)="N/A",0,RTD("tos.rtd",,BA$2,"."&amp;$A$2&amp;$AS$1&amp;"C"&amp;$A4))</f>
        <v>0</v>
      </c>
      <c r="BB4" s="31">
        <f>-IF(RTD("tos.rtd",,BB$2,"."&amp;$A$2&amp;$AS$1&amp;"P"&amp;$A4)="N/A",0,RTD("tos.rtd",,BB$2,"."&amp;$A$2&amp;$AS$1&amp;"P"&amp;$A4))</f>
        <v>0</v>
      </c>
      <c r="BC4" s="30">
        <f>IF(RTD("tos.rtd",,BC$2,"."&amp;$A$2&amp;$AU$1&amp;"C"&amp;$A4)="N/A",0,RTD("tos.rtd",,BC$2,"."&amp;$A$2&amp;$AU$1&amp;"C"&amp;$A4))</f>
        <v>2148</v>
      </c>
      <c r="BD4" s="31">
        <f>-IF(RTD("tos.rtd",,BD$2,"."&amp;$A$2&amp;$AU$1&amp;"P"&amp;$A4)="N/A",0,RTD("tos.rtd",,BD$2,"."&amp;$A$2&amp;$AU$1&amp;"P"&amp;$A4))</f>
        <v>-40</v>
      </c>
      <c r="BE4" s="30">
        <f>IF(RTD("tos.rtd",,BE$2,"."&amp;$A$2&amp;$AW$1&amp;"C"&amp;$A4)="N/A",0,RTD("tos.rtd",,BE$2,"."&amp;$A$2&amp;$AW$1&amp;"C"&amp;$A4))</f>
        <v>3487</v>
      </c>
      <c r="BF4" s="99">
        <f>-IF(RTD("tos.rtd",,BF$2,"."&amp;$A$2&amp;$AW$1&amp;"P"&amp;$A4)="N/A",0,RTD("tos.rtd",,BF$2,"."&amp;$A$2&amp;$AW$1&amp;"P"&amp;$A4))</f>
        <v>-105</v>
      </c>
      <c r="BG4" s="32">
        <f ca="1">+Hoja2!Y5</f>
        <v>947</v>
      </c>
      <c r="BH4" s="31">
        <f ca="1">SUM(BA4:BG4)</f>
        <v>6437</v>
      </c>
      <c r="BI4" s="8"/>
      <c r="BJ4" s="3" t="e">
        <f ca="1">IF($BP$1=1,DX4,IF(RTD("tos.rtd",,BJ$2,"."&amp;$A$2&amp;$AS$1&amp;"C"&amp;$A4)="N/A",0,RTD("tos.rtd",,BJ$2,"."&amp;$A$2&amp;$AS$1&amp;"C"&amp;$A4)))</f>
        <v>#NUM!</v>
      </c>
      <c r="BK4" s="3" t="e">
        <f ca="1">IF($BP$1=1,DY4,-IF(RTD("tos.rtd",,BK$2,"."&amp;$A$2&amp;$AS$1&amp;"P"&amp;$A4)="N/A",0,RTD("tos.rtd",,BK$2,"."&amp;$A$2&amp;$AS$1&amp;"P"&amp;$A4)))</f>
        <v>#NUM!</v>
      </c>
      <c r="BL4" s="3" t="e">
        <f ca="1">IF($BP$1=1,DZ4,IF(RTD("tos.rtd",,BL$2,"."&amp;$A$2&amp;$AU$1&amp;"C"&amp;$A4)="N/A",0,RTD("tos.rtd",,BL$2,"."&amp;$A$2&amp;$AU$1&amp;"C"&amp;$A4)))</f>
        <v>#NUM!</v>
      </c>
      <c r="BM4" s="3" t="e">
        <f ca="1">IF($BP$1=1,EA4,-IF(RTD("tos.rtd",,BM$2,"."&amp;$A$2&amp;$AU$1&amp;"P"&amp;$A4)="N/A",0,RTD("tos.rtd",,BM$2,"."&amp;$A$2&amp;$AU$1&amp;"P"&amp;$A4)))</f>
        <v>#NUM!</v>
      </c>
      <c r="BN4" s="3" t="e">
        <f ca="1">IF($BP$1=1,EB4,IF(RTD("tos.rtd",,BN$2,"."&amp;$A$2&amp;$AW$1&amp;"C"&amp;$A4)="N/A",0,RTD("tos.rtd",,BN$2,"."&amp;$A$2&amp;$AW$1&amp;"C"&amp;$A4)))</f>
        <v>#NUM!</v>
      </c>
      <c r="BO4" s="3" t="e">
        <f ca="1">IF($BP$1=1,EC4,-IF(RTD("tos.rtd",,BO$2,"."&amp;$A$2&amp;$AW$1&amp;"P"&amp;$A4)="N/A",0,RTD("tos.rtd",,BO$2,"."&amp;$A$2&amp;$AW$1&amp;"P"&amp;$A4)))</f>
        <v>#NUM!</v>
      </c>
      <c r="BQ4" s="3" t="e">
        <f ca="1">+$A$3*$A$3*AS4*BJ4-$A$3*$A$3*AT4*BK4</f>
        <v>#NUM!</v>
      </c>
      <c r="BR4" s="3"/>
      <c r="BS4" s="3" t="e">
        <f ca="1">+$A$3*$A$3*AU4*BL4-$A$3*$A$3*AV4*BM4</f>
        <v>#NUM!</v>
      </c>
      <c r="BT4" s="3"/>
      <c r="BU4" s="3" t="e">
        <f ca="1">+$A$3*$A$3*AW4*BN4-$A$3*$A$3*AX4*BO4</f>
        <v>#NUM!</v>
      </c>
      <c r="BV4" s="3"/>
      <c r="BX4" s="3" t="e">
        <f t="shared" ref="BX4" ca="1" si="14">+$A$3*$A$3*BA4*BJ4-$A$3*$A$3*BB4*BK4</f>
        <v>#NUM!</v>
      </c>
      <c r="BY4" s="3"/>
      <c r="BZ4" s="3" t="e">
        <f t="shared" ref="BZ4" ca="1" si="15">+$A$3*$A$3*BC4*BL4-$A$3*$A$3*BD4*BM4</f>
        <v>#NUM!</v>
      </c>
      <c r="CA4" s="3"/>
      <c r="CB4" s="3" t="e">
        <f t="shared" ref="CB4" ca="1" si="16">+$A$3*$A$3*BE4*BN4-$A$3*$A$3*BF4*BO4</f>
        <v>#NUM!</v>
      </c>
      <c r="CC4" s="3"/>
      <c r="CD4" s="3">
        <f>IF(RTD("tos.rtd",,CD$2,"."&amp;$A$2&amp;$AS$1&amp;"C"&amp;$A4)="N/A",0,RTD("tos.rtd",,CD$2,"."&amp;$A$2&amp;$AS$1&amp;"C"&amp;$A4))</f>
        <v>0</v>
      </c>
      <c r="CE4" s="3">
        <f>-IF(RTD("tos.rtd",,CE$2,"."&amp;$A$2&amp;$AS$1&amp;"P"&amp;$A4)="N/A",0,RTD("tos.rtd",,CE$2,"."&amp;$A$2&amp;$AS$1&amp;"P"&amp;$A4))</f>
        <v>0.65</v>
      </c>
      <c r="CF4" s="3">
        <f>IF(RTD("tos.rtd",,CF$2,"."&amp;$A$2&amp;$AU$1&amp;"C"&amp;$A4)="N/A",0,RTD("tos.rtd",,CF$2,"."&amp;$A$2&amp;$AU$1&amp;"C"&amp;$A4))</f>
        <v>0</v>
      </c>
      <c r="CG4" s="3">
        <f>-IF(RTD("tos.rtd",,CG$2,"."&amp;$A$2&amp;$AU$1&amp;"P"&amp;$A4)="N/A",0,RTD("tos.rtd",,CG$2,"."&amp;$A$2&amp;$AU$1&amp;"P"&amp;$A4))</f>
        <v>0.64</v>
      </c>
      <c r="CH4" s="3">
        <f>IF(RTD("tos.rtd",,CH$2,"."&amp;$A$2&amp;$AW$1&amp;"C"&amp;$A4)="N/A",0,RTD("tos.rtd",,CH$2,"."&amp;$A$2&amp;$AW$1&amp;"C"&amp;$A4))</f>
        <v>0.16</v>
      </c>
      <c r="CI4" s="3">
        <f>-IF(RTD("tos.rtd",,CI$2,"."&amp;$A$2&amp;$AW$1&amp;"P"&amp;$A4)="N/A",0,RTD("tos.rtd",,CI$2,"."&amp;$A$2&amp;$AW$1&amp;"P"&amp;$A4))</f>
        <v>0.63</v>
      </c>
      <c r="CK4" s="3">
        <f t="shared" ref="CK4:CK38" si="17">+AS4*CD4*100+AT4*CE4*100</f>
        <v>-1300</v>
      </c>
      <c r="CL4" s="3"/>
      <c r="CM4" s="3">
        <f t="shared" ref="CM4:CM38" si="18">+AU4*CF4*100+AV4*CG4*100</f>
        <v>-1088</v>
      </c>
      <c r="CN4" s="3"/>
      <c r="CO4" s="3">
        <f t="shared" ref="CO4:CO38" si="19">+AW4*CH4*100+AX4*CI4*100</f>
        <v>61026</v>
      </c>
      <c r="CP4" s="3">
        <f>+CK4+CM4+CO4</f>
        <v>58638</v>
      </c>
      <c r="CQ4" s="3">
        <f>+BA4+BB4</f>
        <v>0</v>
      </c>
      <c r="CR4" s="3"/>
      <c r="CS4" s="3">
        <f t="shared" ref="CS4:CS38" si="20">+BC4+BD4</f>
        <v>2108</v>
      </c>
      <c r="CT4" s="3"/>
      <c r="CU4" s="3">
        <f t="shared" ref="CU4:CU38" si="21">+BE4+BF4</f>
        <v>3382</v>
      </c>
      <c r="CV4" s="3">
        <f>+CQ4+CS4+CU4</f>
        <v>5490</v>
      </c>
      <c r="CW4" s="3" t="e">
        <f ca="1">+BQ4+BS4+BU4</f>
        <v>#NUM!</v>
      </c>
      <c r="CX4" s="85"/>
      <c r="CY4" s="3" t="e">
        <f ca="1">+BX4+BZ4+CB4</f>
        <v>#NUM!</v>
      </c>
      <c r="CZ4" s="85"/>
      <c r="DA4" s="3">
        <f>IF(RTD("tos.rtd",,DA$2,"."&amp;$A$2&amp;$AS$1&amp;"C"&amp;$A4)="N/A",0,RTD("tos.rtd",,DA$2,"."&amp;$A$2&amp;$AS$1&amp;"C"&amp;$A4))</f>
        <v>0.01</v>
      </c>
      <c r="DB4" s="3">
        <f>IF(RTD("tos.rtd",,DB$2,"."&amp;$A$2&amp;$AS$1&amp;"P"&amp;$A4)="N/A",0,RTD("tos.rtd",,DB$2,"."&amp;$A$2&amp;$AS$1&amp;"P"&amp;$A4))</f>
        <v>16.670000000000002</v>
      </c>
      <c r="DC4" s="3">
        <f>IF(RTD("tos.rtd",,DC$2,"."&amp;$A$2&amp;$AS$1&amp;"C"&amp;$A4)="N/A",0,RTD("tos.rtd",,DC$2,"."&amp;$A$2&amp;$AS$1&amp;"C"&amp;$A4))</f>
        <v>0.01</v>
      </c>
      <c r="DD4" s="3">
        <f>IF(RTD("tos.rtd",,DD$2,"."&amp;$A$2&amp;$AS$1&amp;"P"&amp;$A4)="N/A",0,RTD("tos.rtd",,DD$2,"."&amp;$A$2&amp;$AS$1&amp;"P"&amp;$A4))</f>
        <v>18.02</v>
      </c>
      <c r="DE4" s="3">
        <f>IF(RTD("tos.rtd",,DE$2,"."&amp;$A$2&amp;$AS$1&amp;"C"&amp;$A4)="N/A",0,RTD("tos.rtd",,DE$2,"."&amp;$A$2&amp;$AS$1&amp;"C"&amp;$A4))</f>
        <v>0</v>
      </c>
      <c r="DF4" s="3">
        <f>IF(RTD("tos.rtd",,DF$2,"."&amp;$A$2&amp;$AS$1&amp;"P"&amp;$A4)="N/A",0,RTD("tos.rtd",,DF$2,"."&amp;$A$2&amp;$AS$1&amp;"P"&amp;$A4))</f>
        <v>15.99</v>
      </c>
      <c r="DG4" s="86">
        <f>+$A4-$A$3</f>
        <v>10.889999999999986</v>
      </c>
      <c r="DH4" s="3">
        <f t="shared" ref="DH4:DH38" si="22">((DA4-DE4)/(DC4-DE4))*(BA4-AP4)</f>
        <v>-4064</v>
      </c>
      <c r="DI4" s="3">
        <f>((DB4-DF4)/(DD4-DF4))*(BB4-AQ4)</f>
        <v>12.7290640394089</v>
      </c>
      <c r="DJ4" s="3">
        <f>IF(DA4&gt;=(DE4+(DC4-DE4)*0.6),(BA4-AP4),IF(DA4&lt;=(DE4+(DC4-DE4)*0.4),-(BA4-AP4),0))</f>
        <v>-4064</v>
      </c>
      <c r="DK4" s="3">
        <f>IF(DB4&lt;=(DF4+(DD4-DF4)*0.4),-(BB4-AQ4),IF(DB4&gt;=(DF4+(DD4-DF4)*0.6),(BB4-AQ4),0))</f>
        <v>-38</v>
      </c>
      <c r="DL4" s="3">
        <f>+DH4+DI4</f>
        <v>-4051.270935960591</v>
      </c>
      <c r="DM4" s="3">
        <f>+DJ4+DK4</f>
        <v>-4102</v>
      </c>
      <c r="DN4" s="63" t="str">
        <f>IF(AND(DA4&gt;=(DE4+(DC4-DE4)*0.6),BA4&gt;AP4),"BUY",IF(AND(DA4&lt;=(DE4+(DC4-DE4)*0.4),BA4&gt;AP4),"SELL","UNKNOWN"))</f>
        <v>UNKNOWN</v>
      </c>
      <c r="DO4" s="63" t="str">
        <f>IF(AND(DB4&gt;=(DF4+(DD4-DF4)*0.6),ABS(BB4)&gt;ABS(AQ4)),"BUY",IF(AND(DB4&lt;=(DF4+(DD4-DF4)*0.4),ABS(BB4)&gt;ABS(AQ4)),"SELL","UNKNOWN"))</f>
        <v>UNKNOWN</v>
      </c>
      <c r="DP4" s="3">
        <f>+DH4*DA4+DI4*DB4</f>
        <v>171.5534975369464</v>
      </c>
      <c r="DQ4" s="3">
        <f>+DA4*DJ4+DB4*DK4</f>
        <v>-674.1</v>
      </c>
      <c r="DR4" s="3" t="e">
        <f ca="1">+BJ4*DJ4+BK4*DK4</f>
        <v>#NUM!</v>
      </c>
      <c r="DS4" s="3">
        <f>+CD4*DJ4+CE4*DK4</f>
        <v>-24.7</v>
      </c>
      <c r="DT4" s="3">
        <f>BA4-VLOOKUP(AZ4,$AO$4:$AQ$38,2,FALSE)</f>
        <v>-4064</v>
      </c>
      <c r="DU4" s="3">
        <f>BB4-VLOOKUP(AZ4,$AO$4:$AQ$38,3,FALSE)</f>
        <v>38</v>
      </c>
      <c r="DV4" s="3">
        <f>AM4+IF(DN4="BUY",DT4,IF(DN4="SELL",-DT4,0))</f>
        <v>1273</v>
      </c>
      <c r="DW4" s="3">
        <f t="shared" ref="DW4:DW38" si="23">AN4+IF(DO4="BUY",DU4,IF(DO4="SELL",-DU4,0))</f>
        <v>-36</v>
      </c>
      <c r="DX4" s="3" t="e">
        <f t="shared" ref="DX4:DX38" ca="1" si="24">(EXP(-POWER((LN($A$3/$A4)+($EC$1+POWER($EE4,2)/2)*($EM$1/$DY$1))/($EE4*SQRT($EM$1/$DY$1)),2)/2)/SQRT(2*PI())/($A$3*$EE4*SQRT($EM$1/$DY$1)))</f>
        <v>#NUM!</v>
      </c>
      <c r="DY4" s="3" t="e">
        <f t="shared" ref="DY4:DY38" ca="1" si="25">-(EXP(-POWER((LN($A$3/$A4)+($EC$1+POWER($EF4,2)/2)*($EM$1/$DY$1))/($EF4*SQRT($EM$1/$DY$1)),2)/2)/SQRT(2*PI())/($A$3*$EF4*SQRT($EM$1/$DY$1)))</f>
        <v>#NUM!</v>
      </c>
      <c r="DZ4" s="3" t="e">
        <f t="shared" ref="DZ4:DZ38" ca="1" si="26">(EXP(-POWER((LN($A$3/$A4)+($EC$1+POWER($EG4,2)/2)*($EO$1/$DY$1))/($EG4*SQRT($EO$1/$DY$1)),2)/2)/SQRT(2*PI())/($A$3*$EG4*SQRT($EO$1/$DY$1)))</f>
        <v>#NUM!</v>
      </c>
      <c r="EA4" s="3" t="e">
        <f t="shared" ref="EA4:EA38" ca="1" si="27">-(EXP(-POWER((LN($A$3/$A4)+($EC$1+POWER($EH4,2)/2)*($EO$1/$DY$1))/($EH4*SQRT($EO$1/$DY$1)),2)/2)/SQRT(2*PI())/($A$3*$EH4*SQRT($EO$1/$DY$1)))</f>
        <v>#NUM!</v>
      </c>
      <c r="EB4" s="3" t="e">
        <f t="shared" ref="EB4:EB38" ca="1" si="28">(EXP(-POWER((LN($A$3/$A4)+($EC$1+POWER($EI4,2)/2)*($EO$1/$DY$1))/($EI4*SQRT($EO$1/$DY$1)),2)/2)/SQRT(2*PI())/($A$3*$EI4*SQRT($EO$1/$DY$1)))</f>
        <v>#NUM!</v>
      </c>
      <c r="EC4" s="3" t="e">
        <f t="shared" ref="EC4:EC38" ca="1" si="29">-(EXP(-POWER((LN($A$3/$A4)+($EC$1+POWER($EJ4,2)/2)*($EO$1/$DY$1))/($EJ4*SQRT($EO$1/$DY$1)),2)/2)/SQRT(2*PI())/($A$3*$EJ4*SQRT($EO$1/$DY$1)))</f>
        <v>#NUM!</v>
      </c>
      <c r="ED4" s="63">
        <f>+DV4+DW4</f>
        <v>1237</v>
      </c>
      <c r="EE4" s="59">
        <f>IFERROR(VALUE(IF(OR(EL4="--",EL4="0.00%"),$EE$1,EL4)),$EE$1)</f>
        <v>0.94120000000000004</v>
      </c>
      <c r="EF4" s="59">
        <f t="shared" ref="EF4:EF38" si="30">IFERROR(VALUE(IF(OR(EM4="--",EM4="0.00%"),$EE$1,EM4)),$EE$1)</f>
        <v>6.1559999999999997</v>
      </c>
      <c r="EG4" s="59">
        <f t="shared" ref="EG4:EG38" si="31">IFERROR(VALUE(IF(OR(EN4="--",EN4="0.00%"),$EE$1,EN4)),$EE$1)</f>
        <v>0.94120000000000004</v>
      </c>
      <c r="EH4" s="59">
        <f t="shared" ref="EH4:EH38" si="32">IFERROR(VALUE(IF(OR(EO4="--",EO4="0.00%"),$EE$1,EO4)),$EE$1)</f>
        <v>6.6097999999999999</v>
      </c>
      <c r="EI4" s="59">
        <f t="shared" ref="EI4:EI38" si="33">IFERROR(VALUE(IF(OR(EP4="--",EP4="0.00%"),$EE$1,EP4)),$EE$1)</f>
        <v>0.15720000000000001</v>
      </c>
      <c r="EJ4" s="59">
        <f t="shared" ref="EJ4:EJ38" si="34">IFERROR(VALUE(IF(OR(EQ4="--",EQ4="0.00%"),$EE$1,EQ4)),$EE$1)</f>
        <v>0.45860000000000001</v>
      </c>
      <c r="EK4" s="63" t="e">
        <f ca="1">+DV4*DX4*$A$3*$A$3+DW4*DY4*$A$3*$A$3</f>
        <v>#NUM!</v>
      </c>
      <c r="EL4" s="3" t="str">
        <f>RTD("tos.rtd",,EL$2,"."&amp;$A$2&amp;$AS$1&amp;"C"&amp;$A4)</f>
        <v>94.12%</v>
      </c>
      <c r="EM4" s="3" t="str">
        <f>RTD("tos.rtd",,EM$2,"."&amp;$A$2&amp;$AS$1&amp;"P"&amp;$A4)</f>
        <v>615.60%</v>
      </c>
      <c r="EN4" s="3" t="str">
        <f>RTD("tos.rtd",,EN$2,"."&amp;$A$2&amp;$AU$1&amp;"C"&amp;$A4)</f>
        <v>94.12%</v>
      </c>
      <c r="EO4" s="3" t="str">
        <f>RTD("tos.rtd",,EO$2,"."&amp;$A$2&amp;$AU$1&amp;"P"&amp;$A4)</f>
        <v>660.98%</v>
      </c>
      <c r="EP4" s="3" t="str">
        <f>RTD("tos.rtd",,EP$2,"."&amp;$A$2&amp;$AW$1&amp;"C"&amp;$A4)</f>
        <v>15.72%</v>
      </c>
      <c r="EQ4" s="3" t="str">
        <f>RTD("tos.rtd",,EQ$2,"."&amp;$A$2&amp;$AW$1&amp;"P"&amp;$A4)</f>
        <v>45.86%</v>
      </c>
      <c r="ES4" s="63" t="str">
        <f>IFERROR(
    A4 &amp; "," &amp; TEXT(IF(ISNUMBER(DV4+DW4), DV4+DW4, 0), "00.00"),    "Error"
)</f>
        <v>582,1237.00</v>
      </c>
      <c r="ET4" s="63" t="str">
        <f ca="1">IF(ISERROR(
    A4 &amp; "," &amp; TEXT(
        IF($E$1="GEX-VOL", IF(ISNUMBER(BX4+BZ4+CB4), (BX4+BZ4+CB4)/1000, 0),
           IF($E$1="GEX-OI", IF(ISNUMBER(BQ4+BS4+BU4), (BQ4+BS4+BU4)/1000, 0),
               IF($E$1="DEX",IF(ISNUMBER(CK4+CM4+CO4), (CK4+CM4+CO4)/1000, 0),
                  IF($E$1="VOLPRES",IF(ISNUMBER(DJ4+DK4), (DJ4+DK4), 0),
                     IF(ISNUMBER(EK4), (EK4), 0)
        )))),
    "00.00")
), "Error",
A4 &amp; "," &amp; TEXT(
        IF($E$1="GEX-VOL", IF(ISNUMBER(BX4+BZ4+CB4), (BX4+BZ4+CB4)/1000, 0),
           IF($E$1="GEX-OI", IF(ISNUMBER(BQ4+BS4+BU4), (BQ4+BS4+BU4)/1000, 0),
               IF($E$1="DEX", IF(ISNUMBER(CK4+CM4+CO4), (CK4+CM4+CO4)/1000, 0),
                  IF($E$1="VOLPRES",IF(ISNUMBER(DJ4+DK4), (DJ4+DK4), 0),
                    IF(ISNUMBER(EK4), (EK4), 0)
        )))),
    "00.00")
)</f>
        <v>582,00.00</v>
      </c>
      <c r="EU4" s="101">
        <f>+A3</f>
        <v>571.11</v>
      </c>
      <c r="EV4" s="102" t="str">
        <f ca="1">IF(ISERROR(TEXT(NOW(),"YYYY-MM-DD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"")), "",
    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
)&amp;","&amp;DN39&amp;","&amp;DN40</f>
        <v>2025-05-11 19:19:00,,,,,570,,,,,,,567,563,567,564</v>
      </c>
      <c r="EW4" s="67">
        <f>+A44</f>
        <v>495.78</v>
      </c>
      <c r="EX4" s="102" t="str">
        <f ca="1">IF(ISERROR(TEXT(NOW(),"YYYY-MM-DD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"")), "",
    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
)&amp;","&amp;DN80&amp;","&amp;DN81</f>
        <v>2025-05-11 19:19:00,,,,,490,,,,,,,491,485,482,475</v>
      </c>
      <c r="EY4" s="67">
        <f>+A84</f>
        <v>5659.91</v>
      </c>
      <c r="EZ4" s="102" t="str">
        <f ca="1">IF(ISERROR(TEXT(NOW(),"YYYY-MM-DD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"")), "",
    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
)&amp;","&amp;DN131&amp;","&amp;DN132</f>
        <v>2025-05-11 19:19:00,,,,,5600,,,,,,,5840,5430,5530,5550</v>
      </c>
      <c r="FA4" s="67">
        <f>+A136</f>
        <v>20061.449000000001</v>
      </c>
      <c r="FB4" s="67" t="str">
        <f ca="1">IF(ISERROR(TEXT(NOW(),"YYYY-MM-DD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"")), "",
    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
)&amp;","&amp;DN190&amp;","&amp;DN191</f>
        <v>2025-05-11 19:19:00,,,,,19475,,,,,,,20200,19800,19500,20500</v>
      </c>
      <c r="FC4" s="67" t="str">
        <f ca="1">IF(ISERROR(TEXT(NOW(),"YYYY-MM-DD HH:MM") &amp; ":00," &amp;
 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"")), "",
    TEXT(NOW(),"YYYY-MM-DD HH:MM") &amp; ":00," &amp;
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
)</f>
        <v>2025-05-11 19:19:00,,,-3062549.61848346,-3174939,-2103365.6939119,-1377638.95,,-2591829.11</v>
      </c>
      <c r="FD4" s="67" t="str">
        <f ca="1">IF(ISERROR(TEXT(NOW(),"YYYY-MM-DD HH:MM") &amp; ":00," &amp;
 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"")), "",
    TEXT(NOW(),"YYYY-MM-DD HH:MM") &amp; ":00," &amp;
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
)</f>
        <v>2025-05-11 19:19:00,,,-466641.254841508,-457925,-384008.006508312,-1174383.66,,-361587.08</v>
      </c>
      <c r="FE4" s="67" t="str">
        <f ca="1">IF(ISERROR(TEXT(NOW(),"YYYY-MM-DD HH:MM") &amp; ":00," &amp;
 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"")), "",
    TEXT(NOW(),"YYYY-MM-DD HH:MM") &amp; ":00," &amp;
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
)</f>
        <v>2025-05-11 19:19:00,,,-228075.899491875,-348287,-2287450.17429573,-2368247.59,,-64181.24</v>
      </c>
      <c r="FF4" s="67" t="str">
        <f ca="1">IF(ISERROR(TEXT(NOW(),"YYYY-MM-DD HH:MM") &amp; ":00," &amp;
 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"")), "",
    TEXT(NOW(),"YYYY-MM-DD HH:MM") &amp; ":00," &amp;
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
)</f>
        <v>2025-05-11 19:19:00,,,-1496.75198031629,6569,-926306.74230691,-127378.08,,324.35</v>
      </c>
    </row>
    <row r="5" spans="1:162" s="63" customFormat="1" ht="13.5" thickBot="1" x14ac:dyDescent="0.25">
      <c r="A5" s="2">
        <f>+A4-$A$39</f>
        <v>581</v>
      </c>
      <c r="B5" s="3">
        <f t="shared" si="9"/>
        <v>4943</v>
      </c>
      <c r="C5" s="3">
        <f t="shared" si="10"/>
        <v>3041</v>
      </c>
      <c r="D5" s="3">
        <f t="shared" si="11"/>
        <v>4598</v>
      </c>
      <c r="E5" s="3">
        <f>SUM(B5:D5)</f>
        <v>12582</v>
      </c>
      <c r="F5" s="4">
        <f>+$F$3/$A$3*A5</f>
        <v>5846.0130272626993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>
        <v>166</v>
      </c>
      <c r="AN5" s="1">
        <v>14</v>
      </c>
      <c r="AO5" s="1">
        <v>581</v>
      </c>
      <c r="AP5" s="1">
        <v>4235</v>
      </c>
      <c r="AQ5" s="1">
        <v>-23</v>
      </c>
      <c r="AR5" s="1"/>
      <c r="AS5" s="6">
        <f>IF(RTD("tos.rtd",,AS$2,"."&amp;$A$2&amp;$AS$1&amp;"C"&amp;$A5)="N/A",0,RTD("tos.rtd",,AS$2,"."&amp;$A$2&amp;$AS$1&amp;"C"&amp;$A5))</f>
        <v>4943</v>
      </c>
      <c r="AT5" s="7">
        <f>-IF(RTD("tos.rtd",,AT$2,"."&amp;$A$2&amp;$AS$1&amp;"P"&amp;$A5)="N/A",0,RTD("tos.rtd",,AT$2,"."&amp;$A$2&amp;$AS$1&amp;"P"&amp;$A5))</f>
        <v>0</v>
      </c>
      <c r="AU5" s="6">
        <f>IF(RTD("tos.rtd",,AU$2,"."&amp;$A$2&amp;$AU$1&amp;"C"&amp;$A5)="N/A",0,RTD("tos.rtd",,AU$2,"."&amp;$A$2&amp;$AU$1&amp;"C"&amp;$A5))</f>
        <v>3016</v>
      </c>
      <c r="AV5" s="7">
        <f>-IF(RTD("tos.rtd",,AV$2,"."&amp;$A$2&amp;$AU$1&amp;"P"&amp;$A5)="N/A",0,RTD("tos.rtd",,AV$2,"."&amp;$A$2&amp;$AU$1&amp;"P"&amp;$A5))</f>
        <v>-25</v>
      </c>
      <c r="AW5" s="6">
        <f>IF(RTD("tos.rtd",,AW$2,"."&amp;$A$2&amp;$AW$1&amp;"C"&amp;$A5)="N/A",0,RTD("tos.rtd",,AW$2,"."&amp;$A$2&amp;$AW$1&amp;"C"&amp;$A5))</f>
        <v>4554</v>
      </c>
      <c r="AX5" s="7">
        <f>-IF(RTD("tos.rtd",,AX$2,"."&amp;$A$2&amp;$AW$1&amp;"P"&amp;$A5)="N/A",0,RTD("tos.rtd",,AX$2,"."&amp;$A$2&amp;$AW$1&amp;"P"&amp;$A5))</f>
        <v>-44</v>
      </c>
      <c r="AY5" s="1">
        <f>SUM(AS5:AX5)</f>
        <v>12444</v>
      </c>
      <c r="AZ5" s="8">
        <f t="shared" ref="AZ5:AZ38" si="35">+A5</f>
        <v>581</v>
      </c>
      <c r="BA5" s="6">
        <f>IF(RTD("tos.rtd",,BA$2,"."&amp;$A$2&amp;$AS$1&amp;"C"&amp;$A5)="N/A",0,RTD("tos.rtd",,BA$2,"."&amp;$A$2&amp;$AS$1&amp;"C"&amp;$A5))</f>
        <v>0</v>
      </c>
      <c r="BB5" s="7">
        <f>-IF(RTD("tos.rtd",,BB$2,"."&amp;$A$2&amp;$AS$1&amp;"P"&amp;$A5)="N/A",0,RTD("tos.rtd",,BB$2,"."&amp;$A$2&amp;$AS$1&amp;"P"&amp;$A5))</f>
        <v>0</v>
      </c>
      <c r="BC5" s="6">
        <f>IF(RTD("tos.rtd",,BC$2,"."&amp;$A$2&amp;$AU$1&amp;"C"&amp;$A5)="N/A",0,RTD("tos.rtd",,BC$2,"."&amp;$A$2&amp;$AU$1&amp;"C"&amp;$A5))</f>
        <v>4392</v>
      </c>
      <c r="BD5" s="7">
        <f>-IF(RTD("tos.rtd",,BD$2,"."&amp;$A$2&amp;$AU$1&amp;"P"&amp;$A5)="N/A",0,RTD("tos.rtd",,BD$2,"."&amp;$A$2&amp;$AU$1&amp;"P"&amp;$A5))</f>
        <v>-15</v>
      </c>
      <c r="BE5" s="6">
        <f>IF(RTD("tos.rtd",,BE$2,"."&amp;$A$2&amp;$AW$1&amp;"C"&amp;$A5)="N/A",0,RTD("tos.rtd",,BE$2,"."&amp;$A$2&amp;$AW$1&amp;"C"&amp;$A5))</f>
        <v>3906</v>
      </c>
      <c r="BF5" s="83">
        <f>-IF(RTD("tos.rtd",,BF$2,"."&amp;$A$2&amp;$AW$1&amp;"P"&amp;$A5)="N/A",0,RTD("tos.rtd",,BF$2,"."&amp;$A$2&amp;$AW$1&amp;"P"&amp;$A5))</f>
        <v>-202</v>
      </c>
      <c r="BG5" s="32">
        <f ca="1">+Hoja2!Y6</f>
        <v>1650</v>
      </c>
      <c r="BH5" s="7">
        <f t="shared" ref="BH5:BH38" ca="1" si="36">SUM(BA5:BG5)</f>
        <v>9731</v>
      </c>
      <c r="BI5" s="8" t="str">
        <f ca="1">IF(AND(BH5&lt;0,BH4&gt;0), "Cruce -", IF(AND(BH5&gt;0,BH4&lt;0),"Cruce +", ""))</f>
        <v/>
      </c>
      <c r="BJ5" s="3" t="e">
        <f ca="1">IF($BP$1=1,DX5,IF(RTD("tos.rtd",,BJ$2,"."&amp;$A$2&amp;$AS$1&amp;"C"&amp;$A5)="N/A",0,RTD("tos.rtd",,BJ$2,"."&amp;$A$2&amp;$AS$1&amp;"C"&amp;$A5)))</f>
        <v>#NUM!</v>
      </c>
      <c r="BK5" s="3" t="e">
        <f ca="1">IF($BP$1=1,DY5,-IF(RTD("tos.rtd",,BK$2,"."&amp;$A$2&amp;$AS$1&amp;"P"&amp;$A5)="N/A",0,RTD("tos.rtd",,BK$2,"."&amp;$A$2&amp;$AS$1&amp;"P"&amp;$A5)))</f>
        <v>#NUM!</v>
      </c>
      <c r="BL5" s="3" t="e">
        <f ca="1">IF($BP$1=1,DZ5,IF(RTD("tos.rtd",,BL$2,"."&amp;$A$2&amp;$AU$1&amp;"C"&amp;$A5)="N/A",0,RTD("tos.rtd",,BL$2,"."&amp;$A$2&amp;$AU$1&amp;"C"&amp;$A5)))</f>
        <v>#NUM!</v>
      </c>
      <c r="BM5" s="3" t="e">
        <f ca="1">IF($BP$1=1,EA5,-IF(RTD("tos.rtd",,BM$2,"."&amp;$A$2&amp;$AU$1&amp;"P"&amp;$A5)="N/A",0,RTD("tos.rtd",,BM$2,"."&amp;$A$2&amp;$AU$1&amp;"P"&amp;$A5)))</f>
        <v>#NUM!</v>
      </c>
      <c r="BN5" s="3" t="e">
        <f ca="1">IF($BP$1=1,EB5,IF(RTD("tos.rtd",,BN$2,"."&amp;$A$2&amp;$AW$1&amp;"C"&amp;$A5)="N/A",0,RTD("tos.rtd",,BN$2,"."&amp;$A$2&amp;$AW$1&amp;"C"&amp;$A5)))</f>
        <v>#NUM!</v>
      </c>
      <c r="BO5" s="3" t="e">
        <f ca="1">IF($BP$1=1,EC5,-IF(RTD("tos.rtd",,BO$2,"."&amp;$A$2&amp;$AW$1&amp;"P"&amp;$A5)="N/A",0,RTD("tos.rtd",,BO$2,"."&amp;$A$2&amp;$AW$1&amp;"P"&amp;$A5)))</f>
        <v>#NUM!</v>
      </c>
      <c r="BQ5" s="3" t="e">
        <f t="shared" ref="BQ5:BQ38" ca="1" si="37">+$A$3*$A$3*AS5*BJ5-$A$3*$A$3*AT5*BK5</f>
        <v>#NUM!</v>
      </c>
      <c r="BR5" s="3" t="e">
        <f ca="1">IF(AND(BQ5&lt;0,BQ4&gt;0), "Cruce -", IF(AND(BQ5&gt;0,BQ4&lt;0),"Cruce +", ""))</f>
        <v>#NUM!</v>
      </c>
      <c r="BS5" s="3" t="e">
        <f t="shared" ref="BS5:BS38" ca="1" si="38">+$A$3*$A$3*AU5*BL5-$A$3*$A$3*AV5*BM5</f>
        <v>#NUM!</v>
      </c>
      <c r="BT5" s="3" t="e">
        <f ca="1">IF(AND(BS5&lt;0,BS4&gt;0), "Cruce -", IF(AND(BS5&gt;0,BS4&lt;0),"Cruce +", ""))</f>
        <v>#NUM!</v>
      </c>
      <c r="BU5" s="3" t="e">
        <f t="shared" ref="BU5:BU38" ca="1" si="39">+$A$3*$A$3*AW5*BN5-$A$3*$A$3*AX5*BO5</f>
        <v>#NUM!</v>
      </c>
      <c r="BV5" s="3" t="e">
        <f ca="1">IF(AND(BU5&lt;0,BU4&gt;0), "Cruce -", IF(AND(BU5&gt;0,BU4&lt;0),"Cruce +", ""))</f>
        <v>#NUM!</v>
      </c>
      <c r="BX5" s="3" t="e">
        <f t="shared" ref="BX5:BX38" ca="1" si="40">+$A$3*$A$3*BA5*BJ5-$A$3*$A$3*BB5*BK5</f>
        <v>#NUM!</v>
      </c>
      <c r="BY5" s="3" t="e">
        <f ca="1">IF(AND(BX5&lt;0,BX4&gt;0), "Cruce -", IF(AND(BX5&gt;0,BX4&lt;0),"Cruce +", ""))</f>
        <v>#NUM!</v>
      </c>
      <c r="BZ5" s="3" t="e">
        <f t="shared" ref="BZ5:BZ38" ca="1" si="41">+$A$3*$A$3*BC5*BL5-$A$3*$A$3*BD5*BM5</f>
        <v>#NUM!</v>
      </c>
      <c r="CA5" s="3" t="e">
        <f ca="1">IF(AND(BZ5&lt;0,BZ4&gt;0), "Cruce -", IF(AND(BZ5&gt;0,BZ4&lt;0),"Cruce +", ""))</f>
        <v>#NUM!</v>
      </c>
      <c r="CB5" s="3" t="e">
        <f t="shared" ref="CB5:CB38" ca="1" si="42">+$A$3*$A$3*BE5*BN5-$A$3*$A$3*BF5*BO5</f>
        <v>#NUM!</v>
      </c>
      <c r="CC5" s="3" t="e">
        <f ca="1">IF(AND(CB5&lt;0,CB4&gt;0), "Cruce -", IF(AND(CB5&gt;0,CB4&lt;0),"Cruce +", ""))</f>
        <v>#NUM!</v>
      </c>
      <c r="CD5" s="3">
        <f>IF(RTD("tos.rtd",,CD$2,"."&amp;$A$2&amp;$AS$1&amp;"C"&amp;$A5)="N/A",0,RTD("tos.rtd",,CD$2,"."&amp;$A$2&amp;$AS$1&amp;"C"&amp;$A5))</f>
        <v>0</v>
      </c>
      <c r="CE5" s="3">
        <f>-IF(RTD("tos.rtd",,CE$2,"."&amp;$A$2&amp;$AS$1&amp;"P"&amp;$A5)="N/A",0,RTD("tos.rtd",,CE$2,"."&amp;$A$2&amp;$AS$1&amp;"P"&amp;$A5))</f>
        <v>0.64</v>
      </c>
      <c r="CF5" s="3">
        <f>IF(RTD("tos.rtd",,CF$2,"."&amp;$A$2&amp;$AU$1&amp;"C"&amp;$A5)="N/A",0,RTD("tos.rtd",,CF$2,"."&amp;$A$2&amp;$AU$1&amp;"C"&amp;$A5))</f>
        <v>0</v>
      </c>
      <c r="CG5" s="3">
        <f>-IF(RTD("tos.rtd",,CG$2,"."&amp;$A$2&amp;$AU$1&amp;"P"&amp;$A5)="N/A",0,RTD("tos.rtd",,CG$2,"."&amp;$A$2&amp;$AU$1&amp;"P"&amp;$A5))</f>
        <v>0.63</v>
      </c>
      <c r="CH5" s="3">
        <f>IF(RTD("tos.rtd",,CH$2,"."&amp;$A$2&amp;$AW$1&amp;"C"&amp;$A5)="N/A",0,RTD("tos.rtd",,CH$2,"."&amp;$A$2&amp;$AW$1&amp;"C"&amp;$A5))</f>
        <v>0.18</v>
      </c>
      <c r="CI5" s="3">
        <f>-IF(RTD("tos.rtd",,CI$2,"."&amp;$A$2&amp;$AW$1&amp;"P"&amp;$A5)="N/A",0,RTD("tos.rtd",,CI$2,"."&amp;$A$2&amp;$AW$1&amp;"P"&amp;$A5))</f>
        <v>0.62</v>
      </c>
      <c r="CK5" s="3">
        <f t="shared" si="17"/>
        <v>0</v>
      </c>
      <c r="CL5" s="3"/>
      <c r="CM5" s="3">
        <f t="shared" si="18"/>
        <v>-1575</v>
      </c>
      <c r="CN5" s="3"/>
      <c r="CO5" s="3">
        <f t="shared" si="19"/>
        <v>79243.999999999985</v>
      </c>
      <c r="CP5" s="3">
        <f t="shared" ref="CP5:CP38" si="43">+CK5+CM5+CO5</f>
        <v>77668.999999999985</v>
      </c>
      <c r="CQ5" s="3">
        <f t="shared" ref="CQ5:CQ38" si="44">+BA5+BB5</f>
        <v>0</v>
      </c>
      <c r="CR5" s="3"/>
      <c r="CS5" s="3">
        <f t="shared" si="20"/>
        <v>4377</v>
      </c>
      <c r="CT5" s="3"/>
      <c r="CU5" s="3">
        <f t="shared" si="21"/>
        <v>3704</v>
      </c>
      <c r="CV5" s="3">
        <f t="shared" ref="CV5:CV38" si="45">+CQ5+CS5+CU5</f>
        <v>8081</v>
      </c>
      <c r="CW5" s="3" t="e">
        <f t="shared" ref="CW5:CW38" ca="1" si="46">+BQ5+BS5+BU5</f>
        <v>#NUM!</v>
      </c>
      <c r="CX5" s="85" t="e">
        <f ca="1">IF(AND(CW5&lt;0,CW4&gt;0), "Cruce -", IF(AND(CW5&gt;0,CW4&lt;0),"Cruce +", ""))</f>
        <v>#NUM!</v>
      </c>
      <c r="CY5" s="3" t="e">
        <f t="shared" ref="CY5:CY38" ca="1" si="47">+BX5+BZ5+CB5</f>
        <v>#NUM!</v>
      </c>
      <c r="CZ5" s="85" t="e">
        <f ca="1">IF(AND(CY5&lt;0,CY4&gt;0), "Cruce -", IF(AND(CY5&gt;0,CY4&lt;0),"Cruce +", ""))</f>
        <v>#NUM!</v>
      </c>
      <c r="DA5" s="3">
        <f>IF(RTD("tos.rtd",,DA$2,"."&amp;$A$2&amp;$AS$1&amp;"C"&amp;$A5)="N/A",0,RTD("tos.rtd",,DA$2,"."&amp;$A$2&amp;$AS$1&amp;"C"&amp;$A5))</f>
        <v>0.01</v>
      </c>
      <c r="DB5" s="3">
        <f>IF(RTD("tos.rtd",,DB$2,"."&amp;$A$2&amp;$AS$1&amp;"P"&amp;$A5)="N/A",0,RTD("tos.rtd",,DB$2,"."&amp;$A$2&amp;$AS$1&amp;"P"&amp;$A5))</f>
        <v>12.99</v>
      </c>
      <c r="DC5" s="3">
        <f>IF(RTD("tos.rtd",,DC$2,"."&amp;$A$2&amp;$AS$1&amp;"C"&amp;$A5)="N/A",0,RTD("tos.rtd",,DC$2,"."&amp;$A$2&amp;$AS$1&amp;"C"&amp;$A5))</f>
        <v>0.01</v>
      </c>
      <c r="DD5" s="3">
        <f>IF(RTD("tos.rtd",,DD$2,"."&amp;$A$2&amp;$AS$1&amp;"P"&amp;$A5)="N/A",0,RTD("tos.rtd",,DD$2,"."&amp;$A$2&amp;$AS$1&amp;"P"&amp;$A5))</f>
        <v>17.02</v>
      </c>
      <c r="DE5" s="3">
        <f>IF(RTD("tos.rtd",,DE$2,"."&amp;$A$2&amp;$AS$1&amp;"C"&amp;$A5)="N/A",0,RTD("tos.rtd",,DE$2,"."&amp;$A$2&amp;$AS$1&amp;"C"&amp;$A5))</f>
        <v>0</v>
      </c>
      <c r="DF5" s="3">
        <f>IF(RTD("tos.rtd",,DF$2,"."&amp;$A$2&amp;$AS$1&amp;"P"&amp;$A5)="N/A",0,RTD("tos.rtd",,DF$2,"."&amp;$A$2&amp;$AS$1&amp;"P"&amp;$A5))</f>
        <v>15.07</v>
      </c>
      <c r="DG5" s="86">
        <f t="shared" ref="DG5:DG38" si="48">+$A5-$A$3</f>
        <v>9.8899999999999864</v>
      </c>
      <c r="DH5" s="3">
        <f t="shared" si="22"/>
        <v>-4235</v>
      </c>
      <c r="DI5" s="3">
        <f t="shared" ref="DI5:DI38" si="49">((DB5-DF5)/(DD5-DF5))*(BB5-AQ5)</f>
        <v>-24.533333333333342</v>
      </c>
      <c r="DJ5" s="3">
        <f t="shared" ref="DJ5:DJ38" si="50">IF(DA5&gt;=(DE5+(DC5-DE5)*0.6),(BA5-AP5),IF(DA5&lt;=(DE5+(DC5-DE5)*0.4),-(BA5-AP5),0))</f>
        <v>-4235</v>
      </c>
      <c r="DK5" s="3">
        <f t="shared" ref="DK5:DK38" si="51">IF(DB5&lt;=(DF5+(DD5-DF5)*0.4),-(BB5-AQ5),IF(DB5&gt;=(DF5+(DD5-DF5)*0.6),(BB5-AQ5),0))</f>
        <v>-23</v>
      </c>
      <c r="DL5" s="3">
        <f t="shared" ref="DL5:DL38" si="52">+DH5+DI5</f>
        <v>-4259.5333333333338</v>
      </c>
      <c r="DM5" s="3">
        <f t="shared" ref="DM5:DM38" si="53">+DJ5+DK5</f>
        <v>-4258</v>
      </c>
      <c r="DN5" s="63" t="str">
        <f t="shared" ref="DN5:DN38" si="54">IF(AND(DA5&gt;=(DE5+(DC5-DE5)*0.6),BA5&gt;AP5),"BUY",IF(AND(DA5&lt;=(DE5+(DC5-DE5)*0.4),BA5&gt;AP5),"SELL","UNKNOWN"))</f>
        <v>UNKNOWN</v>
      </c>
      <c r="DO5" s="63" t="str">
        <f t="shared" ref="DO5:DO38" si="55">IF(AND(DB5&gt;=(DF5+(DD5-DF5)*0.6),ABS(BB5)&gt;ABS(AQ5)),"BUY",IF(AND(DB5&lt;=(DF5+(DD5-DF5)*0.4),ABS(BB5)&gt;ABS(AQ5)),"SELL","UNKNOWN"))</f>
        <v>UNKNOWN</v>
      </c>
      <c r="DP5" s="3">
        <f t="shared" ref="DP5:DP38" si="56">+DH5*DA5+DI5*DB5</f>
        <v>-361.03800000000012</v>
      </c>
      <c r="DQ5" s="3">
        <f t="shared" ref="DQ5:DQ38" si="57">+DA5*DJ5+DB5*DK5</f>
        <v>-341.12</v>
      </c>
      <c r="DR5" s="3" t="e">
        <f t="shared" ref="DR5:DR38" ca="1" si="58">+BJ5*DJ5+BK5*DK5</f>
        <v>#NUM!</v>
      </c>
      <c r="DS5" s="3">
        <f t="shared" ref="DS5:DS38" si="59">+CD5*DJ5+CE5*DK5</f>
        <v>-14.72</v>
      </c>
      <c r="DT5" s="3">
        <f t="shared" ref="DT5:DT38" si="60">BA5-VLOOKUP(AZ5,$AO$4:$AQ$38,2,FALSE)</f>
        <v>-4235</v>
      </c>
      <c r="DU5" s="3">
        <f t="shared" ref="DU5:DU38" si="61">BB5-VLOOKUP(AZ5,$AO$4:$AQ$38,3,FALSE)</f>
        <v>23</v>
      </c>
      <c r="DV5" s="3">
        <f t="shared" ref="DV5:DV38" si="62">AM5+IF(DN5="BUY",DT5,IF(DN5="SELL",-DT5,0))</f>
        <v>166</v>
      </c>
      <c r="DW5" s="3">
        <f t="shared" si="23"/>
        <v>14</v>
      </c>
      <c r="DX5" s="3" t="e">
        <f t="shared" ca="1" si="24"/>
        <v>#NUM!</v>
      </c>
      <c r="DY5" s="3" t="e">
        <f t="shared" ca="1" si="25"/>
        <v>#NUM!</v>
      </c>
      <c r="DZ5" s="3" t="e">
        <f t="shared" ca="1" si="26"/>
        <v>#NUM!</v>
      </c>
      <c r="EA5" s="3" t="e">
        <f t="shared" ca="1" si="27"/>
        <v>#NUM!</v>
      </c>
      <c r="EB5" s="3" t="e">
        <f t="shared" ca="1" si="28"/>
        <v>#NUM!</v>
      </c>
      <c r="EC5" s="3" t="e">
        <f t="shared" ca="1" si="29"/>
        <v>#NUM!</v>
      </c>
      <c r="ED5" s="63">
        <f t="shared" ref="ED5:ED38" si="63">+DV5+DW5</f>
        <v>180</v>
      </c>
      <c r="EE5" s="59">
        <f t="shared" ref="EE5:EE38" si="64">IFERROR(VALUE(IF(OR(EL5="--",EL5="0.00%"),$EE$1,EL5)),$EE$1)</f>
        <v>0.86419999999999997</v>
      </c>
      <c r="EF5" s="59">
        <f t="shared" si="30"/>
        <v>5.9699</v>
      </c>
      <c r="EG5" s="59">
        <f t="shared" si="31"/>
        <v>0.86419999999999997</v>
      </c>
      <c r="EH5" s="59">
        <f t="shared" si="32"/>
        <v>6.3952999999999998</v>
      </c>
      <c r="EI5" s="59">
        <f t="shared" si="33"/>
        <v>0.15590000000000001</v>
      </c>
      <c r="EJ5" s="59">
        <f t="shared" si="34"/>
        <v>0.44940000000000002</v>
      </c>
      <c r="EK5" s="63" t="e">
        <f t="shared" ref="EK5:EK38" ca="1" si="65">+DV5*DX5*$A$3*$A$3+DW5*DY5*$A$3*$A$3</f>
        <v>#NUM!</v>
      </c>
      <c r="EL5" s="3" t="str">
        <f>RTD("tos.rtd",,EL$2,"."&amp;$A$2&amp;$AS$1&amp;"C"&amp;$A5)</f>
        <v>86.42%</v>
      </c>
      <c r="EM5" s="3" t="str">
        <f>RTD("tos.rtd",,EM$2,"."&amp;$A$2&amp;$AS$1&amp;"P"&amp;$A5)</f>
        <v>596.99%</v>
      </c>
      <c r="EN5" s="3" t="str">
        <f>RTD("tos.rtd",,EN$2,"."&amp;$A$2&amp;$AU$1&amp;"C"&amp;$A5)</f>
        <v>86.42%</v>
      </c>
      <c r="EO5" s="3" t="str">
        <f>RTD("tos.rtd",,EO$2,"."&amp;$A$2&amp;$AU$1&amp;"P"&amp;$A5)</f>
        <v>639.53%</v>
      </c>
      <c r="EP5" s="3" t="str">
        <f>RTD("tos.rtd",,EP$2,"."&amp;$A$2&amp;$AW$1&amp;"C"&amp;$A5)</f>
        <v>15.59%</v>
      </c>
      <c r="EQ5" s="3" t="str">
        <f>RTD("tos.rtd",,EQ$2,"."&amp;$A$2&amp;$AW$1&amp;"P"&amp;$A5)</f>
        <v>44.94%</v>
      </c>
      <c r="ES5" s="63" t="str">
        <f t="shared" ref="ES5:ES38" si="66">IFERROR(
    A5 &amp; "," &amp; TEXT(IF(ISNUMBER(DV5+DW5), DV5+DW5, 0), "00.00"),    "Error"
)</f>
        <v>581,180.00</v>
      </c>
      <c r="ET5" s="63" t="str">
        <f t="shared" ref="ET5:ET38" ca="1" si="67">IF(ISERROR(
    A5 &amp; "," &amp; TEXT(
        IF($E$1="GEX-VOL", IF(ISNUMBER(BX5+BZ5+CB5), (BX5+BZ5+CB5)/1000, 0),
           IF($E$1="GEX-OI", IF(ISNUMBER(BQ5+BS5+BU5), (BQ5+BS5+BU5)/1000, 0),
               IF($E$1="DEX",IF(ISNUMBER(CK5+CM5+CO5), (CK5+CM5+CO5)/1000, 0),
                  IF($E$1="VOLPRES",IF(ISNUMBER(DJ5+DK5), (DJ5+DK5), 0),
                     IF(ISNUMBER(EK5), (EK5), 0)
        )))),
    "00.00")
), "Error",
A5 &amp; "," &amp; TEXT(
        IF($E$1="GEX-VOL", IF(ISNUMBER(BX5+BZ5+CB5), (BX5+BZ5+CB5)/1000, 0),
           IF($E$1="GEX-OI", IF(ISNUMBER(BQ5+BS5+BU5), (BQ5+BS5+BU5)/1000, 0),
               IF($E$1="DEX", IF(ISNUMBER(CK5+CM5+CO5), (CK5+CM5+CO5)/1000, 0),
                  IF($E$1="VOLPRES",IF(ISNUMBER(DJ5+DK5), (DJ5+DK5), 0),
                    IF(ISNUMBER(EK5), (EK5), 0)
        )))),
    "00.00")
)</f>
        <v>581,00.00</v>
      </c>
      <c r="EU5" s="67">
        <v>560.96</v>
      </c>
      <c r="EV5" s="67" t="s">
        <v>59</v>
      </c>
      <c r="EW5" s="67">
        <v>483.21</v>
      </c>
      <c r="EX5" s="67" t="s">
        <v>60</v>
      </c>
      <c r="EY5" s="67">
        <v>5631.28</v>
      </c>
      <c r="EZ5" s="67" t="s">
        <v>61</v>
      </c>
      <c r="FA5" s="67">
        <v>19867.973000000002</v>
      </c>
      <c r="FB5" s="67" t="s">
        <v>62</v>
      </c>
      <c r="FC5" s="67" t="s">
        <v>63</v>
      </c>
      <c r="FD5" s="67" t="s">
        <v>64</v>
      </c>
      <c r="FE5" s="67" t="s">
        <v>65</v>
      </c>
      <c r="FF5" s="67" t="s">
        <v>66</v>
      </c>
    </row>
    <row r="6" spans="1:162" s="63" customFormat="1" ht="13.5" thickBot="1" x14ac:dyDescent="0.25">
      <c r="A6" s="2">
        <f t="shared" ref="A6:A38" si="68">+A5-$A$39</f>
        <v>580</v>
      </c>
      <c r="B6" s="3">
        <f t="shared" si="9"/>
        <v>6800</v>
      </c>
      <c r="C6" s="3">
        <f t="shared" si="10"/>
        <v>19313</v>
      </c>
      <c r="D6" s="3">
        <f t="shared" si="11"/>
        <v>32483</v>
      </c>
      <c r="E6" s="3">
        <f>SUM(B6:D6)</f>
        <v>58596</v>
      </c>
      <c r="F6" s="4">
        <f>+$F$3/$A$3*A6</f>
        <v>5835.9510427063087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v>-428</v>
      </c>
      <c r="AN6" s="1">
        <v>-26</v>
      </c>
      <c r="AO6" s="1">
        <v>580</v>
      </c>
      <c r="AP6" s="1">
        <v>19571</v>
      </c>
      <c r="AQ6" s="1">
        <v>-277</v>
      </c>
      <c r="AR6" s="1"/>
      <c r="AS6" s="6">
        <f>IF(RTD("tos.rtd",,AS$2,"."&amp;$A$2&amp;$AS$1&amp;"C"&amp;$A6)="N/A",0,RTD("tos.rtd",,AS$2,"."&amp;$A$2&amp;$AS$1&amp;"C"&amp;$A6))</f>
        <v>6751</v>
      </c>
      <c r="AT6" s="7">
        <f>-IF(RTD("tos.rtd",,AT$2,"."&amp;$A$2&amp;$AS$1&amp;"P"&amp;$A6)="N/A",0,RTD("tos.rtd",,AT$2,"."&amp;$A$2&amp;$AS$1&amp;"P"&amp;$A6))</f>
        <v>-49</v>
      </c>
      <c r="AU6" s="6">
        <f>IF(RTD("tos.rtd",,AU$2,"."&amp;$A$2&amp;$AU$1&amp;"C"&amp;$A6)="N/A",0,RTD("tos.rtd",,AU$2,"."&amp;$A$2&amp;$AU$1&amp;"C"&amp;$A6))</f>
        <v>19175</v>
      </c>
      <c r="AV6" s="7">
        <f>-IF(RTD("tos.rtd",,AV$2,"."&amp;$A$2&amp;$AU$1&amp;"P"&amp;$A6)="N/A",0,RTD("tos.rtd",,AV$2,"."&amp;$A$2&amp;$AU$1&amp;"P"&amp;$A6))</f>
        <v>-138</v>
      </c>
      <c r="AW6" s="6">
        <f>IF(RTD("tos.rtd",,AW$2,"."&amp;$A$2&amp;$AW$1&amp;"C"&amp;$A6)="N/A",0,RTD("tos.rtd",,AW$2,"."&amp;$A$2&amp;$AW$1&amp;"C"&amp;$A6))</f>
        <v>30852</v>
      </c>
      <c r="AX6" s="7">
        <f>-IF(RTD("tos.rtd",,AX$2,"."&amp;$A$2&amp;$AW$1&amp;"P"&amp;$A6)="N/A",0,RTD("tos.rtd",,AX$2,"."&amp;$A$2&amp;$AW$1&amp;"P"&amp;$A6))</f>
        <v>-1631</v>
      </c>
      <c r="AY6" s="1">
        <f t="shared" ref="AY6:AY38" si="69">SUM(AS6:AX6)</f>
        <v>54960</v>
      </c>
      <c r="AZ6" s="8">
        <f t="shared" si="35"/>
        <v>580</v>
      </c>
      <c r="BA6" s="6">
        <f>IF(RTD("tos.rtd",,BA$2,"."&amp;$A$2&amp;$AS$1&amp;"C"&amp;$A6)="N/A",0,RTD("tos.rtd",,BA$2,"."&amp;$A$2&amp;$AS$1&amp;"C"&amp;$A6))</f>
        <v>0</v>
      </c>
      <c r="BB6" s="7">
        <f>-IF(RTD("tos.rtd",,BB$2,"."&amp;$A$2&amp;$AS$1&amp;"P"&amp;$A6)="N/A",0,RTD("tos.rtd",,BB$2,"."&amp;$A$2&amp;$AS$1&amp;"P"&amp;$A6))</f>
        <v>0</v>
      </c>
      <c r="BC6" s="6">
        <f>IF(RTD("tos.rtd",,BC$2,"."&amp;$A$2&amp;$AU$1&amp;"C"&amp;$A6)="N/A",0,RTD("tos.rtd",,BC$2,"."&amp;$A$2&amp;$AU$1&amp;"C"&amp;$A6))</f>
        <v>11783</v>
      </c>
      <c r="BD6" s="7">
        <f>-IF(RTD("tos.rtd",,BD$2,"."&amp;$A$2&amp;$AU$1&amp;"P"&amp;$A6)="N/A",0,RTD("tos.rtd",,BD$2,"."&amp;$A$2&amp;$AU$1&amp;"P"&amp;$A6))</f>
        <v>-127</v>
      </c>
      <c r="BE6" s="6">
        <f>IF(RTD("tos.rtd",,BE$2,"."&amp;$A$2&amp;$AW$1&amp;"C"&amp;$A6)="N/A",0,RTD("tos.rtd",,BE$2,"."&amp;$A$2&amp;$AW$1&amp;"C"&amp;$A6))</f>
        <v>24557</v>
      </c>
      <c r="BF6" s="83">
        <f>-IF(RTD("tos.rtd",,BF$2,"."&amp;$A$2&amp;$AW$1&amp;"P"&amp;$A6)="N/A",0,RTD("tos.rtd",,BF$2,"."&amp;$A$2&amp;$AW$1&amp;"P"&amp;$A6))</f>
        <v>-276</v>
      </c>
      <c r="BG6" s="32">
        <f ca="1">+Hoja2!Y7</f>
        <v>13000</v>
      </c>
      <c r="BH6" s="7">
        <f t="shared" ca="1" si="36"/>
        <v>48937</v>
      </c>
      <c r="BI6" s="8" t="str">
        <f t="shared" ref="BI6" ca="1" si="70">IF(AND(BH6&lt;0,BH5&gt;0), "Cruce -", IF(AND(BH6&gt;0,BH5&lt;0),"Cruce +", ""))</f>
        <v/>
      </c>
      <c r="BJ6" s="3" t="e">
        <f ca="1">IF($BP$1=1,DX6,IF(RTD("tos.rtd",,BJ$2,"."&amp;$A$2&amp;$AS$1&amp;"C"&amp;$A6)="N/A",0,RTD("tos.rtd",,BJ$2,"."&amp;$A$2&amp;$AS$1&amp;"C"&amp;$A6)))</f>
        <v>#NUM!</v>
      </c>
      <c r="BK6" s="3" t="e">
        <f ca="1">IF($BP$1=1,DY6,-IF(RTD("tos.rtd",,BK$2,"."&amp;$A$2&amp;$AS$1&amp;"P"&amp;$A6)="N/A",0,RTD("tos.rtd",,BK$2,"."&amp;$A$2&amp;$AS$1&amp;"P"&amp;$A6)))</f>
        <v>#NUM!</v>
      </c>
      <c r="BL6" s="3" t="e">
        <f ca="1">IF($BP$1=1,DZ6,IF(RTD("tos.rtd",,BL$2,"."&amp;$A$2&amp;$AU$1&amp;"C"&amp;$A6)="N/A",0,RTD("tos.rtd",,BL$2,"."&amp;$A$2&amp;$AU$1&amp;"C"&amp;$A6)))</f>
        <v>#NUM!</v>
      </c>
      <c r="BM6" s="3" t="e">
        <f ca="1">IF($BP$1=1,EA6,-IF(RTD("tos.rtd",,BM$2,"."&amp;$A$2&amp;$AU$1&amp;"P"&amp;$A6)="N/A",0,RTD("tos.rtd",,BM$2,"."&amp;$A$2&amp;$AU$1&amp;"P"&amp;$A6)))</f>
        <v>#NUM!</v>
      </c>
      <c r="BN6" s="3" t="e">
        <f ca="1">IF($BP$1=1,EB6,IF(RTD("tos.rtd",,BN$2,"."&amp;$A$2&amp;$AW$1&amp;"C"&amp;$A6)="N/A",0,RTD("tos.rtd",,BN$2,"."&amp;$A$2&amp;$AW$1&amp;"C"&amp;$A6)))</f>
        <v>#NUM!</v>
      </c>
      <c r="BO6" s="3" t="e">
        <f ca="1">IF($BP$1=1,EC6,-IF(RTD("tos.rtd",,BO$2,"."&amp;$A$2&amp;$AW$1&amp;"P"&amp;$A6)="N/A",0,RTD("tos.rtd",,BO$2,"."&amp;$A$2&amp;$AW$1&amp;"P"&amp;$A6)))</f>
        <v>#NUM!</v>
      </c>
      <c r="BQ6" s="3" t="e">
        <f t="shared" ca="1" si="37"/>
        <v>#NUM!</v>
      </c>
      <c r="BR6" s="3" t="e">
        <f t="shared" ref="BR6:BT38" ca="1" si="71">IF(AND(BQ6&lt;0,BQ5&gt;0), "Cruce -", IF(AND(BQ6&gt;0,BQ5&lt;0),"Cruce +", ""))</f>
        <v>#NUM!</v>
      </c>
      <c r="BS6" s="3" t="e">
        <f t="shared" ca="1" si="38"/>
        <v>#NUM!</v>
      </c>
      <c r="BT6" s="3" t="e">
        <f t="shared" ca="1" si="71"/>
        <v>#NUM!</v>
      </c>
      <c r="BU6" s="3" t="e">
        <f t="shared" ca="1" si="39"/>
        <v>#NUM!</v>
      </c>
      <c r="BV6" s="3" t="e">
        <f t="shared" ref="BV6" ca="1" si="72">IF(AND(BU6&lt;0,BU5&gt;0), "Cruce -", IF(AND(BU6&gt;0,BU5&lt;0),"Cruce +", ""))</f>
        <v>#NUM!</v>
      </c>
      <c r="BX6" s="3" t="e">
        <f t="shared" ca="1" si="40"/>
        <v>#NUM!</v>
      </c>
      <c r="BY6" s="3" t="e">
        <f t="shared" ref="BY6:BY38" ca="1" si="73">IF(AND(BX6&lt;0,BX5&gt;0), "Cruce -", IF(AND(BX6&gt;0,BX5&lt;0),"Cruce +", ""))</f>
        <v>#NUM!</v>
      </c>
      <c r="BZ6" s="3" t="e">
        <f t="shared" ca="1" si="41"/>
        <v>#NUM!</v>
      </c>
      <c r="CA6" s="3" t="e">
        <f t="shared" ref="CA6:CA38" ca="1" si="74">IF(AND(BZ6&lt;0,BZ5&gt;0), "Cruce -", IF(AND(BZ6&gt;0,BZ5&lt;0),"Cruce +", ""))</f>
        <v>#NUM!</v>
      </c>
      <c r="CB6" s="3" t="e">
        <f t="shared" ca="1" si="42"/>
        <v>#NUM!</v>
      </c>
      <c r="CC6" s="3" t="e">
        <f t="shared" ref="CC6:CC38" ca="1" si="75">IF(AND(CB6&lt;0,CB5&gt;0), "Cruce -", IF(AND(CB6&gt;0,CB5&lt;0),"Cruce +", ""))</f>
        <v>#NUM!</v>
      </c>
      <c r="CD6" s="3">
        <f>IF(RTD("tos.rtd",,CD$2,"."&amp;$A$2&amp;$AS$1&amp;"C"&amp;$A6)="N/A",0,RTD("tos.rtd",,CD$2,"."&amp;$A$2&amp;$AS$1&amp;"C"&amp;$A6))</f>
        <v>0</v>
      </c>
      <c r="CE6" s="3">
        <f>-IF(RTD("tos.rtd",,CE$2,"."&amp;$A$2&amp;$AS$1&amp;"P"&amp;$A6)="N/A",0,RTD("tos.rtd",,CE$2,"."&amp;$A$2&amp;$AS$1&amp;"P"&amp;$A6))</f>
        <v>0.63</v>
      </c>
      <c r="CF6" s="3">
        <f>IF(RTD("tos.rtd",,CF$2,"."&amp;$A$2&amp;$AU$1&amp;"C"&amp;$A6)="N/A",0,RTD("tos.rtd",,CF$2,"."&amp;$A$2&amp;$AU$1&amp;"C"&amp;$A6))</f>
        <v>0</v>
      </c>
      <c r="CG6" s="3">
        <f>-IF(RTD("tos.rtd",,CG$2,"."&amp;$A$2&amp;$AU$1&amp;"P"&amp;$A6)="N/A",0,RTD("tos.rtd",,CG$2,"."&amp;$A$2&amp;$AU$1&amp;"P"&amp;$A6))</f>
        <v>0.62</v>
      </c>
      <c r="CH6" s="3">
        <f>IF(RTD("tos.rtd",,CH$2,"."&amp;$A$2&amp;$AW$1&amp;"C"&amp;$A6)="N/A",0,RTD("tos.rtd",,CH$2,"."&amp;$A$2&amp;$AW$1&amp;"C"&amp;$A6))</f>
        <v>0.2</v>
      </c>
      <c r="CI6" s="3">
        <f>-IF(RTD("tos.rtd",,CI$2,"."&amp;$A$2&amp;$AW$1&amp;"P"&amp;$A6)="N/A",0,RTD("tos.rtd",,CI$2,"."&amp;$A$2&amp;$AW$1&amp;"P"&amp;$A6))</f>
        <v>0.61</v>
      </c>
      <c r="CK6" s="3">
        <f t="shared" si="17"/>
        <v>-3087</v>
      </c>
      <c r="CL6" s="3"/>
      <c r="CM6" s="3">
        <f t="shared" si="18"/>
        <v>-8556</v>
      </c>
      <c r="CN6" s="3"/>
      <c r="CO6" s="3">
        <f t="shared" si="19"/>
        <v>517549</v>
      </c>
      <c r="CP6" s="3">
        <f t="shared" si="43"/>
        <v>505906</v>
      </c>
      <c r="CQ6" s="3">
        <f t="shared" si="44"/>
        <v>0</v>
      </c>
      <c r="CR6" s="3"/>
      <c r="CS6" s="3">
        <f t="shared" si="20"/>
        <v>11656</v>
      </c>
      <c r="CT6" s="3"/>
      <c r="CU6" s="3">
        <f t="shared" si="21"/>
        <v>24281</v>
      </c>
      <c r="CV6" s="3">
        <f t="shared" si="45"/>
        <v>35937</v>
      </c>
      <c r="CW6" s="3" t="e">
        <f t="shared" ca="1" si="46"/>
        <v>#NUM!</v>
      </c>
      <c r="CX6" s="85" t="e">
        <f t="shared" ref="CX6:CX38" ca="1" si="76">IF(AND(CW6&lt;0,CW5&gt;0), "Cruce -", IF(AND(CW6&gt;0,CW5&lt;0),"Cruce +", ""))</f>
        <v>#NUM!</v>
      </c>
      <c r="CY6" s="3" t="e">
        <f t="shared" ca="1" si="47"/>
        <v>#NUM!</v>
      </c>
      <c r="CZ6" s="85" t="e">
        <f t="shared" ref="CZ6:CZ38" ca="1" si="77">IF(AND(CY6&lt;0,CY5&gt;0), "Cruce -", IF(AND(CY6&gt;0,CY5&lt;0),"Cruce +", ""))</f>
        <v>#NUM!</v>
      </c>
      <c r="DA6" s="3">
        <f>IF(RTD("tos.rtd",,DA$2,"."&amp;$A$2&amp;$AS$1&amp;"C"&amp;$A6)="N/A",0,RTD("tos.rtd",,DA$2,"."&amp;$A$2&amp;$AS$1&amp;"C"&amp;$A6))</f>
        <v>0.01</v>
      </c>
      <c r="DB6" s="3">
        <f>IF(RTD("tos.rtd",,DB$2,"."&amp;$A$2&amp;$AS$1&amp;"P"&amp;$A6)="N/A",0,RTD("tos.rtd",,DB$2,"."&amp;$A$2&amp;$AS$1&amp;"P"&amp;$A6))</f>
        <v>14.4</v>
      </c>
      <c r="DC6" s="3">
        <f>IF(RTD("tos.rtd",,DC$2,"."&amp;$A$2&amp;$AS$1&amp;"C"&amp;$A6)="N/A",0,RTD("tos.rtd",,DC$2,"."&amp;$A$2&amp;$AS$1&amp;"C"&amp;$A6))</f>
        <v>0.01</v>
      </c>
      <c r="DD6" s="3">
        <f>IF(RTD("tos.rtd",,DD$2,"."&amp;$A$2&amp;$AS$1&amp;"P"&amp;$A6)="N/A",0,RTD("tos.rtd",,DD$2,"."&amp;$A$2&amp;$AS$1&amp;"P"&amp;$A6))</f>
        <v>16.02</v>
      </c>
      <c r="DE6" s="3">
        <f>IF(RTD("tos.rtd",,DE$2,"."&amp;$A$2&amp;$AS$1&amp;"C"&amp;$A6)="N/A",0,RTD("tos.rtd",,DE$2,"."&amp;$A$2&amp;$AS$1&amp;"C"&amp;$A6))</f>
        <v>0</v>
      </c>
      <c r="DF6" s="3">
        <f>IF(RTD("tos.rtd",,DF$2,"."&amp;$A$2&amp;$AS$1&amp;"P"&amp;$A6)="N/A",0,RTD("tos.rtd",,DF$2,"."&amp;$A$2&amp;$AS$1&amp;"P"&amp;$A6))</f>
        <v>14.1</v>
      </c>
      <c r="DG6" s="86">
        <f t="shared" si="48"/>
        <v>8.8899999999999864</v>
      </c>
      <c r="DH6" s="3">
        <f t="shared" si="22"/>
        <v>-19571</v>
      </c>
      <c r="DI6" s="3">
        <f t="shared" si="49"/>
        <v>43.281250000000107</v>
      </c>
      <c r="DJ6" s="3">
        <f t="shared" si="50"/>
        <v>-19571</v>
      </c>
      <c r="DK6" s="3">
        <f t="shared" si="51"/>
        <v>-277</v>
      </c>
      <c r="DL6" s="3">
        <f t="shared" si="52"/>
        <v>-19527.71875</v>
      </c>
      <c r="DM6" s="3">
        <f t="shared" si="53"/>
        <v>-19848</v>
      </c>
      <c r="DN6" s="63" t="str">
        <f t="shared" si="54"/>
        <v>UNKNOWN</v>
      </c>
      <c r="DO6" s="63" t="str">
        <f t="shared" si="55"/>
        <v>UNKNOWN</v>
      </c>
      <c r="DP6" s="3">
        <f t="shared" si="56"/>
        <v>427.54000000000156</v>
      </c>
      <c r="DQ6" s="3">
        <f t="shared" si="57"/>
        <v>-4184.51</v>
      </c>
      <c r="DR6" s="3" t="e">
        <f t="shared" ca="1" si="58"/>
        <v>#NUM!</v>
      </c>
      <c r="DS6" s="3">
        <f t="shared" si="59"/>
        <v>-174.51</v>
      </c>
      <c r="DT6" s="3">
        <f t="shared" si="60"/>
        <v>-19571</v>
      </c>
      <c r="DU6" s="3">
        <f t="shared" si="61"/>
        <v>277</v>
      </c>
      <c r="DV6" s="3">
        <f t="shared" si="62"/>
        <v>-428</v>
      </c>
      <c r="DW6" s="3">
        <f t="shared" si="23"/>
        <v>-26</v>
      </c>
      <c r="DX6" s="3" t="e">
        <f t="shared" ca="1" si="24"/>
        <v>#NUM!</v>
      </c>
      <c r="DY6" s="3" t="e">
        <f t="shared" ca="1" si="25"/>
        <v>#NUM!</v>
      </c>
      <c r="DZ6" s="3" t="e">
        <f t="shared" ca="1" si="26"/>
        <v>#NUM!</v>
      </c>
      <c r="EA6" s="3" t="e">
        <f t="shared" ca="1" si="27"/>
        <v>#NUM!</v>
      </c>
      <c r="EB6" s="3" t="e">
        <f t="shared" ca="1" si="28"/>
        <v>#NUM!</v>
      </c>
      <c r="EC6" s="3" t="e">
        <f t="shared" ca="1" si="29"/>
        <v>#NUM!</v>
      </c>
      <c r="ED6" s="63">
        <f t="shared" si="63"/>
        <v>-454</v>
      </c>
      <c r="EE6" s="59">
        <f t="shared" si="64"/>
        <v>0.78639999999999999</v>
      </c>
      <c r="EF6" s="59">
        <f t="shared" si="30"/>
        <v>5.7641</v>
      </c>
      <c r="EG6" s="59">
        <f t="shared" si="31"/>
        <v>0.78639999999999999</v>
      </c>
      <c r="EH6" s="59">
        <f t="shared" si="32"/>
        <v>6.1829999999999998</v>
      </c>
      <c r="EI6" s="59">
        <f t="shared" si="33"/>
        <v>0.154</v>
      </c>
      <c r="EJ6" s="59">
        <f t="shared" si="34"/>
        <v>0.44080000000000003</v>
      </c>
      <c r="EK6" s="63" t="e">
        <f t="shared" ca="1" si="65"/>
        <v>#NUM!</v>
      </c>
      <c r="EL6" s="3" t="str">
        <f>RTD("tos.rtd",,EL$2,"."&amp;$A$2&amp;$AS$1&amp;"C"&amp;$A6)</f>
        <v>78.64%</v>
      </c>
      <c r="EM6" s="3" t="str">
        <f>RTD("tos.rtd",,EM$2,"."&amp;$A$2&amp;$AS$1&amp;"P"&amp;$A6)</f>
        <v>576.41%</v>
      </c>
      <c r="EN6" s="3" t="str">
        <f>RTD("tos.rtd",,EN$2,"."&amp;$A$2&amp;$AU$1&amp;"C"&amp;$A6)</f>
        <v>78.64%</v>
      </c>
      <c r="EO6" s="3" t="str">
        <f>RTD("tos.rtd",,EO$2,"."&amp;$A$2&amp;$AU$1&amp;"P"&amp;$A6)</f>
        <v>618.30%</v>
      </c>
      <c r="EP6" s="3" t="str">
        <f>RTD("tos.rtd",,EP$2,"."&amp;$A$2&amp;$AW$1&amp;"C"&amp;$A6)</f>
        <v>15.40%</v>
      </c>
      <c r="EQ6" s="3" t="str">
        <f>RTD("tos.rtd",,EQ$2,"."&amp;$A$2&amp;$AW$1&amp;"P"&amp;$A6)</f>
        <v>44.08%</v>
      </c>
      <c r="ES6" s="63" t="str">
        <f t="shared" si="66"/>
        <v>580,-454.00</v>
      </c>
      <c r="ET6" s="63" t="str">
        <f t="shared" ca="1" si="67"/>
        <v>580,00.00</v>
      </c>
      <c r="EU6" s="67">
        <v>560.99</v>
      </c>
      <c r="EV6" s="67" t="s">
        <v>67</v>
      </c>
      <c r="EW6" s="67">
        <v>483.2</v>
      </c>
      <c r="EX6" s="67" t="s">
        <v>68</v>
      </c>
      <c r="EY6" s="67">
        <v>5631.28</v>
      </c>
      <c r="EZ6" s="67" t="s">
        <v>69</v>
      </c>
      <c r="FA6" s="67">
        <v>19867.973000000002</v>
      </c>
      <c r="FB6" s="67" t="s">
        <v>70</v>
      </c>
      <c r="FC6" s="67" t="s">
        <v>71</v>
      </c>
      <c r="FD6" s="67" t="s">
        <v>72</v>
      </c>
      <c r="FE6" s="67" t="s">
        <v>73</v>
      </c>
      <c r="FF6" s="67" t="s">
        <v>74</v>
      </c>
    </row>
    <row r="7" spans="1:162" s="63" customFormat="1" ht="13.5" thickBot="1" x14ac:dyDescent="0.25">
      <c r="A7" s="2">
        <f t="shared" si="68"/>
        <v>579</v>
      </c>
      <c r="B7" s="3">
        <f t="shared" si="9"/>
        <v>5159</v>
      </c>
      <c r="C7" s="3">
        <f t="shared" si="10"/>
        <v>12061</v>
      </c>
      <c r="D7" s="3">
        <f t="shared" si="11"/>
        <v>4893</v>
      </c>
      <c r="E7" s="3">
        <f t="shared" si="12"/>
        <v>22113</v>
      </c>
      <c r="F7" s="4">
        <f t="shared" si="13"/>
        <v>5825.889058149919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-1954</v>
      </c>
      <c r="AN7" s="1">
        <v>-27</v>
      </c>
      <c r="AO7" s="1">
        <v>579</v>
      </c>
      <c r="AP7" s="1">
        <v>12913</v>
      </c>
      <c r="AQ7" s="1">
        <v>-86</v>
      </c>
      <c r="AR7" s="1"/>
      <c r="AS7" s="6">
        <f>IF(RTD("tos.rtd",,AS$2,"."&amp;$A$2&amp;$AS$1&amp;"C"&amp;$A7)="N/A",0,RTD("tos.rtd",,AS$2,"."&amp;$A$2&amp;$AS$1&amp;"C"&amp;$A7))</f>
        <v>5159</v>
      </c>
      <c r="AT7" s="7">
        <f>-IF(RTD("tos.rtd",,AT$2,"."&amp;$A$2&amp;$AS$1&amp;"P"&amp;$A7)="N/A",0,RTD("tos.rtd",,AT$2,"."&amp;$A$2&amp;$AS$1&amp;"P"&amp;$A7))</f>
        <v>0</v>
      </c>
      <c r="AU7" s="6">
        <f>IF(RTD("tos.rtd",,AU$2,"."&amp;$A$2&amp;$AU$1&amp;"C"&amp;$A7)="N/A",0,RTD("tos.rtd",,AU$2,"."&amp;$A$2&amp;$AU$1&amp;"C"&amp;$A7))</f>
        <v>12052</v>
      </c>
      <c r="AV7" s="7">
        <f>-IF(RTD("tos.rtd",,AV$2,"."&amp;$A$2&amp;$AU$1&amp;"P"&amp;$A7)="N/A",0,RTD("tos.rtd",,AV$2,"."&amp;$A$2&amp;$AU$1&amp;"P"&amp;$A7))</f>
        <v>-9</v>
      </c>
      <c r="AW7" s="6">
        <f>IF(RTD("tos.rtd",,AW$2,"."&amp;$A$2&amp;$AW$1&amp;"C"&amp;$A7)="N/A",0,RTD("tos.rtd",,AW$2,"."&amp;$A$2&amp;$AW$1&amp;"C"&amp;$A7))</f>
        <v>4881</v>
      </c>
      <c r="AX7" s="7">
        <f>-IF(RTD("tos.rtd",,AX$2,"."&amp;$A$2&amp;$AW$1&amp;"P"&amp;$A7)="N/A",0,RTD("tos.rtd",,AX$2,"."&amp;$A$2&amp;$AW$1&amp;"P"&amp;$A7))</f>
        <v>-12</v>
      </c>
      <c r="AY7" s="1">
        <f t="shared" si="69"/>
        <v>22071</v>
      </c>
      <c r="AZ7" s="8">
        <f t="shared" si="35"/>
        <v>579</v>
      </c>
      <c r="BA7" s="6">
        <f>IF(RTD("tos.rtd",,BA$2,"."&amp;$A$2&amp;$AS$1&amp;"C"&amp;$A7)="N/A",0,RTD("tos.rtd",,BA$2,"."&amp;$A$2&amp;$AS$1&amp;"C"&amp;$A7))</f>
        <v>0</v>
      </c>
      <c r="BB7" s="7">
        <f>-IF(RTD("tos.rtd",,BB$2,"."&amp;$A$2&amp;$AS$1&amp;"P"&amp;$A7)="N/A",0,RTD("tos.rtd",,BB$2,"."&amp;$A$2&amp;$AS$1&amp;"P"&amp;$A7))</f>
        <v>0</v>
      </c>
      <c r="BC7" s="6">
        <f>IF(RTD("tos.rtd",,BC$2,"."&amp;$A$2&amp;$AU$1&amp;"C"&amp;$A7)="N/A",0,RTD("tos.rtd",,BC$2,"."&amp;$A$2&amp;$AU$1&amp;"C"&amp;$A7))</f>
        <v>7161</v>
      </c>
      <c r="BD7" s="7">
        <f>-IF(RTD("tos.rtd",,BD$2,"."&amp;$A$2&amp;$AU$1&amp;"P"&amp;$A7)="N/A",0,RTD("tos.rtd",,BD$2,"."&amp;$A$2&amp;$AU$1&amp;"P"&amp;$A7))</f>
        <v>-54</v>
      </c>
      <c r="BE7" s="6">
        <f>IF(RTD("tos.rtd",,BE$2,"."&amp;$A$2&amp;$AW$1&amp;"C"&amp;$A7)="N/A",0,RTD("tos.rtd",,BE$2,"."&amp;$A$2&amp;$AW$1&amp;"C"&amp;$A7))</f>
        <v>2367</v>
      </c>
      <c r="BF7" s="83">
        <f>-IF(RTD("tos.rtd",,BF$2,"."&amp;$A$2&amp;$AW$1&amp;"P"&amp;$A7)="N/A",0,RTD("tos.rtd",,BF$2,"."&amp;$A$2&amp;$AW$1&amp;"P"&amp;$A7))</f>
        <v>-25</v>
      </c>
      <c r="BG7" s="32">
        <f ca="1">+Hoja2!Y8</f>
        <v>1040</v>
      </c>
      <c r="BH7" s="7">
        <f t="shared" ca="1" si="36"/>
        <v>10489</v>
      </c>
      <c r="BI7" s="8" t="str">
        <f t="shared" ref="BI7" ca="1" si="78">IF(AND(BH7&lt;0,BH6&gt;0), "Cruce -", IF(AND(BH7&gt;0,BH6&lt;0),"Cruce +", ""))</f>
        <v/>
      </c>
      <c r="BJ7" s="3" t="e">
        <f ca="1">IF($BP$1=1,DX7,IF(RTD("tos.rtd",,BJ$2,"."&amp;$A$2&amp;$AS$1&amp;"C"&amp;$A7)="N/A",0,RTD("tos.rtd",,BJ$2,"."&amp;$A$2&amp;$AS$1&amp;"C"&amp;$A7)))</f>
        <v>#NUM!</v>
      </c>
      <c r="BK7" s="3" t="e">
        <f ca="1">IF($BP$1=1,DY7,-IF(RTD("tos.rtd",,BK$2,"."&amp;$A$2&amp;$AS$1&amp;"P"&amp;$A7)="N/A",0,RTD("tos.rtd",,BK$2,"."&amp;$A$2&amp;$AS$1&amp;"P"&amp;$A7)))</f>
        <v>#NUM!</v>
      </c>
      <c r="BL7" s="3" t="e">
        <f ca="1">IF($BP$1=1,DZ7,IF(RTD("tos.rtd",,BL$2,"."&amp;$A$2&amp;$AU$1&amp;"C"&amp;$A7)="N/A",0,RTD("tos.rtd",,BL$2,"."&amp;$A$2&amp;$AU$1&amp;"C"&amp;$A7)))</f>
        <v>#NUM!</v>
      </c>
      <c r="BM7" s="3" t="e">
        <f ca="1">IF($BP$1=1,EA7,-IF(RTD("tos.rtd",,BM$2,"."&amp;$A$2&amp;$AU$1&amp;"P"&amp;$A7)="N/A",0,RTD("tos.rtd",,BM$2,"."&amp;$A$2&amp;$AU$1&amp;"P"&amp;$A7)))</f>
        <v>#NUM!</v>
      </c>
      <c r="BN7" s="3" t="e">
        <f ca="1">IF($BP$1=1,EB7,IF(RTD("tos.rtd",,BN$2,"."&amp;$A$2&amp;$AW$1&amp;"C"&amp;$A7)="N/A",0,RTD("tos.rtd",,BN$2,"."&amp;$A$2&amp;$AW$1&amp;"C"&amp;$A7)))</f>
        <v>#NUM!</v>
      </c>
      <c r="BO7" s="3" t="e">
        <f ca="1">IF($BP$1=1,EC7,-IF(RTD("tos.rtd",,BO$2,"."&amp;$A$2&amp;$AW$1&amp;"P"&amp;$A7)="N/A",0,RTD("tos.rtd",,BO$2,"."&amp;$A$2&amp;$AW$1&amp;"P"&amp;$A7)))</f>
        <v>#NUM!</v>
      </c>
      <c r="BQ7" s="3" t="e">
        <f t="shared" ca="1" si="37"/>
        <v>#NUM!</v>
      </c>
      <c r="BR7" s="3" t="e">
        <f t="shared" ca="1" si="71"/>
        <v>#NUM!</v>
      </c>
      <c r="BS7" s="3" t="e">
        <f t="shared" ca="1" si="38"/>
        <v>#NUM!</v>
      </c>
      <c r="BT7" s="3" t="e">
        <f t="shared" ca="1" si="71"/>
        <v>#NUM!</v>
      </c>
      <c r="BU7" s="3" t="e">
        <f t="shared" ca="1" si="39"/>
        <v>#NUM!</v>
      </c>
      <c r="BV7" s="3" t="e">
        <f t="shared" ref="BV7" ca="1" si="79">IF(AND(BU7&lt;0,BU6&gt;0), "Cruce -", IF(AND(BU7&gt;0,BU6&lt;0),"Cruce +", ""))</f>
        <v>#NUM!</v>
      </c>
      <c r="BX7" s="3" t="e">
        <f t="shared" ca="1" si="40"/>
        <v>#NUM!</v>
      </c>
      <c r="BY7" s="3" t="e">
        <f t="shared" ca="1" si="73"/>
        <v>#NUM!</v>
      </c>
      <c r="BZ7" s="3" t="e">
        <f t="shared" ca="1" si="41"/>
        <v>#NUM!</v>
      </c>
      <c r="CA7" s="3" t="e">
        <f t="shared" ca="1" si="74"/>
        <v>#NUM!</v>
      </c>
      <c r="CB7" s="3" t="e">
        <f t="shared" ca="1" si="42"/>
        <v>#NUM!</v>
      </c>
      <c r="CC7" s="3" t="e">
        <f t="shared" ca="1" si="75"/>
        <v>#NUM!</v>
      </c>
      <c r="CD7" s="3">
        <f>IF(RTD("tos.rtd",,CD$2,"."&amp;$A$2&amp;$AS$1&amp;"C"&amp;$A7)="N/A",0,RTD("tos.rtd",,CD$2,"."&amp;$A$2&amp;$AS$1&amp;"C"&amp;$A7))</f>
        <v>0.01</v>
      </c>
      <c r="CE7" s="3">
        <f>-IF(RTD("tos.rtd",,CE$2,"."&amp;$A$2&amp;$AS$1&amp;"P"&amp;$A7)="N/A",0,RTD("tos.rtd",,CE$2,"."&amp;$A$2&amp;$AS$1&amp;"P"&amp;$A7))</f>
        <v>0.62</v>
      </c>
      <c r="CF7" s="3">
        <f>IF(RTD("tos.rtd",,CF$2,"."&amp;$A$2&amp;$AU$1&amp;"C"&amp;$A7)="N/A",0,RTD("tos.rtd",,CF$2,"."&amp;$A$2&amp;$AU$1&amp;"C"&amp;$A7))</f>
        <v>0.01</v>
      </c>
      <c r="CG7" s="3">
        <f>-IF(RTD("tos.rtd",,CG$2,"."&amp;$A$2&amp;$AU$1&amp;"P"&amp;$A7)="N/A",0,RTD("tos.rtd",,CG$2,"."&amp;$A$2&amp;$AU$1&amp;"P"&amp;$A7))</f>
        <v>0.61</v>
      </c>
      <c r="CH7" s="3">
        <f>IF(RTD("tos.rtd",,CH$2,"."&amp;$A$2&amp;$AW$1&amp;"C"&amp;$A7)="N/A",0,RTD("tos.rtd",,CH$2,"."&amp;$A$2&amp;$AW$1&amp;"C"&amp;$A7))</f>
        <v>0.23</v>
      </c>
      <c r="CI7" s="3">
        <f>-IF(RTD("tos.rtd",,CI$2,"."&amp;$A$2&amp;$AW$1&amp;"P"&amp;$A7)="N/A",0,RTD("tos.rtd",,CI$2,"."&amp;$A$2&amp;$AW$1&amp;"P"&amp;$A7))</f>
        <v>0.6</v>
      </c>
      <c r="CK7" s="3">
        <f t="shared" si="17"/>
        <v>5159</v>
      </c>
      <c r="CL7" s="3"/>
      <c r="CM7" s="3">
        <f t="shared" si="18"/>
        <v>11503</v>
      </c>
      <c r="CN7" s="3"/>
      <c r="CO7" s="3">
        <f t="shared" si="19"/>
        <v>111543.00000000001</v>
      </c>
      <c r="CP7" s="3">
        <f t="shared" si="43"/>
        <v>128205.00000000001</v>
      </c>
      <c r="CQ7" s="3">
        <f t="shared" si="44"/>
        <v>0</v>
      </c>
      <c r="CR7" s="3"/>
      <c r="CS7" s="3">
        <f t="shared" si="20"/>
        <v>7107</v>
      </c>
      <c r="CT7" s="3"/>
      <c r="CU7" s="3">
        <f t="shared" si="21"/>
        <v>2342</v>
      </c>
      <c r="CV7" s="3">
        <f t="shared" si="45"/>
        <v>9449</v>
      </c>
      <c r="CW7" s="3" t="e">
        <f t="shared" ca="1" si="46"/>
        <v>#NUM!</v>
      </c>
      <c r="CX7" s="85" t="e">
        <f t="shared" ca="1" si="76"/>
        <v>#NUM!</v>
      </c>
      <c r="CY7" s="3" t="e">
        <f t="shared" ca="1" si="47"/>
        <v>#NUM!</v>
      </c>
      <c r="CZ7" s="85" t="e">
        <f t="shared" ca="1" si="77"/>
        <v>#NUM!</v>
      </c>
      <c r="DA7" s="3">
        <f>IF(RTD("tos.rtd",,DA$2,"."&amp;$A$2&amp;$AS$1&amp;"C"&amp;$A7)="N/A",0,RTD("tos.rtd",,DA$2,"."&amp;$A$2&amp;$AS$1&amp;"C"&amp;$A7))</f>
        <v>0.01</v>
      </c>
      <c r="DB7" s="3">
        <f>IF(RTD("tos.rtd",,DB$2,"."&amp;$A$2&amp;$AS$1&amp;"P"&amp;$A7)="N/A",0,RTD("tos.rtd",,DB$2,"."&amp;$A$2&amp;$AS$1&amp;"P"&amp;$A7))</f>
        <v>10.79</v>
      </c>
      <c r="DC7" s="3">
        <f>IF(RTD("tos.rtd",,DC$2,"."&amp;$A$2&amp;$AS$1&amp;"C"&amp;$A7)="N/A",0,RTD("tos.rtd",,DC$2,"."&amp;$A$2&amp;$AS$1&amp;"C"&amp;$A7))</f>
        <v>0.01</v>
      </c>
      <c r="DD7" s="3">
        <f>IF(RTD("tos.rtd",,DD$2,"."&amp;$A$2&amp;$AS$1&amp;"P"&amp;$A7)="N/A",0,RTD("tos.rtd",,DD$2,"."&amp;$A$2&amp;$AS$1&amp;"P"&amp;$A7))</f>
        <v>15.09</v>
      </c>
      <c r="DE7" s="3">
        <f>IF(RTD("tos.rtd",,DE$2,"."&amp;$A$2&amp;$AS$1&amp;"C"&amp;$A7)="N/A",0,RTD("tos.rtd",,DE$2,"."&amp;$A$2&amp;$AS$1&amp;"C"&amp;$A7))</f>
        <v>0</v>
      </c>
      <c r="DF7" s="3">
        <f>IF(RTD("tos.rtd",,DF$2,"."&amp;$A$2&amp;$AS$1&amp;"P"&amp;$A7)="N/A",0,RTD("tos.rtd",,DF$2,"."&amp;$A$2&amp;$AS$1&amp;"P"&amp;$A7))</f>
        <v>13.07</v>
      </c>
      <c r="DG7" s="86">
        <f t="shared" si="48"/>
        <v>7.8899999999999864</v>
      </c>
      <c r="DH7" s="3">
        <f t="shared" si="22"/>
        <v>-12913</v>
      </c>
      <c r="DI7" s="3">
        <f t="shared" si="49"/>
        <v>-97.069306930693131</v>
      </c>
      <c r="DJ7" s="3">
        <f t="shared" si="50"/>
        <v>-12913</v>
      </c>
      <c r="DK7" s="3">
        <f t="shared" si="51"/>
        <v>-86</v>
      </c>
      <c r="DL7" s="3">
        <f t="shared" si="52"/>
        <v>-13010.069306930693</v>
      </c>
      <c r="DM7" s="3">
        <f t="shared" si="53"/>
        <v>-12999</v>
      </c>
      <c r="DN7" s="63" t="str">
        <f t="shared" si="54"/>
        <v>UNKNOWN</v>
      </c>
      <c r="DO7" s="63" t="str">
        <f t="shared" si="55"/>
        <v>UNKNOWN</v>
      </c>
      <c r="DP7" s="3">
        <f t="shared" si="56"/>
        <v>-1176.5078217821788</v>
      </c>
      <c r="DQ7" s="3">
        <f t="shared" si="57"/>
        <v>-1057.07</v>
      </c>
      <c r="DR7" s="3" t="e">
        <f t="shared" ca="1" si="58"/>
        <v>#NUM!</v>
      </c>
      <c r="DS7" s="3">
        <f t="shared" si="59"/>
        <v>-182.45</v>
      </c>
      <c r="DT7" s="3">
        <f t="shared" si="60"/>
        <v>-12913</v>
      </c>
      <c r="DU7" s="3">
        <f t="shared" si="61"/>
        <v>86</v>
      </c>
      <c r="DV7" s="3">
        <f t="shared" si="62"/>
        <v>-1954</v>
      </c>
      <c r="DW7" s="3">
        <f t="shared" si="23"/>
        <v>-27</v>
      </c>
      <c r="DX7" s="3" t="e">
        <f t="shared" ca="1" si="24"/>
        <v>#NUM!</v>
      </c>
      <c r="DY7" s="3" t="e">
        <f t="shared" ca="1" si="25"/>
        <v>#NUM!</v>
      </c>
      <c r="DZ7" s="3" t="e">
        <f t="shared" ca="1" si="26"/>
        <v>#NUM!</v>
      </c>
      <c r="EA7" s="3" t="e">
        <f t="shared" ca="1" si="27"/>
        <v>#NUM!</v>
      </c>
      <c r="EB7" s="3" t="e">
        <f t="shared" ca="1" si="28"/>
        <v>#NUM!</v>
      </c>
      <c r="EC7" s="3" t="e">
        <f t="shared" ca="1" si="29"/>
        <v>#NUM!</v>
      </c>
      <c r="ED7" s="63">
        <f t="shared" si="63"/>
        <v>-1981</v>
      </c>
      <c r="EE7" s="59">
        <f t="shared" si="64"/>
        <v>0.7077</v>
      </c>
      <c r="EF7" s="59">
        <f t="shared" si="30"/>
        <v>5.5568</v>
      </c>
      <c r="EG7" s="59">
        <f t="shared" si="31"/>
        <v>0.7077</v>
      </c>
      <c r="EH7" s="59">
        <f t="shared" si="32"/>
        <v>5.9603999999999999</v>
      </c>
      <c r="EI7" s="59">
        <f t="shared" si="33"/>
        <v>0.1525</v>
      </c>
      <c r="EJ7" s="59">
        <f t="shared" si="34"/>
        <v>0.43190000000000001</v>
      </c>
      <c r="EK7" s="63" t="e">
        <f t="shared" ca="1" si="65"/>
        <v>#NUM!</v>
      </c>
      <c r="EL7" s="3" t="str">
        <f>RTD("tos.rtd",,EL$2,"."&amp;$A$2&amp;$AS$1&amp;"C"&amp;$A7)</f>
        <v>70.77%</v>
      </c>
      <c r="EM7" s="3" t="str">
        <f>RTD("tos.rtd",,EM$2,"."&amp;$A$2&amp;$AS$1&amp;"P"&amp;$A7)</f>
        <v>555.68%</v>
      </c>
      <c r="EN7" s="3" t="str">
        <f>RTD("tos.rtd",,EN$2,"."&amp;$A$2&amp;$AU$1&amp;"C"&amp;$A7)</f>
        <v>70.77%</v>
      </c>
      <c r="EO7" s="3" t="str">
        <f>RTD("tos.rtd",,EO$2,"."&amp;$A$2&amp;$AU$1&amp;"P"&amp;$A7)</f>
        <v>596.04%</v>
      </c>
      <c r="EP7" s="3" t="str">
        <f>RTD("tos.rtd",,EP$2,"."&amp;$A$2&amp;$AW$1&amp;"C"&amp;$A7)</f>
        <v>15.25%</v>
      </c>
      <c r="EQ7" s="3" t="str">
        <f>RTD("tos.rtd",,EQ$2,"."&amp;$A$2&amp;$AW$1&amp;"P"&amp;$A7)</f>
        <v>43.19%</v>
      </c>
      <c r="ES7" s="63" t="str">
        <f t="shared" si="66"/>
        <v>579,-1981.00</v>
      </c>
      <c r="ET7" s="63" t="str">
        <f t="shared" ca="1" si="67"/>
        <v>579,00.00</v>
      </c>
      <c r="EU7" s="67">
        <v>560.99</v>
      </c>
      <c r="EV7" s="67" t="s">
        <v>75</v>
      </c>
      <c r="EW7" s="67">
        <v>483.22</v>
      </c>
      <c r="EX7" s="67" t="s">
        <v>76</v>
      </c>
      <c r="EY7" s="67">
        <v>5631.28</v>
      </c>
      <c r="EZ7" s="67" t="s">
        <v>77</v>
      </c>
      <c r="FA7" s="67">
        <v>19867.973000000002</v>
      </c>
      <c r="FB7" s="67" t="s">
        <v>78</v>
      </c>
      <c r="FC7" s="67" t="s">
        <v>79</v>
      </c>
      <c r="FD7" s="67" t="s">
        <v>80</v>
      </c>
      <c r="FE7" s="67" t="s">
        <v>81</v>
      </c>
      <c r="FF7" s="67" t="s">
        <v>82</v>
      </c>
    </row>
    <row r="8" spans="1:162" s="63" customFormat="1" ht="13.5" thickBot="1" x14ac:dyDescent="0.25">
      <c r="A8" s="2">
        <f t="shared" si="68"/>
        <v>578</v>
      </c>
      <c r="B8" s="3">
        <f t="shared" si="9"/>
        <v>2571</v>
      </c>
      <c r="C8" s="3">
        <f t="shared" si="10"/>
        <v>4808</v>
      </c>
      <c r="D8" s="3">
        <f t="shared" si="11"/>
        <v>10669</v>
      </c>
      <c r="E8" s="3">
        <f t="shared" si="12"/>
        <v>18048</v>
      </c>
      <c r="F8" s="4">
        <f t="shared" si="13"/>
        <v>5815.8270735935284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v>-5094</v>
      </c>
      <c r="AN8" s="1">
        <v>-56</v>
      </c>
      <c r="AO8" s="1">
        <v>578</v>
      </c>
      <c r="AP8" s="1">
        <v>14209</v>
      </c>
      <c r="AQ8" s="1">
        <v>-210</v>
      </c>
      <c r="AR8" s="1"/>
      <c r="AS8" s="6">
        <f>IF(RTD("tos.rtd",,AS$2,"."&amp;$A$2&amp;$AS$1&amp;"C"&amp;$A8)="N/A",0,RTD("tos.rtd",,AS$2,"."&amp;$A$2&amp;$AS$1&amp;"C"&amp;$A8))</f>
        <v>2560</v>
      </c>
      <c r="AT8" s="7">
        <f>-IF(RTD("tos.rtd",,AT$2,"."&amp;$A$2&amp;$AS$1&amp;"P"&amp;$A8)="N/A",0,RTD("tos.rtd",,AT$2,"."&amp;$A$2&amp;$AS$1&amp;"P"&amp;$A8))</f>
        <v>-11</v>
      </c>
      <c r="AU8" s="6">
        <f>IF(RTD("tos.rtd",,AU$2,"."&amp;$A$2&amp;$AU$1&amp;"C"&amp;$A8)="N/A",0,RTD("tos.rtd",,AU$2,"."&amp;$A$2&amp;$AU$1&amp;"C"&amp;$A8))</f>
        <v>4793</v>
      </c>
      <c r="AV8" s="7">
        <f>-IF(RTD("tos.rtd",,AV$2,"."&amp;$A$2&amp;$AU$1&amp;"P"&amp;$A8)="N/A",0,RTD("tos.rtd",,AV$2,"."&amp;$A$2&amp;$AU$1&amp;"P"&amp;$A8))</f>
        <v>-15</v>
      </c>
      <c r="AW8" s="6">
        <f>IF(RTD("tos.rtd",,AW$2,"."&amp;$A$2&amp;$AW$1&amp;"C"&amp;$A8)="N/A",0,RTD("tos.rtd",,AW$2,"."&amp;$A$2&amp;$AW$1&amp;"C"&amp;$A8))</f>
        <v>10374</v>
      </c>
      <c r="AX8" s="7">
        <f>-IF(RTD("tos.rtd",,AX$2,"."&amp;$A$2&amp;$AW$1&amp;"P"&amp;$A8)="N/A",0,RTD("tos.rtd",,AX$2,"."&amp;$A$2&amp;$AW$1&amp;"P"&amp;$A8))</f>
        <v>-295</v>
      </c>
      <c r="AY8" s="1">
        <f t="shared" si="69"/>
        <v>17406</v>
      </c>
      <c r="AZ8" s="8">
        <f t="shared" si="35"/>
        <v>578</v>
      </c>
      <c r="BA8" s="6">
        <f>IF(RTD("tos.rtd",,BA$2,"."&amp;$A$2&amp;$AS$1&amp;"C"&amp;$A8)="N/A",0,RTD("tos.rtd",,BA$2,"."&amp;$A$2&amp;$AS$1&amp;"C"&amp;$A8))</f>
        <v>0</v>
      </c>
      <c r="BB8" s="7">
        <f>-IF(RTD("tos.rtd",,BB$2,"."&amp;$A$2&amp;$AS$1&amp;"P"&amp;$A8)="N/A",0,RTD("tos.rtd",,BB$2,"."&amp;$A$2&amp;$AS$1&amp;"P"&amp;$A8))</f>
        <v>0</v>
      </c>
      <c r="BC8" s="6">
        <f>IF(RTD("tos.rtd",,BC$2,"."&amp;$A$2&amp;$AU$1&amp;"C"&amp;$A8)="N/A",0,RTD("tos.rtd",,BC$2,"."&amp;$A$2&amp;$AU$1&amp;"C"&amp;$A8))</f>
        <v>6252</v>
      </c>
      <c r="BD8" s="7">
        <f>-IF(RTD("tos.rtd",,BD$2,"."&amp;$A$2&amp;$AU$1&amp;"P"&amp;$A8)="N/A",0,RTD("tos.rtd",,BD$2,"."&amp;$A$2&amp;$AU$1&amp;"P"&amp;$A8))</f>
        <v>-37</v>
      </c>
      <c r="BE8" s="6">
        <f>IF(RTD("tos.rtd",,BE$2,"."&amp;$A$2&amp;$AW$1&amp;"C"&amp;$A8)="N/A",0,RTD("tos.rtd",,BE$2,"."&amp;$A$2&amp;$AW$1&amp;"C"&amp;$A8))</f>
        <v>4148</v>
      </c>
      <c r="BF8" s="83">
        <f>-IF(RTD("tos.rtd",,BF$2,"."&amp;$A$2&amp;$AW$1&amp;"P"&amp;$A8)="N/A",0,RTD("tos.rtd",,BF$2,"."&amp;$A$2&amp;$AW$1&amp;"P"&amp;$A8))</f>
        <v>-29</v>
      </c>
      <c r="BG8" s="32">
        <f ca="1">+Hoja2!Y9</f>
        <v>1371</v>
      </c>
      <c r="BH8" s="7">
        <f t="shared" ca="1" si="36"/>
        <v>11705</v>
      </c>
      <c r="BI8" s="8" t="str">
        <f t="shared" ref="BI8" ca="1" si="80">IF(AND(BH8&lt;0,BH7&gt;0), "Cruce -", IF(AND(BH8&gt;0,BH7&lt;0),"Cruce +", ""))</f>
        <v/>
      </c>
      <c r="BJ8" s="3" t="e">
        <f ca="1">IF($BP$1=1,DX8,IF(RTD("tos.rtd",,BJ$2,"."&amp;$A$2&amp;$AS$1&amp;"C"&amp;$A8)="N/A",0,RTD("tos.rtd",,BJ$2,"."&amp;$A$2&amp;$AS$1&amp;"C"&amp;$A8)))</f>
        <v>#NUM!</v>
      </c>
      <c r="BK8" s="3" t="e">
        <f ca="1">IF($BP$1=1,DY8,-IF(RTD("tos.rtd",,BK$2,"."&amp;$A$2&amp;$AS$1&amp;"P"&amp;$A8)="N/A",0,RTD("tos.rtd",,BK$2,"."&amp;$A$2&amp;$AS$1&amp;"P"&amp;$A8)))</f>
        <v>#NUM!</v>
      </c>
      <c r="BL8" s="3" t="e">
        <f ca="1">IF($BP$1=1,DZ8,IF(RTD("tos.rtd",,BL$2,"."&amp;$A$2&amp;$AU$1&amp;"C"&amp;$A8)="N/A",0,RTD("tos.rtd",,BL$2,"."&amp;$A$2&amp;$AU$1&amp;"C"&amp;$A8)))</f>
        <v>#NUM!</v>
      </c>
      <c r="BM8" s="3" t="e">
        <f ca="1">IF($BP$1=1,EA8,-IF(RTD("tos.rtd",,BM$2,"."&amp;$A$2&amp;$AU$1&amp;"P"&amp;$A8)="N/A",0,RTD("tos.rtd",,BM$2,"."&amp;$A$2&amp;$AU$1&amp;"P"&amp;$A8)))</f>
        <v>#NUM!</v>
      </c>
      <c r="BN8" s="3" t="e">
        <f ca="1">IF($BP$1=1,EB8,IF(RTD("tos.rtd",,BN$2,"."&amp;$A$2&amp;$AW$1&amp;"C"&amp;$A8)="N/A",0,RTD("tos.rtd",,BN$2,"."&amp;$A$2&amp;$AW$1&amp;"C"&amp;$A8)))</f>
        <v>#NUM!</v>
      </c>
      <c r="BO8" s="3" t="e">
        <f ca="1">IF($BP$1=1,EC8,-IF(RTD("tos.rtd",,BO$2,"."&amp;$A$2&amp;$AW$1&amp;"P"&amp;$A8)="N/A",0,RTD("tos.rtd",,BO$2,"."&amp;$A$2&amp;$AW$1&amp;"P"&amp;$A8)))</f>
        <v>#NUM!</v>
      </c>
      <c r="BQ8" s="3" t="e">
        <f t="shared" ca="1" si="37"/>
        <v>#NUM!</v>
      </c>
      <c r="BR8" s="3" t="e">
        <f t="shared" ca="1" si="71"/>
        <v>#NUM!</v>
      </c>
      <c r="BS8" s="3" t="e">
        <f t="shared" ca="1" si="38"/>
        <v>#NUM!</v>
      </c>
      <c r="BT8" s="3" t="e">
        <f t="shared" ca="1" si="71"/>
        <v>#NUM!</v>
      </c>
      <c r="BU8" s="3" t="e">
        <f t="shared" ca="1" si="39"/>
        <v>#NUM!</v>
      </c>
      <c r="BV8" s="3" t="e">
        <f t="shared" ref="BV8" ca="1" si="81">IF(AND(BU8&lt;0,BU7&gt;0), "Cruce -", IF(AND(BU8&gt;0,BU7&lt;0),"Cruce +", ""))</f>
        <v>#NUM!</v>
      </c>
      <c r="BX8" s="3" t="e">
        <f t="shared" ca="1" si="40"/>
        <v>#NUM!</v>
      </c>
      <c r="BY8" s="3" t="e">
        <f t="shared" ca="1" si="73"/>
        <v>#NUM!</v>
      </c>
      <c r="BZ8" s="3" t="e">
        <f t="shared" ca="1" si="41"/>
        <v>#NUM!</v>
      </c>
      <c r="CA8" s="3" t="e">
        <f t="shared" ca="1" si="74"/>
        <v>#NUM!</v>
      </c>
      <c r="CB8" s="3" t="e">
        <f t="shared" ca="1" si="42"/>
        <v>#NUM!</v>
      </c>
      <c r="CC8" s="3" t="e">
        <f t="shared" ca="1" si="75"/>
        <v>#NUM!</v>
      </c>
      <c r="CD8" s="3">
        <f>IF(RTD("tos.rtd",,CD$2,"."&amp;$A$2&amp;$AS$1&amp;"C"&amp;$A8)="N/A",0,RTD("tos.rtd",,CD$2,"."&amp;$A$2&amp;$AS$1&amp;"C"&amp;$A8))</f>
        <v>0.01</v>
      </c>
      <c r="CE8" s="3">
        <f>-IF(RTD("tos.rtd",,CE$2,"."&amp;$A$2&amp;$AS$1&amp;"P"&amp;$A8)="N/A",0,RTD("tos.rtd",,CE$2,"."&amp;$A$2&amp;$AS$1&amp;"P"&amp;$A8))</f>
        <v>0.61</v>
      </c>
      <c r="CF8" s="3">
        <f>IF(RTD("tos.rtd",,CF$2,"."&amp;$A$2&amp;$AU$1&amp;"C"&amp;$A8)="N/A",0,RTD("tos.rtd",,CF$2,"."&amp;$A$2&amp;$AU$1&amp;"C"&amp;$A8))</f>
        <v>0.01</v>
      </c>
      <c r="CG8" s="3">
        <f>-IF(RTD("tos.rtd",,CG$2,"."&amp;$A$2&amp;$AU$1&amp;"P"&amp;$A8)="N/A",0,RTD("tos.rtd",,CG$2,"."&amp;$A$2&amp;$AU$1&amp;"P"&amp;$A8))</f>
        <v>0.6</v>
      </c>
      <c r="CH8" s="3">
        <f>IF(RTD("tos.rtd",,CH$2,"."&amp;$A$2&amp;$AW$1&amp;"C"&amp;$A8)="N/A",0,RTD("tos.rtd",,CH$2,"."&amp;$A$2&amp;$AW$1&amp;"C"&amp;$A8))</f>
        <v>0.25</v>
      </c>
      <c r="CI8" s="3">
        <f>-IF(RTD("tos.rtd",,CI$2,"."&amp;$A$2&amp;$AW$1&amp;"P"&amp;$A8)="N/A",0,RTD("tos.rtd",,CI$2,"."&amp;$A$2&amp;$AW$1&amp;"P"&amp;$A8))</f>
        <v>0.57999999999999996</v>
      </c>
      <c r="CK8" s="3">
        <f t="shared" si="17"/>
        <v>1889</v>
      </c>
      <c r="CL8" s="3"/>
      <c r="CM8" s="3">
        <f t="shared" si="18"/>
        <v>3893</v>
      </c>
      <c r="CN8" s="3"/>
      <c r="CO8" s="3">
        <f t="shared" si="19"/>
        <v>242240</v>
      </c>
      <c r="CP8" s="3">
        <f t="shared" si="43"/>
        <v>248022</v>
      </c>
      <c r="CQ8" s="3">
        <f t="shared" si="44"/>
        <v>0</v>
      </c>
      <c r="CR8" s="3"/>
      <c r="CS8" s="3">
        <f t="shared" si="20"/>
        <v>6215</v>
      </c>
      <c r="CT8" s="3"/>
      <c r="CU8" s="3">
        <f t="shared" si="21"/>
        <v>4119</v>
      </c>
      <c r="CV8" s="3">
        <f t="shared" si="45"/>
        <v>10334</v>
      </c>
      <c r="CW8" s="3" t="e">
        <f t="shared" ca="1" si="46"/>
        <v>#NUM!</v>
      </c>
      <c r="CX8" s="85" t="e">
        <f t="shared" ca="1" si="76"/>
        <v>#NUM!</v>
      </c>
      <c r="CY8" s="3" t="e">
        <f t="shared" ca="1" si="47"/>
        <v>#NUM!</v>
      </c>
      <c r="CZ8" s="85" t="e">
        <f t="shared" ca="1" si="77"/>
        <v>#NUM!</v>
      </c>
      <c r="DA8" s="3">
        <f>IF(RTD("tos.rtd",,DA$2,"."&amp;$A$2&amp;$AS$1&amp;"C"&amp;$A8)="N/A",0,RTD("tos.rtd",,DA$2,"."&amp;$A$2&amp;$AS$1&amp;"C"&amp;$A8))</f>
        <v>0.01</v>
      </c>
      <c r="DB8" s="3">
        <f>IF(RTD("tos.rtd",,DB$2,"."&amp;$A$2&amp;$AS$1&amp;"P"&amp;$A8)="N/A",0,RTD("tos.rtd",,DB$2,"."&amp;$A$2&amp;$AS$1&amp;"P"&amp;$A8))</f>
        <v>8.99</v>
      </c>
      <c r="DC8" s="3">
        <f>IF(RTD("tos.rtd",,DC$2,"."&amp;$A$2&amp;$AS$1&amp;"C"&amp;$A8)="N/A",0,RTD("tos.rtd",,DC$2,"."&amp;$A$2&amp;$AS$1&amp;"C"&amp;$A8))</f>
        <v>0.01</v>
      </c>
      <c r="DD8" s="3">
        <f>IF(RTD("tos.rtd",,DD$2,"."&amp;$A$2&amp;$AS$1&amp;"P"&amp;$A8)="N/A",0,RTD("tos.rtd",,DD$2,"."&amp;$A$2&amp;$AS$1&amp;"P"&amp;$A8))</f>
        <v>14.02</v>
      </c>
      <c r="DE8" s="3">
        <f>IF(RTD("tos.rtd",,DE$2,"."&amp;$A$2&amp;$AS$1&amp;"C"&amp;$A8)="N/A",0,RTD("tos.rtd",,DE$2,"."&amp;$A$2&amp;$AS$1&amp;"C"&amp;$A8))</f>
        <v>0</v>
      </c>
      <c r="DF8" s="3">
        <f>IF(RTD("tos.rtd",,DF$2,"."&amp;$A$2&amp;$AS$1&amp;"P"&amp;$A8)="N/A",0,RTD("tos.rtd",,DF$2,"."&amp;$A$2&amp;$AS$1&amp;"P"&amp;$A8))</f>
        <v>11.96</v>
      </c>
      <c r="DG8" s="86">
        <f t="shared" si="48"/>
        <v>6.8899999999999864</v>
      </c>
      <c r="DH8" s="3">
        <f t="shared" si="22"/>
        <v>-14209</v>
      </c>
      <c r="DI8" s="3">
        <f t="shared" si="49"/>
        <v>-302.7669902912624</v>
      </c>
      <c r="DJ8" s="3">
        <f t="shared" si="50"/>
        <v>-14209</v>
      </c>
      <c r="DK8" s="3">
        <f t="shared" si="51"/>
        <v>-210</v>
      </c>
      <c r="DL8" s="3">
        <f t="shared" si="52"/>
        <v>-14511.766990291262</v>
      </c>
      <c r="DM8" s="3">
        <f t="shared" si="53"/>
        <v>-14419</v>
      </c>
      <c r="DN8" s="63" t="str">
        <f t="shared" si="54"/>
        <v>UNKNOWN</v>
      </c>
      <c r="DO8" s="63" t="str">
        <f t="shared" si="55"/>
        <v>UNKNOWN</v>
      </c>
      <c r="DP8" s="3">
        <f t="shared" si="56"/>
        <v>-2863.9652427184492</v>
      </c>
      <c r="DQ8" s="3">
        <f t="shared" si="57"/>
        <v>-2029.99</v>
      </c>
      <c r="DR8" s="3" t="e">
        <f t="shared" ca="1" si="58"/>
        <v>#NUM!</v>
      </c>
      <c r="DS8" s="3">
        <f t="shared" si="59"/>
        <v>-270.19</v>
      </c>
      <c r="DT8" s="3">
        <f t="shared" si="60"/>
        <v>-14209</v>
      </c>
      <c r="DU8" s="3">
        <f t="shared" si="61"/>
        <v>210</v>
      </c>
      <c r="DV8" s="3">
        <f t="shared" si="62"/>
        <v>-5094</v>
      </c>
      <c r="DW8" s="3">
        <f t="shared" si="23"/>
        <v>-56</v>
      </c>
      <c r="DX8" s="3" t="e">
        <f t="shared" ca="1" si="24"/>
        <v>#NUM!</v>
      </c>
      <c r="DY8" s="3" t="e">
        <f t="shared" ca="1" si="25"/>
        <v>#NUM!</v>
      </c>
      <c r="DZ8" s="3" t="e">
        <f t="shared" ca="1" si="26"/>
        <v>#NUM!</v>
      </c>
      <c r="EA8" s="3" t="e">
        <f t="shared" ca="1" si="27"/>
        <v>#NUM!</v>
      </c>
      <c r="EB8" s="3" t="e">
        <f t="shared" ca="1" si="28"/>
        <v>#NUM!</v>
      </c>
      <c r="EC8" s="3" t="e">
        <f t="shared" ca="1" si="29"/>
        <v>#NUM!</v>
      </c>
      <c r="ED8" s="63">
        <f t="shared" si="63"/>
        <v>-5150</v>
      </c>
      <c r="EE8" s="59">
        <f t="shared" si="64"/>
        <v>0.62790000000000001</v>
      </c>
      <c r="EF8" s="59">
        <f t="shared" si="30"/>
        <v>5.2782</v>
      </c>
      <c r="EG8" s="59">
        <f t="shared" si="31"/>
        <v>0.62790000000000001</v>
      </c>
      <c r="EH8" s="59">
        <f t="shared" si="32"/>
        <v>5.7328999999999999</v>
      </c>
      <c r="EI8" s="59">
        <f t="shared" si="33"/>
        <v>0.15029999999999999</v>
      </c>
      <c r="EJ8" s="59">
        <f t="shared" si="34"/>
        <v>0.42399999999999999</v>
      </c>
      <c r="EK8" s="63" t="e">
        <f t="shared" ca="1" si="65"/>
        <v>#NUM!</v>
      </c>
      <c r="EL8" s="3" t="str">
        <f>RTD("tos.rtd",,EL$2,"."&amp;$A$2&amp;$AS$1&amp;"C"&amp;$A8)</f>
        <v>62.79%</v>
      </c>
      <c r="EM8" s="3" t="str">
        <f>RTD("tos.rtd",,EM$2,"."&amp;$A$2&amp;$AS$1&amp;"P"&amp;$A8)</f>
        <v>527.82%</v>
      </c>
      <c r="EN8" s="3" t="str">
        <f>RTD("tos.rtd",,EN$2,"."&amp;$A$2&amp;$AU$1&amp;"C"&amp;$A8)</f>
        <v>62.79%</v>
      </c>
      <c r="EO8" s="3" t="str">
        <f>RTD("tos.rtd",,EO$2,"."&amp;$A$2&amp;$AU$1&amp;"P"&amp;$A8)</f>
        <v>573.29%</v>
      </c>
      <c r="EP8" s="3" t="str">
        <f>RTD("tos.rtd",,EP$2,"."&amp;$A$2&amp;$AW$1&amp;"C"&amp;$A8)</f>
        <v>15.03%</v>
      </c>
      <c r="EQ8" s="3" t="str">
        <f>RTD("tos.rtd",,EQ$2,"."&amp;$A$2&amp;$AW$1&amp;"P"&amp;$A8)</f>
        <v>42.40%</v>
      </c>
      <c r="ES8" s="63" t="str">
        <f t="shared" si="66"/>
        <v>578,-5150.00</v>
      </c>
      <c r="ET8" s="63" t="str">
        <f t="shared" ca="1" si="67"/>
        <v>578,00.00</v>
      </c>
      <c r="EU8" s="67">
        <v>560.98</v>
      </c>
      <c r="EV8" s="67" t="s">
        <v>83</v>
      </c>
      <c r="EW8" s="67">
        <v>483.2</v>
      </c>
      <c r="EX8" s="67" t="s">
        <v>84</v>
      </c>
      <c r="EY8" s="67">
        <v>5631.28</v>
      </c>
      <c r="EZ8" s="67" t="s">
        <v>85</v>
      </c>
      <c r="FA8" s="67">
        <v>19867.973000000002</v>
      </c>
      <c r="FB8" s="67" t="s">
        <v>86</v>
      </c>
      <c r="FC8" s="67" t="s">
        <v>87</v>
      </c>
      <c r="FD8" s="67" t="s">
        <v>88</v>
      </c>
      <c r="FE8" s="67" t="s">
        <v>89</v>
      </c>
      <c r="FF8" s="67" t="s">
        <v>90</v>
      </c>
    </row>
    <row r="9" spans="1:162" s="63" customFormat="1" ht="13.5" thickBot="1" x14ac:dyDescent="0.25">
      <c r="A9" s="2">
        <f t="shared" si="68"/>
        <v>577</v>
      </c>
      <c r="B9" s="3">
        <f t="shared" ref="B9:B14" si="82">+IF($A$1="ABS",AS9-AT9,AS9+AT9)</f>
        <v>1743</v>
      </c>
      <c r="C9" s="3">
        <f t="shared" ref="C9:C14" si="83">+IF($A$1="ABS",AU9-AV9,AU9+AV9)</f>
        <v>4806</v>
      </c>
      <c r="D9" s="3">
        <f t="shared" ref="D9:D14" si="84">+IF($A$1="ABS",AW9-AX9,AW9+AX9)</f>
        <v>4702</v>
      </c>
      <c r="E9" s="3">
        <f t="shared" ref="E9:E14" si="85">SUM(B9:D9)</f>
        <v>11251</v>
      </c>
      <c r="F9" s="4">
        <f t="shared" ref="F9:F14" si="86">+$F$3/$A$3*A9</f>
        <v>5805.7650890371388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>
        <v>5263</v>
      </c>
      <c r="AN9" s="1">
        <v>-17</v>
      </c>
      <c r="AO9" s="1">
        <v>577</v>
      </c>
      <c r="AP9" s="1">
        <v>28423</v>
      </c>
      <c r="AQ9" s="1">
        <v>-249</v>
      </c>
      <c r="AR9" s="1"/>
      <c r="AS9" s="6">
        <f>IF(RTD("tos.rtd",,AS$2,"."&amp;$A$2&amp;$AS$1&amp;"C"&amp;$A9)="N/A",0,RTD("tos.rtd",,AS$2,"."&amp;$A$2&amp;$AS$1&amp;"C"&amp;$A9))</f>
        <v>1704</v>
      </c>
      <c r="AT9" s="7">
        <f>-IF(RTD("tos.rtd",,AT$2,"."&amp;$A$2&amp;$AS$1&amp;"P"&amp;$A9)="N/A",0,RTD("tos.rtd",,AT$2,"."&amp;$A$2&amp;$AS$1&amp;"P"&amp;$A9))</f>
        <v>-39</v>
      </c>
      <c r="AU9" s="6">
        <f>IF(RTD("tos.rtd",,AU$2,"."&amp;$A$2&amp;$AU$1&amp;"C"&amp;$A9)="N/A",0,RTD("tos.rtd",,AU$2,"."&amp;$A$2&amp;$AU$1&amp;"C"&amp;$A9))</f>
        <v>4796</v>
      </c>
      <c r="AV9" s="7">
        <f>-IF(RTD("tos.rtd",,AV$2,"."&amp;$A$2&amp;$AU$1&amp;"P"&amp;$A9)="N/A",0,RTD("tos.rtd",,AV$2,"."&amp;$A$2&amp;$AU$1&amp;"P"&amp;$A9))</f>
        <v>-10</v>
      </c>
      <c r="AW9" s="6">
        <f>IF(RTD("tos.rtd",,AW$2,"."&amp;$A$2&amp;$AW$1&amp;"C"&amp;$A9)="N/A",0,RTD("tos.rtd",,AW$2,"."&amp;$A$2&amp;$AW$1&amp;"C"&amp;$A9))</f>
        <v>4664</v>
      </c>
      <c r="AX9" s="7">
        <f>-IF(RTD("tos.rtd",,AX$2,"."&amp;$A$2&amp;$AW$1&amp;"P"&amp;$A9)="N/A",0,RTD("tos.rtd",,AX$2,"."&amp;$A$2&amp;$AW$1&amp;"P"&amp;$A9))</f>
        <v>-38</v>
      </c>
      <c r="AY9" s="1">
        <f t="shared" ref="AY9:AY14" si="87">SUM(AS9:AX9)</f>
        <v>11077</v>
      </c>
      <c r="AZ9" s="8">
        <f t="shared" si="35"/>
        <v>577</v>
      </c>
      <c r="BA9" s="6">
        <f>IF(RTD("tos.rtd",,BA$2,"."&amp;$A$2&amp;$AS$1&amp;"C"&amp;$A9)="N/A",0,RTD("tos.rtd",,BA$2,"."&amp;$A$2&amp;$AS$1&amp;"C"&amp;$A9))</f>
        <v>0</v>
      </c>
      <c r="BB9" s="7">
        <f>-IF(RTD("tos.rtd",,BB$2,"."&amp;$A$2&amp;$AS$1&amp;"P"&amp;$A9)="N/A",0,RTD("tos.rtd",,BB$2,"."&amp;$A$2&amp;$AS$1&amp;"P"&amp;$A9))</f>
        <v>0</v>
      </c>
      <c r="BC9" s="6">
        <f>IF(RTD("tos.rtd",,BC$2,"."&amp;$A$2&amp;$AU$1&amp;"C"&amp;$A9)="N/A",0,RTD("tos.rtd",,BC$2,"."&amp;$A$2&amp;$AU$1&amp;"C"&amp;$A9))</f>
        <v>13773</v>
      </c>
      <c r="BD9" s="7">
        <f>-IF(RTD("tos.rtd",,BD$2,"."&amp;$A$2&amp;$AU$1&amp;"P"&amp;$A9)="N/A",0,RTD("tos.rtd",,BD$2,"."&amp;$A$2&amp;$AU$1&amp;"P"&amp;$A9))</f>
        <v>-111</v>
      </c>
      <c r="BE9" s="6">
        <f>IF(RTD("tos.rtd",,BE$2,"."&amp;$A$2&amp;$AW$1&amp;"C"&amp;$A9)="N/A",0,RTD("tos.rtd",,BE$2,"."&amp;$A$2&amp;$AW$1&amp;"C"&amp;$A9))</f>
        <v>2466</v>
      </c>
      <c r="BF9" s="83">
        <f>-IF(RTD("tos.rtd",,BF$2,"."&amp;$A$2&amp;$AW$1&amp;"P"&amp;$A9)="N/A",0,RTD("tos.rtd",,BF$2,"."&amp;$A$2&amp;$AW$1&amp;"P"&amp;$A9))</f>
        <v>-34</v>
      </c>
      <c r="BG9" s="32">
        <f ca="1">+Hoja2!Y10</f>
        <v>808</v>
      </c>
      <c r="BH9" s="7">
        <f t="shared" ca="1" si="36"/>
        <v>16902</v>
      </c>
      <c r="BI9" s="8" t="str">
        <f t="shared" ref="BI9" ca="1" si="88">IF(AND(BH9&lt;0,BH8&gt;0), "Cruce -", IF(AND(BH9&gt;0,BH8&lt;0),"Cruce +", ""))</f>
        <v/>
      </c>
      <c r="BJ9" s="3" t="e">
        <f ca="1">IF($BP$1=1,DX9,IF(RTD("tos.rtd",,BJ$2,"."&amp;$A$2&amp;$AS$1&amp;"C"&amp;$A9)="N/A",0,RTD("tos.rtd",,BJ$2,"."&amp;$A$2&amp;$AS$1&amp;"C"&amp;$A9)))</f>
        <v>#NUM!</v>
      </c>
      <c r="BK9" s="3" t="e">
        <f ca="1">IF($BP$1=1,DY9,-IF(RTD("tos.rtd",,BK$2,"."&amp;$A$2&amp;$AS$1&amp;"P"&amp;$A9)="N/A",0,RTD("tos.rtd",,BK$2,"."&amp;$A$2&amp;$AS$1&amp;"P"&amp;$A9)))</f>
        <v>#NUM!</v>
      </c>
      <c r="BL9" s="3" t="e">
        <f ca="1">IF($BP$1=1,DZ9,IF(RTD("tos.rtd",,BL$2,"."&amp;$A$2&amp;$AU$1&amp;"C"&amp;$A9)="N/A",0,RTD("tos.rtd",,BL$2,"."&amp;$A$2&amp;$AU$1&amp;"C"&amp;$A9)))</f>
        <v>#NUM!</v>
      </c>
      <c r="BM9" s="3" t="e">
        <f ca="1">IF($BP$1=1,EA9,-IF(RTD("tos.rtd",,BM$2,"."&amp;$A$2&amp;$AU$1&amp;"P"&amp;$A9)="N/A",0,RTD("tos.rtd",,BM$2,"."&amp;$A$2&amp;$AU$1&amp;"P"&amp;$A9)))</f>
        <v>#NUM!</v>
      </c>
      <c r="BN9" s="3" t="e">
        <f ca="1">IF($BP$1=1,EB9,IF(RTD("tos.rtd",,BN$2,"."&amp;$A$2&amp;$AW$1&amp;"C"&amp;$A9)="N/A",0,RTD("tos.rtd",,BN$2,"."&amp;$A$2&amp;$AW$1&amp;"C"&amp;$A9)))</f>
        <v>#NUM!</v>
      </c>
      <c r="BO9" s="3" t="e">
        <f ca="1">IF($BP$1=1,EC9,-IF(RTD("tos.rtd",,BO$2,"."&amp;$A$2&amp;$AW$1&amp;"P"&amp;$A9)="N/A",0,RTD("tos.rtd",,BO$2,"."&amp;$A$2&amp;$AW$1&amp;"P"&amp;$A9)))</f>
        <v>#NUM!</v>
      </c>
      <c r="BQ9" s="3" t="e">
        <f t="shared" ref="BQ9:BQ14" ca="1" si="89">+$A$3*$A$3*AS9*BJ9-$A$3*$A$3*AT9*BK9</f>
        <v>#NUM!</v>
      </c>
      <c r="BR9" s="3" t="e">
        <f t="shared" ca="1" si="71"/>
        <v>#NUM!</v>
      </c>
      <c r="BS9" s="3" t="e">
        <f t="shared" ref="BS9:BS14" ca="1" si="90">+$A$3*$A$3*AU9*BL9-$A$3*$A$3*AV9*BM9</f>
        <v>#NUM!</v>
      </c>
      <c r="BT9" s="3" t="e">
        <f t="shared" ca="1" si="71"/>
        <v>#NUM!</v>
      </c>
      <c r="BU9" s="3" t="e">
        <f t="shared" ref="BU9:BU14" ca="1" si="91">+$A$3*$A$3*AW9*BN9-$A$3*$A$3*AX9*BO9</f>
        <v>#NUM!</v>
      </c>
      <c r="BV9" s="3" t="e">
        <f t="shared" ref="BV9" ca="1" si="92">IF(AND(BU9&lt;0,BU8&gt;0), "Cruce -", IF(AND(BU9&gt;0,BU8&lt;0),"Cruce +", ""))</f>
        <v>#NUM!</v>
      </c>
      <c r="BX9" s="3" t="e">
        <f t="shared" ref="BX9:BX14" ca="1" si="93">+$A$3*$A$3*BA9*BJ9-$A$3*$A$3*BB9*BK9</f>
        <v>#NUM!</v>
      </c>
      <c r="BY9" s="3" t="e">
        <f t="shared" ca="1" si="73"/>
        <v>#NUM!</v>
      </c>
      <c r="BZ9" s="3" t="e">
        <f t="shared" ref="BZ9:BZ14" ca="1" si="94">+$A$3*$A$3*BC9*BL9-$A$3*$A$3*BD9*BM9</f>
        <v>#NUM!</v>
      </c>
      <c r="CA9" s="3" t="e">
        <f t="shared" ca="1" si="74"/>
        <v>#NUM!</v>
      </c>
      <c r="CB9" s="3" t="e">
        <f t="shared" ref="CB9:CB14" ca="1" si="95">+$A$3*$A$3*BE9*BN9-$A$3*$A$3*BF9*BO9</f>
        <v>#NUM!</v>
      </c>
      <c r="CC9" s="3" t="e">
        <f t="shared" ca="1" si="75"/>
        <v>#NUM!</v>
      </c>
      <c r="CD9" s="3">
        <f>IF(RTD("tos.rtd",,CD$2,"."&amp;$A$2&amp;$AS$1&amp;"C"&amp;$A9)="N/A",0,RTD("tos.rtd",,CD$2,"."&amp;$A$2&amp;$AS$1&amp;"C"&amp;$A9))</f>
        <v>0.01</v>
      </c>
      <c r="CE9" s="3">
        <f>-IF(RTD("tos.rtd",,CE$2,"."&amp;$A$2&amp;$AS$1&amp;"P"&amp;$A9)="N/A",0,RTD("tos.rtd",,CE$2,"."&amp;$A$2&amp;$AS$1&amp;"P"&amp;$A9))</f>
        <v>0.6</v>
      </c>
      <c r="CF9" s="3">
        <f>IF(RTD("tos.rtd",,CF$2,"."&amp;$A$2&amp;$AU$1&amp;"C"&amp;$A9)="N/A",0,RTD("tos.rtd",,CF$2,"."&amp;$A$2&amp;$AU$1&amp;"C"&amp;$A9))</f>
        <v>0.01</v>
      </c>
      <c r="CG9" s="3">
        <f>-IF(RTD("tos.rtd",,CG$2,"."&amp;$A$2&amp;$AU$1&amp;"P"&amp;$A9)="N/A",0,RTD("tos.rtd",,CG$2,"."&amp;$A$2&amp;$AU$1&amp;"P"&amp;$A9))</f>
        <v>0.59</v>
      </c>
      <c r="CH9" s="3">
        <f>IF(RTD("tos.rtd",,CH$2,"."&amp;$A$2&amp;$AW$1&amp;"C"&amp;$A9)="N/A",0,RTD("tos.rtd",,CH$2,"."&amp;$A$2&amp;$AW$1&amp;"C"&amp;$A9))</f>
        <v>0.28999999999999998</v>
      </c>
      <c r="CI9" s="3">
        <f>-IF(RTD("tos.rtd",,CI$2,"."&amp;$A$2&amp;$AW$1&amp;"P"&amp;$A9)="N/A",0,RTD("tos.rtd",,CI$2,"."&amp;$A$2&amp;$AW$1&amp;"P"&amp;$A9))</f>
        <v>0.56999999999999995</v>
      </c>
      <c r="CK9" s="3">
        <f t="shared" ref="CK9:CK14" si="96">+AS9*CD9*100+AT9*CE9*100</f>
        <v>-636</v>
      </c>
      <c r="CL9" s="3"/>
      <c r="CM9" s="3">
        <f t="shared" ref="CM9:CM14" si="97">+AU9*CF9*100+AV9*CG9*100</f>
        <v>4206</v>
      </c>
      <c r="CN9" s="3"/>
      <c r="CO9" s="3">
        <f t="shared" ref="CO9:CO14" si="98">+AW9*CH9*100+AX9*CI9*100</f>
        <v>133090</v>
      </c>
      <c r="CP9" s="3">
        <f t="shared" ref="CP9:CP14" si="99">+CK9+CM9+CO9</f>
        <v>136660</v>
      </c>
      <c r="CQ9" s="3">
        <f t="shared" ref="CQ9:CQ14" si="100">+BA9+BB9</f>
        <v>0</v>
      </c>
      <c r="CR9" s="3"/>
      <c r="CS9" s="3">
        <f t="shared" ref="CS9:CS14" si="101">+BC9+BD9</f>
        <v>13662</v>
      </c>
      <c r="CT9" s="3"/>
      <c r="CU9" s="3">
        <f t="shared" ref="CU9:CU14" si="102">+BE9+BF9</f>
        <v>2432</v>
      </c>
      <c r="CV9" s="3">
        <f t="shared" ref="CV9:CV14" si="103">+CQ9+CS9+CU9</f>
        <v>16094</v>
      </c>
      <c r="CW9" s="3" t="e">
        <f t="shared" ref="CW9:CW14" ca="1" si="104">+BQ9+BS9+BU9</f>
        <v>#NUM!</v>
      </c>
      <c r="CX9" s="85" t="e">
        <f t="shared" ca="1" si="76"/>
        <v>#NUM!</v>
      </c>
      <c r="CY9" s="3" t="e">
        <f t="shared" ref="CY9:CY14" ca="1" si="105">+BX9+BZ9+CB9</f>
        <v>#NUM!</v>
      </c>
      <c r="CZ9" s="85" t="e">
        <f t="shared" ca="1" si="77"/>
        <v>#NUM!</v>
      </c>
      <c r="DA9" s="3">
        <f>IF(RTD("tos.rtd",,DA$2,"."&amp;$A$2&amp;$AS$1&amp;"C"&amp;$A9)="N/A",0,RTD("tos.rtd",,DA$2,"."&amp;$A$2&amp;$AS$1&amp;"C"&amp;$A9))</f>
        <v>0.01</v>
      </c>
      <c r="DB9" s="3">
        <f>IF(RTD("tos.rtd",,DB$2,"."&amp;$A$2&amp;$AS$1&amp;"P"&amp;$A9)="N/A",0,RTD("tos.rtd",,DB$2,"."&amp;$A$2&amp;$AS$1&amp;"P"&amp;$A9))</f>
        <v>7.99</v>
      </c>
      <c r="DC9" s="3">
        <f>IF(RTD("tos.rtd",,DC$2,"."&amp;$A$2&amp;$AS$1&amp;"C"&amp;$A9)="N/A",0,RTD("tos.rtd",,DC$2,"."&amp;$A$2&amp;$AS$1&amp;"C"&amp;$A9))</f>
        <v>0.01</v>
      </c>
      <c r="DD9" s="3">
        <f>IF(RTD("tos.rtd",,DD$2,"."&amp;$A$2&amp;$AS$1&amp;"P"&amp;$A9)="N/A",0,RTD("tos.rtd",,DD$2,"."&amp;$A$2&amp;$AS$1&amp;"P"&amp;$A9))</f>
        <v>13.02</v>
      </c>
      <c r="DE9" s="3">
        <f>IF(RTD("tos.rtd",,DE$2,"."&amp;$A$2&amp;$AS$1&amp;"C"&amp;$A9)="N/A",0,RTD("tos.rtd",,DE$2,"."&amp;$A$2&amp;$AS$1&amp;"C"&amp;$A9))</f>
        <v>0</v>
      </c>
      <c r="DF9" s="3">
        <f>IF(RTD("tos.rtd",,DF$2,"."&amp;$A$2&amp;$AS$1&amp;"P"&amp;$A9)="N/A",0,RTD("tos.rtd",,DF$2,"."&amp;$A$2&amp;$AS$1&amp;"P"&amp;$A9))</f>
        <v>11.03</v>
      </c>
      <c r="DG9" s="86">
        <f t="shared" si="48"/>
        <v>5.8899999999999864</v>
      </c>
      <c r="DH9" s="3">
        <f t="shared" ref="DH9:DH14" si="106">((DA9-DE9)/(DC9-DE9))*(BA9-AP9)</f>
        <v>-28423</v>
      </c>
      <c r="DI9" s="3">
        <f t="shared" ref="DI9:DI14" si="107">((DB9-DF9)/(DD9-DF9))*(BB9-AQ9)</f>
        <v>-380.38190954773859</v>
      </c>
      <c r="DJ9" s="3">
        <f t="shared" ref="DJ9:DJ14" si="108">IF(DA9&gt;=(DE9+(DC9-DE9)*0.6),(BA9-AP9),IF(DA9&lt;=(DE9+(DC9-DE9)*0.4),-(BA9-AP9),0))</f>
        <v>-28423</v>
      </c>
      <c r="DK9" s="3">
        <f t="shared" si="51"/>
        <v>-249</v>
      </c>
      <c r="DL9" s="3">
        <f t="shared" si="52"/>
        <v>-28803.381909547737</v>
      </c>
      <c r="DM9" s="3">
        <f t="shared" si="53"/>
        <v>-28672</v>
      </c>
      <c r="DN9" s="63" t="str">
        <f t="shared" si="54"/>
        <v>UNKNOWN</v>
      </c>
      <c r="DO9" s="63" t="str">
        <f t="shared" si="55"/>
        <v>UNKNOWN</v>
      </c>
      <c r="DP9" s="3">
        <f t="shared" si="56"/>
        <v>-3323.4814572864316</v>
      </c>
      <c r="DQ9" s="3">
        <f t="shared" si="57"/>
        <v>-2273.7399999999998</v>
      </c>
      <c r="DR9" s="3" t="e">
        <f t="shared" ca="1" si="58"/>
        <v>#NUM!</v>
      </c>
      <c r="DS9" s="3">
        <f t="shared" si="59"/>
        <v>-433.63</v>
      </c>
      <c r="DT9" s="3">
        <f t="shared" si="60"/>
        <v>-28423</v>
      </c>
      <c r="DU9" s="3">
        <f t="shared" si="61"/>
        <v>249</v>
      </c>
      <c r="DV9" s="3">
        <f t="shared" si="62"/>
        <v>5263</v>
      </c>
      <c r="DW9" s="3">
        <f t="shared" si="23"/>
        <v>-17</v>
      </c>
      <c r="DX9" s="3" t="e">
        <f t="shared" ca="1" si="24"/>
        <v>#NUM!</v>
      </c>
      <c r="DY9" s="3" t="e">
        <f t="shared" ca="1" si="25"/>
        <v>#NUM!</v>
      </c>
      <c r="DZ9" s="3" t="e">
        <f t="shared" ca="1" si="26"/>
        <v>#NUM!</v>
      </c>
      <c r="EA9" s="3" t="e">
        <f t="shared" ca="1" si="27"/>
        <v>#NUM!</v>
      </c>
      <c r="EB9" s="3" t="e">
        <f t="shared" ca="1" si="28"/>
        <v>#NUM!</v>
      </c>
      <c r="EC9" s="3" t="e">
        <f t="shared" ca="1" si="29"/>
        <v>#NUM!</v>
      </c>
      <c r="ED9" s="63">
        <f t="shared" si="63"/>
        <v>5246</v>
      </c>
      <c r="EE9" s="59">
        <f t="shared" ref="EE9:EE14" si="109">IFERROR(VALUE(IF(OR(EL9="--",EL9="0.00%"),$EE$1,EL9)),$EE$1)</f>
        <v>0.54690000000000005</v>
      </c>
      <c r="EF9" s="59">
        <f t="shared" ref="EF9:EF14" si="110">IFERROR(VALUE(IF(OR(EM9="--",EM9="0.00%"),$EE$1,EM9)),$EE$1)</f>
        <v>5.07</v>
      </c>
      <c r="EG9" s="59">
        <f t="shared" ref="EG9:EG14" si="111">IFERROR(VALUE(IF(OR(EN9="--",EN9="0.00%"),$EE$1,EN9)),$EE$1)</f>
        <v>0.54690000000000005</v>
      </c>
      <c r="EH9" s="59">
        <f t="shared" ref="EH9:EH14" si="112">IFERROR(VALUE(IF(OR(EO9="--",EO9="0.00%"),$EE$1,EO9)),$EE$1)</f>
        <v>5.4943999999999997</v>
      </c>
      <c r="EI9" s="59">
        <f t="shared" ref="EI9:EI14" si="113">IFERROR(VALUE(IF(OR(EP9="--",EP9="0.00%"),$EE$1,EP9)),$EE$1)</f>
        <v>0.14829999999999999</v>
      </c>
      <c r="EJ9" s="59">
        <f t="shared" ref="EJ9:EJ14" si="114">IFERROR(VALUE(IF(OR(EQ9="--",EQ9="0.00%"),$EE$1,EQ9)),$EE$1)</f>
        <v>0.41610000000000003</v>
      </c>
      <c r="EK9" s="63" t="e">
        <f t="shared" ca="1" si="65"/>
        <v>#NUM!</v>
      </c>
      <c r="EL9" s="3" t="str">
        <f>RTD("tos.rtd",,EL$2,"."&amp;$A$2&amp;$AS$1&amp;"C"&amp;$A9)</f>
        <v>54.69%</v>
      </c>
      <c r="EM9" s="3" t="str">
        <f>RTD("tos.rtd",,EM$2,"."&amp;$A$2&amp;$AS$1&amp;"P"&amp;$A9)</f>
        <v>507.00%</v>
      </c>
      <c r="EN9" s="3" t="str">
        <f>RTD("tos.rtd",,EN$2,"."&amp;$A$2&amp;$AU$1&amp;"C"&amp;$A9)</f>
        <v>54.69%</v>
      </c>
      <c r="EO9" s="3" t="str">
        <f>RTD("tos.rtd",,EO$2,"."&amp;$A$2&amp;$AU$1&amp;"P"&amp;$A9)</f>
        <v>549.44%</v>
      </c>
      <c r="EP9" s="3" t="str">
        <f>RTD("tos.rtd",,EP$2,"."&amp;$A$2&amp;$AW$1&amp;"C"&amp;$A9)</f>
        <v>14.83%</v>
      </c>
      <c r="EQ9" s="3" t="str">
        <f>RTD("tos.rtd",,EQ$2,"."&amp;$A$2&amp;$AW$1&amp;"P"&amp;$A9)</f>
        <v>41.61%</v>
      </c>
      <c r="ES9" s="63" t="str">
        <f t="shared" si="66"/>
        <v>577,5246.00</v>
      </c>
      <c r="ET9" s="63" t="str">
        <f t="shared" ca="1" si="67"/>
        <v>577,00.00</v>
      </c>
      <c r="EU9" s="67">
        <v>560.99</v>
      </c>
      <c r="EV9" s="67" t="s">
        <v>91</v>
      </c>
      <c r="EW9" s="67">
        <v>483.22</v>
      </c>
      <c r="EX9" s="67" t="s">
        <v>92</v>
      </c>
      <c r="EY9" s="67">
        <v>5631.28</v>
      </c>
      <c r="EZ9" s="67" t="s">
        <v>93</v>
      </c>
      <c r="FA9" s="67">
        <v>19867.973000000002</v>
      </c>
      <c r="FB9" s="67" t="s">
        <v>94</v>
      </c>
      <c r="FC9" s="67" t="s">
        <v>95</v>
      </c>
      <c r="FD9" s="67" t="s">
        <v>96</v>
      </c>
      <c r="FE9" s="67" t="s">
        <v>97</v>
      </c>
      <c r="FF9" s="67" t="s">
        <v>98</v>
      </c>
    </row>
    <row r="10" spans="1:162" s="63" customFormat="1" ht="13.5" thickBot="1" x14ac:dyDescent="0.25">
      <c r="A10" s="2">
        <f t="shared" si="68"/>
        <v>576</v>
      </c>
      <c r="B10" s="3">
        <f t="shared" si="82"/>
        <v>2412</v>
      </c>
      <c r="C10" s="3">
        <f t="shared" si="83"/>
        <v>4843</v>
      </c>
      <c r="D10" s="3">
        <f t="shared" si="84"/>
        <v>4705</v>
      </c>
      <c r="E10" s="3">
        <f t="shared" si="85"/>
        <v>11960</v>
      </c>
      <c r="F10" s="4">
        <f t="shared" si="86"/>
        <v>5795.7031044807482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>
        <v>11848</v>
      </c>
      <c r="AN10" s="1">
        <v>-247</v>
      </c>
      <c r="AO10" s="1">
        <v>576</v>
      </c>
      <c r="AP10" s="1">
        <v>77348</v>
      </c>
      <c r="AQ10" s="1">
        <v>-665</v>
      </c>
      <c r="AR10" s="1"/>
      <c r="AS10" s="6">
        <f>IF(RTD("tos.rtd",,AS$2,"."&amp;$A$2&amp;$AS$1&amp;"C"&amp;$A10)="N/A",0,RTD("tos.rtd",,AS$2,"."&amp;$A$2&amp;$AS$1&amp;"C"&amp;$A10))</f>
        <v>2335</v>
      </c>
      <c r="AT10" s="7">
        <f>-IF(RTD("tos.rtd",,AT$2,"."&amp;$A$2&amp;$AS$1&amp;"P"&amp;$A10)="N/A",0,RTD("tos.rtd",,AT$2,"."&amp;$A$2&amp;$AS$1&amp;"P"&amp;$A10))</f>
        <v>-77</v>
      </c>
      <c r="AU10" s="6">
        <f>IF(RTD("tos.rtd",,AU$2,"."&amp;$A$2&amp;$AU$1&amp;"C"&amp;$A10)="N/A",0,RTD("tos.rtd",,AU$2,"."&amp;$A$2&amp;$AU$1&amp;"C"&amp;$A10))</f>
        <v>4756</v>
      </c>
      <c r="AV10" s="7">
        <f>-IF(RTD("tos.rtd",,AV$2,"."&amp;$A$2&amp;$AU$1&amp;"P"&amp;$A10)="N/A",0,RTD("tos.rtd",,AV$2,"."&amp;$A$2&amp;$AU$1&amp;"P"&amp;$A10))</f>
        <v>-87</v>
      </c>
      <c r="AW10" s="6">
        <f>IF(RTD("tos.rtd",,AW$2,"."&amp;$A$2&amp;$AW$1&amp;"C"&amp;$A10)="N/A",0,RTD("tos.rtd",,AW$2,"."&amp;$A$2&amp;$AW$1&amp;"C"&amp;$A10))</f>
        <v>4396</v>
      </c>
      <c r="AX10" s="7">
        <f>-IF(RTD("tos.rtd",,AX$2,"."&amp;$A$2&amp;$AW$1&amp;"P"&amp;$A10)="N/A",0,RTD("tos.rtd",,AX$2,"."&amp;$A$2&amp;$AW$1&amp;"P"&amp;$A10))</f>
        <v>-309</v>
      </c>
      <c r="AY10" s="1">
        <f t="shared" si="87"/>
        <v>11014</v>
      </c>
      <c r="AZ10" s="8">
        <f t="shared" si="35"/>
        <v>576</v>
      </c>
      <c r="BA10" s="6">
        <f>IF(RTD("tos.rtd",,BA$2,"."&amp;$A$2&amp;$AS$1&amp;"C"&amp;$A10)="N/A",0,RTD("tos.rtd",,BA$2,"."&amp;$A$2&amp;$AS$1&amp;"C"&amp;$A10))</f>
        <v>0</v>
      </c>
      <c r="BB10" s="7">
        <f>-IF(RTD("tos.rtd",,BB$2,"."&amp;$A$2&amp;$AS$1&amp;"P"&amp;$A10)="N/A",0,RTD("tos.rtd",,BB$2,"."&amp;$A$2&amp;$AS$1&amp;"P"&amp;$A10))</f>
        <v>0</v>
      </c>
      <c r="BC10" s="6">
        <f>IF(RTD("tos.rtd",,BC$2,"."&amp;$A$2&amp;$AU$1&amp;"C"&amp;$A10)="N/A",0,RTD("tos.rtd",,BC$2,"."&amp;$A$2&amp;$AU$1&amp;"C"&amp;$A10))</f>
        <v>17723</v>
      </c>
      <c r="BD10" s="7">
        <f>-IF(RTD("tos.rtd",,BD$2,"."&amp;$A$2&amp;$AU$1&amp;"P"&amp;$A10)="N/A",0,RTD("tos.rtd",,BD$2,"."&amp;$A$2&amp;$AU$1&amp;"P"&amp;$A10))</f>
        <v>-570</v>
      </c>
      <c r="BE10" s="6">
        <f>IF(RTD("tos.rtd",,BE$2,"."&amp;$A$2&amp;$AW$1&amp;"C"&amp;$A10)="N/A",0,RTD("tos.rtd",,BE$2,"."&amp;$A$2&amp;$AW$1&amp;"C"&amp;$A10))</f>
        <v>3648</v>
      </c>
      <c r="BF10" s="83">
        <f>-IF(RTD("tos.rtd",,BF$2,"."&amp;$A$2&amp;$AW$1&amp;"P"&amp;$A10)="N/A",0,RTD("tos.rtd",,BF$2,"."&amp;$A$2&amp;$AW$1&amp;"P"&amp;$A10))</f>
        <v>-18</v>
      </c>
      <c r="BG10" s="32">
        <f ca="1">+Hoja2!Y11</f>
        <v>1417</v>
      </c>
      <c r="BH10" s="7">
        <f t="shared" ca="1" si="36"/>
        <v>22200</v>
      </c>
      <c r="BI10" s="8" t="str">
        <f t="shared" ref="BI10" ca="1" si="115">IF(AND(BH10&lt;0,BH9&gt;0), "Cruce -", IF(AND(BH10&gt;0,BH9&lt;0),"Cruce +", ""))</f>
        <v/>
      </c>
      <c r="BJ10" s="3" t="e">
        <f ca="1">IF($BP$1=1,DX10,IF(RTD("tos.rtd",,BJ$2,"."&amp;$A$2&amp;$AS$1&amp;"C"&amp;$A10)="N/A",0,RTD("tos.rtd",,BJ$2,"."&amp;$A$2&amp;$AS$1&amp;"C"&amp;$A10)))</f>
        <v>#NUM!</v>
      </c>
      <c r="BK10" s="3" t="e">
        <f ca="1">IF($BP$1=1,DY10,-IF(RTD("tos.rtd",,BK$2,"."&amp;$A$2&amp;$AS$1&amp;"P"&amp;$A10)="N/A",0,RTD("tos.rtd",,BK$2,"."&amp;$A$2&amp;$AS$1&amp;"P"&amp;$A10)))</f>
        <v>#NUM!</v>
      </c>
      <c r="BL10" s="3" t="e">
        <f ca="1">IF($BP$1=1,DZ10,IF(RTD("tos.rtd",,BL$2,"."&amp;$A$2&amp;$AU$1&amp;"C"&amp;$A10)="N/A",0,RTD("tos.rtd",,BL$2,"."&amp;$A$2&amp;$AU$1&amp;"C"&amp;$A10)))</f>
        <v>#NUM!</v>
      </c>
      <c r="BM10" s="3" t="e">
        <f ca="1">IF($BP$1=1,EA10,-IF(RTD("tos.rtd",,BM$2,"."&amp;$A$2&amp;$AU$1&amp;"P"&amp;$A10)="N/A",0,RTD("tos.rtd",,BM$2,"."&amp;$A$2&amp;$AU$1&amp;"P"&amp;$A10)))</f>
        <v>#NUM!</v>
      </c>
      <c r="BN10" s="3" t="e">
        <f ca="1">IF($BP$1=1,EB10,IF(RTD("tos.rtd",,BN$2,"."&amp;$A$2&amp;$AW$1&amp;"C"&amp;$A10)="N/A",0,RTD("tos.rtd",,BN$2,"."&amp;$A$2&amp;$AW$1&amp;"C"&amp;$A10)))</f>
        <v>#NUM!</v>
      </c>
      <c r="BO10" s="3" t="e">
        <f ca="1">IF($BP$1=1,EC10,-IF(RTD("tos.rtd",,BO$2,"."&amp;$A$2&amp;$AW$1&amp;"P"&amp;$A10)="N/A",0,RTD("tos.rtd",,BO$2,"."&amp;$A$2&amp;$AW$1&amp;"P"&amp;$A10)))</f>
        <v>#NUM!</v>
      </c>
      <c r="BQ10" s="3" t="e">
        <f t="shared" ca="1" si="89"/>
        <v>#NUM!</v>
      </c>
      <c r="BR10" s="3" t="e">
        <f t="shared" ca="1" si="71"/>
        <v>#NUM!</v>
      </c>
      <c r="BS10" s="3" t="e">
        <f t="shared" ca="1" si="90"/>
        <v>#NUM!</v>
      </c>
      <c r="BT10" s="3" t="e">
        <f t="shared" ca="1" si="71"/>
        <v>#NUM!</v>
      </c>
      <c r="BU10" s="3" t="e">
        <f t="shared" ca="1" si="91"/>
        <v>#NUM!</v>
      </c>
      <c r="BV10" s="3" t="e">
        <f t="shared" ref="BV10" ca="1" si="116">IF(AND(BU10&lt;0,BU9&gt;0), "Cruce -", IF(AND(BU10&gt;0,BU9&lt;0),"Cruce +", ""))</f>
        <v>#NUM!</v>
      </c>
      <c r="BX10" s="3" t="e">
        <f t="shared" ca="1" si="93"/>
        <v>#NUM!</v>
      </c>
      <c r="BY10" s="3" t="e">
        <f t="shared" ca="1" si="73"/>
        <v>#NUM!</v>
      </c>
      <c r="BZ10" s="3" t="e">
        <f t="shared" ca="1" si="94"/>
        <v>#NUM!</v>
      </c>
      <c r="CA10" s="3" t="e">
        <f t="shared" ca="1" si="74"/>
        <v>#NUM!</v>
      </c>
      <c r="CB10" s="3" t="e">
        <f t="shared" ca="1" si="95"/>
        <v>#NUM!</v>
      </c>
      <c r="CC10" s="3" t="e">
        <f t="shared" ca="1" si="75"/>
        <v>#NUM!</v>
      </c>
      <c r="CD10" s="3">
        <f>IF(RTD("tos.rtd",,CD$2,"."&amp;$A$2&amp;$AS$1&amp;"C"&amp;$A10)="N/A",0,RTD("tos.rtd",,CD$2,"."&amp;$A$2&amp;$AS$1&amp;"C"&amp;$A10))</f>
        <v>0.01</v>
      </c>
      <c r="CE10" s="3">
        <f>-IF(RTD("tos.rtd",,CE$2,"."&amp;$A$2&amp;$AS$1&amp;"P"&amp;$A10)="N/A",0,RTD("tos.rtd",,CE$2,"."&amp;$A$2&amp;$AS$1&amp;"P"&amp;$A10))</f>
        <v>0.57999999999999996</v>
      </c>
      <c r="CF10" s="3">
        <f>IF(RTD("tos.rtd",,CF$2,"."&amp;$A$2&amp;$AU$1&amp;"C"&amp;$A10)="N/A",0,RTD("tos.rtd",,CF$2,"."&amp;$A$2&amp;$AU$1&amp;"C"&amp;$A10))</f>
        <v>0.01</v>
      </c>
      <c r="CG10" s="3">
        <f>-IF(RTD("tos.rtd",,CG$2,"."&amp;$A$2&amp;$AU$1&amp;"P"&amp;$A10)="N/A",0,RTD("tos.rtd",,CG$2,"."&amp;$A$2&amp;$AU$1&amp;"P"&amp;$A10))</f>
        <v>0.57999999999999996</v>
      </c>
      <c r="CH10" s="3">
        <f>IF(RTD("tos.rtd",,CH$2,"."&amp;$A$2&amp;$AW$1&amp;"C"&amp;$A10)="N/A",0,RTD("tos.rtd",,CH$2,"."&amp;$A$2&amp;$AW$1&amp;"C"&amp;$A10))</f>
        <v>0.32</v>
      </c>
      <c r="CI10" s="3">
        <f>-IF(RTD("tos.rtd",,CI$2,"."&amp;$A$2&amp;$AW$1&amp;"P"&amp;$A10)="N/A",0,RTD("tos.rtd",,CI$2,"."&amp;$A$2&amp;$AW$1&amp;"P"&amp;$A10))</f>
        <v>0.56000000000000005</v>
      </c>
      <c r="CK10" s="3">
        <f t="shared" si="96"/>
        <v>-2131</v>
      </c>
      <c r="CL10" s="3"/>
      <c r="CM10" s="3">
        <f t="shared" si="97"/>
        <v>-289.99999999999909</v>
      </c>
      <c r="CN10" s="3"/>
      <c r="CO10" s="3">
        <f t="shared" si="98"/>
        <v>123368</v>
      </c>
      <c r="CP10" s="3">
        <f t="shared" si="99"/>
        <v>120947</v>
      </c>
      <c r="CQ10" s="3">
        <f t="shared" si="100"/>
        <v>0</v>
      </c>
      <c r="CR10" s="3"/>
      <c r="CS10" s="3">
        <f t="shared" si="101"/>
        <v>17153</v>
      </c>
      <c r="CT10" s="3"/>
      <c r="CU10" s="3">
        <f t="shared" si="102"/>
        <v>3630</v>
      </c>
      <c r="CV10" s="3">
        <f t="shared" si="103"/>
        <v>20783</v>
      </c>
      <c r="CW10" s="3" t="e">
        <f t="shared" ca="1" si="104"/>
        <v>#NUM!</v>
      </c>
      <c r="CX10" s="85" t="e">
        <f t="shared" ca="1" si="76"/>
        <v>#NUM!</v>
      </c>
      <c r="CY10" s="3" t="e">
        <f t="shared" ca="1" si="105"/>
        <v>#NUM!</v>
      </c>
      <c r="CZ10" s="85" t="e">
        <f t="shared" ca="1" si="77"/>
        <v>#NUM!</v>
      </c>
      <c r="DA10" s="3">
        <f>IF(RTD("tos.rtd",,DA$2,"."&amp;$A$2&amp;$AS$1&amp;"C"&amp;$A10)="N/A",0,RTD("tos.rtd",,DA$2,"."&amp;$A$2&amp;$AS$1&amp;"C"&amp;$A10))</f>
        <v>0.01</v>
      </c>
      <c r="DB10" s="3">
        <f>IF(RTD("tos.rtd",,DB$2,"."&amp;$A$2&amp;$AS$1&amp;"P"&amp;$A10)="N/A",0,RTD("tos.rtd",,DB$2,"."&amp;$A$2&amp;$AS$1&amp;"P"&amp;$A10))</f>
        <v>10.47</v>
      </c>
      <c r="DC10" s="3">
        <f>IF(RTD("tos.rtd",,DC$2,"."&amp;$A$2&amp;$AS$1&amp;"C"&amp;$A10)="N/A",0,RTD("tos.rtd",,DC$2,"."&amp;$A$2&amp;$AS$1&amp;"C"&amp;$A10))</f>
        <v>0.01</v>
      </c>
      <c r="DD10" s="3">
        <f>IF(RTD("tos.rtd",,DD$2,"."&amp;$A$2&amp;$AS$1&amp;"P"&amp;$A10)="N/A",0,RTD("tos.rtd",,DD$2,"."&amp;$A$2&amp;$AS$1&amp;"P"&amp;$A10))</f>
        <v>12.02</v>
      </c>
      <c r="DE10" s="3">
        <f>IF(RTD("tos.rtd",,DE$2,"."&amp;$A$2&amp;$AS$1&amp;"C"&amp;$A10)="N/A",0,RTD("tos.rtd",,DE$2,"."&amp;$A$2&amp;$AS$1&amp;"C"&amp;$A10))</f>
        <v>0</v>
      </c>
      <c r="DF10" s="3">
        <f>IF(RTD("tos.rtd",,DF$2,"."&amp;$A$2&amp;$AS$1&amp;"P"&amp;$A10)="N/A",0,RTD("tos.rtd",,DF$2,"."&amp;$A$2&amp;$AS$1&amp;"P"&amp;$A10))</f>
        <v>10.08</v>
      </c>
      <c r="DG10" s="86">
        <f t="shared" si="48"/>
        <v>4.8899999999999864</v>
      </c>
      <c r="DH10" s="3">
        <f t="shared" si="106"/>
        <v>-77348</v>
      </c>
      <c r="DI10" s="3">
        <f t="shared" si="107"/>
        <v>133.68556701030951</v>
      </c>
      <c r="DJ10" s="3">
        <f t="shared" si="108"/>
        <v>-77348</v>
      </c>
      <c r="DK10" s="3">
        <f t="shared" si="51"/>
        <v>-665</v>
      </c>
      <c r="DL10" s="3">
        <f t="shared" si="52"/>
        <v>-77214.31443298969</v>
      </c>
      <c r="DM10" s="3">
        <f t="shared" si="53"/>
        <v>-78013</v>
      </c>
      <c r="DN10" s="63" t="str">
        <f t="shared" si="54"/>
        <v>UNKNOWN</v>
      </c>
      <c r="DO10" s="63" t="str">
        <f t="shared" si="55"/>
        <v>UNKNOWN</v>
      </c>
      <c r="DP10" s="3">
        <f t="shared" si="56"/>
        <v>626.20788659794061</v>
      </c>
      <c r="DQ10" s="3">
        <f t="shared" si="57"/>
        <v>-7736.0300000000007</v>
      </c>
      <c r="DR10" s="3" t="e">
        <f t="shared" ca="1" si="58"/>
        <v>#NUM!</v>
      </c>
      <c r="DS10" s="3">
        <f t="shared" si="59"/>
        <v>-1159.18</v>
      </c>
      <c r="DT10" s="3">
        <f t="shared" si="60"/>
        <v>-77348</v>
      </c>
      <c r="DU10" s="3">
        <f t="shared" si="61"/>
        <v>665</v>
      </c>
      <c r="DV10" s="3">
        <f t="shared" si="62"/>
        <v>11848</v>
      </c>
      <c r="DW10" s="3">
        <f t="shared" si="23"/>
        <v>-247</v>
      </c>
      <c r="DX10" s="3" t="e">
        <f t="shared" ca="1" si="24"/>
        <v>#NUM!</v>
      </c>
      <c r="DY10" s="3" t="e">
        <f t="shared" ca="1" si="25"/>
        <v>#NUM!</v>
      </c>
      <c r="DZ10" s="3" t="e">
        <f t="shared" ca="1" si="26"/>
        <v>#NUM!</v>
      </c>
      <c r="EA10" s="3" t="e">
        <f t="shared" ca="1" si="27"/>
        <v>#NUM!</v>
      </c>
      <c r="EB10" s="3" t="e">
        <f t="shared" ca="1" si="28"/>
        <v>#NUM!</v>
      </c>
      <c r="EC10" s="3" t="e">
        <f t="shared" ca="1" si="29"/>
        <v>#NUM!</v>
      </c>
      <c r="ED10" s="63">
        <f t="shared" si="63"/>
        <v>11601</v>
      </c>
      <c r="EE10" s="59">
        <f t="shared" si="109"/>
        <v>0.46450000000000002</v>
      </c>
      <c r="EF10" s="59">
        <f t="shared" si="110"/>
        <v>4.8497000000000003</v>
      </c>
      <c r="EG10" s="59">
        <f t="shared" si="111"/>
        <v>0.46450000000000002</v>
      </c>
      <c r="EH10" s="59">
        <f t="shared" si="112"/>
        <v>5.2413999999999996</v>
      </c>
      <c r="EI10" s="59">
        <f t="shared" si="113"/>
        <v>0.14610000000000001</v>
      </c>
      <c r="EJ10" s="59">
        <f t="shared" si="114"/>
        <v>0.4093</v>
      </c>
      <c r="EK10" s="63" t="e">
        <f t="shared" ca="1" si="65"/>
        <v>#NUM!</v>
      </c>
      <c r="EL10" s="3" t="str">
        <f>RTD("tos.rtd",,EL$2,"."&amp;$A$2&amp;$AS$1&amp;"C"&amp;$A10)</f>
        <v>46.45%</v>
      </c>
      <c r="EM10" s="3" t="str">
        <f>RTD("tos.rtd",,EM$2,"."&amp;$A$2&amp;$AS$1&amp;"P"&amp;$A10)</f>
        <v>484.97%</v>
      </c>
      <c r="EN10" s="3" t="str">
        <f>RTD("tos.rtd",,EN$2,"."&amp;$A$2&amp;$AU$1&amp;"C"&amp;$A10)</f>
        <v>46.45%</v>
      </c>
      <c r="EO10" s="3" t="str">
        <f>RTD("tos.rtd",,EO$2,"."&amp;$A$2&amp;$AU$1&amp;"P"&amp;$A10)</f>
        <v>524.14%</v>
      </c>
      <c r="EP10" s="3" t="str">
        <f>RTD("tos.rtd",,EP$2,"."&amp;$A$2&amp;$AW$1&amp;"C"&amp;$A10)</f>
        <v>14.61%</v>
      </c>
      <c r="EQ10" s="3" t="str">
        <f>RTD("tos.rtd",,EQ$2,"."&amp;$A$2&amp;$AW$1&amp;"P"&amp;$A10)</f>
        <v>40.93%</v>
      </c>
      <c r="ES10" s="63" t="str">
        <f t="shared" si="66"/>
        <v>576,11601.00</v>
      </c>
      <c r="ET10" s="63" t="str">
        <f t="shared" ca="1" si="67"/>
        <v>576,00.00</v>
      </c>
      <c r="EU10" s="67">
        <v>560.99</v>
      </c>
      <c r="EV10" s="67" t="s">
        <v>99</v>
      </c>
      <c r="EW10" s="67">
        <v>483.22</v>
      </c>
      <c r="EX10" s="67" t="s">
        <v>100</v>
      </c>
      <c r="EY10" s="67">
        <v>5631.28</v>
      </c>
      <c r="EZ10" s="67" t="s">
        <v>101</v>
      </c>
      <c r="FA10" s="67">
        <v>19867.973000000002</v>
      </c>
      <c r="FB10" s="67" t="s">
        <v>102</v>
      </c>
      <c r="FC10" s="67" t="s">
        <v>103</v>
      </c>
      <c r="FD10" s="67" t="s">
        <v>104</v>
      </c>
      <c r="FE10" s="67" t="s">
        <v>105</v>
      </c>
      <c r="FF10" s="67" t="s">
        <v>106</v>
      </c>
    </row>
    <row r="11" spans="1:162" s="63" customFormat="1" ht="13.5" thickBot="1" x14ac:dyDescent="0.25">
      <c r="A11" s="2">
        <f t="shared" si="68"/>
        <v>575</v>
      </c>
      <c r="B11" s="3">
        <f t="shared" si="82"/>
        <v>7171</v>
      </c>
      <c r="C11" s="3">
        <f t="shared" si="83"/>
        <v>20044</v>
      </c>
      <c r="D11" s="3">
        <f t="shared" si="84"/>
        <v>51061</v>
      </c>
      <c r="E11" s="3">
        <f t="shared" si="85"/>
        <v>78276</v>
      </c>
      <c r="F11" s="4">
        <f t="shared" si="86"/>
        <v>5785.6411199243585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17435</v>
      </c>
      <c r="AN11" s="1">
        <v>-684</v>
      </c>
      <c r="AO11" s="1">
        <v>575</v>
      </c>
      <c r="AP11" s="1">
        <v>95081</v>
      </c>
      <c r="AQ11" s="1">
        <v>-2923</v>
      </c>
      <c r="AR11" s="1"/>
      <c r="AS11" s="6">
        <f>IF(RTD("tos.rtd",,AS$2,"."&amp;$A$2&amp;$AS$1&amp;"C"&amp;$A11)="N/A",0,RTD("tos.rtd",,AS$2,"."&amp;$A$2&amp;$AS$1&amp;"C"&amp;$A11))</f>
        <v>7042</v>
      </c>
      <c r="AT11" s="7">
        <f>-IF(RTD("tos.rtd",,AT$2,"."&amp;$A$2&amp;$AS$1&amp;"P"&amp;$A11)="N/A",0,RTD("tos.rtd",,AT$2,"."&amp;$A$2&amp;$AS$1&amp;"P"&amp;$A11))</f>
        <v>-129</v>
      </c>
      <c r="AU11" s="6">
        <f>IF(RTD("tos.rtd",,AU$2,"."&amp;$A$2&amp;$AU$1&amp;"C"&amp;$A11)="N/A",0,RTD("tos.rtd",,AU$2,"."&amp;$A$2&amp;$AU$1&amp;"C"&amp;$A11))</f>
        <v>19915</v>
      </c>
      <c r="AV11" s="7">
        <f>-IF(RTD("tos.rtd",,AV$2,"."&amp;$A$2&amp;$AU$1&amp;"P"&amp;$A11)="N/A",0,RTD("tos.rtd",,AV$2,"."&amp;$A$2&amp;$AU$1&amp;"P"&amp;$A11))</f>
        <v>-129</v>
      </c>
      <c r="AW11" s="6">
        <f>IF(RTD("tos.rtd",,AW$2,"."&amp;$A$2&amp;$AW$1&amp;"C"&amp;$A11)="N/A",0,RTD("tos.rtd",,AW$2,"."&amp;$A$2&amp;$AW$1&amp;"C"&amp;$A11))</f>
        <v>48089</v>
      </c>
      <c r="AX11" s="7">
        <f>-IF(RTD("tos.rtd",,AX$2,"."&amp;$A$2&amp;$AW$1&amp;"P"&amp;$A11)="N/A",0,RTD("tos.rtd",,AX$2,"."&amp;$A$2&amp;$AW$1&amp;"P"&amp;$A11))</f>
        <v>-2972</v>
      </c>
      <c r="AY11" s="1">
        <f t="shared" si="87"/>
        <v>71816</v>
      </c>
      <c r="AZ11" s="8">
        <f t="shared" si="35"/>
        <v>575</v>
      </c>
      <c r="BA11" s="6">
        <f>IF(RTD("tos.rtd",,BA$2,"."&amp;$A$2&amp;$AS$1&amp;"C"&amp;$A11)="N/A",0,RTD("tos.rtd",,BA$2,"."&amp;$A$2&amp;$AS$1&amp;"C"&amp;$A11))</f>
        <v>0</v>
      </c>
      <c r="BB11" s="7">
        <f>-IF(RTD("tos.rtd",,BB$2,"."&amp;$A$2&amp;$AS$1&amp;"P"&amp;$A11)="N/A",0,RTD("tos.rtd",,BB$2,"."&amp;$A$2&amp;$AS$1&amp;"P"&amp;$A11))</f>
        <v>0</v>
      </c>
      <c r="BC11" s="6">
        <f>IF(RTD("tos.rtd",,BC$2,"."&amp;$A$2&amp;$AU$1&amp;"C"&amp;$A11)="N/A",0,RTD("tos.rtd",,BC$2,"."&amp;$A$2&amp;$AU$1&amp;"C"&amp;$A11))</f>
        <v>43555</v>
      </c>
      <c r="BD11" s="7">
        <f>-IF(RTD("tos.rtd",,BD$2,"."&amp;$A$2&amp;$AU$1&amp;"P"&amp;$A11)="N/A",0,RTD("tos.rtd",,BD$2,"."&amp;$A$2&amp;$AU$1&amp;"P"&amp;$A11))</f>
        <v>-1768</v>
      </c>
      <c r="BE11" s="6">
        <f>IF(RTD("tos.rtd",,BE$2,"."&amp;$A$2&amp;$AW$1&amp;"C"&amp;$A11)="N/A",0,RTD("tos.rtd",,BE$2,"."&amp;$A$2&amp;$AW$1&amp;"C"&amp;$A11))</f>
        <v>20039</v>
      </c>
      <c r="BF11" s="83">
        <f>-IF(RTD("tos.rtd",,BF$2,"."&amp;$A$2&amp;$AW$1&amp;"P"&amp;$A11)="N/A",0,RTD("tos.rtd",,BF$2,"."&amp;$A$2&amp;$AW$1&amp;"P"&amp;$A11))</f>
        <v>-471</v>
      </c>
      <c r="BG11" s="32">
        <f ca="1">+Hoja2!Y12</f>
        <v>8054</v>
      </c>
      <c r="BH11" s="7">
        <f t="shared" ca="1" si="36"/>
        <v>69409</v>
      </c>
      <c r="BI11" s="8" t="str">
        <f t="shared" ref="BI11" ca="1" si="117">IF(AND(BH11&lt;0,BH10&gt;0), "Cruce -", IF(AND(BH11&gt;0,BH10&lt;0),"Cruce +", ""))</f>
        <v/>
      </c>
      <c r="BJ11" s="3" t="e">
        <f ca="1">IF($BP$1=1,DX11,IF(RTD("tos.rtd",,BJ$2,"."&amp;$A$2&amp;$AS$1&amp;"C"&amp;$A11)="N/A",0,RTD("tos.rtd",,BJ$2,"."&amp;$A$2&amp;$AS$1&amp;"C"&amp;$A11)))</f>
        <v>#NUM!</v>
      </c>
      <c r="BK11" s="3" t="e">
        <f ca="1">IF($BP$1=1,DY11,-IF(RTD("tos.rtd",,BK$2,"."&amp;$A$2&amp;$AS$1&amp;"P"&amp;$A11)="N/A",0,RTD("tos.rtd",,BK$2,"."&amp;$A$2&amp;$AS$1&amp;"P"&amp;$A11)))</f>
        <v>#NUM!</v>
      </c>
      <c r="BL11" s="3" t="e">
        <f ca="1">IF($BP$1=1,DZ11,IF(RTD("tos.rtd",,BL$2,"."&amp;$A$2&amp;$AU$1&amp;"C"&amp;$A11)="N/A",0,RTD("tos.rtd",,BL$2,"."&amp;$A$2&amp;$AU$1&amp;"C"&amp;$A11)))</f>
        <v>#NUM!</v>
      </c>
      <c r="BM11" s="3" t="e">
        <f ca="1">IF($BP$1=1,EA11,-IF(RTD("tos.rtd",,BM$2,"."&amp;$A$2&amp;$AU$1&amp;"P"&amp;$A11)="N/A",0,RTD("tos.rtd",,BM$2,"."&amp;$A$2&amp;$AU$1&amp;"P"&amp;$A11)))</f>
        <v>#NUM!</v>
      </c>
      <c r="BN11" s="3" t="e">
        <f ca="1">IF($BP$1=1,EB11,IF(RTD("tos.rtd",,BN$2,"."&amp;$A$2&amp;$AW$1&amp;"C"&amp;$A11)="N/A",0,RTD("tos.rtd",,BN$2,"."&amp;$A$2&amp;$AW$1&amp;"C"&amp;$A11)))</f>
        <v>#NUM!</v>
      </c>
      <c r="BO11" s="3" t="e">
        <f ca="1">IF($BP$1=1,EC11,-IF(RTD("tos.rtd",,BO$2,"."&amp;$A$2&amp;$AW$1&amp;"P"&amp;$A11)="N/A",0,RTD("tos.rtd",,BO$2,"."&amp;$A$2&amp;$AW$1&amp;"P"&amp;$A11)))</f>
        <v>#NUM!</v>
      </c>
      <c r="BQ11" s="3" t="e">
        <f t="shared" ca="1" si="89"/>
        <v>#NUM!</v>
      </c>
      <c r="BR11" s="3" t="e">
        <f t="shared" ca="1" si="71"/>
        <v>#NUM!</v>
      </c>
      <c r="BS11" s="3" t="e">
        <f t="shared" ca="1" si="90"/>
        <v>#NUM!</v>
      </c>
      <c r="BT11" s="3" t="e">
        <f t="shared" ca="1" si="71"/>
        <v>#NUM!</v>
      </c>
      <c r="BU11" s="3" t="e">
        <f t="shared" ca="1" si="91"/>
        <v>#NUM!</v>
      </c>
      <c r="BV11" s="3" t="e">
        <f t="shared" ref="BV11" ca="1" si="118">IF(AND(BU11&lt;0,BU10&gt;0), "Cruce -", IF(AND(BU11&gt;0,BU10&lt;0),"Cruce +", ""))</f>
        <v>#NUM!</v>
      </c>
      <c r="BX11" s="3" t="e">
        <f t="shared" ca="1" si="93"/>
        <v>#NUM!</v>
      </c>
      <c r="BY11" s="3" t="e">
        <f t="shared" ca="1" si="73"/>
        <v>#NUM!</v>
      </c>
      <c r="BZ11" s="3" t="e">
        <f t="shared" ca="1" si="94"/>
        <v>#NUM!</v>
      </c>
      <c r="CA11" s="3" t="e">
        <f t="shared" ca="1" si="74"/>
        <v>#NUM!</v>
      </c>
      <c r="CB11" s="3" t="e">
        <f t="shared" ca="1" si="95"/>
        <v>#NUM!</v>
      </c>
      <c r="CC11" s="3" t="e">
        <f t="shared" ca="1" si="75"/>
        <v>#NUM!</v>
      </c>
      <c r="CD11" s="3">
        <f>IF(RTD("tos.rtd",,CD$2,"."&amp;$A$2&amp;$AS$1&amp;"C"&amp;$A11)="N/A",0,RTD("tos.rtd",,CD$2,"."&amp;$A$2&amp;$AS$1&amp;"C"&amp;$A11))</f>
        <v>0.01</v>
      </c>
      <c r="CE11" s="3">
        <f>-IF(RTD("tos.rtd",,CE$2,"."&amp;$A$2&amp;$AS$1&amp;"P"&amp;$A11)="N/A",0,RTD("tos.rtd",,CE$2,"."&amp;$A$2&amp;$AS$1&amp;"P"&amp;$A11))</f>
        <v>0.56999999999999995</v>
      </c>
      <c r="CF11" s="3">
        <f>IF(RTD("tos.rtd",,CF$2,"."&amp;$A$2&amp;$AU$1&amp;"C"&amp;$A11)="N/A",0,RTD("tos.rtd",,CF$2,"."&amp;$A$2&amp;$AU$1&amp;"C"&amp;$A11))</f>
        <v>0.01</v>
      </c>
      <c r="CG11" s="3">
        <f>-IF(RTD("tos.rtd",,CG$2,"."&amp;$A$2&amp;$AU$1&amp;"P"&amp;$A11)="N/A",0,RTD("tos.rtd",,CG$2,"."&amp;$A$2&amp;$AU$1&amp;"P"&amp;$A11))</f>
        <v>0.56000000000000005</v>
      </c>
      <c r="CH11" s="3">
        <f>IF(RTD("tos.rtd",,CH$2,"."&amp;$A$2&amp;$AW$1&amp;"C"&amp;$A11)="N/A",0,RTD("tos.rtd",,CH$2,"."&amp;$A$2&amp;$AW$1&amp;"C"&amp;$A11))</f>
        <v>0.35</v>
      </c>
      <c r="CI11" s="3">
        <f>-IF(RTD("tos.rtd",,CI$2,"."&amp;$A$2&amp;$AW$1&amp;"P"&amp;$A11)="N/A",0,RTD("tos.rtd",,CI$2,"."&amp;$A$2&amp;$AW$1&amp;"P"&amp;$A11))</f>
        <v>0.55000000000000004</v>
      </c>
      <c r="CK11" s="3">
        <f t="shared" si="96"/>
        <v>-310.99999999999909</v>
      </c>
      <c r="CL11" s="3"/>
      <c r="CM11" s="3">
        <f t="shared" si="97"/>
        <v>12691</v>
      </c>
      <c r="CN11" s="3"/>
      <c r="CO11" s="3">
        <f t="shared" si="98"/>
        <v>1519654.9999999998</v>
      </c>
      <c r="CP11" s="3">
        <f t="shared" si="99"/>
        <v>1532034.9999999998</v>
      </c>
      <c r="CQ11" s="3">
        <f t="shared" si="100"/>
        <v>0</v>
      </c>
      <c r="CR11" s="3"/>
      <c r="CS11" s="3">
        <f t="shared" si="101"/>
        <v>41787</v>
      </c>
      <c r="CT11" s="3"/>
      <c r="CU11" s="3">
        <f t="shared" si="102"/>
        <v>19568</v>
      </c>
      <c r="CV11" s="3">
        <f t="shared" si="103"/>
        <v>61355</v>
      </c>
      <c r="CW11" s="3" t="e">
        <f t="shared" ca="1" si="104"/>
        <v>#NUM!</v>
      </c>
      <c r="CX11" s="85" t="e">
        <f t="shared" ca="1" si="76"/>
        <v>#NUM!</v>
      </c>
      <c r="CY11" s="3" t="e">
        <f t="shared" ca="1" si="105"/>
        <v>#NUM!</v>
      </c>
      <c r="CZ11" s="85" t="e">
        <f t="shared" ca="1" si="77"/>
        <v>#NUM!</v>
      </c>
      <c r="DA11" s="3">
        <f>IF(RTD("tos.rtd",,DA$2,"."&amp;$A$2&amp;$AS$1&amp;"C"&amp;$A11)="N/A",0,RTD("tos.rtd",,DA$2,"."&amp;$A$2&amp;$AS$1&amp;"C"&amp;$A11))</f>
        <v>0.01</v>
      </c>
      <c r="DB11" s="3">
        <f>IF(RTD("tos.rtd",,DB$2,"."&amp;$A$2&amp;$AS$1&amp;"P"&amp;$A11)="N/A",0,RTD("tos.rtd",,DB$2,"."&amp;$A$2&amp;$AS$1&amp;"P"&amp;$A11))</f>
        <v>9.99</v>
      </c>
      <c r="DC11" s="3">
        <f>IF(RTD("tos.rtd",,DC$2,"."&amp;$A$2&amp;$AS$1&amp;"C"&amp;$A11)="N/A",0,RTD("tos.rtd",,DC$2,"."&amp;$A$2&amp;$AS$1&amp;"C"&amp;$A11))</f>
        <v>0.01</v>
      </c>
      <c r="DD11" s="3">
        <f>IF(RTD("tos.rtd",,DD$2,"."&amp;$A$2&amp;$AS$1&amp;"P"&amp;$A11)="N/A",0,RTD("tos.rtd",,DD$2,"."&amp;$A$2&amp;$AS$1&amp;"P"&amp;$A11))</f>
        <v>11.02</v>
      </c>
      <c r="DE11" s="3">
        <f>IF(RTD("tos.rtd",,DE$2,"."&amp;$A$2&amp;$AS$1&amp;"C"&amp;$A11)="N/A",0,RTD("tos.rtd",,DE$2,"."&amp;$A$2&amp;$AS$1&amp;"C"&amp;$A11))</f>
        <v>0</v>
      </c>
      <c r="DF11" s="3">
        <f>IF(RTD("tos.rtd",,DF$2,"."&amp;$A$2&amp;$AS$1&amp;"P"&amp;$A11)="N/A",0,RTD("tos.rtd",,DF$2,"."&amp;$A$2&amp;$AS$1&amp;"P"&amp;$A11))</f>
        <v>9.07</v>
      </c>
      <c r="DG11" s="86">
        <f t="shared" si="48"/>
        <v>3.8899999999999864</v>
      </c>
      <c r="DH11" s="3">
        <f t="shared" si="106"/>
        <v>-95081</v>
      </c>
      <c r="DI11" s="3">
        <f t="shared" si="107"/>
        <v>1379.0564102564108</v>
      </c>
      <c r="DJ11" s="3">
        <f t="shared" si="108"/>
        <v>-95081</v>
      </c>
      <c r="DK11" s="3">
        <f t="shared" si="51"/>
        <v>0</v>
      </c>
      <c r="DL11" s="3">
        <f t="shared" si="52"/>
        <v>-93701.943589743591</v>
      </c>
      <c r="DM11" s="3">
        <f t="shared" si="53"/>
        <v>-95081</v>
      </c>
      <c r="DN11" s="63" t="str">
        <f t="shared" si="54"/>
        <v>UNKNOWN</v>
      </c>
      <c r="DO11" s="63" t="str">
        <f t="shared" si="55"/>
        <v>UNKNOWN</v>
      </c>
      <c r="DP11" s="3">
        <f t="shared" si="56"/>
        <v>12825.963538461545</v>
      </c>
      <c r="DQ11" s="3">
        <f t="shared" si="57"/>
        <v>-950.81000000000006</v>
      </c>
      <c r="DR11" s="3" t="e">
        <f t="shared" ca="1" si="58"/>
        <v>#NUM!</v>
      </c>
      <c r="DS11" s="3">
        <f t="shared" si="59"/>
        <v>-950.81000000000006</v>
      </c>
      <c r="DT11" s="3">
        <f t="shared" si="60"/>
        <v>-95081</v>
      </c>
      <c r="DU11" s="3">
        <f t="shared" si="61"/>
        <v>2923</v>
      </c>
      <c r="DV11" s="3">
        <f t="shared" si="62"/>
        <v>17435</v>
      </c>
      <c r="DW11" s="3">
        <f t="shared" si="23"/>
        <v>-684</v>
      </c>
      <c r="DX11" s="3" t="e">
        <f t="shared" ca="1" si="24"/>
        <v>#NUM!</v>
      </c>
      <c r="DY11" s="3" t="e">
        <f t="shared" ca="1" si="25"/>
        <v>#NUM!</v>
      </c>
      <c r="DZ11" s="3" t="e">
        <f t="shared" ca="1" si="26"/>
        <v>#NUM!</v>
      </c>
      <c r="EA11" s="3" t="e">
        <f t="shared" ca="1" si="27"/>
        <v>#NUM!</v>
      </c>
      <c r="EB11" s="3" t="e">
        <f t="shared" ca="1" si="28"/>
        <v>#NUM!</v>
      </c>
      <c r="EC11" s="3" t="e">
        <f t="shared" ca="1" si="29"/>
        <v>#NUM!</v>
      </c>
      <c r="ED11" s="63">
        <f t="shared" si="63"/>
        <v>16751</v>
      </c>
      <c r="EE11" s="59">
        <f t="shared" si="109"/>
        <v>0.38019999999999998</v>
      </c>
      <c r="EF11" s="59">
        <f t="shared" si="110"/>
        <v>4.6047000000000002</v>
      </c>
      <c r="EG11" s="59">
        <f t="shared" si="111"/>
        <v>0.38019999999999998</v>
      </c>
      <c r="EH11" s="59">
        <f t="shared" si="112"/>
        <v>4.9968000000000004</v>
      </c>
      <c r="EI11" s="59">
        <f t="shared" si="113"/>
        <v>0.1434</v>
      </c>
      <c r="EJ11" s="59">
        <f t="shared" si="114"/>
        <v>0.40279999999999999</v>
      </c>
      <c r="EK11" s="63" t="e">
        <f t="shared" ca="1" si="65"/>
        <v>#NUM!</v>
      </c>
      <c r="EL11" s="3" t="str">
        <f>RTD("tos.rtd",,EL$2,"."&amp;$A$2&amp;$AS$1&amp;"C"&amp;$A11)</f>
        <v>38.02%</v>
      </c>
      <c r="EM11" s="3" t="str">
        <f>RTD("tos.rtd",,EM$2,"."&amp;$A$2&amp;$AS$1&amp;"P"&amp;$A11)</f>
        <v>460.47%</v>
      </c>
      <c r="EN11" s="3" t="str">
        <f>RTD("tos.rtd",,EN$2,"."&amp;$A$2&amp;$AU$1&amp;"C"&amp;$A11)</f>
        <v>38.02%</v>
      </c>
      <c r="EO11" s="3" t="str">
        <f>RTD("tos.rtd",,EO$2,"."&amp;$A$2&amp;$AU$1&amp;"P"&amp;$A11)</f>
        <v>499.68%</v>
      </c>
      <c r="EP11" s="3" t="str">
        <f>RTD("tos.rtd",,EP$2,"."&amp;$A$2&amp;$AW$1&amp;"C"&amp;$A11)</f>
        <v>14.34%</v>
      </c>
      <c r="EQ11" s="3" t="str">
        <f>RTD("tos.rtd",,EQ$2,"."&amp;$A$2&amp;$AW$1&amp;"P"&amp;$A11)</f>
        <v>40.28%</v>
      </c>
      <c r="ES11" s="63" t="str">
        <f t="shared" si="66"/>
        <v>575,16751.00</v>
      </c>
      <c r="ET11" s="63" t="str">
        <f t="shared" ca="1" si="67"/>
        <v>575,00.00</v>
      </c>
      <c r="EU11" s="67">
        <v>561.04999999999995</v>
      </c>
      <c r="EV11" s="67" t="s">
        <v>107</v>
      </c>
      <c r="EW11" s="67">
        <v>483.3</v>
      </c>
      <c r="EX11" s="67" t="s">
        <v>108</v>
      </c>
      <c r="EY11" s="67">
        <v>5631.28</v>
      </c>
      <c r="EZ11" s="67" t="s">
        <v>109</v>
      </c>
      <c r="FA11" s="67">
        <v>19867.973000000002</v>
      </c>
      <c r="FB11" s="67" t="s">
        <v>110</v>
      </c>
      <c r="FC11" s="67" t="s">
        <v>111</v>
      </c>
      <c r="FD11" s="67" t="s">
        <v>112</v>
      </c>
      <c r="FE11" s="67" t="s">
        <v>113</v>
      </c>
      <c r="FF11" s="67" t="s">
        <v>114</v>
      </c>
    </row>
    <row r="12" spans="1:162" s="63" customFormat="1" ht="13.5" thickBot="1" x14ac:dyDescent="0.25">
      <c r="A12" s="2">
        <f t="shared" si="68"/>
        <v>574</v>
      </c>
      <c r="B12" s="3">
        <f t="shared" si="82"/>
        <v>3116</v>
      </c>
      <c r="C12" s="3">
        <f t="shared" si="83"/>
        <v>4205</v>
      </c>
      <c r="D12" s="3">
        <f t="shared" si="84"/>
        <v>3227</v>
      </c>
      <c r="E12" s="3">
        <f t="shared" si="85"/>
        <v>10548</v>
      </c>
      <c r="F12" s="4">
        <f t="shared" si="86"/>
        <v>5775.5791353679679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>
        <v>2896</v>
      </c>
      <c r="AN12" s="1">
        <v>377</v>
      </c>
      <c r="AO12" s="1">
        <v>574</v>
      </c>
      <c r="AP12" s="1">
        <v>62451</v>
      </c>
      <c r="AQ12" s="1">
        <v>-2328</v>
      </c>
      <c r="AR12" s="1"/>
      <c r="AS12" s="6">
        <f>IF(RTD("tos.rtd",,AS$2,"."&amp;$A$2&amp;$AS$1&amp;"C"&amp;$A12)="N/A",0,RTD("tos.rtd",,AS$2,"."&amp;$A$2&amp;$AS$1&amp;"C"&amp;$A12))</f>
        <v>3089</v>
      </c>
      <c r="AT12" s="7">
        <f>-IF(RTD("tos.rtd",,AT$2,"."&amp;$A$2&amp;$AS$1&amp;"P"&amp;$A12)="N/A",0,RTD("tos.rtd",,AT$2,"."&amp;$A$2&amp;$AS$1&amp;"P"&amp;$A12))</f>
        <v>-27</v>
      </c>
      <c r="AU12" s="6">
        <f>IF(RTD("tos.rtd",,AU$2,"."&amp;$A$2&amp;$AU$1&amp;"C"&amp;$A12)="N/A",0,RTD("tos.rtd",,AU$2,"."&amp;$A$2&amp;$AU$1&amp;"C"&amp;$A12))</f>
        <v>4115</v>
      </c>
      <c r="AV12" s="7">
        <f>-IF(RTD("tos.rtd",,AV$2,"."&amp;$A$2&amp;$AU$1&amp;"P"&amp;$A12)="N/A",0,RTD("tos.rtd",,AV$2,"."&amp;$A$2&amp;$AU$1&amp;"P"&amp;$A12))</f>
        <v>-90</v>
      </c>
      <c r="AW12" s="6">
        <f>IF(RTD("tos.rtd",,AW$2,"."&amp;$A$2&amp;$AW$1&amp;"C"&amp;$A12)="N/A",0,RTD("tos.rtd",,AW$2,"."&amp;$A$2&amp;$AW$1&amp;"C"&amp;$A12))</f>
        <v>2859</v>
      </c>
      <c r="AX12" s="7">
        <f>-IF(RTD("tos.rtd",,AX$2,"."&amp;$A$2&amp;$AW$1&amp;"P"&amp;$A12)="N/A",0,RTD("tos.rtd",,AX$2,"."&amp;$A$2&amp;$AW$1&amp;"P"&amp;$A12))</f>
        <v>-368</v>
      </c>
      <c r="AY12" s="1">
        <f t="shared" si="87"/>
        <v>9578</v>
      </c>
      <c r="AZ12" s="8">
        <f t="shared" si="35"/>
        <v>574</v>
      </c>
      <c r="BA12" s="6">
        <f>IF(RTD("tos.rtd",,BA$2,"."&amp;$A$2&amp;$AS$1&amp;"C"&amp;$A12)="N/A",0,RTD("tos.rtd",,BA$2,"."&amp;$A$2&amp;$AS$1&amp;"C"&amp;$A12))</f>
        <v>0</v>
      </c>
      <c r="BB12" s="7">
        <f>-IF(RTD("tos.rtd",,BB$2,"."&amp;$A$2&amp;$AS$1&amp;"P"&amp;$A12)="N/A",0,RTD("tos.rtd",,BB$2,"."&amp;$A$2&amp;$AS$1&amp;"P"&amp;$A12))</f>
        <v>0</v>
      </c>
      <c r="BC12" s="6">
        <f>IF(RTD("tos.rtd",,BC$2,"."&amp;$A$2&amp;$AU$1&amp;"C"&amp;$A12)="N/A",0,RTD("tos.rtd",,BC$2,"."&amp;$A$2&amp;$AU$1&amp;"C"&amp;$A12))</f>
        <v>27683</v>
      </c>
      <c r="BD12" s="7">
        <f>-IF(RTD("tos.rtd",,BD$2,"."&amp;$A$2&amp;$AU$1&amp;"P"&amp;$A12)="N/A",0,RTD("tos.rtd",,BD$2,"."&amp;$A$2&amp;$AU$1&amp;"P"&amp;$A12))</f>
        <v>-402</v>
      </c>
      <c r="BE12" s="6">
        <f>IF(RTD("tos.rtd",,BE$2,"."&amp;$A$2&amp;$AW$1&amp;"C"&amp;$A12)="N/A",0,RTD("tos.rtd",,BE$2,"."&amp;$A$2&amp;$AW$1&amp;"C"&amp;$A12))</f>
        <v>1697</v>
      </c>
      <c r="BF12" s="83">
        <f>-IF(RTD("tos.rtd",,BF$2,"."&amp;$A$2&amp;$AW$1&amp;"P"&amp;$A12)="N/A",0,RTD("tos.rtd",,BF$2,"."&amp;$A$2&amp;$AW$1&amp;"P"&amp;$A12))</f>
        <v>-15</v>
      </c>
      <c r="BG12" s="32">
        <f ca="1">+Hoja2!Y13</f>
        <v>700</v>
      </c>
      <c r="BH12" s="7">
        <f t="shared" ca="1" si="36"/>
        <v>29663</v>
      </c>
      <c r="BI12" s="8" t="str">
        <f t="shared" ref="BI12" ca="1" si="119">IF(AND(BH12&lt;0,BH11&gt;0), "Cruce -", IF(AND(BH12&gt;0,BH11&lt;0),"Cruce +", ""))</f>
        <v/>
      </c>
      <c r="BJ12" s="3" t="e">
        <f ca="1">IF($BP$1=1,DX12,IF(RTD("tos.rtd",,BJ$2,"."&amp;$A$2&amp;$AS$1&amp;"C"&amp;$A12)="N/A",0,RTD("tos.rtd",,BJ$2,"."&amp;$A$2&amp;$AS$1&amp;"C"&amp;$A12)))</f>
        <v>#NUM!</v>
      </c>
      <c r="BK12" s="3" t="e">
        <f ca="1">IF($BP$1=1,DY12,-IF(RTD("tos.rtd",,BK$2,"."&amp;$A$2&amp;$AS$1&amp;"P"&amp;$A12)="N/A",0,RTD("tos.rtd",,BK$2,"."&amp;$A$2&amp;$AS$1&amp;"P"&amp;$A12)))</f>
        <v>#NUM!</v>
      </c>
      <c r="BL12" s="3" t="e">
        <f ca="1">IF($BP$1=1,DZ12,IF(RTD("tos.rtd",,BL$2,"."&amp;$A$2&amp;$AU$1&amp;"C"&amp;$A12)="N/A",0,RTD("tos.rtd",,BL$2,"."&amp;$A$2&amp;$AU$1&amp;"C"&amp;$A12)))</f>
        <v>#NUM!</v>
      </c>
      <c r="BM12" s="3" t="e">
        <f ca="1">IF($BP$1=1,EA12,-IF(RTD("tos.rtd",,BM$2,"."&amp;$A$2&amp;$AU$1&amp;"P"&amp;$A12)="N/A",0,RTD("tos.rtd",,BM$2,"."&amp;$A$2&amp;$AU$1&amp;"P"&amp;$A12)))</f>
        <v>#NUM!</v>
      </c>
      <c r="BN12" s="3" t="e">
        <f ca="1">IF($BP$1=1,EB12,IF(RTD("tos.rtd",,BN$2,"."&amp;$A$2&amp;$AW$1&amp;"C"&amp;$A12)="N/A",0,RTD("tos.rtd",,BN$2,"."&amp;$A$2&amp;$AW$1&amp;"C"&amp;$A12)))</f>
        <v>#NUM!</v>
      </c>
      <c r="BO12" s="3" t="e">
        <f ca="1">IF($BP$1=1,EC12,-IF(RTD("tos.rtd",,BO$2,"."&amp;$A$2&amp;$AW$1&amp;"P"&amp;$A12)="N/A",0,RTD("tos.rtd",,BO$2,"."&amp;$A$2&amp;$AW$1&amp;"P"&amp;$A12)))</f>
        <v>#NUM!</v>
      </c>
      <c r="BQ12" s="3" t="e">
        <f t="shared" ca="1" si="89"/>
        <v>#NUM!</v>
      </c>
      <c r="BR12" s="3" t="e">
        <f t="shared" ca="1" si="71"/>
        <v>#NUM!</v>
      </c>
      <c r="BS12" s="3" t="e">
        <f t="shared" ca="1" si="90"/>
        <v>#NUM!</v>
      </c>
      <c r="BT12" s="3" t="e">
        <f t="shared" ca="1" si="71"/>
        <v>#NUM!</v>
      </c>
      <c r="BU12" s="3" t="e">
        <f t="shared" ca="1" si="91"/>
        <v>#NUM!</v>
      </c>
      <c r="BV12" s="3" t="e">
        <f t="shared" ref="BV12" ca="1" si="120">IF(AND(BU12&lt;0,BU11&gt;0), "Cruce -", IF(AND(BU12&gt;0,BU11&lt;0),"Cruce +", ""))</f>
        <v>#NUM!</v>
      </c>
      <c r="BX12" s="3" t="e">
        <f t="shared" ca="1" si="93"/>
        <v>#NUM!</v>
      </c>
      <c r="BY12" s="3" t="e">
        <f t="shared" ca="1" si="73"/>
        <v>#NUM!</v>
      </c>
      <c r="BZ12" s="3" t="e">
        <f t="shared" ca="1" si="94"/>
        <v>#NUM!</v>
      </c>
      <c r="CA12" s="3" t="e">
        <f t="shared" ca="1" si="74"/>
        <v>#NUM!</v>
      </c>
      <c r="CB12" s="3" t="e">
        <f t="shared" ca="1" si="95"/>
        <v>#NUM!</v>
      </c>
      <c r="CC12" s="3" t="e">
        <f t="shared" ca="1" si="75"/>
        <v>#NUM!</v>
      </c>
      <c r="CD12" s="3">
        <f>IF(RTD("tos.rtd",,CD$2,"."&amp;$A$2&amp;$AS$1&amp;"C"&amp;$A12)="N/A",0,RTD("tos.rtd",,CD$2,"."&amp;$A$2&amp;$AS$1&amp;"C"&amp;$A12))</f>
        <v>0.01</v>
      </c>
      <c r="CE12" s="3">
        <f>-IF(RTD("tos.rtd",,CE$2,"."&amp;$A$2&amp;$AS$1&amp;"P"&amp;$A12)="N/A",0,RTD("tos.rtd",,CE$2,"."&amp;$A$2&amp;$AS$1&amp;"P"&amp;$A12))</f>
        <v>0.55000000000000004</v>
      </c>
      <c r="CF12" s="3">
        <f>IF(RTD("tos.rtd",,CF$2,"."&amp;$A$2&amp;$AU$1&amp;"C"&amp;$A12)="N/A",0,RTD("tos.rtd",,CF$2,"."&amp;$A$2&amp;$AU$1&amp;"C"&amp;$A12))</f>
        <v>0.01</v>
      </c>
      <c r="CG12" s="3">
        <f>-IF(RTD("tos.rtd",,CG$2,"."&amp;$A$2&amp;$AU$1&amp;"P"&amp;$A12)="N/A",0,RTD("tos.rtd",,CG$2,"."&amp;$A$2&amp;$AU$1&amp;"P"&amp;$A12))</f>
        <v>0.55000000000000004</v>
      </c>
      <c r="CH12" s="3">
        <f>IF(RTD("tos.rtd",,CH$2,"."&amp;$A$2&amp;$AW$1&amp;"C"&amp;$A12)="N/A",0,RTD("tos.rtd",,CH$2,"."&amp;$A$2&amp;$AW$1&amp;"C"&amp;$A12))</f>
        <v>0.39</v>
      </c>
      <c r="CI12" s="3">
        <f>-IF(RTD("tos.rtd",,CI$2,"."&amp;$A$2&amp;$AW$1&amp;"P"&amp;$A12)="N/A",0,RTD("tos.rtd",,CI$2,"."&amp;$A$2&amp;$AW$1&amp;"P"&amp;$A12))</f>
        <v>0.53</v>
      </c>
      <c r="CK12" s="3">
        <f t="shared" si="96"/>
        <v>1603.9999999999998</v>
      </c>
      <c r="CL12" s="3"/>
      <c r="CM12" s="3">
        <f t="shared" si="97"/>
        <v>-835.00000000000091</v>
      </c>
      <c r="CN12" s="3"/>
      <c r="CO12" s="3">
        <f t="shared" si="98"/>
        <v>91997</v>
      </c>
      <c r="CP12" s="3">
        <f t="shared" si="99"/>
        <v>92766</v>
      </c>
      <c r="CQ12" s="3">
        <f t="shared" si="100"/>
        <v>0</v>
      </c>
      <c r="CR12" s="3"/>
      <c r="CS12" s="3">
        <f t="shared" si="101"/>
        <v>27281</v>
      </c>
      <c r="CT12" s="3"/>
      <c r="CU12" s="3">
        <f t="shared" si="102"/>
        <v>1682</v>
      </c>
      <c r="CV12" s="3">
        <f t="shared" si="103"/>
        <v>28963</v>
      </c>
      <c r="CW12" s="3" t="e">
        <f t="shared" ca="1" si="104"/>
        <v>#NUM!</v>
      </c>
      <c r="CX12" s="85" t="e">
        <f t="shared" ca="1" si="76"/>
        <v>#NUM!</v>
      </c>
      <c r="CY12" s="3" t="e">
        <f t="shared" ca="1" si="105"/>
        <v>#NUM!</v>
      </c>
      <c r="CZ12" s="85" t="e">
        <f t="shared" ca="1" si="77"/>
        <v>#NUM!</v>
      </c>
      <c r="DA12" s="3">
        <f>IF(RTD("tos.rtd",,DA$2,"."&amp;$A$2&amp;$AS$1&amp;"C"&amp;$A12)="N/A",0,RTD("tos.rtd",,DA$2,"."&amp;$A$2&amp;$AS$1&amp;"C"&amp;$A12))</f>
        <v>0.01</v>
      </c>
      <c r="DB12" s="3">
        <f>IF(RTD("tos.rtd",,DB$2,"."&amp;$A$2&amp;$AS$1&amp;"P"&amp;$A12)="N/A",0,RTD("tos.rtd",,DB$2,"."&amp;$A$2&amp;$AS$1&amp;"P"&amp;$A12))</f>
        <v>6.88</v>
      </c>
      <c r="DC12" s="3">
        <f>IF(RTD("tos.rtd",,DC$2,"."&amp;$A$2&amp;$AS$1&amp;"C"&amp;$A12)="N/A",0,RTD("tos.rtd",,DC$2,"."&amp;$A$2&amp;$AS$1&amp;"C"&amp;$A12))</f>
        <v>0.01</v>
      </c>
      <c r="DD12" s="3">
        <f>IF(RTD("tos.rtd",,DD$2,"."&amp;$A$2&amp;$AS$1&amp;"P"&amp;$A12)="N/A",0,RTD("tos.rtd",,DD$2,"."&amp;$A$2&amp;$AS$1&amp;"P"&amp;$A12))</f>
        <v>10.02</v>
      </c>
      <c r="DE12" s="3">
        <f>IF(RTD("tos.rtd",,DE$2,"."&amp;$A$2&amp;$AS$1&amp;"C"&amp;$A12)="N/A",0,RTD("tos.rtd",,DE$2,"."&amp;$A$2&amp;$AS$1&amp;"C"&amp;$A12))</f>
        <v>0</v>
      </c>
      <c r="DF12" s="3">
        <f>IF(RTD("tos.rtd",,DF$2,"."&amp;$A$2&amp;$AS$1&amp;"P"&amp;$A12)="N/A",0,RTD("tos.rtd",,DF$2,"."&amp;$A$2&amp;$AS$1&amp;"P"&amp;$A12))</f>
        <v>8.07</v>
      </c>
      <c r="DG12" s="86">
        <f t="shared" si="48"/>
        <v>2.8899999999999864</v>
      </c>
      <c r="DH12" s="3">
        <f t="shared" si="106"/>
        <v>-62451</v>
      </c>
      <c r="DI12" s="3">
        <f t="shared" si="107"/>
        <v>-1420.6769230769239</v>
      </c>
      <c r="DJ12" s="3">
        <f t="shared" si="108"/>
        <v>-62451</v>
      </c>
      <c r="DK12" s="3">
        <f t="shared" si="51"/>
        <v>-2328</v>
      </c>
      <c r="DL12" s="3">
        <f t="shared" si="52"/>
        <v>-63871.676923076921</v>
      </c>
      <c r="DM12" s="3">
        <f t="shared" si="53"/>
        <v>-64779</v>
      </c>
      <c r="DN12" s="63" t="str">
        <f t="shared" si="54"/>
        <v>UNKNOWN</v>
      </c>
      <c r="DO12" s="63" t="str">
        <f t="shared" si="55"/>
        <v>UNKNOWN</v>
      </c>
      <c r="DP12" s="3">
        <f t="shared" si="56"/>
        <v>-10398.767230769237</v>
      </c>
      <c r="DQ12" s="3">
        <f t="shared" si="57"/>
        <v>-16641.149999999998</v>
      </c>
      <c r="DR12" s="3" t="e">
        <f t="shared" ca="1" si="58"/>
        <v>#NUM!</v>
      </c>
      <c r="DS12" s="3">
        <f t="shared" si="59"/>
        <v>-1904.91</v>
      </c>
      <c r="DT12" s="3">
        <f t="shared" si="60"/>
        <v>-62451</v>
      </c>
      <c r="DU12" s="3">
        <f t="shared" si="61"/>
        <v>2328</v>
      </c>
      <c r="DV12" s="3">
        <f t="shared" si="62"/>
        <v>2896</v>
      </c>
      <c r="DW12" s="3">
        <f t="shared" si="23"/>
        <v>377</v>
      </c>
      <c r="DX12" s="3" t="e">
        <f t="shared" ca="1" si="24"/>
        <v>#NUM!</v>
      </c>
      <c r="DY12" s="3" t="e">
        <f t="shared" ca="1" si="25"/>
        <v>#NUM!</v>
      </c>
      <c r="DZ12" s="3" t="e">
        <f t="shared" ca="1" si="26"/>
        <v>#NUM!</v>
      </c>
      <c r="EA12" s="3" t="e">
        <f t="shared" ca="1" si="27"/>
        <v>#NUM!</v>
      </c>
      <c r="EB12" s="3" t="e">
        <f t="shared" ca="1" si="28"/>
        <v>#NUM!</v>
      </c>
      <c r="EC12" s="3" t="e">
        <f t="shared" ca="1" si="29"/>
        <v>#NUM!</v>
      </c>
      <c r="ED12" s="63">
        <f t="shared" si="63"/>
        <v>3273</v>
      </c>
      <c r="EE12" s="59">
        <f t="shared" si="109"/>
        <v>0.29360000000000003</v>
      </c>
      <c r="EF12" s="59">
        <f t="shared" si="110"/>
        <v>4.3551000000000002</v>
      </c>
      <c r="EG12" s="59">
        <f t="shared" si="111"/>
        <v>0.29360000000000003</v>
      </c>
      <c r="EH12" s="59">
        <f t="shared" si="112"/>
        <v>4.7449000000000003</v>
      </c>
      <c r="EI12" s="59">
        <f t="shared" si="113"/>
        <v>0.1404</v>
      </c>
      <c r="EJ12" s="59">
        <f t="shared" si="114"/>
        <v>0.3962</v>
      </c>
      <c r="EK12" s="63" t="e">
        <f t="shared" ca="1" si="65"/>
        <v>#NUM!</v>
      </c>
      <c r="EL12" s="3" t="str">
        <f>RTD("tos.rtd",,EL$2,"."&amp;$A$2&amp;$AS$1&amp;"C"&amp;$A12)</f>
        <v>29.36%</v>
      </c>
      <c r="EM12" s="3" t="str">
        <f>RTD("tos.rtd",,EM$2,"."&amp;$A$2&amp;$AS$1&amp;"P"&amp;$A12)</f>
        <v>435.51%</v>
      </c>
      <c r="EN12" s="3" t="str">
        <f>RTD("tos.rtd",,EN$2,"."&amp;$A$2&amp;$AU$1&amp;"C"&amp;$A12)</f>
        <v>29.36%</v>
      </c>
      <c r="EO12" s="3" t="str">
        <f>RTD("tos.rtd",,EO$2,"."&amp;$A$2&amp;$AU$1&amp;"P"&amp;$A12)</f>
        <v>474.49%</v>
      </c>
      <c r="EP12" s="3" t="str">
        <f>RTD("tos.rtd",,EP$2,"."&amp;$A$2&amp;$AW$1&amp;"C"&amp;$A12)</f>
        <v>14.04%</v>
      </c>
      <c r="EQ12" s="3" t="str">
        <f>RTD("tos.rtd",,EQ$2,"."&amp;$A$2&amp;$AW$1&amp;"P"&amp;$A12)</f>
        <v>39.62%</v>
      </c>
      <c r="ES12" s="63" t="str">
        <f t="shared" si="66"/>
        <v>574,3273.00</v>
      </c>
      <c r="ET12" s="63" t="str">
        <f t="shared" ca="1" si="67"/>
        <v>574,00.00</v>
      </c>
      <c r="EU12" s="67">
        <v>560.99</v>
      </c>
      <c r="EV12" s="67" t="s">
        <v>115</v>
      </c>
      <c r="EW12" s="67">
        <v>483.27</v>
      </c>
      <c r="EX12" s="67" t="s">
        <v>116</v>
      </c>
      <c r="EY12" s="67">
        <v>5631.28</v>
      </c>
      <c r="EZ12" s="67" t="s">
        <v>117</v>
      </c>
      <c r="FA12" s="67">
        <v>19867.973000000002</v>
      </c>
      <c r="FB12" s="67" t="s">
        <v>118</v>
      </c>
      <c r="FC12" s="67" t="s">
        <v>119</v>
      </c>
      <c r="FD12" s="67" t="s">
        <v>120</v>
      </c>
      <c r="FE12" s="67" t="s">
        <v>121</v>
      </c>
      <c r="FF12" s="67" t="s">
        <v>122</v>
      </c>
    </row>
    <row r="13" spans="1:162" s="63" customFormat="1" ht="13.5" thickBot="1" x14ac:dyDescent="0.25">
      <c r="A13" s="2">
        <f t="shared" si="68"/>
        <v>573</v>
      </c>
      <c r="B13" s="3">
        <f t="shared" si="82"/>
        <v>2989</v>
      </c>
      <c r="C13" s="3">
        <f t="shared" si="83"/>
        <v>7547</v>
      </c>
      <c r="D13" s="3">
        <f t="shared" si="84"/>
        <v>4258</v>
      </c>
      <c r="E13" s="3">
        <f t="shared" si="85"/>
        <v>14794</v>
      </c>
      <c r="F13" s="4">
        <f t="shared" si="86"/>
        <v>5765.5171508115773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-2643</v>
      </c>
      <c r="AN13" s="1">
        <v>675</v>
      </c>
      <c r="AO13" s="1">
        <v>573</v>
      </c>
      <c r="AP13" s="1">
        <v>87887</v>
      </c>
      <c r="AQ13" s="1">
        <v>-2755</v>
      </c>
      <c r="AR13" s="1"/>
      <c r="AS13" s="6">
        <f>IF(RTD("tos.rtd",,AS$2,"."&amp;$A$2&amp;$AS$1&amp;"C"&amp;$A13)="N/A",0,RTD("tos.rtd",,AS$2,"."&amp;$A$2&amp;$AS$1&amp;"C"&amp;$A13))</f>
        <v>2876</v>
      </c>
      <c r="AT13" s="7">
        <f>-IF(RTD("tos.rtd",,AT$2,"."&amp;$A$2&amp;$AS$1&amp;"P"&amp;$A13)="N/A",0,RTD("tos.rtd",,AT$2,"."&amp;$A$2&amp;$AS$1&amp;"P"&amp;$A13))</f>
        <v>-113</v>
      </c>
      <c r="AU13" s="6">
        <f>IF(RTD("tos.rtd",,AU$2,"."&amp;$A$2&amp;$AU$1&amp;"C"&amp;$A13)="N/A",0,RTD("tos.rtd",,AU$2,"."&amp;$A$2&amp;$AU$1&amp;"C"&amp;$A13))</f>
        <v>7342</v>
      </c>
      <c r="AV13" s="7">
        <f>-IF(RTD("tos.rtd",,AV$2,"."&amp;$A$2&amp;$AU$1&amp;"P"&amp;$A13)="N/A",0,RTD("tos.rtd",,AV$2,"."&amp;$A$2&amp;$AU$1&amp;"P"&amp;$A13))</f>
        <v>-205</v>
      </c>
      <c r="AW13" s="6">
        <f>IF(RTD("tos.rtd",,AW$2,"."&amp;$A$2&amp;$AW$1&amp;"C"&amp;$A13)="N/A",0,RTD("tos.rtd",,AW$2,"."&amp;$A$2&amp;$AW$1&amp;"C"&amp;$A13))</f>
        <v>3726</v>
      </c>
      <c r="AX13" s="7">
        <f>-IF(RTD("tos.rtd",,AX$2,"."&amp;$A$2&amp;$AW$1&amp;"P"&amp;$A13)="N/A",0,RTD("tos.rtd",,AX$2,"."&amp;$A$2&amp;$AW$1&amp;"P"&amp;$A13))</f>
        <v>-532</v>
      </c>
      <c r="AY13" s="1">
        <f t="shared" si="87"/>
        <v>13094</v>
      </c>
      <c r="AZ13" s="8">
        <f t="shared" si="35"/>
        <v>573</v>
      </c>
      <c r="BA13" s="6">
        <f>IF(RTD("tos.rtd",,BA$2,"."&amp;$A$2&amp;$AS$1&amp;"C"&amp;$A13)="N/A",0,RTD("tos.rtd",,BA$2,"."&amp;$A$2&amp;$AS$1&amp;"C"&amp;$A13))</f>
        <v>0</v>
      </c>
      <c r="BB13" s="7">
        <f>-IF(RTD("tos.rtd",,BB$2,"."&amp;$A$2&amp;$AS$1&amp;"P"&amp;$A13)="N/A",0,RTD("tos.rtd",,BB$2,"."&amp;$A$2&amp;$AS$1&amp;"P"&amp;$A13))</f>
        <v>0</v>
      </c>
      <c r="BC13" s="6">
        <f>IF(RTD("tos.rtd",,BC$2,"."&amp;$A$2&amp;$AU$1&amp;"C"&amp;$A13)="N/A",0,RTD("tos.rtd",,BC$2,"."&amp;$A$2&amp;$AU$1&amp;"C"&amp;$A13))</f>
        <v>36747</v>
      </c>
      <c r="BD13" s="7">
        <f>-IF(RTD("tos.rtd",,BD$2,"."&amp;$A$2&amp;$AU$1&amp;"P"&amp;$A13)="N/A",0,RTD("tos.rtd",,BD$2,"."&amp;$A$2&amp;$AU$1&amp;"P"&amp;$A13))</f>
        <v>-1067</v>
      </c>
      <c r="BE13" s="6">
        <f>IF(RTD("tos.rtd",,BE$2,"."&amp;$A$2&amp;$AW$1&amp;"C"&amp;$A13)="N/A",0,RTD("tos.rtd",,BE$2,"."&amp;$A$2&amp;$AW$1&amp;"C"&amp;$A13))</f>
        <v>2031</v>
      </c>
      <c r="BF13" s="83">
        <f>-IF(RTD("tos.rtd",,BF$2,"."&amp;$A$2&amp;$AW$1&amp;"P"&amp;$A13)="N/A",0,RTD("tos.rtd",,BF$2,"."&amp;$A$2&amp;$AW$1&amp;"P"&amp;$A13))</f>
        <v>-44</v>
      </c>
      <c r="BG13" s="32">
        <f ca="1">+Hoja2!Y14</f>
        <v>1435</v>
      </c>
      <c r="BH13" s="7">
        <f t="shared" ca="1" si="36"/>
        <v>39102</v>
      </c>
      <c r="BI13" s="8" t="str">
        <f t="shared" ref="BI13" ca="1" si="121">IF(AND(BH13&lt;0,BH12&gt;0), "Cruce -", IF(AND(BH13&gt;0,BH12&lt;0),"Cruce +", ""))</f>
        <v/>
      </c>
      <c r="BJ13" s="3" t="e">
        <f ca="1">IF($BP$1=1,DX13,IF(RTD("tos.rtd",,BJ$2,"."&amp;$A$2&amp;$AS$1&amp;"C"&amp;$A13)="N/A",0,RTD("tos.rtd",,BJ$2,"."&amp;$A$2&amp;$AS$1&amp;"C"&amp;$A13)))</f>
        <v>#NUM!</v>
      </c>
      <c r="BK13" s="3" t="e">
        <f ca="1">IF($BP$1=1,DY13,-IF(RTD("tos.rtd",,BK$2,"."&amp;$A$2&amp;$AS$1&amp;"P"&amp;$A13)="N/A",0,RTD("tos.rtd",,BK$2,"."&amp;$A$2&amp;$AS$1&amp;"P"&amp;$A13)))</f>
        <v>#NUM!</v>
      </c>
      <c r="BL13" s="3" t="e">
        <f ca="1">IF($BP$1=1,DZ13,IF(RTD("tos.rtd",,BL$2,"."&amp;$A$2&amp;$AU$1&amp;"C"&amp;$A13)="N/A",0,RTD("tos.rtd",,BL$2,"."&amp;$A$2&amp;$AU$1&amp;"C"&amp;$A13)))</f>
        <v>#NUM!</v>
      </c>
      <c r="BM13" s="3" t="e">
        <f ca="1">IF($BP$1=1,EA13,-IF(RTD("tos.rtd",,BM$2,"."&amp;$A$2&amp;$AU$1&amp;"P"&amp;$A13)="N/A",0,RTD("tos.rtd",,BM$2,"."&amp;$A$2&amp;$AU$1&amp;"P"&amp;$A13)))</f>
        <v>#NUM!</v>
      </c>
      <c r="BN13" s="3" t="e">
        <f ca="1">IF($BP$1=1,EB13,IF(RTD("tos.rtd",,BN$2,"."&amp;$A$2&amp;$AW$1&amp;"C"&amp;$A13)="N/A",0,RTD("tos.rtd",,BN$2,"."&amp;$A$2&amp;$AW$1&amp;"C"&amp;$A13)))</f>
        <v>#NUM!</v>
      </c>
      <c r="BO13" s="3" t="e">
        <f ca="1">IF($BP$1=1,EC13,-IF(RTD("tos.rtd",,BO$2,"."&amp;$A$2&amp;$AW$1&amp;"P"&amp;$A13)="N/A",0,RTD("tos.rtd",,BO$2,"."&amp;$A$2&amp;$AW$1&amp;"P"&amp;$A13)))</f>
        <v>#NUM!</v>
      </c>
      <c r="BQ13" s="3" t="e">
        <f t="shared" ca="1" si="89"/>
        <v>#NUM!</v>
      </c>
      <c r="BR13" s="3" t="e">
        <f t="shared" ca="1" si="71"/>
        <v>#NUM!</v>
      </c>
      <c r="BS13" s="3" t="e">
        <f t="shared" ca="1" si="90"/>
        <v>#NUM!</v>
      </c>
      <c r="BT13" s="3" t="e">
        <f t="shared" ca="1" si="71"/>
        <v>#NUM!</v>
      </c>
      <c r="BU13" s="3" t="e">
        <f t="shared" ca="1" si="91"/>
        <v>#NUM!</v>
      </c>
      <c r="BV13" s="3" t="e">
        <f t="shared" ref="BV13" ca="1" si="122">IF(AND(BU13&lt;0,BU12&gt;0), "Cruce -", IF(AND(BU13&gt;0,BU12&lt;0),"Cruce +", ""))</f>
        <v>#NUM!</v>
      </c>
      <c r="BX13" s="3" t="e">
        <f t="shared" ca="1" si="93"/>
        <v>#NUM!</v>
      </c>
      <c r="BY13" s="3" t="e">
        <f t="shared" ca="1" si="73"/>
        <v>#NUM!</v>
      </c>
      <c r="BZ13" s="3" t="e">
        <f t="shared" ca="1" si="94"/>
        <v>#NUM!</v>
      </c>
      <c r="CA13" s="3" t="e">
        <f t="shared" ca="1" si="74"/>
        <v>#NUM!</v>
      </c>
      <c r="CB13" s="3" t="e">
        <f t="shared" ca="1" si="95"/>
        <v>#NUM!</v>
      </c>
      <c r="CC13" s="3" t="e">
        <f t="shared" ca="1" si="75"/>
        <v>#NUM!</v>
      </c>
      <c r="CD13" s="3">
        <f>IF(RTD("tos.rtd",,CD$2,"."&amp;$A$2&amp;$AS$1&amp;"C"&amp;$A13)="N/A",0,RTD("tos.rtd",,CD$2,"."&amp;$A$2&amp;$AS$1&amp;"C"&amp;$A13))</f>
        <v>0.02</v>
      </c>
      <c r="CE13" s="3">
        <f>-IF(RTD("tos.rtd",,CE$2,"."&amp;$A$2&amp;$AS$1&amp;"P"&amp;$A13)="N/A",0,RTD("tos.rtd",,CE$2,"."&amp;$A$2&amp;$AS$1&amp;"P"&amp;$A13))</f>
        <v>0.54</v>
      </c>
      <c r="CF13" s="3">
        <f>IF(RTD("tos.rtd",,CF$2,"."&amp;$A$2&amp;$AU$1&amp;"C"&amp;$A13)="N/A",0,RTD("tos.rtd",,CF$2,"."&amp;$A$2&amp;$AU$1&amp;"C"&amp;$A13))</f>
        <v>0.02</v>
      </c>
      <c r="CG13" s="3">
        <f>-IF(RTD("tos.rtd",,CG$2,"."&amp;$A$2&amp;$AU$1&amp;"P"&amp;$A13)="N/A",0,RTD("tos.rtd",,CG$2,"."&amp;$A$2&amp;$AU$1&amp;"P"&amp;$A13))</f>
        <v>0.53</v>
      </c>
      <c r="CH13" s="3">
        <f>IF(RTD("tos.rtd",,CH$2,"."&amp;$A$2&amp;$AW$1&amp;"C"&amp;$A13)="N/A",0,RTD("tos.rtd",,CH$2,"."&amp;$A$2&amp;$AW$1&amp;"C"&amp;$A13))</f>
        <v>0.43</v>
      </c>
      <c r="CI13" s="3">
        <f>-IF(RTD("tos.rtd",,CI$2,"."&amp;$A$2&amp;$AW$1&amp;"P"&amp;$A13)="N/A",0,RTD("tos.rtd",,CI$2,"."&amp;$A$2&amp;$AW$1&amp;"P"&amp;$A13))</f>
        <v>0.52</v>
      </c>
      <c r="CK13" s="3">
        <f t="shared" si="96"/>
        <v>-350</v>
      </c>
      <c r="CL13" s="3"/>
      <c r="CM13" s="3">
        <f t="shared" si="97"/>
        <v>3819</v>
      </c>
      <c r="CN13" s="3"/>
      <c r="CO13" s="3">
        <f t="shared" si="98"/>
        <v>132554</v>
      </c>
      <c r="CP13" s="3">
        <f t="shared" si="99"/>
        <v>136023</v>
      </c>
      <c r="CQ13" s="3">
        <f t="shared" si="100"/>
        <v>0</v>
      </c>
      <c r="CR13" s="3"/>
      <c r="CS13" s="3">
        <f t="shared" si="101"/>
        <v>35680</v>
      </c>
      <c r="CT13" s="3"/>
      <c r="CU13" s="3">
        <f t="shared" si="102"/>
        <v>1987</v>
      </c>
      <c r="CV13" s="3">
        <f t="shared" si="103"/>
        <v>37667</v>
      </c>
      <c r="CW13" s="3" t="e">
        <f t="shared" ca="1" si="104"/>
        <v>#NUM!</v>
      </c>
      <c r="CX13" s="85" t="e">
        <f t="shared" ca="1" si="76"/>
        <v>#NUM!</v>
      </c>
      <c r="CY13" s="3" t="e">
        <f t="shared" ca="1" si="105"/>
        <v>#NUM!</v>
      </c>
      <c r="CZ13" s="85" t="e">
        <f t="shared" ca="1" si="77"/>
        <v>#NUM!</v>
      </c>
      <c r="DA13" s="3">
        <f>IF(RTD("tos.rtd",,DA$2,"."&amp;$A$2&amp;$AS$1&amp;"C"&amp;$A13)="N/A",0,RTD("tos.rtd",,DA$2,"."&amp;$A$2&amp;$AS$1&amp;"C"&amp;$A13))</f>
        <v>0.01</v>
      </c>
      <c r="DB13" s="3">
        <f>IF(RTD("tos.rtd",,DB$2,"."&amp;$A$2&amp;$AS$1&amp;"P"&amp;$A13)="N/A",0,RTD("tos.rtd",,DB$2,"."&amp;$A$2&amp;$AS$1&amp;"P"&amp;$A13))</f>
        <v>8.2799999999999994</v>
      </c>
      <c r="DC13" s="3">
        <f>IF(RTD("tos.rtd",,DC$2,"."&amp;$A$2&amp;$AS$1&amp;"C"&amp;$A13)="N/A",0,RTD("tos.rtd",,DC$2,"."&amp;$A$2&amp;$AS$1&amp;"C"&amp;$A13))</f>
        <v>0.01</v>
      </c>
      <c r="DD13" s="3">
        <f>IF(RTD("tos.rtd",,DD$2,"."&amp;$A$2&amp;$AS$1&amp;"P"&amp;$A13)="N/A",0,RTD("tos.rtd",,DD$2,"."&amp;$A$2&amp;$AS$1&amp;"P"&amp;$A13))</f>
        <v>9.02</v>
      </c>
      <c r="DE13" s="3">
        <f>IF(RTD("tos.rtd",,DE$2,"."&amp;$A$2&amp;$AS$1&amp;"C"&amp;$A13)="N/A",0,RTD("tos.rtd",,DE$2,"."&amp;$A$2&amp;$AS$1&amp;"C"&amp;$A13))</f>
        <v>0</v>
      </c>
      <c r="DF13" s="3">
        <f>IF(RTD("tos.rtd",,DF$2,"."&amp;$A$2&amp;$AS$1&amp;"P"&amp;$A13)="N/A",0,RTD("tos.rtd",,DF$2,"."&amp;$A$2&amp;$AS$1&amp;"P"&amp;$A13))</f>
        <v>7.1</v>
      </c>
      <c r="DG13" s="86">
        <f t="shared" si="48"/>
        <v>1.8899999999999864</v>
      </c>
      <c r="DH13" s="3">
        <f t="shared" si="106"/>
        <v>-87887</v>
      </c>
      <c r="DI13" s="3">
        <f t="shared" si="107"/>
        <v>1693.177083333333</v>
      </c>
      <c r="DJ13" s="3">
        <f t="shared" si="108"/>
        <v>-87887</v>
      </c>
      <c r="DK13" s="3">
        <f t="shared" si="51"/>
        <v>2755</v>
      </c>
      <c r="DL13" s="3">
        <f t="shared" si="52"/>
        <v>-86193.822916666672</v>
      </c>
      <c r="DM13" s="3">
        <f t="shared" si="53"/>
        <v>-85132</v>
      </c>
      <c r="DN13" s="63" t="str">
        <f t="shared" si="54"/>
        <v>UNKNOWN</v>
      </c>
      <c r="DO13" s="63" t="str">
        <f t="shared" si="55"/>
        <v>UNKNOWN</v>
      </c>
      <c r="DP13" s="3">
        <f t="shared" si="56"/>
        <v>13140.636249999996</v>
      </c>
      <c r="DQ13" s="3">
        <f t="shared" si="57"/>
        <v>21932.53</v>
      </c>
      <c r="DR13" s="3" t="e">
        <f t="shared" ca="1" si="58"/>
        <v>#NUM!</v>
      </c>
      <c r="DS13" s="3">
        <f t="shared" si="59"/>
        <v>-270.03999999999996</v>
      </c>
      <c r="DT13" s="3">
        <f t="shared" si="60"/>
        <v>-87887</v>
      </c>
      <c r="DU13" s="3">
        <f t="shared" si="61"/>
        <v>2755</v>
      </c>
      <c r="DV13" s="3">
        <f t="shared" si="62"/>
        <v>-2643</v>
      </c>
      <c r="DW13" s="3">
        <f t="shared" si="23"/>
        <v>675</v>
      </c>
      <c r="DX13" s="3" t="e">
        <f t="shared" ca="1" si="24"/>
        <v>#NUM!</v>
      </c>
      <c r="DY13" s="3" t="e">
        <f t="shared" ca="1" si="25"/>
        <v>#NUM!</v>
      </c>
      <c r="DZ13" s="3" t="e">
        <f t="shared" ca="1" si="26"/>
        <v>#NUM!</v>
      </c>
      <c r="EA13" s="3" t="e">
        <f t="shared" ca="1" si="27"/>
        <v>#NUM!</v>
      </c>
      <c r="EB13" s="3" t="e">
        <f t="shared" ca="1" si="28"/>
        <v>#NUM!</v>
      </c>
      <c r="EC13" s="3" t="e">
        <f t="shared" ca="1" si="29"/>
        <v>#NUM!</v>
      </c>
      <c r="ED13" s="63">
        <f t="shared" si="63"/>
        <v>-1968</v>
      </c>
      <c r="EE13" s="59">
        <f t="shared" si="109"/>
        <v>0.20369999999999999</v>
      </c>
      <c r="EF13" s="59">
        <f t="shared" si="110"/>
        <v>4.1054000000000004</v>
      </c>
      <c r="EG13" s="59">
        <f t="shared" si="111"/>
        <v>0.20369999999999999</v>
      </c>
      <c r="EH13" s="59">
        <f t="shared" si="112"/>
        <v>4.4844999999999997</v>
      </c>
      <c r="EI13" s="59">
        <f t="shared" si="113"/>
        <v>0.13700000000000001</v>
      </c>
      <c r="EJ13" s="59">
        <f t="shared" si="114"/>
        <v>0.39069999999999999</v>
      </c>
      <c r="EK13" s="63" t="e">
        <f t="shared" ca="1" si="65"/>
        <v>#NUM!</v>
      </c>
      <c r="EL13" s="3" t="str">
        <f>RTD("tos.rtd",,EL$2,"."&amp;$A$2&amp;$AS$1&amp;"C"&amp;$A13)</f>
        <v>20.37%</v>
      </c>
      <c r="EM13" s="3" t="str">
        <f>RTD("tos.rtd",,EM$2,"."&amp;$A$2&amp;$AS$1&amp;"P"&amp;$A13)</f>
        <v>410.54%</v>
      </c>
      <c r="EN13" s="3" t="str">
        <f>RTD("tos.rtd",,EN$2,"."&amp;$A$2&amp;$AU$1&amp;"C"&amp;$A13)</f>
        <v>20.37%</v>
      </c>
      <c r="EO13" s="3" t="str">
        <f>RTD("tos.rtd",,EO$2,"."&amp;$A$2&amp;$AU$1&amp;"P"&amp;$A13)</f>
        <v>448.45%</v>
      </c>
      <c r="EP13" s="3" t="str">
        <f>RTD("tos.rtd",,EP$2,"."&amp;$A$2&amp;$AW$1&amp;"C"&amp;$A13)</f>
        <v>13.70%</v>
      </c>
      <c r="EQ13" s="3" t="str">
        <f>RTD("tos.rtd",,EQ$2,"."&amp;$A$2&amp;$AW$1&amp;"P"&amp;$A13)</f>
        <v>39.07%</v>
      </c>
      <c r="ES13" s="63" t="str">
        <f t="shared" si="66"/>
        <v>573,-1968.00</v>
      </c>
      <c r="ET13" s="63" t="str">
        <f t="shared" ca="1" si="67"/>
        <v>573,00.00</v>
      </c>
      <c r="EU13" s="67">
        <v>561.08000000000004</v>
      </c>
      <c r="EV13" s="67" t="s">
        <v>123</v>
      </c>
      <c r="EW13" s="67">
        <v>483.34</v>
      </c>
      <c r="EX13" s="67" t="s">
        <v>124</v>
      </c>
      <c r="EY13" s="67">
        <v>5631.28</v>
      </c>
      <c r="EZ13" s="67" t="s">
        <v>125</v>
      </c>
      <c r="FA13" s="67">
        <v>19867.973000000002</v>
      </c>
      <c r="FB13" s="67" t="s">
        <v>126</v>
      </c>
      <c r="FC13" s="67" t="s">
        <v>127</v>
      </c>
      <c r="FD13" s="67" t="s">
        <v>128</v>
      </c>
      <c r="FE13" s="67" t="s">
        <v>129</v>
      </c>
      <c r="FF13" s="67" t="s">
        <v>130</v>
      </c>
    </row>
    <row r="14" spans="1:162" s="63" customFormat="1" ht="13.5" thickBot="1" x14ac:dyDescent="0.25">
      <c r="A14" s="2">
        <f t="shared" si="68"/>
        <v>572</v>
      </c>
      <c r="B14" s="3">
        <f t="shared" si="82"/>
        <v>2963</v>
      </c>
      <c r="C14" s="3">
        <f t="shared" si="83"/>
        <v>14022</v>
      </c>
      <c r="D14" s="3">
        <f t="shared" si="84"/>
        <v>3639</v>
      </c>
      <c r="E14" s="3">
        <f t="shared" si="85"/>
        <v>20624</v>
      </c>
      <c r="F14" s="4">
        <f t="shared" si="86"/>
        <v>5755.4551662551876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2094</v>
      </c>
      <c r="AN14" s="1">
        <v>-2709</v>
      </c>
      <c r="AO14" s="1">
        <v>572</v>
      </c>
      <c r="AP14" s="1">
        <v>174621</v>
      </c>
      <c r="AQ14" s="1">
        <v>-9150</v>
      </c>
      <c r="AR14" s="1"/>
      <c r="AS14" s="6">
        <f>IF(RTD("tos.rtd",,AS$2,"."&amp;$A$2&amp;$AS$1&amp;"C"&amp;$A14)="N/A",0,RTD("tos.rtd",,AS$2,"."&amp;$A$2&amp;$AS$1&amp;"C"&amp;$A14))</f>
        <v>2915</v>
      </c>
      <c r="AT14" s="7">
        <f>-IF(RTD("tos.rtd",,AT$2,"."&amp;$A$2&amp;$AS$1&amp;"P"&amp;$A14)="N/A",0,RTD("tos.rtd",,AT$2,"."&amp;$A$2&amp;$AS$1&amp;"P"&amp;$A14))</f>
        <v>-48</v>
      </c>
      <c r="AU14" s="6">
        <f>IF(RTD("tos.rtd",,AU$2,"."&amp;$A$2&amp;$AU$1&amp;"C"&amp;$A14)="N/A",0,RTD("tos.rtd",,AU$2,"."&amp;$A$2&amp;$AU$1&amp;"C"&amp;$A14))</f>
        <v>13194</v>
      </c>
      <c r="AV14" s="7">
        <f>-IF(RTD("tos.rtd",,AV$2,"."&amp;$A$2&amp;$AU$1&amp;"P"&amp;$A14)="N/A",0,RTD("tos.rtd",,AV$2,"."&amp;$A$2&amp;$AU$1&amp;"P"&amp;$A14))</f>
        <v>-828</v>
      </c>
      <c r="AW14" s="6">
        <f>IF(RTD("tos.rtd",,AW$2,"."&amp;$A$2&amp;$AW$1&amp;"C"&amp;$A14)="N/A",0,RTD("tos.rtd",,AW$2,"."&amp;$A$2&amp;$AW$1&amp;"C"&amp;$A14))</f>
        <v>2830</v>
      </c>
      <c r="AX14" s="7">
        <f>-IF(RTD("tos.rtd",,AX$2,"."&amp;$A$2&amp;$AW$1&amp;"P"&amp;$A14)="N/A",0,RTD("tos.rtd",,AX$2,"."&amp;$A$2&amp;$AW$1&amp;"P"&amp;$A14))</f>
        <v>-809</v>
      </c>
      <c r="AY14" s="1">
        <f t="shared" si="87"/>
        <v>17254</v>
      </c>
      <c r="AZ14" s="8">
        <f t="shared" si="35"/>
        <v>572</v>
      </c>
      <c r="BA14" s="6">
        <f>IF(RTD("tos.rtd",,BA$2,"."&amp;$A$2&amp;$AS$1&amp;"C"&amp;$A14)="N/A",0,RTD("tos.rtd",,BA$2,"."&amp;$A$2&amp;$AS$1&amp;"C"&amp;$A14))</f>
        <v>0</v>
      </c>
      <c r="BB14" s="7">
        <f>-IF(RTD("tos.rtd",,BB$2,"."&amp;$A$2&amp;$AS$1&amp;"P"&amp;$A14)="N/A",0,RTD("tos.rtd",,BB$2,"."&amp;$A$2&amp;$AS$1&amp;"P"&amp;$A14))</f>
        <v>0</v>
      </c>
      <c r="BC14" s="6">
        <f>IF(RTD("tos.rtd",,BC$2,"."&amp;$A$2&amp;$AU$1&amp;"C"&amp;$A14)="N/A",0,RTD("tos.rtd",,BC$2,"."&amp;$A$2&amp;$AU$1&amp;"C"&amp;$A14))</f>
        <v>73412</v>
      </c>
      <c r="BD14" s="7">
        <f>-IF(RTD("tos.rtd",,BD$2,"."&amp;$A$2&amp;$AU$1&amp;"P"&amp;$A14)="N/A",0,RTD("tos.rtd",,BD$2,"."&amp;$A$2&amp;$AU$1&amp;"P"&amp;$A14))</f>
        <v>-1733</v>
      </c>
      <c r="BE14" s="6">
        <f>IF(RTD("tos.rtd",,BE$2,"."&amp;$A$2&amp;$AW$1&amp;"C"&amp;$A14)="N/A",0,RTD("tos.rtd",,BE$2,"."&amp;$A$2&amp;$AW$1&amp;"C"&amp;$A14))</f>
        <v>2726</v>
      </c>
      <c r="BF14" s="83">
        <f>-IF(RTD("tos.rtd",,BF$2,"."&amp;$A$2&amp;$AW$1&amp;"P"&amp;$A14)="N/A",0,RTD("tos.rtd",,BF$2,"."&amp;$A$2&amp;$AW$1&amp;"P"&amp;$A14))</f>
        <v>-67</v>
      </c>
      <c r="BG14" s="32">
        <f ca="1">+Hoja2!Y15</f>
        <v>1426</v>
      </c>
      <c r="BH14" s="7">
        <f t="shared" ca="1" si="36"/>
        <v>75764</v>
      </c>
      <c r="BI14" s="8" t="str">
        <f t="shared" ref="BI14" ca="1" si="123">IF(AND(BH14&lt;0,BH13&gt;0), "Cruce -", IF(AND(BH14&gt;0,BH13&lt;0),"Cruce +", ""))</f>
        <v/>
      </c>
      <c r="BJ14" s="3" t="e">
        <f ca="1">IF($BP$1=1,DX14,IF(RTD("tos.rtd",,BJ$2,"."&amp;$A$2&amp;$AS$1&amp;"C"&amp;$A14)="N/A",0,RTD("tos.rtd",,BJ$2,"."&amp;$A$2&amp;$AS$1&amp;"C"&amp;$A14)))</f>
        <v>#NUM!</v>
      </c>
      <c r="BK14" s="3" t="e">
        <f ca="1">IF($BP$1=1,DY14,-IF(RTD("tos.rtd",,BK$2,"."&amp;$A$2&amp;$AS$1&amp;"P"&amp;$A14)="N/A",0,RTD("tos.rtd",,BK$2,"."&amp;$A$2&amp;$AS$1&amp;"P"&amp;$A14)))</f>
        <v>#NUM!</v>
      </c>
      <c r="BL14" s="3" t="e">
        <f ca="1">IF($BP$1=1,DZ14,IF(RTD("tos.rtd",,BL$2,"."&amp;$A$2&amp;$AU$1&amp;"C"&amp;$A14)="N/A",0,RTD("tos.rtd",,BL$2,"."&amp;$A$2&amp;$AU$1&amp;"C"&amp;$A14)))</f>
        <v>#NUM!</v>
      </c>
      <c r="BM14" s="3" t="e">
        <f ca="1">IF($BP$1=1,EA14,-IF(RTD("tos.rtd",,BM$2,"."&amp;$A$2&amp;$AU$1&amp;"P"&amp;$A14)="N/A",0,RTD("tos.rtd",,BM$2,"."&amp;$A$2&amp;$AU$1&amp;"P"&amp;$A14)))</f>
        <v>#NUM!</v>
      </c>
      <c r="BN14" s="3" t="e">
        <f ca="1">IF($BP$1=1,EB14,IF(RTD("tos.rtd",,BN$2,"."&amp;$A$2&amp;$AW$1&amp;"C"&amp;$A14)="N/A",0,RTD("tos.rtd",,BN$2,"."&amp;$A$2&amp;$AW$1&amp;"C"&amp;$A14)))</f>
        <v>#NUM!</v>
      </c>
      <c r="BO14" s="3" t="e">
        <f ca="1">IF($BP$1=1,EC14,-IF(RTD("tos.rtd",,BO$2,"."&amp;$A$2&amp;$AW$1&amp;"P"&amp;$A14)="N/A",0,RTD("tos.rtd",,BO$2,"."&amp;$A$2&amp;$AW$1&amp;"P"&amp;$A14)))</f>
        <v>#NUM!</v>
      </c>
      <c r="BQ14" s="3" t="e">
        <f t="shared" ca="1" si="89"/>
        <v>#NUM!</v>
      </c>
      <c r="BR14" s="3" t="e">
        <f t="shared" ca="1" si="71"/>
        <v>#NUM!</v>
      </c>
      <c r="BS14" s="3" t="e">
        <f t="shared" ca="1" si="90"/>
        <v>#NUM!</v>
      </c>
      <c r="BT14" s="3" t="e">
        <f t="shared" ca="1" si="71"/>
        <v>#NUM!</v>
      </c>
      <c r="BU14" s="3" t="e">
        <f t="shared" ca="1" si="91"/>
        <v>#NUM!</v>
      </c>
      <c r="BV14" s="3" t="e">
        <f t="shared" ref="BV14" ca="1" si="124">IF(AND(BU14&lt;0,BU13&gt;0), "Cruce -", IF(AND(BU14&gt;0,BU13&lt;0),"Cruce +", ""))</f>
        <v>#NUM!</v>
      </c>
      <c r="BX14" s="3" t="e">
        <f t="shared" ca="1" si="93"/>
        <v>#NUM!</v>
      </c>
      <c r="BY14" s="3" t="e">
        <f t="shared" ca="1" si="73"/>
        <v>#NUM!</v>
      </c>
      <c r="BZ14" s="3" t="e">
        <f t="shared" ca="1" si="94"/>
        <v>#NUM!</v>
      </c>
      <c r="CA14" s="3" t="e">
        <f t="shared" ca="1" si="74"/>
        <v>#NUM!</v>
      </c>
      <c r="CB14" s="3" t="e">
        <f t="shared" ca="1" si="95"/>
        <v>#NUM!</v>
      </c>
      <c r="CC14" s="3" t="e">
        <f t="shared" ca="1" si="75"/>
        <v>#NUM!</v>
      </c>
      <c r="CD14" s="3">
        <f>IF(RTD("tos.rtd",,CD$2,"."&amp;$A$2&amp;$AS$1&amp;"C"&amp;$A14)="N/A",0,RTD("tos.rtd",,CD$2,"."&amp;$A$2&amp;$AS$1&amp;"C"&amp;$A14))</f>
        <v>0.03</v>
      </c>
      <c r="CE14" s="3">
        <f>-IF(RTD("tos.rtd",,CE$2,"."&amp;$A$2&amp;$AS$1&amp;"P"&amp;$A14)="N/A",0,RTD("tos.rtd",,CE$2,"."&amp;$A$2&amp;$AS$1&amp;"P"&amp;$A14))</f>
        <v>0.52</v>
      </c>
      <c r="CF14" s="3">
        <f>IF(RTD("tos.rtd",,CF$2,"."&amp;$A$2&amp;$AU$1&amp;"C"&amp;$A14)="N/A",0,RTD("tos.rtd",,CF$2,"."&amp;$A$2&amp;$AU$1&amp;"C"&amp;$A14))</f>
        <v>0.03</v>
      </c>
      <c r="CG14" s="3">
        <f>-IF(RTD("tos.rtd",,CG$2,"."&amp;$A$2&amp;$AU$1&amp;"P"&amp;$A14)="N/A",0,RTD("tos.rtd",,CG$2,"."&amp;$A$2&amp;$AU$1&amp;"P"&amp;$A14))</f>
        <v>0.51</v>
      </c>
      <c r="CH14" s="3">
        <f>IF(RTD("tos.rtd",,CH$2,"."&amp;$A$2&amp;$AW$1&amp;"C"&amp;$A14)="N/A",0,RTD("tos.rtd",,CH$2,"."&amp;$A$2&amp;$AW$1&amp;"C"&amp;$A14))</f>
        <v>0.47</v>
      </c>
      <c r="CI14" s="3">
        <f>-IF(RTD("tos.rtd",,CI$2,"."&amp;$A$2&amp;$AW$1&amp;"P"&amp;$A14)="N/A",0,RTD("tos.rtd",,CI$2,"."&amp;$A$2&amp;$AW$1&amp;"P"&amp;$A14))</f>
        <v>0.5</v>
      </c>
      <c r="CK14" s="3">
        <f t="shared" si="96"/>
        <v>6249</v>
      </c>
      <c r="CL14" s="3"/>
      <c r="CM14" s="3">
        <f t="shared" si="97"/>
        <v>-2646</v>
      </c>
      <c r="CN14" s="3"/>
      <c r="CO14" s="3">
        <f t="shared" si="98"/>
        <v>92560</v>
      </c>
      <c r="CP14" s="3">
        <f t="shared" si="99"/>
        <v>96163</v>
      </c>
      <c r="CQ14" s="3">
        <f t="shared" si="100"/>
        <v>0</v>
      </c>
      <c r="CR14" s="3"/>
      <c r="CS14" s="3">
        <f t="shared" si="101"/>
        <v>71679</v>
      </c>
      <c r="CT14" s="3"/>
      <c r="CU14" s="3">
        <f t="shared" si="102"/>
        <v>2659</v>
      </c>
      <c r="CV14" s="3">
        <f t="shared" si="103"/>
        <v>74338</v>
      </c>
      <c r="CW14" s="3" t="e">
        <f t="shared" ca="1" si="104"/>
        <v>#NUM!</v>
      </c>
      <c r="CX14" s="85" t="e">
        <f t="shared" ca="1" si="76"/>
        <v>#NUM!</v>
      </c>
      <c r="CY14" s="3" t="e">
        <f t="shared" ca="1" si="105"/>
        <v>#NUM!</v>
      </c>
      <c r="CZ14" s="85" t="e">
        <f t="shared" ca="1" si="77"/>
        <v>#NUM!</v>
      </c>
      <c r="DA14" s="3">
        <f>IF(RTD("tos.rtd",,DA$2,"."&amp;$A$2&amp;$AS$1&amp;"C"&amp;$A14)="N/A",0,RTD("tos.rtd",,DA$2,"."&amp;$A$2&amp;$AS$1&amp;"C"&amp;$A14))</f>
        <v>0.01</v>
      </c>
      <c r="DB14" s="3">
        <f>IF(RTD("tos.rtd",,DB$2,"."&amp;$A$2&amp;$AS$1&amp;"P"&amp;$A14)="N/A",0,RTD("tos.rtd",,DB$2,"."&amp;$A$2&amp;$AS$1&amp;"P"&amp;$A14))</f>
        <v>6.54</v>
      </c>
      <c r="DC14" s="3">
        <f>IF(RTD("tos.rtd",,DC$2,"."&amp;$A$2&amp;$AS$1&amp;"C"&amp;$A14)="N/A",0,RTD("tos.rtd",,DC$2,"."&amp;$A$2&amp;$AS$1&amp;"C"&amp;$A14))</f>
        <v>0.01</v>
      </c>
      <c r="DD14" s="3">
        <f>IF(RTD("tos.rtd",,DD$2,"."&amp;$A$2&amp;$AS$1&amp;"P"&amp;$A14)="N/A",0,RTD("tos.rtd",,DD$2,"."&amp;$A$2&amp;$AS$1&amp;"P"&amp;$A14))</f>
        <v>8.02</v>
      </c>
      <c r="DE14" s="3">
        <f>IF(RTD("tos.rtd",,DE$2,"."&amp;$A$2&amp;$AS$1&amp;"C"&amp;$A14)="N/A",0,RTD("tos.rtd",,DE$2,"."&amp;$A$2&amp;$AS$1&amp;"C"&amp;$A14))</f>
        <v>0</v>
      </c>
      <c r="DF14" s="3">
        <f>IF(RTD("tos.rtd",,DF$2,"."&amp;$A$2&amp;$AS$1&amp;"P"&amp;$A14)="N/A",0,RTD("tos.rtd",,DF$2,"."&amp;$A$2&amp;$AS$1&amp;"P"&amp;$A14))</f>
        <v>6.07</v>
      </c>
      <c r="DG14" s="86">
        <f t="shared" si="48"/>
        <v>0.88999999999998636</v>
      </c>
      <c r="DH14" s="3">
        <f t="shared" si="106"/>
        <v>-174621</v>
      </c>
      <c r="DI14" s="3">
        <f t="shared" si="107"/>
        <v>2205.3846153846148</v>
      </c>
      <c r="DJ14" s="3">
        <f t="shared" si="108"/>
        <v>-174621</v>
      </c>
      <c r="DK14" s="3">
        <f t="shared" si="51"/>
        <v>-9150</v>
      </c>
      <c r="DL14" s="3">
        <f t="shared" si="52"/>
        <v>-172415.61538461538</v>
      </c>
      <c r="DM14" s="3">
        <f t="shared" si="53"/>
        <v>-183771</v>
      </c>
      <c r="DN14" s="63" t="str">
        <f t="shared" si="54"/>
        <v>UNKNOWN</v>
      </c>
      <c r="DO14" s="63" t="str">
        <f t="shared" si="55"/>
        <v>UNKNOWN</v>
      </c>
      <c r="DP14" s="3">
        <f t="shared" si="56"/>
        <v>12677.005384615382</v>
      </c>
      <c r="DQ14" s="3">
        <f t="shared" si="57"/>
        <v>-61587.21</v>
      </c>
      <c r="DR14" s="3" t="e">
        <f t="shared" ca="1" si="58"/>
        <v>#NUM!</v>
      </c>
      <c r="DS14" s="3">
        <f t="shared" si="59"/>
        <v>-9996.630000000001</v>
      </c>
      <c r="DT14" s="3">
        <f t="shared" si="60"/>
        <v>-174621</v>
      </c>
      <c r="DU14" s="3">
        <f t="shared" si="61"/>
        <v>9150</v>
      </c>
      <c r="DV14" s="3">
        <f t="shared" si="62"/>
        <v>2094</v>
      </c>
      <c r="DW14" s="3">
        <f t="shared" si="23"/>
        <v>-2709</v>
      </c>
      <c r="DX14" s="3" t="e">
        <f t="shared" ca="1" si="24"/>
        <v>#NUM!</v>
      </c>
      <c r="DY14" s="3" t="e">
        <f t="shared" ca="1" si="25"/>
        <v>#NUM!</v>
      </c>
      <c r="DZ14" s="3" t="e">
        <f t="shared" ca="1" si="26"/>
        <v>#NUM!</v>
      </c>
      <c r="EA14" s="3" t="e">
        <f t="shared" ca="1" si="27"/>
        <v>#NUM!</v>
      </c>
      <c r="EB14" s="3" t="e">
        <f t="shared" ca="1" si="28"/>
        <v>#NUM!</v>
      </c>
      <c r="EC14" s="3" t="e">
        <f t="shared" ca="1" si="29"/>
        <v>#NUM!</v>
      </c>
      <c r="ED14" s="63">
        <f t="shared" si="63"/>
        <v>-615</v>
      </c>
      <c r="EE14" s="59">
        <f t="shared" si="109"/>
        <v>0.10780000000000001</v>
      </c>
      <c r="EF14" s="59">
        <f t="shared" si="110"/>
        <v>3.8275999999999999</v>
      </c>
      <c r="EG14" s="59">
        <f t="shared" si="111"/>
        <v>0.10780000000000001</v>
      </c>
      <c r="EH14" s="59">
        <f t="shared" si="112"/>
        <v>4.1590999999999996</v>
      </c>
      <c r="EI14" s="59">
        <f t="shared" si="113"/>
        <v>0.13300000000000001</v>
      </c>
      <c r="EJ14" s="59">
        <f t="shared" si="114"/>
        <v>0.38519999999999999</v>
      </c>
      <c r="EK14" s="63" t="e">
        <f t="shared" ca="1" si="65"/>
        <v>#NUM!</v>
      </c>
      <c r="EL14" s="3" t="str">
        <f>RTD("tos.rtd",,EL$2,"."&amp;$A$2&amp;$AS$1&amp;"C"&amp;$A14)</f>
        <v>10.78%</v>
      </c>
      <c r="EM14" s="3" t="str">
        <f>RTD("tos.rtd",,EM$2,"."&amp;$A$2&amp;$AS$1&amp;"P"&amp;$A14)</f>
        <v>382.76%</v>
      </c>
      <c r="EN14" s="3" t="str">
        <f>RTD("tos.rtd",,EN$2,"."&amp;$A$2&amp;$AU$1&amp;"C"&amp;$A14)</f>
        <v>10.78%</v>
      </c>
      <c r="EO14" s="3" t="str">
        <f>RTD("tos.rtd",,EO$2,"."&amp;$A$2&amp;$AU$1&amp;"P"&amp;$A14)</f>
        <v>415.91%</v>
      </c>
      <c r="EP14" s="3" t="str">
        <f>RTD("tos.rtd",,EP$2,"."&amp;$A$2&amp;$AW$1&amp;"C"&amp;$A14)</f>
        <v>13.30%</v>
      </c>
      <c r="EQ14" s="3" t="str">
        <f>RTD("tos.rtd",,EQ$2,"."&amp;$A$2&amp;$AW$1&amp;"P"&amp;$A14)</f>
        <v>38.52%</v>
      </c>
      <c r="ES14" s="63" t="str">
        <f t="shared" si="66"/>
        <v>572,-615.00</v>
      </c>
      <c r="ET14" s="63" t="str">
        <f t="shared" ca="1" si="67"/>
        <v>572,00.00</v>
      </c>
      <c r="EU14" s="67">
        <v>561.04</v>
      </c>
      <c r="EV14" s="67" t="s">
        <v>131</v>
      </c>
      <c r="EW14" s="67">
        <v>483.37</v>
      </c>
      <c r="EX14" s="67" t="s">
        <v>132</v>
      </c>
      <c r="EY14" s="67">
        <v>5631.28</v>
      </c>
      <c r="EZ14" s="67" t="s">
        <v>133</v>
      </c>
      <c r="FA14" s="67">
        <v>19867.973000000002</v>
      </c>
      <c r="FB14" s="67" t="s">
        <v>134</v>
      </c>
      <c r="FC14" s="67" t="s">
        <v>135</v>
      </c>
      <c r="FD14" s="67" t="s">
        <v>136</v>
      </c>
      <c r="FE14" s="67" t="s">
        <v>137</v>
      </c>
      <c r="FF14" s="67" t="s">
        <v>138</v>
      </c>
    </row>
    <row r="15" spans="1:162" s="63" customFormat="1" ht="13.5" thickBot="1" x14ac:dyDescent="0.25">
      <c r="A15" s="2">
        <f t="shared" si="68"/>
        <v>571</v>
      </c>
      <c r="B15" s="3">
        <f t="shared" si="9"/>
        <v>4311</v>
      </c>
      <c r="C15" s="3">
        <f t="shared" si="10"/>
        <v>10817</v>
      </c>
      <c r="D15" s="3">
        <f t="shared" si="11"/>
        <v>3968</v>
      </c>
      <c r="E15" s="3">
        <f t="shared" si="12"/>
        <v>19096</v>
      </c>
      <c r="F15" s="4">
        <f t="shared" si="13"/>
        <v>5745.393181698797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>
        <v>25590</v>
      </c>
      <c r="AN15" s="1">
        <v>1573</v>
      </c>
      <c r="AO15" s="1">
        <v>571</v>
      </c>
      <c r="AP15" s="1">
        <v>197068</v>
      </c>
      <c r="AQ15" s="1">
        <v>-16891</v>
      </c>
      <c r="AR15" s="1"/>
      <c r="AS15" s="6">
        <f>IF(RTD("tos.rtd",,AS$2,"."&amp;$A$2&amp;$AS$1&amp;"C"&amp;$A15)="N/A",0,RTD("tos.rtd",,AS$2,"."&amp;$A$2&amp;$AS$1&amp;"C"&amp;$A15))</f>
        <v>4163</v>
      </c>
      <c r="AT15" s="7">
        <f>-IF(RTD("tos.rtd",,AT$2,"."&amp;$A$2&amp;$AS$1&amp;"P"&amp;$A15)="N/A",0,RTD("tos.rtd",,AT$2,"."&amp;$A$2&amp;$AS$1&amp;"P"&amp;$A15))</f>
        <v>-148</v>
      </c>
      <c r="AU15" s="6">
        <f>IF(RTD("tos.rtd",,AU$2,"."&amp;$A$2&amp;$AU$1&amp;"C"&amp;$A15)="N/A",0,RTD("tos.rtd",,AU$2,"."&amp;$A$2&amp;$AU$1&amp;"C"&amp;$A15))</f>
        <v>8834</v>
      </c>
      <c r="AV15" s="7">
        <f>-IF(RTD("tos.rtd",,AV$2,"."&amp;$A$2&amp;$AU$1&amp;"P"&amp;$A15)="N/A",0,RTD("tos.rtd",,AV$2,"."&amp;$A$2&amp;$AU$1&amp;"P"&amp;$A15))</f>
        <v>-1983</v>
      </c>
      <c r="AW15" s="6">
        <f>IF(RTD("tos.rtd",,AW$2,"."&amp;$A$2&amp;$AW$1&amp;"C"&amp;$A15)="N/A",0,RTD("tos.rtd",,AW$2,"."&amp;$A$2&amp;$AW$1&amp;"C"&amp;$A15))</f>
        <v>3097</v>
      </c>
      <c r="AX15" s="7">
        <f>-IF(RTD("tos.rtd",,AX$2,"."&amp;$A$2&amp;$AW$1&amp;"P"&amp;$A15)="N/A",0,RTD("tos.rtd",,AX$2,"."&amp;$A$2&amp;$AW$1&amp;"P"&amp;$A15))</f>
        <v>-871</v>
      </c>
      <c r="AY15" s="1">
        <f t="shared" si="69"/>
        <v>13092</v>
      </c>
      <c r="AZ15" s="8">
        <f t="shared" si="35"/>
        <v>571</v>
      </c>
      <c r="BA15" s="6">
        <f>IF(RTD("tos.rtd",,BA$2,"."&amp;$A$2&amp;$AS$1&amp;"C"&amp;$A15)="N/A",0,RTD("tos.rtd",,BA$2,"."&amp;$A$2&amp;$AS$1&amp;"C"&amp;$A15))</f>
        <v>0</v>
      </c>
      <c r="BB15" s="7">
        <f>-IF(RTD("tos.rtd",,BB$2,"."&amp;$A$2&amp;$AS$1&amp;"P"&amp;$A15)="N/A",0,RTD("tos.rtd",,BB$2,"."&amp;$A$2&amp;$AS$1&amp;"P"&amp;$A15))</f>
        <v>0</v>
      </c>
      <c r="BC15" s="6">
        <f>IF(RTD("tos.rtd",,BC$2,"."&amp;$A$2&amp;$AU$1&amp;"C"&amp;$A15)="N/A",0,RTD("tos.rtd",,BC$2,"."&amp;$A$2&amp;$AU$1&amp;"C"&amp;$A15))</f>
        <v>81781</v>
      </c>
      <c r="BD15" s="7">
        <f>-IF(RTD("tos.rtd",,BD$2,"."&amp;$A$2&amp;$AU$1&amp;"P"&amp;$A15)="N/A",0,RTD("tos.rtd",,BD$2,"."&amp;$A$2&amp;$AU$1&amp;"P"&amp;$A15))</f>
        <v>-1727</v>
      </c>
      <c r="BE15" s="6">
        <f>IF(RTD("tos.rtd",,BE$2,"."&amp;$A$2&amp;$AW$1&amp;"C"&amp;$A15)="N/A",0,RTD("tos.rtd",,BE$2,"."&amp;$A$2&amp;$AW$1&amp;"C"&amp;$A15))</f>
        <v>3571</v>
      </c>
      <c r="BF15" s="83">
        <f>-IF(RTD("tos.rtd",,BF$2,"."&amp;$A$2&amp;$AW$1&amp;"P"&amp;$A15)="N/A",0,RTD("tos.rtd",,BF$2,"."&amp;$A$2&amp;$AW$1&amp;"P"&amp;$A15))</f>
        <v>-17</v>
      </c>
      <c r="BG15" s="32">
        <f ca="1">+Hoja2!Y16</f>
        <v>2170</v>
      </c>
      <c r="BH15" s="7">
        <f t="shared" ca="1" si="36"/>
        <v>85778</v>
      </c>
      <c r="BI15" s="8" t="str">
        <f t="shared" ref="BI15" ca="1" si="125">IF(AND(BH15&lt;0,BH14&gt;0), "Cruce -", IF(AND(BH15&gt;0,BH14&lt;0),"Cruce +", ""))</f>
        <v/>
      </c>
      <c r="BJ15" s="3" t="e">
        <f ca="1">IF($BP$1=1,DX15,IF(RTD("tos.rtd",,BJ$2,"."&amp;$A$2&amp;$AS$1&amp;"C"&amp;$A15)="N/A",0,RTD("tos.rtd",,BJ$2,"."&amp;$A$2&amp;$AS$1&amp;"C"&amp;$A15)))</f>
        <v>#NUM!</v>
      </c>
      <c r="BK15" s="3" t="e">
        <f ca="1">IF($BP$1=1,DY15,-IF(RTD("tos.rtd",,BK$2,"."&amp;$A$2&amp;$AS$1&amp;"P"&amp;$A15)="N/A",0,RTD("tos.rtd",,BK$2,"."&amp;$A$2&amp;$AS$1&amp;"P"&amp;$A15)))</f>
        <v>#NUM!</v>
      </c>
      <c r="BL15" s="3" t="e">
        <f ca="1">IF($BP$1=1,DZ15,IF(RTD("tos.rtd",,BL$2,"."&amp;$A$2&amp;$AU$1&amp;"C"&amp;$A15)="N/A",0,RTD("tos.rtd",,BL$2,"."&amp;$A$2&amp;$AU$1&amp;"C"&amp;$A15)))</f>
        <v>#NUM!</v>
      </c>
      <c r="BM15" s="3" t="e">
        <f ca="1">IF($BP$1=1,EA15,-IF(RTD("tos.rtd",,BM$2,"."&amp;$A$2&amp;$AU$1&amp;"P"&amp;$A15)="N/A",0,RTD("tos.rtd",,BM$2,"."&amp;$A$2&amp;$AU$1&amp;"P"&amp;$A15)))</f>
        <v>#NUM!</v>
      </c>
      <c r="BN15" s="3" t="e">
        <f ca="1">IF($BP$1=1,EB15,IF(RTD("tos.rtd",,BN$2,"."&amp;$A$2&amp;$AW$1&amp;"C"&amp;$A15)="N/A",0,RTD("tos.rtd",,BN$2,"."&amp;$A$2&amp;$AW$1&amp;"C"&amp;$A15)))</f>
        <v>#NUM!</v>
      </c>
      <c r="BO15" s="3" t="e">
        <f ca="1">IF($BP$1=1,EC15,-IF(RTD("tos.rtd",,BO$2,"."&amp;$A$2&amp;$AW$1&amp;"P"&amp;$A15)="N/A",0,RTD("tos.rtd",,BO$2,"."&amp;$A$2&amp;$AW$1&amp;"P"&amp;$A15)))</f>
        <v>#NUM!</v>
      </c>
      <c r="BQ15" s="3" t="e">
        <f t="shared" ca="1" si="37"/>
        <v>#NUM!</v>
      </c>
      <c r="BR15" s="3" t="e">
        <f t="shared" ca="1" si="71"/>
        <v>#NUM!</v>
      </c>
      <c r="BS15" s="3" t="e">
        <f t="shared" ca="1" si="38"/>
        <v>#NUM!</v>
      </c>
      <c r="BT15" s="3" t="e">
        <f t="shared" ca="1" si="71"/>
        <v>#NUM!</v>
      </c>
      <c r="BU15" s="3" t="e">
        <f t="shared" ca="1" si="39"/>
        <v>#NUM!</v>
      </c>
      <c r="BV15" s="3" t="e">
        <f t="shared" ref="BV15" ca="1" si="126">IF(AND(BU15&lt;0,BU14&gt;0), "Cruce -", IF(AND(BU15&gt;0,BU14&lt;0),"Cruce +", ""))</f>
        <v>#NUM!</v>
      </c>
      <c r="BX15" s="3" t="e">
        <f t="shared" ca="1" si="40"/>
        <v>#NUM!</v>
      </c>
      <c r="BY15" s="3" t="e">
        <f t="shared" ca="1" si="73"/>
        <v>#NUM!</v>
      </c>
      <c r="BZ15" s="3" t="e">
        <f t="shared" ca="1" si="41"/>
        <v>#NUM!</v>
      </c>
      <c r="CA15" s="3" t="e">
        <f t="shared" ca="1" si="74"/>
        <v>#NUM!</v>
      </c>
      <c r="CB15" s="3" t="e">
        <f t="shared" ca="1" si="42"/>
        <v>#NUM!</v>
      </c>
      <c r="CC15" s="3" t="e">
        <f t="shared" ca="1" si="75"/>
        <v>#NUM!</v>
      </c>
      <c r="CD15" s="3">
        <f>IF(RTD("tos.rtd",,CD$2,"."&amp;$A$2&amp;$AS$1&amp;"C"&amp;$A15)="N/A",0,RTD("tos.rtd",,CD$2,"."&amp;$A$2&amp;$AS$1&amp;"C"&amp;$A15))</f>
        <v>1</v>
      </c>
      <c r="CE15" s="3">
        <f>-IF(RTD("tos.rtd",,CE$2,"."&amp;$A$2&amp;$AS$1&amp;"P"&amp;$A15)="N/A",0,RTD("tos.rtd",,CE$2,"."&amp;$A$2&amp;$AS$1&amp;"P"&amp;$A15))</f>
        <v>0.49</v>
      </c>
      <c r="CF15" s="3">
        <f>IF(RTD("tos.rtd",,CF$2,"."&amp;$A$2&amp;$AU$1&amp;"C"&amp;$A15)="N/A",0,RTD("tos.rtd",,CF$2,"."&amp;$A$2&amp;$AU$1&amp;"C"&amp;$A15))</f>
        <v>1</v>
      </c>
      <c r="CG15" s="3">
        <f>-IF(RTD("tos.rtd",,CG$2,"."&amp;$A$2&amp;$AU$1&amp;"P"&amp;$A15)="N/A",0,RTD("tos.rtd",,CG$2,"."&amp;$A$2&amp;$AU$1&amp;"P"&amp;$A15))</f>
        <v>0.49</v>
      </c>
      <c r="CH15" s="3">
        <f>IF(RTD("tos.rtd",,CH$2,"."&amp;$A$2&amp;$AW$1&amp;"C"&amp;$A15)="N/A",0,RTD("tos.rtd",,CH$2,"."&amp;$A$2&amp;$AW$1&amp;"C"&amp;$A15))</f>
        <v>0.52</v>
      </c>
      <c r="CI15" s="3">
        <f>-IF(RTD("tos.rtd",,CI$2,"."&amp;$A$2&amp;$AW$1&amp;"P"&amp;$A15)="N/A",0,RTD("tos.rtd",,CI$2,"."&amp;$A$2&amp;$AW$1&amp;"P"&amp;$A15))</f>
        <v>0.49</v>
      </c>
      <c r="CK15" s="3">
        <f t="shared" si="17"/>
        <v>409048</v>
      </c>
      <c r="CL15" s="3"/>
      <c r="CM15" s="3">
        <f t="shared" si="18"/>
        <v>786233</v>
      </c>
      <c r="CN15" s="3"/>
      <c r="CO15" s="3">
        <f t="shared" si="19"/>
        <v>118365</v>
      </c>
      <c r="CP15" s="3">
        <f t="shared" si="43"/>
        <v>1313646</v>
      </c>
      <c r="CQ15" s="3">
        <f t="shared" si="44"/>
        <v>0</v>
      </c>
      <c r="CR15" s="3"/>
      <c r="CS15" s="3">
        <f t="shared" si="20"/>
        <v>80054</v>
      </c>
      <c r="CT15" s="3"/>
      <c r="CU15" s="3">
        <f t="shared" si="21"/>
        <v>3554</v>
      </c>
      <c r="CV15" s="3">
        <f t="shared" si="45"/>
        <v>83608</v>
      </c>
      <c r="CW15" s="3" t="e">
        <f t="shared" ca="1" si="46"/>
        <v>#NUM!</v>
      </c>
      <c r="CX15" s="85" t="e">
        <f t="shared" ca="1" si="76"/>
        <v>#NUM!</v>
      </c>
      <c r="CY15" s="3" t="e">
        <f t="shared" ca="1" si="47"/>
        <v>#NUM!</v>
      </c>
      <c r="CZ15" s="85" t="e">
        <f t="shared" ca="1" si="77"/>
        <v>#NUM!</v>
      </c>
      <c r="DA15" s="3">
        <f>IF(RTD("tos.rtd",,DA$2,"."&amp;$A$2&amp;$AS$1&amp;"C"&amp;$A15)="N/A",0,RTD("tos.rtd",,DA$2,"."&amp;$A$2&amp;$AS$1&amp;"C"&amp;$A15))</f>
        <v>0.01</v>
      </c>
      <c r="DB15" s="3">
        <f>IF(RTD("tos.rtd",,DB$2,"."&amp;$A$2&amp;$AS$1&amp;"P"&amp;$A15)="N/A",0,RTD("tos.rtd",,DB$2,"."&amp;$A$2&amp;$AS$1&amp;"P"&amp;$A15))</f>
        <v>6</v>
      </c>
      <c r="DC15" s="3">
        <f>IF(RTD("tos.rtd",,DC$2,"."&amp;$A$2&amp;$AS$1&amp;"C"&amp;$A15)="N/A",0,RTD("tos.rtd",,DC$2,"."&amp;$A$2&amp;$AS$1&amp;"C"&amp;$A15))</f>
        <v>0.01</v>
      </c>
      <c r="DD15" s="3">
        <f>IF(RTD("tos.rtd",,DD$2,"."&amp;$A$2&amp;$AS$1&amp;"P"&amp;$A15)="N/A",0,RTD("tos.rtd",,DD$2,"."&amp;$A$2&amp;$AS$1&amp;"P"&amp;$A15))</f>
        <v>6.73</v>
      </c>
      <c r="DE15" s="3">
        <f>IF(RTD("tos.rtd",,DE$2,"."&amp;$A$2&amp;$AS$1&amp;"C"&amp;$A15)="N/A",0,RTD("tos.rtd",,DE$2,"."&amp;$A$2&amp;$AS$1&amp;"C"&amp;$A15))</f>
        <v>0</v>
      </c>
      <c r="DF15" s="3">
        <f>IF(RTD("tos.rtd",,DF$2,"."&amp;$A$2&amp;$AS$1&amp;"P"&amp;$A15)="N/A",0,RTD("tos.rtd",,DF$2,"."&amp;$A$2&amp;$AS$1&amp;"P"&amp;$A15))</f>
        <v>5.07</v>
      </c>
      <c r="DG15" s="86">
        <f t="shared" si="48"/>
        <v>-0.11000000000001364</v>
      </c>
      <c r="DH15" s="3">
        <f t="shared" si="22"/>
        <v>-197068</v>
      </c>
      <c r="DI15" s="3">
        <f t="shared" si="49"/>
        <v>9463.0301204819243</v>
      </c>
      <c r="DJ15" s="3">
        <f t="shared" si="50"/>
        <v>-197068</v>
      </c>
      <c r="DK15" s="3">
        <f t="shared" si="51"/>
        <v>0</v>
      </c>
      <c r="DL15" s="3">
        <f t="shared" si="52"/>
        <v>-187604.96987951809</v>
      </c>
      <c r="DM15" s="3">
        <f t="shared" si="53"/>
        <v>-197068</v>
      </c>
      <c r="DN15" s="63" t="str">
        <f t="shared" si="54"/>
        <v>UNKNOWN</v>
      </c>
      <c r="DO15" s="63" t="str">
        <f t="shared" si="55"/>
        <v>UNKNOWN</v>
      </c>
      <c r="DP15" s="3">
        <f t="shared" si="56"/>
        <v>54807.500722891542</v>
      </c>
      <c r="DQ15" s="3">
        <f t="shared" si="57"/>
        <v>-1970.68</v>
      </c>
      <c r="DR15" s="3" t="e">
        <f t="shared" ca="1" si="58"/>
        <v>#NUM!</v>
      </c>
      <c r="DS15" s="3">
        <f t="shared" si="59"/>
        <v>-197068</v>
      </c>
      <c r="DT15" s="3">
        <f t="shared" si="60"/>
        <v>-197068</v>
      </c>
      <c r="DU15" s="3">
        <f t="shared" si="61"/>
        <v>16891</v>
      </c>
      <c r="DV15" s="3">
        <f t="shared" si="62"/>
        <v>25590</v>
      </c>
      <c r="DW15" s="3">
        <f t="shared" si="23"/>
        <v>1573</v>
      </c>
      <c r="DX15" s="3" t="e">
        <f t="shared" ca="1" si="24"/>
        <v>#NUM!</v>
      </c>
      <c r="DY15" s="3" t="e">
        <f t="shared" ca="1" si="25"/>
        <v>#NUM!</v>
      </c>
      <c r="DZ15" s="3" t="e">
        <f t="shared" ca="1" si="26"/>
        <v>#NUM!</v>
      </c>
      <c r="EA15" s="3" t="e">
        <f t="shared" ca="1" si="27"/>
        <v>#NUM!</v>
      </c>
      <c r="EB15" s="3" t="e">
        <f t="shared" ca="1" si="28"/>
        <v>#NUM!</v>
      </c>
      <c r="EC15" s="3" t="e">
        <f t="shared" ca="1" si="29"/>
        <v>#NUM!</v>
      </c>
      <c r="ED15" s="63">
        <f t="shared" si="63"/>
        <v>27163</v>
      </c>
      <c r="EE15" s="59">
        <f t="shared" si="64"/>
        <v>0.25</v>
      </c>
      <c r="EF15" s="59">
        <f t="shared" si="30"/>
        <v>3.4613999999999998</v>
      </c>
      <c r="EG15" s="59">
        <f t="shared" si="31"/>
        <v>0.25</v>
      </c>
      <c r="EH15" s="59">
        <f t="shared" si="32"/>
        <v>3.8740000000000001</v>
      </c>
      <c r="EI15" s="59">
        <f t="shared" si="33"/>
        <v>0.12839999999999999</v>
      </c>
      <c r="EJ15" s="59">
        <f t="shared" si="34"/>
        <v>0.38019999999999998</v>
      </c>
      <c r="EK15" s="63" t="e">
        <f t="shared" ca="1" si="65"/>
        <v>#NUM!</v>
      </c>
      <c r="EL15" s="3" t="str">
        <f>RTD("tos.rtd",,EL$2,"."&amp;$A$2&amp;$AS$1&amp;"C"&amp;$A15)</f>
        <v>--</v>
      </c>
      <c r="EM15" s="3" t="str">
        <f>RTD("tos.rtd",,EM$2,"."&amp;$A$2&amp;$AS$1&amp;"P"&amp;$A15)</f>
        <v>346.14%</v>
      </c>
      <c r="EN15" s="3" t="str">
        <f>RTD("tos.rtd",,EN$2,"."&amp;$A$2&amp;$AU$1&amp;"C"&amp;$A15)</f>
        <v>--</v>
      </c>
      <c r="EO15" s="3" t="str">
        <f>RTD("tos.rtd",,EO$2,"."&amp;$A$2&amp;$AU$1&amp;"P"&amp;$A15)</f>
        <v>387.40%</v>
      </c>
      <c r="EP15" s="3" t="str">
        <f>RTD("tos.rtd",,EP$2,"."&amp;$A$2&amp;$AW$1&amp;"C"&amp;$A15)</f>
        <v>12.84%</v>
      </c>
      <c r="EQ15" s="3" t="str">
        <f>RTD("tos.rtd",,EQ$2,"."&amp;$A$2&amp;$AW$1&amp;"P"&amp;$A15)</f>
        <v>38.02%</v>
      </c>
      <c r="ES15" s="63" t="str">
        <f t="shared" si="66"/>
        <v>571,27163.00</v>
      </c>
      <c r="ET15" s="63" t="str">
        <f t="shared" ca="1" si="67"/>
        <v>571,00.00</v>
      </c>
      <c r="EU15" s="67">
        <v>561.15</v>
      </c>
      <c r="EV15" s="67" t="s">
        <v>139</v>
      </c>
      <c r="EW15" s="67">
        <v>483.53</v>
      </c>
      <c r="EX15" s="67" t="s">
        <v>140</v>
      </c>
      <c r="EY15" s="67">
        <v>5631.28</v>
      </c>
      <c r="EZ15" s="67" t="s">
        <v>141</v>
      </c>
      <c r="FA15" s="67">
        <v>19867.973000000002</v>
      </c>
      <c r="FB15" s="67" t="s">
        <v>142</v>
      </c>
      <c r="FC15" s="67" t="s">
        <v>143</v>
      </c>
      <c r="FD15" s="67" t="s">
        <v>144</v>
      </c>
      <c r="FE15" s="67" t="s">
        <v>145</v>
      </c>
      <c r="FF15" s="67" t="s">
        <v>146</v>
      </c>
    </row>
    <row r="16" spans="1:162" s="63" customFormat="1" ht="13.5" thickBot="1" x14ac:dyDescent="0.25">
      <c r="A16" s="2">
        <f t="shared" si="68"/>
        <v>570</v>
      </c>
      <c r="B16" s="3">
        <f t="shared" si="9"/>
        <v>14113</v>
      </c>
      <c r="C16" s="3">
        <f t="shared" si="10"/>
        <v>23284</v>
      </c>
      <c r="D16" s="3">
        <f>+IF($A$1="ABS",AW16-AX16,AW16+AX16)</f>
        <v>37981</v>
      </c>
      <c r="E16" s="3">
        <f t="shared" si="12"/>
        <v>75378</v>
      </c>
      <c r="F16" s="4">
        <f t="shared" si="13"/>
        <v>5735.3311971424073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v>22218</v>
      </c>
      <c r="AN16" s="1">
        <v>7840</v>
      </c>
      <c r="AO16" s="1">
        <v>570</v>
      </c>
      <c r="AP16" s="1">
        <v>508169</v>
      </c>
      <c r="AQ16" s="1">
        <v>-111603</v>
      </c>
      <c r="AR16" s="1"/>
      <c r="AS16" s="6">
        <f>IF(RTD("tos.rtd",,AS$2,"."&amp;$A$2&amp;$AS$1&amp;"C"&amp;$A16)="N/A",0,RTD("tos.rtd",,AS$2,"."&amp;$A$2&amp;$AS$1&amp;"C"&amp;$A16))</f>
        <v>13291</v>
      </c>
      <c r="AT16" s="7">
        <f>-IF(RTD("tos.rtd",,AT$2,"."&amp;$A$2&amp;$AS$1&amp;"P"&amp;$A16)="N/A",0,RTD("tos.rtd",,AT$2,"."&amp;$A$2&amp;$AS$1&amp;"P"&amp;$A16))</f>
        <v>-822</v>
      </c>
      <c r="AU16" s="6">
        <f>IF(RTD("tos.rtd",,AU$2,"."&amp;$A$2&amp;$AU$1&amp;"C"&amp;$A16)="N/A",0,RTD("tos.rtd",,AU$2,"."&amp;$A$2&amp;$AU$1&amp;"C"&amp;$A16))</f>
        <v>19050</v>
      </c>
      <c r="AV16" s="7">
        <f>-IF(RTD("tos.rtd",,AV$2,"."&amp;$A$2&amp;$AU$1&amp;"P"&amp;$A16)="N/A",0,RTD("tos.rtd",,AV$2,"."&amp;$A$2&amp;$AU$1&amp;"P"&amp;$A16))</f>
        <v>-4234</v>
      </c>
      <c r="AW16" s="6">
        <f>IF(RTD("tos.rtd",,AW$2,"."&amp;$A$2&amp;$AW$1&amp;"C"&amp;$A16)="N/A",0,RTD("tos.rtd",,AW$2,"."&amp;$A$2&amp;$AW$1&amp;"C"&amp;$A16))</f>
        <v>21921</v>
      </c>
      <c r="AX16" s="7">
        <f>-IF(RTD("tos.rtd",,AX$2,"."&amp;$A$2&amp;$AW$1&amp;"P"&amp;$A16)="N/A",0,RTD("tos.rtd",,AX$2,"."&amp;$A$2&amp;$AW$1&amp;"P"&amp;$A16))</f>
        <v>-16060</v>
      </c>
      <c r="AY16" s="1">
        <f t="shared" si="69"/>
        <v>33146</v>
      </c>
      <c r="AZ16" s="8">
        <f t="shared" si="35"/>
        <v>570</v>
      </c>
      <c r="BA16" s="6">
        <f>IF(RTD("tos.rtd",,BA$2,"."&amp;$A$2&amp;$AS$1&amp;"C"&amp;$A16)="N/A",0,RTD("tos.rtd",,BA$2,"."&amp;$A$2&amp;$AS$1&amp;"C"&amp;$A16))</f>
        <v>0</v>
      </c>
      <c r="BB16" s="7">
        <f>-IF(RTD("tos.rtd",,BB$2,"."&amp;$A$2&amp;$AS$1&amp;"P"&amp;$A16)="N/A",0,RTD("tos.rtd",,BB$2,"."&amp;$A$2&amp;$AS$1&amp;"P"&amp;$A16))</f>
        <v>0</v>
      </c>
      <c r="BC16" s="6">
        <f>IF(RTD("tos.rtd",,BC$2,"."&amp;$A$2&amp;$AU$1&amp;"C"&amp;$A16)="N/A",0,RTD("tos.rtd",,BC$2,"."&amp;$A$2&amp;$AU$1&amp;"C"&amp;$A16))</f>
        <v>230171</v>
      </c>
      <c r="BD16" s="7">
        <f>-IF(RTD("tos.rtd",,BD$2,"."&amp;$A$2&amp;$AU$1&amp;"P"&amp;$A16)="N/A",0,RTD("tos.rtd",,BD$2,"."&amp;$A$2&amp;$AU$1&amp;"P"&amp;$A16))</f>
        <v>-10311</v>
      </c>
      <c r="BE16" s="6">
        <f>IF(RTD("tos.rtd",,BE$2,"."&amp;$A$2&amp;$AW$1&amp;"C"&amp;$A16)="N/A",0,RTD("tos.rtd",,BE$2,"."&amp;$A$2&amp;$AW$1&amp;"C"&amp;$A16))</f>
        <v>28207</v>
      </c>
      <c r="BF16" s="83">
        <f>-IF(RTD("tos.rtd",,BF$2,"."&amp;$A$2&amp;$AW$1&amp;"P"&amp;$A16)="N/A",0,RTD("tos.rtd",,BF$2,"."&amp;$A$2&amp;$AW$1&amp;"P"&amp;$A16))</f>
        <v>-1942</v>
      </c>
      <c r="BG16" s="32">
        <f ca="1">+Hoja2!Y17</f>
        <v>3544</v>
      </c>
      <c r="BH16" s="7">
        <f t="shared" ca="1" si="36"/>
        <v>249669</v>
      </c>
      <c r="BI16" s="8" t="str">
        <f t="shared" ref="BI16" ca="1" si="127">IF(AND(BH16&lt;0,BH15&gt;0), "Cruce -", IF(AND(BH16&gt;0,BH15&lt;0),"Cruce +", ""))</f>
        <v/>
      </c>
      <c r="BJ16" s="3" t="e">
        <f ca="1">IF($BP$1=1,DX16,IF(RTD("tos.rtd",,BJ$2,"."&amp;$A$2&amp;$AS$1&amp;"C"&amp;$A16)="N/A",0,RTD("tos.rtd",,BJ$2,"."&amp;$A$2&amp;$AS$1&amp;"C"&amp;$A16)))</f>
        <v>#NUM!</v>
      </c>
      <c r="BK16" s="3" t="e">
        <f ca="1">IF($BP$1=1,DY16,-IF(RTD("tos.rtd",,BK$2,"."&amp;$A$2&amp;$AS$1&amp;"P"&amp;$A16)="N/A",0,RTD("tos.rtd",,BK$2,"."&amp;$A$2&amp;$AS$1&amp;"P"&amp;$A16)))</f>
        <v>#NUM!</v>
      </c>
      <c r="BL16" s="3" t="e">
        <f ca="1">IF($BP$1=1,DZ16,IF(RTD("tos.rtd",,BL$2,"."&amp;$A$2&amp;$AU$1&amp;"C"&amp;$A16)="N/A",0,RTD("tos.rtd",,BL$2,"."&amp;$A$2&amp;$AU$1&amp;"C"&amp;$A16)))</f>
        <v>#NUM!</v>
      </c>
      <c r="BM16" s="3" t="e">
        <f ca="1">IF($BP$1=1,EA16,-IF(RTD("tos.rtd",,BM$2,"."&amp;$A$2&amp;$AU$1&amp;"P"&amp;$A16)="N/A",0,RTD("tos.rtd",,BM$2,"."&amp;$A$2&amp;$AU$1&amp;"P"&amp;$A16)))</f>
        <v>#NUM!</v>
      </c>
      <c r="BN16" s="3" t="e">
        <f ca="1">IF($BP$1=1,EB16,IF(RTD("tos.rtd",,BN$2,"."&amp;$A$2&amp;$AW$1&amp;"C"&amp;$A16)="N/A",0,RTD("tos.rtd",,BN$2,"."&amp;$A$2&amp;$AW$1&amp;"C"&amp;$A16)))</f>
        <v>#NUM!</v>
      </c>
      <c r="BO16" s="3" t="e">
        <f ca="1">IF($BP$1=1,EC16,-IF(RTD("tos.rtd",,BO$2,"."&amp;$A$2&amp;$AW$1&amp;"P"&amp;$A16)="N/A",0,RTD("tos.rtd",,BO$2,"."&amp;$A$2&amp;$AW$1&amp;"P"&amp;$A16)))</f>
        <v>#NUM!</v>
      </c>
      <c r="BQ16" s="3" t="e">
        <f t="shared" ca="1" si="37"/>
        <v>#NUM!</v>
      </c>
      <c r="BR16" s="3" t="e">
        <f t="shared" ca="1" si="71"/>
        <v>#NUM!</v>
      </c>
      <c r="BS16" s="3" t="e">
        <f t="shared" ca="1" si="38"/>
        <v>#NUM!</v>
      </c>
      <c r="BT16" s="3" t="e">
        <f t="shared" ca="1" si="71"/>
        <v>#NUM!</v>
      </c>
      <c r="BU16" s="3" t="e">
        <f t="shared" ca="1" si="39"/>
        <v>#NUM!</v>
      </c>
      <c r="BV16" s="3" t="e">
        <f t="shared" ref="BV16" ca="1" si="128">IF(AND(BU16&lt;0,BU15&gt;0), "Cruce -", IF(AND(BU16&gt;0,BU15&lt;0),"Cruce +", ""))</f>
        <v>#NUM!</v>
      </c>
      <c r="BX16" s="3" t="e">
        <f t="shared" ca="1" si="40"/>
        <v>#NUM!</v>
      </c>
      <c r="BY16" s="3" t="e">
        <f t="shared" ca="1" si="73"/>
        <v>#NUM!</v>
      </c>
      <c r="BZ16" s="3" t="e">
        <f t="shared" ca="1" si="41"/>
        <v>#NUM!</v>
      </c>
      <c r="CA16" s="3" t="e">
        <f t="shared" ca="1" si="74"/>
        <v>#NUM!</v>
      </c>
      <c r="CB16" s="3" t="e">
        <f t="shared" ca="1" si="42"/>
        <v>#NUM!</v>
      </c>
      <c r="CC16" s="3" t="e">
        <f t="shared" ca="1" si="75"/>
        <v>#NUM!</v>
      </c>
      <c r="CD16" s="3">
        <f>IF(RTD("tos.rtd",,CD$2,"."&amp;$A$2&amp;$AS$1&amp;"C"&amp;$A16)="N/A",0,RTD("tos.rtd",,CD$2,"."&amp;$A$2&amp;$AS$1&amp;"C"&amp;$A16))</f>
        <v>1</v>
      </c>
      <c r="CE16" s="3">
        <f>-IF(RTD("tos.rtd",,CE$2,"."&amp;$A$2&amp;$AS$1&amp;"P"&amp;$A16)="N/A",0,RTD("tos.rtd",,CE$2,"."&amp;$A$2&amp;$AS$1&amp;"P"&amp;$A16))</f>
        <v>0.46</v>
      </c>
      <c r="CF16" s="3">
        <f>IF(RTD("tos.rtd",,CF$2,"."&amp;$A$2&amp;$AU$1&amp;"C"&amp;$A16)="N/A",0,RTD("tos.rtd",,CF$2,"."&amp;$A$2&amp;$AU$1&amp;"C"&amp;$A16))</f>
        <v>1</v>
      </c>
      <c r="CG16" s="3">
        <f>-IF(RTD("tos.rtd",,CG$2,"."&amp;$A$2&amp;$AU$1&amp;"P"&amp;$A16)="N/A",0,RTD("tos.rtd",,CG$2,"."&amp;$A$2&amp;$AU$1&amp;"P"&amp;$A16))</f>
        <v>0.47</v>
      </c>
      <c r="CH16" s="3">
        <f>IF(RTD("tos.rtd",,CH$2,"."&amp;$A$2&amp;$AW$1&amp;"C"&amp;$A16)="N/A",0,RTD("tos.rtd",,CH$2,"."&amp;$A$2&amp;$AW$1&amp;"C"&amp;$A16))</f>
        <v>0.56999999999999995</v>
      </c>
      <c r="CI16" s="3">
        <f>-IF(RTD("tos.rtd",,CI$2,"."&amp;$A$2&amp;$AW$1&amp;"P"&amp;$A16)="N/A",0,RTD("tos.rtd",,CI$2,"."&amp;$A$2&amp;$AW$1&amp;"P"&amp;$A16))</f>
        <v>0.47</v>
      </c>
      <c r="CK16" s="3">
        <f t="shared" si="17"/>
        <v>1291288</v>
      </c>
      <c r="CL16" s="3"/>
      <c r="CM16" s="3">
        <f t="shared" si="18"/>
        <v>1706002</v>
      </c>
      <c r="CN16" s="3"/>
      <c r="CO16" s="3">
        <f t="shared" si="19"/>
        <v>494677</v>
      </c>
      <c r="CP16" s="3">
        <f t="shared" si="43"/>
        <v>3491967</v>
      </c>
      <c r="CQ16" s="3">
        <f t="shared" si="44"/>
        <v>0</v>
      </c>
      <c r="CR16" s="3"/>
      <c r="CS16" s="3">
        <f t="shared" si="20"/>
        <v>219860</v>
      </c>
      <c r="CT16" s="3"/>
      <c r="CU16" s="3">
        <f t="shared" si="21"/>
        <v>26265</v>
      </c>
      <c r="CV16" s="3">
        <f t="shared" si="45"/>
        <v>246125</v>
      </c>
      <c r="CW16" s="3" t="e">
        <f t="shared" ca="1" si="46"/>
        <v>#NUM!</v>
      </c>
      <c r="CX16" s="85" t="e">
        <f t="shared" ca="1" si="76"/>
        <v>#NUM!</v>
      </c>
      <c r="CY16" s="3" t="e">
        <f t="shared" ca="1" si="47"/>
        <v>#NUM!</v>
      </c>
      <c r="CZ16" s="85" t="e">
        <f t="shared" ca="1" si="77"/>
        <v>#NUM!</v>
      </c>
      <c r="DA16" s="3">
        <f>IF(RTD("tos.rtd",,DA$2,"."&amp;$A$2&amp;$AS$1&amp;"C"&amp;$A16)="N/A",0,RTD("tos.rtd",,DA$2,"."&amp;$A$2&amp;$AS$1&amp;"C"&amp;$A16))</f>
        <v>0.01</v>
      </c>
      <c r="DB16" s="3">
        <f>IF(RTD("tos.rtd",,DB$2,"."&amp;$A$2&amp;$AS$1&amp;"P"&amp;$A16)="N/A",0,RTD("tos.rtd",,DB$2,"."&amp;$A$2&amp;$AS$1&amp;"P"&amp;$A16))</f>
        <v>4.95</v>
      </c>
      <c r="DC16" s="3">
        <f>IF(RTD("tos.rtd",,DC$2,"."&amp;$A$2&amp;$AS$1&amp;"C"&amp;$A16)="N/A",0,RTD("tos.rtd",,DC$2,"."&amp;$A$2&amp;$AS$1&amp;"C"&amp;$A16))</f>
        <v>0.01</v>
      </c>
      <c r="DD16" s="3">
        <f>IF(RTD("tos.rtd",,DD$2,"."&amp;$A$2&amp;$AS$1&amp;"P"&amp;$A16)="N/A",0,RTD("tos.rtd",,DD$2,"."&amp;$A$2&amp;$AS$1&amp;"P"&amp;$A16))</f>
        <v>6.01</v>
      </c>
      <c r="DE16" s="3">
        <f>IF(RTD("tos.rtd",,DE$2,"."&amp;$A$2&amp;$AS$1&amp;"C"&amp;$A16)="N/A",0,RTD("tos.rtd",,DE$2,"."&amp;$A$2&amp;$AS$1&amp;"C"&amp;$A16))</f>
        <v>0</v>
      </c>
      <c r="DF16" s="3">
        <f>IF(RTD("tos.rtd",,DF$2,"."&amp;$A$2&amp;$AS$1&amp;"P"&amp;$A16)="N/A",0,RTD("tos.rtd",,DF$2,"."&amp;$A$2&amp;$AS$1&amp;"P"&amp;$A16))</f>
        <v>4.2</v>
      </c>
      <c r="DG16" s="86">
        <f t="shared" si="48"/>
        <v>-1.1100000000000136</v>
      </c>
      <c r="DH16" s="3">
        <f t="shared" si="22"/>
        <v>-508169</v>
      </c>
      <c r="DI16" s="3">
        <f t="shared" si="49"/>
        <v>46244.337016574595</v>
      </c>
      <c r="DJ16" s="3">
        <f t="shared" si="50"/>
        <v>-508169</v>
      </c>
      <c r="DK16" s="3">
        <f t="shared" si="51"/>
        <v>0</v>
      </c>
      <c r="DL16" s="3">
        <f t="shared" si="52"/>
        <v>-461924.66298342543</v>
      </c>
      <c r="DM16" s="3">
        <f t="shared" si="53"/>
        <v>-508169</v>
      </c>
      <c r="DN16" s="63" t="str">
        <f t="shared" si="54"/>
        <v>UNKNOWN</v>
      </c>
      <c r="DO16" s="63" t="str">
        <f t="shared" si="55"/>
        <v>UNKNOWN</v>
      </c>
      <c r="DP16" s="3">
        <f t="shared" si="56"/>
        <v>223827.77823204425</v>
      </c>
      <c r="DQ16" s="3">
        <f t="shared" si="57"/>
        <v>-5081.6900000000005</v>
      </c>
      <c r="DR16" s="3" t="e">
        <f t="shared" ca="1" si="58"/>
        <v>#NUM!</v>
      </c>
      <c r="DS16" s="3">
        <f t="shared" si="59"/>
        <v>-508169</v>
      </c>
      <c r="DT16" s="3">
        <f t="shared" si="60"/>
        <v>-508169</v>
      </c>
      <c r="DU16" s="3">
        <f t="shared" si="61"/>
        <v>111603</v>
      </c>
      <c r="DV16" s="3">
        <f t="shared" si="62"/>
        <v>22218</v>
      </c>
      <c r="DW16" s="3">
        <f t="shared" si="23"/>
        <v>7840</v>
      </c>
      <c r="DX16" s="3" t="e">
        <f t="shared" ca="1" si="24"/>
        <v>#NUM!</v>
      </c>
      <c r="DY16" s="3" t="e">
        <f t="shared" ca="1" si="25"/>
        <v>#NUM!</v>
      </c>
      <c r="DZ16" s="3" t="e">
        <f t="shared" ca="1" si="26"/>
        <v>#NUM!</v>
      </c>
      <c r="EA16" s="3" t="e">
        <f t="shared" ca="1" si="27"/>
        <v>#NUM!</v>
      </c>
      <c r="EB16" s="3" t="e">
        <f t="shared" ca="1" si="28"/>
        <v>#NUM!</v>
      </c>
      <c r="EC16" s="3" t="e">
        <f t="shared" ca="1" si="29"/>
        <v>#NUM!</v>
      </c>
      <c r="ED16" s="63">
        <f t="shared" si="63"/>
        <v>30058</v>
      </c>
      <c r="EE16" s="59">
        <f t="shared" si="64"/>
        <v>0.25</v>
      </c>
      <c r="EF16" s="59">
        <f t="shared" si="30"/>
        <v>3.2827999999999999</v>
      </c>
      <c r="EG16" s="59">
        <f t="shared" si="31"/>
        <v>0.25</v>
      </c>
      <c r="EH16" s="59">
        <f t="shared" si="32"/>
        <v>3.6065999999999998</v>
      </c>
      <c r="EI16" s="59">
        <f t="shared" si="33"/>
        <v>0.1227</v>
      </c>
      <c r="EJ16" s="59">
        <f t="shared" si="34"/>
        <v>0.37590000000000001</v>
      </c>
      <c r="EK16" s="63" t="e">
        <f t="shared" ca="1" si="65"/>
        <v>#NUM!</v>
      </c>
      <c r="EL16" s="3" t="str">
        <f>RTD("tos.rtd",,EL$2,"."&amp;$A$2&amp;$AS$1&amp;"C"&amp;$A16)</f>
        <v>--</v>
      </c>
      <c r="EM16" s="3" t="str">
        <f>RTD("tos.rtd",,EM$2,"."&amp;$A$2&amp;$AS$1&amp;"P"&amp;$A16)</f>
        <v>328.28%</v>
      </c>
      <c r="EN16" s="3" t="str">
        <f>RTD("tos.rtd",,EN$2,"."&amp;$A$2&amp;$AU$1&amp;"C"&amp;$A16)</f>
        <v>--</v>
      </c>
      <c r="EO16" s="3" t="str">
        <f>RTD("tos.rtd",,EO$2,"."&amp;$A$2&amp;$AU$1&amp;"P"&amp;$A16)</f>
        <v>360.66%</v>
      </c>
      <c r="EP16" s="3" t="str">
        <f>RTD("tos.rtd",,EP$2,"."&amp;$A$2&amp;$AW$1&amp;"C"&amp;$A16)</f>
        <v>12.27%</v>
      </c>
      <c r="EQ16" s="3" t="str">
        <f>RTD("tos.rtd",,EQ$2,"."&amp;$A$2&amp;$AW$1&amp;"P"&amp;$A16)</f>
        <v>37.59%</v>
      </c>
      <c r="ES16" s="63" t="str">
        <f t="shared" si="66"/>
        <v>570,30058.00</v>
      </c>
      <c r="ET16" s="63" t="str">
        <f t="shared" ca="1" si="67"/>
        <v>570,00.00</v>
      </c>
      <c r="EU16" s="67">
        <v>561.23</v>
      </c>
      <c r="EV16" s="67" t="s">
        <v>147</v>
      </c>
      <c r="EW16" s="67">
        <v>483.57</v>
      </c>
      <c r="EX16" s="67" t="s">
        <v>148</v>
      </c>
      <c r="EY16" s="67">
        <v>5631.28</v>
      </c>
      <c r="EZ16" s="67" t="s">
        <v>149</v>
      </c>
      <c r="FA16" s="67">
        <v>19867.973000000002</v>
      </c>
      <c r="FB16" s="67" t="s">
        <v>150</v>
      </c>
      <c r="FC16" s="67" t="s">
        <v>151</v>
      </c>
      <c r="FD16" s="67" t="s">
        <v>152</v>
      </c>
      <c r="FE16" s="67" t="s">
        <v>153</v>
      </c>
      <c r="FF16" s="67" t="s">
        <v>154</v>
      </c>
    </row>
    <row r="17" spans="1:162" s="63" customFormat="1" ht="13.5" thickBot="1" x14ac:dyDescent="0.25">
      <c r="A17" s="2">
        <f t="shared" si="68"/>
        <v>569</v>
      </c>
      <c r="B17" s="3">
        <f t="shared" si="9"/>
        <v>9610</v>
      </c>
      <c r="C17" s="3">
        <f t="shared" si="10"/>
        <v>12588</v>
      </c>
      <c r="D17" s="3">
        <f t="shared" si="11"/>
        <v>6031</v>
      </c>
      <c r="E17" s="3">
        <f t="shared" si="12"/>
        <v>28229</v>
      </c>
      <c r="F17" s="4">
        <f t="shared" si="13"/>
        <v>5725.2692125860167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>
        <v>2637</v>
      </c>
      <c r="AN17" s="1">
        <v>-15804</v>
      </c>
      <c r="AO17" s="1">
        <v>569</v>
      </c>
      <c r="AP17" s="1">
        <v>396617</v>
      </c>
      <c r="AQ17" s="1">
        <v>-230504</v>
      </c>
      <c r="AR17" s="1"/>
      <c r="AS17" s="6">
        <f>IF(RTD("tos.rtd",,AS$2,"."&amp;$A$2&amp;$AS$1&amp;"C"&amp;$A17)="N/A",0,RTD("tos.rtd",,AS$2,"."&amp;$A$2&amp;$AS$1&amp;"C"&amp;$A17))</f>
        <v>9199</v>
      </c>
      <c r="AT17" s="7">
        <f>-IF(RTD("tos.rtd",,AT$2,"."&amp;$A$2&amp;$AS$1&amp;"P"&amp;$A17)="N/A",0,RTD("tos.rtd",,AT$2,"."&amp;$A$2&amp;$AS$1&amp;"P"&amp;$A17))</f>
        <v>-411</v>
      </c>
      <c r="AU17" s="6">
        <f>IF(RTD("tos.rtd",,AU$2,"."&amp;$A$2&amp;$AU$1&amp;"C"&amp;$A17)="N/A",0,RTD("tos.rtd",,AU$2,"."&amp;$A$2&amp;$AU$1&amp;"C"&amp;$A17))</f>
        <v>8923</v>
      </c>
      <c r="AV17" s="7">
        <f>-IF(RTD("tos.rtd",,AV$2,"."&amp;$A$2&amp;$AU$1&amp;"P"&amp;$A17)="N/A",0,RTD("tos.rtd",,AV$2,"."&amp;$A$2&amp;$AU$1&amp;"P"&amp;$A17))</f>
        <v>-3665</v>
      </c>
      <c r="AW17" s="6">
        <f>IF(RTD("tos.rtd",,AW$2,"."&amp;$A$2&amp;$AW$1&amp;"C"&amp;$A17)="N/A",0,RTD("tos.rtd",,AW$2,"."&amp;$A$2&amp;$AW$1&amp;"C"&amp;$A17))</f>
        <v>3633</v>
      </c>
      <c r="AX17" s="7">
        <f>-IF(RTD("tos.rtd",,AX$2,"."&amp;$A$2&amp;$AW$1&amp;"P"&amp;$A17)="N/A",0,RTD("tos.rtd",,AX$2,"."&amp;$A$2&amp;$AW$1&amp;"P"&amp;$A17))</f>
        <v>-2398</v>
      </c>
      <c r="AY17" s="1">
        <f t="shared" si="69"/>
        <v>15281</v>
      </c>
      <c r="AZ17" s="8">
        <f t="shared" si="35"/>
        <v>569</v>
      </c>
      <c r="BA17" s="6">
        <f>IF(RTD("tos.rtd",,BA$2,"."&amp;$A$2&amp;$AS$1&amp;"C"&amp;$A17)="N/A",0,RTD("tos.rtd",,BA$2,"."&amp;$A$2&amp;$AS$1&amp;"C"&amp;$A17))</f>
        <v>0</v>
      </c>
      <c r="BB17" s="7">
        <f>-IF(RTD("tos.rtd",,BB$2,"."&amp;$A$2&amp;$AS$1&amp;"P"&amp;$A17)="N/A",0,RTD("tos.rtd",,BB$2,"."&amp;$A$2&amp;$AS$1&amp;"P"&amp;$A17))</f>
        <v>0</v>
      </c>
      <c r="BC17" s="6">
        <f>IF(RTD("tos.rtd",,BC$2,"."&amp;$A$2&amp;$AU$1&amp;"C"&amp;$A17)="N/A",0,RTD("tos.rtd",,BC$2,"."&amp;$A$2&amp;$AU$1&amp;"C"&amp;$A17))</f>
        <v>178857</v>
      </c>
      <c r="BD17" s="7">
        <f>-IF(RTD("tos.rtd",,BD$2,"."&amp;$A$2&amp;$AU$1&amp;"P"&amp;$A17)="N/A",0,RTD("tos.rtd",,BD$2,"."&amp;$A$2&amp;$AU$1&amp;"P"&amp;$A17))</f>
        <v>-6738</v>
      </c>
      <c r="BE17" s="6">
        <f>IF(RTD("tos.rtd",,BE$2,"."&amp;$A$2&amp;$AW$1&amp;"C"&amp;$A17)="N/A",0,RTD("tos.rtd",,BE$2,"."&amp;$A$2&amp;$AW$1&amp;"C"&amp;$A17))</f>
        <v>4892</v>
      </c>
      <c r="BF17" s="83">
        <f>-IF(RTD("tos.rtd",,BF$2,"."&amp;$A$2&amp;$AW$1&amp;"P"&amp;$A17)="N/A",0,RTD("tos.rtd",,BF$2,"."&amp;$A$2&amp;$AW$1&amp;"P"&amp;$A17))</f>
        <v>-1079</v>
      </c>
      <c r="BG17" s="32">
        <f ca="1">+Hoja2!Y18</f>
        <v>413</v>
      </c>
      <c r="BH17" s="7">
        <f t="shared" ca="1" si="36"/>
        <v>176345</v>
      </c>
      <c r="BI17" s="8" t="str">
        <f t="shared" ref="BI17" ca="1" si="129">IF(AND(BH17&lt;0,BH16&gt;0), "Cruce -", IF(AND(BH17&gt;0,BH16&lt;0),"Cruce +", ""))</f>
        <v/>
      </c>
      <c r="BJ17" s="3" t="e">
        <f ca="1">IF($BP$1=1,DX17,IF(RTD("tos.rtd",,BJ$2,"."&amp;$A$2&amp;$AS$1&amp;"C"&amp;$A17)="N/A",0,RTD("tos.rtd",,BJ$2,"."&amp;$A$2&amp;$AS$1&amp;"C"&amp;$A17)))</f>
        <v>#NUM!</v>
      </c>
      <c r="BK17" s="3" t="e">
        <f ca="1">IF($BP$1=1,DY17,-IF(RTD("tos.rtd",,BK$2,"."&amp;$A$2&amp;$AS$1&amp;"P"&amp;$A17)="N/A",0,RTD("tos.rtd",,BK$2,"."&amp;$A$2&amp;$AS$1&amp;"P"&amp;$A17)))</f>
        <v>#NUM!</v>
      </c>
      <c r="BL17" s="3" t="e">
        <f ca="1">IF($BP$1=1,DZ17,IF(RTD("tos.rtd",,BL$2,"."&amp;$A$2&amp;$AU$1&amp;"C"&amp;$A17)="N/A",0,RTD("tos.rtd",,BL$2,"."&amp;$A$2&amp;$AU$1&amp;"C"&amp;$A17)))</f>
        <v>#NUM!</v>
      </c>
      <c r="BM17" s="3" t="e">
        <f ca="1">IF($BP$1=1,EA17,-IF(RTD("tos.rtd",,BM$2,"."&amp;$A$2&amp;$AU$1&amp;"P"&amp;$A17)="N/A",0,RTD("tos.rtd",,BM$2,"."&amp;$A$2&amp;$AU$1&amp;"P"&amp;$A17)))</f>
        <v>#NUM!</v>
      </c>
      <c r="BN17" s="3" t="e">
        <f ca="1">IF($BP$1=1,EB17,IF(RTD("tos.rtd",,BN$2,"."&amp;$A$2&amp;$AW$1&amp;"C"&amp;$A17)="N/A",0,RTD("tos.rtd",,BN$2,"."&amp;$A$2&amp;$AW$1&amp;"C"&amp;$A17)))</f>
        <v>#NUM!</v>
      </c>
      <c r="BO17" s="3" t="e">
        <f ca="1">IF($BP$1=1,EC17,-IF(RTD("tos.rtd",,BO$2,"."&amp;$A$2&amp;$AW$1&amp;"P"&amp;$A17)="N/A",0,RTD("tos.rtd",,BO$2,"."&amp;$A$2&amp;$AW$1&amp;"P"&amp;$A17)))</f>
        <v>#NUM!</v>
      </c>
      <c r="BQ17" s="3" t="e">
        <f t="shared" ca="1" si="37"/>
        <v>#NUM!</v>
      </c>
      <c r="BR17" s="3" t="e">
        <f t="shared" ca="1" si="71"/>
        <v>#NUM!</v>
      </c>
      <c r="BS17" s="3" t="e">
        <f t="shared" ca="1" si="38"/>
        <v>#NUM!</v>
      </c>
      <c r="BT17" s="3" t="e">
        <f t="shared" ca="1" si="71"/>
        <v>#NUM!</v>
      </c>
      <c r="BU17" s="3" t="e">
        <f t="shared" ca="1" si="39"/>
        <v>#NUM!</v>
      </c>
      <c r="BV17" s="3" t="e">
        <f t="shared" ref="BV17" ca="1" si="130">IF(AND(BU17&lt;0,BU16&gt;0), "Cruce -", IF(AND(BU17&gt;0,BU16&lt;0),"Cruce +", ""))</f>
        <v>#NUM!</v>
      </c>
      <c r="BX17" s="3" t="e">
        <f t="shared" ca="1" si="40"/>
        <v>#NUM!</v>
      </c>
      <c r="BY17" s="3" t="e">
        <f t="shared" ca="1" si="73"/>
        <v>#NUM!</v>
      </c>
      <c r="BZ17" s="3" t="e">
        <f t="shared" ca="1" si="41"/>
        <v>#NUM!</v>
      </c>
      <c r="CA17" s="3" t="e">
        <f t="shared" ca="1" si="74"/>
        <v>#NUM!</v>
      </c>
      <c r="CB17" s="3" t="e">
        <f t="shared" ca="1" si="42"/>
        <v>#NUM!</v>
      </c>
      <c r="CC17" s="3" t="e">
        <f t="shared" ca="1" si="75"/>
        <v>#NUM!</v>
      </c>
      <c r="CD17" s="3">
        <f>IF(RTD("tos.rtd",,CD$2,"."&amp;$A$2&amp;$AS$1&amp;"C"&amp;$A17)="N/A",0,RTD("tos.rtd",,CD$2,"."&amp;$A$2&amp;$AS$1&amp;"C"&amp;$A17))</f>
        <v>1</v>
      </c>
      <c r="CE17" s="3">
        <f>-IF(RTD("tos.rtd",,CE$2,"."&amp;$A$2&amp;$AS$1&amp;"P"&amp;$A17)="N/A",0,RTD("tos.rtd",,CE$2,"."&amp;$A$2&amp;$AS$1&amp;"P"&amp;$A17))</f>
        <v>0.42</v>
      </c>
      <c r="CF17" s="3">
        <f>IF(RTD("tos.rtd",,CF$2,"."&amp;$A$2&amp;$AU$1&amp;"C"&amp;$A17)="N/A",0,RTD("tos.rtd",,CF$2,"."&amp;$A$2&amp;$AU$1&amp;"C"&amp;$A17))</f>
        <v>1</v>
      </c>
      <c r="CG17" s="3">
        <f>-IF(RTD("tos.rtd",,CG$2,"."&amp;$A$2&amp;$AU$1&amp;"P"&amp;$A17)="N/A",0,RTD("tos.rtd",,CG$2,"."&amp;$A$2&amp;$AU$1&amp;"P"&amp;$A17))</f>
        <v>0.44</v>
      </c>
      <c r="CH17" s="3">
        <f>IF(RTD("tos.rtd",,CH$2,"."&amp;$A$2&amp;$AW$1&amp;"C"&amp;$A17)="N/A",0,RTD("tos.rtd",,CH$2,"."&amp;$A$2&amp;$AW$1&amp;"C"&amp;$A17))</f>
        <v>0.62</v>
      </c>
      <c r="CI17" s="3">
        <f>-IF(RTD("tos.rtd",,CI$2,"."&amp;$A$2&amp;$AW$1&amp;"P"&amp;$A17)="N/A",0,RTD("tos.rtd",,CI$2,"."&amp;$A$2&amp;$AW$1&amp;"P"&amp;$A17))</f>
        <v>0.45</v>
      </c>
      <c r="CK17" s="3">
        <f t="shared" si="17"/>
        <v>902638</v>
      </c>
      <c r="CL17" s="3"/>
      <c r="CM17" s="3">
        <f t="shared" si="18"/>
        <v>731040</v>
      </c>
      <c r="CN17" s="3"/>
      <c r="CO17" s="3">
        <f t="shared" si="19"/>
        <v>117335.99999999999</v>
      </c>
      <c r="CP17" s="3">
        <f t="shared" si="43"/>
        <v>1751014</v>
      </c>
      <c r="CQ17" s="3">
        <f t="shared" si="44"/>
        <v>0</v>
      </c>
      <c r="CR17" s="3"/>
      <c r="CS17" s="3">
        <f t="shared" si="20"/>
        <v>172119</v>
      </c>
      <c r="CT17" s="3"/>
      <c r="CU17" s="3">
        <f t="shared" si="21"/>
        <v>3813</v>
      </c>
      <c r="CV17" s="3">
        <f t="shared" si="45"/>
        <v>175932</v>
      </c>
      <c r="CW17" s="3" t="e">
        <f t="shared" ca="1" si="46"/>
        <v>#NUM!</v>
      </c>
      <c r="CX17" s="85" t="e">
        <f t="shared" ca="1" si="76"/>
        <v>#NUM!</v>
      </c>
      <c r="CY17" s="3" t="e">
        <f t="shared" ca="1" si="47"/>
        <v>#NUM!</v>
      </c>
      <c r="CZ17" s="85" t="e">
        <f t="shared" ca="1" si="77"/>
        <v>#NUM!</v>
      </c>
      <c r="DA17" s="3">
        <f>IF(RTD("tos.rtd",,DA$2,"."&amp;$A$2&amp;$AS$1&amp;"C"&amp;$A17)="N/A",0,RTD("tos.rtd",,DA$2,"."&amp;$A$2&amp;$AS$1&amp;"C"&amp;$A17))</f>
        <v>0.01</v>
      </c>
      <c r="DB17" s="3">
        <f>IF(RTD("tos.rtd",,DB$2,"."&amp;$A$2&amp;$AS$1&amp;"P"&amp;$A17)="N/A",0,RTD("tos.rtd",,DB$2,"."&amp;$A$2&amp;$AS$1&amp;"P"&amp;$A17))</f>
        <v>3.95</v>
      </c>
      <c r="DC17" s="3">
        <f>IF(RTD("tos.rtd",,DC$2,"."&amp;$A$2&amp;$AS$1&amp;"C"&amp;$A17)="N/A",0,RTD("tos.rtd",,DC$2,"."&amp;$A$2&amp;$AS$1&amp;"C"&amp;$A17))</f>
        <v>0.01</v>
      </c>
      <c r="DD17" s="3">
        <f>IF(RTD("tos.rtd",,DD$2,"."&amp;$A$2&amp;$AS$1&amp;"P"&amp;$A17)="N/A",0,RTD("tos.rtd",,DD$2,"."&amp;$A$2&amp;$AS$1&amp;"P"&amp;$A17))</f>
        <v>4.2300000000000004</v>
      </c>
      <c r="DE17" s="3">
        <f>IF(RTD("tos.rtd",,DE$2,"."&amp;$A$2&amp;$AS$1&amp;"C"&amp;$A17)="N/A",0,RTD("tos.rtd",,DE$2,"."&amp;$A$2&amp;$AS$1&amp;"C"&amp;$A17))</f>
        <v>0</v>
      </c>
      <c r="DF17" s="3">
        <f>IF(RTD("tos.rtd",,DF$2,"."&amp;$A$2&amp;$AS$1&amp;"P"&amp;$A17)="N/A",0,RTD("tos.rtd",,DF$2,"."&amp;$A$2&amp;$AS$1&amp;"P"&amp;$A17))</f>
        <v>3.07</v>
      </c>
      <c r="DG17" s="86">
        <f t="shared" si="48"/>
        <v>-2.1100000000000136</v>
      </c>
      <c r="DH17" s="3">
        <f t="shared" si="22"/>
        <v>-396617</v>
      </c>
      <c r="DI17" s="3">
        <f t="shared" si="49"/>
        <v>174865.10344827586</v>
      </c>
      <c r="DJ17" s="3">
        <f t="shared" si="50"/>
        <v>-396617</v>
      </c>
      <c r="DK17" s="3">
        <f t="shared" si="51"/>
        <v>230504</v>
      </c>
      <c r="DL17" s="3">
        <f t="shared" si="52"/>
        <v>-221751.89655172414</v>
      </c>
      <c r="DM17" s="3">
        <f t="shared" si="53"/>
        <v>-166113</v>
      </c>
      <c r="DN17" s="63" t="str">
        <f t="shared" si="54"/>
        <v>UNKNOWN</v>
      </c>
      <c r="DO17" s="63" t="str">
        <f t="shared" si="55"/>
        <v>UNKNOWN</v>
      </c>
      <c r="DP17" s="3">
        <f t="shared" si="56"/>
        <v>686750.9886206896</v>
      </c>
      <c r="DQ17" s="3">
        <f t="shared" si="57"/>
        <v>906524.63</v>
      </c>
      <c r="DR17" s="3" t="e">
        <f t="shared" ca="1" si="58"/>
        <v>#NUM!</v>
      </c>
      <c r="DS17" s="3">
        <f t="shared" si="59"/>
        <v>-299805.32</v>
      </c>
      <c r="DT17" s="3">
        <f t="shared" si="60"/>
        <v>-396617</v>
      </c>
      <c r="DU17" s="3">
        <f t="shared" si="61"/>
        <v>230504</v>
      </c>
      <c r="DV17" s="3">
        <f t="shared" si="62"/>
        <v>2637</v>
      </c>
      <c r="DW17" s="3">
        <f t="shared" si="23"/>
        <v>-15804</v>
      </c>
      <c r="DX17" s="3" t="e">
        <f t="shared" ca="1" si="24"/>
        <v>#NUM!</v>
      </c>
      <c r="DY17" s="3" t="e">
        <f t="shared" ca="1" si="25"/>
        <v>#NUM!</v>
      </c>
      <c r="DZ17" s="3" t="e">
        <f t="shared" ca="1" si="26"/>
        <v>#NUM!</v>
      </c>
      <c r="EA17" s="3" t="e">
        <f t="shared" ca="1" si="27"/>
        <v>#NUM!</v>
      </c>
      <c r="EB17" s="3" t="e">
        <f t="shared" ca="1" si="28"/>
        <v>#NUM!</v>
      </c>
      <c r="EC17" s="3" t="e">
        <f t="shared" ca="1" si="29"/>
        <v>#NUM!</v>
      </c>
      <c r="ED17" s="63">
        <f t="shared" si="63"/>
        <v>-13167</v>
      </c>
      <c r="EE17" s="59">
        <f t="shared" si="64"/>
        <v>0.25</v>
      </c>
      <c r="EF17" s="59">
        <f t="shared" si="30"/>
        <v>2.6951999999999998</v>
      </c>
      <c r="EG17" s="59">
        <f t="shared" si="31"/>
        <v>0.25</v>
      </c>
      <c r="EH17" s="59">
        <f t="shared" si="32"/>
        <v>3.2825000000000002</v>
      </c>
      <c r="EI17" s="59">
        <f t="shared" si="33"/>
        <v>0.11600000000000001</v>
      </c>
      <c r="EJ17" s="59">
        <f t="shared" si="34"/>
        <v>0.37169999999999997</v>
      </c>
      <c r="EK17" s="63" t="e">
        <f t="shared" ca="1" si="65"/>
        <v>#NUM!</v>
      </c>
      <c r="EL17" s="3" t="str">
        <f>RTD("tos.rtd",,EL$2,"."&amp;$A$2&amp;$AS$1&amp;"C"&amp;$A17)</f>
        <v>--</v>
      </c>
      <c r="EM17" s="3" t="str">
        <f>RTD("tos.rtd",,EM$2,"."&amp;$A$2&amp;$AS$1&amp;"P"&amp;$A17)</f>
        <v>269.52%</v>
      </c>
      <c r="EN17" s="3" t="str">
        <f>RTD("tos.rtd",,EN$2,"."&amp;$A$2&amp;$AU$1&amp;"C"&amp;$A17)</f>
        <v>--</v>
      </c>
      <c r="EO17" s="3" t="str">
        <f>RTD("tos.rtd",,EO$2,"."&amp;$A$2&amp;$AU$1&amp;"P"&amp;$A17)</f>
        <v>328.25%</v>
      </c>
      <c r="EP17" s="3" t="str">
        <f>RTD("tos.rtd",,EP$2,"."&amp;$A$2&amp;$AW$1&amp;"C"&amp;$A17)</f>
        <v>11.60%</v>
      </c>
      <c r="EQ17" s="3" t="str">
        <f>RTD("tos.rtd",,EQ$2,"."&amp;$A$2&amp;$AW$1&amp;"P"&amp;$A17)</f>
        <v>37.17%</v>
      </c>
      <c r="ES17" s="63" t="str">
        <f t="shared" si="66"/>
        <v>569,-13167.00</v>
      </c>
      <c r="ET17" s="63" t="str">
        <f t="shared" ca="1" si="67"/>
        <v>569,00.00</v>
      </c>
      <c r="EU17" s="67">
        <v>561.15</v>
      </c>
      <c r="EV17" s="67" t="s">
        <v>155</v>
      </c>
      <c r="EW17" s="67">
        <v>483.45</v>
      </c>
      <c r="EX17" s="67" t="s">
        <v>156</v>
      </c>
      <c r="EY17" s="67">
        <v>5631.28</v>
      </c>
      <c r="EZ17" s="67" t="s">
        <v>157</v>
      </c>
      <c r="FA17" s="67">
        <v>19867.973000000002</v>
      </c>
      <c r="FB17" s="67" t="s">
        <v>158</v>
      </c>
      <c r="FC17" s="67" t="s">
        <v>159</v>
      </c>
      <c r="FD17" s="67" t="s">
        <v>160</v>
      </c>
      <c r="FE17" s="67" t="s">
        <v>161</v>
      </c>
      <c r="FF17" s="67" t="s">
        <v>162</v>
      </c>
    </row>
    <row r="18" spans="1:162" s="63" customFormat="1" ht="13.5" thickBot="1" x14ac:dyDescent="0.25">
      <c r="A18" s="2">
        <f t="shared" si="68"/>
        <v>568</v>
      </c>
      <c r="B18" s="3">
        <f t="shared" si="9"/>
        <v>5974</v>
      </c>
      <c r="C18" s="3">
        <f t="shared" si="10"/>
        <v>14457</v>
      </c>
      <c r="D18" s="3">
        <f t="shared" si="11"/>
        <v>10756</v>
      </c>
      <c r="E18" s="3">
        <f t="shared" si="12"/>
        <v>31187</v>
      </c>
      <c r="F18" s="4">
        <f t="shared" si="13"/>
        <v>5715.207228029627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>
        <v>-37577</v>
      </c>
      <c r="AN18" s="1">
        <v>29650</v>
      </c>
      <c r="AO18" s="1">
        <v>568</v>
      </c>
      <c r="AP18" s="1">
        <v>314199</v>
      </c>
      <c r="AQ18" s="1">
        <v>-302281</v>
      </c>
      <c r="AR18" s="1"/>
      <c r="AS18" s="6">
        <f>IF(RTD("tos.rtd",,AS$2,"."&amp;$A$2&amp;$AS$1&amp;"C"&amp;$A18)="N/A",0,RTD("tos.rtd",,AS$2,"."&amp;$A$2&amp;$AS$1&amp;"C"&amp;$A18))</f>
        <v>5549</v>
      </c>
      <c r="AT18" s="7">
        <f>-IF(RTD("tos.rtd",,AT$2,"."&amp;$A$2&amp;$AS$1&amp;"P"&amp;$A18)="N/A",0,RTD("tos.rtd",,AT$2,"."&amp;$A$2&amp;$AS$1&amp;"P"&amp;$A18))</f>
        <v>-425</v>
      </c>
      <c r="AU18" s="6">
        <f>IF(RTD("tos.rtd",,AU$2,"."&amp;$A$2&amp;$AU$1&amp;"C"&amp;$A18)="N/A",0,RTD("tos.rtd",,AU$2,"."&amp;$A$2&amp;$AU$1&amp;"C"&amp;$A18))</f>
        <v>10091</v>
      </c>
      <c r="AV18" s="7">
        <f>-IF(RTD("tos.rtd",,AV$2,"."&amp;$A$2&amp;$AU$1&amp;"P"&amp;$A18)="N/A",0,RTD("tos.rtd",,AV$2,"."&amp;$A$2&amp;$AU$1&amp;"P"&amp;$A18))</f>
        <v>-4366</v>
      </c>
      <c r="AW18" s="6">
        <f>IF(RTD("tos.rtd",,AW$2,"."&amp;$A$2&amp;$AW$1&amp;"C"&amp;$A18)="N/A",0,RTD("tos.rtd",,AW$2,"."&amp;$A$2&amp;$AW$1&amp;"C"&amp;$A18))</f>
        <v>7460</v>
      </c>
      <c r="AX18" s="7">
        <f>-IF(RTD("tos.rtd",,AX$2,"."&amp;$A$2&amp;$AW$1&amp;"P"&amp;$A18)="N/A",0,RTD("tos.rtd",,AX$2,"."&amp;$A$2&amp;$AW$1&amp;"P"&amp;$A18))</f>
        <v>-3296</v>
      </c>
      <c r="AY18" s="1">
        <f t="shared" si="69"/>
        <v>15013</v>
      </c>
      <c r="AZ18" s="8">
        <f t="shared" si="35"/>
        <v>568</v>
      </c>
      <c r="BA18" s="6">
        <f>IF(RTD("tos.rtd",,BA$2,"."&amp;$A$2&amp;$AS$1&amp;"C"&amp;$A18)="N/A",0,RTD("tos.rtd",,BA$2,"."&amp;$A$2&amp;$AS$1&amp;"C"&amp;$A18))</f>
        <v>0</v>
      </c>
      <c r="BB18" s="7">
        <f>-IF(RTD("tos.rtd",,BB$2,"."&amp;$A$2&amp;$AS$1&amp;"P"&amp;$A18)="N/A",0,RTD("tos.rtd",,BB$2,"."&amp;$A$2&amp;$AS$1&amp;"P"&amp;$A18))</f>
        <v>0</v>
      </c>
      <c r="BC18" s="6">
        <f>IF(RTD("tos.rtd",,BC$2,"."&amp;$A$2&amp;$AU$1&amp;"C"&amp;$A18)="N/A",0,RTD("tos.rtd",,BC$2,"."&amp;$A$2&amp;$AU$1&amp;"C"&amp;$A18))</f>
        <v>217360</v>
      </c>
      <c r="BD18" s="7">
        <f>-IF(RTD("tos.rtd",,BD$2,"."&amp;$A$2&amp;$AU$1&amp;"P"&amp;$A18)="N/A",0,RTD("tos.rtd",,BD$2,"."&amp;$A$2&amp;$AU$1&amp;"P"&amp;$A18))</f>
        <v>-18389</v>
      </c>
      <c r="BE18" s="6">
        <f>IF(RTD("tos.rtd",,BE$2,"."&amp;$A$2&amp;$AW$1&amp;"C"&amp;$A18)="N/A",0,RTD("tos.rtd",,BE$2,"."&amp;$A$2&amp;$AW$1&amp;"C"&amp;$A18))</f>
        <v>7129</v>
      </c>
      <c r="BF18" s="83">
        <f>-IF(RTD("tos.rtd",,BF$2,"."&amp;$A$2&amp;$AW$1&amp;"P"&amp;$A18)="N/A",0,RTD("tos.rtd",,BF$2,"."&amp;$A$2&amp;$AW$1&amp;"P"&amp;$A18))</f>
        <v>-1593</v>
      </c>
      <c r="BG18" s="32">
        <f ca="1">+Hoja2!Y19</f>
        <v>1416</v>
      </c>
      <c r="BH18" s="7">
        <f t="shared" ca="1" si="36"/>
        <v>205923</v>
      </c>
      <c r="BI18" s="8" t="str">
        <f t="shared" ref="BI18" ca="1" si="131">IF(AND(BH18&lt;0,BH17&gt;0), "Cruce -", IF(AND(BH18&gt;0,BH17&lt;0),"Cruce +", ""))</f>
        <v/>
      </c>
      <c r="BJ18" s="3" t="e">
        <f ca="1">IF($BP$1=1,DX18,IF(RTD("tos.rtd",,BJ$2,"."&amp;$A$2&amp;$AS$1&amp;"C"&amp;$A18)="N/A",0,RTD("tos.rtd",,BJ$2,"."&amp;$A$2&amp;$AS$1&amp;"C"&amp;$A18)))</f>
        <v>#NUM!</v>
      </c>
      <c r="BK18" s="3" t="e">
        <f ca="1">IF($BP$1=1,DY18,-IF(RTD("tos.rtd",,BK$2,"."&amp;$A$2&amp;$AS$1&amp;"P"&amp;$A18)="N/A",0,RTD("tos.rtd",,BK$2,"."&amp;$A$2&amp;$AS$1&amp;"P"&amp;$A18)))</f>
        <v>#NUM!</v>
      </c>
      <c r="BL18" s="3" t="e">
        <f ca="1">IF($BP$1=1,DZ18,IF(RTD("tos.rtd",,BL$2,"."&amp;$A$2&amp;$AU$1&amp;"C"&amp;$A18)="N/A",0,RTD("tos.rtd",,BL$2,"."&amp;$A$2&amp;$AU$1&amp;"C"&amp;$A18)))</f>
        <v>#NUM!</v>
      </c>
      <c r="BM18" s="3" t="e">
        <f ca="1">IF($BP$1=1,EA18,-IF(RTD("tos.rtd",,BM$2,"."&amp;$A$2&amp;$AU$1&amp;"P"&amp;$A18)="N/A",0,RTD("tos.rtd",,BM$2,"."&amp;$A$2&amp;$AU$1&amp;"P"&amp;$A18)))</f>
        <v>#NUM!</v>
      </c>
      <c r="BN18" s="3" t="e">
        <f ca="1">IF($BP$1=1,EB18,IF(RTD("tos.rtd",,BN$2,"."&amp;$A$2&amp;$AW$1&amp;"C"&amp;$A18)="N/A",0,RTD("tos.rtd",,BN$2,"."&amp;$A$2&amp;$AW$1&amp;"C"&amp;$A18)))</f>
        <v>#NUM!</v>
      </c>
      <c r="BO18" s="3" t="e">
        <f ca="1">IF($BP$1=1,EC18,-IF(RTD("tos.rtd",,BO$2,"."&amp;$A$2&amp;$AW$1&amp;"P"&amp;$A18)="N/A",0,RTD("tos.rtd",,BO$2,"."&amp;$A$2&amp;$AW$1&amp;"P"&amp;$A18)))</f>
        <v>#NUM!</v>
      </c>
      <c r="BQ18" s="3" t="e">
        <f t="shared" ca="1" si="37"/>
        <v>#NUM!</v>
      </c>
      <c r="BR18" s="3" t="e">
        <f t="shared" ca="1" si="71"/>
        <v>#NUM!</v>
      </c>
      <c r="BS18" s="3" t="e">
        <f t="shared" ca="1" si="38"/>
        <v>#NUM!</v>
      </c>
      <c r="BT18" s="3" t="e">
        <f t="shared" ca="1" si="71"/>
        <v>#NUM!</v>
      </c>
      <c r="BU18" s="3" t="e">
        <f t="shared" ca="1" si="39"/>
        <v>#NUM!</v>
      </c>
      <c r="BV18" s="3" t="e">
        <f t="shared" ref="BV18" ca="1" si="132">IF(AND(BU18&lt;0,BU17&gt;0), "Cruce -", IF(AND(BU18&gt;0,BU17&lt;0),"Cruce +", ""))</f>
        <v>#NUM!</v>
      </c>
      <c r="BX18" s="3" t="e">
        <f t="shared" ca="1" si="40"/>
        <v>#NUM!</v>
      </c>
      <c r="BY18" s="3" t="e">
        <f t="shared" ca="1" si="73"/>
        <v>#NUM!</v>
      </c>
      <c r="BZ18" s="3" t="e">
        <f t="shared" ca="1" si="41"/>
        <v>#NUM!</v>
      </c>
      <c r="CA18" s="3" t="e">
        <f t="shared" ca="1" si="74"/>
        <v>#NUM!</v>
      </c>
      <c r="CB18" s="3" t="e">
        <f t="shared" ca="1" si="42"/>
        <v>#NUM!</v>
      </c>
      <c r="CC18" s="3" t="e">
        <f t="shared" ca="1" si="75"/>
        <v>#NUM!</v>
      </c>
      <c r="CD18" s="3">
        <f>IF(RTD("tos.rtd",,CD$2,"."&amp;$A$2&amp;$AS$1&amp;"C"&amp;$A18)="N/A",0,RTD("tos.rtd",,CD$2,"."&amp;$A$2&amp;$AS$1&amp;"C"&amp;$A18))</f>
        <v>1</v>
      </c>
      <c r="CE18" s="3">
        <f>-IF(RTD("tos.rtd",,CE$2,"."&amp;$A$2&amp;$AS$1&amp;"P"&amp;$A18)="N/A",0,RTD("tos.rtd",,CE$2,"."&amp;$A$2&amp;$AS$1&amp;"P"&amp;$A18))</f>
        <v>0.39</v>
      </c>
      <c r="CF18" s="3">
        <f>IF(RTD("tos.rtd",,CF$2,"."&amp;$A$2&amp;$AU$1&amp;"C"&amp;$A18)="N/A",0,RTD("tos.rtd",,CF$2,"."&amp;$A$2&amp;$AU$1&amp;"C"&amp;$A18))</f>
        <v>1</v>
      </c>
      <c r="CG18" s="3">
        <f>-IF(RTD("tos.rtd",,CG$2,"."&amp;$A$2&amp;$AU$1&amp;"P"&amp;$A18)="N/A",0,RTD("tos.rtd",,CG$2,"."&amp;$A$2&amp;$AU$1&amp;"P"&amp;$A18))</f>
        <v>0.4</v>
      </c>
      <c r="CH18" s="3">
        <f>IF(RTD("tos.rtd",,CH$2,"."&amp;$A$2&amp;$AW$1&amp;"C"&amp;$A18)="N/A",0,RTD("tos.rtd",,CH$2,"."&amp;$A$2&amp;$AW$1&amp;"C"&amp;$A18))</f>
        <v>0.69</v>
      </c>
      <c r="CI18" s="3">
        <f>-IF(RTD("tos.rtd",,CI$2,"."&amp;$A$2&amp;$AW$1&amp;"P"&amp;$A18)="N/A",0,RTD("tos.rtd",,CI$2,"."&amp;$A$2&amp;$AW$1&amp;"P"&amp;$A18))</f>
        <v>0.44</v>
      </c>
      <c r="CK18" s="3">
        <f t="shared" si="17"/>
        <v>538325</v>
      </c>
      <c r="CL18" s="3"/>
      <c r="CM18" s="3">
        <f t="shared" si="18"/>
        <v>834460</v>
      </c>
      <c r="CN18" s="3"/>
      <c r="CO18" s="3">
        <f t="shared" si="19"/>
        <v>369715.99999999994</v>
      </c>
      <c r="CP18" s="3">
        <f t="shared" si="43"/>
        <v>1742501</v>
      </c>
      <c r="CQ18" s="3">
        <f t="shared" si="44"/>
        <v>0</v>
      </c>
      <c r="CR18" s="3"/>
      <c r="CS18" s="3">
        <f t="shared" si="20"/>
        <v>198971</v>
      </c>
      <c r="CT18" s="3"/>
      <c r="CU18" s="3">
        <f t="shared" si="21"/>
        <v>5536</v>
      </c>
      <c r="CV18" s="3">
        <f t="shared" si="45"/>
        <v>204507</v>
      </c>
      <c r="CW18" s="3" t="e">
        <f t="shared" ca="1" si="46"/>
        <v>#NUM!</v>
      </c>
      <c r="CX18" s="85" t="e">
        <f t="shared" ca="1" si="76"/>
        <v>#NUM!</v>
      </c>
      <c r="CY18" s="3" t="e">
        <f t="shared" ca="1" si="47"/>
        <v>#NUM!</v>
      </c>
      <c r="CZ18" s="85" t="e">
        <f t="shared" ca="1" si="77"/>
        <v>#NUM!</v>
      </c>
      <c r="DA18" s="3">
        <f>IF(RTD("tos.rtd",,DA$2,"."&amp;$A$2&amp;$AS$1&amp;"C"&amp;$A18)="N/A",0,RTD("tos.rtd",,DA$2,"."&amp;$A$2&amp;$AS$1&amp;"C"&amp;$A18))</f>
        <v>0.01</v>
      </c>
      <c r="DB18" s="3">
        <f>IF(RTD("tos.rtd",,DB$2,"."&amp;$A$2&amp;$AS$1&amp;"P"&amp;$A18)="N/A",0,RTD("tos.rtd",,DB$2,"."&amp;$A$2&amp;$AS$1&amp;"P"&amp;$A18))</f>
        <v>2.89</v>
      </c>
      <c r="DC18" s="3">
        <f>IF(RTD("tos.rtd",,DC$2,"."&amp;$A$2&amp;$AS$1&amp;"C"&amp;$A18)="N/A",0,RTD("tos.rtd",,DC$2,"."&amp;$A$2&amp;$AS$1&amp;"C"&amp;$A18))</f>
        <v>0.01</v>
      </c>
      <c r="DD18" s="3">
        <f>IF(RTD("tos.rtd",,DD$2,"."&amp;$A$2&amp;$AS$1&amp;"P"&amp;$A18)="N/A",0,RTD("tos.rtd",,DD$2,"."&amp;$A$2&amp;$AS$1&amp;"P"&amp;$A18))</f>
        <v>3.23</v>
      </c>
      <c r="DE18" s="3">
        <f>IF(RTD("tos.rtd",,DE$2,"."&amp;$A$2&amp;$AS$1&amp;"C"&amp;$A18)="N/A",0,RTD("tos.rtd",,DE$2,"."&amp;$A$2&amp;$AS$1&amp;"C"&amp;$A18))</f>
        <v>0</v>
      </c>
      <c r="DF18" s="3">
        <f>IF(RTD("tos.rtd",,DF$2,"."&amp;$A$2&amp;$AS$1&amp;"P"&amp;$A18)="N/A",0,RTD("tos.rtd",,DF$2,"."&amp;$A$2&amp;$AS$1&amp;"P"&amp;$A18))</f>
        <v>3.1</v>
      </c>
      <c r="DG18" s="86">
        <f t="shared" si="48"/>
        <v>-3.1100000000000136</v>
      </c>
      <c r="DH18" s="3">
        <f t="shared" si="22"/>
        <v>-314199</v>
      </c>
      <c r="DI18" s="3">
        <f t="shared" si="49"/>
        <v>-488300.07692307729</v>
      </c>
      <c r="DJ18" s="3">
        <f t="shared" si="50"/>
        <v>-314199</v>
      </c>
      <c r="DK18" s="3">
        <f t="shared" si="51"/>
        <v>-302281</v>
      </c>
      <c r="DL18" s="3">
        <f t="shared" si="52"/>
        <v>-802499.07692307723</v>
      </c>
      <c r="DM18" s="3">
        <f t="shared" si="53"/>
        <v>-616480</v>
      </c>
      <c r="DN18" s="63" t="str">
        <f t="shared" si="54"/>
        <v>UNKNOWN</v>
      </c>
      <c r="DO18" s="63" t="str">
        <f t="shared" si="55"/>
        <v>UNKNOWN</v>
      </c>
      <c r="DP18" s="3">
        <f t="shared" si="56"/>
        <v>-1414329.2123076934</v>
      </c>
      <c r="DQ18" s="3">
        <f t="shared" si="57"/>
        <v>-876734.08000000007</v>
      </c>
      <c r="DR18" s="3" t="e">
        <f t="shared" ca="1" si="58"/>
        <v>#NUM!</v>
      </c>
      <c r="DS18" s="3">
        <f t="shared" si="59"/>
        <v>-432088.59</v>
      </c>
      <c r="DT18" s="3">
        <f t="shared" si="60"/>
        <v>-314199</v>
      </c>
      <c r="DU18" s="3">
        <f t="shared" si="61"/>
        <v>302281</v>
      </c>
      <c r="DV18" s="3">
        <f t="shared" si="62"/>
        <v>-37577</v>
      </c>
      <c r="DW18" s="3">
        <f t="shared" si="23"/>
        <v>29650</v>
      </c>
      <c r="DX18" s="3" t="e">
        <f t="shared" ca="1" si="24"/>
        <v>#NUM!</v>
      </c>
      <c r="DY18" s="3" t="e">
        <f t="shared" ca="1" si="25"/>
        <v>#NUM!</v>
      </c>
      <c r="DZ18" s="3" t="e">
        <f t="shared" ca="1" si="26"/>
        <v>#NUM!</v>
      </c>
      <c r="EA18" s="3" t="e">
        <f t="shared" ca="1" si="27"/>
        <v>#NUM!</v>
      </c>
      <c r="EB18" s="3" t="e">
        <f t="shared" ca="1" si="28"/>
        <v>#NUM!</v>
      </c>
      <c r="EC18" s="3" t="e">
        <f t="shared" ca="1" si="29"/>
        <v>#NUM!</v>
      </c>
      <c r="ED18" s="63">
        <f t="shared" si="63"/>
        <v>-7927</v>
      </c>
      <c r="EE18" s="59">
        <f t="shared" si="64"/>
        <v>0.25</v>
      </c>
      <c r="EF18" s="59">
        <f t="shared" si="30"/>
        <v>2.653</v>
      </c>
      <c r="EG18" s="59">
        <f t="shared" si="31"/>
        <v>0.25</v>
      </c>
      <c r="EH18" s="59">
        <f t="shared" si="32"/>
        <v>2.9540999999999999</v>
      </c>
      <c r="EI18" s="59">
        <f t="shared" si="33"/>
        <v>0.10730000000000001</v>
      </c>
      <c r="EJ18" s="59">
        <f t="shared" si="34"/>
        <v>0.3679</v>
      </c>
      <c r="EK18" s="63" t="e">
        <f t="shared" ca="1" si="65"/>
        <v>#NUM!</v>
      </c>
      <c r="EL18" s="3" t="str">
        <f>RTD("tos.rtd",,EL$2,"."&amp;$A$2&amp;$AS$1&amp;"C"&amp;$A18)</f>
        <v>--</v>
      </c>
      <c r="EM18" s="3" t="str">
        <f>RTD("tos.rtd",,EM$2,"."&amp;$A$2&amp;$AS$1&amp;"P"&amp;$A18)</f>
        <v>265.30%</v>
      </c>
      <c r="EN18" s="3" t="str">
        <f>RTD("tos.rtd",,EN$2,"."&amp;$A$2&amp;$AU$1&amp;"C"&amp;$A18)</f>
        <v>--</v>
      </c>
      <c r="EO18" s="3" t="str">
        <f>RTD("tos.rtd",,EO$2,"."&amp;$A$2&amp;$AU$1&amp;"P"&amp;$A18)</f>
        <v>295.41%</v>
      </c>
      <c r="EP18" s="3" t="str">
        <f>RTD("tos.rtd",,EP$2,"."&amp;$A$2&amp;$AW$1&amp;"C"&amp;$A18)</f>
        <v>10.73%</v>
      </c>
      <c r="EQ18" s="3" t="str">
        <f>RTD("tos.rtd",,EQ$2,"."&amp;$A$2&amp;$AW$1&amp;"P"&amp;$A18)</f>
        <v>36.79%</v>
      </c>
      <c r="ES18" s="63" t="str">
        <f t="shared" si="66"/>
        <v>568,-7927.00</v>
      </c>
      <c r="ET18" s="63" t="str">
        <f t="shared" ca="1" si="67"/>
        <v>568,00.00</v>
      </c>
      <c r="EU18" s="67">
        <v>561.08000000000004</v>
      </c>
      <c r="EV18" s="67" t="s">
        <v>163</v>
      </c>
      <c r="EW18" s="67">
        <v>483.4</v>
      </c>
      <c r="EX18" s="67" t="s">
        <v>164</v>
      </c>
      <c r="EY18" s="67">
        <v>5631.28</v>
      </c>
      <c r="EZ18" s="67" t="s">
        <v>165</v>
      </c>
      <c r="FA18" s="67">
        <v>19867.973000000002</v>
      </c>
      <c r="FB18" s="67" t="s">
        <v>166</v>
      </c>
      <c r="FC18" s="67" t="s">
        <v>167</v>
      </c>
      <c r="FD18" s="67" t="s">
        <v>168</v>
      </c>
      <c r="FE18" s="67" t="s">
        <v>169</v>
      </c>
      <c r="FF18" s="67" t="s">
        <v>170</v>
      </c>
    </row>
    <row r="19" spans="1:162" s="63" customFormat="1" ht="13.5" thickBot="1" x14ac:dyDescent="0.25">
      <c r="A19" s="2">
        <f t="shared" si="68"/>
        <v>567</v>
      </c>
      <c r="B19" s="3">
        <f t="shared" si="9"/>
        <v>4483</v>
      </c>
      <c r="C19" s="3">
        <f t="shared" si="10"/>
        <v>12394</v>
      </c>
      <c r="D19" s="3">
        <f t="shared" si="11"/>
        <v>7794</v>
      </c>
      <c r="E19" s="3">
        <f t="shared" si="12"/>
        <v>24671</v>
      </c>
      <c r="F19" s="4">
        <f t="shared" si="13"/>
        <v>5705.1452434732364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15372</v>
      </c>
      <c r="AN19" s="1">
        <v>42803</v>
      </c>
      <c r="AO19" s="1">
        <v>567</v>
      </c>
      <c r="AP19" s="1">
        <v>197797</v>
      </c>
      <c r="AQ19" s="1">
        <v>-213730</v>
      </c>
      <c r="AR19" s="1"/>
      <c r="AS19" s="6">
        <f>IF(RTD("tos.rtd",,AS$2,"."&amp;$A$2&amp;$AS$1&amp;"C"&amp;$A19)="N/A",0,RTD("tos.rtd",,AS$2,"."&amp;$A$2&amp;$AS$1&amp;"C"&amp;$A19))</f>
        <v>4214</v>
      </c>
      <c r="AT19" s="7">
        <f>-IF(RTD("tos.rtd",,AT$2,"."&amp;$A$2&amp;$AS$1&amp;"P"&amp;$A19)="N/A",0,RTD("tos.rtd",,AT$2,"."&amp;$A$2&amp;$AS$1&amp;"P"&amp;$A19))</f>
        <v>-269</v>
      </c>
      <c r="AU19" s="6">
        <f>IF(RTD("tos.rtd",,AU$2,"."&amp;$A$2&amp;$AU$1&amp;"C"&amp;$A19)="N/A",0,RTD("tos.rtd",,AU$2,"."&amp;$A$2&amp;$AU$1&amp;"C"&amp;$A19))</f>
        <v>9415</v>
      </c>
      <c r="AV19" s="7">
        <f>-IF(RTD("tos.rtd",,AV$2,"."&amp;$A$2&amp;$AU$1&amp;"P"&amp;$A19)="N/A",0,RTD("tos.rtd",,AV$2,"."&amp;$A$2&amp;$AU$1&amp;"P"&amp;$A19))</f>
        <v>-2979</v>
      </c>
      <c r="AW19" s="6">
        <f>IF(RTD("tos.rtd",,AW$2,"."&amp;$A$2&amp;$AW$1&amp;"C"&amp;$A19)="N/A",0,RTD("tos.rtd",,AW$2,"."&amp;$A$2&amp;$AW$1&amp;"C"&amp;$A19))</f>
        <v>4563</v>
      </c>
      <c r="AX19" s="7">
        <f>-IF(RTD("tos.rtd",,AX$2,"."&amp;$A$2&amp;$AW$1&amp;"P"&amp;$A19)="N/A",0,RTD("tos.rtd",,AX$2,"."&amp;$A$2&amp;$AW$1&amp;"P"&amp;$A19))</f>
        <v>-3231</v>
      </c>
      <c r="AY19" s="1">
        <f t="shared" si="69"/>
        <v>11713</v>
      </c>
      <c r="AZ19" s="8">
        <f t="shared" si="35"/>
        <v>567</v>
      </c>
      <c r="BA19" s="6">
        <f>IF(RTD("tos.rtd",,BA$2,"."&amp;$A$2&amp;$AS$1&amp;"C"&amp;$A19)="N/A",0,RTD("tos.rtd",,BA$2,"."&amp;$A$2&amp;$AS$1&amp;"C"&amp;$A19))</f>
        <v>0</v>
      </c>
      <c r="BB19" s="7">
        <f>-IF(RTD("tos.rtd",,BB$2,"."&amp;$A$2&amp;$AS$1&amp;"P"&amp;$A19)="N/A",0,RTD("tos.rtd",,BB$2,"."&amp;$A$2&amp;$AS$1&amp;"P"&amp;$A19))</f>
        <v>0</v>
      </c>
      <c r="BC19" s="6">
        <f>IF(RTD("tos.rtd",,BC$2,"."&amp;$A$2&amp;$AU$1&amp;"C"&amp;$A19)="N/A",0,RTD("tos.rtd",,BC$2,"."&amp;$A$2&amp;$AU$1&amp;"C"&amp;$A19))</f>
        <v>397613</v>
      </c>
      <c r="BD19" s="7">
        <f>-IF(RTD("tos.rtd",,BD$2,"."&amp;$A$2&amp;$AU$1&amp;"P"&amp;$A19)="N/A",0,RTD("tos.rtd",,BD$2,"."&amp;$A$2&amp;$AU$1&amp;"P"&amp;$A19))</f>
        <v>-72903</v>
      </c>
      <c r="BE19" s="6">
        <f>IF(RTD("tos.rtd",,BE$2,"."&amp;$A$2&amp;$AW$1&amp;"C"&amp;$A19)="N/A",0,RTD("tos.rtd",,BE$2,"."&amp;$A$2&amp;$AW$1&amp;"C"&amp;$A19))</f>
        <v>13645</v>
      </c>
      <c r="BF19" s="83">
        <f>-IF(RTD("tos.rtd",,BF$2,"."&amp;$A$2&amp;$AW$1&amp;"P"&amp;$A19)="N/A",0,RTD("tos.rtd",,BF$2,"."&amp;$A$2&amp;$AW$1&amp;"P"&amp;$A19))</f>
        <v>-3740</v>
      </c>
      <c r="BG19" s="32">
        <f ca="1">+Hoja2!Y20</f>
        <v>-247</v>
      </c>
      <c r="BH19" s="7">
        <f t="shared" ca="1" si="36"/>
        <v>334368</v>
      </c>
      <c r="BI19" s="8" t="str">
        <f t="shared" ref="BI19" ca="1" si="133">IF(AND(BH19&lt;0,BH18&gt;0), "Cruce -", IF(AND(BH19&gt;0,BH18&lt;0),"Cruce +", ""))</f>
        <v/>
      </c>
      <c r="BJ19" s="3" t="e">
        <f ca="1">IF($BP$1=1,DX19,IF(RTD("tos.rtd",,BJ$2,"."&amp;$A$2&amp;$AS$1&amp;"C"&amp;$A19)="N/A",0,RTD("tos.rtd",,BJ$2,"."&amp;$A$2&amp;$AS$1&amp;"C"&amp;$A19)))</f>
        <v>#NUM!</v>
      </c>
      <c r="BK19" s="3" t="e">
        <f ca="1">IF($BP$1=1,DY19,-IF(RTD("tos.rtd",,BK$2,"."&amp;$A$2&amp;$AS$1&amp;"P"&amp;$A19)="N/A",0,RTD("tos.rtd",,BK$2,"."&amp;$A$2&amp;$AS$1&amp;"P"&amp;$A19)))</f>
        <v>#NUM!</v>
      </c>
      <c r="BL19" s="3" t="e">
        <f ca="1">IF($BP$1=1,DZ19,IF(RTD("tos.rtd",,BL$2,"."&amp;$A$2&amp;$AU$1&amp;"C"&amp;$A19)="N/A",0,RTD("tos.rtd",,BL$2,"."&amp;$A$2&amp;$AU$1&amp;"C"&amp;$A19)))</f>
        <v>#NUM!</v>
      </c>
      <c r="BM19" s="3" t="e">
        <f ca="1">IF($BP$1=1,EA19,-IF(RTD("tos.rtd",,BM$2,"."&amp;$A$2&amp;$AU$1&amp;"P"&amp;$A19)="N/A",0,RTD("tos.rtd",,BM$2,"."&amp;$A$2&amp;$AU$1&amp;"P"&amp;$A19)))</f>
        <v>#NUM!</v>
      </c>
      <c r="BN19" s="3" t="e">
        <f ca="1">IF($BP$1=1,EB19,IF(RTD("tos.rtd",,BN$2,"."&amp;$A$2&amp;$AW$1&amp;"C"&amp;$A19)="N/A",0,RTD("tos.rtd",,BN$2,"."&amp;$A$2&amp;$AW$1&amp;"C"&amp;$A19)))</f>
        <v>#NUM!</v>
      </c>
      <c r="BO19" s="3" t="e">
        <f ca="1">IF($BP$1=1,EC19,-IF(RTD("tos.rtd",,BO$2,"."&amp;$A$2&amp;$AW$1&amp;"P"&amp;$A19)="N/A",0,RTD("tos.rtd",,BO$2,"."&amp;$A$2&amp;$AW$1&amp;"P"&amp;$A19)))</f>
        <v>#NUM!</v>
      </c>
      <c r="BQ19" s="3" t="e">
        <f t="shared" ca="1" si="37"/>
        <v>#NUM!</v>
      </c>
      <c r="BR19" s="3" t="e">
        <f t="shared" ca="1" si="71"/>
        <v>#NUM!</v>
      </c>
      <c r="BS19" s="3" t="e">
        <f t="shared" ca="1" si="38"/>
        <v>#NUM!</v>
      </c>
      <c r="BT19" s="3" t="e">
        <f t="shared" ca="1" si="71"/>
        <v>#NUM!</v>
      </c>
      <c r="BU19" s="3" t="e">
        <f t="shared" ca="1" si="39"/>
        <v>#NUM!</v>
      </c>
      <c r="BV19" s="3" t="e">
        <f t="shared" ref="BV19" ca="1" si="134">IF(AND(BU19&lt;0,BU18&gt;0), "Cruce -", IF(AND(BU19&gt;0,BU18&lt;0),"Cruce +", ""))</f>
        <v>#NUM!</v>
      </c>
      <c r="BX19" s="3" t="e">
        <f t="shared" ca="1" si="40"/>
        <v>#NUM!</v>
      </c>
      <c r="BY19" s="3" t="e">
        <f t="shared" ca="1" si="73"/>
        <v>#NUM!</v>
      </c>
      <c r="BZ19" s="3" t="e">
        <f t="shared" ca="1" si="41"/>
        <v>#NUM!</v>
      </c>
      <c r="CA19" s="3" t="e">
        <f t="shared" ca="1" si="74"/>
        <v>#NUM!</v>
      </c>
      <c r="CB19" s="3" t="e">
        <f t="shared" ca="1" si="42"/>
        <v>#NUM!</v>
      </c>
      <c r="CC19" s="3" t="e">
        <f t="shared" ca="1" si="75"/>
        <v>#NUM!</v>
      </c>
      <c r="CD19" s="3">
        <f>IF(RTD("tos.rtd",,CD$2,"."&amp;$A$2&amp;$AS$1&amp;"C"&amp;$A19)="N/A",0,RTD("tos.rtd",,CD$2,"."&amp;$A$2&amp;$AS$1&amp;"C"&amp;$A19))</f>
        <v>1</v>
      </c>
      <c r="CE19" s="3">
        <f>-IF(RTD("tos.rtd",,CE$2,"."&amp;$A$2&amp;$AS$1&amp;"P"&amp;$A19)="N/A",0,RTD("tos.rtd",,CE$2,"."&amp;$A$2&amp;$AS$1&amp;"P"&amp;$A19))</f>
        <v>0.33</v>
      </c>
      <c r="CF19" s="3">
        <f>IF(RTD("tos.rtd",,CF$2,"."&amp;$A$2&amp;$AU$1&amp;"C"&amp;$A19)="N/A",0,RTD("tos.rtd",,CF$2,"."&amp;$A$2&amp;$AU$1&amp;"C"&amp;$A19))</f>
        <v>1</v>
      </c>
      <c r="CG19" s="3">
        <f>-IF(RTD("tos.rtd",,CG$2,"."&amp;$A$2&amp;$AU$1&amp;"P"&amp;$A19)="N/A",0,RTD("tos.rtd",,CG$2,"."&amp;$A$2&amp;$AU$1&amp;"P"&amp;$A19))</f>
        <v>0.35</v>
      </c>
      <c r="CH19" s="3">
        <f>IF(RTD("tos.rtd",,CH$2,"."&amp;$A$2&amp;$AW$1&amp;"C"&amp;$A19)="N/A",0,RTD("tos.rtd",,CH$2,"."&amp;$A$2&amp;$AW$1&amp;"C"&amp;$A19))</f>
        <v>0.76</v>
      </c>
      <c r="CI19" s="3">
        <f>-IF(RTD("tos.rtd",,CI$2,"."&amp;$A$2&amp;$AW$1&amp;"P"&amp;$A19)="N/A",0,RTD("tos.rtd",,CI$2,"."&amp;$A$2&amp;$AW$1&amp;"P"&amp;$A19))</f>
        <v>0.42</v>
      </c>
      <c r="CK19" s="3">
        <f t="shared" si="17"/>
        <v>412523</v>
      </c>
      <c r="CL19" s="3"/>
      <c r="CM19" s="3">
        <f t="shared" si="18"/>
        <v>837235</v>
      </c>
      <c r="CN19" s="3"/>
      <c r="CO19" s="3">
        <f t="shared" si="19"/>
        <v>211086</v>
      </c>
      <c r="CP19" s="3">
        <f t="shared" si="43"/>
        <v>1460844</v>
      </c>
      <c r="CQ19" s="3">
        <f t="shared" si="44"/>
        <v>0</v>
      </c>
      <c r="CR19" s="3"/>
      <c r="CS19" s="3">
        <f t="shared" si="20"/>
        <v>324710</v>
      </c>
      <c r="CT19" s="3"/>
      <c r="CU19" s="3">
        <f t="shared" si="21"/>
        <v>9905</v>
      </c>
      <c r="CV19" s="3">
        <f t="shared" si="45"/>
        <v>334615</v>
      </c>
      <c r="CW19" s="3" t="e">
        <f t="shared" ca="1" si="46"/>
        <v>#NUM!</v>
      </c>
      <c r="CX19" s="85" t="e">
        <f t="shared" ca="1" si="76"/>
        <v>#NUM!</v>
      </c>
      <c r="CY19" s="3" t="e">
        <f t="shared" ca="1" si="47"/>
        <v>#NUM!</v>
      </c>
      <c r="CZ19" s="85" t="e">
        <f t="shared" ca="1" si="77"/>
        <v>#NUM!</v>
      </c>
      <c r="DA19" s="3">
        <f>IF(RTD("tos.rtd",,DA$2,"."&amp;$A$2&amp;$AS$1&amp;"C"&amp;$A19)="N/A",0,RTD("tos.rtd",,DA$2,"."&amp;$A$2&amp;$AS$1&amp;"C"&amp;$A19))</f>
        <v>0.02</v>
      </c>
      <c r="DB19" s="3">
        <f>IF(RTD("tos.rtd",,DB$2,"."&amp;$A$2&amp;$AS$1&amp;"P"&amp;$A19)="N/A",0,RTD("tos.rtd",,DB$2,"."&amp;$A$2&amp;$AS$1&amp;"P"&amp;$A19))</f>
        <v>1.95</v>
      </c>
      <c r="DC19" s="3">
        <f>IF(RTD("tos.rtd",,DC$2,"."&amp;$A$2&amp;$AS$1&amp;"C"&amp;$A19)="N/A",0,RTD("tos.rtd",,DC$2,"."&amp;$A$2&amp;$AS$1&amp;"C"&amp;$A19))</f>
        <v>0.02</v>
      </c>
      <c r="DD19" s="3">
        <f>IF(RTD("tos.rtd",,DD$2,"."&amp;$A$2&amp;$AS$1&amp;"P"&amp;$A19)="N/A",0,RTD("tos.rtd",,DD$2,"."&amp;$A$2&amp;$AS$1&amp;"P"&amp;$A19))</f>
        <v>2.23</v>
      </c>
      <c r="DE19" s="3">
        <f>IF(RTD("tos.rtd",,DE$2,"."&amp;$A$2&amp;$AS$1&amp;"C"&amp;$A19)="N/A",0,RTD("tos.rtd",,DE$2,"."&amp;$A$2&amp;$AS$1&amp;"C"&amp;$A19))</f>
        <v>0.01</v>
      </c>
      <c r="DF19" s="3">
        <f>IF(RTD("tos.rtd",,DF$2,"."&amp;$A$2&amp;$AS$1&amp;"P"&amp;$A19)="N/A",0,RTD("tos.rtd",,DF$2,"."&amp;$A$2&amp;$AS$1&amp;"P"&amp;$A19))</f>
        <v>2.1</v>
      </c>
      <c r="DG19" s="86">
        <f t="shared" si="48"/>
        <v>-4.1100000000000136</v>
      </c>
      <c r="DH19" s="3">
        <f t="shared" si="22"/>
        <v>-197797</v>
      </c>
      <c r="DI19" s="3">
        <f t="shared" si="49"/>
        <v>-246611.53846153888</v>
      </c>
      <c r="DJ19" s="3">
        <f t="shared" si="50"/>
        <v>-197797</v>
      </c>
      <c r="DK19" s="3">
        <f t="shared" si="51"/>
        <v>-213730</v>
      </c>
      <c r="DL19" s="3">
        <f t="shared" si="52"/>
        <v>-444408.53846153885</v>
      </c>
      <c r="DM19" s="3">
        <f t="shared" si="53"/>
        <v>-411527</v>
      </c>
      <c r="DN19" s="63" t="str">
        <f t="shared" si="54"/>
        <v>UNKNOWN</v>
      </c>
      <c r="DO19" s="63" t="str">
        <f t="shared" si="55"/>
        <v>UNKNOWN</v>
      </c>
      <c r="DP19" s="3">
        <f t="shared" si="56"/>
        <v>-484848.44000000082</v>
      </c>
      <c r="DQ19" s="3">
        <f t="shared" si="57"/>
        <v>-420729.44</v>
      </c>
      <c r="DR19" s="3" t="e">
        <f t="shared" ca="1" si="58"/>
        <v>#NUM!</v>
      </c>
      <c r="DS19" s="3">
        <f t="shared" si="59"/>
        <v>-268327.90000000002</v>
      </c>
      <c r="DT19" s="3">
        <f t="shared" si="60"/>
        <v>-197797</v>
      </c>
      <c r="DU19" s="3">
        <f t="shared" si="61"/>
        <v>213730</v>
      </c>
      <c r="DV19" s="3">
        <f t="shared" si="62"/>
        <v>15372</v>
      </c>
      <c r="DW19" s="3">
        <f t="shared" si="23"/>
        <v>42803</v>
      </c>
      <c r="DX19" s="3" t="e">
        <f t="shared" ca="1" si="24"/>
        <v>#NUM!</v>
      </c>
      <c r="DY19" s="3" t="e">
        <f t="shared" ca="1" si="25"/>
        <v>#NUM!</v>
      </c>
      <c r="DZ19" s="3" t="e">
        <f t="shared" ca="1" si="26"/>
        <v>#NUM!</v>
      </c>
      <c r="EA19" s="3" t="e">
        <f t="shared" ca="1" si="27"/>
        <v>#NUM!</v>
      </c>
      <c r="EB19" s="3" t="e">
        <f t="shared" ca="1" si="28"/>
        <v>#NUM!</v>
      </c>
      <c r="EC19" s="3" t="e">
        <f t="shared" ca="1" si="29"/>
        <v>#NUM!</v>
      </c>
      <c r="ED19" s="63">
        <f t="shared" si="63"/>
        <v>58175</v>
      </c>
      <c r="EE19" s="59">
        <f t="shared" si="64"/>
        <v>0.25</v>
      </c>
      <c r="EF19" s="59">
        <f t="shared" si="30"/>
        <v>2.2624</v>
      </c>
      <c r="EG19" s="59">
        <f t="shared" si="31"/>
        <v>0.25</v>
      </c>
      <c r="EH19" s="59">
        <f t="shared" si="32"/>
        <v>2.5749</v>
      </c>
      <c r="EI19" s="59">
        <f t="shared" si="33"/>
        <v>9.6299999999999997E-2</v>
      </c>
      <c r="EJ19" s="59">
        <f t="shared" si="34"/>
        <v>0.36430000000000001</v>
      </c>
      <c r="EK19" s="63" t="e">
        <f t="shared" ca="1" si="65"/>
        <v>#NUM!</v>
      </c>
      <c r="EL19" s="3" t="str">
        <f>RTD("tos.rtd",,EL$2,"."&amp;$A$2&amp;$AS$1&amp;"C"&amp;$A19)</f>
        <v>--</v>
      </c>
      <c r="EM19" s="3" t="str">
        <f>RTD("tos.rtd",,EM$2,"."&amp;$A$2&amp;$AS$1&amp;"P"&amp;$A19)</f>
        <v>226.24%</v>
      </c>
      <c r="EN19" s="3" t="str">
        <f>RTD("tos.rtd",,EN$2,"."&amp;$A$2&amp;$AU$1&amp;"C"&amp;$A19)</f>
        <v>--</v>
      </c>
      <c r="EO19" s="3" t="str">
        <f>RTD("tos.rtd",,EO$2,"."&amp;$A$2&amp;$AU$1&amp;"P"&amp;$A19)</f>
        <v>257.49%</v>
      </c>
      <c r="EP19" s="3" t="str">
        <f>RTD("tos.rtd",,EP$2,"."&amp;$A$2&amp;$AW$1&amp;"C"&amp;$A19)</f>
        <v>9.63%</v>
      </c>
      <c r="EQ19" s="3" t="str">
        <f>RTD("tos.rtd",,EQ$2,"."&amp;$A$2&amp;$AW$1&amp;"P"&amp;$A19)</f>
        <v>36.43%</v>
      </c>
      <c r="ES19" s="63" t="str">
        <f t="shared" si="66"/>
        <v>567,58175.00</v>
      </c>
      <c r="ET19" s="63" t="str">
        <f t="shared" ca="1" si="67"/>
        <v>567,00.00</v>
      </c>
      <c r="EU19" s="67">
        <v>561.15</v>
      </c>
      <c r="EV19" s="67" t="s">
        <v>171</v>
      </c>
      <c r="EW19" s="67">
        <v>483.54</v>
      </c>
      <c r="EX19" s="67" t="s">
        <v>172</v>
      </c>
      <c r="EY19" s="67">
        <v>5631.28</v>
      </c>
      <c r="EZ19" s="67" t="s">
        <v>173</v>
      </c>
      <c r="FA19" s="67">
        <v>19867.973000000002</v>
      </c>
      <c r="FB19" s="67" t="s">
        <v>174</v>
      </c>
      <c r="FC19" s="67" t="s">
        <v>175</v>
      </c>
      <c r="FD19" s="67" t="s">
        <v>176</v>
      </c>
      <c r="FE19" s="67" t="s">
        <v>177</v>
      </c>
      <c r="FF19" s="67" t="s">
        <v>178</v>
      </c>
    </row>
    <row r="20" spans="1:162" s="63" customFormat="1" ht="13.5" thickBot="1" x14ac:dyDescent="0.25">
      <c r="A20" s="2">
        <f t="shared" si="68"/>
        <v>566</v>
      </c>
      <c r="B20" s="3">
        <f t="shared" si="9"/>
        <v>8084</v>
      </c>
      <c r="C20" s="3">
        <f t="shared" si="10"/>
        <v>13784</v>
      </c>
      <c r="D20" s="3">
        <f t="shared" si="11"/>
        <v>9309</v>
      </c>
      <c r="E20" s="3">
        <f t="shared" si="12"/>
        <v>31177</v>
      </c>
      <c r="F20" s="4">
        <f t="shared" si="13"/>
        <v>5695.0832589168467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>
        <v>-36499</v>
      </c>
      <c r="AN20" s="1">
        <v>-3177</v>
      </c>
      <c r="AO20" s="1">
        <v>566</v>
      </c>
      <c r="AP20" s="1">
        <v>213412</v>
      </c>
      <c r="AQ20" s="1">
        <v>-194896</v>
      </c>
      <c r="AR20" s="1"/>
      <c r="AS20" s="6">
        <f>IF(RTD("tos.rtd",,AS$2,"."&amp;$A$2&amp;$AS$1&amp;"C"&amp;$A20)="N/A",0,RTD("tos.rtd",,AS$2,"."&amp;$A$2&amp;$AS$1&amp;"C"&amp;$A20))</f>
        <v>7336</v>
      </c>
      <c r="AT20" s="7">
        <f>-IF(RTD("tos.rtd",,AT$2,"."&amp;$A$2&amp;$AS$1&amp;"P"&amp;$A20)="N/A",0,RTD("tos.rtd",,AT$2,"."&amp;$A$2&amp;$AS$1&amp;"P"&amp;$A20))</f>
        <v>-748</v>
      </c>
      <c r="AU20" s="6">
        <f>IF(RTD("tos.rtd",,AU$2,"."&amp;$A$2&amp;$AU$1&amp;"C"&amp;$A20)="N/A",0,RTD("tos.rtd",,AU$2,"."&amp;$A$2&amp;$AU$1&amp;"C"&amp;$A20))</f>
        <v>8954</v>
      </c>
      <c r="AV20" s="7">
        <f>-IF(RTD("tos.rtd",,AV$2,"."&amp;$A$2&amp;$AU$1&amp;"P"&amp;$A20)="N/A",0,RTD("tos.rtd",,AV$2,"."&amp;$A$2&amp;$AU$1&amp;"P"&amp;$A20))</f>
        <v>-4830</v>
      </c>
      <c r="AW20" s="6">
        <f>IF(RTD("tos.rtd",,AW$2,"."&amp;$A$2&amp;$AW$1&amp;"C"&amp;$A20)="N/A",0,RTD("tos.rtd",,AW$2,"."&amp;$A$2&amp;$AW$1&amp;"C"&amp;$A20))</f>
        <v>5539</v>
      </c>
      <c r="AX20" s="7">
        <f>-IF(RTD("tos.rtd",,AX$2,"."&amp;$A$2&amp;$AW$1&amp;"P"&amp;$A20)="N/A",0,RTD("tos.rtd",,AX$2,"."&amp;$A$2&amp;$AW$1&amp;"P"&amp;$A20))</f>
        <v>-3770</v>
      </c>
      <c r="AY20" s="1">
        <f t="shared" si="69"/>
        <v>12481</v>
      </c>
      <c r="AZ20" s="8">
        <f t="shared" si="35"/>
        <v>566</v>
      </c>
      <c r="BA20" s="6">
        <f>IF(RTD("tos.rtd",,BA$2,"."&amp;$A$2&amp;$AS$1&amp;"C"&amp;$A20)="N/A",0,RTD("tos.rtd",,BA$2,"."&amp;$A$2&amp;$AS$1&amp;"C"&amp;$A20))</f>
        <v>0</v>
      </c>
      <c r="BB20" s="7">
        <f>-IF(RTD("tos.rtd",,BB$2,"."&amp;$A$2&amp;$AS$1&amp;"P"&amp;$A20)="N/A",0,RTD("tos.rtd",,BB$2,"."&amp;$A$2&amp;$AS$1&amp;"P"&amp;$A20))</f>
        <v>0</v>
      </c>
      <c r="BC20" s="6">
        <f>IF(RTD("tos.rtd",,BC$2,"."&amp;$A$2&amp;$AU$1&amp;"C"&amp;$A20)="N/A",0,RTD("tos.rtd",,BC$2,"."&amp;$A$2&amp;$AU$1&amp;"C"&amp;$A20))</f>
        <v>387340</v>
      </c>
      <c r="BD20" s="7">
        <f>-IF(RTD("tos.rtd",,BD$2,"."&amp;$A$2&amp;$AU$1&amp;"P"&amp;$A20)="N/A",0,RTD("tos.rtd",,BD$2,"."&amp;$A$2&amp;$AU$1&amp;"P"&amp;$A20))</f>
        <v>-172752</v>
      </c>
      <c r="BE20" s="6">
        <f>IF(RTD("tos.rtd",,BE$2,"."&amp;$A$2&amp;$AW$1&amp;"C"&amp;$A20)="N/A",0,RTD("tos.rtd",,BE$2,"."&amp;$A$2&amp;$AW$1&amp;"C"&amp;$A20))</f>
        <v>7469</v>
      </c>
      <c r="BF20" s="83">
        <f>-IF(RTD("tos.rtd",,BF$2,"."&amp;$A$2&amp;$AW$1&amp;"P"&amp;$A20)="N/A",0,RTD("tos.rtd",,BF$2,"."&amp;$A$2&amp;$AW$1&amp;"P"&amp;$A20))</f>
        <v>-3679</v>
      </c>
      <c r="BG20" s="32">
        <f ca="1">+Hoja2!Y21</f>
        <v>299</v>
      </c>
      <c r="BH20" s="7">
        <f t="shared" ca="1" si="36"/>
        <v>218677</v>
      </c>
      <c r="BI20" s="8" t="str">
        <f t="shared" ref="BI20" ca="1" si="135">IF(AND(BH20&lt;0,BH19&gt;0), "Cruce -", IF(AND(BH20&gt;0,BH19&lt;0),"Cruce +", ""))</f>
        <v/>
      </c>
      <c r="BJ20" s="3" t="e">
        <f ca="1">IF($BP$1=1,DX20,IF(RTD("tos.rtd",,BJ$2,"."&amp;$A$2&amp;$AS$1&amp;"C"&amp;$A20)="N/A",0,RTD("tos.rtd",,BJ$2,"."&amp;$A$2&amp;$AS$1&amp;"C"&amp;$A20)))</f>
        <v>#NUM!</v>
      </c>
      <c r="BK20" s="3" t="e">
        <f ca="1">IF($BP$1=1,DY20,-IF(RTD("tos.rtd",,BK$2,"."&amp;$A$2&amp;$AS$1&amp;"P"&amp;$A20)="N/A",0,RTD("tos.rtd",,BK$2,"."&amp;$A$2&amp;$AS$1&amp;"P"&amp;$A20)))</f>
        <v>#NUM!</v>
      </c>
      <c r="BL20" s="3" t="e">
        <f ca="1">IF($BP$1=1,DZ20,IF(RTD("tos.rtd",,BL$2,"."&amp;$A$2&amp;$AU$1&amp;"C"&amp;$A20)="N/A",0,RTD("tos.rtd",,BL$2,"."&amp;$A$2&amp;$AU$1&amp;"C"&amp;$A20)))</f>
        <v>#NUM!</v>
      </c>
      <c r="BM20" s="3" t="e">
        <f ca="1">IF($BP$1=1,EA20,-IF(RTD("tos.rtd",,BM$2,"."&amp;$A$2&amp;$AU$1&amp;"P"&amp;$A20)="N/A",0,RTD("tos.rtd",,BM$2,"."&amp;$A$2&amp;$AU$1&amp;"P"&amp;$A20)))</f>
        <v>#NUM!</v>
      </c>
      <c r="BN20" s="3" t="e">
        <f ca="1">IF($BP$1=1,EB20,IF(RTD("tos.rtd",,BN$2,"."&amp;$A$2&amp;$AW$1&amp;"C"&amp;$A20)="N/A",0,RTD("tos.rtd",,BN$2,"."&amp;$A$2&amp;$AW$1&amp;"C"&amp;$A20)))</f>
        <v>#NUM!</v>
      </c>
      <c r="BO20" s="3" t="e">
        <f ca="1">IF($BP$1=1,EC20,-IF(RTD("tos.rtd",,BO$2,"."&amp;$A$2&amp;$AW$1&amp;"P"&amp;$A20)="N/A",0,RTD("tos.rtd",,BO$2,"."&amp;$A$2&amp;$AW$1&amp;"P"&amp;$A20)))</f>
        <v>#NUM!</v>
      </c>
      <c r="BQ20" s="3" t="e">
        <f t="shared" ca="1" si="37"/>
        <v>#NUM!</v>
      </c>
      <c r="BR20" s="3" t="e">
        <f t="shared" ca="1" si="71"/>
        <v>#NUM!</v>
      </c>
      <c r="BS20" s="3" t="e">
        <f t="shared" ca="1" si="38"/>
        <v>#NUM!</v>
      </c>
      <c r="BT20" s="3" t="e">
        <f t="shared" ca="1" si="71"/>
        <v>#NUM!</v>
      </c>
      <c r="BU20" s="3" t="e">
        <f t="shared" ca="1" si="39"/>
        <v>#NUM!</v>
      </c>
      <c r="BV20" s="3" t="e">
        <f t="shared" ref="BV20" ca="1" si="136">IF(AND(BU20&lt;0,BU19&gt;0), "Cruce -", IF(AND(BU20&gt;0,BU19&lt;0),"Cruce +", ""))</f>
        <v>#NUM!</v>
      </c>
      <c r="BX20" s="3" t="e">
        <f t="shared" ca="1" si="40"/>
        <v>#NUM!</v>
      </c>
      <c r="BY20" s="3" t="e">
        <f t="shared" ca="1" si="73"/>
        <v>#NUM!</v>
      </c>
      <c r="BZ20" s="3" t="e">
        <f t="shared" ca="1" si="41"/>
        <v>#NUM!</v>
      </c>
      <c r="CA20" s="3" t="e">
        <f t="shared" ca="1" si="74"/>
        <v>#NUM!</v>
      </c>
      <c r="CB20" s="3" t="e">
        <f t="shared" ca="1" si="42"/>
        <v>#NUM!</v>
      </c>
      <c r="CC20" s="3" t="e">
        <f t="shared" ca="1" si="75"/>
        <v>#NUM!</v>
      </c>
      <c r="CD20" s="3">
        <f>IF(RTD("tos.rtd",,CD$2,"."&amp;$A$2&amp;$AS$1&amp;"C"&amp;$A20)="N/A",0,RTD("tos.rtd",,CD$2,"."&amp;$A$2&amp;$AS$1&amp;"C"&amp;$A20))</f>
        <v>1</v>
      </c>
      <c r="CE20" s="3">
        <f>-IF(RTD("tos.rtd",,CE$2,"."&amp;$A$2&amp;$AS$1&amp;"P"&amp;$A20)="N/A",0,RTD("tos.rtd",,CE$2,"."&amp;$A$2&amp;$AS$1&amp;"P"&amp;$A20))</f>
        <v>0.25</v>
      </c>
      <c r="CF20" s="3">
        <f>IF(RTD("tos.rtd",,CF$2,"."&amp;$A$2&amp;$AU$1&amp;"C"&amp;$A20)="N/A",0,RTD("tos.rtd",,CF$2,"."&amp;$A$2&amp;$AU$1&amp;"C"&amp;$A20))</f>
        <v>1</v>
      </c>
      <c r="CG20" s="3">
        <f>-IF(RTD("tos.rtd",,CG$2,"."&amp;$A$2&amp;$AU$1&amp;"P"&amp;$A20)="N/A",0,RTD("tos.rtd",,CG$2,"."&amp;$A$2&amp;$AU$1&amp;"P"&amp;$A20))</f>
        <v>0.28999999999999998</v>
      </c>
      <c r="CH20" s="3">
        <f>IF(RTD("tos.rtd",,CH$2,"."&amp;$A$2&amp;$AW$1&amp;"C"&amp;$A20)="N/A",0,RTD("tos.rtd",,CH$2,"."&amp;$A$2&amp;$AW$1&amp;"C"&amp;$A20))</f>
        <v>0.85</v>
      </c>
      <c r="CI20" s="3">
        <f>-IF(RTD("tos.rtd",,CI$2,"."&amp;$A$2&amp;$AW$1&amp;"P"&amp;$A20)="N/A",0,RTD("tos.rtd",,CI$2,"."&amp;$A$2&amp;$AW$1&amp;"P"&amp;$A20))</f>
        <v>0.4</v>
      </c>
      <c r="CK20" s="3">
        <f t="shared" si="17"/>
        <v>714900</v>
      </c>
      <c r="CL20" s="3"/>
      <c r="CM20" s="3">
        <f t="shared" si="18"/>
        <v>755330</v>
      </c>
      <c r="CN20" s="3"/>
      <c r="CO20" s="3">
        <f t="shared" si="19"/>
        <v>320014.99999999994</v>
      </c>
      <c r="CP20" s="3">
        <f t="shared" si="43"/>
        <v>1790245</v>
      </c>
      <c r="CQ20" s="3">
        <f t="shared" si="44"/>
        <v>0</v>
      </c>
      <c r="CR20" s="3"/>
      <c r="CS20" s="3">
        <f t="shared" si="20"/>
        <v>214588</v>
      </c>
      <c r="CT20" s="3"/>
      <c r="CU20" s="3">
        <f t="shared" si="21"/>
        <v>3790</v>
      </c>
      <c r="CV20" s="3">
        <f t="shared" si="45"/>
        <v>218378</v>
      </c>
      <c r="CW20" s="3" t="e">
        <f t="shared" ca="1" si="46"/>
        <v>#NUM!</v>
      </c>
      <c r="CX20" s="85" t="e">
        <f t="shared" ca="1" si="76"/>
        <v>#NUM!</v>
      </c>
      <c r="CY20" s="3" t="e">
        <f t="shared" ca="1" si="47"/>
        <v>#NUM!</v>
      </c>
      <c r="CZ20" s="85" t="e">
        <f t="shared" ca="1" si="77"/>
        <v>#NUM!</v>
      </c>
      <c r="DA20" s="3">
        <f>IF(RTD("tos.rtd",,DA$2,"."&amp;$A$2&amp;$AS$1&amp;"C"&amp;$A20)="N/A",0,RTD("tos.rtd",,DA$2,"."&amp;$A$2&amp;$AS$1&amp;"C"&amp;$A20))</f>
        <v>0.03</v>
      </c>
      <c r="DB20" s="3">
        <f>IF(RTD("tos.rtd",,DB$2,"."&amp;$A$2&amp;$AS$1&amp;"P"&amp;$A20)="N/A",0,RTD("tos.rtd",,DB$2,"."&amp;$A$2&amp;$AS$1&amp;"P"&amp;$A20))</f>
        <v>0.95</v>
      </c>
      <c r="DC20" s="3">
        <f>IF(RTD("tos.rtd",,DC$2,"."&amp;$A$2&amp;$AS$1&amp;"C"&amp;$A20)="N/A",0,RTD("tos.rtd",,DC$2,"."&amp;$A$2&amp;$AS$1&amp;"C"&amp;$A20))</f>
        <v>0.03</v>
      </c>
      <c r="DD20" s="3">
        <f>IF(RTD("tos.rtd",,DD$2,"."&amp;$A$2&amp;$AS$1&amp;"P"&amp;$A20)="N/A",0,RTD("tos.rtd",,DD$2,"."&amp;$A$2&amp;$AS$1&amp;"P"&amp;$A20))</f>
        <v>1.24</v>
      </c>
      <c r="DE20" s="3">
        <f>IF(RTD("tos.rtd",,DE$2,"."&amp;$A$2&amp;$AS$1&amp;"C"&amp;$A20)="N/A",0,RTD("tos.rtd",,DE$2,"."&amp;$A$2&amp;$AS$1&amp;"C"&amp;$A20))</f>
        <v>0.02</v>
      </c>
      <c r="DF20" s="3">
        <f>IF(RTD("tos.rtd",,DF$2,"."&amp;$A$2&amp;$AS$1&amp;"P"&amp;$A20)="N/A",0,RTD("tos.rtd",,DF$2,"."&amp;$A$2&amp;$AS$1&amp;"P"&amp;$A20))</f>
        <v>1.1100000000000001</v>
      </c>
      <c r="DG20" s="86">
        <f t="shared" si="48"/>
        <v>-5.1100000000000136</v>
      </c>
      <c r="DH20" s="3">
        <f t="shared" si="22"/>
        <v>-213412</v>
      </c>
      <c r="DI20" s="3">
        <f t="shared" si="49"/>
        <v>-239872.00000000041</v>
      </c>
      <c r="DJ20" s="3">
        <f t="shared" si="50"/>
        <v>-213412</v>
      </c>
      <c r="DK20" s="3">
        <f t="shared" si="51"/>
        <v>-194896</v>
      </c>
      <c r="DL20" s="3">
        <f t="shared" si="52"/>
        <v>-453284.00000000041</v>
      </c>
      <c r="DM20" s="3">
        <f t="shared" si="53"/>
        <v>-408308</v>
      </c>
      <c r="DN20" s="63" t="str">
        <f t="shared" si="54"/>
        <v>UNKNOWN</v>
      </c>
      <c r="DO20" s="63" t="str">
        <f t="shared" si="55"/>
        <v>UNKNOWN</v>
      </c>
      <c r="DP20" s="3">
        <f t="shared" si="56"/>
        <v>-234280.76000000036</v>
      </c>
      <c r="DQ20" s="3">
        <f t="shared" si="57"/>
        <v>-191553.55999999997</v>
      </c>
      <c r="DR20" s="3" t="e">
        <f t="shared" ca="1" si="58"/>
        <v>#NUM!</v>
      </c>
      <c r="DS20" s="3">
        <f t="shared" si="59"/>
        <v>-262136</v>
      </c>
      <c r="DT20" s="3">
        <f t="shared" si="60"/>
        <v>-213412</v>
      </c>
      <c r="DU20" s="3">
        <f t="shared" si="61"/>
        <v>194896</v>
      </c>
      <c r="DV20" s="3">
        <f t="shared" si="62"/>
        <v>-36499</v>
      </c>
      <c r="DW20" s="3">
        <f t="shared" si="23"/>
        <v>-3177</v>
      </c>
      <c r="DX20" s="3" t="e">
        <f t="shared" ca="1" si="24"/>
        <v>#NUM!</v>
      </c>
      <c r="DY20" s="3" t="e">
        <f t="shared" ca="1" si="25"/>
        <v>#NUM!</v>
      </c>
      <c r="DZ20" s="3" t="e">
        <f t="shared" ca="1" si="26"/>
        <v>#NUM!</v>
      </c>
      <c r="EA20" s="3" t="e">
        <f t="shared" ca="1" si="27"/>
        <v>#NUM!</v>
      </c>
      <c r="EB20" s="3" t="e">
        <f t="shared" ca="1" si="28"/>
        <v>#NUM!</v>
      </c>
      <c r="EC20" s="3" t="e">
        <f t="shared" ca="1" si="29"/>
        <v>#NUM!</v>
      </c>
      <c r="ED20" s="63">
        <f t="shared" si="63"/>
        <v>-39676</v>
      </c>
      <c r="EE20" s="59">
        <f t="shared" si="64"/>
        <v>0.25</v>
      </c>
      <c r="EF20" s="59">
        <f t="shared" si="30"/>
        <v>1.7974000000000001</v>
      </c>
      <c r="EG20" s="59">
        <f t="shared" si="31"/>
        <v>0.25</v>
      </c>
      <c r="EH20" s="59">
        <f t="shared" si="32"/>
        <v>2.1309999999999998</v>
      </c>
      <c r="EI20" s="59">
        <f t="shared" si="33"/>
        <v>7.9600000000000004E-2</v>
      </c>
      <c r="EJ20" s="59">
        <f t="shared" si="34"/>
        <v>0.36109999999999998</v>
      </c>
      <c r="EK20" s="63" t="e">
        <f t="shared" ca="1" si="65"/>
        <v>#NUM!</v>
      </c>
      <c r="EL20" s="3" t="str">
        <f>RTD("tos.rtd",,EL$2,"."&amp;$A$2&amp;$AS$1&amp;"C"&amp;$A20)</f>
        <v>--</v>
      </c>
      <c r="EM20" s="3" t="str">
        <f>RTD("tos.rtd",,EM$2,"."&amp;$A$2&amp;$AS$1&amp;"P"&amp;$A20)</f>
        <v>179.74%</v>
      </c>
      <c r="EN20" s="3" t="str">
        <f>RTD("tos.rtd",,EN$2,"."&amp;$A$2&amp;$AU$1&amp;"C"&amp;$A20)</f>
        <v>--</v>
      </c>
      <c r="EO20" s="3" t="str">
        <f>RTD("tos.rtd",,EO$2,"."&amp;$A$2&amp;$AU$1&amp;"P"&amp;$A20)</f>
        <v>213.10%</v>
      </c>
      <c r="EP20" s="3" t="str">
        <f>RTD("tos.rtd",,EP$2,"."&amp;$A$2&amp;$AW$1&amp;"C"&amp;$A20)</f>
        <v>7.96%</v>
      </c>
      <c r="EQ20" s="3" t="str">
        <f>RTD("tos.rtd",,EQ$2,"."&amp;$A$2&amp;$AW$1&amp;"P"&amp;$A20)</f>
        <v>36.11%</v>
      </c>
      <c r="ES20" s="63" t="str">
        <f t="shared" si="66"/>
        <v>566,-39676.00</v>
      </c>
      <c r="ET20" s="63" t="str">
        <f t="shared" ca="1" si="67"/>
        <v>566,00.00</v>
      </c>
      <c r="EU20" s="67">
        <v>561.15</v>
      </c>
      <c r="EV20" s="67" t="s">
        <v>179</v>
      </c>
      <c r="EW20" s="67">
        <v>483.53</v>
      </c>
      <c r="EX20" s="67" t="s">
        <v>180</v>
      </c>
      <c r="EY20" s="67">
        <v>5631.28</v>
      </c>
      <c r="EZ20" s="67" t="s">
        <v>181</v>
      </c>
      <c r="FA20" s="67">
        <v>19867.973000000002</v>
      </c>
      <c r="FB20" s="67" t="s">
        <v>182</v>
      </c>
      <c r="FC20" s="67" t="s">
        <v>183</v>
      </c>
      <c r="FD20" s="67" t="s">
        <v>184</v>
      </c>
      <c r="FE20" s="67" t="s">
        <v>185</v>
      </c>
      <c r="FF20" s="67" t="s">
        <v>186</v>
      </c>
    </row>
    <row r="21" spans="1:162" s="63" customFormat="1" ht="13.5" thickBot="1" x14ac:dyDescent="0.25">
      <c r="A21" s="2">
        <f t="shared" si="68"/>
        <v>565</v>
      </c>
      <c r="B21" s="33">
        <f t="shared" si="9"/>
        <v>7259</v>
      </c>
      <c r="C21" s="33">
        <f t="shared" si="10"/>
        <v>19993</v>
      </c>
      <c r="D21" s="33">
        <f t="shared" si="11"/>
        <v>30509</v>
      </c>
      <c r="E21" s="33">
        <f t="shared" si="12"/>
        <v>57761</v>
      </c>
      <c r="F21" s="34">
        <f t="shared" si="13"/>
        <v>5685.0212743604561</v>
      </c>
      <c r="G21" s="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>
        <v>27901</v>
      </c>
      <c r="AN21" s="12">
        <v>-4541</v>
      </c>
      <c r="AO21" s="12">
        <v>565</v>
      </c>
      <c r="AP21" s="12">
        <v>267523</v>
      </c>
      <c r="AQ21" s="12">
        <v>-260376</v>
      </c>
      <c r="AR21" s="12"/>
      <c r="AS21" s="13">
        <f>IF(RTD("tos.rtd",,AS$2,"."&amp;$A$2&amp;$AS$1&amp;"C"&amp;$A21)="N/A",0,RTD("tos.rtd",,AS$2,"."&amp;$A$2&amp;$AS$1&amp;"C"&amp;$A21))</f>
        <v>6077</v>
      </c>
      <c r="AT21" s="29">
        <f>-IF(RTD("tos.rtd",,AT$2,"."&amp;$A$2&amp;$AS$1&amp;"P"&amp;$A21)="N/A",0,RTD("tos.rtd",,AT$2,"."&amp;$A$2&amp;$AS$1&amp;"P"&amp;$A21))</f>
        <v>-1182</v>
      </c>
      <c r="AU21" s="13">
        <f>IF(RTD("tos.rtd",,AU$2,"."&amp;$A$2&amp;$AU$1&amp;"C"&amp;$A21)="N/A",0,RTD("tos.rtd",,AU$2,"."&amp;$A$2&amp;$AU$1&amp;"C"&amp;$A21))</f>
        <v>8590</v>
      </c>
      <c r="AV21" s="29">
        <f>-IF(RTD("tos.rtd",,AV$2,"."&amp;$A$2&amp;$AU$1&amp;"P"&amp;$A21)="N/A",0,RTD("tos.rtd",,AV$2,"."&amp;$A$2&amp;$AU$1&amp;"P"&amp;$A21))</f>
        <v>-11403</v>
      </c>
      <c r="AW21" s="13">
        <f>IF(RTD("tos.rtd",,AW$2,"."&amp;$A$2&amp;$AW$1&amp;"C"&amp;$A21)="N/A",0,RTD("tos.rtd",,AW$2,"."&amp;$A$2&amp;$AW$1&amp;"C"&amp;$A21))</f>
        <v>18222</v>
      </c>
      <c r="AX21" s="29">
        <f>-IF(RTD("tos.rtd",,AX$2,"."&amp;$A$2&amp;$AW$1&amp;"P"&amp;$A21)="N/A",0,RTD("tos.rtd",,AX$2,"."&amp;$A$2&amp;$AW$1&amp;"P"&amp;$A21))</f>
        <v>-12287</v>
      </c>
      <c r="AY21" s="1">
        <f t="shared" si="69"/>
        <v>8017</v>
      </c>
      <c r="AZ21" s="8">
        <f t="shared" si="35"/>
        <v>565</v>
      </c>
      <c r="BA21" s="13">
        <f>IF(RTD("tos.rtd",,BA$2,"."&amp;$A$2&amp;$AS$1&amp;"C"&amp;$A21)="N/A",0,RTD("tos.rtd",,BA$2,"."&amp;$A$2&amp;$AS$1&amp;"C"&amp;$A21))</f>
        <v>0</v>
      </c>
      <c r="BB21" s="29">
        <f>-IF(RTD("tos.rtd",,BB$2,"."&amp;$A$2&amp;$AS$1&amp;"P"&amp;$A21)="N/A",0,RTD("tos.rtd",,BB$2,"."&amp;$A$2&amp;$AS$1&amp;"P"&amp;$A21))</f>
        <v>0</v>
      </c>
      <c r="BC21" s="13">
        <f>IF(RTD("tos.rtd",,BC$2,"."&amp;$A$2&amp;$AU$1&amp;"C"&amp;$A21)="N/A",0,RTD("tos.rtd",,BC$2,"."&amp;$A$2&amp;$AU$1&amp;"C"&amp;$A21))</f>
        <v>491754</v>
      </c>
      <c r="BD21" s="29">
        <f>-IF(RTD("tos.rtd",,BD$2,"."&amp;$A$2&amp;$AU$1&amp;"P"&amp;$A21)="N/A",0,RTD("tos.rtd",,BD$2,"."&amp;$A$2&amp;$AU$1&amp;"P"&amp;$A21))</f>
        <v>-347771</v>
      </c>
      <c r="BE21" s="13">
        <f>IF(RTD("tos.rtd",,BE$2,"."&amp;$A$2&amp;$AW$1&amp;"C"&amp;$A21)="N/A",0,RTD("tos.rtd",,BE$2,"."&amp;$A$2&amp;$AW$1&amp;"C"&amp;$A21))</f>
        <v>28175</v>
      </c>
      <c r="BF21" s="12">
        <f>-IF(RTD("tos.rtd",,BF$2,"."&amp;$A$2&amp;$AW$1&amp;"P"&amp;$A21)="N/A",0,RTD("tos.rtd",,BF$2,"."&amp;$A$2&amp;$AW$1&amp;"P"&amp;$A21))</f>
        <v>-27590</v>
      </c>
      <c r="BG21" s="100">
        <f ca="1">+Hoja2!Y22</f>
        <v>-1099</v>
      </c>
      <c r="BH21" s="29">
        <f t="shared" ca="1" si="36"/>
        <v>143469</v>
      </c>
      <c r="BI21" s="8" t="str">
        <f t="shared" ref="BI21" ca="1" si="137">IF(AND(BH21&lt;0,BH20&gt;0), "Cruce -", IF(AND(BH21&gt;0,BH20&lt;0),"Cruce +", ""))</f>
        <v/>
      </c>
      <c r="BJ21" s="3" t="e">
        <f ca="1">IF($BP$1=1,DX21,IF(RTD("tos.rtd",,BJ$2,"."&amp;$A$2&amp;$AS$1&amp;"C"&amp;$A21)="N/A",0,RTD("tos.rtd",,BJ$2,"."&amp;$A$2&amp;$AS$1&amp;"C"&amp;$A21)))</f>
        <v>#NUM!</v>
      </c>
      <c r="BK21" s="3" t="e">
        <f ca="1">IF($BP$1=1,DY21,-IF(RTD("tos.rtd",,BK$2,"."&amp;$A$2&amp;$AS$1&amp;"P"&amp;$A21)="N/A",0,RTD("tos.rtd",,BK$2,"."&amp;$A$2&amp;$AS$1&amp;"P"&amp;$A21)))</f>
        <v>#NUM!</v>
      </c>
      <c r="BL21" s="3" t="e">
        <f ca="1">IF($BP$1=1,DZ21,IF(RTD("tos.rtd",,BL$2,"."&amp;$A$2&amp;$AU$1&amp;"C"&amp;$A21)="N/A",0,RTD("tos.rtd",,BL$2,"."&amp;$A$2&amp;$AU$1&amp;"C"&amp;$A21)))</f>
        <v>#NUM!</v>
      </c>
      <c r="BM21" s="3" t="e">
        <f ca="1">IF($BP$1=1,EA21,-IF(RTD("tos.rtd",,BM$2,"."&amp;$A$2&amp;$AU$1&amp;"P"&amp;$A21)="N/A",0,RTD("tos.rtd",,BM$2,"."&amp;$A$2&amp;$AU$1&amp;"P"&amp;$A21)))</f>
        <v>#NUM!</v>
      </c>
      <c r="BN21" s="3" t="e">
        <f ca="1">IF($BP$1=1,EB21,IF(RTD("tos.rtd",,BN$2,"."&amp;$A$2&amp;$AW$1&amp;"C"&amp;$A21)="N/A",0,RTD("tos.rtd",,BN$2,"."&amp;$A$2&amp;$AW$1&amp;"C"&amp;$A21)))</f>
        <v>#NUM!</v>
      </c>
      <c r="BO21" s="3" t="e">
        <f ca="1">IF($BP$1=1,EC21,-IF(RTD("tos.rtd",,BO$2,"."&amp;$A$2&amp;$AW$1&amp;"P"&amp;$A21)="N/A",0,RTD("tos.rtd",,BO$2,"."&amp;$A$2&amp;$AW$1&amp;"P"&amp;$A21)))</f>
        <v>#NUM!</v>
      </c>
      <c r="BQ21" s="3" t="e">
        <f t="shared" ca="1" si="37"/>
        <v>#NUM!</v>
      </c>
      <c r="BR21" s="3" t="e">
        <f t="shared" ca="1" si="71"/>
        <v>#NUM!</v>
      </c>
      <c r="BS21" s="3" t="e">
        <f t="shared" ca="1" si="38"/>
        <v>#NUM!</v>
      </c>
      <c r="BT21" s="3" t="e">
        <f t="shared" ca="1" si="71"/>
        <v>#NUM!</v>
      </c>
      <c r="BU21" s="3" t="e">
        <f t="shared" ca="1" si="39"/>
        <v>#NUM!</v>
      </c>
      <c r="BV21" s="3" t="e">
        <f t="shared" ref="BV21" ca="1" si="138">IF(AND(BU21&lt;0,BU20&gt;0), "Cruce -", IF(AND(BU21&gt;0,BU20&lt;0),"Cruce +", ""))</f>
        <v>#NUM!</v>
      </c>
      <c r="BX21" s="3" t="e">
        <f t="shared" ca="1" si="40"/>
        <v>#NUM!</v>
      </c>
      <c r="BY21" s="3" t="e">
        <f t="shared" ca="1" si="73"/>
        <v>#NUM!</v>
      </c>
      <c r="BZ21" s="3" t="e">
        <f t="shared" ca="1" si="41"/>
        <v>#NUM!</v>
      </c>
      <c r="CA21" s="3" t="e">
        <f t="shared" ca="1" si="74"/>
        <v>#NUM!</v>
      </c>
      <c r="CB21" s="3" t="e">
        <f t="shared" ca="1" si="42"/>
        <v>#NUM!</v>
      </c>
      <c r="CC21" s="3" t="e">
        <f t="shared" ca="1" si="75"/>
        <v>#NUM!</v>
      </c>
      <c r="CD21" s="3">
        <f>IF(RTD("tos.rtd",,CD$2,"."&amp;$A$2&amp;$AS$1&amp;"C"&amp;$A21)="N/A",0,RTD("tos.rtd",,CD$2,"."&amp;$A$2&amp;$AS$1&amp;"C"&amp;$A21))</f>
        <v>1</v>
      </c>
      <c r="CE21" s="3">
        <f>-IF(RTD("tos.rtd",,CE$2,"."&amp;$A$2&amp;$AS$1&amp;"P"&amp;$A21)="N/A",0,RTD("tos.rtd",,CE$2,"."&amp;$A$2&amp;$AS$1&amp;"P"&amp;$A21))</f>
        <v>0.12</v>
      </c>
      <c r="CF21" s="3">
        <f>IF(RTD("tos.rtd",,CF$2,"."&amp;$A$2&amp;$AU$1&amp;"C"&amp;$A21)="N/A",0,RTD("tos.rtd",,CF$2,"."&amp;$A$2&amp;$AU$1&amp;"C"&amp;$A21))</f>
        <v>1</v>
      </c>
      <c r="CG21" s="3">
        <f>-IF(RTD("tos.rtd",,CG$2,"."&amp;$A$2&amp;$AU$1&amp;"P"&amp;$A21)="N/A",0,RTD("tos.rtd",,CG$2,"."&amp;$A$2&amp;$AU$1&amp;"P"&amp;$A21))</f>
        <v>0.17</v>
      </c>
      <c r="CH21" s="3">
        <f>IF(RTD("tos.rtd",,CH$2,"."&amp;$A$2&amp;$AW$1&amp;"C"&amp;$A21)="N/A",0,RTD("tos.rtd",,CH$2,"."&amp;$A$2&amp;$AW$1&amp;"C"&amp;$A21))</f>
        <v>1</v>
      </c>
      <c r="CI21" s="3">
        <f>-IF(RTD("tos.rtd",,CI$2,"."&amp;$A$2&amp;$AW$1&amp;"P"&amp;$A21)="N/A",0,RTD("tos.rtd",,CI$2,"."&amp;$A$2&amp;$AW$1&amp;"P"&amp;$A21))</f>
        <v>0.39</v>
      </c>
      <c r="CK21" s="3">
        <f t="shared" si="17"/>
        <v>593516</v>
      </c>
      <c r="CL21" s="3"/>
      <c r="CM21" s="3">
        <f t="shared" si="18"/>
        <v>665149</v>
      </c>
      <c r="CN21" s="3"/>
      <c r="CO21" s="3">
        <f t="shared" si="19"/>
        <v>1343007</v>
      </c>
      <c r="CP21" s="3">
        <f t="shared" si="43"/>
        <v>2601672</v>
      </c>
      <c r="CQ21" s="3">
        <f t="shared" si="44"/>
        <v>0</v>
      </c>
      <c r="CR21" s="3"/>
      <c r="CS21" s="3">
        <f t="shared" si="20"/>
        <v>143983</v>
      </c>
      <c r="CT21" s="3"/>
      <c r="CU21" s="3">
        <f t="shared" si="21"/>
        <v>585</v>
      </c>
      <c r="CV21" s="3">
        <f t="shared" si="45"/>
        <v>144568</v>
      </c>
      <c r="CW21" s="3" t="e">
        <f t="shared" ca="1" si="46"/>
        <v>#NUM!</v>
      </c>
      <c r="CX21" s="85" t="e">
        <f t="shared" ca="1" si="76"/>
        <v>#NUM!</v>
      </c>
      <c r="CY21" s="3" t="e">
        <f t="shared" ca="1" si="47"/>
        <v>#NUM!</v>
      </c>
      <c r="CZ21" s="85" t="e">
        <f t="shared" ca="1" si="77"/>
        <v>#NUM!</v>
      </c>
      <c r="DA21" s="3">
        <f>IF(RTD("tos.rtd",,DA$2,"."&amp;$A$2&amp;$AS$1&amp;"C"&amp;$A21)="N/A",0,RTD("tos.rtd",,DA$2,"."&amp;$A$2&amp;$AS$1&amp;"C"&amp;$A21))</f>
        <v>0.14000000000000001</v>
      </c>
      <c r="DB21" s="3">
        <f>IF(RTD("tos.rtd",,DB$2,"."&amp;$A$2&amp;$AS$1&amp;"P"&amp;$A21)="N/A",0,RTD("tos.rtd",,DB$2,"."&amp;$A$2&amp;$AS$1&amp;"P"&amp;$A21))</f>
        <v>0.28000000000000003</v>
      </c>
      <c r="DC21" s="3">
        <f>IF(RTD("tos.rtd",,DC$2,"."&amp;$A$2&amp;$AS$1&amp;"C"&amp;$A21)="N/A",0,RTD("tos.rtd",,DC$2,"."&amp;$A$2&amp;$AS$1&amp;"C"&amp;$A21))</f>
        <v>0.14000000000000001</v>
      </c>
      <c r="DD21" s="3">
        <f>IF(RTD("tos.rtd",,DD$2,"."&amp;$A$2&amp;$AS$1&amp;"P"&amp;$A21)="N/A",0,RTD("tos.rtd",,DD$2,"."&amp;$A$2&amp;$AS$1&amp;"P"&amp;$A21))</f>
        <v>0.32</v>
      </c>
      <c r="DE21" s="3">
        <f>IF(RTD("tos.rtd",,DE$2,"."&amp;$A$2&amp;$AS$1&amp;"C"&amp;$A21)="N/A",0,RTD("tos.rtd",,DE$2,"."&amp;$A$2&amp;$AS$1&amp;"C"&amp;$A21))</f>
        <v>0.12</v>
      </c>
      <c r="DF21" s="3">
        <f>IF(RTD("tos.rtd",,DF$2,"."&amp;$A$2&amp;$AS$1&amp;"P"&amp;$A21)="N/A",0,RTD("tos.rtd",,DF$2,"."&amp;$A$2&amp;$AS$1&amp;"P"&amp;$A21))</f>
        <v>0.28000000000000003</v>
      </c>
      <c r="DG21" s="86">
        <f t="shared" si="48"/>
        <v>-6.1100000000000136</v>
      </c>
      <c r="DH21" s="3">
        <f t="shared" si="22"/>
        <v>-267523</v>
      </c>
      <c r="DI21" s="3">
        <f t="shared" si="49"/>
        <v>0</v>
      </c>
      <c r="DJ21" s="3">
        <f t="shared" si="50"/>
        <v>-267523</v>
      </c>
      <c r="DK21" s="3">
        <f t="shared" si="51"/>
        <v>-260376</v>
      </c>
      <c r="DL21" s="3">
        <f t="shared" si="52"/>
        <v>-267523</v>
      </c>
      <c r="DM21" s="3">
        <f t="shared" si="53"/>
        <v>-527899</v>
      </c>
      <c r="DN21" s="63" t="str">
        <f t="shared" si="54"/>
        <v>UNKNOWN</v>
      </c>
      <c r="DO21" s="63" t="str">
        <f t="shared" si="55"/>
        <v>UNKNOWN</v>
      </c>
      <c r="DP21" s="3">
        <f t="shared" si="56"/>
        <v>-37453.22</v>
      </c>
      <c r="DQ21" s="3">
        <f t="shared" si="57"/>
        <v>-110358.50000000001</v>
      </c>
      <c r="DR21" s="3" t="e">
        <f t="shared" ca="1" si="58"/>
        <v>#NUM!</v>
      </c>
      <c r="DS21" s="3">
        <f t="shared" si="59"/>
        <v>-298768.12</v>
      </c>
      <c r="DT21" s="3">
        <f t="shared" si="60"/>
        <v>-267523</v>
      </c>
      <c r="DU21" s="3">
        <f t="shared" si="61"/>
        <v>260376</v>
      </c>
      <c r="DV21" s="3">
        <f t="shared" si="62"/>
        <v>27901</v>
      </c>
      <c r="DW21" s="3">
        <f t="shared" si="23"/>
        <v>-4541</v>
      </c>
      <c r="DX21" s="3" t="e">
        <f t="shared" ca="1" si="24"/>
        <v>#NUM!</v>
      </c>
      <c r="DY21" s="3" t="e">
        <f t="shared" ca="1" si="25"/>
        <v>#NUM!</v>
      </c>
      <c r="DZ21" s="3" t="e">
        <f t="shared" ca="1" si="26"/>
        <v>#NUM!</v>
      </c>
      <c r="EA21" s="3" t="e">
        <f t="shared" ca="1" si="27"/>
        <v>#NUM!</v>
      </c>
      <c r="EB21" s="3" t="e">
        <f t="shared" ca="1" si="28"/>
        <v>#NUM!</v>
      </c>
      <c r="EC21" s="3" t="e">
        <f t="shared" ca="1" si="29"/>
        <v>#NUM!</v>
      </c>
      <c r="ED21" s="63">
        <f t="shared" si="63"/>
        <v>23360</v>
      </c>
      <c r="EE21" s="59">
        <f t="shared" si="64"/>
        <v>0.25</v>
      </c>
      <c r="EF21" s="59">
        <f t="shared" si="30"/>
        <v>1.2042999999999999</v>
      </c>
      <c r="EG21" s="59">
        <f t="shared" si="31"/>
        <v>0.25</v>
      </c>
      <c r="EH21" s="59">
        <f t="shared" si="32"/>
        <v>1.5054000000000001</v>
      </c>
      <c r="EI21" s="59">
        <f t="shared" si="33"/>
        <v>8.9999999999999998E-4</v>
      </c>
      <c r="EJ21" s="59">
        <f t="shared" si="34"/>
        <v>0.35809999999999997</v>
      </c>
      <c r="EK21" s="63" t="e">
        <f t="shared" ca="1" si="65"/>
        <v>#NUM!</v>
      </c>
      <c r="EL21" s="3" t="str">
        <f>RTD("tos.rtd",,EL$2,"."&amp;$A$2&amp;$AS$1&amp;"C"&amp;$A21)</f>
        <v>--</v>
      </c>
      <c r="EM21" s="3" t="str">
        <f>RTD("tos.rtd",,EM$2,"."&amp;$A$2&amp;$AS$1&amp;"P"&amp;$A21)</f>
        <v>120.43%</v>
      </c>
      <c r="EN21" s="3" t="str">
        <f>RTD("tos.rtd",,EN$2,"."&amp;$A$2&amp;$AU$1&amp;"C"&amp;$A21)</f>
        <v>--</v>
      </c>
      <c r="EO21" s="3" t="str">
        <f>RTD("tos.rtd",,EO$2,"."&amp;$A$2&amp;$AU$1&amp;"P"&amp;$A21)</f>
        <v>150.54%</v>
      </c>
      <c r="EP21" s="3" t="str">
        <f>RTD("tos.rtd",,EP$2,"."&amp;$A$2&amp;$AW$1&amp;"C"&amp;$A21)</f>
        <v>0.09%</v>
      </c>
      <c r="EQ21" s="3" t="str">
        <f>RTD("tos.rtd",,EQ$2,"."&amp;$A$2&amp;$AW$1&amp;"P"&amp;$A21)</f>
        <v>35.81%</v>
      </c>
      <c r="ES21" s="63" t="str">
        <f t="shared" si="66"/>
        <v>565,23360.00</v>
      </c>
      <c r="ET21" s="63" t="str">
        <f t="shared" ca="1" si="67"/>
        <v>565,00.00</v>
      </c>
      <c r="EU21" s="67">
        <v>561.15</v>
      </c>
      <c r="EV21" s="67" t="s">
        <v>187</v>
      </c>
      <c r="EW21" s="67">
        <v>483.54</v>
      </c>
      <c r="EX21" s="67" t="s">
        <v>188</v>
      </c>
      <c r="EY21" s="67">
        <v>5631.28</v>
      </c>
      <c r="EZ21" s="67" t="s">
        <v>189</v>
      </c>
      <c r="FA21" s="67">
        <v>19867.973000000002</v>
      </c>
      <c r="FB21" s="67" t="s">
        <v>190</v>
      </c>
      <c r="FC21" s="67" t="s">
        <v>191</v>
      </c>
      <c r="FD21" s="67" t="s">
        <v>192</v>
      </c>
      <c r="FE21" s="67" t="s">
        <v>193</v>
      </c>
      <c r="FF21" s="67" t="s">
        <v>194</v>
      </c>
    </row>
    <row r="22" spans="1:162" s="63" customFormat="1" ht="13.5" thickBot="1" x14ac:dyDescent="0.25">
      <c r="A22" s="2">
        <f t="shared" si="68"/>
        <v>564</v>
      </c>
      <c r="B22" s="3">
        <f t="shared" si="9"/>
        <v>6396</v>
      </c>
      <c r="C22" s="3">
        <f t="shared" si="10"/>
        <v>9614</v>
      </c>
      <c r="D22" s="3">
        <f t="shared" si="11"/>
        <v>5186</v>
      </c>
      <c r="E22" s="3">
        <f t="shared" si="12"/>
        <v>21196</v>
      </c>
      <c r="F22" s="14">
        <f t="shared" si="13"/>
        <v>5674.9592898040664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>
        <v>-19331</v>
      </c>
      <c r="AN22" s="1">
        <v>-26295</v>
      </c>
      <c r="AO22" s="1">
        <v>564</v>
      </c>
      <c r="AP22" s="1">
        <v>173290</v>
      </c>
      <c r="AQ22" s="1">
        <v>-213357</v>
      </c>
      <c r="AR22" s="1"/>
      <c r="AS22" s="6">
        <f>IF(RTD("tos.rtd",,AS$2,"."&amp;$A$2&amp;$AS$1&amp;"C"&amp;$A22)="N/A",0,RTD("tos.rtd",,AS$2,"."&amp;$A$2&amp;$AS$1&amp;"C"&amp;$A22))</f>
        <v>5429</v>
      </c>
      <c r="AT22" s="7">
        <f>-IF(RTD("tos.rtd",,AT$2,"."&amp;$A$2&amp;$AS$1&amp;"P"&amp;$A22)="N/A",0,RTD("tos.rtd",,AT$2,"."&amp;$A$2&amp;$AS$1&amp;"P"&amp;$A22))</f>
        <v>-967</v>
      </c>
      <c r="AU22" s="6">
        <f>IF(RTD("tos.rtd",,AU$2,"."&amp;$A$2&amp;$AU$1&amp;"C"&amp;$A22)="N/A",0,RTD("tos.rtd",,AU$2,"."&amp;$A$2&amp;$AU$1&amp;"C"&amp;$A22))</f>
        <v>4240</v>
      </c>
      <c r="AV22" s="7">
        <f>-IF(RTD("tos.rtd",,AV$2,"."&amp;$A$2&amp;$AU$1&amp;"P"&amp;$A22)="N/A",0,RTD("tos.rtd",,AV$2,"."&amp;$A$2&amp;$AU$1&amp;"P"&amp;$A22))</f>
        <v>-5374</v>
      </c>
      <c r="AW22" s="6">
        <f>IF(RTD("tos.rtd",,AW$2,"."&amp;$A$2&amp;$AW$1&amp;"C"&amp;$A22)="N/A",0,RTD("tos.rtd",,AW$2,"."&amp;$A$2&amp;$AW$1&amp;"C"&amp;$A22))</f>
        <v>3149</v>
      </c>
      <c r="AX22" s="7">
        <f>-IF(RTD("tos.rtd",,AX$2,"."&amp;$A$2&amp;$AW$1&amp;"P"&amp;$A22)="N/A",0,RTD("tos.rtd",,AX$2,"."&amp;$A$2&amp;$AW$1&amp;"P"&amp;$A22))</f>
        <v>-2037</v>
      </c>
      <c r="AY22" s="1">
        <f t="shared" si="69"/>
        <v>4440</v>
      </c>
      <c r="AZ22" s="8">
        <f t="shared" si="35"/>
        <v>564</v>
      </c>
      <c r="BA22" s="6">
        <f>IF(RTD("tos.rtd",,BA$2,"."&amp;$A$2&amp;$AS$1&amp;"C"&amp;$A22)="N/A",0,RTD("tos.rtd",,BA$2,"."&amp;$A$2&amp;$AS$1&amp;"C"&amp;$A22))</f>
        <v>0</v>
      </c>
      <c r="BB22" s="7">
        <f>-IF(RTD("tos.rtd",,BB$2,"."&amp;$A$2&amp;$AS$1&amp;"P"&amp;$A22)="N/A",0,RTD("tos.rtd",,BB$2,"."&amp;$A$2&amp;$AS$1&amp;"P"&amp;$A22))</f>
        <v>0</v>
      </c>
      <c r="BC22" s="6">
        <f>IF(RTD("tos.rtd",,BC$2,"."&amp;$A$2&amp;$AU$1&amp;"C"&amp;$A22)="N/A",0,RTD("tos.rtd",,BC$2,"."&amp;$A$2&amp;$AU$1&amp;"C"&amp;$A22))</f>
        <v>311920</v>
      </c>
      <c r="BD22" s="7">
        <f>-IF(RTD("tos.rtd",,BD$2,"."&amp;$A$2&amp;$AU$1&amp;"P"&amp;$A22)="N/A",0,RTD("tos.rtd",,BD$2,"."&amp;$A$2&amp;$AU$1&amp;"P"&amp;$A22))</f>
        <v>-423574</v>
      </c>
      <c r="BE22" s="6">
        <f>IF(RTD("tos.rtd",,BE$2,"."&amp;$A$2&amp;$AW$1&amp;"C"&amp;$A22)="N/A",0,RTD("tos.rtd",,BE$2,"."&amp;$A$2&amp;$AW$1&amp;"C"&amp;$A22))</f>
        <v>7537</v>
      </c>
      <c r="BF22" s="83">
        <f>-IF(RTD("tos.rtd",,BF$2,"."&amp;$A$2&amp;$AW$1&amp;"P"&amp;$A22)="N/A",0,RTD("tos.rtd",,BF$2,"."&amp;$A$2&amp;$AW$1&amp;"P"&amp;$A22))</f>
        <v>-7077</v>
      </c>
      <c r="BG22" s="32">
        <f ca="1">+Hoja2!Y23</f>
        <v>-1026</v>
      </c>
      <c r="BH22" s="7">
        <f t="shared" ca="1" si="36"/>
        <v>-112220</v>
      </c>
      <c r="BI22" s="8" t="str">
        <f t="shared" ref="BI22" ca="1" si="139">IF(AND(BH22&lt;0,BH21&gt;0), "Cruce -", IF(AND(BH22&gt;0,BH21&lt;0),"Cruce +", ""))</f>
        <v>Cruce -</v>
      </c>
      <c r="BJ22" s="3" t="e">
        <f ca="1">IF($BP$1=1,DX22,IF(RTD("tos.rtd",,BJ$2,"."&amp;$A$2&amp;$AS$1&amp;"C"&amp;$A22)="N/A",0,RTD("tos.rtd",,BJ$2,"."&amp;$A$2&amp;$AS$1&amp;"C"&amp;$A22)))</f>
        <v>#NUM!</v>
      </c>
      <c r="BK22" s="3" t="e">
        <f ca="1">IF($BP$1=1,DY22,-IF(RTD("tos.rtd",,BK$2,"."&amp;$A$2&amp;$AS$1&amp;"P"&amp;$A22)="N/A",0,RTD("tos.rtd",,BK$2,"."&amp;$A$2&amp;$AS$1&amp;"P"&amp;$A22)))</f>
        <v>#NUM!</v>
      </c>
      <c r="BL22" s="3" t="e">
        <f ca="1">IF($BP$1=1,DZ22,IF(RTD("tos.rtd",,BL$2,"."&amp;$A$2&amp;$AU$1&amp;"C"&amp;$A22)="N/A",0,RTD("tos.rtd",,BL$2,"."&amp;$A$2&amp;$AU$1&amp;"C"&amp;$A22)))</f>
        <v>#NUM!</v>
      </c>
      <c r="BM22" s="3" t="e">
        <f ca="1">IF($BP$1=1,EA22,-IF(RTD("tos.rtd",,BM$2,"."&amp;$A$2&amp;$AU$1&amp;"P"&amp;$A22)="N/A",0,RTD("tos.rtd",,BM$2,"."&amp;$A$2&amp;$AU$1&amp;"P"&amp;$A22)))</f>
        <v>#NUM!</v>
      </c>
      <c r="BN22" s="3" t="e">
        <f ca="1">IF($BP$1=1,EB22,IF(RTD("tos.rtd",,BN$2,"."&amp;$A$2&amp;$AW$1&amp;"C"&amp;$A22)="N/A",0,RTD("tos.rtd",,BN$2,"."&amp;$A$2&amp;$AW$1&amp;"C"&amp;$A22)))</f>
        <v>#NUM!</v>
      </c>
      <c r="BO22" s="3" t="e">
        <f ca="1">IF($BP$1=1,EC22,-IF(RTD("tos.rtd",,BO$2,"."&amp;$A$2&amp;$AW$1&amp;"P"&amp;$A22)="N/A",0,RTD("tos.rtd",,BO$2,"."&amp;$A$2&amp;$AW$1&amp;"P"&amp;$A22)))</f>
        <v>#NUM!</v>
      </c>
      <c r="BQ22" s="3" t="e">
        <f t="shared" ca="1" si="37"/>
        <v>#NUM!</v>
      </c>
      <c r="BR22" s="3" t="e">
        <f t="shared" ca="1" si="71"/>
        <v>#NUM!</v>
      </c>
      <c r="BS22" s="3" t="e">
        <f t="shared" ca="1" si="38"/>
        <v>#NUM!</v>
      </c>
      <c r="BT22" s="3" t="e">
        <f t="shared" ca="1" si="71"/>
        <v>#NUM!</v>
      </c>
      <c r="BU22" s="3" t="e">
        <f t="shared" ca="1" si="39"/>
        <v>#NUM!</v>
      </c>
      <c r="BV22" s="3" t="e">
        <f t="shared" ref="BV22" ca="1" si="140">IF(AND(BU22&lt;0,BU21&gt;0), "Cruce -", IF(AND(BU22&gt;0,BU21&lt;0),"Cruce +", ""))</f>
        <v>#NUM!</v>
      </c>
      <c r="BX22" s="3" t="e">
        <f t="shared" ca="1" si="40"/>
        <v>#NUM!</v>
      </c>
      <c r="BY22" s="3" t="e">
        <f t="shared" ca="1" si="73"/>
        <v>#NUM!</v>
      </c>
      <c r="BZ22" s="3" t="e">
        <f t="shared" ca="1" si="41"/>
        <v>#NUM!</v>
      </c>
      <c r="CA22" s="3" t="e">
        <f t="shared" ca="1" si="74"/>
        <v>#NUM!</v>
      </c>
      <c r="CB22" s="3" t="e">
        <f t="shared" ca="1" si="42"/>
        <v>#NUM!</v>
      </c>
      <c r="CC22" s="3" t="e">
        <f t="shared" ca="1" si="75"/>
        <v>#NUM!</v>
      </c>
      <c r="CD22" s="3">
        <f>IF(RTD("tos.rtd",,CD$2,"."&amp;$A$2&amp;$AS$1&amp;"C"&amp;$A22)="N/A",0,RTD("tos.rtd",,CD$2,"."&amp;$A$2&amp;$AS$1&amp;"C"&amp;$A22))</f>
        <v>1</v>
      </c>
      <c r="CE22" s="3">
        <f>-IF(RTD("tos.rtd",,CE$2,"."&amp;$A$2&amp;$AS$1&amp;"P"&amp;$A22)="N/A",0,RTD("tos.rtd",,CE$2,"."&amp;$A$2&amp;$AS$1&amp;"P"&amp;$A22))</f>
        <v>0.02</v>
      </c>
      <c r="CF22" s="3">
        <f>IF(RTD("tos.rtd",,CF$2,"."&amp;$A$2&amp;$AU$1&amp;"C"&amp;$A22)="N/A",0,RTD("tos.rtd",,CF$2,"."&amp;$A$2&amp;$AU$1&amp;"C"&amp;$A22))</f>
        <v>1</v>
      </c>
      <c r="CG22" s="3">
        <f>-IF(RTD("tos.rtd",,CG$2,"."&amp;$A$2&amp;$AU$1&amp;"P"&amp;$A22)="N/A",0,RTD("tos.rtd",,CG$2,"."&amp;$A$2&amp;$AU$1&amp;"P"&amp;$A22))</f>
        <v>0.01</v>
      </c>
      <c r="CH22" s="3">
        <f>IF(RTD("tos.rtd",,CH$2,"."&amp;$A$2&amp;$AW$1&amp;"C"&amp;$A22)="N/A",0,RTD("tos.rtd",,CH$2,"."&amp;$A$2&amp;$AW$1&amp;"C"&amp;$A22))</f>
        <v>1</v>
      </c>
      <c r="CI22" s="3">
        <f>-IF(RTD("tos.rtd",,CI$2,"."&amp;$A$2&amp;$AW$1&amp;"P"&amp;$A22)="N/A",0,RTD("tos.rtd",,CI$2,"."&amp;$A$2&amp;$AW$1&amp;"P"&amp;$A22))</f>
        <v>0.37</v>
      </c>
      <c r="CK22" s="3">
        <f t="shared" si="17"/>
        <v>540966</v>
      </c>
      <c r="CL22" s="3"/>
      <c r="CM22" s="3">
        <f t="shared" si="18"/>
        <v>418626</v>
      </c>
      <c r="CN22" s="3"/>
      <c r="CO22" s="3">
        <f t="shared" si="19"/>
        <v>239531</v>
      </c>
      <c r="CP22" s="3">
        <f t="shared" si="43"/>
        <v>1199123</v>
      </c>
      <c r="CQ22" s="3">
        <f t="shared" si="44"/>
        <v>0</v>
      </c>
      <c r="CR22" s="3"/>
      <c r="CS22" s="3">
        <f t="shared" si="20"/>
        <v>-111654</v>
      </c>
      <c r="CT22" s="3"/>
      <c r="CU22" s="3">
        <f t="shared" si="21"/>
        <v>460</v>
      </c>
      <c r="CV22" s="3">
        <f t="shared" si="45"/>
        <v>-111194</v>
      </c>
      <c r="CW22" s="3" t="e">
        <f t="shared" ca="1" si="46"/>
        <v>#NUM!</v>
      </c>
      <c r="CX22" s="85" t="e">
        <f t="shared" ca="1" si="76"/>
        <v>#NUM!</v>
      </c>
      <c r="CY22" s="3" t="e">
        <f t="shared" ca="1" si="47"/>
        <v>#NUM!</v>
      </c>
      <c r="CZ22" s="85" t="e">
        <f t="shared" ca="1" si="77"/>
        <v>#NUM!</v>
      </c>
      <c r="DA22" s="3">
        <f>IF(RTD("tos.rtd",,DA$2,"."&amp;$A$2&amp;$AS$1&amp;"C"&amp;$A22)="N/A",0,RTD("tos.rtd",,DA$2,"."&amp;$A$2&amp;$AS$1&amp;"C"&amp;$A22))</f>
        <v>1.1000000000000001</v>
      </c>
      <c r="DB22" s="3">
        <f>IF(RTD("tos.rtd",,DB$2,"."&amp;$A$2&amp;$AS$1&amp;"P"&amp;$A22)="N/A",0,RTD("tos.rtd",,DB$2,"."&amp;$A$2&amp;$AS$1&amp;"P"&amp;$A22))</f>
        <v>0.03</v>
      </c>
      <c r="DC22" s="3">
        <f>IF(RTD("tos.rtd",,DC$2,"."&amp;$A$2&amp;$AS$1&amp;"C"&amp;$A22)="N/A",0,RTD("tos.rtd",,DC$2,"."&amp;$A$2&amp;$AS$1&amp;"C"&amp;$A22))</f>
        <v>0.91</v>
      </c>
      <c r="DD22" s="3">
        <f>IF(RTD("tos.rtd",,DD$2,"."&amp;$A$2&amp;$AS$1&amp;"P"&amp;$A22)="N/A",0,RTD("tos.rtd",,DD$2,"."&amp;$A$2&amp;$AS$1&amp;"P"&amp;$A22))</f>
        <v>0.03</v>
      </c>
      <c r="DE22" s="3">
        <f>IF(RTD("tos.rtd",,DE$2,"."&amp;$A$2&amp;$AS$1&amp;"C"&amp;$A22)="N/A",0,RTD("tos.rtd",,DE$2,"."&amp;$A$2&amp;$AS$1&amp;"C"&amp;$A22))</f>
        <v>0.79</v>
      </c>
      <c r="DF22" s="3">
        <f>IF(RTD("tos.rtd",,DF$2,"."&amp;$A$2&amp;$AS$1&amp;"P"&amp;$A22)="N/A",0,RTD("tos.rtd",,DF$2,"."&amp;$A$2&amp;$AS$1&amp;"P"&amp;$A22))</f>
        <v>0.02</v>
      </c>
      <c r="DG22" s="86">
        <f t="shared" si="48"/>
        <v>-7.1100000000000136</v>
      </c>
      <c r="DH22" s="3">
        <f t="shared" si="22"/>
        <v>-447665.83333333343</v>
      </c>
      <c r="DI22" s="3">
        <f t="shared" si="49"/>
        <v>213357</v>
      </c>
      <c r="DJ22" s="3">
        <f t="shared" si="50"/>
        <v>-173290</v>
      </c>
      <c r="DK22" s="3">
        <f t="shared" si="51"/>
        <v>213357</v>
      </c>
      <c r="DL22" s="3">
        <f t="shared" si="52"/>
        <v>-234308.83333333343</v>
      </c>
      <c r="DM22" s="3">
        <f t="shared" si="53"/>
        <v>40067</v>
      </c>
      <c r="DN22" s="63" t="str">
        <f t="shared" si="54"/>
        <v>UNKNOWN</v>
      </c>
      <c r="DO22" s="63" t="str">
        <f t="shared" si="55"/>
        <v>UNKNOWN</v>
      </c>
      <c r="DP22" s="3">
        <f t="shared" si="56"/>
        <v>-486031.70666666678</v>
      </c>
      <c r="DQ22" s="3">
        <f t="shared" si="57"/>
        <v>-184218.29000000004</v>
      </c>
      <c r="DR22" s="3" t="e">
        <f t="shared" ca="1" si="58"/>
        <v>#NUM!</v>
      </c>
      <c r="DS22" s="3">
        <f t="shared" si="59"/>
        <v>-169022.86</v>
      </c>
      <c r="DT22" s="3">
        <f t="shared" si="60"/>
        <v>-173290</v>
      </c>
      <c r="DU22" s="3">
        <f t="shared" si="61"/>
        <v>213357</v>
      </c>
      <c r="DV22" s="3">
        <f t="shared" si="62"/>
        <v>-19331</v>
      </c>
      <c r="DW22" s="3">
        <f t="shared" si="23"/>
        <v>-26295</v>
      </c>
      <c r="DX22" s="3" t="e">
        <f t="shared" ca="1" si="24"/>
        <v>#NUM!</v>
      </c>
      <c r="DY22" s="3" t="e">
        <f t="shared" ca="1" si="25"/>
        <v>#NUM!</v>
      </c>
      <c r="DZ22" s="3" t="e">
        <f t="shared" ca="1" si="26"/>
        <v>#NUM!</v>
      </c>
      <c r="EA22" s="3" t="e">
        <f t="shared" ca="1" si="27"/>
        <v>#NUM!</v>
      </c>
      <c r="EB22" s="3" t="e">
        <f t="shared" ca="1" si="28"/>
        <v>#NUM!</v>
      </c>
      <c r="EC22" s="3" t="e">
        <f t="shared" ca="1" si="29"/>
        <v>#NUM!</v>
      </c>
      <c r="ED22" s="63">
        <f t="shared" si="63"/>
        <v>-45626</v>
      </c>
      <c r="EE22" s="59">
        <f t="shared" si="64"/>
        <v>0.25</v>
      </c>
      <c r="EF22" s="59">
        <f t="shared" si="30"/>
        <v>0.80700000000000005</v>
      </c>
      <c r="EG22" s="59">
        <f t="shared" si="31"/>
        <v>0.25</v>
      </c>
      <c r="EH22" s="59">
        <f t="shared" si="32"/>
        <v>0.74729999999999996</v>
      </c>
      <c r="EI22" s="59">
        <f t="shared" si="33"/>
        <v>0.25</v>
      </c>
      <c r="EJ22" s="59">
        <f t="shared" si="34"/>
        <v>0.35539999999999999</v>
      </c>
      <c r="EK22" s="63" t="e">
        <f t="shared" ca="1" si="65"/>
        <v>#NUM!</v>
      </c>
      <c r="EL22" s="3" t="str">
        <f>RTD("tos.rtd",,EL$2,"."&amp;$A$2&amp;$AS$1&amp;"C"&amp;$A22)</f>
        <v>--</v>
      </c>
      <c r="EM22" s="3" t="str">
        <f>RTD("tos.rtd",,EM$2,"."&amp;$A$2&amp;$AS$1&amp;"P"&amp;$A22)</f>
        <v>80.70%</v>
      </c>
      <c r="EN22" s="3" t="str">
        <f>RTD("tos.rtd",,EN$2,"."&amp;$A$2&amp;$AU$1&amp;"C"&amp;$A22)</f>
        <v>--</v>
      </c>
      <c r="EO22" s="3" t="str">
        <f>RTD("tos.rtd",,EO$2,"."&amp;$A$2&amp;$AU$1&amp;"P"&amp;$A22)</f>
        <v>74.73%</v>
      </c>
      <c r="EP22" s="3" t="str">
        <f>RTD("tos.rtd",,EP$2,"."&amp;$A$2&amp;$AW$1&amp;"C"&amp;$A22)</f>
        <v>--</v>
      </c>
      <c r="EQ22" s="3" t="str">
        <f>RTD("tos.rtd",,EQ$2,"."&amp;$A$2&amp;$AW$1&amp;"P"&amp;$A22)</f>
        <v>35.54%</v>
      </c>
      <c r="ES22" s="63" t="str">
        <f t="shared" si="66"/>
        <v>564,-45626.00</v>
      </c>
      <c r="ET22" s="63" t="str">
        <f t="shared" ca="1" si="67"/>
        <v>564,00.00</v>
      </c>
      <c r="EU22" s="67">
        <v>561.16999999999996</v>
      </c>
      <c r="EV22" s="67" t="s">
        <v>195</v>
      </c>
      <c r="EW22" s="67">
        <v>483.62</v>
      </c>
      <c r="EX22" s="67" t="s">
        <v>196</v>
      </c>
      <c r="EY22" s="67">
        <v>5631.28</v>
      </c>
      <c r="EZ22" s="67" t="s">
        <v>197</v>
      </c>
      <c r="FA22" s="67">
        <v>19867.973000000002</v>
      </c>
      <c r="FB22" s="67" t="s">
        <v>198</v>
      </c>
      <c r="FC22" s="67" t="s">
        <v>199</v>
      </c>
      <c r="FD22" s="67" t="s">
        <v>200</v>
      </c>
      <c r="FE22" s="67" t="s">
        <v>201</v>
      </c>
      <c r="FF22" s="67" t="s">
        <v>202</v>
      </c>
    </row>
    <row r="23" spans="1:162" s="63" customFormat="1" ht="13.5" thickBot="1" x14ac:dyDescent="0.25">
      <c r="A23" s="2">
        <f t="shared" si="68"/>
        <v>563</v>
      </c>
      <c r="B23" s="3">
        <f t="shared" ref="B23:B29" si="141">+IF($A$1="ABS",AS23-AT23,AS23+AT23)</f>
        <v>4593</v>
      </c>
      <c r="C23" s="3">
        <f t="shared" ref="C23:C29" si="142">+IF($A$1="ABS",AU23-AV23,AU23+AV23)</f>
        <v>9493</v>
      </c>
      <c r="D23" s="3">
        <f t="shared" ref="D23:D29" si="143">+IF($A$1="ABS",AW23-AX23,AW23+AX23)</f>
        <v>6940</v>
      </c>
      <c r="E23" s="3">
        <f t="shared" ref="E23:E29" si="144">SUM(B23:D23)</f>
        <v>21026</v>
      </c>
      <c r="F23" s="4">
        <f t="shared" ref="F23:F29" si="145">+$F$3/$A$3*A23</f>
        <v>5664.8973052476758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>
        <v>-25419</v>
      </c>
      <c r="AN23" s="1">
        <v>-19967</v>
      </c>
      <c r="AO23" s="1">
        <v>563</v>
      </c>
      <c r="AP23" s="1">
        <v>73816</v>
      </c>
      <c r="AQ23" s="1">
        <v>-208372</v>
      </c>
      <c r="AR23" s="1"/>
      <c r="AS23" s="6">
        <f>IF(RTD("tos.rtd",,AS$2,"."&amp;$A$2&amp;$AS$1&amp;"C"&amp;$A23)="N/A",0,RTD("tos.rtd",,AS$2,"."&amp;$A$2&amp;$AS$1&amp;"C"&amp;$A23))</f>
        <v>3554</v>
      </c>
      <c r="AT23" s="7">
        <f>-IF(RTD("tos.rtd",,AT$2,"."&amp;$A$2&amp;$AS$1&amp;"P"&amp;$A23)="N/A",0,RTD("tos.rtd",,AT$2,"."&amp;$A$2&amp;$AS$1&amp;"P"&amp;$A23))</f>
        <v>-1039</v>
      </c>
      <c r="AU23" s="6">
        <f>IF(RTD("tos.rtd",,AU$2,"."&amp;$A$2&amp;$AU$1&amp;"C"&amp;$A23)="N/A",0,RTD("tos.rtd",,AU$2,"."&amp;$A$2&amp;$AU$1&amp;"C"&amp;$A23))</f>
        <v>3033</v>
      </c>
      <c r="AV23" s="7">
        <f>-IF(RTD("tos.rtd",,AV$2,"."&amp;$A$2&amp;$AU$1&amp;"P"&amp;$A23)="N/A",0,RTD("tos.rtd",,AV$2,"."&amp;$A$2&amp;$AU$1&amp;"P"&amp;$A23))</f>
        <v>-6460</v>
      </c>
      <c r="AW23" s="6">
        <f>IF(RTD("tos.rtd",,AW$2,"."&amp;$A$2&amp;$AW$1&amp;"C"&amp;$A23)="N/A",0,RTD("tos.rtd",,AW$2,"."&amp;$A$2&amp;$AW$1&amp;"C"&amp;$A23))</f>
        <v>4571</v>
      </c>
      <c r="AX23" s="7">
        <f>-IF(RTD("tos.rtd",,AX$2,"."&amp;$A$2&amp;$AW$1&amp;"P"&amp;$A23)="N/A",0,RTD("tos.rtd",,AX$2,"."&amp;$A$2&amp;$AW$1&amp;"P"&amp;$A23))</f>
        <v>-2369</v>
      </c>
      <c r="AY23" s="1">
        <f t="shared" ref="AY23:AY29" si="146">SUM(AS23:AX23)</f>
        <v>1290</v>
      </c>
      <c r="AZ23" s="8">
        <f t="shared" si="35"/>
        <v>563</v>
      </c>
      <c r="BA23" s="6">
        <f>IF(RTD("tos.rtd",,BA$2,"."&amp;$A$2&amp;$AS$1&amp;"C"&amp;$A23)="N/A",0,RTD("tos.rtd",,BA$2,"."&amp;$A$2&amp;$AS$1&amp;"C"&amp;$A23))</f>
        <v>0</v>
      </c>
      <c r="BB23" s="7">
        <f>-IF(RTD("tos.rtd",,BB$2,"."&amp;$A$2&amp;$AS$1&amp;"P"&amp;$A23)="N/A",0,RTD("tos.rtd",,BB$2,"."&amp;$A$2&amp;$AS$1&amp;"P"&amp;$A23))</f>
        <v>0</v>
      </c>
      <c r="BC23" s="6">
        <f>IF(RTD("tos.rtd",,BC$2,"."&amp;$A$2&amp;$AU$1&amp;"C"&amp;$A23)="N/A",0,RTD("tos.rtd",,BC$2,"."&amp;$A$2&amp;$AU$1&amp;"C"&amp;$A23))</f>
        <v>71490</v>
      </c>
      <c r="BD23" s="7">
        <f>-IF(RTD("tos.rtd",,BD$2,"."&amp;$A$2&amp;$AU$1&amp;"P"&amp;$A23)="N/A",0,RTD("tos.rtd",,BD$2,"."&amp;$A$2&amp;$AU$1&amp;"P"&amp;$A23))</f>
        <v>-329830</v>
      </c>
      <c r="BE23" s="6">
        <f>IF(RTD("tos.rtd",,BE$2,"."&amp;$A$2&amp;$AW$1&amp;"C"&amp;$A23)="N/A",0,RTD("tos.rtd",,BE$2,"."&amp;$A$2&amp;$AW$1&amp;"C"&amp;$A23))</f>
        <v>3176</v>
      </c>
      <c r="BF23" s="83">
        <f>-IF(RTD("tos.rtd",,BF$2,"."&amp;$A$2&amp;$AW$1&amp;"P"&amp;$A23)="N/A",0,RTD("tos.rtd",,BF$2,"."&amp;$A$2&amp;$AW$1&amp;"P"&amp;$A23))</f>
        <v>-4365</v>
      </c>
      <c r="BG23" s="32">
        <f ca="1">+Hoja2!Y24</f>
        <v>173</v>
      </c>
      <c r="BH23" s="7">
        <f t="shared" ca="1" si="36"/>
        <v>-259356</v>
      </c>
      <c r="BI23" s="8" t="str">
        <f t="shared" ref="BI23" ca="1" si="147">IF(AND(BH23&lt;0,BH22&gt;0), "Cruce -", IF(AND(BH23&gt;0,BH22&lt;0),"Cruce +", ""))</f>
        <v/>
      </c>
      <c r="BJ23" s="3" t="e">
        <f ca="1">IF($BP$1=1,DX23,IF(RTD("tos.rtd",,BJ$2,"."&amp;$A$2&amp;$AS$1&amp;"C"&amp;$A23)="N/A",0,RTD("tos.rtd",,BJ$2,"."&amp;$A$2&amp;$AS$1&amp;"C"&amp;$A23)))</f>
        <v>#NUM!</v>
      </c>
      <c r="BK23" s="3" t="e">
        <f ca="1">IF($BP$1=1,DY23,-IF(RTD("tos.rtd",,BK$2,"."&amp;$A$2&amp;$AS$1&amp;"P"&amp;$A23)="N/A",0,RTD("tos.rtd",,BK$2,"."&amp;$A$2&amp;$AS$1&amp;"P"&amp;$A23)))</f>
        <v>#NUM!</v>
      </c>
      <c r="BL23" s="3" t="e">
        <f ca="1">IF($BP$1=1,DZ23,IF(RTD("tos.rtd",,BL$2,"."&amp;$A$2&amp;$AU$1&amp;"C"&amp;$A23)="N/A",0,RTD("tos.rtd",,BL$2,"."&amp;$A$2&amp;$AU$1&amp;"C"&amp;$A23)))</f>
        <v>#NUM!</v>
      </c>
      <c r="BM23" s="3" t="e">
        <f ca="1">IF($BP$1=1,EA23,-IF(RTD("tos.rtd",,BM$2,"."&amp;$A$2&amp;$AU$1&amp;"P"&amp;$A23)="N/A",0,RTD("tos.rtd",,BM$2,"."&amp;$A$2&amp;$AU$1&amp;"P"&amp;$A23)))</f>
        <v>#NUM!</v>
      </c>
      <c r="BN23" s="3" t="e">
        <f ca="1">IF($BP$1=1,EB23,IF(RTD("tos.rtd",,BN$2,"."&amp;$A$2&amp;$AW$1&amp;"C"&amp;$A23)="N/A",0,RTD("tos.rtd",,BN$2,"."&amp;$A$2&amp;$AW$1&amp;"C"&amp;$A23)))</f>
        <v>#NUM!</v>
      </c>
      <c r="BO23" s="3" t="e">
        <f ca="1">IF($BP$1=1,EC23,-IF(RTD("tos.rtd",,BO$2,"."&amp;$A$2&amp;$AW$1&amp;"P"&amp;$A23)="N/A",0,RTD("tos.rtd",,BO$2,"."&amp;$A$2&amp;$AW$1&amp;"P"&amp;$A23)))</f>
        <v>#NUM!</v>
      </c>
      <c r="BQ23" s="3" t="e">
        <f t="shared" ref="BQ23:BQ29" ca="1" si="148">+$A$3*$A$3*AS23*BJ23-$A$3*$A$3*AT23*BK23</f>
        <v>#NUM!</v>
      </c>
      <c r="BR23" s="3" t="e">
        <f t="shared" ca="1" si="71"/>
        <v>#NUM!</v>
      </c>
      <c r="BS23" s="3" t="e">
        <f t="shared" ref="BS23:BS29" ca="1" si="149">+$A$3*$A$3*AU23*BL23-$A$3*$A$3*AV23*BM23</f>
        <v>#NUM!</v>
      </c>
      <c r="BT23" s="3" t="e">
        <f t="shared" ca="1" si="71"/>
        <v>#NUM!</v>
      </c>
      <c r="BU23" s="3" t="e">
        <f t="shared" ref="BU23:BU29" ca="1" si="150">+$A$3*$A$3*AW23*BN23-$A$3*$A$3*AX23*BO23</f>
        <v>#NUM!</v>
      </c>
      <c r="BV23" s="3" t="e">
        <f t="shared" ref="BV23" ca="1" si="151">IF(AND(BU23&lt;0,BU22&gt;0), "Cruce -", IF(AND(BU23&gt;0,BU22&lt;0),"Cruce +", ""))</f>
        <v>#NUM!</v>
      </c>
      <c r="BX23" s="3" t="e">
        <f t="shared" ref="BX23:BX29" ca="1" si="152">+$A$3*$A$3*BA23*BJ23-$A$3*$A$3*BB23*BK23</f>
        <v>#NUM!</v>
      </c>
      <c r="BY23" s="3" t="e">
        <f t="shared" ca="1" si="73"/>
        <v>#NUM!</v>
      </c>
      <c r="BZ23" s="3" t="e">
        <f t="shared" ref="BZ23:BZ29" ca="1" si="153">+$A$3*$A$3*BC23*BL23-$A$3*$A$3*BD23*BM23</f>
        <v>#NUM!</v>
      </c>
      <c r="CA23" s="3" t="e">
        <f t="shared" ca="1" si="74"/>
        <v>#NUM!</v>
      </c>
      <c r="CB23" s="3" t="e">
        <f t="shared" ref="CB23:CB29" ca="1" si="154">+$A$3*$A$3*BE23*BN23-$A$3*$A$3*BF23*BO23</f>
        <v>#NUM!</v>
      </c>
      <c r="CC23" s="3" t="e">
        <f t="shared" ca="1" si="75"/>
        <v>#NUM!</v>
      </c>
      <c r="CD23" s="3">
        <f>IF(RTD("tos.rtd",,CD$2,"."&amp;$A$2&amp;$AS$1&amp;"C"&amp;$A23)="N/A",0,RTD("tos.rtd",,CD$2,"."&amp;$A$2&amp;$AS$1&amp;"C"&amp;$A23))</f>
        <v>1</v>
      </c>
      <c r="CE23" s="3">
        <f>-IF(RTD("tos.rtd",,CE$2,"."&amp;$A$2&amp;$AS$1&amp;"P"&amp;$A23)="N/A",0,RTD("tos.rtd",,CE$2,"."&amp;$A$2&amp;$AS$1&amp;"P"&amp;$A23))</f>
        <v>0.01</v>
      </c>
      <c r="CF23" s="3">
        <f>IF(RTD("tos.rtd",,CF$2,"."&amp;$A$2&amp;$AU$1&amp;"C"&amp;$A23)="N/A",0,RTD("tos.rtd",,CF$2,"."&amp;$A$2&amp;$AU$1&amp;"C"&amp;$A23))</f>
        <v>1</v>
      </c>
      <c r="CG23" s="3">
        <f>-IF(RTD("tos.rtd",,CG$2,"."&amp;$A$2&amp;$AU$1&amp;"P"&amp;$A23)="N/A",0,RTD("tos.rtd",,CG$2,"."&amp;$A$2&amp;$AU$1&amp;"P"&amp;$A23))</f>
        <v>0</v>
      </c>
      <c r="CH23" s="3">
        <f>IF(RTD("tos.rtd",,CH$2,"."&amp;$A$2&amp;$AW$1&amp;"C"&amp;$A23)="N/A",0,RTD("tos.rtd",,CH$2,"."&amp;$A$2&amp;$AW$1&amp;"C"&amp;$A23))</f>
        <v>1</v>
      </c>
      <c r="CI23" s="3">
        <f>-IF(RTD("tos.rtd",,CI$2,"."&amp;$A$2&amp;$AW$1&amp;"P"&amp;$A23)="N/A",0,RTD("tos.rtd",,CI$2,"."&amp;$A$2&amp;$AW$1&amp;"P"&amp;$A23))</f>
        <v>0.35</v>
      </c>
      <c r="CK23" s="3">
        <f t="shared" ref="CK23:CK29" si="155">+AS23*CD23*100+AT23*CE23*100</f>
        <v>354361</v>
      </c>
      <c r="CL23" s="3"/>
      <c r="CM23" s="3">
        <f t="shared" ref="CM23:CM29" si="156">+AU23*CF23*100+AV23*CG23*100</f>
        <v>303300</v>
      </c>
      <c r="CN23" s="3"/>
      <c r="CO23" s="3">
        <f t="shared" ref="CO23:CO29" si="157">+AW23*CH23*100+AX23*CI23*100</f>
        <v>374185</v>
      </c>
      <c r="CP23" s="3">
        <f t="shared" ref="CP23:CP29" si="158">+CK23+CM23+CO23</f>
        <v>1031846</v>
      </c>
      <c r="CQ23" s="3">
        <f t="shared" ref="CQ23:CQ29" si="159">+BA23+BB23</f>
        <v>0</v>
      </c>
      <c r="CR23" s="3"/>
      <c r="CS23" s="3">
        <f t="shared" ref="CS23:CS29" si="160">+BC23+BD23</f>
        <v>-258340</v>
      </c>
      <c r="CT23" s="3"/>
      <c r="CU23" s="3">
        <f t="shared" ref="CU23:CU29" si="161">+BE23+BF23</f>
        <v>-1189</v>
      </c>
      <c r="CV23" s="3">
        <f t="shared" ref="CV23:CV29" si="162">+CQ23+CS23+CU23</f>
        <v>-259529</v>
      </c>
      <c r="CW23" s="3" t="e">
        <f t="shared" ref="CW23:CW29" ca="1" si="163">+BQ23+BS23+BU23</f>
        <v>#NUM!</v>
      </c>
      <c r="CX23" s="85" t="e">
        <f t="shared" ca="1" si="76"/>
        <v>#NUM!</v>
      </c>
      <c r="CY23" s="3" t="e">
        <f t="shared" ref="CY23:CY29" ca="1" si="164">+BX23+BZ23+CB23</f>
        <v>#NUM!</v>
      </c>
      <c r="CZ23" s="85" t="e">
        <f t="shared" ca="1" si="77"/>
        <v>#NUM!</v>
      </c>
      <c r="DA23" s="3">
        <f>IF(RTD("tos.rtd",,DA$2,"."&amp;$A$2&amp;$AS$1&amp;"C"&amp;$A23)="N/A",0,RTD("tos.rtd",,DA$2,"."&amp;$A$2&amp;$AS$1&amp;"C"&amp;$A23))</f>
        <v>2</v>
      </c>
      <c r="DB23" s="3">
        <f>IF(RTD("tos.rtd",,DB$2,"."&amp;$A$2&amp;$AS$1&amp;"P"&amp;$A23)="N/A",0,RTD("tos.rtd",,DB$2,"."&amp;$A$2&amp;$AS$1&amp;"P"&amp;$A23))</f>
        <v>0.01</v>
      </c>
      <c r="DC23" s="3">
        <f>IF(RTD("tos.rtd",,DC$2,"."&amp;$A$2&amp;$AS$1&amp;"C"&amp;$A23)="N/A",0,RTD("tos.rtd",,DC$2,"."&amp;$A$2&amp;$AS$1&amp;"C"&amp;$A23))</f>
        <v>1.95</v>
      </c>
      <c r="DD23" s="3">
        <f>IF(RTD("tos.rtd",,DD$2,"."&amp;$A$2&amp;$AS$1&amp;"P"&amp;$A23)="N/A",0,RTD("tos.rtd",,DD$2,"."&amp;$A$2&amp;$AS$1&amp;"P"&amp;$A23))</f>
        <v>0.02</v>
      </c>
      <c r="DE23" s="3">
        <f>IF(RTD("tos.rtd",,DE$2,"."&amp;$A$2&amp;$AS$1&amp;"C"&amp;$A23)="N/A",0,RTD("tos.rtd",,DE$2,"."&amp;$A$2&amp;$AS$1&amp;"C"&amp;$A23))</f>
        <v>1.28</v>
      </c>
      <c r="DF23" s="3">
        <f>IF(RTD("tos.rtd",,DF$2,"."&amp;$A$2&amp;$AS$1&amp;"P"&amp;$A23)="N/A",0,RTD("tos.rtd",,DF$2,"."&amp;$A$2&amp;$AS$1&amp;"P"&amp;$A23))</f>
        <v>0.01</v>
      </c>
      <c r="DG23" s="86">
        <f t="shared" si="48"/>
        <v>-8.1100000000000136</v>
      </c>
      <c r="DH23" s="3">
        <f t="shared" ref="DH23:DH29" si="165">((DA23-DE23)/(DC23-DE23))*(BA23-AP23)</f>
        <v>-79324.656716417914</v>
      </c>
      <c r="DI23" s="3">
        <f t="shared" ref="DI23:DI29" si="166">((DB23-DF23)/(DD23-DF23))*(BB23-AQ23)</f>
        <v>0</v>
      </c>
      <c r="DJ23" s="3">
        <f t="shared" ref="DJ23:DJ29" si="167">IF(DA23&gt;=(DE23+(DC23-DE23)*0.6),(BA23-AP23),IF(DA23&lt;=(DE23+(DC23-DE23)*0.4),-(BA23-AP23),0))</f>
        <v>-73816</v>
      </c>
      <c r="DK23" s="3">
        <f t="shared" si="51"/>
        <v>-208372</v>
      </c>
      <c r="DL23" s="3">
        <f t="shared" si="52"/>
        <v>-79324.656716417914</v>
      </c>
      <c r="DM23" s="3">
        <f t="shared" si="53"/>
        <v>-282188</v>
      </c>
      <c r="DN23" s="63" t="str">
        <f t="shared" si="54"/>
        <v>UNKNOWN</v>
      </c>
      <c r="DO23" s="63" t="str">
        <f t="shared" si="55"/>
        <v>UNKNOWN</v>
      </c>
      <c r="DP23" s="3">
        <f t="shared" si="56"/>
        <v>-158649.31343283583</v>
      </c>
      <c r="DQ23" s="3">
        <f t="shared" si="57"/>
        <v>-149715.72</v>
      </c>
      <c r="DR23" s="3" t="e">
        <f t="shared" ca="1" si="58"/>
        <v>#NUM!</v>
      </c>
      <c r="DS23" s="3">
        <f t="shared" si="59"/>
        <v>-75899.72</v>
      </c>
      <c r="DT23" s="3">
        <f t="shared" si="60"/>
        <v>-73816</v>
      </c>
      <c r="DU23" s="3">
        <f t="shared" si="61"/>
        <v>208372</v>
      </c>
      <c r="DV23" s="3">
        <f t="shared" si="62"/>
        <v>-25419</v>
      </c>
      <c r="DW23" s="3">
        <f t="shared" si="23"/>
        <v>-19967</v>
      </c>
      <c r="DX23" s="3" t="e">
        <f t="shared" ca="1" si="24"/>
        <v>#NUM!</v>
      </c>
      <c r="DY23" s="3" t="e">
        <f t="shared" ca="1" si="25"/>
        <v>#NUM!</v>
      </c>
      <c r="DZ23" s="3" t="e">
        <f t="shared" ca="1" si="26"/>
        <v>#NUM!</v>
      </c>
      <c r="EA23" s="3" t="e">
        <f t="shared" ca="1" si="27"/>
        <v>#NUM!</v>
      </c>
      <c r="EB23" s="3" t="e">
        <f t="shared" ca="1" si="28"/>
        <v>#NUM!</v>
      </c>
      <c r="EC23" s="3" t="e">
        <f t="shared" ca="1" si="29"/>
        <v>#NUM!</v>
      </c>
      <c r="ED23" s="63">
        <f t="shared" si="63"/>
        <v>-45386</v>
      </c>
      <c r="EE23" s="59">
        <f t="shared" ref="EE23:EE29" si="168">IFERROR(VALUE(IF(OR(EL23="--",EL23="0.00%"),$EE$1,EL23)),$EE$1)</f>
        <v>0.25</v>
      </c>
      <c r="EF23" s="59">
        <f t="shared" ref="EF23:EF29" si="169">IFERROR(VALUE(IF(OR(EM23="--",EM23="0.00%"),$EE$1,EM23)),$EE$1)</f>
        <v>0.8377</v>
      </c>
      <c r="EG23" s="59">
        <f t="shared" ref="EG23:EG29" si="170">IFERROR(VALUE(IF(OR(EN23="--",EN23="0.00%"),$EE$1,EN23)),$EE$1)</f>
        <v>0.25</v>
      </c>
      <c r="EH23" s="59">
        <f t="shared" ref="EH23:EH29" si="171">IFERROR(VALUE(IF(OR(EO23="--",EO23="0.00%"),$EE$1,EO23)),$EE$1)</f>
        <v>0.73560000000000003</v>
      </c>
      <c r="EI23" s="59">
        <f t="shared" ref="EI23:EI29" si="172">IFERROR(VALUE(IF(OR(EP23="--",EP23="0.00%"),$EE$1,EP23)),$EE$1)</f>
        <v>0.25</v>
      </c>
      <c r="EJ23" s="59">
        <f t="shared" ref="EJ23:EJ29" si="173">IFERROR(VALUE(IF(OR(EQ23="--",EQ23="0.00%"),$EE$1,EQ23)),$EE$1)</f>
        <v>0.35310000000000002</v>
      </c>
      <c r="EK23" s="63" t="e">
        <f t="shared" ca="1" si="65"/>
        <v>#NUM!</v>
      </c>
      <c r="EL23" s="3" t="str">
        <f>RTD("tos.rtd",,EL$2,"."&amp;$A$2&amp;$AS$1&amp;"C"&amp;$A23)</f>
        <v>--</v>
      </c>
      <c r="EM23" s="3" t="str">
        <f>RTD("tos.rtd",,EM$2,"."&amp;$A$2&amp;$AS$1&amp;"P"&amp;$A23)</f>
        <v>83.77%</v>
      </c>
      <c r="EN23" s="3" t="str">
        <f>RTD("tos.rtd",,EN$2,"."&amp;$A$2&amp;$AU$1&amp;"C"&amp;$A23)</f>
        <v>--</v>
      </c>
      <c r="EO23" s="3" t="str">
        <f>RTD("tos.rtd",,EO$2,"."&amp;$A$2&amp;$AU$1&amp;"P"&amp;$A23)</f>
        <v>73.56%</v>
      </c>
      <c r="EP23" s="3" t="str">
        <f>RTD("tos.rtd",,EP$2,"."&amp;$A$2&amp;$AW$1&amp;"C"&amp;$A23)</f>
        <v>--</v>
      </c>
      <c r="EQ23" s="3" t="str">
        <f>RTD("tos.rtd",,EQ$2,"."&amp;$A$2&amp;$AW$1&amp;"P"&amp;$A23)</f>
        <v>35.31%</v>
      </c>
      <c r="ES23" s="63" t="str">
        <f t="shared" si="66"/>
        <v>563,-45386.00</v>
      </c>
      <c r="ET23" s="63" t="str">
        <f t="shared" ca="1" si="67"/>
        <v>563,00.00</v>
      </c>
      <c r="EU23" s="67">
        <v>561.15</v>
      </c>
      <c r="EV23" s="67" t="s">
        <v>203</v>
      </c>
      <c r="EW23" s="67">
        <v>483.49</v>
      </c>
      <c r="EX23" s="67" t="s">
        <v>204</v>
      </c>
      <c r="EY23" s="67">
        <v>5631.28</v>
      </c>
      <c r="EZ23" s="67" t="s">
        <v>205</v>
      </c>
      <c r="FA23" s="67">
        <v>19867.973000000002</v>
      </c>
      <c r="FB23" s="67" t="s">
        <v>206</v>
      </c>
      <c r="FC23" s="67" t="s">
        <v>207</v>
      </c>
      <c r="FD23" s="67" t="s">
        <v>208</v>
      </c>
      <c r="FE23" s="67" t="s">
        <v>209</v>
      </c>
      <c r="FF23" s="67" t="s">
        <v>210</v>
      </c>
    </row>
    <row r="24" spans="1:162" s="63" customFormat="1" ht="13.5" thickBot="1" x14ac:dyDescent="0.25">
      <c r="A24" s="2">
        <f t="shared" si="68"/>
        <v>562</v>
      </c>
      <c r="B24" s="3">
        <f t="shared" si="141"/>
        <v>6047</v>
      </c>
      <c r="C24" s="3">
        <f t="shared" si="142"/>
        <v>11061</v>
      </c>
      <c r="D24" s="3">
        <f t="shared" si="143"/>
        <v>8454</v>
      </c>
      <c r="E24" s="3">
        <f t="shared" si="144"/>
        <v>25562</v>
      </c>
      <c r="F24" s="4">
        <f t="shared" si="145"/>
        <v>5654.8353206912852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>
        <v>-46867</v>
      </c>
      <c r="AN24" s="1">
        <v>3276</v>
      </c>
      <c r="AO24" s="1">
        <v>562</v>
      </c>
      <c r="AP24" s="1">
        <v>36755</v>
      </c>
      <c r="AQ24" s="1">
        <v>-171242</v>
      </c>
      <c r="AR24" s="1"/>
      <c r="AS24" s="6">
        <f>IF(RTD("tos.rtd",,AS$2,"."&amp;$A$2&amp;$AS$1&amp;"C"&amp;$A24)="N/A",0,RTD("tos.rtd",,AS$2,"."&amp;$A$2&amp;$AS$1&amp;"C"&amp;$A24))</f>
        <v>4047</v>
      </c>
      <c r="AT24" s="7">
        <f>-IF(RTD("tos.rtd",,AT$2,"."&amp;$A$2&amp;$AS$1&amp;"P"&amp;$A24)="N/A",0,RTD("tos.rtd",,AT$2,"."&amp;$A$2&amp;$AS$1&amp;"P"&amp;$A24))</f>
        <v>-2000</v>
      </c>
      <c r="AU24" s="6">
        <f>IF(RTD("tos.rtd",,AU$2,"."&amp;$A$2&amp;$AU$1&amp;"C"&amp;$A24)="N/A",0,RTD("tos.rtd",,AU$2,"."&amp;$A$2&amp;$AU$1&amp;"C"&amp;$A24))</f>
        <v>3358</v>
      </c>
      <c r="AV24" s="7">
        <f>-IF(RTD("tos.rtd",,AV$2,"."&amp;$A$2&amp;$AU$1&amp;"P"&amp;$A24)="N/A",0,RTD("tos.rtd",,AV$2,"."&amp;$A$2&amp;$AU$1&amp;"P"&amp;$A24))</f>
        <v>-7703</v>
      </c>
      <c r="AW24" s="6">
        <f>IF(RTD("tos.rtd",,AW$2,"."&amp;$A$2&amp;$AW$1&amp;"C"&amp;$A24)="N/A",0,RTD("tos.rtd",,AW$2,"."&amp;$A$2&amp;$AW$1&amp;"C"&amp;$A24))</f>
        <v>5448</v>
      </c>
      <c r="AX24" s="7">
        <f>-IF(RTD("tos.rtd",,AX$2,"."&amp;$A$2&amp;$AW$1&amp;"P"&amp;$A24)="N/A",0,RTD("tos.rtd",,AX$2,"."&amp;$A$2&amp;$AW$1&amp;"P"&amp;$A24))</f>
        <v>-3006</v>
      </c>
      <c r="AY24" s="1">
        <f t="shared" si="146"/>
        <v>144</v>
      </c>
      <c r="AZ24" s="8">
        <f t="shared" si="35"/>
        <v>562</v>
      </c>
      <c r="BA24" s="6">
        <f>IF(RTD("tos.rtd",,BA$2,"."&amp;$A$2&amp;$AS$1&amp;"C"&amp;$A24)="N/A",0,RTD("tos.rtd",,BA$2,"."&amp;$A$2&amp;$AS$1&amp;"C"&amp;$A24))</f>
        <v>0</v>
      </c>
      <c r="BB24" s="7">
        <f>-IF(RTD("tos.rtd",,BB$2,"."&amp;$A$2&amp;$AS$1&amp;"P"&amp;$A24)="N/A",0,RTD("tos.rtd",,BB$2,"."&amp;$A$2&amp;$AS$1&amp;"P"&amp;$A24))</f>
        <v>0</v>
      </c>
      <c r="BC24" s="6">
        <f>IF(RTD("tos.rtd",,BC$2,"."&amp;$A$2&amp;$AU$1&amp;"C"&amp;$A24)="N/A",0,RTD("tos.rtd",,BC$2,"."&amp;$A$2&amp;$AU$1&amp;"C"&amp;$A24))</f>
        <v>18571</v>
      </c>
      <c r="BD24" s="7">
        <f>-IF(RTD("tos.rtd",,BD$2,"."&amp;$A$2&amp;$AU$1&amp;"P"&amp;$A24)="N/A",0,RTD("tos.rtd",,BD$2,"."&amp;$A$2&amp;$AU$1&amp;"P"&amp;$A24))</f>
        <v>-151651</v>
      </c>
      <c r="BE24" s="6">
        <f>IF(RTD("tos.rtd",,BE$2,"."&amp;$A$2&amp;$AW$1&amp;"C"&amp;$A24)="N/A",0,RTD("tos.rtd",,BE$2,"."&amp;$A$2&amp;$AW$1&amp;"C"&amp;$A24))</f>
        <v>1085</v>
      </c>
      <c r="BF24" s="83">
        <f>-IF(RTD("tos.rtd",,BF$2,"."&amp;$A$2&amp;$AW$1&amp;"P"&amp;$A24)="N/A",0,RTD("tos.rtd",,BF$2,"."&amp;$A$2&amp;$AW$1&amp;"P"&amp;$A24))</f>
        <v>-3759</v>
      </c>
      <c r="BG24" s="32">
        <f ca="1">+Hoja2!Y25</f>
        <v>-584</v>
      </c>
      <c r="BH24" s="7">
        <f t="shared" ca="1" si="36"/>
        <v>-136338</v>
      </c>
      <c r="BI24" s="8" t="str">
        <f t="shared" ref="BI24" ca="1" si="174">IF(AND(BH24&lt;0,BH23&gt;0), "Cruce -", IF(AND(BH24&gt;0,BH23&lt;0),"Cruce +", ""))</f>
        <v/>
      </c>
      <c r="BJ24" s="3" t="e">
        <f ca="1">IF($BP$1=1,DX24,IF(RTD("tos.rtd",,BJ$2,"."&amp;$A$2&amp;$AS$1&amp;"C"&amp;$A24)="N/A",0,RTD("tos.rtd",,BJ$2,"."&amp;$A$2&amp;$AS$1&amp;"C"&amp;$A24)))</f>
        <v>#NUM!</v>
      </c>
      <c r="BK24" s="3" t="e">
        <f ca="1">IF($BP$1=1,DY24,-IF(RTD("tos.rtd",,BK$2,"."&amp;$A$2&amp;$AS$1&amp;"P"&amp;$A24)="N/A",0,RTD("tos.rtd",,BK$2,"."&amp;$A$2&amp;$AS$1&amp;"P"&amp;$A24)))</f>
        <v>#NUM!</v>
      </c>
      <c r="BL24" s="3" t="e">
        <f ca="1">IF($BP$1=1,DZ24,IF(RTD("tos.rtd",,BL$2,"."&amp;$A$2&amp;$AU$1&amp;"C"&amp;$A24)="N/A",0,RTD("tos.rtd",,BL$2,"."&amp;$A$2&amp;$AU$1&amp;"C"&amp;$A24)))</f>
        <v>#NUM!</v>
      </c>
      <c r="BM24" s="3" t="e">
        <f ca="1">IF($BP$1=1,EA24,-IF(RTD("tos.rtd",,BM$2,"."&amp;$A$2&amp;$AU$1&amp;"P"&amp;$A24)="N/A",0,RTD("tos.rtd",,BM$2,"."&amp;$A$2&amp;$AU$1&amp;"P"&amp;$A24)))</f>
        <v>#NUM!</v>
      </c>
      <c r="BN24" s="3" t="e">
        <f ca="1">IF($BP$1=1,EB24,IF(RTD("tos.rtd",,BN$2,"."&amp;$A$2&amp;$AW$1&amp;"C"&amp;$A24)="N/A",0,RTD("tos.rtd",,BN$2,"."&amp;$A$2&amp;$AW$1&amp;"C"&amp;$A24)))</f>
        <v>#NUM!</v>
      </c>
      <c r="BO24" s="3" t="e">
        <f ca="1">IF($BP$1=1,EC24,-IF(RTD("tos.rtd",,BO$2,"."&amp;$A$2&amp;$AW$1&amp;"P"&amp;$A24)="N/A",0,RTD("tos.rtd",,BO$2,"."&amp;$A$2&amp;$AW$1&amp;"P"&amp;$A24)))</f>
        <v>#NUM!</v>
      </c>
      <c r="BQ24" s="3" t="e">
        <f t="shared" ca="1" si="148"/>
        <v>#NUM!</v>
      </c>
      <c r="BR24" s="3" t="e">
        <f t="shared" ca="1" si="71"/>
        <v>#NUM!</v>
      </c>
      <c r="BS24" s="3" t="e">
        <f t="shared" ca="1" si="149"/>
        <v>#NUM!</v>
      </c>
      <c r="BT24" s="3" t="e">
        <f t="shared" ca="1" si="71"/>
        <v>#NUM!</v>
      </c>
      <c r="BU24" s="3" t="e">
        <f t="shared" ca="1" si="150"/>
        <v>#NUM!</v>
      </c>
      <c r="BV24" s="3" t="e">
        <f t="shared" ref="BV24" ca="1" si="175">IF(AND(BU24&lt;0,BU23&gt;0), "Cruce -", IF(AND(BU24&gt;0,BU23&lt;0),"Cruce +", ""))</f>
        <v>#NUM!</v>
      </c>
      <c r="BX24" s="3" t="e">
        <f t="shared" ca="1" si="152"/>
        <v>#NUM!</v>
      </c>
      <c r="BY24" s="3" t="e">
        <f t="shared" ca="1" si="73"/>
        <v>#NUM!</v>
      </c>
      <c r="BZ24" s="3" t="e">
        <f t="shared" ca="1" si="153"/>
        <v>#NUM!</v>
      </c>
      <c r="CA24" s="3" t="e">
        <f t="shared" ca="1" si="74"/>
        <v>#NUM!</v>
      </c>
      <c r="CB24" s="3" t="e">
        <f t="shared" ca="1" si="154"/>
        <v>#NUM!</v>
      </c>
      <c r="CC24" s="3" t="e">
        <f t="shared" ca="1" si="75"/>
        <v>#NUM!</v>
      </c>
      <c r="CD24" s="3">
        <f>IF(RTD("tos.rtd",,CD$2,"."&amp;$A$2&amp;$AS$1&amp;"C"&amp;$A24)="N/A",0,RTD("tos.rtd",,CD$2,"."&amp;$A$2&amp;$AS$1&amp;"C"&amp;$A24))</f>
        <v>1</v>
      </c>
      <c r="CE24" s="3">
        <f>-IF(RTD("tos.rtd",,CE$2,"."&amp;$A$2&amp;$AS$1&amp;"P"&amp;$A24)="N/A",0,RTD("tos.rtd",,CE$2,"."&amp;$A$2&amp;$AS$1&amp;"P"&amp;$A24))</f>
        <v>0.01</v>
      </c>
      <c r="CF24" s="3">
        <f>IF(RTD("tos.rtd",,CF$2,"."&amp;$A$2&amp;$AU$1&amp;"C"&amp;$A24)="N/A",0,RTD("tos.rtd",,CF$2,"."&amp;$A$2&amp;$AU$1&amp;"C"&amp;$A24))</f>
        <v>1</v>
      </c>
      <c r="CG24" s="3">
        <f>-IF(RTD("tos.rtd",,CG$2,"."&amp;$A$2&amp;$AU$1&amp;"P"&amp;$A24)="N/A",0,RTD("tos.rtd",,CG$2,"."&amp;$A$2&amp;$AU$1&amp;"P"&amp;$A24))</f>
        <v>0</v>
      </c>
      <c r="CH24" s="3">
        <f>IF(RTD("tos.rtd",,CH$2,"."&amp;$A$2&amp;$AW$1&amp;"C"&amp;$A24)="N/A",0,RTD("tos.rtd",,CH$2,"."&amp;$A$2&amp;$AW$1&amp;"C"&amp;$A24))</f>
        <v>1</v>
      </c>
      <c r="CI24" s="3">
        <f>-IF(RTD("tos.rtd",,CI$2,"."&amp;$A$2&amp;$AW$1&amp;"P"&amp;$A24)="N/A",0,RTD("tos.rtd",,CI$2,"."&amp;$A$2&amp;$AW$1&amp;"P"&amp;$A24))</f>
        <v>0.33</v>
      </c>
      <c r="CK24" s="3">
        <f t="shared" si="155"/>
        <v>402700</v>
      </c>
      <c r="CL24" s="3"/>
      <c r="CM24" s="3">
        <f t="shared" si="156"/>
        <v>335800</v>
      </c>
      <c r="CN24" s="3"/>
      <c r="CO24" s="3">
        <f t="shared" si="157"/>
        <v>445602</v>
      </c>
      <c r="CP24" s="3">
        <f t="shared" si="158"/>
        <v>1184102</v>
      </c>
      <c r="CQ24" s="3">
        <f t="shared" si="159"/>
        <v>0</v>
      </c>
      <c r="CR24" s="3"/>
      <c r="CS24" s="3">
        <f t="shared" si="160"/>
        <v>-133080</v>
      </c>
      <c r="CT24" s="3"/>
      <c r="CU24" s="3">
        <f t="shared" si="161"/>
        <v>-2674</v>
      </c>
      <c r="CV24" s="3">
        <f t="shared" si="162"/>
        <v>-135754</v>
      </c>
      <c r="CW24" s="3" t="e">
        <f t="shared" ca="1" si="163"/>
        <v>#NUM!</v>
      </c>
      <c r="CX24" s="85" t="e">
        <f t="shared" ca="1" si="76"/>
        <v>#NUM!</v>
      </c>
      <c r="CY24" s="3" t="e">
        <f t="shared" ca="1" si="164"/>
        <v>#NUM!</v>
      </c>
      <c r="CZ24" s="85" t="e">
        <f t="shared" ca="1" si="77"/>
        <v>#NUM!</v>
      </c>
      <c r="DA24" s="3">
        <f>IF(RTD("tos.rtd",,DA$2,"."&amp;$A$2&amp;$AS$1&amp;"C"&amp;$A24)="N/A",0,RTD("tos.rtd",,DA$2,"."&amp;$A$2&amp;$AS$1&amp;"C"&amp;$A24))</f>
        <v>3.02</v>
      </c>
      <c r="DB24" s="3">
        <f>IF(RTD("tos.rtd",,DB$2,"."&amp;$A$2&amp;$AS$1&amp;"P"&amp;$A24)="N/A",0,RTD("tos.rtd",,DB$2,"."&amp;$A$2&amp;$AS$1&amp;"P"&amp;$A24))</f>
        <v>0.01</v>
      </c>
      <c r="DC24" s="3">
        <f>IF(RTD("tos.rtd",,DC$2,"."&amp;$A$2&amp;$AS$1&amp;"C"&amp;$A24)="N/A",0,RTD("tos.rtd",,DC$2,"."&amp;$A$2&amp;$AS$1&amp;"C"&amp;$A24))</f>
        <v>3.15</v>
      </c>
      <c r="DD24" s="3">
        <f>IF(RTD("tos.rtd",,DD$2,"."&amp;$A$2&amp;$AS$1&amp;"P"&amp;$A24)="N/A",0,RTD("tos.rtd",,DD$2,"."&amp;$A$2&amp;$AS$1&amp;"P"&amp;$A24))</f>
        <v>0.02</v>
      </c>
      <c r="DE24" s="3">
        <f>IF(RTD("tos.rtd",,DE$2,"."&amp;$A$2&amp;$AS$1&amp;"C"&amp;$A24)="N/A",0,RTD("tos.rtd",,DE$2,"."&amp;$A$2&amp;$AS$1&amp;"C"&amp;$A24))</f>
        <v>1.99</v>
      </c>
      <c r="DF24" s="3">
        <f>IF(RTD("tos.rtd",,DF$2,"."&amp;$A$2&amp;$AS$1&amp;"P"&amp;$A24)="N/A",0,RTD("tos.rtd",,DF$2,"."&amp;$A$2&amp;$AS$1&amp;"P"&amp;$A24))</f>
        <v>0.01</v>
      </c>
      <c r="DG24" s="86">
        <f t="shared" si="48"/>
        <v>-9.1100000000000136</v>
      </c>
      <c r="DH24" s="3">
        <f t="shared" si="165"/>
        <v>-32635.905172413793</v>
      </c>
      <c r="DI24" s="3">
        <f t="shared" si="166"/>
        <v>0</v>
      </c>
      <c r="DJ24" s="3">
        <f t="shared" si="167"/>
        <v>-36755</v>
      </c>
      <c r="DK24" s="3">
        <f t="shared" si="51"/>
        <v>-171242</v>
      </c>
      <c r="DL24" s="3">
        <f t="shared" si="52"/>
        <v>-32635.905172413793</v>
      </c>
      <c r="DM24" s="3">
        <f t="shared" si="53"/>
        <v>-207997</v>
      </c>
      <c r="DN24" s="63" t="str">
        <f t="shared" si="54"/>
        <v>UNKNOWN</v>
      </c>
      <c r="DO24" s="63" t="str">
        <f t="shared" si="55"/>
        <v>UNKNOWN</v>
      </c>
      <c r="DP24" s="3">
        <f t="shared" si="56"/>
        <v>-98560.433620689655</v>
      </c>
      <c r="DQ24" s="3">
        <f t="shared" si="57"/>
        <v>-112712.52</v>
      </c>
      <c r="DR24" s="3" t="e">
        <f t="shared" ca="1" si="58"/>
        <v>#NUM!</v>
      </c>
      <c r="DS24" s="3">
        <f t="shared" si="59"/>
        <v>-38467.42</v>
      </c>
      <c r="DT24" s="3">
        <f t="shared" si="60"/>
        <v>-36755</v>
      </c>
      <c r="DU24" s="3">
        <f t="shared" si="61"/>
        <v>171242</v>
      </c>
      <c r="DV24" s="3">
        <f t="shared" si="62"/>
        <v>-46867</v>
      </c>
      <c r="DW24" s="3">
        <f t="shared" si="23"/>
        <v>3276</v>
      </c>
      <c r="DX24" s="3" t="e">
        <f t="shared" ca="1" si="24"/>
        <v>#NUM!</v>
      </c>
      <c r="DY24" s="3" t="e">
        <f t="shared" ca="1" si="25"/>
        <v>#NUM!</v>
      </c>
      <c r="DZ24" s="3" t="e">
        <f t="shared" ca="1" si="26"/>
        <v>#NUM!</v>
      </c>
      <c r="EA24" s="3" t="e">
        <f t="shared" ca="1" si="27"/>
        <v>#NUM!</v>
      </c>
      <c r="EB24" s="3" t="e">
        <f t="shared" ca="1" si="28"/>
        <v>#NUM!</v>
      </c>
      <c r="EC24" s="3" t="e">
        <f t="shared" ca="1" si="29"/>
        <v>#NUM!</v>
      </c>
      <c r="ED24" s="63">
        <f t="shared" si="63"/>
        <v>-43591</v>
      </c>
      <c r="EE24" s="59">
        <f t="shared" si="168"/>
        <v>0.25</v>
      </c>
      <c r="EF24" s="59">
        <f t="shared" si="169"/>
        <v>0.92689999999999995</v>
      </c>
      <c r="EG24" s="59">
        <f t="shared" si="170"/>
        <v>0.25</v>
      </c>
      <c r="EH24" s="59">
        <f t="shared" si="171"/>
        <v>0.81669999999999998</v>
      </c>
      <c r="EI24" s="59">
        <f t="shared" si="172"/>
        <v>0.25</v>
      </c>
      <c r="EJ24" s="59">
        <f t="shared" si="173"/>
        <v>0.35070000000000001</v>
      </c>
      <c r="EK24" s="63" t="e">
        <f t="shared" ca="1" si="65"/>
        <v>#NUM!</v>
      </c>
      <c r="EL24" s="3" t="str">
        <f>RTD("tos.rtd",,EL$2,"."&amp;$A$2&amp;$AS$1&amp;"C"&amp;$A24)</f>
        <v>--</v>
      </c>
      <c r="EM24" s="3" t="str">
        <f>RTD("tos.rtd",,EM$2,"."&amp;$A$2&amp;$AS$1&amp;"P"&amp;$A24)</f>
        <v>92.69%</v>
      </c>
      <c r="EN24" s="3" t="str">
        <f>RTD("tos.rtd",,EN$2,"."&amp;$A$2&amp;$AU$1&amp;"C"&amp;$A24)</f>
        <v>--</v>
      </c>
      <c r="EO24" s="3" t="str">
        <f>RTD("tos.rtd",,EO$2,"."&amp;$A$2&amp;$AU$1&amp;"P"&amp;$A24)</f>
        <v>81.67%</v>
      </c>
      <c r="EP24" s="3" t="str">
        <f>RTD("tos.rtd",,EP$2,"."&amp;$A$2&amp;$AW$1&amp;"C"&amp;$A24)</f>
        <v>--</v>
      </c>
      <c r="EQ24" s="3" t="str">
        <f>RTD("tos.rtd",,EQ$2,"."&amp;$A$2&amp;$AW$1&amp;"P"&amp;$A24)</f>
        <v>35.07%</v>
      </c>
      <c r="ES24" s="63" t="str">
        <f t="shared" si="66"/>
        <v>562,-43591.00</v>
      </c>
      <c r="ET24" s="63" t="str">
        <f t="shared" ca="1" si="67"/>
        <v>562,00.00</v>
      </c>
      <c r="EU24" s="67">
        <v>561.15</v>
      </c>
      <c r="EV24" s="67" t="s">
        <v>211</v>
      </c>
      <c r="EW24" s="67">
        <v>483.52</v>
      </c>
      <c r="EX24" s="67" t="s">
        <v>212</v>
      </c>
      <c r="EY24" s="67">
        <v>5631.28</v>
      </c>
      <c r="EZ24" s="67" t="s">
        <v>213</v>
      </c>
      <c r="FA24" s="67">
        <v>19867.973000000002</v>
      </c>
      <c r="FB24" s="67" t="s">
        <v>214</v>
      </c>
      <c r="FC24" s="67" t="s">
        <v>215</v>
      </c>
      <c r="FD24" s="67" t="s">
        <v>216</v>
      </c>
      <c r="FE24" s="67" t="s">
        <v>217</v>
      </c>
      <c r="FF24" s="67" t="s">
        <v>218</v>
      </c>
    </row>
    <row r="25" spans="1:162" s="63" customFormat="1" ht="13.5" thickBot="1" x14ac:dyDescent="0.25">
      <c r="A25" s="2">
        <f t="shared" si="68"/>
        <v>561</v>
      </c>
      <c r="B25" s="3">
        <f t="shared" si="141"/>
        <v>6459</v>
      </c>
      <c r="C25" s="3">
        <f t="shared" si="142"/>
        <v>7629</v>
      </c>
      <c r="D25" s="3">
        <f t="shared" si="143"/>
        <v>4600</v>
      </c>
      <c r="E25" s="3">
        <f t="shared" si="144"/>
        <v>18688</v>
      </c>
      <c r="F25" s="4">
        <f t="shared" si="145"/>
        <v>5644.7733361348955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>
        <v>4486</v>
      </c>
      <c r="AN25" s="1">
        <v>9766</v>
      </c>
      <c r="AO25" s="1">
        <v>561</v>
      </c>
      <c r="AP25" s="1">
        <v>15344</v>
      </c>
      <c r="AQ25" s="1">
        <v>-118559</v>
      </c>
      <c r="AR25" s="1"/>
      <c r="AS25" s="6">
        <f>IF(RTD("tos.rtd",,AS$2,"."&amp;$A$2&amp;$AS$1&amp;"C"&amp;$A25)="N/A",0,RTD("tos.rtd",,AS$2,"."&amp;$A$2&amp;$AS$1&amp;"C"&amp;$A25))</f>
        <v>3377</v>
      </c>
      <c r="AT25" s="7">
        <f>-IF(RTD("tos.rtd",,AT$2,"."&amp;$A$2&amp;$AS$1&amp;"P"&amp;$A25)="N/A",0,RTD("tos.rtd",,AT$2,"."&amp;$A$2&amp;$AS$1&amp;"P"&amp;$A25))</f>
        <v>-3082</v>
      </c>
      <c r="AU25" s="6">
        <f>IF(RTD("tos.rtd",,AU$2,"."&amp;$A$2&amp;$AU$1&amp;"C"&amp;$A25)="N/A",0,RTD("tos.rtd",,AU$2,"."&amp;$A$2&amp;$AU$1&amp;"C"&amp;$A25))</f>
        <v>2797</v>
      </c>
      <c r="AV25" s="7">
        <f>-IF(RTD("tos.rtd",,AV$2,"."&amp;$A$2&amp;$AU$1&amp;"P"&amp;$A25)="N/A",0,RTD("tos.rtd",,AV$2,"."&amp;$A$2&amp;$AU$1&amp;"P"&amp;$A25))</f>
        <v>-4832</v>
      </c>
      <c r="AW25" s="6">
        <f>IF(RTD("tos.rtd",,AW$2,"."&amp;$A$2&amp;$AW$1&amp;"C"&amp;$A25)="N/A",0,RTD("tos.rtd",,AW$2,"."&amp;$A$2&amp;$AW$1&amp;"C"&amp;$A25))</f>
        <v>2999</v>
      </c>
      <c r="AX25" s="7">
        <f>-IF(RTD("tos.rtd",,AX$2,"."&amp;$A$2&amp;$AW$1&amp;"P"&amp;$A25)="N/A",0,RTD("tos.rtd",,AX$2,"."&amp;$A$2&amp;$AW$1&amp;"P"&amp;$A25))</f>
        <v>-1601</v>
      </c>
      <c r="AY25" s="1">
        <f t="shared" si="146"/>
        <v>-342</v>
      </c>
      <c r="AZ25" s="8">
        <f t="shared" si="35"/>
        <v>561</v>
      </c>
      <c r="BA25" s="6">
        <f>IF(RTD("tos.rtd",,BA$2,"."&amp;$A$2&amp;$AS$1&amp;"C"&amp;$A25)="N/A",0,RTD("tos.rtd",,BA$2,"."&amp;$A$2&amp;$AS$1&amp;"C"&amp;$A25))</f>
        <v>0</v>
      </c>
      <c r="BB25" s="7">
        <f>-IF(RTD("tos.rtd",,BB$2,"."&amp;$A$2&amp;$AS$1&amp;"P"&amp;$A25)="N/A",0,RTD("tos.rtd",,BB$2,"."&amp;$A$2&amp;$AS$1&amp;"P"&amp;$A25))</f>
        <v>0</v>
      </c>
      <c r="BC25" s="6">
        <f>IF(RTD("tos.rtd",,BC$2,"."&amp;$A$2&amp;$AU$1&amp;"C"&amp;$A25)="N/A",0,RTD("tos.rtd",,BC$2,"."&amp;$A$2&amp;$AU$1&amp;"C"&amp;$A25))</f>
        <v>7937</v>
      </c>
      <c r="BD25" s="7">
        <f>-IF(RTD("tos.rtd",,BD$2,"."&amp;$A$2&amp;$AU$1&amp;"P"&amp;$A25)="N/A",0,RTD("tos.rtd",,BD$2,"."&amp;$A$2&amp;$AU$1&amp;"P"&amp;$A25))</f>
        <v>-127811</v>
      </c>
      <c r="BE25" s="6">
        <f>IF(RTD("tos.rtd",,BE$2,"."&amp;$A$2&amp;$AW$1&amp;"C"&amp;$A25)="N/A",0,RTD("tos.rtd",,BE$2,"."&amp;$A$2&amp;$AW$1&amp;"C"&amp;$A25))</f>
        <v>396</v>
      </c>
      <c r="BF25" s="83">
        <f>-IF(RTD("tos.rtd",,BF$2,"."&amp;$A$2&amp;$AW$1&amp;"P"&amp;$A25)="N/A",0,RTD("tos.rtd",,BF$2,"."&amp;$A$2&amp;$AW$1&amp;"P"&amp;$A25))</f>
        <v>-1807</v>
      </c>
      <c r="BG25" s="32">
        <f ca="1">+Hoja2!Y26</f>
        <v>-2264</v>
      </c>
      <c r="BH25" s="7">
        <f t="shared" ca="1" si="36"/>
        <v>-123549</v>
      </c>
      <c r="BI25" s="8" t="str">
        <f t="shared" ref="BI25" ca="1" si="176">IF(AND(BH25&lt;0,BH24&gt;0), "Cruce -", IF(AND(BH25&gt;0,BH24&lt;0),"Cruce +", ""))</f>
        <v/>
      </c>
      <c r="BJ25" s="3" t="e">
        <f ca="1">IF($BP$1=1,DX25,IF(RTD("tos.rtd",,BJ$2,"."&amp;$A$2&amp;$AS$1&amp;"C"&amp;$A25)="N/A",0,RTD("tos.rtd",,BJ$2,"."&amp;$A$2&amp;$AS$1&amp;"C"&amp;$A25)))</f>
        <v>#NUM!</v>
      </c>
      <c r="BK25" s="3" t="e">
        <f ca="1">IF($BP$1=1,DY25,-IF(RTD("tos.rtd",,BK$2,"."&amp;$A$2&amp;$AS$1&amp;"P"&amp;$A25)="N/A",0,RTD("tos.rtd",,BK$2,"."&amp;$A$2&amp;$AS$1&amp;"P"&amp;$A25)))</f>
        <v>#NUM!</v>
      </c>
      <c r="BL25" s="3" t="e">
        <f ca="1">IF($BP$1=1,DZ25,IF(RTD("tos.rtd",,BL$2,"."&amp;$A$2&amp;$AU$1&amp;"C"&amp;$A25)="N/A",0,RTD("tos.rtd",,BL$2,"."&amp;$A$2&amp;$AU$1&amp;"C"&amp;$A25)))</f>
        <v>#NUM!</v>
      </c>
      <c r="BM25" s="3" t="e">
        <f ca="1">IF($BP$1=1,EA25,-IF(RTD("tos.rtd",,BM$2,"."&amp;$A$2&amp;$AU$1&amp;"P"&amp;$A25)="N/A",0,RTD("tos.rtd",,BM$2,"."&amp;$A$2&amp;$AU$1&amp;"P"&amp;$A25)))</f>
        <v>#NUM!</v>
      </c>
      <c r="BN25" s="3" t="e">
        <f ca="1">IF($BP$1=1,EB25,IF(RTD("tos.rtd",,BN$2,"."&amp;$A$2&amp;$AW$1&amp;"C"&amp;$A25)="N/A",0,RTD("tos.rtd",,BN$2,"."&amp;$A$2&amp;$AW$1&amp;"C"&amp;$A25)))</f>
        <v>#NUM!</v>
      </c>
      <c r="BO25" s="3" t="e">
        <f ca="1">IF($BP$1=1,EC25,-IF(RTD("tos.rtd",,BO$2,"."&amp;$A$2&amp;$AW$1&amp;"P"&amp;$A25)="N/A",0,RTD("tos.rtd",,BO$2,"."&amp;$A$2&amp;$AW$1&amp;"P"&amp;$A25)))</f>
        <v>#NUM!</v>
      </c>
      <c r="BQ25" s="3" t="e">
        <f t="shared" ca="1" si="148"/>
        <v>#NUM!</v>
      </c>
      <c r="BR25" s="3" t="e">
        <f t="shared" ca="1" si="71"/>
        <v>#NUM!</v>
      </c>
      <c r="BS25" s="3" t="e">
        <f t="shared" ca="1" si="149"/>
        <v>#NUM!</v>
      </c>
      <c r="BT25" s="3" t="e">
        <f t="shared" ca="1" si="71"/>
        <v>#NUM!</v>
      </c>
      <c r="BU25" s="3" t="e">
        <f t="shared" ca="1" si="150"/>
        <v>#NUM!</v>
      </c>
      <c r="BV25" s="3" t="e">
        <f t="shared" ref="BV25" ca="1" si="177">IF(AND(BU25&lt;0,BU24&gt;0), "Cruce -", IF(AND(BU25&gt;0,BU24&lt;0),"Cruce +", ""))</f>
        <v>#NUM!</v>
      </c>
      <c r="BX25" s="3" t="e">
        <f t="shared" ca="1" si="152"/>
        <v>#NUM!</v>
      </c>
      <c r="BY25" s="3" t="e">
        <f t="shared" ca="1" si="73"/>
        <v>#NUM!</v>
      </c>
      <c r="BZ25" s="3" t="e">
        <f t="shared" ca="1" si="153"/>
        <v>#NUM!</v>
      </c>
      <c r="CA25" s="3" t="e">
        <f t="shared" ca="1" si="74"/>
        <v>#NUM!</v>
      </c>
      <c r="CB25" s="3" t="e">
        <f t="shared" ca="1" si="154"/>
        <v>#NUM!</v>
      </c>
      <c r="CC25" s="3" t="e">
        <f t="shared" ca="1" si="75"/>
        <v>#NUM!</v>
      </c>
      <c r="CD25" s="3">
        <f>IF(RTD("tos.rtd",,CD$2,"."&amp;$A$2&amp;$AS$1&amp;"C"&amp;$A25)="N/A",0,RTD("tos.rtd",,CD$2,"."&amp;$A$2&amp;$AS$1&amp;"C"&amp;$A25))</f>
        <v>1</v>
      </c>
      <c r="CE25" s="3">
        <f>-IF(RTD("tos.rtd",,CE$2,"."&amp;$A$2&amp;$AS$1&amp;"P"&amp;$A25)="N/A",0,RTD("tos.rtd",,CE$2,"."&amp;$A$2&amp;$AS$1&amp;"P"&amp;$A25))</f>
        <v>0.01</v>
      </c>
      <c r="CF25" s="3">
        <f>IF(RTD("tos.rtd",,CF$2,"."&amp;$A$2&amp;$AU$1&amp;"C"&amp;$A25)="N/A",0,RTD("tos.rtd",,CF$2,"."&amp;$A$2&amp;$AU$1&amp;"C"&amp;$A25))</f>
        <v>1</v>
      </c>
      <c r="CG25" s="3">
        <f>-IF(RTD("tos.rtd",,CG$2,"."&amp;$A$2&amp;$AU$1&amp;"P"&amp;$A25)="N/A",0,RTD("tos.rtd",,CG$2,"."&amp;$A$2&amp;$AU$1&amp;"P"&amp;$A25))</f>
        <v>0</v>
      </c>
      <c r="CH25" s="3">
        <f>IF(RTD("tos.rtd",,CH$2,"."&amp;$A$2&amp;$AW$1&amp;"C"&amp;$A25)="N/A",0,RTD("tos.rtd",,CH$2,"."&amp;$A$2&amp;$AW$1&amp;"C"&amp;$A25))</f>
        <v>1</v>
      </c>
      <c r="CI25" s="3">
        <f>-IF(RTD("tos.rtd",,CI$2,"."&amp;$A$2&amp;$AW$1&amp;"P"&amp;$A25)="N/A",0,RTD("tos.rtd",,CI$2,"."&amp;$A$2&amp;$AW$1&amp;"P"&amp;$A25))</f>
        <v>0.32</v>
      </c>
      <c r="CK25" s="3">
        <f t="shared" si="155"/>
        <v>334618</v>
      </c>
      <c r="CL25" s="3"/>
      <c r="CM25" s="3">
        <f t="shared" si="156"/>
        <v>279700</v>
      </c>
      <c r="CN25" s="3"/>
      <c r="CO25" s="3">
        <f t="shared" si="157"/>
        <v>248668</v>
      </c>
      <c r="CP25" s="3">
        <f t="shared" si="158"/>
        <v>862986</v>
      </c>
      <c r="CQ25" s="3">
        <f t="shared" si="159"/>
        <v>0</v>
      </c>
      <c r="CR25" s="3"/>
      <c r="CS25" s="3">
        <f t="shared" si="160"/>
        <v>-119874</v>
      </c>
      <c r="CT25" s="3"/>
      <c r="CU25" s="3">
        <f t="shared" si="161"/>
        <v>-1411</v>
      </c>
      <c r="CV25" s="3">
        <f t="shared" si="162"/>
        <v>-121285</v>
      </c>
      <c r="CW25" s="3" t="e">
        <f t="shared" ca="1" si="163"/>
        <v>#NUM!</v>
      </c>
      <c r="CX25" s="85" t="e">
        <f t="shared" ca="1" si="76"/>
        <v>#NUM!</v>
      </c>
      <c r="CY25" s="3" t="e">
        <f t="shared" ca="1" si="164"/>
        <v>#NUM!</v>
      </c>
      <c r="CZ25" s="85" t="e">
        <f t="shared" ca="1" si="77"/>
        <v>#NUM!</v>
      </c>
      <c r="DA25" s="3">
        <f>IF(RTD("tos.rtd",,DA$2,"."&amp;$A$2&amp;$AS$1&amp;"C"&amp;$A25)="N/A",0,RTD("tos.rtd",,DA$2,"."&amp;$A$2&amp;$AS$1&amp;"C"&amp;$A25))</f>
        <v>3.75</v>
      </c>
      <c r="DB25" s="3">
        <f>IF(RTD("tos.rtd",,DB$2,"."&amp;$A$2&amp;$AS$1&amp;"P"&amp;$A25)="N/A",0,RTD("tos.rtd",,DB$2,"."&amp;$A$2&amp;$AS$1&amp;"P"&amp;$A25))</f>
        <v>0.02</v>
      </c>
      <c r="DC25" s="3">
        <f>IF(RTD("tos.rtd",,DC$2,"."&amp;$A$2&amp;$AS$1&amp;"C"&amp;$A25)="N/A",0,RTD("tos.rtd",,DC$2,"."&amp;$A$2&amp;$AS$1&amp;"C"&amp;$A25))</f>
        <v>3.95</v>
      </c>
      <c r="DD25" s="3">
        <f>IF(RTD("tos.rtd",,DD$2,"."&amp;$A$2&amp;$AS$1&amp;"P"&amp;$A25)="N/A",0,RTD("tos.rtd",,DD$2,"."&amp;$A$2&amp;$AS$1&amp;"P"&amp;$A25))</f>
        <v>0.02</v>
      </c>
      <c r="DE25" s="3">
        <f>IF(RTD("tos.rtd",,DE$2,"."&amp;$A$2&amp;$AS$1&amp;"C"&amp;$A25)="N/A",0,RTD("tos.rtd",,DE$2,"."&amp;$A$2&amp;$AS$1&amp;"C"&amp;$A25))</f>
        <v>3.32</v>
      </c>
      <c r="DF25" s="3">
        <f>IF(RTD("tos.rtd",,DF$2,"."&amp;$A$2&amp;$AS$1&amp;"P"&amp;$A25)="N/A",0,RTD("tos.rtd",,DF$2,"."&amp;$A$2&amp;$AS$1&amp;"P"&amp;$A25))</f>
        <v>0.01</v>
      </c>
      <c r="DG25" s="86">
        <f t="shared" si="48"/>
        <v>-10.110000000000014</v>
      </c>
      <c r="DH25" s="3">
        <f t="shared" si="165"/>
        <v>-10472.888888888887</v>
      </c>
      <c r="DI25" s="3">
        <f t="shared" si="166"/>
        <v>118559</v>
      </c>
      <c r="DJ25" s="3">
        <f t="shared" si="167"/>
        <v>-15344</v>
      </c>
      <c r="DK25" s="3">
        <f t="shared" si="51"/>
        <v>118559</v>
      </c>
      <c r="DL25" s="3">
        <f t="shared" si="52"/>
        <v>108086.11111111111</v>
      </c>
      <c r="DM25" s="3">
        <f t="shared" si="53"/>
        <v>103215</v>
      </c>
      <c r="DN25" s="63" t="str">
        <f t="shared" si="54"/>
        <v>UNKNOWN</v>
      </c>
      <c r="DO25" s="63" t="str">
        <f t="shared" si="55"/>
        <v>UNKNOWN</v>
      </c>
      <c r="DP25" s="3">
        <f t="shared" si="56"/>
        <v>-36902.153333333328</v>
      </c>
      <c r="DQ25" s="3">
        <f t="shared" si="57"/>
        <v>-55168.82</v>
      </c>
      <c r="DR25" s="3" t="e">
        <f t="shared" ca="1" si="58"/>
        <v>#NUM!</v>
      </c>
      <c r="DS25" s="3">
        <f t="shared" si="59"/>
        <v>-14158.41</v>
      </c>
      <c r="DT25" s="3">
        <f t="shared" si="60"/>
        <v>-15344</v>
      </c>
      <c r="DU25" s="3">
        <f t="shared" si="61"/>
        <v>118559</v>
      </c>
      <c r="DV25" s="3">
        <f t="shared" si="62"/>
        <v>4486</v>
      </c>
      <c r="DW25" s="3">
        <f t="shared" si="23"/>
        <v>9766</v>
      </c>
      <c r="DX25" s="3" t="e">
        <f t="shared" ca="1" si="24"/>
        <v>#NUM!</v>
      </c>
      <c r="DY25" s="3" t="e">
        <f t="shared" ca="1" si="25"/>
        <v>#NUM!</v>
      </c>
      <c r="DZ25" s="3" t="e">
        <f t="shared" ca="1" si="26"/>
        <v>#NUM!</v>
      </c>
      <c r="EA25" s="3" t="e">
        <f t="shared" ca="1" si="27"/>
        <v>#NUM!</v>
      </c>
      <c r="EB25" s="3" t="e">
        <f t="shared" ca="1" si="28"/>
        <v>#NUM!</v>
      </c>
      <c r="EC25" s="3" t="e">
        <f t="shared" ca="1" si="29"/>
        <v>#NUM!</v>
      </c>
      <c r="ED25" s="63">
        <f t="shared" si="63"/>
        <v>14252</v>
      </c>
      <c r="EE25" s="59">
        <f t="shared" si="168"/>
        <v>0.25</v>
      </c>
      <c r="EF25" s="59">
        <f t="shared" si="169"/>
        <v>1.0150999999999999</v>
      </c>
      <c r="EG25" s="59">
        <f t="shared" si="170"/>
        <v>0.25</v>
      </c>
      <c r="EH25" s="59">
        <f t="shared" si="171"/>
        <v>0.89710000000000001</v>
      </c>
      <c r="EI25" s="59">
        <f t="shared" si="172"/>
        <v>0.25</v>
      </c>
      <c r="EJ25" s="59">
        <f t="shared" si="173"/>
        <v>0.3488</v>
      </c>
      <c r="EK25" s="63" t="e">
        <f t="shared" ca="1" si="65"/>
        <v>#NUM!</v>
      </c>
      <c r="EL25" s="3" t="str">
        <f>RTD("tos.rtd",,EL$2,"."&amp;$A$2&amp;$AS$1&amp;"C"&amp;$A25)</f>
        <v>--</v>
      </c>
      <c r="EM25" s="3" t="str">
        <f>RTD("tos.rtd",,EM$2,"."&amp;$A$2&amp;$AS$1&amp;"P"&amp;$A25)</f>
        <v>101.51%</v>
      </c>
      <c r="EN25" s="3" t="str">
        <f>RTD("tos.rtd",,EN$2,"."&amp;$A$2&amp;$AU$1&amp;"C"&amp;$A25)</f>
        <v>--</v>
      </c>
      <c r="EO25" s="3" t="str">
        <f>RTD("tos.rtd",,EO$2,"."&amp;$A$2&amp;$AU$1&amp;"P"&amp;$A25)</f>
        <v>89.71%</v>
      </c>
      <c r="EP25" s="3" t="str">
        <f>RTD("tos.rtd",,EP$2,"."&amp;$A$2&amp;$AW$1&amp;"C"&amp;$A25)</f>
        <v>--</v>
      </c>
      <c r="EQ25" s="3" t="str">
        <f>RTD("tos.rtd",,EQ$2,"."&amp;$A$2&amp;$AW$1&amp;"P"&amp;$A25)</f>
        <v>34.88%</v>
      </c>
      <c r="ES25" s="63" t="str">
        <f t="shared" si="66"/>
        <v>561,14252.00</v>
      </c>
      <c r="ET25" s="63" t="str">
        <f t="shared" ca="1" si="67"/>
        <v>561,00.00</v>
      </c>
      <c r="EU25" s="67">
        <v>561.15</v>
      </c>
      <c r="EV25" s="67" t="s">
        <v>219</v>
      </c>
      <c r="EW25" s="67">
        <v>483.54</v>
      </c>
      <c r="EX25" s="67" t="s">
        <v>220</v>
      </c>
      <c r="EY25" s="67">
        <v>5631.28</v>
      </c>
      <c r="EZ25" s="67" t="s">
        <v>221</v>
      </c>
      <c r="FA25" s="67">
        <v>19867.973000000002</v>
      </c>
      <c r="FB25" s="67" t="s">
        <v>222</v>
      </c>
      <c r="FC25" s="67" t="s">
        <v>223</v>
      </c>
      <c r="FD25" s="67" t="s">
        <v>224</v>
      </c>
      <c r="FE25" s="67" t="s">
        <v>225</v>
      </c>
      <c r="FF25" s="67" t="s">
        <v>226</v>
      </c>
    </row>
    <row r="26" spans="1:162" s="63" customFormat="1" ht="13.5" thickBot="1" x14ac:dyDescent="0.25">
      <c r="A26" s="2">
        <f t="shared" si="68"/>
        <v>560</v>
      </c>
      <c r="B26" s="3">
        <f t="shared" si="141"/>
        <v>9542</v>
      </c>
      <c r="C26" s="3">
        <f t="shared" si="142"/>
        <v>24376</v>
      </c>
      <c r="D26" s="3">
        <f t="shared" si="143"/>
        <v>44848</v>
      </c>
      <c r="E26" s="3">
        <f t="shared" si="144"/>
        <v>78766</v>
      </c>
      <c r="F26" s="4">
        <f t="shared" si="145"/>
        <v>5634.7113515785049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>
        <v>-8734</v>
      </c>
      <c r="AN26" s="1">
        <v>34235</v>
      </c>
      <c r="AO26" s="1">
        <v>560</v>
      </c>
      <c r="AP26" s="1">
        <v>13061</v>
      </c>
      <c r="AQ26" s="1">
        <v>-169523</v>
      </c>
      <c r="AR26" s="1"/>
      <c r="AS26" s="6">
        <f>IF(RTD("tos.rtd",,AS$2,"."&amp;$A$2&amp;$AS$1&amp;"C"&amp;$A26)="N/A",0,RTD("tos.rtd",,AS$2,"."&amp;$A$2&amp;$AS$1&amp;"C"&amp;$A26))</f>
        <v>4994</v>
      </c>
      <c r="AT26" s="7">
        <f>-IF(RTD("tos.rtd",,AT$2,"."&amp;$A$2&amp;$AS$1&amp;"P"&amp;$A26)="N/A",0,RTD("tos.rtd",,AT$2,"."&amp;$A$2&amp;$AS$1&amp;"P"&amp;$A26))</f>
        <v>-4548</v>
      </c>
      <c r="AU26" s="6">
        <f>IF(RTD("tos.rtd",,AU$2,"."&amp;$A$2&amp;$AU$1&amp;"C"&amp;$A26)="N/A",0,RTD("tos.rtd",,AU$2,"."&amp;$A$2&amp;$AU$1&amp;"C"&amp;$A26))</f>
        <v>8543</v>
      </c>
      <c r="AV26" s="7">
        <f>-IF(RTD("tos.rtd",,AV$2,"."&amp;$A$2&amp;$AU$1&amp;"P"&amp;$A26)="N/A",0,RTD("tos.rtd",,AV$2,"."&amp;$A$2&amp;$AU$1&amp;"P"&amp;$A26))</f>
        <v>-15833</v>
      </c>
      <c r="AW26" s="6">
        <f>IF(RTD("tos.rtd",,AW$2,"."&amp;$A$2&amp;$AW$1&amp;"C"&amp;$A26)="N/A",0,RTD("tos.rtd",,AW$2,"."&amp;$A$2&amp;$AW$1&amp;"C"&amp;$A26))</f>
        <v>11371</v>
      </c>
      <c r="AX26" s="7">
        <f>-IF(RTD("tos.rtd",,AX$2,"."&amp;$A$2&amp;$AW$1&amp;"P"&amp;$A26)="N/A",0,RTD("tos.rtd",,AX$2,"."&amp;$A$2&amp;$AW$1&amp;"P"&amp;$A26))</f>
        <v>-33477</v>
      </c>
      <c r="AY26" s="1">
        <f t="shared" si="146"/>
        <v>-28950</v>
      </c>
      <c r="AZ26" s="8">
        <f t="shared" si="35"/>
        <v>560</v>
      </c>
      <c r="BA26" s="6">
        <f>IF(RTD("tos.rtd",,BA$2,"."&amp;$A$2&amp;$AS$1&amp;"C"&amp;$A26)="N/A",0,RTD("tos.rtd",,BA$2,"."&amp;$A$2&amp;$AS$1&amp;"C"&amp;$A26))</f>
        <v>0</v>
      </c>
      <c r="BB26" s="7">
        <f>-IF(RTD("tos.rtd",,BB$2,"."&amp;$A$2&amp;$AS$1&amp;"P"&amp;$A26)="N/A",0,RTD("tos.rtd",,BB$2,"."&amp;$A$2&amp;$AS$1&amp;"P"&amp;$A26))</f>
        <v>0</v>
      </c>
      <c r="BC26" s="6">
        <f>IF(RTD("tos.rtd",,BC$2,"."&amp;$A$2&amp;$AU$1&amp;"C"&amp;$A26)="N/A",0,RTD("tos.rtd",,BC$2,"."&amp;$A$2&amp;$AU$1&amp;"C"&amp;$A26))</f>
        <v>11376</v>
      </c>
      <c r="BD26" s="7">
        <f>-IF(RTD("tos.rtd",,BD$2,"."&amp;$A$2&amp;$AU$1&amp;"P"&amp;$A26)="N/A",0,RTD("tos.rtd",,BD$2,"."&amp;$A$2&amp;$AU$1&amp;"P"&amp;$A26))</f>
        <v>-240660</v>
      </c>
      <c r="BE26" s="6">
        <f>IF(RTD("tos.rtd",,BE$2,"."&amp;$A$2&amp;$AW$1&amp;"C"&amp;$A26)="N/A",0,RTD("tos.rtd",,BE$2,"."&amp;$A$2&amp;$AW$1&amp;"C"&amp;$A26))</f>
        <v>3596</v>
      </c>
      <c r="BF26" s="83">
        <f>-IF(RTD("tos.rtd",,BF$2,"."&amp;$A$2&amp;$AW$1&amp;"P"&amp;$A26)="N/A",0,RTD("tos.rtd",,BF$2,"."&amp;$A$2&amp;$AW$1&amp;"P"&amp;$A26))</f>
        <v>-20932</v>
      </c>
      <c r="BG26" s="32">
        <f ca="1">+Hoja2!Y27</f>
        <v>-12504</v>
      </c>
      <c r="BH26" s="7">
        <f t="shared" ca="1" si="36"/>
        <v>-259124</v>
      </c>
      <c r="BI26" s="8" t="str">
        <f t="shared" ref="BI26" ca="1" si="178">IF(AND(BH26&lt;0,BH25&gt;0), "Cruce -", IF(AND(BH26&gt;0,BH25&lt;0),"Cruce +", ""))</f>
        <v/>
      </c>
      <c r="BJ26" s="3" t="e">
        <f ca="1">IF($BP$1=1,DX26,IF(RTD("tos.rtd",,BJ$2,"."&amp;$A$2&amp;$AS$1&amp;"C"&amp;$A26)="N/A",0,RTD("tos.rtd",,BJ$2,"."&amp;$A$2&amp;$AS$1&amp;"C"&amp;$A26)))</f>
        <v>#NUM!</v>
      </c>
      <c r="BK26" s="3" t="e">
        <f ca="1">IF($BP$1=1,DY26,-IF(RTD("tos.rtd",,BK$2,"."&amp;$A$2&amp;$AS$1&amp;"P"&amp;$A26)="N/A",0,RTD("tos.rtd",,BK$2,"."&amp;$A$2&amp;$AS$1&amp;"P"&amp;$A26)))</f>
        <v>#NUM!</v>
      </c>
      <c r="BL26" s="3" t="e">
        <f ca="1">IF($BP$1=1,DZ26,IF(RTD("tos.rtd",,BL$2,"."&amp;$A$2&amp;$AU$1&amp;"C"&amp;$A26)="N/A",0,RTD("tos.rtd",,BL$2,"."&amp;$A$2&amp;$AU$1&amp;"C"&amp;$A26)))</f>
        <v>#NUM!</v>
      </c>
      <c r="BM26" s="3" t="e">
        <f ca="1">IF($BP$1=1,EA26,-IF(RTD("tos.rtd",,BM$2,"."&amp;$A$2&amp;$AU$1&amp;"P"&amp;$A26)="N/A",0,RTD("tos.rtd",,BM$2,"."&amp;$A$2&amp;$AU$1&amp;"P"&amp;$A26)))</f>
        <v>#NUM!</v>
      </c>
      <c r="BN26" s="3" t="e">
        <f ca="1">IF($BP$1=1,EB26,IF(RTD("tos.rtd",,BN$2,"."&amp;$A$2&amp;$AW$1&amp;"C"&amp;$A26)="N/A",0,RTD("tos.rtd",,BN$2,"."&amp;$A$2&amp;$AW$1&amp;"C"&amp;$A26)))</f>
        <v>#NUM!</v>
      </c>
      <c r="BO26" s="3" t="e">
        <f ca="1">IF($BP$1=1,EC26,-IF(RTD("tos.rtd",,BO$2,"."&amp;$A$2&amp;$AW$1&amp;"P"&amp;$A26)="N/A",0,RTD("tos.rtd",,BO$2,"."&amp;$A$2&amp;$AW$1&amp;"P"&amp;$A26)))</f>
        <v>#NUM!</v>
      </c>
      <c r="BQ26" s="3" t="e">
        <f t="shared" ca="1" si="148"/>
        <v>#NUM!</v>
      </c>
      <c r="BR26" s="3" t="e">
        <f t="shared" ca="1" si="71"/>
        <v>#NUM!</v>
      </c>
      <c r="BS26" s="3" t="e">
        <f t="shared" ca="1" si="149"/>
        <v>#NUM!</v>
      </c>
      <c r="BT26" s="3" t="e">
        <f t="shared" ca="1" si="71"/>
        <v>#NUM!</v>
      </c>
      <c r="BU26" s="3" t="e">
        <f t="shared" ca="1" si="150"/>
        <v>#NUM!</v>
      </c>
      <c r="BV26" s="3" t="e">
        <f t="shared" ref="BV26" ca="1" si="179">IF(AND(BU26&lt;0,BU25&gt;0), "Cruce -", IF(AND(BU26&gt;0,BU25&lt;0),"Cruce +", ""))</f>
        <v>#NUM!</v>
      </c>
      <c r="BX26" s="3" t="e">
        <f t="shared" ca="1" si="152"/>
        <v>#NUM!</v>
      </c>
      <c r="BY26" s="3" t="e">
        <f t="shared" ca="1" si="73"/>
        <v>#NUM!</v>
      </c>
      <c r="BZ26" s="3" t="e">
        <f t="shared" ca="1" si="153"/>
        <v>#NUM!</v>
      </c>
      <c r="CA26" s="3" t="e">
        <f t="shared" ca="1" si="74"/>
        <v>#NUM!</v>
      </c>
      <c r="CB26" s="3" t="e">
        <f t="shared" ca="1" si="154"/>
        <v>#NUM!</v>
      </c>
      <c r="CC26" s="3" t="e">
        <f t="shared" ca="1" si="75"/>
        <v>#NUM!</v>
      </c>
      <c r="CD26" s="3">
        <f>IF(RTD("tos.rtd",,CD$2,"."&amp;$A$2&amp;$AS$1&amp;"C"&amp;$A26)="N/A",0,RTD("tos.rtd",,CD$2,"."&amp;$A$2&amp;$AS$1&amp;"C"&amp;$A26))</f>
        <v>1</v>
      </c>
      <c r="CE26" s="3">
        <f>-IF(RTD("tos.rtd",,CE$2,"."&amp;$A$2&amp;$AS$1&amp;"P"&amp;$A26)="N/A",0,RTD("tos.rtd",,CE$2,"."&amp;$A$2&amp;$AS$1&amp;"P"&amp;$A26))</f>
        <v>0</v>
      </c>
      <c r="CF26" s="3">
        <f>IF(RTD("tos.rtd",,CF$2,"."&amp;$A$2&amp;$AU$1&amp;"C"&amp;$A26)="N/A",0,RTD("tos.rtd",,CF$2,"."&amp;$A$2&amp;$AU$1&amp;"C"&amp;$A26))</f>
        <v>1</v>
      </c>
      <c r="CG26" s="3">
        <f>-IF(RTD("tos.rtd",,CG$2,"."&amp;$A$2&amp;$AU$1&amp;"P"&amp;$A26)="N/A",0,RTD("tos.rtd",,CG$2,"."&amp;$A$2&amp;$AU$1&amp;"P"&amp;$A26))</f>
        <v>0</v>
      </c>
      <c r="CH26" s="3">
        <f>IF(RTD("tos.rtd",,CH$2,"."&amp;$A$2&amp;$AW$1&amp;"C"&amp;$A26)="N/A",0,RTD("tos.rtd",,CH$2,"."&amp;$A$2&amp;$AW$1&amp;"C"&amp;$A26))</f>
        <v>1</v>
      </c>
      <c r="CI26" s="3">
        <f>-IF(RTD("tos.rtd",,CI$2,"."&amp;$A$2&amp;$AW$1&amp;"P"&amp;$A26)="N/A",0,RTD("tos.rtd",,CI$2,"."&amp;$A$2&amp;$AW$1&amp;"P"&amp;$A26))</f>
        <v>0.3</v>
      </c>
      <c r="CK26" s="3">
        <f t="shared" si="155"/>
        <v>499400</v>
      </c>
      <c r="CL26" s="3"/>
      <c r="CM26" s="3">
        <f t="shared" si="156"/>
        <v>854300</v>
      </c>
      <c r="CN26" s="3"/>
      <c r="CO26" s="3">
        <f t="shared" si="157"/>
        <v>132790</v>
      </c>
      <c r="CP26" s="3">
        <f t="shared" si="158"/>
        <v>1486490</v>
      </c>
      <c r="CQ26" s="3">
        <f t="shared" si="159"/>
        <v>0</v>
      </c>
      <c r="CR26" s="3"/>
      <c r="CS26" s="3">
        <f t="shared" si="160"/>
        <v>-229284</v>
      </c>
      <c r="CT26" s="3"/>
      <c r="CU26" s="3">
        <f t="shared" si="161"/>
        <v>-17336</v>
      </c>
      <c r="CV26" s="3">
        <f t="shared" si="162"/>
        <v>-246620</v>
      </c>
      <c r="CW26" s="3" t="e">
        <f t="shared" ca="1" si="163"/>
        <v>#NUM!</v>
      </c>
      <c r="CX26" s="85" t="e">
        <f t="shared" ca="1" si="76"/>
        <v>#NUM!</v>
      </c>
      <c r="CY26" s="3" t="e">
        <f t="shared" ca="1" si="164"/>
        <v>#NUM!</v>
      </c>
      <c r="CZ26" s="85" t="e">
        <f t="shared" ca="1" si="77"/>
        <v>#NUM!</v>
      </c>
      <c r="DA26" s="3">
        <f>IF(RTD("tos.rtd",,DA$2,"."&amp;$A$2&amp;$AS$1&amp;"C"&amp;$A26)="N/A",0,RTD("tos.rtd",,DA$2,"."&amp;$A$2&amp;$AS$1&amp;"C"&amp;$A26))</f>
        <v>4.9400000000000004</v>
      </c>
      <c r="DB26" s="3">
        <f>IF(RTD("tos.rtd",,DB$2,"."&amp;$A$2&amp;$AS$1&amp;"P"&amp;$A26)="N/A",0,RTD("tos.rtd",,DB$2,"."&amp;$A$2&amp;$AS$1&amp;"P"&amp;$A26))</f>
        <v>0.01</v>
      </c>
      <c r="DC26" s="3">
        <f>IF(RTD("tos.rtd",,DC$2,"."&amp;$A$2&amp;$AS$1&amp;"C"&amp;$A26)="N/A",0,RTD("tos.rtd",,DC$2,"."&amp;$A$2&amp;$AS$1&amp;"C"&amp;$A26))</f>
        <v>5.93</v>
      </c>
      <c r="DD26" s="3">
        <f>IF(RTD("tos.rtd",,DD$2,"."&amp;$A$2&amp;$AS$1&amp;"P"&amp;$A26)="N/A",0,RTD("tos.rtd",,DD$2,"."&amp;$A$2&amp;$AS$1&amp;"P"&amp;$A26))</f>
        <v>0.01</v>
      </c>
      <c r="DE26" s="3">
        <f>IF(RTD("tos.rtd",,DE$2,"."&amp;$A$2&amp;$AS$1&amp;"C"&amp;$A26)="N/A",0,RTD("tos.rtd",,DE$2,"."&amp;$A$2&amp;$AS$1&amp;"C"&amp;$A26))</f>
        <v>4.1900000000000004</v>
      </c>
      <c r="DF26" s="3">
        <f>IF(RTD("tos.rtd",,DF$2,"."&amp;$A$2&amp;$AS$1&amp;"P"&amp;$A26)="N/A",0,RTD("tos.rtd",,DF$2,"."&amp;$A$2&amp;$AS$1&amp;"P"&amp;$A26))</f>
        <v>0</v>
      </c>
      <c r="DG26" s="86">
        <f t="shared" si="48"/>
        <v>-11.110000000000014</v>
      </c>
      <c r="DH26" s="3">
        <f t="shared" si="165"/>
        <v>-5629.7413793103469</v>
      </c>
      <c r="DI26" s="3">
        <f t="shared" si="166"/>
        <v>169523</v>
      </c>
      <c r="DJ26" s="3">
        <f t="shared" si="167"/>
        <v>0</v>
      </c>
      <c r="DK26" s="3">
        <f t="shared" si="51"/>
        <v>169523</v>
      </c>
      <c r="DL26" s="3">
        <f t="shared" si="52"/>
        <v>163893.25862068965</v>
      </c>
      <c r="DM26" s="3">
        <f t="shared" si="53"/>
        <v>169523</v>
      </c>
      <c r="DN26" s="63" t="str">
        <f t="shared" si="54"/>
        <v>UNKNOWN</v>
      </c>
      <c r="DO26" s="63" t="str">
        <f t="shared" si="55"/>
        <v>UNKNOWN</v>
      </c>
      <c r="DP26" s="3">
        <f t="shared" si="56"/>
        <v>-26115.692413793116</v>
      </c>
      <c r="DQ26" s="3">
        <f t="shared" si="57"/>
        <v>1695.23</v>
      </c>
      <c r="DR26" s="3" t="e">
        <f t="shared" ca="1" si="58"/>
        <v>#NUM!</v>
      </c>
      <c r="DS26" s="3">
        <f t="shared" si="59"/>
        <v>0</v>
      </c>
      <c r="DT26" s="3">
        <f t="shared" si="60"/>
        <v>-13061</v>
      </c>
      <c r="DU26" s="3">
        <f t="shared" si="61"/>
        <v>169523</v>
      </c>
      <c r="DV26" s="3">
        <f t="shared" si="62"/>
        <v>-8734</v>
      </c>
      <c r="DW26" s="3">
        <f t="shared" si="23"/>
        <v>34235</v>
      </c>
      <c r="DX26" s="3" t="e">
        <f t="shared" ca="1" si="24"/>
        <v>#NUM!</v>
      </c>
      <c r="DY26" s="3" t="e">
        <f t="shared" ca="1" si="25"/>
        <v>#NUM!</v>
      </c>
      <c r="DZ26" s="3" t="e">
        <f t="shared" ca="1" si="26"/>
        <v>#NUM!</v>
      </c>
      <c r="EA26" s="3" t="e">
        <f t="shared" ca="1" si="27"/>
        <v>#NUM!</v>
      </c>
      <c r="EB26" s="3" t="e">
        <f t="shared" ca="1" si="28"/>
        <v>#NUM!</v>
      </c>
      <c r="EC26" s="3" t="e">
        <f t="shared" ca="1" si="29"/>
        <v>#NUM!</v>
      </c>
      <c r="ED26" s="63">
        <f t="shared" si="63"/>
        <v>25501</v>
      </c>
      <c r="EE26" s="59">
        <f t="shared" si="168"/>
        <v>0.25</v>
      </c>
      <c r="EF26" s="59">
        <f t="shared" si="169"/>
        <v>0.97699999999999998</v>
      </c>
      <c r="EG26" s="59">
        <f t="shared" si="170"/>
        <v>0.25</v>
      </c>
      <c r="EH26" s="59">
        <f t="shared" si="171"/>
        <v>0.97699999999999998</v>
      </c>
      <c r="EI26" s="59">
        <f t="shared" si="172"/>
        <v>0.25</v>
      </c>
      <c r="EJ26" s="59">
        <f t="shared" si="173"/>
        <v>0.34699999999999998</v>
      </c>
      <c r="EK26" s="63" t="e">
        <f t="shared" ca="1" si="65"/>
        <v>#NUM!</v>
      </c>
      <c r="EL26" s="3" t="str">
        <f>RTD("tos.rtd",,EL$2,"."&amp;$A$2&amp;$AS$1&amp;"C"&amp;$A26)</f>
        <v>--</v>
      </c>
      <c r="EM26" s="3" t="str">
        <f>RTD("tos.rtd",,EM$2,"."&amp;$A$2&amp;$AS$1&amp;"P"&amp;$A26)</f>
        <v>97.70%</v>
      </c>
      <c r="EN26" s="3" t="str">
        <f>RTD("tos.rtd",,EN$2,"."&amp;$A$2&amp;$AU$1&amp;"C"&amp;$A26)</f>
        <v>--</v>
      </c>
      <c r="EO26" s="3" t="str">
        <f>RTD("tos.rtd",,EO$2,"."&amp;$A$2&amp;$AU$1&amp;"P"&amp;$A26)</f>
        <v>97.70%</v>
      </c>
      <c r="EP26" s="3" t="str">
        <f>RTD("tos.rtd",,EP$2,"."&amp;$A$2&amp;$AW$1&amp;"C"&amp;$A26)</f>
        <v>--</v>
      </c>
      <c r="EQ26" s="3" t="str">
        <f>RTD("tos.rtd",,EQ$2,"."&amp;$A$2&amp;$AW$1&amp;"P"&amp;$A26)</f>
        <v>34.70%</v>
      </c>
      <c r="ES26" s="63" t="str">
        <f t="shared" si="66"/>
        <v>560,25501.00</v>
      </c>
      <c r="ET26" s="63" t="str">
        <f t="shared" ca="1" si="67"/>
        <v>560,00.00</v>
      </c>
      <c r="EU26" s="67">
        <v>561.15</v>
      </c>
      <c r="EV26" s="67" t="s">
        <v>227</v>
      </c>
      <c r="EW26" s="67">
        <v>483.54</v>
      </c>
      <c r="EX26" s="67" t="s">
        <v>228</v>
      </c>
      <c r="EY26" s="67">
        <v>5631.28</v>
      </c>
      <c r="EZ26" s="67" t="s">
        <v>229</v>
      </c>
      <c r="FA26" s="67">
        <v>19867.973000000002</v>
      </c>
      <c r="FB26" s="67" t="s">
        <v>230</v>
      </c>
      <c r="FC26" s="67" t="s">
        <v>231</v>
      </c>
      <c r="FD26" s="67" t="s">
        <v>232</v>
      </c>
      <c r="FE26" s="67" t="s">
        <v>233</v>
      </c>
      <c r="FF26" s="67" t="s">
        <v>234</v>
      </c>
    </row>
    <row r="27" spans="1:162" s="63" customFormat="1" ht="13.5" thickBot="1" x14ac:dyDescent="0.25">
      <c r="A27" s="2">
        <f t="shared" si="68"/>
        <v>559</v>
      </c>
      <c r="B27" s="3">
        <f t="shared" si="141"/>
        <v>9410</v>
      </c>
      <c r="C27" s="3">
        <f t="shared" si="142"/>
        <v>8994</v>
      </c>
      <c r="D27" s="3">
        <f t="shared" si="143"/>
        <v>5444</v>
      </c>
      <c r="E27" s="3">
        <f t="shared" si="144"/>
        <v>23848</v>
      </c>
      <c r="F27" s="4">
        <f t="shared" si="145"/>
        <v>5624.6493670221153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>
        <v>-3227</v>
      </c>
      <c r="AN27" s="1">
        <v>22609</v>
      </c>
      <c r="AO27" s="1">
        <v>559</v>
      </c>
      <c r="AP27" s="1">
        <v>3618</v>
      </c>
      <c r="AQ27" s="1">
        <v>-81795</v>
      </c>
      <c r="AR27" s="1"/>
      <c r="AS27" s="6">
        <f>IF(RTD("tos.rtd",,AS$2,"."&amp;$A$2&amp;$AS$1&amp;"C"&amp;$A27)="N/A",0,RTD("tos.rtd",,AS$2,"."&amp;$A$2&amp;$AS$1&amp;"C"&amp;$A27))</f>
        <v>3164</v>
      </c>
      <c r="AT27" s="7">
        <f>-IF(RTD("tos.rtd",,AT$2,"."&amp;$A$2&amp;$AS$1&amp;"P"&amp;$A27)="N/A",0,RTD("tos.rtd",,AT$2,"."&amp;$A$2&amp;$AS$1&amp;"P"&amp;$A27))</f>
        <v>-6246</v>
      </c>
      <c r="AU27" s="6">
        <f>IF(RTD("tos.rtd",,AU$2,"."&amp;$A$2&amp;$AU$1&amp;"C"&amp;$A27)="N/A",0,RTD("tos.rtd",,AU$2,"."&amp;$A$2&amp;$AU$1&amp;"C"&amp;$A27))</f>
        <v>4022</v>
      </c>
      <c r="AV27" s="7">
        <f>-IF(RTD("tos.rtd",,AV$2,"."&amp;$A$2&amp;$AU$1&amp;"P"&amp;$A27)="N/A",0,RTD("tos.rtd",,AV$2,"."&amp;$A$2&amp;$AU$1&amp;"P"&amp;$A27))</f>
        <v>-4972</v>
      </c>
      <c r="AW27" s="6">
        <f>IF(RTD("tos.rtd",,AW$2,"."&amp;$A$2&amp;$AW$1&amp;"C"&amp;$A27)="N/A",0,RTD("tos.rtd",,AW$2,"."&amp;$A$2&amp;$AW$1&amp;"C"&amp;$A27))</f>
        <v>3305</v>
      </c>
      <c r="AX27" s="7">
        <f>-IF(RTD("tos.rtd",,AX$2,"."&amp;$A$2&amp;$AW$1&amp;"P"&amp;$A27)="N/A",0,RTD("tos.rtd",,AX$2,"."&amp;$A$2&amp;$AW$1&amp;"P"&amp;$A27))</f>
        <v>-2139</v>
      </c>
      <c r="AY27" s="1">
        <f t="shared" si="146"/>
        <v>-2866</v>
      </c>
      <c r="AZ27" s="8">
        <f t="shared" si="35"/>
        <v>559</v>
      </c>
      <c r="BA27" s="6">
        <f>IF(RTD("tos.rtd",,BA$2,"."&amp;$A$2&amp;$AS$1&amp;"C"&amp;$A27)="N/A",0,RTD("tos.rtd",,BA$2,"."&amp;$A$2&amp;$AS$1&amp;"C"&amp;$A27))</f>
        <v>0</v>
      </c>
      <c r="BB27" s="7">
        <f>-IF(RTD("tos.rtd",,BB$2,"."&amp;$A$2&amp;$AS$1&amp;"P"&amp;$A27)="N/A",0,RTD("tos.rtd",,BB$2,"."&amp;$A$2&amp;$AS$1&amp;"P"&amp;$A27))</f>
        <v>0</v>
      </c>
      <c r="BC27" s="6">
        <f>IF(RTD("tos.rtd",,BC$2,"."&amp;$A$2&amp;$AU$1&amp;"C"&amp;$A27)="N/A",0,RTD("tos.rtd",,BC$2,"."&amp;$A$2&amp;$AU$1&amp;"C"&amp;$A27))</f>
        <v>3494</v>
      </c>
      <c r="BD27" s="7">
        <f>-IF(RTD("tos.rtd",,BD$2,"."&amp;$A$2&amp;$AU$1&amp;"P"&amp;$A27)="N/A",0,RTD("tos.rtd",,BD$2,"."&amp;$A$2&amp;$AU$1&amp;"P"&amp;$A27))</f>
        <v>-74152</v>
      </c>
      <c r="BE27" s="6">
        <f>IF(RTD("tos.rtd",,BE$2,"."&amp;$A$2&amp;$AW$1&amp;"C"&amp;$A27)="N/A",0,RTD("tos.rtd",,BE$2,"."&amp;$A$2&amp;$AW$1&amp;"C"&amp;$A27))</f>
        <v>294</v>
      </c>
      <c r="BF27" s="83">
        <f>-IF(RTD("tos.rtd",,BF$2,"."&amp;$A$2&amp;$AW$1&amp;"P"&amp;$A27)="N/A",0,RTD("tos.rtd",,BF$2,"."&amp;$A$2&amp;$AW$1&amp;"P"&amp;$A27))</f>
        <v>-2605</v>
      </c>
      <c r="BG27" s="32">
        <f ca="1">+Hoja2!Y28</f>
        <v>-1242</v>
      </c>
      <c r="BH27" s="7">
        <f t="shared" ca="1" si="36"/>
        <v>-74211</v>
      </c>
      <c r="BI27" s="8" t="str">
        <f t="shared" ref="BI27" ca="1" si="180">IF(AND(BH27&lt;0,BH26&gt;0), "Cruce -", IF(AND(BH27&gt;0,BH26&lt;0),"Cruce +", ""))</f>
        <v/>
      </c>
      <c r="BJ27" s="3" t="e">
        <f ca="1">IF($BP$1=1,DX27,IF(RTD("tos.rtd",,BJ$2,"."&amp;$A$2&amp;$AS$1&amp;"C"&amp;$A27)="N/A",0,RTD("tos.rtd",,BJ$2,"."&amp;$A$2&amp;$AS$1&amp;"C"&amp;$A27)))</f>
        <v>#NUM!</v>
      </c>
      <c r="BK27" s="3" t="e">
        <f ca="1">IF($BP$1=1,DY27,-IF(RTD("tos.rtd",,BK$2,"."&amp;$A$2&amp;$AS$1&amp;"P"&amp;$A27)="N/A",0,RTD("tos.rtd",,BK$2,"."&amp;$A$2&amp;$AS$1&amp;"P"&amp;$A27)))</f>
        <v>#NUM!</v>
      </c>
      <c r="BL27" s="3" t="e">
        <f ca="1">IF($BP$1=1,DZ27,IF(RTD("tos.rtd",,BL$2,"."&amp;$A$2&amp;$AU$1&amp;"C"&amp;$A27)="N/A",0,RTD("tos.rtd",,BL$2,"."&amp;$A$2&amp;$AU$1&amp;"C"&amp;$A27)))</f>
        <v>#NUM!</v>
      </c>
      <c r="BM27" s="3" t="e">
        <f ca="1">IF($BP$1=1,EA27,-IF(RTD("tos.rtd",,BM$2,"."&amp;$A$2&amp;$AU$1&amp;"P"&amp;$A27)="N/A",0,RTD("tos.rtd",,BM$2,"."&amp;$A$2&amp;$AU$1&amp;"P"&amp;$A27)))</f>
        <v>#NUM!</v>
      </c>
      <c r="BN27" s="3" t="e">
        <f ca="1">IF($BP$1=1,EB27,IF(RTD("tos.rtd",,BN$2,"."&amp;$A$2&amp;$AW$1&amp;"C"&amp;$A27)="N/A",0,RTD("tos.rtd",,BN$2,"."&amp;$A$2&amp;$AW$1&amp;"C"&amp;$A27)))</f>
        <v>#NUM!</v>
      </c>
      <c r="BO27" s="3" t="e">
        <f ca="1">IF($BP$1=1,EC27,-IF(RTD("tos.rtd",,BO$2,"."&amp;$A$2&amp;$AW$1&amp;"P"&amp;$A27)="N/A",0,RTD("tos.rtd",,BO$2,"."&amp;$A$2&amp;$AW$1&amp;"P"&amp;$A27)))</f>
        <v>#NUM!</v>
      </c>
      <c r="BQ27" s="3" t="e">
        <f t="shared" ca="1" si="148"/>
        <v>#NUM!</v>
      </c>
      <c r="BR27" s="3" t="e">
        <f t="shared" ca="1" si="71"/>
        <v>#NUM!</v>
      </c>
      <c r="BS27" s="3" t="e">
        <f t="shared" ca="1" si="149"/>
        <v>#NUM!</v>
      </c>
      <c r="BT27" s="3" t="e">
        <f t="shared" ca="1" si="71"/>
        <v>#NUM!</v>
      </c>
      <c r="BU27" s="3" t="e">
        <f t="shared" ca="1" si="150"/>
        <v>#NUM!</v>
      </c>
      <c r="BV27" s="3" t="e">
        <f t="shared" ref="BV27" ca="1" si="181">IF(AND(BU27&lt;0,BU26&gt;0), "Cruce -", IF(AND(BU27&gt;0,BU26&lt;0),"Cruce +", ""))</f>
        <v>#NUM!</v>
      </c>
      <c r="BX27" s="3" t="e">
        <f t="shared" ca="1" si="152"/>
        <v>#NUM!</v>
      </c>
      <c r="BY27" s="3" t="e">
        <f t="shared" ca="1" si="73"/>
        <v>#NUM!</v>
      </c>
      <c r="BZ27" s="3" t="e">
        <f t="shared" ca="1" si="153"/>
        <v>#NUM!</v>
      </c>
      <c r="CA27" s="3" t="e">
        <f t="shared" ca="1" si="74"/>
        <v>#NUM!</v>
      </c>
      <c r="CB27" s="3" t="e">
        <f t="shared" ca="1" si="154"/>
        <v>#NUM!</v>
      </c>
      <c r="CC27" s="3" t="e">
        <f t="shared" ca="1" si="75"/>
        <v>#NUM!</v>
      </c>
      <c r="CD27" s="3">
        <f>IF(RTD("tos.rtd",,CD$2,"."&amp;$A$2&amp;$AS$1&amp;"C"&amp;$A27)="N/A",0,RTD("tos.rtd",,CD$2,"."&amp;$A$2&amp;$AS$1&amp;"C"&amp;$A27))</f>
        <v>1</v>
      </c>
      <c r="CE27" s="3">
        <f>-IF(RTD("tos.rtd",,CE$2,"."&amp;$A$2&amp;$AS$1&amp;"P"&amp;$A27)="N/A",0,RTD("tos.rtd",,CE$2,"."&amp;$A$2&amp;$AS$1&amp;"P"&amp;$A27))</f>
        <v>0</v>
      </c>
      <c r="CF27" s="3">
        <f>IF(RTD("tos.rtd",,CF$2,"."&amp;$A$2&amp;$AU$1&amp;"C"&amp;$A27)="N/A",0,RTD("tos.rtd",,CF$2,"."&amp;$A$2&amp;$AU$1&amp;"C"&amp;$A27))</f>
        <v>1</v>
      </c>
      <c r="CG27" s="3">
        <f>-IF(RTD("tos.rtd",,CG$2,"."&amp;$A$2&amp;$AU$1&amp;"P"&amp;$A27)="N/A",0,RTD("tos.rtd",,CG$2,"."&amp;$A$2&amp;$AU$1&amp;"P"&amp;$A27))</f>
        <v>0</v>
      </c>
      <c r="CH27" s="3">
        <f>IF(RTD("tos.rtd",,CH$2,"."&amp;$A$2&amp;$AW$1&amp;"C"&amp;$A27)="N/A",0,RTD("tos.rtd",,CH$2,"."&amp;$A$2&amp;$AW$1&amp;"C"&amp;$A27))</f>
        <v>1</v>
      </c>
      <c r="CI27" s="3">
        <f>-IF(RTD("tos.rtd",,CI$2,"."&amp;$A$2&amp;$AW$1&amp;"P"&amp;$A27)="N/A",0,RTD("tos.rtd",,CI$2,"."&amp;$A$2&amp;$AW$1&amp;"P"&amp;$A27))</f>
        <v>0.28000000000000003</v>
      </c>
      <c r="CK27" s="3">
        <f t="shared" si="155"/>
        <v>316400</v>
      </c>
      <c r="CL27" s="3"/>
      <c r="CM27" s="3">
        <f t="shared" si="156"/>
        <v>402200</v>
      </c>
      <c r="CN27" s="3"/>
      <c r="CO27" s="3">
        <f t="shared" si="157"/>
        <v>270608</v>
      </c>
      <c r="CP27" s="3">
        <f t="shared" si="158"/>
        <v>989208</v>
      </c>
      <c r="CQ27" s="3">
        <f t="shared" si="159"/>
        <v>0</v>
      </c>
      <c r="CR27" s="3"/>
      <c r="CS27" s="3">
        <f t="shared" si="160"/>
        <v>-70658</v>
      </c>
      <c r="CT27" s="3"/>
      <c r="CU27" s="3">
        <f t="shared" si="161"/>
        <v>-2311</v>
      </c>
      <c r="CV27" s="3">
        <f t="shared" si="162"/>
        <v>-72969</v>
      </c>
      <c r="CW27" s="3" t="e">
        <f t="shared" ca="1" si="163"/>
        <v>#NUM!</v>
      </c>
      <c r="CX27" s="85" t="e">
        <f t="shared" ca="1" si="76"/>
        <v>#NUM!</v>
      </c>
      <c r="CY27" s="3" t="e">
        <f t="shared" ca="1" si="164"/>
        <v>#NUM!</v>
      </c>
      <c r="CZ27" s="85" t="e">
        <f t="shared" ca="1" si="77"/>
        <v>#NUM!</v>
      </c>
      <c r="DA27" s="3">
        <f>IF(RTD("tos.rtd",,DA$2,"."&amp;$A$2&amp;$AS$1&amp;"C"&amp;$A27)="N/A",0,RTD("tos.rtd",,DA$2,"."&amp;$A$2&amp;$AS$1&amp;"C"&amp;$A27))</f>
        <v>6.42</v>
      </c>
      <c r="DB27" s="3">
        <f>IF(RTD("tos.rtd",,DB$2,"."&amp;$A$2&amp;$AS$1&amp;"P"&amp;$A27)="N/A",0,RTD("tos.rtd",,DB$2,"."&amp;$A$2&amp;$AS$1&amp;"P"&amp;$A27))</f>
        <v>0.01</v>
      </c>
      <c r="DC27" s="3">
        <f>IF(RTD("tos.rtd",,DC$2,"."&amp;$A$2&amp;$AS$1&amp;"C"&amp;$A27)="N/A",0,RTD("tos.rtd",,DC$2,"."&amp;$A$2&amp;$AS$1&amp;"C"&amp;$A27))</f>
        <v>6.9</v>
      </c>
      <c r="DD27" s="3">
        <f>IF(RTD("tos.rtd",,DD$2,"."&amp;$A$2&amp;$AS$1&amp;"P"&amp;$A27)="N/A",0,RTD("tos.rtd",,DD$2,"."&amp;$A$2&amp;$AS$1&amp;"P"&amp;$A27))</f>
        <v>0.01</v>
      </c>
      <c r="DE27" s="3">
        <f>IF(RTD("tos.rtd",,DE$2,"."&amp;$A$2&amp;$AS$1&amp;"C"&amp;$A27)="N/A",0,RTD("tos.rtd",,DE$2,"."&amp;$A$2&amp;$AS$1&amp;"C"&amp;$A27))</f>
        <v>4.99</v>
      </c>
      <c r="DF27" s="3">
        <f>IF(RTD("tos.rtd",,DF$2,"."&amp;$A$2&amp;$AS$1&amp;"P"&amp;$A27)="N/A",0,RTD("tos.rtd",,DF$2,"."&amp;$A$2&amp;$AS$1&amp;"P"&amp;$A27))</f>
        <v>0</v>
      </c>
      <c r="DG27" s="86">
        <f t="shared" si="48"/>
        <v>-12.110000000000014</v>
      </c>
      <c r="DH27" s="3">
        <f t="shared" si="165"/>
        <v>-2708.7643979057584</v>
      </c>
      <c r="DI27" s="3">
        <f t="shared" si="166"/>
        <v>81795</v>
      </c>
      <c r="DJ27" s="3">
        <f t="shared" si="167"/>
        <v>-3618</v>
      </c>
      <c r="DK27" s="3">
        <f t="shared" si="51"/>
        <v>81795</v>
      </c>
      <c r="DL27" s="3">
        <f t="shared" si="52"/>
        <v>79086.235602094239</v>
      </c>
      <c r="DM27" s="3">
        <f t="shared" si="53"/>
        <v>78177</v>
      </c>
      <c r="DN27" s="63" t="str">
        <f t="shared" si="54"/>
        <v>UNKNOWN</v>
      </c>
      <c r="DO27" s="63" t="str">
        <f t="shared" si="55"/>
        <v>UNKNOWN</v>
      </c>
      <c r="DP27" s="3">
        <f t="shared" si="56"/>
        <v>-16572.317434554967</v>
      </c>
      <c r="DQ27" s="3">
        <f t="shared" si="57"/>
        <v>-22409.61</v>
      </c>
      <c r="DR27" s="3" t="e">
        <f t="shared" ca="1" si="58"/>
        <v>#NUM!</v>
      </c>
      <c r="DS27" s="3">
        <f t="shared" si="59"/>
        <v>-3618</v>
      </c>
      <c r="DT27" s="3">
        <f t="shared" si="60"/>
        <v>-3618</v>
      </c>
      <c r="DU27" s="3">
        <f t="shared" si="61"/>
        <v>81795</v>
      </c>
      <c r="DV27" s="3">
        <f t="shared" si="62"/>
        <v>-3227</v>
      </c>
      <c r="DW27" s="3">
        <f t="shared" si="23"/>
        <v>22609</v>
      </c>
      <c r="DX27" s="3" t="e">
        <f t="shared" ca="1" si="24"/>
        <v>#NUM!</v>
      </c>
      <c r="DY27" s="3" t="e">
        <f t="shared" ca="1" si="25"/>
        <v>#NUM!</v>
      </c>
      <c r="DZ27" s="3" t="e">
        <f t="shared" ca="1" si="26"/>
        <v>#NUM!</v>
      </c>
      <c r="EA27" s="3" t="e">
        <f t="shared" ca="1" si="27"/>
        <v>#NUM!</v>
      </c>
      <c r="EB27" s="3" t="e">
        <f t="shared" ca="1" si="28"/>
        <v>#NUM!</v>
      </c>
      <c r="EC27" s="3" t="e">
        <f t="shared" ca="1" si="29"/>
        <v>#NUM!</v>
      </c>
      <c r="ED27" s="63">
        <f t="shared" si="63"/>
        <v>19382</v>
      </c>
      <c r="EE27" s="59">
        <f t="shared" si="168"/>
        <v>0.25</v>
      </c>
      <c r="EF27" s="59">
        <f t="shared" si="169"/>
        <v>1.0565</v>
      </c>
      <c r="EG27" s="59">
        <f t="shared" si="170"/>
        <v>0.25</v>
      </c>
      <c r="EH27" s="59">
        <f t="shared" si="171"/>
        <v>1.0565</v>
      </c>
      <c r="EI27" s="59">
        <f t="shared" si="172"/>
        <v>0.25</v>
      </c>
      <c r="EJ27" s="59">
        <f t="shared" si="173"/>
        <v>0.3453</v>
      </c>
      <c r="EK27" s="63" t="e">
        <f t="shared" ca="1" si="65"/>
        <v>#NUM!</v>
      </c>
      <c r="EL27" s="3" t="str">
        <f>RTD("tos.rtd",,EL$2,"."&amp;$A$2&amp;$AS$1&amp;"C"&amp;$A27)</f>
        <v>--</v>
      </c>
      <c r="EM27" s="3" t="str">
        <f>RTD("tos.rtd",,EM$2,"."&amp;$A$2&amp;$AS$1&amp;"P"&amp;$A27)</f>
        <v>105.65%</v>
      </c>
      <c r="EN27" s="3" t="str">
        <f>RTD("tos.rtd",,EN$2,"."&amp;$A$2&amp;$AU$1&amp;"C"&amp;$A27)</f>
        <v>--</v>
      </c>
      <c r="EO27" s="3" t="str">
        <f>RTD("tos.rtd",,EO$2,"."&amp;$A$2&amp;$AU$1&amp;"P"&amp;$A27)</f>
        <v>105.65%</v>
      </c>
      <c r="EP27" s="3" t="str">
        <f>RTD("tos.rtd",,EP$2,"."&amp;$A$2&amp;$AW$1&amp;"C"&amp;$A27)</f>
        <v>--</v>
      </c>
      <c r="EQ27" s="3" t="str">
        <f>RTD("tos.rtd",,EQ$2,"."&amp;$A$2&amp;$AW$1&amp;"P"&amp;$A27)</f>
        <v>34.53%</v>
      </c>
      <c r="ES27" s="63" t="str">
        <f t="shared" si="66"/>
        <v>559,19382.00</v>
      </c>
      <c r="ET27" s="63" t="str">
        <f t="shared" ca="1" si="67"/>
        <v>559,00.00</v>
      </c>
      <c r="EU27" s="67">
        <v>561.16999999999996</v>
      </c>
      <c r="EV27" s="67" t="s">
        <v>235</v>
      </c>
      <c r="EW27" s="67">
        <v>483.58</v>
      </c>
      <c r="EX27" s="67" t="s">
        <v>236</v>
      </c>
      <c r="EY27" s="67">
        <v>5631.28</v>
      </c>
      <c r="EZ27" s="67" t="s">
        <v>237</v>
      </c>
      <c r="FA27" s="67">
        <v>19867.973000000002</v>
      </c>
      <c r="FB27" s="67" t="s">
        <v>238</v>
      </c>
      <c r="FC27" s="67" t="s">
        <v>239</v>
      </c>
      <c r="FD27" s="67" t="s">
        <v>240</v>
      </c>
      <c r="FE27" s="67" t="s">
        <v>241</v>
      </c>
      <c r="FF27" s="67" t="s">
        <v>242</v>
      </c>
    </row>
    <row r="28" spans="1:162" s="63" customFormat="1" ht="13.5" thickBot="1" x14ac:dyDescent="0.25">
      <c r="A28" s="2">
        <f t="shared" si="68"/>
        <v>558</v>
      </c>
      <c r="B28" s="3">
        <f t="shared" si="141"/>
        <v>9221</v>
      </c>
      <c r="C28" s="3">
        <f t="shared" si="142"/>
        <v>9593</v>
      </c>
      <c r="D28" s="3">
        <f t="shared" si="143"/>
        <v>15635</v>
      </c>
      <c r="E28" s="3">
        <f t="shared" si="144"/>
        <v>34449</v>
      </c>
      <c r="F28" s="4">
        <f t="shared" si="145"/>
        <v>5614.5873824657247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>
        <v>-6559</v>
      </c>
      <c r="AN28" s="1">
        <v>-13404</v>
      </c>
      <c r="AO28" s="1">
        <v>558</v>
      </c>
      <c r="AP28" s="1">
        <v>3013</v>
      </c>
      <c r="AQ28" s="1">
        <v>-65721</v>
      </c>
      <c r="AR28" s="1"/>
      <c r="AS28" s="6">
        <f>IF(RTD("tos.rtd",,AS$2,"."&amp;$A$2&amp;$AS$1&amp;"C"&amp;$A28)="N/A",0,RTD("tos.rtd",,AS$2,"."&amp;$A$2&amp;$AS$1&amp;"C"&amp;$A28))</f>
        <v>2546</v>
      </c>
      <c r="AT28" s="7">
        <f>-IF(RTD("tos.rtd",,AT$2,"."&amp;$A$2&amp;$AS$1&amp;"P"&amp;$A28)="N/A",0,RTD("tos.rtd",,AT$2,"."&amp;$A$2&amp;$AS$1&amp;"P"&amp;$A28))</f>
        <v>-6675</v>
      </c>
      <c r="AU28" s="6">
        <f>IF(RTD("tos.rtd",,AU$2,"."&amp;$A$2&amp;$AU$1&amp;"C"&amp;$A28)="N/A",0,RTD("tos.rtd",,AU$2,"."&amp;$A$2&amp;$AU$1&amp;"C"&amp;$A28))</f>
        <v>1849</v>
      </c>
      <c r="AV28" s="7">
        <f>-IF(RTD("tos.rtd",,AV$2,"."&amp;$A$2&amp;$AU$1&amp;"P"&amp;$A28)="N/A",0,RTD("tos.rtd",,AV$2,"."&amp;$A$2&amp;$AU$1&amp;"P"&amp;$A28))</f>
        <v>-7744</v>
      </c>
      <c r="AW28" s="6">
        <f>IF(RTD("tos.rtd",,AW$2,"."&amp;$A$2&amp;$AW$1&amp;"C"&amp;$A28)="N/A",0,RTD("tos.rtd",,AW$2,"."&amp;$A$2&amp;$AW$1&amp;"C"&amp;$A28))</f>
        <v>11331</v>
      </c>
      <c r="AX28" s="7">
        <f>-IF(RTD("tos.rtd",,AX$2,"."&amp;$A$2&amp;$AW$1&amp;"P"&amp;$A28)="N/A",0,RTD("tos.rtd",,AX$2,"."&amp;$A$2&amp;$AW$1&amp;"P"&amp;$A28))</f>
        <v>-4304</v>
      </c>
      <c r="AY28" s="1">
        <f t="shared" si="146"/>
        <v>-2997</v>
      </c>
      <c r="AZ28" s="8">
        <f t="shared" si="35"/>
        <v>558</v>
      </c>
      <c r="BA28" s="6">
        <f>IF(RTD("tos.rtd",,BA$2,"."&amp;$A$2&amp;$AS$1&amp;"C"&amp;$A28)="N/A",0,RTD("tos.rtd",,BA$2,"."&amp;$A$2&amp;$AS$1&amp;"C"&amp;$A28))</f>
        <v>0</v>
      </c>
      <c r="BB28" s="7">
        <f>-IF(RTD("tos.rtd",,BB$2,"."&amp;$A$2&amp;$AS$1&amp;"P"&amp;$A28)="N/A",0,RTD("tos.rtd",,BB$2,"."&amp;$A$2&amp;$AS$1&amp;"P"&amp;$A28))</f>
        <v>0</v>
      </c>
      <c r="BC28" s="6">
        <f>IF(RTD("tos.rtd",,BC$2,"."&amp;$A$2&amp;$AU$1&amp;"C"&amp;$A28)="N/A",0,RTD("tos.rtd",,BC$2,"."&amp;$A$2&amp;$AU$1&amp;"C"&amp;$A28))</f>
        <v>1075</v>
      </c>
      <c r="BD28" s="7">
        <f>-IF(RTD("tos.rtd",,BD$2,"."&amp;$A$2&amp;$AU$1&amp;"P"&amp;$A28)="N/A",0,RTD("tos.rtd",,BD$2,"."&amp;$A$2&amp;$AU$1&amp;"P"&amp;$A28))</f>
        <v>-46685</v>
      </c>
      <c r="BE28" s="6">
        <f>IF(RTD("tos.rtd",,BE$2,"."&amp;$A$2&amp;$AW$1&amp;"C"&amp;$A28)="N/A",0,RTD("tos.rtd",,BE$2,"."&amp;$A$2&amp;$AW$1&amp;"C"&amp;$A28))</f>
        <v>295</v>
      </c>
      <c r="BF28" s="83">
        <f>-IF(RTD("tos.rtd",,BF$2,"."&amp;$A$2&amp;$AW$1&amp;"P"&amp;$A28)="N/A",0,RTD("tos.rtd",,BF$2,"."&amp;$A$2&amp;$AW$1&amp;"P"&amp;$A28))</f>
        <v>-2033</v>
      </c>
      <c r="BG28" s="32">
        <f ca="1">+Hoja2!Y29</f>
        <v>-1123</v>
      </c>
      <c r="BH28" s="7">
        <f t="shared" ca="1" si="36"/>
        <v>-48471</v>
      </c>
      <c r="BI28" s="8" t="str">
        <f t="shared" ref="BI28" ca="1" si="182">IF(AND(BH28&lt;0,BH27&gt;0), "Cruce -", IF(AND(BH28&gt;0,BH27&lt;0),"Cruce +", ""))</f>
        <v/>
      </c>
      <c r="BJ28" s="3" t="e">
        <f ca="1">IF($BP$1=1,DX28,IF(RTD("tos.rtd",,BJ$2,"."&amp;$A$2&amp;$AS$1&amp;"C"&amp;$A28)="N/A",0,RTD("tos.rtd",,BJ$2,"."&amp;$A$2&amp;$AS$1&amp;"C"&amp;$A28)))</f>
        <v>#NUM!</v>
      </c>
      <c r="BK28" s="3" t="e">
        <f ca="1">IF($BP$1=1,DY28,-IF(RTD("tos.rtd",,BK$2,"."&amp;$A$2&amp;$AS$1&amp;"P"&amp;$A28)="N/A",0,RTD("tos.rtd",,BK$2,"."&amp;$A$2&amp;$AS$1&amp;"P"&amp;$A28)))</f>
        <v>#NUM!</v>
      </c>
      <c r="BL28" s="3" t="e">
        <f ca="1">IF($BP$1=1,DZ28,IF(RTD("tos.rtd",,BL$2,"."&amp;$A$2&amp;$AU$1&amp;"C"&amp;$A28)="N/A",0,RTD("tos.rtd",,BL$2,"."&amp;$A$2&amp;$AU$1&amp;"C"&amp;$A28)))</f>
        <v>#NUM!</v>
      </c>
      <c r="BM28" s="3" t="e">
        <f ca="1">IF($BP$1=1,EA28,-IF(RTD("tos.rtd",,BM$2,"."&amp;$A$2&amp;$AU$1&amp;"P"&amp;$A28)="N/A",0,RTD("tos.rtd",,BM$2,"."&amp;$A$2&amp;$AU$1&amp;"P"&amp;$A28)))</f>
        <v>#NUM!</v>
      </c>
      <c r="BN28" s="3" t="e">
        <f ca="1">IF($BP$1=1,EB28,IF(RTD("tos.rtd",,BN$2,"."&amp;$A$2&amp;$AW$1&amp;"C"&amp;$A28)="N/A",0,RTD("tos.rtd",,BN$2,"."&amp;$A$2&amp;$AW$1&amp;"C"&amp;$A28)))</f>
        <v>#NUM!</v>
      </c>
      <c r="BO28" s="3" t="e">
        <f ca="1">IF($BP$1=1,EC28,-IF(RTD("tos.rtd",,BO$2,"."&amp;$A$2&amp;$AW$1&amp;"P"&amp;$A28)="N/A",0,RTD("tos.rtd",,BO$2,"."&amp;$A$2&amp;$AW$1&amp;"P"&amp;$A28)))</f>
        <v>#NUM!</v>
      </c>
      <c r="BQ28" s="3" t="e">
        <f t="shared" ca="1" si="148"/>
        <v>#NUM!</v>
      </c>
      <c r="BR28" s="3" t="e">
        <f t="shared" ca="1" si="71"/>
        <v>#NUM!</v>
      </c>
      <c r="BS28" s="3" t="e">
        <f t="shared" ca="1" si="149"/>
        <v>#NUM!</v>
      </c>
      <c r="BT28" s="3" t="e">
        <f t="shared" ca="1" si="71"/>
        <v>#NUM!</v>
      </c>
      <c r="BU28" s="3" t="e">
        <f t="shared" ca="1" si="150"/>
        <v>#NUM!</v>
      </c>
      <c r="BV28" s="3" t="e">
        <f t="shared" ref="BV28" ca="1" si="183">IF(AND(BU28&lt;0,BU27&gt;0), "Cruce -", IF(AND(BU28&gt;0,BU27&lt;0),"Cruce +", ""))</f>
        <v>#NUM!</v>
      </c>
      <c r="BX28" s="3" t="e">
        <f t="shared" ca="1" si="152"/>
        <v>#NUM!</v>
      </c>
      <c r="BY28" s="3" t="e">
        <f t="shared" ca="1" si="73"/>
        <v>#NUM!</v>
      </c>
      <c r="BZ28" s="3" t="e">
        <f t="shared" ca="1" si="153"/>
        <v>#NUM!</v>
      </c>
      <c r="CA28" s="3" t="e">
        <f t="shared" ca="1" si="74"/>
        <v>#NUM!</v>
      </c>
      <c r="CB28" s="3" t="e">
        <f t="shared" ca="1" si="154"/>
        <v>#NUM!</v>
      </c>
      <c r="CC28" s="3" t="e">
        <f t="shared" ca="1" si="75"/>
        <v>#NUM!</v>
      </c>
      <c r="CD28" s="3">
        <f>IF(RTD("tos.rtd",,CD$2,"."&amp;$A$2&amp;$AS$1&amp;"C"&amp;$A28)="N/A",0,RTD("tos.rtd",,CD$2,"."&amp;$A$2&amp;$AS$1&amp;"C"&amp;$A28))</f>
        <v>1</v>
      </c>
      <c r="CE28" s="3">
        <f>-IF(RTD("tos.rtd",,CE$2,"."&amp;$A$2&amp;$AS$1&amp;"P"&amp;$A28)="N/A",0,RTD("tos.rtd",,CE$2,"."&amp;$A$2&amp;$AS$1&amp;"P"&amp;$A28))</f>
        <v>0</v>
      </c>
      <c r="CF28" s="3">
        <f>IF(RTD("tos.rtd",,CF$2,"."&amp;$A$2&amp;$AU$1&amp;"C"&amp;$A28)="N/A",0,RTD("tos.rtd",,CF$2,"."&amp;$A$2&amp;$AU$1&amp;"C"&amp;$A28))</f>
        <v>1</v>
      </c>
      <c r="CG28" s="3">
        <f>-IF(RTD("tos.rtd",,CG$2,"."&amp;$A$2&amp;$AU$1&amp;"P"&amp;$A28)="N/A",0,RTD("tos.rtd",,CG$2,"."&amp;$A$2&amp;$AU$1&amp;"P"&amp;$A28))</f>
        <v>0</v>
      </c>
      <c r="CH28" s="3">
        <f>IF(RTD("tos.rtd",,CH$2,"."&amp;$A$2&amp;$AW$1&amp;"C"&amp;$A28)="N/A",0,RTD("tos.rtd",,CH$2,"."&amp;$A$2&amp;$AW$1&amp;"C"&amp;$A28))</f>
        <v>1</v>
      </c>
      <c r="CI28" s="3">
        <f>-IF(RTD("tos.rtd",,CI$2,"."&amp;$A$2&amp;$AW$1&amp;"P"&amp;$A28)="N/A",0,RTD("tos.rtd",,CI$2,"."&amp;$A$2&amp;$AW$1&amp;"P"&amp;$A28))</f>
        <v>0.27</v>
      </c>
      <c r="CK28" s="3">
        <f t="shared" si="155"/>
        <v>254600</v>
      </c>
      <c r="CL28" s="3"/>
      <c r="CM28" s="3">
        <f t="shared" si="156"/>
        <v>184900</v>
      </c>
      <c r="CN28" s="3"/>
      <c r="CO28" s="3">
        <f t="shared" si="157"/>
        <v>1016892</v>
      </c>
      <c r="CP28" s="3">
        <f t="shared" si="158"/>
        <v>1456392</v>
      </c>
      <c r="CQ28" s="3">
        <f t="shared" si="159"/>
        <v>0</v>
      </c>
      <c r="CR28" s="3"/>
      <c r="CS28" s="3">
        <f t="shared" si="160"/>
        <v>-45610</v>
      </c>
      <c r="CT28" s="3"/>
      <c r="CU28" s="3">
        <f t="shared" si="161"/>
        <v>-1738</v>
      </c>
      <c r="CV28" s="3">
        <f t="shared" si="162"/>
        <v>-47348</v>
      </c>
      <c r="CW28" s="3" t="e">
        <f t="shared" ca="1" si="163"/>
        <v>#NUM!</v>
      </c>
      <c r="CX28" s="85" t="e">
        <f t="shared" ca="1" si="76"/>
        <v>#NUM!</v>
      </c>
      <c r="CY28" s="3" t="e">
        <f t="shared" ca="1" si="164"/>
        <v>#NUM!</v>
      </c>
      <c r="CZ28" s="85" t="e">
        <f t="shared" ca="1" si="77"/>
        <v>#NUM!</v>
      </c>
      <c r="DA28" s="3">
        <f>IF(RTD("tos.rtd",,DA$2,"."&amp;$A$2&amp;$AS$1&amp;"C"&amp;$A28)="N/A",0,RTD("tos.rtd",,DA$2,"."&amp;$A$2&amp;$AS$1&amp;"C"&amp;$A28))</f>
        <v>7.53</v>
      </c>
      <c r="DB28" s="3">
        <f>IF(RTD("tos.rtd",,DB$2,"."&amp;$A$2&amp;$AS$1&amp;"P"&amp;$A28)="N/A",0,RTD("tos.rtd",,DB$2,"."&amp;$A$2&amp;$AS$1&amp;"P"&amp;$A28))</f>
        <v>0.01</v>
      </c>
      <c r="DC28" s="3">
        <f>IF(RTD("tos.rtd",,DC$2,"."&amp;$A$2&amp;$AS$1&amp;"C"&amp;$A28)="N/A",0,RTD("tos.rtd",,DC$2,"."&amp;$A$2&amp;$AS$1&amp;"C"&amp;$A28))</f>
        <v>6.93</v>
      </c>
      <c r="DD28" s="3">
        <f>IF(RTD("tos.rtd",,DD$2,"."&amp;$A$2&amp;$AS$1&amp;"P"&amp;$A28)="N/A",0,RTD("tos.rtd",,DD$2,"."&amp;$A$2&amp;$AS$1&amp;"P"&amp;$A28))</f>
        <v>0.01</v>
      </c>
      <c r="DE28" s="3">
        <f>IF(RTD("tos.rtd",,DE$2,"."&amp;$A$2&amp;$AS$1&amp;"C"&amp;$A28)="N/A",0,RTD("tos.rtd",,DE$2,"."&amp;$A$2&amp;$AS$1&amp;"C"&amp;$A28))</f>
        <v>5.99</v>
      </c>
      <c r="DF28" s="3">
        <f>IF(RTD("tos.rtd",,DF$2,"."&amp;$A$2&amp;$AS$1&amp;"P"&amp;$A28)="N/A",0,RTD("tos.rtd",,DF$2,"."&amp;$A$2&amp;$AS$1&amp;"P"&amp;$A28))</f>
        <v>0</v>
      </c>
      <c r="DG28" s="86">
        <f t="shared" si="48"/>
        <v>-13.110000000000014</v>
      </c>
      <c r="DH28" s="3">
        <f t="shared" si="165"/>
        <v>-4936.191489361705</v>
      </c>
      <c r="DI28" s="3">
        <f t="shared" si="166"/>
        <v>65721</v>
      </c>
      <c r="DJ28" s="3">
        <f t="shared" si="167"/>
        <v>-3013</v>
      </c>
      <c r="DK28" s="3">
        <f t="shared" si="51"/>
        <v>65721</v>
      </c>
      <c r="DL28" s="3">
        <f t="shared" si="52"/>
        <v>60784.808510638293</v>
      </c>
      <c r="DM28" s="3">
        <f t="shared" si="53"/>
        <v>62708</v>
      </c>
      <c r="DN28" s="63" t="str">
        <f t="shared" si="54"/>
        <v>UNKNOWN</v>
      </c>
      <c r="DO28" s="63" t="str">
        <f t="shared" si="55"/>
        <v>UNKNOWN</v>
      </c>
      <c r="DP28" s="3">
        <f t="shared" si="56"/>
        <v>-36512.311914893638</v>
      </c>
      <c r="DQ28" s="3">
        <f t="shared" si="57"/>
        <v>-22030.68</v>
      </c>
      <c r="DR28" s="3" t="e">
        <f t="shared" ca="1" si="58"/>
        <v>#NUM!</v>
      </c>
      <c r="DS28" s="3">
        <f t="shared" si="59"/>
        <v>-3013</v>
      </c>
      <c r="DT28" s="3">
        <f t="shared" si="60"/>
        <v>-3013</v>
      </c>
      <c r="DU28" s="3">
        <f t="shared" si="61"/>
        <v>65721</v>
      </c>
      <c r="DV28" s="3">
        <f t="shared" si="62"/>
        <v>-6559</v>
      </c>
      <c r="DW28" s="3">
        <f t="shared" si="23"/>
        <v>-13404</v>
      </c>
      <c r="DX28" s="3" t="e">
        <f t="shared" ca="1" si="24"/>
        <v>#NUM!</v>
      </c>
      <c r="DY28" s="3" t="e">
        <f t="shared" ca="1" si="25"/>
        <v>#NUM!</v>
      </c>
      <c r="DZ28" s="3" t="e">
        <f t="shared" ca="1" si="26"/>
        <v>#NUM!</v>
      </c>
      <c r="EA28" s="3" t="e">
        <f t="shared" ca="1" si="27"/>
        <v>#NUM!</v>
      </c>
      <c r="EB28" s="3" t="e">
        <f t="shared" ca="1" si="28"/>
        <v>#NUM!</v>
      </c>
      <c r="EC28" s="3" t="e">
        <f t="shared" ca="1" si="29"/>
        <v>#NUM!</v>
      </c>
      <c r="ED28" s="63">
        <f t="shared" si="63"/>
        <v>-19963</v>
      </c>
      <c r="EE28" s="59">
        <f t="shared" si="168"/>
        <v>0.25</v>
      </c>
      <c r="EF28" s="59">
        <f t="shared" si="169"/>
        <v>1.1355</v>
      </c>
      <c r="EG28" s="59">
        <f t="shared" si="170"/>
        <v>0.25</v>
      </c>
      <c r="EH28" s="59">
        <f t="shared" si="171"/>
        <v>1.1355</v>
      </c>
      <c r="EI28" s="59">
        <f t="shared" si="172"/>
        <v>0.25</v>
      </c>
      <c r="EJ28" s="59">
        <f t="shared" si="173"/>
        <v>0.34389999999999998</v>
      </c>
      <c r="EK28" s="63" t="e">
        <f t="shared" ca="1" si="65"/>
        <v>#NUM!</v>
      </c>
      <c r="EL28" s="3" t="str">
        <f>RTD("tos.rtd",,EL$2,"."&amp;$A$2&amp;$AS$1&amp;"C"&amp;$A28)</f>
        <v>--</v>
      </c>
      <c r="EM28" s="3" t="str">
        <f>RTD("tos.rtd",,EM$2,"."&amp;$A$2&amp;$AS$1&amp;"P"&amp;$A28)</f>
        <v>113.55%</v>
      </c>
      <c r="EN28" s="3" t="str">
        <f>RTD("tos.rtd",,EN$2,"."&amp;$A$2&amp;$AU$1&amp;"C"&amp;$A28)</f>
        <v>--</v>
      </c>
      <c r="EO28" s="3" t="str">
        <f>RTD("tos.rtd",,EO$2,"."&amp;$A$2&amp;$AU$1&amp;"P"&amp;$A28)</f>
        <v>113.55%</v>
      </c>
      <c r="EP28" s="3" t="str">
        <f>RTD("tos.rtd",,EP$2,"."&amp;$A$2&amp;$AW$1&amp;"C"&amp;$A28)</f>
        <v>--</v>
      </c>
      <c r="EQ28" s="3" t="str">
        <f>RTD("tos.rtd",,EQ$2,"."&amp;$A$2&amp;$AW$1&amp;"P"&amp;$A28)</f>
        <v>34.39%</v>
      </c>
      <c r="ES28" s="63" t="str">
        <f t="shared" si="66"/>
        <v>558,-19963.00</v>
      </c>
      <c r="ET28" s="63" t="str">
        <f t="shared" ca="1" si="67"/>
        <v>558,00.00</v>
      </c>
      <c r="EU28" s="67">
        <v>561.16</v>
      </c>
      <c r="EV28" s="67" t="s">
        <v>243</v>
      </c>
      <c r="EW28" s="67">
        <v>483.5</v>
      </c>
      <c r="EX28" s="67" t="s">
        <v>244</v>
      </c>
      <c r="EY28" s="67">
        <v>5631.28</v>
      </c>
      <c r="EZ28" s="67" t="s">
        <v>245</v>
      </c>
      <c r="FA28" s="67">
        <v>19867.973000000002</v>
      </c>
      <c r="FB28" s="67" t="s">
        <v>246</v>
      </c>
      <c r="FC28" s="67" t="s">
        <v>247</v>
      </c>
      <c r="FD28" s="67" t="s">
        <v>248</v>
      </c>
      <c r="FE28" s="67" t="s">
        <v>249</v>
      </c>
      <c r="FF28" s="67" t="s">
        <v>250</v>
      </c>
    </row>
    <row r="29" spans="1:162" s="63" customFormat="1" ht="13.5" thickBot="1" x14ac:dyDescent="0.25">
      <c r="A29" s="2">
        <f t="shared" si="68"/>
        <v>557</v>
      </c>
      <c r="B29" s="3">
        <f t="shared" si="141"/>
        <v>6221</v>
      </c>
      <c r="C29" s="3">
        <f t="shared" si="142"/>
        <v>8575</v>
      </c>
      <c r="D29" s="3">
        <f t="shared" si="143"/>
        <v>11718</v>
      </c>
      <c r="E29" s="3">
        <f t="shared" si="144"/>
        <v>26514</v>
      </c>
      <c r="F29" s="4">
        <f t="shared" si="145"/>
        <v>5604.525397909335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>
        <v>10989</v>
      </c>
      <c r="AN29" s="1">
        <v>28269</v>
      </c>
      <c r="AO29" s="1">
        <v>557</v>
      </c>
      <c r="AP29" s="1">
        <v>1812</v>
      </c>
      <c r="AQ29" s="1">
        <v>-59530</v>
      </c>
      <c r="AR29" s="1"/>
      <c r="AS29" s="6">
        <f>IF(RTD("tos.rtd",,AS$2,"."&amp;$A$2&amp;$AS$1&amp;"C"&amp;$A29)="N/A",0,RTD("tos.rtd",,AS$2,"."&amp;$A$2&amp;$AS$1&amp;"C"&amp;$A29))</f>
        <v>1986</v>
      </c>
      <c r="AT29" s="7">
        <f>-IF(RTD("tos.rtd",,AT$2,"."&amp;$A$2&amp;$AS$1&amp;"P"&amp;$A29)="N/A",0,RTD("tos.rtd",,AT$2,"."&amp;$A$2&amp;$AS$1&amp;"P"&amp;$A29))</f>
        <v>-4235</v>
      </c>
      <c r="AU29" s="6">
        <f>IF(RTD("tos.rtd",,AU$2,"."&amp;$A$2&amp;$AU$1&amp;"C"&amp;$A29)="N/A",0,RTD("tos.rtd",,AU$2,"."&amp;$A$2&amp;$AU$1&amp;"C"&amp;$A29))</f>
        <v>1121</v>
      </c>
      <c r="AV29" s="7">
        <f>-IF(RTD("tos.rtd",,AV$2,"."&amp;$A$2&amp;$AU$1&amp;"P"&amp;$A29)="N/A",0,RTD("tos.rtd",,AV$2,"."&amp;$A$2&amp;$AU$1&amp;"P"&amp;$A29))</f>
        <v>-7454</v>
      </c>
      <c r="AW29" s="6">
        <f>IF(RTD("tos.rtd",,AW$2,"."&amp;$A$2&amp;$AW$1&amp;"C"&amp;$A29)="N/A",0,RTD("tos.rtd",,AW$2,"."&amp;$A$2&amp;$AW$1&amp;"C"&amp;$A29))</f>
        <v>2046</v>
      </c>
      <c r="AX29" s="7">
        <f>-IF(RTD("tos.rtd",,AX$2,"."&amp;$A$2&amp;$AW$1&amp;"P"&amp;$A29)="N/A",0,RTD("tos.rtd",,AX$2,"."&amp;$A$2&amp;$AW$1&amp;"P"&amp;$A29))</f>
        <v>-9672</v>
      </c>
      <c r="AY29" s="1">
        <f t="shared" si="146"/>
        <v>-16208</v>
      </c>
      <c r="AZ29" s="8">
        <f t="shared" si="35"/>
        <v>557</v>
      </c>
      <c r="BA29" s="6">
        <f>IF(RTD("tos.rtd",,BA$2,"."&amp;$A$2&amp;$AS$1&amp;"C"&amp;$A29)="N/A",0,RTD("tos.rtd",,BA$2,"."&amp;$A$2&amp;$AS$1&amp;"C"&amp;$A29))</f>
        <v>0</v>
      </c>
      <c r="BB29" s="7">
        <f>-IF(RTD("tos.rtd",,BB$2,"."&amp;$A$2&amp;$AS$1&amp;"P"&amp;$A29)="N/A",0,RTD("tos.rtd",,BB$2,"."&amp;$A$2&amp;$AS$1&amp;"P"&amp;$A29))</f>
        <v>0</v>
      </c>
      <c r="BC29" s="6">
        <f>IF(RTD("tos.rtd",,BC$2,"."&amp;$A$2&amp;$AU$1&amp;"C"&amp;$A29)="N/A",0,RTD("tos.rtd",,BC$2,"."&amp;$A$2&amp;$AU$1&amp;"C"&amp;$A29))</f>
        <v>731</v>
      </c>
      <c r="BD29" s="7">
        <f>-IF(RTD("tos.rtd",,BD$2,"."&amp;$A$2&amp;$AU$1&amp;"P"&amp;$A29)="N/A",0,RTD("tos.rtd",,BD$2,"."&amp;$A$2&amp;$AU$1&amp;"P"&amp;$A29))</f>
        <v>-35181</v>
      </c>
      <c r="BE29" s="6">
        <f>IF(RTD("tos.rtd",,BE$2,"."&amp;$A$2&amp;$AW$1&amp;"C"&amp;$A29)="N/A",0,RTD("tos.rtd",,BE$2,"."&amp;$A$2&amp;$AW$1&amp;"C"&amp;$A29))</f>
        <v>163</v>
      </c>
      <c r="BF29" s="83">
        <f>-IF(RTD("tos.rtd",,BF$2,"."&amp;$A$2&amp;$AW$1&amp;"P"&amp;$A29)="N/A",0,RTD("tos.rtd",,BF$2,"."&amp;$A$2&amp;$AW$1&amp;"P"&amp;$A29))</f>
        <v>-1552</v>
      </c>
      <c r="BG29" s="32">
        <f ca="1">+Hoja2!Y30</f>
        <v>-1115</v>
      </c>
      <c r="BH29" s="7">
        <f t="shared" ca="1" si="36"/>
        <v>-36954</v>
      </c>
      <c r="BI29" s="8" t="str">
        <f t="shared" ref="BI29" ca="1" si="184">IF(AND(BH29&lt;0,BH28&gt;0), "Cruce -", IF(AND(BH29&gt;0,BH28&lt;0),"Cruce +", ""))</f>
        <v/>
      </c>
      <c r="BJ29" s="3" t="e">
        <f ca="1">IF($BP$1=1,DX29,IF(RTD("tos.rtd",,BJ$2,"."&amp;$A$2&amp;$AS$1&amp;"C"&amp;$A29)="N/A",0,RTD("tos.rtd",,BJ$2,"."&amp;$A$2&amp;$AS$1&amp;"C"&amp;$A29)))</f>
        <v>#NUM!</v>
      </c>
      <c r="BK29" s="3" t="e">
        <f ca="1">IF($BP$1=1,DY29,-IF(RTD("tos.rtd",,BK$2,"."&amp;$A$2&amp;$AS$1&amp;"P"&amp;$A29)="N/A",0,RTD("tos.rtd",,BK$2,"."&amp;$A$2&amp;$AS$1&amp;"P"&amp;$A29)))</f>
        <v>#NUM!</v>
      </c>
      <c r="BL29" s="3" t="e">
        <f ca="1">IF($BP$1=1,DZ29,IF(RTD("tos.rtd",,BL$2,"."&amp;$A$2&amp;$AU$1&amp;"C"&amp;$A29)="N/A",0,RTD("tos.rtd",,BL$2,"."&amp;$A$2&amp;$AU$1&amp;"C"&amp;$A29)))</f>
        <v>#NUM!</v>
      </c>
      <c r="BM29" s="3" t="e">
        <f ca="1">IF($BP$1=1,EA29,-IF(RTD("tos.rtd",,BM$2,"."&amp;$A$2&amp;$AU$1&amp;"P"&amp;$A29)="N/A",0,RTD("tos.rtd",,BM$2,"."&amp;$A$2&amp;$AU$1&amp;"P"&amp;$A29)))</f>
        <v>#NUM!</v>
      </c>
      <c r="BN29" s="3" t="e">
        <f ca="1">IF($BP$1=1,EB29,IF(RTD("tos.rtd",,BN$2,"."&amp;$A$2&amp;$AW$1&amp;"C"&amp;$A29)="N/A",0,RTD("tos.rtd",,BN$2,"."&amp;$A$2&amp;$AW$1&amp;"C"&amp;$A29)))</f>
        <v>#NUM!</v>
      </c>
      <c r="BO29" s="3" t="e">
        <f ca="1">IF($BP$1=1,EC29,-IF(RTD("tos.rtd",,BO$2,"."&amp;$A$2&amp;$AW$1&amp;"P"&amp;$A29)="N/A",0,RTD("tos.rtd",,BO$2,"."&amp;$A$2&amp;$AW$1&amp;"P"&amp;$A29)))</f>
        <v>#NUM!</v>
      </c>
      <c r="BQ29" s="3" t="e">
        <f t="shared" ca="1" si="148"/>
        <v>#NUM!</v>
      </c>
      <c r="BR29" s="3" t="e">
        <f t="shared" ca="1" si="71"/>
        <v>#NUM!</v>
      </c>
      <c r="BS29" s="3" t="e">
        <f t="shared" ca="1" si="149"/>
        <v>#NUM!</v>
      </c>
      <c r="BT29" s="3" t="e">
        <f t="shared" ca="1" si="71"/>
        <v>#NUM!</v>
      </c>
      <c r="BU29" s="3" t="e">
        <f t="shared" ca="1" si="150"/>
        <v>#NUM!</v>
      </c>
      <c r="BV29" s="3" t="e">
        <f t="shared" ref="BV29" ca="1" si="185">IF(AND(BU29&lt;0,BU28&gt;0), "Cruce -", IF(AND(BU29&gt;0,BU28&lt;0),"Cruce +", ""))</f>
        <v>#NUM!</v>
      </c>
      <c r="BX29" s="3" t="e">
        <f t="shared" ca="1" si="152"/>
        <v>#NUM!</v>
      </c>
      <c r="BY29" s="3" t="e">
        <f t="shared" ca="1" si="73"/>
        <v>#NUM!</v>
      </c>
      <c r="BZ29" s="3" t="e">
        <f t="shared" ca="1" si="153"/>
        <v>#NUM!</v>
      </c>
      <c r="CA29" s="3" t="e">
        <f t="shared" ca="1" si="74"/>
        <v>#NUM!</v>
      </c>
      <c r="CB29" s="3" t="e">
        <f t="shared" ca="1" si="154"/>
        <v>#NUM!</v>
      </c>
      <c r="CC29" s="3" t="e">
        <f t="shared" ca="1" si="75"/>
        <v>#NUM!</v>
      </c>
      <c r="CD29" s="3">
        <f>IF(RTD("tos.rtd",,CD$2,"."&amp;$A$2&amp;$AS$1&amp;"C"&amp;$A29)="N/A",0,RTD("tos.rtd",,CD$2,"."&amp;$A$2&amp;$AS$1&amp;"C"&amp;$A29))</f>
        <v>1</v>
      </c>
      <c r="CE29" s="3">
        <f>-IF(RTD("tos.rtd",,CE$2,"."&amp;$A$2&amp;$AS$1&amp;"P"&amp;$A29)="N/A",0,RTD("tos.rtd",,CE$2,"."&amp;$A$2&amp;$AS$1&amp;"P"&amp;$A29))</f>
        <v>0</v>
      </c>
      <c r="CF29" s="3">
        <f>IF(RTD("tos.rtd",,CF$2,"."&amp;$A$2&amp;$AU$1&amp;"C"&amp;$A29)="N/A",0,RTD("tos.rtd",,CF$2,"."&amp;$A$2&amp;$AU$1&amp;"C"&amp;$A29))</f>
        <v>1</v>
      </c>
      <c r="CG29" s="3">
        <f>-IF(RTD("tos.rtd",,CG$2,"."&amp;$A$2&amp;$AU$1&amp;"P"&amp;$A29)="N/A",0,RTD("tos.rtd",,CG$2,"."&amp;$A$2&amp;$AU$1&amp;"P"&amp;$A29))</f>
        <v>0</v>
      </c>
      <c r="CH29" s="3">
        <f>IF(RTD("tos.rtd",,CH$2,"."&amp;$A$2&amp;$AW$1&amp;"C"&amp;$A29)="N/A",0,RTD("tos.rtd",,CH$2,"."&amp;$A$2&amp;$AW$1&amp;"C"&amp;$A29))</f>
        <v>1</v>
      </c>
      <c r="CI29" s="3">
        <f>-IF(RTD("tos.rtd",,CI$2,"."&amp;$A$2&amp;$AW$1&amp;"P"&amp;$A29)="N/A",0,RTD("tos.rtd",,CI$2,"."&amp;$A$2&amp;$AW$1&amp;"P"&amp;$A29))</f>
        <v>0.25</v>
      </c>
      <c r="CK29" s="3">
        <f t="shared" si="155"/>
        <v>198600</v>
      </c>
      <c r="CL29" s="3"/>
      <c r="CM29" s="3">
        <f t="shared" si="156"/>
        <v>112100</v>
      </c>
      <c r="CN29" s="3"/>
      <c r="CO29" s="3">
        <f t="shared" si="157"/>
        <v>-37200</v>
      </c>
      <c r="CP29" s="3">
        <f t="shared" si="158"/>
        <v>273500</v>
      </c>
      <c r="CQ29" s="3">
        <f t="shared" si="159"/>
        <v>0</v>
      </c>
      <c r="CR29" s="3"/>
      <c r="CS29" s="3">
        <f t="shared" si="160"/>
        <v>-34450</v>
      </c>
      <c r="CT29" s="3"/>
      <c r="CU29" s="3">
        <f t="shared" si="161"/>
        <v>-1389</v>
      </c>
      <c r="CV29" s="3">
        <f t="shared" si="162"/>
        <v>-35839</v>
      </c>
      <c r="CW29" s="3" t="e">
        <f t="shared" ca="1" si="163"/>
        <v>#NUM!</v>
      </c>
      <c r="CX29" s="85" t="e">
        <f t="shared" ca="1" si="76"/>
        <v>#NUM!</v>
      </c>
      <c r="CY29" s="3" t="e">
        <f t="shared" ca="1" si="164"/>
        <v>#NUM!</v>
      </c>
      <c r="CZ29" s="85" t="e">
        <f t="shared" ca="1" si="77"/>
        <v>#NUM!</v>
      </c>
      <c r="DA29" s="3">
        <f>IF(RTD("tos.rtd",,DA$2,"."&amp;$A$2&amp;$AS$1&amp;"C"&amp;$A29)="N/A",0,RTD("tos.rtd",,DA$2,"."&amp;$A$2&amp;$AS$1&amp;"C"&amp;$A29))</f>
        <v>8.4700000000000006</v>
      </c>
      <c r="DB29" s="3">
        <f>IF(RTD("tos.rtd",,DB$2,"."&amp;$A$2&amp;$AS$1&amp;"P"&amp;$A29)="N/A",0,RTD("tos.rtd",,DB$2,"."&amp;$A$2&amp;$AS$1&amp;"P"&amp;$A29))</f>
        <v>0.01</v>
      </c>
      <c r="DC29" s="3">
        <f>IF(RTD("tos.rtd",,DC$2,"."&amp;$A$2&amp;$AS$1&amp;"C"&amp;$A29)="N/A",0,RTD("tos.rtd",,DC$2,"."&amp;$A$2&amp;$AS$1&amp;"C"&amp;$A29))</f>
        <v>8.94</v>
      </c>
      <c r="DD29" s="3">
        <f>IF(RTD("tos.rtd",,DD$2,"."&amp;$A$2&amp;$AS$1&amp;"P"&amp;$A29)="N/A",0,RTD("tos.rtd",,DD$2,"."&amp;$A$2&amp;$AS$1&amp;"P"&amp;$A29))</f>
        <v>0.01</v>
      </c>
      <c r="DE29" s="3">
        <f>IF(RTD("tos.rtd",,DE$2,"."&amp;$A$2&amp;$AS$1&amp;"C"&amp;$A29)="N/A",0,RTD("tos.rtd",,DE$2,"."&amp;$A$2&amp;$AS$1&amp;"C"&amp;$A29))</f>
        <v>6.99</v>
      </c>
      <c r="DF29" s="3">
        <f>IF(RTD("tos.rtd",,DF$2,"."&amp;$A$2&amp;$AS$1&amp;"P"&amp;$A29)="N/A",0,RTD("tos.rtd",,DF$2,"."&amp;$A$2&amp;$AS$1&amp;"P"&amp;$A29))</f>
        <v>0</v>
      </c>
      <c r="DG29" s="86">
        <f t="shared" si="48"/>
        <v>-14.110000000000014</v>
      </c>
      <c r="DH29" s="3">
        <f t="shared" si="165"/>
        <v>-1375.2615384615394</v>
      </c>
      <c r="DI29" s="3">
        <f t="shared" si="166"/>
        <v>59530</v>
      </c>
      <c r="DJ29" s="3">
        <f t="shared" si="167"/>
        <v>-1812</v>
      </c>
      <c r="DK29" s="3">
        <f t="shared" si="51"/>
        <v>59530</v>
      </c>
      <c r="DL29" s="3">
        <f t="shared" si="52"/>
        <v>58154.738461538458</v>
      </c>
      <c r="DM29" s="3">
        <f t="shared" si="53"/>
        <v>57718</v>
      </c>
      <c r="DN29" s="63" t="str">
        <f t="shared" si="54"/>
        <v>UNKNOWN</v>
      </c>
      <c r="DO29" s="63" t="str">
        <f t="shared" si="55"/>
        <v>UNKNOWN</v>
      </c>
      <c r="DP29" s="3">
        <f t="shared" si="56"/>
        <v>-11053.16523076924</v>
      </c>
      <c r="DQ29" s="3">
        <f t="shared" si="57"/>
        <v>-14752.340000000002</v>
      </c>
      <c r="DR29" s="3" t="e">
        <f t="shared" ca="1" si="58"/>
        <v>#NUM!</v>
      </c>
      <c r="DS29" s="3">
        <f t="shared" si="59"/>
        <v>-1812</v>
      </c>
      <c r="DT29" s="3">
        <f t="shared" si="60"/>
        <v>-1812</v>
      </c>
      <c r="DU29" s="3">
        <f t="shared" si="61"/>
        <v>59530</v>
      </c>
      <c r="DV29" s="3">
        <f t="shared" si="62"/>
        <v>10989</v>
      </c>
      <c r="DW29" s="3">
        <f t="shared" si="23"/>
        <v>28269</v>
      </c>
      <c r="DX29" s="3" t="e">
        <f t="shared" ca="1" si="24"/>
        <v>#NUM!</v>
      </c>
      <c r="DY29" s="3" t="e">
        <f t="shared" ca="1" si="25"/>
        <v>#NUM!</v>
      </c>
      <c r="DZ29" s="3" t="e">
        <f t="shared" ca="1" si="26"/>
        <v>#NUM!</v>
      </c>
      <c r="EA29" s="3" t="e">
        <f t="shared" ca="1" si="27"/>
        <v>#NUM!</v>
      </c>
      <c r="EB29" s="3" t="e">
        <f t="shared" ca="1" si="28"/>
        <v>#NUM!</v>
      </c>
      <c r="EC29" s="3" t="e">
        <f t="shared" ca="1" si="29"/>
        <v>#NUM!</v>
      </c>
      <c r="ED29" s="63">
        <f t="shared" si="63"/>
        <v>39258</v>
      </c>
      <c r="EE29" s="59">
        <f t="shared" si="168"/>
        <v>0.25</v>
      </c>
      <c r="EF29" s="59">
        <f t="shared" si="169"/>
        <v>1.2141999999999999</v>
      </c>
      <c r="EG29" s="59">
        <f t="shared" si="170"/>
        <v>0.25</v>
      </c>
      <c r="EH29" s="59">
        <f t="shared" si="171"/>
        <v>1.2141999999999999</v>
      </c>
      <c r="EI29" s="59">
        <f t="shared" si="172"/>
        <v>0.25</v>
      </c>
      <c r="EJ29" s="59">
        <f t="shared" si="173"/>
        <v>0.34260000000000002</v>
      </c>
      <c r="EK29" s="63" t="e">
        <f t="shared" ca="1" si="65"/>
        <v>#NUM!</v>
      </c>
      <c r="EL29" s="3" t="str">
        <f>RTD("tos.rtd",,EL$2,"."&amp;$A$2&amp;$AS$1&amp;"C"&amp;$A29)</f>
        <v>--</v>
      </c>
      <c r="EM29" s="3" t="str">
        <f>RTD("tos.rtd",,EM$2,"."&amp;$A$2&amp;$AS$1&amp;"P"&amp;$A29)</f>
        <v>121.42%</v>
      </c>
      <c r="EN29" s="3" t="str">
        <f>RTD("tos.rtd",,EN$2,"."&amp;$A$2&amp;$AU$1&amp;"C"&amp;$A29)</f>
        <v>--</v>
      </c>
      <c r="EO29" s="3" t="str">
        <f>RTD("tos.rtd",,EO$2,"."&amp;$A$2&amp;$AU$1&amp;"P"&amp;$A29)</f>
        <v>121.42%</v>
      </c>
      <c r="EP29" s="3" t="str">
        <f>RTD("tos.rtd",,EP$2,"."&amp;$A$2&amp;$AW$1&amp;"C"&amp;$A29)</f>
        <v>--</v>
      </c>
      <c r="EQ29" s="3" t="str">
        <f>RTD("tos.rtd",,EQ$2,"."&amp;$A$2&amp;$AW$1&amp;"P"&amp;$A29)</f>
        <v>34.26%</v>
      </c>
      <c r="ES29" s="63" t="str">
        <f t="shared" si="66"/>
        <v>557,39258.00</v>
      </c>
      <c r="ET29" s="63" t="str">
        <f t="shared" ca="1" si="67"/>
        <v>557,00.00</v>
      </c>
      <c r="EU29" s="67">
        <v>561.16</v>
      </c>
      <c r="EV29" s="67" t="s">
        <v>251</v>
      </c>
      <c r="EW29" s="67">
        <v>483.51</v>
      </c>
      <c r="EX29" s="67" t="s">
        <v>252</v>
      </c>
      <c r="EY29" s="67">
        <v>5631.28</v>
      </c>
      <c r="EZ29" s="67" t="s">
        <v>253</v>
      </c>
      <c r="FA29" s="67">
        <v>19867.973000000002</v>
      </c>
      <c r="FB29" s="67" t="s">
        <v>254</v>
      </c>
      <c r="FC29" s="67" t="s">
        <v>255</v>
      </c>
      <c r="FD29" s="67" t="s">
        <v>256</v>
      </c>
      <c r="FE29" s="67" t="s">
        <v>257</v>
      </c>
      <c r="FF29" s="67" t="s">
        <v>258</v>
      </c>
    </row>
    <row r="30" spans="1:162" s="63" customFormat="1" ht="13.5" thickBot="1" x14ac:dyDescent="0.25">
      <c r="A30" s="2">
        <f t="shared" si="68"/>
        <v>556</v>
      </c>
      <c r="B30" s="3">
        <f t="shared" si="9"/>
        <v>4357</v>
      </c>
      <c r="C30" s="3">
        <f t="shared" si="10"/>
        <v>7338</v>
      </c>
      <c r="D30" s="3">
        <f t="shared" si="11"/>
        <v>3474</v>
      </c>
      <c r="E30" s="3">
        <f t="shared" si="12"/>
        <v>15169</v>
      </c>
      <c r="F30" s="4">
        <f t="shared" si="13"/>
        <v>5594.4634133529444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>
        <v>450</v>
      </c>
      <c r="AN30" s="1">
        <v>-29731</v>
      </c>
      <c r="AO30" s="1">
        <v>556</v>
      </c>
      <c r="AP30" s="1">
        <v>925</v>
      </c>
      <c r="AQ30" s="1">
        <v>-56234</v>
      </c>
      <c r="AR30" s="1"/>
      <c r="AS30" s="6">
        <f>IF(RTD("tos.rtd",,AS$2,"."&amp;$A$2&amp;$AS$1&amp;"C"&amp;$A30)="N/A",0,RTD("tos.rtd",,AS$2,"."&amp;$A$2&amp;$AS$1&amp;"C"&amp;$A30))</f>
        <v>919</v>
      </c>
      <c r="AT30" s="7">
        <f>-IF(RTD("tos.rtd",,AT$2,"."&amp;$A$2&amp;$AS$1&amp;"P"&amp;$A30)="N/A",0,RTD("tos.rtd",,AT$2,"."&amp;$A$2&amp;$AS$1&amp;"P"&amp;$A30))</f>
        <v>-3438</v>
      </c>
      <c r="AU30" s="6">
        <f>IF(RTD("tos.rtd",,AU$2,"."&amp;$A$2&amp;$AU$1&amp;"C"&amp;$A30)="N/A",0,RTD("tos.rtd",,AU$2,"."&amp;$A$2&amp;$AU$1&amp;"C"&amp;$A30))</f>
        <v>1662</v>
      </c>
      <c r="AV30" s="7">
        <f>-IF(RTD("tos.rtd",,AV$2,"."&amp;$A$2&amp;$AU$1&amp;"P"&amp;$A30)="N/A",0,RTD("tos.rtd",,AV$2,"."&amp;$A$2&amp;$AU$1&amp;"P"&amp;$A30))</f>
        <v>-5676</v>
      </c>
      <c r="AW30" s="6">
        <f>IF(RTD("tos.rtd",,AW$2,"."&amp;$A$2&amp;$AW$1&amp;"C"&amp;$A30)="N/A",0,RTD("tos.rtd",,AW$2,"."&amp;$A$2&amp;$AW$1&amp;"C"&amp;$A30))</f>
        <v>1594</v>
      </c>
      <c r="AX30" s="7">
        <f>-IF(RTD("tos.rtd",,AX$2,"."&amp;$A$2&amp;$AW$1&amp;"P"&amp;$A30)="N/A",0,RTD("tos.rtd",,AX$2,"."&amp;$A$2&amp;$AW$1&amp;"P"&amp;$A30))</f>
        <v>-1880</v>
      </c>
      <c r="AY30" s="1">
        <f t="shared" si="69"/>
        <v>-6819</v>
      </c>
      <c r="AZ30" s="8">
        <f t="shared" si="35"/>
        <v>556</v>
      </c>
      <c r="BA30" s="6">
        <f>IF(RTD("tos.rtd",,BA$2,"."&amp;$A$2&amp;$AS$1&amp;"C"&amp;$A30)="N/A",0,RTD("tos.rtd",,BA$2,"."&amp;$A$2&amp;$AS$1&amp;"C"&amp;$A30))</f>
        <v>0</v>
      </c>
      <c r="BB30" s="7">
        <f>-IF(RTD("tos.rtd",,BB$2,"."&amp;$A$2&amp;$AS$1&amp;"P"&amp;$A30)="N/A",0,RTD("tos.rtd",,BB$2,"."&amp;$A$2&amp;$AS$1&amp;"P"&amp;$A30))</f>
        <v>0</v>
      </c>
      <c r="BC30" s="6">
        <f>IF(RTD("tos.rtd",,BC$2,"."&amp;$A$2&amp;$AU$1&amp;"C"&amp;$A30)="N/A",0,RTD("tos.rtd",,BC$2,"."&amp;$A$2&amp;$AU$1&amp;"C"&amp;$A30))</f>
        <v>628</v>
      </c>
      <c r="BD30" s="7">
        <f>-IF(RTD("tos.rtd",,BD$2,"."&amp;$A$2&amp;$AU$1&amp;"P"&amp;$A30)="N/A",0,RTD("tos.rtd",,BD$2,"."&amp;$A$2&amp;$AU$1&amp;"P"&amp;$A30))</f>
        <v>-34853</v>
      </c>
      <c r="BE30" s="6">
        <f>IF(RTD("tos.rtd",,BE$2,"."&amp;$A$2&amp;$AW$1&amp;"C"&amp;$A30)="N/A",0,RTD("tos.rtd",,BE$2,"."&amp;$A$2&amp;$AW$1&amp;"C"&amp;$A30))</f>
        <v>110</v>
      </c>
      <c r="BF30" s="83">
        <f>-IF(RTD("tos.rtd",,BF$2,"."&amp;$A$2&amp;$AW$1&amp;"P"&amp;$A30)="N/A",0,RTD("tos.rtd",,BF$2,"."&amp;$A$2&amp;$AW$1&amp;"P"&amp;$A30))</f>
        <v>-1634</v>
      </c>
      <c r="BG30" s="32">
        <f ca="1">+Hoja2!Y31</f>
        <v>-2771</v>
      </c>
      <c r="BH30" s="7">
        <f t="shared" ca="1" si="36"/>
        <v>-38520</v>
      </c>
      <c r="BI30" s="8" t="str">
        <f t="shared" ref="BI30" ca="1" si="186">IF(AND(BH30&lt;0,BH29&gt;0), "Cruce -", IF(AND(BH30&gt;0,BH29&lt;0),"Cruce +", ""))</f>
        <v/>
      </c>
      <c r="BJ30" s="3" t="e">
        <f ca="1">IF($BP$1=1,DX30,IF(RTD("tos.rtd",,BJ$2,"."&amp;$A$2&amp;$AS$1&amp;"C"&amp;$A30)="N/A",0,RTD("tos.rtd",,BJ$2,"."&amp;$A$2&amp;$AS$1&amp;"C"&amp;$A30)))</f>
        <v>#NUM!</v>
      </c>
      <c r="BK30" s="3" t="e">
        <f ca="1">IF($BP$1=1,DY30,-IF(RTD("tos.rtd",,BK$2,"."&amp;$A$2&amp;$AS$1&amp;"P"&amp;$A30)="N/A",0,RTD("tos.rtd",,BK$2,"."&amp;$A$2&amp;$AS$1&amp;"P"&amp;$A30)))</f>
        <v>#NUM!</v>
      </c>
      <c r="BL30" s="3" t="e">
        <f ca="1">IF($BP$1=1,DZ30,IF(RTD("tos.rtd",,BL$2,"."&amp;$A$2&amp;$AU$1&amp;"C"&amp;$A30)="N/A",0,RTD("tos.rtd",,BL$2,"."&amp;$A$2&amp;$AU$1&amp;"C"&amp;$A30)))</f>
        <v>#NUM!</v>
      </c>
      <c r="BM30" s="3" t="e">
        <f ca="1">IF($BP$1=1,EA30,-IF(RTD("tos.rtd",,BM$2,"."&amp;$A$2&amp;$AU$1&amp;"P"&amp;$A30)="N/A",0,RTD("tos.rtd",,BM$2,"."&amp;$A$2&amp;$AU$1&amp;"P"&amp;$A30)))</f>
        <v>#NUM!</v>
      </c>
      <c r="BN30" s="3" t="e">
        <f ca="1">IF($BP$1=1,EB30,IF(RTD("tos.rtd",,BN$2,"."&amp;$A$2&amp;$AW$1&amp;"C"&amp;$A30)="N/A",0,RTD("tos.rtd",,BN$2,"."&amp;$A$2&amp;$AW$1&amp;"C"&amp;$A30)))</f>
        <v>#NUM!</v>
      </c>
      <c r="BO30" s="3" t="e">
        <f ca="1">IF($BP$1=1,EC30,-IF(RTD("tos.rtd",,BO$2,"."&amp;$A$2&amp;$AW$1&amp;"P"&amp;$A30)="N/A",0,RTD("tos.rtd",,BO$2,"."&amp;$A$2&amp;$AW$1&amp;"P"&amp;$A30)))</f>
        <v>#NUM!</v>
      </c>
      <c r="BQ30" s="3" t="e">
        <f t="shared" ca="1" si="37"/>
        <v>#NUM!</v>
      </c>
      <c r="BR30" s="3" t="e">
        <f t="shared" ca="1" si="71"/>
        <v>#NUM!</v>
      </c>
      <c r="BS30" s="3" t="e">
        <f t="shared" ca="1" si="38"/>
        <v>#NUM!</v>
      </c>
      <c r="BT30" s="3" t="e">
        <f t="shared" ca="1" si="71"/>
        <v>#NUM!</v>
      </c>
      <c r="BU30" s="3" t="e">
        <f t="shared" ca="1" si="39"/>
        <v>#NUM!</v>
      </c>
      <c r="BV30" s="3" t="e">
        <f t="shared" ref="BV30" ca="1" si="187">IF(AND(BU30&lt;0,BU29&gt;0), "Cruce -", IF(AND(BU30&gt;0,BU29&lt;0),"Cruce +", ""))</f>
        <v>#NUM!</v>
      </c>
      <c r="BX30" s="3" t="e">
        <f t="shared" ca="1" si="40"/>
        <v>#NUM!</v>
      </c>
      <c r="BY30" s="3" t="e">
        <f t="shared" ca="1" si="73"/>
        <v>#NUM!</v>
      </c>
      <c r="BZ30" s="3" t="e">
        <f t="shared" ca="1" si="41"/>
        <v>#NUM!</v>
      </c>
      <c r="CA30" s="3" t="e">
        <f t="shared" ca="1" si="74"/>
        <v>#NUM!</v>
      </c>
      <c r="CB30" s="3" t="e">
        <f t="shared" ca="1" si="42"/>
        <v>#NUM!</v>
      </c>
      <c r="CC30" s="3" t="e">
        <f t="shared" ca="1" si="75"/>
        <v>#NUM!</v>
      </c>
      <c r="CD30" s="3">
        <f>IF(RTD("tos.rtd",,CD$2,"."&amp;$A$2&amp;$AS$1&amp;"C"&amp;$A30)="N/A",0,RTD("tos.rtd",,CD$2,"."&amp;$A$2&amp;$AS$1&amp;"C"&amp;$A30))</f>
        <v>1</v>
      </c>
      <c r="CE30" s="3">
        <f>-IF(RTD("tos.rtd",,CE$2,"."&amp;$A$2&amp;$AS$1&amp;"P"&amp;$A30)="N/A",0,RTD("tos.rtd",,CE$2,"."&amp;$A$2&amp;$AS$1&amp;"P"&amp;$A30))</f>
        <v>0</v>
      </c>
      <c r="CF30" s="3">
        <f>IF(RTD("tos.rtd",,CF$2,"."&amp;$A$2&amp;$AU$1&amp;"C"&amp;$A30)="N/A",0,RTD("tos.rtd",,CF$2,"."&amp;$A$2&amp;$AU$1&amp;"C"&amp;$A30))</f>
        <v>1</v>
      </c>
      <c r="CG30" s="3">
        <f>-IF(RTD("tos.rtd",,CG$2,"."&amp;$A$2&amp;$AU$1&amp;"P"&amp;$A30)="N/A",0,RTD("tos.rtd",,CG$2,"."&amp;$A$2&amp;$AU$1&amp;"P"&amp;$A30))</f>
        <v>0</v>
      </c>
      <c r="CH30" s="3">
        <f>IF(RTD("tos.rtd",,CH$2,"."&amp;$A$2&amp;$AW$1&amp;"C"&amp;$A30)="N/A",0,RTD("tos.rtd",,CH$2,"."&amp;$A$2&amp;$AW$1&amp;"C"&amp;$A30))</f>
        <v>1</v>
      </c>
      <c r="CI30" s="3">
        <f>-IF(RTD("tos.rtd",,CI$2,"."&amp;$A$2&amp;$AW$1&amp;"P"&amp;$A30)="N/A",0,RTD("tos.rtd",,CI$2,"."&amp;$A$2&amp;$AW$1&amp;"P"&amp;$A30))</f>
        <v>0.24</v>
      </c>
      <c r="CK30" s="3">
        <f t="shared" si="17"/>
        <v>91900</v>
      </c>
      <c r="CL30" s="3"/>
      <c r="CM30" s="3">
        <f t="shared" si="18"/>
        <v>166200</v>
      </c>
      <c r="CN30" s="3"/>
      <c r="CO30" s="3">
        <f t="shared" si="19"/>
        <v>114280</v>
      </c>
      <c r="CP30" s="3">
        <f t="shared" si="43"/>
        <v>372380</v>
      </c>
      <c r="CQ30" s="3">
        <f t="shared" si="44"/>
        <v>0</v>
      </c>
      <c r="CR30" s="3"/>
      <c r="CS30" s="3">
        <f t="shared" si="20"/>
        <v>-34225</v>
      </c>
      <c r="CT30" s="3"/>
      <c r="CU30" s="3">
        <f t="shared" si="21"/>
        <v>-1524</v>
      </c>
      <c r="CV30" s="3">
        <f t="shared" si="45"/>
        <v>-35749</v>
      </c>
      <c r="CW30" s="3" t="e">
        <f t="shared" ca="1" si="46"/>
        <v>#NUM!</v>
      </c>
      <c r="CX30" s="85" t="e">
        <f t="shared" ca="1" si="76"/>
        <v>#NUM!</v>
      </c>
      <c r="CY30" s="3" t="e">
        <f t="shared" ca="1" si="47"/>
        <v>#NUM!</v>
      </c>
      <c r="CZ30" s="85" t="e">
        <f t="shared" ca="1" si="77"/>
        <v>#NUM!</v>
      </c>
      <c r="DA30" s="3">
        <f>IF(RTD("tos.rtd",,DA$2,"."&amp;$A$2&amp;$AS$1&amp;"C"&amp;$A30)="N/A",0,RTD("tos.rtd",,DA$2,"."&amp;$A$2&amp;$AS$1&amp;"C"&amp;$A30))</f>
        <v>9.5500000000000007</v>
      </c>
      <c r="DB30" s="3">
        <f>IF(RTD("tos.rtd",,DB$2,"."&amp;$A$2&amp;$AS$1&amp;"P"&amp;$A30)="N/A",0,RTD("tos.rtd",,DB$2,"."&amp;$A$2&amp;$AS$1&amp;"P"&amp;$A30))</f>
        <v>0.01</v>
      </c>
      <c r="DC30" s="3">
        <f>IF(RTD("tos.rtd",,DC$2,"."&amp;$A$2&amp;$AS$1&amp;"C"&amp;$A30)="N/A",0,RTD("tos.rtd",,DC$2,"."&amp;$A$2&amp;$AS$1&amp;"C"&amp;$A30))</f>
        <v>9.9499999999999993</v>
      </c>
      <c r="DD30" s="3">
        <f>IF(RTD("tos.rtd",,DD$2,"."&amp;$A$2&amp;$AS$1&amp;"P"&amp;$A30)="N/A",0,RTD("tos.rtd",,DD$2,"."&amp;$A$2&amp;$AS$1&amp;"P"&amp;$A30))</f>
        <v>0.01</v>
      </c>
      <c r="DE30" s="3">
        <f>IF(RTD("tos.rtd",,DE$2,"."&amp;$A$2&amp;$AS$1&amp;"C"&amp;$A30)="N/A",0,RTD("tos.rtd",,DE$2,"."&amp;$A$2&amp;$AS$1&amp;"C"&amp;$A30))</f>
        <v>7.99</v>
      </c>
      <c r="DF30" s="3">
        <f>IF(RTD("tos.rtd",,DF$2,"."&amp;$A$2&amp;$AS$1&amp;"P"&amp;$A30)="N/A",0,RTD("tos.rtd",,DF$2,"."&amp;$A$2&amp;$AS$1&amp;"P"&amp;$A30))</f>
        <v>0</v>
      </c>
      <c r="DG30" s="86">
        <f t="shared" si="48"/>
        <v>-15.110000000000014</v>
      </c>
      <c r="DH30" s="3">
        <f t="shared" si="22"/>
        <v>-736.224489795919</v>
      </c>
      <c r="DI30" s="3">
        <f t="shared" si="49"/>
        <v>56234</v>
      </c>
      <c r="DJ30" s="3">
        <f t="shared" si="50"/>
        <v>-925</v>
      </c>
      <c r="DK30" s="3">
        <f t="shared" si="51"/>
        <v>56234</v>
      </c>
      <c r="DL30" s="3">
        <f t="shared" si="52"/>
        <v>55497.775510204083</v>
      </c>
      <c r="DM30" s="3">
        <f t="shared" si="53"/>
        <v>55309</v>
      </c>
      <c r="DN30" s="63" t="str">
        <f t="shared" si="54"/>
        <v>UNKNOWN</v>
      </c>
      <c r="DO30" s="63" t="str">
        <f t="shared" si="55"/>
        <v>UNKNOWN</v>
      </c>
      <c r="DP30" s="3">
        <f t="shared" si="56"/>
        <v>-6468.6038775510269</v>
      </c>
      <c r="DQ30" s="3">
        <f t="shared" si="57"/>
        <v>-8271.41</v>
      </c>
      <c r="DR30" s="3" t="e">
        <f t="shared" ca="1" si="58"/>
        <v>#NUM!</v>
      </c>
      <c r="DS30" s="3">
        <f t="shared" si="59"/>
        <v>-925</v>
      </c>
      <c r="DT30" s="3">
        <f t="shared" si="60"/>
        <v>-925</v>
      </c>
      <c r="DU30" s="3">
        <f t="shared" si="61"/>
        <v>56234</v>
      </c>
      <c r="DV30" s="3">
        <f t="shared" si="62"/>
        <v>450</v>
      </c>
      <c r="DW30" s="3">
        <f t="shared" si="23"/>
        <v>-29731</v>
      </c>
      <c r="DX30" s="3" t="e">
        <f t="shared" ca="1" si="24"/>
        <v>#NUM!</v>
      </c>
      <c r="DY30" s="3" t="e">
        <f t="shared" ca="1" si="25"/>
        <v>#NUM!</v>
      </c>
      <c r="DZ30" s="3" t="e">
        <f t="shared" ca="1" si="26"/>
        <v>#NUM!</v>
      </c>
      <c r="EA30" s="3" t="e">
        <f t="shared" ca="1" si="27"/>
        <v>#NUM!</v>
      </c>
      <c r="EB30" s="3" t="e">
        <f t="shared" ca="1" si="28"/>
        <v>#NUM!</v>
      </c>
      <c r="EC30" s="3" t="e">
        <f t="shared" ca="1" si="29"/>
        <v>#NUM!</v>
      </c>
      <c r="ED30" s="63">
        <f t="shared" si="63"/>
        <v>-29281</v>
      </c>
      <c r="EE30" s="59">
        <f t="shared" si="64"/>
        <v>0.25</v>
      </c>
      <c r="EF30" s="59">
        <f t="shared" si="30"/>
        <v>1.2926</v>
      </c>
      <c r="EG30" s="59">
        <f t="shared" si="31"/>
        <v>0.25</v>
      </c>
      <c r="EH30" s="59">
        <f t="shared" si="32"/>
        <v>1.2926</v>
      </c>
      <c r="EI30" s="59">
        <f t="shared" si="33"/>
        <v>0.25</v>
      </c>
      <c r="EJ30" s="59">
        <f t="shared" si="34"/>
        <v>0.34129999999999999</v>
      </c>
      <c r="EK30" s="63" t="e">
        <f t="shared" ca="1" si="65"/>
        <v>#NUM!</v>
      </c>
      <c r="EL30" s="3" t="str">
        <f>RTD("tos.rtd",,EL$2,"."&amp;$A$2&amp;$AS$1&amp;"C"&amp;$A30)</f>
        <v>--</v>
      </c>
      <c r="EM30" s="3" t="str">
        <f>RTD("tos.rtd",,EM$2,"."&amp;$A$2&amp;$AS$1&amp;"P"&amp;$A30)</f>
        <v>129.26%</v>
      </c>
      <c r="EN30" s="3" t="str">
        <f>RTD("tos.rtd",,EN$2,"."&amp;$A$2&amp;$AU$1&amp;"C"&amp;$A30)</f>
        <v>--</v>
      </c>
      <c r="EO30" s="3" t="str">
        <f>RTD("tos.rtd",,EO$2,"."&amp;$A$2&amp;$AU$1&amp;"P"&amp;$A30)</f>
        <v>129.26%</v>
      </c>
      <c r="EP30" s="3" t="str">
        <f>RTD("tos.rtd",,EP$2,"."&amp;$A$2&amp;$AW$1&amp;"C"&amp;$A30)</f>
        <v>--</v>
      </c>
      <c r="EQ30" s="3" t="str">
        <f>RTD("tos.rtd",,EQ$2,"."&amp;$A$2&amp;$AW$1&amp;"P"&amp;$A30)</f>
        <v>34.13%</v>
      </c>
      <c r="ES30" s="63" t="str">
        <f t="shared" si="66"/>
        <v>556,-29281.00</v>
      </c>
      <c r="ET30" s="63" t="str">
        <f t="shared" ca="1" si="67"/>
        <v>556,00.00</v>
      </c>
      <c r="EU30" s="67">
        <v>561.16</v>
      </c>
      <c r="EV30" s="67" t="s">
        <v>259</v>
      </c>
      <c r="EW30" s="67">
        <v>483.52</v>
      </c>
      <c r="EX30" s="67" t="s">
        <v>260</v>
      </c>
      <c r="EY30" s="67">
        <v>5631.28</v>
      </c>
      <c r="EZ30" s="67" t="s">
        <v>261</v>
      </c>
      <c r="FA30" s="67">
        <v>19867.973000000002</v>
      </c>
      <c r="FB30" s="67" t="s">
        <v>262</v>
      </c>
      <c r="FC30" s="67" t="s">
        <v>263</v>
      </c>
      <c r="FD30" s="67" t="s">
        <v>264</v>
      </c>
      <c r="FE30" s="67" t="s">
        <v>265</v>
      </c>
      <c r="FF30" s="67" t="s">
        <v>266</v>
      </c>
    </row>
    <row r="31" spans="1:162" s="63" customFormat="1" ht="13.5" thickBot="1" x14ac:dyDescent="0.25">
      <c r="A31" s="2">
        <f t="shared" si="68"/>
        <v>555</v>
      </c>
      <c r="B31" s="3">
        <f t="shared" si="9"/>
        <v>8794</v>
      </c>
      <c r="C31" s="3">
        <f t="shared" si="10"/>
        <v>28958</v>
      </c>
      <c r="D31" s="3">
        <f t="shared" si="11"/>
        <v>75836</v>
      </c>
      <c r="E31" s="3">
        <f t="shared" si="12"/>
        <v>113588</v>
      </c>
      <c r="F31" s="4">
        <f t="shared" si="13"/>
        <v>5584.4014287965547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>
        <v>1103</v>
      </c>
      <c r="AN31" s="1">
        <v>-1874</v>
      </c>
      <c r="AO31" s="1">
        <v>555</v>
      </c>
      <c r="AP31" s="1">
        <v>2299</v>
      </c>
      <c r="AQ31" s="1">
        <v>-49823</v>
      </c>
      <c r="AR31" s="1"/>
      <c r="AS31" s="6">
        <f>IF(RTD("tos.rtd",,AS$2,"."&amp;$A$2&amp;$AS$1&amp;"C"&amp;$A31)="N/A",0,RTD("tos.rtd",,AS$2,"."&amp;$A$2&amp;$AS$1&amp;"C"&amp;$A31))</f>
        <v>1329</v>
      </c>
      <c r="AT31" s="7">
        <f>-IF(RTD("tos.rtd",,AT$2,"."&amp;$A$2&amp;$AS$1&amp;"P"&amp;$A31)="N/A",0,RTD("tos.rtd",,AT$2,"."&amp;$A$2&amp;$AS$1&amp;"P"&amp;$A31))</f>
        <v>-7465</v>
      </c>
      <c r="AU31" s="6">
        <f>IF(RTD("tos.rtd",,AU$2,"."&amp;$A$2&amp;$AU$1&amp;"C"&amp;$A31)="N/A",0,RTD("tos.rtd",,AU$2,"."&amp;$A$2&amp;$AU$1&amp;"C"&amp;$A31))</f>
        <v>9529</v>
      </c>
      <c r="AV31" s="7">
        <f>-IF(RTD("tos.rtd",,AV$2,"."&amp;$A$2&amp;$AU$1&amp;"P"&amp;$A31)="N/A",0,RTD("tos.rtd",,AV$2,"."&amp;$A$2&amp;$AU$1&amp;"P"&amp;$A31))</f>
        <v>-19429</v>
      </c>
      <c r="AW31" s="6">
        <f>IF(RTD("tos.rtd",,AW$2,"."&amp;$A$2&amp;$AW$1&amp;"C"&amp;$A31)="N/A",0,RTD("tos.rtd",,AW$2,"."&amp;$A$2&amp;$AW$1&amp;"C"&amp;$A31))</f>
        <v>9058</v>
      </c>
      <c r="AX31" s="7">
        <f>-IF(RTD("tos.rtd",,AX$2,"."&amp;$A$2&amp;$AW$1&amp;"P"&amp;$A31)="N/A",0,RTD("tos.rtd",,AX$2,"."&amp;$A$2&amp;$AW$1&amp;"P"&amp;$A31))</f>
        <v>-66778</v>
      </c>
      <c r="AY31" s="1">
        <f t="shared" si="69"/>
        <v>-73756</v>
      </c>
      <c r="AZ31" s="8">
        <f t="shared" si="35"/>
        <v>555</v>
      </c>
      <c r="BA31" s="6">
        <f>IF(RTD("tos.rtd",,BA$2,"."&amp;$A$2&amp;$AS$1&amp;"C"&amp;$A31)="N/A",0,RTD("tos.rtd",,BA$2,"."&amp;$A$2&amp;$AS$1&amp;"C"&amp;$A31))</f>
        <v>0</v>
      </c>
      <c r="BB31" s="7">
        <f>-IF(RTD("tos.rtd",,BB$2,"."&amp;$A$2&amp;$AS$1&amp;"P"&amp;$A31)="N/A",0,RTD("tos.rtd",,BB$2,"."&amp;$A$2&amp;$AS$1&amp;"P"&amp;$A31))</f>
        <v>0</v>
      </c>
      <c r="BC31" s="6">
        <f>IF(RTD("tos.rtd",,BC$2,"."&amp;$A$2&amp;$AU$1&amp;"C"&amp;$A31)="N/A",0,RTD("tos.rtd",,BC$2,"."&amp;$A$2&amp;$AU$1&amp;"C"&amp;$A31))</f>
        <v>1732</v>
      </c>
      <c r="BD31" s="7">
        <f>-IF(RTD("tos.rtd",,BD$2,"."&amp;$A$2&amp;$AU$1&amp;"P"&amp;$A31)="N/A",0,RTD("tos.rtd",,BD$2,"."&amp;$A$2&amp;$AU$1&amp;"P"&amp;$A31))</f>
        <v>-50982</v>
      </c>
      <c r="BE31" s="6">
        <f>IF(RTD("tos.rtd",,BE$2,"."&amp;$A$2&amp;$AW$1&amp;"C"&amp;$A31)="N/A",0,RTD("tos.rtd",,BE$2,"."&amp;$A$2&amp;$AW$1&amp;"C"&amp;$A31))</f>
        <v>703</v>
      </c>
      <c r="BF31" s="83">
        <f>-IF(RTD("tos.rtd",,BF$2,"."&amp;$A$2&amp;$AW$1&amp;"P"&amp;$A31)="N/A",0,RTD("tos.rtd",,BF$2,"."&amp;$A$2&amp;$AW$1&amp;"P"&amp;$A31))</f>
        <v>-14321</v>
      </c>
      <c r="BG31" s="32">
        <f ca="1">+Hoja2!Y32</f>
        <v>-11152</v>
      </c>
      <c r="BH31" s="7">
        <f t="shared" ca="1" si="36"/>
        <v>-74020</v>
      </c>
      <c r="BI31" s="8" t="str">
        <f t="shared" ref="BI31" ca="1" si="188">IF(AND(BH31&lt;0,BH30&gt;0), "Cruce -", IF(AND(BH31&gt;0,BH30&lt;0),"Cruce +", ""))</f>
        <v/>
      </c>
      <c r="BJ31" s="3" t="e">
        <f ca="1">IF($BP$1=1,DX31,IF(RTD("tos.rtd",,BJ$2,"."&amp;$A$2&amp;$AS$1&amp;"C"&amp;$A31)="N/A",0,RTD("tos.rtd",,BJ$2,"."&amp;$A$2&amp;$AS$1&amp;"C"&amp;$A31)))</f>
        <v>#NUM!</v>
      </c>
      <c r="BK31" s="3" t="e">
        <f ca="1">IF($BP$1=1,DY31,-IF(RTD("tos.rtd",,BK$2,"."&amp;$A$2&amp;$AS$1&amp;"P"&amp;$A31)="N/A",0,RTD("tos.rtd",,BK$2,"."&amp;$A$2&amp;$AS$1&amp;"P"&amp;$A31)))</f>
        <v>#NUM!</v>
      </c>
      <c r="BL31" s="3" t="e">
        <f ca="1">IF($BP$1=1,DZ31,IF(RTD("tos.rtd",,BL$2,"."&amp;$A$2&amp;$AU$1&amp;"C"&amp;$A31)="N/A",0,RTD("tos.rtd",,BL$2,"."&amp;$A$2&amp;$AU$1&amp;"C"&amp;$A31)))</f>
        <v>#NUM!</v>
      </c>
      <c r="BM31" s="3" t="e">
        <f ca="1">IF($BP$1=1,EA31,-IF(RTD("tos.rtd",,BM$2,"."&amp;$A$2&amp;$AU$1&amp;"P"&amp;$A31)="N/A",0,RTD("tos.rtd",,BM$2,"."&amp;$A$2&amp;$AU$1&amp;"P"&amp;$A31)))</f>
        <v>#NUM!</v>
      </c>
      <c r="BN31" s="3" t="e">
        <f ca="1">IF($BP$1=1,EB31,IF(RTD("tos.rtd",,BN$2,"."&amp;$A$2&amp;$AW$1&amp;"C"&amp;$A31)="N/A",0,RTD("tos.rtd",,BN$2,"."&amp;$A$2&amp;$AW$1&amp;"C"&amp;$A31)))</f>
        <v>#NUM!</v>
      </c>
      <c r="BO31" s="3" t="e">
        <f ca="1">IF($BP$1=1,EC31,-IF(RTD("tos.rtd",,BO$2,"."&amp;$A$2&amp;$AW$1&amp;"P"&amp;$A31)="N/A",0,RTD("tos.rtd",,BO$2,"."&amp;$A$2&amp;$AW$1&amp;"P"&amp;$A31)))</f>
        <v>#NUM!</v>
      </c>
      <c r="BQ31" s="3" t="e">
        <f t="shared" ca="1" si="37"/>
        <v>#NUM!</v>
      </c>
      <c r="BR31" s="3" t="e">
        <f t="shared" ca="1" si="71"/>
        <v>#NUM!</v>
      </c>
      <c r="BS31" s="3" t="e">
        <f t="shared" ca="1" si="38"/>
        <v>#NUM!</v>
      </c>
      <c r="BT31" s="3" t="e">
        <f t="shared" ca="1" si="71"/>
        <v>#NUM!</v>
      </c>
      <c r="BU31" s="3" t="e">
        <f t="shared" ca="1" si="39"/>
        <v>#NUM!</v>
      </c>
      <c r="BV31" s="3" t="e">
        <f t="shared" ref="BV31" ca="1" si="189">IF(AND(BU31&lt;0,BU30&gt;0), "Cruce -", IF(AND(BU31&gt;0,BU30&lt;0),"Cruce +", ""))</f>
        <v>#NUM!</v>
      </c>
      <c r="BX31" s="3" t="e">
        <f t="shared" ca="1" si="40"/>
        <v>#NUM!</v>
      </c>
      <c r="BY31" s="3" t="e">
        <f t="shared" ca="1" si="73"/>
        <v>#NUM!</v>
      </c>
      <c r="BZ31" s="3" t="e">
        <f t="shared" ca="1" si="41"/>
        <v>#NUM!</v>
      </c>
      <c r="CA31" s="3" t="e">
        <f t="shared" ca="1" si="74"/>
        <v>#NUM!</v>
      </c>
      <c r="CB31" s="3" t="e">
        <f t="shared" ca="1" si="42"/>
        <v>#NUM!</v>
      </c>
      <c r="CC31" s="3" t="e">
        <f t="shared" ca="1" si="75"/>
        <v>#NUM!</v>
      </c>
      <c r="CD31" s="3">
        <f>IF(RTD("tos.rtd",,CD$2,"."&amp;$A$2&amp;$AS$1&amp;"C"&amp;$A31)="N/A",0,RTD("tos.rtd",,CD$2,"."&amp;$A$2&amp;$AS$1&amp;"C"&amp;$A31))</f>
        <v>1</v>
      </c>
      <c r="CE31" s="3">
        <f>-IF(RTD("tos.rtd",,CE$2,"."&amp;$A$2&amp;$AS$1&amp;"P"&amp;$A31)="N/A",0,RTD("tos.rtd",,CE$2,"."&amp;$A$2&amp;$AS$1&amp;"P"&amp;$A31))</f>
        <v>0</v>
      </c>
      <c r="CF31" s="3">
        <f>IF(RTD("tos.rtd",,CF$2,"."&amp;$A$2&amp;$AU$1&amp;"C"&amp;$A31)="N/A",0,RTD("tos.rtd",,CF$2,"."&amp;$A$2&amp;$AU$1&amp;"C"&amp;$A31))</f>
        <v>1</v>
      </c>
      <c r="CG31" s="3">
        <f>-IF(RTD("tos.rtd",,CG$2,"."&amp;$A$2&amp;$AU$1&amp;"P"&amp;$A31)="N/A",0,RTD("tos.rtd",,CG$2,"."&amp;$A$2&amp;$AU$1&amp;"P"&amp;$A31))</f>
        <v>0</v>
      </c>
      <c r="CH31" s="3">
        <f>IF(RTD("tos.rtd",,CH$2,"."&amp;$A$2&amp;$AW$1&amp;"C"&amp;$A31)="N/A",0,RTD("tos.rtd",,CH$2,"."&amp;$A$2&amp;$AW$1&amp;"C"&amp;$A31))</f>
        <v>1</v>
      </c>
      <c r="CI31" s="3">
        <f>-IF(RTD("tos.rtd",,CI$2,"."&amp;$A$2&amp;$AW$1&amp;"P"&amp;$A31)="N/A",0,RTD("tos.rtd",,CI$2,"."&amp;$A$2&amp;$AW$1&amp;"P"&amp;$A31))</f>
        <v>0.22</v>
      </c>
      <c r="CK31" s="3">
        <f t="shared" si="17"/>
        <v>132900</v>
      </c>
      <c r="CL31" s="3"/>
      <c r="CM31" s="3">
        <f t="shared" si="18"/>
        <v>952900</v>
      </c>
      <c r="CN31" s="3"/>
      <c r="CO31" s="3">
        <f t="shared" si="19"/>
        <v>-563316</v>
      </c>
      <c r="CP31" s="3">
        <f t="shared" si="43"/>
        <v>522484</v>
      </c>
      <c r="CQ31" s="3">
        <f t="shared" si="44"/>
        <v>0</v>
      </c>
      <c r="CR31" s="3"/>
      <c r="CS31" s="3">
        <f t="shared" si="20"/>
        <v>-49250</v>
      </c>
      <c r="CT31" s="3"/>
      <c r="CU31" s="3">
        <f t="shared" si="21"/>
        <v>-13618</v>
      </c>
      <c r="CV31" s="3">
        <f t="shared" si="45"/>
        <v>-62868</v>
      </c>
      <c r="CW31" s="3" t="e">
        <f t="shared" ca="1" si="46"/>
        <v>#NUM!</v>
      </c>
      <c r="CX31" s="85" t="e">
        <f t="shared" ca="1" si="76"/>
        <v>#NUM!</v>
      </c>
      <c r="CY31" s="3" t="e">
        <f t="shared" ca="1" si="47"/>
        <v>#NUM!</v>
      </c>
      <c r="CZ31" s="85" t="e">
        <f t="shared" ca="1" si="77"/>
        <v>#NUM!</v>
      </c>
      <c r="DA31" s="3">
        <f>IF(RTD("tos.rtd",,DA$2,"."&amp;$A$2&amp;$AS$1&amp;"C"&amp;$A31)="N/A",0,RTD("tos.rtd",,DA$2,"."&amp;$A$2&amp;$AS$1&amp;"C"&amp;$A31))</f>
        <v>10.35</v>
      </c>
      <c r="DB31" s="3">
        <f>IF(RTD("tos.rtd",,DB$2,"."&amp;$A$2&amp;$AS$1&amp;"P"&amp;$A31)="N/A",0,RTD("tos.rtd",,DB$2,"."&amp;$A$2&amp;$AS$1&amp;"P"&amp;$A31))</f>
        <v>0.01</v>
      </c>
      <c r="DC31" s="3">
        <f>IF(RTD("tos.rtd",,DC$2,"."&amp;$A$2&amp;$AS$1&amp;"C"&amp;$A31)="N/A",0,RTD("tos.rtd",,DC$2,"."&amp;$A$2&amp;$AS$1&amp;"C"&amp;$A31))</f>
        <v>10.95</v>
      </c>
      <c r="DD31" s="3">
        <f>IF(RTD("tos.rtd",,DD$2,"."&amp;$A$2&amp;$AS$1&amp;"P"&amp;$A31)="N/A",0,RTD("tos.rtd",,DD$2,"."&amp;$A$2&amp;$AS$1&amp;"P"&amp;$A31))</f>
        <v>0.01</v>
      </c>
      <c r="DE31" s="3">
        <f>IF(RTD("tos.rtd",,DE$2,"."&amp;$A$2&amp;$AS$1&amp;"C"&amp;$A31)="N/A",0,RTD("tos.rtd",,DE$2,"."&amp;$A$2&amp;$AS$1&amp;"C"&amp;$A31))</f>
        <v>8.98</v>
      </c>
      <c r="DF31" s="3">
        <f>IF(RTD("tos.rtd",,DF$2,"."&amp;$A$2&amp;$AS$1&amp;"P"&amp;$A31)="N/A",0,RTD("tos.rtd",,DF$2,"."&amp;$A$2&amp;$AS$1&amp;"P"&amp;$A31))</f>
        <v>0</v>
      </c>
      <c r="DG31" s="86">
        <f t="shared" si="48"/>
        <v>-16.110000000000014</v>
      </c>
      <c r="DH31" s="3">
        <f t="shared" si="22"/>
        <v>-1598.7969543147208</v>
      </c>
      <c r="DI31" s="3">
        <f t="shared" si="49"/>
        <v>49823</v>
      </c>
      <c r="DJ31" s="3">
        <f t="shared" si="50"/>
        <v>-2299</v>
      </c>
      <c r="DK31" s="3">
        <f t="shared" si="51"/>
        <v>49823</v>
      </c>
      <c r="DL31" s="3">
        <f t="shared" si="52"/>
        <v>48224.203045685281</v>
      </c>
      <c r="DM31" s="3">
        <f t="shared" si="53"/>
        <v>47524</v>
      </c>
      <c r="DN31" s="63" t="str">
        <f t="shared" si="54"/>
        <v>UNKNOWN</v>
      </c>
      <c r="DO31" s="63" t="str">
        <f t="shared" si="55"/>
        <v>UNKNOWN</v>
      </c>
      <c r="DP31" s="3">
        <f t="shared" si="56"/>
        <v>-16049.318477157361</v>
      </c>
      <c r="DQ31" s="3">
        <f t="shared" si="57"/>
        <v>-23296.42</v>
      </c>
      <c r="DR31" s="3" t="e">
        <f t="shared" ca="1" si="58"/>
        <v>#NUM!</v>
      </c>
      <c r="DS31" s="3">
        <f t="shared" si="59"/>
        <v>-2299</v>
      </c>
      <c r="DT31" s="3">
        <f t="shared" si="60"/>
        <v>-2299</v>
      </c>
      <c r="DU31" s="3">
        <f t="shared" si="61"/>
        <v>49823</v>
      </c>
      <c r="DV31" s="3">
        <f t="shared" si="62"/>
        <v>1103</v>
      </c>
      <c r="DW31" s="3">
        <f t="shared" si="23"/>
        <v>-1874</v>
      </c>
      <c r="DX31" s="3" t="e">
        <f t="shared" ca="1" si="24"/>
        <v>#NUM!</v>
      </c>
      <c r="DY31" s="3" t="e">
        <f t="shared" ca="1" si="25"/>
        <v>#NUM!</v>
      </c>
      <c r="DZ31" s="3" t="e">
        <f t="shared" ca="1" si="26"/>
        <v>#NUM!</v>
      </c>
      <c r="EA31" s="3" t="e">
        <f t="shared" ca="1" si="27"/>
        <v>#NUM!</v>
      </c>
      <c r="EB31" s="3" t="e">
        <f t="shared" ca="1" si="28"/>
        <v>#NUM!</v>
      </c>
      <c r="EC31" s="3" t="e">
        <f t="shared" ca="1" si="29"/>
        <v>#NUM!</v>
      </c>
      <c r="ED31" s="63">
        <f t="shared" si="63"/>
        <v>-771</v>
      </c>
      <c r="EE31" s="59">
        <f t="shared" si="64"/>
        <v>0.25</v>
      </c>
      <c r="EF31" s="59">
        <f t="shared" si="30"/>
        <v>1.3707</v>
      </c>
      <c r="EG31" s="59">
        <f t="shared" si="31"/>
        <v>0.25</v>
      </c>
      <c r="EH31" s="59">
        <f t="shared" si="32"/>
        <v>1.3707</v>
      </c>
      <c r="EI31" s="59">
        <f t="shared" si="33"/>
        <v>0.25</v>
      </c>
      <c r="EJ31" s="59">
        <f t="shared" si="34"/>
        <v>0.34039999999999998</v>
      </c>
      <c r="EK31" s="63" t="e">
        <f t="shared" ca="1" si="65"/>
        <v>#NUM!</v>
      </c>
      <c r="EL31" s="3" t="str">
        <f>RTD("tos.rtd",,EL$2,"."&amp;$A$2&amp;$AS$1&amp;"C"&amp;$A31)</f>
        <v>--</v>
      </c>
      <c r="EM31" s="3" t="str">
        <f>RTD("tos.rtd",,EM$2,"."&amp;$A$2&amp;$AS$1&amp;"P"&amp;$A31)</f>
        <v>137.07%</v>
      </c>
      <c r="EN31" s="3" t="str">
        <f>RTD("tos.rtd",,EN$2,"."&amp;$A$2&amp;$AU$1&amp;"C"&amp;$A31)</f>
        <v>--</v>
      </c>
      <c r="EO31" s="3" t="str">
        <f>RTD("tos.rtd",,EO$2,"."&amp;$A$2&amp;$AU$1&amp;"P"&amp;$A31)</f>
        <v>137.07%</v>
      </c>
      <c r="EP31" s="3" t="str">
        <f>RTD("tos.rtd",,EP$2,"."&amp;$A$2&amp;$AW$1&amp;"C"&amp;$A31)</f>
        <v>--</v>
      </c>
      <c r="EQ31" s="3" t="str">
        <f>RTD("tos.rtd",,EQ$2,"."&amp;$A$2&amp;$AW$1&amp;"P"&amp;$A31)</f>
        <v>34.04%</v>
      </c>
      <c r="ES31" s="63" t="str">
        <f t="shared" si="66"/>
        <v>555,-771.00</v>
      </c>
      <c r="ET31" s="63" t="str">
        <f t="shared" ca="1" si="67"/>
        <v>555,00.00</v>
      </c>
      <c r="EU31" s="67">
        <v>561.16</v>
      </c>
      <c r="EV31" s="67" t="s">
        <v>267</v>
      </c>
      <c r="EW31" s="67">
        <v>483.51</v>
      </c>
      <c r="EX31" s="67" t="s">
        <v>268</v>
      </c>
      <c r="EY31" s="67">
        <v>5631.28</v>
      </c>
      <c r="EZ31" s="67" t="s">
        <v>269</v>
      </c>
      <c r="FA31" s="67">
        <v>19867.973000000002</v>
      </c>
      <c r="FB31" s="67" t="s">
        <v>270</v>
      </c>
      <c r="FC31" s="67" t="s">
        <v>271</v>
      </c>
      <c r="FD31" s="67" t="s">
        <v>272</v>
      </c>
      <c r="FE31" s="67" t="s">
        <v>273</v>
      </c>
      <c r="FF31" s="67" t="s">
        <v>274</v>
      </c>
    </row>
    <row r="32" spans="1:162" s="63" customFormat="1" ht="13.5" thickBot="1" x14ac:dyDescent="0.25">
      <c r="A32" s="2">
        <f t="shared" si="68"/>
        <v>554</v>
      </c>
      <c r="B32" s="3">
        <f t="shared" si="9"/>
        <v>5238</v>
      </c>
      <c r="C32" s="3">
        <f t="shared" si="10"/>
        <v>8820</v>
      </c>
      <c r="D32" s="3">
        <f t="shared" si="11"/>
        <v>4652</v>
      </c>
      <c r="E32" s="3">
        <f t="shared" si="12"/>
        <v>18710</v>
      </c>
      <c r="F32" s="4">
        <f t="shared" si="13"/>
        <v>5574.3394442401641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>
        <v>-637</v>
      </c>
      <c r="AN32" s="1">
        <v>-9154</v>
      </c>
      <c r="AO32" s="1">
        <v>554</v>
      </c>
      <c r="AP32" s="1">
        <v>1003</v>
      </c>
      <c r="AQ32" s="1">
        <v>-22095</v>
      </c>
      <c r="AR32" s="1"/>
      <c r="AS32" s="6">
        <f>IF(RTD("tos.rtd",,AS$2,"."&amp;$A$2&amp;$AS$1&amp;"C"&amp;$A32)="N/A",0,RTD("tos.rtd",,AS$2,"."&amp;$A$2&amp;$AS$1&amp;"C"&amp;$A32))</f>
        <v>770</v>
      </c>
      <c r="AT32" s="7">
        <f>-IF(RTD("tos.rtd",,AT$2,"."&amp;$A$2&amp;$AS$1&amp;"P"&amp;$A32)="N/A",0,RTD("tos.rtd",,AT$2,"."&amp;$A$2&amp;$AS$1&amp;"P"&amp;$A32))</f>
        <v>-4468</v>
      </c>
      <c r="AU32" s="6">
        <f>IF(RTD("tos.rtd",,AU$2,"."&amp;$A$2&amp;$AU$1&amp;"C"&amp;$A32)="N/A",0,RTD("tos.rtd",,AU$2,"."&amp;$A$2&amp;$AU$1&amp;"C"&amp;$A32))</f>
        <v>762</v>
      </c>
      <c r="AV32" s="7">
        <f>-IF(RTD("tos.rtd",,AV$2,"."&amp;$A$2&amp;$AU$1&amp;"P"&amp;$A32)="N/A",0,RTD("tos.rtd",,AV$2,"."&amp;$A$2&amp;$AU$1&amp;"P"&amp;$A32))</f>
        <v>-8058</v>
      </c>
      <c r="AW32" s="6">
        <f>IF(RTD("tos.rtd",,AW$2,"."&amp;$A$2&amp;$AW$1&amp;"C"&amp;$A32)="N/A",0,RTD("tos.rtd",,AW$2,"."&amp;$A$2&amp;$AW$1&amp;"C"&amp;$A32))</f>
        <v>2061</v>
      </c>
      <c r="AX32" s="7">
        <f>-IF(RTD("tos.rtd",,AX$2,"."&amp;$A$2&amp;$AW$1&amp;"P"&amp;$A32)="N/A",0,RTD("tos.rtd",,AX$2,"."&amp;$A$2&amp;$AW$1&amp;"P"&amp;$A32))</f>
        <v>-2591</v>
      </c>
      <c r="AY32" s="1">
        <f t="shared" si="69"/>
        <v>-11524</v>
      </c>
      <c r="AZ32" s="8">
        <f t="shared" si="35"/>
        <v>554</v>
      </c>
      <c r="BA32" s="6">
        <f>IF(RTD("tos.rtd",,BA$2,"."&amp;$A$2&amp;$AS$1&amp;"C"&amp;$A32)="N/A",0,RTD("tos.rtd",,BA$2,"."&amp;$A$2&amp;$AS$1&amp;"C"&amp;$A32))</f>
        <v>0</v>
      </c>
      <c r="BB32" s="7">
        <f>-IF(RTD("tos.rtd",,BB$2,"."&amp;$A$2&amp;$AS$1&amp;"P"&amp;$A32)="N/A",0,RTD("tos.rtd",,BB$2,"."&amp;$A$2&amp;$AS$1&amp;"P"&amp;$A32))</f>
        <v>0</v>
      </c>
      <c r="BC32" s="6">
        <f>IF(RTD("tos.rtd",,BC$2,"."&amp;$A$2&amp;$AU$1&amp;"C"&amp;$A32)="N/A",0,RTD("tos.rtd",,BC$2,"."&amp;$A$2&amp;$AU$1&amp;"C"&amp;$A32))</f>
        <v>853</v>
      </c>
      <c r="BD32" s="7">
        <f>-IF(RTD("tos.rtd",,BD$2,"."&amp;$A$2&amp;$AU$1&amp;"P"&amp;$A32)="N/A",0,RTD("tos.rtd",,BD$2,"."&amp;$A$2&amp;$AU$1&amp;"P"&amp;$A32))</f>
        <v>-21468</v>
      </c>
      <c r="BE32" s="6">
        <f>IF(RTD("tos.rtd",,BE$2,"."&amp;$A$2&amp;$AW$1&amp;"C"&amp;$A32)="N/A",0,RTD("tos.rtd",,BE$2,"."&amp;$A$2&amp;$AW$1&amp;"C"&amp;$A32))</f>
        <v>130</v>
      </c>
      <c r="BF32" s="83">
        <f>-IF(RTD("tos.rtd",,BF$2,"."&amp;$A$2&amp;$AW$1&amp;"P"&amp;$A32)="N/A",0,RTD("tos.rtd",,BF$2,"."&amp;$A$2&amp;$AW$1&amp;"P"&amp;$A32))</f>
        <v>-2238</v>
      </c>
      <c r="BG32" s="32">
        <f ca="1">+Hoja2!Y33</f>
        <v>-1501</v>
      </c>
      <c r="BH32" s="7">
        <f t="shared" ca="1" si="36"/>
        <v>-24224</v>
      </c>
      <c r="BI32" s="8" t="str">
        <f t="shared" ref="BI32" ca="1" si="190">IF(AND(BH32&lt;0,BH31&gt;0), "Cruce -", IF(AND(BH32&gt;0,BH31&lt;0),"Cruce +", ""))</f>
        <v/>
      </c>
      <c r="BJ32" s="3" t="e">
        <f ca="1">IF($BP$1=1,DX32,IF(RTD("tos.rtd",,BJ$2,"."&amp;$A$2&amp;$AS$1&amp;"C"&amp;$A32)="N/A",0,RTD("tos.rtd",,BJ$2,"."&amp;$A$2&amp;$AS$1&amp;"C"&amp;$A32)))</f>
        <v>#NUM!</v>
      </c>
      <c r="BK32" s="3" t="e">
        <f ca="1">IF($BP$1=1,DY32,-IF(RTD("tos.rtd",,BK$2,"."&amp;$A$2&amp;$AS$1&amp;"P"&amp;$A32)="N/A",0,RTD("tos.rtd",,BK$2,"."&amp;$A$2&amp;$AS$1&amp;"P"&amp;$A32)))</f>
        <v>#NUM!</v>
      </c>
      <c r="BL32" s="3" t="e">
        <f ca="1">IF($BP$1=1,DZ32,IF(RTD("tos.rtd",,BL$2,"."&amp;$A$2&amp;$AU$1&amp;"C"&amp;$A32)="N/A",0,RTD("tos.rtd",,BL$2,"."&amp;$A$2&amp;$AU$1&amp;"C"&amp;$A32)))</f>
        <v>#NUM!</v>
      </c>
      <c r="BM32" s="3" t="e">
        <f ca="1">IF($BP$1=1,EA32,-IF(RTD("tos.rtd",,BM$2,"."&amp;$A$2&amp;$AU$1&amp;"P"&amp;$A32)="N/A",0,RTD("tos.rtd",,BM$2,"."&amp;$A$2&amp;$AU$1&amp;"P"&amp;$A32)))</f>
        <v>#NUM!</v>
      </c>
      <c r="BN32" s="3" t="e">
        <f ca="1">IF($BP$1=1,EB32,IF(RTD("tos.rtd",,BN$2,"."&amp;$A$2&amp;$AW$1&amp;"C"&amp;$A32)="N/A",0,RTD("tos.rtd",,BN$2,"."&amp;$A$2&amp;$AW$1&amp;"C"&amp;$A32)))</f>
        <v>#NUM!</v>
      </c>
      <c r="BO32" s="3" t="e">
        <f ca="1">IF($BP$1=1,EC32,-IF(RTD("tos.rtd",,BO$2,"."&amp;$A$2&amp;$AW$1&amp;"P"&amp;$A32)="N/A",0,RTD("tos.rtd",,BO$2,"."&amp;$A$2&amp;$AW$1&amp;"P"&amp;$A32)))</f>
        <v>#NUM!</v>
      </c>
      <c r="BQ32" s="3" t="e">
        <f t="shared" ca="1" si="37"/>
        <v>#NUM!</v>
      </c>
      <c r="BR32" s="3" t="e">
        <f t="shared" ca="1" si="71"/>
        <v>#NUM!</v>
      </c>
      <c r="BS32" s="3" t="e">
        <f t="shared" ca="1" si="38"/>
        <v>#NUM!</v>
      </c>
      <c r="BT32" s="3" t="e">
        <f t="shared" ca="1" si="71"/>
        <v>#NUM!</v>
      </c>
      <c r="BU32" s="3" t="e">
        <f t="shared" ca="1" si="39"/>
        <v>#NUM!</v>
      </c>
      <c r="BV32" s="3" t="e">
        <f t="shared" ref="BV32" ca="1" si="191">IF(AND(BU32&lt;0,BU31&gt;0), "Cruce -", IF(AND(BU32&gt;0,BU31&lt;0),"Cruce +", ""))</f>
        <v>#NUM!</v>
      </c>
      <c r="BX32" s="3" t="e">
        <f t="shared" ca="1" si="40"/>
        <v>#NUM!</v>
      </c>
      <c r="BY32" s="3" t="e">
        <f t="shared" ca="1" si="73"/>
        <v>#NUM!</v>
      </c>
      <c r="BZ32" s="3" t="e">
        <f t="shared" ca="1" si="41"/>
        <v>#NUM!</v>
      </c>
      <c r="CA32" s="3" t="e">
        <f t="shared" ca="1" si="74"/>
        <v>#NUM!</v>
      </c>
      <c r="CB32" s="3" t="e">
        <f t="shared" ca="1" si="42"/>
        <v>#NUM!</v>
      </c>
      <c r="CC32" s="3" t="e">
        <f t="shared" ca="1" si="75"/>
        <v>#NUM!</v>
      </c>
      <c r="CD32" s="3">
        <f>IF(RTD("tos.rtd",,CD$2,"."&amp;$A$2&amp;$AS$1&amp;"C"&amp;$A32)="N/A",0,RTD("tos.rtd",,CD$2,"."&amp;$A$2&amp;$AS$1&amp;"C"&amp;$A32))</f>
        <v>1</v>
      </c>
      <c r="CE32" s="3">
        <f>-IF(RTD("tos.rtd",,CE$2,"."&amp;$A$2&amp;$AS$1&amp;"P"&amp;$A32)="N/A",0,RTD("tos.rtd",,CE$2,"."&amp;$A$2&amp;$AS$1&amp;"P"&amp;$A32))</f>
        <v>0</v>
      </c>
      <c r="CF32" s="3">
        <f>IF(RTD("tos.rtd",,CF$2,"."&amp;$A$2&amp;$AU$1&amp;"C"&amp;$A32)="N/A",0,RTD("tos.rtd",,CF$2,"."&amp;$A$2&amp;$AU$1&amp;"C"&amp;$A32))</f>
        <v>1</v>
      </c>
      <c r="CG32" s="3">
        <f>-IF(RTD("tos.rtd",,CG$2,"."&amp;$A$2&amp;$AU$1&amp;"P"&amp;$A32)="N/A",0,RTD("tos.rtd",,CG$2,"."&amp;$A$2&amp;$AU$1&amp;"P"&amp;$A32))</f>
        <v>0</v>
      </c>
      <c r="CH32" s="3">
        <f>IF(RTD("tos.rtd",,CH$2,"."&amp;$A$2&amp;$AW$1&amp;"C"&amp;$A32)="N/A",0,RTD("tos.rtd",,CH$2,"."&amp;$A$2&amp;$AW$1&amp;"C"&amp;$A32))</f>
        <v>1</v>
      </c>
      <c r="CI32" s="3">
        <f>-IF(RTD("tos.rtd",,CI$2,"."&amp;$A$2&amp;$AW$1&amp;"P"&amp;$A32)="N/A",0,RTD("tos.rtd",,CI$2,"."&amp;$A$2&amp;$AW$1&amp;"P"&amp;$A32))</f>
        <v>0.21</v>
      </c>
      <c r="CK32" s="3">
        <f t="shared" si="17"/>
        <v>77000</v>
      </c>
      <c r="CL32" s="3"/>
      <c r="CM32" s="3">
        <f t="shared" si="18"/>
        <v>76200</v>
      </c>
      <c r="CN32" s="3"/>
      <c r="CO32" s="3">
        <f t="shared" si="19"/>
        <v>151689</v>
      </c>
      <c r="CP32" s="3">
        <f t="shared" si="43"/>
        <v>304889</v>
      </c>
      <c r="CQ32" s="3">
        <f t="shared" si="44"/>
        <v>0</v>
      </c>
      <c r="CR32" s="3"/>
      <c r="CS32" s="3">
        <f t="shared" si="20"/>
        <v>-20615</v>
      </c>
      <c r="CT32" s="3"/>
      <c r="CU32" s="3">
        <f t="shared" si="21"/>
        <v>-2108</v>
      </c>
      <c r="CV32" s="3">
        <f t="shared" si="45"/>
        <v>-22723</v>
      </c>
      <c r="CW32" s="3" t="e">
        <f t="shared" ca="1" si="46"/>
        <v>#NUM!</v>
      </c>
      <c r="CX32" s="85" t="e">
        <f t="shared" ca="1" si="76"/>
        <v>#NUM!</v>
      </c>
      <c r="CY32" s="3" t="e">
        <f t="shared" ca="1" si="47"/>
        <v>#NUM!</v>
      </c>
      <c r="CZ32" s="85" t="e">
        <f t="shared" ca="1" si="77"/>
        <v>#NUM!</v>
      </c>
      <c r="DA32" s="3">
        <f>IF(RTD("tos.rtd",,DA$2,"."&amp;$A$2&amp;$AS$1&amp;"C"&amp;$A32)="N/A",0,RTD("tos.rtd",,DA$2,"."&amp;$A$2&amp;$AS$1&amp;"C"&amp;$A32))</f>
        <v>10.86</v>
      </c>
      <c r="DB32" s="3">
        <f>IF(RTD("tos.rtd",,DB$2,"."&amp;$A$2&amp;$AS$1&amp;"P"&amp;$A32)="N/A",0,RTD("tos.rtd",,DB$2,"."&amp;$A$2&amp;$AS$1&amp;"P"&amp;$A32))</f>
        <v>0.01</v>
      </c>
      <c r="DC32" s="3">
        <f>IF(RTD("tos.rtd",,DC$2,"."&amp;$A$2&amp;$AS$1&amp;"C"&amp;$A32)="N/A",0,RTD("tos.rtd",,DC$2,"."&amp;$A$2&amp;$AS$1&amp;"C"&amp;$A32))</f>
        <v>11.94</v>
      </c>
      <c r="DD32" s="3">
        <f>IF(RTD("tos.rtd",,DD$2,"."&amp;$A$2&amp;$AS$1&amp;"P"&amp;$A32)="N/A",0,RTD("tos.rtd",,DD$2,"."&amp;$A$2&amp;$AS$1&amp;"P"&amp;$A32))</f>
        <v>0.01</v>
      </c>
      <c r="DE32" s="3">
        <f>IF(RTD("tos.rtd",,DE$2,"."&amp;$A$2&amp;$AS$1&amp;"C"&amp;$A32)="N/A",0,RTD("tos.rtd",,DE$2,"."&amp;$A$2&amp;$AS$1&amp;"C"&amp;$A32))</f>
        <v>9.98</v>
      </c>
      <c r="DF32" s="3">
        <f>IF(RTD("tos.rtd",,DF$2,"."&amp;$A$2&amp;$AS$1&amp;"P"&amp;$A32)="N/A",0,RTD("tos.rtd",,DF$2,"."&amp;$A$2&amp;$AS$1&amp;"P"&amp;$A32))</f>
        <v>0</v>
      </c>
      <c r="DG32" s="86">
        <f t="shared" si="48"/>
        <v>-17.110000000000014</v>
      </c>
      <c r="DH32" s="3">
        <f t="shared" si="22"/>
        <v>-450.3265306122446</v>
      </c>
      <c r="DI32" s="3">
        <f t="shared" si="49"/>
        <v>22095</v>
      </c>
      <c r="DJ32" s="3">
        <f t="shared" si="50"/>
        <v>0</v>
      </c>
      <c r="DK32" s="3">
        <f t="shared" si="51"/>
        <v>22095</v>
      </c>
      <c r="DL32" s="3">
        <f t="shared" si="52"/>
        <v>21644.673469387755</v>
      </c>
      <c r="DM32" s="3">
        <f t="shared" si="53"/>
        <v>22095</v>
      </c>
      <c r="DN32" s="63" t="str">
        <f t="shared" si="54"/>
        <v>UNKNOWN</v>
      </c>
      <c r="DO32" s="63" t="str">
        <f t="shared" si="55"/>
        <v>UNKNOWN</v>
      </c>
      <c r="DP32" s="3">
        <f t="shared" si="56"/>
        <v>-4669.5961224489765</v>
      </c>
      <c r="DQ32" s="3">
        <f t="shared" si="57"/>
        <v>220.95000000000002</v>
      </c>
      <c r="DR32" s="3" t="e">
        <f t="shared" ca="1" si="58"/>
        <v>#NUM!</v>
      </c>
      <c r="DS32" s="3">
        <f t="shared" si="59"/>
        <v>0</v>
      </c>
      <c r="DT32" s="3">
        <f t="shared" si="60"/>
        <v>-1003</v>
      </c>
      <c r="DU32" s="3">
        <f t="shared" si="61"/>
        <v>22095</v>
      </c>
      <c r="DV32" s="3">
        <f t="shared" si="62"/>
        <v>-637</v>
      </c>
      <c r="DW32" s="3">
        <f t="shared" si="23"/>
        <v>-9154</v>
      </c>
      <c r="DX32" s="3" t="e">
        <f t="shared" ca="1" si="24"/>
        <v>#NUM!</v>
      </c>
      <c r="DY32" s="3" t="e">
        <f t="shared" ca="1" si="25"/>
        <v>#NUM!</v>
      </c>
      <c r="DZ32" s="3" t="e">
        <f t="shared" ca="1" si="26"/>
        <v>#NUM!</v>
      </c>
      <c r="EA32" s="3" t="e">
        <f t="shared" ca="1" si="27"/>
        <v>#NUM!</v>
      </c>
      <c r="EB32" s="3" t="e">
        <f t="shared" ca="1" si="28"/>
        <v>#NUM!</v>
      </c>
      <c r="EC32" s="3" t="e">
        <f t="shared" ca="1" si="29"/>
        <v>#NUM!</v>
      </c>
      <c r="ED32" s="63">
        <f t="shared" si="63"/>
        <v>-9791</v>
      </c>
      <c r="EE32" s="59">
        <f t="shared" si="64"/>
        <v>0.25</v>
      </c>
      <c r="EF32" s="59">
        <f t="shared" si="30"/>
        <v>1.4484999999999999</v>
      </c>
      <c r="EG32" s="59">
        <f t="shared" si="31"/>
        <v>0.25</v>
      </c>
      <c r="EH32" s="59">
        <f t="shared" si="32"/>
        <v>1.4484999999999999</v>
      </c>
      <c r="EI32" s="59">
        <f t="shared" si="33"/>
        <v>0.25</v>
      </c>
      <c r="EJ32" s="59">
        <f t="shared" si="34"/>
        <v>0.33979999999999999</v>
      </c>
      <c r="EK32" s="63" t="e">
        <f t="shared" ca="1" si="65"/>
        <v>#NUM!</v>
      </c>
      <c r="EL32" s="3" t="str">
        <f>RTD("tos.rtd",,EL$2,"."&amp;$A$2&amp;$AS$1&amp;"C"&amp;$A32)</f>
        <v>--</v>
      </c>
      <c r="EM32" s="3" t="str">
        <f>RTD("tos.rtd",,EM$2,"."&amp;$A$2&amp;$AS$1&amp;"P"&amp;$A32)</f>
        <v>144.85%</v>
      </c>
      <c r="EN32" s="3" t="str">
        <f>RTD("tos.rtd",,EN$2,"."&amp;$A$2&amp;$AU$1&amp;"C"&amp;$A32)</f>
        <v>--</v>
      </c>
      <c r="EO32" s="3" t="str">
        <f>RTD("tos.rtd",,EO$2,"."&amp;$A$2&amp;$AU$1&amp;"P"&amp;$A32)</f>
        <v>144.85%</v>
      </c>
      <c r="EP32" s="3" t="str">
        <f>RTD("tos.rtd",,EP$2,"."&amp;$A$2&amp;$AW$1&amp;"C"&amp;$A32)</f>
        <v>--</v>
      </c>
      <c r="EQ32" s="3" t="str">
        <f>RTD("tos.rtd",,EQ$2,"."&amp;$A$2&amp;$AW$1&amp;"P"&amp;$A32)</f>
        <v>33.98%</v>
      </c>
      <c r="ES32" s="63" t="str">
        <f t="shared" si="66"/>
        <v>554,-9791.00</v>
      </c>
      <c r="ET32" s="63" t="str">
        <f t="shared" ca="1" si="67"/>
        <v>554,00.00</v>
      </c>
      <c r="EU32" s="67">
        <v>561.19000000000005</v>
      </c>
      <c r="EV32" s="67" t="s">
        <v>275</v>
      </c>
      <c r="EW32" s="67">
        <v>483.51</v>
      </c>
      <c r="EX32" s="67" t="s">
        <v>276</v>
      </c>
      <c r="EY32" s="67">
        <v>5631.28</v>
      </c>
      <c r="EZ32" s="67" t="s">
        <v>277</v>
      </c>
      <c r="FA32" s="67">
        <v>19867.973000000002</v>
      </c>
      <c r="FB32" s="67" t="s">
        <v>278</v>
      </c>
      <c r="FC32" s="67" t="s">
        <v>279</v>
      </c>
      <c r="FD32" s="67" t="s">
        <v>280</v>
      </c>
      <c r="FE32" s="67" t="s">
        <v>281</v>
      </c>
      <c r="FF32" s="67" t="s">
        <v>282</v>
      </c>
    </row>
    <row r="33" spans="1:162" s="63" customFormat="1" ht="13.5" thickBot="1" x14ac:dyDescent="0.25">
      <c r="A33" s="2">
        <f t="shared" si="68"/>
        <v>553</v>
      </c>
      <c r="B33" s="3">
        <f t="shared" si="9"/>
        <v>3516</v>
      </c>
      <c r="C33" s="3">
        <f t="shared" si="10"/>
        <v>5217</v>
      </c>
      <c r="D33" s="3">
        <f t="shared" si="11"/>
        <v>4254</v>
      </c>
      <c r="E33" s="3">
        <f t="shared" si="12"/>
        <v>12987</v>
      </c>
      <c r="F33" s="4">
        <f t="shared" si="13"/>
        <v>5564.2774596837744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>
        <v>-173</v>
      </c>
      <c r="AN33" s="1">
        <v>3628</v>
      </c>
      <c r="AO33" s="1">
        <v>553</v>
      </c>
      <c r="AP33" s="1">
        <v>297</v>
      </c>
      <c r="AQ33" s="1">
        <v>-20675</v>
      </c>
      <c r="AR33" s="1"/>
      <c r="AS33" s="6">
        <f>IF(RTD("tos.rtd",,AS$2,"."&amp;$A$2&amp;$AS$1&amp;"C"&amp;$A33)="N/A",0,RTD("tos.rtd",,AS$2,"."&amp;$A$2&amp;$AS$1&amp;"C"&amp;$A33))</f>
        <v>273</v>
      </c>
      <c r="AT33" s="7">
        <f>-IF(RTD("tos.rtd",,AT$2,"."&amp;$A$2&amp;$AS$1&amp;"P"&amp;$A33)="N/A",0,RTD("tos.rtd",,AT$2,"."&amp;$A$2&amp;$AS$1&amp;"P"&amp;$A33))</f>
        <v>-3243</v>
      </c>
      <c r="AU33" s="6">
        <f>IF(RTD("tos.rtd",,AU$2,"."&amp;$A$2&amp;$AU$1&amp;"C"&amp;$A33)="N/A",0,RTD("tos.rtd",,AU$2,"."&amp;$A$2&amp;$AU$1&amp;"C"&amp;$A33))</f>
        <v>844</v>
      </c>
      <c r="AV33" s="7">
        <f>-IF(RTD("tos.rtd",,AV$2,"."&amp;$A$2&amp;$AU$1&amp;"P"&amp;$A33)="N/A",0,RTD("tos.rtd",,AV$2,"."&amp;$A$2&amp;$AU$1&amp;"P"&amp;$A33))</f>
        <v>-4373</v>
      </c>
      <c r="AW33" s="6">
        <f>IF(RTD("tos.rtd",,AW$2,"."&amp;$A$2&amp;$AW$1&amp;"C"&amp;$A33)="N/A",0,RTD("tos.rtd",,AW$2,"."&amp;$A$2&amp;$AW$1&amp;"C"&amp;$A33))</f>
        <v>2517</v>
      </c>
      <c r="AX33" s="7">
        <f>-IF(RTD("tos.rtd",,AX$2,"."&amp;$A$2&amp;$AW$1&amp;"P"&amp;$A33)="N/A",0,RTD("tos.rtd",,AX$2,"."&amp;$A$2&amp;$AW$1&amp;"P"&amp;$A33))</f>
        <v>-1737</v>
      </c>
      <c r="AY33" s="1">
        <f t="shared" si="69"/>
        <v>-5719</v>
      </c>
      <c r="AZ33" s="8">
        <f t="shared" si="35"/>
        <v>553</v>
      </c>
      <c r="BA33" s="6">
        <f>IF(RTD("tos.rtd",,BA$2,"."&amp;$A$2&amp;$AS$1&amp;"C"&amp;$A33)="N/A",0,RTD("tos.rtd",,BA$2,"."&amp;$A$2&amp;$AS$1&amp;"C"&amp;$A33))</f>
        <v>0</v>
      </c>
      <c r="BB33" s="7">
        <f>-IF(RTD("tos.rtd",,BB$2,"."&amp;$A$2&amp;$AS$1&amp;"P"&amp;$A33)="N/A",0,RTD("tos.rtd",,BB$2,"."&amp;$A$2&amp;$AS$1&amp;"P"&amp;$A33))</f>
        <v>0</v>
      </c>
      <c r="BC33" s="6">
        <f>IF(RTD("tos.rtd",,BC$2,"."&amp;$A$2&amp;$AU$1&amp;"C"&amp;$A33)="N/A",0,RTD("tos.rtd",,BC$2,"."&amp;$A$2&amp;$AU$1&amp;"C"&amp;$A33))</f>
        <v>228</v>
      </c>
      <c r="BD33" s="7">
        <f>-IF(RTD("tos.rtd",,BD$2,"."&amp;$A$2&amp;$AU$1&amp;"P"&amp;$A33)="N/A",0,RTD("tos.rtd",,BD$2,"."&amp;$A$2&amp;$AU$1&amp;"P"&amp;$A33))</f>
        <v>-15411</v>
      </c>
      <c r="BE33" s="6">
        <f>IF(RTD("tos.rtd",,BE$2,"."&amp;$A$2&amp;$AW$1&amp;"C"&amp;$A33)="N/A",0,RTD("tos.rtd",,BE$2,"."&amp;$A$2&amp;$AW$1&amp;"C"&amp;$A33))</f>
        <v>235</v>
      </c>
      <c r="BF33" s="83">
        <f>-IF(RTD("tos.rtd",,BF$2,"."&amp;$A$2&amp;$AW$1&amp;"P"&amp;$A33)="N/A",0,RTD("tos.rtd",,BF$2,"."&amp;$A$2&amp;$AW$1&amp;"P"&amp;$A33))</f>
        <v>-1283</v>
      </c>
      <c r="BG33" s="32">
        <f ca="1">+Hoja2!Y34</f>
        <v>-1019</v>
      </c>
      <c r="BH33" s="7">
        <f t="shared" ca="1" si="36"/>
        <v>-17250</v>
      </c>
      <c r="BI33" s="8" t="str">
        <f t="shared" ref="BI33" ca="1" si="192">IF(AND(BH33&lt;0,BH32&gt;0), "Cruce -", IF(AND(BH33&gt;0,BH32&lt;0),"Cruce +", ""))</f>
        <v/>
      </c>
      <c r="BJ33" s="3" t="e">
        <f ca="1">IF($BP$1=1,DX33,IF(RTD("tos.rtd",,BJ$2,"."&amp;$A$2&amp;$AS$1&amp;"C"&amp;$A33)="N/A",0,RTD("tos.rtd",,BJ$2,"."&amp;$A$2&amp;$AS$1&amp;"C"&amp;$A33)))</f>
        <v>#NUM!</v>
      </c>
      <c r="BK33" s="3" t="e">
        <f ca="1">IF($BP$1=1,DY33,-IF(RTD("tos.rtd",,BK$2,"."&amp;$A$2&amp;$AS$1&amp;"P"&amp;$A33)="N/A",0,RTD("tos.rtd",,BK$2,"."&amp;$A$2&amp;$AS$1&amp;"P"&amp;$A33)))</f>
        <v>#NUM!</v>
      </c>
      <c r="BL33" s="3" t="e">
        <f ca="1">IF($BP$1=1,DZ33,IF(RTD("tos.rtd",,BL$2,"."&amp;$A$2&amp;$AU$1&amp;"C"&amp;$A33)="N/A",0,RTD("tos.rtd",,BL$2,"."&amp;$A$2&amp;$AU$1&amp;"C"&amp;$A33)))</f>
        <v>#NUM!</v>
      </c>
      <c r="BM33" s="3" t="e">
        <f ca="1">IF($BP$1=1,EA33,-IF(RTD("tos.rtd",,BM$2,"."&amp;$A$2&amp;$AU$1&amp;"P"&amp;$A33)="N/A",0,RTD("tos.rtd",,BM$2,"."&amp;$A$2&amp;$AU$1&amp;"P"&amp;$A33)))</f>
        <v>#NUM!</v>
      </c>
      <c r="BN33" s="3" t="e">
        <f ca="1">IF($BP$1=1,EB33,IF(RTD("tos.rtd",,BN$2,"."&amp;$A$2&amp;$AW$1&amp;"C"&amp;$A33)="N/A",0,RTD("tos.rtd",,BN$2,"."&amp;$A$2&amp;$AW$1&amp;"C"&amp;$A33)))</f>
        <v>#NUM!</v>
      </c>
      <c r="BO33" s="3" t="e">
        <f ca="1">IF($BP$1=1,EC33,-IF(RTD("tos.rtd",,BO$2,"."&amp;$A$2&amp;$AW$1&amp;"P"&amp;$A33)="N/A",0,RTD("tos.rtd",,BO$2,"."&amp;$A$2&amp;$AW$1&amp;"P"&amp;$A33)))</f>
        <v>#NUM!</v>
      </c>
      <c r="BQ33" s="3" t="e">
        <f t="shared" ca="1" si="37"/>
        <v>#NUM!</v>
      </c>
      <c r="BR33" s="3" t="e">
        <f t="shared" ca="1" si="71"/>
        <v>#NUM!</v>
      </c>
      <c r="BS33" s="3" t="e">
        <f t="shared" ca="1" si="38"/>
        <v>#NUM!</v>
      </c>
      <c r="BT33" s="3" t="e">
        <f t="shared" ca="1" si="71"/>
        <v>#NUM!</v>
      </c>
      <c r="BU33" s="3" t="e">
        <f t="shared" ca="1" si="39"/>
        <v>#NUM!</v>
      </c>
      <c r="BV33" s="3" t="e">
        <f t="shared" ref="BV33" ca="1" si="193">IF(AND(BU33&lt;0,BU32&gt;0), "Cruce -", IF(AND(BU33&gt;0,BU32&lt;0),"Cruce +", ""))</f>
        <v>#NUM!</v>
      </c>
      <c r="BX33" s="3" t="e">
        <f t="shared" ca="1" si="40"/>
        <v>#NUM!</v>
      </c>
      <c r="BY33" s="3" t="e">
        <f t="shared" ca="1" si="73"/>
        <v>#NUM!</v>
      </c>
      <c r="BZ33" s="3" t="e">
        <f t="shared" ca="1" si="41"/>
        <v>#NUM!</v>
      </c>
      <c r="CA33" s="3" t="e">
        <f t="shared" ca="1" si="74"/>
        <v>#NUM!</v>
      </c>
      <c r="CB33" s="3" t="e">
        <f t="shared" ca="1" si="42"/>
        <v>#NUM!</v>
      </c>
      <c r="CC33" s="3" t="e">
        <f t="shared" ca="1" si="75"/>
        <v>#NUM!</v>
      </c>
      <c r="CD33" s="3">
        <f>IF(RTD("tos.rtd",,CD$2,"."&amp;$A$2&amp;$AS$1&amp;"C"&amp;$A33)="N/A",0,RTD("tos.rtd",,CD$2,"."&amp;$A$2&amp;$AS$1&amp;"C"&amp;$A33))</f>
        <v>1</v>
      </c>
      <c r="CE33" s="3">
        <f>-IF(RTD("tos.rtd",,CE$2,"."&amp;$A$2&amp;$AS$1&amp;"P"&amp;$A33)="N/A",0,RTD("tos.rtd",,CE$2,"."&amp;$A$2&amp;$AS$1&amp;"P"&amp;$A33))</f>
        <v>0</v>
      </c>
      <c r="CF33" s="3">
        <f>IF(RTD("tos.rtd",,CF$2,"."&amp;$A$2&amp;$AU$1&amp;"C"&amp;$A33)="N/A",0,RTD("tos.rtd",,CF$2,"."&amp;$A$2&amp;$AU$1&amp;"C"&amp;$A33))</f>
        <v>1</v>
      </c>
      <c r="CG33" s="3">
        <f>-IF(RTD("tos.rtd",,CG$2,"."&amp;$A$2&amp;$AU$1&amp;"P"&amp;$A33)="N/A",0,RTD("tos.rtd",,CG$2,"."&amp;$A$2&amp;$AU$1&amp;"P"&amp;$A33))</f>
        <v>0</v>
      </c>
      <c r="CH33" s="3">
        <f>IF(RTD("tos.rtd",,CH$2,"."&amp;$A$2&amp;$AW$1&amp;"C"&amp;$A33)="N/A",0,RTD("tos.rtd",,CH$2,"."&amp;$A$2&amp;$AW$1&amp;"C"&amp;$A33))</f>
        <v>1</v>
      </c>
      <c r="CI33" s="3">
        <f>-IF(RTD("tos.rtd",,CI$2,"."&amp;$A$2&amp;$AW$1&amp;"P"&amp;$A33)="N/A",0,RTD("tos.rtd",,CI$2,"."&amp;$A$2&amp;$AW$1&amp;"P"&amp;$A33))</f>
        <v>0.2</v>
      </c>
      <c r="CK33" s="3">
        <f t="shared" si="17"/>
        <v>27300</v>
      </c>
      <c r="CL33" s="3"/>
      <c r="CM33" s="3">
        <f t="shared" si="18"/>
        <v>84400</v>
      </c>
      <c r="CN33" s="3"/>
      <c r="CO33" s="3">
        <f t="shared" si="19"/>
        <v>216960</v>
      </c>
      <c r="CP33" s="3">
        <f t="shared" si="43"/>
        <v>328660</v>
      </c>
      <c r="CQ33" s="3">
        <f t="shared" si="44"/>
        <v>0</v>
      </c>
      <c r="CR33" s="3"/>
      <c r="CS33" s="3">
        <f t="shared" si="20"/>
        <v>-15183</v>
      </c>
      <c r="CT33" s="3"/>
      <c r="CU33" s="3">
        <f t="shared" si="21"/>
        <v>-1048</v>
      </c>
      <c r="CV33" s="3">
        <f t="shared" si="45"/>
        <v>-16231</v>
      </c>
      <c r="CW33" s="3" t="e">
        <f t="shared" ca="1" si="46"/>
        <v>#NUM!</v>
      </c>
      <c r="CX33" s="85" t="e">
        <f t="shared" ca="1" si="76"/>
        <v>#NUM!</v>
      </c>
      <c r="CY33" s="3" t="e">
        <f t="shared" ca="1" si="47"/>
        <v>#NUM!</v>
      </c>
      <c r="CZ33" s="85" t="e">
        <f t="shared" ca="1" si="77"/>
        <v>#NUM!</v>
      </c>
      <c r="DA33" s="3">
        <f>IF(RTD("tos.rtd",,DA$2,"."&amp;$A$2&amp;$AS$1&amp;"C"&amp;$A33)="N/A",0,RTD("tos.rtd",,DA$2,"."&amp;$A$2&amp;$AS$1&amp;"C"&amp;$A33))</f>
        <v>12.31</v>
      </c>
      <c r="DB33" s="3">
        <f>IF(RTD("tos.rtd",,DB$2,"."&amp;$A$2&amp;$AS$1&amp;"P"&amp;$A33)="N/A",0,RTD("tos.rtd",,DB$2,"."&amp;$A$2&amp;$AS$1&amp;"P"&amp;$A33))</f>
        <v>0.01</v>
      </c>
      <c r="DC33" s="3">
        <f>IF(RTD("tos.rtd",,DC$2,"."&amp;$A$2&amp;$AS$1&amp;"C"&amp;$A33)="N/A",0,RTD("tos.rtd",,DC$2,"."&amp;$A$2&amp;$AS$1&amp;"C"&amp;$A33))</f>
        <v>12.93</v>
      </c>
      <c r="DD33" s="3">
        <f>IF(RTD("tos.rtd",,DD$2,"."&amp;$A$2&amp;$AS$1&amp;"P"&amp;$A33)="N/A",0,RTD("tos.rtd",,DD$2,"."&amp;$A$2&amp;$AS$1&amp;"P"&amp;$A33))</f>
        <v>0.01</v>
      </c>
      <c r="DE33" s="3">
        <f>IF(RTD("tos.rtd",,DE$2,"."&amp;$A$2&amp;$AS$1&amp;"C"&amp;$A33)="N/A",0,RTD("tos.rtd",,DE$2,"."&amp;$A$2&amp;$AS$1&amp;"C"&amp;$A33))</f>
        <v>10.98</v>
      </c>
      <c r="DF33" s="3">
        <f>IF(RTD("tos.rtd",,DF$2,"."&amp;$A$2&amp;$AS$1&amp;"P"&amp;$A33)="N/A",0,RTD("tos.rtd",,DF$2,"."&amp;$A$2&amp;$AS$1&amp;"P"&amp;$A33))</f>
        <v>0</v>
      </c>
      <c r="DG33" s="86">
        <f t="shared" si="48"/>
        <v>-18.110000000000014</v>
      </c>
      <c r="DH33" s="3">
        <f t="shared" si="22"/>
        <v>-202.56923076923084</v>
      </c>
      <c r="DI33" s="3">
        <f t="shared" si="49"/>
        <v>20675</v>
      </c>
      <c r="DJ33" s="3">
        <f t="shared" si="50"/>
        <v>-297</v>
      </c>
      <c r="DK33" s="3">
        <f t="shared" si="51"/>
        <v>20675</v>
      </c>
      <c r="DL33" s="3">
        <f t="shared" si="52"/>
        <v>20472.43076923077</v>
      </c>
      <c r="DM33" s="3">
        <f t="shared" si="53"/>
        <v>20378</v>
      </c>
      <c r="DN33" s="63" t="str">
        <f t="shared" si="54"/>
        <v>UNKNOWN</v>
      </c>
      <c r="DO33" s="63" t="str">
        <f t="shared" si="55"/>
        <v>UNKNOWN</v>
      </c>
      <c r="DP33" s="3">
        <f t="shared" si="56"/>
        <v>-2286.8772307692316</v>
      </c>
      <c r="DQ33" s="3">
        <f t="shared" si="57"/>
        <v>-3449.32</v>
      </c>
      <c r="DR33" s="3" t="e">
        <f t="shared" ca="1" si="58"/>
        <v>#NUM!</v>
      </c>
      <c r="DS33" s="3">
        <f t="shared" si="59"/>
        <v>-297</v>
      </c>
      <c r="DT33" s="3">
        <f t="shared" si="60"/>
        <v>-297</v>
      </c>
      <c r="DU33" s="3">
        <f t="shared" si="61"/>
        <v>20675</v>
      </c>
      <c r="DV33" s="3">
        <f t="shared" si="62"/>
        <v>-173</v>
      </c>
      <c r="DW33" s="3">
        <f t="shared" si="23"/>
        <v>3628</v>
      </c>
      <c r="DX33" s="3" t="e">
        <f t="shared" ca="1" si="24"/>
        <v>#NUM!</v>
      </c>
      <c r="DY33" s="3" t="e">
        <f t="shared" ca="1" si="25"/>
        <v>#NUM!</v>
      </c>
      <c r="DZ33" s="3" t="e">
        <f t="shared" ca="1" si="26"/>
        <v>#NUM!</v>
      </c>
      <c r="EA33" s="3" t="e">
        <f t="shared" ca="1" si="27"/>
        <v>#NUM!</v>
      </c>
      <c r="EB33" s="3" t="e">
        <f t="shared" ca="1" si="28"/>
        <v>#NUM!</v>
      </c>
      <c r="EC33" s="3" t="e">
        <f t="shared" ca="1" si="29"/>
        <v>#NUM!</v>
      </c>
      <c r="ED33" s="63">
        <f t="shared" si="63"/>
        <v>3455</v>
      </c>
      <c r="EE33" s="59">
        <f t="shared" si="64"/>
        <v>0.25</v>
      </c>
      <c r="EF33" s="59">
        <f t="shared" si="30"/>
        <v>1.5261</v>
      </c>
      <c r="EG33" s="59">
        <f t="shared" si="31"/>
        <v>0.25</v>
      </c>
      <c r="EH33" s="59">
        <f t="shared" si="32"/>
        <v>1.5261</v>
      </c>
      <c r="EI33" s="59">
        <f t="shared" si="33"/>
        <v>0.25</v>
      </c>
      <c r="EJ33" s="59">
        <f t="shared" si="34"/>
        <v>0.33889999999999998</v>
      </c>
      <c r="EK33" s="63" t="e">
        <f t="shared" ca="1" si="65"/>
        <v>#NUM!</v>
      </c>
      <c r="EL33" s="3" t="str">
        <f>RTD("tos.rtd",,EL$2,"."&amp;$A$2&amp;$AS$1&amp;"C"&amp;$A33)</f>
        <v>--</v>
      </c>
      <c r="EM33" s="3" t="str">
        <f>RTD("tos.rtd",,EM$2,"."&amp;$A$2&amp;$AS$1&amp;"P"&amp;$A33)</f>
        <v>152.61%</v>
      </c>
      <c r="EN33" s="3" t="str">
        <f>RTD("tos.rtd",,EN$2,"."&amp;$A$2&amp;$AU$1&amp;"C"&amp;$A33)</f>
        <v>--</v>
      </c>
      <c r="EO33" s="3" t="str">
        <f>RTD("tos.rtd",,EO$2,"."&amp;$A$2&amp;$AU$1&amp;"P"&amp;$A33)</f>
        <v>152.61%</v>
      </c>
      <c r="EP33" s="3" t="str">
        <f>RTD("tos.rtd",,EP$2,"."&amp;$A$2&amp;$AW$1&amp;"C"&amp;$A33)</f>
        <v>--</v>
      </c>
      <c r="EQ33" s="3" t="str">
        <f>RTD("tos.rtd",,EQ$2,"."&amp;$A$2&amp;$AW$1&amp;"P"&amp;$A33)</f>
        <v>33.89%</v>
      </c>
      <c r="ES33" s="63" t="str">
        <f t="shared" si="66"/>
        <v>553,3455.00</v>
      </c>
      <c r="ET33" s="63" t="str">
        <f t="shared" ca="1" si="67"/>
        <v>553,00.00</v>
      </c>
      <c r="EU33" s="67">
        <v>561.15</v>
      </c>
      <c r="EV33" s="67" t="s">
        <v>283</v>
      </c>
      <c r="EW33" s="67">
        <v>483.42</v>
      </c>
      <c r="EX33" s="67" t="s">
        <v>284</v>
      </c>
      <c r="EY33" s="67">
        <v>5631.28</v>
      </c>
      <c r="EZ33" s="67" t="s">
        <v>285</v>
      </c>
      <c r="FA33" s="67">
        <v>19867.973000000002</v>
      </c>
      <c r="FB33" s="67" t="s">
        <v>286</v>
      </c>
      <c r="FC33" s="67" t="s">
        <v>287</v>
      </c>
      <c r="FD33" s="67" t="s">
        <v>288</v>
      </c>
      <c r="FE33" s="67" t="s">
        <v>289</v>
      </c>
      <c r="FF33" s="67" t="s">
        <v>290</v>
      </c>
    </row>
    <row r="34" spans="1:162" s="63" customFormat="1" ht="13.5" thickBot="1" x14ac:dyDescent="0.25">
      <c r="A34" s="2">
        <f t="shared" si="68"/>
        <v>552</v>
      </c>
      <c r="B34" s="3">
        <f t="shared" si="9"/>
        <v>3279</v>
      </c>
      <c r="C34" s="3">
        <f t="shared" si="10"/>
        <v>10913</v>
      </c>
      <c r="D34" s="3">
        <f t="shared" si="11"/>
        <v>5235</v>
      </c>
      <c r="E34" s="3">
        <f t="shared" si="12"/>
        <v>19427</v>
      </c>
      <c r="F34" s="4">
        <f t="shared" si="13"/>
        <v>5554.2154751273838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81</v>
      </c>
      <c r="AN34" s="1">
        <v>7695</v>
      </c>
      <c r="AO34" s="1">
        <v>552</v>
      </c>
      <c r="AP34" s="1">
        <v>342</v>
      </c>
      <c r="AQ34" s="1">
        <v>-16120</v>
      </c>
      <c r="AR34" s="1"/>
      <c r="AS34" s="6">
        <f>IF(RTD("tos.rtd",,AS$2,"."&amp;$A$2&amp;$AS$1&amp;"C"&amp;$A34)="N/A",0,RTD("tos.rtd",,AS$2,"."&amp;$A$2&amp;$AS$1&amp;"C"&amp;$A34))</f>
        <v>251</v>
      </c>
      <c r="AT34" s="7">
        <f>-IF(RTD("tos.rtd",,AT$2,"."&amp;$A$2&amp;$AS$1&amp;"P"&amp;$A34)="N/A",0,RTD("tos.rtd",,AT$2,"."&amp;$A$2&amp;$AS$1&amp;"P"&amp;$A34))</f>
        <v>-3028</v>
      </c>
      <c r="AU34" s="6">
        <f>IF(RTD("tos.rtd",,AU$2,"."&amp;$A$2&amp;$AU$1&amp;"C"&amp;$A34)="N/A",0,RTD("tos.rtd",,AU$2,"."&amp;$A$2&amp;$AU$1&amp;"C"&amp;$A34))</f>
        <v>544</v>
      </c>
      <c r="AV34" s="7">
        <f>-IF(RTD("tos.rtd",,AV$2,"."&amp;$A$2&amp;$AU$1&amp;"P"&amp;$A34)="N/A",0,RTD("tos.rtd",,AV$2,"."&amp;$A$2&amp;$AU$1&amp;"P"&amp;$A34))</f>
        <v>-10369</v>
      </c>
      <c r="AW34" s="6">
        <f>IF(RTD("tos.rtd",,AW$2,"."&amp;$A$2&amp;$AW$1&amp;"C"&amp;$A34)="N/A",0,RTD("tos.rtd",,AW$2,"."&amp;$A$2&amp;$AW$1&amp;"C"&amp;$A34))</f>
        <v>1985</v>
      </c>
      <c r="AX34" s="7">
        <f>-IF(RTD("tos.rtd",,AX$2,"."&amp;$A$2&amp;$AW$1&amp;"P"&amp;$A34)="N/A",0,RTD("tos.rtd",,AX$2,"."&amp;$A$2&amp;$AW$1&amp;"P"&amp;$A34))</f>
        <v>-3250</v>
      </c>
      <c r="AY34" s="1">
        <f t="shared" si="69"/>
        <v>-13867</v>
      </c>
      <c r="AZ34" s="8">
        <f t="shared" si="35"/>
        <v>552</v>
      </c>
      <c r="BA34" s="6">
        <f>IF(RTD("tos.rtd",,BA$2,"."&amp;$A$2&amp;$AS$1&amp;"C"&amp;$A34)="N/A",0,RTD("tos.rtd",,BA$2,"."&amp;$A$2&amp;$AS$1&amp;"C"&amp;$A34))</f>
        <v>0</v>
      </c>
      <c r="BB34" s="7">
        <f>-IF(RTD("tos.rtd",,BB$2,"."&amp;$A$2&amp;$AS$1&amp;"P"&amp;$A34)="N/A",0,RTD("tos.rtd",,BB$2,"."&amp;$A$2&amp;$AS$1&amp;"P"&amp;$A34))</f>
        <v>0</v>
      </c>
      <c r="BC34" s="6">
        <f>IF(RTD("tos.rtd",,BC$2,"."&amp;$A$2&amp;$AU$1&amp;"C"&amp;$A34)="N/A",0,RTD("tos.rtd",,BC$2,"."&amp;$A$2&amp;$AU$1&amp;"C"&amp;$A34))</f>
        <v>232</v>
      </c>
      <c r="BD34" s="7">
        <f>-IF(RTD("tos.rtd",,BD$2,"."&amp;$A$2&amp;$AU$1&amp;"P"&amp;$A34)="N/A",0,RTD("tos.rtd",,BD$2,"."&amp;$A$2&amp;$AU$1&amp;"P"&amp;$A34))</f>
        <v>-14323</v>
      </c>
      <c r="BE34" s="6">
        <f>IF(RTD("tos.rtd",,BE$2,"."&amp;$A$2&amp;$AW$1&amp;"C"&amp;$A34)="N/A",0,RTD("tos.rtd",,BE$2,"."&amp;$A$2&amp;$AW$1&amp;"C"&amp;$A34))</f>
        <v>122</v>
      </c>
      <c r="BF34" s="83">
        <f>-IF(RTD("tos.rtd",,BF$2,"."&amp;$A$2&amp;$AW$1&amp;"P"&amp;$A34)="N/A",0,RTD("tos.rtd",,BF$2,"."&amp;$A$2&amp;$AW$1&amp;"P"&amp;$A34))</f>
        <v>-3328</v>
      </c>
      <c r="BG34" s="32">
        <f ca="1">+Hoja2!Y35</f>
        <v>-664</v>
      </c>
      <c r="BH34" s="7">
        <f t="shared" ca="1" si="36"/>
        <v>-17961</v>
      </c>
      <c r="BI34" s="8" t="str">
        <f t="shared" ref="BI34" ca="1" si="194">IF(AND(BH34&lt;0,BH33&gt;0), "Cruce -", IF(AND(BH34&gt;0,BH33&lt;0),"Cruce +", ""))</f>
        <v/>
      </c>
      <c r="BJ34" s="3" t="e">
        <f ca="1">IF($BP$1=1,DX34,IF(RTD("tos.rtd",,BJ$2,"."&amp;$A$2&amp;$AS$1&amp;"C"&amp;$A34)="N/A",0,RTD("tos.rtd",,BJ$2,"."&amp;$A$2&amp;$AS$1&amp;"C"&amp;$A34)))</f>
        <v>#NUM!</v>
      </c>
      <c r="BK34" s="3" t="e">
        <f ca="1">IF($BP$1=1,DY34,-IF(RTD("tos.rtd",,BK$2,"."&amp;$A$2&amp;$AS$1&amp;"P"&amp;$A34)="N/A",0,RTD("tos.rtd",,BK$2,"."&amp;$A$2&amp;$AS$1&amp;"P"&amp;$A34)))</f>
        <v>#NUM!</v>
      </c>
      <c r="BL34" s="3" t="e">
        <f ca="1">IF($BP$1=1,DZ34,IF(RTD("tos.rtd",,BL$2,"."&amp;$A$2&amp;$AU$1&amp;"C"&amp;$A34)="N/A",0,RTD("tos.rtd",,BL$2,"."&amp;$A$2&amp;$AU$1&amp;"C"&amp;$A34)))</f>
        <v>#NUM!</v>
      </c>
      <c r="BM34" s="3" t="e">
        <f ca="1">IF($BP$1=1,EA34,-IF(RTD("tos.rtd",,BM$2,"."&amp;$A$2&amp;$AU$1&amp;"P"&amp;$A34)="N/A",0,RTD("tos.rtd",,BM$2,"."&amp;$A$2&amp;$AU$1&amp;"P"&amp;$A34)))</f>
        <v>#NUM!</v>
      </c>
      <c r="BN34" s="3" t="e">
        <f ca="1">IF($BP$1=1,EB34,IF(RTD("tos.rtd",,BN$2,"."&amp;$A$2&amp;$AW$1&amp;"C"&amp;$A34)="N/A",0,RTD("tos.rtd",,BN$2,"."&amp;$A$2&amp;$AW$1&amp;"C"&amp;$A34)))</f>
        <v>#NUM!</v>
      </c>
      <c r="BO34" s="3" t="e">
        <f ca="1">IF($BP$1=1,EC34,-IF(RTD("tos.rtd",,BO$2,"."&amp;$A$2&amp;$AW$1&amp;"P"&amp;$A34)="N/A",0,RTD("tos.rtd",,BO$2,"."&amp;$A$2&amp;$AW$1&amp;"P"&amp;$A34)))</f>
        <v>#NUM!</v>
      </c>
      <c r="BQ34" s="3" t="e">
        <f t="shared" ca="1" si="37"/>
        <v>#NUM!</v>
      </c>
      <c r="BR34" s="3" t="e">
        <f t="shared" ca="1" si="71"/>
        <v>#NUM!</v>
      </c>
      <c r="BS34" s="3" t="e">
        <f t="shared" ca="1" si="38"/>
        <v>#NUM!</v>
      </c>
      <c r="BT34" s="3" t="e">
        <f t="shared" ca="1" si="71"/>
        <v>#NUM!</v>
      </c>
      <c r="BU34" s="3" t="e">
        <f t="shared" ca="1" si="39"/>
        <v>#NUM!</v>
      </c>
      <c r="BV34" s="3" t="e">
        <f t="shared" ref="BV34" ca="1" si="195">IF(AND(BU34&lt;0,BU33&gt;0), "Cruce -", IF(AND(BU34&gt;0,BU33&lt;0),"Cruce +", ""))</f>
        <v>#NUM!</v>
      </c>
      <c r="BX34" s="3" t="e">
        <f t="shared" ca="1" si="40"/>
        <v>#NUM!</v>
      </c>
      <c r="BY34" s="3" t="e">
        <f t="shared" ca="1" si="73"/>
        <v>#NUM!</v>
      </c>
      <c r="BZ34" s="3" t="e">
        <f t="shared" ca="1" si="41"/>
        <v>#NUM!</v>
      </c>
      <c r="CA34" s="3" t="e">
        <f t="shared" ca="1" si="74"/>
        <v>#NUM!</v>
      </c>
      <c r="CB34" s="3" t="e">
        <f t="shared" ca="1" si="42"/>
        <v>#NUM!</v>
      </c>
      <c r="CC34" s="3" t="e">
        <f t="shared" ca="1" si="75"/>
        <v>#NUM!</v>
      </c>
      <c r="CD34" s="3">
        <f>IF(RTD("tos.rtd",,CD$2,"."&amp;$A$2&amp;$AS$1&amp;"C"&amp;$A34)="N/A",0,RTD("tos.rtd",,CD$2,"."&amp;$A$2&amp;$AS$1&amp;"C"&amp;$A34))</f>
        <v>1</v>
      </c>
      <c r="CE34" s="3">
        <f>-IF(RTD("tos.rtd",,CE$2,"."&amp;$A$2&amp;$AS$1&amp;"P"&amp;$A34)="N/A",0,RTD("tos.rtd",,CE$2,"."&amp;$A$2&amp;$AS$1&amp;"P"&amp;$A34))</f>
        <v>0</v>
      </c>
      <c r="CF34" s="3">
        <f>IF(RTD("tos.rtd",,CF$2,"."&amp;$A$2&amp;$AU$1&amp;"C"&amp;$A34)="N/A",0,RTD("tos.rtd",,CF$2,"."&amp;$A$2&amp;$AU$1&amp;"C"&amp;$A34))</f>
        <v>1</v>
      </c>
      <c r="CG34" s="3">
        <f>-IF(RTD("tos.rtd",,CG$2,"."&amp;$A$2&amp;$AU$1&amp;"P"&amp;$A34)="N/A",0,RTD("tos.rtd",,CG$2,"."&amp;$A$2&amp;$AU$1&amp;"P"&amp;$A34))</f>
        <v>0</v>
      </c>
      <c r="CH34" s="3">
        <f>IF(RTD("tos.rtd",,CH$2,"."&amp;$A$2&amp;$AW$1&amp;"C"&amp;$A34)="N/A",0,RTD("tos.rtd",,CH$2,"."&amp;$A$2&amp;$AW$1&amp;"C"&amp;$A34))</f>
        <v>1</v>
      </c>
      <c r="CI34" s="3">
        <f>-IF(RTD("tos.rtd",,CI$2,"."&amp;$A$2&amp;$AW$1&amp;"P"&amp;$A34)="N/A",0,RTD("tos.rtd",,CI$2,"."&amp;$A$2&amp;$AW$1&amp;"P"&amp;$A34))</f>
        <v>0.18</v>
      </c>
      <c r="CK34" s="3">
        <f t="shared" si="17"/>
        <v>25100</v>
      </c>
      <c r="CL34" s="3"/>
      <c r="CM34" s="3">
        <f t="shared" si="18"/>
        <v>54400</v>
      </c>
      <c r="CN34" s="3"/>
      <c r="CO34" s="3">
        <f t="shared" si="19"/>
        <v>140000</v>
      </c>
      <c r="CP34" s="3">
        <f t="shared" si="43"/>
        <v>219500</v>
      </c>
      <c r="CQ34" s="3">
        <f t="shared" si="44"/>
        <v>0</v>
      </c>
      <c r="CR34" s="3"/>
      <c r="CS34" s="3">
        <f t="shared" si="20"/>
        <v>-14091</v>
      </c>
      <c r="CT34" s="3"/>
      <c r="CU34" s="3">
        <f t="shared" si="21"/>
        <v>-3206</v>
      </c>
      <c r="CV34" s="3">
        <f t="shared" si="45"/>
        <v>-17297</v>
      </c>
      <c r="CW34" s="3" t="e">
        <f t="shared" ca="1" si="46"/>
        <v>#NUM!</v>
      </c>
      <c r="CX34" s="85" t="e">
        <f t="shared" ca="1" si="76"/>
        <v>#NUM!</v>
      </c>
      <c r="CY34" s="3" t="e">
        <f t="shared" ca="1" si="47"/>
        <v>#NUM!</v>
      </c>
      <c r="CZ34" s="85" t="e">
        <f t="shared" ca="1" si="77"/>
        <v>#NUM!</v>
      </c>
      <c r="DA34" s="3">
        <f>IF(RTD("tos.rtd",,DA$2,"."&amp;$A$2&amp;$AS$1&amp;"C"&amp;$A34)="N/A",0,RTD("tos.rtd",,DA$2,"."&amp;$A$2&amp;$AS$1&amp;"C"&amp;$A34))</f>
        <v>14.2</v>
      </c>
      <c r="DB34" s="3">
        <f>IF(RTD("tos.rtd",,DB$2,"."&amp;$A$2&amp;$AS$1&amp;"P"&amp;$A34)="N/A",0,RTD("tos.rtd",,DB$2,"."&amp;$A$2&amp;$AS$1&amp;"P"&amp;$A34))</f>
        <v>0.01</v>
      </c>
      <c r="DC34" s="3">
        <f>IF(RTD("tos.rtd",,DC$2,"."&amp;$A$2&amp;$AS$1&amp;"C"&amp;$A34)="N/A",0,RTD("tos.rtd",,DC$2,"."&amp;$A$2&amp;$AS$1&amp;"C"&amp;$A34))</f>
        <v>13.95</v>
      </c>
      <c r="DD34" s="3">
        <f>IF(RTD("tos.rtd",,DD$2,"."&amp;$A$2&amp;$AS$1&amp;"P"&amp;$A34)="N/A",0,RTD("tos.rtd",,DD$2,"."&amp;$A$2&amp;$AS$1&amp;"P"&amp;$A34))</f>
        <v>0.01</v>
      </c>
      <c r="DE34" s="3">
        <f>IF(RTD("tos.rtd",,DE$2,"."&amp;$A$2&amp;$AS$1&amp;"C"&amp;$A34)="N/A",0,RTD("tos.rtd",,DE$2,"."&amp;$A$2&amp;$AS$1&amp;"C"&amp;$A34))</f>
        <v>12.04</v>
      </c>
      <c r="DF34" s="3">
        <f>IF(RTD("tos.rtd",,DF$2,"."&amp;$A$2&amp;$AS$1&amp;"P"&amp;$A34)="N/A",0,RTD("tos.rtd",,DF$2,"."&amp;$A$2&amp;$AS$1&amp;"P"&amp;$A34))</f>
        <v>0</v>
      </c>
      <c r="DG34" s="86">
        <f t="shared" si="48"/>
        <v>-19.110000000000014</v>
      </c>
      <c r="DH34" s="3">
        <f t="shared" si="22"/>
        <v>-386.76439790575921</v>
      </c>
      <c r="DI34" s="3">
        <f t="shared" si="49"/>
        <v>16120</v>
      </c>
      <c r="DJ34" s="3">
        <f t="shared" si="50"/>
        <v>-342</v>
      </c>
      <c r="DK34" s="3">
        <f t="shared" si="51"/>
        <v>16120</v>
      </c>
      <c r="DL34" s="3">
        <f t="shared" si="52"/>
        <v>15733.235602094241</v>
      </c>
      <c r="DM34" s="3">
        <f t="shared" si="53"/>
        <v>15778</v>
      </c>
      <c r="DN34" s="63" t="str">
        <f t="shared" si="54"/>
        <v>UNKNOWN</v>
      </c>
      <c r="DO34" s="63" t="str">
        <f t="shared" si="55"/>
        <v>UNKNOWN</v>
      </c>
      <c r="DP34" s="3">
        <f t="shared" si="56"/>
        <v>-5330.8544502617806</v>
      </c>
      <c r="DQ34" s="3">
        <f t="shared" si="57"/>
        <v>-4695.2</v>
      </c>
      <c r="DR34" s="3" t="e">
        <f t="shared" ca="1" si="58"/>
        <v>#NUM!</v>
      </c>
      <c r="DS34" s="3">
        <f t="shared" si="59"/>
        <v>-342</v>
      </c>
      <c r="DT34" s="3">
        <f t="shared" si="60"/>
        <v>-342</v>
      </c>
      <c r="DU34" s="3">
        <f t="shared" si="61"/>
        <v>16120</v>
      </c>
      <c r="DV34" s="3">
        <f t="shared" si="62"/>
        <v>81</v>
      </c>
      <c r="DW34" s="3">
        <f t="shared" si="23"/>
        <v>7695</v>
      </c>
      <c r="DX34" s="3" t="e">
        <f t="shared" ca="1" si="24"/>
        <v>#NUM!</v>
      </c>
      <c r="DY34" s="3" t="e">
        <f t="shared" ca="1" si="25"/>
        <v>#NUM!</v>
      </c>
      <c r="DZ34" s="3" t="e">
        <f t="shared" ca="1" si="26"/>
        <v>#NUM!</v>
      </c>
      <c r="EA34" s="3" t="e">
        <f t="shared" ca="1" si="27"/>
        <v>#NUM!</v>
      </c>
      <c r="EB34" s="3" t="e">
        <f t="shared" ca="1" si="28"/>
        <v>#NUM!</v>
      </c>
      <c r="EC34" s="3" t="e">
        <f t="shared" ca="1" si="29"/>
        <v>#NUM!</v>
      </c>
      <c r="ED34" s="63">
        <f t="shared" si="63"/>
        <v>7776</v>
      </c>
      <c r="EE34" s="59">
        <f t="shared" si="64"/>
        <v>0.25</v>
      </c>
      <c r="EF34" s="59">
        <f t="shared" si="30"/>
        <v>1.6035999999999999</v>
      </c>
      <c r="EG34" s="59">
        <f t="shared" si="31"/>
        <v>0.25</v>
      </c>
      <c r="EH34" s="59">
        <f t="shared" si="32"/>
        <v>1.6035999999999999</v>
      </c>
      <c r="EI34" s="59">
        <f t="shared" si="33"/>
        <v>0.25</v>
      </c>
      <c r="EJ34" s="59">
        <f t="shared" si="34"/>
        <v>0.33829999999999999</v>
      </c>
      <c r="EK34" s="63" t="e">
        <f t="shared" ca="1" si="65"/>
        <v>#NUM!</v>
      </c>
      <c r="EL34" s="3" t="str">
        <f>RTD("tos.rtd",,EL$2,"."&amp;$A$2&amp;$AS$1&amp;"C"&amp;$A34)</f>
        <v>--</v>
      </c>
      <c r="EM34" s="3" t="str">
        <f>RTD("tos.rtd",,EM$2,"."&amp;$A$2&amp;$AS$1&amp;"P"&amp;$A34)</f>
        <v>160.36%</v>
      </c>
      <c r="EN34" s="3" t="str">
        <f>RTD("tos.rtd",,EN$2,"."&amp;$A$2&amp;$AU$1&amp;"C"&amp;$A34)</f>
        <v>--</v>
      </c>
      <c r="EO34" s="3" t="str">
        <f>RTD("tos.rtd",,EO$2,"."&amp;$A$2&amp;$AU$1&amp;"P"&amp;$A34)</f>
        <v>160.36%</v>
      </c>
      <c r="EP34" s="3" t="str">
        <f>RTD("tos.rtd",,EP$2,"."&amp;$A$2&amp;$AW$1&amp;"C"&amp;$A34)</f>
        <v>--</v>
      </c>
      <c r="EQ34" s="3" t="str">
        <f>RTD("tos.rtd",,EQ$2,"."&amp;$A$2&amp;$AW$1&amp;"P"&amp;$A34)</f>
        <v>33.83%</v>
      </c>
      <c r="ES34" s="63" t="str">
        <f t="shared" si="66"/>
        <v>552,7776.00</v>
      </c>
      <c r="ET34" s="63" t="str">
        <f t="shared" ca="1" si="67"/>
        <v>552,00.00</v>
      </c>
      <c r="EU34" s="67">
        <v>561.15</v>
      </c>
      <c r="EV34" s="67" t="s">
        <v>291</v>
      </c>
      <c r="EW34" s="67">
        <v>483.45</v>
      </c>
      <c r="EX34" s="67" t="s">
        <v>292</v>
      </c>
      <c r="EY34" s="67">
        <v>5631.28</v>
      </c>
      <c r="EZ34" s="67" t="s">
        <v>293</v>
      </c>
      <c r="FA34" s="67">
        <v>19867.973000000002</v>
      </c>
      <c r="FB34" s="67" t="s">
        <v>294</v>
      </c>
      <c r="FC34" s="67" t="s">
        <v>295</v>
      </c>
      <c r="FD34" s="67" t="s">
        <v>296</v>
      </c>
      <c r="FE34" s="67" t="s">
        <v>297</v>
      </c>
      <c r="FF34" s="67" t="s">
        <v>298</v>
      </c>
    </row>
    <row r="35" spans="1:162" s="63" customFormat="1" ht="13.5" thickBot="1" x14ac:dyDescent="0.25">
      <c r="A35" s="2">
        <f t="shared" si="68"/>
        <v>551</v>
      </c>
      <c r="B35" s="3">
        <f t="shared" si="9"/>
        <v>3689</v>
      </c>
      <c r="C35" s="3">
        <f t="shared" si="10"/>
        <v>6313</v>
      </c>
      <c r="D35" s="3">
        <f t="shared" si="11"/>
        <v>9942</v>
      </c>
      <c r="E35" s="3">
        <f t="shared" si="12"/>
        <v>19944</v>
      </c>
      <c r="F35" s="4">
        <f t="shared" si="13"/>
        <v>5544.1534905709932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>
        <v>-246</v>
      </c>
      <c r="AN35" s="1">
        <v>-2092</v>
      </c>
      <c r="AO35" s="1">
        <v>551</v>
      </c>
      <c r="AP35" s="1">
        <v>105</v>
      </c>
      <c r="AQ35" s="1">
        <v>-14360</v>
      </c>
      <c r="AR35" s="1"/>
      <c r="AS35" s="6">
        <f>IF(RTD("tos.rtd",,AS$2,"."&amp;$A$2&amp;$AS$1&amp;"C"&amp;$A35)="N/A",0,RTD("tos.rtd",,AS$2,"."&amp;$A$2&amp;$AS$1&amp;"C"&amp;$A35))</f>
        <v>327</v>
      </c>
      <c r="AT35" s="7">
        <f>-IF(RTD("tos.rtd",,AT$2,"."&amp;$A$2&amp;$AS$1&amp;"P"&amp;$A35)="N/A",0,RTD("tos.rtd",,AT$2,"."&amp;$A$2&amp;$AS$1&amp;"P"&amp;$A35))</f>
        <v>-3362</v>
      </c>
      <c r="AU35" s="6">
        <f>IF(RTD("tos.rtd",,AU$2,"."&amp;$A$2&amp;$AU$1&amp;"C"&amp;$A35)="N/A",0,RTD("tos.rtd",,AU$2,"."&amp;$A$2&amp;$AU$1&amp;"C"&amp;$A35))</f>
        <v>1137</v>
      </c>
      <c r="AV35" s="7">
        <f>-IF(RTD("tos.rtd",,AV$2,"."&amp;$A$2&amp;$AU$1&amp;"P"&amp;$A35)="N/A",0,RTD("tos.rtd",,AV$2,"."&amp;$A$2&amp;$AU$1&amp;"P"&amp;$A35))</f>
        <v>-5176</v>
      </c>
      <c r="AW35" s="6">
        <f>IF(RTD("tos.rtd",,AW$2,"."&amp;$A$2&amp;$AW$1&amp;"C"&amp;$A35)="N/A",0,RTD("tos.rtd",,AW$2,"."&amp;$A$2&amp;$AW$1&amp;"C"&amp;$A35))</f>
        <v>7295</v>
      </c>
      <c r="AX35" s="7">
        <f>-IF(RTD("tos.rtd",,AX$2,"."&amp;$A$2&amp;$AW$1&amp;"P"&amp;$A35)="N/A",0,RTD("tos.rtd",,AX$2,"."&amp;$A$2&amp;$AW$1&amp;"P"&amp;$A35))</f>
        <v>-2647</v>
      </c>
      <c r="AY35" s="1">
        <f t="shared" si="69"/>
        <v>-2426</v>
      </c>
      <c r="AZ35" s="8">
        <f t="shared" si="35"/>
        <v>551</v>
      </c>
      <c r="BA35" s="6">
        <f>IF(RTD("tos.rtd",,BA$2,"."&amp;$A$2&amp;$AS$1&amp;"C"&amp;$A35)="N/A",0,RTD("tos.rtd",,BA$2,"."&amp;$A$2&amp;$AS$1&amp;"C"&amp;$A35))</f>
        <v>0</v>
      </c>
      <c r="BB35" s="7">
        <f>-IF(RTD("tos.rtd",,BB$2,"."&amp;$A$2&amp;$AS$1&amp;"P"&amp;$A35)="N/A",0,RTD("tos.rtd",,BB$2,"."&amp;$A$2&amp;$AS$1&amp;"P"&amp;$A35))</f>
        <v>0</v>
      </c>
      <c r="BC35" s="6">
        <f>IF(RTD("tos.rtd",,BC$2,"."&amp;$A$2&amp;$AU$1&amp;"C"&amp;$A35)="N/A",0,RTD("tos.rtd",,BC$2,"."&amp;$A$2&amp;$AU$1&amp;"C"&amp;$A35))</f>
        <v>210</v>
      </c>
      <c r="BD35" s="7">
        <f>-IF(RTD("tos.rtd",,BD$2,"."&amp;$A$2&amp;$AU$1&amp;"P"&amp;$A35)="N/A",0,RTD("tos.rtd",,BD$2,"."&amp;$A$2&amp;$AU$1&amp;"P"&amp;$A35))</f>
        <v>-8178</v>
      </c>
      <c r="BE35" s="6">
        <f>IF(RTD("tos.rtd",,BE$2,"."&amp;$A$2&amp;$AW$1&amp;"C"&amp;$A35)="N/A",0,RTD("tos.rtd",,BE$2,"."&amp;$A$2&amp;$AW$1&amp;"C"&amp;$A35))</f>
        <v>35</v>
      </c>
      <c r="BF35" s="83">
        <f>-IF(RTD("tos.rtd",,BF$2,"."&amp;$A$2&amp;$AW$1&amp;"P"&amp;$A35)="N/A",0,RTD("tos.rtd",,BF$2,"."&amp;$A$2&amp;$AW$1&amp;"P"&amp;$A35))</f>
        <v>-2487</v>
      </c>
      <c r="BG35" s="32">
        <f ca="1">+Hoja2!Y36</f>
        <v>-410</v>
      </c>
      <c r="BH35" s="7">
        <f t="shared" ca="1" si="36"/>
        <v>-10830</v>
      </c>
      <c r="BI35" s="8" t="str">
        <f t="shared" ref="BI35" ca="1" si="196">IF(AND(BH35&lt;0,BH34&gt;0), "Cruce -", IF(AND(BH35&gt;0,BH34&lt;0),"Cruce +", ""))</f>
        <v/>
      </c>
      <c r="BJ35" s="3" t="e">
        <f ca="1">IF($BP$1=1,DX35,IF(RTD("tos.rtd",,BJ$2,"."&amp;$A$2&amp;$AS$1&amp;"C"&amp;$A35)="N/A",0,RTD("tos.rtd",,BJ$2,"."&amp;$A$2&amp;$AS$1&amp;"C"&amp;$A35)))</f>
        <v>#NUM!</v>
      </c>
      <c r="BK35" s="3" t="e">
        <f ca="1">IF($BP$1=1,DY35,-IF(RTD("tos.rtd",,BK$2,"."&amp;$A$2&amp;$AS$1&amp;"P"&amp;$A35)="N/A",0,RTD("tos.rtd",,BK$2,"."&amp;$A$2&amp;$AS$1&amp;"P"&amp;$A35)))</f>
        <v>#NUM!</v>
      </c>
      <c r="BL35" s="3" t="e">
        <f ca="1">IF($BP$1=1,DZ35,IF(RTD("tos.rtd",,BL$2,"."&amp;$A$2&amp;$AU$1&amp;"C"&amp;$A35)="N/A",0,RTD("tos.rtd",,BL$2,"."&amp;$A$2&amp;$AU$1&amp;"C"&amp;$A35)))</f>
        <v>#NUM!</v>
      </c>
      <c r="BM35" s="3" t="e">
        <f ca="1">IF($BP$1=1,EA35,-IF(RTD("tos.rtd",,BM$2,"."&amp;$A$2&amp;$AU$1&amp;"P"&amp;$A35)="N/A",0,RTD("tos.rtd",,BM$2,"."&amp;$A$2&amp;$AU$1&amp;"P"&amp;$A35)))</f>
        <v>#NUM!</v>
      </c>
      <c r="BN35" s="3" t="e">
        <f ca="1">IF($BP$1=1,EB35,IF(RTD("tos.rtd",,BN$2,"."&amp;$A$2&amp;$AW$1&amp;"C"&amp;$A35)="N/A",0,RTD("tos.rtd",,BN$2,"."&amp;$A$2&amp;$AW$1&amp;"C"&amp;$A35)))</f>
        <v>#NUM!</v>
      </c>
      <c r="BO35" s="3" t="e">
        <f ca="1">IF($BP$1=1,EC35,-IF(RTD("tos.rtd",,BO$2,"."&amp;$A$2&amp;$AW$1&amp;"P"&amp;$A35)="N/A",0,RTD("tos.rtd",,BO$2,"."&amp;$A$2&amp;$AW$1&amp;"P"&amp;$A35)))</f>
        <v>#NUM!</v>
      </c>
      <c r="BQ35" s="3" t="e">
        <f t="shared" ca="1" si="37"/>
        <v>#NUM!</v>
      </c>
      <c r="BR35" s="3" t="e">
        <f t="shared" ca="1" si="71"/>
        <v>#NUM!</v>
      </c>
      <c r="BS35" s="3" t="e">
        <f t="shared" ca="1" si="38"/>
        <v>#NUM!</v>
      </c>
      <c r="BT35" s="3" t="e">
        <f t="shared" ca="1" si="71"/>
        <v>#NUM!</v>
      </c>
      <c r="BU35" s="3" t="e">
        <f t="shared" ca="1" si="39"/>
        <v>#NUM!</v>
      </c>
      <c r="BV35" s="3" t="e">
        <f t="shared" ref="BV35" ca="1" si="197">IF(AND(BU35&lt;0,BU34&gt;0), "Cruce -", IF(AND(BU35&gt;0,BU34&lt;0),"Cruce +", ""))</f>
        <v>#NUM!</v>
      </c>
      <c r="BX35" s="3" t="e">
        <f t="shared" ca="1" si="40"/>
        <v>#NUM!</v>
      </c>
      <c r="BY35" s="3" t="e">
        <f t="shared" ca="1" si="73"/>
        <v>#NUM!</v>
      </c>
      <c r="BZ35" s="3" t="e">
        <f t="shared" ca="1" si="41"/>
        <v>#NUM!</v>
      </c>
      <c r="CA35" s="3" t="e">
        <f t="shared" ca="1" si="74"/>
        <v>#NUM!</v>
      </c>
      <c r="CB35" s="3" t="e">
        <f t="shared" ca="1" si="42"/>
        <v>#NUM!</v>
      </c>
      <c r="CC35" s="3" t="e">
        <f t="shared" ca="1" si="75"/>
        <v>#NUM!</v>
      </c>
      <c r="CD35" s="3">
        <f>IF(RTD("tos.rtd",,CD$2,"."&amp;$A$2&amp;$AS$1&amp;"C"&amp;$A35)="N/A",0,RTD("tos.rtd",,CD$2,"."&amp;$A$2&amp;$AS$1&amp;"C"&amp;$A35))</f>
        <v>1</v>
      </c>
      <c r="CE35" s="3">
        <f>-IF(RTD("tos.rtd",,CE$2,"."&amp;$A$2&amp;$AS$1&amp;"P"&amp;$A35)="N/A",0,RTD("tos.rtd",,CE$2,"."&amp;$A$2&amp;$AS$1&amp;"P"&amp;$A35))</f>
        <v>0</v>
      </c>
      <c r="CF35" s="3">
        <f>IF(RTD("tos.rtd",,CF$2,"."&amp;$A$2&amp;$AU$1&amp;"C"&amp;$A35)="N/A",0,RTD("tos.rtd",,CF$2,"."&amp;$A$2&amp;$AU$1&amp;"C"&amp;$A35))</f>
        <v>1</v>
      </c>
      <c r="CG35" s="3">
        <f>-IF(RTD("tos.rtd",,CG$2,"."&amp;$A$2&amp;$AU$1&amp;"P"&amp;$A35)="N/A",0,RTD("tos.rtd",,CG$2,"."&amp;$A$2&amp;$AU$1&amp;"P"&amp;$A35))</f>
        <v>0</v>
      </c>
      <c r="CH35" s="3">
        <f>IF(RTD("tos.rtd",,CH$2,"."&amp;$A$2&amp;$AW$1&amp;"C"&amp;$A35)="N/A",0,RTD("tos.rtd",,CH$2,"."&amp;$A$2&amp;$AW$1&amp;"C"&amp;$A35))</f>
        <v>1</v>
      </c>
      <c r="CI35" s="3">
        <f>-IF(RTD("tos.rtd",,CI$2,"."&amp;$A$2&amp;$AW$1&amp;"P"&amp;$A35)="N/A",0,RTD("tos.rtd",,CI$2,"."&amp;$A$2&amp;$AW$1&amp;"P"&amp;$A35))</f>
        <v>0.17</v>
      </c>
      <c r="CK35" s="3">
        <f t="shared" si="17"/>
        <v>32700</v>
      </c>
      <c r="CL35" s="3"/>
      <c r="CM35" s="3">
        <f t="shared" si="18"/>
        <v>113700</v>
      </c>
      <c r="CN35" s="3"/>
      <c r="CO35" s="3">
        <f t="shared" si="19"/>
        <v>684501</v>
      </c>
      <c r="CP35" s="3">
        <f t="shared" si="43"/>
        <v>830901</v>
      </c>
      <c r="CQ35" s="3">
        <f t="shared" si="44"/>
        <v>0</v>
      </c>
      <c r="CR35" s="3"/>
      <c r="CS35" s="3">
        <f t="shared" si="20"/>
        <v>-7968</v>
      </c>
      <c r="CT35" s="3"/>
      <c r="CU35" s="3">
        <f t="shared" si="21"/>
        <v>-2452</v>
      </c>
      <c r="CV35" s="3">
        <f t="shared" si="45"/>
        <v>-10420</v>
      </c>
      <c r="CW35" s="3" t="e">
        <f t="shared" ca="1" si="46"/>
        <v>#NUM!</v>
      </c>
      <c r="CX35" s="85" t="e">
        <f t="shared" ca="1" si="76"/>
        <v>#NUM!</v>
      </c>
      <c r="CY35" s="3" t="e">
        <f t="shared" ca="1" si="47"/>
        <v>#NUM!</v>
      </c>
      <c r="CZ35" s="85" t="e">
        <f t="shared" ca="1" si="77"/>
        <v>#NUM!</v>
      </c>
      <c r="DA35" s="3">
        <f>IF(RTD("tos.rtd",,DA$2,"."&amp;$A$2&amp;$AS$1&amp;"C"&amp;$A35)="N/A",0,RTD("tos.rtd",,DA$2,"."&amp;$A$2&amp;$AS$1&amp;"C"&amp;$A35))</f>
        <v>16.71</v>
      </c>
      <c r="DB35" s="3">
        <f>IF(RTD("tos.rtd",,DB$2,"."&amp;$A$2&amp;$AS$1&amp;"P"&amp;$A35)="N/A",0,RTD("tos.rtd",,DB$2,"."&amp;$A$2&amp;$AS$1&amp;"P"&amp;$A35))</f>
        <v>0.01</v>
      </c>
      <c r="DC35" s="3">
        <f>IF(RTD("tos.rtd",,DC$2,"."&amp;$A$2&amp;$AS$1&amp;"C"&amp;$A35)="N/A",0,RTD("tos.rtd",,DC$2,"."&amp;$A$2&amp;$AS$1&amp;"C"&amp;$A35))</f>
        <v>14.93</v>
      </c>
      <c r="DD35" s="3">
        <f>IF(RTD("tos.rtd",,DD$2,"."&amp;$A$2&amp;$AS$1&amp;"P"&amp;$A35)="N/A",0,RTD("tos.rtd",,DD$2,"."&amp;$A$2&amp;$AS$1&amp;"P"&amp;$A35))</f>
        <v>0.01</v>
      </c>
      <c r="DE35" s="3">
        <f>IF(RTD("tos.rtd",,DE$2,"."&amp;$A$2&amp;$AS$1&amp;"C"&amp;$A35)="N/A",0,RTD("tos.rtd",,DE$2,"."&amp;$A$2&amp;$AS$1&amp;"C"&amp;$A35))</f>
        <v>12.96</v>
      </c>
      <c r="DF35" s="3">
        <f>IF(RTD("tos.rtd",,DF$2,"."&amp;$A$2&amp;$AS$1&amp;"P"&amp;$A35)="N/A",0,RTD("tos.rtd",,DF$2,"."&amp;$A$2&amp;$AS$1&amp;"P"&amp;$A35))</f>
        <v>0</v>
      </c>
      <c r="DG35" s="86">
        <f t="shared" si="48"/>
        <v>-20.110000000000014</v>
      </c>
      <c r="DH35" s="3">
        <f t="shared" si="22"/>
        <v>-199.87309644670063</v>
      </c>
      <c r="DI35" s="3">
        <f t="shared" si="49"/>
        <v>14360</v>
      </c>
      <c r="DJ35" s="3">
        <f t="shared" si="50"/>
        <v>-105</v>
      </c>
      <c r="DK35" s="3">
        <f t="shared" si="51"/>
        <v>14360</v>
      </c>
      <c r="DL35" s="3">
        <f t="shared" si="52"/>
        <v>14160.126903553299</v>
      </c>
      <c r="DM35" s="3">
        <f t="shared" si="53"/>
        <v>14255</v>
      </c>
      <c r="DN35" s="63" t="str">
        <f t="shared" si="54"/>
        <v>UNKNOWN</v>
      </c>
      <c r="DO35" s="63" t="str">
        <f t="shared" si="55"/>
        <v>UNKNOWN</v>
      </c>
      <c r="DP35" s="3">
        <f t="shared" si="56"/>
        <v>-3196.2794416243678</v>
      </c>
      <c r="DQ35" s="3">
        <f t="shared" si="57"/>
        <v>-1610.9500000000003</v>
      </c>
      <c r="DR35" s="3" t="e">
        <f t="shared" ca="1" si="58"/>
        <v>#NUM!</v>
      </c>
      <c r="DS35" s="3">
        <f t="shared" si="59"/>
        <v>-105</v>
      </c>
      <c r="DT35" s="3">
        <f t="shared" si="60"/>
        <v>-105</v>
      </c>
      <c r="DU35" s="3">
        <f t="shared" si="61"/>
        <v>14360</v>
      </c>
      <c r="DV35" s="3">
        <f t="shared" si="62"/>
        <v>-246</v>
      </c>
      <c r="DW35" s="3">
        <f t="shared" si="23"/>
        <v>-2092</v>
      </c>
      <c r="DX35" s="3" t="e">
        <f t="shared" ca="1" si="24"/>
        <v>#NUM!</v>
      </c>
      <c r="DY35" s="3" t="e">
        <f t="shared" ca="1" si="25"/>
        <v>#NUM!</v>
      </c>
      <c r="DZ35" s="3" t="e">
        <f t="shared" ca="1" si="26"/>
        <v>#NUM!</v>
      </c>
      <c r="EA35" s="3" t="e">
        <f t="shared" ca="1" si="27"/>
        <v>#NUM!</v>
      </c>
      <c r="EB35" s="3" t="e">
        <f t="shared" ca="1" si="28"/>
        <v>#NUM!</v>
      </c>
      <c r="EC35" s="3" t="e">
        <f t="shared" ca="1" si="29"/>
        <v>#NUM!</v>
      </c>
      <c r="ED35" s="63">
        <f t="shared" si="63"/>
        <v>-2338</v>
      </c>
      <c r="EE35" s="59">
        <f t="shared" si="64"/>
        <v>0.25</v>
      </c>
      <c r="EF35" s="59">
        <f t="shared" si="30"/>
        <v>1.6808000000000001</v>
      </c>
      <c r="EG35" s="59">
        <f t="shared" si="31"/>
        <v>0.25</v>
      </c>
      <c r="EH35" s="59">
        <f t="shared" si="32"/>
        <v>1.6808000000000001</v>
      </c>
      <c r="EI35" s="59">
        <f t="shared" si="33"/>
        <v>0.25</v>
      </c>
      <c r="EJ35" s="59">
        <f t="shared" si="34"/>
        <v>0.33810000000000001</v>
      </c>
      <c r="EK35" s="63" t="e">
        <f t="shared" ca="1" si="65"/>
        <v>#NUM!</v>
      </c>
      <c r="EL35" s="3" t="str">
        <f>RTD("tos.rtd",,EL$2,"."&amp;$A$2&amp;$AS$1&amp;"C"&amp;$A35)</f>
        <v>--</v>
      </c>
      <c r="EM35" s="3" t="str">
        <f>RTD("tos.rtd",,EM$2,"."&amp;$A$2&amp;$AS$1&amp;"P"&amp;$A35)</f>
        <v>168.08%</v>
      </c>
      <c r="EN35" s="3" t="str">
        <f>RTD("tos.rtd",,EN$2,"."&amp;$A$2&amp;$AU$1&amp;"C"&amp;$A35)</f>
        <v>--</v>
      </c>
      <c r="EO35" s="3" t="str">
        <f>RTD("tos.rtd",,EO$2,"."&amp;$A$2&amp;$AU$1&amp;"P"&amp;$A35)</f>
        <v>168.08%</v>
      </c>
      <c r="EP35" s="3" t="str">
        <f>RTD("tos.rtd",,EP$2,"."&amp;$A$2&amp;$AW$1&amp;"C"&amp;$A35)</f>
        <v>--</v>
      </c>
      <c r="EQ35" s="3" t="str">
        <f>RTD("tos.rtd",,EQ$2,"."&amp;$A$2&amp;$AW$1&amp;"P"&amp;$A35)</f>
        <v>33.81%</v>
      </c>
      <c r="ES35" s="63" t="str">
        <f t="shared" si="66"/>
        <v>551,-2338.00</v>
      </c>
      <c r="ET35" s="63" t="str">
        <f t="shared" ca="1" si="67"/>
        <v>551,00.00</v>
      </c>
      <c r="EU35" s="67">
        <v>561.15</v>
      </c>
      <c r="EV35" s="67" t="s">
        <v>299</v>
      </c>
      <c r="EW35" s="67">
        <v>483.52</v>
      </c>
      <c r="EX35" s="67" t="s">
        <v>300</v>
      </c>
      <c r="EY35" s="67">
        <v>5631.28</v>
      </c>
      <c r="EZ35" s="67" t="s">
        <v>301</v>
      </c>
      <c r="FA35" s="67">
        <v>19867.973000000002</v>
      </c>
      <c r="FB35" s="67" t="s">
        <v>302</v>
      </c>
      <c r="FC35" s="67" t="s">
        <v>303</v>
      </c>
      <c r="FD35" s="67" t="s">
        <v>304</v>
      </c>
      <c r="FE35" s="67" t="s">
        <v>305</v>
      </c>
      <c r="FF35" s="67" t="s">
        <v>306</v>
      </c>
    </row>
    <row r="36" spans="1:162" s="63" customFormat="1" ht="13.5" thickBot="1" x14ac:dyDescent="0.25">
      <c r="A36" s="2">
        <f t="shared" si="68"/>
        <v>550</v>
      </c>
      <c r="B36" s="3">
        <f t="shared" si="9"/>
        <v>9867</v>
      </c>
      <c r="C36" s="3">
        <f t="shared" si="10"/>
        <v>39019</v>
      </c>
      <c r="D36" s="3">
        <f t="shared" si="11"/>
        <v>93045</v>
      </c>
      <c r="E36" s="3">
        <f t="shared" si="12"/>
        <v>141931</v>
      </c>
      <c r="F36" s="4">
        <f t="shared" si="13"/>
        <v>5534.0915060146035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>
        <v>-653</v>
      </c>
      <c r="AN36" s="1">
        <v>4558</v>
      </c>
      <c r="AO36" s="1">
        <v>550</v>
      </c>
      <c r="AP36" s="1">
        <v>913</v>
      </c>
      <c r="AQ36" s="1">
        <v>-27263</v>
      </c>
      <c r="AR36" s="1"/>
      <c r="AS36" s="6">
        <f>IF(RTD("tos.rtd",,AS$2,"."&amp;$A$2&amp;$AS$1&amp;"C"&amp;$A36)="N/A",0,RTD("tos.rtd",,AS$2,"."&amp;$A$2&amp;$AS$1&amp;"C"&amp;$A36))</f>
        <v>664</v>
      </c>
      <c r="AT36" s="7">
        <f>-IF(RTD("tos.rtd",,AT$2,"."&amp;$A$2&amp;$AS$1&amp;"P"&amp;$A36)="N/A",0,RTD("tos.rtd",,AT$2,"."&amp;$A$2&amp;$AS$1&amp;"P"&amp;$A36))</f>
        <v>-9203</v>
      </c>
      <c r="AU36" s="6">
        <f>IF(RTD("tos.rtd",,AU$2,"."&amp;$A$2&amp;$AU$1&amp;"C"&amp;$A36)="N/A",0,RTD("tos.rtd",,AU$2,"."&amp;$A$2&amp;$AU$1&amp;"C"&amp;$A36))</f>
        <v>8580</v>
      </c>
      <c r="AV36" s="7">
        <f>-IF(RTD("tos.rtd",,AV$2,"."&amp;$A$2&amp;$AU$1&amp;"P"&amp;$A36)="N/A",0,RTD("tos.rtd",,AV$2,"."&amp;$A$2&amp;$AU$1&amp;"P"&amp;$A36))</f>
        <v>-30439</v>
      </c>
      <c r="AW36" s="6">
        <f>IF(RTD("tos.rtd",,AW$2,"."&amp;$A$2&amp;$AW$1&amp;"C"&amp;$A36)="N/A",0,RTD("tos.rtd",,AW$2,"."&amp;$A$2&amp;$AW$1&amp;"C"&amp;$A36))</f>
        <v>25029</v>
      </c>
      <c r="AX36" s="7">
        <f>-IF(RTD("tos.rtd",,AX$2,"."&amp;$A$2&amp;$AW$1&amp;"P"&amp;$A36)="N/A",0,RTD("tos.rtd",,AX$2,"."&amp;$A$2&amp;$AW$1&amp;"P"&amp;$A36))</f>
        <v>-68016</v>
      </c>
      <c r="AY36" s="1">
        <f t="shared" si="69"/>
        <v>-73385</v>
      </c>
      <c r="AZ36" s="8">
        <f t="shared" si="35"/>
        <v>550</v>
      </c>
      <c r="BA36" s="6">
        <f>IF(RTD("tos.rtd",,BA$2,"."&amp;$A$2&amp;$AS$1&amp;"C"&amp;$A36)="N/A",0,RTD("tos.rtd",,BA$2,"."&amp;$A$2&amp;$AS$1&amp;"C"&amp;$A36))</f>
        <v>0</v>
      </c>
      <c r="BB36" s="7">
        <f>-IF(RTD("tos.rtd",,BB$2,"."&amp;$A$2&amp;$AS$1&amp;"P"&amp;$A36)="N/A",0,RTD("tos.rtd",,BB$2,"."&amp;$A$2&amp;$AS$1&amp;"P"&amp;$A36))</f>
        <v>0</v>
      </c>
      <c r="BC36" s="6">
        <f>IF(RTD("tos.rtd",,BC$2,"."&amp;$A$2&amp;$AU$1&amp;"C"&amp;$A36)="N/A",0,RTD("tos.rtd",,BC$2,"."&amp;$A$2&amp;$AU$1&amp;"C"&amp;$A36))</f>
        <v>821</v>
      </c>
      <c r="BD36" s="7">
        <f>-IF(RTD("tos.rtd",,BD$2,"."&amp;$A$2&amp;$AU$1&amp;"P"&amp;$A36)="N/A",0,RTD("tos.rtd",,BD$2,"."&amp;$A$2&amp;$AU$1&amp;"P"&amp;$A36))</f>
        <v>-19768</v>
      </c>
      <c r="BE36" s="6">
        <f>IF(RTD("tos.rtd",,BE$2,"."&amp;$A$2&amp;$AW$1&amp;"C"&amp;$A36)="N/A",0,RTD("tos.rtd",,BE$2,"."&amp;$A$2&amp;$AW$1&amp;"C"&amp;$A36))</f>
        <v>754</v>
      </c>
      <c r="BF36" s="83">
        <f>-IF(RTD("tos.rtd",,BF$2,"."&amp;$A$2&amp;$AW$1&amp;"P"&amp;$A36)="N/A",0,RTD("tos.rtd",,BF$2,"."&amp;$A$2&amp;$AW$1&amp;"P"&amp;$A36))</f>
        <v>-58889</v>
      </c>
      <c r="BG36" s="32">
        <f ca="1">+Hoja2!Y37</f>
        <v>-21245</v>
      </c>
      <c r="BH36" s="7">
        <f t="shared" ca="1" si="36"/>
        <v>-98327</v>
      </c>
      <c r="BI36" s="8" t="str">
        <f t="shared" ref="BI36" ca="1" si="198">IF(AND(BH36&lt;0,BH35&gt;0), "Cruce -", IF(AND(BH36&gt;0,BH35&lt;0),"Cruce +", ""))</f>
        <v/>
      </c>
      <c r="BJ36" s="3" t="e">
        <f ca="1">IF($BP$1=1,DX36,IF(RTD("tos.rtd",,BJ$2,"."&amp;$A$2&amp;$AS$1&amp;"C"&amp;$A36)="N/A",0,RTD("tos.rtd",,BJ$2,"."&amp;$A$2&amp;$AS$1&amp;"C"&amp;$A36)))</f>
        <v>#NUM!</v>
      </c>
      <c r="BK36" s="3" t="e">
        <f ca="1">IF($BP$1=1,DY36,-IF(RTD("tos.rtd",,BK$2,"."&amp;$A$2&amp;$AS$1&amp;"P"&amp;$A36)="N/A",0,RTD("tos.rtd",,BK$2,"."&amp;$A$2&amp;$AS$1&amp;"P"&amp;$A36)))</f>
        <v>#NUM!</v>
      </c>
      <c r="BL36" s="3" t="e">
        <f ca="1">IF($BP$1=1,DZ36,IF(RTD("tos.rtd",,BL$2,"."&amp;$A$2&amp;$AU$1&amp;"C"&amp;$A36)="N/A",0,RTD("tos.rtd",,BL$2,"."&amp;$A$2&amp;$AU$1&amp;"C"&amp;$A36)))</f>
        <v>#NUM!</v>
      </c>
      <c r="BM36" s="3" t="e">
        <f ca="1">IF($BP$1=1,EA36,-IF(RTD("tos.rtd",,BM$2,"."&amp;$A$2&amp;$AU$1&amp;"P"&amp;$A36)="N/A",0,RTD("tos.rtd",,BM$2,"."&amp;$A$2&amp;$AU$1&amp;"P"&amp;$A36)))</f>
        <v>#NUM!</v>
      </c>
      <c r="BN36" s="3" t="e">
        <f ca="1">IF($BP$1=1,EB36,IF(RTD("tos.rtd",,BN$2,"."&amp;$A$2&amp;$AW$1&amp;"C"&amp;$A36)="N/A",0,RTD("tos.rtd",,BN$2,"."&amp;$A$2&amp;$AW$1&amp;"C"&amp;$A36)))</f>
        <v>#NUM!</v>
      </c>
      <c r="BO36" s="3" t="e">
        <f ca="1">IF($BP$1=1,EC36,-IF(RTD("tos.rtd",,BO$2,"."&amp;$A$2&amp;$AW$1&amp;"P"&amp;$A36)="N/A",0,RTD("tos.rtd",,BO$2,"."&amp;$A$2&amp;$AW$1&amp;"P"&amp;$A36)))</f>
        <v>#NUM!</v>
      </c>
      <c r="BQ36" s="3" t="e">
        <f t="shared" ca="1" si="37"/>
        <v>#NUM!</v>
      </c>
      <c r="BR36" s="3" t="e">
        <f t="shared" ca="1" si="71"/>
        <v>#NUM!</v>
      </c>
      <c r="BS36" s="3" t="e">
        <f t="shared" ca="1" si="38"/>
        <v>#NUM!</v>
      </c>
      <c r="BT36" s="3" t="e">
        <f t="shared" ca="1" si="71"/>
        <v>#NUM!</v>
      </c>
      <c r="BU36" s="3" t="e">
        <f t="shared" ca="1" si="39"/>
        <v>#NUM!</v>
      </c>
      <c r="BV36" s="3" t="e">
        <f t="shared" ref="BV36" ca="1" si="199">IF(AND(BU36&lt;0,BU35&gt;0), "Cruce -", IF(AND(BU36&gt;0,BU35&lt;0),"Cruce +", ""))</f>
        <v>#NUM!</v>
      </c>
      <c r="BX36" s="3" t="e">
        <f t="shared" ca="1" si="40"/>
        <v>#NUM!</v>
      </c>
      <c r="BY36" s="3" t="e">
        <f t="shared" ca="1" si="73"/>
        <v>#NUM!</v>
      </c>
      <c r="BZ36" s="3" t="e">
        <f t="shared" ca="1" si="41"/>
        <v>#NUM!</v>
      </c>
      <c r="CA36" s="3" t="e">
        <f t="shared" ca="1" si="74"/>
        <v>#NUM!</v>
      </c>
      <c r="CB36" s="3" t="e">
        <f t="shared" ca="1" si="42"/>
        <v>#NUM!</v>
      </c>
      <c r="CC36" s="3" t="e">
        <f t="shared" ca="1" si="75"/>
        <v>#NUM!</v>
      </c>
      <c r="CD36" s="3">
        <f>IF(RTD("tos.rtd",,CD$2,"."&amp;$A$2&amp;$AS$1&amp;"C"&amp;$A36)="N/A",0,RTD("tos.rtd",,CD$2,"."&amp;$A$2&amp;$AS$1&amp;"C"&amp;$A36))</f>
        <v>1</v>
      </c>
      <c r="CE36" s="3">
        <f>-IF(RTD("tos.rtd",,CE$2,"."&amp;$A$2&amp;$AS$1&amp;"P"&amp;$A36)="N/A",0,RTD("tos.rtd",,CE$2,"."&amp;$A$2&amp;$AS$1&amp;"P"&amp;$A36))</f>
        <v>0</v>
      </c>
      <c r="CF36" s="3">
        <f>IF(RTD("tos.rtd",,CF$2,"."&amp;$A$2&amp;$AU$1&amp;"C"&amp;$A36)="N/A",0,RTD("tos.rtd",,CF$2,"."&amp;$A$2&amp;$AU$1&amp;"C"&amp;$A36))</f>
        <v>1</v>
      </c>
      <c r="CG36" s="3">
        <f>-IF(RTD("tos.rtd",,CG$2,"."&amp;$A$2&amp;$AU$1&amp;"P"&amp;$A36)="N/A",0,RTD("tos.rtd",,CG$2,"."&amp;$A$2&amp;$AU$1&amp;"P"&amp;$A36))</f>
        <v>0</v>
      </c>
      <c r="CH36" s="3">
        <f>IF(RTD("tos.rtd",,CH$2,"."&amp;$A$2&amp;$AW$1&amp;"C"&amp;$A36)="N/A",0,RTD("tos.rtd",,CH$2,"."&amp;$A$2&amp;$AW$1&amp;"C"&amp;$A36))</f>
        <v>1</v>
      </c>
      <c r="CI36" s="3">
        <f>-IF(RTD("tos.rtd",,CI$2,"."&amp;$A$2&amp;$AW$1&amp;"P"&amp;$A36)="N/A",0,RTD("tos.rtd",,CI$2,"."&amp;$A$2&amp;$AW$1&amp;"P"&amp;$A36))</f>
        <v>0.16</v>
      </c>
      <c r="CK36" s="3">
        <f t="shared" si="17"/>
        <v>66400</v>
      </c>
      <c r="CL36" s="3"/>
      <c r="CM36" s="3">
        <f t="shared" si="18"/>
        <v>858000</v>
      </c>
      <c r="CN36" s="3"/>
      <c r="CO36" s="3">
        <f t="shared" si="19"/>
        <v>1414644</v>
      </c>
      <c r="CP36" s="3">
        <f t="shared" si="43"/>
        <v>2339044</v>
      </c>
      <c r="CQ36" s="3">
        <f t="shared" si="44"/>
        <v>0</v>
      </c>
      <c r="CR36" s="3"/>
      <c r="CS36" s="3">
        <f t="shared" si="20"/>
        <v>-18947</v>
      </c>
      <c r="CT36" s="3"/>
      <c r="CU36" s="3">
        <f t="shared" si="21"/>
        <v>-58135</v>
      </c>
      <c r="CV36" s="3">
        <f t="shared" si="45"/>
        <v>-77082</v>
      </c>
      <c r="CW36" s="3" t="e">
        <f t="shared" ca="1" si="46"/>
        <v>#NUM!</v>
      </c>
      <c r="CX36" s="85" t="e">
        <f t="shared" ca="1" si="76"/>
        <v>#NUM!</v>
      </c>
      <c r="CY36" s="3" t="e">
        <f t="shared" ca="1" si="47"/>
        <v>#NUM!</v>
      </c>
      <c r="CZ36" s="85" t="e">
        <f t="shared" ca="1" si="77"/>
        <v>#NUM!</v>
      </c>
      <c r="DA36" s="3">
        <f>IF(RTD("tos.rtd",,DA$2,"."&amp;$A$2&amp;$AS$1&amp;"C"&amp;$A36)="N/A",0,RTD("tos.rtd",,DA$2,"."&amp;$A$2&amp;$AS$1&amp;"C"&amp;$A36))</f>
        <v>15.2</v>
      </c>
      <c r="DB36" s="3">
        <f>IF(RTD("tos.rtd",,DB$2,"."&amp;$A$2&amp;$AS$1&amp;"P"&amp;$A36)="N/A",0,RTD("tos.rtd",,DB$2,"."&amp;$A$2&amp;$AS$1&amp;"P"&amp;$A36))</f>
        <v>0.01</v>
      </c>
      <c r="DC36" s="3">
        <f>IF(RTD("tos.rtd",,DC$2,"."&amp;$A$2&amp;$AS$1&amp;"C"&amp;$A36)="N/A",0,RTD("tos.rtd",,DC$2,"."&amp;$A$2&amp;$AS$1&amp;"C"&amp;$A36))</f>
        <v>16.05</v>
      </c>
      <c r="DD36" s="3">
        <f>IF(RTD("tos.rtd",,DD$2,"."&amp;$A$2&amp;$AS$1&amp;"P"&amp;$A36)="N/A",0,RTD("tos.rtd",,DD$2,"."&amp;$A$2&amp;$AS$1&amp;"P"&amp;$A36))</f>
        <v>0.01</v>
      </c>
      <c r="DE36" s="3">
        <f>IF(RTD("tos.rtd",,DE$2,"."&amp;$A$2&amp;$AS$1&amp;"C"&amp;$A36)="N/A",0,RTD("tos.rtd",,DE$2,"."&amp;$A$2&amp;$AS$1&amp;"C"&amp;$A36))</f>
        <v>14.04</v>
      </c>
      <c r="DF36" s="3">
        <f>IF(RTD("tos.rtd",,DF$2,"."&amp;$A$2&amp;$AS$1&amp;"P"&amp;$A36)="N/A",0,RTD("tos.rtd",,DF$2,"."&amp;$A$2&amp;$AS$1&amp;"P"&amp;$A36))</f>
        <v>0</v>
      </c>
      <c r="DG36" s="86">
        <f t="shared" si="48"/>
        <v>-21.110000000000014</v>
      </c>
      <c r="DH36" s="3">
        <f t="shared" si="22"/>
        <v>-526.9054726368156</v>
      </c>
      <c r="DI36" s="3">
        <f t="shared" si="49"/>
        <v>27263</v>
      </c>
      <c r="DJ36" s="3">
        <f t="shared" si="50"/>
        <v>0</v>
      </c>
      <c r="DK36" s="3">
        <f t="shared" si="51"/>
        <v>27263</v>
      </c>
      <c r="DL36" s="3">
        <f t="shared" si="52"/>
        <v>26736.094527363184</v>
      </c>
      <c r="DM36" s="3">
        <f t="shared" si="53"/>
        <v>27263</v>
      </c>
      <c r="DN36" s="63" t="str">
        <f t="shared" si="54"/>
        <v>UNKNOWN</v>
      </c>
      <c r="DO36" s="63" t="str">
        <f t="shared" si="55"/>
        <v>UNKNOWN</v>
      </c>
      <c r="DP36" s="3">
        <f t="shared" si="56"/>
        <v>-7736.3331840795963</v>
      </c>
      <c r="DQ36" s="3">
        <f t="shared" si="57"/>
        <v>272.63</v>
      </c>
      <c r="DR36" s="3" t="e">
        <f t="shared" ca="1" si="58"/>
        <v>#NUM!</v>
      </c>
      <c r="DS36" s="3">
        <f t="shared" si="59"/>
        <v>0</v>
      </c>
      <c r="DT36" s="3">
        <f t="shared" si="60"/>
        <v>-913</v>
      </c>
      <c r="DU36" s="3">
        <f t="shared" si="61"/>
        <v>27263</v>
      </c>
      <c r="DV36" s="3">
        <f t="shared" si="62"/>
        <v>-653</v>
      </c>
      <c r="DW36" s="3">
        <f t="shared" si="23"/>
        <v>4558</v>
      </c>
      <c r="DX36" s="3" t="e">
        <f t="shared" ca="1" si="24"/>
        <v>#NUM!</v>
      </c>
      <c r="DY36" s="3" t="e">
        <f t="shared" ca="1" si="25"/>
        <v>#NUM!</v>
      </c>
      <c r="DZ36" s="3" t="e">
        <f t="shared" ca="1" si="26"/>
        <v>#NUM!</v>
      </c>
      <c r="EA36" s="3" t="e">
        <f t="shared" ca="1" si="27"/>
        <v>#NUM!</v>
      </c>
      <c r="EB36" s="3" t="e">
        <f t="shared" ca="1" si="28"/>
        <v>#NUM!</v>
      </c>
      <c r="EC36" s="3" t="e">
        <f t="shared" ca="1" si="29"/>
        <v>#NUM!</v>
      </c>
      <c r="ED36" s="63">
        <f t="shared" si="63"/>
        <v>3905</v>
      </c>
      <c r="EE36" s="59">
        <f t="shared" si="64"/>
        <v>0.25</v>
      </c>
      <c r="EF36" s="59">
        <f t="shared" si="30"/>
        <v>1.7579</v>
      </c>
      <c r="EG36" s="59">
        <f t="shared" si="31"/>
        <v>0.25</v>
      </c>
      <c r="EH36" s="59">
        <f t="shared" si="32"/>
        <v>1.7579</v>
      </c>
      <c r="EI36" s="59">
        <f t="shared" si="33"/>
        <v>0.25</v>
      </c>
      <c r="EJ36" s="59">
        <f t="shared" si="34"/>
        <v>0.33810000000000001</v>
      </c>
      <c r="EK36" s="63" t="e">
        <f t="shared" ca="1" si="65"/>
        <v>#NUM!</v>
      </c>
      <c r="EL36" s="3" t="str">
        <f>RTD("tos.rtd",,EL$2,"."&amp;$A$2&amp;$AS$1&amp;"C"&amp;$A36)</f>
        <v>--</v>
      </c>
      <c r="EM36" s="3" t="str">
        <f>RTD("tos.rtd",,EM$2,"."&amp;$A$2&amp;$AS$1&amp;"P"&amp;$A36)</f>
        <v>175.79%</v>
      </c>
      <c r="EN36" s="3" t="str">
        <f>RTD("tos.rtd",,EN$2,"."&amp;$A$2&amp;$AU$1&amp;"C"&amp;$A36)</f>
        <v>--</v>
      </c>
      <c r="EO36" s="3" t="str">
        <f>RTD("tos.rtd",,EO$2,"."&amp;$A$2&amp;$AU$1&amp;"P"&amp;$A36)</f>
        <v>175.79%</v>
      </c>
      <c r="EP36" s="3" t="str">
        <f>RTD("tos.rtd",,EP$2,"."&amp;$A$2&amp;$AW$1&amp;"C"&amp;$A36)</f>
        <v>--</v>
      </c>
      <c r="EQ36" s="3" t="str">
        <f>RTD("tos.rtd",,EQ$2,"."&amp;$A$2&amp;$AW$1&amp;"P"&amp;$A36)</f>
        <v>33.81%</v>
      </c>
      <c r="ES36" s="63" t="str">
        <f t="shared" si="66"/>
        <v>550,3905.00</v>
      </c>
      <c r="ET36" s="63" t="str">
        <f t="shared" ca="1" si="67"/>
        <v>550,00.00</v>
      </c>
      <c r="EU36" s="67">
        <v>561.17999999999995</v>
      </c>
      <c r="EV36" s="67" t="s">
        <v>307</v>
      </c>
      <c r="EW36" s="67">
        <v>483.58</v>
      </c>
      <c r="EX36" s="67" t="s">
        <v>308</v>
      </c>
      <c r="EY36" s="67">
        <v>5631.28</v>
      </c>
      <c r="EZ36" s="67" t="s">
        <v>309</v>
      </c>
      <c r="FA36" s="67">
        <v>19867.973000000002</v>
      </c>
      <c r="FB36" s="67" t="s">
        <v>310</v>
      </c>
      <c r="FC36" s="67" t="s">
        <v>311</v>
      </c>
      <c r="FD36" s="67" t="s">
        <v>312</v>
      </c>
      <c r="FE36" s="67" t="s">
        <v>313</v>
      </c>
      <c r="FF36" s="67" t="s">
        <v>314</v>
      </c>
    </row>
    <row r="37" spans="1:162" s="63" customFormat="1" ht="13.5" thickBot="1" x14ac:dyDescent="0.25">
      <c r="A37" s="2">
        <f t="shared" si="68"/>
        <v>549</v>
      </c>
      <c r="B37" s="3">
        <f t="shared" si="9"/>
        <v>3091</v>
      </c>
      <c r="C37" s="3">
        <f t="shared" si="10"/>
        <v>6288</v>
      </c>
      <c r="D37" s="3">
        <f t="shared" si="11"/>
        <v>9312</v>
      </c>
      <c r="E37" s="3">
        <f t="shared" si="12"/>
        <v>18691</v>
      </c>
      <c r="F37" s="4">
        <f t="shared" si="13"/>
        <v>5524.0295214582129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>
        <v>-33</v>
      </c>
      <c r="AN37" s="1">
        <v>-480</v>
      </c>
      <c r="AO37" s="1">
        <v>549</v>
      </c>
      <c r="AP37" s="1">
        <v>59</v>
      </c>
      <c r="AQ37" s="1">
        <v>-14355</v>
      </c>
      <c r="AR37" s="1"/>
      <c r="AS37" s="6">
        <f>IF(RTD("tos.rtd",,AS$2,"."&amp;$A$2&amp;$AS$1&amp;"C"&amp;$A37)="N/A",0,RTD("tos.rtd",,AS$2,"."&amp;$A$2&amp;$AS$1&amp;"C"&amp;$A37))</f>
        <v>198</v>
      </c>
      <c r="AT37" s="7">
        <f>-IF(RTD("tos.rtd",,AT$2,"."&amp;$A$2&amp;$AS$1&amp;"P"&amp;$A37)="N/A",0,RTD("tos.rtd",,AT$2,"."&amp;$A$2&amp;$AS$1&amp;"P"&amp;$A37))</f>
        <v>-2893</v>
      </c>
      <c r="AU37" s="6">
        <f>IF(RTD("tos.rtd",,AU$2,"."&amp;$A$2&amp;$AU$1&amp;"C"&amp;$A37)="N/A",0,RTD("tos.rtd",,AU$2,"."&amp;$A$2&amp;$AU$1&amp;"C"&amp;$A37))</f>
        <v>763</v>
      </c>
      <c r="AV37" s="7">
        <f>-IF(RTD("tos.rtd",,AV$2,"."&amp;$A$2&amp;$AU$1&amp;"P"&amp;$A37)="N/A",0,RTD("tos.rtd",,AV$2,"."&amp;$A$2&amp;$AU$1&amp;"P"&amp;$A37))</f>
        <v>-5525</v>
      </c>
      <c r="AW37" s="6">
        <f>IF(RTD("tos.rtd",,AW$2,"."&amp;$A$2&amp;$AW$1&amp;"C"&amp;$A37)="N/A",0,RTD("tos.rtd",,AW$2,"."&amp;$A$2&amp;$AW$1&amp;"C"&amp;$A37))</f>
        <v>4403</v>
      </c>
      <c r="AX37" s="7">
        <f>-IF(RTD("tos.rtd",,AX$2,"."&amp;$A$2&amp;$AW$1&amp;"P"&amp;$A37)="N/A",0,RTD("tos.rtd",,AX$2,"."&amp;$A$2&amp;$AW$1&amp;"P"&amp;$A37))</f>
        <v>-4909</v>
      </c>
      <c r="AY37" s="1">
        <f t="shared" si="69"/>
        <v>-7963</v>
      </c>
      <c r="AZ37" s="8">
        <f t="shared" si="35"/>
        <v>549</v>
      </c>
      <c r="BA37" s="6">
        <f>IF(RTD("tos.rtd",,BA$2,"."&amp;$A$2&amp;$AS$1&amp;"C"&amp;$A37)="N/A",0,RTD("tos.rtd",,BA$2,"."&amp;$A$2&amp;$AS$1&amp;"C"&amp;$A37))</f>
        <v>0</v>
      </c>
      <c r="BB37" s="7">
        <f>-IF(RTD("tos.rtd",,BB$2,"."&amp;$A$2&amp;$AS$1&amp;"P"&amp;$A37)="N/A",0,RTD("tos.rtd",,BB$2,"."&amp;$A$2&amp;$AS$1&amp;"P"&amp;$A37))</f>
        <v>0</v>
      </c>
      <c r="BC37" s="6">
        <f>IF(RTD("tos.rtd",,BC$2,"."&amp;$A$2&amp;$AU$1&amp;"C"&amp;$A37)="N/A",0,RTD("tos.rtd",,BC$2,"."&amp;$A$2&amp;$AU$1&amp;"C"&amp;$A37))</f>
        <v>74</v>
      </c>
      <c r="BD37" s="7">
        <f>-IF(RTD("tos.rtd",,BD$2,"."&amp;$A$2&amp;$AU$1&amp;"P"&amp;$A37)="N/A",0,RTD("tos.rtd",,BD$2,"."&amp;$A$2&amp;$AU$1&amp;"P"&amp;$A37))</f>
        <v>-8425</v>
      </c>
      <c r="BE37" s="6">
        <f>IF(RTD("tos.rtd",,BE$2,"."&amp;$A$2&amp;$AW$1&amp;"C"&amp;$A37)="N/A",0,RTD("tos.rtd",,BE$2,"."&amp;$A$2&amp;$AW$1&amp;"C"&amp;$A37))</f>
        <v>57</v>
      </c>
      <c r="BF37" s="83">
        <f>-IF(RTD("tos.rtd",,BF$2,"."&amp;$A$2&amp;$AW$1&amp;"P"&amp;$A37)="N/A",0,RTD("tos.rtd",,BF$2,"."&amp;$A$2&amp;$AW$1&amp;"P"&amp;$A37))</f>
        <v>-2265</v>
      </c>
      <c r="BG37" s="32">
        <f ca="1">+Hoja2!Y38</f>
        <v>-980</v>
      </c>
      <c r="BH37" s="7">
        <f t="shared" ca="1" si="36"/>
        <v>-11539</v>
      </c>
      <c r="BI37" s="8" t="str">
        <f t="shared" ref="BI37" ca="1" si="200">IF(AND(BH37&lt;0,BH36&gt;0), "Cruce -", IF(AND(BH37&gt;0,BH36&lt;0),"Cruce +", ""))</f>
        <v/>
      </c>
      <c r="BJ37" s="3" t="e">
        <f ca="1">IF($BP$1=1,DX37,IF(RTD("tos.rtd",,BJ$2,"."&amp;$A$2&amp;$AS$1&amp;"C"&amp;$A37)="N/A",0,RTD("tos.rtd",,BJ$2,"."&amp;$A$2&amp;$AS$1&amp;"C"&amp;$A37)))</f>
        <v>#NUM!</v>
      </c>
      <c r="BK37" s="3" t="e">
        <f ca="1">IF($BP$1=1,DY37,-IF(RTD("tos.rtd",,BK$2,"."&amp;$A$2&amp;$AS$1&amp;"P"&amp;$A37)="N/A",0,RTD("tos.rtd",,BK$2,"."&amp;$A$2&amp;$AS$1&amp;"P"&amp;$A37)))</f>
        <v>#NUM!</v>
      </c>
      <c r="BL37" s="3" t="e">
        <f ca="1">IF($BP$1=1,DZ37,IF(RTD("tos.rtd",,BL$2,"."&amp;$A$2&amp;$AU$1&amp;"C"&amp;$A37)="N/A",0,RTD("tos.rtd",,BL$2,"."&amp;$A$2&amp;$AU$1&amp;"C"&amp;$A37)))</f>
        <v>#NUM!</v>
      </c>
      <c r="BM37" s="3" t="e">
        <f ca="1">IF($BP$1=1,EA37,-IF(RTD("tos.rtd",,BM$2,"."&amp;$A$2&amp;$AU$1&amp;"P"&amp;$A37)="N/A",0,RTD("tos.rtd",,BM$2,"."&amp;$A$2&amp;$AU$1&amp;"P"&amp;$A37)))</f>
        <v>#NUM!</v>
      </c>
      <c r="BN37" s="3" t="e">
        <f ca="1">IF($BP$1=1,EB37,IF(RTD("tos.rtd",,BN$2,"."&amp;$A$2&amp;$AW$1&amp;"C"&amp;$A37)="N/A",0,RTD("tos.rtd",,BN$2,"."&amp;$A$2&amp;$AW$1&amp;"C"&amp;$A37)))</f>
        <v>#NUM!</v>
      </c>
      <c r="BO37" s="3" t="e">
        <f ca="1">IF($BP$1=1,EC37,-IF(RTD("tos.rtd",,BO$2,"."&amp;$A$2&amp;$AW$1&amp;"P"&amp;$A37)="N/A",0,RTD("tos.rtd",,BO$2,"."&amp;$A$2&amp;$AW$1&amp;"P"&amp;$A37)))</f>
        <v>#NUM!</v>
      </c>
      <c r="BQ37" s="3" t="e">
        <f t="shared" ca="1" si="37"/>
        <v>#NUM!</v>
      </c>
      <c r="BR37" s="3" t="e">
        <f t="shared" ca="1" si="71"/>
        <v>#NUM!</v>
      </c>
      <c r="BS37" s="3" t="e">
        <f t="shared" ca="1" si="38"/>
        <v>#NUM!</v>
      </c>
      <c r="BT37" s="3" t="e">
        <f t="shared" ca="1" si="71"/>
        <v>#NUM!</v>
      </c>
      <c r="BU37" s="3" t="e">
        <f t="shared" ca="1" si="39"/>
        <v>#NUM!</v>
      </c>
      <c r="BV37" s="3" t="e">
        <f t="shared" ref="BV37" ca="1" si="201">IF(AND(BU37&lt;0,BU36&gt;0), "Cruce -", IF(AND(BU37&gt;0,BU36&lt;0),"Cruce +", ""))</f>
        <v>#NUM!</v>
      </c>
      <c r="BX37" s="3" t="e">
        <f t="shared" ca="1" si="40"/>
        <v>#NUM!</v>
      </c>
      <c r="BY37" s="3" t="e">
        <f t="shared" ca="1" si="73"/>
        <v>#NUM!</v>
      </c>
      <c r="BZ37" s="3" t="e">
        <f t="shared" ca="1" si="41"/>
        <v>#NUM!</v>
      </c>
      <c r="CA37" s="3" t="e">
        <f t="shared" ca="1" si="74"/>
        <v>#NUM!</v>
      </c>
      <c r="CB37" s="3" t="e">
        <f t="shared" ca="1" si="42"/>
        <v>#NUM!</v>
      </c>
      <c r="CC37" s="3" t="e">
        <f t="shared" ca="1" si="75"/>
        <v>#NUM!</v>
      </c>
      <c r="CD37" s="3">
        <f>IF(RTD("tos.rtd",,CD$2,"."&amp;$A$2&amp;$AS$1&amp;"C"&amp;$A37)="N/A",0,RTD("tos.rtd",,CD$2,"."&amp;$A$2&amp;$AS$1&amp;"C"&amp;$A37))</f>
        <v>1</v>
      </c>
      <c r="CE37" s="3">
        <f>-IF(RTD("tos.rtd",,CE$2,"."&amp;$A$2&amp;$AS$1&amp;"P"&amp;$A37)="N/A",0,RTD("tos.rtd",,CE$2,"."&amp;$A$2&amp;$AS$1&amp;"P"&amp;$A37))</f>
        <v>0</v>
      </c>
      <c r="CF37" s="3">
        <f>IF(RTD("tos.rtd",,CF$2,"."&amp;$A$2&amp;$AU$1&amp;"C"&amp;$A37)="N/A",0,RTD("tos.rtd",,CF$2,"."&amp;$A$2&amp;$AU$1&amp;"C"&amp;$A37))</f>
        <v>1</v>
      </c>
      <c r="CG37" s="3">
        <f>-IF(RTD("tos.rtd",,CG$2,"."&amp;$A$2&amp;$AU$1&amp;"P"&amp;$A37)="N/A",0,RTD("tos.rtd",,CG$2,"."&amp;$A$2&amp;$AU$1&amp;"P"&amp;$A37))</f>
        <v>0</v>
      </c>
      <c r="CH37" s="3">
        <f>IF(RTD("tos.rtd",,CH$2,"."&amp;$A$2&amp;$AW$1&amp;"C"&amp;$A37)="N/A",0,RTD("tos.rtd",,CH$2,"."&amp;$A$2&amp;$AW$1&amp;"C"&amp;$A37))</f>
        <v>1</v>
      </c>
      <c r="CI37" s="3">
        <f>-IF(RTD("tos.rtd",,CI$2,"."&amp;$A$2&amp;$AW$1&amp;"P"&amp;$A37)="N/A",0,RTD("tos.rtd",,CI$2,"."&amp;$A$2&amp;$AW$1&amp;"P"&amp;$A37))</f>
        <v>0.15</v>
      </c>
      <c r="CK37" s="3">
        <f t="shared" si="17"/>
        <v>19800</v>
      </c>
      <c r="CL37" s="3"/>
      <c r="CM37" s="3">
        <f t="shared" si="18"/>
        <v>76300</v>
      </c>
      <c r="CN37" s="3"/>
      <c r="CO37" s="3">
        <f t="shared" si="19"/>
        <v>366665</v>
      </c>
      <c r="CP37" s="3">
        <f t="shared" si="43"/>
        <v>462765</v>
      </c>
      <c r="CQ37" s="3">
        <f t="shared" si="44"/>
        <v>0</v>
      </c>
      <c r="CR37" s="3"/>
      <c r="CS37" s="3">
        <f t="shared" si="20"/>
        <v>-8351</v>
      </c>
      <c r="CT37" s="3"/>
      <c r="CU37" s="3">
        <f t="shared" si="21"/>
        <v>-2208</v>
      </c>
      <c r="CV37" s="3">
        <f t="shared" si="45"/>
        <v>-10559</v>
      </c>
      <c r="CW37" s="3" t="e">
        <f t="shared" ca="1" si="46"/>
        <v>#NUM!</v>
      </c>
      <c r="CX37" s="85" t="e">
        <f t="shared" ca="1" si="76"/>
        <v>#NUM!</v>
      </c>
      <c r="CY37" s="3" t="e">
        <f t="shared" ca="1" si="47"/>
        <v>#NUM!</v>
      </c>
      <c r="CZ37" s="85" t="e">
        <f t="shared" ca="1" si="77"/>
        <v>#NUM!</v>
      </c>
      <c r="DA37" s="3">
        <f>IF(RTD("tos.rtd",,DA$2,"."&amp;$A$2&amp;$AS$1&amp;"C"&amp;$A37)="N/A",0,RTD("tos.rtd",,DA$2,"."&amp;$A$2&amp;$AS$1&amp;"C"&amp;$A37))</f>
        <v>19.59</v>
      </c>
      <c r="DB37" s="3">
        <f>IF(RTD("tos.rtd",,DB$2,"."&amp;$A$2&amp;$AS$1&amp;"P"&amp;$A37)="N/A",0,RTD("tos.rtd",,DB$2,"."&amp;$A$2&amp;$AS$1&amp;"P"&amp;$A37))</f>
        <v>0.01</v>
      </c>
      <c r="DC37" s="3">
        <f>IF(RTD("tos.rtd",,DC$2,"."&amp;$A$2&amp;$AS$1&amp;"C"&amp;$A37)="N/A",0,RTD("tos.rtd",,DC$2,"."&amp;$A$2&amp;$AS$1&amp;"C"&amp;$A37))</f>
        <v>16.940000000000001</v>
      </c>
      <c r="DD37" s="3">
        <f>IF(RTD("tos.rtd",,DD$2,"."&amp;$A$2&amp;$AS$1&amp;"P"&amp;$A37)="N/A",0,RTD("tos.rtd",,DD$2,"."&amp;$A$2&amp;$AS$1&amp;"P"&amp;$A37))</f>
        <v>0.01</v>
      </c>
      <c r="DE37" s="3">
        <f>IF(RTD("tos.rtd",,DE$2,"."&amp;$A$2&amp;$AS$1&amp;"C"&amp;$A37)="N/A",0,RTD("tos.rtd",,DE$2,"."&amp;$A$2&amp;$AS$1&amp;"C"&amp;$A37))</f>
        <v>14.98</v>
      </c>
      <c r="DF37" s="3">
        <f>IF(RTD("tos.rtd",,DF$2,"."&amp;$A$2&amp;$AS$1&amp;"P"&amp;$A37)="N/A",0,RTD("tos.rtd",,DF$2,"."&amp;$A$2&amp;$AS$1&amp;"P"&amp;$A37))</f>
        <v>0</v>
      </c>
      <c r="DG37" s="86">
        <f t="shared" si="48"/>
        <v>-22.110000000000014</v>
      </c>
      <c r="DH37" s="3">
        <f t="shared" si="22"/>
        <v>-138.77040816326522</v>
      </c>
      <c r="DI37" s="3">
        <f t="shared" si="49"/>
        <v>14355</v>
      </c>
      <c r="DJ37" s="3">
        <f t="shared" si="50"/>
        <v>-59</v>
      </c>
      <c r="DK37" s="3">
        <f t="shared" si="51"/>
        <v>14355</v>
      </c>
      <c r="DL37" s="3">
        <f t="shared" si="52"/>
        <v>14216.229591836734</v>
      </c>
      <c r="DM37" s="3">
        <f t="shared" si="53"/>
        <v>14296</v>
      </c>
      <c r="DN37" s="63" t="str">
        <f t="shared" si="54"/>
        <v>UNKNOWN</v>
      </c>
      <c r="DO37" s="63" t="str">
        <f t="shared" si="55"/>
        <v>UNKNOWN</v>
      </c>
      <c r="DP37" s="3">
        <f t="shared" si="56"/>
        <v>-2574.9622959183653</v>
      </c>
      <c r="DQ37" s="3">
        <f t="shared" si="57"/>
        <v>-1012.26</v>
      </c>
      <c r="DR37" s="3" t="e">
        <f t="shared" ca="1" si="58"/>
        <v>#NUM!</v>
      </c>
      <c r="DS37" s="3">
        <f t="shared" si="59"/>
        <v>-59</v>
      </c>
      <c r="DT37" s="3">
        <f t="shared" si="60"/>
        <v>-59</v>
      </c>
      <c r="DU37" s="3">
        <f t="shared" si="61"/>
        <v>14355</v>
      </c>
      <c r="DV37" s="3">
        <f t="shared" si="62"/>
        <v>-33</v>
      </c>
      <c r="DW37" s="3">
        <f t="shared" si="23"/>
        <v>-480</v>
      </c>
      <c r="DX37" s="3" t="e">
        <f t="shared" ca="1" si="24"/>
        <v>#NUM!</v>
      </c>
      <c r="DY37" s="3" t="e">
        <f t="shared" ca="1" si="25"/>
        <v>#NUM!</v>
      </c>
      <c r="DZ37" s="3" t="e">
        <f t="shared" ca="1" si="26"/>
        <v>#NUM!</v>
      </c>
      <c r="EA37" s="3" t="e">
        <f t="shared" ca="1" si="27"/>
        <v>#NUM!</v>
      </c>
      <c r="EB37" s="3" t="e">
        <f t="shared" ca="1" si="28"/>
        <v>#NUM!</v>
      </c>
      <c r="EC37" s="3" t="e">
        <f t="shared" ca="1" si="29"/>
        <v>#NUM!</v>
      </c>
      <c r="ED37" s="63">
        <f t="shared" si="63"/>
        <v>-513</v>
      </c>
      <c r="EE37" s="59">
        <f t="shared" si="64"/>
        <v>0.25</v>
      </c>
      <c r="EF37" s="59">
        <f t="shared" si="30"/>
        <v>1.8348</v>
      </c>
      <c r="EG37" s="59">
        <f t="shared" si="31"/>
        <v>0.25</v>
      </c>
      <c r="EH37" s="59">
        <f t="shared" si="32"/>
        <v>1.8348</v>
      </c>
      <c r="EI37" s="59">
        <f t="shared" si="33"/>
        <v>0.25</v>
      </c>
      <c r="EJ37" s="59">
        <f t="shared" si="34"/>
        <v>0.33689999999999998</v>
      </c>
      <c r="EK37" s="63" t="e">
        <f t="shared" ca="1" si="65"/>
        <v>#NUM!</v>
      </c>
      <c r="EL37" s="3" t="str">
        <f>RTD("tos.rtd",,EL$2,"."&amp;$A$2&amp;$AS$1&amp;"C"&amp;$A37)</f>
        <v>--</v>
      </c>
      <c r="EM37" s="3" t="str">
        <f>RTD("tos.rtd",,EM$2,"."&amp;$A$2&amp;$AS$1&amp;"P"&amp;$A37)</f>
        <v>183.48%</v>
      </c>
      <c r="EN37" s="3" t="str">
        <f>RTD("tos.rtd",,EN$2,"."&amp;$A$2&amp;$AU$1&amp;"C"&amp;$A37)</f>
        <v>--</v>
      </c>
      <c r="EO37" s="3" t="str">
        <f>RTD("tos.rtd",,EO$2,"."&amp;$A$2&amp;$AU$1&amp;"P"&amp;$A37)</f>
        <v>183.48%</v>
      </c>
      <c r="EP37" s="3" t="str">
        <f>RTD("tos.rtd",,EP$2,"."&amp;$A$2&amp;$AW$1&amp;"C"&amp;$A37)</f>
        <v>--</v>
      </c>
      <c r="EQ37" s="3" t="str">
        <f>RTD("tos.rtd",,EQ$2,"."&amp;$A$2&amp;$AW$1&amp;"P"&amp;$A37)</f>
        <v>33.69%</v>
      </c>
      <c r="ES37" s="63" t="str">
        <f t="shared" si="66"/>
        <v>549,-513.00</v>
      </c>
      <c r="ET37" s="63" t="str">
        <f t="shared" ca="1" si="67"/>
        <v>549,00.00</v>
      </c>
      <c r="EU37" s="67">
        <v>561.27</v>
      </c>
      <c r="EV37" s="67" t="s">
        <v>315</v>
      </c>
      <c r="EW37" s="67">
        <v>483.62</v>
      </c>
      <c r="EX37" s="67" t="s">
        <v>316</v>
      </c>
      <c r="EY37" s="67">
        <v>5631.28</v>
      </c>
      <c r="EZ37" s="67" t="s">
        <v>317</v>
      </c>
      <c r="FA37" s="67">
        <v>19867.973000000002</v>
      </c>
      <c r="FB37" s="67" t="s">
        <v>318</v>
      </c>
      <c r="FC37" s="67" t="s">
        <v>319</v>
      </c>
      <c r="FD37" s="67" t="s">
        <v>320</v>
      </c>
      <c r="FE37" s="67" t="s">
        <v>321</v>
      </c>
      <c r="FF37" s="67" t="s">
        <v>322</v>
      </c>
    </row>
    <row r="38" spans="1:162" s="63" customFormat="1" ht="13.5" thickBot="1" x14ac:dyDescent="0.25">
      <c r="A38" s="2">
        <f t="shared" si="68"/>
        <v>548</v>
      </c>
      <c r="B38" s="35">
        <f t="shared" si="9"/>
        <v>4253</v>
      </c>
      <c r="C38" s="35">
        <f t="shared" si="10"/>
        <v>7462</v>
      </c>
      <c r="D38" s="35">
        <f t="shared" si="11"/>
        <v>11558</v>
      </c>
      <c r="E38" s="35">
        <f t="shared" si="12"/>
        <v>23273</v>
      </c>
      <c r="F38" s="11">
        <f t="shared" si="13"/>
        <v>5513.9675369018232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51</v>
      </c>
      <c r="AN38" s="1">
        <v>3298</v>
      </c>
      <c r="AO38" s="1">
        <v>548</v>
      </c>
      <c r="AP38" s="1">
        <v>66</v>
      </c>
      <c r="AQ38" s="1">
        <v>-13644</v>
      </c>
      <c r="AR38" s="1"/>
      <c r="AS38" s="15">
        <f>IF(RTD("tos.rtd",,AS$2,"."&amp;$A$2&amp;$AS$1&amp;"C"&amp;$A38)="N/A",0,RTD("tos.rtd",,AS$2,"."&amp;$A$2&amp;$AS$1&amp;"C"&amp;$A38))</f>
        <v>295</v>
      </c>
      <c r="AT38" s="36">
        <f>-IF(RTD("tos.rtd",,AT$2,"."&amp;$A$2&amp;$AS$1&amp;"P"&amp;$A38)="N/A",0,RTD("tos.rtd",,AT$2,"."&amp;$A$2&amp;$AS$1&amp;"P"&amp;$A38))</f>
        <v>-3958</v>
      </c>
      <c r="AU38" s="15">
        <f>IF(RTD("tos.rtd",,AU$2,"."&amp;$A$2&amp;$AU$1&amp;"C"&amp;$A38)="N/A",0,RTD("tos.rtd",,AU$2,"."&amp;$A$2&amp;$AU$1&amp;"C"&amp;$A38))</f>
        <v>993</v>
      </c>
      <c r="AV38" s="36">
        <f>-IF(RTD("tos.rtd",,AV$2,"."&amp;$A$2&amp;$AU$1&amp;"P"&amp;$A38)="N/A",0,RTD("tos.rtd",,AV$2,"."&amp;$A$2&amp;$AU$1&amp;"P"&amp;$A38))</f>
        <v>-6469</v>
      </c>
      <c r="AW38" s="15">
        <f>IF(RTD("tos.rtd",,AW$2,"."&amp;$A$2&amp;$AW$1&amp;"C"&amp;$A38)="N/A",0,RTD("tos.rtd",,AW$2,"."&amp;$A$2&amp;$AW$1&amp;"C"&amp;$A38))</f>
        <v>5696</v>
      </c>
      <c r="AX38" s="36">
        <f>-IF(RTD("tos.rtd",,AX$2,"."&amp;$A$2&amp;$AW$1&amp;"P"&amp;$A38)="N/A",0,RTD("tos.rtd",,AX$2,"."&amp;$A$2&amp;$AW$1&amp;"P"&amp;$A38))</f>
        <v>-5862</v>
      </c>
      <c r="AY38" s="1">
        <f t="shared" si="69"/>
        <v>-9305</v>
      </c>
      <c r="AZ38" s="8">
        <f t="shared" si="35"/>
        <v>548</v>
      </c>
      <c r="BA38" s="15">
        <f>IF(RTD("tos.rtd",,BA$2,"."&amp;$A$2&amp;$AS$1&amp;"C"&amp;$A38)="N/A",0,RTD("tos.rtd",,BA$2,"."&amp;$A$2&amp;$AS$1&amp;"C"&amp;$A38))</f>
        <v>0</v>
      </c>
      <c r="BB38" s="36">
        <f>-IF(RTD("tos.rtd",,BB$2,"."&amp;$A$2&amp;$AS$1&amp;"P"&amp;$A38)="N/A",0,RTD("tos.rtd",,BB$2,"."&amp;$A$2&amp;$AS$1&amp;"P"&amp;$A38))</f>
        <v>0</v>
      </c>
      <c r="BC38" s="15">
        <f>IF(RTD("tos.rtd",,BC$2,"."&amp;$A$2&amp;$AU$1&amp;"C"&amp;$A38)="N/A",0,RTD("tos.rtd",,BC$2,"."&amp;$A$2&amp;$AU$1&amp;"C"&amp;$A38))</f>
        <v>96</v>
      </c>
      <c r="BD38" s="36">
        <f>-IF(RTD("tos.rtd",,BD$2,"."&amp;$A$2&amp;$AU$1&amp;"P"&amp;$A38)="N/A",0,RTD("tos.rtd",,BD$2,"."&amp;$A$2&amp;$AU$1&amp;"P"&amp;$A38))</f>
        <v>-3992</v>
      </c>
      <c r="BE38" s="15">
        <f>IF(RTD("tos.rtd",,BE$2,"."&amp;$A$2&amp;$AW$1&amp;"C"&amp;$A38)="N/A",0,RTD("tos.rtd",,BE$2,"."&amp;$A$2&amp;$AW$1&amp;"C"&amp;$A38))</f>
        <v>102</v>
      </c>
      <c r="BF38" s="16">
        <f>-IF(RTD("tos.rtd",,BF$2,"."&amp;$A$2&amp;$AW$1&amp;"P"&amp;$A38)="N/A",0,RTD("tos.rtd",,BF$2,"."&amp;$A$2&amp;$AW$1&amp;"P"&amp;$A38))</f>
        <v>-3395</v>
      </c>
      <c r="BG38" s="32">
        <f ca="1">+Hoja2!Y39</f>
        <v>-332</v>
      </c>
      <c r="BH38" s="36">
        <f t="shared" ca="1" si="36"/>
        <v>-7521</v>
      </c>
      <c r="BI38" s="8" t="str">
        <f t="shared" ref="BI38" ca="1" si="202">IF(AND(BH38&lt;0,BH37&gt;0), "Cruce -", IF(AND(BH38&gt;0,BH37&lt;0),"Cruce +", ""))</f>
        <v/>
      </c>
      <c r="BJ38" s="3" t="e">
        <f ca="1">IF($BP$1=1,DX38,IF(RTD("tos.rtd",,BJ$2,"."&amp;$A$2&amp;$AS$1&amp;"C"&amp;$A38)="N/A",0,RTD("tos.rtd",,BJ$2,"."&amp;$A$2&amp;$AS$1&amp;"C"&amp;$A38)))</f>
        <v>#NUM!</v>
      </c>
      <c r="BK38" s="3" t="e">
        <f ca="1">IF($BP$1=1,DY38,-IF(RTD("tos.rtd",,BK$2,"."&amp;$A$2&amp;$AS$1&amp;"P"&amp;$A38)="N/A",0,RTD("tos.rtd",,BK$2,"."&amp;$A$2&amp;$AS$1&amp;"P"&amp;$A38)))</f>
        <v>#NUM!</v>
      </c>
      <c r="BL38" s="3" t="e">
        <f ca="1">IF($BP$1=1,DZ38,IF(RTD("tos.rtd",,BL$2,"."&amp;$A$2&amp;$AU$1&amp;"C"&amp;$A38)="N/A",0,RTD("tos.rtd",,BL$2,"."&amp;$A$2&amp;$AU$1&amp;"C"&amp;$A38)))</f>
        <v>#NUM!</v>
      </c>
      <c r="BM38" s="3" t="e">
        <f ca="1">IF($BP$1=1,EA38,-IF(RTD("tos.rtd",,BM$2,"."&amp;$A$2&amp;$AU$1&amp;"P"&amp;$A38)="N/A",0,RTD("tos.rtd",,BM$2,"."&amp;$A$2&amp;$AU$1&amp;"P"&amp;$A38)))</f>
        <v>#NUM!</v>
      </c>
      <c r="BN38" s="3" t="e">
        <f ca="1">IF($BP$1=1,EB38,IF(RTD("tos.rtd",,BN$2,"."&amp;$A$2&amp;$AW$1&amp;"C"&amp;$A38)="N/A",0,RTD("tos.rtd",,BN$2,"."&amp;$A$2&amp;$AW$1&amp;"C"&amp;$A38)))</f>
        <v>#NUM!</v>
      </c>
      <c r="BO38" s="3" t="e">
        <f ca="1">IF($BP$1=1,EC38,-IF(RTD("tos.rtd",,BO$2,"."&amp;$A$2&amp;$AW$1&amp;"P"&amp;$A38)="N/A",0,RTD("tos.rtd",,BO$2,"."&amp;$A$2&amp;$AW$1&amp;"P"&amp;$A38)))</f>
        <v>#NUM!</v>
      </c>
      <c r="BQ38" s="3" t="e">
        <f t="shared" ca="1" si="37"/>
        <v>#NUM!</v>
      </c>
      <c r="BR38" s="3" t="e">
        <f t="shared" ca="1" si="71"/>
        <v>#NUM!</v>
      </c>
      <c r="BS38" s="3" t="e">
        <f t="shared" ca="1" si="38"/>
        <v>#NUM!</v>
      </c>
      <c r="BT38" s="3" t="e">
        <f t="shared" ca="1" si="71"/>
        <v>#NUM!</v>
      </c>
      <c r="BU38" s="3" t="e">
        <f t="shared" ca="1" si="39"/>
        <v>#NUM!</v>
      </c>
      <c r="BV38" s="3" t="e">
        <f t="shared" ref="BV38" ca="1" si="203">IF(AND(BU38&lt;0,BU37&gt;0), "Cruce -", IF(AND(BU38&gt;0,BU37&lt;0),"Cruce +", ""))</f>
        <v>#NUM!</v>
      </c>
      <c r="BX38" s="3" t="e">
        <f t="shared" ca="1" si="40"/>
        <v>#NUM!</v>
      </c>
      <c r="BY38" s="3" t="e">
        <f t="shared" ca="1" si="73"/>
        <v>#NUM!</v>
      </c>
      <c r="BZ38" s="3" t="e">
        <f t="shared" ca="1" si="41"/>
        <v>#NUM!</v>
      </c>
      <c r="CA38" s="3" t="e">
        <f t="shared" ca="1" si="74"/>
        <v>#NUM!</v>
      </c>
      <c r="CB38" s="3" t="e">
        <f t="shared" ca="1" si="42"/>
        <v>#NUM!</v>
      </c>
      <c r="CC38" s="3" t="e">
        <f t="shared" ca="1" si="75"/>
        <v>#NUM!</v>
      </c>
      <c r="CD38" s="3">
        <f>IF(RTD("tos.rtd",,CD$2,"."&amp;$A$2&amp;$AS$1&amp;"C"&amp;$A38)="N/A",0,RTD("tos.rtd",,CD$2,"."&amp;$A$2&amp;$AS$1&amp;"C"&amp;$A38))</f>
        <v>1</v>
      </c>
      <c r="CE38" s="3">
        <f>-IF(RTD("tos.rtd",,CE$2,"."&amp;$A$2&amp;$AS$1&amp;"P"&amp;$A38)="N/A",0,RTD("tos.rtd",,CE$2,"."&amp;$A$2&amp;$AS$1&amp;"P"&amp;$A38))</f>
        <v>0</v>
      </c>
      <c r="CF38" s="3">
        <f>IF(RTD("tos.rtd",,CF$2,"."&amp;$A$2&amp;$AU$1&amp;"C"&amp;$A38)="N/A",0,RTD("tos.rtd",,CF$2,"."&amp;$A$2&amp;$AU$1&amp;"C"&amp;$A38))</f>
        <v>1</v>
      </c>
      <c r="CG38" s="3">
        <f>-IF(RTD("tos.rtd",,CG$2,"."&amp;$A$2&amp;$AU$1&amp;"P"&amp;$A38)="N/A",0,RTD("tos.rtd",,CG$2,"."&amp;$A$2&amp;$AU$1&amp;"P"&amp;$A38))</f>
        <v>0</v>
      </c>
      <c r="CH38" s="3">
        <f>IF(RTD("tos.rtd",,CH$2,"."&amp;$A$2&amp;$AW$1&amp;"C"&amp;$A38)="N/A",0,RTD("tos.rtd",,CH$2,"."&amp;$A$2&amp;$AW$1&amp;"C"&amp;$A38))</f>
        <v>1</v>
      </c>
      <c r="CI38" s="3">
        <f>-IF(RTD("tos.rtd",,CI$2,"."&amp;$A$2&amp;$AW$1&amp;"P"&amp;$A38)="N/A",0,RTD("tos.rtd",,CI$2,"."&amp;$A$2&amp;$AW$1&amp;"P"&amp;$A38))</f>
        <v>0.14000000000000001</v>
      </c>
      <c r="CK38" s="3">
        <f t="shared" si="17"/>
        <v>29500</v>
      </c>
      <c r="CL38" s="3"/>
      <c r="CM38" s="3">
        <f t="shared" si="18"/>
        <v>99300</v>
      </c>
      <c r="CN38" s="3"/>
      <c r="CO38" s="3">
        <f t="shared" si="19"/>
        <v>487532</v>
      </c>
      <c r="CP38" s="3">
        <f t="shared" si="43"/>
        <v>616332</v>
      </c>
      <c r="CQ38" s="3">
        <f t="shared" si="44"/>
        <v>0</v>
      </c>
      <c r="CR38" s="3"/>
      <c r="CS38" s="3">
        <f t="shared" si="20"/>
        <v>-3896</v>
      </c>
      <c r="CT38" s="3"/>
      <c r="CU38" s="3">
        <f t="shared" si="21"/>
        <v>-3293</v>
      </c>
      <c r="CV38" s="3">
        <f t="shared" si="45"/>
        <v>-7189</v>
      </c>
      <c r="CW38" s="3" t="e">
        <f t="shared" ca="1" si="46"/>
        <v>#NUM!</v>
      </c>
      <c r="CX38" s="85" t="e">
        <f t="shared" ca="1" si="76"/>
        <v>#NUM!</v>
      </c>
      <c r="CY38" s="3" t="e">
        <f t="shared" ca="1" si="47"/>
        <v>#NUM!</v>
      </c>
      <c r="CZ38" s="85" t="e">
        <f t="shared" ca="1" si="77"/>
        <v>#NUM!</v>
      </c>
      <c r="DA38" s="3">
        <f>IF(RTD("tos.rtd",,DA$2,"."&amp;$A$2&amp;$AS$1&amp;"C"&amp;$A38)="N/A",0,RTD("tos.rtd",,DA$2,"."&amp;$A$2&amp;$AS$1&amp;"C"&amp;$A38))</f>
        <v>17.79</v>
      </c>
      <c r="DB38" s="3">
        <f>IF(RTD("tos.rtd",,DB$2,"."&amp;$A$2&amp;$AS$1&amp;"P"&amp;$A38)="N/A",0,RTD("tos.rtd",,DB$2,"."&amp;$A$2&amp;$AS$1&amp;"P"&amp;$A38))</f>
        <v>0.01</v>
      </c>
      <c r="DC38" s="3">
        <f>IF(RTD("tos.rtd",,DC$2,"."&amp;$A$2&amp;$AS$1&amp;"C"&amp;$A38)="N/A",0,RTD("tos.rtd",,DC$2,"."&amp;$A$2&amp;$AS$1&amp;"C"&amp;$A38))</f>
        <v>18.079999999999998</v>
      </c>
      <c r="DD38" s="3">
        <f>IF(RTD("tos.rtd",,DD$2,"."&amp;$A$2&amp;$AS$1&amp;"P"&amp;$A38)="N/A",0,RTD("tos.rtd",,DD$2,"."&amp;$A$2&amp;$AS$1&amp;"P"&amp;$A38))</f>
        <v>0.01</v>
      </c>
      <c r="DE38" s="3">
        <f>IF(RTD("tos.rtd",,DE$2,"."&amp;$A$2&amp;$AS$1&amp;"C"&amp;$A38)="N/A",0,RTD("tos.rtd",,DE$2,"."&amp;$A$2&amp;$AS$1&amp;"C"&amp;$A38))</f>
        <v>15.98</v>
      </c>
      <c r="DF38" s="3">
        <f>IF(RTD("tos.rtd",,DF$2,"."&amp;$A$2&amp;$AS$1&amp;"P"&amp;$A38)="N/A",0,RTD("tos.rtd",,DF$2,"."&amp;$A$2&amp;$AS$1&amp;"P"&amp;$A38))</f>
        <v>0</v>
      </c>
      <c r="DG38" s="86">
        <f t="shared" si="48"/>
        <v>-23.110000000000014</v>
      </c>
      <c r="DH38" s="3">
        <f t="shared" si="22"/>
        <v>-56.8857142857143</v>
      </c>
      <c r="DI38" s="3">
        <f t="shared" si="49"/>
        <v>13644</v>
      </c>
      <c r="DJ38" s="3">
        <f t="shared" si="50"/>
        <v>-66</v>
      </c>
      <c r="DK38" s="3">
        <f t="shared" si="51"/>
        <v>13644</v>
      </c>
      <c r="DL38" s="3">
        <f t="shared" si="52"/>
        <v>13587.114285714286</v>
      </c>
      <c r="DM38" s="3">
        <f t="shared" si="53"/>
        <v>13578</v>
      </c>
      <c r="DN38" s="63" t="str">
        <f t="shared" si="54"/>
        <v>UNKNOWN</v>
      </c>
      <c r="DO38" s="63" t="str">
        <f t="shared" si="55"/>
        <v>UNKNOWN</v>
      </c>
      <c r="DP38" s="3">
        <f t="shared" si="56"/>
        <v>-875.55685714285733</v>
      </c>
      <c r="DQ38" s="3">
        <f t="shared" si="57"/>
        <v>-1037.6999999999998</v>
      </c>
      <c r="DR38" s="3" t="e">
        <f t="shared" ca="1" si="58"/>
        <v>#NUM!</v>
      </c>
      <c r="DS38" s="3">
        <f t="shared" si="59"/>
        <v>-66</v>
      </c>
      <c r="DT38" s="3">
        <f t="shared" si="60"/>
        <v>-66</v>
      </c>
      <c r="DU38" s="3">
        <f t="shared" si="61"/>
        <v>13644</v>
      </c>
      <c r="DV38" s="3">
        <f t="shared" si="62"/>
        <v>51</v>
      </c>
      <c r="DW38" s="3">
        <f t="shared" si="23"/>
        <v>3298</v>
      </c>
      <c r="DX38" s="3" t="e">
        <f t="shared" ca="1" si="24"/>
        <v>#NUM!</v>
      </c>
      <c r="DY38" s="3" t="e">
        <f t="shared" ca="1" si="25"/>
        <v>#NUM!</v>
      </c>
      <c r="DZ38" s="3" t="e">
        <f t="shared" ca="1" si="26"/>
        <v>#NUM!</v>
      </c>
      <c r="EA38" s="3" t="e">
        <f t="shared" ca="1" si="27"/>
        <v>#NUM!</v>
      </c>
      <c r="EB38" s="3" t="e">
        <f t="shared" ca="1" si="28"/>
        <v>#NUM!</v>
      </c>
      <c r="EC38" s="3" t="e">
        <f t="shared" ca="1" si="29"/>
        <v>#NUM!</v>
      </c>
      <c r="ED38" s="63">
        <f t="shared" si="63"/>
        <v>3349</v>
      </c>
      <c r="EE38" s="59">
        <f t="shared" si="64"/>
        <v>0.25</v>
      </c>
      <c r="EF38" s="59">
        <f t="shared" si="30"/>
        <v>1.9117</v>
      </c>
      <c r="EG38" s="59">
        <f t="shared" si="31"/>
        <v>0.25</v>
      </c>
      <c r="EH38" s="59">
        <f t="shared" si="32"/>
        <v>1.9117</v>
      </c>
      <c r="EI38" s="59">
        <f t="shared" si="33"/>
        <v>0.25</v>
      </c>
      <c r="EJ38" s="59">
        <f t="shared" si="34"/>
        <v>0.33700000000000002</v>
      </c>
      <c r="EK38" s="63" t="e">
        <f t="shared" ca="1" si="65"/>
        <v>#NUM!</v>
      </c>
      <c r="EL38" s="3" t="str">
        <f>RTD("tos.rtd",,EL$2,"."&amp;$A$2&amp;$AS$1&amp;"C"&amp;$A38)</f>
        <v>--</v>
      </c>
      <c r="EM38" s="3" t="str">
        <f>RTD("tos.rtd",,EM$2,"."&amp;$A$2&amp;$AS$1&amp;"P"&amp;$A38)</f>
        <v>191.17%</v>
      </c>
      <c r="EN38" s="3" t="str">
        <f>RTD("tos.rtd",,EN$2,"."&amp;$A$2&amp;$AU$1&amp;"C"&amp;$A38)</f>
        <v>--</v>
      </c>
      <c r="EO38" s="3" t="str">
        <f>RTD("tos.rtd",,EO$2,"."&amp;$A$2&amp;$AU$1&amp;"P"&amp;$A38)</f>
        <v>191.17%</v>
      </c>
      <c r="EP38" s="3" t="str">
        <f>RTD("tos.rtd",,EP$2,"."&amp;$A$2&amp;$AW$1&amp;"C"&amp;$A38)</f>
        <v>--</v>
      </c>
      <c r="EQ38" s="3" t="str">
        <f>RTD("tos.rtd",,EQ$2,"."&amp;$A$2&amp;$AW$1&amp;"P"&amp;$A38)</f>
        <v>33.70%</v>
      </c>
      <c r="ES38" s="63" t="str">
        <f t="shared" si="66"/>
        <v>548,3349.00</v>
      </c>
      <c r="ET38" s="63" t="str">
        <f t="shared" ca="1" si="67"/>
        <v>548,00.00</v>
      </c>
      <c r="EU38" s="67">
        <v>561.34</v>
      </c>
      <c r="EV38" s="67" t="s">
        <v>323</v>
      </c>
      <c r="EW38" s="67">
        <v>483.61</v>
      </c>
      <c r="EX38" s="67" t="s">
        <v>324</v>
      </c>
      <c r="EY38" s="67">
        <v>5631.28</v>
      </c>
      <c r="EZ38" s="67" t="s">
        <v>325</v>
      </c>
      <c r="FA38" s="67">
        <v>19867.973000000002</v>
      </c>
      <c r="FB38" s="67" t="s">
        <v>326</v>
      </c>
      <c r="FC38" s="67" t="s">
        <v>327</v>
      </c>
      <c r="FD38" s="67" t="s">
        <v>328</v>
      </c>
      <c r="FE38" s="67" t="s">
        <v>329</v>
      </c>
      <c r="FF38" s="67" t="s">
        <v>330</v>
      </c>
    </row>
    <row r="39" spans="1:162" ht="14.25" customHeight="1" x14ac:dyDescent="0.2">
      <c r="A39" s="37">
        <v>1</v>
      </c>
      <c r="B39" s="38"/>
      <c r="C39" s="39"/>
      <c r="D39" s="40"/>
      <c r="E39" s="40"/>
      <c r="F39" s="40"/>
      <c r="G39" s="41"/>
      <c r="AP39" s="1" t="s">
        <v>17</v>
      </c>
      <c r="AQ39" s="1" t="s">
        <v>18</v>
      </c>
      <c r="AS39" s="25" t="s">
        <v>17</v>
      </c>
      <c r="AT39" s="25" t="s">
        <v>18</v>
      </c>
      <c r="AU39" s="25" t="s">
        <v>17</v>
      </c>
      <c r="AV39" s="25" t="s">
        <v>18</v>
      </c>
      <c r="AW39" s="25" t="s">
        <v>17</v>
      </c>
      <c r="AX39" s="25" t="s">
        <v>18</v>
      </c>
      <c r="AY39" s="25"/>
      <c r="BA39" s="25" t="s">
        <v>17</v>
      </c>
      <c r="BB39" s="25" t="s">
        <v>18</v>
      </c>
      <c r="BC39" s="25" t="s">
        <v>17</v>
      </c>
      <c r="BD39" s="25" t="s">
        <v>18</v>
      </c>
      <c r="BE39" s="25" t="s">
        <v>17</v>
      </c>
      <c r="BF39" s="25" t="s">
        <v>18</v>
      </c>
      <c r="BG39" s="23"/>
      <c r="BH39" s="25">
        <f ca="1">MIN(BH4:BH38)</f>
        <v>-259356</v>
      </c>
      <c r="BI39" s="1">
        <f ca="1">IFERROR(IF(MIN(BH4:BH38)&lt;&gt;0,INDEX(A4:A38,MATCH(MIN(BH4:BH38),BH4:BH38,0)),""),"")</f>
        <v>563</v>
      </c>
      <c r="BJ39" s="23"/>
      <c r="BK39" s="23"/>
      <c r="BL39" s="23"/>
      <c r="BM39" s="23"/>
      <c r="BN39" s="23"/>
      <c r="BO39" s="23"/>
      <c r="BP39" s="64" t="e">
        <f ca="1">INDEX(BQ39:BU39,MATCH(MAX(BQ3:BU3),BQ3:BU3,0))</f>
        <v>#NUM!</v>
      </c>
      <c r="BQ39" s="23" t="e">
        <f ca="1">IF(AND(BQ3&gt;0,ABS(MAX(BQ4:BQ38))&gt;ABS(MIN(BQ4:BQ38))),IF(MAX(BQ4:BQ38)&lt;&gt;0,INDEX($A4:$A38,MATCH(MAX(BQ4:BQ38),BQ4:BQ38,0)),""),"")</f>
        <v>#NUM!</v>
      </c>
      <c r="BR39" s="23"/>
      <c r="BS39" s="23" t="e">
        <f ca="1">IF(AND(BS3&gt;0,ABS(MAX(BS4:BS38))&gt;ABS(MIN(BS4:BS38))),IF(MAX(BS4:BS38)&lt;&gt;0,INDEX($A4:$A38,MATCH(MAX(BS4:BS38),BS4:BS38,0)),""),"")</f>
        <v>#NUM!</v>
      </c>
      <c r="BT39" s="23"/>
      <c r="BU39" s="23" t="e">
        <f ca="1">IF(AND(BU3&gt;0,ABS(MAX(BU4:BU38))&gt;ABS(MIN(BU4:BU38))),IF(MAX(BU4:BU38)&lt;&gt;0,INDEX($A4:$A38,MATCH(MAX(BU4:BU38),BU4:BU38,0)),""),"")</f>
        <v>#NUM!</v>
      </c>
      <c r="BV39" s="23"/>
      <c r="BW39" s="64" t="e">
        <f ca="1">INDEX(BX39:CB39,MATCH(MAX(BX3:CB3),BX3:CB3,0))</f>
        <v>#NUM!</v>
      </c>
      <c r="BX39" s="23" t="e">
        <f ca="1">IF(AND(BX3&gt;0,ABS(MAX(BX4:BX38))&gt;ABS(MIN(BX4:BX38))),IF(MAX(BX4:BX38)&lt;&gt;0,INDEX($A4:$A38,MATCH(MAX(BX4:BX38),BX4:BX38,0)),""),"")</f>
        <v>#NUM!</v>
      </c>
      <c r="BY39" s="23" t="e">
        <f ca="1">INDEX($A$4:$A$38,1+MATCH("Cruce -",BY4:BY38,))</f>
        <v>#N/A</v>
      </c>
      <c r="BZ39" s="23" t="e">
        <f ca="1">IF(AND(BZ3&gt;0,ABS(MAX(BZ4:BZ38))&gt;ABS(MIN(BZ4:BZ38))),IF(MAX(BZ4:BZ38)&lt;&gt;0,INDEX($A4:$A38,MATCH(MAX(BZ4:BZ38),BZ4:BZ38,0)),""),"")</f>
        <v>#NUM!</v>
      </c>
      <c r="CA39" s="23"/>
      <c r="CB39" s="23" t="e">
        <f ca="1">IF(AND(CB3&gt;0,ABS(MAX(CB4:CB38))&gt;ABS(MIN(CB4:CB38))),IF(MAX(CB4:CB38)&lt;&gt;0,INDEX($A4:$A38,MATCH(MAX(CB4:CB38),CB4:CB38,0)),""),"")</f>
        <v>#NUM!</v>
      </c>
      <c r="CC39" s="23"/>
      <c r="CD39" s="23"/>
      <c r="CE39" s="23"/>
      <c r="CF39" s="23"/>
      <c r="CG39" s="23"/>
      <c r="CH39" s="23"/>
      <c r="CI39" s="23"/>
      <c r="CJ39" s="64">
        <f>IFERROR(INDEX(CK39:CO39,MATCH(MAX(CK3:CO3),CK3:CO3,0)),"")</f>
        <v>575</v>
      </c>
      <c r="CK39" s="23">
        <f>IF(AND(CK3&gt;0,ABS(MAX(CK4:CK38))&gt;ABS(MIN(CK4:CK38))),IF(MAX(CK4:CK38)&lt;&gt;0,INDEX($A4:$A38,MATCH(MAX(CK4:CK38),CK4:CK38,0)),""),"")</f>
        <v>570</v>
      </c>
      <c r="CL39" s="23"/>
      <c r="CM39" s="23">
        <f>IF(AND(CM3&gt;0,ABS(MAX(CM4:CM38))&gt;ABS(MIN(CM4:CM38))),IF(MAX(CM4:CM38)&lt;&gt;0,INDEX($A4:$A38,MATCH(MAX(CM4:CM38),CM4:CM38,0)),""),"")</f>
        <v>570</v>
      </c>
      <c r="CN39" s="23"/>
      <c r="CO39" s="23">
        <f>IF(AND(CO3&gt;0,ABS(MAX(CO4:CO38))&gt;ABS(MIN(CO4:CO38))),IF(MAX(CO4:CO38)&lt;&gt;0,INDEX($A4:$A38,MATCH(MAX(CO4:CO38),CO4:CO38,0)),""),"")</f>
        <v>575</v>
      </c>
      <c r="CP39" s="23">
        <f>IF(ABS(MAX(CP4:CP38))&gt;ABS(MIN(CP4:CP38)),IF(MAX(CP4:CP38)&lt;&gt;0,INDEX($A4:$A38,MATCH(MAX(CP4:CP38),CP4:CP38,0)),""),"")</f>
        <v>570</v>
      </c>
      <c r="CQ39" s="23"/>
      <c r="CR39" s="23"/>
      <c r="CS39" s="23"/>
      <c r="CT39" s="23"/>
      <c r="CU39" s="23"/>
      <c r="CV39" s="23"/>
      <c r="CW39" s="23" t="e">
        <f ca="1">IF(AND(CW3&gt;0,ABS(MAX(CW4:CW38))&gt;ABS(MIN(CW4:CW38))),IF(MAX(CW4:CW38)&lt;&gt;0,INDEX($A4:$A38,MATCH(MAX(CW4:CW38),CW4:CW38,0)),""),"")</f>
        <v>#NUM!</v>
      </c>
      <c r="CY39" s="23" t="e">
        <f ca="1">IF(AND(CY3&gt;0,ABS(MAX(CY4:CY38))&gt;ABS(MIN(CY4:CY38))),IF(MAX(CY4:CY38)&lt;&gt;0,INDEX($A4:$A38,MATCH(MAX(CY4:CY38),CY4:CY38,0)),""),"")</f>
        <v>#NUM!</v>
      </c>
      <c r="DA39" s="23" t="s">
        <v>17</v>
      </c>
      <c r="DB39" s="23" t="s">
        <v>18</v>
      </c>
      <c r="DC39" s="23" t="s">
        <v>17</v>
      </c>
      <c r="DD39" s="23" t="s">
        <v>18</v>
      </c>
      <c r="DE39" s="23" t="s">
        <v>17</v>
      </c>
      <c r="DF39" s="23" t="s">
        <v>18</v>
      </c>
      <c r="DG39" s="71" t="s">
        <v>24</v>
      </c>
      <c r="DH39" s="23" t="str">
        <f t="shared" ref="DH39:DM39" si="204">IF(AND(DH3&gt;0,ABS(MAX(DH4:DH38))&gt;ABS(MIN(DH4:DH38))),IF(MAX(DH4:DH38)&lt;&gt;0,INDEX($A4:$A38,MATCH(MAX(DH4:DH38),DH4:DH38,0)),""),"")</f>
        <v/>
      </c>
      <c r="DI39" s="23" t="str">
        <f t="shared" si="204"/>
        <v/>
      </c>
      <c r="DJ39" s="89" t="str">
        <f>IFERROR(IF(AND(ABS(MAX(DJ4:DJ38))&gt;$DG$2,ABS(INDEX($DG$4:$DG$38,MATCH(MAX(DJ4:DJ38),DJ4:DJ38,0)))&lt;0.5,1),IF(MAX(DJ4:DJ38)&lt;&gt;0,INDEX($A4:$A38,MATCH(MAX(DJ4:DJ38),DJ4:DJ38,0)),""),""),"")</f>
        <v/>
      </c>
      <c r="DK39" s="89" t="str">
        <f>IFERROR(IF(AND(ABS(MAX(DK4:DK38))&gt;$DG$2,ABS(INDEX($DG$4:$DG$38,MATCH(MAX(DK4:DK38),DK4:DK38,0)))&lt;0.5,1),IF(MAX(DK4:DK38)&lt;&gt;0,INDEX($A4:$A38,MATCH(MAX(DK4:DK38),DK4:DK38,0)),""),""),"")</f>
        <v/>
      </c>
      <c r="DL39" s="23" t="str">
        <f t="shared" si="204"/>
        <v/>
      </c>
      <c r="DM39" s="23" t="str">
        <f t="shared" si="204"/>
        <v/>
      </c>
      <c r="DN39" s="64" t="str">
        <f>DJ39&amp;","&amp;DJ40&amp;","&amp;DK39&amp;","&amp;DK40</f>
        <v>,,,</v>
      </c>
      <c r="DP39" s="23" t="str">
        <f t="shared" ref="DP39:DS39" si="205">IF(AND(DP3&gt;0,ABS(MAX(DP4:DP38))&gt;ABS(MIN(DP4:DP38))),IF(MAX(DP4:DP38)&lt;&gt;0,INDEX($A4:$A38,MATCH(MAX(DP4:DP38),DP4:DP38,0)),""),"")</f>
        <v/>
      </c>
      <c r="DQ39" s="23" t="str">
        <f t="shared" si="205"/>
        <v/>
      </c>
      <c r="DR39" s="23" t="e">
        <f t="shared" ca="1" si="205"/>
        <v>#NUM!</v>
      </c>
      <c r="DS39" s="23" t="str">
        <f t="shared" si="205"/>
        <v/>
      </c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103">
        <f>IFERROR(IF(MAX(ED4:ED38)&lt;&gt;0,INDEX($A4:$A38,MATCH(MAX(ED4:ED38),ED4:ED38,0)),""),"")</f>
        <v>567</v>
      </c>
      <c r="EE39" s="23"/>
      <c r="EF39" s="23"/>
      <c r="EG39" s="23"/>
      <c r="EH39" s="23"/>
      <c r="EI39" s="23"/>
      <c r="EJ39" s="23"/>
      <c r="EL39" s="23"/>
      <c r="EM39" s="23"/>
      <c r="EN39" s="23"/>
      <c r="EO39" s="23"/>
      <c r="EP39" s="23"/>
      <c r="EQ39" s="23"/>
      <c r="EU39" s="67">
        <v>561.29999999999995</v>
      </c>
      <c r="EV39" s="67" t="s">
        <v>331</v>
      </c>
      <c r="EW39" s="67">
        <v>483.64</v>
      </c>
      <c r="EX39" s="67" t="s">
        <v>332</v>
      </c>
      <c r="EY39" s="67">
        <v>5631.28</v>
      </c>
      <c r="EZ39" s="67" t="s">
        <v>333</v>
      </c>
      <c r="FA39" s="67">
        <v>19867.973000000002</v>
      </c>
      <c r="FB39" s="67" t="s">
        <v>334</v>
      </c>
      <c r="FC39" s="67" t="s">
        <v>335</v>
      </c>
      <c r="FD39" s="67" t="s">
        <v>336</v>
      </c>
      <c r="FE39" s="68" t="s">
        <v>337</v>
      </c>
      <c r="FF39" s="68" t="s">
        <v>338</v>
      </c>
    </row>
    <row r="40" spans="1:162" x14ac:dyDescent="0.2">
      <c r="A40" s="40"/>
      <c r="B40" s="38"/>
      <c r="C40" s="39"/>
      <c r="D40" s="40"/>
      <c r="E40" s="40"/>
      <c r="F40" s="40"/>
      <c r="G40" s="41"/>
      <c r="BP40" s="64" t="e">
        <f ca="1">INDEX(BQ40:BU40,MATCH(MIN(BQ3:BU3),BQ3:BU3,0))</f>
        <v>#NUM!</v>
      </c>
      <c r="BQ40" s="1" t="e">
        <f ca="1">IF(AND(BQ3&lt;0,ABS(MIN(BQ4:BQ38))&gt;ABS(MAX(BQ4:BQ38))),IF(MIN(BQ4:BQ38)&lt;&gt;0,INDEX($A4:$A38,MATCH(MIN(BQ4:BQ38),BQ4:BQ38,0)),""),"")</f>
        <v>#NUM!</v>
      </c>
      <c r="BS40" s="1" t="e">
        <f ca="1">IF(AND(BS3&lt;0,ABS(MIN(BS4:BS38))&gt;ABS(MAX(BS4:BS38))),IF(MIN(BS4:BS38)&lt;&gt;0,INDEX($A4:$A38,MATCH(MIN(BS4:BS38),BS4:BS38,0)),""),"")</f>
        <v>#NUM!</v>
      </c>
      <c r="BU40" s="1" t="e">
        <f ca="1">IF(AND(BU3&lt;0,ABS(MIN(BU4:BU38))&gt;ABS(MAX(BU4:BU38))),IF(MIN(BU4:BU38)&lt;&gt;0,INDEX($A4:$A38,MATCH(MIN(BU4:BU38),BU4:BU38,0)),""),"")</f>
        <v>#NUM!</v>
      </c>
      <c r="BW40" s="64" t="e">
        <f ca="1">INDEX(BX40:CB40,MATCH(MIN(BX3:CB3),BX3:CB3,0))</f>
        <v>#NUM!</v>
      </c>
      <c r="BX40" s="1" t="e">
        <f ca="1">IF(AND(BX3&lt;0,ABS(MIN(BX4:BX38))&gt;ABS(MAX(BX4:BX38))),IF(MIN(BX4:BX38)&lt;&gt;0,INDEX($A4:$A38,MATCH(MIN(BX4:BX38),BX4:BX38,0)),""),"")</f>
        <v>#NUM!</v>
      </c>
      <c r="BY40" s="1" t="e">
        <f ca="1">INDEX($A$4:$A$38,1+MATCH("Cruce -",BY4:BY38,)-1)</f>
        <v>#N/A</v>
      </c>
      <c r="BZ40" s="1" t="e">
        <f ca="1">IF(AND(BZ3&lt;0,ABS(MIN(BZ4:BZ38))&gt;ABS(MAX(BZ4:BZ38))),IF(MIN(BZ4:BZ38)&lt;&gt;0,INDEX($A4:$A38,MATCH(MIN(BZ4:BZ38),BZ4:BZ38,0)),""),"")</f>
        <v>#NUM!</v>
      </c>
      <c r="CB40" s="1" t="e">
        <f ca="1">IF(AND(CB3&lt;0,ABS(MIN(CB4:CB38))&gt;ABS(MAX(CB4:CB38))),IF(MIN(CB4:CB38)&lt;&gt;0,INDEX($A4:$A38,MATCH(MIN(CB4:CB38),CB4:CB38,0)),""),"")</f>
        <v>#NUM!</v>
      </c>
      <c r="CJ40" s="64" t="str">
        <f>IFERROR(INDEX(CK40:CO40,MATCH(MIN(CK3:CO3),CK3:CO3,0)),"")</f>
        <v/>
      </c>
      <c r="CK40" s="1" t="str">
        <f>IF(AND(CK3&lt;0,ABS(MIN(CK4:CK38))&gt;ABS(MAX(CK4:CK38))),IF(MIN(CK4:CK38)&lt;&gt;0,INDEX($A4:$A38,MATCH(MIN(CK4:CK38),CK4:CK38,0)),""),"")</f>
        <v/>
      </c>
      <c r="CM40" s="1" t="str">
        <f>IF(AND(CM3&lt;0,ABS(MIN(CM4:CM38))&gt;ABS(MAX(CM4:CM38))),IF(MIN(CM4:CM38)&lt;&gt;0,INDEX($A4:$A38,MATCH(MIN(CM4:CM38),CM4:CM38,0)),""),"")</f>
        <v/>
      </c>
      <c r="CO40" s="1" t="str">
        <f>IF(AND(CO3&lt;0,ABS(MIN(CO4:CO38))&gt;ABS(MAX(CO4:CO38))),IF(MIN(CO4:CO38)&lt;&gt;0,INDEX($A4:$A38,MATCH(MIN(CO4:CO38),CO4:CO38,0)),""),"")</f>
        <v/>
      </c>
      <c r="CP40" s="1" t="str">
        <f>IF(ABS(MIN(CP4:CP38))&gt;ABS(MAX(CP4:CP38)),IF(MIN(CP4:CP38)&lt;&gt;0,INDEX($A4:$A38,MATCH(MIN(CP4:CP38),CP4:CP38,0)),""),"")</f>
        <v/>
      </c>
      <c r="CW40" s="1" t="e">
        <f ca="1">IF(AND(CW3&lt;0,ABS(MIN(CW4:CW38))&gt;ABS(MAX(CW4:CW38))),IF(MIN(CW4:CW38)&lt;&gt;0,INDEX($A4:$A38,MATCH(MIN(CW4:CW38),CW4:CW38,0)),""),"")</f>
        <v>#NUM!</v>
      </c>
      <c r="CY40" s="1" t="e">
        <f ca="1">IF(AND(CY3&lt;0,ABS(MIN(CY4:CY38))&gt;ABS(MAX(CY4:CY38))),IF(MIN(CY4:CY38)&lt;&gt;0,INDEX($A4:$A38,MATCH(MIN(CY4:CY38),CY4:CY38,0)),""),"")</f>
        <v>#NUM!</v>
      </c>
      <c r="DG40" s="72" t="s">
        <v>23</v>
      </c>
      <c r="DH40" s="23">
        <f t="shared" ref="DH40:DM40" si="206">IF(AND(DH3&lt;0,ABS(MIN(DH4:DH38))&gt;ABS(MAX(DH4:DH38))),IF(MIN(DH4:DH38)&lt;&gt;0,INDEX($A4:$A38,MATCH(MIN(DH4:DH38),DH4:DH38,0)),""),"")</f>
        <v>570</v>
      </c>
      <c r="DI40" s="23" t="str">
        <f t="shared" si="206"/>
        <v/>
      </c>
      <c r="DJ40" s="89" t="str">
        <f>IFERROR(IF(AND(ABS(MIN(DJ4:DJ38))&gt;$DG$2,ABS(INDEX($DG$4:$DG$38,MATCH(MIN(DJ4:DJ38),DJ4:DJ38,0)))&lt;0.5,1),IF(MIN(DJ4:DJ38)&lt;&gt;0,INDEX($A4:$A38,MATCH(MIN(DJ4:DJ38),DJ4:DJ38,0)),""),""),"")</f>
        <v/>
      </c>
      <c r="DK40" s="89" t="str">
        <f>IFERROR(IF(AND(ABS(MIN(DK4:DK38))&gt;$DG$2,ABS(INDEX($DG$4:$DG$38,MATCH(MIN(DK4:DK38),DK4:DK38,0)))&lt;0.5,1),IF(MIN(DK4:DK38)&lt;&gt;0,INDEX($A4:$A38,MATCH(MIN(DK4:DK38),DK4:DK38,0)),""),""),"")</f>
        <v/>
      </c>
      <c r="DL40" s="23">
        <f t="shared" si="206"/>
        <v>568</v>
      </c>
      <c r="DM40" s="23">
        <f t="shared" si="206"/>
        <v>568</v>
      </c>
      <c r="DN40" s="64" t="str">
        <f ca="1">BI1&amp;","&amp;BI39&amp;","&amp;ED39&amp;","&amp;ED40</f>
        <v>567,563,567,564</v>
      </c>
      <c r="DP40" s="23">
        <f t="shared" ref="DP40:DS40" si="207">IF(AND(DP3&lt;0,ABS(MIN(DP4:DP38))&gt;ABS(MAX(DP4:DP38))),IF(MIN(DP4:DP38)&lt;&gt;0,INDEX($A4:$A38,MATCH(MIN(DP4:DP38),DP4:DP38,0)),""),"")</f>
        <v>568</v>
      </c>
      <c r="DQ40" s="23" t="str">
        <f t="shared" si="207"/>
        <v/>
      </c>
      <c r="DR40" s="23" t="e">
        <f t="shared" ca="1" si="207"/>
        <v>#NUM!</v>
      </c>
      <c r="DS40" s="23">
        <f t="shared" si="207"/>
        <v>570</v>
      </c>
      <c r="ED40" s="103">
        <f>IFERROR(IF(MIN(ED4:ED38)&lt;&gt;0,INDEX($A4:$A38,MATCH(MIN(ED4:ED38),ED4:ED38,0)),""),"")</f>
        <v>564</v>
      </c>
      <c r="EU40" s="67">
        <v>561.34</v>
      </c>
      <c r="EV40" s="67" t="s">
        <v>339</v>
      </c>
      <c r="EW40" s="67">
        <v>483.68</v>
      </c>
      <c r="EX40" s="67" t="s">
        <v>340</v>
      </c>
      <c r="EY40" s="67">
        <v>5631.28</v>
      </c>
      <c r="EZ40" s="67" t="s">
        <v>341</v>
      </c>
      <c r="FA40" s="67">
        <v>19867.973000000002</v>
      </c>
      <c r="FB40" s="67" t="s">
        <v>342</v>
      </c>
      <c r="FC40" s="67" t="s">
        <v>343</v>
      </c>
      <c r="FD40" s="67" t="s">
        <v>344</v>
      </c>
      <c r="FE40" s="68" t="s">
        <v>345</v>
      </c>
      <c r="FF40" s="68" t="s">
        <v>346</v>
      </c>
    </row>
    <row r="41" spans="1:162" ht="13.5" thickBot="1" x14ac:dyDescent="0.25">
      <c r="A41" s="40"/>
      <c r="C41" s="39"/>
      <c r="D41" s="40"/>
      <c r="E41" s="40"/>
      <c r="F41" s="40"/>
      <c r="G41" s="41"/>
      <c r="EU41" s="67">
        <v>561.37</v>
      </c>
      <c r="EV41" s="67" t="s">
        <v>347</v>
      </c>
      <c r="EW41" s="67">
        <v>483.71</v>
      </c>
      <c r="EX41" s="67" t="s">
        <v>348</v>
      </c>
      <c r="EY41" s="67">
        <v>5631.28</v>
      </c>
      <c r="EZ41" s="67" t="s">
        <v>349</v>
      </c>
      <c r="FA41" s="67">
        <v>19867.973000000002</v>
      </c>
      <c r="FB41" s="67" t="s">
        <v>350</v>
      </c>
      <c r="FC41" s="67" t="s">
        <v>351</v>
      </c>
      <c r="FD41" s="67" t="s">
        <v>352</v>
      </c>
      <c r="FE41" s="68" t="s">
        <v>353</v>
      </c>
      <c r="FF41" s="68" t="s">
        <v>354</v>
      </c>
    </row>
    <row r="42" spans="1:162" ht="13.5" thickBot="1" x14ac:dyDescent="0.25">
      <c r="A42" s="40"/>
      <c r="B42" s="43">
        <v>45785</v>
      </c>
      <c r="C42" s="44">
        <v>45786</v>
      </c>
      <c r="D42" s="44">
        <v>45793</v>
      </c>
      <c r="E42" s="40"/>
      <c r="F42" s="40">
        <f>+[2]Sheet1!$AD$2</f>
        <v>469.81373794456613</v>
      </c>
      <c r="G42" s="41"/>
      <c r="AP42" s="1">
        <v>250508</v>
      </c>
      <c r="AQ42" s="1">
        <v>0</v>
      </c>
      <c r="AS42" s="22" t="str">
        <f>+B43</f>
        <v>250508</v>
      </c>
      <c r="AT42" s="22"/>
      <c r="AU42" s="22" t="str">
        <f>+C43</f>
        <v>250509</v>
      </c>
      <c r="AV42" s="22"/>
      <c r="AW42" s="22" t="str">
        <f>+D43</f>
        <v>250516</v>
      </c>
      <c r="AX42" s="22"/>
      <c r="BA42" s="22" t="str">
        <f>+AS42</f>
        <v>250508</v>
      </c>
      <c r="BB42" s="22">
        <f t="shared" ref="BB42" si="208">+AT42</f>
        <v>0</v>
      </c>
      <c r="BC42" s="22" t="str">
        <f t="shared" ref="BC42" si="209">+AU42</f>
        <v>250509</v>
      </c>
      <c r="BD42" s="22">
        <f t="shared" ref="BD42" si="210">+AV42</f>
        <v>0</v>
      </c>
      <c r="BE42" s="22" t="str">
        <f t="shared" ref="BE42" si="211">+AW42</f>
        <v>250516</v>
      </c>
      <c r="BF42" s="22">
        <f t="shared" ref="BF42" si="212">+AX42</f>
        <v>0</v>
      </c>
      <c r="BG42" s="96"/>
      <c r="BH42" s="1">
        <f ca="1">MAX(BH45:BH79)</f>
        <v>99369</v>
      </c>
      <c r="BI42" s="1">
        <f ca="1">IFERROR(IF(MAX(BH45:BH79)&lt;&gt;0,INDEX(A45:A79,MATCH(MAX(BH45:BH79),BH45:BH79,0)),""),"")</f>
        <v>491</v>
      </c>
      <c r="BJ42" s="22" t="str">
        <f>+AS42</f>
        <v>250508</v>
      </c>
      <c r="BK42" s="22">
        <f t="shared" ref="BK42" si="213">+AT42</f>
        <v>0</v>
      </c>
      <c r="BL42" s="22" t="str">
        <f t="shared" ref="BL42" si="214">+AU42</f>
        <v>250509</v>
      </c>
      <c r="BM42" s="22">
        <f t="shared" ref="BM42" si="215">+AV42</f>
        <v>0</v>
      </c>
      <c r="BN42" s="22" t="str">
        <f t="shared" ref="BN42" si="216">+AW42</f>
        <v>250516</v>
      </c>
      <c r="BO42" s="22">
        <f t="shared" ref="BO42" si="217">+AX42</f>
        <v>0</v>
      </c>
      <c r="BQ42" s="22" t="e">
        <f ca="1">IF(BR42&gt;BR43,IF(MAX(BQ45:BQ79)&lt;&gt;0,INDEX(A45:A79,MATCH(MAX(BQ45:BQ79),BQ45:BQ79,0)),A44),IF(MIN(BQ45:BQ79)&lt;&gt;0,INDEX(A45:A79,MATCH(MIN(BQ45:BQ79),BQ45:BQ79,0))))</f>
        <v>#NUM!</v>
      </c>
      <c r="BR42" s="22" t="e">
        <f ca="1">+MAX(BQ45:BQ79)</f>
        <v>#NUM!</v>
      </c>
      <c r="BS42" s="22" t="e">
        <f ca="1">IF(BT42&gt;BT43,IF(MAX(BS45:BS79)&lt;&gt;0,INDEX(A45:A79,MATCH(MAX(BS45:BS79),BS45:BS79,0)),A44),IF(MIN(BS45:BS79)&lt;&gt;0,INDEX(A45:A79,MATCH(MIN(BS45:BS79),BS45:BS79,0))))</f>
        <v>#NUM!</v>
      </c>
      <c r="BT42" s="22" t="e">
        <f ca="1">+MAX(BS45:BS79)</f>
        <v>#NUM!</v>
      </c>
      <c r="BU42" s="22" t="e">
        <f ca="1">IF(BV42&gt;BV43,IF(MAX(BU45:BU79)&lt;&gt;0,INDEX(A45:A79,MATCH(MAX(BU45:BU79),BU45:BU79,0)),A44),IF(MIN(BU45:BU79)&lt;&gt;0,INDEX(A45:A79,MATCH(MIN(BU45:BU79),BU45:BU79,0))))</f>
        <v>#NUM!</v>
      </c>
      <c r="BV42" s="22" t="e">
        <f ca="1">+MAX(BU45:BU79)</f>
        <v>#NUM!</v>
      </c>
      <c r="BX42" s="22" t="e">
        <f ca="1">IF(BY42&gt;BZ42,IF(MAX(BX45:BX79)&lt;&gt;0,INDEX(G45:G79,MATCH(MAX(BX45:BX79),BX45:BX79,0)),G44),IF(MIN(BX45:BX79)&lt;&gt;0,INDEX(G45:G79,MATCH(MIN(BX45:BX79),BX45:BX79,0))))</f>
        <v>#NUM!</v>
      </c>
      <c r="BY42" s="22" t="e">
        <f ca="1">+MAX(BX45:BX79)</f>
        <v>#NUM!</v>
      </c>
      <c r="BZ42" s="22" t="e">
        <f ca="1">ABS(+MIN(BX45:BX79))</f>
        <v>#NUM!</v>
      </c>
      <c r="CA42" s="22"/>
      <c r="CB42" s="22"/>
      <c r="CC42" s="22" t="e">
        <f ca="1">+AVERAGE(BY80:BY81,CA80:CA81,CC80:CC81)</f>
        <v>#N/A</v>
      </c>
      <c r="CD42" s="22"/>
      <c r="CE42" s="22"/>
      <c r="CF42" s="22"/>
      <c r="CG42" s="22"/>
      <c r="CH42" s="22"/>
      <c r="CI42" s="22"/>
      <c r="CK42" s="22">
        <f>IF(CL42&gt;CM42,IF(MAX(CK45:CK79)&lt;&gt;0,INDEX(N45:N79,MATCH(MAX(CK45:CK79),CK45:CK79,0)),N44),IF(MIN(CK45:CK79)&lt;&gt;0,INDEX(N45:N79,MATCH(MIN(CK45:CK79),CK45:CK79,0))))</f>
        <v>0</v>
      </c>
      <c r="CL42" s="22">
        <f>+MAX(CK45:CK79)</f>
        <v>640310</v>
      </c>
      <c r="CM42" s="22">
        <f>ABS(+MIN(CK45:CK79))</f>
        <v>4.9999999999998863</v>
      </c>
      <c r="CN42" s="22"/>
      <c r="CO42" s="22"/>
      <c r="CP42" s="22"/>
      <c r="CQ42" s="22" t="b">
        <f>IF(CR42&gt;CS42,IF(MAX(CQ45:CQ79)&lt;&gt;0,INDEX(A45:A79,MATCH(MAX(CQ45:CQ79),CQ45:CQ79,0)),A44),IF(MIN(CQ45:CQ79)&lt;&gt;0,INDEX(A45:A79,MATCH(MIN(CQ45:CQ79),CQ45:CQ79,0))))</f>
        <v>0</v>
      </c>
      <c r="CR42" s="22">
        <f>+MAX(CQ45:CQ79)</f>
        <v>0</v>
      </c>
      <c r="CS42" s="22">
        <f>ABS(+MIN(CQ45:CQ79))</f>
        <v>0</v>
      </c>
      <c r="CT42" s="22"/>
      <c r="CU42" s="22"/>
      <c r="CV42" s="22"/>
      <c r="CW42" s="22" t="e">
        <f ca="1">IF(CX42&gt;CY42,IF(MAX(CW45:CW79)&lt;&gt;0,INDEX(A45:A79,MATCH(MAX(CW45:CW79),CW45:CW79,0)),M44),IF(MIN(CW45:CW79)&lt;&gt;0,INDEX(A45:A79,MATCH(MIN(CW45:CW79),CW45:CW79,0))))</f>
        <v>#NUM!</v>
      </c>
      <c r="CX42" s="61" t="e">
        <f ca="1">+MAX(CW45:CW79)</f>
        <v>#NUM!</v>
      </c>
      <c r="CY42" s="22" t="e">
        <f ca="1">ABS(+MIN(CW45:CW79))</f>
        <v>#NUM!</v>
      </c>
      <c r="DA42" s="22"/>
      <c r="DB42" s="22"/>
      <c r="DC42" s="22"/>
      <c r="DD42" s="22"/>
      <c r="DE42" s="22"/>
      <c r="DF42" s="22"/>
      <c r="DG42" s="22">
        <v>2500</v>
      </c>
      <c r="DH42" s="22"/>
      <c r="DI42" s="22"/>
      <c r="DJ42" s="22"/>
      <c r="DK42" s="22"/>
      <c r="DL42" s="22"/>
      <c r="DM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E42" s="22">
        <f>+DA42</f>
        <v>0</v>
      </c>
      <c r="EF42" s="22">
        <f t="shared" ref="EF42" si="218">+DB42</f>
        <v>0</v>
      </c>
      <c r="EG42" s="22">
        <f t="shared" ref="EG42" si="219">+DC42</f>
        <v>0</v>
      </c>
      <c r="EH42" s="22">
        <f t="shared" ref="EH42" si="220">+DD42</f>
        <v>0</v>
      </c>
      <c r="EI42" s="22">
        <f t="shared" ref="EI42" si="221">+DE42</f>
        <v>0</v>
      </c>
      <c r="EJ42" s="22">
        <f t="shared" ref="EJ42" si="222">+DF42</f>
        <v>0</v>
      </c>
      <c r="EL42" s="22">
        <f>+DH42</f>
        <v>0</v>
      </c>
      <c r="EM42" s="22">
        <f t="shared" ref="EM42" si="223">+DI42</f>
        <v>0</v>
      </c>
      <c r="EN42" s="22">
        <f>+DJ42</f>
        <v>0</v>
      </c>
      <c r="EO42" s="22">
        <f t="shared" ref="EO42" si="224">+DK42</f>
        <v>0</v>
      </c>
      <c r="EP42" s="22">
        <f t="shared" ref="EP42" si="225">+DL42</f>
        <v>0</v>
      </c>
      <c r="EQ42" s="22">
        <f t="shared" ref="EQ42" si="226">+DM42</f>
        <v>0</v>
      </c>
      <c r="EU42" s="67">
        <v>561.49</v>
      </c>
      <c r="EV42" s="67" t="s">
        <v>355</v>
      </c>
      <c r="EW42" s="67">
        <v>483.87</v>
      </c>
      <c r="EX42" s="67" t="s">
        <v>356</v>
      </c>
      <c r="EY42" s="67">
        <v>5631.28</v>
      </c>
      <c r="EZ42" s="67" t="s">
        <v>357</v>
      </c>
      <c r="FA42" s="67">
        <v>19867.973000000002</v>
      </c>
      <c r="FB42" s="67" t="s">
        <v>358</v>
      </c>
      <c r="FC42" s="67" t="s">
        <v>359</v>
      </c>
      <c r="FD42" s="67" t="s">
        <v>360</v>
      </c>
      <c r="FE42" s="68" t="s">
        <v>361</v>
      </c>
      <c r="FF42" s="68" t="s">
        <v>362</v>
      </c>
    </row>
    <row r="43" spans="1:162" ht="13.5" thickBot="1" x14ac:dyDescent="0.25">
      <c r="A43" s="45" t="s">
        <v>2</v>
      </c>
      <c r="B43" s="45" t="str">
        <f>+B$2</f>
        <v>250508</v>
      </c>
      <c r="C43" s="45" t="str">
        <f>+C2</f>
        <v>250509</v>
      </c>
      <c r="D43" s="45" t="str">
        <f>+D2</f>
        <v>250516</v>
      </c>
      <c r="E43" s="45"/>
      <c r="F43" s="18" t="s">
        <v>3</v>
      </c>
      <c r="AP43" s="1" t="s">
        <v>7</v>
      </c>
      <c r="AQ43" s="1" t="s">
        <v>7</v>
      </c>
      <c r="AS43" s="22" t="s">
        <v>1</v>
      </c>
      <c r="AT43" s="22" t="s">
        <v>1</v>
      </c>
      <c r="AU43" s="22" t="s">
        <v>1</v>
      </c>
      <c r="AV43" s="22" t="s">
        <v>1</v>
      </c>
      <c r="AW43" s="22" t="s">
        <v>1</v>
      </c>
      <c r="AX43" s="25" t="s">
        <v>1</v>
      </c>
      <c r="AY43" s="23" t="s">
        <v>12</v>
      </c>
      <c r="BA43" s="22" t="s">
        <v>7</v>
      </c>
      <c r="BB43" s="22" t="s">
        <v>7</v>
      </c>
      <c r="BC43" s="22" t="s">
        <v>7</v>
      </c>
      <c r="BD43" s="22" t="s">
        <v>7</v>
      </c>
      <c r="BE43" s="22" t="s">
        <v>7</v>
      </c>
      <c r="BF43" s="25" t="s">
        <v>7</v>
      </c>
      <c r="BG43" s="23"/>
      <c r="BH43" s="23" t="s">
        <v>15</v>
      </c>
      <c r="BJ43" s="22" t="str">
        <f t="shared" ref="BJ43:BO43" si="227">+BJ2</f>
        <v>GAMMA</v>
      </c>
      <c r="BK43" s="22" t="str">
        <f t="shared" si="227"/>
        <v>GAMMA</v>
      </c>
      <c r="BL43" s="22" t="str">
        <f t="shared" si="227"/>
        <v>GAMMA</v>
      </c>
      <c r="BM43" s="22" t="str">
        <f t="shared" si="227"/>
        <v>GAMMA</v>
      </c>
      <c r="BN43" s="22" t="str">
        <f t="shared" si="227"/>
        <v>GAMMA</v>
      </c>
      <c r="BO43" s="25" t="str">
        <f t="shared" si="227"/>
        <v>GAMMA</v>
      </c>
      <c r="BQ43" s="22" t="s">
        <v>11</v>
      </c>
      <c r="BR43" s="22" t="e">
        <f ca="1">ABS(+MIN(BQ45:BQ79))</f>
        <v>#NUM!</v>
      </c>
      <c r="BS43" s="22" t="s">
        <v>11</v>
      </c>
      <c r="BT43" s="22" t="e">
        <f ca="1">ABS(+MIN(BS45:BS79))</f>
        <v>#NUM!</v>
      </c>
      <c r="BU43" s="22" t="s">
        <v>11</v>
      </c>
      <c r="BV43" s="25" t="e">
        <f ca="1">ABS(+MIN(BU45:BU79))</f>
        <v>#NUM!</v>
      </c>
      <c r="BX43" s="22" t="s">
        <v>11</v>
      </c>
      <c r="BY43" s="22"/>
      <c r="BZ43" s="22" t="s">
        <v>11</v>
      </c>
      <c r="CA43" s="22"/>
      <c r="CB43" s="22" t="s">
        <v>11</v>
      </c>
      <c r="CC43" s="25"/>
      <c r="CD43" s="22" t="str">
        <f t="shared" ref="CD43:CI43" si="228">+CD2</f>
        <v>DELTA</v>
      </c>
      <c r="CE43" s="22" t="str">
        <f t="shared" si="228"/>
        <v>DELTA</v>
      </c>
      <c r="CF43" s="22" t="str">
        <f t="shared" si="228"/>
        <v>DELTA</v>
      </c>
      <c r="CG43" s="22" t="str">
        <f t="shared" si="228"/>
        <v>DELTA</v>
      </c>
      <c r="CH43" s="22" t="str">
        <f t="shared" si="228"/>
        <v>DELTA</v>
      </c>
      <c r="CI43" s="25" t="str">
        <f t="shared" si="228"/>
        <v>DELTA</v>
      </c>
      <c r="CK43" s="22" t="s">
        <v>20</v>
      </c>
      <c r="CL43" s="22"/>
      <c r="CM43" s="22" t="s">
        <v>20</v>
      </c>
      <c r="CN43" s="22"/>
      <c r="CO43" s="22" t="s">
        <v>20</v>
      </c>
      <c r="CP43" s="25"/>
      <c r="CQ43" s="22" t="s">
        <v>16</v>
      </c>
      <c r="CR43" s="22"/>
      <c r="CS43" s="22" t="s">
        <v>16</v>
      </c>
      <c r="CT43" s="22"/>
      <c r="CU43" s="22" t="s">
        <v>16</v>
      </c>
      <c r="CV43" s="25"/>
      <c r="CW43" s="25" t="s">
        <v>11</v>
      </c>
      <c r="CX43" s="60"/>
      <c r="CY43" s="25" t="s">
        <v>11</v>
      </c>
      <c r="DA43" s="22" t="s">
        <v>25</v>
      </c>
      <c r="DB43" s="22" t="s">
        <v>25</v>
      </c>
      <c r="DC43" s="22" t="s">
        <v>27</v>
      </c>
      <c r="DD43" s="22" t="s">
        <v>27</v>
      </c>
      <c r="DE43" s="22" t="s">
        <v>26</v>
      </c>
      <c r="DF43" s="22" t="s">
        <v>26</v>
      </c>
      <c r="DH43" s="22"/>
      <c r="DI43" s="22"/>
      <c r="DJ43" s="22"/>
      <c r="DK43" s="22"/>
      <c r="DL43" s="22"/>
      <c r="DM43" s="22"/>
      <c r="DN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E43" s="22" t="str">
        <f t="shared" ref="EE43:EJ43" si="229">+EE2</f>
        <v>IMPL_VOL</v>
      </c>
      <c r="EF43" s="22" t="str">
        <f t="shared" si="229"/>
        <v>IMPL_VOL</v>
      </c>
      <c r="EG43" s="22" t="str">
        <f t="shared" si="229"/>
        <v>IMPL_VOL</v>
      </c>
      <c r="EH43" s="22" t="str">
        <f t="shared" si="229"/>
        <v>IMPL_VOL</v>
      </c>
      <c r="EI43" s="22" t="str">
        <f t="shared" si="229"/>
        <v>IMPL_VOL</v>
      </c>
      <c r="EJ43" s="22" t="str">
        <f t="shared" si="229"/>
        <v>IMPL_VOL</v>
      </c>
      <c r="EL43" s="22" t="str">
        <f t="shared" ref="EL43:EQ43" si="230">+EL2</f>
        <v>IMPL_VOL</v>
      </c>
      <c r="EM43" s="22" t="str">
        <f t="shared" si="230"/>
        <v>IMPL_VOL</v>
      </c>
      <c r="EN43" s="22" t="str">
        <f t="shared" si="230"/>
        <v>IMPL_VOL</v>
      </c>
      <c r="EO43" s="22" t="str">
        <f t="shared" si="230"/>
        <v>IMPL_VOL</v>
      </c>
      <c r="EP43" s="22" t="str">
        <f t="shared" si="230"/>
        <v>IMPL_VOL</v>
      </c>
      <c r="EQ43" s="22" t="str">
        <f t="shared" si="230"/>
        <v>IMPL_VOL</v>
      </c>
      <c r="EU43" s="67">
        <v>561.37</v>
      </c>
      <c r="EV43" s="67" t="s">
        <v>363</v>
      </c>
      <c r="EW43" s="67">
        <v>483.74</v>
      </c>
      <c r="EX43" s="67" t="s">
        <v>364</v>
      </c>
      <c r="EY43" s="67">
        <v>5631.28</v>
      </c>
      <c r="EZ43" s="67" t="s">
        <v>365</v>
      </c>
      <c r="FA43" s="67">
        <v>19867.973000000002</v>
      </c>
      <c r="FB43" s="67" t="s">
        <v>366</v>
      </c>
      <c r="FC43" s="67" t="s">
        <v>367</v>
      </c>
      <c r="FD43" s="67" t="s">
        <v>368</v>
      </c>
      <c r="FE43" s="68" t="s">
        <v>369</v>
      </c>
      <c r="FF43" s="68" t="s">
        <v>370</v>
      </c>
    </row>
    <row r="44" spans="1:162" ht="13.5" thickBot="1" x14ac:dyDescent="0.25">
      <c r="A44" s="46">
        <f>RTD("tos.rtd", ,"MARK", A43)</f>
        <v>495.78</v>
      </c>
      <c r="B44" s="27">
        <f>+AS44/AT44</f>
        <v>-0.80678296168298635</v>
      </c>
      <c r="C44" s="27">
        <f>+AU44/AV44</f>
        <v>-0.98537087730725559</v>
      </c>
      <c r="D44" s="27">
        <f>+AW44/AX44</f>
        <v>-2.2904141098492015</v>
      </c>
      <c r="E44" s="28">
        <v>0</v>
      </c>
      <c r="F44" s="47">
        <f>RTD("tos.rtd", ,"MARK", F43)</f>
        <v>20455.25</v>
      </c>
      <c r="G44" s="48" t="e">
        <f>RTD("tos.rtd", ,"MARK", G43)</f>
        <v>#N/A</v>
      </c>
      <c r="AO44" s="1">
        <v>0</v>
      </c>
      <c r="AP44" s="1">
        <v>1089423</v>
      </c>
      <c r="AQ44" s="1">
        <v>-1164708</v>
      </c>
      <c r="AS44" s="13">
        <f t="shared" ref="AS44:AY44" si="231">SUM(AS45:AS79)</f>
        <v>58829</v>
      </c>
      <c r="AT44" s="29">
        <f t="shared" si="231"/>
        <v>-72918</v>
      </c>
      <c r="AU44" s="13">
        <f t="shared" si="231"/>
        <v>111947</v>
      </c>
      <c r="AV44" s="29">
        <f t="shared" si="231"/>
        <v>-113609</v>
      </c>
      <c r="AW44" s="13">
        <f t="shared" si="231"/>
        <v>302708</v>
      </c>
      <c r="AX44" s="29">
        <f t="shared" si="231"/>
        <v>-132163</v>
      </c>
      <c r="AY44" s="29">
        <f t="shared" si="231"/>
        <v>154794</v>
      </c>
      <c r="AZ44" s="1">
        <v>0</v>
      </c>
      <c r="BA44" s="13">
        <f t="shared" ref="BA44:BH44" si="232">SUM(BA45:BA79)</f>
        <v>0</v>
      </c>
      <c r="BB44" s="29">
        <f t="shared" si="232"/>
        <v>0</v>
      </c>
      <c r="BC44" s="13">
        <f t="shared" si="232"/>
        <v>1025864</v>
      </c>
      <c r="BD44" s="29">
        <f t="shared" si="232"/>
        <v>-872337</v>
      </c>
      <c r="BE44" s="13">
        <f t="shared" si="232"/>
        <v>65238</v>
      </c>
      <c r="BF44" s="29">
        <f t="shared" si="232"/>
        <v>-91493</v>
      </c>
      <c r="BG44" s="29"/>
      <c r="BH44" s="29">
        <f t="shared" ca="1" si="232"/>
        <v>99240</v>
      </c>
      <c r="BJ44" s="30" t="e">
        <f t="shared" ref="BJ44:BO44" ca="1" si="233">SUM(BJ45:BJ79)</f>
        <v>#NUM!</v>
      </c>
      <c r="BK44" s="31" t="e">
        <f t="shared" ca="1" si="233"/>
        <v>#NUM!</v>
      </c>
      <c r="BL44" s="30" t="e">
        <f t="shared" ca="1" si="233"/>
        <v>#NUM!</v>
      </c>
      <c r="BM44" s="31" t="e">
        <f t="shared" ca="1" si="233"/>
        <v>#NUM!</v>
      </c>
      <c r="BN44" s="30" t="e">
        <f t="shared" ca="1" si="233"/>
        <v>#NUM!</v>
      </c>
      <c r="BO44" s="31" t="e">
        <f t="shared" ca="1" si="233"/>
        <v>#NUM!</v>
      </c>
      <c r="BQ44" s="30" t="e">
        <f ca="1">SUM(BQ45:BQ79)</f>
        <v>#NUM!</v>
      </c>
      <c r="BR44" s="31"/>
      <c r="BS44" s="30" t="e">
        <f ca="1">SUM(BS45:BS79)</f>
        <v>#NUM!</v>
      </c>
      <c r="BT44" s="31"/>
      <c r="BU44" s="30" t="e">
        <f ca="1">SUM(BU45:BU79)</f>
        <v>#NUM!</v>
      </c>
      <c r="BV44" s="31"/>
      <c r="BW44" s="69"/>
      <c r="BX44" s="30" t="e">
        <f ca="1">SUM(BX45:BX79)</f>
        <v>#NUM!</v>
      </c>
      <c r="BY44" s="31"/>
      <c r="BZ44" s="30" t="e">
        <f ca="1">SUM(BZ45:BZ79)</f>
        <v>#NUM!</v>
      </c>
      <c r="CA44" s="31"/>
      <c r="CB44" s="30" t="e">
        <f ca="1">SUM(CB45:CB79)</f>
        <v>#NUM!</v>
      </c>
      <c r="CC44" s="31"/>
      <c r="CD44" s="30">
        <f t="shared" ref="CD44:CI44" si="234">SUM(CD45:CD79)</f>
        <v>28.14</v>
      </c>
      <c r="CE44" s="31">
        <f t="shared" si="234"/>
        <v>6.56</v>
      </c>
      <c r="CF44" s="30">
        <f t="shared" si="234"/>
        <v>28.14</v>
      </c>
      <c r="CG44" s="31">
        <f t="shared" si="234"/>
        <v>6.509999999999998</v>
      </c>
      <c r="CH44" s="30">
        <f t="shared" si="234"/>
        <v>29.21</v>
      </c>
      <c r="CI44" s="31">
        <f t="shared" si="234"/>
        <v>11.290000000000001</v>
      </c>
      <c r="CK44" s="30">
        <f>SUM(CK45:CK79)</f>
        <v>4905391</v>
      </c>
      <c r="CL44" s="31"/>
      <c r="CM44" s="30">
        <f>SUM(CM45:CM79)</f>
        <v>7837196</v>
      </c>
      <c r="CN44" s="31"/>
      <c r="CO44" s="30">
        <f>SUM(CO45:CO79)</f>
        <v>21088716</v>
      </c>
      <c r="CP44" s="31">
        <f t="shared" ref="CP44:CP79" si="235">+CK44+CM44+CO44</f>
        <v>33831303</v>
      </c>
      <c r="CQ44" s="30">
        <f>SUM(CQ45:CQ79)</f>
        <v>0</v>
      </c>
      <c r="CR44" s="31"/>
      <c r="CS44" s="30">
        <f>SUM(CS45:CS79)</f>
        <v>153527</v>
      </c>
      <c r="CT44" s="31"/>
      <c r="CU44" s="30">
        <f>SUM(CU45:CU79)</f>
        <v>-26255</v>
      </c>
      <c r="CV44" s="31"/>
      <c r="CW44" s="31" t="e">
        <f ca="1">SUM(CW45:CW79)</f>
        <v>#NUM!</v>
      </c>
      <c r="CY44" s="31" t="e">
        <f ca="1">SUM(CY45:CY79)</f>
        <v>#NUM!</v>
      </c>
      <c r="DA44" s="30">
        <f t="shared" ref="DA44:DB44" si="236">SUM(DA45:DA79)</f>
        <v>230.53</v>
      </c>
      <c r="DB44" s="31">
        <f t="shared" si="236"/>
        <v>92.070000000000078</v>
      </c>
      <c r="DC44" s="30">
        <f t="shared" ref="DC44:DF44" si="237">SUM(DC45:DC79)</f>
        <v>251.51000000000002</v>
      </c>
      <c r="DD44" s="31">
        <f t="shared" si="237"/>
        <v>120.7700000000001</v>
      </c>
      <c r="DE44" s="30">
        <f t="shared" si="237"/>
        <v>187.99999999999997</v>
      </c>
      <c r="DF44" s="30">
        <f t="shared" si="237"/>
        <v>82.810000000000016</v>
      </c>
      <c r="DG44" s="64">
        <v>750</v>
      </c>
      <c r="DH44" s="30">
        <f t="shared" ref="DH44:DM44" si="238">SUM(DH45:DH79)</f>
        <v>-828629.98490600183</v>
      </c>
      <c r="DI44" s="31">
        <f t="shared" si="238"/>
        <v>361988.73006449424</v>
      </c>
      <c r="DJ44" s="30">
        <f t="shared" si="238"/>
        <v>-287327</v>
      </c>
      <c r="DK44" s="31">
        <f t="shared" si="238"/>
        <v>-170598</v>
      </c>
      <c r="DL44" s="30">
        <f t="shared" si="238"/>
        <v>-466641.25484150753</v>
      </c>
      <c r="DM44" s="30">
        <f t="shared" si="238"/>
        <v>-457925</v>
      </c>
      <c r="DP44" s="30">
        <f>SUM(DP45:DP79)</f>
        <v>-384008.00650831207</v>
      </c>
      <c r="DQ44" s="31">
        <f>SUM(DQ45:DQ79)</f>
        <v>-1174383.6599999999</v>
      </c>
      <c r="DR44" s="30" t="e">
        <f ca="1">SUM(DR45:DR79)</f>
        <v>#NUM!</v>
      </c>
      <c r="DS44" s="31">
        <f>SUM(DS45:DS79)</f>
        <v>-361587.07999999996</v>
      </c>
      <c r="DT44" s="30"/>
      <c r="DU44" s="30"/>
      <c r="DV44" s="30"/>
      <c r="DW44" s="31"/>
      <c r="DX44" s="30"/>
      <c r="DY44" s="31"/>
      <c r="DZ44" s="30"/>
      <c r="EA44" s="31"/>
      <c r="EB44" s="30"/>
      <c r="EC44" s="30"/>
      <c r="EE44" s="30">
        <f t="shared" ref="EE44:EJ44" si="239">SUM(EE45:EE79)</f>
        <v>9.5394000000000005</v>
      </c>
      <c r="EF44" s="31">
        <f t="shared" si="239"/>
        <v>104.53319999999998</v>
      </c>
      <c r="EG44" s="30">
        <f t="shared" si="239"/>
        <v>9.5394000000000005</v>
      </c>
      <c r="EH44" s="31">
        <f t="shared" si="239"/>
        <v>107.36580000000001</v>
      </c>
      <c r="EI44" s="30">
        <f t="shared" si="239"/>
        <v>7.3883999999999999</v>
      </c>
      <c r="EJ44" s="30">
        <f t="shared" si="239"/>
        <v>15.529700000000002</v>
      </c>
      <c r="EK44" s="63" t="e">
        <f ca="1">SUM(EK45:EK79)</f>
        <v>#NUM!</v>
      </c>
      <c r="EL44" s="30">
        <f t="shared" ref="EL44:EQ44" si="240">SUM(EL45:EL79)</f>
        <v>0</v>
      </c>
      <c r="EM44" s="31">
        <f t="shared" si="240"/>
        <v>0</v>
      </c>
      <c r="EN44" s="30">
        <f t="shared" si="240"/>
        <v>0</v>
      </c>
      <c r="EO44" s="31">
        <f t="shared" si="240"/>
        <v>0</v>
      </c>
      <c r="EP44" s="30">
        <f t="shared" si="240"/>
        <v>0</v>
      </c>
      <c r="EQ44" s="30">
        <f t="shared" si="240"/>
        <v>0</v>
      </c>
      <c r="EU44" s="67">
        <v>561.28</v>
      </c>
      <c r="EV44" s="67" t="s">
        <v>371</v>
      </c>
      <c r="EW44" s="67">
        <v>483.62</v>
      </c>
      <c r="EX44" s="67" t="s">
        <v>372</v>
      </c>
      <c r="EY44" s="67">
        <v>5631.28</v>
      </c>
      <c r="EZ44" s="67" t="s">
        <v>373</v>
      </c>
      <c r="FA44" s="67">
        <v>19867.973000000002</v>
      </c>
      <c r="FB44" s="67" t="s">
        <v>374</v>
      </c>
      <c r="FC44" s="67" t="s">
        <v>375</v>
      </c>
      <c r="FD44" s="67" t="s">
        <v>376</v>
      </c>
      <c r="FE44" s="68" t="s">
        <v>377</v>
      </c>
      <c r="FF44" s="68" t="s">
        <v>378</v>
      </c>
    </row>
    <row r="45" spans="1:162" ht="13.5" thickBot="1" x14ac:dyDescent="0.25">
      <c r="A45" s="2">
        <f>ROUND(485/$A$39,0)*$A$39+17*$A$39</f>
        <v>502</v>
      </c>
      <c r="B45" s="3">
        <f t="shared" ref="B45:B79" si="241">+IF($A$1="ABS",AS45-AT45,AS45+AT45)</f>
        <v>466</v>
      </c>
      <c r="C45" s="3">
        <f t="shared" ref="C45:C71" si="242">+IF($A$1="ABS",AU45-AV45,AU45+AV45)</f>
        <v>1809</v>
      </c>
      <c r="D45" s="3">
        <f t="shared" ref="D45:D79" si="243">+IF($A$1="ABS",AW45-AX45,AW45+AX45)</f>
        <v>3474</v>
      </c>
      <c r="E45" s="3">
        <f t="shared" ref="E45:E79" si="244">SUM(B45:D45)</f>
        <v>5749</v>
      </c>
      <c r="F45" s="4">
        <f>+$F$44/$A$44*A45</f>
        <v>20711.879260962523</v>
      </c>
      <c r="AM45" s="1">
        <v>2869</v>
      </c>
      <c r="AN45" s="1">
        <v>-59</v>
      </c>
      <c r="AO45" s="1">
        <v>502</v>
      </c>
      <c r="AP45" s="1">
        <v>2905</v>
      </c>
      <c r="AQ45" s="1">
        <v>-24</v>
      </c>
      <c r="AS45" s="30">
        <f>IF(RTD("tos.rtd",,AS$43,"."&amp;$A$43&amp;$AS$42&amp;"C"&amp;$A45)="N/A",0,RTD("tos.rtd",,AS$43,"."&amp;$A$43&amp;$AS$42&amp;"C"&amp;$A45))</f>
        <v>466</v>
      </c>
      <c r="AT45" s="31">
        <f>-IF(RTD("tos.rtd",,AT$43,"."&amp;$A$43&amp;$AS$42&amp;"P"&amp;$A45)="N/A",0,RTD("tos.rtd",,AT$43,"."&amp;$A$43&amp;$AS$42&amp;"P"&amp;$A45))</f>
        <v>0</v>
      </c>
      <c r="AU45" s="30">
        <f>IF(RTD("tos.rtd",,AU$2,"."&amp;$A$43&amp;$AU$1&amp;"C"&amp;$A45)="N/A",0,RTD("tos.rtd",,AU$2,"."&amp;$A$43&amp;$AU$1&amp;"C"&amp;$A45))</f>
        <v>1808</v>
      </c>
      <c r="AV45" s="31">
        <f>-IF(RTD("tos.rtd",,AV$2,"."&amp;$A$43&amp;$AU$1&amp;"P"&amp;$A45)="N/A",0,RTD("tos.rtd",,AV$2,"."&amp;$A$43&amp;$AU$1&amp;"P"&amp;$A45))</f>
        <v>-1</v>
      </c>
      <c r="AW45" s="30">
        <f>IF(RTD("tos.rtd",,AW$2,"."&amp;$A$43&amp;$AW$1&amp;"C"&amp;$A45)="N/A",0,RTD("tos.rtd",,AW$2,"."&amp;$A$43&amp;$AW$1&amp;"C"&amp;$A45))</f>
        <v>3358</v>
      </c>
      <c r="AX45" s="31">
        <f>-IF(RTD("tos.rtd",,AX$2,"."&amp;$A$43&amp;$AW$1&amp;"P"&amp;$A45)="N/A",0,RTD("tos.rtd",,AX$2,"."&amp;$A$43&amp;$AW$1&amp;"P"&amp;$A45))</f>
        <v>-116</v>
      </c>
      <c r="AY45" s="31">
        <f>SUM(AS45:AX45)</f>
        <v>5515</v>
      </c>
      <c r="AZ45" s="8">
        <f t="shared" ref="AZ45:AZ79" si="245">+A45</f>
        <v>502</v>
      </c>
      <c r="BA45" s="30">
        <f>IF(RTD("tos.rtd",,BA$43,"."&amp;$A$43&amp;$AS$42&amp;"C"&amp;$A45)="N/A",0,RTD("tos.rtd",,BA$43,"."&amp;$A$43&amp;$AS$42&amp;"C"&amp;$A45))</f>
        <v>0</v>
      </c>
      <c r="BB45" s="31">
        <f>-IF(RTD("tos.rtd",,BB$43,"."&amp;$A$43&amp;$AS$42&amp;"P"&amp;$A45)="N/A",0,RTD("tos.rtd",,BB$43,"."&amp;$A$43&amp;$AS$42&amp;"P"&amp;$A45))</f>
        <v>0</v>
      </c>
      <c r="BC45" s="30">
        <f>IF(RTD("tos.rtd",,BC$2,"."&amp;$A$43&amp;$AU$1&amp;"C"&amp;$A45)="N/A",0,RTD("tos.rtd",,BC$2,"."&amp;$A$43&amp;$AU$1&amp;"C"&amp;$A45))</f>
        <v>2333</v>
      </c>
      <c r="BD45" s="31">
        <f>-IF(RTD("tos.rtd",,BD$2,"."&amp;$A$43&amp;$AU$1&amp;"P"&amp;$A45)="N/A",0,RTD("tos.rtd",,BD$2,"."&amp;$A$43&amp;$AU$1&amp;"P"&amp;$A45))</f>
        <v>-1</v>
      </c>
      <c r="BE45" s="30">
        <f>IF(RTD("tos.rtd",,BE$2,"."&amp;$A$43&amp;$AW$1&amp;"C"&amp;$A45)="N/A",0,RTD("tos.rtd",,BE$2,"."&amp;$A$43&amp;$AW$1&amp;"C"&amp;$A45))</f>
        <v>967</v>
      </c>
      <c r="BF45" s="31">
        <f>-IF(RTD("tos.rtd",,BF$2,"."&amp;$A$43&amp;$AW$1&amp;"P"&amp;$A45)="N/A",0,RTD("tos.rtd",,BF$2,"."&amp;$A$43&amp;$AW$1&amp;"P"&amp;$A45))</f>
        <v>-54</v>
      </c>
      <c r="BG45" s="32">
        <f ca="1">+Hoja2!Y46</f>
        <v>-125</v>
      </c>
      <c r="BH45" s="31">
        <f ca="1">SUM(BA45:BG45)</f>
        <v>3120</v>
      </c>
      <c r="BI45" s="8"/>
      <c r="BJ45" s="83" t="e">
        <f ca="1">IF($BP$1=1,DX45,IF(RTD("tos.rtd",,BJ$43,"."&amp;$A$43&amp;$AS$42&amp;"C"&amp;$A45)="N/A",0,RTD("tos.rtd",,BJ$43,"."&amp;$A$43&amp;$AS$42&amp;"C"&amp;$A45)))</f>
        <v>#NUM!</v>
      </c>
      <c r="BK45" s="83" t="e">
        <f ca="1">IF($BP$1=1,DY45,-IF(RTD("tos.rtd",,BK$43,"."&amp;$A$43&amp;$AS$42&amp;"P"&amp;$A45)="N/A",0,RTD("tos.rtd",,BK$43,"."&amp;$A$43&amp;$AS$42&amp;"P"&amp;$A45)))</f>
        <v>#NUM!</v>
      </c>
      <c r="BL45" s="83" t="e">
        <f ca="1">IF($BP$1=1,DZ45,IF(RTD("tos.rtd",,BL$2,"."&amp;$A$43&amp;$AU$1&amp;"C"&amp;$A45)="N/A",0,RTD("tos.rtd",,BL$2,"."&amp;$A$43&amp;$AU$1&amp;"C"&amp;$A45)))</f>
        <v>#NUM!</v>
      </c>
      <c r="BM45" s="83" t="e">
        <f ca="1">IF($BP$1=1,EA45,-IF(RTD("tos.rtd",,BM$2,"."&amp;$A$43&amp;$AU$1&amp;"P"&amp;$A45)="N/A",0,RTD("tos.rtd",,BM$2,"."&amp;$A$43&amp;$AU$1&amp;"P"&amp;$A45)))</f>
        <v>#NUM!</v>
      </c>
      <c r="BN45" s="83" t="e">
        <f ca="1">IF($BP$1=1,EB45,IF(RTD("tos.rtd",,BN$2,"."&amp;$A$43&amp;$AW$1&amp;"C"&amp;$A45)="N/A",0,RTD("tos.rtd",,BN$2,"."&amp;$A$43&amp;$AW$1&amp;"C"&amp;$A45)))</f>
        <v>#NUM!</v>
      </c>
      <c r="BO45" s="83" t="e">
        <f ca="1">IF($BP$1=1,EC45,-IF(RTD("tos.rtd",,BO$2,"."&amp;$A$43&amp;$AW$1&amp;"P"&amp;$A45)="N/A",0,RTD("tos.rtd",,BO$2,"."&amp;$A$43&amp;$AW$1&amp;"P"&amp;$A45)))</f>
        <v>#NUM!</v>
      </c>
      <c r="BQ45" s="83" t="e">
        <f ca="1">+$A$44*$A$44*AS45*BJ45-$A$44*$A$44*AT45*BK45</f>
        <v>#NUM!</v>
      </c>
      <c r="BR45" s="83"/>
      <c r="BS45" s="83" t="e">
        <f ca="1">+$A$44*$A$44*AU45*BL45-$A$44*$A$44*AV45*BM45</f>
        <v>#NUM!</v>
      </c>
      <c r="BT45" s="83"/>
      <c r="BU45" s="83" t="e">
        <f ca="1">+$A$44*$A$44*AW45*BN45-$A$44*$A$44*AX45*BO45</f>
        <v>#NUM!</v>
      </c>
      <c r="BV45" s="83"/>
      <c r="BX45" s="83" t="e">
        <f t="shared" ref="BX45" ca="1" si="246">+$A$44*$A$44*BA45*BJ45-$A$44*$A$44*BB45*BK45</f>
        <v>#NUM!</v>
      </c>
      <c r="BY45" s="83"/>
      <c r="BZ45" s="83" t="e">
        <f t="shared" ref="BZ45" ca="1" si="247">+$A$44*$A$44*BC45*BL45-$A$44*$A$44*BD45*BM45</f>
        <v>#NUM!</v>
      </c>
      <c r="CA45" s="83"/>
      <c r="CB45" s="83" t="e">
        <f t="shared" ref="CB45" ca="1" si="248">+$A$44*$A$44*BE45*BN45-$A$44*$A$44*BF45*BO45</f>
        <v>#NUM!</v>
      </c>
      <c r="CC45" s="83"/>
      <c r="CD45" s="83">
        <f>IF(RTD("tos.rtd",,CD$43,"."&amp;$A$43&amp;$AS$42&amp;"C"&amp;$A45)="N/A",0,RTD("tos.rtd",,CD$43,"."&amp;$A$43&amp;$AS$42&amp;"C"&amp;$A45))</f>
        <v>0.01</v>
      </c>
      <c r="CE45" s="83">
        <f>-IF(RTD("tos.rtd",,CE$43,"."&amp;$A$43&amp;$AS$42&amp;"P"&amp;$A45)="N/A",0,RTD("tos.rtd",,CE$43,"."&amp;$A$43&amp;$AS$42&amp;"P"&amp;$A45))</f>
        <v>0.59</v>
      </c>
      <c r="CF45" s="83">
        <f>IF(RTD("tos.rtd",,CF$2,"."&amp;$A$43&amp;$AU$1&amp;"C"&amp;$A45)="N/A",0,RTD("tos.rtd",,CF$2,"."&amp;$A$43&amp;$AU$1&amp;"C"&amp;$A45))</f>
        <v>0.01</v>
      </c>
      <c r="CG45" s="83">
        <f>-IF(RTD("tos.rtd",,CG$2,"."&amp;$A$43&amp;$AU$1&amp;"P"&amp;$A45)="N/A",0,RTD("tos.rtd",,CG$2,"."&amp;$A$43&amp;$AU$1&amp;"P"&amp;$A45))</f>
        <v>0.57999999999999996</v>
      </c>
      <c r="CH45" s="83">
        <f>IF(RTD("tos.rtd",,CH$2,"."&amp;$A$43&amp;$AW$1&amp;"C"&amp;$A45)="N/A",0,RTD("tos.rtd",,CH$2,"."&amp;$A$43&amp;$AW$1&amp;"C"&amp;$A45))</f>
        <v>0.27</v>
      </c>
      <c r="CI45" s="83">
        <f>-IF(RTD("tos.rtd",,CI$2,"."&amp;$A$43&amp;$AW$1&amp;"P"&amp;$A45)="N/A",0,RTD("tos.rtd",,CI$2,"."&amp;$A$43&amp;$AW$1&amp;"P"&amp;$A45))</f>
        <v>0.56999999999999995</v>
      </c>
      <c r="CK45" s="83">
        <f>+AS45*CD45*100+AT45*CE45*100</f>
        <v>466</v>
      </c>
      <c r="CL45" s="83"/>
      <c r="CM45" s="83">
        <f>+AU45*CF45*100+AV45*CG45*100</f>
        <v>1750.0000000000002</v>
      </c>
      <c r="CN45" s="83"/>
      <c r="CO45" s="83">
        <f>+AW45*CH45*100+AX45*CI45*100</f>
        <v>84054.000000000015</v>
      </c>
      <c r="CP45" s="83">
        <f t="shared" si="235"/>
        <v>86270.000000000015</v>
      </c>
      <c r="CQ45" s="83">
        <f t="shared" ref="CQ45:CQ79" si="249">+BA45+BB45</f>
        <v>0</v>
      </c>
      <c r="CR45" s="83"/>
      <c r="CS45" s="83">
        <f t="shared" ref="CS45:CS79" si="250">+BC45+BD45</f>
        <v>2332</v>
      </c>
      <c r="CT45" s="83"/>
      <c r="CU45" s="83">
        <f t="shared" ref="CU45:CU79" si="251">+BE45+BF45</f>
        <v>913</v>
      </c>
      <c r="CV45" s="83"/>
      <c r="CW45" s="83" t="e">
        <f t="shared" ref="CW45:CW79" ca="1" si="252">+BQ45+BS45+BU45</f>
        <v>#NUM!</v>
      </c>
      <c r="CY45" s="83" t="e">
        <f t="shared" ref="CY45:CY79" ca="1" si="253">+BX45+BZ45+CB45</f>
        <v>#NUM!</v>
      </c>
      <c r="CZ45" s="70"/>
      <c r="DA45" s="83">
        <f>IF(RTD("tos.rtd",,DA$43,"."&amp;$A$43&amp;$AS$42&amp;"C"&amp;$A45)="N/A",0,RTD("tos.rtd",,DA$43,"."&amp;$A$43&amp;$AS$42&amp;"C"&amp;$A45))</f>
        <v>0.01</v>
      </c>
      <c r="DB45" s="83">
        <f>IF(RTD("tos.rtd",,DB$43,"."&amp;$A$43&amp;$AS$42&amp;"P"&amp;$A45)="N/A",0,RTD("tos.rtd",,DB$43,"."&amp;$A$43&amp;$AS$42&amp;"P"&amp;$A45))</f>
        <v>10.01</v>
      </c>
      <c r="DC45" s="83">
        <f>IF(RTD("tos.rtd",,DC$43,"."&amp;$A$43&amp;$AS$42&amp;"C"&amp;$A45)="N/A",0,RTD("tos.rtd",,DC$43,"."&amp;$A$43&amp;$AS$42&amp;"C"&amp;$A45))</f>
        <v>0.01</v>
      </c>
      <c r="DD45" s="83">
        <f>IF(RTD("tos.rtd",,DD$43,"."&amp;$A$43&amp;$AS$42&amp;"P"&amp;$A45)="N/A",0,RTD("tos.rtd",,DD$43,"."&amp;$A$43&amp;$AS$42&amp;"P"&amp;$A45))</f>
        <v>15.23</v>
      </c>
      <c r="DE45" s="83">
        <f>IF(RTD("tos.rtd",,DE$43,"."&amp;$A$43&amp;$AS$42&amp;"C"&amp;$A45)="N/A",0,RTD("tos.rtd",,DE$43,"."&amp;$A$43&amp;$AS$42&amp;"C"&amp;$A45))</f>
        <v>0</v>
      </c>
      <c r="DF45" s="83">
        <f>IF(RTD("tos.rtd",,DF$43,"."&amp;$A$43&amp;$AS$42&amp;"P"&amp;$A45)="N/A",0,RTD("tos.rtd",,DF$43,"."&amp;$A$43&amp;$AS$42&amp;"P"&amp;$A45))</f>
        <v>11.81</v>
      </c>
      <c r="DG45" s="86">
        <f>+$A45-$A$44</f>
        <v>6.2200000000000273</v>
      </c>
      <c r="DH45" s="83">
        <f t="shared" ref="DH45:DH79" si="254">((DA45-DE45)/(DC45-DE45))*(BA45-AP45)</f>
        <v>-2905</v>
      </c>
      <c r="DI45" s="83">
        <f t="shared" ref="DI45:DI79" si="255">((DB45-DF45)/(DD45-DF45))*(BB45-AQ45)</f>
        <v>-12.631578947368425</v>
      </c>
      <c r="DJ45" s="83">
        <f t="shared" ref="DJ45:DJ79" si="256">IF(DA45&gt;=(DE45+(DC45-DE45)*0.6),(BA45-AP45),IF(DA45&lt;=(DE45+(DC45-DE45)*0.4),-(BA45-AP45),0))</f>
        <v>-2905</v>
      </c>
      <c r="DK45" s="83">
        <f t="shared" ref="DK45:DK79" si="257">IF(DB45&lt;=(DF45+(DD45-DF45)*0.4),-(BB45-AQ45),IF(DB45&gt;=(DF45+(DD45-DF45)*0.6),(BB45-AQ45),0))</f>
        <v>-24</v>
      </c>
      <c r="DL45" s="83">
        <f t="shared" ref="DL45:DL79" si="258">+DH45+DI45</f>
        <v>-2917.6315789473683</v>
      </c>
      <c r="DM45" s="83">
        <f t="shared" ref="DM45:DM79" si="259">+DJ45+DK45</f>
        <v>-2929</v>
      </c>
      <c r="DN45" s="64" t="str">
        <f t="shared" ref="DN45:DN79" si="260">IF(AND(DA45&gt;=(DE45+(DC45-DE45)*0.6),BA45&gt;AP45),"BUY",IF(AND(DA45&lt;=(DE45+(DC45-DE45)*0.4),BA45&gt;AP45),"SELL","UNKNOWN"))</f>
        <v>UNKNOWN</v>
      </c>
      <c r="DO45" s="64" t="str">
        <f t="shared" ref="DO45:DO79" si="261">IF(AND(DB45&gt;=(DF45+(DD45-DF45)*0.6),ABS(BB45)&gt;ABS(AQ45)),"BUY",IF(AND(DB45&lt;=(DF45+(DD45-DF45)*0.4),ABS(BB45)&gt;ABS(AQ45)),"SELL","UNKNOWN"))</f>
        <v>UNKNOWN</v>
      </c>
      <c r="DP45" s="83">
        <f t="shared" ref="DP45:DP79" si="262">+DH45*DA45+DI45*DB45</f>
        <v>-155.49210526315792</v>
      </c>
      <c r="DQ45" s="83">
        <f t="shared" ref="DQ45:DQ79" si="263">+DA45*DJ45+DB45*DK45</f>
        <v>-269.29000000000002</v>
      </c>
      <c r="DR45" s="83" t="e">
        <f t="shared" ref="DR45:DR79" ca="1" si="264">+BJ45*DJ45+BK45*DK45</f>
        <v>#NUM!</v>
      </c>
      <c r="DS45" s="83">
        <f t="shared" ref="DS45:DS79" si="265">+CD45*DJ45+CE45*DK45</f>
        <v>-43.21</v>
      </c>
      <c r="DT45" s="83">
        <f>BA45-VLOOKUP(AZ45,$AO$45:$AQ$79,2,FALSE)</f>
        <v>-2905</v>
      </c>
      <c r="DU45" s="83">
        <f>BB45-VLOOKUP(AZ45,$AO$45:$AQ$79,3,FALSE)</f>
        <v>24</v>
      </c>
      <c r="DV45" s="83">
        <f t="shared" ref="DV45:DV79" si="266">AM45+IF(DN45="BUY",DT45,IF(DN45="SELL",-DT45,0))</f>
        <v>2869</v>
      </c>
      <c r="DW45" s="83">
        <f t="shared" ref="DW45:DW79" si="267">AN45+IF(DO45="BUY",DU45,IF(DO45="SELL",-DU45,0))</f>
        <v>-59</v>
      </c>
      <c r="DX45" s="83" t="e">
        <f ca="1">(EXP(-POWER((LN($A$44/$A45)+($EC$1+POWER($EE45,2)/2)*($EM$1/$DY$1))/($EE45*SQRT($EM$1/$DY$1)),2)/2)/SQRT(2*PI())/($A$44*$EE45*SQRT($EM$1/$DY$1)))</f>
        <v>#NUM!</v>
      </c>
      <c r="DY45" s="83" t="e">
        <f ca="1">-(EXP(-POWER((LN($A$44/$A45)+($EC$1+POWER($EF45,2)/2)*($EM$1/$DY$1))/($EF45*SQRT($EM$1/$DY$1)),2)/2)/SQRT(2*PI())/($A$44*$EF45*SQRT($EM$1/$DY$1)))</f>
        <v>#NUM!</v>
      </c>
      <c r="DZ45" s="83" t="e">
        <f ca="1">(EXP(-POWER((LN($A$44/$A45)+($EC$1+POWER($EG45,2)/2)*($EO$1/$DY$1))/($EG45*SQRT($EO$1/$DY$1)),2)/2)/SQRT(2*PI())/($A$44*$EG45*SQRT($EO$1/$DY$1)))</f>
        <v>#NUM!</v>
      </c>
      <c r="EA45" s="83" t="e">
        <f ca="1">-(EXP(-POWER((LN($A$44/$A45)+($EC$1+POWER($EH45,2)/2)*($EO$1/$DY$1))/($EH45*SQRT($EO$1/$DY$1)),2)/2)/SQRT(2*PI())/($A$44*$EH45*SQRT($EO$1/$DY$1)))</f>
        <v>#NUM!</v>
      </c>
      <c r="EB45" s="83" t="e">
        <f ca="1">(EXP(-POWER((LN($A$44/$A45)+($EC$1+POWER($EI45,2)/2)*($EO$1/$DY$1))/($EI45*SQRT($EO$1/$DY$1)),2)/2)/SQRT(2*PI())/($A$44*$EI45*SQRT($EO$1/$DY$1)))</f>
        <v>#NUM!</v>
      </c>
      <c r="EC45" s="83" t="e">
        <f ca="1">-(EXP(-POWER((LN($A$44/$A45)+($EC$1+POWER($EJ45,2)/2)*($EO$1/$DY$1))/($EJ45*SQRT($EO$1/$DY$1)),2)/2)/SQRT(2*PI())/($A$44*$EJ45*SQRT($EO$1/$DY$1)))</f>
        <v>#NUM!</v>
      </c>
      <c r="ED45" s="63">
        <f>+DV45+DW45</f>
        <v>2810</v>
      </c>
      <c r="EE45" s="84">
        <f t="shared" ref="EE45:EE79" si="268">IFERROR(VALUE(IF(OR(EL45="--",EL45="0.00%"),$EE$1,EL45)),$EE$1)</f>
        <v>0.66039999999999999</v>
      </c>
      <c r="EF45" s="84">
        <f t="shared" ref="EF45:EF79" si="269">IFERROR(VALUE(IF(OR(EM45="--",EM45="0.00%"),$EE$1,EM45)),$EE$1)</f>
        <v>6.7257999999999996</v>
      </c>
      <c r="EG45" s="84">
        <f t="shared" ref="EG45:EG79" si="270">IFERROR(VALUE(IF(OR(EN45="--",EN45="0.00%"),$EE$1,EN45)),$EE$1)</f>
        <v>0.66039999999999999</v>
      </c>
      <c r="EH45" s="84">
        <f t="shared" ref="EH45:EH79" si="271">IFERROR(VALUE(IF(OR(EO45="--",EO45="0.00%"),$EE$1,EO45)),$EE$1)</f>
        <v>7.0922000000000001</v>
      </c>
      <c r="EI45" s="84">
        <f t="shared" ref="EI45:EI79" si="272">IFERROR(VALUE(IF(OR(EP45="--",EP45="0.00%"),$EE$1,EP45)),$EE$1)</f>
        <v>0.17080000000000001</v>
      </c>
      <c r="EJ45" s="84">
        <f t="shared" ref="EJ45:EJ79" si="273">IFERROR(VALUE(IF(OR(EQ45="--",EQ45="0.00%"),$EE$1,EQ45)),$EE$1)</f>
        <v>0.5323</v>
      </c>
      <c r="EK45" s="63" t="e">
        <f ca="1">+DV45*DX45*$A$44*$A$44+DW45*DY45*$A$44*$A$44</f>
        <v>#NUM!</v>
      </c>
      <c r="EL45" s="83" t="str">
        <f>RTD("tos.rtd",,EL$43,"."&amp;$A$43&amp;$AS$42&amp;"C"&amp;$A45)</f>
        <v>66.04%</v>
      </c>
      <c r="EM45" s="83" t="str">
        <f>RTD("tos.rtd",,EM$43,"."&amp;$A$43&amp;$AS$42&amp;"P"&amp;$A45)</f>
        <v>672.58%</v>
      </c>
      <c r="EN45" s="83" t="str">
        <f>RTD("tos.rtd",,EN$2,"."&amp;$A$43&amp;$AU$1&amp;"C"&amp;$A45)</f>
        <v>66.04%</v>
      </c>
      <c r="EO45" s="83" t="str">
        <f>RTD("tos.rtd",,EO$2,"."&amp;$A$43&amp;$AU$1&amp;"P"&amp;$A45)</f>
        <v>709.22%</v>
      </c>
      <c r="EP45" s="83" t="str">
        <f>RTD("tos.rtd",,EP$2,"."&amp;$A$43&amp;$AW$1&amp;"C"&amp;$A45)</f>
        <v>17.08%</v>
      </c>
      <c r="EQ45" s="83" t="str">
        <f>RTD("tos.rtd",,EQ$2,"."&amp;$A$43&amp;$AW$1&amp;"P"&amp;$A45)</f>
        <v>53.23%</v>
      </c>
      <c r="ES45" s="63" t="str">
        <f t="shared" ref="ES45:ES79" si="274">IFERROR(
    A45 &amp; "," &amp; TEXT(IF(ISNUMBER(DV45+DW45), DV45+DW45, 0), "00.00"),    "Error"
)</f>
        <v>502,2810.00</v>
      </c>
      <c r="ET45" s="63" t="str">
        <f t="shared" ref="ET45:ET79" ca="1" si="275">IF(ISERROR(
    A45 &amp; "," &amp; TEXT(
        IF($E$1="GEX-VOL", IF(ISNUMBER(BX45+BZ45+CB45), (BX45+BZ45+CB45)/1000, 0),
           IF($E$1="GEX-OI", IF(ISNUMBER(BQ45+BS45+BU45), (BQ45+BS45+BU45)/1000, 0),
               IF($E$1="DEX",IF(ISNUMBER(CK45+CM45+CO45), (CK45+CM45+CO45)/1000, 0),
                  IF($E$1="VOLPRES",IF(ISNUMBER(DJ45+DK45), (DJ45+DK45), 0),
                     IF(ISNUMBER(EK45), (EK45), 0)
        )))),
    "00.00")
), "Error",
A45 &amp; "," &amp; TEXT(
        IF($E$1="GEX-VOL", IF(ISNUMBER(BX45+BZ45+CB45), (BX45+BZ45+CB45)/1000, 0),
           IF($E$1="GEX-OI", IF(ISNUMBER(BQ45+BS45+BU45), (BQ45+BS45+BU45)/1000, 0),
               IF($E$1="DEX", IF(ISNUMBER(CK45+CM45+CO45), (CK45+CM45+CO45)/1000, 0),
                  IF($E$1="VOLPRES",IF(ISNUMBER(DJ45+DK45), (DJ45+DK45), 0),
                    IF(ISNUMBER(EK45), (EK45), 0)
        )))),
    "00.00")
)</f>
        <v>502,00.00</v>
      </c>
      <c r="EU45" s="67">
        <v>561.20000000000005</v>
      </c>
      <c r="EV45" s="67" t="s">
        <v>379</v>
      </c>
      <c r="EW45" s="67">
        <v>483.58</v>
      </c>
      <c r="EX45" s="67" t="s">
        <v>380</v>
      </c>
      <c r="EY45" s="67">
        <v>5631.28</v>
      </c>
      <c r="EZ45" s="67" t="s">
        <v>381</v>
      </c>
      <c r="FA45" s="67">
        <v>19867.973000000002</v>
      </c>
      <c r="FB45" s="67" t="s">
        <v>382</v>
      </c>
      <c r="FC45" s="67" t="s">
        <v>383</v>
      </c>
      <c r="FD45" s="67" t="s">
        <v>384</v>
      </c>
      <c r="FE45" s="68" t="s">
        <v>385</v>
      </c>
      <c r="FF45" s="68" t="s">
        <v>386</v>
      </c>
    </row>
    <row r="46" spans="1:162" ht="13.5" thickBot="1" x14ac:dyDescent="0.25">
      <c r="A46" s="2">
        <f>+A45-$A$39</f>
        <v>501</v>
      </c>
      <c r="B46" s="3">
        <f t="shared" si="241"/>
        <v>599</v>
      </c>
      <c r="C46" s="3">
        <f t="shared" si="242"/>
        <v>2376</v>
      </c>
      <c r="D46" s="3">
        <f t="shared" si="243"/>
        <v>2628</v>
      </c>
      <c r="E46" s="3">
        <f>SUM(B46:D46)</f>
        <v>5603</v>
      </c>
      <c r="F46" s="4">
        <f>+$F$44/$A$44*A46</f>
        <v>20670.620537335108</v>
      </c>
      <c r="AM46" s="1">
        <v>8703</v>
      </c>
      <c r="AN46" s="1">
        <v>6</v>
      </c>
      <c r="AO46" s="1">
        <v>501</v>
      </c>
      <c r="AP46" s="1">
        <v>3832</v>
      </c>
      <c r="AQ46" s="1">
        <v>-6</v>
      </c>
      <c r="AS46" s="6">
        <f>IF(RTD("tos.rtd",,AS$43,"."&amp;$A$43&amp;$AS$42&amp;"C"&amp;$A46)="N/A",0,RTD("tos.rtd",,AS$43,"."&amp;$A$43&amp;$AS$42&amp;"C"&amp;$A46))</f>
        <v>599</v>
      </c>
      <c r="AT46" s="7">
        <f>-IF(RTD("tos.rtd",,AT$43,"."&amp;$A$43&amp;$AS$42&amp;"P"&amp;$A46)="N/A",0,RTD("tos.rtd",,AT$43,"."&amp;$A$43&amp;$AS$42&amp;"P"&amp;$A46))</f>
        <v>0</v>
      </c>
      <c r="AU46" s="6">
        <f>IF(RTD("tos.rtd",,AU$2,"."&amp;$A$43&amp;$AU$1&amp;"C"&amp;$A46)="N/A",0,RTD("tos.rtd",,AU$2,"."&amp;$A$43&amp;$AU$1&amp;"C"&amp;$A46))</f>
        <v>2358</v>
      </c>
      <c r="AV46" s="7">
        <f>-IF(RTD("tos.rtd",,AV$2,"."&amp;$A$43&amp;$AU$1&amp;"P"&amp;$A46)="N/A",0,RTD("tos.rtd",,AV$2,"."&amp;$A$43&amp;$AU$1&amp;"P"&amp;$A46))</f>
        <v>-18</v>
      </c>
      <c r="AW46" s="6">
        <f>IF(RTD("tos.rtd",,AW$2,"."&amp;$A$43&amp;$AW$1&amp;"C"&amp;$A46)="N/A",0,RTD("tos.rtd",,AW$2,"."&amp;$A$43&amp;$AW$1&amp;"C"&amp;$A46))</f>
        <v>2599</v>
      </c>
      <c r="AX46" s="7">
        <f>-IF(RTD("tos.rtd",,AX$2,"."&amp;$A$43&amp;$AW$1&amp;"P"&amp;$A46)="N/A",0,RTD("tos.rtd",,AX$2,"."&amp;$A$43&amp;$AW$1&amp;"P"&amp;$A46))</f>
        <v>-29</v>
      </c>
      <c r="AY46" s="7">
        <f t="shared" ref="AY46:AY79" si="276">SUM(AS46:AX46)</f>
        <v>5509</v>
      </c>
      <c r="AZ46" s="8">
        <f t="shared" si="245"/>
        <v>501</v>
      </c>
      <c r="BA46" s="6">
        <f>IF(RTD("tos.rtd",,BA$43,"."&amp;$A$43&amp;$AS$42&amp;"C"&amp;$A46)="N/A",0,RTD("tos.rtd",,BA$43,"."&amp;$A$43&amp;$AS$42&amp;"C"&amp;$A46))</f>
        <v>0</v>
      </c>
      <c r="BB46" s="7">
        <f>-IF(RTD("tos.rtd",,BB$43,"."&amp;$A$43&amp;$AS$42&amp;"P"&amp;$A46)="N/A",0,RTD("tos.rtd",,BB$43,"."&amp;$A$43&amp;$AS$42&amp;"P"&amp;$A46))</f>
        <v>0</v>
      </c>
      <c r="BC46" s="6">
        <f>IF(RTD("tos.rtd",,BC$2,"."&amp;$A$43&amp;$AU$1&amp;"C"&amp;$A46)="N/A",0,RTD("tos.rtd",,BC$2,"."&amp;$A$43&amp;$AU$1&amp;"C"&amp;$A46))</f>
        <v>3367</v>
      </c>
      <c r="BD46" s="7">
        <f>-IF(RTD("tos.rtd",,BD$2,"."&amp;$A$43&amp;$AU$1&amp;"P"&amp;$A46)="N/A",0,RTD("tos.rtd",,BD$2,"."&amp;$A$43&amp;$AU$1&amp;"P"&amp;$A46))</f>
        <v>-19</v>
      </c>
      <c r="BE46" s="6">
        <f>IF(RTD("tos.rtd",,BE$2,"."&amp;$A$43&amp;$AW$1&amp;"C"&amp;$A46)="N/A",0,RTD("tos.rtd",,BE$2,"."&amp;$A$43&amp;$AW$1&amp;"C"&amp;$A46))</f>
        <v>1256</v>
      </c>
      <c r="BF46" s="7">
        <f>-IF(RTD("tos.rtd",,BF$2,"."&amp;$A$43&amp;$AW$1&amp;"P"&amp;$A46)="N/A",0,RTD("tos.rtd",,BF$2,"."&amp;$A$43&amp;$AW$1&amp;"P"&amp;$A46))</f>
        <v>-50</v>
      </c>
      <c r="BG46" s="32">
        <f ca="1">+Hoja2!Y47</f>
        <v>244</v>
      </c>
      <c r="BH46" s="7">
        <f t="shared" ref="BH46:BH79" ca="1" si="277">SUM(BA46:BG46)</f>
        <v>4798</v>
      </c>
      <c r="BI46" s="8" t="str">
        <f ca="1">IF(AND(BH46&lt;0,BH45&gt;0), "Cruce -", IF(AND(BH46&gt;0,BH45&lt;0),"Cruce +", ""))</f>
        <v/>
      </c>
      <c r="BJ46" s="83" t="e">
        <f ca="1">IF($BP$1=1,DX46,IF(RTD("tos.rtd",,BJ$43,"."&amp;$A$43&amp;$AS$42&amp;"C"&amp;$A46)="N/A",0,RTD("tos.rtd",,BJ$43,"."&amp;$A$43&amp;$AS$42&amp;"C"&amp;$A46)))</f>
        <v>#NUM!</v>
      </c>
      <c r="BK46" s="83" t="e">
        <f ca="1">IF($BP$1=1,DY46,-IF(RTD("tos.rtd",,BK$43,"."&amp;$A$43&amp;$AS$42&amp;"P"&amp;$A46)="N/A",0,RTD("tos.rtd",,BK$43,"."&amp;$A$43&amp;$AS$42&amp;"P"&amp;$A46)))</f>
        <v>#NUM!</v>
      </c>
      <c r="BL46" s="83" t="e">
        <f ca="1">IF($BP$1=1,DZ46,IF(RTD("tos.rtd",,BL$2,"."&amp;$A$43&amp;$AU$1&amp;"C"&amp;$A46)="N/A",0,RTD("tos.rtd",,BL$2,"."&amp;$A$43&amp;$AU$1&amp;"C"&amp;$A46)))</f>
        <v>#NUM!</v>
      </c>
      <c r="BM46" s="83" t="e">
        <f ca="1">IF($BP$1=1,EA46,-IF(RTD("tos.rtd",,BM$2,"."&amp;$A$43&amp;$AU$1&amp;"P"&amp;$A46)="N/A",0,RTD("tos.rtd",,BM$2,"."&amp;$A$43&amp;$AU$1&amp;"P"&amp;$A46)))</f>
        <v>#NUM!</v>
      </c>
      <c r="BN46" s="83" t="e">
        <f ca="1">IF($BP$1=1,EB46,IF(RTD("tos.rtd",,BN$2,"."&amp;$A$43&amp;$AW$1&amp;"C"&amp;$A46)="N/A",0,RTD("tos.rtd",,BN$2,"."&amp;$A$43&amp;$AW$1&amp;"C"&amp;$A46)))</f>
        <v>#NUM!</v>
      </c>
      <c r="BO46" s="83" t="e">
        <f ca="1">IF($BP$1=1,EC46,-IF(RTD("tos.rtd",,BO$2,"."&amp;$A$43&amp;$AW$1&amp;"P"&amp;$A46)="N/A",0,RTD("tos.rtd",,BO$2,"."&amp;$A$43&amp;$AW$1&amp;"P"&amp;$A46)))</f>
        <v>#NUM!</v>
      </c>
      <c r="BQ46" s="83" t="e">
        <f t="shared" ref="BQ46:BQ79" ca="1" si="278">+$A$44*$A$44*AS46*BJ46-$A$44*$A$44*AT46*BK46</f>
        <v>#NUM!</v>
      </c>
      <c r="BR46" s="3" t="e">
        <f t="shared" ref="BR46:BR79" ca="1" si="279">IF(AND(BQ46&lt;0,BQ45&gt;0), "Cruce -", IF(AND(BQ46&gt;0,BQ45&lt;0),"Cruce +", ""))</f>
        <v>#NUM!</v>
      </c>
      <c r="BS46" s="83" t="e">
        <f t="shared" ref="BS46:BS79" ca="1" si="280">+$A$44*$A$44*AU46*BL46-$A$44*$A$44*AV46*BM46</f>
        <v>#NUM!</v>
      </c>
      <c r="BT46" s="3" t="e">
        <f t="shared" ref="BT46:BT79" ca="1" si="281">IF(AND(BS46&lt;0,BS45&gt;0), "Cruce -", IF(AND(BS46&gt;0,BS45&lt;0),"Cruce +", ""))</f>
        <v>#NUM!</v>
      </c>
      <c r="BU46" s="83" t="e">
        <f t="shared" ref="BU46:BU79" ca="1" si="282">+$A$44*$A$44*AW46*BN46-$A$44*$A$44*AX46*BO46</f>
        <v>#NUM!</v>
      </c>
      <c r="BV46" s="83"/>
      <c r="BX46" s="83" t="e">
        <f t="shared" ref="BX46:BX79" ca="1" si="283">+$A$44*$A$44*BA46*BJ46-$A$44*$A$44*BB46*BK46</f>
        <v>#NUM!</v>
      </c>
      <c r="BY46" s="83" t="e">
        <f ca="1">IF(AND(BX46&lt;0,BX45&gt;0), "Cruce -", IF(AND(BX46&gt;0,BX45&lt;0),"Cruce +", ""))</f>
        <v>#NUM!</v>
      </c>
      <c r="BZ46" s="83" t="e">
        <f t="shared" ref="BZ46:BZ79" ca="1" si="284">+$A$44*$A$44*BC46*BL46-$A$44*$A$44*BD46*BM46</f>
        <v>#NUM!</v>
      </c>
      <c r="CA46" s="83" t="e">
        <f ca="1">IF(AND(BZ46&lt;0,BZ45&gt;0), "Cruce -", IF(AND(BZ46&gt;0,BZ45&lt;0),"Cruce +", ""))</f>
        <v>#NUM!</v>
      </c>
      <c r="CB46" s="83" t="e">
        <f t="shared" ref="CB46:CB79" ca="1" si="285">+$A$44*$A$44*BE46*BN46-$A$44*$A$44*BF46*BO46</f>
        <v>#NUM!</v>
      </c>
      <c r="CC46" s="83" t="e">
        <f ca="1">IF(AND(CB46&lt;0,CB45&gt;0), "Cruce -", IF(AND(CB46&gt;0,CB45&lt;0),"Cruce +", ""))</f>
        <v>#NUM!</v>
      </c>
      <c r="CD46" s="83">
        <f>IF(RTD("tos.rtd",,CD$43,"."&amp;$A$43&amp;$AS$42&amp;"C"&amp;$A46)="N/A",0,RTD("tos.rtd",,CD$43,"."&amp;$A$43&amp;$AS$42&amp;"C"&amp;$A46))</f>
        <v>0.01</v>
      </c>
      <c r="CE46" s="83">
        <f>-IF(RTD("tos.rtd",,CE$43,"."&amp;$A$43&amp;$AS$42&amp;"P"&amp;$A46)="N/A",0,RTD("tos.rtd",,CE$43,"."&amp;$A$43&amp;$AS$42&amp;"P"&amp;$A46))</f>
        <v>0.57999999999999996</v>
      </c>
      <c r="CF46" s="83">
        <f>IF(RTD("tos.rtd",,CF$2,"."&amp;$A$43&amp;$AU$1&amp;"C"&amp;$A46)="N/A",0,RTD("tos.rtd",,CF$2,"."&amp;$A$43&amp;$AU$1&amp;"C"&amp;$A46))</f>
        <v>0.01</v>
      </c>
      <c r="CG46" s="83">
        <f>-IF(RTD("tos.rtd",,CG$2,"."&amp;$A$43&amp;$AU$1&amp;"P"&amp;$A46)="N/A",0,RTD("tos.rtd",,CG$2,"."&amp;$A$43&amp;$AU$1&amp;"P"&amp;$A46))</f>
        <v>0.56999999999999995</v>
      </c>
      <c r="CH46" s="83">
        <f>IF(RTD("tos.rtd",,CH$2,"."&amp;$A$43&amp;$AW$1&amp;"C"&amp;$A46)="N/A",0,RTD("tos.rtd",,CH$2,"."&amp;$A$43&amp;$AW$1&amp;"C"&amp;$A46))</f>
        <v>0.31</v>
      </c>
      <c r="CI46" s="83">
        <f>-IF(RTD("tos.rtd",,CI$2,"."&amp;$A$43&amp;$AW$1&amp;"P"&amp;$A46)="N/A",0,RTD("tos.rtd",,CI$2,"."&amp;$A$43&amp;$AW$1&amp;"P"&amp;$A46))</f>
        <v>0.55000000000000004</v>
      </c>
      <c r="CK46" s="83">
        <f t="shared" ref="CK46:CK79" si="286">+AS46*CD46*100+AT46*CE46*100</f>
        <v>599</v>
      </c>
      <c r="CL46" s="83"/>
      <c r="CM46" s="83">
        <f t="shared" ref="CM46:CM79" si="287">+AU46*CF46*100+AV46*CG46*100</f>
        <v>1332</v>
      </c>
      <c r="CN46" s="83"/>
      <c r="CO46" s="83">
        <f t="shared" ref="CO46:CO79" si="288">+AW46*CH46*100+AX46*CI46*100</f>
        <v>78974</v>
      </c>
      <c r="CP46" s="83">
        <f t="shared" si="235"/>
        <v>80905</v>
      </c>
      <c r="CQ46" s="83">
        <f t="shared" si="249"/>
        <v>0</v>
      </c>
      <c r="CR46" s="83"/>
      <c r="CS46" s="83">
        <f t="shared" si="250"/>
        <v>3348</v>
      </c>
      <c r="CT46" s="83"/>
      <c r="CU46" s="83">
        <f t="shared" si="251"/>
        <v>1206</v>
      </c>
      <c r="CV46" s="83"/>
      <c r="CW46" s="83" t="e">
        <f t="shared" ca="1" si="252"/>
        <v>#NUM!</v>
      </c>
      <c r="CY46" s="83" t="e">
        <f t="shared" ca="1" si="253"/>
        <v>#NUM!</v>
      </c>
      <c r="CZ46" s="70" t="e">
        <f ca="1">IF(AND(CY46&lt;0,CY45&gt;0), "Cruce -", IF(AND(CY46&gt;0,CY45&lt;0),"Cruce +", ""))</f>
        <v>#NUM!</v>
      </c>
      <c r="DA46" s="83">
        <f>IF(RTD("tos.rtd",,DA$43,"."&amp;$A$43&amp;$AS$42&amp;"C"&amp;$A46)="N/A",0,RTD("tos.rtd",,DA$43,"."&amp;$A$43&amp;$AS$42&amp;"C"&amp;$A46))</f>
        <v>0.01</v>
      </c>
      <c r="DB46" s="83">
        <f>IF(RTD("tos.rtd",,DB$43,"."&amp;$A$43&amp;$AS$42&amp;"P"&amp;$A46)="N/A",0,RTD("tos.rtd",,DB$43,"."&amp;$A$43&amp;$AS$42&amp;"P"&amp;$A46))</f>
        <v>9.35</v>
      </c>
      <c r="DC46" s="83">
        <f>IF(RTD("tos.rtd",,DC$43,"."&amp;$A$43&amp;$AS$42&amp;"C"&amp;$A46)="N/A",0,RTD("tos.rtd",,DC$43,"."&amp;$A$43&amp;$AS$42&amp;"C"&amp;$A46))</f>
        <v>0.01</v>
      </c>
      <c r="DD46" s="83">
        <f>IF(RTD("tos.rtd",,DD$43,"."&amp;$A$43&amp;$AS$42&amp;"P"&amp;$A46)="N/A",0,RTD("tos.rtd",,DD$43,"."&amp;$A$43&amp;$AS$42&amp;"P"&amp;$A46))</f>
        <v>14.23</v>
      </c>
      <c r="DE46" s="83">
        <f>IF(RTD("tos.rtd",,DE$43,"."&amp;$A$43&amp;$AS$42&amp;"C"&amp;$A46)="N/A",0,RTD("tos.rtd",,DE$43,"."&amp;$A$43&amp;$AS$42&amp;"C"&amp;$A46))</f>
        <v>0</v>
      </c>
      <c r="DF46" s="83">
        <f>IF(RTD("tos.rtd",,DF$43,"."&amp;$A$43&amp;$AS$42&amp;"P"&amp;$A46)="N/A",0,RTD("tos.rtd",,DF$43,"."&amp;$A$43&amp;$AS$42&amp;"P"&amp;$A46))</f>
        <v>10.81</v>
      </c>
      <c r="DG46" s="86">
        <f t="shared" ref="DG46:DG79" si="289">+$A46-$A$44</f>
        <v>5.2200000000000273</v>
      </c>
      <c r="DH46" s="83">
        <f t="shared" si="254"/>
        <v>-3832</v>
      </c>
      <c r="DI46" s="83">
        <f t="shared" si="255"/>
        <v>-2.5614035087719316</v>
      </c>
      <c r="DJ46" s="83">
        <f t="shared" si="256"/>
        <v>-3832</v>
      </c>
      <c r="DK46" s="83">
        <f t="shared" si="257"/>
        <v>-6</v>
      </c>
      <c r="DL46" s="83">
        <f t="shared" si="258"/>
        <v>-3834.5614035087719</v>
      </c>
      <c r="DM46" s="83">
        <f t="shared" si="259"/>
        <v>-3838</v>
      </c>
      <c r="DN46" s="64" t="str">
        <f t="shared" si="260"/>
        <v>UNKNOWN</v>
      </c>
      <c r="DO46" s="64" t="str">
        <f t="shared" si="261"/>
        <v>UNKNOWN</v>
      </c>
      <c r="DP46" s="83">
        <f t="shared" si="262"/>
        <v>-62.26912280701756</v>
      </c>
      <c r="DQ46" s="83">
        <f t="shared" si="263"/>
        <v>-94.419999999999987</v>
      </c>
      <c r="DR46" s="83" t="e">
        <f t="shared" ca="1" si="264"/>
        <v>#NUM!</v>
      </c>
      <c r="DS46" s="83">
        <f t="shared" si="265"/>
        <v>-41.8</v>
      </c>
      <c r="DT46" s="83">
        <f t="shared" ref="DT46:DT79" si="290">BA46-VLOOKUP(AZ46,$AO$45:$AQ$79,2,FALSE)</f>
        <v>-3832</v>
      </c>
      <c r="DU46" s="83">
        <f t="shared" ref="DU46:DU79" si="291">BB46-VLOOKUP(AZ46,$AO$45:$AQ$79,3,FALSE)</f>
        <v>6</v>
      </c>
      <c r="DV46" s="83">
        <f t="shared" si="266"/>
        <v>8703</v>
      </c>
      <c r="DW46" s="83">
        <f t="shared" si="267"/>
        <v>6</v>
      </c>
      <c r="DX46" s="83" t="e">
        <f ca="1">(EXP(-POWER((LN($A$44/$A46)+($EC$1+POWER($EE46,2)/2)*($EM$1/$DY$1))/($EE46*SQRT($EM$1/$DY$1)),2)/2)/SQRT(2*PI())/($A$44*$EE46*SQRT($EM$1/$DY$1)))</f>
        <v>#NUM!</v>
      </c>
      <c r="DY46" s="83" t="e">
        <f ca="1">-(EXP(-POWER((LN($A$44/$A46)+($EC$1+POWER($EF46,2)/2)*($EM$1/$DY$1))/($EF46*SQRT($EM$1/$DY$1)),2)/2)/SQRT(2*PI())/($A$44*$EF46*SQRT($EM$1/$DY$1)))</f>
        <v>#NUM!</v>
      </c>
      <c r="DZ46" s="83" t="e">
        <f ca="1">(EXP(-POWER((LN($A$44/$A46)+($EC$1+POWER($EG46,2)/2)*($EO$1/$DY$1))/($EG46*SQRT($EO$1/$DY$1)),2)/2)/SQRT(2*PI())/($A$44*$EG46*SQRT($EO$1/$DY$1)))</f>
        <v>#NUM!</v>
      </c>
      <c r="EA46" s="83" t="e">
        <f ca="1">-(EXP(-POWER((LN($A$44/$A46)+($EC$1+POWER($EH46,2)/2)*($EO$1/$DY$1))/($EH46*SQRT($EO$1/$DY$1)),2)/2)/SQRT(2*PI())/($A$44*$EH46*SQRT($EO$1/$DY$1)))</f>
        <v>#NUM!</v>
      </c>
      <c r="EB46" s="83" t="e">
        <f ca="1">(EXP(-POWER((LN($A$44/$A46)+($EC$1+POWER($EI46,2)/2)*($EO$1/$DY$1))/($EI46*SQRT($EO$1/$DY$1)),2)/2)/SQRT(2*PI())/($A$44*$EI46*SQRT($EO$1/$DY$1)))</f>
        <v>#NUM!</v>
      </c>
      <c r="EC46" s="83" t="e">
        <f ca="1">-(EXP(-POWER((LN($A$44/$A46)+($EC$1+POWER($EJ46,2)/2)*($EO$1/$DY$1))/($EJ46*SQRT($EO$1/$DY$1)),2)/2)/SQRT(2*PI())/($A$44*$EJ46*SQRT($EO$1/$DY$1)))</f>
        <v>#NUM!</v>
      </c>
      <c r="ED46" s="63">
        <f t="shared" ref="ED46:ED79" si="292">+DV46+DW46</f>
        <v>8709</v>
      </c>
      <c r="EE46" s="84">
        <f t="shared" si="268"/>
        <v>0.56620000000000004</v>
      </c>
      <c r="EF46" s="84">
        <f t="shared" si="269"/>
        <v>6.4527000000000001</v>
      </c>
      <c r="EG46" s="84">
        <f t="shared" si="270"/>
        <v>0.56620000000000004</v>
      </c>
      <c r="EH46" s="84">
        <f t="shared" si="271"/>
        <v>6.8170000000000002</v>
      </c>
      <c r="EI46" s="84">
        <f t="shared" si="272"/>
        <v>0.1668</v>
      </c>
      <c r="EJ46" s="84">
        <f t="shared" si="273"/>
        <v>0.52310000000000001</v>
      </c>
      <c r="EK46" s="63" t="e">
        <f t="shared" ref="EK46:EK79" ca="1" si="293">+DV46*DX46*$A$44*$A$44+DW46*DY46*$A$44*$A$44</f>
        <v>#NUM!</v>
      </c>
      <c r="EL46" s="83" t="str">
        <f>RTD("tos.rtd",,EL$43,"."&amp;$A$43&amp;$AS$42&amp;"C"&amp;$A46)</f>
        <v>56.62%</v>
      </c>
      <c r="EM46" s="83" t="str">
        <f>RTD("tos.rtd",,EM$43,"."&amp;$A$43&amp;$AS$42&amp;"P"&amp;$A46)</f>
        <v>645.27%</v>
      </c>
      <c r="EN46" s="83" t="str">
        <f>RTD("tos.rtd",,EN$2,"."&amp;$A$43&amp;$AU$1&amp;"C"&amp;$A46)</f>
        <v>56.62%</v>
      </c>
      <c r="EO46" s="83" t="str">
        <f>RTD("tos.rtd",,EO$2,"."&amp;$A$43&amp;$AU$1&amp;"P"&amp;$A46)</f>
        <v>681.70%</v>
      </c>
      <c r="EP46" s="83" t="str">
        <f>RTD("tos.rtd",,EP$2,"."&amp;$A$43&amp;$AW$1&amp;"C"&amp;$A46)</f>
        <v>16.68%</v>
      </c>
      <c r="EQ46" s="83" t="str">
        <f>RTD("tos.rtd",,EQ$2,"."&amp;$A$43&amp;$AW$1&amp;"P"&amp;$A46)</f>
        <v>52.31%</v>
      </c>
      <c r="ES46" s="63" t="str">
        <f t="shared" si="274"/>
        <v>501,8709.00</v>
      </c>
      <c r="ET46" s="63" t="str">
        <f t="shared" ca="1" si="275"/>
        <v>501,00.00</v>
      </c>
      <c r="EU46" s="67">
        <v>561.26</v>
      </c>
      <c r="EV46" s="67" t="s">
        <v>387</v>
      </c>
      <c r="EW46" s="67">
        <v>483.61</v>
      </c>
      <c r="EX46" s="67" t="s">
        <v>388</v>
      </c>
      <c r="EY46" s="67">
        <v>5631.28</v>
      </c>
      <c r="EZ46" s="67" t="s">
        <v>389</v>
      </c>
      <c r="FA46" s="67">
        <v>19867.973000000002</v>
      </c>
      <c r="FB46" s="67" t="s">
        <v>390</v>
      </c>
      <c r="FC46" s="67" t="s">
        <v>391</v>
      </c>
      <c r="FD46" s="67" t="s">
        <v>392</v>
      </c>
      <c r="FE46" s="68" t="s">
        <v>393</v>
      </c>
      <c r="FF46" s="68" t="s">
        <v>394</v>
      </c>
    </row>
    <row r="47" spans="1:162" ht="13.5" thickBot="1" x14ac:dyDescent="0.25">
      <c r="A47" s="2">
        <f t="shared" ref="A47:A79" si="294">+A46-$A$39</f>
        <v>500</v>
      </c>
      <c r="B47" s="3">
        <f t="shared" si="241"/>
        <v>4383</v>
      </c>
      <c r="C47" s="3">
        <f t="shared" si="242"/>
        <v>13115</v>
      </c>
      <c r="D47" s="3">
        <f t="shared" si="243"/>
        <v>58135</v>
      </c>
      <c r="E47" s="3">
        <f>SUM(B47:D47)</f>
        <v>75633</v>
      </c>
      <c r="F47" s="4">
        <f>+$F$44/$A$44*A47</f>
        <v>20629.361813707692</v>
      </c>
      <c r="AM47" s="1">
        <v>7335</v>
      </c>
      <c r="AN47" s="1">
        <v>47</v>
      </c>
      <c r="AO47" s="1">
        <v>500</v>
      </c>
      <c r="AP47" s="1">
        <v>19897</v>
      </c>
      <c r="AQ47" s="1">
        <v>-336</v>
      </c>
      <c r="AS47" s="6">
        <f>IF(RTD("tos.rtd",,AS$43,"."&amp;$A$43&amp;$AS$42&amp;"C"&amp;$A47)="N/A",0,RTD("tos.rtd",,AS$43,"."&amp;$A$43&amp;$AS$42&amp;"C"&amp;$A47))</f>
        <v>4374</v>
      </c>
      <c r="AT47" s="7">
        <f>-IF(RTD("tos.rtd",,AT$43,"."&amp;$A$43&amp;$AS$42&amp;"P"&amp;$A47)="N/A",0,RTD("tos.rtd",,AT$43,"."&amp;$A$43&amp;$AS$42&amp;"P"&amp;$A47))</f>
        <v>-9</v>
      </c>
      <c r="AU47" s="6">
        <f>IF(RTD("tos.rtd",,AU$2,"."&amp;$A$43&amp;$AU$1&amp;"C"&amp;$A47)="N/A",0,RTD("tos.rtd",,AU$2,"."&amp;$A$43&amp;$AU$1&amp;"C"&amp;$A47))</f>
        <v>13017</v>
      </c>
      <c r="AV47" s="7">
        <f>-IF(RTD("tos.rtd",,AV$2,"."&amp;$A$43&amp;$AU$1&amp;"P"&amp;$A47)="N/A",0,RTD("tos.rtd",,AV$2,"."&amp;$A$43&amp;$AU$1&amp;"P"&amp;$A47))</f>
        <v>-98</v>
      </c>
      <c r="AW47" s="6">
        <f>IF(RTD("tos.rtd",,AW$2,"."&amp;$A$43&amp;$AW$1&amp;"C"&amp;$A47)="N/A",0,RTD("tos.rtd",,AW$2,"."&amp;$A$43&amp;$AW$1&amp;"C"&amp;$A47))</f>
        <v>55098</v>
      </c>
      <c r="AX47" s="7">
        <f>-IF(RTD("tos.rtd",,AX$2,"."&amp;$A$43&amp;$AW$1&amp;"P"&amp;$A47)="N/A",0,RTD("tos.rtd",,AX$2,"."&amp;$A$43&amp;$AW$1&amp;"P"&amp;$A47))</f>
        <v>-3037</v>
      </c>
      <c r="AY47" s="7">
        <f t="shared" si="276"/>
        <v>69345</v>
      </c>
      <c r="AZ47" s="8">
        <f t="shared" si="245"/>
        <v>500</v>
      </c>
      <c r="BA47" s="6">
        <f>IF(RTD("tos.rtd",,BA$43,"."&amp;$A$43&amp;$AS$42&amp;"C"&amp;$A47)="N/A",0,RTD("tos.rtd",,BA$43,"."&amp;$A$43&amp;$AS$42&amp;"C"&amp;$A47))</f>
        <v>0</v>
      </c>
      <c r="BB47" s="7">
        <f>-IF(RTD("tos.rtd",,BB$43,"."&amp;$A$43&amp;$AS$42&amp;"P"&amp;$A47)="N/A",0,RTD("tos.rtd",,BB$43,"."&amp;$A$43&amp;$AS$42&amp;"P"&amp;$A47))</f>
        <v>0</v>
      </c>
      <c r="BC47" s="6">
        <f>IF(RTD("tos.rtd",,BC$2,"."&amp;$A$43&amp;$AU$1&amp;"C"&amp;$A47)="N/A",0,RTD("tos.rtd",,BC$2,"."&amp;$A$43&amp;$AU$1&amp;"C"&amp;$A47))</f>
        <v>10725</v>
      </c>
      <c r="BD47" s="7">
        <f>-IF(RTD("tos.rtd",,BD$2,"."&amp;$A$43&amp;$AU$1&amp;"P"&amp;$A47)="N/A",0,RTD("tos.rtd",,BD$2,"."&amp;$A$43&amp;$AU$1&amp;"P"&amp;$A47))</f>
        <v>-464</v>
      </c>
      <c r="BE47" s="6">
        <f>IF(RTD("tos.rtd",,BE$2,"."&amp;$A$43&amp;$AW$1&amp;"C"&amp;$A47)="N/A",0,RTD("tos.rtd",,BE$2,"."&amp;$A$43&amp;$AW$1&amp;"C"&amp;$A47))</f>
        <v>14625</v>
      </c>
      <c r="BF47" s="7">
        <f>-IF(RTD("tos.rtd",,BF$2,"."&amp;$A$43&amp;$AW$1&amp;"P"&amp;$A47)="N/A",0,RTD("tos.rtd",,BF$2,"."&amp;$A$43&amp;$AW$1&amp;"P"&amp;$A47))</f>
        <v>-444</v>
      </c>
      <c r="BG47" s="32">
        <f ca="1">+Hoja2!Y48</f>
        <v>20393</v>
      </c>
      <c r="BH47" s="7">
        <f t="shared" ca="1" si="277"/>
        <v>44835</v>
      </c>
      <c r="BI47" s="8" t="str">
        <f t="shared" ref="BI47:BI79" ca="1" si="295">IF(AND(BH47&lt;0,BH46&gt;0), "Cruce -", IF(AND(BH47&gt;0,BH46&lt;0),"Cruce +", ""))</f>
        <v/>
      </c>
      <c r="BJ47" s="83" t="e">
        <f ca="1">IF($BP$1=1,DX47,IF(RTD("tos.rtd",,BJ$43,"."&amp;$A$43&amp;$AS$42&amp;"C"&amp;$A47)="N/A",0,RTD("tos.rtd",,BJ$43,"."&amp;$A$43&amp;$AS$42&amp;"C"&amp;$A47)))</f>
        <v>#NUM!</v>
      </c>
      <c r="BK47" s="83" t="e">
        <f ca="1">IF($BP$1=1,DY47,-IF(RTD("tos.rtd",,BK$43,"."&amp;$A$43&amp;$AS$42&amp;"P"&amp;$A47)="N/A",0,RTD("tos.rtd",,BK$43,"."&amp;$A$43&amp;$AS$42&amp;"P"&amp;$A47)))</f>
        <v>#NUM!</v>
      </c>
      <c r="BL47" s="83" t="e">
        <f ca="1">IF($BP$1=1,DZ47,IF(RTD("tos.rtd",,BL$2,"."&amp;$A$43&amp;$AU$1&amp;"C"&amp;$A47)="N/A",0,RTD("tos.rtd",,BL$2,"."&amp;$A$43&amp;$AU$1&amp;"C"&amp;$A47)))</f>
        <v>#NUM!</v>
      </c>
      <c r="BM47" s="83" t="e">
        <f ca="1">IF($BP$1=1,EA47,-IF(RTD("tos.rtd",,BM$2,"."&amp;$A$43&amp;$AU$1&amp;"P"&amp;$A47)="N/A",0,RTD("tos.rtd",,BM$2,"."&amp;$A$43&amp;$AU$1&amp;"P"&amp;$A47)))</f>
        <v>#NUM!</v>
      </c>
      <c r="BN47" s="83" t="e">
        <f ca="1">IF($BP$1=1,EB47,IF(RTD("tos.rtd",,BN$2,"."&amp;$A$43&amp;$AW$1&amp;"C"&amp;$A47)="N/A",0,RTD("tos.rtd",,BN$2,"."&amp;$A$43&amp;$AW$1&amp;"C"&amp;$A47)))</f>
        <v>#NUM!</v>
      </c>
      <c r="BO47" s="83" t="e">
        <f ca="1">IF($BP$1=1,EC47,-IF(RTD("tos.rtd",,BO$2,"."&amp;$A$43&amp;$AW$1&amp;"P"&amp;$A47)="N/A",0,RTD("tos.rtd",,BO$2,"."&amp;$A$43&amp;$AW$1&amp;"P"&amp;$A47)))</f>
        <v>#NUM!</v>
      </c>
      <c r="BQ47" s="83" t="e">
        <f t="shared" ca="1" si="278"/>
        <v>#NUM!</v>
      </c>
      <c r="BR47" s="3" t="e">
        <f t="shared" ca="1" si="279"/>
        <v>#NUM!</v>
      </c>
      <c r="BS47" s="83" t="e">
        <f t="shared" ca="1" si="280"/>
        <v>#NUM!</v>
      </c>
      <c r="BT47" s="3" t="e">
        <f t="shared" ca="1" si="281"/>
        <v>#NUM!</v>
      </c>
      <c r="BU47" s="83" t="e">
        <f t="shared" ca="1" si="282"/>
        <v>#NUM!</v>
      </c>
      <c r="BV47" s="83"/>
      <c r="BX47" s="83" t="e">
        <f t="shared" ca="1" si="283"/>
        <v>#NUM!</v>
      </c>
      <c r="BY47" s="83" t="e">
        <f t="shared" ref="BY47:CC79" ca="1" si="296">IF(AND(BX47&lt;0,BX46&gt;0), "Cruce -", IF(AND(BX47&gt;0,BX46&lt;0),"Cruce +", ""))</f>
        <v>#NUM!</v>
      </c>
      <c r="BZ47" s="83" t="e">
        <f t="shared" ca="1" si="284"/>
        <v>#NUM!</v>
      </c>
      <c r="CA47" s="83" t="e">
        <f t="shared" ca="1" si="296"/>
        <v>#NUM!</v>
      </c>
      <c r="CB47" s="83" t="e">
        <f t="shared" ca="1" si="285"/>
        <v>#NUM!</v>
      </c>
      <c r="CC47" s="83" t="e">
        <f t="shared" ca="1" si="296"/>
        <v>#NUM!</v>
      </c>
      <c r="CD47" s="83">
        <f>IF(RTD("tos.rtd",,CD$43,"."&amp;$A$43&amp;$AS$42&amp;"C"&amp;$A47)="N/A",0,RTD("tos.rtd",,CD$43,"."&amp;$A$43&amp;$AS$42&amp;"C"&amp;$A47))</f>
        <v>0.01</v>
      </c>
      <c r="CE47" s="83">
        <f>-IF(RTD("tos.rtd",,CE$43,"."&amp;$A$43&amp;$AS$42&amp;"P"&amp;$A47)="N/A",0,RTD("tos.rtd",,CE$43,"."&amp;$A$43&amp;$AS$42&amp;"P"&amp;$A47))</f>
        <v>0.56000000000000005</v>
      </c>
      <c r="CF47" s="83">
        <f>IF(RTD("tos.rtd",,CF$2,"."&amp;$A$43&amp;$AU$1&amp;"C"&amp;$A47)="N/A",0,RTD("tos.rtd",,CF$2,"."&amp;$A$43&amp;$AU$1&amp;"C"&amp;$A47))</f>
        <v>0.01</v>
      </c>
      <c r="CG47" s="83">
        <f>-IF(RTD("tos.rtd",,CG$2,"."&amp;$A$43&amp;$AU$1&amp;"P"&amp;$A47)="N/A",0,RTD("tos.rtd",,CG$2,"."&amp;$A$43&amp;$AU$1&amp;"P"&amp;$A47))</f>
        <v>0.56000000000000005</v>
      </c>
      <c r="CH47" s="83">
        <f>IF(RTD("tos.rtd",,CH$2,"."&amp;$A$43&amp;$AW$1&amp;"C"&amp;$A47)="N/A",0,RTD("tos.rtd",,CH$2,"."&amp;$A$43&amp;$AW$1&amp;"C"&amp;$A47))</f>
        <v>0.34</v>
      </c>
      <c r="CI47" s="83">
        <f>-IF(RTD("tos.rtd",,CI$2,"."&amp;$A$43&amp;$AW$1&amp;"P"&amp;$A47)="N/A",0,RTD("tos.rtd",,CI$2,"."&amp;$A$43&amp;$AW$1&amp;"P"&amp;$A47))</f>
        <v>0.54</v>
      </c>
      <c r="CK47" s="83">
        <f t="shared" si="286"/>
        <v>3870</v>
      </c>
      <c r="CL47" s="83"/>
      <c r="CM47" s="83">
        <f t="shared" si="287"/>
        <v>7529.0000000000018</v>
      </c>
      <c r="CN47" s="83"/>
      <c r="CO47" s="83">
        <f t="shared" si="288"/>
        <v>1709334</v>
      </c>
      <c r="CP47" s="83">
        <f t="shared" si="235"/>
        <v>1720733</v>
      </c>
      <c r="CQ47" s="83">
        <f t="shared" si="249"/>
        <v>0</v>
      </c>
      <c r="CR47" s="83"/>
      <c r="CS47" s="83">
        <f t="shared" si="250"/>
        <v>10261</v>
      </c>
      <c r="CT47" s="83"/>
      <c r="CU47" s="83">
        <f t="shared" si="251"/>
        <v>14181</v>
      </c>
      <c r="CV47" s="83"/>
      <c r="CW47" s="83" t="e">
        <f t="shared" ca="1" si="252"/>
        <v>#NUM!</v>
      </c>
      <c r="CY47" s="83" t="e">
        <f t="shared" ca="1" si="253"/>
        <v>#NUM!</v>
      </c>
      <c r="CZ47" s="70" t="e">
        <f t="shared" ref="CZ47:CZ79" ca="1" si="297">IF(AND(CY47&lt;0,CY46&gt;0), "Cruce -", IF(AND(CY47&gt;0,CY46&lt;0),"Cruce +", ""))</f>
        <v>#NUM!</v>
      </c>
      <c r="DA47" s="83">
        <f>IF(RTD("tos.rtd",,DA$43,"."&amp;$A$43&amp;$AS$42&amp;"C"&amp;$A47)="N/A",0,RTD("tos.rtd",,DA$43,"."&amp;$A$43&amp;$AS$42&amp;"C"&amp;$A47))</f>
        <v>0.01</v>
      </c>
      <c r="DB47" s="83">
        <f>IF(RTD("tos.rtd",,DB$43,"."&amp;$A$43&amp;$AS$42&amp;"P"&amp;$A47)="N/A",0,RTD("tos.rtd",,DB$43,"."&amp;$A$43&amp;$AS$42&amp;"P"&amp;$A47))</f>
        <v>11.59</v>
      </c>
      <c r="DC47" s="83">
        <f>IF(RTD("tos.rtd",,DC$43,"."&amp;$A$43&amp;$AS$42&amp;"C"&amp;$A47)="N/A",0,RTD("tos.rtd",,DC$43,"."&amp;$A$43&amp;$AS$42&amp;"C"&amp;$A47))</f>
        <v>0.01</v>
      </c>
      <c r="DD47" s="83">
        <f>IF(RTD("tos.rtd",,DD$43,"."&amp;$A$43&amp;$AS$42&amp;"P"&amp;$A47)="N/A",0,RTD("tos.rtd",,DD$43,"."&amp;$A$43&amp;$AS$42&amp;"P"&amp;$A47))</f>
        <v>13.36</v>
      </c>
      <c r="DE47" s="83">
        <f>IF(RTD("tos.rtd",,DE$43,"."&amp;$A$43&amp;$AS$42&amp;"C"&amp;$A47)="N/A",0,RTD("tos.rtd",,DE$43,"."&amp;$A$43&amp;$AS$42&amp;"C"&amp;$A47))</f>
        <v>0</v>
      </c>
      <c r="DF47" s="83">
        <f>IF(RTD("tos.rtd",,DF$43,"."&amp;$A$43&amp;$AS$42&amp;"P"&amp;$A47)="N/A",0,RTD("tos.rtd",,DF$43,"."&amp;$A$43&amp;$AS$42&amp;"P"&amp;$A47))</f>
        <v>9.81</v>
      </c>
      <c r="DG47" s="86">
        <f t="shared" si="289"/>
        <v>4.2200000000000273</v>
      </c>
      <c r="DH47" s="83">
        <f t="shared" si="254"/>
        <v>-19897</v>
      </c>
      <c r="DI47" s="83">
        <f t="shared" si="255"/>
        <v>168.47323943661971</v>
      </c>
      <c r="DJ47" s="83">
        <f t="shared" si="256"/>
        <v>-19897</v>
      </c>
      <c r="DK47" s="83">
        <f t="shared" si="257"/>
        <v>0</v>
      </c>
      <c r="DL47" s="83">
        <f t="shared" si="258"/>
        <v>-19728.526760563382</v>
      </c>
      <c r="DM47" s="83">
        <f t="shared" si="259"/>
        <v>-19897</v>
      </c>
      <c r="DN47" s="64" t="str">
        <f t="shared" si="260"/>
        <v>UNKNOWN</v>
      </c>
      <c r="DO47" s="64" t="str">
        <f t="shared" si="261"/>
        <v>UNKNOWN</v>
      </c>
      <c r="DP47" s="83">
        <f t="shared" si="262"/>
        <v>1753.6348450704224</v>
      </c>
      <c r="DQ47" s="83">
        <f t="shared" si="263"/>
        <v>-198.97</v>
      </c>
      <c r="DR47" s="83" t="e">
        <f t="shared" ca="1" si="264"/>
        <v>#NUM!</v>
      </c>
      <c r="DS47" s="83">
        <f t="shared" si="265"/>
        <v>-198.97</v>
      </c>
      <c r="DT47" s="83">
        <f t="shared" si="290"/>
        <v>-19897</v>
      </c>
      <c r="DU47" s="83">
        <f t="shared" si="291"/>
        <v>336</v>
      </c>
      <c r="DV47" s="83">
        <f t="shared" si="266"/>
        <v>7335</v>
      </c>
      <c r="DW47" s="83">
        <f t="shared" si="267"/>
        <v>47</v>
      </c>
      <c r="DX47" s="83" t="e">
        <f ca="1">(EXP(-POWER((LN($A$44/$A47)+($EC$1+POWER($EE47,2)/2)*($EM$1/$DY$1))/($EE47*SQRT($EM$1/$DY$1)),2)/2)/SQRT(2*PI())/($A$44*$EE47*SQRT($EM$1/$DY$1)))</f>
        <v>#NUM!</v>
      </c>
      <c r="DY47" s="83" t="e">
        <f ca="1">-(EXP(-POWER((LN($A$44/$A47)+($EC$1+POWER($EF47,2)/2)*($EM$1/$DY$1))/($EF47*SQRT($EM$1/$DY$1)),2)/2)/SQRT(2*PI())/($A$44*$EF47*SQRT($EM$1/$DY$1)))</f>
        <v>#NUM!</v>
      </c>
      <c r="DZ47" s="83" t="e">
        <f ca="1">(EXP(-POWER((LN($A$44/$A47)+($EC$1+POWER($EG47,2)/2)*($EO$1/$DY$1))/($EG47*SQRT($EO$1/$DY$1)),2)/2)/SQRT(2*PI())/($A$44*$EG47*SQRT($EO$1/$DY$1)))</f>
        <v>#NUM!</v>
      </c>
      <c r="EA47" s="83" t="e">
        <f ca="1">-(EXP(-POWER((LN($A$44/$A47)+($EC$1+POWER($EH47,2)/2)*($EO$1/$DY$1))/($EH47*SQRT($EO$1/$DY$1)),2)/2)/SQRT(2*PI())/($A$44*$EH47*SQRT($EO$1/$DY$1)))</f>
        <v>#NUM!</v>
      </c>
      <c r="EB47" s="83" t="e">
        <f ca="1">(EXP(-POWER((LN($A$44/$A47)+($EC$1+POWER($EI47,2)/2)*($EO$1/$DY$1))/($EI47*SQRT($EO$1/$DY$1)),2)/2)/SQRT(2*PI())/($A$44*$EI47*SQRT($EO$1/$DY$1)))</f>
        <v>#NUM!</v>
      </c>
      <c r="EC47" s="83" t="e">
        <f ca="1">-(EXP(-POWER((LN($A$44/$A47)+($EC$1+POWER($EJ47,2)/2)*($EO$1/$DY$1))/($EJ47*SQRT($EO$1/$DY$1)),2)/2)/SQRT(2*PI())/($A$44*$EJ47*SQRT($EO$1/$DY$1)))</f>
        <v>#NUM!</v>
      </c>
      <c r="ED47" s="63">
        <f t="shared" si="292"/>
        <v>7382</v>
      </c>
      <c r="EE47" s="84">
        <f t="shared" si="268"/>
        <v>0.47</v>
      </c>
      <c r="EF47" s="84">
        <f t="shared" si="269"/>
        <v>6.2164999999999999</v>
      </c>
      <c r="EG47" s="84">
        <f t="shared" si="270"/>
        <v>0.47</v>
      </c>
      <c r="EH47" s="84">
        <f t="shared" si="271"/>
        <v>6.5349000000000004</v>
      </c>
      <c r="EI47" s="84">
        <f t="shared" si="272"/>
        <v>0.16289999999999999</v>
      </c>
      <c r="EJ47" s="84">
        <f t="shared" si="273"/>
        <v>0.52649999999999997</v>
      </c>
      <c r="EK47" s="63" t="e">
        <f t="shared" ca="1" si="293"/>
        <v>#NUM!</v>
      </c>
      <c r="EL47" s="83" t="str">
        <f>RTD("tos.rtd",,EL$43,"."&amp;$A$43&amp;$AS$42&amp;"C"&amp;$A47)</f>
        <v>47.00%</v>
      </c>
      <c r="EM47" s="83" t="str">
        <f>RTD("tos.rtd",,EM$43,"."&amp;$A$43&amp;$AS$42&amp;"P"&amp;$A47)</f>
        <v>621.65%</v>
      </c>
      <c r="EN47" s="83" t="str">
        <f>RTD("tos.rtd",,EN$2,"."&amp;$A$43&amp;$AU$1&amp;"C"&amp;$A47)</f>
        <v>47.00%</v>
      </c>
      <c r="EO47" s="83" t="str">
        <f>RTD("tos.rtd",,EO$2,"."&amp;$A$43&amp;$AU$1&amp;"P"&amp;$A47)</f>
        <v>653.49%</v>
      </c>
      <c r="EP47" s="83" t="str">
        <f>RTD("tos.rtd",,EP$2,"."&amp;$A$43&amp;$AW$1&amp;"C"&amp;$A47)</f>
        <v>16.29%</v>
      </c>
      <c r="EQ47" s="83" t="str">
        <f>RTD("tos.rtd",,EQ$2,"."&amp;$A$43&amp;$AW$1&amp;"P"&amp;$A47)</f>
        <v>52.65%</v>
      </c>
      <c r="ES47" s="63" t="str">
        <f t="shared" si="274"/>
        <v>500,7382.00</v>
      </c>
      <c r="ET47" s="63" t="str">
        <f t="shared" ca="1" si="275"/>
        <v>500,00.00</v>
      </c>
      <c r="EU47" s="67">
        <v>561.29</v>
      </c>
      <c r="EV47" s="67" t="s">
        <v>395</v>
      </c>
      <c r="EW47" s="67">
        <v>483.69</v>
      </c>
      <c r="EX47" s="67" t="s">
        <v>396</v>
      </c>
      <c r="EY47" s="67">
        <v>5631.28</v>
      </c>
      <c r="EZ47" s="67" t="s">
        <v>397</v>
      </c>
      <c r="FA47" s="67">
        <v>19867.973000000002</v>
      </c>
      <c r="FB47" s="67" t="s">
        <v>398</v>
      </c>
      <c r="FC47" s="67" t="s">
        <v>399</v>
      </c>
      <c r="FD47" s="67" t="s">
        <v>400</v>
      </c>
      <c r="FE47" s="68" t="s">
        <v>401</v>
      </c>
      <c r="FF47" s="68" t="s">
        <v>402</v>
      </c>
    </row>
    <row r="48" spans="1:162" ht="13.5" thickBot="1" x14ac:dyDescent="0.25">
      <c r="A48" s="2">
        <f t="shared" si="294"/>
        <v>499</v>
      </c>
      <c r="B48" s="3">
        <f t="shared" si="241"/>
        <v>901</v>
      </c>
      <c r="C48" s="3">
        <f t="shared" si="242"/>
        <v>2539</v>
      </c>
      <c r="D48" s="3">
        <f t="shared" si="243"/>
        <v>787</v>
      </c>
      <c r="E48" s="3">
        <f t="shared" si="244"/>
        <v>4227</v>
      </c>
      <c r="F48" s="4">
        <f t="shared" ref="F48:F79" si="298">+$F$44/$A$44*A48</f>
        <v>20588.103090080276</v>
      </c>
      <c r="AM48" s="1">
        <v>1058</v>
      </c>
      <c r="AN48" s="1">
        <v>-171</v>
      </c>
      <c r="AO48" s="1">
        <v>499</v>
      </c>
      <c r="AP48" s="1">
        <v>6133</v>
      </c>
      <c r="AQ48" s="1">
        <v>-265</v>
      </c>
      <c r="AS48" s="6">
        <f>IF(RTD("tos.rtd",,AS$43,"."&amp;$A$43&amp;$AS$42&amp;"C"&amp;$A48)="N/A",0,RTD("tos.rtd",,AS$43,"."&amp;$A$43&amp;$AS$42&amp;"C"&amp;$A48))</f>
        <v>885</v>
      </c>
      <c r="AT48" s="7">
        <f>-IF(RTD("tos.rtd",,AT$43,"."&amp;$A$43&amp;$AS$42&amp;"P"&amp;$A48)="N/A",0,RTD("tos.rtd",,AT$43,"."&amp;$A$43&amp;$AS$42&amp;"P"&amp;$A48))</f>
        <v>-16</v>
      </c>
      <c r="AU48" s="6">
        <f>IF(RTD("tos.rtd",,AU$2,"."&amp;$A$43&amp;$AU$1&amp;"C"&amp;$A48)="N/A",0,RTD("tos.rtd",,AU$2,"."&amp;$A$43&amp;$AU$1&amp;"C"&amp;$A48))</f>
        <v>2492</v>
      </c>
      <c r="AV48" s="7">
        <f>-IF(RTD("tos.rtd",,AV$2,"."&amp;$A$43&amp;$AU$1&amp;"P"&amp;$A48)="N/A",0,RTD("tos.rtd",,AV$2,"."&amp;$A$43&amp;$AU$1&amp;"P"&amp;$A48))</f>
        <v>-47</v>
      </c>
      <c r="AW48" s="6">
        <f>IF(RTD("tos.rtd",,AW$2,"."&amp;$A$43&amp;$AW$1&amp;"C"&amp;$A48)="N/A",0,RTD("tos.rtd",,AW$2,"."&amp;$A$43&amp;$AW$1&amp;"C"&amp;$A48))</f>
        <v>784</v>
      </c>
      <c r="AX48" s="7">
        <f>-IF(RTD("tos.rtd",,AX$2,"."&amp;$A$43&amp;$AW$1&amp;"P"&amp;$A48)="N/A",0,RTD("tos.rtd",,AX$2,"."&amp;$A$43&amp;$AW$1&amp;"P"&amp;$A48))</f>
        <v>-3</v>
      </c>
      <c r="AY48" s="7">
        <f t="shared" si="276"/>
        <v>4095</v>
      </c>
      <c r="AZ48" s="8">
        <f t="shared" si="245"/>
        <v>499</v>
      </c>
      <c r="BA48" s="6">
        <f>IF(RTD("tos.rtd",,BA$43,"."&amp;$A$43&amp;$AS$42&amp;"C"&amp;$A48)="N/A",0,RTD("tos.rtd",,BA$43,"."&amp;$A$43&amp;$AS$42&amp;"C"&amp;$A48))</f>
        <v>0</v>
      </c>
      <c r="BB48" s="7">
        <f>-IF(RTD("tos.rtd",,BB$43,"."&amp;$A$43&amp;$AS$42&amp;"P"&amp;$A48)="N/A",0,RTD("tos.rtd",,BB$43,"."&amp;$A$43&amp;$AS$42&amp;"P"&amp;$A48))</f>
        <v>0</v>
      </c>
      <c r="BC48" s="6">
        <f>IF(RTD("tos.rtd",,BC$2,"."&amp;$A$43&amp;$AU$1&amp;"C"&amp;$A48)="N/A",0,RTD("tos.rtd",,BC$2,"."&amp;$A$43&amp;$AU$1&amp;"C"&amp;$A48))</f>
        <v>3314</v>
      </c>
      <c r="BD48" s="7">
        <f>-IF(RTD("tos.rtd",,BD$2,"."&amp;$A$43&amp;$AU$1&amp;"P"&amp;$A48)="N/A",0,RTD("tos.rtd",,BD$2,"."&amp;$A$43&amp;$AU$1&amp;"P"&amp;$A48))</f>
        <v>-50</v>
      </c>
      <c r="BE48" s="6">
        <f>IF(RTD("tos.rtd",,BE$2,"."&amp;$A$43&amp;$AW$1&amp;"C"&amp;$A48)="N/A",0,RTD("tos.rtd",,BE$2,"."&amp;$A$43&amp;$AW$1&amp;"C"&amp;$A48))</f>
        <v>666</v>
      </c>
      <c r="BF48" s="7">
        <f>-IF(RTD("tos.rtd",,BF$2,"."&amp;$A$43&amp;$AW$1&amp;"P"&amp;$A48)="N/A",0,RTD("tos.rtd",,BF$2,"."&amp;$A$43&amp;$AW$1&amp;"P"&amp;$A48))</f>
        <v>-50</v>
      </c>
      <c r="BG48" s="32">
        <f ca="1">+Hoja2!Y49</f>
        <v>-226</v>
      </c>
      <c r="BH48" s="7">
        <f t="shared" ca="1" si="277"/>
        <v>3654</v>
      </c>
      <c r="BI48" s="8" t="str">
        <f t="shared" ca="1" si="295"/>
        <v/>
      </c>
      <c r="BJ48" s="83" t="e">
        <f ca="1">IF($BP$1=1,DX48,IF(RTD("tos.rtd",,BJ$43,"."&amp;$A$43&amp;$AS$42&amp;"C"&amp;$A48)="N/A",0,RTD("tos.rtd",,BJ$43,"."&amp;$A$43&amp;$AS$42&amp;"C"&amp;$A48)))</f>
        <v>#NUM!</v>
      </c>
      <c r="BK48" s="83" t="e">
        <f ca="1">IF($BP$1=1,DY48,-IF(RTD("tos.rtd",,BK$43,"."&amp;$A$43&amp;$AS$42&amp;"P"&amp;$A48)="N/A",0,RTD("tos.rtd",,BK$43,"."&amp;$A$43&amp;$AS$42&amp;"P"&amp;$A48)))</f>
        <v>#NUM!</v>
      </c>
      <c r="BL48" s="83" t="e">
        <f ca="1">IF($BP$1=1,DZ48,IF(RTD("tos.rtd",,BL$2,"."&amp;$A$43&amp;$AU$1&amp;"C"&amp;$A48)="N/A",0,RTD("tos.rtd",,BL$2,"."&amp;$A$43&amp;$AU$1&amp;"C"&amp;$A48)))</f>
        <v>#NUM!</v>
      </c>
      <c r="BM48" s="83" t="e">
        <f ca="1">IF($BP$1=1,EA48,-IF(RTD("tos.rtd",,BM$2,"."&amp;$A$43&amp;$AU$1&amp;"P"&amp;$A48)="N/A",0,RTD("tos.rtd",,BM$2,"."&amp;$A$43&amp;$AU$1&amp;"P"&amp;$A48)))</f>
        <v>#NUM!</v>
      </c>
      <c r="BN48" s="83" t="e">
        <f ca="1">IF($BP$1=1,EB48,IF(RTD("tos.rtd",,BN$2,"."&amp;$A$43&amp;$AW$1&amp;"C"&amp;$A48)="N/A",0,RTD("tos.rtd",,BN$2,"."&amp;$A$43&amp;$AW$1&amp;"C"&amp;$A48)))</f>
        <v>#NUM!</v>
      </c>
      <c r="BO48" s="83" t="e">
        <f ca="1">IF($BP$1=1,EC48,-IF(RTD("tos.rtd",,BO$2,"."&amp;$A$43&amp;$AW$1&amp;"P"&amp;$A48)="N/A",0,RTD("tos.rtd",,BO$2,"."&amp;$A$43&amp;$AW$1&amp;"P"&amp;$A48)))</f>
        <v>#NUM!</v>
      </c>
      <c r="BQ48" s="83" t="e">
        <f t="shared" ca="1" si="278"/>
        <v>#NUM!</v>
      </c>
      <c r="BR48" s="3" t="e">
        <f t="shared" ca="1" si="279"/>
        <v>#NUM!</v>
      </c>
      <c r="BS48" s="83" t="e">
        <f t="shared" ca="1" si="280"/>
        <v>#NUM!</v>
      </c>
      <c r="BT48" s="3" t="e">
        <f t="shared" ca="1" si="281"/>
        <v>#NUM!</v>
      </c>
      <c r="BU48" s="83" t="e">
        <f t="shared" ca="1" si="282"/>
        <v>#NUM!</v>
      </c>
      <c r="BV48" s="83"/>
      <c r="BX48" s="83" t="e">
        <f t="shared" ca="1" si="283"/>
        <v>#NUM!</v>
      </c>
      <c r="BY48" s="83" t="e">
        <f t="shared" ca="1" si="296"/>
        <v>#NUM!</v>
      </c>
      <c r="BZ48" s="83" t="e">
        <f t="shared" ca="1" si="284"/>
        <v>#NUM!</v>
      </c>
      <c r="CA48" s="83" t="e">
        <f t="shared" ca="1" si="296"/>
        <v>#NUM!</v>
      </c>
      <c r="CB48" s="83" t="e">
        <f t="shared" ca="1" si="285"/>
        <v>#NUM!</v>
      </c>
      <c r="CC48" s="83" t="e">
        <f t="shared" ca="1" si="296"/>
        <v>#NUM!</v>
      </c>
      <c r="CD48" s="83">
        <f>IF(RTD("tos.rtd",,CD$43,"."&amp;$A$43&amp;$AS$42&amp;"C"&amp;$A48)="N/A",0,RTD("tos.rtd",,CD$43,"."&amp;$A$43&amp;$AS$42&amp;"C"&amp;$A48))</f>
        <v>0.01</v>
      </c>
      <c r="CE48" s="83">
        <f>-IF(RTD("tos.rtd",,CE$43,"."&amp;$A$43&amp;$AS$42&amp;"P"&amp;$A48)="N/A",0,RTD("tos.rtd",,CE$43,"."&amp;$A$43&amp;$AS$42&amp;"P"&amp;$A48))</f>
        <v>0.55000000000000004</v>
      </c>
      <c r="CF48" s="83">
        <f>IF(RTD("tos.rtd",,CF$2,"."&amp;$A$43&amp;$AU$1&amp;"C"&amp;$A48)="N/A",0,RTD("tos.rtd",,CF$2,"."&amp;$A$43&amp;$AU$1&amp;"C"&amp;$A48))</f>
        <v>0.01</v>
      </c>
      <c r="CG48" s="83">
        <f>-IF(RTD("tos.rtd",,CG$2,"."&amp;$A$43&amp;$AU$1&amp;"P"&amp;$A48)="N/A",0,RTD("tos.rtd",,CG$2,"."&amp;$A$43&amp;$AU$1&amp;"P"&amp;$A48))</f>
        <v>0.55000000000000004</v>
      </c>
      <c r="CH48" s="83">
        <f>IF(RTD("tos.rtd",,CH$2,"."&amp;$A$43&amp;$AW$1&amp;"C"&amp;$A48)="N/A",0,RTD("tos.rtd",,CH$2,"."&amp;$A$43&amp;$AW$1&amp;"C"&amp;$A48))</f>
        <v>0.38</v>
      </c>
      <c r="CI48" s="83">
        <f>-IF(RTD("tos.rtd",,CI$2,"."&amp;$A$43&amp;$AW$1&amp;"P"&amp;$A48)="N/A",0,RTD("tos.rtd",,CI$2,"."&amp;$A$43&amp;$AW$1&amp;"P"&amp;$A48))</f>
        <v>0.53</v>
      </c>
      <c r="CK48" s="83">
        <f t="shared" si="286"/>
        <v>4.9999999999998863</v>
      </c>
      <c r="CL48" s="83"/>
      <c r="CM48" s="83">
        <f t="shared" si="287"/>
        <v>-93</v>
      </c>
      <c r="CN48" s="83"/>
      <c r="CO48" s="83">
        <f t="shared" si="288"/>
        <v>29633</v>
      </c>
      <c r="CP48" s="83">
        <f t="shared" si="235"/>
        <v>29545</v>
      </c>
      <c r="CQ48" s="83">
        <f t="shared" si="249"/>
        <v>0</v>
      </c>
      <c r="CR48" s="83"/>
      <c r="CS48" s="83">
        <f t="shared" si="250"/>
        <v>3264</v>
      </c>
      <c r="CT48" s="83"/>
      <c r="CU48" s="83">
        <f t="shared" si="251"/>
        <v>616</v>
      </c>
      <c r="CV48" s="83"/>
      <c r="CW48" s="83" t="e">
        <f t="shared" ca="1" si="252"/>
        <v>#NUM!</v>
      </c>
      <c r="CY48" s="83" t="e">
        <f t="shared" ca="1" si="253"/>
        <v>#NUM!</v>
      </c>
      <c r="CZ48" s="70" t="e">
        <f t="shared" ca="1" si="297"/>
        <v>#NUM!</v>
      </c>
      <c r="DA48" s="83">
        <f>IF(RTD("tos.rtd",,DA$43,"."&amp;$A$43&amp;$AS$42&amp;"C"&amp;$A48)="N/A",0,RTD("tos.rtd",,DA$43,"."&amp;$A$43&amp;$AS$42&amp;"C"&amp;$A48))</f>
        <v>0.01</v>
      </c>
      <c r="DB48" s="83">
        <f>IF(RTD("tos.rtd",,DB$43,"."&amp;$A$43&amp;$AS$42&amp;"P"&amp;$A48)="N/A",0,RTD("tos.rtd",,DB$43,"."&amp;$A$43&amp;$AS$42&amp;"P"&amp;$A48))</f>
        <v>10.1</v>
      </c>
      <c r="DC48" s="83">
        <f>IF(RTD("tos.rtd",,DC$43,"."&amp;$A$43&amp;$AS$42&amp;"C"&amp;$A48)="N/A",0,RTD("tos.rtd",,DC$43,"."&amp;$A$43&amp;$AS$42&amp;"C"&amp;$A48))</f>
        <v>0.01</v>
      </c>
      <c r="DD48" s="83">
        <f>IF(RTD("tos.rtd",,DD$43,"."&amp;$A$43&amp;$AS$42&amp;"P"&amp;$A48)="N/A",0,RTD("tos.rtd",,DD$43,"."&amp;$A$43&amp;$AS$42&amp;"P"&amp;$A48))</f>
        <v>12.3</v>
      </c>
      <c r="DE48" s="83">
        <f>IF(RTD("tos.rtd",,DE$43,"."&amp;$A$43&amp;$AS$42&amp;"C"&amp;$A48)="N/A",0,RTD("tos.rtd",,DE$43,"."&amp;$A$43&amp;$AS$42&amp;"C"&amp;$A48))</f>
        <v>0</v>
      </c>
      <c r="DF48" s="83">
        <f>IF(RTD("tos.rtd",,DF$43,"."&amp;$A$43&amp;$AS$42&amp;"P"&amp;$A48)="N/A",0,RTD("tos.rtd",,DF$43,"."&amp;$A$43&amp;$AS$42&amp;"P"&amp;$A48))</f>
        <v>8.81</v>
      </c>
      <c r="DG48" s="86">
        <f t="shared" si="289"/>
        <v>3.2200000000000273</v>
      </c>
      <c r="DH48" s="83">
        <f t="shared" si="254"/>
        <v>-6133</v>
      </c>
      <c r="DI48" s="83">
        <f t="shared" si="255"/>
        <v>97.951289398280721</v>
      </c>
      <c r="DJ48" s="83">
        <f t="shared" si="256"/>
        <v>-6133</v>
      </c>
      <c r="DK48" s="83">
        <f t="shared" si="257"/>
        <v>-265</v>
      </c>
      <c r="DL48" s="83">
        <f t="shared" si="258"/>
        <v>-6035.048710601719</v>
      </c>
      <c r="DM48" s="83">
        <f t="shared" si="259"/>
        <v>-6398</v>
      </c>
      <c r="DN48" s="64" t="str">
        <f t="shared" si="260"/>
        <v>UNKNOWN</v>
      </c>
      <c r="DO48" s="64" t="str">
        <f t="shared" si="261"/>
        <v>UNKNOWN</v>
      </c>
      <c r="DP48" s="83">
        <f t="shared" si="262"/>
        <v>927.9780229226352</v>
      </c>
      <c r="DQ48" s="83">
        <f t="shared" si="263"/>
        <v>-2737.83</v>
      </c>
      <c r="DR48" s="83" t="e">
        <f t="shared" ca="1" si="264"/>
        <v>#NUM!</v>
      </c>
      <c r="DS48" s="83">
        <f t="shared" si="265"/>
        <v>-207.07999999999998</v>
      </c>
      <c r="DT48" s="83">
        <f t="shared" si="290"/>
        <v>-6133</v>
      </c>
      <c r="DU48" s="83">
        <f t="shared" si="291"/>
        <v>265</v>
      </c>
      <c r="DV48" s="83">
        <f t="shared" si="266"/>
        <v>1058</v>
      </c>
      <c r="DW48" s="83">
        <f t="shared" si="267"/>
        <v>-171</v>
      </c>
      <c r="DX48" s="83" t="e">
        <f ca="1">(EXP(-POWER((LN($A$44/$A48)+($EC$1+POWER($EE48,2)/2)*($EM$1/$DY$1))/($EE48*SQRT($EM$1/$DY$1)),2)/2)/SQRT(2*PI())/($A$44*$EE48*SQRT($EM$1/$DY$1)))</f>
        <v>#NUM!</v>
      </c>
      <c r="DY48" s="83" t="e">
        <f ca="1">-(EXP(-POWER((LN($A$44/$A48)+($EC$1+POWER($EF48,2)/2)*($EM$1/$DY$1))/($EF48*SQRT($EM$1/$DY$1)),2)/2)/SQRT(2*PI())/($A$44*$EF48*SQRT($EM$1/$DY$1)))</f>
        <v>#NUM!</v>
      </c>
      <c r="DZ48" s="83" t="e">
        <f ca="1">(EXP(-POWER((LN($A$44/$A48)+($EC$1+POWER($EG48,2)/2)*($EO$1/$DY$1))/($EG48*SQRT($EO$1/$DY$1)),2)/2)/SQRT(2*PI())/($A$44*$EG48*SQRT($EO$1/$DY$1)))</f>
        <v>#NUM!</v>
      </c>
      <c r="EA48" s="83" t="e">
        <f ca="1">-(EXP(-POWER((LN($A$44/$A48)+($EC$1+POWER($EH48,2)/2)*($EO$1/$DY$1))/($EH48*SQRT($EO$1/$DY$1)),2)/2)/SQRT(2*PI())/($A$44*$EH48*SQRT($EO$1/$DY$1)))</f>
        <v>#NUM!</v>
      </c>
      <c r="EB48" s="83" t="e">
        <f ca="1">(EXP(-POWER((LN($A$44/$A48)+($EC$1+POWER($EI48,2)/2)*($EO$1/$DY$1))/($EI48*SQRT($EO$1/$DY$1)),2)/2)/SQRT(2*PI())/($A$44*$EI48*SQRT($EO$1/$DY$1)))</f>
        <v>#NUM!</v>
      </c>
      <c r="EC48" s="83" t="e">
        <f ca="1">-(EXP(-POWER((LN($A$44/$A48)+($EC$1+POWER($EJ48,2)/2)*($EO$1/$DY$1))/($EJ48*SQRT($EO$1/$DY$1)),2)/2)/SQRT(2*PI())/($A$44*$EJ48*SQRT($EO$1/$DY$1)))</f>
        <v>#NUM!</v>
      </c>
      <c r="ED48" s="63">
        <f t="shared" si="292"/>
        <v>887</v>
      </c>
      <c r="EE48" s="84">
        <f t="shared" si="268"/>
        <v>0.37140000000000001</v>
      </c>
      <c r="EF48" s="84">
        <f t="shared" si="269"/>
        <v>5.9080000000000004</v>
      </c>
      <c r="EG48" s="84">
        <f t="shared" si="270"/>
        <v>0.37140000000000001</v>
      </c>
      <c r="EH48" s="84">
        <f t="shared" si="271"/>
        <v>6.2450999999999999</v>
      </c>
      <c r="EI48" s="84">
        <f t="shared" si="272"/>
        <v>0.15890000000000001</v>
      </c>
      <c r="EJ48" s="84">
        <f t="shared" si="273"/>
        <v>0.50849999999999995</v>
      </c>
      <c r="EK48" s="63" t="e">
        <f t="shared" ca="1" si="293"/>
        <v>#NUM!</v>
      </c>
      <c r="EL48" s="83" t="str">
        <f>RTD("tos.rtd",,EL$43,"."&amp;$A$43&amp;$AS$42&amp;"C"&amp;$A48)</f>
        <v>37.14%</v>
      </c>
      <c r="EM48" s="83" t="str">
        <f>RTD("tos.rtd",,EM$43,"."&amp;$A$43&amp;$AS$42&amp;"P"&amp;$A48)</f>
        <v>590.80%</v>
      </c>
      <c r="EN48" s="83" t="str">
        <f>RTD("tos.rtd",,EN$2,"."&amp;$A$43&amp;$AU$1&amp;"C"&amp;$A48)</f>
        <v>37.14%</v>
      </c>
      <c r="EO48" s="83" t="str">
        <f>RTD("tos.rtd",,EO$2,"."&amp;$A$43&amp;$AU$1&amp;"P"&amp;$A48)</f>
        <v>624.51%</v>
      </c>
      <c r="EP48" s="83" t="str">
        <f>RTD("tos.rtd",,EP$2,"."&amp;$A$43&amp;$AW$1&amp;"C"&amp;$A48)</f>
        <v>15.89%</v>
      </c>
      <c r="EQ48" s="83" t="str">
        <f>RTD("tos.rtd",,EQ$2,"."&amp;$A$43&amp;$AW$1&amp;"P"&amp;$A48)</f>
        <v>50.85%</v>
      </c>
      <c r="ES48" s="63" t="str">
        <f t="shared" si="274"/>
        <v>499,887.00</v>
      </c>
      <c r="ET48" s="63" t="str">
        <f t="shared" ca="1" si="275"/>
        <v>499,00.00</v>
      </c>
      <c r="EU48" s="67">
        <v>561.32000000000005</v>
      </c>
      <c r="EV48" s="67" t="s">
        <v>403</v>
      </c>
      <c r="EW48" s="67">
        <v>483.69</v>
      </c>
      <c r="EX48" s="67" t="s">
        <v>404</v>
      </c>
      <c r="EY48" s="67">
        <v>5631.28</v>
      </c>
      <c r="EZ48" s="67" t="s">
        <v>405</v>
      </c>
      <c r="FA48" s="67">
        <v>19867.973000000002</v>
      </c>
      <c r="FB48" s="67" t="s">
        <v>406</v>
      </c>
      <c r="FC48" s="67" t="s">
        <v>407</v>
      </c>
      <c r="FD48" s="67" t="s">
        <v>408</v>
      </c>
      <c r="FE48" s="68" t="s">
        <v>409</v>
      </c>
      <c r="FF48" s="68" t="s">
        <v>410</v>
      </c>
    </row>
    <row r="49" spans="1:162" ht="13.5" thickBot="1" x14ac:dyDescent="0.25">
      <c r="A49" s="2">
        <f t="shared" si="294"/>
        <v>498</v>
      </c>
      <c r="B49" s="3">
        <f t="shared" ref="B49:B56" si="299">+IF($A$1="ABS",AS49-AT49,AS49+AT49)</f>
        <v>1072</v>
      </c>
      <c r="C49" s="3">
        <f t="shared" ref="C49:C56" si="300">+IF($A$1="ABS",AU49-AV49,AU49+AV49)</f>
        <v>2626</v>
      </c>
      <c r="D49" s="3">
        <f t="shared" ref="D49:D56" si="301">+IF($A$1="ABS",AW49-AX49,AW49+AX49)</f>
        <v>1570</v>
      </c>
      <c r="E49" s="3">
        <f t="shared" ref="E49:E56" si="302">SUM(B49:D49)</f>
        <v>5268</v>
      </c>
      <c r="F49" s="4">
        <f t="shared" ref="F49:F56" si="303">+$F$44/$A$44*A49</f>
        <v>20546.84436645286</v>
      </c>
      <c r="AM49" s="1">
        <v>-1156</v>
      </c>
      <c r="AN49" s="1">
        <v>-182</v>
      </c>
      <c r="AO49" s="1">
        <v>498</v>
      </c>
      <c r="AP49" s="1">
        <v>12035</v>
      </c>
      <c r="AQ49" s="1">
        <v>-412</v>
      </c>
      <c r="AS49" s="6">
        <f>IF(RTD("tos.rtd",,AS$43,"."&amp;$A$43&amp;$AS$42&amp;"C"&amp;$A49)="N/A",0,RTD("tos.rtd",,AS$43,"."&amp;$A$43&amp;$AS$42&amp;"C"&amp;$A49))</f>
        <v>1066</v>
      </c>
      <c r="AT49" s="7">
        <f>-IF(RTD("tos.rtd",,AT$43,"."&amp;$A$43&amp;$AS$42&amp;"P"&amp;$A49)="N/A",0,RTD("tos.rtd",,AT$43,"."&amp;$A$43&amp;$AS$42&amp;"P"&amp;$A49))</f>
        <v>-6</v>
      </c>
      <c r="AU49" s="6">
        <f>IF(RTD("tos.rtd",,AU$2,"."&amp;$A$43&amp;$AU$1&amp;"C"&amp;$A49)="N/A",0,RTD("tos.rtd",,AU$2,"."&amp;$A$43&amp;$AU$1&amp;"C"&amp;$A49))</f>
        <v>2562</v>
      </c>
      <c r="AV49" s="7">
        <f>-IF(RTD("tos.rtd",,AV$2,"."&amp;$A$43&amp;$AU$1&amp;"P"&amp;$A49)="N/A",0,RTD("tos.rtd",,AV$2,"."&amp;$A$43&amp;$AU$1&amp;"P"&amp;$A49))</f>
        <v>-64</v>
      </c>
      <c r="AW49" s="6">
        <f>IF(RTD("tos.rtd",,AW$2,"."&amp;$A$43&amp;$AW$1&amp;"C"&amp;$A49)="N/A",0,RTD("tos.rtd",,AW$2,"."&amp;$A$43&amp;$AW$1&amp;"C"&amp;$A49))</f>
        <v>1535</v>
      </c>
      <c r="AX49" s="7">
        <f>-IF(RTD("tos.rtd",,AX$2,"."&amp;$A$43&amp;$AW$1&amp;"P"&amp;$A49)="N/A",0,RTD("tos.rtd",,AX$2,"."&amp;$A$43&amp;$AW$1&amp;"P"&amp;$A49))</f>
        <v>-35</v>
      </c>
      <c r="AY49" s="7">
        <f t="shared" ref="AY49:AY56" si="304">SUM(AS49:AX49)</f>
        <v>5058</v>
      </c>
      <c r="AZ49" s="8">
        <f t="shared" si="245"/>
        <v>498</v>
      </c>
      <c r="BA49" s="6">
        <f>IF(RTD("tos.rtd",,BA$43,"."&amp;$A$43&amp;$AS$42&amp;"C"&amp;$A49)="N/A",0,RTD("tos.rtd",,BA$43,"."&amp;$A$43&amp;$AS$42&amp;"C"&amp;$A49))</f>
        <v>0</v>
      </c>
      <c r="BB49" s="7">
        <f>-IF(RTD("tos.rtd",,BB$43,"."&amp;$A$43&amp;$AS$42&amp;"P"&amp;$A49)="N/A",0,RTD("tos.rtd",,BB$43,"."&amp;$A$43&amp;$AS$42&amp;"P"&amp;$A49))</f>
        <v>0</v>
      </c>
      <c r="BC49" s="6">
        <f>IF(RTD("tos.rtd",,BC$2,"."&amp;$A$43&amp;$AU$1&amp;"C"&amp;$A49)="N/A",0,RTD("tos.rtd",,BC$2,"."&amp;$A$43&amp;$AU$1&amp;"C"&amp;$A49))</f>
        <v>10702</v>
      </c>
      <c r="BD49" s="7">
        <f>-IF(RTD("tos.rtd",,BD$2,"."&amp;$A$43&amp;$AU$1&amp;"P"&amp;$A49)="N/A",0,RTD("tos.rtd",,BD$2,"."&amp;$A$43&amp;$AU$1&amp;"P"&amp;$A49))</f>
        <v>-209</v>
      </c>
      <c r="BE49" s="6">
        <f>IF(RTD("tos.rtd",,BE$2,"."&amp;$A$43&amp;$AW$1&amp;"C"&amp;$A49)="N/A",0,RTD("tos.rtd",,BE$2,"."&amp;$A$43&amp;$AW$1&amp;"C"&amp;$A49))</f>
        <v>948</v>
      </c>
      <c r="BF49" s="7">
        <f>-IF(RTD("tos.rtd",,BF$2,"."&amp;$A$43&amp;$AW$1&amp;"P"&amp;$A49)="N/A",0,RTD("tos.rtd",,BF$2,"."&amp;$A$43&amp;$AW$1&amp;"P"&amp;$A49))</f>
        <v>-17</v>
      </c>
      <c r="BG49" s="32">
        <f ca="1">+Hoja2!Y50</f>
        <v>103</v>
      </c>
      <c r="BH49" s="7">
        <f t="shared" ca="1" si="277"/>
        <v>11527</v>
      </c>
      <c r="BI49" s="8" t="str">
        <f t="shared" ca="1" si="295"/>
        <v/>
      </c>
      <c r="BJ49" s="83" t="e">
        <f ca="1">IF($BP$1=1,DX49,IF(RTD("tos.rtd",,BJ$43,"."&amp;$A$43&amp;$AS$42&amp;"C"&amp;$A49)="N/A",0,RTD("tos.rtd",,BJ$43,"."&amp;$A$43&amp;$AS$42&amp;"C"&amp;$A49)))</f>
        <v>#NUM!</v>
      </c>
      <c r="BK49" s="83" t="e">
        <f ca="1">IF($BP$1=1,DY49,-IF(RTD("tos.rtd",,BK$43,"."&amp;$A$43&amp;$AS$42&amp;"P"&amp;$A49)="N/A",0,RTD("tos.rtd",,BK$43,"."&amp;$A$43&amp;$AS$42&amp;"P"&amp;$A49)))</f>
        <v>#NUM!</v>
      </c>
      <c r="BL49" s="83" t="e">
        <f ca="1">IF($BP$1=1,DZ49,IF(RTD("tos.rtd",,BL$2,"."&amp;$A$43&amp;$AU$1&amp;"C"&amp;$A49)="N/A",0,RTD("tos.rtd",,BL$2,"."&amp;$A$43&amp;$AU$1&amp;"C"&amp;$A49)))</f>
        <v>#NUM!</v>
      </c>
      <c r="BM49" s="83" t="e">
        <f ca="1">IF($BP$1=1,EA49,-IF(RTD("tos.rtd",,BM$2,"."&amp;$A$43&amp;$AU$1&amp;"P"&amp;$A49)="N/A",0,RTD("tos.rtd",,BM$2,"."&amp;$A$43&amp;$AU$1&amp;"P"&amp;$A49)))</f>
        <v>#NUM!</v>
      </c>
      <c r="BN49" s="83" t="e">
        <f ca="1">IF($BP$1=1,EB49,IF(RTD("tos.rtd",,BN$2,"."&amp;$A$43&amp;$AW$1&amp;"C"&amp;$A49)="N/A",0,RTD("tos.rtd",,BN$2,"."&amp;$A$43&amp;$AW$1&amp;"C"&amp;$A49)))</f>
        <v>#NUM!</v>
      </c>
      <c r="BO49" s="83" t="e">
        <f ca="1">IF($BP$1=1,EC49,-IF(RTD("tos.rtd",,BO$2,"."&amp;$A$43&amp;$AW$1&amp;"P"&amp;$A49)="N/A",0,RTD("tos.rtd",,BO$2,"."&amp;$A$43&amp;$AW$1&amp;"P"&amp;$A49)))</f>
        <v>#NUM!</v>
      </c>
      <c r="BQ49" s="83" t="e">
        <f t="shared" ref="BQ49:BQ56" ca="1" si="305">+$A$44*$A$44*AS49*BJ49-$A$44*$A$44*AT49*BK49</f>
        <v>#NUM!</v>
      </c>
      <c r="BR49" s="3" t="e">
        <f t="shared" ca="1" si="279"/>
        <v>#NUM!</v>
      </c>
      <c r="BS49" s="83" t="e">
        <f t="shared" ref="BS49:BS56" ca="1" si="306">+$A$44*$A$44*AU49*BL49-$A$44*$A$44*AV49*BM49</f>
        <v>#NUM!</v>
      </c>
      <c r="BT49" s="3" t="e">
        <f t="shared" ca="1" si="281"/>
        <v>#NUM!</v>
      </c>
      <c r="BU49" s="83" t="e">
        <f t="shared" ref="BU49:BU56" ca="1" si="307">+$A$44*$A$44*AW49*BN49-$A$44*$A$44*AX49*BO49</f>
        <v>#NUM!</v>
      </c>
      <c r="BV49" s="83"/>
      <c r="BX49" s="83" t="e">
        <f t="shared" ref="BX49:BX56" ca="1" si="308">+$A$44*$A$44*BA49*BJ49-$A$44*$A$44*BB49*BK49</f>
        <v>#NUM!</v>
      </c>
      <c r="BY49" s="83" t="e">
        <f t="shared" ca="1" si="296"/>
        <v>#NUM!</v>
      </c>
      <c r="BZ49" s="83" t="e">
        <f t="shared" ref="BZ49:BZ56" ca="1" si="309">+$A$44*$A$44*BC49*BL49-$A$44*$A$44*BD49*BM49</f>
        <v>#NUM!</v>
      </c>
      <c r="CA49" s="83" t="e">
        <f t="shared" ca="1" si="296"/>
        <v>#NUM!</v>
      </c>
      <c r="CB49" s="83" t="e">
        <f t="shared" ref="CB49:CB56" ca="1" si="310">+$A$44*$A$44*BE49*BN49-$A$44*$A$44*BF49*BO49</f>
        <v>#NUM!</v>
      </c>
      <c r="CC49" s="83" t="e">
        <f t="shared" ca="1" si="296"/>
        <v>#NUM!</v>
      </c>
      <c r="CD49" s="83">
        <f>IF(RTD("tos.rtd",,CD$43,"."&amp;$A$43&amp;$AS$42&amp;"C"&amp;$A49)="N/A",0,RTD("tos.rtd",,CD$43,"."&amp;$A$43&amp;$AS$42&amp;"C"&amp;$A49))</f>
        <v>0.01</v>
      </c>
      <c r="CE49" s="83">
        <f>-IF(RTD("tos.rtd",,CE$43,"."&amp;$A$43&amp;$AS$42&amp;"P"&amp;$A49)="N/A",0,RTD("tos.rtd",,CE$43,"."&amp;$A$43&amp;$AS$42&amp;"P"&amp;$A49))</f>
        <v>0.53</v>
      </c>
      <c r="CF49" s="83">
        <f>IF(RTD("tos.rtd",,CF$2,"."&amp;$A$43&amp;$AU$1&amp;"C"&amp;$A49)="N/A",0,RTD("tos.rtd",,CF$2,"."&amp;$A$43&amp;$AU$1&amp;"C"&amp;$A49))</f>
        <v>0.01</v>
      </c>
      <c r="CG49" s="83">
        <f>-IF(RTD("tos.rtd",,CG$2,"."&amp;$A$43&amp;$AU$1&amp;"P"&amp;$A49)="N/A",0,RTD("tos.rtd",,CG$2,"."&amp;$A$43&amp;$AU$1&amp;"P"&amp;$A49))</f>
        <v>0.53</v>
      </c>
      <c r="CH49" s="83">
        <f>IF(RTD("tos.rtd",,CH$2,"."&amp;$A$43&amp;$AW$1&amp;"C"&amp;$A49)="N/A",0,RTD("tos.rtd",,CH$2,"."&amp;$A$43&amp;$AW$1&amp;"C"&amp;$A49))</f>
        <v>0.41</v>
      </c>
      <c r="CI49" s="83">
        <f>-IF(RTD("tos.rtd",,CI$2,"."&amp;$A$43&amp;$AW$1&amp;"P"&amp;$A49)="N/A",0,RTD("tos.rtd",,CI$2,"."&amp;$A$43&amp;$AW$1&amp;"P"&amp;$A49))</f>
        <v>0.52</v>
      </c>
      <c r="CK49" s="83">
        <f t="shared" ref="CK49:CK56" si="311">+AS49*CD49*100+AT49*CE49*100</f>
        <v>748</v>
      </c>
      <c r="CL49" s="83"/>
      <c r="CM49" s="83">
        <f t="shared" ref="CM49:CM56" si="312">+AU49*CF49*100+AV49*CG49*100</f>
        <v>-830</v>
      </c>
      <c r="CN49" s="83"/>
      <c r="CO49" s="83">
        <f t="shared" ref="CO49:CO56" si="313">+AW49*CH49*100+AX49*CI49*100</f>
        <v>61114.999999999993</v>
      </c>
      <c r="CP49" s="83">
        <f t="shared" ref="CP49:CP56" si="314">+CK49+CM49+CO49</f>
        <v>61032.999999999993</v>
      </c>
      <c r="CQ49" s="83">
        <f t="shared" ref="CQ49:CQ56" si="315">+BA49+BB49</f>
        <v>0</v>
      </c>
      <c r="CR49" s="83"/>
      <c r="CS49" s="83">
        <f t="shared" ref="CS49:CS56" si="316">+BC49+BD49</f>
        <v>10493</v>
      </c>
      <c r="CT49" s="83"/>
      <c r="CU49" s="83">
        <f t="shared" ref="CU49:CU56" si="317">+BE49+BF49</f>
        <v>931</v>
      </c>
      <c r="CV49" s="83"/>
      <c r="CW49" s="83" t="e">
        <f t="shared" ref="CW49:CW56" ca="1" si="318">+BQ49+BS49+BU49</f>
        <v>#NUM!</v>
      </c>
      <c r="CY49" s="83" t="e">
        <f t="shared" ref="CY49:CY56" ca="1" si="319">+BX49+BZ49+CB49</f>
        <v>#NUM!</v>
      </c>
      <c r="CZ49" s="70" t="e">
        <f t="shared" ca="1" si="297"/>
        <v>#NUM!</v>
      </c>
      <c r="DA49" s="83">
        <f>IF(RTD("tos.rtd",,DA$43,"."&amp;$A$43&amp;$AS$42&amp;"C"&amp;$A49)="N/A",0,RTD("tos.rtd",,DA$43,"."&amp;$A$43&amp;$AS$42&amp;"C"&amp;$A49))</f>
        <v>0.01</v>
      </c>
      <c r="DB49" s="83">
        <f>IF(RTD("tos.rtd",,DB$43,"."&amp;$A$43&amp;$AS$42&amp;"P"&amp;$A49)="N/A",0,RTD("tos.rtd",,DB$43,"."&amp;$A$43&amp;$AS$42&amp;"P"&amp;$A49))</f>
        <v>9.73</v>
      </c>
      <c r="DC49" s="83">
        <f>IF(RTD("tos.rtd",,DC$43,"."&amp;$A$43&amp;$AS$42&amp;"C"&amp;$A49)="N/A",0,RTD("tos.rtd",,DC$43,"."&amp;$A$43&amp;$AS$42&amp;"C"&amp;$A49))</f>
        <v>0.01</v>
      </c>
      <c r="DD49" s="83">
        <f>IF(RTD("tos.rtd",,DD$43,"."&amp;$A$43&amp;$AS$42&amp;"P"&amp;$A49)="N/A",0,RTD("tos.rtd",,DD$43,"."&amp;$A$43&amp;$AS$42&amp;"P"&amp;$A49))</f>
        <v>11.3</v>
      </c>
      <c r="DE49" s="83">
        <f>IF(RTD("tos.rtd",,DE$43,"."&amp;$A$43&amp;$AS$42&amp;"C"&amp;$A49)="N/A",0,RTD("tos.rtd",,DE$43,"."&amp;$A$43&amp;$AS$42&amp;"C"&amp;$A49))</f>
        <v>0</v>
      </c>
      <c r="DF49" s="83">
        <f>IF(RTD("tos.rtd",,DF$43,"."&amp;$A$43&amp;$AS$42&amp;"P"&amp;$A49)="N/A",0,RTD("tos.rtd",,DF$43,"."&amp;$A$43&amp;$AS$42&amp;"P"&amp;$A49))</f>
        <v>7.81</v>
      </c>
      <c r="DG49" s="86">
        <f t="shared" si="289"/>
        <v>2.2200000000000273</v>
      </c>
      <c r="DH49" s="83">
        <f t="shared" ref="DH49:DH56" si="320">((DA49-DE49)/(DC49-DE49))*(BA49-AP49)</f>
        <v>-12035</v>
      </c>
      <c r="DI49" s="83">
        <f t="shared" ref="DI49:DI56" si="321">((DB49-DF49)/(DD49-DF49))*(BB49-AQ49)</f>
        <v>226.65902578796562</v>
      </c>
      <c r="DJ49" s="83">
        <f t="shared" ref="DJ49:DJ56" si="322">IF(DA49&gt;=(DE49+(DC49-DE49)*0.6),(BA49-AP49),IF(DA49&lt;=(DE49+(DC49-DE49)*0.4),-(BA49-AP49),0))</f>
        <v>-12035</v>
      </c>
      <c r="DK49" s="83">
        <f t="shared" si="257"/>
        <v>0</v>
      </c>
      <c r="DL49" s="83">
        <f t="shared" si="258"/>
        <v>-11808.340974212035</v>
      </c>
      <c r="DM49" s="83">
        <f t="shared" si="259"/>
        <v>-12035</v>
      </c>
      <c r="DN49" s="64" t="str">
        <f t="shared" si="260"/>
        <v>UNKNOWN</v>
      </c>
      <c r="DO49" s="64" t="str">
        <f t="shared" si="261"/>
        <v>UNKNOWN</v>
      </c>
      <c r="DP49" s="83">
        <f t="shared" si="262"/>
        <v>2085.0423209169057</v>
      </c>
      <c r="DQ49" s="83">
        <f t="shared" si="263"/>
        <v>-120.35000000000001</v>
      </c>
      <c r="DR49" s="83" t="e">
        <f t="shared" ca="1" si="264"/>
        <v>#NUM!</v>
      </c>
      <c r="DS49" s="83">
        <f t="shared" si="265"/>
        <v>-120.35000000000001</v>
      </c>
      <c r="DT49" s="83">
        <f t="shared" si="290"/>
        <v>-12035</v>
      </c>
      <c r="DU49" s="83">
        <f t="shared" si="291"/>
        <v>412</v>
      </c>
      <c r="DV49" s="83">
        <f t="shared" si="266"/>
        <v>-1156</v>
      </c>
      <c r="DW49" s="83">
        <f t="shared" si="267"/>
        <v>-182</v>
      </c>
      <c r="DX49" s="83" t="e">
        <f t="shared" ref="DX49:DX56" ca="1" si="323">(EXP(-POWER((LN($A$44/$A49)+($EC$1+POWER($EE49,2)/2)*($EM$1/$DY$1))/($EE49*SQRT($EM$1/$DY$1)),2)/2)/SQRT(2*PI())/($A$44*$EE49*SQRT($EM$1/$DY$1)))</f>
        <v>#NUM!</v>
      </c>
      <c r="DY49" s="83" t="e">
        <f t="shared" ref="DY49:DY56" ca="1" si="324">-(EXP(-POWER((LN($A$44/$A49)+($EC$1+POWER($EF49,2)/2)*($EM$1/$DY$1))/($EF49*SQRT($EM$1/$DY$1)),2)/2)/SQRT(2*PI())/($A$44*$EF49*SQRT($EM$1/$DY$1)))</f>
        <v>#NUM!</v>
      </c>
      <c r="DZ49" s="83" t="e">
        <f t="shared" ref="DZ49:DZ56" ca="1" si="325">(EXP(-POWER((LN($A$44/$A49)+($EC$1+POWER($EG49,2)/2)*($EO$1/$DY$1))/($EG49*SQRT($EO$1/$DY$1)),2)/2)/SQRT(2*PI())/($A$44*$EG49*SQRT($EO$1/$DY$1)))</f>
        <v>#NUM!</v>
      </c>
      <c r="EA49" s="83" t="e">
        <f t="shared" ref="EA49:EA56" ca="1" si="326">-(EXP(-POWER((LN($A$44/$A49)+($EC$1+POWER($EH49,2)/2)*($EO$1/$DY$1))/($EH49*SQRT($EO$1/$DY$1)),2)/2)/SQRT(2*PI())/($A$44*$EH49*SQRT($EO$1/$DY$1)))</f>
        <v>#NUM!</v>
      </c>
      <c r="EB49" s="83" t="e">
        <f t="shared" ref="EB49:EB56" ca="1" si="327">(EXP(-POWER((LN($A$44/$A49)+($EC$1+POWER($EI49,2)/2)*($EO$1/$DY$1))/($EI49*SQRT($EO$1/$DY$1)),2)/2)/SQRT(2*PI())/($A$44*$EI49*SQRT($EO$1/$DY$1)))</f>
        <v>#NUM!</v>
      </c>
      <c r="EC49" s="83" t="e">
        <f t="shared" ref="EC49:EC56" ca="1" si="328">-(EXP(-POWER((LN($A$44/$A49)+($EC$1+POWER($EJ49,2)/2)*($EO$1/$DY$1))/($EJ49*SQRT($EO$1/$DY$1)),2)/2)/SQRT(2*PI())/($A$44*$EJ49*SQRT($EO$1/$DY$1)))</f>
        <v>#NUM!</v>
      </c>
      <c r="ED49" s="63">
        <f t="shared" si="292"/>
        <v>-1338</v>
      </c>
      <c r="EE49" s="84">
        <f t="shared" ref="EE49:EE56" si="329">IFERROR(VALUE(IF(OR(EL49="--",EL49="0.00%"),$EE$1,EL49)),$EE$1)</f>
        <v>0.26929999999999998</v>
      </c>
      <c r="EF49" s="84">
        <f t="shared" ref="EF49:EF56" si="330">IFERROR(VALUE(IF(OR(EM49="--",EM49="0.00%"),$EE$1,EM49)),$EE$1)</f>
        <v>5.6108000000000002</v>
      </c>
      <c r="EG49" s="84">
        <f t="shared" ref="EG49:EG56" si="331">IFERROR(VALUE(IF(OR(EN49="--",EN49="0.00%"),$EE$1,EN49)),$EE$1)</f>
        <v>0.26929999999999998</v>
      </c>
      <c r="EH49" s="84">
        <f t="shared" ref="EH49:EH56" si="332">IFERROR(VALUE(IF(OR(EO49="--",EO49="0.00%"),$EE$1,EO49)),$EE$1)</f>
        <v>5.9466000000000001</v>
      </c>
      <c r="EI49" s="84">
        <f t="shared" ref="EI49:EI56" si="333">IFERROR(VALUE(IF(OR(EP49="--",EP49="0.00%"),$EE$1,EP49)),$EE$1)</f>
        <v>0.15329999999999999</v>
      </c>
      <c r="EJ49" s="84">
        <f t="shared" ref="EJ49:EJ56" si="334">IFERROR(VALUE(IF(OR(EQ49="--",EQ49="0.00%"),$EE$1,EQ49)),$EE$1)</f>
        <v>0.50170000000000003</v>
      </c>
      <c r="EK49" s="63" t="e">
        <f t="shared" ca="1" si="293"/>
        <v>#NUM!</v>
      </c>
      <c r="EL49" s="83" t="str">
        <f>RTD("tos.rtd",,EL$43,"."&amp;$A$43&amp;$AS$42&amp;"C"&amp;$A49)</f>
        <v>26.93%</v>
      </c>
      <c r="EM49" s="83" t="str">
        <f>RTD("tos.rtd",,EM$43,"."&amp;$A$43&amp;$AS$42&amp;"P"&amp;$A49)</f>
        <v>561.08%</v>
      </c>
      <c r="EN49" s="83" t="str">
        <f>RTD("tos.rtd",,EN$2,"."&amp;$A$43&amp;$AU$1&amp;"C"&amp;$A49)</f>
        <v>26.93%</v>
      </c>
      <c r="EO49" s="83" t="str">
        <f>RTD("tos.rtd",,EO$2,"."&amp;$A$43&amp;$AU$1&amp;"P"&amp;$A49)</f>
        <v>594.66%</v>
      </c>
      <c r="EP49" s="83" t="str">
        <f>RTD("tos.rtd",,EP$2,"."&amp;$A$43&amp;$AW$1&amp;"C"&amp;$A49)</f>
        <v>15.33%</v>
      </c>
      <c r="EQ49" s="83" t="str">
        <f>RTD("tos.rtd",,EQ$2,"."&amp;$A$43&amp;$AW$1&amp;"P"&amp;$A49)</f>
        <v>50.17%</v>
      </c>
      <c r="ES49" s="63" t="str">
        <f t="shared" si="274"/>
        <v>498,-1338.00</v>
      </c>
      <c r="ET49" s="63" t="str">
        <f t="shared" ca="1" si="275"/>
        <v>498,00.00</v>
      </c>
      <c r="EU49" s="68">
        <v>561.35</v>
      </c>
      <c r="EV49" s="68" t="s">
        <v>411</v>
      </c>
      <c r="EW49" s="68">
        <v>483.67</v>
      </c>
      <c r="EX49" s="68" t="s">
        <v>412</v>
      </c>
      <c r="EY49" s="68">
        <v>5631.28</v>
      </c>
      <c r="EZ49" s="68" t="s">
        <v>413</v>
      </c>
      <c r="FA49" s="68">
        <v>19867.973000000002</v>
      </c>
      <c r="FB49" s="68" t="s">
        <v>414</v>
      </c>
      <c r="FC49" s="68" t="s">
        <v>415</v>
      </c>
      <c r="FD49" s="68" t="s">
        <v>416</v>
      </c>
      <c r="FE49" s="68" t="s">
        <v>417</v>
      </c>
      <c r="FF49" s="68" t="s">
        <v>418</v>
      </c>
    </row>
    <row r="50" spans="1:162" ht="13.5" thickBot="1" x14ac:dyDescent="0.25">
      <c r="A50" s="2">
        <f t="shared" si="294"/>
        <v>497</v>
      </c>
      <c r="B50" s="3">
        <f t="shared" si="299"/>
        <v>908</v>
      </c>
      <c r="C50" s="3">
        <f t="shared" si="300"/>
        <v>3718</v>
      </c>
      <c r="D50" s="3">
        <f t="shared" si="301"/>
        <v>884</v>
      </c>
      <c r="E50" s="3">
        <f t="shared" si="302"/>
        <v>5510</v>
      </c>
      <c r="F50" s="4">
        <f t="shared" si="303"/>
        <v>20505.585642825445</v>
      </c>
      <c r="AM50" s="1">
        <v>4418</v>
      </c>
      <c r="AN50" s="1">
        <v>-223</v>
      </c>
      <c r="AO50" s="1">
        <v>497</v>
      </c>
      <c r="AP50" s="1">
        <v>18028</v>
      </c>
      <c r="AQ50" s="1">
        <v>-397</v>
      </c>
      <c r="AS50" s="6">
        <f>IF(RTD("tos.rtd",,AS$43,"."&amp;$A$43&amp;$AS$42&amp;"C"&amp;$A50)="N/A",0,RTD("tos.rtd",,AS$43,"."&amp;$A$43&amp;$AS$42&amp;"C"&amp;$A50))</f>
        <v>904</v>
      </c>
      <c r="AT50" s="7">
        <f>-IF(RTD("tos.rtd",,AT$43,"."&amp;$A$43&amp;$AS$42&amp;"P"&amp;$A50)="N/A",0,RTD("tos.rtd",,AT$43,"."&amp;$A$43&amp;$AS$42&amp;"P"&amp;$A50))</f>
        <v>-4</v>
      </c>
      <c r="AU50" s="6">
        <f>IF(RTD("tos.rtd",,AU$2,"."&amp;$A$43&amp;$AU$1&amp;"C"&amp;$A50)="N/A",0,RTD("tos.rtd",,AU$2,"."&amp;$A$43&amp;$AU$1&amp;"C"&amp;$A50))</f>
        <v>3438</v>
      </c>
      <c r="AV50" s="7">
        <f>-IF(RTD("tos.rtd",,AV$2,"."&amp;$A$43&amp;$AU$1&amp;"P"&amp;$A50)="N/A",0,RTD("tos.rtd",,AV$2,"."&amp;$A$43&amp;$AU$1&amp;"P"&amp;$A50))</f>
        <v>-280</v>
      </c>
      <c r="AW50" s="6">
        <f>IF(RTD("tos.rtd",,AW$2,"."&amp;$A$43&amp;$AW$1&amp;"C"&amp;$A50)="N/A",0,RTD("tos.rtd",,AW$2,"."&amp;$A$43&amp;$AW$1&amp;"C"&amp;$A50))</f>
        <v>808</v>
      </c>
      <c r="AX50" s="7">
        <f>-IF(RTD("tos.rtd",,AX$2,"."&amp;$A$43&amp;$AW$1&amp;"P"&amp;$A50)="N/A",0,RTD("tos.rtd",,AX$2,"."&amp;$A$43&amp;$AW$1&amp;"P"&amp;$A50))</f>
        <v>-76</v>
      </c>
      <c r="AY50" s="7">
        <f t="shared" si="304"/>
        <v>4790</v>
      </c>
      <c r="AZ50" s="8">
        <f t="shared" si="245"/>
        <v>497</v>
      </c>
      <c r="BA50" s="6">
        <f>IF(RTD("tos.rtd",,BA$43,"."&amp;$A$43&amp;$AS$42&amp;"C"&amp;$A50)="N/A",0,RTD("tos.rtd",,BA$43,"."&amp;$A$43&amp;$AS$42&amp;"C"&amp;$A50))</f>
        <v>0</v>
      </c>
      <c r="BB50" s="7">
        <f>-IF(RTD("tos.rtd",,BB$43,"."&amp;$A$43&amp;$AS$42&amp;"P"&amp;$A50)="N/A",0,RTD("tos.rtd",,BB$43,"."&amp;$A$43&amp;$AS$42&amp;"P"&amp;$A50))</f>
        <v>0</v>
      </c>
      <c r="BC50" s="6">
        <f>IF(RTD("tos.rtd",,BC$2,"."&amp;$A$43&amp;$AU$1&amp;"C"&amp;$A50)="N/A",0,RTD("tos.rtd",,BC$2,"."&amp;$A$43&amp;$AU$1&amp;"C"&amp;$A50))</f>
        <v>12075</v>
      </c>
      <c r="BD50" s="7">
        <f>-IF(RTD("tos.rtd",,BD$2,"."&amp;$A$43&amp;$AU$1&amp;"P"&amp;$A50)="N/A",0,RTD("tos.rtd",,BD$2,"."&amp;$A$43&amp;$AU$1&amp;"P"&amp;$A50))</f>
        <v>-191</v>
      </c>
      <c r="BE50" s="6">
        <f>IF(RTD("tos.rtd",,BE$2,"."&amp;$A$43&amp;$AW$1&amp;"C"&amp;$A50)="N/A",0,RTD("tos.rtd",,BE$2,"."&amp;$A$43&amp;$AW$1&amp;"C"&amp;$A50))</f>
        <v>779</v>
      </c>
      <c r="BF50" s="7">
        <f>-IF(RTD("tos.rtd",,BF$2,"."&amp;$A$43&amp;$AW$1&amp;"P"&amp;$A50)="N/A",0,RTD("tos.rtd",,BF$2,"."&amp;$A$43&amp;$AW$1&amp;"P"&amp;$A50))</f>
        <v>-30</v>
      </c>
      <c r="BG50" s="32">
        <f ca="1">+Hoja2!Y51</f>
        <v>312</v>
      </c>
      <c r="BH50" s="7">
        <f t="shared" ca="1" si="277"/>
        <v>12945</v>
      </c>
      <c r="BI50" s="8" t="str">
        <f t="shared" ca="1" si="295"/>
        <v/>
      </c>
      <c r="BJ50" s="83" t="e">
        <f ca="1">IF($BP$1=1,DX50,IF(RTD("tos.rtd",,BJ$43,"."&amp;$A$43&amp;$AS$42&amp;"C"&amp;$A50)="N/A",0,RTD("tos.rtd",,BJ$43,"."&amp;$A$43&amp;$AS$42&amp;"C"&amp;$A50)))</f>
        <v>#NUM!</v>
      </c>
      <c r="BK50" s="83" t="e">
        <f ca="1">IF($BP$1=1,DY50,-IF(RTD("tos.rtd",,BK$43,"."&amp;$A$43&amp;$AS$42&amp;"P"&amp;$A50)="N/A",0,RTD("tos.rtd",,BK$43,"."&amp;$A$43&amp;$AS$42&amp;"P"&amp;$A50)))</f>
        <v>#NUM!</v>
      </c>
      <c r="BL50" s="83" t="e">
        <f ca="1">IF($BP$1=1,DZ50,IF(RTD("tos.rtd",,BL$2,"."&amp;$A$43&amp;$AU$1&amp;"C"&amp;$A50)="N/A",0,RTD("tos.rtd",,BL$2,"."&amp;$A$43&amp;$AU$1&amp;"C"&amp;$A50)))</f>
        <v>#NUM!</v>
      </c>
      <c r="BM50" s="83" t="e">
        <f ca="1">IF($BP$1=1,EA50,-IF(RTD("tos.rtd",,BM$2,"."&amp;$A$43&amp;$AU$1&amp;"P"&amp;$A50)="N/A",0,RTD("tos.rtd",,BM$2,"."&amp;$A$43&amp;$AU$1&amp;"P"&amp;$A50)))</f>
        <v>#NUM!</v>
      </c>
      <c r="BN50" s="83" t="e">
        <f ca="1">IF($BP$1=1,EB50,IF(RTD("tos.rtd",,BN$2,"."&amp;$A$43&amp;$AW$1&amp;"C"&amp;$A50)="N/A",0,RTD("tos.rtd",,BN$2,"."&amp;$A$43&amp;$AW$1&amp;"C"&amp;$A50)))</f>
        <v>#NUM!</v>
      </c>
      <c r="BO50" s="83" t="e">
        <f ca="1">IF($BP$1=1,EC50,-IF(RTD("tos.rtd",,BO$2,"."&amp;$A$43&amp;$AW$1&amp;"P"&amp;$A50)="N/A",0,RTD("tos.rtd",,BO$2,"."&amp;$A$43&amp;$AW$1&amp;"P"&amp;$A50)))</f>
        <v>#NUM!</v>
      </c>
      <c r="BQ50" s="83" t="e">
        <f t="shared" ca="1" si="305"/>
        <v>#NUM!</v>
      </c>
      <c r="BR50" s="3" t="e">
        <f t="shared" ca="1" si="279"/>
        <v>#NUM!</v>
      </c>
      <c r="BS50" s="83" t="e">
        <f t="shared" ca="1" si="306"/>
        <v>#NUM!</v>
      </c>
      <c r="BT50" s="3" t="e">
        <f t="shared" ca="1" si="281"/>
        <v>#NUM!</v>
      </c>
      <c r="BU50" s="83" t="e">
        <f t="shared" ca="1" si="307"/>
        <v>#NUM!</v>
      </c>
      <c r="BV50" s="83"/>
      <c r="BX50" s="83" t="e">
        <f t="shared" ca="1" si="308"/>
        <v>#NUM!</v>
      </c>
      <c r="BY50" s="83" t="e">
        <f t="shared" ca="1" si="296"/>
        <v>#NUM!</v>
      </c>
      <c r="BZ50" s="83" t="e">
        <f t="shared" ca="1" si="309"/>
        <v>#NUM!</v>
      </c>
      <c r="CA50" s="83" t="e">
        <f t="shared" ca="1" si="296"/>
        <v>#NUM!</v>
      </c>
      <c r="CB50" s="83" t="e">
        <f t="shared" ca="1" si="310"/>
        <v>#NUM!</v>
      </c>
      <c r="CC50" s="83" t="e">
        <f t="shared" ca="1" si="296"/>
        <v>#NUM!</v>
      </c>
      <c r="CD50" s="83">
        <f>IF(RTD("tos.rtd",,CD$43,"."&amp;$A$43&amp;$AS$42&amp;"C"&amp;$A50)="N/A",0,RTD("tos.rtd",,CD$43,"."&amp;$A$43&amp;$AS$42&amp;"C"&amp;$A50))</f>
        <v>0.02</v>
      </c>
      <c r="CE50" s="83">
        <f>-IF(RTD("tos.rtd",,CE$43,"."&amp;$A$43&amp;$AS$42&amp;"P"&amp;$A50)="N/A",0,RTD("tos.rtd",,CE$43,"."&amp;$A$43&amp;$AS$42&amp;"P"&amp;$A50))</f>
        <v>0.52</v>
      </c>
      <c r="CF50" s="83">
        <f>IF(RTD("tos.rtd",,CF$2,"."&amp;$A$43&amp;$AU$1&amp;"C"&amp;$A50)="N/A",0,RTD("tos.rtd",,CF$2,"."&amp;$A$43&amp;$AU$1&amp;"C"&amp;$A50))</f>
        <v>0.02</v>
      </c>
      <c r="CG50" s="83">
        <f>-IF(RTD("tos.rtd",,CG$2,"."&amp;$A$43&amp;$AU$1&amp;"P"&amp;$A50)="N/A",0,RTD("tos.rtd",,CG$2,"."&amp;$A$43&amp;$AU$1&amp;"P"&amp;$A50))</f>
        <v>0.51</v>
      </c>
      <c r="CH50" s="83">
        <f>IF(RTD("tos.rtd",,CH$2,"."&amp;$A$43&amp;$AW$1&amp;"C"&amp;$A50)="N/A",0,RTD("tos.rtd",,CH$2,"."&amp;$A$43&amp;$AW$1&amp;"C"&amp;$A50))</f>
        <v>0.46</v>
      </c>
      <c r="CI50" s="83">
        <f>-IF(RTD("tos.rtd",,CI$2,"."&amp;$A$43&amp;$AW$1&amp;"P"&amp;$A50)="N/A",0,RTD("tos.rtd",,CI$2,"."&amp;$A$43&amp;$AW$1&amp;"P"&amp;$A50))</f>
        <v>0.5</v>
      </c>
      <c r="CK50" s="83">
        <f t="shared" si="311"/>
        <v>1600.0000000000002</v>
      </c>
      <c r="CL50" s="83"/>
      <c r="CM50" s="83">
        <f t="shared" si="312"/>
        <v>-7404.0000000000009</v>
      </c>
      <c r="CN50" s="83"/>
      <c r="CO50" s="83">
        <f t="shared" si="313"/>
        <v>33368</v>
      </c>
      <c r="CP50" s="83">
        <f t="shared" si="314"/>
        <v>27564</v>
      </c>
      <c r="CQ50" s="83">
        <f t="shared" si="315"/>
        <v>0</v>
      </c>
      <c r="CR50" s="83"/>
      <c r="CS50" s="83">
        <f t="shared" si="316"/>
        <v>11884</v>
      </c>
      <c r="CT50" s="83"/>
      <c r="CU50" s="83">
        <f t="shared" si="317"/>
        <v>749</v>
      </c>
      <c r="CV50" s="83"/>
      <c r="CW50" s="83" t="e">
        <f t="shared" ca="1" si="318"/>
        <v>#NUM!</v>
      </c>
      <c r="CY50" s="83" t="e">
        <f t="shared" ca="1" si="319"/>
        <v>#NUM!</v>
      </c>
      <c r="CZ50" s="70" t="e">
        <f t="shared" ca="1" si="297"/>
        <v>#NUM!</v>
      </c>
      <c r="DA50" s="83">
        <f>IF(RTD("tos.rtd",,DA$43,"."&amp;$A$43&amp;$AS$42&amp;"C"&amp;$A50)="N/A",0,RTD("tos.rtd",,DA$43,"."&amp;$A$43&amp;$AS$42&amp;"C"&amp;$A50))</f>
        <v>0.01</v>
      </c>
      <c r="DB50" s="83">
        <f>IF(RTD("tos.rtd",,DB$43,"."&amp;$A$43&amp;$AS$42&amp;"P"&amp;$A50)="N/A",0,RTD("tos.rtd",,DB$43,"."&amp;$A$43&amp;$AS$42&amp;"P"&amp;$A50))</f>
        <v>8.34</v>
      </c>
      <c r="DC50" s="83">
        <f>IF(RTD("tos.rtd",,DC$43,"."&amp;$A$43&amp;$AS$42&amp;"C"&amp;$A50)="N/A",0,RTD("tos.rtd",,DC$43,"."&amp;$A$43&amp;$AS$42&amp;"C"&amp;$A50))</f>
        <v>0.01</v>
      </c>
      <c r="DD50" s="83">
        <f>IF(RTD("tos.rtd",,DD$43,"."&amp;$A$43&amp;$AS$42&amp;"P"&amp;$A50)="N/A",0,RTD("tos.rtd",,DD$43,"."&amp;$A$43&amp;$AS$42&amp;"P"&amp;$A50))</f>
        <v>10.3</v>
      </c>
      <c r="DE50" s="83">
        <f>IF(RTD("tos.rtd",,DE$43,"."&amp;$A$43&amp;$AS$42&amp;"C"&amp;$A50)="N/A",0,RTD("tos.rtd",,DE$43,"."&amp;$A$43&amp;$AS$42&amp;"C"&amp;$A50))</f>
        <v>0</v>
      </c>
      <c r="DF50" s="83">
        <f>IF(RTD("tos.rtd",,DF$43,"."&amp;$A$43&amp;$AS$42&amp;"P"&amp;$A50)="N/A",0,RTD("tos.rtd",,DF$43,"."&amp;$A$43&amp;$AS$42&amp;"P"&amp;$A50))</f>
        <v>6.81</v>
      </c>
      <c r="DG50" s="86">
        <f t="shared" si="289"/>
        <v>1.2200000000000273</v>
      </c>
      <c r="DH50" s="83">
        <f t="shared" si="320"/>
        <v>-18028</v>
      </c>
      <c r="DI50" s="83">
        <f t="shared" si="321"/>
        <v>174.04297994269339</v>
      </c>
      <c r="DJ50" s="83">
        <f t="shared" si="322"/>
        <v>-18028</v>
      </c>
      <c r="DK50" s="83">
        <f t="shared" si="257"/>
        <v>0</v>
      </c>
      <c r="DL50" s="83">
        <f t="shared" si="258"/>
        <v>-17853.957020057307</v>
      </c>
      <c r="DM50" s="83">
        <f t="shared" si="259"/>
        <v>-18028</v>
      </c>
      <c r="DN50" s="64" t="str">
        <f t="shared" si="260"/>
        <v>UNKNOWN</v>
      </c>
      <c r="DO50" s="64" t="str">
        <f t="shared" si="261"/>
        <v>UNKNOWN</v>
      </c>
      <c r="DP50" s="83">
        <f t="shared" si="262"/>
        <v>1271.2384527220629</v>
      </c>
      <c r="DQ50" s="83">
        <f t="shared" si="263"/>
        <v>-180.28</v>
      </c>
      <c r="DR50" s="83" t="e">
        <f t="shared" ca="1" si="264"/>
        <v>#NUM!</v>
      </c>
      <c r="DS50" s="83">
        <f t="shared" si="265"/>
        <v>-360.56</v>
      </c>
      <c r="DT50" s="83">
        <f t="shared" si="290"/>
        <v>-18028</v>
      </c>
      <c r="DU50" s="83">
        <f t="shared" si="291"/>
        <v>397</v>
      </c>
      <c r="DV50" s="83">
        <f t="shared" si="266"/>
        <v>4418</v>
      </c>
      <c r="DW50" s="83">
        <f t="shared" si="267"/>
        <v>-223</v>
      </c>
      <c r="DX50" s="83" t="e">
        <f t="shared" ca="1" si="323"/>
        <v>#NUM!</v>
      </c>
      <c r="DY50" s="83" t="e">
        <f t="shared" ca="1" si="324"/>
        <v>#NUM!</v>
      </c>
      <c r="DZ50" s="83" t="e">
        <f t="shared" ca="1" si="325"/>
        <v>#NUM!</v>
      </c>
      <c r="EA50" s="83" t="e">
        <f t="shared" ca="1" si="326"/>
        <v>#NUM!</v>
      </c>
      <c r="EB50" s="83" t="e">
        <f t="shared" ca="1" si="327"/>
        <v>#NUM!</v>
      </c>
      <c r="EC50" s="83" t="e">
        <f t="shared" ca="1" si="328"/>
        <v>#NUM!</v>
      </c>
      <c r="ED50" s="63">
        <f t="shared" si="292"/>
        <v>4195</v>
      </c>
      <c r="EE50" s="84">
        <f t="shared" si="329"/>
        <v>0.16170000000000001</v>
      </c>
      <c r="EF50" s="84">
        <f t="shared" si="330"/>
        <v>5.3032000000000004</v>
      </c>
      <c r="EG50" s="84">
        <f t="shared" si="331"/>
        <v>0.16170000000000001</v>
      </c>
      <c r="EH50" s="84">
        <f t="shared" si="332"/>
        <v>5.6382000000000003</v>
      </c>
      <c r="EI50" s="84">
        <f t="shared" si="333"/>
        <v>0.14779999999999999</v>
      </c>
      <c r="EJ50" s="84">
        <f t="shared" si="334"/>
        <v>0.49569999999999997</v>
      </c>
      <c r="EK50" s="63" t="e">
        <f t="shared" ca="1" si="293"/>
        <v>#NUM!</v>
      </c>
      <c r="EL50" s="83" t="str">
        <f>RTD("tos.rtd",,EL$43,"."&amp;$A$43&amp;$AS$42&amp;"C"&amp;$A50)</f>
        <v>16.17%</v>
      </c>
      <c r="EM50" s="83" t="str">
        <f>RTD("tos.rtd",,EM$43,"."&amp;$A$43&amp;$AS$42&amp;"P"&amp;$A50)</f>
        <v>530.32%</v>
      </c>
      <c r="EN50" s="83" t="str">
        <f>RTD("tos.rtd",,EN$2,"."&amp;$A$43&amp;$AU$1&amp;"C"&amp;$A50)</f>
        <v>16.17%</v>
      </c>
      <c r="EO50" s="83" t="str">
        <f>RTD("tos.rtd",,EO$2,"."&amp;$A$43&amp;$AU$1&amp;"P"&amp;$A50)</f>
        <v>563.82%</v>
      </c>
      <c r="EP50" s="83" t="str">
        <f>RTD("tos.rtd",,EP$2,"."&amp;$A$43&amp;$AW$1&amp;"C"&amp;$A50)</f>
        <v>14.78%</v>
      </c>
      <c r="EQ50" s="83" t="str">
        <f>RTD("tos.rtd",,EQ$2,"."&amp;$A$43&amp;$AW$1&amp;"P"&amp;$A50)</f>
        <v>49.57%</v>
      </c>
      <c r="ES50" s="63" t="str">
        <f t="shared" si="274"/>
        <v>497,4195.00</v>
      </c>
      <c r="ET50" s="63" t="str">
        <f t="shared" ca="1" si="275"/>
        <v>497,00.00</v>
      </c>
      <c r="EU50" s="68">
        <v>561.16999999999996</v>
      </c>
      <c r="EV50" s="68" t="s">
        <v>419</v>
      </c>
      <c r="EW50" s="68">
        <v>483.56</v>
      </c>
      <c r="EX50" s="68" t="s">
        <v>420</v>
      </c>
      <c r="EY50" s="68">
        <v>5631.28</v>
      </c>
      <c r="EZ50" s="68" t="s">
        <v>421</v>
      </c>
      <c r="FA50" s="68">
        <v>19867.973000000002</v>
      </c>
      <c r="FB50" s="68" t="s">
        <v>422</v>
      </c>
      <c r="FC50" s="68" t="s">
        <v>423</v>
      </c>
      <c r="FD50" s="68" t="s">
        <v>424</v>
      </c>
      <c r="FE50" s="68" t="s">
        <v>425</v>
      </c>
      <c r="FF50" s="68" t="s">
        <v>426</v>
      </c>
    </row>
    <row r="51" spans="1:162" ht="13.5" thickBot="1" x14ac:dyDescent="0.25">
      <c r="A51" s="2">
        <f t="shared" si="294"/>
        <v>496</v>
      </c>
      <c r="B51" s="3">
        <f t="shared" si="299"/>
        <v>1200</v>
      </c>
      <c r="C51" s="3">
        <f t="shared" si="300"/>
        <v>2743</v>
      </c>
      <c r="D51" s="3">
        <f t="shared" si="301"/>
        <v>1040</v>
      </c>
      <c r="E51" s="3">
        <f t="shared" si="302"/>
        <v>4983</v>
      </c>
      <c r="F51" s="4">
        <f t="shared" si="303"/>
        <v>20464.326919198033</v>
      </c>
      <c r="AM51" s="1">
        <v>-1179</v>
      </c>
      <c r="AN51" s="1">
        <v>430</v>
      </c>
      <c r="AO51" s="1">
        <v>496</v>
      </c>
      <c r="AP51" s="1">
        <v>21283</v>
      </c>
      <c r="AQ51" s="1">
        <v>-872</v>
      </c>
      <c r="AS51" s="6">
        <f>IF(RTD("tos.rtd",,AS$43,"."&amp;$A$43&amp;$AS$42&amp;"C"&amp;$A51)="N/A",0,RTD("tos.rtd",,AS$43,"."&amp;$A$43&amp;$AS$42&amp;"C"&amp;$A51))</f>
        <v>1165</v>
      </c>
      <c r="AT51" s="7">
        <f>-IF(RTD("tos.rtd",,AT$43,"."&amp;$A$43&amp;$AS$42&amp;"P"&amp;$A51)="N/A",0,RTD("tos.rtd",,AT$43,"."&amp;$A$43&amp;$AS$42&amp;"P"&amp;$A51))</f>
        <v>-35</v>
      </c>
      <c r="AU51" s="6">
        <f>IF(RTD("tos.rtd",,AU$2,"."&amp;$A$43&amp;$AU$1&amp;"C"&amp;$A51)="N/A",0,RTD("tos.rtd",,AU$2,"."&amp;$A$43&amp;$AU$1&amp;"C"&amp;$A51))</f>
        <v>2517</v>
      </c>
      <c r="AV51" s="7">
        <f>-IF(RTD("tos.rtd",,AV$2,"."&amp;$A$43&amp;$AU$1&amp;"P"&amp;$A51)="N/A",0,RTD("tos.rtd",,AV$2,"."&amp;$A$43&amp;$AU$1&amp;"P"&amp;$A51))</f>
        <v>-226</v>
      </c>
      <c r="AW51" s="6">
        <f>IF(RTD("tos.rtd",,AW$2,"."&amp;$A$43&amp;$AW$1&amp;"C"&amp;$A51)="N/A",0,RTD("tos.rtd",,AW$2,"."&amp;$A$43&amp;$AW$1&amp;"C"&amp;$A51))</f>
        <v>992</v>
      </c>
      <c r="AX51" s="7">
        <f>-IF(RTD("tos.rtd",,AX$2,"."&amp;$A$43&amp;$AW$1&amp;"P"&amp;$A51)="N/A",0,RTD("tos.rtd",,AX$2,"."&amp;$A$43&amp;$AW$1&amp;"P"&amp;$A51))</f>
        <v>-48</v>
      </c>
      <c r="AY51" s="7">
        <f t="shared" si="304"/>
        <v>4365</v>
      </c>
      <c r="AZ51" s="8">
        <f t="shared" si="245"/>
        <v>496</v>
      </c>
      <c r="BA51" s="6">
        <f>IF(RTD("tos.rtd",,BA$43,"."&amp;$A$43&amp;$AS$42&amp;"C"&amp;$A51)="N/A",0,RTD("tos.rtd",,BA$43,"."&amp;$A$43&amp;$AS$42&amp;"C"&amp;$A51))</f>
        <v>0</v>
      </c>
      <c r="BB51" s="7">
        <f>-IF(RTD("tos.rtd",,BB$43,"."&amp;$A$43&amp;$AS$42&amp;"P"&amp;$A51)="N/A",0,RTD("tos.rtd",,BB$43,"."&amp;$A$43&amp;$AS$42&amp;"P"&amp;$A51))</f>
        <v>0</v>
      </c>
      <c r="BC51" s="6">
        <f>IF(RTD("tos.rtd",,BC$2,"."&amp;$A$43&amp;$AU$1&amp;"C"&amp;$A51)="N/A",0,RTD("tos.rtd",,BC$2,"."&amp;$A$43&amp;$AU$1&amp;"C"&amp;$A51))</f>
        <v>17493</v>
      </c>
      <c r="BD51" s="7">
        <f>-IF(RTD("tos.rtd",,BD$2,"."&amp;$A$43&amp;$AU$1&amp;"P"&amp;$A51)="N/A",0,RTD("tos.rtd",,BD$2,"."&amp;$A$43&amp;$AU$1&amp;"P"&amp;$A51))</f>
        <v>-414</v>
      </c>
      <c r="BE51" s="6">
        <f>IF(RTD("tos.rtd",,BE$2,"."&amp;$A$43&amp;$AW$1&amp;"C"&amp;$A51)="N/A",0,RTD("tos.rtd",,BE$2,"."&amp;$A$43&amp;$AW$1&amp;"C"&amp;$A51))</f>
        <v>1114</v>
      </c>
      <c r="BF51" s="7">
        <f>-IF(RTD("tos.rtd",,BF$2,"."&amp;$A$43&amp;$AW$1&amp;"P"&amp;$A51)="N/A",0,RTD("tos.rtd",,BF$2,"."&amp;$A$43&amp;$AW$1&amp;"P"&amp;$A51))</f>
        <v>-40</v>
      </c>
      <c r="BG51" s="32">
        <f ca="1">+Hoja2!Y52</f>
        <v>91</v>
      </c>
      <c r="BH51" s="7">
        <f t="shared" ca="1" si="277"/>
        <v>18244</v>
      </c>
      <c r="BI51" s="8" t="str">
        <f t="shared" ca="1" si="295"/>
        <v/>
      </c>
      <c r="BJ51" s="83" t="e">
        <f ca="1">IF($BP$1=1,DX51,IF(RTD("tos.rtd",,BJ$43,"."&amp;$A$43&amp;$AS$42&amp;"C"&amp;$A51)="N/A",0,RTD("tos.rtd",,BJ$43,"."&amp;$A$43&amp;$AS$42&amp;"C"&amp;$A51)))</f>
        <v>#NUM!</v>
      </c>
      <c r="BK51" s="83" t="e">
        <f ca="1">IF($BP$1=1,DY51,-IF(RTD("tos.rtd",,BK$43,"."&amp;$A$43&amp;$AS$42&amp;"P"&amp;$A51)="N/A",0,RTD("tos.rtd",,BK$43,"."&amp;$A$43&amp;$AS$42&amp;"P"&amp;$A51)))</f>
        <v>#NUM!</v>
      </c>
      <c r="BL51" s="83" t="e">
        <f ca="1">IF($BP$1=1,DZ51,IF(RTD("tos.rtd",,BL$2,"."&amp;$A$43&amp;$AU$1&amp;"C"&amp;$A51)="N/A",0,RTD("tos.rtd",,BL$2,"."&amp;$A$43&amp;$AU$1&amp;"C"&amp;$A51)))</f>
        <v>#NUM!</v>
      </c>
      <c r="BM51" s="83" t="e">
        <f ca="1">IF($BP$1=1,EA51,-IF(RTD("tos.rtd",,BM$2,"."&amp;$A$43&amp;$AU$1&amp;"P"&amp;$A51)="N/A",0,RTD("tos.rtd",,BM$2,"."&amp;$A$43&amp;$AU$1&amp;"P"&amp;$A51)))</f>
        <v>#NUM!</v>
      </c>
      <c r="BN51" s="83" t="e">
        <f ca="1">IF($BP$1=1,EB51,IF(RTD("tos.rtd",,BN$2,"."&amp;$A$43&amp;$AW$1&amp;"C"&amp;$A51)="N/A",0,RTD("tos.rtd",,BN$2,"."&amp;$A$43&amp;$AW$1&amp;"C"&amp;$A51)))</f>
        <v>#NUM!</v>
      </c>
      <c r="BO51" s="83" t="e">
        <f ca="1">IF($BP$1=1,EC51,-IF(RTD("tos.rtd",,BO$2,"."&amp;$A$43&amp;$AW$1&amp;"P"&amp;$A51)="N/A",0,RTD("tos.rtd",,BO$2,"."&amp;$A$43&amp;$AW$1&amp;"P"&amp;$A51)))</f>
        <v>#NUM!</v>
      </c>
      <c r="BQ51" s="83" t="e">
        <f t="shared" ca="1" si="305"/>
        <v>#NUM!</v>
      </c>
      <c r="BR51" s="3" t="e">
        <f t="shared" ca="1" si="279"/>
        <v>#NUM!</v>
      </c>
      <c r="BS51" s="83" t="e">
        <f t="shared" ca="1" si="306"/>
        <v>#NUM!</v>
      </c>
      <c r="BT51" s="3" t="e">
        <f t="shared" ca="1" si="281"/>
        <v>#NUM!</v>
      </c>
      <c r="BU51" s="83" t="e">
        <f t="shared" ca="1" si="307"/>
        <v>#NUM!</v>
      </c>
      <c r="BV51" s="83"/>
      <c r="BX51" s="83" t="e">
        <f t="shared" ca="1" si="308"/>
        <v>#NUM!</v>
      </c>
      <c r="BY51" s="83" t="e">
        <f t="shared" ca="1" si="296"/>
        <v>#NUM!</v>
      </c>
      <c r="BZ51" s="83" t="e">
        <f t="shared" ca="1" si="309"/>
        <v>#NUM!</v>
      </c>
      <c r="CA51" s="83" t="e">
        <f t="shared" ca="1" si="296"/>
        <v>#NUM!</v>
      </c>
      <c r="CB51" s="83" t="e">
        <f t="shared" ca="1" si="310"/>
        <v>#NUM!</v>
      </c>
      <c r="CC51" s="83" t="e">
        <f t="shared" ca="1" si="296"/>
        <v>#NUM!</v>
      </c>
      <c r="CD51" s="83">
        <f>IF(RTD("tos.rtd",,CD$43,"."&amp;$A$43&amp;$AS$42&amp;"C"&amp;$A51)="N/A",0,RTD("tos.rtd",,CD$43,"."&amp;$A$43&amp;$AS$42&amp;"C"&amp;$A51))</f>
        <v>7.0000000000000007E-2</v>
      </c>
      <c r="CE51" s="83">
        <f>-IF(RTD("tos.rtd",,CE$43,"."&amp;$A$43&amp;$AS$42&amp;"P"&amp;$A51)="N/A",0,RTD("tos.rtd",,CE$43,"."&amp;$A$43&amp;$AS$42&amp;"P"&amp;$A51))</f>
        <v>0.5</v>
      </c>
      <c r="CF51" s="83">
        <f>IF(RTD("tos.rtd",,CF$2,"."&amp;$A$43&amp;$AU$1&amp;"C"&amp;$A51)="N/A",0,RTD("tos.rtd",,CF$2,"."&amp;$A$43&amp;$AU$1&amp;"C"&amp;$A51))</f>
        <v>7.0000000000000007E-2</v>
      </c>
      <c r="CG51" s="83">
        <f>-IF(RTD("tos.rtd",,CG$2,"."&amp;$A$43&amp;$AU$1&amp;"P"&amp;$A51)="N/A",0,RTD("tos.rtd",,CG$2,"."&amp;$A$43&amp;$AU$1&amp;"P"&amp;$A51))</f>
        <v>0.5</v>
      </c>
      <c r="CH51" s="83">
        <f>IF(RTD("tos.rtd",,CH$2,"."&amp;$A$43&amp;$AW$1&amp;"C"&amp;$A51)="N/A",0,RTD("tos.rtd",,CH$2,"."&amp;$A$43&amp;$AW$1&amp;"C"&amp;$A51))</f>
        <v>0.51</v>
      </c>
      <c r="CI51" s="83">
        <f>-IF(RTD("tos.rtd",,CI$2,"."&amp;$A$43&amp;$AW$1&amp;"P"&amp;$A51)="N/A",0,RTD("tos.rtd",,CI$2,"."&amp;$A$43&amp;$AW$1&amp;"P"&amp;$A51))</f>
        <v>0.49</v>
      </c>
      <c r="CK51" s="83">
        <f t="shared" si="311"/>
        <v>6405.0000000000009</v>
      </c>
      <c r="CL51" s="83"/>
      <c r="CM51" s="83">
        <f t="shared" si="312"/>
        <v>6319.0000000000036</v>
      </c>
      <c r="CN51" s="83"/>
      <c r="CO51" s="83">
        <f t="shared" si="313"/>
        <v>48240</v>
      </c>
      <c r="CP51" s="83">
        <f t="shared" si="314"/>
        <v>60964</v>
      </c>
      <c r="CQ51" s="83">
        <f t="shared" si="315"/>
        <v>0</v>
      </c>
      <c r="CR51" s="83"/>
      <c r="CS51" s="83">
        <f t="shared" si="316"/>
        <v>17079</v>
      </c>
      <c r="CT51" s="83"/>
      <c r="CU51" s="83">
        <f t="shared" si="317"/>
        <v>1074</v>
      </c>
      <c r="CV51" s="83"/>
      <c r="CW51" s="83" t="e">
        <f t="shared" ca="1" si="318"/>
        <v>#NUM!</v>
      </c>
      <c r="CY51" s="83" t="e">
        <f t="shared" ca="1" si="319"/>
        <v>#NUM!</v>
      </c>
      <c r="CZ51" s="70" t="e">
        <f t="shared" ca="1" si="297"/>
        <v>#NUM!</v>
      </c>
      <c r="DA51" s="83">
        <f>IF(RTD("tos.rtd",,DA$43,"."&amp;$A$43&amp;$AS$42&amp;"C"&amp;$A51)="N/A",0,RTD("tos.rtd",,DA$43,"."&amp;$A$43&amp;$AS$42&amp;"C"&amp;$A51))</f>
        <v>0.01</v>
      </c>
      <c r="DB51" s="83">
        <f>IF(RTD("tos.rtd",,DB$43,"."&amp;$A$43&amp;$AS$42&amp;"P"&amp;$A51)="N/A",0,RTD("tos.rtd",,DB$43,"."&amp;$A$43&amp;$AS$42&amp;"P"&amp;$A51))</f>
        <v>7.72</v>
      </c>
      <c r="DC51" s="83">
        <f>IF(RTD("tos.rtd",,DC$43,"."&amp;$A$43&amp;$AS$42&amp;"C"&amp;$A51)="N/A",0,RTD("tos.rtd",,DC$43,"."&amp;$A$43&amp;$AS$42&amp;"C"&amp;$A51))</f>
        <v>0.01</v>
      </c>
      <c r="DD51" s="83">
        <f>IF(RTD("tos.rtd",,DD$43,"."&amp;$A$43&amp;$AS$42&amp;"P"&amp;$A51)="N/A",0,RTD("tos.rtd",,DD$43,"."&amp;$A$43&amp;$AS$42&amp;"P"&amp;$A51))</f>
        <v>9.3699999999999992</v>
      </c>
      <c r="DE51" s="83">
        <f>IF(RTD("tos.rtd",,DE$43,"."&amp;$A$43&amp;$AS$42&amp;"C"&amp;$A51)="N/A",0,RTD("tos.rtd",,DE$43,"."&amp;$A$43&amp;$AS$42&amp;"C"&amp;$A51))</f>
        <v>0</v>
      </c>
      <c r="DF51" s="83">
        <f>IF(RTD("tos.rtd",,DF$43,"."&amp;$A$43&amp;$AS$42&amp;"P"&amp;$A51)="N/A",0,RTD("tos.rtd",,DF$43,"."&amp;$A$43&amp;$AS$42&amp;"P"&amp;$A51))</f>
        <v>5.81</v>
      </c>
      <c r="DG51" s="86">
        <f t="shared" si="289"/>
        <v>0.22000000000002728</v>
      </c>
      <c r="DH51" s="83">
        <f t="shared" si="320"/>
        <v>-21283</v>
      </c>
      <c r="DI51" s="83">
        <f t="shared" si="321"/>
        <v>467.84269662921361</v>
      </c>
      <c r="DJ51" s="83">
        <f t="shared" si="322"/>
        <v>-21283</v>
      </c>
      <c r="DK51" s="83">
        <f t="shared" si="257"/>
        <v>0</v>
      </c>
      <c r="DL51" s="83">
        <f t="shared" si="258"/>
        <v>-20815.157303370786</v>
      </c>
      <c r="DM51" s="83">
        <f t="shared" si="259"/>
        <v>-21283</v>
      </c>
      <c r="DN51" s="64" t="str">
        <f t="shared" si="260"/>
        <v>UNKNOWN</v>
      </c>
      <c r="DO51" s="64" t="str">
        <f t="shared" si="261"/>
        <v>UNKNOWN</v>
      </c>
      <c r="DP51" s="83">
        <f t="shared" si="262"/>
        <v>3398.9156179775291</v>
      </c>
      <c r="DQ51" s="83">
        <f t="shared" si="263"/>
        <v>-212.83</v>
      </c>
      <c r="DR51" s="83" t="e">
        <f t="shared" ca="1" si="264"/>
        <v>#NUM!</v>
      </c>
      <c r="DS51" s="83">
        <f t="shared" si="265"/>
        <v>-1489.8100000000002</v>
      </c>
      <c r="DT51" s="83">
        <f t="shared" si="290"/>
        <v>-21283</v>
      </c>
      <c r="DU51" s="83">
        <f t="shared" si="291"/>
        <v>872</v>
      </c>
      <c r="DV51" s="83">
        <f t="shared" si="266"/>
        <v>-1179</v>
      </c>
      <c r="DW51" s="83">
        <f t="shared" si="267"/>
        <v>430</v>
      </c>
      <c r="DX51" s="83" t="e">
        <f t="shared" ca="1" si="323"/>
        <v>#NUM!</v>
      </c>
      <c r="DY51" s="83" t="e">
        <f t="shared" ca="1" si="324"/>
        <v>#NUM!</v>
      </c>
      <c r="DZ51" s="83" t="e">
        <f t="shared" ca="1" si="325"/>
        <v>#NUM!</v>
      </c>
      <c r="EA51" s="83" t="e">
        <f t="shared" ca="1" si="326"/>
        <v>#NUM!</v>
      </c>
      <c r="EB51" s="83" t="e">
        <f t="shared" ca="1" si="327"/>
        <v>#NUM!</v>
      </c>
      <c r="EC51" s="83" t="e">
        <f t="shared" ca="1" si="328"/>
        <v>#NUM!</v>
      </c>
      <c r="ED51" s="63">
        <f t="shared" si="292"/>
        <v>-749</v>
      </c>
      <c r="EE51" s="84">
        <f t="shared" si="329"/>
        <v>4.0399999999999998E-2</v>
      </c>
      <c r="EF51" s="84">
        <f t="shared" si="330"/>
        <v>5.0065999999999997</v>
      </c>
      <c r="EG51" s="84">
        <f t="shared" si="331"/>
        <v>4.0399999999999998E-2</v>
      </c>
      <c r="EH51" s="84">
        <f t="shared" si="332"/>
        <v>5.3144999999999998</v>
      </c>
      <c r="EI51" s="84">
        <f t="shared" si="333"/>
        <v>0.14099999999999999</v>
      </c>
      <c r="EJ51" s="84">
        <f t="shared" si="334"/>
        <v>0.48330000000000001</v>
      </c>
      <c r="EK51" s="63" t="e">
        <f t="shared" ca="1" si="293"/>
        <v>#NUM!</v>
      </c>
      <c r="EL51" s="83" t="str">
        <f>RTD("tos.rtd",,EL$43,"."&amp;$A$43&amp;$AS$42&amp;"C"&amp;$A51)</f>
        <v>4.04%</v>
      </c>
      <c r="EM51" s="83" t="str">
        <f>RTD("tos.rtd",,EM$43,"."&amp;$A$43&amp;$AS$42&amp;"P"&amp;$A51)</f>
        <v>500.66%</v>
      </c>
      <c r="EN51" s="83" t="str">
        <f>RTD("tos.rtd",,EN$2,"."&amp;$A$43&amp;$AU$1&amp;"C"&amp;$A51)</f>
        <v>4.04%</v>
      </c>
      <c r="EO51" s="83" t="str">
        <f>RTD("tos.rtd",,EO$2,"."&amp;$A$43&amp;$AU$1&amp;"P"&amp;$A51)</f>
        <v>531.45%</v>
      </c>
      <c r="EP51" s="83" t="str">
        <f>RTD("tos.rtd",,EP$2,"."&amp;$A$43&amp;$AW$1&amp;"C"&amp;$A51)</f>
        <v>14.10%</v>
      </c>
      <c r="EQ51" s="83" t="str">
        <f>RTD("tos.rtd",,EQ$2,"."&amp;$A$43&amp;$AW$1&amp;"P"&amp;$A51)</f>
        <v>48.33%</v>
      </c>
      <c r="ES51" s="63" t="str">
        <f t="shared" si="274"/>
        <v>496,-749.00</v>
      </c>
      <c r="ET51" s="63" t="str">
        <f t="shared" ca="1" si="275"/>
        <v>496,00.00</v>
      </c>
      <c r="EU51" s="68">
        <v>561.21</v>
      </c>
      <c r="EV51" s="68" t="s">
        <v>427</v>
      </c>
      <c r="EW51" s="68">
        <v>483.49</v>
      </c>
      <c r="EX51" s="68" t="s">
        <v>428</v>
      </c>
      <c r="EY51" s="68">
        <v>5631.28</v>
      </c>
      <c r="EZ51" s="68" t="s">
        <v>429</v>
      </c>
      <c r="FA51" s="68">
        <v>19867.973000000002</v>
      </c>
      <c r="FB51" s="68" t="s">
        <v>430</v>
      </c>
      <c r="FC51" s="68" t="s">
        <v>431</v>
      </c>
      <c r="FD51" s="68" t="s">
        <v>432</v>
      </c>
      <c r="FE51" s="68" t="s">
        <v>433</v>
      </c>
      <c r="FF51" s="68" t="s">
        <v>434</v>
      </c>
    </row>
    <row r="52" spans="1:162" ht="13.5" thickBot="1" x14ac:dyDescent="0.25">
      <c r="A52" s="2">
        <f t="shared" si="294"/>
        <v>495</v>
      </c>
      <c r="B52" s="3">
        <f t="shared" si="299"/>
        <v>1545</v>
      </c>
      <c r="C52" s="3">
        <f t="shared" si="300"/>
        <v>12595</v>
      </c>
      <c r="D52" s="3">
        <f t="shared" si="301"/>
        <v>41287</v>
      </c>
      <c r="E52" s="3">
        <f t="shared" si="302"/>
        <v>55427</v>
      </c>
      <c r="F52" s="4">
        <f t="shared" si="303"/>
        <v>20423.068195570617</v>
      </c>
      <c r="AM52" s="1">
        <v>9154</v>
      </c>
      <c r="AN52" s="1">
        <v>-474</v>
      </c>
      <c r="AO52" s="1">
        <v>495</v>
      </c>
      <c r="AP52" s="1">
        <v>62690</v>
      </c>
      <c r="AQ52" s="1">
        <v>-5394</v>
      </c>
      <c r="AS52" s="6">
        <f>IF(RTD("tos.rtd",,AS$43,"."&amp;$A$43&amp;$AS$42&amp;"C"&amp;$A52)="N/A",0,RTD("tos.rtd",,AS$43,"."&amp;$A$43&amp;$AS$42&amp;"C"&amp;$A52))</f>
        <v>1487</v>
      </c>
      <c r="AT52" s="7">
        <f>-IF(RTD("tos.rtd",,AT$43,"."&amp;$A$43&amp;$AS$42&amp;"P"&amp;$A52)="N/A",0,RTD("tos.rtd",,AT$43,"."&amp;$A$43&amp;$AS$42&amp;"P"&amp;$A52))</f>
        <v>-58</v>
      </c>
      <c r="AU52" s="6">
        <f>IF(RTD("tos.rtd",,AU$2,"."&amp;$A$43&amp;$AU$1&amp;"C"&amp;$A52)="N/A",0,RTD("tos.rtd",,AU$2,"."&amp;$A$43&amp;$AU$1&amp;"C"&amp;$A52))</f>
        <v>10961</v>
      </c>
      <c r="AV52" s="7">
        <f>-IF(RTD("tos.rtd",,AV$2,"."&amp;$A$43&amp;$AU$1&amp;"P"&amp;$A52)="N/A",0,RTD("tos.rtd",,AV$2,"."&amp;$A$43&amp;$AU$1&amp;"P"&amp;$A52))</f>
        <v>-1634</v>
      </c>
      <c r="AW52" s="6">
        <f>IF(RTD("tos.rtd",,AW$2,"."&amp;$A$43&amp;$AW$1&amp;"C"&amp;$A52)="N/A",0,RTD("tos.rtd",,AW$2,"."&amp;$A$43&amp;$AW$1&amp;"C"&amp;$A52))</f>
        <v>38799</v>
      </c>
      <c r="AX52" s="7">
        <f>-IF(RTD("tos.rtd",,AX$2,"."&amp;$A$43&amp;$AW$1&amp;"P"&amp;$A52)="N/A",0,RTD("tos.rtd",,AX$2,"."&amp;$A$43&amp;$AW$1&amp;"P"&amp;$A52))</f>
        <v>-2488</v>
      </c>
      <c r="AY52" s="7">
        <f t="shared" si="304"/>
        <v>47067</v>
      </c>
      <c r="AZ52" s="8">
        <f t="shared" si="245"/>
        <v>495</v>
      </c>
      <c r="BA52" s="6">
        <f>IF(RTD("tos.rtd",,BA$43,"."&amp;$A$43&amp;$AS$42&amp;"C"&amp;$A52)="N/A",0,RTD("tos.rtd",,BA$43,"."&amp;$A$43&amp;$AS$42&amp;"C"&amp;$A52))</f>
        <v>0</v>
      </c>
      <c r="BB52" s="7">
        <f>-IF(RTD("tos.rtd",,BB$43,"."&amp;$A$43&amp;$AS$42&amp;"P"&amp;$A52)="N/A",0,RTD("tos.rtd",,BB$43,"."&amp;$A$43&amp;$AS$42&amp;"P"&amp;$A52))</f>
        <v>0</v>
      </c>
      <c r="BC52" s="6">
        <f>IF(RTD("tos.rtd",,BC$2,"."&amp;$A$43&amp;$AU$1&amp;"C"&amp;$A52)="N/A",0,RTD("tos.rtd",,BC$2,"."&amp;$A$43&amp;$AU$1&amp;"C"&amp;$A52))</f>
        <v>71389</v>
      </c>
      <c r="BD52" s="7">
        <f>-IF(RTD("tos.rtd",,BD$2,"."&amp;$A$43&amp;$AU$1&amp;"P"&amp;$A52)="N/A",0,RTD("tos.rtd",,BD$2,"."&amp;$A$43&amp;$AU$1&amp;"P"&amp;$A52))</f>
        <v>-4253</v>
      </c>
      <c r="BE52" s="6">
        <f>IF(RTD("tos.rtd",,BE$2,"."&amp;$A$43&amp;$AW$1&amp;"C"&amp;$A52)="N/A",0,RTD("tos.rtd",,BE$2,"."&amp;$A$43&amp;$AW$1&amp;"C"&amp;$A52))</f>
        <v>5633</v>
      </c>
      <c r="BF52" s="7">
        <f>-IF(RTD("tos.rtd",,BF$2,"."&amp;$A$43&amp;$AW$1&amp;"P"&amp;$A52)="N/A",0,RTD("tos.rtd",,BF$2,"."&amp;$A$43&amp;$AW$1&amp;"P"&amp;$A52))</f>
        <v>-952</v>
      </c>
      <c r="BG52" s="32">
        <f ca="1">+Hoja2!Y53</f>
        <v>6197</v>
      </c>
      <c r="BH52" s="7">
        <f t="shared" ca="1" si="277"/>
        <v>78014</v>
      </c>
      <c r="BI52" s="8" t="str">
        <f t="shared" ca="1" si="295"/>
        <v/>
      </c>
      <c r="BJ52" s="83" t="e">
        <f ca="1">IF($BP$1=1,DX52,IF(RTD("tos.rtd",,BJ$43,"."&amp;$A$43&amp;$AS$42&amp;"C"&amp;$A52)="N/A",0,RTD("tos.rtd",,BJ$43,"."&amp;$A$43&amp;$AS$42&amp;"C"&amp;$A52)))</f>
        <v>#NUM!</v>
      </c>
      <c r="BK52" s="83" t="e">
        <f ca="1">IF($BP$1=1,DY52,-IF(RTD("tos.rtd",,BK$43,"."&amp;$A$43&amp;$AS$42&amp;"P"&amp;$A52)="N/A",0,RTD("tos.rtd",,BK$43,"."&amp;$A$43&amp;$AS$42&amp;"P"&amp;$A52)))</f>
        <v>#NUM!</v>
      </c>
      <c r="BL52" s="83" t="e">
        <f ca="1">IF($BP$1=1,DZ52,IF(RTD("tos.rtd",,BL$2,"."&amp;$A$43&amp;$AU$1&amp;"C"&amp;$A52)="N/A",0,RTD("tos.rtd",,BL$2,"."&amp;$A$43&amp;$AU$1&amp;"C"&amp;$A52)))</f>
        <v>#NUM!</v>
      </c>
      <c r="BM52" s="83" t="e">
        <f ca="1">IF($BP$1=1,EA52,-IF(RTD("tos.rtd",,BM$2,"."&amp;$A$43&amp;$AU$1&amp;"P"&amp;$A52)="N/A",0,RTD("tos.rtd",,BM$2,"."&amp;$A$43&amp;$AU$1&amp;"P"&amp;$A52)))</f>
        <v>#NUM!</v>
      </c>
      <c r="BN52" s="83" t="e">
        <f ca="1">IF($BP$1=1,EB52,IF(RTD("tos.rtd",,BN$2,"."&amp;$A$43&amp;$AW$1&amp;"C"&amp;$A52)="N/A",0,RTD("tos.rtd",,BN$2,"."&amp;$A$43&amp;$AW$1&amp;"C"&amp;$A52)))</f>
        <v>#NUM!</v>
      </c>
      <c r="BO52" s="83" t="e">
        <f ca="1">IF($BP$1=1,EC52,-IF(RTD("tos.rtd",,BO$2,"."&amp;$A$43&amp;$AW$1&amp;"P"&amp;$A52)="N/A",0,RTD("tos.rtd",,BO$2,"."&amp;$A$43&amp;$AW$1&amp;"P"&amp;$A52)))</f>
        <v>#NUM!</v>
      </c>
      <c r="BQ52" s="83" t="e">
        <f t="shared" ca="1" si="305"/>
        <v>#NUM!</v>
      </c>
      <c r="BR52" s="3" t="e">
        <f t="shared" ca="1" si="279"/>
        <v>#NUM!</v>
      </c>
      <c r="BS52" s="83" t="e">
        <f t="shared" ca="1" si="306"/>
        <v>#NUM!</v>
      </c>
      <c r="BT52" s="3" t="e">
        <f t="shared" ca="1" si="281"/>
        <v>#NUM!</v>
      </c>
      <c r="BU52" s="83" t="e">
        <f t="shared" ca="1" si="307"/>
        <v>#NUM!</v>
      </c>
      <c r="BV52" s="83"/>
      <c r="BX52" s="83" t="e">
        <f t="shared" ca="1" si="308"/>
        <v>#NUM!</v>
      </c>
      <c r="BY52" s="83" t="e">
        <f t="shared" ca="1" si="296"/>
        <v>#NUM!</v>
      </c>
      <c r="BZ52" s="83" t="e">
        <f t="shared" ca="1" si="309"/>
        <v>#NUM!</v>
      </c>
      <c r="CA52" s="83" t="e">
        <f t="shared" ca="1" si="296"/>
        <v>#NUM!</v>
      </c>
      <c r="CB52" s="83" t="e">
        <f t="shared" ca="1" si="310"/>
        <v>#NUM!</v>
      </c>
      <c r="CC52" s="83" t="e">
        <f t="shared" ca="1" si="296"/>
        <v>#NUM!</v>
      </c>
      <c r="CD52" s="83">
        <f>IF(RTD("tos.rtd",,CD$43,"."&amp;$A$43&amp;$AS$42&amp;"C"&amp;$A52)="N/A",0,RTD("tos.rtd",,CD$43,"."&amp;$A$43&amp;$AS$42&amp;"C"&amp;$A52))</f>
        <v>1</v>
      </c>
      <c r="CE52" s="83">
        <f>-IF(RTD("tos.rtd",,CE$43,"."&amp;$A$43&amp;$AS$42&amp;"P"&amp;$A52)="N/A",0,RTD("tos.rtd",,CE$43,"."&amp;$A$43&amp;$AS$42&amp;"P"&amp;$A52))</f>
        <v>0.48</v>
      </c>
      <c r="CF52" s="83">
        <f>IF(RTD("tos.rtd",,CF$2,"."&amp;$A$43&amp;$AU$1&amp;"C"&amp;$A52)="N/A",0,RTD("tos.rtd",,CF$2,"."&amp;$A$43&amp;$AU$1&amp;"C"&amp;$A52))</f>
        <v>1</v>
      </c>
      <c r="CG52" s="83">
        <f>-IF(RTD("tos.rtd",,CG$2,"."&amp;$A$43&amp;$AU$1&amp;"P"&amp;$A52)="N/A",0,RTD("tos.rtd",,CG$2,"."&amp;$A$43&amp;$AU$1&amp;"P"&amp;$A52))</f>
        <v>0.48</v>
      </c>
      <c r="CH52" s="83">
        <f>IF(RTD("tos.rtd",,CH$2,"."&amp;$A$43&amp;$AW$1&amp;"C"&amp;$A52)="N/A",0,RTD("tos.rtd",,CH$2,"."&amp;$A$43&amp;$AW$1&amp;"C"&amp;$A52))</f>
        <v>0.56000000000000005</v>
      </c>
      <c r="CI52" s="83">
        <f>-IF(RTD("tos.rtd",,CI$2,"."&amp;$A$43&amp;$AW$1&amp;"P"&amp;$A52)="N/A",0,RTD("tos.rtd",,CI$2,"."&amp;$A$43&amp;$AW$1&amp;"P"&amp;$A52))</f>
        <v>0.47</v>
      </c>
      <c r="CK52" s="83">
        <f t="shared" si="311"/>
        <v>145916</v>
      </c>
      <c r="CL52" s="83"/>
      <c r="CM52" s="83">
        <f t="shared" si="312"/>
        <v>1017668</v>
      </c>
      <c r="CN52" s="83"/>
      <c r="CO52" s="83">
        <f t="shared" si="313"/>
        <v>2055808</v>
      </c>
      <c r="CP52" s="83">
        <f t="shared" si="314"/>
        <v>3219392</v>
      </c>
      <c r="CQ52" s="83">
        <f t="shared" si="315"/>
        <v>0</v>
      </c>
      <c r="CR52" s="83"/>
      <c r="CS52" s="83">
        <f t="shared" si="316"/>
        <v>67136</v>
      </c>
      <c r="CT52" s="83"/>
      <c r="CU52" s="83">
        <f t="shared" si="317"/>
        <v>4681</v>
      </c>
      <c r="CV52" s="83"/>
      <c r="CW52" s="83" t="e">
        <f t="shared" ca="1" si="318"/>
        <v>#NUM!</v>
      </c>
      <c r="CY52" s="83" t="e">
        <f t="shared" ca="1" si="319"/>
        <v>#NUM!</v>
      </c>
      <c r="CZ52" s="70" t="e">
        <f t="shared" ca="1" si="297"/>
        <v>#NUM!</v>
      </c>
      <c r="DA52" s="83">
        <f>IF(RTD("tos.rtd",,DA$43,"."&amp;$A$43&amp;$AS$42&amp;"C"&amp;$A52)="N/A",0,RTD("tos.rtd",,DA$43,"."&amp;$A$43&amp;$AS$42&amp;"C"&amp;$A52))</f>
        <v>0.01</v>
      </c>
      <c r="DB52" s="83">
        <f>IF(RTD("tos.rtd",,DB$43,"."&amp;$A$43&amp;$AS$42&amp;"P"&amp;$A52)="N/A",0,RTD("tos.rtd",,DB$43,"."&amp;$A$43&amp;$AS$42&amp;"P"&amp;$A52))</f>
        <v>6.28</v>
      </c>
      <c r="DC52" s="83">
        <f>IF(RTD("tos.rtd",,DC$43,"."&amp;$A$43&amp;$AS$42&amp;"C"&amp;$A52)="N/A",0,RTD("tos.rtd",,DC$43,"."&amp;$A$43&amp;$AS$42&amp;"C"&amp;$A52))</f>
        <v>0.01</v>
      </c>
      <c r="DD52" s="83">
        <f>IF(RTD("tos.rtd",,DD$43,"."&amp;$A$43&amp;$AS$42&amp;"P"&amp;$A52)="N/A",0,RTD("tos.rtd",,DD$43,"."&amp;$A$43&amp;$AS$42&amp;"P"&amp;$A52))</f>
        <v>8.3699999999999992</v>
      </c>
      <c r="DE52" s="83">
        <f>IF(RTD("tos.rtd",,DE$43,"."&amp;$A$43&amp;$AS$42&amp;"C"&amp;$A52)="N/A",0,RTD("tos.rtd",,DE$43,"."&amp;$A$43&amp;$AS$42&amp;"C"&amp;$A52))</f>
        <v>0</v>
      </c>
      <c r="DF52" s="83">
        <f>IF(RTD("tos.rtd",,DF$43,"."&amp;$A$43&amp;$AS$42&amp;"P"&amp;$A52)="N/A",0,RTD("tos.rtd",,DF$43,"."&amp;$A$43&amp;$AS$42&amp;"P"&amp;$A52))</f>
        <v>4.8099999999999996</v>
      </c>
      <c r="DG52" s="86">
        <f t="shared" si="289"/>
        <v>-0.77999999999997272</v>
      </c>
      <c r="DH52" s="83">
        <f t="shared" si="320"/>
        <v>-62690</v>
      </c>
      <c r="DI52" s="83">
        <f t="shared" si="321"/>
        <v>2227.29775280899</v>
      </c>
      <c r="DJ52" s="83">
        <f t="shared" si="322"/>
        <v>-62690</v>
      </c>
      <c r="DK52" s="83">
        <f t="shared" si="257"/>
        <v>0</v>
      </c>
      <c r="DL52" s="83">
        <f t="shared" si="258"/>
        <v>-60462.70224719101</v>
      </c>
      <c r="DM52" s="83">
        <f t="shared" si="259"/>
        <v>-62690</v>
      </c>
      <c r="DN52" s="64" t="str">
        <f t="shared" si="260"/>
        <v>UNKNOWN</v>
      </c>
      <c r="DO52" s="64" t="str">
        <f t="shared" si="261"/>
        <v>UNKNOWN</v>
      </c>
      <c r="DP52" s="83">
        <f t="shared" si="262"/>
        <v>13360.529887640458</v>
      </c>
      <c r="DQ52" s="83">
        <f t="shared" si="263"/>
        <v>-626.9</v>
      </c>
      <c r="DR52" s="83" t="e">
        <f t="shared" ca="1" si="264"/>
        <v>#NUM!</v>
      </c>
      <c r="DS52" s="83">
        <f t="shared" si="265"/>
        <v>-62690</v>
      </c>
      <c r="DT52" s="83">
        <f t="shared" si="290"/>
        <v>-62690</v>
      </c>
      <c r="DU52" s="83">
        <f t="shared" si="291"/>
        <v>5394</v>
      </c>
      <c r="DV52" s="83">
        <f t="shared" si="266"/>
        <v>9154</v>
      </c>
      <c r="DW52" s="83">
        <f t="shared" si="267"/>
        <v>-474</v>
      </c>
      <c r="DX52" s="83" t="e">
        <f t="shared" ca="1" si="323"/>
        <v>#NUM!</v>
      </c>
      <c r="DY52" s="83" t="e">
        <f t="shared" ca="1" si="324"/>
        <v>#NUM!</v>
      </c>
      <c r="DZ52" s="83" t="e">
        <f t="shared" ca="1" si="325"/>
        <v>#NUM!</v>
      </c>
      <c r="EA52" s="83" t="e">
        <f t="shared" ca="1" si="326"/>
        <v>#NUM!</v>
      </c>
      <c r="EB52" s="83" t="e">
        <f t="shared" ca="1" si="327"/>
        <v>#NUM!</v>
      </c>
      <c r="EC52" s="83" t="e">
        <f t="shared" ca="1" si="328"/>
        <v>#NUM!</v>
      </c>
      <c r="ED52" s="63">
        <f t="shared" si="292"/>
        <v>8680</v>
      </c>
      <c r="EE52" s="84">
        <f t="shared" si="329"/>
        <v>0.25</v>
      </c>
      <c r="EF52" s="84">
        <f t="shared" si="330"/>
        <v>4.6726999999999999</v>
      </c>
      <c r="EG52" s="84">
        <f t="shared" si="331"/>
        <v>0.25</v>
      </c>
      <c r="EH52" s="84">
        <f t="shared" si="332"/>
        <v>4.9812000000000003</v>
      </c>
      <c r="EI52" s="84">
        <f t="shared" si="333"/>
        <v>0.1333</v>
      </c>
      <c r="EJ52" s="84">
        <f t="shared" si="334"/>
        <v>0.4763</v>
      </c>
      <c r="EK52" s="63" t="e">
        <f t="shared" ca="1" si="293"/>
        <v>#NUM!</v>
      </c>
      <c r="EL52" s="83" t="str">
        <f>RTD("tos.rtd",,EL$43,"."&amp;$A$43&amp;$AS$42&amp;"C"&amp;$A52)</f>
        <v>--</v>
      </c>
      <c r="EM52" s="83" t="str">
        <f>RTD("tos.rtd",,EM$43,"."&amp;$A$43&amp;$AS$42&amp;"P"&amp;$A52)</f>
        <v>467.27%</v>
      </c>
      <c r="EN52" s="83" t="str">
        <f>RTD("tos.rtd",,EN$2,"."&amp;$A$43&amp;$AU$1&amp;"C"&amp;$A52)</f>
        <v>--</v>
      </c>
      <c r="EO52" s="83" t="str">
        <f>RTD("tos.rtd",,EO$2,"."&amp;$A$43&amp;$AU$1&amp;"P"&amp;$A52)</f>
        <v>498.12%</v>
      </c>
      <c r="EP52" s="83" t="str">
        <f>RTD("tos.rtd",,EP$2,"."&amp;$A$43&amp;$AW$1&amp;"C"&amp;$A52)</f>
        <v>13.33%</v>
      </c>
      <c r="EQ52" s="83" t="str">
        <f>RTD("tos.rtd",,EQ$2,"."&amp;$A$43&amp;$AW$1&amp;"P"&amp;$A52)</f>
        <v>47.63%</v>
      </c>
      <c r="ES52" s="63" t="str">
        <f t="shared" si="274"/>
        <v>495,8680.00</v>
      </c>
      <c r="ET52" s="63" t="str">
        <f t="shared" ca="1" si="275"/>
        <v>495,00.00</v>
      </c>
      <c r="EU52" s="68">
        <v>561.17999999999995</v>
      </c>
      <c r="EV52" s="68" t="s">
        <v>435</v>
      </c>
      <c r="EW52" s="68">
        <v>483.53</v>
      </c>
      <c r="EX52" s="68" t="s">
        <v>436</v>
      </c>
      <c r="EY52" s="68">
        <v>5631.28</v>
      </c>
      <c r="EZ52" s="68" t="s">
        <v>437</v>
      </c>
      <c r="FA52" s="68">
        <v>19867.973000000002</v>
      </c>
      <c r="FB52" s="68" t="s">
        <v>438</v>
      </c>
      <c r="FC52" s="68" t="s">
        <v>439</v>
      </c>
      <c r="FD52" s="68" t="s">
        <v>440</v>
      </c>
      <c r="FE52" s="68" t="s">
        <v>441</v>
      </c>
      <c r="FF52" s="68" t="s">
        <v>442</v>
      </c>
    </row>
    <row r="53" spans="1:162" ht="13.5" thickBot="1" x14ac:dyDescent="0.25">
      <c r="A53" s="2">
        <f t="shared" si="294"/>
        <v>494</v>
      </c>
      <c r="B53" s="3">
        <f t="shared" si="299"/>
        <v>1003</v>
      </c>
      <c r="C53" s="3">
        <f t="shared" si="300"/>
        <v>3387</v>
      </c>
      <c r="D53" s="3">
        <f t="shared" si="301"/>
        <v>559</v>
      </c>
      <c r="E53" s="3">
        <f t="shared" si="302"/>
        <v>4949</v>
      </c>
      <c r="F53" s="4">
        <f t="shared" si="303"/>
        <v>20381.809471943201</v>
      </c>
      <c r="AM53" s="1">
        <v>-3548</v>
      </c>
      <c r="AN53" s="1">
        <v>-597</v>
      </c>
      <c r="AO53" s="1">
        <v>494</v>
      </c>
      <c r="AP53" s="1">
        <v>50658</v>
      </c>
      <c r="AQ53" s="1">
        <v>-4225</v>
      </c>
      <c r="AS53" s="6">
        <f>IF(RTD("tos.rtd",,AS$43,"."&amp;$A$43&amp;$AS$42&amp;"C"&amp;$A53)="N/A",0,RTD("tos.rtd",,AS$43,"."&amp;$A$43&amp;$AS$42&amp;"C"&amp;$A53))</f>
        <v>948</v>
      </c>
      <c r="AT53" s="7">
        <f>-IF(RTD("tos.rtd",,AT$43,"."&amp;$A$43&amp;$AS$42&amp;"P"&amp;$A53)="N/A",0,RTD("tos.rtd",,AT$43,"."&amp;$A$43&amp;$AS$42&amp;"P"&amp;$A53))</f>
        <v>-55</v>
      </c>
      <c r="AU53" s="6">
        <f>IF(RTD("tos.rtd",,AU$2,"."&amp;$A$43&amp;$AU$1&amp;"C"&amp;$A53)="N/A",0,RTD("tos.rtd",,AU$2,"."&amp;$A$43&amp;$AU$1&amp;"C"&amp;$A53))</f>
        <v>3016</v>
      </c>
      <c r="AV53" s="7">
        <f>-IF(RTD("tos.rtd",,AV$2,"."&amp;$A$43&amp;$AU$1&amp;"P"&amp;$A53)="N/A",0,RTD("tos.rtd",,AV$2,"."&amp;$A$43&amp;$AU$1&amp;"P"&amp;$A53))</f>
        <v>-371</v>
      </c>
      <c r="AW53" s="6">
        <f>IF(RTD("tos.rtd",,AW$2,"."&amp;$A$43&amp;$AW$1&amp;"C"&amp;$A53)="N/A",0,RTD("tos.rtd",,AW$2,"."&amp;$A$43&amp;$AW$1&amp;"C"&amp;$A53))</f>
        <v>449</v>
      </c>
      <c r="AX53" s="7">
        <f>-IF(RTD("tos.rtd",,AX$2,"."&amp;$A$43&amp;$AW$1&amp;"P"&amp;$A53)="N/A",0,RTD("tos.rtd",,AX$2,"."&amp;$A$43&amp;$AW$1&amp;"P"&amp;$A53))</f>
        <v>-110</v>
      </c>
      <c r="AY53" s="7">
        <f t="shared" si="304"/>
        <v>3877</v>
      </c>
      <c r="AZ53" s="8">
        <f t="shared" si="245"/>
        <v>494</v>
      </c>
      <c r="BA53" s="6">
        <f>IF(RTD("tos.rtd",,BA$43,"."&amp;$A$43&amp;$AS$42&amp;"C"&amp;$A53)="N/A",0,RTD("tos.rtd",,BA$43,"."&amp;$A$43&amp;$AS$42&amp;"C"&amp;$A53))</f>
        <v>0</v>
      </c>
      <c r="BB53" s="7">
        <f>-IF(RTD("tos.rtd",,BB$43,"."&amp;$A$43&amp;$AS$42&amp;"P"&amp;$A53)="N/A",0,RTD("tos.rtd",,BB$43,"."&amp;$A$43&amp;$AS$42&amp;"P"&amp;$A53))</f>
        <v>0</v>
      </c>
      <c r="BC53" s="6">
        <f>IF(RTD("tos.rtd",,BC$2,"."&amp;$A$43&amp;$AU$1&amp;"C"&amp;$A53)="N/A",0,RTD("tos.rtd",,BC$2,"."&amp;$A$43&amp;$AU$1&amp;"C"&amp;$A53))</f>
        <v>36320</v>
      </c>
      <c r="BD53" s="7">
        <f>-IF(RTD("tos.rtd",,BD$2,"."&amp;$A$43&amp;$AU$1&amp;"P"&amp;$A53)="N/A",0,RTD("tos.rtd",,BD$2,"."&amp;$A$43&amp;$AU$1&amp;"P"&amp;$A53))</f>
        <v>-783</v>
      </c>
      <c r="BE53" s="6">
        <f>IF(RTD("tos.rtd",,BE$2,"."&amp;$A$43&amp;$AW$1&amp;"C"&amp;$A53)="N/A",0,RTD("tos.rtd",,BE$2,"."&amp;$A$43&amp;$AW$1&amp;"C"&amp;$A53))</f>
        <v>1093</v>
      </c>
      <c r="BF53" s="7">
        <f>-IF(RTD("tos.rtd",,BF$2,"."&amp;$A$43&amp;$AW$1&amp;"P"&amp;$A53)="N/A",0,RTD("tos.rtd",,BF$2,"."&amp;$A$43&amp;$AW$1&amp;"P"&amp;$A53))</f>
        <v>-316</v>
      </c>
      <c r="BG53" s="32">
        <f ca="1">+Hoja2!Y54</f>
        <v>146</v>
      </c>
      <c r="BH53" s="7">
        <f t="shared" ca="1" si="277"/>
        <v>36460</v>
      </c>
      <c r="BI53" s="8" t="str">
        <f t="shared" ca="1" si="295"/>
        <v/>
      </c>
      <c r="BJ53" s="83" t="e">
        <f ca="1">IF($BP$1=1,DX53,IF(RTD("tos.rtd",,BJ$43,"."&amp;$A$43&amp;$AS$42&amp;"C"&amp;$A53)="N/A",0,RTD("tos.rtd",,BJ$43,"."&amp;$A$43&amp;$AS$42&amp;"C"&amp;$A53)))</f>
        <v>#NUM!</v>
      </c>
      <c r="BK53" s="83" t="e">
        <f ca="1">IF($BP$1=1,DY53,-IF(RTD("tos.rtd",,BK$43,"."&amp;$A$43&amp;$AS$42&amp;"P"&amp;$A53)="N/A",0,RTD("tos.rtd",,BK$43,"."&amp;$A$43&amp;$AS$42&amp;"P"&amp;$A53)))</f>
        <v>#NUM!</v>
      </c>
      <c r="BL53" s="83" t="e">
        <f ca="1">IF($BP$1=1,DZ53,IF(RTD("tos.rtd",,BL$2,"."&amp;$A$43&amp;$AU$1&amp;"C"&amp;$A53)="N/A",0,RTD("tos.rtd",,BL$2,"."&amp;$A$43&amp;$AU$1&amp;"C"&amp;$A53)))</f>
        <v>#NUM!</v>
      </c>
      <c r="BM53" s="83" t="e">
        <f ca="1">IF($BP$1=1,EA53,-IF(RTD("tos.rtd",,BM$2,"."&amp;$A$43&amp;$AU$1&amp;"P"&amp;$A53)="N/A",0,RTD("tos.rtd",,BM$2,"."&amp;$A$43&amp;$AU$1&amp;"P"&amp;$A53)))</f>
        <v>#NUM!</v>
      </c>
      <c r="BN53" s="83" t="e">
        <f ca="1">IF($BP$1=1,EB53,IF(RTD("tos.rtd",,BN$2,"."&amp;$A$43&amp;$AW$1&amp;"C"&amp;$A53)="N/A",0,RTD("tos.rtd",,BN$2,"."&amp;$A$43&amp;$AW$1&amp;"C"&amp;$A53)))</f>
        <v>#NUM!</v>
      </c>
      <c r="BO53" s="83" t="e">
        <f ca="1">IF($BP$1=1,EC53,-IF(RTD("tos.rtd",,BO$2,"."&amp;$A$43&amp;$AW$1&amp;"P"&amp;$A53)="N/A",0,RTD("tos.rtd",,BO$2,"."&amp;$A$43&amp;$AW$1&amp;"P"&amp;$A53)))</f>
        <v>#NUM!</v>
      </c>
      <c r="BQ53" s="83" t="e">
        <f t="shared" ca="1" si="305"/>
        <v>#NUM!</v>
      </c>
      <c r="BR53" s="3" t="e">
        <f t="shared" ca="1" si="279"/>
        <v>#NUM!</v>
      </c>
      <c r="BS53" s="83" t="e">
        <f t="shared" ca="1" si="306"/>
        <v>#NUM!</v>
      </c>
      <c r="BT53" s="3" t="e">
        <f t="shared" ca="1" si="281"/>
        <v>#NUM!</v>
      </c>
      <c r="BU53" s="83" t="e">
        <f t="shared" ca="1" si="307"/>
        <v>#NUM!</v>
      </c>
      <c r="BV53" s="83"/>
      <c r="BX53" s="83" t="e">
        <f t="shared" ca="1" si="308"/>
        <v>#NUM!</v>
      </c>
      <c r="BY53" s="83" t="e">
        <f t="shared" ca="1" si="296"/>
        <v>#NUM!</v>
      </c>
      <c r="BZ53" s="83" t="e">
        <f t="shared" ca="1" si="309"/>
        <v>#NUM!</v>
      </c>
      <c r="CA53" s="83" t="e">
        <f t="shared" ca="1" si="296"/>
        <v>#NUM!</v>
      </c>
      <c r="CB53" s="83" t="e">
        <f t="shared" ca="1" si="310"/>
        <v>#NUM!</v>
      </c>
      <c r="CC53" s="83" t="e">
        <f t="shared" ca="1" si="296"/>
        <v>#NUM!</v>
      </c>
      <c r="CD53" s="83">
        <f>IF(RTD("tos.rtd",,CD$43,"."&amp;$A$43&amp;$AS$42&amp;"C"&amp;$A53)="N/A",0,RTD("tos.rtd",,CD$43,"."&amp;$A$43&amp;$AS$42&amp;"C"&amp;$A53))</f>
        <v>1</v>
      </c>
      <c r="CE53" s="83">
        <f>-IF(RTD("tos.rtd",,CE$43,"."&amp;$A$43&amp;$AS$42&amp;"P"&amp;$A53)="N/A",0,RTD("tos.rtd",,CE$43,"."&amp;$A$43&amp;$AS$42&amp;"P"&amp;$A53))</f>
        <v>0.45</v>
      </c>
      <c r="CF53" s="83">
        <f>IF(RTD("tos.rtd",,CF$2,"."&amp;$A$43&amp;$AU$1&amp;"C"&amp;$A53)="N/A",0,RTD("tos.rtd",,CF$2,"."&amp;$A$43&amp;$AU$1&amp;"C"&amp;$A53))</f>
        <v>1</v>
      </c>
      <c r="CG53" s="83">
        <f>-IF(RTD("tos.rtd",,CG$2,"."&amp;$A$43&amp;$AU$1&amp;"P"&amp;$A53)="N/A",0,RTD("tos.rtd",,CG$2,"."&amp;$A$43&amp;$AU$1&amp;"P"&amp;$A53))</f>
        <v>0.45</v>
      </c>
      <c r="CH53" s="83">
        <f>IF(RTD("tos.rtd",,CH$2,"."&amp;$A$43&amp;$AW$1&amp;"C"&amp;$A53)="N/A",0,RTD("tos.rtd",,CH$2,"."&amp;$A$43&amp;$AW$1&amp;"C"&amp;$A53))</f>
        <v>0.62</v>
      </c>
      <c r="CI53" s="83">
        <f>-IF(RTD("tos.rtd",,CI$2,"."&amp;$A$43&amp;$AW$1&amp;"P"&amp;$A53)="N/A",0,RTD("tos.rtd",,CI$2,"."&amp;$A$43&amp;$AW$1&amp;"P"&amp;$A53))</f>
        <v>0.46</v>
      </c>
      <c r="CK53" s="83">
        <f t="shared" si="311"/>
        <v>92325</v>
      </c>
      <c r="CL53" s="83"/>
      <c r="CM53" s="83">
        <f t="shared" si="312"/>
        <v>284905</v>
      </c>
      <c r="CN53" s="83"/>
      <c r="CO53" s="83">
        <f t="shared" si="313"/>
        <v>22778</v>
      </c>
      <c r="CP53" s="83">
        <f t="shared" si="314"/>
        <v>400008</v>
      </c>
      <c r="CQ53" s="83">
        <f t="shared" si="315"/>
        <v>0</v>
      </c>
      <c r="CR53" s="83"/>
      <c r="CS53" s="83">
        <f t="shared" si="316"/>
        <v>35537</v>
      </c>
      <c r="CT53" s="83"/>
      <c r="CU53" s="83">
        <f t="shared" si="317"/>
        <v>777</v>
      </c>
      <c r="CV53" s="83"/>
      <c r="CW53" s="83" t="e">
        <f t="shared" ca="1" si="318"/>
        <v>#NUM!</v>
      </c>
      <c r="CY53" s="83" t="e">
        <f t="shared" ca="1" si="319"/>
        <v>#NUM!</v>
      </c>
      <c r="CZ53" s="70" t="e">
        <f t="shared" ca="1" si="297"/>
        <v>#NUM!</v>
      </c>
      <c r="DA53" s="83">
        <f>IF(RTD("tos.rtd",,DA$43,"."&amp;$A$43&amp;$AS$42&amp;"C"&amp;$A53)="N/A",0,RTD("tos.rtd",,DA$43,"."&amp;$A$43&amp;$AS$42&amp;"C"&amp;$A53))</f>
        <v>0.01</v>
      </c>
      <c r="DB53" s="83">
        <f>IF(RTD("tos.rtd",,DB$43,"."&amp;$A$43&amp;$AS$42&amp;"P"&amp;$A53)="N/A",0,RTD("tos.rtd",,DB$43,"."&amp;$A$43&amp;$AS$42&amp;"P"&amp;$A53))</f>
        <v>5.27</v>
      </c>
      <c r="DC53" s="83">
        <f>IF(RTD("tos.rtd",,DC$43,"."&amp;$A$43&amp;$AS$42&amp;"C"&amp;$A53)="N/A",0,RTD("tos.rtd",,DC$43,"."&amp;$A$43&amp;$AS$42&amp;"C"&amp;$A53))</f>
        <v>0.01</v>
      </c>
      <c r="DD53" s="83">
        <f>IF(RTD("tos.rtd",,DD$43,"."&amp;$A$43&amp;$AS$42&amp;"P"&amp;$A53)="N/A",0,RTD("tos.rtd",,DD$43,"."&amp;$A$43&amp;$AS$42&amp;"P"&amp;$A53))</f>
        <v>7.33</v>
      </c>
      <c r="DE53" s="83">
        <f>IF(RTD("tos.rtd",,DE$43,"."&amp;$A$43&amp;$AS$42&amp;"C"&amp;$A53)="N/A",0,RTD("tos.rtd",,DE$43,"."&amp;$A$43&amp;$AS$42&amp;"C"&amp;$A53))</f>
        <v>0</v>
      </c>
      <c r="DF53" s="83">
        <f>IF(RTD("tos.rtd",,DF$43,"."&amp;$A$43&amp;$AS$42&amp;"P"&amp;$A53)="N/A",0,RTD("tos.rtd",,DF$43,"."&amp;$A$43&amp;$AS$42&amp;"P"&amp;$A53))</f>
        <v>3.81</v>
      </c>
      <c r="DG53" s="86">
        <f t="shared" si="289"/>
        <v>-1.7799999999999727</v>
      </c>
      <c r="DH53" s="83">
        <f t="shared" si="320"/>
        <v>-50658</v>
      </c>
      <c r="DI53" s="83">
        <f t="shared" si="321"/>
        <v>1752.4147727272721</v>
      </c>
      <c r="DJ53" s="83">
        <f t="shared" si="322"/>
        <v>-50658</v>
      </c>
      <c r="DK53" s="83">
        <f t="shared" si="257"/>
        <v>0</v>
      </c>
      <c r="DL53" s="83">
        <f t="shared" si="258"/>
        <v>-48905.585227272728</v>
      </c>
      <c r="DM53" s="83">
        <f t="shared" si="259"/>
        <v>-50658</v>
      </c>
      <c r="DN53" s="64" t="str">
        <f t="shared" si="260"/>
        <v>UNKNOWN</v>
      </c>
      <c r="DO53" s="64" t="str">
        <f t="shared" si="261"/>
        <v>UNKNOWN</v>
      </c>
      <c r="DP53" s="83">
        <f t="shared" si="262"/>
        <v>8728.6458522727225</v>
      </c>
      <c r="DQ53" s="83">
        <f t="shared" si="263"/>
        <v>-506.58</v>
      </c>
      <c r="DR53" s="83" t="e">
        <f t="shared" ca="1" si="264"/>
        <v>#NUM!</v>
      </c>
      <c r="DS53" s="83">
        <f t="shared" si="265"/>
        <v>-50658</v>
      </c>
      <c r="DT53" s="83">
        <f t="shared" si="290"/>
        <v>-50658</v>
      </c>
      <c r="DU53" s="83">
        <f t="shared" si="291"/>
        <v>4225</v>
      </c>
      <c r="DV53" s="83">
        <f t="shared" si="266"/>
        <v>-3548</v>
      </c>
      <c r="DW53" s="83">
        <f t="shared" si="267"/>
        <v>-597</v>
      </c>
      <c r="DX53" s="83" t="e">
        <f t="shared" ca="1" si="323"/>
        <v>#NUM!</v>
      </c>
      <c r="DY53" s="83" t="e">
        <f t="shared" ca="1" si="324"/>
        <v>#NUM!</v>
      </c>
      <c r="DZ53" s="83" t="e">
        <f t="shared" ca="1" si="325"/>
        <v>#NUM!</v>
      </c>
      <c r="EA53" s="83" t="e">
        <f t="shared" ca="1" si="326"/>
        <v>#NUM!</v>
      </c>
      <c r="EB53" s="83" t="e">
        <f t="shared" ca="1" si="327"/>
        <v>#NUM!</v>
      </c>
      <c r="EC53" s="83" t="e">
        <f t="shared" ca="1" si="328"/>
        <v>#NUM!</v>
      </c>
      <c r="ED53" s="63">
        <f t="shared" si="292"/>
        <v>-4145</v>
      </c>
      <c r="EE53" s="84">
        <f t="shared" si="329"/>
        <v>0.25</v>
      </c>
      <c r="EF53" s="84">
        <f t="shared" si="330"/>
        <v>4.3067000000000002</v>
      </c>
      <c r="EG53" s="84">
        <f t="shared" si="331"/>
        <v>0.25</v>
      </c>
      <c r="EH53" s="84">
        <f t="shared" si="332"/>
        <v>4.6337999999999999</v>
      </c>
      <c r="EI53" s="84">
        <f t="shared" si="333"/>
        <v>0.12429999999999999</v>
      </c>
      <c r="EJ53" s="84">
        <f t="shared" si="334"/>
        <v>0.47010000000000002</v>
      </c>
      <c r="EK53" s="63" t="e">
        <f t="shared" ca="1" si="293"/>
        <v>#NUM!</v>
      </c>
      <c r="EL53" s="83" t="str">
        <f>RTD("tos.rtd",,EL$43,"."&amp;$A$43&amp;$AS$42&amp;"C"&amp;$A53)</f>
        <v>--</v>
      </c>
      <c r="EM53" s="83" t="str">
        <f>RTD("tos.rtd",,EM$43,"."&amp;$A$43&amp;$AS$42&amp;"P"&amp;$A53)</f>
        <v>430.67%</v>
      </c>
      <c r="EN53" s="83" t="str">
        <f>RTD("tos.rtd",,EN$2,"."&amp;$A$43&amp;$AU$1&amp;"C"&amp;$A53)</f>
        <v>--</v>
      </c>
      <c r="EO53" s="83" t="str">
        <f>RTD("tos.rtd",,EO$2,"."&amp;$A$43&amp;$AU$1&amp;"P"&amp;$A53)</f>
        <v>463.38%</v>
      </c>
      <c r="EP53" s="83" t="str">
        <f>RTD("tos.rtd",,EP$2,"."&amp;$A$43&amp;$AW$1&amp;"C"&amp;$A53)</f>
        <v>12.43%</v>
      </c>
      <c r="EQ53" s="83" t="str">
        <f>RTD("tos.rtd",,EQ$2,"."&amp;$A$43&amp;$AW$1&amp;"P"&amp;$A53)</f>
        <v>47.01%</v>
      </c>
      <c r="ES53" s="63" t="str">
        <f t="shared" si="274"/>
        <v>494,-4145.00</v>
      </c>
      <c r="ET53" s="63" t="str">
        <f t="shared" ca="1" si="275"/>
        <v>494,00.00</v>
      </c>
      <c r="EU53" s="68">
        <v>561.1</v>
      </c>
      <c r="EV53" s="68" t="s">
        <v>443</v>
      </c>
      <c r="EW53" s="68">
        <v>483.4</v>
      </c>
      <c r="EX53" s="68" t="s">
        <v>444</v>
      </c>
      <c r="EY53" s="68">
        <v>5631.28</v>
      </c>
      <c r="EZ53" s="68" t="s">
        <v>445</v>
      </c>
      <c r="FA53" s="68">
        <v>19867.973000000002</v>
      </c>
      <c r="FB53" s="68" t="s">
        <v>446</v>
      </c>
      <c r="FC53" s="68" t="s">
        <v>447</v>
      </c>
      <c r="FD53" s="68" t="s">
        <v>448</v>
      </c>
      <c r="FE53" s="68" t="s">
        <v>449</v>
      </c>
      <c r="FF53" s="68" t="s">
        <v>450</v>
      </c>
    </row>
    <row r="54" spans="1:162" ht="13.5" thickBot="1" x14ac:dyDescent="0.25">
      <c r="A54" s="2">
        <f t="shared" si="294"/>
        <v>493</v>
      </c>
      <c r="B54" s="3">
        <f t="shared" si="299"/>
        <v>1026</v>
      </c>
      <c r="C54" s="3">
        <f t="shared" si="300"/>
        <v>6763</v>
      </c>
      <c r="D54" s="3">
        <f t="shared" si="301"/>
        <v>836</v>
      </c>
      <c r="E54" s="3">
        <f t="shared" si="302"/>
        <v>8625</v>
      </c>
      <c r="F54" s="4">
        <f t="shared" si="303"/>
        <v>20340.550748315785</v>
      </c>
      <c r="AM54" s="1">
        <v>-2116</v>
      </c>
      <c r="AN54" s="1">
        <v>1744</v>
      </c>
      <c r="AO54" s="1">
        <v>493</v>
      </c>
      <c r="AP54" s="1">
        <v>106200</v>
      </c>
      <c r="AQ54" s="1">
        <v>-23264</v>
      </c>
      <c r="AS54" s="6">
        <f>IF(RTD("tos.rtd",,AS$43,"."&amp;$A$43&amp;$AS$42&amp;"C"&amp;$A54)="N/A",0,RTD("tos.rtd",,AS$43,"."&amp;$A$43&amp;$AS$42&amp;"C"&amp;$A54))</f>
        <v>994</v>
      </c>
      <c r="AT54" s="7">
        <f>-IF(RTD("tos.rtd",,AT$43,"."&amp;$A$43&amp;$AS$42&amp;"P"&amp;$A54)="N/A",0,RTD("tos.rtd",,AT$43,"."&amp;$A$43&amp;$AS$42&amp;"P"&amp;$A54))</f>
        <v>-32</v>
      </c>
      <c r="AU54" s="6">
        <f>IF(RTD("tos.rtd",,AU$2,"."&amp;$A$43&amp;$AU$1&amp;"C"&amp;$A54)="N/A",0,RTD("tos.rtd",,AU$2,"."&amp;$A$43&amp;$AU$1&amp;"C"&amp;$A54))</f>
        <v>6093</v>
      </c>
      <c r="AV54" s="7">
        <f>-IF(RTD("tos.rtd",,AV$2,"."&amp;$A$43&amp;$AU$1&amp;"P"&amp;$A54)="N/A",0,RTD("tos.rtd",,AV$2,"."&amp;$A$43&amp;$AU$1&amp;"P"&amp;$A54))</f>
        <v>-670</v>
      </c>
      <c r="AW54" s="6">
        <f>IF(RTD("tos.rtd",,AW$2,"."&amp;$A$43&amp;$AW$1&amp;"C"&amp;$A54)="N/A",0,RTD("tos.rtd",,AW$2,"."&amp;$A$43&amp;$AW$1&amp;"C"&amp;$A54))</f>
        <v>728</v>
      </c>
      <c r="AX54" s="7">
        <f>-IF(RTD("tos.rtd",,AX$2,"."&amp;$A$43&amp;$AW$1&amp;"P"&amp;$A54)="N/A",0,RTD("tos.rtd",,AX$2,"."&amp;$A$43&amp;$AW$1&amp;"P"&amp;$A54))</f>
        <v>-108</v>
      </c>
      <c r="AY54" s="7">
        <f t="shared" si="304"/>
        <v>7005</v>
      </c>
      <c r="AZ54" s="8">
        <f t="shared" si="245"/>
        <v>493</v>
      </c>
      <c r="BA54" s="6">
        <f>IF(RTD("tos.rtd",,BA$43,"."&amp;$A$43&amp;$AS$42&amp;"C"&amp;$A54)="N/A",0,RTD("tos.rtd",,BA$43,"."&amp;$A$43&amp;$AS$42&amp;"C"&amp;$A54))</f>
        <v>0</v>
      </c>
      <c r="BB54" s="7">
        <f>-IF(RTD("tos.rtd",,BB$43,"."&amp;$A$43&amp;$AS$42&amp;"P"&amp;$A54)="N/A",0,RTD("tos.rtd",,BB$43,"."&amp;$A$43&amp;$AS$42&amp;"P"&amp;$A54))</f>
        <v>0</v>
      </c>
      <c r="BC54" s="6">
        <f>IF(RTD("tos.rtd",,BC$2,"."&amp;$A$43&amp;$AU$1&amp;"C"&amp;$A54)="N/A",0,RTD("tos.rtd",,BC$2,"."&amp;$A$43&amp;$AU$1&amp;"C"&amp;$A54))</f>
        <v>74644</v>
      </c>
      <c r="BD54" s="7">
        <f>-IF(RTD("tos.rtd",,BD$2,"."&amp;$A$43&amp;$AU$1&amp;"P"&amp;$A54)="N/A",0,RTD("tos.rtd",,BD$2,"."&amp;$A$43&amp;$AU$1&amp;"P"&amp;$A54))</f>
        <v>-3069</v>
      </c>
      <c r="BE54" s="6">
        <f>IF(RTD("tos.rtd",,BE$2,"."&amp;$A$43&amp;$AW$1&amp;"C"&amp;$A54)="N/A",0,RTD("tos.rtd",,BE$2,"."&amp;$A$43&amp;$AW$1&amp;"C"&amp;$A54))</f>
        <v>1576</v>
      </c>
      <c r="BF54" s="7">
        <f>-IF(RTD("tos.rtd",,BF$2,"."&amp;$A$43&amp;$AW$1&amp;"P"&amp;$A54)="N/A",0,RTD("tos.rtd",,BF$2,"."&amp;$A$43&amp;$AW$1&amp;"P"&amp;$A54))</f>
        <v>-285</v>
      </c>
      <c r="BG54" s="32">
        <f ca="1">+Hoja2!Y55</f>
        <v>377</v>
      </c>
      <c r="BH54" s="7">
        <f t="shared" ca="1" si="277"/>
        <v>73243</v>
      </c>
      <c r="BI54" s="8" t="str">
        <f t="shared" ca="1" si="295"/>
        <v/>
      </c>
      <c r="BJ54" s="83" t="e">
        <f ca="1">IF($BP$1=1,DX54,IF(RTD("tos.rtd",,BJ$43,"."&amp;$A$43&amp;$AS$42&amp;"C"&amp;$A54)="N/A",0,RTD("tos.rtd",,BJ$43,"."&amp;$A$43&amp;$AS$42&amp;"C"&amp;$A54)))</f>
        <v>#NUM!</v>
      </c>
      <c r="BK54" s="83" t="e">
        <f ca="1">IF($BP$1=1,DY54,-IF(RTD("tos.rtd",,BK$43,"."&amp;$A$43&amp;$AS$42&amp;"P"&amp;$A54)="N/A",0,RTD("tos.rtd",,BK$43,"."&amp;$A$43&amp;$AS$42&amp;"P"&amp;$A54)))</f>
        <v>#NUM!</v>
      </c>
      <c r="BL54" s="83" t="e">
        <f ca="1">IF($BP$1=1,DZ54,IF(RTD("tos.rtd",,BL$2,"."&amp;$A$43&amp;$AU$1&amp;"C"&amp;$A54)="N/A",0,RTD("tos.rtd",,BL$2,"."&amp;$A$43&amp;$AU$1&amp;"C"&amp;$A54)))</f>
        <v>#NUM!</v>
      </c>
      <c r="BM54" s="83" t="e">
        <f ca="1">IF($BP$1=1,EA54,-IF(RTD("tos.rtd",,BM$2,"."&amp;$A$43&amp;$AU$1&amp;"P"&amp;$A54)="N/A",0,RTD("tos.rtd",,BM$2,"."&amp;$A$43&amp;$AU$1&amp;"P"&amp;$A54)))</f>
        <v>#NUM!</v>
      </c>
      <c r="BN54" s="83" t="e">
        <f ca="1">IF($BP$1=1,EB54,IF(RTD("tos.rtd",,BN$2,"."&amp;$A$43&amp;$AW$1&amp;"C"&amp;$A54)="N/A",0,RTD("tos.rtd",,BN$2,"."&amp;$A$43&amp;$AW$1&amp;"C"&amp;$A54)))</f>
        <v>#NUM!</v>
      </c>
      <c r="BO54" s="83" t="e">
        <f ca="1">IF($BP$1=1,EC54,-IF(RTD("tos.rtd",,BO$2,"."&amp;$A$43&amp;$AW$1&amp;"P"&amp;$A54)="N/A",0,RTD("tos.rtd",,BO$2,"."&amp;$A$43&amp;$AW$1&amp;"P"&amp;$A54)))</f>
        <v>#NUM!</v>
      </c>
      <c r="BQ54" s="83" t="e">
        <f t="shared" ca="1" si="305"/>
        <v>#NUM!</v>
      </c>
      <c r="BR54" s="3" t="e">
        <f t="shared" ca="1" si="279"/>
        <v>#NUM!</v>
      </c>
      <c r="BS54" s="83" t="e">
        <f t="shared" ca="1" si="306"/>
        <v>#NUM!</v>
      </c>
      <c r="BT54" s="3" t="e">
        <f t="shared" ca="1" si="281"/>
        <v>#NUM!</v>
      </c>
      <c r="BU54" s="83" t="e">
        <f t="shared" ca="1" si="307"/>
        <v>#NUM!</v>
      </c>
      <c r="BV54" s="83"/>
      <c r="BX54" s="83" t="e">
        <f t="shared" ca="1" si="308"/>
        <v>#NUM!</v>
      </c>
      <c r="BY54" s="83" t="e">
        <f t="shared" ca="1" si="296"/>
        <v>#NUM!</v>
      </c>
      <c r="BZ54" s="83" t="e">
        <f t="shared" ca="1" si="309"/>
        <v>#NUM!</v>
      </c>
      <c r="CA54" s="83" t="e">
        <f t="shared" ca="1" si="296"/>
        <v>#NUM!</v>
      </c>
      <c r="CB54" s="83" t="e">
        <f t="shared" ca="1" si="310"/>
        <v>#NUM!</v>
      </c>
      <c r="CC54" s="83" t="e">
        <f t="shared" ca="1" si="296"/>
        <v>#NUM!</v>
      </c>
      <c r="CD54" s="83">
        <f>IF(RTD("tos.rtd",,CD$43,"."&amp;$A$43&amp;$AS$42&amp;"C"&amp;$A54)="N/A",0,RTD("tos.rtd",,CD$43,"."&amp;$A$43&amp;$AS$42&amp;"C"&amp;$A54))</f>
        <v>1</v>
      </c>
      <c r="CE54" s="83">
        <f>-IF(RTD("tos.rtd",,CE$43,"."&amp;$A$43&amp;$AS$42&amp;"P"&amp;$A54)="N/A",0,RTD("tos.rtd",,CE$43,"."&amp;$A$43&amp;$AS$42&amp;"P"&amp;$A54))</f>
        <v>0.43</v>
      </c>
      <c r="CF54" s="83">
        <f>IF(RTD("tos.rtd",,CF$2,"."&amp;$A$43&amp;$AU$1&amp;"C"&amp;$A54)="N/A",0,RTD("tos.rtd",,CF$2,"."&amp;$A$43&amp;$AU$1&amp;"C"&amp;$A54))</f>
        <v>1</v>
      </c>
      <c r="CG54" s="83">
        <f>-IF(RTD("tos.rtd",,CG$2,"."&amp;$A$43&amp;$AU$1&amp;"P"&amp;$A54)="N/A",0,RTD("tos.rtd",,CG$2,"."&amp;$A$43&amp;$AU$1&amp;"P"&amp;$A54))</f>
        <v>0.42</v>
      </c>
      <c r="CH54" s="83">
        <f>IF(RTD("tos.rtd",,CH$2,"."&amp;$A$43&amp;$AW$1&amp;"C"&amp;$A54)="N/A",0,RTD("tos.rtd",,CH$2,"."&amp;$A$43&amp;$AW$1&amp;"C"&amp;$A54))</f>
        <v>0.68</v>
      </c>
      <c r="CI54" s="83">
        <f>-IF(RTD("tos.rtd",,CI$2,"."&amp;$A$43&amp;$AW$1&amp;"P"&amp;$A54)="N/A",0,RTD("tos.rtd",,CI$2,"."&amp;$A$43&amp;$AW$1&amp;"P"&amp;$A54))</f>
        <v>0.44</v>
      </c>
      <c r="CK54" s="83">
        <f t="shared" si="311"/>
        <v>98024</v>
      </c>
      <c r="CL54" s="83"/>
      <c r="CM54" s="83">
        <f t="shared" si="312"/>
        <v>581160</v>
      </c>
      <c r="CN54" s="83"/>
      <c r="CO54" s="83">
        <f t="shared" si="313"/>
        <v>44752</v>
      </c>
      <c r="CP54" s="83">
        <f t="shared" si="314"/>
        <v>723936</v>
      </c>
      <c r="CQ54" s="83">
        <f t="shared" si="315"/>
        <v>0</v>
      </c>
      <c r="CR54" s="83"/>
      <c r="CS54" s="83">
        <f t="shared" si="316"/>
        <v>71575</v>
      </c>
      <c r="CT54" s="83"/>
      <c r="CU54" s="83">
        <f t="shared" si="317"/>
        <v>1291</v>
      </c>
      <c r="CV54" s="83"/>
      <c r="CW54" s="83" t="e">
        <f t="shared" ca="1" si="318"/>
        <v>#NUM!</v>
      </c>
      <c r="CY54" s="83" t="e">
        <f t="shared" ca="1" si="319"/>
        <v>#NUM!</v>
      </c>
      <c r="CZ54" s="70" t="e">
        <f t="shared" ca="1" si="297"/>
        <v>#NUM!</v>
      </c>
      <c r="DA54" s="83">
        <f>IF(RTD("tos.rtd",,DA$43,"."&amp;$A$43&amp;$AS$42&amp;"C"&amp;$A54)="N/A",0,RTD("tos.rtd",,DA$43,"."&amp;$A$43&amp;$AS$42&amp;"C"&amp;$A54))</f>
        <v>0.01</v>
      </c>
      <c r="DB54" s="83">
        <f>IF(RTD("tos.rtd",,DB$43,"."&amp;$A$43&amp;$AS$42&amp;"P"&amp;$A54)="N/A",0,RTD("tos.rtd",,DB$43,"."&amp;$A$43&amp;$AS$42&amp;"P"&amp;$A54))</f>
        <v>4.22</v>
      </c>
      <c r="DC54" s="83">
        <f>IF(RTD("tos.rtd",,DC$43,"."&amp;$A$43&amp;$AS$42&amp;"C"&amp;$A54)="N/A",0,RTD("tos.rtd",,DC$43,"."&amp;$A$43&amp;$AS$42&amp;"C"&amp;$A54))</f>
        <v>0.01</v>
      </c>
      <c r="DD54" s="83">
        <f>IF(RTD("tos.rtd",,DD$43,"."&amp;$A$43&amp;$AS$42&amp;"P"&amp;$A54)="N/A",0,RTD("tos.rtd",,DD$43,"."&amp;$A$43&amp;$AS$42&amp;"P"&amp;$A54))</f>
        <v>6.73</v>
      </c>
      <c r="DE54" s="83">
        <f>IF(RTD("tos.rtd",,DE$43,"."&amp;$A$43&amp;$AS$42&amp;"C"&amp;$A54)="N/A",0,RTD("tos.rtd",,DE$43,"."&amp;$A$43&amp;$AS$42&amp;"C"&amp;$A54))</f>
        <v>0</v>
      </c>
      <c r="DF54" s="83">
        <f>IF(RTD("tos.rtd",,DF$43,"."&amp;$A$43&amp;$AS$42&amp;"P"&amp;$A54)="N/A",0,RTD("tos.rtd",,DF$43,"."&amp;$A$43&amp;$AS$42&amp;"P"&amp;$A54))</f>
        <v>4.16</v>
      </c>
      <c r="DG54" s="86">
        <f t="shared" si="289"/>
        <v>-2.7799999999999727</v>
      </c>
      <c r="DH54" s="83">
        <f t="shared" si="320"/>
        <v>-106200</v>
      </c>
      <c r="DI54" s="83">
        <f t="shared" si="321"/>
        <v>543.12840466925707</v>
      </c>
      <c r="DJ54" s="83">
        <f t="shared" si="322"/>
        <v>-106200</v>
      </c>
      <c r="DK54" s="83">
        <f t="shared" si="257"/>
        <v>-23264</v>
      </c>
      <c r="DL54" s="83">
        <f t="shared" si="258"/>
        <v>-105656.87159533074</v>
      </c>
      <c r="DM54" s="83">
        <f t="shared" si="259"/>
        <v>-129464</v>
      </c>
      <c r="DN54" s="64" t="str">
        <f t="shared" si="260"/>
        <v>UNKNOWN</v>
      </c>
      <c r="DO54" s="64" t="str">
        <f t="shared" si="261"/>
        <v>UNKNOWN</v>
      </c>
      <c r="DP54" s="83">
        <f t="shared" si="262"/>
        <v>1230.0018677042649</v>
      </c>
      <c r="DQ54" s="83">
        <f t="shared" si="263"/>
        <v>-99236.079999999987</v>
      </c>
      <c r="DR54" s="83" t="e">
        <f t="shared" ca="1" si="264"/>
        <v>#NUM!</v>
      </c>
      <c r="DS54" s="83">
        <f t="shared" si="265"/>
        <v>-116203.52</v>
      </c>
      <c r="DT54" s="83">
        <f t="shared" si="290"/>
        <v>-106200</v>
      </c>
      <c r="DU54" s="83">
        <f t="shared" si="291"/>
        <v>23264</v>
      </c>
      <c r="DV54" s="83">
        <f t="shared" si="266"/>
        <v>-2116</v>
      </c>
      <c r="DW54" s="83">
        <f t="shared" si="267"/>
        <v>1744</v>
      </c>
      <c r="DX54" s="83" t="e">
        <f t="shared" ca="1" si="323"/>
        <v>#NUM!</v>
      </c>
      <c r="DY54" s="83" t="e">
        <f t="shared" ca="1" si="324"/>
        <v>#NUM!</v>
      </c>
      <c r="DZ54" s="83" t="e">
        <f t="shared" ca="1" si="325"/>
        <v>#NUM!</v>
      </c>
      <c r="EA54" s="83" t="e">
        <f t="shared" ca="1" si="326"/>
        <v>#NUM!</v>
      </c>
      <c r="EB54" s="83" t="e">
        <f t="shared" ca="1" si="327"/>
        <v>#NUM!</v>
      </c>
      <c r="EC54" s="83" t="e">
        <f t="shared" ca="1" si="328"/>
        <v>#NUM!</v>
      </c>
      <c r="ED54" s="63">
        <f t="shared" si="292"/>
        <v>-372</v>
      </c>
      <c r="EE54" s="84">
        <f t="shared" si="329"/>
        <v>0.25</v>
      </c>
      <c r="EF54" s="84">
        <f t="shared" si="330"/>
        <v>4.5279999999999996</v>
      </c>
      <c r="EG54" s="84">
        <f t="shared" si="331"/>
        <v>0.25</v>
      </c>
      <c r="EH54" s="84">
        <f t="shared" si="332"/>
        <v>4.2590000000000003</v>
      </c>
      <c r="EI54" s="84">
        <f t="shared" si="333"/>
        <v>0.11269999999999999</v>
      </c>
      <c r="EJ54" s="84">
        <f t="shared" si="334"/>
        <v>0.4642</v>
      </c>
      <c r="EK54" s="63" t="e">
        <f t="shared" ca="1" si="293"/>
        <v>#NUM!</v>
      </c>
      <c r="EL54" s="83" t="str">
        <f>RTD("tos.rtd",,EL$43,"."&amp;$A$43&amp;$AS$42&amp;"C"&amp;$A54)</f>
        <v>--</v>
      </c>
      <c r="EM54" s="83" t="str">
        <f>RTD("tos.rtd",,EM$43,"."&amp;$A$43&amp;$AS$42&amp;"P"&amp;$A54)</f>
        <v>452.80%</v>
      </c>
      <c r="EN54" s="83" t="str">
        <f>RTD("tos.rtd",,EN$2,"."&amp;$A$43&amp;$AU$1&amp;"C"&amp;$A54)</f>
        <v>--</v>
      </c>
      <c r="EO54" s="83" t="str">
        <f>RTD("tos.rtd",,EO$2,"."&amp;$A$43&amp;$AU$1&amp;"P"&amp;$A54)</f>
        <v>425.90%</v>
      </c>
      <c r="EP54" s="83" t="str">
        <f>RTD("tos.rtd",,EP$2,"."&amp;$A$43&amp;$AW$1&amp;"C"&amp;$A54)</f>
        <v>11.27%</v>
      </c>
      <c r="EQ54" s="83" t="str">
        <f>RTD("tos.rtd",,EQ$2,"."&amp;$A$43&amp;$AW$1&amp;"P"&amp;$A54)</f>
        <v>46.42%</v>
      </c>
      <c r="ES54" s="63" t="str">
        <f t="shared" si="274"/>
        <v>493,-372.00</v>
      </c>
      <c r="ET54" s="63" t="str">
        <f t="shared" ca="1" si="275"/>
        <v>493,00.00</v>
      </c>
      <c r="EU54" s="68">
        <v>560.99</v>
      </c>
      <c r="EV54" s="68" t="s">
        <v>451</v>
      </c>
      <c r="EW54" s="68">
        <v>483.3</v>
      </c>
      <c r="EX54" s="68" t="s">
        <v>452</v>
      </c>
      <c r="EY54" s="68">
        <v>5631.28</v>
      </c>
      <c r="EZ54" s="68" t="s">
        <v>453</v>
      </c>
      <c r="FA54" s="68">
        <v>19867.973000000002</v>
      </c>
      <c r="FB54" s="68" t="s">
        <v>454</v>
      </c>
      <c r="FC54" s="68" t="s">
        <v>455</v>
      </c>
      <c r="FD54" s="68" t="s">
        <v>456</v>
      </c>
      <c r="FE54" s="68" t="s">
        <v>457</v>
      </c>
      <c r="FF54" s="68" t="s">
        <v>458</v>
      </c>
    </row>
    <row r="55" spans="1:162" ht="13.5" thickBot="1" x14ac:dyDescent="0.25">
      <c r="A55" s="2">
        <f t="shared" si="294"/>
        <v>492</v>
      </c>
      <c r="B55" s="3">
        <f t="shared" ref="B55" si="335">+IF($A$1="ABS",AS55-AT55,AS55+AT55)</f>
        <v>3054</v>
      </c>
      <c r="C55" s="3">
        <f t="shared" ref="C55" si="336">+IF($A$1="ABS",AU55-AV55,AU55+AV55)</f>
        <v>7686</v>
      </c>
      <c r="D55" s="3">
        <f t="shared" ref="D55" si="337">+IF($A$1="ABS",AW55-AX55,AW55+AX55)</f>
        <v>1613</v>
      </c>
      <c r="E55" s="3">
        <f t="shared" ref="E55" si="338">SUM(B55:D55)</f>
        <v>12353</v>
      </c>
      <c r="F55" s="4">
        <f t="shared" ref="F55" si="339">+$F$44/$A$44*A55</f>
        <v>20299.29202468837</v>
      </c>
      <c r="AM55" s="1">
        <v>4698</v>
      </c>
      <c r="AN55" s="1">
        <v>5626</v>
      </c>
      <c r="AO55" s="1">
        <v>492</v>
      </c>
      <c r="AP55" s="1">
        <v>162420</v>
      </c>
      <c r="AQ55" s="1">
        <v>-81303</v>
      </c>
      <c r="AS55" s="6">
        <f>IF(RTD("tos.rtd",,AS$43,"."&amp;$A$43&amp;$AS$42&amp;"C"&amp;$A55)="N/A",0,RTD("tos.rtd",,AS$43,"."&amp;$A$43&amp;$AS$42&amp;"C"&amp;$A55))</f>
        <v>2863</v>
      </c>
      <c r="AT55" s="7">
        <f>-IF(RTD("tos.rtd",,AT$43,"."&amp;$A$43&amp;$AS$42&amp;"P"&amp;$A55)="N/A",0,RTD("tos.rtd",,AT$43,"."&amp;$A$43&amp;$AS$42&amp;"P"&amp;$A55))</f>
        <v>-191</v>
      </c>
      <c r="AU55" s="6">
        <f>IF(RTD("tos.rtd",,AU$2,"."&amp;$A$43&amp;$AU$1&amp;"C"&amp;$A55)="N/A",0,RTD("tos.rtd",,AU$2,"."&amp;$A$43&amp;$AU$1&amp;"C"&amp;$A55))</f>
        <v>5394</v>
      </c>
      <c r="AV55" s="7">
        <f>-IF(RTD("tos.rtd",,AV$2,"."&amp;$A$43&amp;$AU$1&amp;"P"&amp;$A55)="N/A",0,RTD("tos.rtd",,AV$2,"."&amp;$A$43&amp;$AU$1&amp;"P"&amp;$A55))</f>
        <v>-2292</v>
      </c>
      <c r="AW55" s="6">
        <f>IF(RTD("tos.rtd",,AW$2,"."&amp;$A$43&amp;$AW$1&amp;"C"&amp;$A55)="N/A",0,RTD("tos.rtd",,AW$2,"."&amp;$A$43&amp;$AW$1&amp;"C"&amp;$A55))</f>
        <v>1025</v>
      </c>
      <c r="AX55" s="7">
        <f>-IF(RTD("tos.rtd",,AX$2,"."&amp;$A$43&amp;$AW$1&amp;"P"&amp;$A55)="N/A",0,RTD("tos.rtd",,AX$2,"."&amp;$A$43&amp;$AW$1&amp;"P"&amp;$A55))</f>
        <v>-588</v>
      </c>
      <c r="AY55" s="7">
        <f t="shared" ref="AY55" si="340">SUM(AS55:AX55)</f>
        <v>6211</v>
      </c>
      <c r="AZ55" s="8">
        <f t="shared" si="245"/>
        <v>492</v>
      </c>
      <c r="BA55" s="6">
        <f>IF(RTD("tos.rtd",,BA$43,"."&amp;$A$43&amp;$AS$42&amp;"C"&amp;$A55)="N/A",0,RTD("tos.rtd",,BA$43,"."&amp;$A$43&amp;$AS$42&amp;"C"&amp;$A55))</f>
        <v>0</v>
      </c>
      <c r="BB55" s="7">
        <f>-IF(RTD("tos.rtd",,BB$43,"."&amp;$A$43&amp;$AS$42&amp;"P"&amp;$A55)="N/A",0,RTD("tos.rtd",,BB$43,"."&amp;$A$43&amp;$AS$42&amp;"P"&amp;$A55))</f>
        <v>0</v>
      </c>
      <c r="BC55" s="6">
        <f>IF(RTD("tos.rtd",,BC$2,"."&amp;$A$43&amp;$AU$1&amp;"C"&amp;$A55)="N/A",0,RTD("tos.rtd",,BC$2,"."&amp;$A$43&amp;$AU$1&amp;"C"&amp;$A55))</f>
        <v>97017</v>
      </c>
      <c r="BD55" s="7">
        <f>-IF(RTD("tos.rtd",,BD$2,"."&amp;$A$43&amp;$AU$1&amp;"P"&amp;$A55)="N/A",0,RTD("tos.rtd",,BD$2,"."&amp;$A$43&amp;$AU$1&amp;"P"&amp;$A55))</f>
        <v>-11255</v>
      </c>
      <c r="BE55" s="6">
        <f>IF(RTD("tos.rtd",,BE$2,"."&amp;$A$43&amp;$AW$1&amp;"C"&amp;$A55)="N/A",0,RTD("tos.rtd",,BE$2,"."&amp;$A$43&amp;$AW$1&amp;"C"&amp;$A55))</f>
        <v>2465</v>
      </c>
      <c r="BF55" s="7">
        <f>-IF(RTD("tos.rtd",,BF$2,"."&amp;$A$43&amp;$AW$1&amp;"P"&amp;$A55)="N/A",0,RTD("tos.rtd",,BF$2,"."&amp;$A$43&amp;$AW$1&amp;"P"&amp;$A55))</f>
        <v>-521</v>
      </c>
      <c r="BG55" s="32">
        <f ca="1">+Hoja2!Y56</f>
        <v>523</v>
      </c>
      <c r="BH55" s="7">
        <f t="shared" ca="1" si="277"/>
        <v>88229</v>
      </c>
      <c r="BI55" s="8" t="str">
        <f t="shared" ca="1" si="295"/>
        <v/>
      </c>
      <c r="BJ55" s="83" t="e">
        <f ca="1">IF($BP$1=1,DX55,IF(RTD("tos.rtd",,BJ$43,"."&amp;$A$43&amp;$AS$42&amp;"C"&amp;$A55)="N/A",0,RTD("tos.rtd",,BJ$43,"."&amp;$A$43&amp;$AS$42&amp;"C"&amp;$A55)))</f>
        <v>#NUM!</v>
      </c>
      <c r="BK55" s="83" t="e">
        <f ca="1">IF($BP$1=1,DY55,-IF(RTD("tos.rtd",,BK$43,"."&amp;$A$43&amp;$AS$42&amp;"P"&amp;$A55)="N/A",0,RTD("tos.rtd",,BK$43,"."&amp;$A$43&amp;$AS$42&amp;"P"&amp;$A55)))</f>
        <v>#NUM!</v>
      </c>
      <c r="BL55" s="83" t="e">
        <f ca="1">IF($BP$1=1,DZ55,IF(RTD("tos.rtd",,BL$2,"."&amp;$A$43&amp;$AU$1&amp;"C"&amp;$A55)="N/A",0,RTD("tos.rtd",,BL$2,"."&amp;$A$43&amp;$AU$1&amp;"C"&amp;$A55)))</f>
        <v>#NUM!</v>
      </c>
      <c r="BM55" s="83" t="e">
        <f ca="1">IF($BP$1=1,EA55,-IF(RTD("tos.rtd",,BM$2,"."&amp;$A$43&amp;$AU$1&amp;"P"&amp;$A55)="N/A",0,RTD("tos.rtd",,BM$2,"."&amp;$A$43&amp;$AU$1&amp;"P"&amp;$A55)))</f>
        <v>#NUM!</v>
      </c>
      <c r="BN55" s="83" t="e">
        <f ca="1">IF($BP$1=1,EB55,IF(RTD("tos.rtd",,BN$2,"."&amp;$A$43&amp;$AW$1&amp;"C"&amp;$A55)="N/A",0,RTD("tos.rtd",,BN$2,"."&amp;$A$43&amp;$AW$1&amp;"C"&amp;$A55)))</f>
        <v>#NUM!</v>
      </c>
      <c r="BO55" s="83" t="e">
        <f ca="1">IF($BP$1=1,EC55,-IF(RTD("tos.rtd",,BO$2,"."&amp;$A$43&amp;$AW$1&amp;"P"&amp;$A55)="N/A",0,RTD("tos.rtd",,BO$2,"."&amp;$A$43&amp;$AW$1&amp;"P"&amp;$A55)))</f>
        <v>#NUM!</v>
      </c>
      <c r="BQ55" s="83" t="e">
        <f t="shared" ref="BQ55" ca="1" si="341">+$A$44*$A$44*AS55*BJ55-$A$44*$A$44*AT55*BK55</f>
        <v>#NUM!</v>
      </c>
      <c r="BR55" s="3" t="e">
        <f t="shared" ca="1" si="279"/>
        <v>#NUM!</v>
      </c>
      <c r="BS55" s="83" t="e">
        <f t="shared" ref="BS55" ca="1" si="342">+$A$44*$A$44*AU55*BL55-$A$44*$A$44*AV55*BM55</f>
        <v>#NUM!</v>
      </c>
      <c r="BT55" s="3" t="e">
        <f t="shared" ca="1" si="281"/>
        <v>#NUM!</v>
      </c>
      <c r="BU55" s="83" t="e">
        <f t="shared" ref="BU55" ca="1" si="343">+$A$44*$A$44*AW55*BN55-$A$44*$A$44*AX55*BO55</f>
        <v>#NUM!</v>
      </c>
      <c r="BV55" s="83"/>
      <c r="BX55" s="83" t="e">
        <f t="shared" ref="BX55" ca="1" si="344">+$A$44*$A$44*BA55*BJ55-$A$44*$A$44*BB55*BK55</f>
        <v>#NUM!</v>
      </c>
      <c r="BY55" s="83" t="e">
        <f t="shared" ca="1" si="296"/>
        <v>#NUM!</v>
      </c>
      <c r="BZ55" s="83" t="e">
        <f t="shared" ref="BZ55" ca="1" si="345">+$A$44*$A$44*BC55*BL55-$A$44*$A$44*BD55*BM55</f>
        <v>#NUM!</v>
      </c>
      <c r="CA55" s="83" t="e">
        <f t="shared" ca="1" si="296"/>
        <v>#NUM!</v>
      </c>
      <c r="CB55" s="83" t="e">
        <f t="shared" ref="CB55" ca="1" si="346">+$A$44*$A$44*BE55*BN55-$A$44*$A$44*BF55*BO55</f>
        <v>#NUM!</v>
      </c>
      <c r="CC55" s="83" t="e">
        <f t="shared" ca="1" si="296"/>
        <v>#NUM!</v>
      </c>
      <c r="CD55" s="83">
        <f>IF(RTD("tos.rtd",,CD$43,"."&amp;$A$43&amp;$AS$42&amp;"C"&amp;$A55)="N/A",0,RTD("tos.rtd",,CD$43,"."&amp;$A$43&amp;$AS$42&amp;"C"&amp;$A55))</f>
        <v>1</v>
      </c>
      <c r="CE55" s="83">
        <f>-IF(RTD("tos.rtd",,CE$43,"."&amp;$A$43&amp;$AS$42&amp;"P"&amp;$A55)="N/A",0,RTD("tos.rtd",,CE$43,"."&amp;$A$43&amp;$AS$42&amp;"P"&amp;$A55))</f>
        <v>0.39</v>
      </c>
      <c r="CF55" s="83">
        <f>IF(RTD("tos.rtd",,CF$2,"."&amp;$A$43&amp;$AU$1&amp;"C"&amp;$A55)="N/A",0,RTD("tos.rtd",,CF$2,"."&amp;$A$43&amp;$AU$1&amp;"C"&amp;$A55))</f>
        <v>1</v>
      </c>
      <c r="CG55" s="83">
        <f>-IF(RTD("tos.rtd",,CG$2,"."&amp;$A$43&amp;$AU$1&amp;"P"&amp;$A55)="N/A",0,RTD("tos.rtd",,CG$2,"."&amp;$A$43&amp;$AU$1&amp;"P"&amp;$A55))</f>
        <v>0.39</v>
      </c>
      <c r="CH55" s="83">
        <f>IF(RTD("tos.rtd",,CH$2,"."&amp;$A$43&amp;$AW$1&amp;"C"&amp;$A55)="N/A",0,RTD("tos.rtd",,CH$2,"."&amp;$A$43&amp;$AW$1&amp;"C"&amp;$A55))</f>
        <v>0.77</v>
      </c>
      <c r="CI55" s="83">
        <f>-IF(RTD("tos.rtd",,CI$2,"."&amp;$A$43&amp;$AW$1&amp;"P"&amp;$A55)="N/A",0,RTD("tos.rtd",,CI$2,"."&amp;$A$43&amp;$AW$1&amp;"P"&amp;$A55))</f>
        <v>0.43</v>
      </c>
      <c r="CK55" s="83">
        <f t="shared" ref="CK55" si="347">+AS55*CD55*100+AT55*CE55*100</f>
        <v>278851</v>
      </c>
      <c r="CL55" s="83"/>
      <c r="CM55" s="83">
        <f t="shared" ref="CM55" si="348">+AU55*CF55*100+AV55*CG55*100</f>
        <v>450012</v>
      </c>
      <c r="CN55" s="83"/>
      <c r="CO55" s="83">
        <f t="shared" ref="CO55" si="349">+AW55*CH55*100+AX55*CI55*100</f>
        <v>53641</v>
      </c>
      <c r="CP55" s="83">
        <f t="shared" ref="CP55" si="350">+CK55+CM55+CO55</f>
        <v>782504</v>
      </c>
      <c r="CQ55" s="83">
        <f t="shared" ref="CQ55" si="351">+BA55+BB55</f>
        <v>0</v>
      </c>
      <c r="CR55" s="83"/>
      <c r="CS55" s="83">
        <f t="shared" ref="CS55" si="352">+BC55+BD55</f>
        <v>85762</v>
      </c>
      <c r="CT55" s="83"/>
      <c r="CU55" s="83">
        <f t="shared" ref="CU55" si="353">+BE55+BF55</f>
        <v>1944</v>
      </c>
      <c r="CV55" s="83"/>
      <c r="CW55" s="83" t="e">
        <f t="shared" ref="CW55" ca="1" si="354">+BQ55+BS55+BU55</f>
        <v>#NUM!</v>
      </c>
      <c r="CY55" s="83" t="e">
        <f t="shared" ref="CY55" ca="1" si="355">+BX55+BZ55+CB55</f>
        <v>#NUM!</v>
      </c>
      <c r="CZ55" s="70" t="e">
        <f t="shared" ca="1" si="297"/>
        <v>#NUM!</v>
      </c>
      <c r="DA55" s="83">
        <f>IF(RTD("tos.rtd",,DA$43,"."&amp;$A$43&amp;$AS$42&amp;"C"&amp;$A55)="N/A",0,RTD("tos.rtd",,DA$43,"."&amp;$A$43&amp;$AS$42&amp;"C"&amp;$A55))</f>
        <v>0.01</v>
      </c>
      <c r="DB55" s="83">
        <f>IF(RTD("tos.rtd",,DB$43,"."&amp;$A$43&amp;$AS$42&amp;"P"&amp;$A55)="N/A",0,RTD("tos.rtd",,DB$43,"."&amp;$A$43&amp;$AS$42&amp;"P"&amp;$A55))</f>
        <v>3.66</v>
      </c>
      <c r="DC55" s="83">
        <f>IF(RTD("tos.rtd",,DC$43,"."&amp;$A$43&amp;$AS$42&amp;"C"&amp;$A55)="N/A",0,RTD("tos.rtd",,DC$43,"."&amp;$A$43&amp;$AS$42&amp;"C"&amp;$A55))</f>
        <v>0.01</v>
      </c>
      <c r="DD55" s="83">
        <f>IF(RTD("tos.rtd",,DD$43,"."&amp;$A$43&amp;$AS$42&amp;"P"&amp;$A55)="N/A",0,RTD("tos.rtd",,DD$43,"."&amp;$A$43&amp;$AS$42&amp;"P"&amp;$A55))</f>
        <v>5.6</v>
      </c>
      <c r="DE55" s="83">
        <f>IF(RTD("tos.rtd",,DE$43,"."&amp;$A$43&amp;$AS$42&amp;"C"&amp;$A55)="N/A",0,RTD("tos.rtd",,DE$43,"."&amp;$A$43&amp;$AS$42&amp;"C"&amp;$A55))</f>
        <v>0</v>
      </c>
      <c r="DF55" s="83">
        <f>IF(RTD("tos.rtd",,DF$43,"."&amp;$A$43&amp;$AS$42&amp;"P"&amp;$A55)="N/A",0,RTD("tos.rtd",,DF$43,"."&amp;$A$43&amp;$AS$42&amp;"P"&amp;$A55))</f>
        <v>2.58</v>
      </c>
      <c r="DG55" s="86">
        <f t="shared" si="289"/>
        <v>-3.7799999999999727</v>
      </c>
      <c r="DH55" s="83">
        <f t="shared" ref="DH55" si="356">((DA55-DE55)/(DC55-DE55))*(BA55-AP55)</f>
        <v>-162420</v>
      </c>
      <c r="DI55" s="83">
        <f t="shared" ref="DI55" si="357">((DB55-DF55)/(DD55-DF55))*(BB55-AQ55)</f>
        <v>29075.245033112587</v>
      </c>
      <c r="DJ55" s="83">
        <f t="shared" ref="DJ55" si="358">IF(DA55&gt;=(DE55+(DC55-DE55)*0.6),(BA55-AP55),IF(DA55&lt;=(DE55+(DC55-DE55)*0.4),-(BA55-AP55),0))</f>
        <v>-162420</v>
      </c>
      <c r="DK55" s="83">
        <f t="shared" si="257"/>
        <v>-81303</v>
      </c>
      <c r="DL55" s="83">
        <f t="shared" si="258"/>
        <v>-133344.75496688741</v>
      </c>
      <c r="DM55" s="83">
        <f t="shared" si="259"/>
        <v>-243723</v>
      </c>
      <c r="DN55" s="64" t="str">
        <f t="shared" si="260"/>
        <v>UNKNOWN</v>
      </c>
      <c r="DO55" s="64" t="str">
        <f t="shared" si="261"/>
        <v>UNKNOWN</v>
      </c>
      <c r="DP55" s="83">
        <f t="shared" si="262"/>
        <v>104791.19682119208</v>
      </c>
      <c r="DQ55" s="83">
        <f t="shared" si="263"/>
        <v>-299193.18000000005</v>
      </c>
      <c r="DR55" s="83" t="e">
        <f t="shared" ca="1" si="264"/>
        <v>#NUM!</v>
      </c>
      <c r="DS55" s="83">
        <f t="shared" si="265"/>
        <v>-194128.17</v>
      </c>
      <c r="DT55" s="83">
        <f t="shared" si="290"/>
        <v>-162420</v>
      </c>
      <c r="DU55" s="83">
        <f t="shared" si="291"/>
        <v>81303</v>
      </c>
      <c r="DV55" s="83">
        <f t="shared" si="266"/>
        <v>4698</v>
      </c>
      <c r="DW55" s="83">
        <f t="shared" si="267"/>
        <v>5626</v>
      </c>
      <c r="DX55" s="83" t="e">
        <f t="shared" ca="1" si="323"/>
        <v>#NUM!</v>
      </c>
      <c r="DY55" s="83" t="e">
        <f t="shared" ca="1" si="324"/>
        <v>#NUM!</v>
      </c>
      <c r="DZ55" s="83" t="e">
        <f t="shared" ca="1" si="325"/>
        <v>#NUM!</v>
      </c>
      <c r="EA55" s="83" t="e">
        <f t="shared" ca="1" si="326"/>
        <v>#NUM!</v>
      </c>
      <c r="EB55" s="83" t="e">
        <f t="shared" ca="1" si="327"/>
        <v>#NUM!</v>
      </c>
      <c r="EC55" s="83" t="e">
        <f t="shared" ca="1" si="328"/>
        <v>#NUM!</v>
      </c>
      <c r="ED55" s="63">
        <f t="shared" si="292"/>
        <v>10324</v>
      </c>
      <c r="EE55" s="84">
        <f t="shared" ref="EE55" si="359">IFERROR(VALUE(IF(OR(EL55="--",EL55="0.00%"),$EE$1,EL55)),$EE$1)</f>
        <v>0.25</v>
      </c>
      <c r="EF55" s="84">
        <f t="shared" ref="EF55" si="360">IFERROR(VALUE(IF(OR(EM55="--",EM55="0.00%"),$EE$1,EM55)),$EE$1)</f>
        <v>3.8877000000000002</v>
      </c>
      <c r="EG55" s="84">
        <f t="shared" ref="EG55" si="361">IFERROR(VALUE(IF(OR(EN55="--",EN55="0.00%"),$EE$1,EN55)),$EE$1)</f>
        <v>0.25</v>
      </c>
      <c r="EH55" s="84">
        <f t="shared" ref="EH55" si="362">IFERROR(VALUE(IF(OR(EO55="--",EO55="0.00%"),$EE$1,EO55)),$EE$1)</f>
        <v>3.8563999999999998</v>
      </c>
      <c r="EI55" s="84">
        <f t="shared" ref="EI55" si="363">IFERROR(VALUE(IF(OR(EP55="--",EP55="0.00%"),$EE$1,EP55)),$EE$1)</f>
        <v>9.6799999999999997E-2</v>
      </c>
      <c r="EJ55" s="84">
        <f t="shared" ref="EJ55" si="364">IFERROR(VALUE(IF(OR(EQ55="--",EQ55="0.00%"),$EE$1,EQ55)),$EE$1)</f>
        <v>0.45900000000000002</v>
      </c>
      <c r="EK55" s="63" t="e">
        <f t="shared" ca="1" si="293"/>
        <v>#NUM!</v>
      </c>
      <c r="EL55" s="83" t="str">
        <f>RTD("tos.rtd",,EL$43,"."&amp;$A$43&amp;$AS$42&amp;"C"&amp;$A55)</f>
        <v>--</v>
      </c>
      <c r="EM55" s="83" t="str">
        <f>RTD("tos.rtd",,EM$43,"."&amp;$A$43&amp;$AS$42&amp;"P"&amp;$A55)</f>
        <v>388.77%</v>
      </c>
      <c r="EN55" s="83" t="str">
        <f>RTD("tos.rtd",,EN$2,"."&amp;$A$43&amp;$AU$1&amp;"C"&amp;$A55)</f>
        <v>--</v>
      </c>
      <c r="EO55" s="83" t="str">
        <f>RTD("tos.rtd",,EO$2,"."&amp;$A$43&amp;$AU$1&amp;"P"&amp;$A55)</f>
        <v>385.64%</v>
      </c>
      <c r="EP55" s="83" t="str">
        <f>RTD("tos.rtd",,EP$2,"."&amp;$A$43&amp;$AW$1&amp;"C"&amp;$A55)</f>
        <v>9.68%</v>
      </c>
      <c r="EQ55" s="83" t="str">
        <f>RTD("tos.rtd",,EQ$2,"."&amp;$A$43&amp;$AW$1&amp;"P"&amp;$A55)</f>
        <v>45.90%</v>
      </c>
      <c r="ES55" s="63" t="str">
        <f t="shared" si="274"/>
        <v>492,10324.00</v>
      </c>
      <c r="ET55" s="63" t="str">
        <f t="shared" ca="1" si="275"/>
        <v>492,00.00</v>
      </c>
      <c r="EU55" s="68">
        <v>560.96</v>
      </c>
      <c r="EV55" s="68" t="s">
        <v>459</v>
      </c>
      <c r="EW55" s="68">
        <v>483.27</v>
      </c>
      <c r="EX55" s="68" t="s">
        <v>460</v>
      </c>
      <c r="EY55" s="68">
        <v>5631.28</v>
      </c>
      <c r="EZ55" s="68" t="s">
        <v>461</v>
      </c>
      <c r="FA55" s="68">
        <v>19867.973000000002</v>
      </c>
      <c r="FB55" s="68" t="s">
        <v>462</v>
      </c>
      <c r="FC55" s="68" t="s">
        <v>463</v>
      </c>
      <c r="FD55" s="68" t="s">
        <v>464</v>
      </c>
      <c r="FE55" s="68" t="s">
        <v>465</v>
      </c>
      <c r="FF55" s="68" t="s">
        <v>466</v>
      </c>
    </row>
    <row r="56" spans="1:162" ht="13.5" thickBot="1" x14ac:dyDescent="0.25">
      <c r="A56" s="2">
        <f t="shared" si="294"/>
        <v>491</v>
      </c>
      <c r="B56" s="3">
        <f t="shared" si="299"/>
        <v>1968</v>
      </c>
      <c r="C56" s="3">
        <f t="shared" si="300"/>
        <v>6500</v>
      </c>
      <c r="D56" s="3">
        <f t="shared" si="301"/>
        <v>1086</v>
      </c>
      <c r="E56" s="3">
        <f t="shared" si="302"/>
        <v>9554</v>
      </c>
      <c r="F56" s="4">
        <f t="shared" si="303"/>
        <v>20258.033301060954</v>
      </c>
      <c r="AM56" s="1">
        <v>-7167</v>
      </c>
      <c r="AN56" s="1">
        <v>-311</v>
      </c>
      <c r="AO56" s="1">
        <v>491</v>
      </c>
      <c r="AP56" s="1">
        <v>132545</v>
      </c>
      <c r="AQ56" s="1">
        <v>-132739</v>
      </c>
      <c r="AS56" s="6">
        <f>IF(RTD("tos.rtd",,AS$43,"."&amp;$A$43&amp;$AS$42&amp;"C"&amp;$A56)="N/A",0,RTD("tos.rtd",,AS$43,"."&amp;$A$43&amp;$AS$42&amp;"C"&amp;$A56))</f>
        <v>1839</v>
      </c>
      <c r="AT56" s="7">
        <f>-IF(RTD("tos.rtd",,AT$43,"."&amp;$A$43&amp;$AS$42&amp;"P"&amp;$A56)="N/A",0,RTD("tos.rtd",,AT$43,"."&amp;$A$43&amp;$AS$42&amp;"P"&amp;$A56))</f>
        <v>-129</v>
      </c>
      <c r="AU56" s="6">
        <f>IF(RTD("tos.rtd",,AU$2,"."&amp;$A$43&amp;$AU$1&amp;"C"&amp;$A56)="N/A",0,RTD("tos.rtd",,AU$2,"."&amp;$A$43&amp;$AU$1&amp;"C"&amp;$A56))</f>
        <v>4571</v>
      </c>
      <c r="AV56" s="7">
        <f>-IF(RTD("tos.rtd",,AV$2,"."&amp;$A$43&amp;$AU$1&amp;"P"&amp;$A56)="N/A",0,RTD("tos.rtd",,AV$2,"."&amp;$A$43&amp;$AU$1&amp;"P"&amp;$A56))</f>
        <v>-1929</v>
      </c>
      <c r="AW56" s="6">
        <f>IF(RTD("tos.rtd",,AW$2,"."&amp;$A$43&amp;$AW$1&amp;"C"&amp;$A56)="N/A",0,RTD("tos.rtd",,AW$2,"."&amp;$A$43&amp;$AW$1&amp;"C"&amp;$A56))</f>
        <v>787</v>
      </c>
      <c r="AX56" s="7">
        <f>-IF(RTD("tos.rtd",,AX$2,"."&amp;$A$43&amp;$AW$1&amp;"P"&amp;$A56)="N/A",0,RTD("tos.rtd",,AX$2,"."&amp;$A$43&amp;$AW$1&amp;"P"&amp;$A56))</f>
        <v>-299</v>
      </c>
      <c r="AY56" s="7">
        <f t="shared" si="304"/>
        <v>4840</v>
      </c>
      <c r="AZ56" s="8">
        <f t="shared" si="245"/>
        <v>491</v>
      </c>
      <c r="BA56" s="6">
        <f>IF(RTD("tos.rtd",,BA$43,"."&amp;$A$43&amp;$AS$42&amp;"C"&amp;$A56)="N/A",0,RTD("tos.rtd",,BA$43,"."&amp;$A$43&amp;$AS$42&amp;"C"&amp;$A56))</f>
        <v>0</v>
      </c>
      <c r="BB56" s="7">
        <f>-IF(RTD("tos.rtd",,BB$43,"."&amp;$A$43&amp;$AS$42&amp;"P"&amp;$A56)="N/A",0,RTD("tos.rtd",,BB$43,"."&amp;$A$43&amp;$AS$42&amp;"P"&amp;$A56))</f>
        <v>0</v>
      </c>
      <c r="BC56" s="6">
        <f>IF(RTD("tos.rtd",,BC$2,"."&amp;$A$43&amp;$AU$1&amp;"C"&amp;$A56)="N/A",0,RTD("tos.rtd",,BC$2,"."&amp;$A$43&amp;$AU$1&amp;"C"&amp;$A56))</f>
        <v>125611</v>
      </c>
      <c r="BD56" s="7">
        <f>-IF(RTD("tos.rtd",,BD$2,"."&amp;$A$43&amp;$AU$1&amp;"P"&amp;$A56)="N/A",0,RTD("tos.rtd",,BD$2,"."&amp;$A$43&amp;$AU$1&amp;"P"&amp;$A56))</f>
        <v>-28296</v>
      </c>
      <c r="BE56" s="6">
        <f>IF(RTD("tos.rtd",,BE$2,"."&amp;$A$43&amp;$AW$1&amp;"C"&amp;$A56)="N/A",0,RTD("tos.rtd",,BE$2,"."&amp;$A$43&amp;$AW$1&amp;"C"&amp;$A56))</f>
        <v>2095</v>
      </c>
      <c r="BF56" s="7">
        <f>-IF(RTD("tos.rtd",,BF$2,"."&amp;$A$43&amp;$AW$1&amp;"P"&amp;$A56)="N/A",0,RTD("tos.rtd",,BF$2,"."&amp;$A$43&amp;$AW$1&amp;"P"&amp;$A56))</f>
        <v>-1071</v>
      </c>
      <c r="BG56" s="32">
        <f ca="1">+Hoja2!Y57</f>
        <v>1030</v>
      </c>
      <c r="BH56" s="7">
        <f t="shared" ca="1" si="277"/>
        <v>99369</v>
      </c>
      <c r="BI56" s="8" t="str">
        <f t="shared" ca="1" si="295"/>
        <v/>
      </c>
      <c r="BJ56" s="83" t="e">
        <f ca="1">IF($BP$1=1,DX56,IF(RTD("tos.rtd",,BJ$43,"."&amp;$A$43&amp;$AS$42&amp;"C"&amp;$A56)="N/A",0,RTD("tos.rtd",,BJ$43,"."&amp;$A$43&amp;$AS$42&amp;"C"&amp;$A56)))</f>
        <v>#NUM!</v>
      </c>
      <c r="BK56" s="83" t="e">
        <f ca="1">IF($BP$1=1,DY56,-IF(RTD("tos.rtd",,BK$43,"."&amp;$A$43&amp;$AS$42&amp;"P"&amp;$A56)="N/A",0,RTD("tos.rtd",,BK$43,"."&amp;$A$43&amp;$AS$42&amp;"P"&amp;$A56)))</f>
        <v>#NUM!</v>
      </c>
      <c r="BL56" s="83" t="e">
        <f ca="1">IF($BP$1=1,DZ56,IF(RTD("tos.rtd",,BL$2,"."&amp;$A$43&amp;$AU$1&amp;"C"&amp;$A56)="N/A",0,RTD("tos.rtd",,BL$2,"."&amp;$A$43&amp;$AU$1&amp;"C"&amp;$A56)))</f>
        <v>#NUM!</v>
      </c>
      <c r="BM56" s="83" t="e">
        <f ca="1">IF($BP$1=1,EA56,-IF(RTD("tos.rtd",,BM$2,"."&amp;$A$43&amp;$AU$1&amp;"P"&amp;$A56)="N/A",0,RTD("tos.rtd",,BM$2,"."&amp;$A$43&amp;$AU$1&amp;"P"&amp;$A56)))</f>
        <v>#NUM!</v>
      </c>
      <c r="BN56" s="83" t="e">
        <f ca="1">IF($BP$1=1,EB56,IF(RTD("tos.rtd",,BN$2,"."&amp;$A$43&amp;$AW$1&amp;"C"&amp;$A56)="N/A",0,RTD("tos.rtd",,BN$2,"."&amp;$A$43&amp;$AW$1&amp;"C"&amp;$A56)))</f>
        <v>#NUM!</v>
      </c>
      <c r="BO56" s="83" t="e">
        <f ca="1">IF($BP$1=1,EC56,-IF(RTD("tos.rtd",,BO$2,"."&amp;$A$43&amp;$AW$1&amp;"P"&amp;$A56)="N/A",0,RTD("tos.rtd",,BO$2,"."&amp;$A$43&amp;$AW$1&amp;"P"&amp;$A56)))</f>
        <v>#NUM!</v>
      </c>
      <c r="BQ56" s="83" t="e">
        <f t="shared" ca="1" si="305"/>
        <v>#NUM!</v>
      </c>
      <c r="BR56" s="3" t="e">
        <f t="shared" ca="1" si="279"/>
        <v>#NUM!</v>
      </c>
      <c r="BS56" s="83" t="e">
        <f t="shared" ca="1" si="306"/>
        <v>#NUM!</v>
      </c>
      <c r="BT56" s="3" t="e">
        <f t="shared" ca="1" si="281"/>
        <v>#NUM!</v>
      </c>
      <c r="BU56" s="83" t="e">
        <f t="shared" ca="1" si="307"/>
        <v>#NUM!</v>
      </c>
      <c r="BV56" s="83"/>
      <c r="BX56" s="83" t="e">
        <f t="shared" ca="1" si="308"/>
        <v>#NUM!</v>
      </c>
      <c r="BY56" s="83" t="e">
        <f t="shared" ca="1" si="296"/>
        <v>#NUM!</v>
      </c>
      <c r="BZ56" s="83" t="e">
        <f t="shared" ca="1" si="309"/>
        <v>#NUM!</v>
      </c>
      <c r="CA56" s="83" t="e">
        <f t="shared" ca="1" si="296"/>
        <v>#NUM!</v>
      </c>
      <c r="CB56" s="83" t="e">
        <f t="shared" ca="1" si="310"/>
        <v>#NUM!</v>
      </c>
      <c r="CC56" s="83" t="e">
        <f t="shared" ca="1" si="296"/>
        <v>#NUM!</v>
      </c>
      <c r="CD56" s="83">
        <f>IF(RTD("tos.rtd",,CD$43,"."&amp;$A$43&amp;$AS$42&amp;"C"&amp;$A56)="N/A",0,RTD("tos.rtd",,CD$43,"."&amp;$A$43&amp;$AS$42&amp;"C"&amp;$A56))</f>
        <v>1</v>
      </c>
      <c r="CE56" s="83">
        <f>-IF(RTD("tos.rtd",,CE$43,"."&amp;$A$43&amp;$AS$42&amp;"P"&amp;$A56)="N/A",0,RTD("tos.rtd",,CE$43,"."&amp;$A$43&amp;$AS$42&amp;"P"&amp;$A56))</f>
        <v>0.34</v>
      </c>
      <c r="CF56" s="83">
        <f>IF(RTD("tos.rtd",,CF$2,"."&amp;$A$43&amp;$AU$1&amp;"C"&amp;$A56)="N/A",0,RTD("tos.rtd",,CF$2,"."&amp;$A$43&amp;$AU$1&amp;"C"&amp;$A56))</f>
        <v>1</v>
      </c>
      <c r="CG56" s="83">
        <f>-IF(RTD("tos.rtd",,CG$2,"."&amp;$A$43&amp;$AU$1&amp;"P"&amp;$A56)="N/A",0,RTD("tos.rtd",,CG$2,"."&amp;$A$43&amp;$AU$1&amp;"P"&amp;$A56))</f>
        <v>0.35</v>
      </c>
      <c r="CH56" s="83">
        <f>IF(RTD("tos.rtd",,CH$2,"."&amp;$A$43&amp;$AW$1&amp;"C"&amp;$A56)="N/A",0,RTD("tos.rtd",,CH$2,"."&amp;$A$43&amp;$AW$1&amp;"C"&amp;$A56))</f>
        <v>0.9</v>
      </c>
      <c r="CI56" s="83">
        <f>-IF(RTD("tos.rtd",,CI$2,"."&amp;$A$43&amp;$AW$1&amp;"P"&amp;$A56)="N/A",0,RTD("tos.rtd",,CI$2,"."&amp;$A$43&amp;$AW$1&amp;"P"&amp;$A56))</f>
        <v>0.41</v>
      </c>
      <c r="CK56" s="83">
        <f t="shared" si="311"/>
        <v>179514</v>
      </c>
      <c r="CL56" s="83"/>
      <c r="CM56" s="83">
        <f t="shared" si="312"/>
        <v>389585</v>
      </c>
      <c r="CN56" s="83"/>
      <c r="CO56" s="83">
        <f t="shared" si="313"/>
        <v>58571</v>
      </c>
      <c r="CP56" s="83">
        <f t="shared" si="314"/>
        <v>627670</v>
      </c>
      <c r="CQ56" s="83">
        <f t="shared" si="315"/>
        <v>0</v>
      </c>
      <c r="CR56" s="83"/>
      <c r="CS56" s="83">
        <f t="shared" si="316"/>
        <v>97315</v>
      </c>
      <c r="CT56" s="83"/>
      <c r="CU56" s="83">
        <f t="shared" si="317"/>
        <v>1024</v>
      </c>
      <c r="CV56" s="83"/>
      <c r="CW56" s="83" t="e">
        <f t="shared" ca="1" si="318"/>
        <v>#NUM!</v>
      </c>
      <c r="CY56" s="83" t="e">
        <f t="shared" ca="1" si="319"/>
        <v>#NUM!</v>
      </c>
      <c r="CZ56" s="70" t="e">
        <f t="shared" ca="1" si="297"/>
        <v>#NUM!</v>
      </c>
      <c r="DA56" s="83">
        <f>IF(RTD("tos.rtd",,DA$43,"."&amp;$A$43&amp;$AS$42&amp;"C"&amp;$A56)="N/A",0,RTD("tos.rtd",,DA$43,"."&amp;$A$43&amp;$AS$42&amp;"C"&amp;$A56))</f>
        <v>0.01</v>
      </c>
      <c r="DB56" s="83">
        <f>IF(RTD("tos.rtd",,DB$43,"."&amp;$A$43&amp;$AS$42&amp;"P"&amp;$A56)="N/A",0,RTD("tos.rtd",,DB$43,"."&amp;$A$43&amp;$AS$42&amp;"P"&amp;$A56))</f>
        <v>2.74</v>
      </c>
      <c r="DC56" s="83">
        <f>IF(RTD("tos.rtd",,DC$43,"."&amp;$A$43&amp;$AS$42&amp;"C"&amp;$A56)="N/A",0,RTD("tos.rtd",,DC$43,"."&amp;$A$43&amp;$AS$42&amp;"C"&amp;$A56))</f>
        <v>0.02</v>
      </c>
      <c r="DD56" s="83">
        <f>IF(RTD("tos.rtd",,DD$43,"."&amp;$A$43&amp;$AS$42&amp;"P"&amp;$A56)="N/A",0,RTD("tos.rtd",,DD$43,"."&amp;$A$43&amp;$AS$42&amp;"P"&amp;$A56))</f>
        <v>3.03</v>
      </c>
      <c r="DE56" s="83">
        <f>IF(RTD("tos.rtd",,DE$43,"."&amp;$A$43&amp;$AS$42&amp;"C"&amp;$A56)="N/A",0,RTD("tos.rtd",,DE$43,"."&amp;$A$43&amp;$AS$42&amp;"C"&amp;$A56))</f>
        <v>0.01</v>
      </c>
      <c r="DF56" s="83">
        <f>IF(RTD("tos.rtd",,DF$43,"."&amp;$A$43&amp;$AS$42&amp;"P"&amp;$A56)="N/A",0,RTD("tos.rtd",,DF$43,"."&amp;$A$43&amp;$AS$42&amp;"P"&amp;$A56))</f>
        <v>2.73</v>
      </c>
      <c r="DG56" s="86">
        <f t="shared" si="289"/>
        <v>-4.7799999999999727</v>
      </c>
      <c r="DH56" s="83">
        <f t="shared" si="320"/>
        <v>0</v>
      </c>
      <c r="DI56" s="83">
        <f t="shared" si="321"/>
        <v>4424.6333333334387</v>
      </c>
      <c r="DJ56" s="83">
        <f t="shared" si="322"/>
        <v>132545</v>
      </c>
      <c r="DK56" s="83">
        <f t="shared" si="257"/>
        <v>-132739</v>
      </c>
      <c r="DL56" s="83">
        <f t="shared" si="258"/>
        <v>4424.6333333334387</v>
      </c>
      <c r="DM56" s="83">
        <f t="shared" si="259"/>
        <v>-194</v>
      </c>
      <c r="DN56" s="64" t="str">
        <f t="shared" si="260"/>
        <v>UNKNOWN</v>
      </c>
      <c r="DO56" s="64" t="str">
        <f t="shared" si="261"/>
        <v>UNKNOWN</v>
      </c>
      <c r="DP56" s="83">
        <f t="shared" si="262"/>
        <v>12123.495333333623</v>
      </c>
      <c r="DQ56" s="83">
        <f t="shared" si="263"/>
        <v>-362379.41000000003</v>
      </c>
      <c r="DR56" s="83" t="e">
        <f t="shared" ca="1" si="264"/>
        <v>#NUM!</v>
      </c>
      <c r="DS56" s="83">
        <f t="shared" si="265"/>
        <v>87413.739999999991</v>
      </c>
      <c r="DT56" s="83">
        <f t="shared" si="290"/>
        <v>-132545</v>
      </c>
      <c r="DU56" s="83">
        <f t="shared" si="291"/>
        <v>132739</v>
      </c>
      <c r="DV56" s="83">
        <f t="shared" si="266"/>
        <v>-7167</v>
      </c>
      <c r="DW56" s="83">
        <f t="shared" si="267"/>
        <v>-311</v>
      </c>
      <c r="DX56" s="83" t="e">
        <f t="shared" ca="1" si="323"/>
        <v>#NUM!</v>
      </c>
      <c r="DY56" s="83" t="e">
        <f t="shared" ca="1" si="324"/>
        <v>#NUM!</v>
      </c>
      <c r="DZ56" s="83" t="e">
        <f t="shared" ca="1" si="325"/>
        <v>#NUM!</v>
      </c>
      <c r="EA56" s="83" t="e">
        <f t="shared" ca="1" si="326"/>
        <v>#NUM!</v>
      </c>
      <c r="EB56" s="83" t="e">
        <f t="shared" ca="1" si="327"/>
        <v>#NUM!</v>
      </c>
      <c r="EC56" s="83" t="e">
        <f t="shared" ca="1" si="328"/>
        <v>#NUM!</v>
      </c>
      <c r="ED56" s="63">
        <f t="shared" si="292"/>
        <v>-7478</v>
      </c>
      <c r="EE56" s="84">
        <f t="shared" si="329"/>
        <v>0.25</v>
      </c>
      <c r="EF56" s="84">
        <f t="shared" si="330"/>
        <v>3.2993999999999999</v>
      </c>
      <c r="EG56" s="84">
        <f t="shared" si="331"/>
        <v>0.25</v>
      </c>
      <c r="EH56" s="84">
        <f t="shared" si="332"/>
        <v>3.4944000000000002</v>
      </c>
      <c r="EI56" s="84">
        <f t="shared" si="333"/>
        <v>6.9800000000000001E-2</v>
      </c>
      <c r="EJ56" s="84">
        <f t="shared" si="334"/>
        <v>0.45340000000000003</v>
      </c>
      <c r="EK56" s="63" t="e">
        <f t="shared" ca="1" si="293"/>
        <v>#NUM!</v>
      </c>
      <c r="EL56" s="83" t="str">
        <f>RTD("tos.rtd",,EL$43,"."&amp;$A$43&amp;$AS$42&amp;"C"&amp;$A56)</f>
        <v>--</v>
      </c>
      <c r="EM56" s="83" t="str">
        <f>RTD("tos.rtd",,EM$43,"."&amp;$A$43&amp;$AS$42&amp;"P"&amp;$A56)</f>
        <v>329.94%</v>
      </c>
      <c r="EN56" s="83" t="str">
        <f>RTD("tos.rtd",,EN$2,"."&amp;$A$43&amp;$AU$1&amp;"C"&amp;$A56)</f>
        <v>--</v>
      </c>
      <c r="EO56" s="83" t="str">
        <f>RTD("tos.rtd",,EO$2,"."&amp;$A$43&amp;$AU$1&amp;"P"&amp;$A56)</f>
        <v>349.44%</v>
      </c>
      <c r="EP56" s="83" t="str">
        <f>RTD("tos.rtd",,EP$2,"."&amp;$A$43&amp;$AW$1&amp;"C"&amp;$A56)</f>
        <v>6.98%</v>
      </c>
      <c r="EQ56" s="83" t="str">
        <f>RTD("tos.rtd",,EQ$2,"."&amp;$A$43&amp;$AW$1&amp;"P"&amp;$A56)</f>
        <v>45.34%</v>
      </c>
      <c r="ES56" s="63" t="str">
        <f t="shared" si="274"/>
        <v>491,-7478.00</v>
      </c>
      <c r="ET56" s="63" t="str">
        <f t="shared" ca="1" si="275"/>
        <v>491,00.00</v>
      </c>
      <c r="EU56" s="68">
        <v>561.01</v>
      </c>
      <c r="EV56" s="68" t="s">
        <v>467</v>
      </c>
      <c r="EW56" s="68">
        <v>483.3</v>
      </c>
      <c r="EX56" s="68" t="s">
        <v>468</v>
      </c>
      <c r="EY56" s="68">
        <v>5631.28</v>
      </c>
      <c r="EZ56" s="68" t="s">
        <v>469</v>
      </c>
      <c r="FA56" s="68">
        <v>19867.973000000002</v>
      </c>
      <c r="FB56" s="68" t="s">
        <v>470</v>
      </c>
      <c r="FC56" s="68" t="s">
        <v>471</v>
      </c>
      <c r="FD56" s="68" t="s">
        <v>472</v>
      </c>
      <c r="FE56" s="68" t="s">
        <v>473</v>
      </c>
      <c r="FF56" s="68" t="s">
        <v>474</v>
      </c>
    </row>
    <row r="57" spans="1:162" ht="13.5" thickBot="1" x14ac:dyDescent="0.25">
      <c r="A57" s="2">
        <f t="shared" si="294"/>
        <v>490</v>
      </c>
      <c r="B57" s="3">
        <f t="shared" si="241"/>
        <v>6803</v>
      </c>
      <c r="C57" s="3">
        <f t="shared" si="242"/>
        <v>15914</v>
      </c>
      <c r="D57" s="3">
        <f t="shared" si="243"/>
        <v>79033</v>
      </c>
      <c r="E57" s="3">
        <f t="shared" si="244"/>
        <v>101750</v>
      </c>
      <c r="F57" s="4">
        <f t="shared" si="298"/>
        <v>20216.774577433538</v>
      </c>
      <c r="AM57" s="1">
        <v>6149</v>
      </c>
      <c r="AN57" s="1">
        <v>9501</v>
      </c>
      <c r="AO57" s="1">
        <v>490</v>
      </c>
      <c r="AP57" s="1">
        <v>138572</v>
      </c>
      <c r="AQ57" s="1">
        <v>-124121</v>
      </c>
      <c r="AS57" s="6">
        <f>IF(RTD("tos.rtd",,AS$43,"."&amp;$A$43&amp;$AS$42&amp;"C"&amp;$A57)="N/A",0,RTD("tos.rtd",,AS$43,"."&amp;$A$43&amp;$AS$42&amp;"C"&amp;$A57))</f>
        <v>6493</v>
      </c>
      <c r="AT57" s="7">
        <f>-IF(RTD("tos.rtd",,AT$43,"."&amp;$A$43&amp;$AS$42&amp;"P"&amp;$A57)="N/A",0,RTD("tos.rtd",,AT$43,"."&amp;$A$43&amp;$AS$42&amp;"P"&amp;$A57))</f>
        <v>-310</v>
      </c>
      <c r="AU57" s="6">
        <f>IF(RTD("tos.rtd",,AU$2,"."&amp;$A$43&amp;$AU$1&amp;"C"&amp;$A57)="N/A",0,RTD("tos.rtd",,AU$2,"."&amp;$A$43&amp;$AU$1&amp;"C"&amp;$A57))</f>
        <v>10598</v>
      </c>
      <c r="AV57" s="7">
        <f>-IF(RTD("tos.rtd",,AV$2,"."&amp;$A$43&amp;$AU$1&amp;"P"&amp;$A57)="N/A",0,RTD("tos.rtd",,AV$2,"."&amp;$A$43&amp;$AU$1&amp;"P"&amp;$A57))</f>
        <v>-5316</v>
      </c>
      <c r="AW57" s="6">
        <f>IF(RTD("tos.rtd",,AW$2,"."&amp;$A$43&amp;$AW$1&amp;"C"&amp;$A57)="N/A",0,RTD("tos.rtd",,AW$2,"."&amp;$A$43&amp;$AW$1&amp;"C"&amp;$A57))</f>
        <v>64740</v>
      </c>
      <c r="AX57" s="7">
        <f>-IF(RTD("tos.rtd",,AX$2,"."&amp;$A$43&amp;$AW$1&amp;"P"&amp;$A57)="N/A",0,RTD("tos.rtd",,AX$2,"."&amp;$A$43&amp;$AW$1&amp;"P"&amp;$A57))</f>
        <v>-14293</v>
      </c>
      <c r="AY57" s="7">
        <f t="shared" si="276"/>
        <v>61912</v>
      </c>
      <c r="AZ57" s="8">
        <f t="shared" si="245"/>
        <v>490</v>
      </c>
      <c r="BA57" s="6">
        <f>IF(RTD("tos.rtd",,BA$43,"."&amp;$A$43&amp;$AS$42&amp;"C"&amp;$A57)="N/A",0,RTD("tos.rtd",,BA$43,"."&amp;$A$43&amp;$AS$42&amp;"C"&amp;$A57))</f>
        <v>0</v>
      </c>
      <c r="BB57" s="7">
        <f>-IF(RTD("tos.rtd",,BB$43,"."&amp;$A$43&amp;$AS$42&amp;"P"&amp;$A57)="N/A",0,RTD("tos.rtd",,BB$43,"."&amp;$A$43&amp;$AS$42&amp;"P"&amp;$A57))</f>
        <v>0</v>
      </c>
      <c r="BC57" s="6">
        <f>IF(RTD("tos.rtd",,BC$2,"."&amp;$A$43&amp;$AU$1&amp;"C"&amp;$A57)="N/A",0,RTD("tos.rtd",,BC$2,"."&amp;$A$43&amp;$AU$1&amp;"C"&amp;$A57))</f>
        <v>172339</v>
      </c>
      <c r="BD57" s="7">
        <f>-IF(RTD("tos.rtd",,BD$2,"."&amp;$A$43&amp;$AU$1&amp;"P"&amp;$A57)="N/A",0,RTD("tos.rtd",,BD$2,"."&amp;$A$43&amp;$AU$1&amp;"P"&amp;$A57))</f>
        <v>-80050</v>
      </c>
      <c r="BE57" s="6">
        <f>IF(RTD("tos.rtd",,BE$2,"."&amp;$A$43&amp;$AW$1&amp;"C"&amp;$A57)="N/A",0,RTD("tos.rtd",,BE$2,"."&amp;$A$43&amp;$AW$1&amp;"C"&amp;$A57))</f>
        <v>16143</v>
      </c>
      <c r="BF57" s="7">
        <f>-IF(RTD("tos.rtd",,BF$2,"."&amp;$A$43&amp;$AW$1&amp;"P"&amp;$A57)="N/A",0,RTD("tos.rtd",,BF$2,"."&amp;$A$43&amp;$AW$1&amp;"P"&amp;$A57))</f>
        <v>-10614</v>
      </c>
      <c r="BG57" s="32">
        <f ca="1">+Hoja2!Y58</f>
        <v>319</v>
      </c>
      <c r="BH57" s="7">
        <f t="shared" ca="1" si="277"/>
        <v>98137</v>
      </c>
      <c r="BI57" s="8" t="str">
        <f t="shared" ca="1" si="295"/>
        <v/>
      </c>
      <c r="BJ57" s="83" t="e">
        <f ca="1">IF($BP$1=1,DX57,IF(RTD("tos.rtd",,BJ$43,"."&amp;$A$43&amp;$AS$42&amp;"C"&amp;$A57)="N/A",0,RTD("tos.rtd",,BJ$43,"."&amp;$A$43&amp;$AS$42&amp;"C"&amp;$A57)))</f>
        <v>#NUM!</v>
      </c>
      <c r="BK57" s="83" t="e">
        <f ca="1">IF($BP$1=1,DY57,-IF(RTD("tos.rtd",,BK$43,"."&amp;$A$43&amp;$AS$42&amp;"P"&amp;$A57)="N/A",0,RTD("tos.rtd",,BK$43,"."&amp;$A$43&amp;$AS$42&amp;"P"&amp;$A57)))</f>
        <v>#NUM!</v>
      </c>
      <c r="BL57" s="83" t="e">
        <f ca="1">IF($BP$1=1,DZ57,IF(RTD("tos.rtd",,BL$2,"."&amp;$A$43&amp;$AU$1&amp;"C"&amp;$A57)="N/A",0,RTD("tos.rtd",,BL$2,"."&amp;$A$43&amp;$AU$1&amp;"C"&amp;$A57)))</f>
        <v>#NUM!</v>
      </c>
      <c r="BM57" s="83" t="e">
        <f ca="1">IF($BP$1=1,EA57,-IF(RTD("tos.rtd",,BM$2,"."&amp;$A$43&amp;$AU$1&amp;"P"&amp;$A57)="N/A",0,RTD("tos.rtd",,BM$2,"."&amp;$A$43&amp;$AU$1&amp;"P"&amp;$A57)))</f>
        <v>#NUM!</v>
      </c>
      <c r="BN57" s="83" t="e">
        <f ca="1">IF($BP$1=1,EB57,IF(RTD("tos.rtd",,BN$2,"."&amp;$A$43&amp;$AW$1&amp;"C"&amp;$A57)="N/A",0,RTD("tos.rtd",,BN$2,"."&amp;$A$43&amp;$AW$1&amp;"C"&amp;$A57)))</f>
        <v>#NUM!</v>
      </c>
      <c r="BO57" s="83" t="e">
        <f ca="1">IF($BP$1=1,EC57,-IF(RTD("tos.rtd",,BO$2,"."&amp;$A$43&amp;$AW$1&amp;"P"&amp;$A57)="N/A",0,RTD("tos.rtd",,BO$2,"."&amp;$A$43&amp;$AW$1&amp;"P"&amp;$A57)))</f>
        <v>#NUM!</v>
      </c>
      <c r="BQ57" s="83" t="e">
        <f t="shared" ca="1" si="278"/>
        <v>#NUM!</v>
      </c>
      <c r="BR57" s="3" t="e">
        <f t="shared" ca="1" si="279"/>
        <v>#NUM!</v>
      </c>
      <c r="BS57" s="83" t="e">
        <f t="shared" ca="1" si="280"/>
        <v>#NUM!</v>
      </c>
      <c r="BT57" s="3" t="e">
        <f t="shared" ca="1" si="281"/>
        <v>#NUM!</v>
      </c>
      <c r="BU57" s="83" t="e">
        <f t="shared" ca="1" si="282"/>
        <v>#NUM!</v>
      </c>
      <c r="BV57" s="83"/>
      <c r="BX57" s="83" t="e">
        <f t="shared" ca="1" si="283"/>
        <v>#NUM!</v>
      </c>
      <c r="BY57" s="83" t="e">
        <f t="shared" ca="1" si="296"/>
        <v>#NUM!</v>
      </c>
      <c r="BZ57" s="83" t="e">
        <f t="shared" ca="1" si="284"/>
        <v>#NUM!</v>
      </c>
      <c r="CA57" s="83" t="e">
        <f t="shared" ca="1" si="296"/>
        <v>#NUM!</v>
      </c>
      <c r="CB57" s="83" t="e">
        <f t="shared" ca="1" si="285"/>
        <v>#NUM!</v>
      </c>
      <c r="CC57" s="83" t="e">
        <f t="shared" ca="1" si="296"/>
        <v>#NUM!</v>
      </c>
      <c r="CD57" s="83">
        <f>IF(RTD("tos.rtd",,CD$43,"."&amp;$A$43&amp;$AS$42&amp;"C"&amp;$A57)="N/A",0,RTD("tos.rtd",,CD$43,"."&amp;$A$43&amp;$AS$42&amp;"C"&amp;$A57))</f>
        <v>1</v>
      </c>
      <c r="CE57" s="83">
        <f>-IF(RTD("tos.rtd",,CE$43,"."&amp;$A$43&amp;$AS$42&amp;"P"&amp;$A57)="N/A",0,RTD("tos.rtd",,CE$43,"."&amp;$A$43&amp;$AS$42&amp;"P"&amp;$A57))</f>
        <v>0.28999999999999998</v>
      </c>
      <c r="CF57" s="83">
        <f>IF(RTD("tos.rtd",,CF$2,"."&amp;$A$43&amp;$AU$1&amp;"C"&amp;$A57)="N/A",0,RTD("tos.rtd",,CF$2,"."&amp;$A$43&amp;$AU$1&amp;"C"&amp;$A57))</f>
        <v>1</v>
      </c>
      <c r="CG57" s="83">
        <f>-IF(RTD("tos.rtd",,CG$2,"."&amp;$A$43&amp;$AU$1&amp;"P"&amp;$A57)="N/A",0,RTD("tos.rtd",,CG$2,"."&amp;$A$43&amp;$AU$1&amp;"P"&amp;$A57))</f>
        <v>0.3</v>
      </c>
      <c r="CH57" s="83">
        <f>IF(RTD("tos.rtd",,CH$2,"."&amp;$A$43&amp;$AW$1&amp;"C"&amp;$A57)="N/A",0,RTD("tos.rtd",,CH$2,"."&amp;$A$43&amp;$AW$1&amp;"C"&amp;$A57))</f>
        <v>1</v>
      </c>
      <c r="CI57" s="83">
        <f>-IF(RTD("tos.rtd",,CI$2,"."&amp;$A$43&amp;$AW$1&amp;"P"&amp;$A57)="N/A",0,RTD("tos.rtd",,CI$2,"."&amp;$A$43&amp;$AW$1&amp;"P"&amp;$A57))</f>
        <v>0.4</v>
      </c>
      <c r="CK57" s="83">
        <f t="shared" si="286"/>
        <v>640310</v>
      </c>
      <c r="CL57" s="83"/>
      <c r="CM57" s="83">
        <f t="shared" si="287"/>
        <v>900320</v>
      </c>
      <c r="CN57" s="83"/>
      <c r="CO57" s="83">
        <f t="shared" si="288"/>
        <v>5902280</v>
      </c>
      <c r="CP57" s="83">
        <f t="shared" si="235"/>
        <v>7442910</v>
      </c>
      <c r="CQ57" s="83">
        <f t="shared" si="249"/>
        <v>0</v>
      </c>
      <c r="CR57" s="83"/>
      <c r="CS57" s="83">
        <f t="shared" si="250"/>
        <v>92289</v>
      </c>
      <c r="CT57" s="83"/>
      <c r="CU57" s="83">
        <f t="shared" si="251"/>
        <v>5529</v>
      </c>
      <c r="CV57" s="83"/>
      <c r="CW57" s="83" t="e">
        <f t="shared" ca="1" si="252"/>
        <v>#NUM!</v>
      </c>
      <c r="CY57" s="83" t="e">
        <f t="shared" ca="1" si="253"/>
        <v>#NUM!</v>
      </c>
      <c r="CZ57" s="70" t="e">
        <f t="shared" ca="1" si="297"/>
        <v>#NUM!</v>
      </c>
      <c r="DA57" s="83">
        <f>IF(RTD("tos.rtd",,DA$43,"."&amp;$A$43&amp;$AS$42&amp;"C"&amp;$A57)="N/A",0,RTD("tos.rtd",,DA$43,"."&amp;$A$43&amp;$AS$42&amp;"C"&amp;$A57))</f>
        <v>0.02</v>
      </c>
      <c r="DB57" s="83">
        <f>IF(RTD("tos.rtd",,DB$43,"."&amp;$A$43&amp;$AS$42&amp;"P"&amp;$A57)="N/A",0,RTD("tos.rtd",,DB$43,"."&amp;$A$43&amp;$AS$42&amp;"P"&amp;$A57))</f>
        <v>1.75</v>
      </c>
      <c r="DC57" s="83">
        <f>IF(RTD("tos.rtd",,DC$43,"."&amp;$A$43&amp;$AS$42&amp;"C"&amp;$A57)="N/A",0,RTD("tos.rtd",,DC$43,"."&amp;$A$43&amp;$AS$42&amp;"C"&amp;$A57))</f>
        <v>0.03</v>
      </c>
      <c r="DD57" s="83">
        <f>IF(RTD("tos.rtd",,DD$43,"."&amp;$A$43&amp;$AS$42&amp;"P"&amp;$A57)="N/A",0,RTD("tos.rtd",,DD$43,"."&amp;$A$43&amp;$AS$42&amp;"P"&amp;$A57))</f>
        <v>2.0299999999999998</v>
      </c>
      <c r="DE57" s="83">
        <f>IF(RTD("tos.rtd",,DE$43,"."&amp;$A$43&amp;$AS$42&amp;"C"&amp;$A57)="N/A",0,RTD("tos.rtd",,DE$43,"."&amp;$A$43&amp;$AS$42&amp;"C"&amp;$A57))</f>
        <v>0.02</v>
      </c>
      <c r="DF57" s="83">
        <f>IF(RTD("tos.rtd",,DF$43,"."&amp;$A$43&amp;$AS$42&amp;"P"&amp;$A57)="N/A",0,RTD("tos.rtd",,DF$43,"."&amp;$A$43&amp;$AS$42&amp;"P"&amp;$A57))</f>
        <v>1.8</v>
      </c>
      <c r="DG57" s="86">
        <f t="shared" si="289"/>
        <v>-5.7799999999999727</v>
      </c>
      <c r="DH57" s="83">
        <f t="shared" si="254"/>
        <v>0</v>
      </c>
      <c r="DI57" s="83">
        <f t="shared" si="255"/>
        <v>-26982.826086956571</v>
      </c>
      <c r="DJ57" s="83">
        <f t="shared" si="256"/>
        <v>138572</v>
      </c>
      <c r="DK57" s="83">
        <f t="shared" si="257"/>
        <v>-124121</v>
      </c>
      <c r="DL57" s="83">
        <f t="shared" si="258"/>
        <v>-26982.826086956571</v>
      </c>
      <c r="DM57" s="83">
        <f t="shared" si="259"/>
        <v>14451</v>
      </c>
      <c r="DN57" s="64" t="str">
        <f t="shared" si="260"/>
        <v>UNKNOWN</v>
      </c>
      <c r="DO57" s="64" t="str">
        <f t="shared" si="261"/>
        <v>UNKNOWN</v>
      </c>
      <c r="DP57" s="83">
        <f t="shared" si="262"/>
        <v>-47219.945652173999</v>
      </c>
      <c r="DQ57" s="83">
        <f t="shared" si="263"/>
        <v>-214440.31</v>
      </c>
      <c r="DR57" s="83" t="e">
        <f t="shared" ca="1" si="264"/>
        <v>#NUM!</v>
      </c>
      <c r="DS57" s="83">
        <f t="shared" si="265"/>
        <v>102576.91</v>
      </c>
      <c r="DT57" s="83">
        <f t="shared" si="290"/>
        <v>-138572</v>
      </c>
      <c r="DU57" s="83">
        <f t="shared" si="291"/>
        <v>124121</v>
      </c>
      <c r="DV57" s="83">
        <f t="shared" si="266"/>
        <v>6149</v>
      </c>
      <c r="DW57" s="83">
        <f t="shared" si="267"/>
        <v>9501</v>
      </c>
      <c r="DX57" s="83" t="e">
        <f t="shared" ref="DX57:DX64" ca="1" si="365">(EXP(-POWER((LN($A$44/$A57)+($EC$1+POWER($EE57,2)/2)*($EM$1/$DY$1))/($EE57*SQRT($EM$1/$DY$1)),2)/2)/SQRT(2*PI())/($A$44*$EE57*SQRT($EM$1/$DY$1)))</f>
        <v>#NUM!</v>
      </c>
      <c r="DY57" s="83" t="e">
        <f t="shared" ref="DY57:DY64" ca="1" si="366">-(EXP(-POWER((LN($A$44/$A57)+($EC$1+POWER($EF57,2)/2)*($EM$1/$DY$1))/($EF57*SQRT($EM$1/$DY$1)),2)/2)/SQRT(2*PI())/($A$44*$EF57*SQRT($EM$1/$DY$1)))</f>
        <v>#NUM!</v>
      </c>
      <c r="DZ57" s="83" t="e">
        <f t="shared" ref="DZ57:DZ64" ca="1" si="367">(EXP(-POWER((LN($A$44/$A57)+($EC$1+POWER($EG57,2)/2)*($EO$1/$DY$1))/($EG57*SQRT($EO$1/$DY$1)),2)/2)/SQRT(2*PI())/($A$44*$EG57*SQRT($EO$1/$DY$1)))</f>
        <v>#NUM!</v>
      </c>
      <c r="EA57" s="83" t="e">
        <f t="shared" ref="EA57:EA64" ca="1" si="368">-(EXP(-POWER((LN($A$44/$A57)+($EC$1+POWER($EH57,2)/2)*($EO$1/$DY$1))/($EH57*SQRT($EO$1/$DY$1)),2)/2)/SQRT(2*PI())/($A$44*$EH57*SQRT($EO$1/$DY$1)))</f>
        <v>#NUM!</v>
      </c>
      <c r="EB57" s="83" t="e">
        <f t="shared" ref="EB57:EB64" ca="1" si="369">(EXP(-POWER((LN($A$44/$A57)+($EC$1+POWER($EI57,2)/2)*($EO$1/$DY$1))/($EI57*SQRT($EO$1/$DY$1)),2)/2)/SQRT(2*PI())/($A$44*$EI57*SQRT($EO$1/$DY$1)))</f>
        <v>#NUM!</v>
      </c>
      <c r="EC57" s="83" t="e">
        <f t="shared" ref="EC57:EC64" ca="1" si="370">-(EXP(-POWER((LN($A$44/$A57)+($EC$1+POWER($EJ57,2)/2)*($EO$1/$DY$1))/($EJ57*SQRT($EO$1/$DY$1)),2)/2)/SQRT(2*PI())/($A$44*$EJ57*SQRT($EO$1/$DY$1)))</f>
        <v>#NUM!</v>
      </c>
      <c r="ED57" s="63">
        <f t="shared" si="292"/>
        <v>15650</v>
      </c>
      <c r="EE57" s="84">
        <f t="shared" si="268"/>
        <v>0.25</v>
      </c>
      <c r="EF57" s="84">
        <f t="shared" si="269"/>
        <v>2.8187000000000002</v>
      </c>
      <c r="EG57" s="84">
        <f t="shared" si="270"/>
        <v>0.25</v>
      </c>
      <c r="EH57" s="84">
        <f t="shared" si="271"/>
        <v>3.0588000000000002</v>
      </c>
      <c r="EI57" s="84">
        <f t="shared" si="272"/>
        <v>0.25</v>
      </c>
      <c r="EJ57" s="84">
        <f t="shared" si="273"/>
        <v>0.4486</v>
      </c>
      <c r="EK57" s="63" t="e">
        <f t="shared" ca="1" si="293"/>
        <v>#NUM!</v>
      </c>
      <c r="EL57" s="83" t="str">
        <f>RTD("tos.rtd",,EL$43,"."&amp;$A$43&amp;$AS$42&amp;"C"&amp;$A57)</f>
        <v>--</v>
      </c>
      <c r="EM57" s="83" t="str">
        <f>RTD("tos.rtd",,EM$43,"."&amp;$A$43&amp;$AS$42&amp;"P"&amp;$A57)</f>
        <v>281.87%</v>
      </c>
      <c r="EN57" s="83" t="str">
        <f>RTD("tos.rtd",,EN$2,"."&amp;$A$43&amp;$AU$1&amp;"C"&amp;$A57)</f>
        <v>--</v>
      </c>
      <c r="EO57" s="83" t="str">
        <f>RTD("tos.rtd",,EO$2,"."&amp;$A$43&amp;$AU$1&amp;"P"&amp;$A57)</f>
        <v>305.88%</v>
      </c>
      <c r="EP57" s="83" t="str">
        <f>RTD("tos.rtd",,EP$2,"."&amp;$A$43&amp;$AW$1&amp;"C"&amp;$A57)</f>
        <v>--</v>
      </c>
      <c r="EQ57" s="83" t="str">
        <f>RTD("tos.rtd",,EQ$2,"."&amp;$A$43&amp;$AW$1&amp;"P"&amp;$A57)</f>
        <v>44.86%</v>
      </c>
      <c r="ES57" s="63" t="str">
        <f t="shared" si="274"/>
        <v>490,15650.00</v>
      </c>
      <c r="ET57" s="63" t="str">
        <f t="shared" ca="1" si="275"/>
        <v>490,00.00</v>
      </c>
      <c r="EU57" s="68">
        <v>561</v>
      </c>
      <c r="EV57" s="68" t="s">
        <v>475</v>
      </c>
      <c r="EW57" s="68">
        <v>483.3</v>
      </c>
      <c r="EX57" s="68" t="s">
        <v>476</v>
      </c>
      <c r="EY57" s="68">
        <v>5631.28</v>
      </c>
      <c r="EZ57" s="68" t="s">
        <v>477</v>
      </c>
      <c r="FA57" s="68">
        <v>19867.973000000002</v>
      </c>
      <c r="FB57" s="68" t="s">
        <v>478</v>
      </c>
      <c r="FC57" s="68" t="s">
        <v>479</v>
      </c>
      <c r="FD57" s="68" t="s">
        <v>480</v>
      </c>
      <c r="FE57" s="68" t="s">
        <v>481</v>
      </c>
      <c r="FF57" s="68" t="s">
        <v>482</v>
      </c>
    </row>
    <row r="58" spans="1:162" ht="13.5" thickBot="1" x14ac:dyDescent="0.25">
      <c r="A58" s="2">
        <f t="shared" si="294"/>
        <v>489</v>
      </c>
      <c r="B58" s="3">
        <f t="shared" si="241"/>
        <v>5048</v>
      </c>
      <c r="C58" s="3">
        <f t="shared" si="242"/>
        <v>3346</v>
      </c>
      <c r="D58" s="3">
        <f t="shared" si="243"/>
        <v>967</v>
      </c>
      <c r="E58" s="3">
        <f t="shared" si="244"/>
        <v>9361</v>
      </c>
      <c r="F58" s="4">
        <f t="shared" si="298"/>
        <v>20175.515853806122</v>
      </c>
      <c r="AM58" s="1">
        <v>-11996</v>
      </c>
      <c r="AN58" s="1">
        <v>2033</v>
      </c>
      <c r="AO58" s="1">
        <v>489</v>
      </c>
      <c r="AP58" s="1">
        <v>78927</v>
      </c>
      <c r="AQ58" s="1">
        <v>-97034</v>
      </c>
      <c r="AS58" s="6">
        <f>IF(RTD("tos.rtd",,AS$43,"."&amp;$A$43&amp;$AS$42&amp;"C"&amp;$A58)="N/A",0,RTD("tos.rtd",,AS$43,"."&amp;$A$43&amp;$AS$42&amp;"C"&amp;$A58))</f>
        <v>4762</v>
      </c>
      <c r="AT58" s="7">
        <f>-IF(RTD("tos.rtd",,AT$43,"."&amp;$A$43&amp;$AS$42&amp;"P"&amp;$A58)="N/A",0,RTD("tos.rtd",,AT$43,"."&amp;$A$43&amp;$AS$42&amp;"P"&amp;$A58))</f>
        <v>-286</v>
      </c>
      <c r="AU58" s="6">
        <v>1</v>
      </c>
      <c r="AV58" s="7">
        <f>-IF(RTD("tos.rtd",,AV$2,"."&amp;$A$43&amp;$AU$1&amp;"P"&amp;$A58)="N/A",0,RTD("tos.rtd",,AV$2,"."&amp;$A$43&amp;$AU$1&amp;"P"&amp;$A58))</f>
        <v>-3345</v>
      </c>
      <c r="AW58" s="6">
        <f>IF(RTD("tos.rtd",,AW$2,"."&amp;$A$43&amp;$AW$1&amp;"C"&amp;$A58)="N/A",0,RTD("tos.rtd",,AW$2,"."&amp;$A$43&amp;$AW$1&amp;"C"&amp;$A58))</f>
        <v>631</v>
      </c>
      <c r="AX58" s="7">
        <f>-IF(RTD("tos.rtd",,AX$2,"."&amp;$A$43&amp;$AW$1&amp;"P"&amp;$A58)="N/A",0,RTD("tos.rtd",,AX$2,"."&amp;$A$43&amp;$AW$1&amp;"P"&amp;$A58))</f>
        <v>-336</v>
      </c>
      <c r="AY58" s="7">
        <f t="shared" si="276"/>
        <v>1427</v>
      </c>
      <c r="AZ58" s="8">
        <f t="shared" si="245"/>
        <v>489</v>
      </c>
      <c r="BA58" s="6">
        <f>IF(RTD("tos.rtd",,BA$43,"."&amp;$A$43&amp;$AS$42&amp;"C"&amp;$A58)="N/A",0,RTD("tos.rtd",,BA$43,"."&amp;$A$43&amp;$AS$42&amp;"C"&amp;$A58))</f>
        <v>0</v>
      </c>
      <c r="BB58" s="7">
        <f>-IF(RTD("tos.rtd",,BB$43,"."&amp;$A$43&amp;$AS$42&amp;"P"&amp;$A58)="N/A",0,RTD("tos.rtd",,BB$43,"."&amp;$A$43&amp;$AS$42&amp;"P"&amp;$A58))</f>
        <v>0</v>
      </c>
      <c r="BC58" s="6">
        <f>IF(RTD("tos.rtd",,BC$2,"."&amp;$A$43&amp;$AU$1&amp;"C"&amp;$A58)="N/A",0,RTD("tos.rtd",,BC$2,"."&amp;$A$43&amp;$AU$1&amp;"C"&amp;$A58))</f>
        <v>147460</v>
      </c>
      <c r="BD58" s="7">
        <f>-IF(RTD("tos.rtd",,BD$2,"."&amp;$A$43&amp;$AU$1&amp;"P"&amp;$A58)="N/A",0,RTD("tos.rtd",,BD$2,"."&amp;$A$43&amp;$AU$1&amp;"P"&amp;$A58))</f>
        <v>-77159</v>
      </c>
      <c r="BE58" s="6">
        <f>IF(RTD("tos.rtd",,BE$2,"."&amp;$A$43&amp;$AW$1&amp;"C"&amp;$A58)="N/A",0,RTD("tos.rtd",,BE$2,"."&amp;$A$43&amp;$AW$1&amp;"C"&amp;$A58))</f>
        <v>2745</v>
      </c>
      <c r="BF58" s="7">
        <f>-IF(RTD("tos.rtd",,BF$2,"."&amp;$A$43&amp;$AW$1&amp;"P"&amp;$A58)="N/A",0,RTD("tos.rtd",,BF$2,"."&amp;$A$43&amp;$AW$1&amp;"P"&amp;$A58))</f>
        <v>-2013</v>
      </c>
      <c r="BG58" s="32">
        <f ca="1">+Hoja2!Y59</f>
        <v>-205</v>
      </c>
      <c r="BH58" s="7">
        <f t="shared" ca="1" si="277"/>
        <v>70828</v>
      </c>
      <c r="BI58" s="8" t="str">
        <f t="shared" ca="1" si="295"/>
        <v/>
      </c>
      <c r="BJ58" s="83" t="e">
        <f ca="1">IF($BP$1=1,DX58,IF(RTD("tos.rtd",,BJ$43,"."&amp;$A$43&amp;$AS$42&amp;"C"&amp;$A58)="N/A",0,RTD("tos.rtd",,BJ$43,"."&amp;$A$43&amp;$AS$42&amp;"C"&amp;$A58)))</f>
        <v>#NUM!</v>
      </c>
      <c r="BK58" s="83" t="e">
        <f ca="1">IF($BP$1=1,DY58,-IF(RTD("tos.rtd",,BK$43,"."&amp;$A$43&amp;$AS$42&amp;"P"&amp;$A58)="N/A",0,RTD("tos.rtd",,BK$43,"."&amp;$A$43&amp;$AS$42&amp;"P"&amp;$A58)))</f>
        <v>#NUM!</v>
      </c>
      <c r="BL58" s="83" t="e">
        <f ca="1">IF($BP$1=1,DZ58,IF(RTD("tos.rtd",,BL$2,"."&amp;$A$43&amp;$AU$1&amp;"C"&amp;$A58)="N/A",0,RTD("tos.rtd",,BL$2,"."&amp;$A$43&amp;$AU$1&amp;"C"&amp;$A58)))</f>
        <v>#NUM!</v>
      </c>
      <c r="BM58" s="83" t="e">
        <f ca="1">IF($BP$1=1,EA58,-IF(RTD("tos.rtd",,BM$2,"."&amp;$A$43&amp;$AU$1&amp;"P"&amp;$A58)="N/A",0,RTD("tos.rtd",,BM$2,"."&amp;$A$43&amp;$AU$1&amp;"P"&amp;$A58)))</f>
        <v>#NUM!</v>
      </c>
      <c r="BN58" s="83" t="e">
        <f ca="1">IF($BP$1=1,EB58,IF(RTD("tos.rtd",,BN$2,"."&amp;$A$43&amp;$AW$1&amp;"C"&amp;$A58)="N/A",0,RTD("tos.rtd",,BN$2,"."&amp;$A$43&amp;$AW$1&amp;"C"&amp;$A58)))</f>
        <v>#NUM!</v>
      </c>
      <c r="BO58" s="83" t="e">
        <f ca="1">IF($BP$1=1,EC58,-IF(RTD("tos.rtd",,BO$2,"."&amp;$A$43&amp;$AW$1&amp;"P"&amp;$A58)="N/A",0,RTD("tos.rtd",,BO$2,"."&amp;$A$43&amp;$AW$1&amp;"P"&amp;$A58)))</f>
        <v>#NUM!</v>
      </c>
      <c r="BQ58" s="83" t="e">
        <f t="shared" ca="1" si="278"/>
        <v>#NUM!</v>
      </c>
      <c r="BR58" s="3" t="e">
        <f t="shared" ca="1" si="279"/>
        <v>#NUM!</v>
      </c>
      <c r="BS58" s="83" t="e">
        <f t="shared" ca="1" si="280"/>
        <v>#NUM!</v>
      </c>
      <c r="BT58" s="3" t="e">
        <f t="shared" ca="1" si="281"/>
        <v>#NUM!</v>
      </c>
      <c r="BU58" s="83" t="e">
        <f t="shared" ca="1" si="282"/>
        <v>#NUM!</v>
      </c>
      <c r="BV58" s="83"/>
      <c r="BX58" s="83" t="e">
        <f t="shared" ca="1" si="283"/>
        <v>#NUM!</v>
      </c>
      <c r="BY58" s="83" t="e">
        <f t="shared" ca="1" si="296"/>
        <v>#NUM!</v>
      </c>
      <c r="BZ58" s="83" t="e">
        <f t="shared" ca="1" si="284"/>
        <v>#NUM!</v>
      </c>
      <c r="CA58" s="83" t="e">
        <f t="shared" ca="1" si="296"/>
        <v>#NUM!</v>
      </c>
      <c r="CB58" s="83" t="e">
        <f t="shared" ca="1" si="285"/>
        <v>#NUM!</v>
      </c>
      <c r="CC58" s="83" t="e">
        <f t="shared" ca="1" si="296"/>
        <v>#NUM!</v>
      </c>
      <c r="CD58" s="83">
        <f>IF(RTD("tos.rtd",,CD$43,"."&amp;$A$43&amp;$AS$42&amp;"C"&amp;$A58)="N/A",0,RTD("tos.rtd",,CD$43,"."&amp;$A$43&amp;$AS$42&amp;"C"&amp;$A58))</f>
        <v>1</v>
      </c>
      <c r="CE58" s="83">
        <f>-IF(RTD("tos.rtd",,CE$43,"."&amp;$A$43&amp;$AS$42&amp;"P"&amp;$A58)="N/A",0,RTD("tos.rtd",,CE$43,"."&amp;$A$43&amp;$AS$42&amp;"P"&amp;$A58))</f>
        <v>0.21</v>
      </c>
      <c r="CF58" s="83">
        <f>IF(RTD("tos.rtd",,CF$2,"."&amp;$A$43&amp;$AU$1&amp;"C"&amp;$A58)="N/A",0,RTD("tos.rtd",,CF$2,"."&amp;$A$43&amp;$AU$1&amp;"C"&amp;$A58))</f>
        <v>1</v>
      </c>
      <c r="CG58" s="83">
        <f>-IF(RTD("tos.rtd",,CG$2,"."&amp;$A$43&amp;$AU$1&amp;"P"&amp;$A58)="N/A",0,RTD("tos.rtd",,CG$2,"."&amp;$A$43&amp;$AU$1&amp;"P"&amp;$A58))</f>
        <v>0.22</v>
      </c>
      <c r="CH58" s="83">
        <f>IF(RTD("tos.rtd",,CH$2,"."&amp;$A$43&amp;$AW$1&amp;"C"&amp;$A58)="N/A",0,RTD("tos.rtd",,CH$2,"."&amp;$A$43&amp;$AW$1&amp;"C"&amp;$A58))</f>
        <v>1</v>
      </c>
      <c r="CI58" s="83">
        <f>-IF(RTD("tos.rtd",,CI$2,"."&amp;$A$43&amp;$AW$1&amp;"P"&amp;$A58)="N/A",0,RTD("tos.rtd",,CI$2,"."&amp;$A$43&amp;$AW$1&amp;"P"&amp;$A58))</f>
        <v>0.38</v>
      </c>
      <c r="CK58" s="83">
        <f t="shared" si="286"/>
        <v>470194</v>
      </c>
      <c r="CL58" s="83"/>
      <c r="CM58" s="83">
        <f t="shared" si="287"/>
        <v>-73490</v>
      </c>
      <c r="CN58" s="83"/>
      <c r="CO58" s="83">
        <f t="shared" si="288"/>
        <v>50332</v>
      </c>
      <c r="CP58" s="83">
        <f t="shared" si="235"/>
        <v>447036</v>
      </c>
      <c r="CQ58" s="83">
        <f t="shared" si="249"/>
        <v>0</v>
      </c>
      <c r="CR58" s="83"/>
      <c r="CS58" s="83">
        <f t="shared" si="250"/>
        <v>70301</v>
      </c>
      <c r="CT58" s="83"/>
      <c r="CU58" s="83">
        <f t="shared" si="251"/>
        <v>732</v>
      </c>
      <c r="CV58" s="83"/>
      <c r="CW58" s="83" t="e">
        <f t="shared" ca="1" si="252"/>
        <v>#NUM!</v>
      </c>
      <c r="CY58" s="83" t="e">
        <f t="shared" ca="1" si="253"/>
        <v>#NUM!</v>
      </c>
      <c r="CZ58" s="70" t="e">
        <f t="shared" ca="1" si="297"/>
        <v>#NUM!</v>
      </c>
      <c r="DA58" s="83">
        <f>IF(RTD("tos.rtd",,DA$43,"."&amp;$A$43&amp;$AS$42&amp;"C"&amp;$A58)="N/A",0,RTD("tos.rtd",,DA$43,"."&amp;$A$43&amp;$AS$42&amp;"C"&amp;$A58))</f>
        <v>0.06</v>
      </c>
      <c r="DB58" s="83">
        <f>IF(RTD("tos.rtd",,DB$43,"."&amp;$A$43&amp;$AS$42&amp;"P"&amp;$A58)="N/A",0,RTD("tos.rtd",,DB$43,"."&amp;$A$43&amp;$AS$42&amp;"P"&amp;$A58))</f>
        <v>0.82</v>
      </c>
      <c r="DC58" s="83">
        <f>IF(RTD("tos.rtd",,DC$43,"."&amp;$A$43&amp;$AS$42&amp;"C"&amp;$A58)="N/A",0,RTD("tos.rtd",,DC$43,"."&amp;$A$43&amp;$AS$42&amp;"C"&amp;$A58))</f>
        <v>7.0000000000000007E-2</v>
      </c>
      <c r="DD58" s="83">
        <f>IF(RTD("tos.rtd",,DD$43,"."&amp;$A$43&amp;$AS$42&amp;"P"&amp;$A58)="N/A",0,RTD("tos.rtd",,DD$43,"."&amp;$A$43&amp;$AS$42&amp;"P"&amp;$A58))</f>
        <v>1.05</v>
      </c>
      <c r="DE58" s="83">
        <f>IF(RTD("tos.rtd",,DE$43,"."&amp;$A$43&amp;$AS$42&amp;"C"&amp;$A58)="N/A",0,RTD("tos.rtd",,DE$43,"."&amp;$A$43&amp;$AS$42&amp;"C"&amp;$A58))</f>
        <v>0.06</v>
      </c>
      <c r="DF58" s="83">
        <f>IF(RTD("tos.rtd",,DF$43,"."&amp;$A$43&amp;$AS$42&amp;"P"&amp;$A58)="N/A",0,RTD("tos.rtd",,DF$43,"."&amp;$A$43&amp;$AS$42&amp;"P"&amp;$A58))</f>
        <v>0.94</v>
      </c>
      <c r="DG58" s="86">
        <f t="shared" si="289"/>
        <v>-6.7799999999999727</v>
      </c>
      <c r="DH58" s="83">
        <f t="shared" si="254"/>
        <v>0</v>
      </c>
      <c r="DI58" s="83">
        <f t="shared" si="255"/>
        <v>-105855.27272727263</v>
      </c>
      <c r="DJ58" s="83">
        <f t="shared" si="256"/>
        <v>78927</v>
      </c>
      <c r="DK58" s="83">
        <f t="shared" si="257"/>
        <v>-97034</v>
      </c>
      <c r="DL58" s="83">
        <f t="shared" si="258"/>
        <v>-105855.27272727263</v>
      </c>
      <c r="DM58" s="83">
        <f t="shared" si="259"/>
        <v>-18107</v>
      </c>
      <c r="DN58" s="64" t="str">
        <f t="shared" si="260"/>
        <v>UNKNOWN</v>
      </c>
      <c r="DO58" s="64" t="str">
        <f t="shared" si="261"/>
        <v>UNKNOWN</v>
      </c>
      <c r="DP58" s="83">
        <f t="shared" si="262"/>
        <v>-86801.323636363551</v>
      </c>
      <c r="DQ58" s="83">
        <f t="shared" si="263"/>
        <v>-74832.259999999995</v>
      </c>
      <c r="DR58" s="83" t="e">
        <f t="shared" ca="1" si="264"/>
        <v>#NUM!</v>
      </c>
      <c r="DS58" s="83">
        <f t="shared" si="265"/>
        <v>58549.86</v>
      </c>
      <c r="DT58" s="83">
        <f t="shared" si="290"/>
        <v>-78927</v>
      </c>
      <c r="DU58" s="83">
        <f t="shared" si="291"/>
        <v>97034</v>
      </c>
      <c r="DV58" s="83">
        <f t="shared" si="266"/>
        <v>-11996</v>
      </c>
      <c r="DW58" s="83">
        <f t="shared" si="267"/>
        <v>2033</v>
      </c>
      <c r="DX58" s="83" t="e">
        <f t="shared" ca="1" si="365"/>
        <v>#NUM!</v>
      </c>
      <c r="DY58" s="83" t="e">
        <f t="shared" ca="1" si="366"/>
        <v>#NUM!</v>
      </c>
      <c r="DZ58" s="83" t="e">
        <f t="shared" ca="1" si="367"/>
        <v>#NUM!</v>
      </c>
      <c r="EA58" s="83" t="e">
        <f t="shared" ca="1" si="368"/>
        <v>#NUM!</v>
      </c>
      <c r="EB58" s="83" t="e">
        <f t="shared" ca="1" si="369"/>
        <v>#NUM!</v>
      </c>
      <c r="EC58" s="83" t="e">
        <f t="shared" ca="1" si="370"/>
        <v>#NUM!</v>
      </c>
      <c r="ED58" s="63">
        <f t="shared" si="292"/>
        <v>-9963</v>
      </c>
      <c r="EE58" s="84">
        <f t="shared" si="268"/>
        <v>0.25</v>
      </c>
      <c r="EF58" s="84">
        <f t="shared" si="269"/>
        <v>2.2572999999999999</v>
      </c>
      <c r="EG58" s="84">
        <f t="shared" si="270"/>
        <v>0.25</v>
      </c>
      <c r="EH58" s="84">
        <f t="shared" si="271"/>
        <v>2.3540000000000001</v>
      </c>
      <c r="EI58" s="84">
        <f t="shared" si="272"/>
        <v>0.25</v>
      </c>
      <c r="EJ58" s="84">
        <f t="shared" si="273"/>
        <v>0.44440000000000002</v>
      </c>
      <c r="EK58" s="63" t="e">
        <f t="shared" ca="1" si="293"/>
        <v>#NUM!</v>
      </c>
      <c r="EL58" s="83" t="str">
        <f>RTD("tos.rtd",,EL$43,"."&amp;$A$43&amp;$AS$42&amp;"C"&amp;$A58)</f>
        <v>--</v>
      </c>
      <c r="EM58" s="83" t="str">
        <f>RTD("tos.rtd",,EM$43,"."&amp;$A$43&amp;$AS$42&amp;"P"&amp;$A58)</f>
        <v>225.73%</v>
      </c>
      <c r="EN58" s="83" t="str">
        <f>RTD("tos.rtd",,EN$2,"."&amp;$A$43&amp;$AU$1&amp;"C"&amp;$A58)</f>
        <v>--</v>
      </c>
      <c r="EO58" s="83" t="str">
        <f>RTD("tos.rtd",,EO$2,"."&amp;$A$43&amp;$AU$1&amp;"P"&amp;$A58)</f>
        <v>235.40%</v>
      </c>
      <c r="EP58" s="83" t="str">
        <f>RTD("tos.rtd",,EP$2,"."&amp;$A$43&amp;$AW$1&amp;"C"&amp;$A58)</f>
        <v>--</v>
      </c>
      <c r="EQ58" s="83" t="str">
        <f>RTD("tos.rtd",,EQ$2,"."&amp;$A$43&amp;$AW$1&amp;"P"&amp;$A58)</f>
        <v>44.44%</v>
      </c>
      <c r="ES58" s="63" t="str">
        <f t="shared" si="274"/>
        <v>489,-9963.00</v>
      </c>
      <c r="ET58" s="63" t="str">
        <f t="shared" ca="1" si="275"/>
        <v>489,00.00</v>
      </c>
      <c r="EU58" s="68">
        <v>561.08000000000004</v>
      </c>
      <c r="EV58" s="68" t="s">
        <v>483</v>
      </c>
      <c r="EW58" s="68">
        <v>483.33</v>
      </c>
      <c r="EX58" s="68" t="s">
        <v>484</v>
      </c>
      <c r="EY58" s="68">
        <v>5631.28</v>
      </c>
      <c r="EZ58" s="68" t="s">
        <v>485</v>
      </c>
      <c r="FA58" s="68">
        <v>19867.973000000002</v>
      </c>
      <c r="FB58" s="68" t="s">
        <v>486</v>
      </c>
      <c r="FC58" s="68" t="s">
        <v>487</v>
      </c>
      <c r="FD58" s="68" t="s">
        <v>488</v>
      </c>
      <c r="FE58" s="68" t="s">
        <v>489</v>
      </c>
      <c r="FF58" s="68" t="s">
        <v>490</v>
      </c>
    </row>
    <row r="59" spans="1:162" ht="13.5" thickBot="1" x14ac:dyDescent="0.25">
      <c r="A59" s="2">
        <f t="shared" si="294"/>
        <v>488</v>
      </c>
      <c r="B59" s="3">
        <f t="shared" si="241"/>
        <v>3434</v>
      </c>
      <c r="C59" s="3">
        <f t="shared" si="242"/>
        <v>6305</v>
      </c>
      <c r="D59" s="3">
        <f t="shared" si="243"/>
        <v>2491</v>
      </c>
      <c r="E59" s="3">
        <f>SUM(B59:D59)</f>
        <v>12230</v>
      </c>
      <c r="F59" s="4">
        <f>+$F$44/$A$44*A59</f>
        <v>20134.257130178707</v>
      </c>
      <c r="AM59" s="1">
        <v>-16572</v>
      </c>
      <c r="AN59" s="1">
        <v>2414</v>
      </c>
      <c r="AO59" s="1">
        <v>488</v>
      </c>
      <c r="AP59" s="1">
        <v>113244</v>
      </c>
      <c r="AQ59" s="1">
        <v>-106658</v>
      </c>
      <c r="AS59" s="6">
        <f>IF(RTD("tos.rtd",,AS$43,"."&amp;$A$43&amp;$AS$42&amp;"C"&amp;$A59)="N/A",0,RTD("tos.rtd",,AS$43,"."&amp;$A$43&amp;$AS$42&amp;"C"&amp;$A59))</f>
        <v>2414</v>
      </c>
      <c r="AT59" s="7">
        <f>-IF(RTD("tos.rtd",,AT$43,"."&amp;$A$43&amp;$AS$42&amp;"P"&amp;$A59)="N/A",0,RTD("tos.rtd",,AT$43,"."&amp;$A$43&amp;$AS$42&amp;"P"&amp;$A59))</f>
        <v>-1020</v>
      </c>
      <c r="AU59" s="6">
        <f>IF(RTD("tos.rtd",,AU$2,"."&amp;$A$43&amp;$AU$1&amp;"C"&amp;$A59)="N/A",0,RTD("tos.rtd",,AU$2,"."&amp;$A$43&amp;$AU$1&amp;"C"&amp;$A59))</f>
        <v>2815</v>
      </c>
      <c r="AV59" s="7">
        <f>-IF(RTD("tos.rtd",,AV$2,"."&amp;$A$43&amp;$AU$1&amp;"P"&amp;$A59)="N/A",0,RTD("tos.rtd",,AV$2,"."&amp;$A$43&amp;$AU$1&amp;"P"&amp;$A59))</f>
        <v>-3490</v>
      </c>
      <c r="AW59" s="6">
        <f>IF(RTD("tos.rtd",,AW$2,"."&amp;$A$43&amp;$AW$1&amp;"C"&amp;$A59)="N/A",0,RTD("tos.rtd",,AW$2,"."&amp;$A$43&amp;$AW$1&amp;"C"&amp;$A59))</f>
        <v>1483</v>
      </c>
      <c r="AX59" s="7">
        <f>-IF(RTD("tos.rtd",,AX$2,"."&amp;$A$43&amp;$AW$1&amp;"P"&amp;$A59)="N/A",0,RTD("tos.rtd",,AX$2,"."&amp;$A$43&amp;$AW$1&amp;"P"&amp;$A59))</f>
        <v>-1008</v>
      </c>
      <c r="AY59" s="7">
        <f>SUM(AS59:AX59)</f>
        <v>1194</v>
      </c>
      <c r="AZ59" s="8">
        <f t="shared" si="245"/>
        <v>488</v>
      </c>
      <c r="BA59" s="6">
        <f>IF(RTD("tos.rtd",,BA$43,"."&amp;$A$43&amp;$AS$42&amp;"C"&amp;$A59)="N/A",0,RTD("tos.rtd",,BA$43,"."&amp;$A$43&amp;$AS$42&amp;"C"&amp;$A59))</f>
        <v>0</v>
      </c>
      <c r="BB59" s="7">
        <f>-IF(RTD("tos.rtd",,BB$43,"."&amp;$A$43&amp;$AS$42&amp;"P"&amp;$A59)="N/A",0,RTD("tos.rtd",,BB$43,"."&amp;$A$43&amp;$AS$42&amp;"P"&amp;$A59))</f>
        <v>0</v>
      </c>
      <c r="BC59" s="6">
        <f>IF(RTD("tos.rtd",,BC$2,"."&amp;$A$43&amp;$AU$1&amp;"C"&amp;$A59)="N/A",0,RTD("tos.rtd",,BC$2,"."&amp;$A$43&amp;$AU$1&amp;"C"&amp;$A59))</f>
        <v>134820</v>
      </c>
      <c r="BD59" s="7">
        <f>-IF(RTD("tos.rtd",,BD$2,"."&amp;$A$43&amp;$AU$1&amp;"P"&amp;$A59)="N/A",0,RTD("tos.rtd",,BD$2,"."&amp;$A$43&amp;$AU$1&amp;"P"&amp;$A59))</f>
        <v>-167184</v>
      </c>
      <c r="BE59" s="6">
        <f>IF(RTD("tos.rtd",,BE$2,"."&amp;$A$43&amp;$AW$1&amp;"C"&amp;$A59)="N/A",0,RTD("tos.rtd",,BE$2,"."&amp;$A$43&amp;$AW$1&amp;"C"&amp;$A59))</f>
        <v>1844</v>
      </c>
      <c r="BF59" s="7">
        <f>-IF(RTD("tos.rtd",,BF$2,"."&amp;$A$43&amp;$AW$1&amp;"P"&amp;$A59)="N/A",0,RTD("tos.rtd",,BF$2,"."&amp;$A$43&amp;$AW$1&amp;"P"&amp;$A59))</f>
        <v>-2184</v>
      </c>
      <c r="BG59" s="32">
        <f ca="1">+Hoja2!Y60</f>
        <v>-249</v>
      </c>
      <c r="BH59" s="7">
        <f t="shared" ca="1" si="277"/>
        <v>-32953</v>
      </c>
      <c r="BI59" s="8" t="str">
        <f t="shared" ca="1" si="295"/>
        <v>Cruce -</v>
      </c>
      <c r="BJ59" s="83" t="e">
        <f ca="1">IF($BP$1=1,DX59,IF(RTD("tos.rtd",,BJ$43,"."&amp;$A$43&amp;$AS$42&amp;"C"&amp;$A59)="N/A",0,RTD("tos.rtd",,BJ$43,"."&amp;$A$43&amp;$AS$42&amp;"C"&amp;$A59)))</f>
        <v>#NUM!</v>
      </c>
      <c r="BK59" s="83" t="e">
        <f ca="1">IF($BP$1=1,DY59,-IF(RTD("tos.rtd",,BK$43,"."&amp;$A$43&amp;$AS$42&amp;"P"&amp;$A59)="N/A",0,RTD("tos.rtd",,BK$43,"."&amp;$A$43&amp;$AS$42&amp;"P"&amp;$A59)))</f>
        <v>#NUM!</v>
      </c>
      <c r="BL59" s="83" t="e">
        <f ca="1">IF($BP$1=1,DZ59,IF(RTD("tos.rtd",,BL$2,"."&amp;$A$43&amp;$AU$1&amp;"C"&amp;$A59)="N/A",0,RTD("tos.rtd",,BL$2,"."&amp;$A$43&amp;$AU$1&amp;"C"&amp;$A59)))</f>
        <v>#NUM!</v>
      </c>
      <c r="BM59" s="83" t="e">
        <f ca="1">IF($BP$1=1,EA59,-IF(RTD("tos.rtd",,BM$2,"."&amp;$A$43&amp;$AU$1&amp;"P"&amp;$A59)="N/A",0,RTD("tos.rtd",,BM$2,"."&amp;$A$43&amp;$AU$1&amp;"P"&amp;$A59)))</f>
        <v>#NUM!</v>
      </c>
      <c r="BN59" s="83" t="e">
        <f ca="1">IF($BP$1=1,EB59,IF(RTD("tos.rtd",,BN$2,"."&amp;$A$43&amp;$AW$1&amp;"C"&amp;$A59)="N/A",0,RTD("tos.rtd",,BN$2,"."&amp;$A$43&amp;$AW$1&amp;"C"&amp;$A59)))</f>
        <v>#NUM!</v>
      </c>
      <c r="BO59" s="83" t="e">
        <f ca="1">IF($BP$1=1,EC59,-IF(RTD("tos.rtd",,BO$2,"."&amp;$A$43&amp;$AW$1&amp;"P"&amp;$A59)="N/A",0,RTD("tos.rtd",,BO$2,"."&amp;$A$43&amp;$AW$1&amp;"P"&amp;$A59)))</f>
        <v>#NUM!</v>
      </c>
      <c r="BQ59" s="83" t="e">
        <f t="shared" ca="1" si="278"/>
        <v>#NUM!</v>
      </c>
      <c r="BR59" s="3" t="e">
        <f t="shared" ca="1" si="279"/>
        <v>#NUM!</v>
      </c>
      <c r="BS59" s="83" t="e">
        <f t="shared" ca="1" si="280"/>
        <v>#NUM!</v>
      </c>
      <c r="BT59" s="3" t="e">
        <f t="shared" ca="1" si="281"/>
        <v>#NUM!</v>
      </c>
      <c r="BU59" s="83" t="e">
        <f t="shared" ca="1" si="282"/>
        <v>#NUM!</v>
      </c>
      <c r="BV59" s="83"/>
      <c r="BX59" s="83" t="e">
        <f t="shared" ca="1" si="283"/>
        <v>#NUM!</v>
      </c>
      <c r="BY59" s="83" t="e">
        <f t="shared" ca="1" si="296"/>
        <v>#NUM!</v>
      </c>
      <c r="BZ59" s="83" t="e">
        <f t="shared" ca="1" si="284"/>
        <v>#NUM!</v>
      </c>
      <c r="CA59" s="83" t="e">
        <f t="shared" ca="1" si="296"/>
        <v>#NUM!</v>
      </c>
      <c r="CB59" s="83" t="e">
        <f t="shared" ca="1" si="285"/>
        <v>#NUM!</v>
      </c>
      <c r="CC59" s="83" t="e">
        <f t="shared" ca="1" si="296"/>
        <v>#NUM!</v>
      </c>
      <c r="CD59" s="83">
        <f>IF(RTD("tos.rtd",,CD$43,"."&amp;$A$43&amp;$AS$42&amp;"C"&amp;$A59)="N/A",0,RTD("tos.rtd",,CD$43,"."&amp;$A$43&amp;$AS$42&amp;"C"&amp;$A59))</f>
        <v>1</v>
      </c>
      <c r="CE59" s="83">
        <f>-IF(RTD("tos.rtd",,CE$43,"."&amp;$A$43&amp;$AS$42&amp;"P"&amp;$A59)="N/A",0,RTD("tos.rtd",,CE$43,"."&amp;$A$43&amp;$AS$42&amp;"P"&amp;$A59))</f>
        <v>0.1</v>
      </c>
      <c r="CF59" s="83">
        <f>IF(RTD("tos.rtd",,CF$2,"."&amp;$A$43&amp;$AU$1&amp;"C"&amp;$A59)="N/A",0,RTD("tos.rtd",,CF$2,"."&amp;$A$43&amp;$AU$1&amp;"C"&amp;$A59))</f>
        <v>1</v>
      </c>
      <c r="CG59" s="83">
        <f>-IF(RTD("tos.rtd",,CG$2,"."&amp;$A$43&amp;$AU$1&amp;"P"&amp;$A59)="N/A",0,RTD("tos.rtd",,CG$2,"."&amp;$A$43&amp;$AU$1&amp;"P"&amp;$A59))</f>
        <v>0.09</v>
      </c>
      <c r="CH59" s="83">
        <f>IF(RTD("tos.rtd",,CH$2,"."&amp;$A$43&amp;$AW$1&amp;"C"&amp;$A59)="N/A",0,RTD("tos.rtd",,CH$2,"."&amp;$A$43&amp;$AW$1&amp;"C"&amp;$A59))</f>
        <v>1</v>
      </c>
      <c r="CI59" s="83">
        <f>-IF(RTD("tos.rtd",,CI$2,"."&amp;$A$43&amp;$AW$1&amp;"P"&amp;$A59)="N/A",0,RTD("tos.rtd",,CI$2,"."&amp;$A$43&amp;$AW$1&amp;"P"&amp;$A59))</f>
        <v>0.36</v>
      </c>
      <c r="CK59" s="83">
        <f t="shared" si="286"/>
        <v>231200</v>
      </c>
      <c r="CL59" s="83"/>
      <c r="CM59" s="83">
        <f t="shared" si="287"/>
        <v>250090</v>
      </c>
      <c r="CN59" s="83"/>
      <c r="CO59" s="83">
        <f t="shared" si="288"/>
        <v>112012</v>
      </c>
      <c r="CP59" s="83">
        <f t="shared" si="235"/>
        <v>593302</v>
      </c>
      <c r="CQ59" s="83">
        <f t="shared" si="249"/>
        <v>0</v>
      </c>
      <c r="CR59" s="83"/>
      <c r="CS59" s="83">
        <f t="shared" si="250"/>
        <v>-32364</v>
      </c>
      <c r="CT59" s="83"/>
      <c r="CU59" s="83">
        <f t="shared" si="251"/>
        <v>-340</v>
      </c>
      <c r="CV59" s="83"/>
      <c r="CW59" s="83" t="e">
        <f ca="1">+BQ59+BS59+BU59</f>
        <v>#NUM!</v>
      </c>
      <c r="CY59" s="83" t="e">
        <f t="shared" ca="1" si="253"/>
        <v>#NUM!</v>
      </c>
      <c r="CZ59" s="70" t="e">
        <f t="shared" ca="1" si="297"/>
        <v>#NUM!</v>
      </c>
      <c r="DA59" s="83">
        <f>IF(RTD("tos.rtd",,DA$43,"."&amp;$A$43&amp;$AS$42&amp;"C"&amp;$A59)="N/A",0,RTD("tos.rtd",,DA$43,"."&amp;$A$43&amp;$AS$42&amp;"C"&amp;$A59))</f>
        <v>0.4</v>
      </c>
      <c r="DB59" s="83">
        <f>IF(RTD("tos.rtd",,DB$43,"."&amp;$A$43&amp;$AS$42&amp;"P"&amp;$A59)="N/A",0,RTD("tos.rtd",,DB$43,"."&amp;$A$43&amp;$AS$42&amp;"P"&amp;$A59))</f>
        <v>0.25</v>
      </c>
      <c r="DC59" s="83">
        <f>IF(RTD("tos.rtd",,DC$43,"."&amp;$A$43&amp;$AS$42&amp;"C"&amp;$A59)="N/A",0,RTD("tos.rtd",,DC$43,"."&amp;$A$43&amp;$AS$42&amp;"C"&amp;$A59))</f>
        <v>0.36</v>
      </c>
      <c r="DD59" s="83">
        <f>IF(RTD("tos.rtd",,DD$43,"."&amp;$A$43&amp;$AS$42&amp;"P"&amp;$A59)="N/A",0,RTD("tos.rtd",,DD$43,"."&amp;$A$43&amp;$AS$42&amp;"P"&amp;$A59))</f>
        <v>0.28999999999999998</v>
      </c>
      <c r="DE59" s="83">
        <f>IF(RTD("tos.rtd",,DE$43,"."&amp;$A$43&amp;$AS$42&amp;"C"&amp;$A59)="N/A",0,RTD("tos.rtd",,DE$43,"."&amp;$A$43&amp;$AS$42&amp;"C"&amp;$A59))</f>
        <v>0.31</v>
      </c>
      <c r="DF59" s="83">
        <f>IF(RTD("tos.rtd",,DF$43,"."&amp;$A$43&amp;$AS$42&amp;"P"&amp;$A59)="N/A",0,RTD("tos.rtd",,DF$43,"."&amp;$A$43&amp;$AS$42&amp;"P"&amp;$A59))</f>
        <v>0.26</v>
      </c>
      <c r="DG59" s="86">
        <f t="shared" si="289"/>
        <v>-7.7799999999999727</v>
      </c>
      <c r="DH59" s="83">
        <f t="shared" si="254"/>
        <v>-203839.2000000001</v>
      </c>
      <c r="DI59" s="83">
        <f t="shared" si="255"/>
        <v>-35552.66666666673</v>
      </c>
      <c r="DJ59" s="83">
        <f t="shared" si="256"/>
        <v>-113244</v>
      </c>
      <c r="DK59" s="83">
        <f t="shared" si="257"/>
        <v>-106658</v>
      </c>
      <c r="DL59" s="83">
        <f t="shared" si="258"/>
        <v>-239391.86666666681</v>
      </c>
      <c r="DM59" s="83">
        <f t="shared" si="259"/>
        <v>-219902</v>
      </c>
      <c r="DN59" s="64" t="str">
        <f t="shared" si="260"/>
        <v>UNKNOWN</v>
      </c>
      <c r="DO59" s="64" t="str">
        <f t="shared" si="261"/>
        <v>UNKNOWN</v>
      </c>
      <c r="DP59" s="83">
        <f t="shared" si="262"/>
        <v>-90423.846666666737</v>
      </c>
      <c r="DQ59" s="83">
        <f t="shared" si="263"/>
        <v>-71962.100000000006</v>
      </c>
      <c r="DR59" s="83" t="e">
        <f t="shared" ca="1" si="264"/>
        <v>#NUM!</v>
      </c>
      <c r="DS59" s="83">
        <f t="shared" si="265"/>
        <v>-123909.8</v>
      </c>
      <c r="DT59" s="83">
        <f t="shared" si="290"/>
        <v>-113244</v>
      </c>
      <c r="DU59" s="83">
        <f t="shared" si="291"/>
        <v>106658</v>
      </c>
      <c r="DV59" s="83">
        <f t="shared" si="266"/>
        <v>-16572</v>
      </c>
      <c r="DW59" s="83">
        <f t="shared" si="267"/>
        <v>2414</v>
      </c>
      <c r="DX59" s="83" t="e">
        <f t="shared" ca="1" si="365"/>
        <v>#NUM!</v>
      </c>
      <c r="DY59" s="83" t="e">
        <f t="shared" ca="1" si="366"/>
        <v>#NUM!</v>
      </c>
      <c r="DZ59" s="83" t="e">
        <f t="shared" ca="1" si="367"/>
        <v>#NUM!</v>
      </c>
      <c r="EA59" s="83" t="e">
        <f t="shared" ca="1" si="368"/>
        <v>#NUM!</v>
      </c>
      <c r="EB59" s="83" t="e">
        <f t="shared" ca="1" si="369"/>
        <v>#NUM!</v>
      </c>
      <c r="EC59" s="83" t="e">
        <f t="shared" ca="1" si="370"/>
        <v>#NUM!</v>
      </c>
      <c r="ED59" s="63">
        <f t="shared" si="292"/>
        <v>-14158</v>
      </c>
      <c r="EE59" s="84">
        <f t="shared" si="268"/>
        <v>0.25</v>
      </c>
      <c r="EF59" s="84">
        <f t="shared" si="269"/>
        <v>1.6151</v>
      </c>
      <c r="EG59" s="84">
        <f t="shared" si="270"/>
        <v>0.25</v>
      </c>
      <c r="EH59" s="84">
        <f t="shared" si="271"/>
        <v>1.5333000000000001</v>
      </c>
      <c r="EI59" s="84">
        <f t="shared" si="272"/>
        <v>0.25</v>
      </c>
      <c r="EJ59" s="84">
        <f t="shared" si="273"/>
        <v>0.44059999999999999</v>
      </c>
      <c r="EK59" s="63" t="e">
        <f t="shared" ca="1" si="293"/>
        <v>#NUM!</v>
      </c>
      <c r="EL59" s="83" t="str">
        <f>RTD("tos.rtd",,EL$43,"."&amp;$A$43&amp;$AS$42&amp;"C"&amp;$A59)</f>
        <v>--</v>
      </c>
      <c r="EM59" s="83" t="str">
        <f>RTD("tos.rtd",,EM$43,"."&amp;$A$43&amp;$AS$42&amp;"P"&amp;$A59)</f>
        <v>161.51%</v>
      </c>
      <c r="EN59" s="83" t="str">
        <f>RTD("tos.rtd",,EN$2,"."&amp;$A$43&amp;$AU$1&amp;"C"&amp;$A59)</f>
        <v>--</v>
      </c>
      <c r="EO59" s="83" t="str">
        <f>RTD("tos.rtd",,EO$2,"."&amp;$A$43&amp;$AU$1&amp;"P"&amp;$A59)</f>
        <v>153.33%</v>
      </c>
      <c r="EP59" s="83" t="str">
        <f>RTD("tos.rtd",,EP$2,"."&amp;$A$43&amp;$AW$1&amp;"C"&amp;$A59)</f>
        <v>--</v>
      </c>
      <c r="EQ59" s="83" t="str">
        <f>RTD("tos.rtd",,EQ$2,"."&amp;$A$43&amp;$AW$1&amp;"P"&amp;$A59)</f>
        <v>44.06%</v>
      </c>
      <c r="ES59" s="63" t="str">
        <f t="shared" si="274"/>
        <v>488,-14158.00</v>
      </c>
      <c r="ET59" s="63" t="str">
        <f t="shared" ca="1" si="275"/>
        <v>488,00.00</v>
      </c>
      <c r="EU59" s="68">
        <v>561.04999999999995</v>
      </c>
      <c r="EV59" s="68" t="s">
        <v>491</v>
      </c>
      <c r="EW59" s="68">
        <v>483.3</v>
      </c>
      <c r="EX59" s="68" t="s">
        <v>492</v>
      </c>
      <c r="EY59" s="68">
        <v>5631.28</v>
      </c>
      <c r="EZ59" s="68" t="s">
        <v>493</v>
      </c>
      <c r="FA59" s="68">
        <v>19867.973000000002</v>
      </c>
      <c r="FB59" s="68" t="s">
        <v>494</v>
      </c>
      <c r="FC59" s="68" t="s">
        <v>495</v>
      </c>
      <c r="FD59" s="68" t="s">
        <v>496</v>
      </c>
      <c r="FE59" s="68" t="s">
        <v>497</v>
      </c>
      <c r="FF59" s="68" t="s">
        <v>498</v>
      </c>
    </row>
    <row r="60" spans="1:162" ht="13.5" thickBot="1" x14ac:dyDescent="0.25">
      <c r="A60" s="2">
        <f t="shared" si="294"/>
        <v>487</v>
      </c>
      <c r="B60" s="3">
        <f t="shared" si="241"/>
        <v>2999</v>
      </c>
      <c r="C60" s="3">
        <f t="shared" si="242"/>
        <v>4891</v>
      </c>
      <c r="D60" s="3">
        <f t="shared" si="243"/>
        <v>1470</v>
      </c>
      <c r="E60" s="3">
        <f t="shared" si="244"/>
        <v>9360</v>
      </c>
      <c r="F60" s="4">
        <f t="shared" si="298"/>
        <v>20092.998406551291</v>
      </c>
      <c r="AM60" s="1">
        <v>-8305</v>
      </c>
      <c r="AN60" s="1">
        <v>-8127</v>
      </c>
      <c r="AO60" s="1">
        <v>487</v>
      </c>
      <c r="AP60" s="1">
        <v>70243</v>
      </c>
      <c r="AQ60" s="1">
        <v>-96421</v>
      </c>
      <c r="AS60" s="6">
        <f>IF(RTD("tos.rtd",,AS$43,"."&amp;$A$43&amp;$AS$42&amp;"C"&amp;$A60)="N/A",0,RTD("tos.rtd",,AS$43,"."&amp;$A$43&amp;$AS$42&amp;"C"&amp;$A60))</f>
        <v>2600</v>
      </c>
      <c r="AT60" s="7">
        <f>-IF(RTD("tos.rtd",,AT$43,"."&amp;$A$43&amp;$AS$42&amp;"P"&amp;$A60)="N/A",0,RTD("tos.rtd",,AT$43,"."&amp;$A$43&amp;$AS$42&amp;"P"&amp;$A60))</f>
        <v>-399</v>
      </c>
      <c r="AU60" s="6">
        <f>IF(RTD("tos.rtd",,AU$2,"."&amp;$A$43&amp;$AU$1&amp;"C"&amp;$A60)="N/A",0,RTD("tos.rtd",,AU$2,"."&amp;$A$43&amp;$AU$1&amp;"C"&amp;$A60))</f>
        <v>2634</v>
      </c>
      <c r="AV60" s="7">
        <f>-IF(RTD("tos.rtd",,AV$2,"."&amp;$A$43&amp;$AU$1&amp;"P"&amp;$A60)="N/A",0,RTD("tos.rtd",,AV$2,"."&amp;$A$43&amp;$AU$1&amp;"P"&amp;$A60))</f>
        <v>-2257</v>
      </c>
      <c r="AW60" s="6">
        <f>IF(RTD("tos.rtd",,AW$2,"."&amp;$A$43&amp;$AW$1&amp;"C"&amp;$A60)="N/A",0,RTD("tos.rtd",,AW$2,"."&amp;$A$43&amp;$AW$1&amp;"C"&amp;$A60))</f>
        <v>757</v>
      </c>
      <c r="AX60" s="7">
        <f>-IF(RTD("tos.rtd",,AX$2,"."&amp;$A$43&amp;$AW$1&amp;"P"&amp;$A60)="N/A",0,RTD("tos.rtd",,AX$2,"."&amp;$A$43&amp;$AW$1&amp;"P"&amp;$A60))</f>
        <v>-713</v>
      </c>
      <c r="AY60" s="7">
        <f t="shared" si="276"/>
        <v>2622</v>
      </c>
      <c r="AZ60" s="8">
        <f t="shared" si="245"/>
        <v>487</v>
      </c>
      <c r="BA60" s="6">
        <f>IF(RTD("tos.rtd",,BA$43,"."&amp;$A$43&amp;$AS$42&amp;"C"&amp;$A60)="N/A",0,RTD("tos.rtd",,BA$43,"."&amp;$A$43&amp;$AS$42&amp;"C"&amp;$A60))</f>
        <v>0</v>
      </c>
      <c r="BB60" s="7">
        <f>-IF(RTD("tos.rtd",,BB$43,"."&amp;$A$43&amp;$AS$42&amp;"P"&amp;$A60)="N/A",0,RTD("tos.rtd",,BB$43,"."&amp;$A$43&amp;$AS$42&amp;"P"&amp;$A60))</f>
        <v>0</v>
      </c>
      <c r="BC60" s="6">
        <f>IF(RTD("tos.rtd",,BC$2,"."&amp;$A$43&amp;$AU$1&amp;"C"&amp;$A60)="N/A",0,RTD("tos.rtd",,BC$2,"."&amp;$A$43&amp;$AU$1&amp;"C"&amp;$A60))</f>
        <v>57949</v>
      </c>
      <c r="BD60" s="7">
        <f>-IF(RTD("tos.rtd",,BD$2,"."&amp;$A$43&amp;$AU$1&amp;"P"&amp;$A60)="N/A",0,RTD("tos.rtd",,BD$2,"."&amp;$A$43&amp;$AU$1&amp;"P"&amp;$A60))</f>
        <v>-110290</v>
      </c>
      <c r="BE60" s="6">
        <f>IF(RTD("tos.rtd",,BE$2,"."&amp;$A$43&amp;$AW$1&amp;"C"&amp;$A60)="N/A",0,RTD("tos.rtd",,BE$2,"."&amp;$A$43&amp;$AW$1&amp;"C"&amp;$A60))</f>
        <v>1238</v>
      </c>
      <c r="BF60" s="7">
        <f>-IF(RTD("tos.rtd",,BF$2,"."&amp;$A$43&amp;$AW$1&amp;"P"&amp;$A60)="N/A",0,RTD("tos.rtd",,BF$2,"."&amp;$A$43&amp;$AW$1&amp;"P"&amp;$A60))</f>
        <v>-3102</v>
      </c>
      <c r="BG60" s="32">
        <f ca="1">+Hoja2!Y61</f>
        <v>-569</v>
      </c>
      <c r="BH60" s="7">
        <f t="shared" ca="1" si="277"/>
        <v>-54774</v>
      </c>
      <c r="BI60" s="8" t="str">
        <f t="shared" ca="1" si="295"/>
        <v/>
      </c>
      <c r="BJ60" s="83" t="e">
        <f ca="1">IF($BP$1=1,DX60,IF(RTD("tos.rtd",,BJ$43,"."&amp;$A$43&amp;$AS$42&amp;"C"&amp;$A60)="N/A",0,RTD("tos.rtd",,BJ$43,"."&amp;$A$43&amp;$AS$42&amp;"C"&amp;$A60)))</f>
        <v>#NUM!</v>
      </c>
      <c r="BK60" s="83" t="e">
        <f ca="1">IF($BP$1=1,DY60,-IF(RTD("tos.rtd",,BK$43,"."&amp;$A$43&amp;$AS$42&amp;"P"&amp;$A60)="N/A",0,RTD("tos.rtd",,BK$43,"."&amp;$A$43&amp;$AS$42&amp;"P"&amp;$A60)))</f>
        <v>#NUM!</v>
      </c>
      <c r="BL60" s="83" t="e">
        <f ca="1">IF($BP$1=1,DZ60,IF(RTD("tos.rtd",,BL$2,"."&amp;$A$43&amp;$AU$1&amp;"C"&amp;$A60)="N/A",0,RTD("tos.rtd",,BL$2,"."&amp;$A$43&amp;$AU$1&amp;"C"&amp;$A60)))</f>
        <v>#NUM!</v>
      </c>
      <c r="BM60" s="83" t="e">
        <f ca="1">IF($BP$1=1,EA60,-IF(RTD("tos.rtd",,BM$2,"."&amp;$A$43&amp;$AU$1&amp;"P"&amp;$A60)="N/A",0,RTD("tos.rtd",,BM$2,"."&amp;$A$43&amp;$AU$1&amp;"P"&amp;$A60)))</f>
        <v>#NUM!</v>
      </c>
      <c r="BN60" s="83" t="e">
        <f ca="1">IF($BP$1=1,EB60,IF(RTD("tos.rtd",,BN$2,"."&amp;$A$43&amp;$AW$1&amp;"C"&amp;$A60)="N/A",0,RTD("tos.rtd",,BN$2,"."&amp;$A$43&amp;$AW$1&amp;"C"&amp;$A60)))</f>
        <v>#NUM!</v>
      </c>
      <c r="BO60" s="83" t="e">
        <f ca="1">IF($BP$1=1,EC60,-IF(RTD("tos.rtd",,BO$2,"."&amp;$A$43&amp;$AW$1&amp;"P"&amp;$A60)="N/A",0,RTD("tos.rtd",,BO$2,"."&amp;$A$43&amp;$AW$1&amp;"P"&amp;$A60)))</f>
        <v>#NUM!</v>
      </c>
      <c r="BQ60" s="83" t="e">
        <f t="shared" ca="1" si="278"/>
        <v>#NUM!</v>
      </c>
      <c r="BR60" s="3" t="e">
        <f t="shared" ca="1" si="279"/>
        <v>#NUM!</v>
      </c>
      <c r="BS60" s="83" t="e">
        <f t="shared" ca="1" si="280"/>
        <v>#NUM!</v>
      </c>
      <c r="BT60" s="3" t="e">
        <f t="shared" ca="1" si="281"/>
        <v>#NUM!</v>
      </c>
      <c r="BU60" s="83" t="e">
        <f t="shared" ca="1" si="282"/>
        <v>#NUM!</v>
      </c>
      <c r="BV60" s="83"/>
      <c r="BX60" s="83" t="e">
        <f t="shared" ca="1" si="283"/>
        <v>#NUM!</v>
      </c>
      <c r="BY60" s="83" t="e">
        <f t="shared" ca="1" si="296"/>
        <v>#NUM!</v>
      </c>
      <c r="BZ60" s="83" t="e">
        <f t="shared" ca="1" si="284"/>
        <v>#NUM!</v>
      </c>
      <c r="CA60" s="83" t="e">
        <f t="shared" ca="1" si="296"/>
        <v>#NUM!</v>
      </c>
      <c r="CB60" s="83" t="e">
        <f t="shared" ca="1" si="285"/>
        <v>#NUM!</v>
      </c>
      <c r="CC60" s="83" t="e">
        <f t="shared" ca="1" si="296"/>
        <v>#NUM!</v>
      </c>
      <c r="CD60" s="83">
        <f>IF(RTD("tos.rtd",,CD$43,"."&amp;$A$43&amp;$AS$42&amp;"C"&amp;$A60)="N/A",0,RTD("tos.rtd",,CD$43,"."&amp;$A$43&amp;$AS$42&amp;"C"&amp;$A60))</f>
        <v>1</v>
      </c>
      <c r="CE60" s="83">
        <f>-IF(RTD("tos.rtd",,CE$43,"."&amp;$A$43&amp;$AS$42&amp;"P"&amp;$A60)="N/A",0,RTD("tos.rtd",,CE$43,"."&amp;$A$43&amp;$AS$42&amp;"P"&amp;$A60))</f>
        <v>0.03</v>
      </c>
      <c r="CF60" s="83">
        <f>IF(RTD("tos.rtd",,CF$2,"."&amp;$A$43&amp;$AU$1&amp;"C"&amp;$A60)="N/A",0,RTD("tos.rtd",,CF$2,"."&amp;$A$43&amp;$AU$1&amp;"C"&amp;$A60))</f>
        <v>1</v>
      </c>
      <c r="CG60" s="83">
        <f>-IF(RTD("tos.rtd",,CG$2,"."&amp;$A$43&amp;$AU$1&amp;"P"&amp;$A60)="N/A",0,RTD("tos.rtd",,CG$2,"."&amp;$A$43&amp;$AU$1&amp;"P"&amp;$A60))</f>
        <v>0.01</v>
      </c>
      <c r="CH60" s="83">
        <f>IF(RTD("tos.rtd",,CH$2,"."&amp;$A$43&amp;$AW$1&amp;"C"&amp;$A60)="N/A",0,RTD("tos.rtd",,CH$2,"."&amp;$A$43&amp;$AW$1&amp;"C"&amp;$A60))</f>
        <v>1</v>
      </c>
      <c r="CI60" s="83">
        <f>-IF(RTD("tos.rtd",,CI$2,"."&amp;$A$43&amp;$AW$1&amp;"P"&amp;$A60)="N/A",0,RTD("tos.rtd",,CI$2,"."&amp;$A$43&amp;$AW$1&amp;"P"&amp;$A60))</f>
        <v>0.35</v>
      </c>
      <c r="CK60" s="83">
        <f t="shared" si="286"/>
        <v>258803</v>
      </c>
      <c r="CL60" s="83"/>
      <c r="CM60" s="83">
        <f t="shared" si="287"/>
        <v>261143</v>
      </c>
      <c r="CN60" s="83"/>
      <c r="CO60" s="83">
        <f t="shared" si="288"/>
        <v>50745</v>
      </c>
      <c r="CP60" s="83">
        <f t="shared" si="235"/>
        <v>570691</v>
      </c>
      <c r="CQ60" s="83">
        <f t="shared" si="249"/>
        <v>0</v>
      </c>
      <c r="CR60" s="83"/>
      <c r="CS60" s="83">
        <f t="shared" si="250"/>
        <v>-52341</v>
      </c>
      <c r="CT60" s="83"/>
      <c r="CU60" s="83">
        <f t="shared" si="251"/>
        <v>-1864</v>
      </c>
      <c r="CV60" s="83"/>
      <c r="CW60" s="83" t="e">
        <f t="shared" ca="1" si="252"/>
        <v>#NUM!</v>
      </c>
      <c r="CY60" s="83" t="e">
        <f t="shared" ca="1" si="253"/>
        <v>#NUM!</v>
      </c>
      <c r="CZ60" s="70" t="e">
        <f t="shared" ca="1" si="297"/>
        <v>#NUM!</v>
      </c>
      <c r="DA60" s="83">
        <f>IF(RTD("tos.rtd",,DA$43,"."&amp;$A$43&amp;$AS$42&amp;"C"&amp;$A60)="N/A",0,RTD("tos.rtd",,DA$43,"."&amp;$A$43&amp;$AS$42&amp;"C"&amp;$A60))</f>
        <v>1.3</v>
      </c>
      <c r="DB60" s="83">
        <f>IF(RTD("tos.rtd",,DB$43,"."&amp;$A$43&amp;$AS$42&amp;"P"&amp;$A60)="N/A",0,RTD("tos.rtd",,DB$43,"."&amp;$A$43&amp;$AS$42&amp;"P"&amp;$A60))</f>
        <v>0.04</v>
      </c>
      <c r="DC60" s="83">
        <f>IF(RTD("tos.rtd",,DC$43,"."&amp;$A$43&amp;$AS$42&amp;"C"&amp;$A60)="N/A",0,RTD("tos.rtd",,DC$43,"."&amp;$A$43&amp;$AS$42&amp;"C"&amp;$A60))</f>
        <v>1.2</v>
      </c>
      <c r="DD60" s="83">
        <f>IF(RTD("tos.rtd",,DD$43,"."&amp;$A$43&amp;$AS$42&amp;"P"&amp;$A60)="N/A",0,RTD("tos.rtd",,DD$43,"."&amp;$A$43&amp;$AS$42&amp;"P"&amp;$A60))</f>
        <v>0.05</v>
      </c>
      <c r="DE60" s="83">
        <f>IF(RTD("tos.rtd",,DE$43,"."&amp;$A$43&amp;$AS$42&amp;"C"&amp;$A60)="N/A",0,RTD("tos.rtd",,DE$43,"."&amp;$A$43&amp;$AS$42&amp;"C"&amp;$A60))</f>
        <v>1.05</v>
      </c>
      <c r="DF60" s="83">
        <f>IF(RTD("tos.rtd",,DF$43,"."&amp;$A$43&amp;$AS$42&amp;"P"&amp;$A60)="N/A",0,RTD("tos.rtd",,DF$43,"."&amp;$A$43&amp;$AS$42&amp;"P"&amp;$A60))</f>
        <v>0.04</v>
      </c>
      <c r="DG60" s="86">
        <f t="shared" si="289"/>
        <v>-8.7799999999999727</v>
      </c>
      <c r="DH60" s="83">
        <f t="shared" si="254"/>
        <v>-117071.66666666673</v>
      </c>
      <c r="DI60" s="83">
        <f t="shared" si="255"/>
        <v>0</v>
      </c>
      <c r="DJ60" s="83">
        <f t="shared" si="256"/>
        <v>-70243</v>
      </c>
      <c r="DK60" s="83">
        <f t="shared" si="257"/>
        <v>-96421</v>
      </c>
      <c r="DL60" s="83">
        <f t="shared" si="258"/>
        <v>-117071.66666666673</v>
      </c>
      <c r="DM60" s="83">
        <f t="shared" si="259"/>
        <v>-166664</v>
      </c>
      <c r="DN60" s="64" t="str">
        <f t="shared" si="260"/>
        <v>UNKNOWN</v>
      </c>
      <c r="DO60" s="64" t="str">
        <f t="shared" si="261"/>
        <v>UNKNOWN</v>
      </c>
      <c r="DP60" s="83">
        <f t="shared" si="262"/>
        <v>-152193.16666666674</v>
      </c>
      <c r="DQ60" s="83">
        <f t="shared" si="263"/>
        <v>-95172.74</v>
      </c>
      <c r="DR60" s="83" t="e">
        <f t="shared" ca="1" si="264"/>
        <v>#NUM!</v>
      </c>
      <c r="DS60" s="83">
        <f t="shared" si="265"/>
        <v>-73135.63</v>
      </c>
      <c r="DT60" s="83">
        <f t="shared" si="290"/>
        <v>-70243</v>
      </c>
      <c r="DU60" s="83">
        <f t="shared" si="291"/>
        <v>96421</v>
      </c>
      <c r="DV60" s="83">
        <f t="shared" si="266"/>
        <v>-8305</v>
      </c>
      <c r="DW60" s="83">
        <f t="shared" si="267"/>
        <v>-8127</v>
      </c>
      <c r="DX60" s="83" t="e">
        <f t="shared" ca="1" si="365"/>
        <v>#NUM!</v>
      </c>
      <c r="DY60" s="83" t="e">
        <f t="shared" ca="1" si="366"/>
        <v>#NUM!</v>
      </c>
      <c r="DZ60" s="83" t="e">
        <f t="shared" ca="1" si="367"/>
        <v>#NUM!</v>
      </c>
      <c r="EA60" s="83" t="e">
        <f t="shared" ca="1" si="368"/>
        <v>#NUM!</v>
      </c>
      <c r="EB60" s="83" t="e">
        <f t="shared" ca="1" si="369"/>
        <v>#NUM!</v>
      </c>
      <c r="EC60" s="83" t="e">
        <f t="shared" ca="1" si="370"/>
        <v>#NUM!</v>
      </c>
      <c r="ED60" s="63">
        <f t="shared" si="292"/>
        <v>-16432</v>
      </c>
      <c r="EE60" s="84">
        <f t="shared" si="268"/>
        <v>0.25</v>
      </c>
      <c r="EF60" s="84">
        <f t="shared" si="269"/>
        <v>1.2194</v>
      </c>
      <c r="EG60" s="84">
        <f t="shared" si="270"/>
        <v>0.25</v>
      </c>
      <c r="EH60" s="84">
        <f t="shared" si="271"/>
        <v>1.0356000000000001</v>
      </c>
      <c r="EI60" s="84">
        <f t="shared" si="272"/>
        <v>0.25</v>
      </c>
      <c r="EJ60" s="84">
        <f t="shared" si="273"/>
        <v>0.43680000000000002</v>
      </c>
      <c r="EK60" s="63" t="e">
        <f t="shared" ca="1" si="293"/>
        <v>#NUM!</v>
      </c>
      <c r="EL60" s="83" t="str">
        <f>RTD("tos.rtd",,EL$43,"."&amp;$A$43&amp;$AS$42&amp;"C"&amp;$A60)</f>
        <v>--</v>
      </c>
      <c r="EM60" s="83" t="str">
        <f>RTD("tos.rtd",,EM$43,"."&amp;$A$43&amp;$AS$42&amp;"P"&amp;$A60)</f>
        <v>121.94%</v>
      </c>
      <c r="EN60" s="83" t="str">
        <f>RTD("tos.rtd",,EN$2,"."&amp;$A$43&amp;$AU$1&amp;"C"&amp;$A60)</f>
        <v>--</v>
      </c>
      <c r="EO60" s="83" t="str">
        <f>RTD("tos.rtd",,EO$2,"."&amp;$A$43&amp;$AU$1&amp;"P"&amp;$A60)</f>
        <v>103.56%</v>
      </c>
      <c r="EP60" s="83" t="str">
        <f>RTD("tos.rtd",,EP$2,"."&amp;$A$43&amp;$AW$1&amp;"C"&amp;$A60)</f>
        <v>--</v>
      </c>
      <c r="EQ60" s="83" t="str">
        <f>RTD("tos.rtd",,EQ$2,"."&amp;$A$43&amp;$AW$1&amp;"P"&amp;$A60)</f>
        <v>43.68%</v>
      </c>
      <c r="ES60" s="63" t="str">
        <f t="shared" si="274"/>
        <v>487,-16432.00</v>
      </c>
      <c r="ET60" s="63" t="str">
        <f t="shared" ca="1" si="275"/>
        <v>487,00.00</v>
      </c>
      <c r="EU60" s="68">
        <v>560.97</v>
      </c>
      <c r="EV60" s="68" t="s">
        <v>499</v>
      </c>
      <c r="EW60" s="68">
        <v>483.3</v>
      </c>
      <c r="EX60" s="68" t="s">
        <v>500</v>
      </c>
      <c r="EY60" s="68">
        <v>5631.28</v>
      </c>
      <c r="EZ60" s="68" t="s">
        <v>501</v>
      </c>
      <c r="FA60" s="68">
        <v>19867.973000000002</v>
      </c>
      <c r="FB60" s="68" t="s">
        <v>502</v>
      </c>
      <c r="FC60" s="68" t="s">
        <v>503</v>
      </c>
      <c r="FD60" s="68" t="s">
        <v>504</v>
      </c>
      <c r="FE60" s="68" t="s">
        <v>505</v>
      </c>
      <c r="FF60" s="68" t="s">
        <v>506</v>
      </c>
    </row>
    <row r="61" spans="1:162" ht="13.5" thickBot="1" x14ac:dyDescent="0.25">
      <c r="A61" s="2">
        <f t="shared" si="294"/>
        <v>486</v>
      </c>
      <c r="B61" s="3">
        <f t="shared" si="241"/>
        <v>2276</v>
      </c>
      <c r="C61" s="3">
        <f t="shared" si="242"/>
        <v>5817</v>
      </c>
      <c r="D61" s="3">
        <f t="shared" si="243"/>
        <v>1228</v>
      </c>
      <c r="E61" s="3">
        <f t="shared" si="244"/>
        <v>9321</v>
      </c>
      <c r="F61" s="4">
        <f t="shared" si="298"/>
        <v>20051.739682923879</v>
      </c>
      <c r="AM61" s="1">
        <v>-2470</v>
      </c>
      <c r="AN61" s="1">
        <v>-7328</v>
      </c>
      <c r="AO61" s="1">
        <v>486</v>
      </c>
      <c r="AP61" s="1">
        <v>39226</v>
      </c>
      <c r="AQ61" s="1">
        <v>-86231</v>
      </c>
      <c r="AS61" s="6">
        <f>IF(RTD("tos.rtd",,AS$43,"."&amp;$A$43&amp;$AS$42&amp;"C"&amp;$A61)="N/A",0,RTD("tos.rtd",,AS$43,"."&amp;$A$43&amp;$AS$42&amp;"C"&amp;$A61))</f>
        <v>1837</v>
      </c>
      <c r="AT61" s="7">
        <f>-IF(RTD("tos.rtd",,AT$43,"."&amp;$A$43&amp;$AS$42&amp;"P"&amp;$A61)="N/A",0,RTD("tos.rtd",,AT$43,"."&amp;$A$43&amp;$AS$42&amp;"P"&amp;$A61))</f>
        <v>-439</v>
      </c>
      <c r="AU61" s="6">
        <f>IF(RTD("tos.rtd",,AU$2,"."&amp;$A$43&amp;$AU$1&amp;"C"&amp;$A61)="N/A",0,RTD("tos.rtd",,AU$2,"."&amp;$A$43&amp;$AU$1&amp;"C"&amp;$A61))</f>
        <v>2181</v>
      </c>
      <c r="AV61" s="7">
        <f>-IF(RTD("tos.rtd",,AV$2,"."&amp;$A$43&amp;$AU$1&amp;"P"&amp;$A61)="N/A",0,RTD("tos.rtd",,AV$2,"."&amp;$A$43&amp;$AU$1&amp;"P"&amp;$A61))</f>
        <v>-3636</v>
      </c>
      <c r="AW61" s="6">
        <f>IF(RTD("tos.rtd",,AW$2,"."&amp;$A$43&amp;$AW$1&amp;"C"&amp;$A61)="N/A",0,RTD("tos.rtd",,AW$2,"."&amp;$A$43&amp;$AW$1&amp;"C"&amp;$A61))</f>
        <v>638</v>
      </c>
      <c r="AX61" s="7">
        <f>-IF(RTD("tos.rtd",,AX$2,"."&amp;$A$43&amp;$AW$1&amp;"P"&amp;$A61)="N/A",0,RTD("tos.rtd",,AX$2,"."&amp;$A$43&amp;$AW$1&amp;"P"&amp;$A61))</f>
        <v>-590</v>
      </c>
      <c r="AY61" s="7">
        <f t="shared" si="276"/>
        <v>-9</v>
      </c>
      <c r="AZ61" s="8">
        <f t="shared" si="245"/>
        <v>486</v>
      </c>
      <c r="BA61" s="6">
        <f>IF(RTD("tos.rtd",,BA$43,"."&amp;$A$43&amp;$AS$42&amp;"C"&amp;$A61)="N/A",0,RTD("tos.rtd",,BA$43,"."&amp;$A$43&amp;$AS$42&amp;"C"&amp;$A61))</f>
        <v>0</v>
      </c>
      <c r="BB61" s="7">
        <f>-IF(RTD("tos.rtd",,BB$43,"."&amp;$A$43&amp;$AS$42&amp;"P"&amp;$A61)="N/A",0,RTD("tos.rtd",,BB$43,"."&amp;$A$43&amp;$AS$42&amp;"P"&amp;$A61))</f>
        <v>0</v>
      </c>
      <c r="BC61" s="6">
        <f>IF(RTD("tos.rtd",,BC$2,"."&amp;$A$43&amp;$AU$1&amp;"C"&amp;$A61)="N/A",0,RTD("tos.rtd",,BC$2,"."&amp;$A$43&amp;$AU$1&amp;"C"&amp;$A61))</f>
        <v>17501</v>
      </c>
      <c r="BD61" s="7">
        <f>-IF(RTD("tos.rtd",,BD$2,"."&amp;$A$43&amp;$AU$1&amp;"P"&amp;$A61)="N/A",0,RTD("tos.rtd",,BD$2,"."&amp;$A$43&amp;$AU$1&amp;"P"&amp;$A61))</f>
        <v>-109390</v>
      </c>
      <c r="BE61" s="6">
        <f>IF(RTD("tos.rtd",,BE$2,"."&amp;$A$43&amp;$AW$1&amp;"C"&amp;$A61)="N/A",0,RTD("tos.rtd",,BE$2,"."&amp;$A$43&amp;$AW$1&amp;"C"&amp;$A61))</f>
        <v>1695</v>
      </c>
      <c r="BF61" s="7">
        <f>-IF(RTD("tos.rtd",,BF$2,"."&amp;$A$43&amp;$AW$1&amp;"P"&amp;$A61)="N/A",0,RTD("tos.rtd",,BF$2,"."&amp;$A$43&amp;$AW$1&amp;"P"&amp;$A61))</f>
        <v>-1925</v>
      </c>
      <c r="BG61" s="32">
        <f ca="1">+Hoja2!Y62</f>
        <v>-589</v>
      </c>
      <c r="BH61" s="7">
        <f t="shared" ca="1" si="277"/>
        <v>-92708</v>
      </c>
      <c r="BI61" s="8" t="str">
        <f t="shared" ca="1" si="295"/>
        <v/>
      </c>
      <c r="BJ61" s="83" t="e">
        <f ca="1">IF($BP$1=1,DX61,IF(RTD("tos.rtd",,BJ$43,"."&amp;$A$43&amp;$AS$42&amp;"C"&amp;$A61)="N/A",0,RTD("tos.rtd",,BJ$43,"."&amp;$A$43&amp;$AS$42&amp;"C"&amp;$A61)))</f>
        <v>#NUM!</v>
      </c>
      <c r="BK61" s="83" t="e">
        <f ca="1">IF($BP$1=1,DY61,-IF(RTD("tos.rtd",,BK$43,"."&amp;$A$43&amp;$AS$42&amp;"P"&amp;$A61)="N/A",0,RTD("tos.rtd",,BK$43,"."&amp;$A$43&amp;$AS$42&amp;"P"&amp;$A61)))</f>
        <v>#NUM!</v>
      </c>
      <c r="BL61" s="83" t="e">
        <f ca="1">IF($BP$1=1,DZ61,IF(RTD("tos.rtd",,BL$2,"."&amp;$A$43&amp;$AU$1&amp;"C"&amp;$A61)="N/A",0,RTD("tos.rtd",,BL$2,"."&amp;$A$43&amp;$AU$1&amp;"C"&amp;$A61)))</f>
        <v>#NUM!</v>
      </c>
      <c r="BM61" s="83" t="e">
        <f ca="1">IF($BP$1=1,EA61,-IF(RTD("tos.rtd",,BM$2,"."&amp;$A$43&amp;$AU$1&amp;"P"&amp;$A61)="N/A",0,RTD("tos.rtd",,BM$2,"."&amp;$A$43&amp;$AU$1&amp;"P"&amp;$A61)))</f>
        <v>#NUM!</v>
      </c>
      <c r="BN61" s="83" t="e">
        <f ca="1">IF($BP$1=1,EB61,IF(RTD("tos.rtd",,BN$2,"."&amp;$A$43&amp;$AW$1&amp;"C"&amp;$A61)="N/A",0,RTD("tos.rtd",,BN$2,"."&amp;$A$43&amp;$AW$1&amp;"C"&amp;$A61)))</f>
        <v>#NUM!</v>
      </c>
      <c r="BO61" s="83" t="e">
        <f ca="1">IF($BP$1=1,EC61,-IF(RTD("tos.rtd",,BO$2,"."&amp;$A$43&amp;$AW$1&amp;"P"&amp;$A61)="N/A",0,RTD("tos.rtd",,BO$2,"."&amp;$A$43&amp;$AW$1&amp;"P"&amp;$A61)))</f>
        <v>#NUM!</v>
      </c>
      <c r="BQ61" s="83" t="e">
        <f t="shared" ca="1" si="278"/>
        <v>#NUM!</v>
      </c>
      <c r="BR61" s="3" t="e">
        <f t="shared" ca="1" si="279"/>
        <v>#NUM!</v>
      </c>
      <c r="BS61" s="83" t="e">
        <f t="shared" ca="1" si="280"/>
        <v>#NUM!</v>
      </c>
      <c r="BT61" s="3" t="e">
        <f t="shared" ca="1" si="281"/>
        <v>#NUM!</v>
      </c>
      <c r="BU61" s="83" t="e">
        <f t="shared" ca="1" si="282"/>
        <v>#NUM!</v>
      </c>
      <c r="BV61" s="83"/>
      <c r="BX61" s="83" t="e">
        <f t="shared" ca="1" si="283"/>
        <v>#NUM!</v>
      </c>
      <c r="BY61" s="83" t="e">
        <f t="shared" ca="1" si="296"/>
        <v>#NUM!</v>
      </c>
      <c r="BZ61" s="83" t="e">
        <f t="shared" ca="1" si="284"/>
        <v>#NUM!</v>
      </c>
      <c r="CA61" s="83" t="e">
        <f t="shared" ca="1" si="296"/>
        <v>#NUM!</v>
      </c>
      <c r="CB61" s="83" t="e">
        <f t="shared" ca="1" si="285"/>
        <v>#NUM!</v>
      </c>
      <c r="CC61" s="83" t="e">
        <f t="shared" ca="1" si="296"/>
        <v>#NUM!</v>
      </c>
      <c r="CD61" s="83">
        <f>IF(RTD("tos.rtd",,CD$43,"."&amp;$A$43&amp;$AS$42&amp;"C"&amp;$A61)="N/A",0,RTD("tos.rtd",,CD$43,"."&amp;$A$43&amp;$AS$42&amp;"C"&amp;$A61))</f>
        <v>1</v>
      </c>
      <c r="CE61" s="83">
        <f>-IF(RTD("tos.rtd",,CE$43,"."&amp;$A$43&amp;$AS$42&amp;"P"&amp;$A61)="N/A",0,RTD("tos.rtd",,CE$43,"."&amp;$A$43&amp;$AS$42&amp;"P"&amp;$A61))</f>
        <v>0.01</v>
      </c>
      <c r="CF61" s="83">
        <f>IF(RTD("tos.rtd",,CF$2,"."&amp;$A$43&amp;$AU$1&amp;"C"&amp;$A61)="N/A",0,RTD("tos.rtd",,CF$2,"."&amp;$A$43&amp;$AU$1&amp;"C"&amp;$A61))</f>
        <v>1</v>
      </c>
      <c r="CG61" s="83">
        <f>-IF(RTD("tos.rtd",,CG$2,"."&amp;$A$43&amp;$AU$1&amp;"P"&amp;$A61)="N/A",0,RTD("tos.rtd",,CG$2,"."&amp;$A$43&amp;$AU$1&amp;"P"&amp;$A61))</f>
        <v>0</v>
      </c>
      <c r="CH61" s="83">
        <f>IF(RTD("tos.rtd",,CH$2,"."&amp;$A$43&amp;$AW$1&amp;"C"&amp;$A61)="N/A",0,RTD("tos.rtd",,CH$2,"."&amp;$A$43&amp;$AW$1&amp;"C"&amp;$A61))</f>
        <v>1</v>
      </c>
      <c r="CI61" s="83">
        <f>-IF(RTD("tos.rtd",,CI$2,"."&amp;$A$43&amp;$AW$1&amp;"P"&amp;$A61)="N/A",0,RTD("tos.rtd",,CI$2,"."&amp;$A$43&amp;$AW$1&amp;"P"&amp;$A61))</f>
        <v>0.33</v>
      </c>
      <c r="CK61" s="83">
        <f t="shared" si="286"/>
        <v>183261</v>
      </c>
      <c r="CL61" s="83"/>
      <c r="CM61" s="83">
        <f t="shared" si="287"/>
        <v>218100</v>
      </c>
      <c r="CN61" s="83"/>
      <c r="CO61" s="83">
        <f t="shared" si="288"/>
        <v>44330</v>
      </c>
      <c r="CP61" s="83">
        <f t="shared" si="235"/>
        <v>445691</v>
      </c>
      <c r="CQ61" s="83">
        <f t="shared" si="249"/>
        <v>0</v>
      </c>
      <c r="CR61" s="83"/>
      <c r="CS61" s="83">
        <f t="shared" si="250"/>
        <v>-91889</v>
      </c>
      <c r="CT61" s="83"/>
      <c r="CU61" s="83">
        <f t="shared" si="251"/>
        <v>-230</v>
      </c>
      <c r="CV61" s="83"/>
      <c r="CW61" s="83" t="e">
        <f t="shared" ca="1" si="252"/>
        <v>#NUM!</v>
      </c>
      <c r="CY61" s="83" t="e">
        <f t="shared" ca="1" si="253"/>
        <v>#NUM!</v>
      </c>
      <c r="CZ61" s="70" t="e">
        <f t="shared" ca="1" si="297"/>
        <v>#NUM!</v>
      </c>
      <c r="DA61" s="83">
        <f>IF(RTD("tos.rtd",,DA$43,"."&amp;$A$43&amp;$AS$42&amp;"C"&amp;$A61)="N/A",0,RTD("tos.rtd",,DA$43,"."&amp;$A$43&amp;$AS$42&amp;"C"&amp;$A61))</f>
        <v>2.31</v>
      </c>
      <c r="DB61" s="83">
        <f>IF(RTD("tos.rtd",,DB$43,"."&amp;$A$43&amp;$AS$42&amp;"P"&amp;$A61)="N/A",0,RTD("tos.rtd",,DB$43,"."&amp;$A$43&amp;$AS$42&amp;"P"&amp;$A61))</f>
        <v>0.02</v>
      </c>
      <c r="DC61" s="83">
        <f>IF(RTD("tos.rtd",,DC$43,"."&amp;$A$43&amp;$AS$42&amp;"C"&amp;$A61)="N/A",0,RTD("tos.rtd",,DC$43,"."&amp;$A$43&amp;$AS$42&amp;"C"&amp;$A61))</f>
        <v>4.21</v>
      </c>
      <c r="DD61" s="83">
        <f>IF(RTD("tos.rtd",,DD$43,"."&amp;$A$43&amp;$AS$42&amp;"P"&amp;$A61)="N/A",0,RTD("tos.rtd",,DD$43,"."&amp;$A$43&amp;$AS$42&amp;"P"&amp;$A61))</f>
        <v>0.02</v>
      </c>
      <c r="DE61" s="83">
        <f>IF(RTD("tos.rtd",,DE$43,"."&amp;$A$43&amp;$AS$42&amp;"C"&amp;$A61)="N/A",0,RTD("tos.rtd",,DE$43,"."&amp;$A$43&amp;$AS$42&amp;"C"&amp;$A61))</f>
        <v>0.3</v>
      </c>
      <c r="DF61" s="83">
        <f>IF(RTD("tos.rtd",,DF$43,"."&amp;$A$43&amp;$AS$42&amp;"P"&amp;$A61)="N/A",0,RTD("tos.rtd",,DF$43,"."&amp;$A$43&amp;$AS$42&amp;"P"&amp;$A61))</f>
        <v>0.01</v>
      </c>
      <c r="DG61" s="86">
        <f t="shared" si="289"/>
        <v>-9.7799999999999727</v>
      </c>
      <c r="DH61" s="83">
        <f t="shared" si="254"/>
        <v>-20164.772378516627</v>
      </c>
      <c r="DI61" s="83">
        <f t="shared" si="255"/>
        <v>86231</v>
      </c>
      <c r="DJ61" s="83">
        <f t="shared" si="256"/>
        <v>0</v>
      </c>
      <c r="DK61" s="83">
        <f t="shared" si="257"/>
        <v>86231</v>
      </c>
      <c r="DL61" s="83">
        <f t="shared" si="258"/>
        <v>66066.227621483369</v>
      </c>
      <c r="DM61" s="83">
        <f t="shared" si="259"/>
        <v>86231</v>
      </c>
      <c r="DN61" s="64" t="str">
        <f t="shared" si="260"/>
        <v>UNKNOWN</v>
      </c>
      <c r="DO61" s="64" t="str">
        <f t="shared" si="261"/>
        <v>UNKNOWN</v>
      </c>
      <c r="DP61" s="83">
        <f t="shared" si="262"/>
        <v>-44856.00419437341</v>
      </c>
      <c r="DQ61" s="83">
        <f t="shared" si="263"/>
        <v>1724.6200000000001</v>
      </c>
      <c r="DR61" s="83" t="e">
        <f t="shared" ca="1" si="264"/>
        <v>#NUM!</v>
      </c>
      <c r="DS61" s="83">
        <f t="shared" si="265"/>
        <v>862.31000000000006</v>
      </c>
      <c r="DT61" s="83">
        <f t="shared" si="290"/>
        <v>-39226</v>
      </c>
      <c r="DU61" s="83">
        <f t="shared" si="291"/>
        <v>86231</v>
      </c>
      <c r="DV61" s="83">
        <f t="shared" si="266"/>
        <v>-2470</v>
      </c>
      <c r="DW61" s="83">
        <f t="shared" si="267"/>
        <v>-7328</v>
      </c>
      <c r="DX61" s="83" t="e">
        <f t="shared" ca="1" si="365"/>
        <v>#NUM!</v>
      </c>
      <c r="DY61" s="83" t="e">
        <f t="shared" ca="1" si="366"/>
        <v>#NUM!</v>
      </c>
      <c r="DZ61" s="83" t="e">
        <f t="shared" ca="1" si="367"/>
        <v>#NUM!</v>
      </c>
      <c r="EA61" s="83" t="e">
        <f t="shared" ca="1" si="368"/>
        <v>#NUM!</v>
      </c>
      <c r="EB61" s="83" t="e">
        <f t="shared" ca="1" si="369"/>
        <v>#NUM!</v>
      </c>
      <c r="EC61" s="83" t="e">
        <f t="shared" ca="1" si="370"/>
        <v>#NUM!</v>
      </c>
      <c r="ED61" s="63">
        <f t="shared" si="292"/>
        <v>-9798</v>
      </c>
      <c r="EE61" s="84">
        <f t="shared" si="268"/>
        <v>0.25</v>
      </c>
      <c r="EF61" s="84">
        <f t="shared" si="269"/>
        <v>1.1380999999999999</v>
      </c>
      <c r="EG61" s="84">
        <f t="shared" si="270"/>
        <v>0.25</v>
      </c>
      <c r="EH61" s="84">
        <f t="shared" si="271"/>
        <v>1.0043</v>
      </c>
      <c r="EI61" s="84">
        <f t="shared" si="272"/>
        <v>0.25</v>
      </c>
      <c r="EJ61" s="84">
        <f t="shared" si="273"/>
        <v>0.43340000000000001</v>
      </c>
      <c r="EK61" s="63" t="e">
        <f t="shared" ca="1" si="293"/>
        <v>#NUM!</v>
      </c>
      <c r="EL61" s="83" t="str">
        <f>RTD("tos.rtd",,EL$43,"."&amp;$A$43&amp;$AS$42&amp;"C"&amp;$A61)</f>
        <v>--</v>
      </c>
      <c r="EM61" s="83" t="str">
        <f>RTD("tos.rtd",,EM$43,"."&amp;$A$43&amp;$AS$42&amp;"P"&amp;$A61)</f>
        <v>113.81%</v>
      </c>
      <c r="EN61" s="83" t="str">
        <f>RTD("tos.rtd",,EN$2,"."&amp;$A$43&amp;$AU$1&amp;"C"&amp;$A61)</f>
        <v>--</v>
      </c>
      <c r="EO61" s="83" t="str">
        <f>RTD("tos.rtd",,EO$2,"."&amp;$A$43&amp;$AU$1&amp;"P"&amp;$A61)</f>
        <v>100.43%</v>
      </c>
      <c r="EP61" s="83" t="str">
        <f>RTD("tos.rtd",,EP$2,"."&amp;$A$43&amp;$AW$1&amp;"C"&amp;$A61)</f>
        <v>--</v>
      </c>
      <c r="EQ61" s="83" t="str">
        <f>RTD("tos.rtd",,EQ$2,"."&amp;$A$43&amp;$AW$1&amp;"P"&amp;$A61)</f>
        <v>43.34%</v>
      </c>
      <c r="ES61" s="63" t="str">
        <f t="shared" si="274"/>
        <v>486,-9798.00</v>
      </c>
      <c r="ET61" s="63" t="str">
        <f t="shared" ca="1" si="275"/>
        <v>486,00.00</v>
      </c>
      <c r="EU61" s="68">
        <v>561.02</v>
      </c>
      <c r="EV61" s="68" t="s">
        <v>507</v>
      </c>
      <c r="EW61" s="68">
        <v>483.33</v>
      </c>
      <c r="EX61" s="68" t="s">
        <v>508</v>
      </c>
      <c r="EY61" s="68">
        <v>5631.28</v>
      </c>
      <c r="EZ61" s="68" t="s">
        <v>509</v>
      </c>
      <c r="FA61" s="68">
        <v>19867.973000000002</v>
      </c>
      <c r="FB61" s="68" t="s">
        <v>510</v>
      </c>
      <c r="FC61" s="68" t="s">
        <v>511</v>
      </c>
      <c r="FD61" s="68" t="s">
        <v>512</v>
      </c>
      <c r="FE61" s="68" t="s">
        <v>513</v>
      </c>
      <c r="FF61" s="68" t="s">
        <v>514</v>
      </c>
    </row>
    <row r="62" spans="1:162" ht="13.5" thickBot="1" x14ac:dyDescent="0.25">
      <c r="A62" s="2">
        <f t="shared" si="294"/>
        <v>485</v>
      </c>
      <c r="B62" s="33">
        <f t="shared" si="241"/>
        <v>7255</v>
      </c>
      <c r="C62" s="33">
        <f t="shared" si="242"/>
        <v>20129</v>
      </c>
      <c r="D62" s="33">
        <f t="shared" si="243"/>
        <v>39757</v>
      </c>
      <c r="E62" s="33">
        <f t="shared" si="244"/>
        <v>67141</v>
      </c>
      <c r="F62" s="4">
        <f t="shared" si="298"/>
        <v>20010.480959296463</v>
      </c>
      <c r="AM62" s="1">
        <v>5779</v>
      </c>
      <c r="AN62" s="1">
        <v>-1562</v>
      </c>
      <c r="AO62" s="1">
        <v>485</v>
      </c>
      <c r="AP62" s="1">
        <v>26176</v>
      </c>
      <c r="AQ62" s="1">
        <v>-88264</v>
      </c>
      <c r="AS62" s="13">
        <f>IF(RTD("tos.rtd",,AS$43,"."&amp;$A$43&amp;$AS$42&amp;"C"&amp;$A62)="N/A",0,RTD("tos.rtd",,AS$43,"."&amp;$A$43&amp;$AS$42&amp;"C"&amp;$A62))</f>
        <v>3752</v>
      </c>
      <c r="AT62" s="29">
        <f>-IF(RTD("tos.rtd",,AT$43,"."&amp;$A$43&amp;$AS$42&amp;"P"&amp;$A62)="N/A",0,RTD("tos.rtd",,AT$43,"."&amp;$A$43&amp;$AS$42&amp;"P"&amp;$A62))</f>
        <v>-3503</v>
      </c>
      <c r="AU62" s="13">
        <f>IF(RTD("tos.rtd",,AU$2,"."&amp;$A$43&amp;$AU$1&amp;"C"&amp;$A62)="N/A",0,RTD("tos.rtd",,AU$2,"."&amp;$A$43&amp;$AU$1&amp;"C"&amp;$A62))</f>
        <v>7560</v>
      </c>
      <c r="AV62" s="29">
        <f>-IF(RTD("tos.rtd",,AV$2,"."&amp;$A$43&amp;$AU$1&amp;"P"&amp;$A62)="N/A",0,RTD("tos.rtd",,AV$2,"."&amp;$A$43&amp;$AU$1&amp;"P"&amp;$A62))</f>
        <v>-12569</v>
      </c>
      <c r="AW62" s="13">
        <f>IF(RTD("tos.rtd",,AW$2,"."&amp;$A$43&amp;$AW$1&amp;"C"&amp;$A62)="N/A",0,RTD("tos.rtd",,AW$2,"."&amp;$A$43&amp;$AW$1&amp;"C"&amp;$A62))</f>
        <v>27338</v>
      </c>
      <c r="AX62" s="29">
        <f>-IF(RTD("tos.rtd",,AX$2,"."&amp;$A$43&amp;$AW$1&amp;"P"&amp;$A62)="N/A",0,RTD("tos.rtd",,AX$2,"."&amp;$A$43&amp;$AW$1&amp;"P"&amp;$A62))</f>
        <v>-12419</v>
      </c>
      <c r="AY62" s="7">
        <f t="shared" si="276"/>
        <v>10159</v>
      </c>
      <c r="AZ62" s="8">
        <f t="shared" si="245"/>
        <v>485</v>
      </c>
      <c r="BA62" s="13">
        <f>IF(RTD("tos.rtd",,BA$43,"."&amp;$A$43&amp;$AS$42&amp;"C"&amp;$A62)="N/A",0,RTD("tos.rtd",,BA$43,"."&amp;$A$43&amp;$AS$42&amp;"C"&amp;$A62))</f>
        <v>0</v>
      </c>
      <c r="BB62" s="29">
        <f>-IF(RTD("tos.rtd",,BB$43,"."&amp;$A$43&amp;$AS$42&amp;"P"&amp;$A62)="N/A",0,RTD("tos.rtd",,BB$43,"."&amp;$A$43&amp;$AS$42&amp;"P"&amp;$A62))</f>
        <v>0</v>
      </c>
      <c r="BC62" s="13">
        <f>IF(RTD("tos.rtd",,BC$2,"."&amp;$A$43&amp;$AU$1&amp;"C"&amp;$A62)="N/A",0,RTD("tos.rtd",,BC$2,"."&amp;$A$43&amp;$AU$1&amp;"C"&amp;$A62))</f>
        <v>16198</v>
      </c>
      <c r="BD62" s="29">
        <f>-IF(RTD("tos.rtd",,BD$2,"."&amp;$A$43&amp;$AU$1&amp;"P"&amp;$A62)="N/A",0,RTD("tos.rtd",,BD$2,"."&amp;$A$43&amp;$AU$1&amp;"P"&amp;$A62))</f>
        <v>-100444</v>
      </c>
      <c r="BE62" s="13">
        <f>IF(RTD("tos.rtd",,BE$2,"."&amp;$A$43&amp;$AW$1&amp;"C"&amp;$A62)="N/A",0,RTD("tos.rtd",,BE$2,"."&amp;$A$43&amp;$AW$1&amp;"C"&amp;$A62))</f>
        <v>2375</v>
      </c>
      <c r="BF62" s="29">
        <f>-IF(RTD("tos.rtd",,BF$2,"."&amp;$A$43&amp;$AW$1&amp;"P"&amp;$A62)="N/A",0,RTD("tos.rtd",,BF$2,"."&amp;$A$43&amp;$AW$1&amp;"P"&amp;$A62))</f>
        <v>-13735</v>
      </c>
      <c r="BG62" s="100">
        <f ca="1">+Hoja2!Y63</f>
        <v>-4256</v>
      </c>
      <c r="BH62" s="7">
        <f t="shared" ca="1" si="277"/>
        <v>-99862</v>
      </c>
      <c r="BI62" s="8" t="str">
        <f t="shared" ca="1" si="295"/>
        <v/>
      </c>
      <c r="BJ62" s="83" t="e">
        <f ca="1">IF($BP$1=1,DX62,IF(RTD("tos.rtd",,BJ$43,"."&amp;$A$43&amp;$AS$42&amp;"C"&amp;$A62)="N/A",0,RTD("tos.rtd",,BJ$43,"."&amp;$A$43&amp;$AS$42&amp;"C"&amp;$A62)))</f>
        <v>#NUM!</v>
      </c>
      <c r="BK62" s="83" t="e">
        <f ca="1">IF($BP$1=1,DY62,-IF(RTD("tos.rtd",,BK$43,"."&amp;$A$43&amp;$AS$42&amp;"P"&amp;$A62)="N/A",0,RTD("tos.rtd",,BK$43,"."&amp;$A$43&amp;$AS$42&amp;"P"&amp;$A62)))</f>
        <v>#NUM!</v>
      </c>
      <c r="BL62" s="83" t="e">
        <f ca="1">IF($BP$1=1,DZ62,IF(RTD("tos.rtd",,BL$2,"."&amp;$A$43&amp;$AU$1&amp;"C"&amp;$A62)="N/A",0,RTD("tos.rtd",,BL$2,"."&amp;$A$43&amp;$AU$1&amp;"C"&amp;$A62)))</f>
        <v>#NUM!</v>
      </c>
      <c r="BM62" s="83" t="e">
        <f ca="1">IF($BP$1=1,EA62,-IF(RTD("tos.rtd",,BM$2,"."&amp;$A$43&amp;$AU$1&amp;"P"&amp;$A62)="N/A",0,RTD("tos.rtd",,BM$2,"."&amp;$A$43&amp;$AU$1&amp;"P"&amp;$A62)))</f>
        <v>#NUM!</v>
      </c>
      <c r="BN62" s="83" t="e">
        <f ca="1">IF($BP$1=1,EB62,IF(RTD("tos.rtd",,BN$2,"."&amp;$A$43&amp;$AW$1&amp;"C"&amp;$A62)="N/A",0,RTD("tos.rtd",,BN$2,"."&amp;$A$43&amp;$AW$1&amp;"C"&amp;$A62)))</f>
        <v>#NUM!</v>
      </c>
      <c r="BO62" s="83" t="e">
        <f ca="1">IF($BP$1=1,EC62,-IF(RTD("tos.rtd",,BO$2,"."&amp;$A$43&amp;$AW$1&amp;"P"&amp;$A62)="N/A",0,RTD("tos.rtd",,BO$2,"."&amp;$A$43&amp;$AW$1&amp;"P"&amp;$A62)))</f>
        <v>#NUM!</v>
      </c>
      <c r="BQ62" s="83" t="e">
        <f t="shared" ca="1" si="278"/>
        <v>#NUM!</v>
      </c>
      <c r="BR62" s="3" t="e">
        <f t="shared" ca="1" si="279"/>
        <v>#NUM!</v>
      </c>
      <c r="BS62" s="83" t="e">
        <f t="shared" ca="1" si="280"/>
        <v>#NUM!</v>
      </c>
      <c r="BT62" s="3" t="e">
        <f t="shared" ca="1" si="281"/>
        <v>#NUM!</v>
      </c>
      <c r="BU62" s="83" t="e">
        <f t="shared" ca="1" si="282"/>
        <v>#NUM!</v>
      </c>
      <c r="BV62" s="83"/>
      <c r="BX62" s="83" t="e">
        <f t="shared" ca="1" si="283"/>
        <v>#NUM!</v>
      </c>
      <c r="BY62" s="83" t="e">
        <f t="shared" ca="1" si="296"/>
        <v>#NUM!</v>
      </c>
      <c r="BZ62" s="83" t="e">
        <f t="shared" ca="1" si="284"/>
        <v>#NUM!</v>
      </c>
      <c r="CA62" s="83" t="e">
        <f t="shared" ca="1" si="296"/>
        <v>#NUM!</v>
      </c>
      <c r="CB62" s="83" t="e">
        <f t="shared" ca="1" si="285"/>
        <v>#NUM!</v>
      </c>
      <c r="CC62" s="83" t="e">
        <f t="shared" ca="1" si="296"/>
        <v>#NUM!</v>
      </c>
      <c r="CD62" s="83">
        <f>IF(RTD("tos.rtd",,CD$43,"."&amp;$A$43&amp;$AS$42&amp;"C"&amp;$A62)="N/A",0,RTD("tos.rtd",,CD$43,"."&amp;$A$43&amp;$AS$42&amp;"C"&amp;$A62))</f>
        <v>1</v>
      </c>
      <c r="CE62" s="83">
        <f>-IF(RTD("tos.rtd",,CE$43,"."&amp;$A$43&amp;$AS$42&amp;"P"&amp;$A62)="N/A",0,RTD("tos.rtd",,CE$43,"."&amp;$A$43&amp;$AS$42&amp;"P"&amp;$A62))</f>
        <v>0</v>
      </c>
      <c r="CF62" s="83">
        <f>IF(RTD("tos.rtd",,CF$2,"."&amp;$A$43&amp;$AU$1&amp;"C"&amp;$A62)="N/A",0,RTD("tos.rtd",,CF$2,"."&amp;$A$43&amp;$AU$1&amp;"C"&amp;$A62))</f>
        <v>1</v>
      </c>
      <c r="CG62" s="83">
        <f>-IF(RTD("tos.rtd",,CG$2,"."&amp;$A$43&amp;$AU$1&amp;"P"&amp;$A62)="N/A",0,RTD("tos.rtd",,CG$2,"."&amp;$A$43&amp;$AU$1&amp;"P"&amp;$A62))</f>
        <v>0</v>
      </c>
      <c r="CH62" s="83">
        <f>IF(RTD("tos.rtd",,CH$2,"."&amp;$A$43&amp;$AW$1&amp;"C"&amp;$A62)="N/A",0,RTD("tos.rtd",,CH$2,"."&amp;$A$43&amp;$AW$1&amp;"C"&amp;$A62))</f>
        <v>1</v>
      </c>
      <c r="CI62" s="83">
        <f>-IF(RTD("tos.rtd",,CI$2,"."&amp;$A$43&amp;$AW$1&amp;"P"&amp;$A62)="N/A",0,RTD("tos.rtd",,CI$2,"."&amp;$A$43&amp;$AW$1&amp;"P"&amp;$A62))</f>
        <v>0.32</v>
      </c>
      <c r="CK62" s="83">
        <f t="shared" si="286"/>
        <v>375200</v>
      </c>
      <c r="CL62" s="83"/>
      <c r="CM62" s="83">
        <f t="shared" si="287"/>
        <v>756000</v>
      </c>
      <c r="CN62" s="83"/>
      <c r="CO62" s="83">
        <f t="shared" si="288"/>
        <v>2336392</v>
      </c>
      <c r="CP62" s="83">
        <f t="shared" si="235"/>
        <v>3467592</v>
      </c>
      <c r="CQ62" s="83">
        <f t="shared" si="249"/>
        <v>0</v>
      </c>
      <c r="CR62" s="83"/>
      <c r="CS62" s="83">
        <f t="shared" si="250"/>
        <v>-84246</v>
      </c>
      <c r="CT62" s="83"/>
      <c r="CU62" s="83">
        <f t="shared" si="251"/>
        <v>-11360</v>
      </c>
      <c r="CV62" s="83"/>
      <c r="CW62" s="83" t="e">
        <f t="shared" ca="1" si="252"/>
        <v>#NUM!</v>
      </c>
      <c r="CY62" s="83" t="e">
        <f t="shared" ca="1" si="253"/>
        <v>#NUM!</v>
      </c>
      <c r="CZ62" s="70" t="e">
        <f t="shared" ca="1" si="297"/>
        <v>#NUM!</v>
      </c>
      <c r="DA62" s="83">
        <f>IF(RTD("tos.rtd",,DA$43,"."&amp;$A$43&amp;$AS$42&amp;"C"&amp;$A62)="N/A",0,RTD("tos.rtd",,DA$43,"."&amp;$A$43&amp;$AS$42&amp;"C"&amp;$A62))</f>
        <v>3.2</v>
      </c>
      <c r="DB62" s="83">
        <f>IF(RTD("tos.rtd",,DB$43,"."&amp;$A$43&amp;$AS$42&amp;"P"&amp;$A62)="N/A",0,RTD("tos.rtd",,DB$43,"."&amp;$A$43&amp;$AS$42&amp;"P"&amp;$A62))</f>
        <v>0.01</v>
      </c>
      <c r="DC62" s="83">
        <f>IF(RTD("tos.rtd",,DC$43,"."&amp;$A$43&amp;$AS$42&amp;"C"&amp;$A62)="N/A",0,RTD("tos.rtd",,DC$43,"."&amp;$A$43&amp;$AS$42&amp;"C"&amp;$A62))</f>
        <v>5</v>
      </c>
      <c r="DD62" s="83">
        <f>IF(RTD("tos.rtd",,DD$43,"."&amp;$A$43&amp;$AS$42&amp;"P"&amp;$A62)="N/A",0,RTD("tos.rtd",,DD$43,"."&amp;$A$43&amp;$AS$42&amp;"P"&amp;$A62))</f>
        <v>0.01</v>
      </c>
      <c r="DE62" s="83">
        <f>IF(RTD("tos.rtd",,DE$43,"."&amp;$A$43&amp;$AS$42&amp;"C"&amp;$A62)="N/A",0,RTD("tos.rtd",,DE$43,"."&amp;$A$43&amp;$AS$42&amp;"C"&amp;$A62))</f>
        <v>1.85</v>
      </c>
      <c r="DF62" s="83">
        <f>IF(RTD("tos.rtd",,DF$43,"."&amp;$A$43&amp;$AS$42&amp;"P"&amp;$A62)="N/A",0,RTD("tos.rtd",,DF$43,"."&amp;$A$43&amp;$AS$42&amp;"P"&amp;$A62))</f>
        <v>0</v>
      </c>
      <c r="DG62" s="86">
        <f t="shared" si="289"/>
        <v>-10.779999999999973</v>
      </c>
      <c r="DH62" s="83">
        <f t="shared" si="254"/>
        <v>-11218.285714285716</v>
      </c>
      <c r="DI62" s="83">
        <f t="shared" si="255"/>
        <v>88264</v>
      </c>
      <c r="DJ62" s="83">
        <f t="shared" si="256"/>
        <v>0</v>
      </c>
      <c r="DK62" s="83">
        <f t="shared" si="257"/>
        <v>88264</v>
      </c>
      <c r="DL62" s="83">
        <f t="shared" si="258"/>
        <v>77045.71428571429</v>
      </c>
      <c r="DM62" s="83">
        <f t="shared" si="259"/>
        <v>88264</v>
      </c>
      <c r="DN62" s="64" t="str">
        <f t="shared" si="260"/>
        <v>UNKNOWN</v>
      </c>
      <c r="DO62" s="64" t="str">
        <f t="shared" si="261"/>
        <v>UNKNOWN</v>
      </c>
      <c r="DP62" s="83">
        <f t="shared" si="262"/>
        <v>-35015.874285714293</v>
      </c>
      <c r="DQ62" s="83">
        <f t="shared" si="263"/>
        <v>882.64</v>
      </c>
      <c r="DR62" s="83" t="e">
        <f t="shared" ca="1" si="264"/>
        <v>#NUM!</v>
      </c>
      <c r="DS62" s="83">
        <f t="shared" si="265"/>
        <v>0</v>
      </c>
      <c r="DT62" s="83">
        <f t="shared" si="290"/>
        <v>-26176</v>
      </c>
      <c r="DU62" s="83">
        <f t="shared" si="291"/>
        <v>88264</v>
      </c>
      <c r="DV62" s="83">
        <f t="shared" si="266"/>
        <v>5779</v>
      </c>
      <c r="DW62" s="83">
        <f t="shared" si="267"/>
        <v>-1562</v>
      </c>
      <c r="DX62" s="83" t="e">
        <f t="shared" ca="1" si="365"/>
        <v>#NUM!</v>
      </c>
      <c r="DY62" s="83" t="e">
        <f t="shared" ca="1" si="366"/>
        <v>#NUM!</v>
      </c>
      <c r="DZ62" s="83" t="e">
        <f t="shared" ca="1" si="367"/>
        <v>#NUM!</v>
      </c>
      <c r="EA62" s="83" t="e">
        <f t="shared" ca="1" si="368"/>
        <v>#NUM!</v>
      </c>
      <c r="EB62" s="83" t="e">
        <f t="shared" ca="1" si="369"/>
        <v>#NUM!</v>
      </c>
      <c r="EC62" s="83" t="e">
        <f t="shared" ca="1" si="370"/>
        <v>#NUM!</v>
      </c>
      <c r="ED62" s="63">
        <f t="shared" si="292"/>
        <v>4217</v>
      </c>
      <c r="EE62" s="84">
        <f t="shared" si="268"/>
        <v>0.25</v>
      </c>
      <c r="EF62" s="84">
        <f t="shared" si="269"/>
        <v>1.0968</v>
      </c>
      <c r="EG62" s="84">
        <f t="shared" si="270"/>
        <v>0.25</v>
      </c>
      <c r="EH62" s="84">
        <f t="shared" si="271"/>
        <v>1.0968</v>
      </c>
      <c r="EI62" s="84">
        <f t="shared" si="272"/>
        <v>0.25</v>
      </c>
      <c r="EJ62" s="84">
        <f t="shared" si="273"/>
        <v>0.43030000000000002</v>
      </c>
      <c r="EK62" s="63" t="e">
        <f t="shared" ca="1" si="293"/>
        <v>#NUM!</v>
      </c>
      <c r="EL62" s="83" t="str">
        <f>RTD("tos.rtd",,EL$43,"."&amp;$A$43&amp;$AS$42&amp;"C"&amp;$A62)</f>
        <v>--</v>
      </c>
      <c r="EM62" s="83" t="str">
        <f>RTD("tos.rtd",,EM$43,"."&amp;$A$43&amp;$AS$42&amp;"P"&amp;$A62)</f>
        <v>109.68%</v>
      </c>
      <c r="EN62" s="83" t="str">
        <f>RTD("tos.rtd",,EN$2,"."&amp;$A$43&amp;$AU$1&amp;"C"&amp;$A62)</f>
        <v>--</v>
      </c>
      <c r="EO62" s="83" t="str">
        <f>RTD("tos.rtd",,EO$2,"."&amp;$A$43&amp;$AU$1&amp;"P"&amp;$A62)</f>
        <v>109.68%</v>
      </c>
      <c r="EP62" s="83" t="str">
        <f>RTD("tos.rtd",,EP$2,"."&amp;$A$43&amp;$AW$1&amp;"C"&amp;$A62)</f>
        <v>--</v>
      </c>
      <c r="EQ62" s="83" t="str">
        <f>RTD("tos.rtd",,EQ$2,"."&amp;$A$43&amp;$AW$1&amp;"P"&amp;$A62)</f>
        <v>43.03%</v>
      </c>
      <c r="ES62" s="63" t="str">
        <f t="shared" si="274"/>
        <v>485,4217.00</v>
      </c>
      <c r="ET62" s="63" t="str">
        <f t="shared" ca="1" si="275"/>
        <v>485,00.00</v>
      </c>
      <c r="EU62" s="68">
        <v>561.01</v>
      </c>
      <c r="EV62" s="68" t="s">
        <v>515</v>
      </c>
      <c r="EW62" s="68">
        <v>483.33</v>
      </c>
      <c r="EX62" s="68" t="s">
        <v>516</v>
      </c>
      <c r="EY62" s="68">
        <v>5631.28</v>
      </c>
      <c r="EZ62" s="68" t="s">
        <v>517</v>
      </c>
      <c r="FA62" s="68">
        <v>19867.973000000002</v>
      </c>
      <c r="FB62" s="68" t="s">
        <v>518</v>
      </c>
      <c r="FC62" s="68" t="s">
        <v>519</v>
      </c>
      <c r="FD62" s="68" t="s">
        <v>520</v>
      </c>
      <c r="FE62" s="68" t="s">
        <v>521</v>
      </c>
      <c r="FF62" s="68" t="s">
        <v>522</v>
      </c>
    </row>
    <row r="63" spans="1:162" ht="13.5" thickBot="1" x14ac:dyDescent="0.25">
      <c r="A63" s="2">
        <f t="shared" si="294"/>
        <v>484</v>
      </c>
      <c r="B63" s="3">
        <f t="shared" si="241"/>
        <v>3404</v>
      </c>
      <c r="C63" s="3">
        <f t="shared" si="242"/>
        <v>10105</v>
      </c>
      <c r="D63" s="3">
        <f t="shared" si="243"/>
        <v>3037</v>
      </c>
      <c r="E63" s="3">
        <f t="shared" si="244"/>
        <v>16546</v>
      </c>
      <c r="F63" s="4">
        <f>+$F$44/$A$44*A63</f>
        <v>19969.222235669047</v>
      </c>
      <c r="AM63" s="1">
        <v>-3697</v>
      </c>
      <c r="AN63" s="1">
        <v>-366</v>
      </c>
      <c r="AO63" s="1">
        <v>484</v>
      </c>
      <c r="AP63" s="1">
        <v>8139</v>
      </c>
      <c r="AQ63" s="1">
        <v>-46492</v>
      </c>
      <c r="AS63" s="6">
        <f>IF(RTD("tos.rtd",,AS$43,"."&amp;$A$43&amp;$AS$42&amp;"C"&amp;$A63)="N/A",0,RTD("tos.rtd",,AS$43,"."&amp;$A$43&amp;$AS$42&amp;"C"&amp;$A63))</f>
        <v>1891</v>
      </c>
      <c r="AT63" s="7">
        <f>-IF(RTD("tos.rtd",,AT$43,"."&amp;$A$43&amp;$AS$42&amp;"P"&amp;$A63)="N/A",0,RTD("tos.rtd",,AT$43,"."&amp;$A$43&amp;$AS$42&amp;"P"&amp;$A63))</f>
        <v>-1513</v>
      </c>
      <c r="AU63" s="6">
        <f>IF(RTD("tos.rtd",,AU$2,"."&amp;$A$43&amp;$AU$1&amp;"C"&amp;$A63)="N/A",0,RTD("tos.rtd",,AU$2,"."&amp;$A$43&amp;$AU$1&amp;"C"&amp;$A63))</f>
        <v>1773</v>
      </c>
      <c r="AV63" s="7">
        <f>-IF(RTD("tos.rtd",,AV$2,"."&amp;$A$43&amp;$AU$1&amp;"P"&amp;$A63)="N/A",0,RTD("tos.rtd",,AV$2,"."&amp;$A$43&amp;$AU$1&amp;"P"&amp;$A63))</f>
        <v>-8332</v>
      </c>
      <c r="AW63" s="6">
        <f>IF(RTD("tos.rtd",,AW$2,"."&amp;$A$43&amp;$AW$1&amp;"C"&amp;$A63)="N/A",0,RTD("tos.rtd",,AW$2,"."&amp;$A$43&amp;$AW$1&amp;"C"&amp;$A63))</f>
        <v>1519</v>
      </c>
      <c r="AX63" s="7">
        <f>-IF(RTD("tos.rtd",,AX$2,"."&amp;$A$43&amp;$AW$1&amp;"P"&amp;$A63)="N/A",0,RTD("tos.rtd",,AX$2,"."&amp;$A$43&amp;$AW$1&amp;"P"&amp;$A63))</f>
        <v>-1518</v>
      </c>
      <c r="AY63" s="7">
        <f t="shared" si="276"/>
        <v>-6180</v>
      </c>
      <c r="AZ63" s="8">
        <f t="shared" si="245"/>
        <v>484</v>
      </c>
      <c r="BA63" s="6">
        <f>IF(RTD("tos.rtd",,BA$43,"."&amp;$A$43&amp;$AS$42&amp;"C"&amp;$A63)="N/A",0,RTD("tos.rtd",,BA$43,"."&amp;$A$43&amp;$AS$42&amp;"C"&amp;$A63))</f>
        <v>0</v>
      </c>
      <c r="BB63" s="7">
        <f>-IF(RTD("tos.rtd",,BB$43,"."&amp;$A$43&amp;$AS$42&amp;"P"&amp;$A63)="N/A",0,RTD("tos.rtd",,BB$43,"."&amp;$A$43&amp;$AS$42&amp;"P"&amp;$A63))</f>
        <v>0</v>
      </c>
      <c r="BC63" s="6">
        <f>IF(RTD("tos.rtd",,BC$2,"."&amp;$A$43&amp;$AU$1&amp;"C"&amp;$A63)="N/A",0,RTD("tos.rtd",,BC$2,"."&amp;$A$43&amp;$AU$1&amp;"C"&amp;$A63))</f>
        <v>4274</v>
      </c>
      <c r="BD63" s="7">
        <f>-IF(RTD("tos.rtd",,BD$2,"."&amp;$A$43&amp;$AU$1&amp;"P"&amp;$A63)="N/A",0,RTD("tos.rtd",,BD$2,"."&amp;$A$43&amp;$AU$1&amp;"P"&amp;$A63))</f>
        <v>-48368</v>
      </c>
      <c r="BE63" s="6">
        <f>IF(RTD("tos.rtd",,BE$2,"."&amp;$A$43&amp;$AW$1&amp;"C"&amp;$A63)="N/A",0,RTD("tos.rtd",,BE$2,"."&amp;$A$43&amp;$AW$1&amp;"C"&amp;$A63))</f>
        <v>115</v>
      </c>
      <c r="BF63" s="7">
        <f>-IF(RTD("tos.rtd",,BF$2,"."&amp;$A$43&amp;$AW$1&amp;"P"&amp;$A63)="N/A",0,RTD("tos.rtd",,BF$2,"."&amp;$A$43&amp;$AW$1&amp;"P"&amp;$A63))</f>
        <v>-1556</v>
      </c>
      <c r="BG63" s="32">
        <f ca="1">+Hoja2!Y64</f>
        <v>-1858</v>
      </c>
      <c r="BH63" s="7">
        <f t="shared" ca="1" si="277"/>
        <v>-47393</v>
      </c>
      <c r="BI63" s="8" t="str">
        <f t="shared" ca="1" si="295"/>
        <v/>
      </c>
      <c r="BJ63" s="83" t="e">
        <f ca="1">IF($BP$1=1,DX63,IF(RTD("tos.rtd",,BJ$43,"."&amp;$A$43&amp;$AS$42&amp;"C"&amp;$A63)="N/A",0,RTD("tos.rtd",,BJ$43,"."&amp;$A$43&amp;$AS$42&amp;"C"&amp;$A63)))</f>
        <v>#NUM!</v>
      </c>
      <c r="BK63" s="83" t="e">
        <f ca="1">IF($BP$1=1,DY63,-IF(RTD("tos.rtd",,BK$43,"."&amp;$A$43&amp;$AS$42&amp;"P"&amp;$A63)="N/A",0,RTD("tos.rtd",,BK$43,"."&amp;$A$43&amp;$AS$42&amp;"P"&amp;$A63)))</f>
        <v>#NUM!</v>
      </c>
      <c r="BL63" s="83" t="e">
        <f ca="1">IF($BP$1=1,DZ63,IF(RTD("tos.rtd",,BL$2,"."&amp;$A$43&amp;$AU$1&amp;"C"&amp;$A63)="N/A",0,RTD("tos.rtd",,BL$2,"."&amp;$A$43&amp;$AU$1&amp;"C"&amp;$A63)))</f>
        <v>#NUM!</v>
      </c>
      <c r="BM63" s="83" t="e">
        <f ca="1">IF($BP$1=1,EA63,-IF(RTD("tos.rtd",,BM$2,"."&amp;$A$43&amp;$AU$1&amp;"P"&amp;$A63)="N/A",0,RTD("tos.rtd",,BM$2,"."&amp;$A$43&amp;$AU$1&amp;"P"&amp;$A63)))</f>
        <v>#NUM!</v>
      </c>
      <c r="BN63" s="83" t="e">
        <f ca="1">IF($BP$1=1,EB63,IF(RTD("tos.rtd",,BN$2,"."&amp;$A$43&amp;$AW$1&amp;"C"&amp;$A63)="N/A",0,RTD("tos.rtd",,BN$2,"."&amp;$A$43&amp;$AW$1&amp;"C"&amp;$A63)))</f>
        <v>#NUM!</v>
      </c>
      <c r="BO63" s="83" t="e">
        <f ca="1">IF($BP$1=1,EC63,-IF(RTD("tos.rtd",,BO$2,"."&amp;$A$43&amp;$AW$1&amp;"P"&amp;$A63)="N/A",0,RTD("tos.rtd",,BO$2,"."&amp;$A$43&amp;$AW$1&amp;"P"&amp;$A63)))</f>
        <v>#NUM!</v>
      </c>
      <c r="BQ63" s="83" t="e">
        <f t="shared" ca="1" si="278"/>
        <v>#NUM!</v>
      </c>
      <c r="BR63" s="3" t="e">
        <f t="shared" ca="1" si="279"/>
        <v>#NUM!</v>
      </c>
      <c r="BS63" s="83" t="e">
        <f t="shared" ca="1" si="280"/>
        <v>#NUM!</v>
      </c>
      <c r="BT63" s="3" t="e">
        <f t="shared" ca="1" si="281"/>
        <v>#NUM!</v>
      </c>
      <c r="BU63" s="83" t="e">
        <f t="shared" ca="1" si="282"/>
        <v>#NUM!</v>
      </c>
      <c r="BV63" s="83"/>
      <c r="BX63" s="83" t="e">
        <f t="shared" ca="1" si="283"/>
        <v>#NUM!</v>
      </c>
      <c r="BY63" s="83" t="e">
        <f t="shared" ca="1" si="296"/>
        <v>#NUM!</v>
      </c>
      <c r="BZ63" s="83" t="e">
        <f t="shared" ca="1" si="284"/>
        <v>#NUM!</v>
      </c>
      <c r="CA63" s="83" t="e">
        <f t="shared" ca="1" si="296"/>
        <v>#NUM!</v>
      </c>
      <c r="CB63" s="83" t="e">
        <f t="shared" ca="1" si="285"/>
        <v>#NUM!</v>
      </c>
      <c r="CC63" s="83" t="e">
        <f t="shared" ca="1" si="296"/>
        <v>#NUM!</v>
      </c>
      <c r="CD63" s="83">
        <f>IF(RTD("tos.rtd",,CD$43,"."&amp;$A$43&amp;$AS$42&amp;"C"&amp;$A63)="N/A",0,RTD("tos.rtd",,CD$43,"."&amp;$A$43&amp;$AS$42&amp;"C"&amp;$A63))</f>
        <v>1</v>
      </c>
      <c r="CE63" s="83">
        <f>-IF(RTD("tos.rtd",,CE$43,"."&amp;$A$43&amp;$AS$42&amp;"P"&amp;$A63)="N/A",0,RTD("tos.rtd",,CE$43,"."&amp;$A$43&amp;$AS$42&amp;"P"&amp;$A63))</f>
        <v>0</v>
      </c>
      <c r="CF63" s="83">
        <f>IF(RTD("tos.rtd",,CF$2,"."&amp;$A$43&amp;$AU$1&amp;"C"&amp;$A63)="N/A",0,RTD("tos.rtd",,CF$2,"."&amp;$A$43&amp;$AU$1&amp;"C"&amp;$A63))</f>
        <v>1</v>
      </c>
      <c r="CG63" s="83">
        <f>-IF(RTD("tos.rtd",,CG$2,"."&amp;$A$43&amp;$AU$1&amp;"P"&amp;$A63)="N/A",0,RTD("tos.rtd",,CG$2,"."&amp;$A$43&amp;$AU$1&amp;"P"&amp;$A63))</f>
        <v>0</v>
      </c>
      <c r="CH63" s="83">
        <f>IF(RTD("tos.rtd",,CH$2,"."&amp;$A$43&amp;$AW$1&amp;"C"&amp;$A63)="N/A",0,RTD("tos.rtd",,CH$2,"."&amp;$A$43&amp;$AW$1&amp;"C"&amp;$A63))</f>
        <v>1</v>
      </c>
      <c r="CI63" s="83">
        <f>-IF(RTD("tos.rtd",,CI$2,"."&amp;$A$43&amp;$AW$1&amp;"P"&amp;$A63)="N/A",0,RTD("tos.rtd",,CI$2,"."&amp;$A$43&amp;$AW$1&amp;"P"&amp;$A63))</f>
        <v>0.3</v>
      </c>
      <c r="CK63" s="83">
        <f t="shared" si="286"/>
        <v>189100</v>
      </c>
      <c r="CL63" s="83"/>
      <c r="CM63" s="83">
        <f t="shared" si="287"/>
        <v>177300</v>
      </c>
      <c r="CN63" s="83"/>
      <c r="CO63" s="83">
        <f t="shared" si="288"/>
        <v>106360</v>
      </c>
      <c r="CP63" s="83">
        <f t="shared" si="235"/>
        <v>472760</v>
      </c>
      <c r="CQ63" s="83">
        <f t="shared" si="249"/>
        <v>0</v>
      </c>
      <c r="CR63" s="83"/>
      <c r="CS63" s="83">
        <f t="shared" si="250"/>
        <v>-44094</v>
      </c>
      <c r="CT63" s="83"/>
      <c r="CU63" s="83">
        <f t="shared" si="251"/>
        <v>-1441</v>
      </c>
      <c r="CV63" s="83"/>
      <c r="CW63" s="83" t="e">
        <f t="shared" ca="1" si="252"/>
        <v>#NUM!</v>
      </c>
      <c r="CY63" s="83" t="e">
        <f t="shared" ca="1" si="253"/>
        <v>#NUM!</v>
      </c>
      <c r="CZ63" s="70" t="e">
        <f t="shared" ca="1" si="297"/>
        <v>#NUM!</v>
      </c>
      <c r="DA63" s="83">
        <f>IF(RTD("tos.rtd",,DA$43,"."&amp;$A$43&amp;$AS$42&amp;"C"&amp;$A63)="N/A",0,RTD("tos.rtd",,DA$43,"."&amp;$A$43&amp;$AS$42&amp;"C"&amp;$A63))</f>
        <v>4.34</v>
      </c>
      <c r="DB63" s="83">
        <f>IF(RTD("tos.rtd",,DB$43,"."&amp;$A$43&amp;$AS$42&amp;"P"&amp;$A63)="N/A",0,RTD("tos.rtd",,DB$43,"."&amp;$A$43&amp;$AS$42&amp;"P"&amp;$A63))</f>
        <v>0.01</v>
      </c>
      <c r="DC63" s="83">
        <f>IF(RTD("tos.rtd",,DC$43,"."&amp;$A$43&amp;$AS$42&amp;"C"&amp;$A63)="N/A",0,RTD("tos.rtd",,DC$43,"."&amp;$A$43&amp;$AS$42&amp;"C"&amp;$A63))</f>
        <v>6.02</v>
      </c>
      <c r="DD63" s="83">
        <f>IF(RTD("tos.rtd",,DD$43,"."&amp;$A$43&amp;$AS$42&amp;"P"&amp;$A63)="N/A",0,RTD("tos.rtd",,DD$43,"."&amp;$A$43&amp;$AS$42&amp;"P"&amp;$A63))</f>
        <v>0.01</v>
      </c>
      <c r="DE63" s="83">
        <f>IF(RTD("tos.rtd",,DE$43,"."&amp;$A$43&amp;$AS$42&amp;"C"&amp;$A63)="N/A",0,RTD("tos.rtd",,DE$43,"."&amp;$A$43&amp;$AS$42&amp;"C"&amp;$A63))</f>
        <v>3.78</v>
      </c>
      <c r="DF63" s="83">
        <f>IF(RTD("tos.rtd",,DF$43,"."&amp;$A$43&amp;$AS$42&amp;"P"&amp;$A63)="N/A",0,RTD("tos.rtd",,DF$43,"."&amp;$A$43&amp;$AS$42&amp;"P"&amp;$A63))</f>
        <v>0</v>
      </c>
      <c r="DG63" s="86">
        <f t="shared" si="289"/>
        <v>-11.779999999999973</v>
      </c>
      <c r="DH63" s="83">
        <f t="shared" si="254"/>
        <v>-2034.7500000000005</v>
      </c>
      <c r="DI63" s="83">
        <f t="shared" si="255"/>
        <v>46492</v>
      </c>
      <c r="DJ63" s="83">
        <f t="shared" si="256"/>
        <v>8139</v>
      </c>
      <c r="DK63" s="83">
        <f t="shared" si="257"/>
        <v>46492</v>
      </c>
      <c r="DL63" s="83">
        <f t="shared" si="258"/>
        <v>44457.25</v>
      </c>
      <c r="DM63" s="83">
        <f t="shared" si="259"/>
        <v>54631</v>
      </c>
      <c r="DN63" s="64" t="str">
        <f t="shared" si="260"/>
        <v>UNKNOWN</v>
      </c>
      <c r="DO63" s="64" t="str">
        <f t="shared" si="261"/>
        <v>UNKNOWN</v>
      </c>
      <c r="DP63" s="83">
        <f t="shared" si="262"/>
        <v>-8365.8950000000023</v>
      </c>
      <c r="DQ63" s="83">
        <f t="shared" si="263"/>
        <v>35788.18</v>
      </c>
      <c r="DR63" s="83" t="e">
        <f t="shared" ca="1" si="264"/>
        <v>#NUM!</v>
      </c>
      <c r="DS63" s="83">
        <f t="shared" si="265"/>
        <v>8139</v>
      </c>
      <c r="DT63" s="83">
        <f t="shared" si="290"/>
        <v>-8139</v>
      </c>
      <c r="DU63" s="83">
        <f t="shared" si="291"/>
        <v>46492</v>
      </c>
      <c r="DV63" s="83">
        <f t="shared" si="266"/>
        <v>-3697</v>
      </c>
      <c r="DW63" s="83">
        <f t="shared" si="267"/>
        <v>-366</v>
      </c>
      <c r="DX63" s="83" t="e">
        <f t="shared" ca="1" si="365"/>
        <v>#NUM!</v>
      </c>
      <c r="DY63" s="83" t="e">
        <f t="shared" ca="1" si="366"/>
        <v>#NUM!</v>
      </c>
      <c r="DZ63" s="83" t="e">
        <f t="shared" ca="1" si="367"/>
        <v>#NUM!</v>
      </c>
      <c r="EA63" s="83" t="e">
        <f t="shared" ca="1" si="368"/>
        <v>#NUM!</v>
      </c>
      <c r="EB63" s="83" t="e">
        <f t="shared" ca="1" si="369"/>
        <v>#NUM!</v>
      </c>
      <c r="EC63" s="83" t="e">
        <f t="shared" ca="1" si="370"/>
        <v>#NUM!</v>
      </c>
      <c r="ED63" s="63">
        <f t="shared" si="292"/>
        <v>-4063</v>
      </c>
      <c r="EE63" s="84">
        <f t="shared" si="268"/>
        <v>0.25</v>
      </c>
      <c r="EF63" s="84">
        <f t="shared" si="269"/>
        <v>1.1888000000000001</v>
      </c>
      <c r="EG63" s="84">
        <f t="shared" si="270"/>
        <v>0.25</v>
      </c>
      <c r="EH63" s="84">
        <f t="shared" si="271"/>
        <v>1.1888000000000001</v>
      </c>
      <c r="EI63" s="84">
        <f t="shared" si="272"/>
        <v>0.25</v>
      </c>
      <c r="EJ63" s="84">
        <f t="shared" si="273"/>
        <v>0.42730000000000001</v>
      </c>
      <c r="EK63" s="63" t="e">
        <f t="shared" ca="1" si="293"/>
        <v>#NUM!</v>
      </c>
      <c r="EL63" s="83" t="str">
        <f>RTD("tos.rtd",,EL$43,"."&amp;$A$43&amp;$AS$42&amp;"C"&amp;$A63)</f>
        <v>--</v>
      </c>
      <c r="EM63" s="83" t="str">
        <f>RTD("tos.rtd",,EM$43,"."&amp;$A$43&amp;$AS$42&amp;"P"&amp;$A63)</f>
        <v>118.88%</v>
      </c>
      <c r="EN63" s="83" t="str">
        <f>RTD("tos.rtd",,EN$2,"."&amp;$A$43&amp;$AU$1&amp;"C"&amp;$A63)</f>
        <v>--</v>
      </c>
      <c r="EO63" s="83" t="str">
        <f>RTD("tos.rtd",,EO$2,"."&amp;$A$43&amp;$AU$1&amp;"P"&amp;$A63)</f>
        <v>118.88%</v>
      </c>
      <c r="EP63" s="83" t="str">
        <f>RTD("tos.rtd",,EP$2,"."&amp;$A$43&amp;$AW$1&amp;"C"&amp;$A63)</f>
        <v>--</v>
      </c>
      <c r="EQ63" s="83" t="str">
        <f>RTD("tos.rtd",,EQ$2,"."&amp;$A$43&amp;$AW$1&amp;"P"&amp;$A63)</f>
        <v>42.73%</v>
      </c>
      <c r="ES63" s="63" t="str">
        <f t="shared" si="274"/>
        <v>484,-4063.00</v>
      </c>
      <c r="ET63" s="63" t="str">
        <f t="shared" ca="1" si="275"/>
        <v>484,00.00</v>
      </c>
      <c r="EU63" s="68">
        <v>561</v>
      </c>
      <c r="EV63" s="68" t="s">
        <v>523</v>
      </c>
      <c r="EW63" s="68">
        <v>483.35</v>
      </c>
      <c r="EX63" s="68" t="s">
        <v>524</v>
      </c>
      <c r="EY63" s="68">
        <v>5631.28</v>
      </c>
      <c r="EZ63" s="68" t="s">
        <v>525</v>
      </c>
      <c r="FA63" s="68">
        <v>19867.973000000002</v>
      </c>
      <c r="FB63" s="68" t="s">
        <v>526</v>
      </c>
      <c r="FC63" s="68" t="s">
        <v>527</v>
      </c>
      <c r="FD63" s="68" t="s">
        <v>528</v>
      </c>
      <c r="FE63" s="68" t="s">
        <v>529</v>
      </c>
      <c r="FF63" s="68" t="s">
        <v>530</v>
      </c>
    </row>
    <row r="64" spans="1:162" ht="13.5" thickBot="1" x14ac:dyDescent="0.25">
      <c r="A64" s="2">
        <f t="shared" si="294"/>
        <v>483</v>
      </c>
      <c r="B64" s="3">
        <f t="shared" si="241"/>
        <v>5993</v>
      </c>
      <c r="C64" s="3">
        <f t="shared" si="242"/>
        <v>5854</v>
      </c>
      <c r="D64" s="3">
        <f t="shared" si="243"/>
        <v>2543</v>
      </c>
      <c r="E64" s="3">
        <f t="shared" si="244"/>
        <v>14390</v>
      </c>
      <c r="F64" s="34">
        <f t="shared" si="298"/>
        <v>19927.963512041631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>
        <v>-26001</v>
      </c>
      <c r="AN64" s="12">
        <v>-1991</v>
      </c>
      <c r="AO64" s="12">
        <v>483</v>
      </c>
      <c r="AP64" s="12">
        <v>5704</v>
      </c>
      <c r="AQ64" s="12">
        <v>-50858</v>
      </c>
      <c r="AR64" s="12"/>
      <c r="AS64" s="6">
        <f>IF(RTD("tos.rtd",,AS$43,"."&amp;$A$43&amp;$AS$42&amp;"C"&amp;$A64)="N/A",0,RTD("tos.rtd",,AS$43,"."&amp;$A$43&amp;$AS$42&amp;"C"&amp;$A64))</f>
        <v>3501</v>
      </c>
      <c r="AT64" s="7">
        <f>-IF(RTD("tos.rtd",,AT$43,"."&amp;$A$43&amp;$AS$42&amp;"P"&amp;$A64)="N/A",0,RTD("tos.rtd",,AT$43,"."&amp;$A$43&amp;$AS$42&amp;"P"&amp;$A64))</f>
        <v>-2492</v>
      </c>
      <c r="AU64" s="6">
        <f>IF(RTD("tos.rtd",,AU$2,"."&amp;$A$43&amp;$AU$1&amp;"C"&amp;$A64)="N/A",0,RTD("tos.rtd",,AU$2,"."&amp;$A$43&amp;$AU$1&amp;"C"&amp;$A64))</f>
        <v>1801</v>
      </c>
      <c r="AV64" s="7">
        <f>-IF(RTD("tos.rtd",,AV$2,"."&amp;$A$43&amp;$AU$1&amp;"P"&amp;$A64)="N/A",0,RTD("tos.rtd",,AV$2,"."&amp;$A$43&amp;$AU$1&amp;"P"&amp;$A64))</f>
        <v>-4053</v>
      </c>
      <c r="AW64" s="6">
        <f>IF(RTD("tos.rtd",,AW$2,"."&amp;$A$43&amp;$AW$1&amp;"C"&amp;$A64)="N/A",0,RTD("tos.rtd",,AW$2,"."&amp;$A$43&amp;$AW$1&amp;"C"&amp;$A64))</f>
        <v>687</v>
      </c>
      <c r="AX64" s="7">
        <f>-IF(RTD("tos.rtd",,AX$2,"."&amp;$A$43&amp;$AW$1&amp;"P"&amp;$A64)="N/A",0,RTD("tos.rtd",,AX$2,"."&amp;$A$43&amp;$AW$1&amp;"P"&amp;$A64))</f>
        <v>-1856</v>
      </c>
      <c r="AY64" s="7">
        <f t="shared" si="276"/>
        <v>-2412</v>
      </c>
      <c r="AZ64" s="8">
        <f t="shared" si="245"/>
        <v>483</v>
      </c>
      <c r="BA64" s="6">
        <f>IF(RTD("tos.rtd",,BA$43,"."&amp;$A$43&amp;$AS$42&amp;"C"&amp;$A64)="N/A",0,RTD("tos.rtd",,BA$43,"."&amp;$A$43&amp;$AS$42&amp;"C"&amp;$A64))</f>
        <v>0</v>
      </c>
      <c r="BB64" s="7">
        <f>-IF(RTD("tos.rtd",,BB$43,"."&amp;$A$43&amp;$AS$42&amp;"P"&amp;$A64)="N/A",0,RTD("tos.rtd",,BB$43,"."&amp;$A$43&amp;$AS$42&amp;"P"&amp;$A64))</f>
        <v>0</v>
      </c>
      <c r="BC64" s="6">
        <f>IF(RTD("tos.rtd",,BC$2,"."&amp;$A$43&amp;$AU$1&amp;"C"&amp;$A64)="N/A",0,RTD("tos.rtd",,BC$2,"."&amp;$A$43&amp;$AU$1&amp;"C"&amp;$A64))</f>
        <v>3086</v>
      </c>
      <c r="BD64" s="7">
        <f>-IF(RTD("tos.rtd",,BD$2,"."&amp;$A$43&amp;$AU$1&amp;"P"&amp;$A64)="N/A",0,RTD("tos.rtd",,BD$2,"."&amp;$A$43&amp;$AU$1&amp;"P"&amp;$A64))</f>
        <v>-33256</v>
      </c>
      <c r="BE64" s="6">
        <f>IF(RTD("tos.rtd",,BE$2,"."&amp;$A$43&amp;$AW$1&amp;"C"&amp;$A64)="N/A",0,RTD("tos.rtd",,BE$2,"."&amp;$A$43&amp;$AW$1&amp;"C"&amp;$A64))</f>
        <v>121</v>
      </c>
      <c r="BF64" s="7">
        <f>-IF(RTD("tos.rtd",,BF$2,"."&amp;$A$43&amp;$AW$1&amp;"P"&amp;$A64)="N/A",0,RTD("tos.rtd",,BF$2,"."&amp;$A$43&amp;$AW$1&amp;"P"&amp;$A64))</f>
        <v>-2102</v>
      </c>
      <c r="BG64" s="32">
        <f ca="1">+Hoja2!Y65</f>
        <v>-364</v>
      </c>
      <c r="BH64" s="7">
        <f t="shared" ca="1" si="277"/>
        <v>-32515</v>
      </c>
      <c r="BI64" s="8" t="str">
        <f t="shared" ca="1" si="295"/>
        <v/>
      </c>
      <c r="BJ64" s="83" t="e">
        <f ca="1">IF($BP$1=1,DX64,IF(RTD("tos.rtd",,BJ$43,"."&amp;$A$43&amp;$AS$42&amp;"C"&amp;$A64)="N/A",0,RTD("tos.rtd",,BJ$43,"."&amp;$A$43&amp;$AS$42&amp;"C"&amp;$A64)))</f>
        <v>#NUM!</v>
      </c>
      <c r="BK64" s="83" t="e">
        <f ca="1">IF($BP$1=1,DY64,-IF(RTD("tos.rtd",,BK$43,"."&amp;$A$43&amp;$AS$42&amp;"P"&amp;$A64)="N/A",0,RTD("tos.rtd",,BK$43,"."&amp;$A$43&amp;$AS$42&amp;"P"&amp;$A64)))</f>
        <v>#NUM!</v>
      </c>
      <c r="BL64" s="83" t="e">
        <f ca="1">IF($BP$1=1,DZ64,IF(RTD("tos.rtd",,BL$2,"."&amp;$A$43&amp;$AU$1&amp;"C"&amp;$A64)="N/A",0,RTD("tos.rtd",,BL$2,"."&amp;$A$43&amp;$AU$1&amp;"C"&amp;$A64)))</f>
        <v>#NUM!</v>
      </c>
      <c r="BM64" s="83" t="e">
        <f ca="1">IF($BP$1=1,EA64,-IF(RTD("tos.rtd",,BM$2,"."&amp;$A$43&amp;$AU$1&amp;"P"&amp;$A64)="N/A",0,RTD("tos.rtd",,BM$2,"."&amp;$A$43&amp;$AU$1&amp;"P"&amp;$A64)))</f>
        <v>#NUM!</v>
      </c>
      <c r="BN64" s="83" t="e">
        <f ca="1">IF($BP$1=1,EB64,IF(RTD("tos.rtd",,BN$2,"."&amp;$A$43&amp;$AW$1&amp;"C"&amp;$A64)="N/A",0,RTD("tos.rtd",,BN$2,"."&amp;$A$43&amp;$AW$1&amp;"C"&amp;$A64)))</f>
        <v>#NUM!</v>
      </c>
      <c r="BO64" s="83" t="e">
        <f ca="1">IF($BP$1=1,EC64,-IF(RTD("tos.rtd",,BO$2,"."&amp;$A$43&amp;$AW$1&amp;"P"&amp;$A64)="N/A",0,RTD("tos.rtd",,BO$2,"."&amp;$A$43&amp;$AW$1&amp;"P"&amp;$A64)))</f>
        <v>#NUM!</v>
      </c>
      <c r="BQ64" s="83" t="e">
        <f t="shared" ca="1" si="278"/>
        <v>#NUM!</v>
      </c>
      <c r="BR64" s="3" t="e">
        <f t="shared" ca="1" si="279"/>
        <v>#NUM!</v>
      </c>
      <c r="BS64" s="83" t="e">
        <f t="shared" ca="1" si="280"/>
        <v>#NUM!</v>
      </c>
      <c r="BT64" s="3" t="e">
        <f t="shared" ca="1" si="281"/>
        <v>#NUM!</v>
      </c>
      <c r="BU64" s="83" t="e">
        <f t="shared" ca="1" si="282"/>
        <v>#NUM!</v>
      </c>
      <c r="BV64" s="83"/>
      <c r="BX64" s="83" t="e">
        <f t="shared" ca="1" si="283"/>
        <v>#NUM!</v>
      </c>
      <c r="BY64" s="83" t="e">
        <f t="shared" ca="1" si="296"/>
        <v>#NUM!</v>
      </c>
      <c r="BZ64" s="83" t="e">
        <f t="shared" ca="1" si="284"/>
        <v>#NUM!</v>
      </c>
      <c r="CA64" s="83" t="e">
        <f t="shared" ca="1" si="296"/>
        <v>#NUM!</v>
      </c>
      <c r="CB64" s="83" t="e">
        <f t="shared" ca="1" si="285"/>
        <v>#NUM!</v>
      </c>
      <c r="CC64" s="83" t="e">
        <f t="shared" ca="1" si="296"/>
        <v>#NUM!</v>
      </c>
      <c r="CD64" s="83">
        <f>IF(RTD("tos.rtd",,CD$43,"."&amp;$A$43&amp;$AS$42&amp;"C"&amp;$A64)="N/A",0,RTD("tos.rtd",,CD$43,"."&amp;$A$43&amp;$AS$42&amp;"C"&amp;$A64))</f>
        <v>1</v>
      </c>
      <c r="CE64" s="83">
        <f>-IF(RTD("tos.rtd",,CE$43,"."&amp;$A$43&amp;$AS$42&amp;"P"&amp;$A64)="N/A",0,RTD("tos.rtd",,CE$43,"."&amp;$A$43&amp;$AS$42&amp;"P"&amp;$A64))</f>
        <v>0</v>
      </c>
      <c r="CF64" s="83">
        <f>IF(RTD("tos.rtd",,CF$2,"."&amp;$A$43&amp;$AU$1&amp;"C"&amp;$A64)="N/A",0,RTD("tos.rtd",,CF$2,"."&amp;$A$43&amp;$AU$1&amp;"C"&amp;$A64))</f>
        <v>1</v>
      </c>
      <c r="CG64" s="83">
        <f>-IF(RTD("tos.rtd",,CG$2,"."&amp;$A$43&amp;$AU$1&amp;"P"&amp;$A64)="N/A",0,RTD("tos.rtd",,CG$2,"."&amp;$A$43&amp;$AU$1&amp;"P"&amp;$A64))</f>
        <v>0</v>
      </c>
      <c r="CH64" s="83">
        <f>IF(RTD("tos.rtd",,CH$2,"."&amp;$A$43&amp;$AW$1&amp;"C"&amp;$A64)="N/A",0,RTD("tos.rtd",,CH$2,"."&amp;$A$43&amp;$AW$1&amp;"C"&amp;$A64))</f>
        <v>1</v>
      </c>
      <c r="CI64" s="83">
        <f>-IF(RTD("tos.rtd",,CI$2,"."&amp;$A$43&amp;$AW$1&amp;"P"&amp;$A64)="N/A",0,RTD("tos.rtd",,CI$2,"."&amp;$A$43&amp;$AW$1&amp;"P"&amp;$A64))</f>
        <v>0.28000000000000003</v>
      </c>
      <c r="CK64" s="83">
        <f t="shared" si="286"/>
        <v>350100</v>
      </c>
      <c r="CL64" s="83"/>
      <c r="CM64" s="83">
        <f t="shared" si="287"/>
        <v>180100</v>
      </c>
      <c r="CN64" s="83"/>
      <c r="CO64" s="83">
        <f t="shared" si="288"/>
        <v>16731.999999999993</v>
      </c>
      <c r="CP64" s="83">
        <f t="shared" si="235"/>
        <v>546932</v>
      </c>
      <c r="CQ64" s="83">
        <f t="shared" si="249"/>
        <v>0</v>
      </c>
      <c r="CR64" s="83"/>
      <c r="CS64" s="83">
        <f t="shared" si="250"/>
        <v>-30170</v>
      </c>
      <c r="CT64" s="83"/>
      <c r="CU64" s="83">
        <f t="shared" si="251"/>
        <v>-1981</v>
      </c>
      <c r="CV64" s="83"/>
      <c r="CW64" s="83" t="e">
        <f t="shared" ca="1" si="252"/>
        <v>#NUM!</v>
      </c>
      <c r="CY64" s="83" t="e">
        <f t="shared" ca="1" si="253"/>
        <v>#NUM!</v>
      </c>
      <c r="CZ64" s="70" t="e">
        <f t="shared" ca="1" si="297"/>
        <v>#NUM!</v>
      </c>
      <c r="DA64" s="83">
        <f>IF(RTD("tos.rtd",,DA$43,"."&amp;$A$43&amp;$AS$42&amp;"C"&amp;$A64)="N/A",0,RTD("tos.rtd",,DA$43,"."&amp;$A$43&amp;$AS$42&amp;"C"&amp;$A64))</f>
        <v>5.72</v>
      </c>
      <c r="DB64" s="83">
        <f>IF(RTD("tos.rtd",,DB$43,"."&amp;$A$43&amp;$AS$42&amp;"P"&amp;$A64)="N/A",0,RTD("tos.rtd",,DB$43,"."&amp;$A$43&amp;$AS$42&amp;"P"&amp;$A64))</f>
        <v>0.01</v>
      </c>
      <c r="DC64" s="83">
        <f>IF(RTD("tos.rtd",,DC$43,"."&amp;$A$43&amp;$AS$42&amp;"C"&amp;$A64)="N/A",0,RTD("tos.rtd",,DC$43,"."&amp;$A$43&amp;$AS$42&amp;"C"&amp;$A64))</f>
        <v>7.19</v>
      </c>
      <c r="DD64" s="83">
        <f>IF(RTD("tos.rtd",,DD$43,"."&amp;$A$43&amp;$AS$42&amp;"P"&amp;$A64)="N/A",0,RTD("tos.rtd",,DD$43,"."&amp;$A$43&amp;$AS$42&amp;"P"&amp;$A64))</f>
        <v>0.01</v>
      </c>
      <c r="DE64" s="83">
        <f>IF(RTD("tos.rtd",,DE$43,"."&amp;$A$43&amp;$AS$42&amp;"C"&amp;$A64)="N/A",0,RTD("tos.rtd",,DE$43,"."&amp;$A$43&amp;$AS$42&amp;"C"&amp;$A64))</f>
        <v>4.8099999999999996</v>
      </c>
      <c r="DF64" s="83">
        <f>IF(RTD("tos.rtd",,DF$43,"."&amp;$A$43&amp;$AS$42&amp;"P"&amp;$A64)="N/A",0,RTD("tos.rtd",,DF$43,"."&amp;$A$43&amp;$AS$42&amp;"P"&amp;$A64))</f>
        <v>0</v>
      </c>
      <c r="DG64" s="86">
        <f t="shared" si="289"/>
        <v>-12.779999999999973</v>
      </c>
      <c r="DH64" s="83">
        <f t="shared" si="254"/>
        <v>-2180.9411764705878</v>
      </c>
      <c r="DI64" s="83">
        <f t="shared" si="255"/>
        <v>50858</v>
      </c>
      <c r="DJ64" s="83">
        <f t="shared" si="256"/>
        <v>5704</v>
      </c>
      <c r="DK64" s="83">
        <f t="shared" si="257"/>
        <v>50858</v>
      </c>
      <c r="DL64" s="83">
        <f t="shared" si="258"/>
        <v>48677.058823529413</v>
      </c>
      <c r="DM64" s="83">
        <f t="shared" si="259"/>
        <v>56562</v>
      </c>
      <c r="DN64" s="64" t="str">
        <f t="shared" si="260"/>
        <v>UNKNOWN</v>
      </c>
      <c r="DO64" s="64" t="str">
        <f t="shared" si="261"/>
        <v>UNKNOWN</v>
      </c>
      <c r="DP64" s="83">
        <f t="shared" si="262"/>
        <v>-11966.403529411762</v>
      </c>
      <c r="DQ64" s="83">
        <f t="shared" si="263"/>
        <v>33135.46</v>
      </c>
      <c r="DR64" s="83" t="e">
        <f t="shared" ca="1" si="264"/>
        <v>#NUM!</v>
      </c>
      <c r="DS64" s="83">
        <f t="shared" si="265"/>
        <v>5704</v>
      </c>
      <c r="DT64" s="83">
        <f t="shared" si="290"/>
        <v>-5704</v>
      </c>
      <c r="DU64" s="83">
        <f t="shared" si="291"/>
        <v>50858</v>
      </c>
      <c r="DV64" s="83">
        <f t="shared" si="266"/>
        <v>-26001</v>
      </c>
      <c r="DW64" s="83">
        <f t="shared" si="267"/>
        <v>-1991</v>
      </c>
      <c r="DX64" s="83" t="e">
        <f t="shared" ca="1" si="365"/>
        <v>#NUM!</v>
      </c>
      <c r="DY64" s="83" t="e">
        <f t="shared" ca="1" si="366"/>
        <v>#NUM!</v>
      </c>
      <c r="DZ64" s="83" t="e">
        <f t="shared" ca="1" si="367"/>
        <v>#NUM!</v>
      </c>
      <c r="EA64" s="83" t="e">
        <f t="shared" ca="1" si="368"/>
        <v>#NUM!</v>
      </c>
      <c r="EB64" s="83" t="e">
        <f t="shared" ca="1" si="369"/>
        <v>#NUM!</v>
      </c>
      <c r="EC64" s="83" t="e">
        <f t="shared" ca="1" si="370"/>
        <v>#NUM!</v>
      </c>
      <c r="ED64" s="63">
        <f t="shared" si="292"/>
        <v>-27992</v>
      </c>
      <c r="EE64" s="84">
        <f t="shared" si="268"/>
        <v>0.25</v>
      </c>
      <c r="EF64" s="84">
        <f t="shared" si="269"/>
        <v>1.2803</v>
      </c>
      <c r="EG64" s="84">
        <f t="shared" si="270"/>
        <v>0.25</v>
      </c>
      <c r="EH64" s="84">
        <f t="shared" si="271"/>
        <v>1.2803</v>
      </c>
      <c r="EI64" s="84">
        <f t="shared" si="272"/>
        <v>0.25</v>
      </c>
      <c r="EJ64" s="84">
        <f t="shared" si="273"/>
        <v>0.42470000000000002</v>
      </c>
      <c r="EK64" s="63" t="e">
        <f t="shared" ca="1" si="293"/>
        <v>#NUM!</v>
      </c>
      <c r="EL64" s="83" t="str">
        <f>RTD("tos.rtd",,EL$43,"."&amp;$A$43&amp;$AS$42&amp;"C"&amp;$A64)</f>
        <v>--</v>
      </c>
      <c r="EM64" s="83" t="str">
        <f>RTD("tos.rtd",,EM$43,"."&amp;$A$43&amp;$AS$42&amp;"P"&amp;$A64)</f>
        <v>128.03%</v>
      </c>
      <c r="EN64" s="83" t="str">
        <f>RTD("tos.rtd",,EN$2,"."&amp;$A$43&amp;$AU$1&amp;"C"&amp;$A64)</f>
        <v>--</v>
      </c>
      <c r="EO64" s="83" t="str">
        <f>RTD("tos.rtd",,EO$2,"."&amp;$A$43&amp;$AU$1&amp;"P"&amp;$A64)</f>
        <v>128.03%</v>
      </c>
      <c r="EP64" s="83" t="str">
        <f>RTD("tos.rtd",,EP$2,"."&amp;$A$43&amp;$AW$1&amp;"C"&amp;$A64)</f>
        <v>--</v>
      </c>
      <c r="EQ64" s="83" t="str">
        <f>RTD("tos.rtd",,EQ$2,"."&amp;$A$43&amp;$AW$1&amp;"P"&amp;$A64)</f>
        <v>42.47%</v>
      </c>
      <c r="ES64" s="63" t="str">
        <f t="shared" si="274"/>
        <v>483,-27992.00</v>
      </c>
      <c r="ET64" s="63" t="str">
        <f t="shared" ca="1" si="275"/>
        <v>483,00.00</v>
      </c>
      <c r="EU64" s="68">
        <v>561.08000000000004</v>
      </c>
      <c r="EV64" s="68" t="s">
        <v>531</v>
      </c>
      <c r="EW64" s="68">
        <v>483.38</v>
      </c>
      <c r="EX64" s="68" t="s">
        <v>532</v>
      </c>
      <c r="EY64" s="68">
        <v>5631.28</v>
      </c>
      <c r="EZ64" s="68" t="s">
        <v>533</v>
      </c>
      <c r="FA64" s="68">
        <v>19867.973000000002</v>
      </c>
      <c r="FB64" s="68" t="s">
        <v>534</v>
      </c>
      <c r="FC64" s="68" t="s">
        <v>535</v>
      </c>
      <c r="FD64" s="68" t="s">
        <v>536</v>
      </c>
      <c r="FE64" s="68" t="s">
        <v>537</v>
      </c>
      <c r="FF64" s="68" t="s">
        <v>538</v>
      </c>
    </row>
    <row r="65" spans="1:162" ht="13.5" thickBot="1" x14ac:dyDescent="0.25">
      <c r="A65" s="2">
        <f t="shared" si="294"/>
        <v>482</v>
      </c>
      <c r="B65" s="3">
        <f t="shared" ref="B65:B69" si="371">+IF($A$1="ABS",AS65-AT65,AS65+AT65)</f>
        <v>6191</v>
      </c>
      <c r="C65" s="3">
        <f t="shared" si="242"/>
        <v>7177</v>
      </c>
      <c r="D65" s="3">
        <f t="shared" ref="D65:D69" si="372">+IF($A$1="ABS",AW65-AX65,AW65+AX65)</f>
        <v>1225</v>
      </c>
      <c r="E65" s="3">
        <f t="shared" ref="E65:E69" si="373">SUM(B65:D65)</f>
        <v>14593</v>
      </c>
      <c r="F65" s="4">
        <f t="shared" ref="F65:F69" si="374">+$F$44/$A$44*A65</f>
        <v>19886.704788414216</v>
      </c>
      <c r="AM65" s="1">
        <v>5884</v>
      </c>
      <c r="AN65" s="1">
        <v>10327</v>
      </c>
      <c r="AO65" s="1">
        <v>482</v>
      </c>
      <c r="AP65" s="1">
        <v>3894</v>
      </c>
      <c r="AQ65" s="1">
        <v>-41180</v>
      </c>
      <c r="AS65" s="6">
        <f>IF(RTD("tos.rtd",,AS$43,"."&amp;$A$43&amp;$AS$42&amp;"C"&amp;$A65)="N/A",0,RTD("tos.rtd",,AS$43,"."&amp;$A$43&amp;$AS$42&amp;"C"&amp;$A65))</f>
        <v>2429</v>
      </c>
      <c r="AT65" s="7">
        <f>-IF(RTD("tos.rtd",,AT$43,"."&amp;$A$43&amp;$AS$42&amp;"P"&amp;$A65)="N/A",0,RTD("tos.rtd",,AT$43,"."&amp;$A$43&amp;$AS$42&amp;"P"&amp;$A65))</f>
        <v>-3762</v>
      </c>
      <c r="AU65" s="6">
        <f>IF(RTD("tos.rtd",,AU$2,"."&amp;$A$43&amp;$AU$1&amp;"C"&amp;$A65)="N/A",0,RTD("tos.rtd",,AU$2,"."&amp;$A$43&amp;$AU$1&amp;"C"&amp;$A65))</f>
        <v>2461</v>
      </c>
      <c r="AV65" s="7">
        <f>-IF(RTD("tos.rtd",,AV$2,"."&amp;$A$43&amp;$AU$1&amp;"P"&amp;$A65)="N/A",0,RTD("tos.rtd",,AV$2,"."&amp;$A$43&amp;$AU$1&amp;"P"&amp;$A65))</f>
        <v>-4716</v>
      </c>
      <c r="AW65" s="6">
        <f>IF(RTD("tos.rtd",,AW$2,"."&amp;$A$43&amp;$AW$1&amp;"C"&amp;$A65)="N/A",0,RTD("tos.rtd",,AW$2,"."&amp;$A$43&amp;$AW$1&amp;"C"&amp;$A65))</f>
        <v>578</v>
      </c>
      <c r="AX65" s="7">
        <f>-IF(RTD("tos.rtd",,AX$2,"."&amp;$A$43&amp;$AW$1&amp;"P"&amp;$A65)="N/A",0,RTD("tos.rtd",,AX$2,"."&amp;$A$43&amp;$AW$1&amp;"P"&amp;$A65))</f>
        <v>-647</v>
      </c>
      <c r="AY65" s="7">
        <f t="shared" ref="AY65:AY69" si="375">SUM(AS65:AX65)</f>
        <v>-3657</v>
      </c>
      <c r="AZ65" s="8">
        <f t="shared" si="245"/>
        <v>482</v>
      </c>
      <c r="BA65" s="6">
        <f>IF(RTD("tos.rtd",,BA$43,"."&amp;$A$43&amp;$AS$42&amp;"C"&amp;$A65)="N/A",0,RTD("tos.rtd",,BA$43,"."&amp;$A$43&amp;$AS$42&amp;"C"&amp;$A65))</f>
        <v>0</v>
      </c>
      <c r="BB65" s="7">
        <f>-IF(RTD("tos.rtd",,BB$43,"."&amp;$A$43&amp;$AS$42&amp;"P"&amp;$A65)="N/A",0,RTD("tos.rtd",,BB$43,"."&amp;$A$43&amp;$AS$42&amp;"P"&amp;$A65))</f>
        <v>0</v>
      </c>
      <c r="BC65" s="6">
        <f>IF(RTD("tos.rtd",,BC$2,"."&amp;$A$43&amp;$AU$1&amp;"C"&amp;$A65)="N/A",0,RTD("tos.rtd",,BC$2,"."&amp;$A$43&amp;$AU$1&amp;"C"&amp;$A65))</f>
        <v>1244</v>
      </c>
      <c r="BD65" s="7">
        <f>-IF(RTD("tos.rtd",,BD$2,"."&amp;$A$43&amp;$AU$1&amp;"P"&amp;$A65)="N/A",0,RTD("tos.rtd",,BD$2,"."&amp;$A$43&amp;$AU$1&amp;"P"&amp;$A65))</f>
        <v>-16319</v>
      </c>
      <c r="BE65" s="6">
        <f>IF(RTD("tos.rtd",,BE$2,"."&amp;$A$43&amp;$AW$1&amp;"C"&amp;$A65)="N/A",0,RTD("tos.rtd",,BE$2,"."&amp;$A$43&amp;$AW$1&amp;"C"&amp;$A65))</f>
        <v>282</v>
      </c>
      <c r="BF65" s="7">
        <f>-IF(RTD("tos.rtd",,BF$2,"."&amp;$A$43&amp;$AW$1&amp;"P"&amp;$A65)="N/A",0,RTD("tos.rtd",,BF$2,"."&amp;$A$43&amp;$AW$1&amp;"P"&amp;$A65))</f>
        <v>-677</v>
      </c>
      <c r="BG65" s="32">
        <f ca="1">+Hoja2!Y66</f>
        <v>-14</v>
      </c>
      <c r="BH65" s="7">
        <f t="shared" ca="1" si="277"/>
        <v>-15484</v>
      </c>
      <c r="BI65" s="8" t="str">
        <f t="shared" ca="1" si="295"/>
        <v/>
      </c>
      <c r="BJ65" s="83" t="e">
        <f ca="1">IF($BP$1=1,DX65,IF(RTD("tos.rtd",,BJ$43,"."&amp;$A$43&amp;$AS$42&amp;"C"&amp;$A65)="N/A",0,RTD("tos.rtd",,BJ$43,"."&amp;$A$43&amp;$AS$42&amp;"C"&amp;$A65)))</f>
        <v>#NUM!</v>
      </c>
      <c r="BK65" s="83" t="e">
        <f ca="1">IF($BP$1=1,DY65,-IF(RTD("tos.rtd",,BK$43,"."&amp;$A$43&amp;$AS$42&amp;"P"&amp;$A65)="N/A",0,RTD("tos.rtd",,BK$43,"."&amp;$A$43&amp;$AS$42&amp;"P"&amp;$A65)))</f>
        <v>#NUM!</v>
      </c>
      <c r="BL65" s="83" t="e">
        <f ca="1">IF($BP$1=1,DZ65,IF(RTD("tos.rtd",,BL$2,"."&amp;$A$43&amp;$AU$1&amp;"C"&amp;$A65)="N/A",0,RTD("tos.rtd",,BL$2,"."&amp;$A$43&amp;$AU$1&amp;"C"&amp;$A65)))</f>
        <v>#NUM!</v>
      </c>
      <c r="BM65" s="83" t="e">
        <f ca="1">IF($BP$1=1,EA65,-IF(RTD("tos.rtd",,BM$2,"."&amp;$A$43&amp;$AU$1&amp;"P"&amp;$A65)="N/A",0,RTD("tos.rtd",,BM$2,"."&amp;$A$43&amp;$AU$1&amp;"P"&amp;$A65)))</f>
        <v>#NUM!</v>
      </c>
      <c r="BN65" s="83" t="e">
        <f ca="1">IF($BP$1=1,EB65,IF(RTD("tos.rtd",,BN$2,"."&amp;$A$43&amp;$AW$1&amp;"C"&amp;$A65)="N/A",0,RTD("tos.rtd",,BN$2,"."&amp;$A$43&amp;$AW$1&amp;"C"&amp;$A65)))</f>
        <v>#NUM!</v>
      </c>
      <c r="BO65" s="83" t="e">
        <f ca="1">IF($BP$1=1,EC65,-IF(RTD("tos.rtd",,BO$2,"."&amp;$A$43&amp;$AW$1&amp;"P"&amp;$A65)="N/A",0,RTD("tos.rtd",,BO$2,"."&amp;$A$43&amp;$AW$1&amp;"P"&amp;$A65)))</f>
        <v>#NUM!</v>
      </c>
      <c r="BQ65" s="83" t="e">
        <f t="shared" ref="BQ65:BQ69" ca="1" si="376">+$A$44*$A$44*AS65*BJ65-$A$44*$A$44*AT65*BK65</f>
        <v>#NUM!</v>
      </c>
      <c r="BR65" s="3" t="e">
        <f t="shared" ca="1" si="279"/>
        <v>#NUM!</v>
      </c>
      <c r="BS65" s="83" t="e">
        <f t="shared" ref="BS65:BS69" ca="1" si="377">+$A$44*$A$44*AU65*BL65-$A$44*$A$44*AV65*BM65</f>
        <v>#NUM!</v>
      </c>
      <c r="BT65" s="3" t="e">
        <f t="shared" ca="1" si="281"/>
        <v>#NUM!</v>
      </c>
      <c r="BU65" s="83" t="e">
        <f t="shared" ref="BU65:BU69" ca="1" si="378">+$A$44*$A$44*AW65*BN65-$A$44*$A$44*AX65*BO65</f>
        <v>#NUM!</v>
      </c>
      <c r="BV65" s="83"/>
      <c r="BX65" s="83" t="e">
        <f t="shared" ref="BX65:BX69" ca="1" si="379">+$A$44*$A$44*BA65*BJ65-$A$44*$A$44*BB65*BK65</f>
        <v>#NUM!</v>
      </c>
      <c r="BY65" s="83" t="e">
        <f t="shared" ca="1" si="296"/>
        <v>#NUM!</v>
      </c>
      <c r="BZ65" s="83" t="e">
        <f t="shared" ref="BZ65:BZ69" ca="1" si="380">+$A$44*$A$44*BC65*BL65-$A$44*$A$44*BD65*BM65</f>
        <v>#NUM!</v>
      </c>
      <c r="CA65" s="83" t="e">
        <f t="shared" ca="1" si="296"/>
        <v>#NUM!</v>
      </c>
      <c r="CB65" s="83" t="e">
        <f t="shared" ref="CB65:CB69" ca="1" si="381">+$A$44*$A$44*BE65*BN65-$A$44*$A$44*BF65*BO65</f>
        <v>#NUM!</v>
      </c>
      <c r="CC65" s="83" t="e">
        <f t="shared" ca="1" si="296"/>
        <v>#NUM!</v>
      </c>
      <c r="CD65" s="83">
        <f>IF(RTD("tos.rtd",,CD$43,"."&amp;$A$43&amp;$AS$42&amp;"C"&amp;$A65)="N/A",0,RTD("tos.rtd",,CD$43,"."&amp;$A$43&amp;$AS$42&amp;"C"&amp;$A65))</f>
        <v>1</v>
      </c>
      <c r="CE65" s="83">
        <f>-IF(RTD("tos.rtd",,CE$43,"."&amp;$A$43&amp;$AS$42&amp;"P"&amp;$A65)="N/A",0,RTD("tos.rtd",,CE$43,"."&amp;$A$43&amp;$AS$42&amp;"P"&amp;$A65))</f>
        <v>0</v>
      </c>
      <c r="CF65" s="83">
        <f>IF(RTD("tos.rtd",,CF$2,"."&amp;$A$43&amp;$AU$1&amp;"C"&amp;$A65)="N/A",0,RTD("tos.rtd",,CF$2,"."&amp;$A$43&amp;$AU$1&amp;"C"&amp;$A65))</f>
        <v>1</v>
      </c>
      <c r="CG65" s="83">
        <f>-IF(RTD("tos.rtd",,CG$2,"."&amp;$A$43&amp;$AU$1&amp;"P"&amp;$A65)="N/A",0,RTD("tos.rtd",,CG$2,"."&amp;$A$43&amp;$AU$1&amp;"P"&amp;$A65))</f>
        <v>0</v>
      </c>
      <c r="CH65" s="83">
        <f>IF(RTD("tos.rtd",,CH$2,"."&amp;$A$43&amp;$AW$1&amp;"C"&amp;$A65)="N/A",0,RTD("tos.rtd",,CH$2,"."&amp;$A$43&amp;$AW$1&amp;"C"&amp;$A65))</f>
        <v>1</v>
      </c>
      <c r="CI65" s="83">
        <f>-IF(RTD("tos.rtd",,CI$2,"."&amp;$A$43&amp;$AW$1&amp;"P"&amp;$A65)="N/A",0,RTD("tos.rtd",,CI$2,"."&amp;$A$43&amp;$AW$1&amp;"P"&amp;$A65))</f>
        <v>0.27</v>
      </c>
      <c r="CK65" s="83">
        <f t="shared" ref="CK65:CK69" si="382">+AS65*CD65*100+AT65*CE65*100</f>
        <v>242900</v>
      </c>
      <c r="CL65" s="83"/>
      <c r="CM65" s="83">
        <f t="shared" ref="CM65:CM69" si="383">+AU65*CF65*100+AV65*CG65*100</f>
        <v>246100</v>
      </c>
      <c r="CN65" s="83"/>
      <c r="CO65" s="83">
        <f t="shared" ref="CO65:CO69" si="384">+AW65*CH65*100+AX65*CI65*100</f>
        <v>40331</v>
      </c>
      <c r="CP65" s="83">
        <f t="shared" ref="CP65:CP69" si="385">+CK65+CM65+CO65</f>
        <v>529331</v>
      </c>
      <c r="CQ65" s="83">
        <f t="shared" ref="CQ65:CQ69" si="386">+BA65+BB65</f>
        <v>0</v>
      </c>
      <c r="CR65" s="83"/>
      <c r="CS65" s="83">
        <f t="shared" ref="CS65:CS69" si="387">+BC65+BD65</f>
        <v>-15075</v>
      </c>
      <c r="CT65" s="83"/>
      <c r="CU65" s="83">
        <f t="shared" ref="CU65:CU69" si="388">+BE65+BF65</f>
        <v>-395</v>
      </c>
      <c r="CV65" s="83"/>
      <c r="CW65" s="83" t="e">
        <f t="shared" ref="CW65:CW69" ca="1" si="389">+BQ65+BS65+BU65</f>
        <v>#NUM!</v>
      </c>
      <c r="CY65" s="83" t="e">
        <f t="shared" ref="CY65:CY69" ca="1" si="390">+BX65+BZ65+CB65</f>
        <v>#NUM!</v>
      </c>
      <c r="CZ65" s="70" t="e">
        <f t="shared" ca="1" si="297"/>
        <v>#NUM!</v>
      </c>
      <c r="DA65" s="83">
        <f>IF(RTD("tos.rtd",,DA$43,"."&amp;$A$43&amp;$AS$42&amp;"C"&amp;$A65)="N/A",0,RTD("tos.rtd",,DA$43,"."&amp;$A$43&amp;$AS$42&amp;"C"&amp;$A65))</f>
        <v>6.69</v>
      </c>
      <c r="DB65" s="83">
        <f>IF(RTD("tos.rtd",,DB$43,"."&amp;$A$43&amp;$AS$42&amp;"P"&amp;$A65)="N/A",0,RTD("tos.rtd",,DB$43,"."&amp;$A$43&amp;$AS$42&amp;"P"&amp;$A65))</f>
        <v>0.01</v>
      </c>
      <c r="DC65" s="83">
        <f>IF(RTD("tos.rtd",,DC$43,"."&amp;$A$43&amp;$AS$42&amp;"C"&amp;$A65)="N/A",0,RTD("tos.rtd",,DC$43,"."&amp;$A$43&amp;$AS$42&amp;"C"&amp;$A65))</f>
        <v>8.19</v>
      </c>
      <c r="DD65" s="83">
        <f>IF(RTD("tos.rtd",,DD$43,"."&amp;$A$43&amp;$AS$42&amp;"P"&amp;$A65)="N/A",0,RTD("tos.rtd",,DD$43,"."&amp;$A$43&amp;$AS$42&amp;"P"&amp;$A65))</f>
        <v>0.01</v>
      </c>
      <c r="DE65" s="83">
        <f>IF(RTD("tos.rtd",,DE$43,"."&amp;$A$43&amp;$AS$42&amp;"C"&amp;$A65)="N/A",0,RTD("tos.rtd",,DE$43,"."&amp;$A$43&amp;$AS$42&amp;"C"&amp;$A65))</f>
        <v>4.72</v>
      </c>
      <c r="DF65" s="83">
        <f>IF(RTD("tos.rtd",,DF$43,"."&amp;$A$43&amp;$AS$42&amp;"P"&amp;$A65)="N/A",0,RTD("tos.rtd",,DF$43,"."&amp;$A$43&amp;$AS$42&amp;"P"&amp;$A65))</f>
        <v>0</v>
      </c>
      <c r="DG65" s="86">
        <f t="shared" si="289"/>
        <v>-13.779999999999973</v>
      </c>
      <c r="DH65" s="83">
        <f t="shared" ref="DH65:DH69" si="391">((DA65-DE65)/(DC65-DE65))*(BA65-AP65)</f>
        <v>-2210.7146974063407</v>
      </c>
      <c r="DI65" s="83">
        <f t="shared" ref="DI65:DI69" si="392">((DB65-DF65)/(DD65-DF65))*(BB65-AQ65)</f>
        <v>41180</v>
      </c>
      <c r="DJ65" s="83">
        <f t="shared" ref="DJ65:DJ69" si="393">IF(DA65&gt;=(DE65+(DC65-DE65)*0.6),(BA65-AP65),IF(DA65&lt;=(DE65+(DC65-DE65)*0.4),-(BA65-AP65),0))</f>
        <v>0</v>
      </c>
      <c r="DK65" s="83">
        <f t="shared" si="257"/>
        <v>41180</v>
      </c>
      <c r="DL65" s="83">
        <f t="shared" si="258"/>
        <v>38969.285302593657</v>
      </c>
      <c r="DM65" s="83">
        <f t="shared" si="259"/>
        <v>41180</v>
      </c>
      <c r="DN65" s="64" t="str">
        <f t="shared" si="260"/>
        <v>UNKNOWN</v>
      </c>
      <c r="DO65" s="64" t="str">
        <f t="shared" si="261"/>
        <v>UNKNOWN</v>
      </c>
      <c r="DP65" s="83">
        <f t="shared" si="262"/>
        <v>-14377.881325648421</v>
      </c>
      <c r="DQ65" s="83">
        <f t="shared" si="263"/>
        <v>411.8</v>
      </c>
      <c r="DR65" s="83" t="e">
        <f t="shared" ca="1" si="264"/>
        <v>#NUM!</v>
      </c>
      <c r="DS65" s="83">
        <f t="shared" si="265"/>
        <v>0</v>
      </c>
      <c r="DT65" s="83">
        <f t="shared" si="290"/>
        <v>-3894</v>
      </c>
      <c r="DU65" s="83">
        <f t="shared" si="291"/>
        <v>41180</v>
      </c>
      <c r="DV65" s="83">
        <f t="shared" si="266"/>
        <v>5884</v>
      </c>
      <c r="DW65" s="83">
        <f t="shared" si="267"/>
        <v>10327</v>
      </c>
      <c r="DX65" s="83" t="e">
        <f t="shared" ref="DX65:DX69" ca="1" si="394">(EXP(-POWER((LN($A$44/$A65)+($EC$1+POWER($EE65,2)/2)*($EM$1/$DY$1))/($EE65*SQRT($EM$1/$DY$1)),2)/2)/SQRT(2*PI())/($A$44*$EE65*SQRT($EM$1/$DY$1)))</f>
        <v>#NUM!</v>
      </c>
      <c r="DY65" s="83" t="e">
        <f t="shared" ref="DY65:DY69" ca="1" si="395">-(EXP(-POWER((LN($A$44/$A65)+($EC$1+POWER($EF65,2)/2)*($EM$1/$DY$1))/($EF65*SQRT($EM$1/$DY$1)),2)/2)/SQRT(2*PI())/($A$44*$EF65*SQRT($EM$1/$DY$1)))</f>
        <v>#NUM!</v>
      </c>
      <c r="DZ65" s="83" t="e">
        <f t="shared" ref="DZ65:DZ69" ca="1" si="396">(EXP(-POWER((LN($A$44/$A65)+($EC$1+POWER($EG65,2)/2)*($EO$1/$DY$1))/($EG65*SQRT($EO$1/$DY$1)),2)/2)/SQRT(2*PI())/($A$44*$EG65*SQRT($EO$1/$DY$1)))</f>
        <v>#NUM!</v>
      </c>
      <c r="EA65" s="83" t="e">
        <f t="shared" ref="EA65:EA69" ca="1" si="397">-(EXP(-POWER((LN($A$44/$A65)+($EC$1+POWER($EH65,2)/2)*($EO$1/$DY$1))/($EH65*SQRT($EO$1/$DY$1)),2)/2)/SQRT(2*PI())/($A$44*$EH65*SQRT($EO$1/$DY$1)))</f>
        <v>#NUM!</v>
      </c>
      <c r="EB65" s="83" t="e">
        <f t="shared" ref="EB65:EB69" ca="1" si="398">(EXP(-POWER((LN($A$44/$A65)+($EC$1+POWER($EI65,2)/2)*($EO$1/$DY$1))/($EI65*SQRT($EO$1/$DY$1)),2)/2)/SQRT(2*PI())/($A$44*$EI65*SQRT($EO$1/$DY$1)))</f>
        <v>#NUM!</v>
      </c>
      <c r="EC65" s="83" t="e">
        <f t="shared" ref="EC65:EC69" ca="1" si="399">-(EXP(-POWER((LN($A$44/$A65)+($EC$1+POWER($EJ65,2)/2)*($EO$1/$DY$1))/($EJ65*SQRT($EO$1/$DY$1)),2)/2)/SQRT(2*PI())/($A$44*$EJ65*SQRT($EO$1/$DY$1)))</f>
        <v>#NUM!</v>
      </c>
      <c r="ED65" s="63">
        <f t="shared" si="292"/>
        <v>16211</v>
      </c>
      <c r="EE65" s="84">
        <f t="shared" ref="EE65:EE69" si="400">IFERROR(VALUE(IF(OR(EL65="--",EL65="0.00%"),$EE$1,EL65)),$EE$1)</f>
        <v>0.25</v>
      </c>
      <c r="EF65" s="84">
        <f t="shared" ref="EF65:EF69" si="401">IFERROR(VALUE(IF(OR(EM65="--",EM65="0.00%"),$EE$1,EM65)),$EE$1)</f>
        <v>1.3714</v>
      </c>
      <c r="EG65" s="84">
        <f t="shared" ref="EG65:EG69" si="402">IFERROR(VALUE(IF(OR(EN65="--",EN65="0.00%"),$EE$1,EN65)),$EE$1)</f>
        <v>0.25</v>
      </c>
      <c r="EH65" s="84">
        <f t="shared" ref="EH65:EH69" si="403">IFERROR(VALUE(IF(OR(EO65="--",EO65="0.00%"),$EE$1,EO65)),$EE$1)</f>
        <v>1.3714</v>
      </c>
      <c r="EI65" s="84">
        <f t="shared" ref="EI65:EI69" si="404">IFERROR(VALUE(IF(OR(EP65="--",EP65="0.00%"),$EE$1,EP65)),$EE$1)</f>
        <v>0.25</v>
      </c>
      <c r="EJ65" s="84">
        <f t="shared" ref="EJ65:EJ69" si="405">IFERROR(VALUE(IF(OR(EQ65="--",EQ65="0.00%"),$EE$1,EQ65)),$EE$1)</f>
        <v>0.42220000000000002</v>
      </c>
      <c r="EK65" s="63" t="e">
        <f t="shared" ca="1" si="293"/>
        <v>#NUM!</v>
      </c>
      <c r="EL65" s="83" t="str">
        <f>RTD("tos.rtd",,EL$43,"."&amp;$A$43&amp;$AS$42&amp;"C"&amp;$A65)</f>
        <v>--</v>
      </c>
      <c r="EM65" s="83" t="str">
        <f>RTD("tos.rtd",,EM$43,"."&amp;$A$43&amp;$AS$42&amp;"P"&amp;$A65)</f>
        <v>137.14%</v>
      </c>
      <c r="EN65" s="83" t="str">
        <f>RTD("tos.rtd",,EN$2,"."&amp;$A$43&amp;$AU$1&amp;"C"&amp;$A65)</f>
        <v>--</v>
      </c>
      <c r="EO65" s="83" t="str">
        <f>RTD("tos.rtd",,EO$2,"."&amp;$A$43&amp;$AU$1&amp;"P"&amp;$A65)</f>
        <v>137.14%</v>
      </c>
      <c r="EP65" s="83" t="str">
        <f>RTD("tos.rtd",,EP$2,"."&amp;$A$43&amp;$AW$1&amp;"C"&amp;$A65)</f>
        <v>--</v>
      </c>
      <c r="EQ65" s="83" t="str">
        <f>RTD("tos.rtd",,EQ$2,"."&amp;$A$43&amp;$AW$1&amp;"P"&amp;$A65)</f>
        <v>42.22%</v>
      </c>
      <c r="ES65" s="63" t="str">
        <f t="shared" si="274"/>
        <v>482,16211.00</v>
      </c>
      <c r="ET65" s="63" t="str">
        <f t="shared" ca="1" si="275"/>
        <v>482,00.00</v>
      </c>
      <c r="EU65" s="68">
        <v>561</v>
      </c>
      <c r="EV65" s="68" t="s">
        <v>539</v>
      </c>
      <c r="EW65" s="68">
        <v>483.38</v>
      </c>
      <c r="EX65" s="68" t="s">
        <v>540</v>
      </c>
      <c r="EY65" s="68">
        <v>5631.28</v>
      </c>
      <c r="EZ65" s="68" t="s">
        <v>541</v>
      </c>
      <c r="FA65" s="68">
        <v>19867.973000000002</v>
      </c>
      <c r="FB65" s="68" t="s">
        <v>542</v>
      </c>
      <c r="FC65" s="68" t="s">
        <v>543</v>
      </c>
      <c r="FD65" s="68" t="s">
        <v>544</v>
      </c>
      <c r="FE65" s="68" t="s">
        <v>545</v>
      </c>
      <c r="FF65" s="68" t="s">
        <v>546</v>
      </c>
    </row>
    <row r="66" spans="1:162" ht="13.5" thickBot="1" x14ac:dyDescent="0.25">
      <c r="A66" s="2">
        <f t="shared" si="294"/>
        <v>481</v>
      </c>
      <c r="B66" s="3">
        <f t="shared" si="371"/>
        <v>4437</v>
      </c>
      <c r="C66" s="3">
        <f t="shared" si="242"/>
        <v>4539</v>
      </c>
      <c r="D66" s="3">
        <f t="shared" si="372"/>
        <v>1357</v>
      </c>
      <c r="E66" s="3">
        <f t="shared" si="373"/>
        <v>10333</v>
      </c>
      <c r="F66" s="4">
        <f t="shared" si="374"/>
        <v>19845.4460647868</v>
      </c>
      <c r="AM66" s="1">
        <v>8429</v>
      </c>
      <c r="AN66" s="1">
        <v>5738</v>
      </c>
      <c r="AO66" s="1">
        <v>481</v>
      </c>
      <c r="AP66" s="1">
        <v>1438</v>
      </c>
      <c r="AQ66" s="1">
        <v>-29476</v>
      </c>
      <c r="AS66" s="6">
        <f>IF(RTD("tos.rtd",,AS$43,"."&amp;$A$43&amp;$AS$42&amp;"C"&amp;$A66)="N/A",0,RTD("tos.rtd",,AS$43,"."&amp;$A$43&amp;$AS$42&amp;"C"&amp;$A66))</f>
        <v>2276</v>
      </c>
      <c r="AT66" s="7">
        <f>-IF(RTD("tos.rtd",,AT$43,"."&amp;$A$43&amp;$AS$42&amp;"P"&amp;$A66)="N/A",0,RTD("tos.rtd",,AT$43,"."&amp;$A$43&amp;$AS$42&amp;"P"&amp;$A66))</f>
        <v>-2161</v>
      </c>
      <c r="AU66" s="6">
        <f>IF(RTD("tos.rtd",,AU$2,"."&amp;$A$43&amp;$AU$1&amp;"C"&amp;$A66)="N/A",0,RTD("tos.rtd",,AU$2,"."&amp;$A$43&amp;$AU$1&amp;"C"&amp;$A66))</f>
        <v>1987</v>
      </c>
      <c r="AV66" s="7">
        <f>-IF(RTD("tos.rtd",,AV$2,"."&amp;$A$43&amp;$AU$1&amp;"P"&amp;$A66)="N/A",0,RTD("tos.rtd",,AV$2,"."&amp;$A$43&amp;$AU$1&amp;"P"&amp;$A66))</f>
        <v>-2552</v>
      </c>
      <c r="AW66" s="6">
        <f>IF(RTD("tos.rtd",,AW$2,"."&amp;$A$43&amp;$AW$1&amp;"C"&amp;$A66)="N/A",0,RTD("tos.rtd",,AW$2,"."&amp;$A$43&amp;$AW$1&amp;"C"&amp;$A66))</f>
        <v>584</v>
      </c>
      <c r="AX66" s="7">
        <f>-IF(RTD("tos.rtd",,AX$2,"."&amp;$A$43&amp;$AW$1&amp;"P"&amp;$A66)="N/A",0,RTD("tos.rtd",,AX$2,"."&amp;$A$43&amp;$AW$1&amp;"P"&amp;$A66))</f>
        <v>-773</v>
      </c>
      <c r="AY66" s="7">
        <f t="shared" si="375"/>
        <v>-639</v>
      </c>
      <c r="AZ66" s="8">
        <f t="shared" si="245"/>
        <v>481</v>
      </c>
      <c r="BA66" s="6">
        <f>IF(RTD("tos.rtd",,BA$43,"."&amp;$A$43&amp;$AS$42&amp;"C"&amp;$A66)="N/A",0,RTD("tos.rtd",,BA$43,"."&amp;$A$43&amp;$AS$42&amp;"C"&amp;$A66))</f>
        <v>0</v>
      </c>
      <c r="BB66" s="7">
        <f>-IF(RTD("tos.rtd",,BB$43,"."&amp;$A$43&amp;$AS$42&amp;"P"&amp;$A66)="N/A",0,RTD("tos.rtd",,BB$43,"."&amp;$A$43&amp;$AS$42&amp;"P"&amp;$A66))</f>
        <v>0</v>
      </c>
      <c r="BC66" s="6">
        <f>IF(RTD("tos.rtd",,BC$2,"."&amp;$A$43&amp;$AU$1&amp;"C"&amp;$A66)="N/A",0,RTD("tos.rtd",,BC$2,"."&amp;$A$43&amp;$AU$1&amp;"C"&amp;$A66))</f>
        <v>559</v>
      </c>
      <c r="BD66" s="7">
        <f>-IF(RTD("tos.rtd",,BD$2,"."&amp;$A$43&amp;$AU$1&amp;"P"&amp;$A66)="N/A",0,RTD("tos.rtd",,BD$2,"."&amp;$A$43&amp;$AU$1&amp;"P"&amp;$A66))</f>
        <v>-9331</v>
      </c>
      <c r="BE66" s="6">
        <f>IF(RTD("tos.rtd",,BE$2,"."&amp;$A$43&amp;$AW$1&amp;"C"&amp;$A66)="N/A",0,RTD("tos.rtd",,BE$2,"."&amp;$A$43&amp;$AW$1&amp;"C"&amp;$A66))</f>
        <v>70</v>
      </c>
      <c r="BF66" s="7">
        <f>-IF(RTD("tos.rtd",,BF$2,"."&amp;$A$43&amp;$AW$1&amp;"P"&amp;$A66)="N/A",0,RTD("tos.rtd",,BF$2,"."&amp;$A$43&amp;$AW$1&amp;"P"&amp;$A66))</f>
        <v>-367</v>
      </c>
      <c r="BG66" s="32">
        <f ca="1">+Hoja2!Y67</f>
        <v>-263</v>
      </c>
      <c r="BH66" s="7">
        <f t="shared" ca="1" si="277"/>
        <v>-9332</v>
      </c>
      <c r="BI66" s="8" t="str">
        <f t="shared" ca="1" si="295"/>
        <v/>
      </c>
      <c r="BJ66" s="83" t="e">
        <f ca="1">IF($BP$1=1,DX66,IF(RTD("tos.rtd",,BJ$43,"."&amp;$A$43&amp;$AS$42&amp;"C"&amp;$A66)="N/A",0,RTD("tos.rtd",,BJ$43,"."&amp;$A$43&amp;$AS$42&amp;"C"&amp;$A66)))</f>
        <v>#NUM!</v>
      </c>
      <c r="BK66" s="83" t="e">
        <f ca="1">IF($BP$1=1,DY66,-IF(RTD("tos.rtd",,BK$43,"."&amp;$A$43&amp;$AS$42&amp;"P"&amp;$A66)="N/A",0,RTD("tos.rtd",,BK$43,"."&amp;$A$43&amp;$AS$42&amp;"P"&amp;$A66)))</f>
        <v>#NUM!</v>
      </c>
      <c r="BL66" s="83" t="e">
        <f ca="1">IF($BP$1=1,DZ66,IF(RTD("tos.rtd",,BL$2,"."&amp;$A$43&amp;$AU$1&amp;"C"&amp;$A66)="N/A",0,RTD("tos.rtd",,BL$2,"."&amp;$A$43&amp;$AU$1&amp;"C"&amp;$A66)))</f>
        <v>#NUM!</v>
      </c>
      <c r="BM66" s="83" t="e">
        <f ca="1">IF($BP$1=1,EA66,-IF(RTD("tos.rtd",,BM$2,"."&amp;$A$43&amp;$AU$1&amp;"P"&amp;$A66)="N/A",0,RTD("tos.rtd",,BM$2,"."&amp;$A$43&amp;$AU$1&amp;"P"&amp;$A66)))</f>
        <v>#NUM!</v>
      </c>
      <c r="BN66" s="83" t="e">
        <f ca="1">IF($BP$1=1,EB66,IF(RTD("tos.rtd",,BN$2,"."&amp;$A$43&amp;$AW$1&amp;"C"&amp;$A66)="N/A",0,RTD("tos.rtd",,BN$2,"."&amp;$A$43&amp;$AW$1&amp;"C"&amp;$A66)))</f>
        <v>#NUM!</v>
      </c>
      <c r="BO66" s="83" t="e">
        <f ca="1">IF($BP$1=1,EC66,-IF(RTD("tos.rtd",,BO$2,"."&amp;$A$43&amp;$AW$1&amp;"P"&amp;$A66)="N/A",0,RTD("tos.rtd",,BO$2,"."&amp;$A$43&amp;$AW$1&amp;"P"&amp;$A66)))</f>
        <v>#NUM!</v>
      </c>
      <c r="BQ66" s="83" t="e">
        <f t="shared" ca="1" si="376"/>
        <v>#NUM!</v>
      </c>
      <c r="BR66" s="3" t="e">
        <f t="shared" ca="1" si="279"/>
        <v>#NUM!</v>
      </c>
      <c r="BS66" s="83" t="e">
        <f t="shared" ca="1" si="377"/>
        <v>#NUM!</v>
      </c>
      <c r="BT66" s="3" t="e">
        <f t="shared" ca="1" si="281"/>
        <v>#NUM!</v>
      </c>
      <c r="BU66" s="83" t="e">
        <f t="shared" ca="1" si="378"/>
        <v>#NUM!</v>
      </c>
      <c r="BV66" s="83"/>
      <c r="BX66" s="83" t="e">
        <f t="shared" ca="1" si="379"/>
        <v>#NUM!</v>
      </c>
      <c r="BY66" s="83" t="e">
        <f t="shared" ca="1" si="296"/>
        <v>#NUM!</v>
      </c>
      <c r="BZ66" s="83" t="e">
        <f t="shared" ca="1" si="380"/>
        <v>#NUM!</v>
      </c>
      <c r="CA66" s="83" t="e">
        <f t="shared" ca="1" si="296"/>
        <v>#NUM!</v>
      </c>
      <c r="CB66" s="83" t="e">
        <f t="shared" ca="1" si="381"/>
        <v>#NUM!</v>
      </c>
      <c r="CC66" s="83" t="e">
        <f t="shared" ca="1" si="296"/>
        <v>#NUM!</v>
      </c>
      <c r="CD66" s="83">
        <f>IF(RTD("tos.rtd",,CD$43,"."&amp;$A$43&amp;$AS$42&amp;"C"&amp;$A66)="N/A",0,RTD("tos.rtd",,CD$43,"."&amp;$A$43&amp;$AS$42&amp;"C"&amp;$A66))</f>
        <v>1</v>
      </c>
      <c r="CE66" s="83">
        <f>-IF(RTD("tos.rtd",,CE$43,"."&amp;$A$43&amp;$AS$42&amp;"P"&amp;$A66)="N/A",0,RTD("tos.rtd",,CE$43,"."&amp;$A$43&amp;$AS$42&amp;"P"&amp;$A66))</f>
        <v>0</v>
      </c>
      <c r="CF66" s="83">
        <f>IF(RTD("tos.rtd",,CF$2,"."&amp;$A$43&amp;$AU$1&amp;"C"&amp;$A66)="N/A",0,RTD("tos.rtd",,CF$2,"."&amp;$A$43&amp;$AU$1&amp;"C"&amp;$A66))</f>
        <v>1</v>
      </c>
      <c r="CG66" s="83">
        <f>-IF(RTD("tos.rtd",,CG$2,"."&amp;$A$43&amp;$AU$1&amp;"P"&amp;$A66)="N/A",0,RTD("tos.rtd",,CG$2,"."&amp;$A$43&amp;$AU$1&amp;"P"&amp;$A66))</f>
        <v>0</v>
      </c>
      <c r="CH66" s="83">
        <f>IF(RTD("tos.rtd",,CH$2,"."&amp;$A$43&amp;$AW$1&amp;"C"&amp;$A66)="N/A",0,RTD("tos.rtd",,CH$2,"."&amp;$A$43&amp;$AW$1&amp;"C"&amp;$A66))</f>
        <v>1</v>
      </c>
      <c r="CI66" s="83">
        <f>-IF(RTD("tos.rtd",,CI$2,"."&amp;$A$43&amp;$AW$1&amp;"P"&amp;$A66)="N/A",0,RTD("tos.rtd",,CI$2,"."&amp;$A$43&amp;$AW$1&amp;"P"&amp;$A66))</f>
        <v>0.25</v>
      </c>
      <c r="CK66" s="83">
        <f t="shared" si="382"/>
        <v>227600</v>
      </c>
      <c r="CL66" s="83"/>
      <c r="CM66" s="83">
        <f t="shared" si="383"/>
        <v>198700</v>
      </c>
      <c r="CN66" s="83"/>
      <c r="CO66" s="83">
        <f t="shared" si="384"/>
        <v>39075</v>
      </c>
      <c r="CP66" s="83">
        <f t="shared" si="385"/>
        <v>465375</v>
      </c>
      <c r="CQ66" s="83">
        <f t="shared" si="386"/>
        <v>0</v>
      </c>
      <c r="CR66" s="83"/>
      <c r="CS66" s="83">
        <f t="shared" si="387"/>
        <v>-8772</v>
      </c>
      <c r="CT66" s="83"/>
      <c r="CU66" s="83">
        <f t="shared" si="388"/>
        <v>-297</v>
      </c>
      <c r="CV66" s="83"/>
      <c r="CW66" s="83" t="e">
        <f t="shared" ca="1" si="389"/>
        <v>#NUM!</v>
      </c>
      <c r="CY66" s="83" t="e">
        <f t="shared" ca="1" si="390"/>
        <v>#NUM!</v>
      </c>
      <c r="CZ66" s="70" t="e">
        <f t="shared" ca="1" si="297"/>
        <v>#NUM!</v>
      </c>
      <c r="DA66" s="83">
        <f>IF(RTD("tos.rtd",,DA$43,"."&amp;$A$43&amp;$AS$42&amp;"C"&amp;$A66)="N/A",0,RTD("tos.rtd",,DA$43,"."&amp;$A$43&amp;$AS$42&amp;"C"&amp;$A66))</f>
        <v>7.34</v>
      </c>
      <c r="DB66" s="83">
        <f>IF(RTD("tos.rtd",,DB$43,"."&amp;$A$43&amp;$AS$42&amp;"P"&amp;$A66)="N/A",0,RTD("tos.rtd",,DB$43,"."&amp;$A$43&amp;$AS$42&amp;"P"&amp;$A66))</f>
        <v>0.01</v>
      </c>
      <c r="DC66" s="83">
        <f>IF(RTD("tos.rtd",,DC$43,"."&amp;$A$43&amp;$AS$42&amp;"C"&amp;$A66)="N/A",0,RTD("tos.rtd",,DC$43,"."&amp;$A$43&amp;$AS$42&amp;"C"&amp;$A66))</f>
        <v>9.19</v>
      </c>
      <c r="DD66" s="83">
        <f>IF(RTD("tos.rtd",,DD$43,"."&amp;$A$43&amp;$AS$42&amp;"P"&amp;$A66)="N/A",0,RTD("tos.rtd",,DD$43,"."&amp;$A$43&amp;$AS$42&amp;"P"&amp;$A66))</f>
        <v>0.01</v>
      </c>
      <c r="DE66" s="83">
        <f>IF(RTD("tos.rtd",,DE$43,"."&amp;$A$43&amp;$AS$42&amp;"C"&amp;$A66)="N/A",0,RTD("tos.rtd",,DE$43,"."&amp;$A$43&amp;$AS$42&amp;"C"&amp;$A66))</f>
        <v>5.65</v>
      </c>
      <c r="DF66" s="83">
        <f>IF(RTD("tos.rtd",,DF$43,"."&amp;$A$43&amp;$AS$42&amp;"P"&amp;$A66)="N/A",0,RTD("tos.rtd",,DF$43,"."&amp;$A$43&amp;$AS$42&amp;"P"&amp;$A66))</f>
        <v>0</v>
      </c>
      <c r="DG66" s="86">
        <f t="shared" si="289"/>
        <v>-14.779999999999973</v>
      </c>
      <c r="DH66" s="83">
        <f t="shared" si="391"/>
        <v>-686.50282485875709</v>
      </c>
      <c r="DI66" s="83">
        <f t="shared" si="392"/>
        <v>29476</v>
      </c>
      <c r="DJ66" s="83">
        <f t="shared" si="393"/>
        <v>0</v>
      </c>
      <c r="DK66" s="83">
        <f t="shared" si="257"/>
        <v>29476</v>
      </c>
      <c r="DL66" s="83">
        <f t="shared" si="258"/>
        <v>28789.497175141241</v>
      </c>
      <c r="DM66" s="83">
        <f t="shared" si="259"/>
        <v>29476</v>
      </c>
      <c r="DN66" s="64" t="str">
        <f t="shared" si="260"/>
        <v>UNKNOWN</v>
      </c>
      <c r="DO66" s="64" t="str">
        <f t="shared" si="261"/>
        <v>UNKNOWN</v>
      </c>
      <c r="DP66" s="83">
        <f t="shared" si="262"/>
        <v>-4744.1707344632769</v>
      </c>
      <c r="DQ66" s="83">
        <f t="shared" si="263"/>
        <v>294.76</v>
      </c>
      <c r="DR66" s="83" t="e">
        <f t="shared" ca="1" si="264"/>
        <v>#NUM!</v>
      </c>
      <c r="DS66" s="83">
        <f t="shared" si="265"/>
        <v>0</v>
      </c>
      <c r="DT66" s="83">
        <f t="shared" si="290"/>
        <v>-1438</v>
      </c>
      <c r="DU66" s="83">
        <f t="shared" si="291"/>
        <v>29476</v>
      </c>
      <c r="DV66" s="83">
        <f t="shared" si="266"/>
        <v>8429</v>
      </c>
      <c r="DW66" s="83">
        <f t="shared" si="267"/>
        <v>5738</v>
      </c>
      <c r="DX66" s="83" t="e">
        <f t="shared" ca="1" si="394"/>
        <v>#NUM!</v>
      </c>
      <c r="DY66" s="83" t="e">
        <f t="shared" ca="1" si="395"/>
        <v>#NUM!</v>
      </c>
      <c r="DZ66" s="83" t="e">
        <f t="shared" ca="1" si="396"/>
        <v>#NUM!</v>
      </c>
      <c r="EA66" s="83" t="e">
        <f t="shared" ca="1" si="397"/>
        <v>#NUM!</v>
      </c>
      <c r="EB66" s="83" t="e">
        <f t="shared" ca="1" si="398"/>
        <v>#NUM!</v>
      </c>
      <c r="EC66" s="83" t="e">
        <f t="shared" ca="1" si="399"/>
        <v>#NUM!</v>
      </c>
      <c r="ED66" s="63">
        <f t="shared" si="292"/>
        <v>14167</v>
      </c>
      <c r="EE66" s="84">
        <f t="shared" si="400"/>
        <v>0.25</v>
      </c>
      <c r="EF66" s="84">
        <f t="shared" si="401"/>
        <v>1.4621999999999999</v>
      </c>
      <c r="EG66" s="84">
        <f t="shared" si="402"/>
        <v>0.25</v>
      </c>
      <c r="EH66" s="84">
        <f t="shared" si="403"/>
        <v>1.4621999999999999</v>
      </c>
      <c r="EI66" s="84">
        <f t="shared" si="404"/>
        <v>0.25</v>
      </c>
      <c r="EJ66" s="84">
        <f t="shared" si="405"/>
        <v>0.4199</v>
      </c>
      <c r="EK66" s="63" t="e">
        <f t="shared" ca="1" si="293"/>
        <v>#NUM!</v>
      </c>
      <c r="EL66" s="83" t="str">
        <f>RTD("tos.rtd",,EL$43,"."&amp;$A$43&amp;$AS$42&amp;"C"&amp;$A66)</f>
        <v>--</v>
      </c>
      <c r="EM66" s="83" t="str">
        <f>RTD("tos.rtd",,EM$43,"."&amp;$A$43&amp;$AS$42&amp;"P"&amp;$A66)</f>
        <v>146.22%</v>
      </c>
      <c r="EN66" s="83" t="str">
        <f>RTD("tos.rtd",,EN$2,"."&amp;$A$43&amp;$AU$1&amp;"C"&amp;$A66)</f>
        <v>--</v>
      </c>
      <c r="EO66" s="83" t="str">
        <f>RTD("tos.rtd",,EO$2,"."&amp;$A$43&amp;$AU$1&amp;"P"&amp;$A66)</f>
        <v>146.22%</v>
      </c>
      <c r="EP66" s="83" t="str">
        <f>RTD("tos.rtd",,EP$2,"."&amp;$A$43&amp;$AW$1&amp;"C"&amp;$A66)</f>
        <v>--</v>
      </c>
      <c r="EQ66" s="83" t="str">
        <f>RTD("tos.rtd",,EQ$2,"."&amp;$A$43&amp;$AW$1&amp;"P"&amp;$A66)</f>
        <v>41.99%</v>
      </c>
      <c r="ES66" s="63" t="str">
        <f t="shared" si="274"/>
        <v>481,14167.00</v>
      </c>
      <c r="ET66" s="63" t="str">
        <f t="shared" ca="1" si="275"/>
        <v>481,00.00</v>
      </c>
      <c r="EU66" s="68">
        <v>561.08000000000004</v>
      </c>
      <c r="EV66" s="68" t="s">
        <v>547</v>
      </c>
      <c r="EW66" s="68">
        <v>483.38</v>
      </c>
      <c r="EX66" s="68" t="s">
        <v>548</v>
      </c>
      <c r="EY66" s="68">
        <v>5631.28</v>
      </c>
      <c r="EZ66" s="68" t="s">
        <v>549</v>
      </c>
      <c r="FA66" s="68">
        <v>19867.973000000002</v>
      </c>
      <c r="FB66" s="68" t="s">
        <v>550</v>
      </c>
      <c r="FC66" s="68" t="s">
        <v>551</v>
      </c>
      <c r="FD66" s="68" t="s">
        <v>552</v>
      </c>
      <c r="FE66" s="68" t="s">
        <v>553</v>
      </c>
      <c r="FF66" s="68" t="s">
        <v>554</v>
      </c>
    </row>
    <row r="67" spans="1:162" ht="13.5" thickBot="1" x14ac:dyDescent="0.25">
      <c r="A67" s="2">
        <f t="shared" si="294"/>
        <v>480</v>
      </c>
      <c r="B67" s="3">
        <f t="shared" si="371"/>
        <v>7626</v>
      </c>
      <c r="C67" s="3">
        <f t="shared" si="242"/>
        <v>14750</v>
      </c>
      <c r="D67" s="3">
        <f t="shared" si="372"/>
        <v>56953</v>
      </c>
      <c r="E67" s="3">
        <f t="shared" si="373"/>
        <v>79329</v>
      </c>
      <c r="F67" s="4">
        <f t="shared" si="374"/>
        <v>19804.187341159384</v>
      </c>
      <c r="AM67" s="1">
        <v>-3064</v>
      </c>
      <c r="AN67" s="1">
        <v>-9267</v>
      </c>
      <c r="AO67" s="1">
        <v>480</v>
      </c>
      <c r="AP67" s="1">
        <v>2194</v>
      </c>
      <c r="AQ67" s="1">
        <v>-46480</v>
      </c>
      <c r="AS67" s="6">
        <f>IF(RTD("tos.rtd",,AS$43,"."&amp;$A$43&amp;$AS$42&amp;"C"&amp;$A67)="N/A",0,RTD("tos.rtd",,AS$43,"."&amp;$A$43&amp;$AS$42&amp;"C"&amp;$A67))</f>
        <v>2821</v>
      </c>
      <c r="AT67" s="7">
        <f>-IF(RTD("tos.rtd",,AT$43,"."&amp;$A$43&amp;$AS$42&amp;"P"&amp;$A67)="N/A",0,RTD("tos.rtd",,AT$43,"."&amp;$A$43&amp;$AS$42&amp;"P"&amp;$A67))</f>
        <v>-4805</v>
      </c>
      <c r="AU67" s="6">
        <f>IF(RTD("tos.rtd",,AU$2,"."&amp;$A$43&amp;$AU$1&amp;"C"&amp;$A67)="N/A",0,RTD("tos.rtd",,AU$2,"."&amp;$A$43&amp;$AU$1&amp;"C"&amp;$A67))</f>
        <v>3923</v>
      </c>
      <c r="AV67" s="7">
        <f>-IF(RTD("tos.rtd",,AV$2,"."&amp;$A$43&amp;$AU$1&amp;"P"&amp;$A67)="N/A",0,RTD("tos.rtd",,AV$2,"."&amp;$A$43&amp;$AU$1&amp;"P"&amp;$A67))</f>
        <v>-10827</v>
      </c>
      <c r="AW67" s="6">
        <f>IF(RTD("tos.rtd",,AW$2,"."&amp;$A$43&amp;$AW$1&amp;"C"&amp;$A67)="N/A",0,RTD("tos.rtd",,AW$2,"."&amp;$A$43&amp;$AW$1&amp;"C"&amp;$A67))</f>
        <v>29641</v>
      </c>
      <c r="AX67" s="7">
        <f>-IF(RTD("tos.rtd",,AX$2,"."&amp;$A$43&amp;$AW$1&amp;"P"&amp;$A67)="N/A",0,RTD("tos.rtd",,AX$2,"."&amp;$A$43&amp;$AW$1&amp;"P"&amp;$A67))</f>
        <v>-27312</v>
      </c>
      <c r="AY67" s="7">
        <f t="shared" si="375"/>
        <v>-6559</v>
      </c>
      <c r="AZ67" s="8">
        <f t="shared" si="245"/>
        <v>480</v>
      </c>
      <c r="BA67" s="6">
        <f>IF(RTD("tos.rtd",,BA$43,"."&amp;$A$43&amp;$AS$42&amp;"C"&amp;$A67)="N/A",0,RTD("tos.rtd",,BA$43,"."&amp;$A$43&amp;$AS$42&amp;"C"&amp;$A67))</f>
        <v>0</v>
      </c>
      <c r="BB67" s="7">
        <f>-IF(RTD("tos.rtd",,BB$43,"."&amp;$A$43&amp;$AS$42&amp;"P"&amp;$A67)="N/A",0,RTD("tos.rtd",,BB$43,"."&amp;$A$43&amp;$AS$42&amp;"P"&amp;$A67))</f>
        <v>0</v>
      </c>
      <c r="BC67" s="6">
        <f>IF(RTD("tos.rtd",,BC$2,"."&amp;$A$43&amp;$AU$1&amp;"C"&amp;$A67)="N/A",0,RTD("tos.rtd",,BC$2,"."&amp;$A$43&amp;$AU$1&amp;"C"&amp;$A67))</f>
        <v>2151</v>
      </c>
      <c r="BD67" s="7">
        <f>-IF(RTD("tos.rtd",,BD$2,"."&amp;$A$43&amp;$AU$1&amp;"P"&amp;$A67)="N/A",0,RTD("tos.rtd",,BD$2,"."&amp;$A$43&amp;$AU$1&amp;"P"&amp;$A67))</f>
        <v>-29076</v>
      </c>
      <c r="BE67" s="6">
        <f>IF(RTD("tos.rtd",,BE$2,"."&amp;$A$43&amp;$AW$1&amp;"C"&amp;$A67)="N/A",0,RTD("tos.rtd",,BE$2,"."&amp;$A$43&amp;$AW$1&amp;"C"&amp;$A67))</f>
        <v>2188</v>
      </c>
      <c r="BF67" s="7">
        <f>-IF(RTD("tos.rtd",,BF$2,"."&amp;$A$43&amp;$AW$1&amp;"P"&amp;$A67)="N/A",0,RTD("tos.rtd",,BF$2,"."&amp;$A$43&amp;$AW$1&amp;"P"&amp;$A67))</f>
        <v>-12274</v>
      </c>
      <c r="BG67" s="32">
        <f ca="1">+Hoja2!Y68</f>
        <v>-16327</v>
      </c>
      <c r="BH67" s="7">
        <f t="shared" ca="1" si="277"/>
        <v>-53338</v>
      </c>
      <c r="BI67" s="8" t="str">
        <f t="shared" ca="1" si="295"/>
        <v/>
      </c>
      <c r="BJ67" s="83" t="e">
        <f ca="1">IF($BP$1=1,DX67,IF(RTD("tos.rtd",,BJ$43,"."&amp;$A$43&amp;$AS$42&amp;"C"&amp;$A67)="N/A",0,RTD("tos.rtd",,BJ$43,"."&amp;$A$43&amp;$AS$42&amp;"C"&amp;$A67)))</f>
        <v>#NUM!</v>
      </c>
      <c r="BK67" s="83" t="e">
        <f ca="1">IF($BP$1=1,DY67,-IF(RTD("tos.rtd",,BK$43,"."&amp;$A$43&amp;$AS$42&amp;"P"&amp;$A67)="N/A",0,RTD("tos.rtd",,BK$43,"."&amp;$A$43&amp;$AS$42&amp;"P"&amp;$A67)))</f>
        <v>#NUM!</v>
      </c>
      <c r="BL67" s="83" t="e">
        <f ca="1">IF($BP$1=1,DZ67,IF(RTD("tos.rtd",,BL$2,"."&amp;$A$43&amp;$AU$1&amp;"C"&amp;$A67)="N/A",0,RTD("tos.rtd",,BL$2,"."&amp;$A$43&amp;$AU$1&amp;"C"&amp;$A67)))</f>
        <v>#NUM!</v>
      </c>
      <c r="BM67" s="83" t="e">
        <f ca="1">IF($BP$1=1,EA67,-IF(RTD("tos.rtd",,BM$2,"."&amp;$A$43&amp;$AU$1&amp;"P"&amp;$A67)="N/A",0,RTD("tos.rtd",,BM$2,"."&amp;$A$43&amp;$AU$1&amp;"P"&amp;$A67)))</f>
        <v>#NUM!</v>
      </c>
      <c r="BN67" s="83" t="e">
        <f ca="1">IF($BP$1=1,EB67,IF(RTD("tos.rtd",,BN$2,"."&amp;$A$43&amp;$AW$1&amp;"C"&amp;$A67)="N/A",0,RTD("tos.rtd",,BN$2,"."&amp;$A$43&amp;$AW$1&amp;"C"&amp;$A67)))</f>
        <v>#NUM!</v>
      </c>
      <c r="BO67" s="83" t="e">
        <f ca="1">IF($BP$1=1,EC67,-IF(RTD("tos.rtd",,BO$2,"."&amp;$A$43&amp;$AW$1&amp;"P"&amp;$A67)="N/A",0,RTD("tos.rtd",,BO$2,"."&amp;$A$43&amp;$AW$1&amp;"P"&amp;$A67)))</f>
        <v>#NUM!</v>
      </c>
      <c r="BQ67" s="83" t="e">
        <f t="shared" ca="1" si="376"/>
        <v>#NUM!</v>
      </c>
      <c r="BR67" s="3" t="e">
        <f t="shared" ca="1" si="279"/>
        <v>#NUM!</v>
      </c>
      <c r="BS67" s="83" t="e">
        <f t="shared" ca="1" si="377"/>
        <v>#NUM!</v>
      </c>
      <c r="BT67" s="3" t="e">
        <f t="shared" ca="1" si="281"/>
        <v>#NUM!</v>
      </c>
      <c r="BU67" s="83" t="e">
        <f t="shared" ca="1" si="378"/>
        <v>#NUM!</v>
      </c>
      <c r="BV67" s="83"/>
      <c r="BX67" s="83" t="e">
        <f t="shared" ca="1" si="379"/>
        <v>#NUM!</v>
      </c>
      <c r="BY67" s="83" t="e">
        <f t="shared" ca="1" si="296"/>
        <v>#NUM!</v>
      </c>
      <c r="BZ67" s="83" t="e">
        <f t="shared" ca="1" si="380"/>
        <v>#NUM!</v>
      </c>
      <c r="CA67" s="83" t="e">
        <f t="shared" ca="1" si="296"/>
        <v>#NUM!</v>
      </c>
      <c r="CB67" s="83" t="e">
        <f t="shared" ca="1" si="381"/>
        <v>#NUM!</v>
      </c>
      <c r="CC67" s="83" t="e">
        <f t="shared" ca="1" si="296"/>
        <v>#NUM!</v>
      </c>
      <c r="CD67" s="83">
        <f>IF(RTD("tos.rtd",,CD$43,"."&amp;$A$43&amp;$AS$42&amp;"C"&amp;$A67)="N/A",0,RTD("tos.rtd",,CD$43,"."&amp;$A$43&amp;$AS$42&amp;"C"&amp;$A67))</f>
        <v>1</v>
      </c>
      <c r="CE67" s="83">
        <f>-IF(RTD("tos.rtd",,CE$43,"."&amp;$A$43&amp;$AS$42&amp;"P"&amp;$A67)="N/A",0,RTD("tos.rtd",,CE$43,"."&amp;$A$43&amp;$AS$42&amp;"P"&amp;$A67))</f>
        <v>0</v>
      </c>
      <c r="CF67" s="83">
        <f>IF(RTD("tos.rtd",,CF$2,"."&amp;$A$43&amp;$AU$1&amp;"C"&amp;$A67)="N/A",0,RTD("tos.rtd",,CF$2,"."&amp;$A$43&amp;$AU$1&amp;"C"&amp;$A67))</f>
        <v>1</v>
      </c>
      <c r="CG67" s="83">
        <f>-IF(RTD("tos.rtd",,CG$2,"."&amp;$A$43&amp;$AU$1&amp;"P"&amp;$A67)="N/A",0,RTD("tos.rtd",,CG$2,"."&amp;$A$43&amp;$AU$1&amp;"P"&amp;$A67))</f>
        <v>0</v>
      </c>
      <c r="CH67" s="83">
        <f>IF(RTD("tos.rtd",,CH$2,"."&amp;$A$43&amp;$AW$1&amp;"C"&amp;$A67)="N/A",0,RTD("tos.rtd",,CH$2,"."&amp;$A$43&amp;$AW$1&amp;"C"&amp;$A67))</f>
        <v>1</v>
      </c>
      <c r="CI67" s="83">
        <f>-IF(RTD("tos.rtd",,CI$2,"."&amp;$A$43&amp;$AW$1&amp;"P"&amp;$A67)="N/A",0,RTD("tos.rtd",,CI$2,"."&amp;$A$43&amp;$AW$1&amp;"P"&amp;$A67))</f>
        <v>0.24</v>
      </c>
      <c r="CK67" s="83">
        <f t="shared" si="382"/>
        <v>282100</v>
      </c>
      <c r="CL67" s="83"/>
      <c r="CM67" s="83">
        <f t="shared" si="383"/>
        <v>392300</v>
      </c>
      <c r="CN67" s="83"/>
      <c r="CO67" s="83">
        <f t="shared" si="384"/>
        <v>2308612</v>
      </c>
      <c r="CP67" s="83">
        <f t="shared" si="385"/>
        <v>2983012</v>
      </c>
      <c r="CQ67" s="83">
        <f t="shared" si="386"/>
        <v>0</v>
      </c>
      <c r="CR67" s="83"/>
      <c r="CS67" s="83">
        <f t="shared" si="387"/>
        <v>-26925</v>
      </c>
      <c r="CT67" s="83"/>
      <c r="CU67" s="83">
        <f t="shared" si="388"/>
        <v>-10086</v>
      </c>
      <c r="CV67" s="83"/>
      <c r="CW67" s="83" t="e">
        <f t="shared" ca="1" si="389"/>
        <v>#NUM!</v>
      </c>
      <c r="CY67" s="83" t="e">
        <f t="shared" ca="1" si="390"/>
        <v>#NUM!</v>
      </c>
      <c r="CZ67" s="70" t="e">
        <f t="shared" ca="1" si="297"/>
        <v>#NUM!</v>
      </c>
      <c r="DA67" s="83">
        <f>IF(RTD("tos.rtd",,DA$43,"."&amp;$A$43&amp;$AS$42&amp;"C"&amp;$A67)="N/A",0,RTD("tos.rtd",,DA$43,"."&amp;$A$43&amp;$AS$42&amp;"C"&amp;$A67))</f>
        <v>8.36</v>
      </c>
      <c r="DB67" s="83">
        <f>IF(RTD("tos.rtd",,DB$43,"."&amp;$A$43&amp;$AS$42&amp;"P"&amp;$A67)="N/A",0,RTD("tos.rtd",,DB$43,"."&amp;$A$43&amp;$AS$42&amp;"P"&amp;$A67))</f>
        <v>0.01</v>
      </c>
      <c r="DC67" s="83">
        <f>IF(RTD("tos.rtd",,DC$43,"."&amp;$A$43&amp;$AS$42&amp;"C"&amp;$A67)="N/A",0,RTD("tos.rtd",,DC$43,"."&amp;$A$43&amp;$AS$42&amp;"C"&amp;$A67))</f>
        <v>10.19</v>
      </c>
      <c r="DD67" s="83">
        <f>IF(RTD("tos.rtd",,DD$43,"."&amp;$A$43&amp;$AS$42&amp;"P"&amp;$A67)="N/A",0,RTD("tos.rtd",,DD$43,"."&amp;$A$43&amp;$AS$42&amp;"P"&amp;$A67))</f>
        <v>0.01</v>
      </c>
      <c r="DE67" s="83">
        <f>IF(RTD("tos.rtd",,DE$43,"."&amp;$A$43&amp;$AS$42&amp;"C"&amp;$A67)="N/A",0,RTD("tos.rtd",,DE$43,"."&amp;$A$43&amp;$AS$42&amp;"C"&amp;$A67))</f>
        <v>6.65</v>
      </c>
      <c r="DF67" s="83">
        <f>IF(RTD("tos.rtd",,DF$43,"."&amp;$A$43&amp;$AS$42&amp;"P"&amp;$A67)="N/A",0,RTD("tos.rtd",,DF$43,"."&amp;$A$43&amp;$AS$42&amp;"P"&amp;$A67))</f>
        <v>0</v>
      </c>
      <c r="DG67" s="86">
        <f t="shared" si="289"/>
        <v>-15.779999999999973</v>
      </c>
      <c r="DH67" s="83">
        <f t="shared" si="391"/>
        <v>-1059.8135593220336</v>
      </c>
      <c r="DI67" s="83">
        <f t="shared" si="392"/>
        <v>46480</v>
      </c>
      <c r="DJ67" s="83">
        <f t="shared" si="393"/>
        <v>0</v>
      </c>
      <c r="DK67" s="83">
        <f t="shared" si="257"/>
        <v>46480</v>
      </c>
      <c r="DL67" s="83">
        <f t="shared" si="258"/>
        <v>45420.186440677964</v>
      </c>
      <c r="DM67" s="83">
        <f t="shared" si="259"/>
        <v>46480</v>
      </c>
      <c r="DN67" s="64" t="str">
        <f t="shared" si="260"/>
        <v>UNKNOWN</v>
      </c>
      <c r="DO67" s="64" t="str">
        <f t="shared" si="261"/>
        <v>UNKNOWN</v>
      </c>
      <c r="DP67" s="83">
        <f t="shared" si="262"/>
        <v>-8395.2413559322013</v>
      </c>
      <c r="DQ67" s="83">
        <f t="shared" si="263"/>
        <v>464.8</v>
      </c>
      <c r="DR67" s="83" t="e">
        <f t="shared" ca="1" si="264"/>
        <v>#NUM!</v>
      </c>
      <c r="DS67" s="83">
        <f t="shared" si="265"/>
        <v>0</v>
      </c>
      <c r="DT67" s="83">
        <f t="shared" si="290"/>
        <v>-2194</v>
      </c>
      <c r="DU67" s="83">
        <f t="shared" si="291"/>
        <v>46480</v>
      </c>
      <c r="DV67" s="83">
        <f t="shared" si="266"/>
        <v>-3064</v>
      </c>
      <c r="DW67" s="83">
        <f t="shared" si="267"/>
        <v>-9267</v>
      </c>
      <c r="DX67" s="83" t="e">
        <f t="shared" ca="1" si="394"/>
        <v>#NUM!</v>
      </c>
      <c r="DY67" s="83" t="e">
        <f t="shared" ca="1" si="395"/>
        <v>#NUM!</v>
      </c>
      <c r="DZ67" s="83" t="e">
        <f t="shared" ca="1" si="396"/>
        <v>#NUM!</v>
      </c>
      <c r="EA67" s="83" t="e">
        <f t="shared" ca="1" si="397"/>
        <v>#NUM!</v>
      </c>
      <c r="EB67" s="83" t="e">
        <f t="shared" ca="1" si="398"/>
        <v>#NUM!</v>
      </c>
      <c r="EC67" s="83" t="e">
        <f t="shared" ca="1" si="399"/>
        <v>#NUM!</v>
      </c>
      <c r="ED67" s="63">
        <f t="shared" si="292"/>
        <v>-12331</v>
      </c>
      <c r="EE67" s="84">
        <f t="shared" si="400"/>
        <v>0.25</v>
      </c>
      <c r="EF67" s="84">
        <f t="shared" si="401"/>
        <v>1.5526</v>
      </c>
      <c r="EG67" s="84">
        <f t="shared" si="402"/>
        <v>0.25</v>
      </c>
      <c r="EH67" s="84">
        <f t="shared" si="403"/>
        <v>1.5526</v>
      </c>
      <c r="EI67" s="84">
        <f t="shared" si="404"/>
        <v>0.25</v>
      </c>
      <c r="EJ67" s="84">
        <f t="shared" si="405"/>
        <v>0.41760000000000003</v>
      </c>
      <c r="EK67" s="63" t="e">
        <f t="shared" ca="1" si="293"/>
        <v>#NUM!</v>
      </c>
      <c r="EL67" s="83" t="str">
        <f>RTD("tos.rtd",,EL$43,"."&amp;$A$43&amp;$AS$42&amp;"C"&amp;$A67)</f>
        <v>--</v>
      </c>
      <c r="EM67" s="83" t="str">
        <f>RTD("tos.rtd",,EM$43,"."&amp;$A$43&amp;$AS$42&amp;"P"&amp;$A67)</f>
        <v>155.26%</v>
      </c>
      <c r="EN67" s="83" t="str">
        <f>RTD("tos.rtd",,EN$2,"."&amp;$A$43&amp;$AU$1&amp;"C"&amp;$A67)</f>
        <v>--</v>
      </c>
      <c r="EO67" s="83" t="str">
        <f>RTD("tos.rtd",,EO$2,"."&amp;$A$43&amp;$AU$1&amp;"P"&amp;$A67)</f>
        <v>155.26%</v>
      </c>
      <c r="EP67" s="83" t="str">
        <f>RTD("tos.rtd",,EP$2,"."&amp;$A$43&amp;$AW$1&amp;"C"&amp;$A67)</f>
        <v>--</v>
      </c>
      <c r="EQ67" s="83" t="str">
        <f>RTD("tos.rtd",,EQ$2,"."&amp;$A$43&amp;$AW$1&amp;"P"&amp;$A67)</f>
        <v>41.76%</v>
      </c>
      <c r="ES67" s="63" t="str">
        <f t="shared" si="274"/>
        <v>480,-12331.00</v>
      </c>
      <c r="ET67" s="63" t="str">
        <f t="shared" ca="1" si="275"/>
        <v>480,00.00</v>
      </c>
      <c r="EU67" s="68">
        <v>561.04999999999995</v>
      </c>
      <c r="EV67" s="68" t="s">
        <v>555</v>
      </c>
      <c r="EW67" s="68">
        <v>483.38</v>
      </c>
      <c r="EX67" s="68" t="s">
        <v>556</v>
      </c>
      <c r="EY67" s="68">
        <v>5631.28</v>
      </c>
      <c r="EZ67" s="68" t="s">
        <v>557</v>
      </c>
      <c r="FA67" s="68">
        <v>19867.973000000002</v>
      </c>
      <c r="FB67" s="68" t="s">
        <v>558</v>
      </c>
      <c r="FC67" s="68" t="s">
        <v>559</v>
      </c>
      <c r="FD67" s="68" t="s">
        <v>560</v>
      </c>
      <c r="FE67" s="68" t="s">
        <v>561</v>
      </c>
      <c r="FF67" s="68" t="s">
        <v>562</v>
      </c>
    </row>
    <row r="68" spans="1:162" ht="13.5" thickBot="1" x14ac:dyDescent="0.25">
      <c r="A68" s="2">
        <f t="shared" si="294"/>
        <v>479</v>
      </c>
      <c r="B68" s="3">
        <f t="shared" si="371"/>
        <v>4306</v>
      </c>
      <c r="C68" s="3">
        <f t="shared" si="242"/>
        <v>3840</v>
      </c>
      <c r="D68" s="3">
        <f t="shared" si="372"/>
        <v>1301</v>
      </c>
      <c r="E68" s="3">
        <f t="shared" si="373"/>
        <v>9447</v>
      </c>
      <c r="F68" s="4">
        <f t="shared" si="374"/>
        <v>19762.928617531968</v>
      </c>
      <c r="AM68" s="1">
        <v>-1731</v>
      </c>
      <c r="AN68" s="1">
        <v>3079</v>
      </c>
      <c r="AO68" s="1">
        <v>479</v>
      </c>
      <c r="AP68" s="1">
        <v>520</v>
      </c>
      <c r="AQ68" s="1">
        <v>-16367</v>
      </c>
      <c r="AS68" s="6">
        <f>IF(RTD("tos.rtd",,AS$43,"."&amp;$A$43&amp;$AS$42&amp;"C"&amp;$A68)="N/A",0,RTD("tos.rtd",,AS$43,"."&amp;$A$43&amp;$AS$42&amp;"C"&amp;$A68))</f>
        <v>1384</v>
      </c>
      <c r="AT68" s="7">
        <f>-IF(RTD("tos.rtd",,AT$43,"."&amp;$A$43&amp;$AS$42&amp;"P"&amp;$A68)="N/A",0,RTD("tos.rtd",,AT$43,"."&amp;$A$43&amp;$AS$42&amp;"P"&amp;$A68))</f>
        <v>-2922</v>
      </c>
      <c r="AU68" s="6">
        <f>IF(RTD("tos.rtd",,AU$2,"."&amp;$A$43&amp;$AU$1&amp;"C"&amp;$A68)="N/A",0,RTD("tos.rtd",,AU$2,"."&amp;$A$43&amp;$AU$1&amp;"C"&amp;$A68))</f>
        <v>792</v>
      </c>
      <c r="AV68" s="7">
        <f>-IF(RTD("tos.rtd",,AV$2,"."&amp;$A$43&amp;$AU$1&amp;"P"&amp;$A68)="N/A",0,RTD("tos.rtd",,AV$2,"."&amp;$A$43&amp;$AU$1&amp;"P"&amp;$A68))</f>
        <v>-3048</v>
      </c>
      <c r="AW68" s="6">
        <f>IF(RTD("tos.rtd",,AW$2,"."&amp;$A$43&amp;$AW$1&amp;"C"&amp;$A68)="N/A",0,RTD("tos.rtd",,AW$2,"."&amp;$A$43&amp;$AW$1&amp;"C"&amp;$A68))</f>
        <v>207</v>
      </c>
      <c r="AX68" s="7">
        <f>-IF(RTD("tos.rtd",,AX$2,"."&amp;$A$43&amp;$AW$1&amp;"P"&amp;$A68)="N/A",0,RTD("tos.rtd",,AX$2,"."&amp;$A$43&amp;$AW$1&amp;"P"&amp;$A68))</f>
        <v>-1094</v>
      </c>
      <c r="AY68" s="7">
        <f t="shared" si="375"/>
        <v>-4681</v>
      </c>
      <c r="AZ68" s="8">
        <f t="shared" si="245"/>
        <v>479</v>
      </c>
      <c r="BA68" s="6">
        <f>IF(RTD("tos.rtd",,BA$43,"."&amp;$A$43&amp;$AS$42&amp;"C"&amp;$A68)="N/A",0,RTD("tos.rtd",,BA$43,"."&amp;$A$43&amp;$AS$42&amp;"C"&amp;$A68))</f>
        <v>0</v>
      </c>
      <c r="BB68" s="7">
        <f>-IF(RTD("tos.rtd",,BB$43,"."&amp;$A$43&amp;$AS$42&amp;"P"&amp;$A68)="N/A",0,RTD("tos.rtd",,BB$43,"."&amp;$A$43&amp;$AS$42&amp;"P"&amp;$A68))</f>
        <v>0</v>
      </c>
      <c r="BC68" s="6">
        <f>IF(RTD("tos.rtd",,BC$2,"."&amp;$A$43&amp;$AU$1&amp;"C"&amp;$A68)="N/A",0,RTD("tos.rtd",,BC$2,"."&amp;$A$43&amp;$AU$1&amp;"C"&amp;$A68))</f>
        <v>427</v>
      </c>
      <c r="BD68" s="7">
        <f>-IF(RTD("tos.rtd",,BD$2,"."&amp;$A$43&amp;$AU$1&amp;"P"&amp;$A68)="N/A",0,RTD("tos.rtd",,BD$2,"."&amp;$A$43&amp;$AU$1&amp;"P"&amp;$A68))</f>
        <v>-6476</v>
      </c>
      <c r="BE68" s="6">
        <f>IF(RTD("tos.rtd",,BE$2,"."&amp;$A$43&amp;$AW$1&amp;"C"&amp;$A68)="N/A",0,RTD("tos.rtd",,BE$2,"."&amp;$A$43&amp;$AW$1&amp;"C"&amp;$A68))</f>
        <v>62</v>
      </c>
      <c r="BF68" s="7">
        <f>-IF(RTD("tos.rtd",,BF$2,"."&amp;$A$43&amp;$AW$1&amp;"P"&amp;$A68)="N/A",0,RTD("tos.rtd",,BF$2,"."&amp;$A$43&amp;$AW$1&amp;"P"&amp;$A68))</f>
        <v>-1096</v>
      </c>
      <c r="BG68" s="32">
        <f ca="1">+Hoja2!Y69</f>
        <v>-87</v>
      </c>
      <c r="BH68" s="7">
        <f t="shared" ca="1" si="277"/>
        <v>-7170</v>
      </c>
      <c r="BI68" s="8" t="str">
        <f t="shared" ca="1" si="295"/>
        <v/>
      </c>
      <c r="BJ68" s="83" t="e">
        <f ca="1">IF($BP$1=1,DX68,IF(RTD("tos.rtd",,BJ$43,"."&amp;$A$43&amp;$AS$42&amp;"C"&amp;$A68)="N/A",0,RTD("tos.rtd",,BJ$43,"."&amp;$A$43&amp;$AS$42&amp;"C"&amp;$A68)))</f>
        <v>#NUM!</v>
      </c>
      <c r="BK68" s="83" t="e">
        <f ca="1">IF($BP$1=1,DY68,-IF(RTD("tos.rtd",,BK$43,"."&amp;$A$43&amp;$AS$42&amp;"P"&amp;$A68)="N/A",0,RTD("tos.rtd",,BK$43,"."&amp;$A$43&amp;$AS$42&amp;"P"&amp;$A68)))</f>
        <v>#NUM!</v>
      </c>
      <c r="BL68" s="83" t="e">
        <f ca="1">IF($BP$1=1,DZ68,IF(RTD("tos.rtd",,BL$2,"."&amp;$A$43&amp;$AU$1&amp;"C"&amp;$A68)="N/A",0,RTD("tos.rtd",,BL$2,"."&amp;$A$43&amp;$AU$1&amp;"C"&amp;$A68)))</f>
        <v>#NUM!</v>
      </c>
      <c r="BM68" s="83" t="e">
        <f ca="1">IF($BP$1=1,EA68,-IF(RTD("tos.rtd",,BM$2,"."&amp;$A$43&amp;$AU$1&amp;"P"&amp;$A68)="N/A",0,RTD("tos.rtd",,BM$2,"."&amp;$A$43&amp;$AU$1&amp;"P"&amp;$A68)))</f>
        <v>#NUM!</v>
      </c>
      <c r="BN68" s="83" t="e">
        <f ca="1">IF($BP$1=1,EB68,IF(RTD("tos.rtd",,BN$2,"."&amp;$A$43&amp;$AW$1&amp;"C"&amp;$A68)="N/A",0,RTD("tos.rtd",,BN$2,"."&amp;$A$43&amp;$AW$1&amp;"C"&amp;$A68)))</f>
        <v>#NUM!</v>
      </c>
      <c r="BO68" s="83" t="e">
        <f ca="1">IF($BP$1=1,EC68,-IF(RTD("tos.rtd",,BO$2,"."&amp;$A$43&amp;$AW$1&amp;"P"&amp;$A68)="N/A",0,RTD("tos.rtd",,BO$2,"."&amp;$A$43&amp;$AW$1&amp;"P"&amp;$A68)))</f>
        <v>#NUM!</v>
      </c>
      <c r="BQ68" s="83" t="e">
        <f t="shared" ca="1" si="376"/>
        <v>#NUM!</v>
      </c>
      <c r="BR68" s="3" t="e">
        <f t="shared" ca="1" si="279"/>
        <v>#NUM!</v>
      </c>
      <c r="BS68" s="83" t="e">
        <f t="shared" ca="1" si="377"/>
        <v>#NUM!</v>
      </c>
      <c r="BT68" s="3" t="e">
        <f t="shared" ca="1" si="281"/>
        <v>#NUM!</v>
      </c>
      <c r="BU68" s="83" t="e">
        <f t="shared" ca="1" si="378"/>
        <v>#NUM!</v>
      </c>
      <c r="BV68" s="83"/>
      <c r="BX68" s="83" t="e">
        <f t="shared" ca="1" si="379"/>
        <v>#NUM!</v>
      </c>
      <c r="BY68" s="83" t="e">
        <f t="shared" ca="1" si="296"/>
        <v>#NUM!</v>
      </c>
      <c r="BZ68" s="83" t="e">
        <f t="shared" ca="1" si="380"/>
        <v>#NUM!</v>
      </c>
      <c r="CA68" s="83" t="e">
        <f t="shared" ca="1" si="296"/>
        <v>#NUM!</v>
      </c>
      <c r="CB68" s="83" t="e">
        <f t="shared" ca="1" si="381"/>
        <v>#NUM!</v>
      </c>
      <c r="CC68" s="83" t="e">
        <f t="shared" ca="1" si="296"/>
        <v>#NUM!</v>
      </c>
      <c r="CD68" s="83">
        <f>IF(RTD("tos.rtd",,CD$43,"."&amp;$A$43&amp;$AS$42&amp;"C"&amp;$A68)="N/A",0,RTD("tos.rtd",,CD$43,"."&amp;$A$43&amp;$AS$42&amp;"C"&amp;$A68))</f>
        <v>1</v>
      </c>
      <c r="CE68" s="83">
        <f>-IF(RTD("tos.rtd",,CE$43,"."&amp;$A$43&amp;$AS$42&amp;"P"&amp;$A68)="N/A",0,RTD("tos.rtd",,CE$43,"."&amp;$A$43&amp;$AS$42&amp;"P"&amp;$A68))</f>
        <v>0</v>
      </c>
      <c r="CF68" s="83">
        <f>IF(RTD("tos.rtd",,CF$2,"."&amp;$A$43&amp;$AU$1&amp;"C"&amp;$A68)="N/A",0,RTD("tos.rtd",,CF$2,"."&amp;$A$43&amp;$AU$1&amp;"C"&amp;$A68))</f>
        <v>1</v>
      </c>
      <c r="CG68" s="83">
        <f>-IF(RTD("tos.rtd",,CG$2,"."&amp;$A$43&amp;$AU$1&amp;"P"&amp;$A68)="N/A",0,RTD("tos.rtd",,CG$2,"."&amp;$A$43&amp;$AU$1&amp;"P"&amp;$A68))</f>
        <v>0</v>
      </c>
      <c r="CH68" s="83">
        <f>IF(RTD("tos.rtd",,CH$2,"."&amp;$A$43&amp;$AW$1&amp;"C"&amp;$A68)="N/A",0,RTD("tos.rtd",,CH$2,"."&amp;$A$43&amp;$AW$1&amp;"C"&amp;$A68))</f>
        <v>1</v>
      </c>
      <c r="CI68" s="83">
        <f>-IF(RTD("tos.rtd",,CI$2,"."&amp;$A$43&amp;$AW$1&amp;"P"&amp;$A68)="N/A",0,RTD("tos.rtd",,CI$2,"."&amp;$A$43&amp;$AW$1&amp;"P"&amp;$A68))</f>
        <v>0.23</v>
      </c>
      <c r="CK68" s="83">
        <f t="shared" si="382"/>
        <v>138400</v>
      </c>
      <c r="CL68" s="83"/>
      <c r="CM68" s="83">
        <f t="shared" si="383"/>
        <v>79200</v>
      </c>
      <c r="CN68" s="83"/>
      <c r="CO68" s="83">
        <f t="shared" si="384"/>
        <v>-4462</v>
      </c>
      <c r="CP68" s="83">
        <f t="shared" si="385"/>
        <v>213138</v>
      </c>
      <c r="CQ68" s="83">
        <f t="shared" si="386"/>
        <v>0</v>
      </c>
      <c r="CR68" s="83"/>
      <c r="CS68" s="83">
        <f t="shared" si="387"/>
        <v>-6049</v>
      </c>
      <c r="CT68" s="83"/>
      <c r="CU68" s="83">
        <f t="shared" si="388"/>
        <v>-1034</v>
      </c>
      <c r="CV68" s="83"/>
      <c r="CW68" s="83" t="e">
        <f t="shared" ca="1" si="389"/>
        <v>#NUM!</v>
      </c>
      <c r="CY68" s="83" t="e">
        <f t="shared" ca="1" si="390"/>
        <v>#NUM!</v>
      </c>
      <c r="CZ68" s="70" t="e">
        <f t="shared" ca="1" si="297"/>
        <v>#NUM!</v>
      </c>
      <c r="DA68" s="83">
        <f>IF(RTD("tos.rtd",,DA$43,"."&amp;$A$43&amp;$AS$42&amp;"C"&amp;$A68)="N/A",0,RTD("tos.rtd",,DA$43,"."&amp;$A$43&amp;$AS$42&amp;"C"&amp;$A68))</f>
        <v>9.68</v>
      </c>
      <c r="DB68" s="83">
        <f>IF(RTD("tos.rtd",,DB$43,"."&amp;$A$43&amp;$AS$42&amp;"P"&amp;$A68)="N/A",0,RTD("tos.rtd",,DB$43,"."&amp;$A$43&amp;$AS$42&amp;"P"&amp;$A68))</f>
        <v>0.01</v>
      </c>
      <c r="DC68" s="83">
        <f>IF(RTD("tos.rtd",,DC$43,"."&amp;$A$43&amp;$AS$42&amp;"C"&amp;$A68)="N/A",0,RTD("tos.rtd",,DC$43,"."&amp;$A$43&amp;$AS$42&amp;"C"&amp;$A68))</f>
        <v>11.37</v>
      </c>
      <c r="DD68" s="83">
        <f>IF(RTD("tos.rtd",,DD$43,"."&amp;$A$43&amp;$AS$42&amp;"P"&amp;$A68)="N/A",0,RTD("tos.rtd",,DD$43,"."&amp;$A$43&amp;$AS$42&amp;"P"&amp;$A68))</f>
        <v>0.01</v>
      </c>
      <c r="DE68" s="83">
        <f>IF(RTD("tos.rtd",,DE$43,"."&amp;$A$43&amp;$AS$42&amp;"C"&amp;$A68)="N/A",0,RTD("tos.rtd",,DE$43,"."&amp;$A$43&amp;$AS$42&amp;"C"&amp;$A68))</f>
        <v>7.65</v>
      </c>
      <c r="DF68" s="83">
        <f>IF(RTD("tos.rtd",,DF$43,"."&amp;$A$43&amp;$AS$42&amp;"P"&amp;$A68)="N/A",0,RTD("tos.rtd",,DF$43,"."&amp;$A$43&amp;$AS$42&amp;"P"&amp;$A68))</f>
        <v>0</v>
      </c>
      <c r="DG68" s="86">
        <f t="shared" si="289"/>
        <v>-16.779999999999973</v>
      </c>
      <c r="DH68" s="83">
        <f t="shared" si="391"/>
        <v>-283.76344086021504</v>
      </c>
      <c r="DI68" s="83">
        <f t="shared" si="392"/>
        <v>16367</v>
      </c>
      <c r="DJ68" s="83">
        <f t="shared" si="393"/>
        <v>0</v>
      </c>
      <c r="DK68" s="83">
        <f t="shared" si="257"/>
        <v>16367</v>
      </c>
      <c r="DL68" s="83">
        <f t="shared" si="258"/>
        <v>16083.236559139785</v>
      </c>
      <c r="DM68" s="83">
        <f t="shared" si="259"/>
        <v>16367</v>
      </c>
      <c r="DN68" s="64" t="str">
        <f t="shared" si="260"/>
        <v>UNKNOWN</v>
      </c>
      <c r="DO68" s="64" t="str">
        <f t="shared" si="261"/>
        <v>UNKNOWN</v>
      </c>
      <c r="DP68" s="83">
        <f t="shared" si="262"/>
        <v>-2583.1601075268813</v>
      </c>
      <c r="DQ68" s="83">
        <f t="shared" si="263"/>
        <v>163.67000000000002</v>
      </c>
      <c r="DR68" s="83" t="e">
        <f t="shared" ca="1" si="264"/>
        <v>#NUM!</v>
      </c>
      <c r="DS68" s="83">
        <f t="shared" si="265"/>
        <v>0</v>
      </c>
      <c r="DT68" s="83">
        <f t="shared" si="290"/>
        <v>-520</v>
      </c>
      <c r="DU68" s="83">
        <f t="shared" si="291"/>
        <v>16367</v>
      </c>
      <c r="DV68" s="83">
        <f t="shared" si="266"/>
        <v>-1731</v>
      </c>
      <c r="DW68" s="83">
        <f t="shared" si="267"/>
        <v>3079</v>
      </c>
      <c r="DX68" s="83" t="e">
        <f t="shared" ca="1" si="394"/>
        <v>#NUM!</v>
      </c>
      <c r="DY68" s="83" t="e">
        <f t="shared" ca="1" si="395"/>
        <v>#NUM!</v>
      </c>
      <c r="DZ68" s="83" t="e">
        <f t="shared" ca="1" si="396"/>
        <v>#NUM!</v>
      </c>
      <c r="EA68" s="83" t="e">
        <f t="shared" ca="1" si="397"/>
        <v>#NUM!</v>
      </c>
      <c r="EB68" s="83" t="e">
        <f t="shared" ca="1" si="398"/>
        <v>#NUM!</v>
      </c>
      <c r="EC68" s="83" t="e">
        <f t="shared" ca="1" si="399"/>
        <v>#NUM!</v>
      </c>
      <c r="ED68" s="63">
        <f t="shared" si="292"/>
        <v>1348</v>
      </c>
      <c r="EE68" s="84">
        <f t="shared" si="400"/>
        <v>0.25</v>
      </c>
      <c r="EF68" s="84">
        <f t="shared" si="401"/>
        <v>1.6428</v>
      </c>
      <c r="EG68" s="84">
        <f t="shared" si="402"/>
        <v>0.25</v>
      </c>
      <c r="EH68" s="84">
        <f t="shared" si="403"/>
        <v>1.6428</v>
      </c>
      <c r="EI68" s="84">
        <f t="shared" si="404"/>
        <v>0.25</v>
      </c>
      <c r="EJ68" s="84">
        <f t="shared" si="405"/>
        <v>0.41570000000000001</v>
      </c>
      <c r="EK68" s="63" t="e">
        <f t="shared" ca="1" si="293"/>
        <v>#NUM!</v>
      </c>
      <c r="EL68" s="83" t="str">
        <f>RTD("tos.rtd",,EL$43,"."&amp;$A$43&amp;$AS$42&amp;"C"&amp;$A68)</f>
        <v>--</v>
      </c>
      <c r="EM68" s="83" t="str">
        <f>RTD("tos.rtd",,EM$43,"."&amp;$A$43&amp;$AS$42&amp;"P"&amp;$A68)</f>
        <v>164.28%</v>
      </c>
      <c r="EN68" s="83" t="str">
        <f>RTD("tos.rtd",,EN$2,"."&amp;$A$43&amp;$AU$1&amp;"C"&amp;$A68)</f>
        <v>--</v>
      </c>
      <c r="EO68" s="83" t="str">
        <f>RTD("tos.rtd",,EO$2,"."&amp;$A$43&amp;$AU$1&amp;"P"&amp;$A68)</f>
        <v>164.28%</v>
      </c>
      <c r="EP68" s="83" t="str">
        <f>RTD("tos.rtd",,EP$2,"."&amp;$A$43&amp;$AW$1&amp;"C"&amp;$A68)</f>
        <v>--</v>
      </c>
      <c r="EQ68" s="83" t="str">
        <f>RTD("tos.rtd",,EQ$2,"."&amp;$A$43&amp;$AW$1&amp;"P"&amp;$A68)</f>
        <v>41.57%</v>
      </c>
      <c r="ES68" s="63" t="str">
        <f t="shared" si="274"/>
        <v>479,1348.00</v>
      </c>
      <c r="ET68" s="63" t="str">
        <f t="shared" ca="1" si="275"/>
        <v>479,00.00</v>
      </c>
      <c r="EU68" s="68">
        <v>561.05999999999995</v>
      </c>
      <c r="EV68" s="68" t="s">
        <v>563</v>
      </c>
      <c r="EW68" s="68">
        <v>483.37</v>
      </c>
      <c r="EX68" s="68" t="s">
        <v>564</v>
      </c>
      <c r="EY68" s="68">
        <v>5631.28</v>
      </c>
      <c r="EZ68" s="68" t="s">
        <v>565</v>
      </c>
      <c r="FA68" s="68">
        <v>19867.973000000002</v>
      </c>
      <c r="FB68" s="68" t="s">
        <v>566</v>
      </c>
      <c r="FC68" s="68" t="s">
        <v>567</v>
      </c>
      <c r="FD68" s="68" t="s">
        <v>568</v>
      </c>
      <c r="FE68" s="68" t="s">
        <v>569</v>
      </c>
      <c r="FF68" s="68" t="s">
        <v>570</v>
      </c>
    </row>
    <row r="69" spans="1:162" ht="13.5" thickBot="1" x14ac:dyDescent="0.25">
      <c r="A69" s="2">
        <f t="shared" si="294"/>
        <v>478</v>
      </c>
      <c r="B69" s="3">
        <f t="shared" si="371"/>
        <v>5339</v>
      </c>
      <c r="C69" s="3">
        <f t="shared" si="242"/>
        <v>4311</v>
      </c>
      <c r="D69" s="3">
        <f t="shared" si="372"/>
        <v>1299</v>
      </c>
      <c r="E69" s="3">
        <f t="shared" si="373"/>
        <v>10949</v>
      </c>
      <c r="F69" s="4">
        <f t="shared" si="374"/>
        <v>19721.669893904553</v>
      </c>
      <c r="AM69" s="1">
        <v>-5419</v>
      </c>
      <c r="AN69" s="1">
        <v>58</v>
      </c>
      <c r="AO69" s="1">
        <v>478</v>
      </c>
      <c r="AP69" s="1">
        <v>397</v>
      </c>
      <c r="AQ69" s="1">
        <v>-12822</v>
      </c>
      <c r="AS69" s="6">
        <f>IF(RTD("tos.rtd",,AS$43,"."&amp;$A$43&amp;$AS$42&amp;"C"&amp;$A69)="N/A",0,RTD("tos.rtd",,AS$43,"."&amp;$A$43&amp;$AS$42&amp;"C"&amp;$A69))</f>
        <v>934</v>
      </c>
      <c r="AT69" s="7">
        <f>-IF(RTD("tos.rtd",,AT$43,"."&amp;$A$43&amp;$AS$42&amp;"P"&amp;$A69)="N/A",0,RTD("tos.rtd",,AT$43,"."&amp;$A$43&amp;$AS$42&amp;"P"&amp;$A69))</f>
        <v>-4405</v>
      </c>
      <c r="AU69" s="6">
        <f>IF(RTD("tos.rtd",,AU$2,"."&amp;$A$43&amp;$AU$1&amp;"C"&amp;$A69)="N/A",0,RTD("tos.rtd",,AU$2,"."&amp;$A$43&amp;$AU$1&amp;"C"&amp;$A69))</f>
        <v>1013</v>
      </c>
      <c r="AV69" s="7">
        <f>-IF(RTD("tos.rtd",,AV$2,"."&amp;$A$43&amp;$AU$1&amp;"P"&amp;$A69)="N/A",0,RTD("tos.rtd",,AV$2,"."&amp;$A$43&amp;$AU$1&amp;"P"&amp;$A69))</f>
        <v>-3298</v>
      </c>
      <c r="AW69" s="6">
        <f>IF(RTD("tos.rtd",,AW$2,"."&amp;$A$43&amp;$AW$1&amp;"C"&amp;$A69)="N/A",0,RTD("tos.rtd",,AW$2,"."&amp;$A$43&amp;$AW$1&amp;"C"&amp;$A69))</f>
        <v>428</v>
      </c>
      <c r="AX69" s="7">
        <f>-IF(RTD("tos.rtd",,AX$2,"."&amp;$A$43&amp;$AW$1&amp;"P"&amp;$A69)="N/A",0,RTD("tos.rtd",,AX$2,"."&amp;$A$43&amp;$AW$1&amp;"P"&amp;$A69))</f>
        <v>-871</v>
      </c>
      <c r="AY69" s="7">
        <f t="shared" si="375"/>
        <v>-6199</v>
      </c>
      <c r="AZ69" s="8">
        <f t="shared" si="245"/>
        <v>478</v>
      </c>
      <c r="BA69" s="6">
        <f>IF(RTD("tos.rtd",,BA$43,"."&amp;$A$43&amp;$AS$42&amp;"C"&amp;$A69)="N/A",0,RTD("tos.rtd",,BA$43,"."&amp;$A$43&amp;$AS$42&amp;"C"&amp;$A69))</f>
        <v>0</v>
      </c>
      <c r="BB69" s="7">
        <f>-IF(RTD("tos.rtd",,BB$43,"."&amp;$A$43&amp;$AS$42&amp;"P"&amp;$A69)="N/A",0,RTD("tos.rtd",,BB$43,"."&amp;$A$43&amp;$AS$42&amp;"P"&amp;$A69))</f>
        <v>0</v>
      </c>
      <c r="BC69" s="6">
        <f>IF(RTD("tos.rtd",,BC$2,"."&amp;$A$43&amp;$AU$1&amp;"C"&amp;$A69)="N/A",0,RTD("tos.rtd",,BC$2,"."&amp;$A$43&amp;$AU$1&amp;"C"&amp;$A69))</f>
        <v>458</v>
      </c>
      <c r="BD69" s="7">
        <f>-IF(RTD("tos.rtd",,BD$2,"."&amp;$A$43&amp;$AU$1&amp;"P"&amp;$A69)="N/A",0,RTD("tos.rtd",,BD$2,"."&amp;$A$43&amp;$AU$1&amp;"P"&amp;$A69))</f>
        <v>-5660</v>
      </c>
      <c r="BE69" s="6">
        <f>IF(RTD("tos.rtd",,BE$2,"."&amp;$A$43&amp;$AW$1&amp;"C"&amp;$A69)="N/A",0,RTD("tos.rtd",,BE$2,"."&amp;$A$43&amp;$AW$1&amp;"C"&amp;$A69))</f>
        <v>62</v>
      </c>
      <c r="BF69" s="7">
        <f>-IF(RTD("tos.rtd",,BF$2,"."&amp;$A$43&amp;$AW$1&amp;"P"&amp;$A69)="N/A",0,RTD("tos.rtd",,BF$2,"."&amp;$A$43&amp;$AW$1&amp;"P"&amp;$A69))</f>
        <v>-1870</v>
      </c>
      <c r="BG69" s="32">
        <f ca="1">+Hoja2!Y70</f>
        <v>-181</v>
      </c>
      <c r="BH69" s="7">
        <f t="shared" ca="1" si="277"/>
        <v>-7191</v>
      </c>
      <c r="BI69" s="8" t="str">
        <f t="shared" ca="1" si="295"/>
        <v/>
      </c>
      <c r="BJ69" s="83" t="e">
        <f ca="1">IF($BP$1=1,DX69,IF(RTD("tos.rtd",,BJ$43,"."&amp;$A$43&amp;$AS$42&amp;"C"&amp;$A69)="N/A",0,RTD("tos.rtd",,BJ$43,"."&amp;$A$43&amp;$AS$42&amp;"C"&amp;$A69)))</f>
        <v>#NUM!</v>
      </c>
      <c r="BK69" s="83" t="e">
        <f ca="1">IF($BP$1=1,DY69,-IF(RTD("tos.rtd",,BK$43,"."&amp;$A$43&amp;$AS$42&amp;"P"&amp;$A69)="N/A",0,RTD("tos.rtd",,BK$43,"."&amp;$A$43&amp;$AS$42&amp;"P"&amp;$A69)))</f>
        <v>#NUM!</v>
      </c>
      <c r="BL69" s="83" t="e">
        <f ca="1">IF($BP$1=1,DZ69,IF(RTD("tos.rtd",,BL$2,"."&amp;$A$43&amp;$AU$1&amp;"C"&amp;$A69)="N/A",0,RTD("tos.rtd",,BL$2,"."&amp;$A$43&amp;$AU$1&amp;"C"&amp;$A69)))</f>
        <v>#NUM!</v>
      </c>
      <c r="BM69" s="83" t="e">
        <f ca="1">IF($BP$1=1,EA69,-IF(RTD("tos.rtd",,BM$2,"."&amp;$A$43&amp;$AU$1&amp;"P"&amp;$A69)="N/A",0,RTD("tos.rtd",,BM$2,"."&amp;$A$43&amp;$AU$1&amp;"P"&amp;$A69)))</f>
        <v>#NUM!</v>
      </c>
      <c r="BN69" s="83" t="e">
        <f ca="1">IF($BP$1=1,EB69,IF(RTD("tos.rtd",,BN$2,"."&amp;$A$43&amp;$AW$1&amp;"C"&amp;$A69)="N/A",0,RTD("tos.rtd",,BN$2,"."&amp;$A$43&amp;$AW$1&amp;"C"&amp;$A69)))</f>
        <v>#NUM!</v>
      </c>
      <c r="BO69" s="83" t="e">
        <f ca="1">IF($BP$1=1,EC69,-IF(RTD("tos.rtd",,BO$2,"."&amp;$A$43&amp;$AW$1&amp;"P"&amp;$A69)="N/A",0,RTD("tos.rtd",,BO$2,"."&amp;$A$43&amp;$AW$1&amp;"P"&amp;$A69)))</f>
        <v>#NUM!</v>
      </c>
      <c r="BQ69" s="83" t="e">
        <f t="shared" ca="1" si="376"/>
        <v>#NUM!</v>
      </c>
      <c r="BR69" s="3" t="e">
        <f t="shared" ca="1" si="279"/>
        <v>#NUM!</v>
      </c>
      <c r="BS69" s="83" t="e">
        <f t="shared" ca="1" si="377"/>
        <v>#NUM!</v>
      </c>
      <c r="BT69" s="3" t="e">
        <f t="shared" ca="1" si="281"/>
        <v>#NUM!</v>
      </c>
      <c r="BU69" s="83" t="e">
        <f t="shared" ca="1" si="378"/>
        <v>#NUM!</v>
      </c>
      <c r="BV69" s="83"/>
      <c r="BX69" s="83" t="e">
        <f t="shared" ca="1" si="379"/>
        <v>#NUM!</v>
      </c>
      <c r="BY69" s="83" t="e">
        <f t="shared" ca="1" si="296"/>
        <v>#NUM!</v>
      </c>
      <c r="BZ69" s="83" t="e">
        <f t="shared" ca="1" si="380"/>
        <v>#NUM!</v>
      </c>
      <c r="CA69" s="83" t="e">
        <f t="shared" ca="1" si="296"/>
        <v>#NUM!</v>
      </c>
      <c r="CB69" s="83" t="e">
        <f t="shared" ca="1" si="381"/>
        <v>#NUM!</v>
      </c>
      <c r="CC69" s="83" t="e">
        <f t="shared" ca="1" si="296"/>
        <v>#NUM!</v>
      </c>
      <c r="CD69" s="83">
        <f>IF(RTD("tos.rtd",,CD$43,"."&amp;$A$43&amp;$AS$42&amp;"C"&amp;$A69)="N/A",0,RTD("tos.rtd",,CD$43,"."&amp;$A$43&amp;$AS$42&amp;"C"&amp;$A69))</f>
        <v>1</v>
      </c>
      <c r="CE69" s="83">
        <f>-IF(RTD("tos.rtd",,CE$43,"."&amp;$A$43&amp;$AS$42&amp;"P"&amp;$A69)="N/A",0,RTD("tos.rtd",,CE$43,"."&amp;$A$43&amp;$AS$42&amp;"P"&amp;$A69))</f>
        <v>0</v>
      </c>
      <c r="CF69" s="83">
        <f>IF(RTD("tos.rtd",,CF$2,"."&amp;$A$43&amp;$AU$1&amp;"C"&amp;$A69)="N/A",0,RTD("tos.rtd",,CF$2,"."&amp;$A$43&amp;$AU$1&amp;"C"&amp;$A69))</f>
        <v>1</v>
      </c>
      <c r="CG69" s="83">
        <f>-IF(RTD("tos.rtd",,CG$2,"."&amp;$A$43&amp;$AU$1&amp;"P"&amp;$A69)="N/A",0,RTD("tos.rtd",,CG$2,"."&amp;$A$43&amp;$AU$1&amp;"P"&amp;$A69))</f>
        <v>0</v>
      </c>
      <c r="CH69" s="83">
        <f>IF(RTD("tos.rtd",,CH$2,"."&amp;$A$43&amp;$AW$1&amp;"C"&amp;$A69)="N/A",0,RTD("tos.rtd",,CH$2,"."&amp;$A$43&amp;$AW$1&amp;"C"&amp;$A69))</f>
        <v>1</v>
      </c>
      <c r="CI69" s="83">
        <f>-IF(RTD("tos.rtd",,CI$2,"."&amp;$A$43&amp;$AW$1&amp;"P"&amp;$A69)="N/A",0,RTD("tos.rtd",,CI$2,"."&amp;$A$43&amp;$AW$1&amp;"P"&amp;$A69))</f>
        <v>0.21</v>
      </c>
      <c r="CK69" s="83">
        <f t="shared" si="382"/>
        <v>93400</v>
      </c>
      <c r="CL69" s="83"/>
      <c r="CM69" s="83">
        <f t="shared" si="383"/>
        <v>101300</v>
      </c>
      <c r="CN69" s="83"/>
      <c r="CO69" s="83">
        <f t="shared" si="384"/>
        <v>24509</v>
      </c>
      <c r="CP69" s="83">
        <f t="shared" si="385"/>
        <v>219209</v>
      </c>
      <c r="CQ69" s="83">
        <f t="shared" si="386"/>
        <v>0</v>
      </c>
      <c r="CR69" s="83"/>
      <c r="CS69" s="83">
        <f t="shared" si="387"/>
        <v>-5202</v>
      </c>
      <c r="CT69" s="83"/>
      <c r="CU69" s="83">
        <f t="shared" si="388"/>
        <v>-1808</v>
      </c>
      <c r="CV69" s="83"/>
      <c r="CW69" s="83" t="e">
        <f t="shared" ca="1" si="389"/>
        <v>#NUM!</v>
      </c>
      <c r="CY69" s="83" t="e">
        <f t="shared" ca="1" si="390"/>
        <v>#NUM!</v>
      </c>
      <c r="CZ69" s="70" t="e">
        <f t="shared" ca="1" si="297"/>
        <v>#NUM!</v>
      </c>
      <c r="DA69" s="83">
        <f>IF(RTD("tos.rtd",,DA$43,"."&amp;$A$43&amp;$AS$42&amp;"C"&amp;$A69)="N/A",0,RTD("tos.rtd",,DA$43,"."&amp;$A$43&amp;$AS$42&amp;"C"&amp;$A69))</f>
        <v>10.35</v>
      </c>
      <c r="DB69" s="83">
        <f>IF(RTD("tos.rtd",,DB$43,"."&amp;$A$43&amp;$AS$42&amp;"P"&amp;$A69)="N/A",0,RTD("tos.rtd",,DB$43,"."&amp;$A$43&amp;$AS$42&amp;"P"&amp;$A69))</f>
        <v>0.01</v>
      </c>
      <c r="DC69" s="83">
        <f>IF(RTD("tos.rtd",,DC$43,"."&amp;$A$43&amp;$AS$42&amp;"C"&amp;$A69)="N/A",0,RTD("tos.rtd",,DC$43,"."&amp;$A$43&amp;$AS$42&amp;"C"&amp;$A69))</f>
        <v>12.37</v>
      </c>
      <c r="DD69" s="83">
        <f>IF(RTD("tos.rtd",,DD$43,"."&amp;$A$43&amp;$AS$42&amp;"P"&amp;$A69)="N/A",0,RTD("tos.rtd",,DD$43,"."&amp;$A$43&amp;$AS$42&amp;"P"&amp;$A69))</f>
        <v>0.01</v>
      </c>
      <c r="DE69" s="83">
        <f>IF(RTD("tos.rtd",,DE$43,"."&amp;$A$43&amp;$AS$42&amp;"C"&amp;$A69)="N/A",0,RTD("tos.rtd",,DE$43,"."&amp;$A$43&amp;$AS$42&amp;"C"&amp;$A69))</f>
        <v>8.65</v>
      </c>
      <c r="DF69" s="83">
        <f>IF(RTD("tos.rtd",,DF$43,"."&amp;$A$43&amp;$AS$42&amp;"P"&amp;$A69)="N/A",0,RTD("tos.rtd",,DF$43,"."&amp;$A$43&amp;$AS$42&amp;"P"&amp;$A69))</f>
        <v>0</v>
      </c>
      <c r="DG69" s="86">
        <f t="shared" si="289"/>
        <v>-17.779999999999973</v>
      </c>
      <c r="DH69" s="83">
        <f t="shared" si="391"/>
        <v>-181.42473118279568</v>
      </c>
      <c r="DI69" s="83">
        <f t="shared" si="392"/>
        <v>12822</v>
      </c>
      <c r="DJ69" s="83">
        <f t="shared" si="393"/>
        <v>0</v>
      </c>
      <c r="DK69" s="83">
        <f t="shared" si="257"/>
        <v>12822</v>
      </c>
      <c r="DL69" s="83">
        <f t="shared" si="258"/>
        <v>12640.575268817205</v>
      </c>
      <c r="DM69" s="83">
        <f t="shared" si="259"/>
        <v>12822</v>
      </c>
      <c r="DN69" s="64" t="str">
        <f t="shared" si="260"/>
        <v>UNKNOWN</v>
      </c>
      <c r="DO69" s="64" t="str">
        <f t="shared" si="261"/>
        <v>UNKNOWN</v>
      </c>
      <c r="DP69" s="83">
        <f t="shared" si="262"/>
        <v>-1749.5259677419351</v>
      </c>
      <c r="DQ69" s="83">
        <f t="shared" si="263"/>
        <v>128.22</v>
      </c>
      <c r="DR69" s="83" t="e">
        <f t="shared" ca="1" si="264"/>
        <v>#NUM!</v>
      </c>
      <c r="DS69" s="83">
        <f t="shared" si="265"/>
        <v>0</v>
      </c>
      <c r="DT69" s="83">
        <f t="shared" si="290"/>
        <v>-397</v>
      </c>
      <c r="DU69" s="83">
        <f t="shared" si="291"/>
        <v>12822</v>
      </c>
      <c r="DV69" s="83">
        <f t="shared" si="266"/>
        <v>-5419</v>
      </c>
      <c r="DW69" s="83">
        <f t="shared" si="267"/>
        <v>58</v>
      </c>
      <c r="DX69" s="83" t="e">
        <f t="shared" ca="1" si="394"/>
        <v>#NUM!</v>
      </c>
      <c r="DY69" s="83" t="e">
        <f t="shared" ca="1" si="395"/>
        <v>#NUM!</v>
      </c>
      <c r="DZ69" s="83" t="e">
        <f t="shared" ca="1" si="396"/>
        <v>#NUM!</v>
      </c>
      <c r="EA69" s="83" t="e">
        <f t="shared" ca="1" si="397"/>
        <v>#NUM!</v>
      </c>
      <c r="EB69" s="83" t="e">
        <f t="shared" ca="1" si="398"/>
        <v>#NUM!</v>
      </c>
      <c r="EC69" s="83" t="e">
        <f t="shared" ca="1" si="399"/>
        <v>#NUM!</v>
      </c>
      <c r="ED69" s="63">
        <f t="shared" si="292"/>
        <v>-5361</v>
      </c>
      <c r="EE69" s="84">
        <f t="shared" si="400"/>
        <v>0.25</v>
      </c>
      <c r="EF69" s="84">
        <f t="shared" si="401"/>
        <v>1.7326999999999999</v>
      </c>
      <c r="EG69" s="84">
        <f t="shared" si="402"/>
        <v>0.25</v>
      </c>
      <c r="EH69" s="84">
        <f t="shared" si="403"/>
        <v>1.7326999999999999</v>
      </c>
      <c r="EI69" s="84">
        <f t="shared" si="404"/>
        <v>0.25</v>
      </c>
      <c r="EJ69" s="84">
        <f t="shared" si="405"/>
        <v>0.41370000000000001</v>
      </c>
      <c r="EK69" s="63" t="e">
        <f t="shared" ca="1" si="293"/>
        <v>#NUM!</v>
      </c>
      <c r="EL69" s="83" t="str">
        <f>RTD("tos.rtd",,EL$43,"."&amp;$A$43&amp;$AS$42&amp;"C"&amp;$A69)</f>
        <v>--</v>
      </c>
      <c r="EM69" s="83" t="str">
        <f>RTD("tos.rtd",,EM$43,"."&amp;$A$43&amp;$AS$42&amp;"P"&amp;$A69)</f>
        <v>173.27%</v>
      </c>
      <c r="EN69" s="83" t="str">
        <f>RTD("tos.rtd",,EN$2,"."&amp;$A$43&amp;$AU$1&amp;"C"&amp;$A69)</f>
        <v>--</v>
      </c>
      <c r="EO69" s="83" t="str">
        <f>RTD("tos.rtd",,EO$2,"."&amp;$A$43&amp;$AU$1&amp;"P"&amp;$A69)</f>
        <v>173.27%</v>
      </c>
      <c r="EP69" s="83" t="str">
        <f>RTD("tos.rtd",,EP$2,"."&amp;$A$43&amp;$AW$1&amp;"C"&amp;$A69)</f>
        <v>--</v>
      </c>
      <c r="EQ69" s="83" t="str">
        <f>RTD("tos.rtd",,EQ$2,"."&amp;$A$43&amp;$AW$1&amp;"P"&amp;$A69)</f>
        <v>41.37%</v>
      </c>
      <c r="ES69" s="63" t="str">
        <f t="shared" si="274"/>
        <v>478,-5361.00</v>
      </c>
      <c r="ET69" s="63" t="str">
        <f t="shared" ca="1" si="275"/>
        <v>478,00.00</v>
      </c>
      <c r="EU69" s="68">
        <v>561.01</v>
      </c>
      <c r="EV69" s="68" t="s">
        <v>571</v>
      </c>
      <c r="EW69" s="68">
        <v>483.35</v>
      </c>
      <c r="EX69" s="68" t="s">
        <v>572</v>
      </c>
      <c r="EY69" s="68">
        <v>5631.28</v>
      </c>
      <c r="EZ69" s="68" t="s">
        <v>573</v>
      </c>
      <c r="FA69" s="68">
        <v>19867.973000000002</v>
      </c>
      <c r="FB69" s="68" t="s">
        <v>574</v>
      </c>
      <c r="FC69" s="68" t="s">
        <v>575</v>
      </c>
      <c r="FD69" s="68" t="s">
        <v>576</v>
      </c>
      <c r="FE69" s="68" t="s">
        <v>577</v>
      </c>
      <c r="FF69" s="68" t="s">
        <v>578</v>
      </c>
    </row>
    <row r="70" spans="1:162" ht="13.5" thickBot="1" x14ac:dyDescent="0.25">
      <c r="A70" s="2">
        <f t="shared" si="294"/>
        <v>477</v>
      </c>
      <c r="B70" s="3">
        <f t="shared" si="241"/>
        <v>6989</v>
      </c>
      <c r="C70" s="3">
        <f t="shared" si="242"/>
        <v>3081</v>
      </c>
      <c r="D70" s="3">
        <f t="shared" si="243"/>
        <v>1853</v>
      </c>
      <c r="E70" s="3">
        <f t="shared" si="244"/>
        <v>11923</v>
      </c>
      <c r="F70" s="4">
        <f t="shared" si="298"/>
        <v>19680.411170277137</v>
      </c>
      <c r="AM70" s="1">
        <v>144</v>
      </c>
      <c r="AN70" s="1">
        <v>-2210</v>
      </c>
      <c r="AO70" s="1">
        <v>477</v>
      </c>
      <c r="AP70" s="1">
        <v>240</v>
      </c>
      <c r="AQ70" s="1">
        <v>-13894</v>
      </c>
      <c r="AS70" s="6">
        <f>IF(RTD("tos.rtd",,AS$43,"."&amp;$A$43&amp;$AS$42&amp;"C"&amp;$A70)="N/A",0,RTD("tos.rtd",,AS$43,"."&amp;$A$43&amp;$AS$42&amp;"C"&amp;$A70))</f>
        <v>724</v>
      </c>
      <c r="AT70" s="7">
        <f>-IF(RTD("tos.rtd",,AT$43,"."&amp;$A$43&amp;$AS$42&amp;"P"&amp;$A70)="N/A",0,RTD("tos.rtd",,AT$43,"."&amp;$A$43&amp;$AS$42&amp;"P"&amp;$A70))</f>
        <v>-6265</v>
      </c>
      <c r="AU70" s="6">
        <f>IF(RTD("tos.rtd",,AU$2,"."&amp;$A$43&amp;$AU$1&amp;"C"&amp;$A70)="N/A",0,RTD("tos.rtd",,AU$2,"."&amp;$A$43&amp;$AU$1&amp;"C"&amp;$A70))</f>
        <v>926</v>
      </c>
      <c r="AV70" s="7">
        <f>-IF(RTD("tos.rtd",,AV$2,"."&amp;$A$43&amp;$AU$1&amp;"P"&amp;$A70)="N/A",0,RTD("tos.rtd",,AV$2,"."&amp;$A$43&amp;$AU$1&amp;"P"&amp;$A70))</f>
        <v>-2155</v>
      </c>
      <c r="AW70" s="6">
        <f>IF(RTD("tos.rtd",,AW$2,"."&amp;$A$43&amp;$AW$1&amp;"C"&amp;$A70)="N/A",0,RTD("tos.rtd",,AW$2,"."&amp;$A$43&amp;$AW$1&amp;"C"&amp;$A70))</f>
        <v>101</v>
      </c>
      <c r="AX70" s="7">
        <f>-IF(RTD("tos.rtd",,AX$2,"."&amp;$A$43&amp;$AW$1&amp;"P"&amp;$A70)="N/A",0,RTD("tos.rtd",,AX$2,"."&amp;$A$43&amp;$AW$1&amp;"P"&amp;$A70))</f>
        <v>-1752</v>
      </c>
      <c r="AY70" s="7">
        <f t="shared" si="276"/>
        <v>-8421</v>
      </c>
      <c r="AZ70" s="8">
        <f t="shared" si="245"/>
        <v>477</v>
      </c>
      <c r="BA70" s="6">
        <f>IF(RTD("tos.rtd",,BA$43,"."&amp;$A$43&amp;$AS$42&amp;"C"&amp;$A70)="N/A",0,RTD("tos.rtd",,BA$43,"."&amp;$A$43&amp;$AS$42&amp;"C"&amp;$A70))</f>
        <v>0</v>
      </c>
      <c r="BB70" s="7">
        <f>-IF(RTD("tos.rtd",,BB$43,"."&amp;$A$43&amp;$AS$42&amp;"P"&amp;$A70)="N/A",0,RTD("tos.rtd",,BB$43,"."&amp;$A$43&amp;$AS$42&amp;"P"&amp;$A70))</f>
        <v>0</v>
      </c>
      <c r="BC70" s="6">
        <f>IF(RTD("tos.rtd",,BC$2,"."&amp;$A$43&amp;$AU$1&amp;"C"&amp;$A70)="N/A",0,RTD("tos.rtd",,BC$2,"."&amp;$A$43&amp;$AU$1&amp;"C"&amp;$A70))</f>
        <v>162</v>
      </c>
      <c r="BD70" s="7">
        <f>-IF(RTD("tos.rtd",,BD$2,"."&amp;$A$43&amp;$AU$1&amp;"P"&amp;$A70)="N/A",0,RTD("tos.rtd",,BD$2,"."&amp;$A$43&amp;$AU$1&amp;"P"&amp;$A70))</f>
        <v>-3207</v>
      </c>
      <c r="BE70" s="6">
        <f>IF(RTD("tos.rtd",,BE$2,"."&amp;$A$43&amp;$AW$1&amp;"C"&amp;$A70)="N/A",0,RTD("tos.rtd",,BE$2,"."&amp;$A$43&amp;$AW$1&amp;"C"&amp;$A70))</f>
        <v>113</v>
      </c>
      <c r="BF70" s="7">
        <f>-IF(RTD("tos.rtd",,BF$2,"."&amp;$A$43&amp;$AW$1&amp;"P"&amp;$A70)="N/A",0,RTD("tos.rtd",,BF$2,"."&amp;$A$43&amp;$AW$1&amp;"P"&amp;$A70))</f>
        <v>-2327</v>
      </c>
      <c r="BG70" s="32">
        <f ca="1">+Hoja2!Y71</f>
        <v>-372</v>
      </c>
      <c r="BH70" s="7">
        <f t="shared" ca="1" si="277"/>
        <v>-5631</v>
      </c>
      <c r="BI70" s="8" t="str">
        <f t="shared" ca="1" si="295"/>
        <v/>
      </c>
      <c r="BJ70" s="83" t="e">
        <f ca="1">IF($BP$1=1,DX70,IF(RTD("tos.rtd",,BJ$43,"."&amp;$A$43&amp;$AS$42&amp;"C"&amp;$A70)="N/A",0,RTD("tos.rtd",,BJ$43,"."&amp;$A$43&amp;$AS$42&amp;"C"&amp;$A70)))</f>
        <v>#NUM!</v>
      </c>
      <c r="BK70" s="83" t="e">
        <f ca="1">IF($BP$1=1,DY70,-IF(RTD("tos.rtd",,BK$43,"."&amp;$A$43&amp;$AS$42&amp;"P"&amp;$A70)="N/A",0,RTD("tos.rtd",,BK$43,"."&amp;$A$43&amp;$AS$42&amp;"P"&amp;$A70)))</f>
        <v>#NUM!</v>
      </c>
      <c r="BL70" s="83" t="e">
        <f ca="1">IF($BP$1=1,DZ70,IF(RTD("tos.rtd",,BL$2,"."&amp;$A$43&amp;$AU$1&amp;"C"&amp;$A70)="N/A",0,RTD("tos.rtd",,BL$2,"."&amp;$A$43&amp;$AU$1&amp;"C"&amp;$A70)))</f>
        <v>#NUM!</v>
      </c>
      <c r="BM70" s="83" t="e">
        <f ca="1">IF($BP$1=1,EA70,-IF(RTD("tos.rtd",,BM$2,"."&amp;$A$43&amp;$AU$1&amp;"P"&amp;$A70)="N/A",0,RTD("tos.rtd",,BM$2,"."&amp;$A$43&amp;$AU$1&amp;"P"&amp;$A70)))</f>
        <v>#NUM!</v>
      </c>
      <c r="BN70" s="83" t="e">
        <f ca="1">IF($BP$1=1,EB70,IF(RTD("tos.rtd",,BN$2,"."&amp;$A$43&amp;$AW$1&amp;"C"&amp;$A70)="N/A",0,RTD("tos.rtd",,BN$2,"."&amp;$A$43&amp;$AW$1&amp;"C"&amp;$A70)))</f>
        <v>#NUM!</v>
      </c>
      <c r="BO70" s="83" t="e">
        <f ca="1">IF($BP$1=1,EC70,-IF(RTD("tos.rtd",,BO$2,"."&amp;$A$43&amp;$AW$1&amp;"P"&amp;$A70)="N/A",0,RTD("tos.rtd",,BO$2,"."&amp;$A$43&amp;$AW$1&amp;"P"&amp;$A70)))</f>
        <v>#NUM!</v>
      </c>
      <c r="BQ70" s="83" t="e">
        <f t="shared" ca="1" si="278"/>
        <v>#NUM!</v>
      </c>
      <c r="BR70" s="3" t="e">
        <f t="shared" ca="1" si="279"/>
        <v>#NUM!</v>
      </c>
      <c r="BS70" s="83" t="e">
        <f t="shared" ca="1" si="280"/>
        <v>#NUM!</v>
      </c>
      <c r="BT70" s="3" t="e">
        <f t="shared" ca="1" si="281"/>
        <v>#NUM!</v>
      </c>
      <c r="BU70" s="83" t="e">
        <f t="shared" ca="1" si="282"/>
        <v>#NUM!</v>
      </c>
      <c r="BV70" s="83"/>
      <c r="BX70" s="83" t="e">
        <f t="shared" ca="1" si="283"/>
        <v>#NUM!</v>
      </c>
      <c r="BY70" s="83" t="e">
        <f t="shared" ca="1" si="296"/>
        <v>#NUM!</v>
      </c>
      <c r="BZ70" s="83" t="e">
        <f t="shared" ca="1" si="284"/>
        <v>#NUM!</v>
      </c>
      <c r="CA70" s="83" t="e">
        <f t="shared" ca="1" si="296"/>
        <v>#NUM!</v>
      </c>
      <c r="CB70" s="83" t="e">
        <f t="shared" ca="1" si="285"/>
        <v>#NUM!</v>
      </c>
      <c r="CC70" s="83" t="e">
        <f t="shared" ca="1" si="296"/>
        <v>#NUM!</v>
      </c>
      <c r="CD70" s="83">
        <f>IF(RTD("tos.rtd",,CD$43,"."&amp;$A$43&amp;$AS$42&amp;"C"&amp;$A70)="N/A",0,RTD("tos.rtd",,CD$43,"."&amp;$A$43&amp;$AS$42&amp;"C"&amp;$A70))</f>
        <v>1</v>
      </c>
      <c r="CE70" s="83">
        <f>-IF(RTD("tos.rtd",,CE$43,"."&amp;$A$43&amp;$AS$42&amp;"P"&amp;$A70)="N/A",0,RTD("tos.rtd",,CE$43,"."&amp;$A$43&amp;$AS$42&amp;"P"&amp;$A70))</f>
        <v>0</v>
      </c>
      <c r="CF70" s="83">
        <f>IF(RTD("tos.rtd",,CF$2,"."&amp;$A$43&amp;$AU$1&amp;"C"&amp;$A70)="N/A",0,RTD("tos.rtd",,CF$2,"."&amp;$A$43&amp;$AU$1&amp;"C"&amp;$A70))</f>
        <v>1</v>
      </c>
      <c r="CG70" s="83">
        <f>-IF(RTD("tos.rtd",,CG$2,"."&amp;$A$43&amp;$AU$1&amp;"P"&amp;$A70)="N/A",0,RTD("tos.rtd",,CG$2,"."&amp;$A$43&amp;$AU$1&amp;"P"&amp;$A70))</f>
        <v>0</v>
      </c>
      <c r="CH70" s="83">
        <f>IF(RTD("tos.rtd",,CH$2,"."&amp;$A$43&amp;$AW$1&amp;"C"&amp;$A70)="N/A",0,RTD("tos.rtd",,CH$2,"."&amp;$A$43&amp;$AW$1&amp;"C"&amp;$A70))</f>
        <v>1</v>
      </c>
      <c r="CI70" s="83">
        <f>-IF(RTD("tos.rtd",,CI$2,"."&amp;$A$43&amp;$AW$1&amp;"P"&amp;$A70)="N/A",0,RTD("tos.rtd",,CI$2,"."&amp;$A$43&amp;$AW$1&amp;"P"&amp;$A70))</f>
        <v>0.2</v>
      </c>
      <c r="CK70" s="83">
        <f t="shared" si="286"/>
        <v>72400</v>
      </c>
      <c r="CL70" s="83"/>
      <c r="CM70" s="83">
        <f t="shared" si="287"/>
        <v>92600</v>
      </c>
      <c r="CN70" s="83"/>
      <c r="CO70" s="83">
        <f t="shared" si="288"/>
        <v>-24940</v>
      </c>
      <c r="CP70" s="83">
        <f t="shared" si="235"/>
        <v>140060</v>
      </c>
      <c r="CQ70" s="83">
        <f t="shared" si="249"/>
        <v>0</v>
      </c>
      <c r="CR70" s="83"/>
      <c r="CS70" s="83">
        <f t="shared" si="250"/>
        <v>-3045</v>
      </c>
      <c r="CT70" s="83"/>
      <c r="CU70" s="83">
        <f t="shared" si="251"/>
        <v>-2214</v>
      </c>
      <c r="CV70" s="83"/>
      <c r="CW70" s="83" t="e">
        <f t="shared" ca="1" si="252"/>
        <v>#NUM!</v>
      </c>
      <c r="CY70" s="83" t="e">
        <f t="shared" ca="1" si="253"/>
        <v>#NUM!</v>
      </c>
      <c r="CZ70" s="70" t="e">
        <f t="shared" ca="1" si="297"/>
        <v>#NUM!</v>
      </c>
      <c r="DA70" s="83">
        <f>IF(RTD("tos.rtd",,DA$43,"."&amp;$A$43&amp;$AS$42&amp;"C"&amp;$A70)="N/A",0,RTD("tos.rtd",,DA$43,"."&amp;$A$43&amp;$AS$42&amp;"C"&amp;$A70))</f>
        <v>11.63</v>
      </c>
      <c r="DB70" s="83">
        <f>IF(RTD("tos.rtd",,DB$43,"."&amp;$A$43&amp;$AS$42&amp;"P"&amp;$A70)="N/A",0,RTD("tos.rtd",,DB$43,"."&amp;$A$43&amp;$AS$42&amp;"P"&amp;$A70))</f>
        <v>0.01</v>
      </c>
      <c r="DC70" s="83">
        <f>IF(RTD("tos.rtd",,DC$43,"."&amp;$A$43&amp;$AS$42&amp;"C"&amp;$A70)="N/A",0,RTD("tos.rtd",,DC$43,"."&amp;$A$43&amp;$AS$42&amp;"C"&amp;$A70))</f>
        <v>13.19</v>
      </c>
      <c r="DD70" s="83">
        <f>IF(RTD("tos.rtd",,DD$43,"."&amp;$A$43&amp;$AS$42&amp;"P"&amp;$A70)="N/A",0,RTD("tos.rtd",,DD$43,"."&amp;$A$43&amp;$AS$42&amp;"P"&amp;$A70))</f>
        <v>0.01</v>
      </c>
      <c r="DE70" s="83">
        <f>IF(RTD("tos.rtd",,DE$43,"."&amp;$A$43&amp;$AS$42&amp;"C"&amp;$A70)="N/A",0,RTD("tos.rtd",,DE$43,"."&amp;$A$43&amp;$AS$42&amp;"C"&amp;$A70))</f>
        <v>9.5500000000000007</v>
      </c>
      <c r="DF70" s="83">
        <f>IF(RTD("tos.rtd",,DF$43,"."&amp;$A$43&amp;$AS$42&amp;"P"&amp;$A70)="N/A",0,RTD("tos.rtd",,DF$43,"."&amp;$A$43&amp;$AS$42&amp;"P"&amp;$A70))</f>
        <v>0</v>
      </c>
      <c r="DG70" s="86">
        <f t="shared" si="289"/>
        <v>-18.779999999999973</v>
      </c>
      <c r="DH70" s="83">
        <f t="shared" si="254"/>
        <v>-137.1428571428572</v>
      </c>
      <c r="DI70" s="83">
        <f t="shared" si="255"/>
        <v>13894</v>
      </c>
      <c r="DJ70" s="83">
        <f t="shared" si="256"/>
        <v>0</v>
      </c>
      <c r="DK70" s="83">
        <f t="shared" si="257"/>
        <v>13894</v>
      </c>
      <c r="DL70" s="83">
        <f t="shared" si="258"/>
        <v>13756.857142857143</v>
      </c>
      <c r="DM70" s="83">
        <f t="shared" si="259"/>
        <v>13894</v>
      </c>
      <c r="DN70" s="64" t="str">
        <f t="shared" si="260"/>
        <v>UNKNOWN</v>
      </c>
      <c r="DO70" s="64" t="str">
        <f t="shared" si="261"/>
        <v>UNKNOWN</v>
      </c>
      <c r="DP70" s="83">
        <f t="shared" si="262"/>
        <v>-1456.0314285714292</v>
      </c>
      <c r="DQ70" s="83">
        <f t="shared" si="263"/>
        <v>138.94</v>
      </c>
      <c r="DR70" s="83" t="e">
        <f t="shared" ca="1" si="264"/>
        <v>#NUM!</v>
      </c>
      <c r="DS70" s="83">
        <f t="shared" si="265"/>
        <v>0</v>
      </c>
      <c r="DT70" s="83">
        <f t="shared" si="290"/>
        <v>-240</v>
      </c>
      <c r="DU70" s="83">
        <f t="shared" si="291"/>
        <v>13894</v>
      </c>
      <c r="DV70" s="83">
        <f t="shared" si="266"/>
        <v>144</v>
      </c>
      <c r="DW70" s="83">
        <f t="shared" si="267"/>
        <v>-2210</v>
      </c>
      <c r="DX70" s="83" t="e">
        <f t="shared" ref="DX70:DX79" ca="1" si="406">(EXP(-POWER((LN($A$44/$A70)+($EC$1+POWER($EE70,2)/2)*($EM$1/$DY$1))/($EE70*SQRT($EM$1/$DY$1)),2)/2)/SQRT(2*PI())/($A$44*$EE70*SQRT($EM$1/$DY$1)))</f>
        <v>#NUM!</v>
      </c>
      <c r="DY70" s="83" t="e">
        <f t="shared" ref="DY70:DY79" ca="1" si="407">-(EXP(-POWER((LN($A$44/$A70)+($EC$1+POWER($EF70,2)/2)*($EM$1/$DY$1))/($EF70*SQRT($EM$1/$DY$1)),2)/2)/SQRT(2*PI())/($A$44*$EF70*SQRT($EM$1/$DY$1)))</f>
        <v>#NUM!</v>
      </c>
      <c r="DZ70" s="83" t="e">
        <f t="shared" ref="DZ70:DZ79" ca="1" si="408">(EXP(-POWER((LN($A$44/$A70)+($EC$1+POWER($EG70,2)/2)*($EO$1/$DY$1))/($EG70*SQRT($EO$1/$DY$1)),2)/2)/SQRT(2*PI())/($A$44*$EG70*SQRT($EO$1/$DY$1)))</f>
        <v>#NUM!</v>
      </c>
      <c r="EA70" s="83" t="e">
        <f t="shared" ref="EA70:EA79" ca="1" si="409">-(EXP(-POWER((LN($A$44/$A70)+($EC$1+POWER($EH70,2)/2)*($EO$1/$DY$1))/($EH70*SQRT($EO$1/$DY$1)),2)/2)/SQRT(2*PI())/($A$44*$EH70*SQRT($EO$1/$DY$1)))</f>
        <v>#NUM!</v>
      </c>
      <c r="EB70" s="83" t="e">
        <f t="shared" ref="EB70:EB79" ca="1" si="410">(EXP(-POWER((LN($A$44/$A70)+($EC$1+POWER($EI70,2)/2)*($EO$1/$DY$1))/($EI70*SQRT($EO$1/$DY$1)),2)/2)/SQRT(2*PI())/($A$44*$EI70*SQRT($EO$1/$DY$1)))</f>
        <v>#NUM!</v>
      </c>
      <c r="EC70" s="83" t="e">
        <f t="shared" ref="EC70:EC79" ca="1" si="411">-(EXP(-POWER((LN($A$44/$A70)+($EC$1+POWER($EJ70,2)/2)*($EO$1/$DY$1))/($EJ70*SQRT($EO$1/$DY$1)),2)/2)/SQRT(2*PI())/($A$44*$EJ70*SQRT($EO$1/$DY$1)))</f>
        <v>#NUM!</v>
      </c>
      <c r="ED70" s="63">
        <f t="shared" si="292"/>
        <v>-2066</v>
      </c>
      <c r="EE70" s="84">
        <f t="shared" si="268"/>
        <v>0.25</v>
      </c>
      <c r="EF70" s="84">
        <f t="shared" si="269"/>
        <v>1.8225</v>
      </c>
      <c r="EG70" s="84">
        <f t="shared" si="270"/>
        <v>0.25</v>
      </c>
      <c r="EH70" s="84">
        <f t="shared" si="271"/>
        <v>1.8225</v>
      </c>
      <c r="EI70" s="84">
        <f t="shared" si="272"/>
        <v>0.25</v>
      </c>
      <c r="EJ70" s="84">
        <f t="shared" si="273"/>
        <v>0.41210000000000002</v>
      </c>
      <c r="EK70" s="63" t="e">
        <f t="shared" ca="1" si="293"/>
        <v>#NUM!</v>
      </c>
      <c r="EL70" s="83" t="str">
        <f>RTD("tos.rtd",,EL$43,"."&amp;$A$43&amp;$AS$42&amp;"C"&amp;$A70)</f>
        <v>--</v>
      </c>
      <c r="EM70" s="83" t="str">
        <f>RTD("tos.rtd",,EM$43,"."&amp;$A$43&amp;$AS$42&amp;"P"&amp;$A70)</f>
        <v>182.25%</v>
      </c>
      <c r="EN70" s="83" t="str">
        <f>RTD("tos.rtd",,EN$2,"."&amp;$A$43&amp;$AU$1&amp;"C"&amp;$A70)</f>
        <v>--</v>
      </c>
      <c r="EO70" s="83" t="str">
        <f>RTD("tos.rtd",,EO$2,"."&amp;$A$43&amp;$AU$1&amp;"P"&amp;$A70)</f>
        <v>182.25%</v>
      </c>
      <c r="EP70" s="83" t="str">
        <f>RTD("tos.rtd",,EP$2,"."&amp;$A$43&amp;$AW$1&amp;"C"&amp;$A70)</f>
        <v>--</v>
      </c>
      <c r="EQ70" s="83" t="str">
        <f>RTD("tos.rtd",,EQ$2,"."&amp;$A$43&amp;$AW$1&amp;"P"&amp;$A70)</f>
        <v>41.21%</v>
      </c>
      <c r="ES70" s="63" t="str">
        <f t="shared" si="274"/>
        <v>477,-2066.00</v>
      </c>
      <c r="ET70" s="63" t="str">
        <f t="shared" ca="1" si="275"/>
        <v>477,00.00</v>
      </c>
      <c r="EU70" s="68">
        <v>561.29</v>
      </c>
      <c r="EV70" s="68" t="s">
        <v>579</v>
      </c>
      <c r="EW70" s="68">
        <v>483.76</v>
      </c>
      <c r="EX70" s="68" t="s">
        <v>580</v>
      </c>
      <c r="EY70" s="68">
        <v>5631.28</v>
      </c>
      <c r="EZ70" s="68" t="s">
        <v>581</v>
      </c>
      <c r="FA70" s="68">
        <v>19867.973000000002</v>
      </c>
      <c r="FB70" s="68" t="s">
        <v>582</v>
      </c>
      <c r="FC70" s="68" t="s">
        <v>583</v>
      </c>
      <c r="FD70" s="68" t="s">
        <v>584</v>
      </c>
      <c r="FE70" s="68" t="s">
        <v>585</v>
      </c>
      <c r="FF70" s="68" t="s">
        <v>586</v>
      </c>
    </row>
    <row r="71" spans="1:162" ht="13.5" thickBot="1" x14ac:dyDescent="0.25">
      <c r="A71" s="2">
        <f t="shared" si="294"/>
        <v>476</v>
      </c>
      <c r="B71" s="3">
        <f t="shared" si="241"/>
        <v>3168</v>
      </c>
      <c r="C71" s="3">
        <f t="shared" si="242"/>
        <v>3774</v>
      </c>
      <c r="D71" s="3">
        <f t="shared" si="243"/>
        <v>854</v>
      </c>
      <c r="E71" s="3">
        <f t="shared" si="244"/>
        <v>7796</v>
      </c>
      <c r="F71" s="4">
        <f t="shared" si="298"/>
        <v>19639.152446649725</v>
      </c>
      <c r="AM71" s="1">
        <v>-1427</v>
      </c>
      <c r="AN71" s="1">
        <v>-11179</v>
      </c>
      <c r="AO71" s="1">
        <v>476</v>
      </c>
      <c r="AP71" s="1">
        <v>129</v>
      </c>
      <c r="AQ71" s="1">
        <v>-6975</v>
      </c>
      <c r="AS71" s="6">
        <f>IF(RTD("tos.rtd",,AS$43,"."&amp;$A$43&amp;$AS$42&amp;"C"&amp;$A71)="N/A",0,RTD("tos.rtd",,AS$43,"."&amp;$A$43&amp;$AS$42&amp;"C"&amp;$A71))</f>
        <v>382</v>
      </c>
      <c r="AT71" s="7">
        <f>-IF(RTD("tos.rtd",,AT$43,"."&amp;$A$43&amp;$AS$42&amp;"P"&amp;$A71)="N/A",0,RTD("tos.rtd",,AT$43,"."&amp;$A$43&amp;$AS$42&amp;"P"&amp;$A71))</f>
        <v>-2786</v>
      </c>
      <c r="AU71" s="6">
        <f>IF(RTD("tos.rtd",,AU$2,"."&amp;$A$43&amp;$AU$1&amp;"C"&amp;$A71)="N/A",0,RTD("tos.rtd",,AU$2,"."&amp;$A$43&amp;$AU$1&amp;"C"&amp;$A71))</f>
        <v>718</v>
      </c>
      <c r="AV71" s="7">
        <f>-IF(RTD("tos.rtd",,AV$2,"."&amp;$A$43&amp;$AU$1&amp;"P"&amp;$A71)="N/A",0,RTD("tos.rtd",,AV$2,"."&amp;$A$43&amp;$AU$1&amp;"P"&amp;$A71))</f>
        <v>-3056</v>
      </c>
      <c r="AW71" s="6">
        <f>IF(RTD("tos.rtd",,AW$2,"."&amp;$A$43&amp;$AW$1&amp;"C"&amp;$A71)="N/A",0,RTD("tos.rtd",,AW$2,"."&amp;$A$43&amp;$AW$1&amp;"C"&amp;$A71))</f>
        <v>148</v>
      </c>
      <c r="AX71" s="7">
        <f>-IF(RTD("tos.rtd",,AX$2,"."&amp;$A$43&amp;$AW$1&amp;"P"&amp;$A71)="N/A",0,RTD("tos.rtd",,AX$2,"."&amp;$A$43&amp;$AW$1&amp;"P"&amp;$A71))</f>
        <v>-706</v>
      </c>
      <c r="AY71" s="7">
        <f t="shared" si="276"/>
        <v>-5300</v>
      </c>
      <c r="AZ71" s="8">
        <f t="shared" si="245"/>
        <v>476</v>
      </c>
      <c r="BA71" s="6">
        <f>IF(RTD("tos.rtd",,BA$43,"."&amp;$A$43&amp;$AS$42&amp;"C"&amp;$A71)="N/A",0,RTD("tos.rtd",,BA$43,"."&amp;$A$43&amp;$AS$42&amp;"C"&amp;$A71))</f>
        <v>0</v>
      </c>
      <c r="BB71" s="7">
        <f>-IF(RTD("tos.rtd",,BB$43,"."&amp;$A$43&amp;$AS$42&amp;"P"&amp;$A71)="N/A",0,RTD("tos.rtd",,BB$43,"."&amp;$A$43&amp;$AS$42&amp;"P"&amp;$A71))</f>
        <v>0</v>
      </c>
      <c r="BC71" s="6">
        <f>IF(RTD("tos.rtd",,BC$2,"."&amp;$A$43&amp;$AU$1&amp;"C"&amp;$A71)="N/A",0,RTD("tos.rtd",,BC$2,"."&amp;$A$43&amp;$AU$1&amp;"C"&amp;$A71))</f>
        <v>148</v>
      </c>
      <c r="BD71" s="7">
        <f>-IF(RTD("tos.rtd",,BD$2,"."&amp;$A$43&amp;$AU$1&amp;"P"&amp;$A71)="N/A",0,RTD("tos.rtd",,BD$2,"."&amp;$A$43&amp;$AU$1&amp;"P"&amp;$A71))</f>
        <v>-2702</v>
      </c>
      <c r="BE71" s="6">
        <f>IF(RTD("tos.rtd",,BE$2,"."&amp;$A$43&amp;$AW$1&amp;"C"&amp;$A71)="N/A",0,RTD("tos.rtd",,BE$2,"."&amp;$A$43&amp;$AW$1&amp;"C"&amp;$A71))</f>
        <v>63</v>
      </c>
      <c r="BF71" s="7">
        <f>-IF(RTD("tos.rtd",,BF$2,"."&amp;$A$43&amp;$AW$1&amp;"P"&amp;$A71)="N/A",0,RTD("tos.rtd",,BF$2,"."&amp;$A$43&amp;$AW$1&amp;"P"&amp;$A71))</f>
        <v>-1741</v>
      </c>
      <c r="BG71" s="32">
        <f ca="1">+Hoja2!Y72</f>
        <v>-348</v>
      </c>
      <c r="BH71" s="7">
        <f t="shared" ca="1" si="277"/>
        <v>-4580</v>
      </c>
      <c r="BI71" s="8" t="str">
        <f t="shared" ca="1" si="295"/>
        <v/>
      </c>
      <c r="BJ71" s="83" t="e">
        <f ca="1">IF($BP$1=1,DX71,IF(RTD("tos.rtd",,BJ$43,"."&amp;$A$43&amp;$AS$42&amp;"C"&amp;$A71)="N/A",0,RTD("tos.rtd",,BJ$43,"."&amp;$A$43&amp;$AS$42&amp;"C"&amp;$A71)))</f>
        <v>#NUM!</v>
      </c>
      <c r="BK71" s="83" t="e">
        <f ca="1">IF($BP$1=1,DY71,-IF(RTD("tos.rtd",,BK$43,"."&amp;$A$43&amp;$AS$42&amp;"P"&amp;$A71)="N/A",0,RTD("tos.rtd",,BK$43,"."&amp;$A$43&amp;$AS$42&amp;"P"&amp;$A71)))</f>
        <v>#NUM!</v>
      </c>
      <c r="BL71" s="83" t="e">
        <f ca="1">IF($BP$1=1,DZ71,IF(RTD("tos.rtd",,BL$2,"."&amp;$A$43&amp;$AU$1&amp;"C"&amp;$A71)="N/A",0,RTD("tos.rtd",,BL$2,"."&amp;$A$43&amp;$AU$1&amp;"C"&amp;$A71)))</f>
        <v>#NUM!</v>
      </c>
      <c r="BM71" s="83" t="e">
        <f ca="1">IF($BP$1=1,EA71,-IF(RTD("tos.rtd",,BM$2,"."&amp;$A$43&amp;$AU$1&amp;"P"&amp;$A71)="N/A",0,RTD("tos.rtd",,BM$2,"."&amp;$A$43&amp;$AU$1&amp;"P"&amp;$A71)))</f>
        <v>#NUM!</v>
      </c>
      <c r="BN71" s="83" t="e">
        <f ca="1">IF($BP$1=1,EB71,IF(RTD("tos.rtd",,BN$2,"."&amp;$A$43&amp;$AW$1&amp;"C"&amp;$A71)="N/A",0,RTD("tos.rtd",,BN$2,"."&amp;$A$43&amp;$AW$1&amp;"C"&amp;$A71)))</f>
        <v>#NUM!</v>
      </c>
      <c r="BO71" s="83" t="e">
        <f ca="1">IF($BP$1=1,EC71,-IF(RTD("tos.rtd",,BO$2,"."&amp;$A$43&amp;$AW$1&amp;"P"&amp;$A71)="N/A",0,RTD("tos.rtd",,BO$2,"."&amp;$A$43&amp;$AW$1&amp;"P"&amp;$A71)))</f>
        <v>#NUM!</v>
      </c>
      <c r="BQ71" s="83" t="e">
        <f t="shared" ca="1" si="278"/>
        <v>#NUM!</v>
      </c>
      <c r="BR71" s="3" t="e">
        <f t="shared" ca="1" si="279"/>
        <v>#NUM!</v>
      </c>
      <c r="BS71" s="83" t="e">
        <f t="shared" ca="1" si="280"/>
        <v>#NUM!</v>
      </c>
      <c r="BT71" s="3" t="e">
        <f t="shared" ca="1" si="281"/>
        <v>#NUM!</v>
      </c>
      <c r="BU71" s="83" t="e">
        <f t="shared" ca="1" si="282"/>
        <v>#NUM!</v>
      </c>
      <c r="BV71" s="83"/>
      <c r="BX71" s="83" t="e">
        <f t="shared" ca="1" si="283"/>
        <v>#NUM!</v>
      </c>
      <c r="BY71" s="83" t="e">
        <f t="shared" ca="1" si="296"/>
        <v>#NUM!</v>
      </c>
      <c r="BZ71" s="83" t="e">
        <f t="shared" ca="1" si="284"/>
        <v>#NUM!</v>
      </c>
      <c r="CA71" s="83" t="e">
        <f t="shared" ca="1" si="296"/>
        <v>#NUM!</v>
      </c>
      <c r="CB71" s="83" t="e">
        <f t="shared" ca="1" si="285"/>
        <v>#NUM!</v>
      </c>
      <c r="CC71" s="83" t="e">
        <f t="shared" ca="1" si="296"/>
        <v>#NUM!</v>
      </c>
      <c r="CD71" s="83">
        <f>IF(RTD("tos.rtd",,CD$43,"."&amp;$A$43&amp;$AS$42&amp;"C"&amp;$A71)="N/A",0,RTD("tos.rtd",,CD$43,"."&amp;$A$43&amp;$AS$42&amp;"C"&amp;$A71))</f>
        <v>1</v>
      </c>
      <c r="CE71" s="83">
        <f>-IF(RTD("tos.rtd",,CE$43,"."&amp;$A$43&amp;$AS$42&amp;"P"&amp;$A71)="N/A",0,RTD("tos.rtd",,CE$43,"."&amp;$A$43&amp;$AS$42&amp;"P"&amp;$A71))</f>
        <v>0</v>
      </c>
      <c r="CF71" s="83">
        <f>IF(RTD("tos.rtd",,CF$2,"."&amp;$A$43&amp;$AU$1&amp;"C"&amp;$A71)="N/A",0,RTD("tos.rtd",,CF$2,"."&amp;$A$43&amp;$AU$1&amp;"C"&amp;$A71))</f>
        <v>1</v>
      </c>
      <c r="CG71" s="83">
        <f>-IF(RTD("tos.rtd",,CG$2,"."&amp;$A$43&amp;$AU$1&amp;"P"&amp;$A71)="N/A",0,RTD("tos.rtd",,CG$2,"."&amp;$A$43&amp;$AU$1&amp;"P"&amp;$A71))</f>
        <v>0</v>
      </c>
      <c r="CH71" s="83">
        <f>IF(RTD("tos.rtd",,CH$2,"."&amp;$A$43&amp;$AW$1&amp;"C"&amp;$A71)="N/A",0,RTD("tos.rtd",,CH$2,"."&amp;$A$43&amp;$AW$1&amp;"C"&amp;$A71))</f>
        <v>1</v>
      </c>
      <c r="CI71" s="83">
        <f>-IF(RTD("tos.rtd",,CI$2,"."&amp;$A$43&amp;$AW$1&amp;"P"&amp;$A71)="N/A",0,RTD("tos.rtd",,CI$2,"."&amp;$A$43&amp;$AW$1&amp;"P"&amp;$A71))</f>
        <v>0.18</v>
      </c>
      <c r="CK71" s="83">
        <f t="shared" si="286"/>
        <v>38200</v>
      </c>
      <c r="CL71" s="83"/>
      <c r="CM71" s="83">
        <f t="shared" si="287"/>
        <v>71800</v>
      </c>
      <c r="CN71" s="83"/>
      <c r="CO71" s="83">
        <f t="shared" si="288"/>
        <v>2092</v>
      </c>
      <c r="CP71" s="83">
        <f t="shared" si="235"/>
        <v>112092</v>
      </c>
      <c r="CQ71" s="83">
        <f t="shared" si="249"/>
        <v>0</v>
      </c>
      <c r="CR71" s="83"/>
      <c r="CS71" s="83">
        <f t="shared" si="250"/>
        <v>-2554</v>
      </c>
      <c r="CT71" s="83"/>
      <c r="CU71" s="83">
        <f t="shared" si="251"/>
        <v>-1678</v>
      </c>
      <c r="CV71" s="83"/>
      <c r="CW71" s="83" t="e">
        <f t="shared" ca="1" si="252"/>
        <v>#NUM!</v>
      </c>
      <c r="CY71" s="83" t="e">
        <f t="shared" ca="1" si="253"/>
        <v>#NUM!</v>
      </c>
      <c r="CZ71" s="70" t="e">
        <f t="shared" ca="1" si="297"/>
        <v>#NUM!</v>
      </c>
      <c r="DA71" s="83">
        <f>IF(RTD("tos.rtd",,DA$43,"."&amp;$A$43&amp;$AS$42&amp;"C"&amp;$A71)="N/A",0,RTD("tos.rtd",,DA$43,"."&amp;$A$43&amp;$AS$42&amp;"C"&amp;$A71))</f>
        <v>15.1</v>
      </c>
      <c r="DB71" s="83">
        <f>IF(RTD("tos.rtd",,DB$43,"."&amp;$A$43&amp;$AS$42&amp;"P"&amp;$A71)="N/A",0,RTD("tos.rtd",,DB$43,"."&amp;$A$43&amp;$AS$42&amp;"P"&amp;$A71))</f>
        <v>0.01</v>
      </c>
      <c r="DC71" s="83">
        <f>IF(RTD("tos.rtd",,DC$43,"."&amp;$A$43&amp;$AS$42&amp;"C"&amp;$A71)="N/A",0,RTD("tos.rtd",,DC$43,"."&amp;$A$43&amp;$AS$42&amp;"C"&amp;$A71))</f>
        <v>14.19</v>
      </c>
      <c r="DD71" s="83">
        <f>IF(RTD("tos.rtd",,DD$43,"."&amp;$A$43&amp;$AS$42&amp;"P"&amp;$A71)="N/A",0,RTD("tos.rtd",,DD$43,"."&amp;$A$43&amp;$AS$42&amp;"P"&amp;$A71))</f>
        <v>0.01</v>
      </c>
      <c r="DE71" s="83">
        <f>IF(RTD("tos.rtd",,DE$43,"."&amp;$A$43&amp;$AS$42&amp;"C"&amp;$A71)="N/A",0,RTD("tos.rtd",,DE$43,"."&amp;$A$43&amp;$AS$42&amp;"C"&amp;$A71))</f>
        <v>10.78</v>
      </c>
      <c r="DF71" s="83">
        <f>IF(RTD("tos.rtd",,DF$43,"."&amp;$A$43&amp;$AS$42&amp;"P"&amp;$A71)="N/A",0,RTD("tos.rtd",,DF$43,"."&amp;$A$43&amp;$AS$42&amp;"P"&amp;$A71))</f>
        <v>0</v>
      </c>
      <c r="DG71" s="86">
        <f t="shared" si="289"/>
        <v>-19.779999999999973</v>
      </c>
      <c r="DH71" s="83">
        <f t="shared" si="254"/>
        <v>-163.42521994134898</v>
      </c>
      <c r="DI71" s="83">
        <f t="shared" si="255"/>
        <v>6975</v>
      </c>
      <c r="DJ71" s="83">
        <f t="shared" si="256"/>
        <v>-129</v>
      </c>
      <c r="DK71" s="83">
        <f t="shared" si="257"/>
        <v>6975</v>
      </c>
      <c r="DL71" s="83">
        <f t="shared" si="258"/>
        <v>6811.5747800586514</v>
      </c>
      <c r="DM71" s="83">
        <f t="shared" si="259"/>
        <v>6846</v>
      </c>
      <c r="DN71" s="64" t="str">
        <f t="shared" si="260"/>
        <v>UNKNOWN</v>
      </c>
      <c r="DO71" s="64" t="str">
        <f t="shared" si="261"/>
        <v>UNKNOWN</v>
      </c>
      <c r="DP71" s="83">
        <f t="shared" si="262"/>
        <v>-2397.9708211143698</v>
      </c>
      <c r="DQ71" s="83">
        <f t="shared" si="263"/>
        <v>-1878.1499999999999</v>
      </c>
      <c r="DR71" s="83" t="e">
        <f t="shared" ca="1" si="264"/>
        <v>#NUM!</v>
      </c>
      <c r="DS71" s="83">
        <f t="shared" si="265"/>
        <v>-129</v>
      </c>
      <c r="DT71" s="83">
        <f t="shared" si="290"/>
        <v>-129</v>
      </c>
      <c r="DU71" s="83">
        <f t="shared" si="291"/>
        <v>6975</v>
      </c>
      <c r="DV71" s="83">
        <f t="shared" si="266"/>
        <v>-1427</v>
      </c>
      <c r="DW71" s="83">
        <f t="shared" si="267"/>
        <v>-11179</v>
      </c>
      <c r="DX71" s="83" t="e">
        <f t="shared" ca="1" si="406"/>
        <v>#NUM!</v>
      </c>
      <c r="DY71" s="83" t="e">
        <f t="shared" ca="1" si="407"/>
        <v>#NUM!</v>
      </c>
      <c r="DZ71" s="83" t="e">
        <f t="shared" ca="1" si="408"/>
        <v>#NUM!</v>
      </c>
      <c r="EA71" s="83" t="e">
        <f t="shared" ca="1" si="409"/>
        <v>#NUM!</v>
      </c>
      <c r="EB71" s="83" t="e">
        <f t="shared" ca="1" si="410"/>
        <v>#NUM!</v>
      </c>
      <c r="EC71" s="83" t="e">
        <f t="shared" ca="1" si="411"/>
        <v>#NUM!</v>
      </c>
      <c r="ED71" s="63">
        <f t="shared" si="292"/>
        <v>-12606</v>
      </c>
      <c r="EE71" s="84">
        <f t="shared" si="268"/>
        <v>0.25</v>
      </c>
      <c r="EF71" s="84">
        <f t="shared" si="269"/>
        <v>1.9119999999999999</v>
      </c>
      <c r="EG71" s="84">
        <f t="shared" si="270"/>
        <v>0.25</v>
      </c>
      <c r="EH71" s="84">
        <f t="shared" si="271"/>
        <v>1.9119999999999999</v>
      </c>
      <c r="EI71" s="84">
        <f t="shared" si="272"/>
        <v>0.25</v>
      </c>
      <c r="EJ71" s="84">
        <f t="shared" si="273"/>
        <v>0.41039999999999999</v>
      </c>
      <c r="EK71" s="63" t="e">
        <f t="shared" ca="1" si="293"/>
        <v>#NUM!</v>
      </c>
      <c r="EL71" s="83" t="str">
        <f>RTD("tos.rtd",,EL$43,"."&amp;$A$43&amp;$AS$42&amp;"C"&amp;$A71)</f>
        <v>--</v>
      </c>
      <c r="EM71" s="83" t="str">
        <f>RTD("tos.rtd",,EM$43,"."&amp;$A$43&amp;$AS$42&amp;"P"&amp;$A71)</f>
        <v>191.20%</v>
      </c>
      <c r="EN71" s="83" t="str">
        <f>RTD("tos.rtd",,EN$2,"."&amp;$A$43&amp;$AU$1&amp;"C"&amp;$A71)</f>
        <v>--</v>
      </c>
      <c r="EO71" s="83" t="str">
        <f>RTD("tos.rtd",,EO$2,"."&amp;$A$43&amp;$AU$1&amp;"P"&amp;$A71)</f>
        <v>191.20%</v>
      </c>
      <c r="EP71" s="83" t="str">
        <f>RTD("tos.rtd",,EP$2,"."&amp;$A$43&amp;$AW$1&amp;"C"&amp;$A71)</f>
        <v>--</v>
      </c>
      <c r="EQ71" s="83" t="str">
        <f>RTD("tos.rtd",,EQ$2,"."&amp;$A$43&amp;$AW$1&amp;"P"&amp;$A71)</f>
        <v>41.04%</v>
      </c>
      <c r="ES71" s="63" t="str">
        <f t="shared" si="274"/>
        <v>476,-12606.00</v>
      </c>
      <c r="ET71" s="63" t="str">
        <f t="shared" ca="1" si="275"/>
        <v>476,00.00</v>
      </c>
      <c r="EU71" s="68">
        <v>561.39</v>
      </c>
      <c r="EV71" s="68" t="s">
        <v>587</v>
      </c>
      <c r="EW71" s="68">
        <v>483.89</v>
      </c>
      <c r="EX71" s="68" t="s">
        <v>588</v>
      </c>
      <c r="EY71" s="68">
        <v>5631.28</v>
      </c>
      <c r="EZ71" s="68" t="s">
        <v>589</v>
      </c>
      <c r="FA71" s="68">
        <v>19867.973000000002</v>
      </c>
      <c r="FB71" s="68" t="s">
        <v>590</v>
      </c>
      <c r="FC71" s="68" t="s">
        <v>591</v>
      </c>
      <c r="FD71" s="68" t="s">
        <v>592</v>
      </c>
      <c r="FE71" s="68" t="s">
        <v>593</v>
      </c>
      <c r="FF71" s="68" t="s">
        <v>594</v>
      </c>
    </row>
    <row r="72" spans="1:162" ht="13.5" thickBot="1" x14ac:dyDescent="0.25">
      <c r="A72" s="2">
        <f t="shared" si="294"/>
        <v>475</v>
      </c>
      <c r="B72" s="3">
        <f t="shared" si="241"/>
        <v>8708</v>
      </c>
      <c r="C72" s="3">
        <f t="shared" ref="C72:C79" si="412">+IF($A$1="ABS",AU72-AV72,AU72+AV72)</f>
        <v>10563</v>
      </c>
      <c r="D72" s="3">
        <f t="shared" si="243"/>
        <v>49928</v>
      </c>
      <c r="E72" s="3">
        <f t="shared" si="244"/>
        <v>69199</v>
      </c>
      <c r="F72" s="4">
        <f t="shared" si="298"/>
        <v>19597.893723022309</v>
      </c>
      <c r="AM72" s="1">
        <v>-1855</v>
      </c>
      <c r="AN72" s="1">
        <v>-34785</v>
      </c>
      <c r="AO72" s="1">
        <v>475</v>
      </c>
      <c r="AP72" s="1">
        <v>508</v>
      </c>
      <c r="AQ72" s="1">
        <v>-14769</v>
      </c>
      <c r="AS72" s="6">
        <f>IF(RTD("tos.rtd",,AS$43,"."&amp;$A$43&amp;$AS$42&amp;"C"&amp;$A72)="N/A",0,RTD("tos.rtd",,AS$43,"."&amp;$A$43&amp;$AS$42&amp;"C"&amp;$A72))</f>
        <v>480</v>
      </c>
      <c r="AT72" s="7">
        <f>-IF(RTD("tos.rtd",,AT$43,"."&amp;$A$43&amp;$AS$42&amp;"P"&amp;$A72)="N/A",0,RTD("tos.rtd",,AT$43,"."&amp;$A$43&amp;$AS$42&amp;"P"&amp;$A72))</f>
        <v>-8228</v>
      </c>
      <c r="AU72" s="6">
        <f>IF(RTD("tos.rtd",,AU$2,"."&amp;$A$43&amp;$AU$1&amp;"C"&amp;$A72)="N/A",0,RTD("tos.rtd",,AU$2,"."&amp;$A$43&amp;$AU$1&amp;"C"&amp;$A72))</f>
        <v>3656</v>
      </c>
      <c r="AV72" s="7">
        <f>-IF(RTD("tos.rtd",,AV$2,"."&amp;$A$43&amp;$AU$1&amp;"P"&amp;$A72)="N/A",0,RTD("tos.rtd",,AV$2,"."&amp;$A$43&amp;$AU$1&amp;"P"&amp;$A72))</f>
        <v>-6907</v>
      </c>
      <c r="AW72" s="6">
        <f>IF(RTD("tos.rtd",,AW$2,"."&amp;$A$43&amp;$AW$1&amp;"C"&amp;$A72)="N/A",0,RTD("tos.rtd",,AW$2,"."&amp;$A$43&amp;$AW$1&amp;"C"&amp;$A72))</f>
        <v>28347</v>
      </c>
      <c r="AX72" s="7">
        <f>-IF(RTD("tos.rtd",,AX$2,"."&amp;$A$43&amp;$AW$1&amp;"P"&amp;$A72)="N/A",0,RTD("tos.rtd",,AX$2,"."&amp;$A$43&amp;$AW$1&amp;"P"&amp;$A72))</f>
        <v>-21581</v>
      </c>
      <c r="AY72" s="7">
        <f t="shared" si="276"/>
        <v>-4233</v>
      </c>
      <c r="AZ72" s="8">
        <f t="shared" si="245"/>
        <v>475</v>
      </c>
      <c r="BA72" s="6">
        <f>IF(RTD("tos.rtd",,BA$43,"."&amp;$A$43&amp;$AS$42&amp;"C"&amp;$A72)="N/A",0,RTD("tos.rtd",,BA$43,"."&amp;$A$43&amp;$AS$42&amp;"C"&amp;$A72))</f>
        <v>0</v>
      </c>
      <c r="BB72" s="7">
        <f>-IF(RTD("tos.rtd",,BB$43,"."&amp;$A$43&amp;$AS$42&amp;"P"&amp;$A72)="N/A",0,RTD("tos.rtd",,BB$43,"."&amp;$A$43&amp;$AS$42&amp;"P"&amp;$A72))</f>
        <v>0</v>
      </c>
      <c r="BC72" s="6">
        <f>IF(RTD("tos.rtd",,BC$2,"."&amp;$A$43&amp;$AU$1&amp;"C"&amp;$A72)="N/A",0,RTD("tos.rtd",,BC$2,"."&amp;$A$43&amp;$AU$1&amp;"C"&amp;$A72))</f>
        <v>481</v>
      </c>
      <c r="BD72" s="7">
        <f>-IF(RTD("tos.rtd",,BD$2,"."&amp;$A$43&amp;$AU$1&amp;"P"&amp;$A72)="N/A",0,RTD("tos.rtd",,BD$2,"."&amp;$A$43&amp;$AU$1&amp;"P"&amp;$A72))</f>
        <v>-5526</v>
      </c>
      <c r="BE72" s="6">
        <f>IF(RTD("tos.rtd",,BE$2,"."&amp;$A$43&amp;$AW$1&amp;"C"&amp;$A72)="N/A",0,RTD("tos.rtd",,BE$2,"."&amp;$A$43&amp;$AW$1&amp;"C"&amp;$A72))</f>
        <v>2178</v>
      </c>
      <c r="BF72" s="7">
        <f>-IF(RTD("tos.rtd",,BF$2,"."&amp;$A$43&amp;$AW$1&amp;"P"&amp;$A72)="N/A",0,RTD("tos.rtd",,BF$2,"."&amp;$A$43&amp;$AW$1&amp;"P"&amp;$A72))</f>
        <v>-12613</v>
      </c>
      <c r="BG72" s="32">
        <f ca="1">+Hoja2!Y73</f>
        <v>-15432</v>
      </c>
      <c r="BH72" s="7">
        <f t="shared" ca="1" si="277"/>
        <v>-30912</v>
      </c>
      <c r="BI72" s="8" t="str">
        <f t="shared" ca="1" si="295"/>
        <v/>
      </c>
      <c r="BJ72" s="83" t="e">
        <f ca="1">IF($BP$1=1,DX72,IF(RTD("tos.rtd",,BJ$43,"."&amp;$A$43&amp;$AS$42&amp;"C"&amp;$A72)="N/A",0,RTD("tos.rtd",,BJ$43,"."&amp;$A$43&amp;$AS$42&amp;"C"&amp;$A72)))</f>
        <v>#NUM!</v>
      </c>
      <c r="BK72" s="83" t="e">
        <f ca="1">IF($BP$1=1,DY72,-IF(RTD("tos.rtd",,BK$43,"."&amp;$A$43&amp;$AS$42&amp;"P"&amp;$A72)="N/A",0,RTD("tos.rtd",,BK$43,"."&amp;$A$43&amp;$AS$42&amp;"P"&amp;$A72)))</f>
        <v>#NUM!</v>
      </c>
      <c r="BL72" s="83" t="e">
        <f ca="1">IF($BP$1=1,DZ72,IF(RTD("tos.rtd",,BL$2,"."&amp;$A$43&amp;$AU$1&amp;"C"&amp;$A72)="N/A",0,RTD("tos.rtd",,BL$2,"."&amp;$A$43&amp;$AU$1&amp;"C"&amp;$A72)))</f>
        <v>#NUM!</v>
      </c>
      <c r="BM72" s="83" t="e">
        <f ca="1">IF($BP$1=1,EA72,-IF(RTD("tos.rtd",,BM$2,"."&amp;$A$43&amp;$AU$1&amp;"P"&amp;$A72)="N/A",0,RTD("tos.rtd",,BM$2,"."&amp;$A$43&amp;$AU$1&amp;"P"&amp;$A72)))</f>
        <v>#NUM!</v>
      </c>
      <c r="BN72" s="83" t="e">
        <f ca="1">IF($BP$1=1,EB72,IF(RTD("tos.rtd",,BN$2,"."&amp;$A$43&amp;$AW$1&amp;"C"&amp;$A72)="N/A",0,RTD("tos.rtd",,BN$2,"."&amp;$A$43&amp;$AW$1&amp;"C"&amp;$A72)))</f>
        <v>#NUM!</v>
      </c>
      <c r="BO72" s="83" t="e">
        <f ca="1">IF($BP$1=1,EC72,-IF(RTD("tos.rtd",,BO$2,"."&amp;$A$43&amp;$AW$1&amp;"P"&amp;$A72)="N/A",0,RTD("tos.rtd",,BO$2,"."&amp;$A$43&amp;$AW$1&amp;"P"&amp;$A72)))</f>
        <v>#NUM!</v>
      </c>
      <c r="BQ72" s="83" t="e">
        <f t="shared" ca="1" si="278"/>
        <v>#NUM!</v>
      </c>
      <c r="BR72" s="3" t="e">
        <f t="shared" ca="1" si="279"/>
        <v>#NUM!</v>
      </c>
      <c r="BS72" s="83" t="e">
        <f t="shared" ca="1" si="280"/>
        <v>#NUM!</v>
      </c>
      <c r="BT72" s="3" t="e">
        <f t="shared" ca="1" si="281"/>
        <v>#NUM!</v>
      </c>
      <c r="BU72" s="83" t="e">
        <f t="shared" ca="1" si="282"/>
        <v>#NUM!</v>
      </c>
      <c r="BV72" s="83"/>
      <c r="BX72" s="83" t="e">
        <f t="shared" ca="1" si="283"/>
        <v>#NUM!</v>
      </c>
      <c r="BY72" s="83" t="e">
        <f t="shared" ca="1" si="296"/>
        <v>#NUM!</v>
      </c>
      <c r="BZ72" s="83" t="e">
        <f t="shared" ca="1" si="284"/>
        <v>#NUM!</v>
      </c>
      <c r="CA72" s="83" t="e">
        <f t="shared" ca="1" si="296"/>
        <v>#NUM!</v>
      </c>
      <c r="CB72" s="83" t="e">
        <f t="shared" ca="1" si="285"/>
        <v>#NUM!</v>
      </c>
      <c r="CC72" s="83" t="e">
        <f t="shared" ca="1" si="296"/>
        <v>#NUM!</v>
      </c>
      <c r="CD72" s="83">
        <f>IF(RTD("tos.rtd",,CD$43,"."&amp;$A$43&amp;$AS$42&amp;"C"&amp;$A72)="N/A",0,RTD("tos.rtd",,CD$43,"."&amp;$A$43&amp;$AS$42&amp;"C"&amp;$A72))</f>
        <v>1</v>
      </c>
      <c r="CE72" s="83">
        <f>-IF(RTD("tos.rtd",,CE$43,"."&amp;$A$43&amp;$AS$42&amp;"P"&amp;$A72)="N/A",0,RTD("tos.rtd",,CE$43,"."&amp;$A$43&amp;$AS$42&amp;"P"&amp;$A72))</f>
        <v>0</v>
      </c>
      <c r="CF72" s="83">
        <f>IF(RTD("tos.rtd",,CF$2,"."&amp;$A$43&amp;$AU$1&amp;"C"&amp;$A72)="N/A",0,RTD("tos.rtd",,CF$2,"."&amp;$A$43&amp;$AU$1&amp;"C"&amp;$A72))</f>
        <v>1</v>
      </c>
      <c r="CG72" s="83">
        <f>-IF(RTD("tos.rtd",,CG$2,"."&amp;$A$43&amp;$AU$1&amp;"P"&amp;$A72)="N/A",0,RTD("tos.rtd",,CG$2,"."&amp;$A$43&amp;$AU$1&amp;"P"&amp;$A72))</f>
        <v>0</v>
      </c>
      <c r="CH72" s="83">
        <f>IF(RTD("tos.rtd",,CH$2,"."&amp;$A$43&amp;$AW$1&amp;"C"&amp;$A72)="N/A",0,RTD("tos.rtd",,CH$2,"."&amp;$A$43&amp;$AW$1&amp;"C"&amp;$A72))</f>
        <v>1</v>
      </c>
      <c r="CI72" s="83">
        <f>-IF(RTD("tos.rtd",,CI$2,"."&amp;$A$43&amp;$AW$1&amp;"P"&amp;$A72)="N/A",0,RTD("tos.rtd",,CI$2,"."&amp;$A$43&amp;$AW$1&amp;"P"&amp;$A72))</f>
        <v>0.17</v>
      </c>
      <c r="CK72" s="83">
        <f t="shared" si="286"/>
        <v>48000</v>
      </c>
      <c r="CL72" s="83"/>
      <c r="CM72" s="83">
        <f t="shared" si="287"/>
        <v>365600</v>
      </c>
      <c r="CN72" s="83"/>
      <c r="CO72" s="83">
        <f t="shared" si="288"/>
        <v>2467823</v>
      </c>
      <c r="CP72" s="83">
        <f t="shared" si="235"/>
        <v>2881423</v>
      </c>
      <c r="CQ72" s="83">
        <f t="shared" si="249"/>
        <v>0</v>
      </c>
      <c r="CR72" s="83"/>
      <c r="CS72" s="83">
        <f t="shared" si="250"/>
        <v>-5045</v>
      </c>
      <c r="CT72" s="83"/>
      <c r="CU72" s="83">
        <f t="shared" si="251"/>
        <v>-10435</v>
      </c>
      <c r="CV72" s="83"/>
      <c r="CW72" s="83" t="e">
        <f t="shared" ca="1" si="252"/>
        <v>#NUM!</v>
      </c>
      <c r="CY72" s="83" t="e">
        <f t="shared" ca="1" si="253"/>
        <v>#NUM!</v>
      </c>
      <c r="CZ72" s="70" t="e">
        <f t="shared" ca="1" si="297"/>
        <v>#NUM!</v>
      </c>
      <c r="DA72" s="83">
        <f>IF(RTD("tos.rtd",,DA$43,"."&amp;$A$43&amp;$AS$42&amp;"C"&amp;$A72)="N/A",0,RTD("tos.rtd",,DA$43,"."&amp;$A$43&amp;$AS$42&amp;"C"&amp;$A72))</f>
        <v>13.95</v>
      </c>
      <c r="DB72" s="83">
        <f>IF(RTD("tos.rtd",,DB$43,"."&amp;$A$43&amp;$AS$42&amp;"P"&amp;$A72)="N/A",0,RTD("tos.rtd",,DB$43,"."&amp;$A$43&amp;$AS$42&amp;"P"&amp;$A72))</f>
        <v>0.01</v>
      </c>
      <c r="DC72" s="83">
        <f>IF(RTD("tos.rtd",,DC$43,"."&amp;$A$43&amp;$AS$42&amp;"C"&amp;$A72)="N/A",0,RTD("tos.rtd",,DC$43,"."&amp;$A$43&amp;$AS$42&amp;"C"&amp;$A72))</f>
        <v>14.98</v>
      </c>
      <c r="DD72" s="83">
        <f>IF(RTD("tos.rtd",,DD$43,"."&amp;$A$43&amp;$AS$42&amp;"P"&amp;$A72)="N/A",0,RTD("tos.rtd",,DD$43,"."&amp;$A$43&amp;$AS$42&amp;"P"&amp;$A72))</f>
        <v>0.01</v>
      </c>
      <c r="DE72" s="83">
        <f>IF(RTD("tos.rtd",,DE$43,"."&amp;$A$43&amp;$AS$42&amp;"C"&amp;$A72)="N/A",0,RTD("tos.rtd",,DE$43,"."&amp;$A$43&amp;$AS$42&amp;"C"&amp;$A72))</f>
        <v>11.78</v>
      </c>
      <c r="DF72" s="83">
        <f>IF(RTD("tos.rtd",,DF$43,"."&amp;$A$43&amp;$AS$42&amp;"P"&amp;$A72)="N/A",0,RTD("tos.rtd",,DF$43,"."&amp;$A$43&amp;$AS$42&amp;"P"&amp;$A72))</f>
        <v>0</v>
      </c>
      <c r="DG72" s="86">
        <f t="shared" si="289"/>
        <v>-20.779999999999973</v>
      </c>
      <c r="DH72" s="83">
        <f t="shared" si="254"/>
        <v>-344.4874999999999</v>
      </c>
      <c r="DI72" s="83">
        <f t="shared" si="255"/>
        <v>14769</v>
      </c>
      <c r="DJ72" s="83">
        <f t="shared" si="256"/>
        <v>-508</v>
      </c>
      <c r="DK72" s="83">
        <f t="shared" si="257"/>
        <v>14769</v>
      </c>
      <c r="DL72" s="83">
        <f t="shared" si="258"/>
        <v>14424.512500000001</v>
      </c>
      <c r="DM72" s="83">
        <f t="shared" si="259"/>
        <v>14261</v>
      </c>
      <c r="DN72" s="64" t="str">
        <f t="shared" si="260"/>
        <v>UNKNOWN</v>
      </c>
      <c r="DO72" s="64" t="str">
        <f t="shared" si="261"/>
        <v>UNKNOWN</v>
      </c>
      <c r="DP72" s="83">
        <f t="shared" si="262"/>
        <v>-4657.9106249999986</v>
      </c>
      <c r="DQ72" s="83">
        <f t="shared" si="263"/>
        <v>-6938.91</v>
      </c>
      <c r="DR72" s="83" t="e">
        <f t="shared" ca="1" si="264"/>
        <v>#NUM!</v>
      </c>
      <c r="DS72" s="83">
        <f t="shared" si="265"/>
        <v>-508</v>
      </c>
      <c r="DT72" s="83">
        <f t="shared" si="290"/>
        <v>-508</v>
      </c>
      <c r="DU72" s="83">
        <f t="shared" si="291"/>
        <v>14769</v>
      </c>
      <c r="DV72" s="83">
        <f t="shared" si="266"/>
        <v>-1855</v>
      </c>
      <c r="DW72" s="83">
        <f t="shared" si="267"/>
        <v>-34785</v>
      </c>
      <c r="DX72" s="83" t="e">
        <f t="shared" ca="1" si="406"/>
        <v>#NUM!</v>
      </c>
      <c r="DY72" s="83" t="e">
        <f t="shared" ca="1" si="407"/>
        <v>#NUM!</v>
      </c>
      <c r="DZ72" s="83" t="e">
        <f t="shared" ca="1" si="408"/>
        <v>#NUM!</v>
      </c>
      <c r="EA72" s="83" t="e">
        <f t="shared" ca="1" si="409"/>
        <v>#NUM!</v>
      </c>
      <c r="EB72" s="83" t="e">
        <f t="shared" ca="1" si="410"/>
        <v>#NUM!</v>
      </c>
      <c r="EC72" s="83" t="e">
        <f t="shared" ca="1" si="411"/>
        <v>#NUM!</v>
      </c>
      <c r="ED72" s="63">
        <f t="shared" si="292"/>
        <v>-36640</v>
      </c>
      <c r="EE72" s="84">
        <f t="shared" si="268"/>
        <v>0.25</v>
      </c>
      <c r="EF72" s="84">
        <f t="shared" si="269"/>
        <v>2.0013999999999998</v>
      </c>
      <c r="EG72" s="84">
        <f t="shared" si="270"/>
        <v>0.25</v>
      </c>
      <c r="EH72" s="84">
        <f t="shared" si="271"/>
        <v>2.0013999999999998</v>
      </c>
      <c r="EI72" s="84">
        <f t="shared" si="272"/>
        <v>0.25</v>
      </c>
      <c r="EJ72" s="84">
        <f t="shared" si="273"/>
        <v>0.40910000000000002</v>
      </c>
      <c r="EK72" s="63" t="e">
        <f t="shared" ca="1" si="293"/>
        <v>#NUM!</v>
      </c>
      <c r="EL72" s="83" t="str">
        <f>RTD("tos.rtd",,EL$43,"."&amp;$A$43&amp;$AS$42&amp;"C"&amp;$A72)</f>
        <v>--</v>
      </c>
      <c r="EM72" s="83" t="str">
        <f>RTD("tos.rtd",,EM$43,"."&amp;$A$43&amp;$AS$42&amp;"P"&amp;$A72)</f>
        <v>200.14%</v>
      </c>
      <c r="EN72" s="83" t="str">
        <f>RTD("tos.rtd",,EN$2,"."&amp;$A$43&amp;$AU$1&amp;"C"&amp;$A72)</f>
        <v>--</v>
      </c>
      <c r="EO72" s="83" t="str">
        <f>RTD("tos.rtd",,EO$2,"."&amp;$A$43&amp;$AU$1&amp;"P"&amp;$A72)</f>
        <v>200.14%</v>
      </c>
      <c r="EP72" s="83" t="str">
        <f>RTD("tos.rtd",,EP$2,"."&amp;$A$43&amp;$AW$1&amp;"C"&amp;$A72)</f>
        <v>--</v>
      </c>
      <c r="EQ72" s="83" t="str">
        <f>RTD("tos.rtd",,EQ$2,"."&amp;$A$43&amp;$AW$1&amp;"P"&amp;$A72)</f>
        <v>40.91%</v>
      </c>
      <c r="ES72" s="63" t="str">
        <f t="shared" si="274"/>
        <v>475,-36640.00</v>
      </c>
      <c r="ET72" s="63" t="str">
        <f t="shared" ca="1" si="275"/>
        <v>475,00.00</v>
      </c>
      <c r="EU72" s="68">
        <v>561.41</v>
      </c>
      <c r="EV72" s="68" t="s">
        <v>595</v>
      </c>
      <c r="EW72" s="68">
        <v>483.92</v>
      </c>
      <c r="EX72" s="68" t="s">
        <v>596</v>
      </c>
      <c r="EY72" s="68">
        <v>5631.28</v>
      </c>
      <c r="EZ72" s="68" t="s">
        <v>597</v>
      </c>
      <c r="FA72" s="68">
        <v>19867.973000000002</v>
      </c>
      <c r="FB72" s="68" t="s">
        <v>598</v>
      </c>
      <c r="FC72" s="68" t="s">
        <v>599</v>
      </c>
      <c r="FD72" s="68" t="s">
        <v>600</v>
      </c>
      <c r="FE72" s="68" t="s">
        <v>601</v>
      </c>
      <c r="FF72" s="68" t="s">
        <v>602</v>
      </c>
    </row>
    <row r="73" spans="1:162" ht="13.5" thickBot="1" x14ac:dyDescent="0.25">
      <c r="A73" s="2">
        <f t="shared" si="294"/>
        <v>474</v>
      </c>
      <c r="B73" s="3">
        <f t="shared" si="241"/>
        <v>5939</v>
      </c>
      <c r="C73" s="3">
        <f t="shared" si="412"/>
        <v>2963</v>
      </c>
      <c r="D73" s="3">
        <f t="shared" si="243"/>
        <v>484</v>
      </c>
      <c r="E73" s="3">
        <f t="shared" si="244"/>
        <v>9386</v>
      </c>
      <c r="F73" s="4">
        <f t="shared" si="298"/>
        <v>19556.634999394893</v>
      </c>
      <c r="AM73" s="1">
        <v>157</v>
      </c>
      <c r="AN73" s="1">
        <v>-2704</v>
      </c>
      <c r="AO73" s="1">
        <v>474</v>
      </c>
      <c r="AP73" s="1">
        <v>218</v>
      </c>
      <c r="AQ73" s="1">
        <v>-6905</v>
      </c>
      <c r="AS73" s="6">
        <f>IF(RTD("tos.rtd",,AS$43,"."&amp;$A$43&amp;$AS$42&amp;"C"&amp;$A73)="N/A",0,RTD("tos.rtd",,AS$43,"."&amp;$A$43&amp;$AS$42&amp;"C"&amp;$A73))</f>
        <v>201</v>
      </c>
      <c r="AT73" s="7">
        <f>-IF(RTD("tos.rtd",,AT$43,"."&amp;$A$43&amp;$AS$42&amp;"P"&amp;$A73)="N/A",0,RTD("tos.rtd",,AT$43,"."&amp;$A$43&amp;$AS$42&amp;"P"&amp;$A73))</f>
        <v>-5738</v>
      </c>
      <c r="AU73" s="6">
        <f>IF(RTD("tos.rtd",,AU$2,"."&amp;$A$43&amp;$AU$1&amp;"C"&amp;$A73)="N/A",0,RTD("tos.rtd",,AU$2,"."&amp;$A$43&amp;$AU$1&amp;"C"&amp;$A73))</f>
        <v>448</v>
      </c>
      <c r="AV73" s="7">
        <f>-IF(RTD("tos.rtd",,AV$2,"."&amp;$A$43&amp;$AU$1&amp;"P"&amp;$A73)="N/A",0,RTD("tos.rtd",,AV$2,"."&amp;$A$43&amp;$AU$1&amp;"P"&amp;$A73))</f>
        <v>-2515</v>
      </c>
      <c r="AW73" s="6">
        <f>IF(RTD("tos.rtd",,AW$2,"."&amp;$A$43&amp;$AW$1&amp;"C"&amp;$A73)="N/A",0,RTD("tos.rtd",,AW$2,"."&amp;$A$43&amp;$AW$1&amp;"C"&amp;$A73))</f>
        <v>96</v>
      </c>
      <c r="AX73" s="7">
        <f>-IF(RTD("tos.rtd",,AX$2,"."&amp;$A$43&amp;$AW$1&amp;"P"&amp;$A73)="N/A",0,RTD("tos.rtd",,AX$2,"."&amp;$A$43&amp;$AW$1&amp;"P"&amp;$A73))</f>
        <v>-388</v>
      </c>
      <c r="AY73" s="7">
        <f t="shared" si="276"/>
        <v>-7896</v>
      </c>
      <c r="AZ73" s="8">
        <f t="shared" si="245"/>
        <v>474</v>
      </c>
      <c r="BA73" s="6">
        <f>IF(RTD("tos.rtd",,BA$43,"."&amp;$A$43&amp;$AS$42&amp;"C"&amp;$A73)="N/A",0,RTD("tos.rtd",,BA$43,"."&amp;$A$43&amp;$AS$42&amp;"C"&amp;$A73))</f>
        <v>0</v>
      </c>
      <c r="BB73" s="7">
        <f>-IF(RTD("tos.rtd",,BB$43,"."&amp;$A$43&amp;$AS$42&amp;"P"&amp;$A73)="N/A",0,RTD("tos.rtd",,BB$43,"."&amp;$A$43&amp;$AS$42&amp;"P"&amp;$A73))</f>
        <v>0</v>
      </c>
      <c r="BC73" s="6">
        <f>IF(RTD("tos.rtd",,BC$2,"."&amp;$A$43&amp;$AU$1&amp;"C"&amp;$A73)="N/A",0,RTD("tos.rtd",,BC$2,"."&amp;$A$43&amp;$AU$1&amp;"C"&amp;$A73))</f>
        <v>71</v>
      </c>
      <c r="BD73" s="7">
        <f>-IF(RTD("tos.rtd",,BD$2,"."&amp;$A$43&amp;$AU$1&amp;"P"&amp;$A73)="N/A",0,RTD("tos.rtd",,BD$2,"."&amp;$A$43&amp;$AU$1&amp;"P"&amp;$A73))</f>
        <v>-3131</v>
      </c>
      <c r="BE73" s="6">
        <f>IF(RTD("tos.rtd",,BE$2,"."&amp;$A$43&amp;$AW$1&amp;"C"&amp;$A73)="N/A",0,RTD("tos.rtd",,BE$2,"."&amp;$A$43&amp;$AW$1&amp;"C"&amp;$A73))</f>
        <v>18</v>
      </c>
      <c r="BF73" s="7">
        <f>-IF(RTD("tos.rtd",,BF$2,"."&amp;$A$43&amp;$AW$1&amp;"P"&amp;$A73)="N/A",0,RTD("tos.rtd",,BF$2,"."&amp;$A$43&amp;$AW$1&amp;"P"&amp;$A73))</f>
        <v>-4010</v>
      </c>
      <c r="BG73" s="32">
        <f ca="1">+Hoja2!Y74</f>
        <v>-231</v>
      </c>
      <c r="BH73" s="7">
        <f t="shared" ca="1" si="277"/>
        <v>-7283</v>
      </c>
      <c r="BI73" s="8" t="str">
        <f t="shared" ca="1" si="295"/>
        <v/>
      </c>
      <c r="BJ73" s="83" t="e">
        <f ca="1">IF($BP$1=1,DX73,IF(RTD("tos.rtd",,BJ$43,"."&amp;$A$43&amp;$AS$42&amp;"C"&amp;$A73)="N/A",0,RTD("tos.rtd",,BJ$43,"."&amp;$A$43&amp;$AS$42&amp;"C"&amp;$A73)))</f>
        <v>#NUM!</v>
      </c>
      <c r="BK73" s="83" t="e">
        <f ca="1">IF($BP$1=1,DY73,-IF(RTD("tos.rtd",,BK$43,"."&amp;$A$43&amp;$AS$42&amp;"P"&amp;$A73)="N/A",0,RTD("tos.rtd",,BK$43,"."&amp;$A$43&amp;$AS$42&amp;"P"&amp;$A73)))</f>
        <v>#NUM!</v>
      </c>
      <c r="BL73" s="83" t="e">
        <f ca="1">IF($BP$1=1,DZ73,IF(RTD("tos.rtd",,BL$2,"."&amp;$A$43&amp;$AU$1&amp;"C"&amp;$A73)="N/A",0,RTD("tos.rtd",,BL$2,"."&amp;$A$43&amp;$AU$1&amp;"C"&amp;$A73)))</f>
        <v>#NUM!</v>
      </c>
      <c r="BM73" s="83" t="e">
        <f ca="1">IF($BP$1=1,EA73,-IF(RTD("tos.rtd",,BM$2,"."&amp;$A$43&amp;$AU$1&amp;"P"&amp;$A73)="N/A",0,RTD("tos.rtd",,BM$2,"."&amp;$A$43&amp;$AU$1&amp;"P"&amp;$A73)))</f>
        <v>#NUM!</v>
      </c>
      <c r="BN73" s="83" t="e">
        <f ca="1">IF($BP$1=1,EB73,IF(RTD("tos.rtd",,BN$2,"."&amp;$A$43&amp;$AW$1&amp;"C"&amp;$A73)="N/A",0,RTD("tos.rtd",,BN$2,"."&amp;$A$43&amp;$AW$1&amp;"C"&amp;$A73)))</f>
        <v>#NUM!</v>
      </c>
      <c r="BO73" s="83" t="e">
        <f ca="1">IF($BP$1=1,EC73,-IF(RTD("tos.rtd",,BO$2,"."&amp;$A$43&amp;$AW$1&amp;"P"&amp;$A73)="N/A",0,RTD("tos.rtd",,BO$2,"."&amp;$A$43&amp;$AW$1&amp;"P"&amp;$A73)))</f>
        <v>#NUM!</v>
      </c>
      <c r="BQ73" s="83" t="e">
        <f t="shared" ca="1" si="278"/>
        <v>#NUM!</v>
      </c>
      <c r="BR73" s="3" t="e">
        <f t="shared" ca="1" si="279"/>
        <v>#NUM!</v>
      </c>
      <c r="BS73" s="83" t="e">
        <f t="shared" ca="1" si="280"/>
        <v>#NUM!</v>
      </c>
      <c r="BT73" s="3" t="e">
        <f t="shared" ca="1" si="281"/>
        <v>#NUM!</v>
      </c>
      <c r="BU73" s="83" t="e">
        <f t="shared" ca="1" si="282"/>
        <v>#NUM!</v>
      </c>
      <c r="BV73" s="83"/>
      <c r="BX73" s="83" t="e">
        <f t="shared" ca="1" si="283"/>
        <v>#NUM!</v>
      </c>
      <c r="BY73" s="83" t="e">
        <f t="shared" ca="1" si="296"/>
        <v>#NUM!</v>
      </c>
      <c r="BZ73" s="83" t="e">
        <f t="shared" ca="1" si="284"/>
        <v>#NUM!</v>
      </c>
      <c r="CA73" s="83" t="e">
        <f t="shared" ca="1" si="296"/>
        <v>#NUM!</v>
      </c>
      <c r="CB73" s="83" t="e">
        <f t="shared" ca="1" si="285"/>
        <v>#NUM!</v>
      </c>
      <c r="CC73" s="83" t="e">
        <f t="shared" ca="1" si="296"/>
        <v>#NUM!</v>
      </c>
      <c r="CD73" s="83">
        <f>IF(RTD("tos.rtd",,CD$43,"."&amp;$A$43&amp;$AS$42&amp;"C"&amp;$A73)="N/A",0,RTD("tos.rtd",,CD$43,"."&amp;$A$43&amp;$AS$42&amp;"C"&amp;$A73))</f>
        <v>1</v>
      </c>
      <c r="CE73" s="83">
        <f>-IF(RTD("tos.rtd",,CE$43,"."&amp;$A$43&amp;$AS$42&amp;"P"&amp;$A73)="N/A",0,RTD("tos.rtd",,CE$43,"."&amp;$A$43&amp;$AS$42&amp;"P"&amp;$A73))</f>
        <v>0</v>
      </c>
      <c r="CF73" s="83">
        <f>IF(RTD("tos.rtd",,CF$2,"."&amp;$A$43&amp;$AU$1&amp;"C"&amp;$A73)="N/A",0,RTD("tos.rtd",,CF$2,"."&amp;$A$43&amp;$AU$1&amp;"C"&amp;$A73))</f>
        <v>1</v>
      </c>
      <c r="CG73" s="83">
        <f>-IF(RTD("tos.rtd",,CG$2,"."&amp;$A$43&amp;$AU$1&amp;"P"&amp;$A73)="N/A",0,RTD("tos.rtd",,CG$2,"."&amp;$A$43&amp;$AU$1&amp;"P"&amp;$A73))</f>
        <v>0</v>
      </c>
      <c r="CH73" s="83">
        <f>IF(RTD("tos.rtd",,CH$2,"."&amp;$A$43&amp;$AW$1&amp;"C"&amp;$A73)="N/A",0,RTD("tos.rtd",,CH$2,"."&amp;$A$43&amp;$AW$1&amp;"C"&amp;$A73))</f>
        <v>1</v>
      </c>
      <c r="CI73" s="83">
        <f>-IF(RTD("tos.rtd",,CI$2,"."&amp;$A$43&amp;$AW$1&amp;"P"&amp;$A73)="N/A",0,RTD("tos.rtd",,CI$2,"."&amp;$A$43&amp;$AW$1&amp;"P"&amp;$A73))</f>
        <v>0.16</v>
      </c>
      <c r="CK73" s="83">
        <f t="shared" si="286"/>
        <v>20100</v>
      </c>
      <c r="CL73" s="83"/>
      <c r="CM73" s="83">
        <f t="shared" si="287"/>
        <v>44800</v>
      </c>
      <c r="CN73" s="83"/>
      <c r="CO73" s="83">
        <f t="shared" si="288"/>
        <v>3392</v>
      </c>
      <c r="CP73" s="83">
        <f t="shared" si="235"/>
        <v>68292</v>
      </c>
      <c r="CQ73" s="83">
        <f t="shared" si="249"/>
        <v>0</v>
      </c>
      <c r="CR73" s="83"/>
      <c r="CS73" s="83">
        <f t="shared" si="250"/>
        <v>-3060</v>
      </c>
      <c r="CT73" s="83"/>
      <c r="CU73" s="83">
        <f t="shared" si="251"/>
        <v>-3992</v>
      </c>
      <c r="CV73" s="83"/>
      <c r="CW73" s="83" t="e">
        <f t="shared" ca="1" si="252"/>
        <v>#NUM!</v>
      </c>
      <c r="CY73" s="83" t="e">
        <f t="shared" ca="1" si="253"/>
        <v>#NUM!</v>
      </c>
      <c r="CZ73" s="70" t="e">
        <f t="shared" ca="1" si="297"/>
        <v>#NUM!</v>
      </c>
      <c r="DA73" s="83">
        <f>IF(RTD("tos.rtd",,DA$43,"."&amp;$A$43&amp;$AS$42&amp;"C"&amp;$A73)="N/A",0,RTD("tos.rtd",,DA$43,"."&amp;$A$43&amp;$AS$42&amp;"C"&amp;$A73))</f>
        <v>16.149999999999999</v>
      </c>
      <c r="DB73" s="83">
        <f>IF(RTD("tos.rtd",,DB$43,"."&amp;$A$43&amp;$AS$42&amp;"P"&amp;$A73)="N/A",0,RTD("tos.rtd",,DB$43,"."&amp;$A$43&amp;$AS$42&amp;"P"&amp;$A73))</f>
        <v>0.01</v>
      </c>
      <c r="DC73" s="83">
        <f>IF(RTD("tos.rtd",,DC$43,"."&amp;$A$43&amp;$AS$42&amp;"C"&amp;$A73)="N/A",0,RTD("tos.rtd",,DC$43,"."&amp;$A$43&amp;$AS$42&amp;"C"&amp;$A73))</f>
        <v>16.18</v>
      </c>
      <c r="DD73" s="83">
        <f>IF(RTD("tos.rtd",,DD$43,"."&amp;$A$43&amp;$AS$42&amp;"P"&amp;$A73)="N/A",0,RTD("tos.rtd",,DD$43,"."&amp;$A$43&amp;$AS$42&amp;"P"&amp;$A73))</f>
        <v>0.01</v>
      </c>
      <c r="DE73" s="83">
        <f>IF(RTD("tos.rtd",,DE$43,"."&amp;$A$43&amp;$AS$42&amp;"C"&amp;$A73)="N/A",0,RTD("tos.rtd",,DE$43,"."&amp;$A$43&amp;$AS$42&amp;"C"&amp;$A73))</f>
        <v>12.78</v>
      </c>
      <c r="DF73" s="83">
        <f>IF(RTD("tos.rtd",,DF$43,"."&amp;$A$43&amp;$AS$42&amp;"P"&amp;$A73)="N/A",0,RTD("tos.rtd",,DF$43,"."&amp;$A$43&amp;$AS$42&amp;"P"&amp;$A73))</f>
        <v>0</v>
      </c>
      <c r="DG73" s="86">
        <f t="shared" si="289"/>
        <v>-21.779999999999973</v>
      </c>
      <c r="DH73" s="83">
        <f t="shared" si="254"/>
        <v>-216.07647058823522</v>
      </c>
      <c r="DI73" s="83">
        <f t="shared" si="255"/>
        <v>6905</v>
      </c>
      <c r="DJ73" s="83">
        <f t="shared" si="256"/>
        <v>-218</v>
      </c>
      <c r="DK73" s="83">
        <f t="shared" si="257"/>
        <v>6905</v>
      </c>
      <c r="DL73" s="83">
        <f t="shared" si="258"/>
        <v>6688.9235294117643</v>
      </c>
      <c r="DM73" s="83">
        <f t="shared" si="259"/>
        <v>6687</v>
      </c>
      <c r="DN73" s="64" t="str">
        <f t="shared" si="260"/>
        <v>UNKNOWN</v>
      </c>
      <c r="DO73" s="64" t="str">
        <f t="shared" si="261"/>
        <v>UNKNOWN</v>
      </c>
      <c r="DP73" s="83">
        <f t="shared" si="262"/>
        <v>-3420.5849999999982</v>
      </c>
      <c r="DQ73" s="83">
        <f t="shared" si="263"/>
        <v>-3451.6499999999996</v>
      </c>
      <c r="DR73" s="83" t="e">
        <f t="shared" ca="1" si="264"/>
        <v>#NUM!</v>
      </c>
      <c r="DS73" s="83">
        <f t="shared" si="265"/>
        <v>-218</v>
      </c>
      <c r="DT73" s="83">
        <f t="shared" si="290"/>
        <v>-218</v>
      </c>
      <c r="DU73" s="83">
        <f t="shared" si="291"/>
        <v>6905</v>
      </c>
      <c r="DV73" s="83">
        <f t="shared" si="266"/>
        <v>157</v>
      </c>
      <c r="DW73" s="83">
        <f t="shared" si="267"/>
        <v>-2704</v>
      </c>
      <c r="DX73" s="83" t="e">
        <f t="shared" ca="1" si="406"/>
        <v>#NUM!</v>
      </c>
      <c r="DY73" s="83" t="e">
        <f t="shared" ca="1" si="407"/>
        <v>#NUM!</v>
      </c>
      <c r="DZ73" s="83" t="e">
        <f t="shared" ca="1" si="408"/>
        <v>#NUM!</v>
      </c>
      <c r="EA73" s="83" t="e">
        <f t="shared" ca="1" si="409"/>
        <v>#NUM!</v>
      </c>
      <c r="EB73" s="83" t="e">
        <f t="shared" ca="1" si="410"/>
        <v>#NUM!</v>
      </c>
      <c r="EC73" s="83" t="e">
        <f t="shared" ca="1" si="411"/>
        <v>#NUM!</v>
      </c>
      <c r="ED73" s="63">
        <f t="shared" si="292"/>
        <v>-2547</v>
      </c>
      <c r="EE73" s="84">
        <f t="shared" si="268"/>
        <v>0.25</v>
      </c>
      <c r="EF73" s="84">
        <f t="shared" si="269"/>
        <v>2.0907</v>
      </c>
      <c r="EG73" s="84">
        <f t="shared" si="270"/>
        <v>0.25</v>
      </c>
      <c r="EH73" s="84">
        <f t="shared" si="271"/>
        <v>2.0907</v>
      </c>
      <c r="EI73" s="84">
        <f t="shared" si="272"/>
        <v>0.25</v>
      </c>
      <c r="EJ73" s="84">
        <f t="shared" si="273"/>
        <v>0.40720000000000001</v>
      </c>
      <c r="EK73" s="63" t="e">
        <f t="shared" ca="1" si="293"/>
        <v>#NUM!</v>
      </c>
      <c r="EL73" s="83" t="str">
        <f>RTD("tos.rtd",,EL$43,"."&amp;$A$43&amp;$AS$42&amp;"C"&amp;$A73)</f>
        <v>--</v>
      </c>
      <c r="EM73" s="83" t="str">
        <f>RTD("tos.rtd",,EM$43,"."&amp;$A$43&amp;$AS$42&amp;"P"&amp;$A73)</f>
        <v>209.07%</v>
      </c>
      <c r="EN73" s="83" t="str">
        <f>RTD("tos.rtd",,EN$2,"."&amp;$A$43&amp;$AU$1&amp;"C"&amp;$A73)</f>
        <v>--</v>
      </c>
      <c r="EO73" s="83" t="str">
        <f>RTD("tos.rtd",,EO$2,"."&amp;$A$43&amp;$AU$1&amp;"P"&amp;$A73)</f>
        <v>209.07%</v>
      </c>
      <c r="EP73" s="83" t="str">
        <f>RTD("tos.rtd",,EP$2,"."&amp;$A$43&amp;$AW$1&amp;"C"&amp;$A73)</f>
        <v>--</v>
      </c>
      <c r="EQ73" s="83" t="str">
        <f>RTD("tos.rtd",,EQ$2,"."&amp;$A$43&amp;$AW$1&amp;"P"&amp;$A73)</f>
        <v>40.72%</v>
      </c>
      <c r="ES73" s="63" t="str">
        <f t="shared" si="274"/>
        <v>474,-2547.00</v>
      </c>
      <c r="ET73" s="63" t="str">
        <f t="shared" ca="1" si="275"/>
        <v>474,00.00</v>
      </c>
      <c r="EU73" s="68">
        <v>561.33000000000004</v>
      </c>
      <c r="EV73" s="68" t="s">
        <v>603</v>
      </c>
      <c r="EW73" s="68">
        <v>483.9</v>
      </c>
      <c r="EX73" s="68" t="s">
        <v>604</v>
      </c>
      <c r="EY73" s="68">
        <v>5631.28</v>
      </c>
      <c r="EZ73" s="68" t="s">
        <v>605</v>
      </c>
      <c r="FA73" s="68">
        <v>19867.973000000002</v>
      </c>
      <c r="FB73" s="68" t="s">
        <v>606</v>
      </c>
      <c r="FC73" s="68" t="s">
        <v>607</v>
      </c>
      <c r="FD73" s="68" t="s">
        <v>608</v>
      </c>
      <c r="FE73" s="68" t="s">
        <v>609</v>
      </c>
      <c r="FF73" s="68" t="s">
        <v>610</v>
      </c>
    </row>
    <row r="74" spans="1:162" ht="13.5" thickBot="1" x14ac:dyDescent="0.25">
      <c r="A74" s="2">
        <f t="shared" si="294"/>
        <v>473</v>
      </c>
      <c r="B74" s="3">
        <f t="shared" si="241"/>
        <v>3540</v>
      </c>
      <c r="C74" s="3">
        <f t="shared" si="412"/>
        <v>4997</v>
      </c>
      <c r="D74" s="3">
        <f t="shared" si="243"/>
        <v>1090</v>
      </c>
      <c r="E74" s="3">
        <f>SUM(B74:D74)</f>
        <v>9627</v>
      </c>
      <c r="F74" s="4">
        <f>+$F$44/$A$44*A74</f>
        <v>19515.376275767478</v>
      </c>
      <c r="AM74" s="1">
        <v>-524</v>
      </c>
      <c r="AN74" s="1">
        <v>-7314</v>
      </c>
      <c r="AO74" s="1">
        <v>473</v>
      </c>
      <c r="AP74" s="1">
        <v>621</v>
      </c>
      <c r="AQ74" s="1">
        <v>-4062</v>
      </c>
      <c r="AS74" s="6">
        <f>IF(RTD("tos.rtd",,AS$43,"."&amp;$A$43&amp;$AS$42&amp;"C"&amp;$A74)="N/A",0,RTD("tos.rtd",,AS$43,"."&amp;$A$43&amp;$AS$42&amp;"C"&amp;$A74))</f>
        <v>631</v>
      </c>
      <c r="AT74" s="7">
        <f>-IF(RTD("tos.rtd",,AT$43,"."&amp;$A$43&amp;$AS$42&amp;"P"&amp;$A74)="N/A",0,RTD("tos.rtd",,AT$43,"."&amp;$A$43&amp;$AS$42&amp;"P"&amp;$A74))</f>
        <v>-2909</v>
      </c>
      <c r="AU74" s="6">
        <f>IF(RTD("tos.rtd",,AU$2,"."&amp;$A$43&amp;$AU$1&amp;"C"&amp;$A74)="N/A",0,RTD("tos.rtd",,AU$2,"."&amp;$A$43&amp;$AU$1&amp;"C"&amp;$A74))</f>
        <v>1362</v>
      </c>
      <c r="AV74" s="7">
        <f>-IF(RTD("tos.rtd",,AV$2,"."&amp;$A$43&amp;$AU$1&amp;"P"&amp;$A74)="N/A",0,RTD("tos.rtd",,AV$2,"."&amp;$A$43&amp;$AU$1&amp;"P"&amp;$A74))</f>
        <v>-3635</v>
      </c>
      <c r="AW74" s="6">
        <f>IF(RTD("tos.rtd",,AW$2,"."&amp;$A$43&amp;$AW$1&amp;"C"&amp;$A74)="N/A",0,RTD("tos.rtd",,AW$2,"."&amp;$A$43&amp;$AW$1&amp;"C"&amp;$A74))</f>
        <v>21</v>
      </c>
      <c r="AX74" s="7">
        <f>-IF(RTD("tos.rtd",,AX$2,"."&amp;$A$43&amp;$AW$1&amp;"P"&amp;$A74)="N/A",0,RTD("tos.rtd",,AX$2,"."&amp;$A$43&amp;$AW$1&amp;"P"&amp;$A74))</f>
        <v>-1069</v>
      </c>
      <c r="AY74" s="7">
        <f>SUM(AS74:AX74)</f>
        <v>-5599</v>
      </c>
      <c r="AZ74" s="8">
        <f t="shared" si="245"/>
        <v>473</v>
      </c>
      <c r="BA74" s="6">
        <f>IF(RTD("tos.rtd",,BA$43,"."&amp;$A$43&amp;$AS$42&amp;"C"&amp;$A74)="N/A",0,RTD("tos.rtd",,BA$43,"."&amp;$A$43&amp;$AS$42&amp;"C"&amp;$A74))</f>
        <v>0</v>
      </c>
      <c r="BB74" s="7">
        <f>-IF(RTD("tos.rtd",,BB$43,"."&amp;$A$43&amp;$AS$42&amp;"P"&amp;$A74)="N/A",0,RTD("tos.rtd",,BB$43,"."&amp;$A$43&amp;$AS$42&amp;"P"&amp;$A74))</f>
        <v>0</v>
      </c>
      <c r="BC74" s="6">
        <f>IF(RTD("tos.rtd",,BC$2,"."&amp;$A$43&amp;$AU$1&amp;"C"&amp;$A74)="N/A",0,RTD("tos.rtd",,BC$2,"."&amp;$A$43&amp;$AU$1&amp;"C"&amp;$A74))</f>
        <v>198</v>
      </c>
      <c r="BD74" s="7">
        <f>-IF(RTD("tos.rtd",,BD$2,"."&amp;$A$43&amp;$AU$1&amp;"P"&amp;$A74)="N/A",0,RTD("tos.rtd",,BD$2,"."&amp;$A$43&amp;$AU$1&amp;"P"&amp;$A74))</f>
        <v>-2788</v>
      </c>
      <c r="BE74" s="6">
        <f>IF(RTD("tos.rtd",,BE$2,"."&amp;$A$43&amp;$AW$1&amp;"C"&amp;$A74)="N/A",0,RTD("tos.rtd",,BE$2,"."&amp;$A$43&amp;$AW$1&amp;"C"&amp;$A74))</f>
        <v>45</v>
      </c>
      <c r="BF74" s="7">
        <f>-IF(RTD("tos.rtd",,BF$2,"."&amp;$A$43&amp;$AW$1&amp;"P"&amp;$A74)="N/A",0,RTD("tos.rtd",,BF$2,"."&amp;$A$43&amp;$AW$1&amp;"P"&amp;$A74))</f>
        <v>-1917</v>
      </c>
      <c r="BG74" s="32">
        <f ca="1">+Hoja2!Y75</f>
        <v>-158</v>
      </c>
      <c r="BH74" s="7">
        <f t="shared" ca="1" si="277"/>
        <v>-4620</v>
      </c>
      <c r="BI74" s="8" t="str">
        <f t="shared" ca="1" si="295"/>
        <v/>
      </c>
      <c r="BJ74" s="83" t="e">
        <f ca="1">IF($BP$1=1,DX74,IF(RTD("tos.rtd",,BJ$43,"."&amp;$A$43&amp;$AS$42&amp;"C"&amp;$A74)="N/A",0,RTD("tos.rtd",,BJ$43,"."&amp;$A$43&amp;$AS$42&amp;"C"&amp;$A74)))</f>
        <v>#NUM!</v>
      </c>
      <c r="BK74" s="83" t="e">
        <f ca="1">IF($BP$1=1,DY74,-IF(RTD("tos.rtd",,BK$43,"."&amp;$A$43&amp;$AS$42&amp;"P"&amp;$A74)="N/A",0,RTD("tos.rtd",,BK$43,"."&amp;$A$43&amp;$AS$42&amp;"P"&amp;$A74)))</f>
        <v>#NUM!</v>
      </c>
      <c r="BL74" s="83" t="e">
        <f ca="1">IF($BP$1=1,DZ74,IF(RTD("tos.rtd",,BL$2,"."&amp;$A$43&amp;$AU$1&amp;"C"&amp;$A74)="N/A",0,RTD("tos.rtd",,BL$2,"."&amp;$A$43&amp;$AU$1&amp;"C"&amp;$A74)))</f>
        <v>#NUM!</v>
      </c>
      <c r="BM74" s="83" t="e">
        <f ca="1">IF($BP$1=1,EA74,-IF(RTD("tos.rtd",,BM$2,"."&amp;$A$43&amp;$AU$1&amp;"P"&amp;$A74)="N/A",0,RTD("tos.rtd",,BM$2,"."&amp;$A$43&amp;$AU$1&amp;"P"&amp;$A74)))</f>
        <v>#NUM!</v>
      </c>
      <c r="BN74" s="83" t="e">
        <f ca="1">IF($BP$1=1,EB74,IF(RTD("tos.rtd",,BN$2,"."&amp;$A$43&amp;$AW$1&amp;"C"&amp;$A74)="N/A",0,RTD("tos.rtd",,BN$2,"."&amp;$A$43&amp;$AW$1&amp;"C"&amp;$A74)))</f>
        <v>#NUM!</v>
      </c>
      <c r="BO74" s="83" t="e">
        <f ca="1">IF($BP$1=1,EC74,-IF(RTD("tos.rtd",,BO$2,"."&amp;$A$43&amp;$AW$1&amp;"P"&amp;$A74)="N/A",0,RTD("tos.rtd",,BO$2,"."&amp;$A$43&amp;$AW$1&amp;"P"&amp;$A74)))</f>
        <v>#NUM!</v>
      </c>
      <c r="BQ74" s="83" t="e">
        <f t="shared" ca="1" si="278"/>
        <v>#NUM!</v>
      </c>
      <c r="BR74" s="3" t="e">
        <f t="shared" ca="1" si="279"/>
        <v>#NUM!</v>
      </c>
      <c r="BS74" s="83" t="e">
        <f t="shared" ca="1" si="280"/>
        <v>#NUM!</v>
      </c>
      <c r="BT74" s="3" t="e">
        <f t="shared" ca="1" si="281"/>
        <v>#NUM!</v>
      </c>
      <c r="BU74" s="83" t="e">
        <f t="shared" ca="1" si="282"/>
        <v>#NUM!</v>
      </c>
      <c r="BV74" s="83"/>
      <c r="BX74" s="83" t="e">
        <f t="shared" ca="1" si="283"/>
        <v>#NUM!</v>
      </c>
      <c r="BY74" s="83" t="e">
        <f t="shared" ca="1" si="296"/>
        <v>#NUM!</v>
      </c>
      <c r="BZ74" s="83" t="e">
        <f t="shared" ca="1" si="284"/>
        <v>#NUM!</v>
      </c>
      <c r="CA74" s="83" t="e">
        <f t="shared" ca="1" si="296"/>
        <v>#NUM!</v>
      </c>
      <c r="CB74" s="83" t="e">
        <f t="shared" ca="1" si="285"/>
        <v>#NUM!</v>
      </c>
      <c r="CC74" s="83" t="e">
        <f t="shared" ca="1" si="296"/>
        <v>#NUM!</v>
      </c>
      <c r="CD74" s="83">
        <f>IF(RTD("tos.rtd",,CD$43,"."&amp;$A$43&amp;$AS$42&amp;"C"&amp;$A74)="N/A",0,RTD("tos.rtd",,CD$43,"."&amp;$A$43&amp;$AS$42&amp;"C"&amp;$A74))</f>
        <v>1</v>
      </c>
      <c r="CE74" s="83">
        <f>-IF(RTD("tos.rtd",,CE$43,"."&amp;$A$43&amp;$AS$42&amp;"P"&amp;$A74)="N/A",0,RTD("tos.rtd",,CE$43,"."&amp;$A$43&amp;$AS$42&amp;"P"&amp;$A74))</f>
        <v>0</v>
      </c>
      <c r="CF74" s="83">
        <f>IF(RTD("tos.rtd",,CF$2,"."&amp;$A$43&amp;$AU$1&amp;"C"&amp;$A74)="N/A",0,RTD("tos.rtd",,CF$2,"."&amp;$A$43&amp;$AU$1&amp;"C"&amp;$A74))</f>
        <v>1</v>
      </c>
      <c r="CG74" s="83">
        <f>-IF(RTD("tos.rtd",,CG$2,"."&amp;$A$43&amp;$AU$1&amp;"P"&amp;$A74)="N/A",0,RTD("tos.rtd",,CG$2,"."&amp;$A$43&amp;$AU$1&amp;"P"&amp;$A74))</f>
        <v>0</v>
      </c>
      <c r="CH74" s="83">
        <f>IF(RTD("tos.rtd",,CH$2,"."&amp;$A$43&amp;$AW$1&amp;"C"&amp;$A74)="N/A",0,RTD("tos.rtd",,CH$2,"."&amp;$A$43&amp;$AW$1&amp;"C"&amp;$A74))</f>
        <v>1</v>
      </c>
      <c r="CI74" s="83">
        <f>-IF(RTD("tos.rtd",,CI$2,"."&amp;$A$43&amp;$AW$1&amp;"P"&amp;$A74)="N/A",0,RTD("tos.rtd",,CI$2,"."&amp;$A$43&amp;$AW$1&amp;"P"&amp;$A74))</f>
        <v>0.15</v>
      </c>
      <c r="CK74" s="83">
        <f t="shared" si="286"/>
        <v>63100</v>
      </c>
      <c r="CL74" s="83"/>
      <c r="CM74" s="83">
        <f t="shared" si="287"/>
        <v>136200</v>
      </c>
      <c r="CN74" s="83"/>
      <c r="CO74" s="83">
        <f t="shared" si="288"/>
        <v>-13935</v>
      </c>
      <c r="CP74" s="83">
        <f t="shared" si="235"/>
        <v>185365</v>
      </c>
      <c r="CQ74" s="83">
        <f t="shared" si="249"/>
        <v>0</v>
      </c>
      <c r="CR74" s="83"/>
      <c r="CS74" s="83">
        <f t="shared" si="250"/>
        <v>-2590</v>
      </c>
      <c r="CT74" s="83"/>
      <c r="CU74" s="83">
        <f t="shared" si="251"/>
        <v>-1872</v>
      </c>
      <c r="CV74" s="83"/>
      <c r="CW74" s="83" t="e">
        <f ca="1">+BQ74+BS74+BU74</f>
        <v>#NUM!</v>
      </c>
      <c r="CY74" s="83" t="e">
        <f t="shared" ca="1" si="253"/>
        <v>#NUM!</v>
      </c>
      <c r="CZ74" s="70" t="e">
        <f t="shared" ca="1" si="297"/>
        <v>#NUM!</v>
      </c>
      <c r="DA74" s="83">
        <f>IF(RTD("tos.rtd",,DA$43,"."&amp;$A$43&amp;$AS$42&amp;"C"&amp;$A74)="N/A",0,RTD("tos.rtd",,DA$43,"."&amp;$A$43&amp;$AS$42&amp;"C"&amp;$A74))</f>
        <v>16.34</v>
      </c>
      <c r="DB74" s="83">
        <f>IF(RTD("tos.rtd",,DB$43,"."&amp;$A$43&amp;$AS$42&amp;"P"&amp;$A74)="N/A",0,RTD("tos.rtd",,DB$43,"."&amp;$A$43&amp;$AS$42&amp;"P"&amp;$A74))</f>
        <v>0.01</v>
      </c>
      <c r="DC74" s="83">
        <f>IF(RTD("tos.rtd",,DC$43,"."&amp;$A$43&amp;$AS$42&amp;"C"&amp;$A74)="N/A",0,RTD("tos.rtd",,DC$43,"."&amp;$A$43&amp;$AS$42&amp;"C"&amp;$A74))</f>
        <v>17.18</v>
      </c>
      <c r="DD74" s="83">
        <f>IF(RTD("tos.rtd",,DD$43,"."&amp;$A$43&amp;$AS$42&amp;"P"&amp;$A74)="N/A",0,RTD("tos.rtd",,DD$43,"."&amp;$A$43&amp;$AS$42&amp;"P"&amp;$A74))</f>
        <v>0.01</v>
      </c>
      <c r="DE74" s="83">
        <f>IF(RTD("tos.rtd",,DE$43,"."&amp;$A$43&amp;$AS$42&amp;"C"&amp;$A74)="N/A",0,RTD("tos.rtd",,DE$43,"."&amp;$A$43&amp;$AS$42&amp;"C"&amp;$A74))</f>
        <v>13.78</v>
      </c>
      <c r="DF74" s="83">
        <f>IF(RTD("tos.rtd",,DF$43,"."&amp;$A$43&amp;$AS$42&amp;"P"&amp;$A74)="N/A",0,RTD("tos.rtd",,DF$43,"."&amp;$A$43&amp;$AS$42&amp;"P"&amp;$A74))</f>
        <v>0</v>
      </c>
      <c r="DG74" s="86">
        <f t="shared" si="289"/>
        <v>-22.779999999999973</v>
      </c>
      <c r="DH74" s="83">
        <f t="shared" si="254"/>
        <v>-467.57647058823534</v>
      </c>
      <c r="DI74" s="83">
        <f t="shared" si="255"/>
        <v>4062</v>
      </c>
      <c r="DJ74" s="83">
        <f t="shared" si="256"/>
        <v>-621</v>
      </c>
      <c r="DK74" s="83">
        <f t="shared" si="257"/>
        <v>4062</v>
      </c>
      <c r="DL74" s="83">
        <f t="shared" si="258"/>
        <v>3594.4235294117648</v>
      </c>
      <c r="DM74" s="83">
        <f t="shared" si="259"/>
        <v>3441</v>
      </c>
      <c r="DN74" s="64" t="str">
        <f t="shared" si="260"/>
        <v>UNKNOWN</v>
      </c>
      <c r="DO74" s="64" t="str">
        <f t="shared" si="261"/>
        <v>UNKNOWN</v>
      </c>
      <c r="DP74" s="83">
        <f t="shared" si="262"/>
        <v>-7599.5795294117652</v>
      </c>
      <c r="DQ74" s="83">
        <f t="shared" si="263"/>
        <v>-10106.519999999999</v>
      </c>
      <c r="DR74" s="83" t="e">
        <f t="shared" ca="1" si="264"/>
        <v>#NUM!</v>
      </c>
      <c r="DS74" s="83">
        <f t="shared" si="265"/>
        <v>-621</v>
      </c>
      <c r="DT74" s="83">
        <f t="shared" si="290"/>
        <v>-621</v>
      </c>
      <c r="DU74" s="83">
        <f t="shared" si="291"/>
        <v>4062</v>
      </c>
      <c r="DV74" s="83">
        <f t="shared" si="266"/>
        <v>-524</v>
      </c>
      <c r="DW74" s="83">
        <f t="shared" si="267"/>
        <v>-7314</v>
      </c>
      <c r="DX74" s="83" t="e">
        <f t="shared" ca="1" si="406"/>
        <v>#NUM!</v>
      </c>
      <c r="DY74" s="83" t="e">
        <f t="shared" ca="1" si="407"/>
        <v>#NUM!</v>
      </c>
      <c r="DZ74" s="83" t="e">
        <f t="shared" ca="1" si="408"/>
        <v>#NUM!</v>
      </c>
      <c r="EA74" s="83" t="e">
        <f t="shared" ca="1" si="409"/>
        <v>#NUM!</v>
      </c>
      <c r="EB74" s="83" t="e">
        <f t="shared" ca="1" si="410"/>
        <v>#NUM!</v>
      </c>
      <c r="EC74" s="83" t="e">
        <f t="shared" ca="1" si="411"/>
        <v>#NUM!</v>
      </c>
      <c r="ED74" s="63">
        <f t="shared" si="292"/>
        <v>-7838</v>
      </c>
      <c r="EE74" s="84">
        <f t="shared" si="268"/>
        <v>0.25</v>
      </c>
      <c r="EF74" s="84">
        <f t="shared" si="269"/>
        <v>2.1798000000000002</v>
      </c>
      <c r="EG74" s="84">
        <f t="shared" si="270"/>
        <v>0.25</v>
      </c>
      <c r="EH74" s="84">
        <f t="shared" si="271"/>
        <v>2.1798000000000002</v>
      </c>
      <c r="EI74" s="84">
        <f t="shared" si="272"/>
        <v>0.25</v>
      </c>
      <c r="EJ74" s="84">
        <f t="shared" si="273"/>
        <v>0.40620000000000001</v>
      </c>
      <c r="EK74" s="63" t="e">
        <f t="shared" ca="1" si="293"/>
        <v>#NUM!</v>
      </c>
      <c r="EL74" s="83" t="str">
        <f>RTD("tos.rtd",,EL$43,"."&amp;$A$43&amp;$AS$42&amp;"C"&amp;$A74)</f>
        <v>--</v>
      </c>
      <c r="EM74" s="83" t="str">
        <f>RTD("tos.rtd",,EM$43,"."&amp;$A$43&amp;$AS$42&amp;"P"&amp;$A74)</f>
        <v>217.98%</v>
      </c>
      <c r="EN74" s="83" t="str">
        <f>RTD("tos.rtd",,EN$2,"."&amp;$A$43&amp;$AU$1&amp;"C"&amp;$A74)</f>
        <v>--</v>
      </c>
      <c r="EO74" s="83" t="str">
        <f>RTD("tos.rtd",,EO$2,"."&amp;$A$43&amp;$AU$1&amp;"P"&amp;$A74)</f>
        <v>217.98%</v>
      </c>
      <c r="EP74" s="83" t="str">
        <f>RTD("tos.rtd",,EP$2,"."&amp;$A$43&amp;$AW$1&amp;"C"&amp;$A74)</f>
        <v>--</v>
      </c>
      <c r="EQ74" s="83" t="str">
        <f>RTD("tos.rtd",,EQ$2,"."&amp;$A$43&amp;$AW$1&amp;"P"&amp;$A74)</f>
        <v>40.62%</v>
      </c>
      <c r="ES74" s="63" t="str">
        <f t="shared" si="274"/>
        <v>473,-7838.00</v>
      </c>
      <c r="ET74" s="63" t="str">
        <f t="shared" ca="1" si="275"/>
        <v>473,00.00</v>
      </c>
      <c r="EU74" s="68">
        <v>561.42999999999995</v>
      </c>
      <c r="EV74" s="68" t="s">
        <v>611</v>
      </c>
      <c r="EW74" s="68">
        <v>483.95</v>
      </c>
      <c r="EX74" s="68" t="s">
        <v>612</v>
      </c>
      <c r="EY74" s="68">
        <v>5631.28</v>
      </c>
      <c r="EZ74" s="68" t="s">
        <v>613</v>
      </c>
      <c r="FA74" s="68">
        <v>19867.973000000002</v>
      </c>
      <c r="FB74" s="68" t="s">
        <v>614</v>
      </c>
      <c r="FC74" s="68" t="s">
        <v>615</v>
      </c>
      <c r="FD74" s="68" t="s">
        <v>616</v>
      </c>
      <c r="FE74" s="68" t="s">
        <v>617</v>
      </c>
      <c r="FF74" s="68" t="s">
        <v>618</v>
      </c>
    </row>
    <row r="75" spans="1:162" ht="13.5" thickBot="1" x14ac:dyDescent="0.25">
      <c r="A75" s="2">
        <f t="shared" si="294"/>
        <v>472</v>
      </c>
      <c r="B75" s="3">
        <f t="shared" si="241"/>
        <v>4398</v>
      </c>
      <c r="C75" s="3">
        <f t="shared" si="412"/>
        <v>3303</v>
      </c>
      <c r="D75" s="3">
        <f t="shared" si="243"/>
        <v>1373</v>
      </c>
      <c r="E75" s="3">
        <f t="shared" si="244"/>
        <v>9074</v>
      </c>
      <c r="F75" s="4">
        <f t="shared" si="298"/>
        <v>19474.117552140062</v>
      </c>
      <c r="AM75" s="1">
        <v>-22</v>
      </c>
      <c r="AN75" s="1">
        <v>-4177</v>
      </c>
      <c r="AO75" s="1">
        <v>472</v>
      </c>
      <c r="AP75" s="1">
        <v>91</v>
      </c>
      <c r="AQ75" s="1">
        <v>-10478</v>
      </c>
      <c r="AS75" s="6">
        <f>IF(RTD("tos.rtd",,AS$43,"."&amp;$A$43&amp;$AS$42&amp;"C"&amp;$A75)="N/A",0,RTD("tos.rtd",,AS$43,"."&amp;$A$43&amp;$AS$42&amp;"C"&amp;$A75))</f>
        <v>378</v>
      </c>
      <c r="AT75" s="7">
        <f>-IF(RTD("tos.rtd",,AT$43,"."&amp;$A$43&amp;$AS$42&amp;"P"&amp;$A75)="N/A",0,RTD("tos.rtd",,AT$43,"."&amp;$A$43&amp;$AS$42&amp;"P"&amp;$A75))</f>
        <v>-4020</v>
      </c>
      <c r="AU75" s="6">
        <f>IF(RTD("tos.rtd",,AU$2,"."&amp;$A$43&amp;$AU$1&amp;"C"&amp;$A75)="N/A",0,RTD("tos.rtd",,AU$2,"."&amp;$A$43&amp;$AU$1&amp;"C"&amp;$A75))</f>
        <v>1137</v>
      </c>
      <c r="AV75" s="7">
        <f>-IF(RTD("tos.rtd",,AV$2,"."&amp;$A$43&amp;$AU$1&amp;"P"&amp;$A75)="N/A",0,RTD("tos.rtd",,AV$2,"."&amp;$A$43&amp;$AU$1&amp;"P"&amp;$A75))</f>
        <v>-2166</v>
      </c>
      <c r="AW75" s="6">
        <f>IF(RTD("tos.rtd",,AW$2,"."&amp;$A$43&amp;$AW$1&amp;"C"&amp;$A75)="N/A",0,RTD("tos.rtd",,AW$2,"."&amp;$A$43&amp;$AW$1&amp;"C"&amp;$A75))</f>
        <v>122</v>
      </c>
      <c r="AX75" s="7">
        <f>-IF(RTD("tos.rtd",,AX$2,"."&amp;$A$43&amp;$AW$1&amp;"P"&amp;$A75)="N/A",0,RTD("tos.rtd",,AX$2,"."&amp;$A$43&amp;$AW$1&amp;"P"&amp;$A75))</f>
        <v>-1251</v>
      </c>
      <c r="AY75" s="7">
        <f t="shared" si="276"/>
        <v>-5800</v>
      </c>
      <c r="AZ75" s="8">
        <f t="shared" si="245"/>
        <v>472</v>
      </c>
      <c r="BA75" s="6">
        <f>IF(RTD("tos.rtd",,BA$43,"."&amp;$A$43&amp;$AS$42&amp;"C"&amp;$A75)="N/A",0,RTD("tos.rtd",,BA$43,"."&amp;$A$43&amp;$AS$42&amp;"C"&amp;$A75))</f>
        <v>0</v>
      </c>
      <c r="BB75" s="7">
        <f>-IF(RTD("tos.rtd",,BB$43,"."&amp;$A$43&amp;$AS$42&amp;"P"&amp;$A75)="N/A",0,RTD("tos.rtd",,BB$43,"."&amp;$A$43&amp;$AS$42&amp;"P"&amp;$A75))</f>
        <v>0</v>
      </c>
      <c r="BC75" s="6">
        <f>IF(RTD("tos.rtd",,BC$2,"."&amp;$A$43&amp;$AU$1&amp;"C"&amp;$A75)="N/A",0,RTD("tos.rtd",,BC$2,"."&amp;$A$43&amp;$AU$1&amp;"C"&amp;$A75))</f>
        <v>291</v>
      </c>
      <c r="BD75" s="7">
        <f>-IF(RTD("tos.rtd",,BD$2,"."&amp;$A$43&amp;$AU$1&amp;"P"&amp;$A75)="N/A",0,RTD("tos.rtd",,BD$2,"."&amp;$A$43&amp;$AU$1&amp;"P"&amp;$A75))</f>
        <v>-601</v>
      </c>
      <c r="BE75" s="6">
        <f>IF(RTD("tos.rtd",,BE$2,"."&amp;$A$43&amp;$AW$1&amp;"C"&amp;$A75)="N/A",0,RTD("tos.rtd",,BE$2,"."&amp;$A$43&amp;$AW$1&amp;"C"&amp;$A75))</f>
        <v>18</v>
      </c>
      <c r="BF75" s="7">
        <f>-IF(RTD("tos.rtd",,BF$2,"."&amp;$A$43&amp;$AW$1&amp;"P"&amp;$A75)="N/A",0,RTD("tos.rtd",,BF$2,"."&amp;$A$43&amp;$AW$1&amp;"P"&amp;$A75))</f>
        <v>-487</v>
      </c>
      <c r="BG75" s="32">
        <f ca="1">+Hoja2!Y76</f>
        <v>-817</v>
      </c>
      <c r="BH75" s="7">
        <f t="shared" ca="1" si="277"/>
        <v>-1596</v>
      </c>
      <c r="BI75" s="8" t="str">
        <f t="shared" ca="1" si="295"/>
        <v/>
      </c>
      <c r="BJ75" s="83" t="e">
        <f ca="1">IF($BP$1=1,DX75,IF(RTD("tos.rtd",,BJ$43,"."&amp;$A$43&amp;$AS$42&amp;"C"&amp;$A75)="N/A",0,RTD("tos.rtd",,BJ$43,"."&amp;$A$43&amp;$AS$42&amp;"C"&amp;$A75)))</f>
        <v>#NUM!</v>
      </c>
      <c r="BK75" s="83" t="e">
        <f ca="1">IF($BP$1=1,DY75,-IF(RTD("tos.rtd",,BK$43,"."&amp;$A$43&amp;$AS$42&amp;"P"&amp;$A75)="N/A",0,RTD("tos.rtd",,BK$43,"."&amp;$A$43&amp;$AS$42&amp;"P"&amp;$A75)))</f>
        <v>#NUM!</v>
      </c>
      <c r="BL75" s="83" t="e">
        <f ca="1">IF($BP$1=1,DZ75,IF(RTD("tos.rtd",,BL$2,"."&amp;$A$43&amp;$AU$1&amp;"C"&amp;$A75)="N/A",0,RTD("tos.rtd",,BL$2,"."&amp;$A$43&amp;$AU$1&amp;"C"&amp;$A75)))</f>
        <v>#NUM!</v>
      </c>
      <c r="BM75" s="83" t="e">
        <f ca="1">IF($BP$1=1,EA75,-IF(RTD("tos.rtd",,BM$2,"."&amp;$A$43&amp;$AU$1&amp;"P"&amp;$A75)="N/A",0,RTD("tos.rtd",,BM$2,"."&amp;$A$43&amp;$AU$1&amp;"P"&amp;$A75)))</f>
        <v>#NUM!</v>
      </c>
      <c r="BN75" s="83" t="e">
        <f ca="1">IF($BP$1=1,EB75,IF(RTD("tos.rtd",,BN$2,"."&amp;$A$43&amp;$AW$1&amp;"C"&amp;$A75)="N/A",0,RTD("tos.rtd",,BN$2,"."&amp;$A$43&amp;$AW$1&amp;"C"&amp;$A75)))</f>
        <v>#NUM!</v>
      </c>
      <c r="BO75" s="83" t="e">
        <f ca="1">IF($BP$1=1,EC75,-IF(RTD("tos.rtd",,BO$2,"."&amp;$A$43&amp;$AW$1&amp;"P"&amp;$A75)="N/A",0,RTD("tos.rtd",,BO$2,"."&amp;$A$43&amp;$AW$1&amp;"P"&amp;$A75)))</f>
        <v>#NUM!</v>
      </c>
      <c r="BQ75" s="83" t="e">
        <f t="shared" ca="1" si="278"/>
        <v>#NUM!</v>
      </c>
      <c r="BR75" s="3" t="e">
        <f t="shared" ca="1" si="279"/>
        <v>#NUM!</v>
      </c>
      <c r="BS75" s="83" t="e">
        <f t="shared" ca="1" si="280"/>
        <v>#NUM!</v>
      </c>
      <c r="BT75" s="3" t="e">
        <f t="shared" ca="1" si="281"/>
        <v>#NUM!</v>
      </c>
      <c r="BU75" s="83" t="e">
        <f t="shared" ca="1" si="282"/>
        <v>#NUM!</v>
      </c>
      <c r="BV75" s="83"/>
      <c r="BX75" s="83" t="e">
        <f t="shared" ca="1" si="283"/>
        <v>#NUM!</v>
      </c>
      <c r="BY75" s="83" t="e">
        <f t="shared" ca="1" si="296"/>
        <v>#NUM!</v>
      </c>
      <c r="BZ75" s="83" t="e">
        <f t="shared" ca="1" si="284"/>
        <v>#NUM!</v>
      </c>
      <c r="CA75" s="83" t="e">
        <f t="shared" ca="1" si="296"/>
        <v>#NUM!</v>
      </c>
      <c r="CB75" s="83" t="e">
        <f t="shared" ca="1" si="285"/>
        <v>#NUM!</v>
      </c>
      <c r="CC75" s="83" t="e">
        <f t="shared" ca="1" si="296"/>
        <v>#NUM!</v>
      </c>
      <c r="CD75" s="83">
        <f>IF(RTD("tos.rtd",,CD$43,"."&amp;$A$43&amp;$AS$42&amp;"C"&amp;$A75)="N/A",0,RTD("tos.rtd",,CD$43,"."&amp;$A$43&amp;$AS$42&amp;"C"&amp;$A75))</f>
        <v>1</v>
      </c>
      <c r="CE75" s="83">
        <f>-IF(RTD("tos.rtd",,CE$43,"."&amp;$A$43&amp;$AS$42&amp;"P"&amp;$A75)="N/A",0,RTD("tos.rtd",,CE$43,"."&amp;$A$43&amp;$AS$42&amp;"P"&amp;$A75))</f>
        <v>0</v>
      </c>
      <c r="CF75" s="83">
        <f>IF(RTD("tos.rtd",,CF$2,"."&amp;$A$43&amp;$AU$1&amp;"C"&amp;$A75)="N/A",0,RTD("tos.rtd",,CF$2,"."&amp;$A$43&amp;$AU$1&amp;"C"&amp;$A75))</f>
        <v>1</v>
      </c>
      <c r="CG75" s="83">
        <f>-IF(RTD("tos.rtd",,CG$2,"."&amp;$A$43&amp;$AU$1&amp;"P"&amp;$A75)="N/A",0,RTD("tos.rtd",,CG$2,"."&amp;$A$43&amp;$AU$1&amp;"P"&amp;$A75))</f>
        <v>0</v>
      </c>
      <c r="CH75" s="83">
        <f>IF(RTD("tos.rtd",,CH$2,"."&amp;$A$43&amp;$AW$1&amp;"C"&amp;$A75)="N/A",0,RTD("tos.rtd",,CH$2,"."&amp;$A$43&amp;$AW$1&amp;"C"&amp;$A75))</f>
        <v>1</v>
      </c>
      <c r="CI75" s="83">
        <f>-IF(RTD("tos.rtd",,CI$2,"."&amp;$A$43&amp;$AW$1&amp;"P"&amp;$A75)="N/A",0,RTD("tos.rtd",,CI$2,"."&amp;$A$43&amp;$AW$1&amp;"P"&amp;$A75))</f>
        <v>0.14000000000000001</v>
      </c>
      <c r="CK75" s="83">
        <f t="shared" si="286"/>
        <v>37800</v>
      </c>
      <c r="CL75" s="83"/>
      <c r="CM75" s="83">
        <f t="shared" si="287"/>
        <v>113700</v>
      </c>
      <c r="CN75" s="83"/>
      <c r="CO75" s="83">
        <f t="shared" si="288"/>
        <v>-5314</v>
      </c>
      <c r="CP75" s="83">
        <f t="shared" si="235"/>
        <v>146186</v>
      </c>
      <c r="CQ75" s="83">
        <f t="shared" si="249"/>
        <v>0</v>
      </c>
      <c r="CR75" s="83"/>
      <c r="CS75" s="83">
        <f t="shared" si="250"/>
        <v>-310</v>
      </c>
      <c r="CT75" s="83"/>
      <c r="CU75" s="83">
        <f t="shared" si="251"/>
        <v>-469</v>
      </c>
      <c r="CV75" s="83"/>
      <c r="CW75" s="83" t="e">
        <f t="shared" ca="1" si="252"/>
        <v>#NUM!</v>
      </c>
      <c r="CY75" s="83" t="e">
        <f t="shared" ca="1" si="253"/>
        <v>#NUM!</v>
      </c>
      <c r="CZ75" s="70" t="e">
        <f t="shared" ca="1" si="297"/>
        <v>#NUM!</v>
      </c>
      <c r="DA75" s="83">
        <f>IF(RTD("tos.rtd",,DA$43,"."&amp;$A$43&amp;$AS$42&amp;"C"&amp;$A75)="N/A",0,RTD("tos.rtd",,DA$43,"."&amp;$A$43&amp;$AS$42&amp;"C"&amp;$A75))</f>
        <v>18.73</v>
      </c>
      <c r="DB75" s="83">
        <f>IF(RTD("tos.rtd",,DB$43,"."&amp;$A$43&amp;$AS$42&amp;"P"&amp;$A75)="N/A",0,RTD("tos.rtd",,DB$43,"."&amp;$A$43&amp;$AS$42&amp;"P"&amp;$A75))</f>
        <v>0.01</v>
      </c>
      <c r="DC75" s="83">
        <f>IF(RTD("tos.rtd",,DC$43,"."&amp;$A$43&amp;$AS$42&amp;"C"&amp;$A75)="N/A",0,RTD("tos.rtd",,DC$43,"."&amp;$A$43&amp;$AS$42&amp;"C"&amp;$A75))</f>
        <v>18.18</v>
      </c>
      <c r="DD75" s="83">
        <f>IF(RTD("tos.rtd",,DD$43,"."&amp;$A$43&amp;$AS$42&amp;"P"&amp;$A75)="N/A",0,RTD("tos.rtd",,DD$43,"."&amp;$A$43&amp;$AS$42&amp;"P"&amp;$A75))</f>
        <v>0.01</v>
      </c>
      <c r="DE75" s="83">
        <f>IF(RTD("tos.rtd",,DE$43,"."&amp;$A$43&amp;$AS$42&amp;"C"&amp;$A75)="N/A",0,RTD("tos.rtd",,DE$43,"."&amp;$A$43&amp;$AS$42&amp;"C"&amp;$A75))</f>
        <v>14.78</v>
      </c>
      <c r="DF75" s="83">
        <f>IF(RTD("tos.rtd",,DF$43,"."&amp;$A$43&amp;$AS$42&amp;"P"&amp;$A75)="N/A",0,RTD("tos.rtd",,DF$43,"."&amp;$A$43&amp;$AS$42&amp;"P"&amp;$A75))</f>
        <v>0</v>
      </c>
      <c r="DG75" s="86">
        <f t="shared" si="289"/>
        <v>-23.779999999999973</v>
      </c>
      <c r="DH75" s="83">
        <f t="shared" si="254"/>
        <v>-105.72058823529413</v>
      </c>
      <c r="DI75" s="83">
        <f t="shared" si="255"/>
        <v>10478</v>
      </c>
      <c r="DJ75" s="83">
        <f t="shared" si="256"/>
        <v>-91</v>
      </c>
      <c r="DK75" s="83">
        <f t="shared" si="257"/>
        <v>10478</v>
      </c>
      <c r="DL75" s="83">
        <f t="shared" si="258"/>
        <v>10372.279411764706</v>
      </c>
      <c r="DM75" s="83">
        <f t="shared" si="259"/>
        <v>10387</v>
      </c>
      <c r="DN75" s="64" t="str">
        <f t="shared" si="260"/>
        <v>UNKNOWN</v>
      </c>
      <c r="DO75" s="64" t="str">
        <f t="shared" si="261"/>
        <v>UNKNOWN</v>
      </c>
      <c r="DP75" s="83">
        <f t="shared" si="262"/>
        <v>-1875.3666176470592</v>
      </c>
      <c r="DQ75" s="83">
        <f t="shared" si="263"/>
        <v>-1599.65</v>
      </c>
      <c r="DR75" s="83" t="e">
        <f t="shared" ca="1" si="264"/>
        <v>#NUM!</v>
      </c>
      <c r="DS75" s="83">
        <f t="shared" si="265"/>
        <v>-91</v>
      </c>
      <c r="DT75" s="83">
        <f t="shared" si="290"/>
        <v>-91</v>
      </c>
      <c r="DU75" s="83">
        <f t="shared" si="291"/>
        <v>10478</v>
      </c>
      <c r="DV75" s="83">
        <f t="shared" si="266"/>
        <v>-22</v>
      </c>
      <c r="DW75" s="83">
        <f t="shared" si="267"/>
        <v>-4177</v>
      </c>
      <c r="DX75" s="83" t="e">
        <f t="shared" ca="1" si="406"/>
        <v>#NUM!</v>
      </c>
      <c r="DY75" s="83" t="e">
        <f t="shared" ca="1" si="407"/>
        <v>#NUM!</v>
      </c>
      <c r="DZ75" s="83" t="e">
        <f t="shared" ca="1" si="408"/>
        <v>#NUM!</v>
      </c>
      <c r="EA75" s="83" t="e">
        <f t="shared" ca="1" si="409"/>
        <v>#NUM!</v>
      </c>
      <c r="EB75" s="83" t="e">
        <f t="shared" ca="1" si="410"/>
        <v>#NUM!</v>
      </c>
      <c r="EC75" s="83" t="e">
        <f t="shared" ca="1" si="411"/>
        <v>#NUM!</v>
      </c>
      <c r="ED75" s="63">
        <f t="shared" si="292"/>
        <v>-4199</v>
      </c>
      <c r="EE75" s="84">
        <f t="shared" si="268"/>
        <v>0.25</v>
      </c>
      <c r="EF75" s="84">
        <f t="shared" si="269"/>
        <v>2.2688000000000001</v>
      </c>
      <c r="EG75" s="84">
        <f t="shared" si="270"/>
        <v>0.25</v>
      </c>
      <c r="EH75" s="84">
        <f t="shared" si="271"/>
        <v>2.2688000000000001</v>
      </c>
      <c r="EI75" s="84">
        <f t="shared" si="272"/>
        <v>0.25</v>
      </c>
      <c r="EJ75" s="84">
        <f t="shared" si="273"/>
        <v>0.40500000000000003</v>
      </c>
      <c r="EK75" s="63" t="e">
        <f t="shared" ca="1" si="293"/>
        <v>#NUM!</v>
      </c>
      <c r="EL75" s="83" t="str">
        <f>RTD("tos.rtd",,EL$43,"."&amp;$A$43&amp;$AS$42&amp;"C"&amp;$A75)</f>
        <v>--</v>
      </c>
      <c r="EM75" s="83" t="str">
        <f>RTD("tos.rtd",,EM$43,"."&amp;$A$43&amp;$AS$42&amp;"P"&amp;$A75)</f>
        <v>226.88%</v>
      </c>
      <c r="EN75" s="83" t="str">
        <f>RTD("tos.rtd",,EN$2,"."&amp;$A$43&amp;$AU$1&amp;"C"&amp;$A75)</f>
        <v>--</v>
      </c>
      <c r="EO75" s="83" t="str">
        <f>RTD("tos.rtd",,EO$2,"."&amp;$A$43&amp;$AU$1&amp;"P"&amp;$A75)</f>
        <v>226.88%</v>
      </c>
      <c r="EP75" s="83" t="str">
        <f>RTD("tos.rtd",,EP$2,"."&amp;$A$43&amp;$AW$1&amp;"C"&amp;$A75)</f>
        <v>--</v>
      </c>
      <c r="EQ75" s="83" t="str">
        <f>RTD("tos.rtd",,EQ$2,"."&amp;$A$43&amp;$AW$1&amp;"P"&amp;$A75)</f>
        <v>40.50%</v>
      </c>
      <c r="ES75" s="63" t="str">
        <f t="shared" si="274"/>
        <v>472,-4199.00</v>
      </c>
      <c r="ET75" s="63" t="str">
        <f t="shared" ca="1" si="275"/>
        <v>472,00.00</v>
      </c>
      <c r="EU75" s="68">
        <v>561.47</v>
      </c>
      <c r="EV75" s="68" t="s">
        <v>619</v>
      </c>
      <c r="EW75" s="68">
        <v>484.02</v>
      </c>
      <c r="EX75" s="68" t="s">
        <v>620</v>
      </c>
      <c r="EY75" s="68">
        <v>5631.28</v>
      </c>
      <c r="EZ75" s="68" t="s">
        <v>621</v>
      </c>
      <c r="FA75" s="68">
        <v>19867.973000000002</v>
      </c>
      <c r="FB75" s="68" t="s">
        <v>622</v>
      </c>
      <c r="FC75" s="68" t="s">
        <v>623</v>
      </c>
      <c r="FD75" s="68" t="s">
        <v>624</v>
      </c>
      <c r="FE75" s="68" t="s">
        <v>625</v>
      </c>
      <c r="FF75" s="68" t="s">
        <v>626</v>
      </c>
    </row>
    <row r="76" spans="1:162" ht="13.5" thickBot="1" x14ac:dyDescent="0.25">
      <c r="A76" s="2">
        <f t="shared" si="294"/>
        <v>471</v>
      </c>
      <c r="B76" s="3">
        <f t="shared" si="241"/>
        <v>2379</v>
      </c>
      <c r="C76" s="3">
        <f t="shared" si="412"/>
        <v>3579</v>
      </c>
      <c r="D76" s="3">
        <f t="shared" si="243"/>
        <v>1039</v>
      </c>
      <c r="E76" s="3">
        <f t="shared" si="244"/>
        <v>6997</v>
      </c>
      <c r="F76" s="4">
        <f t="shared" si="298"/>
        <v>19432.858828512646</v>
      </c>
      <c r="AM76" s="1">
        <v>-45</v>
      </c>
      <c r="AN76" s="1">
        <v>5845</v>
      </c>
      <c r="AO76" s="1">
        <v>471</v>
      </c>
      <c r="AP76" s="1">
        <v>49</v>
      </c>
      <c r="AQ76" s="1">
        <v>-2746</v>
      </c>
      <c r="AS76" s="6">
        <f>IF(RTD("tos.rtd",,AS$43,"."&amp;$A$43&amp;$AS$42&amp;"C"&amp;$A76)="N/A",0,RTD("tos.rtd",,AS$43,"."&amp;$A$43&amp;$AS$42&amp;"C"&amp;$A76))</f>
        <v>469</v>
      </c>
      <c r="AT76" s="7">
        <f>-IF(RTD("tos.rtd",,AT$43,"."&amp;$A$43&amp;$AS$42&amp;"P"&amp;$A76)="N/A",0,RTD("tos.rtd",,AT$43,"."&amp;$A$43&amp;$AS$42&amp;"P"&amp;$A76))</f>
        <v>-1910</v>
      </c>
      <c r="AU76" s="6">
        <f>IF(RTD("tos.rtd",,AU$2,"."&amp;$A$43&amp;$AU$1&amp;"C"&amp;$A76)="N/A",0,RTD("tos.rtd",,AU$2,"."&amp;$A$43&amp;$AU$1&amp;"C"&amp;$A76))</f>
        <v>1098</v>
      </c>
      <c r="AV76" s="7">
        <f>-IF(RTD("tos.rtd",,AV$2,"."&amp;$A$43&amp;$AU$1&amp;"P"&amp;$A76)="N/A",0,RTD("tos.rtd",,AV$2,"."&amp;$A$43&amp;$AU$1&amp;"P"&amp;$A76))</f>
        <v>-2481</v>
      </c>
      <c r="AW76" s="6">
        <f>IF(RTD("tos.rtd",,AW$2,"."&amp;$A$43&amp;$AW$1&amp;"C"&amp;$A76)="N/A",0,RTD("tos.rtd",,AW$2,"."&amp;$A$43&amp;$AW$1&amp;"C"&amp;$A76))</f>
        <v>45</v>
      </c>
      <c r="AX76" s="7">
        <f>-IF(RTD("tos.rtd",,AX$2,"."&amp;$A$43&amp;$AW$1&amp;"P"&amp;$A76)="N/A",0,RTD("tos.rtd",,AX$2,"."&amp;$A$43&amp;$AW$1&amp;"P"&amp;$A76))</f>
        <v>-994</v>
      </c>
      <c r="AY76" s="7">
        <f t="shared" si="276"/>
        <v>-3773</v>
      </c>
      <c r="AZ76" s="8">
        <f t="shared" si="245"/>
        <v>471</v>
      </c>
      <c r="BA76" s="6">
        <f>IF(RTD("tos.rtd",,BA$43,"."&amp;$A$43&amp;$AS$42&amp;"C"&amp;$A76)="N/A",0,RTD("tos.rtd",,BA$43,"."&amp;$A$43&amp;$AS$42&amp;"C"&amp;$A76))</f>
        <v>0</v>
      </c>
      <c r="BB76" s="7">
        <f>-IF(RTD("tos.rtd",,BB$43,"."&amp;$A$43&amp;$AS$42&amp;"P"&amp;$A76)="N/A",0,RTD("tos.rtd",,BB$43,"."&amp;$A$43&amp;$AS$42&amp;"P"&amp;$A76))</f>
        <v>0</v>
      </c>
      <c r="BC76" s="6">
        <f>IF(RTD("tos.rtd",,BC$2,"."&amp;$A$43&amp;$AU$1&amp;"C"&amp;$A76)="N/A",0,RTD("tos.rtd",,BC$2,"."&amp;$A$43&amp;$AU$1&amp;"C"&amp;$A76))</f>
        <v>244</v>
      </c>
      <c r="BD76" s="7">
        <f>-IF(RTD("tos.rtd",,BD$2,"."&amp;$A$43&amp;$AU$1&amp;"P"&amp;$A76)="N/A",0,RTD("tos.rtd",,BD$2,"."&amp;$A$43&amp;$AU$1&amp;"P"&amp;$A76))</f>
        <v>-2303</v>
      </c>
      <c r="BE76" s="6">
        <f>IF(RTD("tos.rtd",,BE$2,"."&amp;$A$43&amp;$AW$1&amp;"C"&amp;$A76)="N/A",0,RTD("tos.rtd",,BE$2,"."&amp;$A$43&amp;$AW$1&amp;"C"&amp;$A76))</f>
        <v>19</v>
      </c>
      <c r="BF76" s="7">
        <f>-IF(RTD("tos.rtd",,BF$2,"."&amp;$A$43&amp;$AW$1&amp;"P"&amp;$A76)="N/A",0,RTD("tos.rtd",,BF$2,"."&amp;$A$43&amp;$AW$1&amp;"P"&amp;$A76))</f>
        <v>-906</v>
      </c>
      <c r="BG76" s="32">
        <f ca="1">+Hoja2!Y77</f>
        <v>-173</v>
      </c>
      <c r="BH76" s="7">
        <f t="shared" ca="1" si="277"/>
        <v>-3119</v>
      </c>
      <c r="BI76" s="8" t="str">
        <f t="shared" ca="1" si="295"/>
        <v/>
      </c>
      <c r="BJ76" s="83" t="e">
        <f ca="1">IF($BP$1=1,DX76,IF(RTD("tos.rtd",,BJ$43,"."&amp;$A$43&amp;$AS$42&amp;"C"&amp;$A76)="N/A",0,RTD("tos.rtd",,BJ$43,"."&amp;$A$43&amp;$AS$42&amp;"C"&amp;$A76)))</f>
        <v>#NUM!</v>
      </c>
      <c r="BK76" s="83" t="e">
        <f ca="1">IF($BP$1=1,DY76,-IF(RTD("tos.rtd",,BK$43,"."&amp;$A$43&amp;$AS$42&amp;"P"&amp;$A76)="N/A",0,RTD("tos.rtd",,BK$43,"."&amp;$A$43&amp;$AS$42&amp;"P"&amp;$A76)))</f>
        <v>#NUM!</v>
      </c>
      <c r="BL76" s="83" t="e">
        <f ca="1">IF($BP$1=1,DZ76,IF(RTD("tos.rtd",,BL$2,"."&amp;$A$43&amp;$AU$1&amp;"C"&amp;$A76)="N/A",0,RTD("tos.rtd",,BL$2,"."&amp;$A$43&amp;$AU$1&amp;"C"&amp;$A76)))</f>
        <v>#NUM!</v>
      </c>
      <c r="BM76" s="83" t="e">
        <f ca="1">IF($BP$1=1,EA76,-IF(RTD("tos.rtd",,BM$2,"."&amp;$A$43&amp;$AU$1&amp;"P"&amp;$A76)="N/A",0,RTD("tos.rtd",,BM$2,"."&amp;$A$43&amp;$AU$1&amp;"P"&amp;$A76)))</f>
        <v>#NUM!</v>
      </c>
      <c r="BN76" s="83" t="e">
        <f ca="1">IF($BP$1=1,EB76,IF(RTD("tos.rtd",,BN$2,"."&amp;$A$43&amp;$AW$1&amp;"C"&amp;$A76)="N/A",0,RTD("tos.rtd",,BN$2,"."&amp;$A$43&amp;$AW$1&amp;"C"&amp;$A76)))</f>
        <v>#NUM!</v>
      </c>
      <c r="BO76" s="83" t="e">
        <f ca="1">IF($BP$1=1,EC76,-IF(RTD("tos.rtd",,BO$2,"."&amp;$A$43&amp;$AW$1&amp;"P"&amp;$A76)="N/A",0,RTD("tos.rtd",,BO$2,"."&amp;$A$43&amp;$AW$1&amp;"P"&amp;$A76)))</f>
        <v>#NUM!</v>
      </c>
      <c r="BQ76" s="83" t="e">
        <f t="shared" ca="1" si="278"/>
        <v>#NUM!</v>
      </c>
      <c r="BR76" s="3" t="e">
        <f t="shared" ca="1" si="279"/>
        <v>#NUM!</v>
      </c>
      <c r="BS76" s="83" t="e">
        <f t="shared" ca="1" si="280"/>
        <v>#NUM!</v>
      </c>
      <c r="BT76" s="3" t="e">
        <f t="shared" ca="1" si="281"/>
        <v>#NUM!</v>
      </c>
      <c r="BU76" s="83" t="e">
        <f t="shared" ca="1" si="282"/>
        <v>#NUM!</v>
      </c>
      <c r="BV76" s="83"/>
      <c r="BX76" s="83" t="e">
        <f t="shared" ca="1" si="283"/>
        <v>#NUM!</v>
      </c>
      <c r="BY76" s="83" t="e">
        <f t="shared" ca="1" si="296"/>
        <v>#NUM!</v>
      </c>
      <c r="BZ76" s="83" t="e">
        <f t="shared" ca="1" si="284"/>
        <v>#NUM!</v>
      </c>
      <c r="CA76" s="83" t="e">
        <f t="shared" ca="1" si="296"/>
        <v>#NUM!</v>
      </c>
      <c r="CB76" s="83" t="e">
        <f t="shared" ca="1" si="285"/>
        <v>#NUM!</v>
      </c>
      <c r="CC76" s="83" t="e">
        <f t="shared" ca="1" si="296"/>
        <v>#NUM!</v>
      </c>
      <c r="CD76" s="83">
        <f>IF(RTD("tos.rtd",,CD$43,"."&amp;$A$43&amp;$AS$42&amp;"C"&amp;$A76)="N/A",0,RTD("tos.rtd",,CD$43,"."&amp;$A$43&amp;$AS$42&amp;"C"&amp;$A76))</f>
        <v>1</v>
      </c>
      <c r="CE76" s="83">
        <f>-IF(RTD("tos.rtd",,CE$43,"."&amp;$A$43&amp;$AS$42&amp;"P"&amp;$A76)="N/A",0,RTD("tos.rtd",,CE$43,"."&amp;$A$43&amp;$AS$42&amp;"P"&amp;$A76))</f>
        <v>0</v>
      </c>
      <c r="CF76" s="83">
        <f>IF(RTD("tos.rtd",,CF$2,"."&amp;$A$43&amp;$AU$1&amp;"C"&amp;$A76)="N/A",0,RTD("tos.rtd",,CF$2,"."&amp;$A$43&amp;$AU$1&amp;"C"&amp;$A76))</f>
        <v>1</v>
      </c>
      <c r="CG76" s="83">
        <f>-IF(RTD("tos.rtd",,CG$2,"."&amp;$A$43&amp;$AU$1&amp;"P"&amp;$A76)="N/A",0,RTD("tos.rtd",,CG$2,"."&amp;$A$43&amp;$AU$1&amp;"P"&amp;$A76))</f>
        <v>0</v>
      </c>
      <c r="CH76" s="83">
        <f>IF(RTD("tos.rtd",,CH$2,"."&amp;$A$43&amp;$AW$1&amp;"C"&amp;$A76)="N/A",0,RTD("tos.rtd",,CH$2,"."&amp;$A$43&amp;$AW$1&amp;"C"&amp;$A76))</f>
        <v>1</v>
      </c>
      <c r="CI76" s="83">
        <f>-IF(RTD("tos.rtd",,CI$2,"."&amp;$A$43&amp;$AW$1&amp;"P"&amp;$A76)="N/A",0,RTD("tos.rtd",,CI$2,"."&amp;$A$43&amp;$AW$1&amp;"P"&amp;$A76))</f>
        <v>0.13</v>
      </c>
      <c r="CK76" s="83">
        <f t="shared" si="286"/>
        <v>46900</v>
      </c>
      <c r="CL76" s="83"/>
      <c r="CM76" s="83">
        <f t="shared" si="287"/>
        <v>109800</v>
      </c>
      <c r="CN76" s="83"/>
      <c r="CO76" s="83">
        <f t="shared" si="288"/>
        <v>-8422</v>
      </c>
      <c r="CP76" s="83">
        <f t="shared" si="235"/>
        <v>148278</v>
      </c>
      <c r="CQ76" s="83">
        <f t="shared" si="249"/>
        <v>0</v>
      </c>
      <c r="CR76" s="83"/>
      <c r="CS76" s="83">
        <f t="shared" si="250"/>
        <v>-2059</v>
      </c>
      <c r="CT76" s="83"/>
      <c r="CU76" s="83">
        <f t="shared" si="251"/>
        <v>-887</v>
      </c>
      <c r="CV76" s="83"/>
      <c r="CW76" s="83" t="e">
        <f t="shared" ca="1" si="252"/>
        <v>#NUM!</v>
      </c>
      <c r="CY76" s="83" t="e">
        <f t="shared" ca="1" si="253"/>
        <v>#NUM!</v>
      </c>
      <c r="CZ76" s="70" t="e">
        <f t="shared" ca="1" si="297"/>
        <v>#NUM!</v>
      </c>
      <c r="DA76" s="83">
        <f>IF(RTD("tos.rtd",,DA$43,"."&amp;$A$43&amp;$AS$42&amp;"C"&amp;$A76)="N/A",0,RTD("tos.rtd",,DA$43,"."&amp;$A$43&amp;$AS$42&amp;"C"&amp;$A76))</f>
        <v>17.72</v>
      </c>
      <c r="DB76" s="83">
        <f>IF(RTD("tos.rtd",,DB$43,"."&amp;$A$43&amp;$AS$42&amp;"P"&amp;$A76)="N/A",0,RTD("tos.rtd",,DB$43,"."&amp;$A$43&amp;$AS$42&amp;"P"&amp;$A76))</f>
        <v>0.01</v>
      </c>
      <c r="DC76" s="83">
        <f>IF(RTD("tos.rtd",,DC$43,"."&amp;$A$43&amp;$AS$42&amp;"C"&amp;$A76)="N/A",0,RTD("tos.rtd",,DC$43,"."&amp;$A$43&amp;$AS$42&amp;"C"&amp;$A76))</f>
        <v>18.97</v>
      </c>
      <c r="DD76" s="83">
        <f>IF(RTD("tos.rtd",,DD$43,"."&amp;$A$43&amp;$AS$42&amp;"P"&amp;$A76)="N/A",0,RTD("tos.rtd",,DD$43,"."&amp;$A$43&amp;$AS$42&amp;"P"&amp;$A76))</f>
        <v>0.01</v>
      </c>
      <c r="DE76" s="83">
        <f>IF(RTD("tos.rtd",,DE$43,"."&amp;$A$43&amp;$AS$42&amp;"C"&amp;$A76)="N/A",0,RTD("tos.rtd",,DE$43,"."&amp;$A$43&amp;$AS$42&amp;"C"&amp;$A76))</f>
        <v>15.76</v>
      </c>
      <c r="DF76" s="83">
        <f>IF(RTD("tos.rtd",,DF$43,"."&amp;$A$43&amp;$AS$42&amp;"P"&amp;$A76)="N/A",0,RTD("tos.rtd",,DF$43,"."&amp;$A$43&amp;$AS$42&amp;"P"&amp;$A76))</f>
        <v>0</v>
      </c>
      <c r="DG76" s="86">
        <f t="shared" si="289"/>
        <v>-24.779999999999973</v>
      </c>
      <c r="DH76" s="83">
        <f t="shared" si="254"/>
        <v>-29.91900311526479</v>
      </c>
      <c r="DI76" s="83">
        <f t="shared" si="255"/>
        <v>2746</v>
      </c>
      <c r="DJ76" s="83">
        <f t="shared" si="256"/>
        <v>-49</v>
      </c>
      <c r="DK76" s="83">
        <f t="shared" si="257"/>
        <v>2746</v>
      </c>
      <c r="DL76" s="83">
        <f t="shared" si="258"/>
        <v>2716.0809968847352</v>
      </c>
      <c r="DM76" s="83">
        <f t="shared" si="259"/>
        <v>2697</v>
      </c>
      <c r="DN76" s="64" t="str">
        <f t="shared" si="260"/>
        <v>UNKNOWN</v>
      </c>
      <c r="DO76" s="64" t="str">
        <f t="shared" si="261"/>
        <v>UNKNOWN</v>
      </c>
      <c r="DP76" s="83">
        <f t="shared" si="262"/>
        <v>-502.70473520249203</v>
      </c>
      <c r="DQ76" s="83">
        <f t="shared" si="263"/>
        <v>-840.81999999999994</v>
      </c>
      <c r="DR76" s="83" t="e">
        <f t="shared" ca="1" si="264"/>
        <v>#NUM!</v>
      </c>
      <c r="DS76" s="83">
        <f t="shared" si="265"/>
        <v>-49</v>
      </c>
      <c r="DT76" s="83">
        <f t="shared" si="290"/>
        <v>-49</v>
      </c>
      <c r="DU76" s="83">
        <f t="shared" si="291"/>
        <v>2746</v>
      </c>
      <c r="DV76" s="83">
        <f t="shared" si="266"/>
        <v>-45</v>
      </c>
      <c r="DW76" s="83">
        <f t="shared" si="267"/>
        <v>5845</v>
      </c>
      <c r="DX76" s="83" t="e">
        <f t="shared" ca="1" si="406"/>
        <v>#NUM!</v>
      </c>
      <c r="DY76" s="83" t="e">
        <f t="shared" ca="1" si="407"/>
        <v>#NUM!</v>
      </c>
      <c r="DZ76" s="83" t="e">
        <f t="shared" ca="1" si="408"/>
        <v>#NUM!</v>
      </c>
      <c r="EA76" s="83" t="e">
        <f t="shared" ca="1" si="409"/>
        <v>#NUM!</v>
      </c>
      <c r="EB76" s="83" t="e">
        <f t="shared" ca="1" si="410"/>
        <v>#NUM!</v>
      </c>
      <c r="EC76" s="83" t="e">
        <f t="shared" ca="1" si="411"/>
        <v>#NUM!</v>
      </c>
      <c r="ED76" s="63">
        <f t="shared" si="292"/>
        <v>5800</v>
      </c>
      <c r="EE76" s="84">
        <f t="shared" si="268"/>
        <v>0.25</v>
      </c>
      <c r="EF76" s="84">
        <f t="shared" si="269"/>
        <v>2.3576999999999999</v>
      </c>
      <c r="EG76" s="84">
        <f t="shared" si="270"/>
        <v>0.25</v>
      </c>
      <c r="EH76" s="84">
        <f t="shared" si="271"/>
        <v>2.3576999999999999</v>
      </c>
      <c r="EI76" s="84">
        <f t="shared" si="272"/>
        <v>0.25</v>
      </c>
      <c r="EJ76" s="84">
        <f t="shared" si="273"/>
        <v>0.40400000000000003</v>
      </c>
      <c r="EK76" s="63" t="e">
        <f t="shared" ca="1" si="293"/>
        <v>#NUM!</v>
      </c>
      <c r="EL76" s="83" t="str">
        <f>RTD("tos.rtd",,EL$43,"."&amp;$A$43&amp;$AS$42&amp;"C"&amp;$A76)</f>
        <v>--</v>
      </c>
      <c r="EM76" s="83" t="str">
        <f>RTD("tos.rtd",,EM$43,"."&amp;$A$43&amp;$AS$42&amp;"P"&amp;$A76)</f>
        <v>235.77%</v>
      </c>
      <c r="EN76" s="83" t="str">
        <f>RTD("tos.rtd",,EN$2,"."&amp;$A$43&amp;$AU$1&amp;"C"&amp;$A76)</f>
        <v>--</v>
      </c>
      <c r="EO76" s="83" t="str">
        <f>RTD("tos.rtd",,EO$2,"."&amp;$A$43&amp;$AU$1&amp;"P"&amp;$A76)</f>
        <v>235.77%</v>
      </c>
      <c r="EP76" s="83" t="str">
        <f>RTD("tos.rtd",,EP$2,"."&amp;$A$43&amp;$AW$1&amp;"C"&amp;$A76)</f>
        <v>--</v>
      </c>
      <c r="EQ76" s="83" t="str">
        <f>RTD("tos.rtd",,EQ$2,"."&amp;$A$43&amp;$AW$1&amp;"P"&amp;$A76)</f>
        <v>40.40%</v>
      </c>
      <c r="ES76" s="63" t="str">
        <f t="shared" si="274"/>
        <v>471,5800.00</v>
      </c>
      <c r="ET76" s="63" t="str">
        <f t="shared" ca="1" si="275"/>
        <v>471,00.00</v>
      </c>
      <c r="EU76" s="68">
        <v>561.4</v>
      </c>
      <c r="EV76" s="68" t="s">
        <v>627</v>
      </c>
      <c r="EW76" s="68">
        <v>483.92</v>
      </c>
      <c r="EX76" s="68" t="s">
        <v>628</v>
      </c>
      <c r="EY76" s="68">
        <v>5631.28</v>
      </c>
      <c r="EZ76" s="68" t="s">
        <v>629</v>
      </c>
      <c r="FA76" s="68">
        <v>19867.973000000002</v>
      </c>
      <c r="FB76" s="68" t="s">
        <v>630</v>
      </c>
      <c r="FC76" s="68" t="s">
        <v>631</v>
      </c>
      <c r="FD76" s="68" t="s">
        <v>632</v>
      </c>
      <c r="FE76" s="68" t="s">
        <v>633</v>
      </c>
      <c r="FF76" s="68" t="s">
        <v>634</v>
      </c>
    </row>
    <row r="77" spans="1:162" ht="13.5" thickBot="1" x14ac:dyDescent="0.25">
      <c r="A77" s="2">
        <f t="shared" si="294"/>
        <v>470</v>
      </c>
      <c r="B77" s="3">
        <f t="shared" si="241"/>
        <v>9363</v>
      </c>
      <c r="C77" s="3">
        <f t="shared" si="412"/>
        <v>14148</v>
      </c>
      <c r="D77" s="3">
        <f t="shared" si="243"/>
        <v>65170</v>
      </c>
      <c r="E77" s="3">
        <f t="shared" si="244"/>
        <v>88681</v>
      </c>
      <c r="F77" s="4">
        <f t="shared" si="298"/>
        <v>19391.60010488523</v>
      </c>
      <c r="AM77" s="1">
        <v>123</v>
      </c>
      <c r="AN77" s="1">
        <v>-67</v>
      </c>
      <c r="AO77" s="1">
        <v>470</v>
      </c>
      <c r="AP77" s="1">
        <v>219</v>
      </c>
      <c r="AQ77" s="1">
        <v>-7758</v>
      </c>
      <c r="AS77" s="6">
        <f>IF(RTD("tos.rtd",,AS$43,"."&amp;$A$43&amp;$AS$42&amp;"C"&amp;$A77)="N/A",0,RTD("tos.rtd",,AS$43,"."&amp;$A$43&amp;$AS$42&amp;"C"&amp;$A77))</f>
        <v>692</v>
      </c>
      <c r="AT77" s="7">
        <f>-IF(RTD("tos.rtd",,AT$43,"."&amp;$A$43&amp;$AS$42&amp;"P"&amp;$A77)="N/A",0,RTD("tos.rtd",,AT$43,"."&amp;$A$43&amp;$AS$42&amp;"P"&amp;$A77))</f>
        <v>-8671</v>
      </c>
      <c r="AU77" s="6">
        <f>IF(RTD("tos.rtd",,AU$2,"."&amp;$A$43&amp;$AU$1&amp;"C"&amp;$A77)="N/A",0,RTD("tos.rtd",,AU$2,"."&amp;$A$43&amp;$AU$1&amp;"C"&amp;$A77))</f>
        <v>3191</v>
      </c>
      <c r="AV77" s="7">
        <f>-IF(RTD("tos.rtd",,AV$2,"."&amp;$A$43&amp;$AU$1&amp;"P"&amp;$A77)="N/A",0,RTD("tos.rtd",,AV$2,"."&amp;$A$43&amp;$AU$1&amp;"P"&amp;$A77))</f>
        <v>-10957</v>
      </c>
      <c r="AW77" s="6">
        <f>IF(RTD("tos.rtd",,AW$2,"."&amp;$A$43&amp;$AW$1&amp;"C"&amp;$A77)="N/A",0,RTD("tos.rtd",,AW$2,"."&amp;$A$43&amp;$AW$1&amp;"C"&amp;$A77))</f>
        <v>34931</v>
      </c>
      <c r="AX77" s="7">
        <f>-IF(RTD("tos.rtd",,AX$2,"."&amp;$A$43&amp;$AW$1&amp;"P"&amp;$A77)="N/A",0,RTD("tos.rtd",,AX$2,"."&amp;$A$43&amp;$AW$1&amp;"P"&amp;$A77))</f>
        <v>-30239</v>
      </c>
      <c r="AY77" s="7">
        <f t="shared" si="276"/>
        <v>-11053</v>
      </c>
      <c r="AZ77" s="8">
        <f t="shared" si="245"/>
        <v>470</v>
      </c>
      <c r="BA77" s="6">
        <f>IF(RTD("tos.rtd",,BA$43,"."&amp;$A$43&amp;$AS$42&amp;"C"&amp;$A77)="N/A",0,RTD("tos.rtd",,BA$43,"."&amp;$A$43&amp;$AS$42&amp;"C"&amp;$A77))</f>
        <v>0</v>
      </c>
      <c r="BB77" s="7">
        <f>-IF(RTD("tos.rtd",,BB$43,"."&amp;$A$43&amp;$AS$42&amp;"P"&amp;$A77)="N/A",0,RTD("tos.rtd",,BB$43,"."&amp;$A$43&amp;$AS$42&amp;"P"&amp;$A77))</f>
        <v>0</v>
      </c>
      <c r="BC77" s="6">
        <f>IF(RTD("tos.rtd",,BC$2,"."&amp;$A$43&amp;$AU$1&amp;"C"&amp;$A77)="N/A",0,RTD("tos.rtd",,BC$2,"."&amp;$A$43&amp;$AU$1&amp;"C"&amp;$A77))</f>
        <v>494</v>
      </c>
      <c r="BD77" s="7">
        <f>-IF(RTD("tos.rtd",,BD$2,"."&amp;$A$43&amp;$AU$1&amp;"P"&amp;$A77)="N/A",0,RTD("tos.rtd",,BD$2,"."&amp;$A$43&amp;$AU$1&amp;"P"&amp;$A77))</f>
        <v>-6582</v>
      </c>
      <c r="BE77" s="6">
        <f>IF(RTD("tos.rtd",,BE$2,"."&amp;$A$43&amp;$AW$1&amp;"C"&amp;$A77)="N/A",0,RTD("tos.rtd",,BE$2,"."&amp;$A$43&amp;$AW$1&amp;"C"&amp;$A77))</f>
        <v>430</v>
      </c>
      <c r="BF77" s="7">
        <f>-IF(RTD("tos.rtd",,BF$2,"."&amp;$A$43&amp;$AW$1&amp;"P"&amp;$A77)="N/A",0,RTD("tos.rtd",,BF$2,"."&amp;$A$43&amp;$AW$1&amp;"P"&amp;$A77))</f>
        <v>-6592</v>
      </c>
      <c r="BG77" s="32">
        <f ca="1">+Hoja2!Y78</f>
        <v>-14350</v>
      </c>
      <c r="BH77" s="7">
        <f t="shared" ca="1" si="277"/>
        <v>-26600</v>
      </c>
      <c r="BI77" s="8" t="str">
        <f t="shared" ca="1" si="295"/>
        <v/>
      </c>
      <c r="BJ77" s="83" t="e">
        <f ca="1">IF($BP$1=1,DX77,IF(RTD("tos.rtd",,BJ$43,"."&amp;$A$43&amp;$AS$42&amp;"C"&amp;$A77)="N/A",0,RTD("tos.rtd",,BJ$43,"."&amp;$A$43&amp;$AS$42&amp;"C"&amp;$A77)))</f>
        <v>#NUM!</v>
      </c>
      <c r="BK77" s="83" t="e">
        <f ca="1">IF($BP$1=1,DY77,-IF(RTD("tos.rtd",,BK$43,"."&amp;$A$43&amp;$AS$42&amp;"P"&amp;$A77)="N/A",0,RTD("tos.rtd",,BK$43,"."&amp;$A$43&amp;$AS$42&amp;"P"&amp;$A77)))</f>
        <v>#NUM!</v>
      </c>
      <c r="BL77" s="83" t="e">
        <f ca="1">IF($BP$1=1,DZ77,IF(RTD("tos.rtd",,BL$2,"."&amp;$A$43&amp;$AU$1&amp;"C"&amp;$A77)="N/A",0,RTD("tos.rtd",,BL$2,"."&amp;$A$43&amp;$AU$1&amp;"C"&amp;$A77)))</f>
        <v>#NUM!</v>
      </c>
      <c r="BM77" s="83" t="e">
        <f ca="1">IF($BP$1=1,EA77,-IF(RTD("tos.rtd",,BM$2,"."&amp;$A$43&amp;$AU$1&amp;"P"&amp;$A77)="N/A",0,RTD("tos.rtd",,BM$2,"."&amp;$A$43&amp;$AU$1&amp;"P"&amp;$A77)))</f>
        <v>#NUM!</v>
      </c>
      <c r="BN77" s="83" t="e">
        <f ca="1">IF($BP$1=1,EB77,IF(RTD("tos.rtd",,BN$2,"."&amp;$A$43&amp;$AW$1&amp;"C"&amp;$A77)="N/A",0,RTD("tos.rtd",,BN$2,"."&amp;$A$43&amp;$AW$1&amp;"C"&amp;$A77)))</f>
        <v>#NUM!</v>
      </c>
      <c r="BO77" s="83" t="e">
        <f ca="1">IF($BP$1=1,EC77,-IF(RTD("tos.rtd",,BO$2,"."&amp;$A$43&amp;$AW$1&amp;"P"&amp;$A77)="N/A",0,RTD("tos.rtd",,BO$2,"."&amp;$A$43&amp;$AW$1&amp;"P"&amp;$A77)))</f>
        <v>#NUM!</v>
      </c>
      <c r="BQ77" s="83" t="e">
        <f t="shared" ca="1" si="278"/>
        <v>#NUM!</v>
      </c>
      <c r="BR77" s="3" t="e">
        <f t="shared" ca="1" si="279"/>
        <v>#NUM!</v>
      </c>
      <c r="BS77" s="83" t="e">
        <f t="shared" ca="1" si="280"/>
        <v>#NUM!</v>
      </c>
      <c r="BT77" s="3" t="e">
        <f t="shared" ca="1" si="281"/>
        <v>#NUM!</v>
      </c>
      <c r="BU77" s="83" t="e">
        <f t="shared" ca="1" si="282"/>
        <v>#NUM!</v>
      </c>
      <c r="BV77" s="83"/>
      <c r="BX77" s="83" t="e">
        <f t="shared" ca="1" si="283"/>
        <v>#NUM!</v>
      </c>
      <c r="BY77" s="83" t="e">
        <f t="shared" ca="1" si="296"/>
        <v>#NUM!</v>
      </c>
      <c r="BZ77" s="83" t="e">
        <f t="shared" ca="1" si="284"/>
        <v>#NUM!</v>
      </c>
      <c r="CA77" s="83" t="e">
        <f t="shared" ca="1" si="296"/>
        <v>#NUM!</v>
      </c>
      <c r="CB77" s="83" t="e">
        <f t="shared" ca="1" si="285"/>
        <v>#NUM!</v>
      </c>
      <c r="CC77" s="83" t="e">
        <f t="shared" ca="1" si="296"/>
        <v>#NUM!</v>
      </c>
      <c r="CD77" s="83">
        <f>IF(RTD("tos.rtd",,CD$43,"."&amp;$A$43&amp;$AS$42&amp;"C"&amp;$A77)="N/A",0,RTD("tos.rtd",,CD$43,"."&amp;$A$43&amp;$AS$42&amp;"C"&amp;$A77))</f>
        <v>1</v>
      </c>
      <c r="CE77" s="83">
        <f>-IF(RTD("tos.rtd",,CE$43,"."&amp;$A$43&amp;$AS$42&amp;"P"&amp;$A77)="N/A",0,RTD("tos.rtd",,CE$43,"."&amp;$A$43&amp;$AS$42&amp;"P"&amp;$A77))</f>
        <v>0</v>
      </c>
      <c r="CF77" s="83">
        <f>IF(RTD("tos.rtd",,CF$2,"."&amp;$A$43&amp;$AU$1&amp;"C"&amp;$A77)="N/A",0,RTD("tos.rtd",,CF$2,"."&amp;$A$43&amp;$AU$1&amp;"C"&amp;$A77))</f>
        <v>1</v>
      </c>
      <c r="CG77" s="83">
        <f>-IF(RTD("tos.rtd",,CG$2,"."&amp;$A$43&amp;$AU$1&amp;"P"&amp;$A77)="N/A",0,RTD("tos.rtd",,CG$2,"."&amp;$A$43&amp;$AU$1&amp;"P"&amp;$A77))</f>
        <v>0</v>
      </c>
      <c r="CH77" s="83">
        <f>IF(RTD("tos.rtd",,CH$2,"."&amp;$A$43&amp;$AW$1&amp;"C"&amp;$A77)="N/A",0,RTD("tos.rtd",,CH$2,"."&amp;$A$43&amp;$AW$1&amp;"C"&amp;$A77))</f>
        <v>1</v>
      </c>
      <c r="CI77" s="83">
        <f>-IF(RTD("tos.rtd",,CI$2,"."&amp;$A$43&amp;$AW$1&amp;"P"&amp;$A77)="N/A",0,RTD("tos.rtd",,CI$2,"."&amp;$A$43&amp;$AW$1&amp;"P"&amp;$A77))</f>
        <v>0.12</v>
      </c>
      <c r="CK77" s="83">
        <f t="shared" si="286"/>
        <v>69200</v>
      </c>
      <c r="CL77" s="83"/>
      <c r="CM77" s="83">
        <f t="shared" si="287"/>
        <v>319100</v>
      </c>
      <c r="CN77" s="83"/>
      <c r="CO77" s="83">
        <f t="shared" si="288"/>
        <v>3130232</v>
      </c>
      <c r="CP77" s="83">
        <f t="shared" si="235"/>
        <v>3518532</v>
      </c>
      <c r="CQ77" s="83">
        <f t="shared" si="249"/>
        <v>0</v>
      </c>
      <c r="CR77" s="83"/>
      <c r="CS77" s="83">
        <f t="shared" si="250"/>
        <v>-6088</v>
      </c>
      <c r="CT77" s="83"/>
      <c r="CU77" s="83">
        <f t="shared" si="251"/>
        <v>-6162</v>
      </c>
      <c r="CV77" s="83"/>
      <c r="CW77" s="83" t="e">
        <f t="shared" ca="1" si="252"/>
        <v>#NUM!</v>
      </c>
      <c r="CY77" s="83" t="e">
        <f t="shared" ca="1" si="253"/>
        <v>#NUM!</v>
      </c>
      <c r="CZ77" s="70" t="e">
        <f t="shared" ca="1" si="297"/>
        <v>#NUM!</v>
      </c>
      <c r="DA77" s="83">
        <f>IF(RTD("tos.rtd",,DA$43,"."&amp;$A$43&amp;$AS$42&amp;"C"&amp;$A77)="N/A",0,RTD("tos.rtd",,DA$43,"."&amp;$A$43&amp;$AS$42&amp;"C"&amp;$A77))</f>
        <v>18.34</v>
      </c>
      <c r="DB77" s="83">
        <f>IF(RTD("tos.rtd",,DB$43,"."&amp;$A$43&amp;$AS$42&amp;"P"&amp;$A77)="N/A",0,RTD("tos.rtd",,DB$43,"."&amp;$A$43&amp;$AS$42&amp;"P"&amp;$A77))</f>
        <v>0.01</v>
      </c>
      <c r="DC77" s="83">
        <f>IF(RTD("tos.rtd",,DC$43,"."&amp;$A$43&amp;$AS$42&amp;"C"&amp;$A77)="N/A",0,RTD("tos.rtd",,DC$43,"."&amp;$A$43&amp;$AS$42&amp;"C"&amp;$A77))</f>
        <v>20.18</v>
      </c>
      <c r="DD77" s="83">
        <f>IF(RTD("tos.rtd",,DD$43,"."&amp;$A$43&amp;$AS$42&amp;"P"&amp;$A77)="N/A",0,RTD("tos.rtd",,DD$43,"."&amp;$A$43&amp;$AS$42&amp;"P"&amp;$A77))</f>
        <v>0.01</v>
      </c>
      <c r="DE77" s="83">
        <f>IF(RTD("tos.rtd",,DE$43,"."&amp;$A$43&amp;$AS$42&amp;"C"&amp;$A77)="N/A",0,RTD("tos.rtd",,DE$43,"."&amp;$A$43&amp;$AS$42&amp;"C"&amp;$A77))</f>
        <v>16.760000000000002</v>
      </c>
      <c r="DF77" s="83">
        <f>IF(RTD("tos.rtd",,DF$43,"."&amp;$A$43&amp;$AS$42&amp;"P"&amp;$A77)="N/A",0,RTD("tos.rtd",,DF$43,"."&amp;$A$43&amp;$AS$42&amp;"P"&amp;$A77))</f>
        <v>0</v>
      </c>
      <c r="DG77" s="86">
        <f t="shared" si="289"/>
        <v>-25.779999999999973</v>
      </c>
      <c r="DH77" s="83">
        <f t="shared" si="254"/>
        <v>-101.17543859649118</v>
      </c>
      <c r="DI77" s="83">
        <f t="shared" si="255"/>
        <v>7758</v>
      </c>
      <c r="DJ77" s="83">
        <f t="shared" si="256"/>
        <v>0</v>
      </c>
      <c r="DK77" s="83">
        <f t="shared" si="257"/>
        <v>7758</v>
      </c>
      <c r="DL77" s="83">
        <f t="shared" si="258"/>
        <v>7656.8245614035086</v>
      </c>
      <c r="DM77" s="83">
        <f t="shared" si="259"/>
        <v>7758</v>
      </c>
      <c r="DN77" s="64" t="str">
        <f t="shared" si="260"/>
        <v>UNKNOWN</v>
      </c>
      <c r="DO77" s="64" t="str">
        <f t="shared" si="261"/>
        <v>UNKNOWN</v>
      </c>
      <c r="DP77" s="83">
        <f t="shared" si="262"/>
        <v>-1777.9775438596482</v>
      </c>
      <c r="DQ77" s="83">
        <f t="shared" si="263"/>
        <v>77.58</v>
      </c>
      <c r="DR77" s="83" t="e">
        <f t="shared" ca="1" si="264"/>
        <v>#NUM!</v>
      </c>
      <c r="DS77" s="83">
        <f t="shared" si="265"/>
        <v>0</v>
      </c>
      <c r="DT77" s="83">
        <f t="shared" si="290"/>
        <v>-219</v>
      </c>
      <c r="DU77" s="83">
        <f t="shared" si="291"/>
        <v>7758</v>
      </c>
      <c r="DV77" s="83">
        <f t="shared" si="266"/>
        <v>123</v>
      </c>
      <c r="DW77" s="83">
        <f t="shared" si="267"/>
        <v>-67</v>
      </c>
      <c r="DX77" s="83" t="e">
        <f t="shared" ca="1" si="406"/>
        <v>#NUM!</v>
      </c>
      <c r="DY77" s="83" t="e">
        <f t="shared" ca="1" si="407"/>
        <v>#NUM!</v>
      </c>
      <c r="DZ77" s="83" t="e">
        <f t="shared" ca="1" si="408"/>
        <v>#NUM!</v>
      </c>
      <c r="EA77" s="83" t="e">
        <f t="shared" ca="1" si="409"/>
        <v>#NUM!</v>
      </c>
      <c r="EB77" s="83" t="e">
        <f t="shared" ca="1" si="410"/>
        <v>#NUM!</v>
      </c>
      <c r="EC77" s="83" t="e">
        <f t="shared" ca="1" si="411"/>
        <v>#NUM!</v>
      </c>
      <c r="ED77" s="63">
        <f t="shared" si="292"/>
        <v>56</v>
      </c>
      <c r="EE77" s="84">
        <f t="shared" si="268"/>
        <v>0.25</v>
      </c>
      <c r="EF77" s="84">
        <f t="shared" si="269"/>
        <v>2.4466000000000001</v>
      </c>
      <c r="EG77" s="84">
        <f t="shared" si="270"/>
        <v>0.25</v>
      </c>
      <c r="EH77" s="84">
        <f t="shared" si="271"/>
        <v>2.4466000000000001</v>
      </c>
      <c r="EI77" s="84">
        <f t="shared" si="272"/>
        <v>0.25</v>
      </c>
      <c r="EJ77" s="84">
        <f t="shared" si="273"/>
        <v>0.40289999999999998</v>
      </c>
      <c r="EK77" s="63" t="e">
        <f t="shared" ca="1" si="293"/>
        <v>#NUM!</v>
      </c>
      <c r="EL77" s="83" t="str">
        <f>RTD("tos.rtd",,EL$43,"."&amp;$A$43&amp;$AS$42&amp;"C"&amp;$A77)</f>
        <v>--</v>
      </c>
      <c r="EM77" s="83" t="str">
        <f>RTD("tos.rtd",,EM$43,"."&amp;$A$43&amp;$AS$42&amp;"P"&amp;$A77)</f>
        <v>244.66%</v>
      </c>
      <c r="EN77" s="83" t="str">
        <f>RTD("tos.rtd",,EN$2,"."&amp;$A$43&amp;$AU$1&amp;"C"&amp;$A77)</f>
        <v>--</v>
      </c>
      <c r="EO77" s="83" t="str">
        <f>RTD("tos.rtd",,EO$2,"."&amp;$A$43&amp;$AU$1&amp;"P"&amp;$A77)</f>
        <v>244.66%</v>
      </c>
      <c r="EP77" s="83" t="str">
        <f>RTD("tos.rtd",,EP$2,"."&amp;$A$43&amp;$AW$1&amp;"C"&amp;$A77)</f>
        <v>--</v>
      </c>
      <c r="EQ77" s="83" t="str">
        <f>RTD("tos.rtd",,EQ$2,"."&amp;$A$43&amp;$AW$1&amp;"P"&amp;$A77)</f>
        <v>40.29%</v>
      </c>
      <c r="ES77" s="63" t="str">
        <f t="shared" si="274"/>
        <v>470,56.00</v>
      </c>
      <c r="ET77" s="63" t="str">
        <f t="shared" ca="1" si="275"/>
        <v>470,00.00</v>
      </c>
      <c r="EU77" s="68">
        <v>561.46</v>
      </c>
      <c r="EV77" s="68" t="s">
        <v>635</v>
      </c>
      <c r="EW77" s="68">
        <v>483.99</v>
      </c>
      <c r="EX77" s="68" t="s">
        <v>636</v>
      </c>
      <c r="EY77" s="68">
        <v>5631.28</v>
      </c>
      <c r="EZ77" s="68" t="s">
        <v>637</v>
      </c>
      <c r="FA77" s="68">
        <v>19867.973000000002</v>
      </c>
      <c r="FB77" s="68" t="s">
        <v>638</v>
      </c>
      <c r="FC77" s="68" t="s">
        <v>639</v>
      </c>
      <c r="FD77" s="68" t="s">
        <v>640</v>
      </c>
      <c r="FE77" s="68" t="s">
        <v>641</v>
      </c>
      <c r="FF77" s="68" t="s">
        <v>642</v>
      </c>
    </row>
    <row r="78" spans="1:162" ht="13.5" thickBot="1" x14ac:dyDescent="0.25">
      <c r="A78" s="2">
        <f t="shared" si="294"/>
        <v>469</v>
      </c>
      <c r="B78" s="3">
        <f t="shared" si="241"/>
        <v>1994</v>
      </c>
      <c r="C78" s="3">
        <f t="shared" si="412"/>
        <v>3118</v>
      </c>
      <c r="D78" s="3">
        <f t="shared" si="243"/>
        <v>2935</v>
      </c>
      <c r="E78" s="3">
        <f t="shared" si="244"/>
        <v>8047</v>
      </c>
      <c r="F78" s="4">
        <f t="shared" si="298"/>
        <v>19350.341381257815</v>
      </c>
      <c r="AM78" s="1">
        <v>100</v>
      </c>
      <c r="AN78" s="1">
        <v>-2907</v>
      </c>
      <c r="AO78" s="1">
        <v>469</v>
      </c>
      <c r="AP78" s="1">
        <v>30</v>
      </c>
      <c r="AQ78" s="1">
        <v>-1601</v>
      </c>
      <c r="AS78" s="6">
        <f>IF(RTD("tos.rtd",,AS$43,"."&amp;$A$43&amp;$AS$42&amp;"C"&amp;$A78)="N/A",0,RTD("tos.rtd",,AS$43,"."&amp;$A$43&amp;$AS$42&amp;"C"&amp;$A78))</f>
        <v>56</v>
      </c>
      <c r="AT78" s="7">
        <f>-IF(RTD("tos.rtd",,AT$43,"."&amp;$A$43&amp;$AS$42&amp;"P"&amp;$A78)="N/A",0,RTD("tos.rtd",,AT$43,"."&amp;$A$43&amp;$AS$42&amp;"P"&amp;$A78))</f>
        <v>-1938</v>
      </c>
      <c r="AU78" s="6">
        <f>IF(RTD("tos.rtd",,AU$2,"."&amp;$A$43&amp;$AU$1&amp;"C"&amp;$A78)="N/A",0,RTD("tos.rtd",,AU$2,"."&amp;$A$43&amp;$AU$1&amp;"C"&amp;$A78))</f>
        <v>665</v>
      </c>
      <c r="AV78" s="7">
        <f>-IF(RTD("tos.rtd",,AV$2,"."&amp;$A$43&amp;$AU$1&amp;"P"&amp;$A78)="N/A",0,RTD("tos.rtd",,AV$2,"."&amp;$A$43&amp;$AU$1&amp;"P"&amp;$A78))</f>
        <v>-2453</v>
      </c>
      <c r="AW78" s="6">
        <f>IF(RTD("tos.rtd",,AW$2,"."&amp;$A$43&amp;$AW$1&amp;"C"&amp;$A78)="N/A",0,RTD("tos.rtd",,AW$2,"."&amp;$A$43&amp;$AW$1&amp;"C"&amp;$A78))</f>
        <v>967</v>
      </c>
      <c r="AX78" s="7">
        <f>-IF(RTD("tos.rtd",,AX$2,"."&amp;$A$43&amp;$AW$1&amp;"P"&amp;$A78)="N/A",0,RTD("tos.rtd",,AX$2,"."&amp;$A$43&amp;$AW$1&amp;"P"&amp;$A78))</f>
        <v>-1968</v>
      </c>
      <c r="AY78" s="7">
        <f t="shared" si="276"/>
        <v>-4671</v>
      </c>
      <c r="AZ78" s="8">
        <f t="shared" si="245"/>
        <v>469</v>
      </c>
      <c r="BA78" s="6">
        <f>IF(RTD("tos.rtd",,BA$43,"."&amp;$A$43&amp;$AS$42&amp;"C"&amp;$A78)="N/A",0,RTD("tos.rtd",,BA$43,"."&amp;$A$43&amp;$AS$42&amp;"C"&amp;$A78))</f>
        <v>0</v>
      </c>
      <c r="BB78" s="7">
        <f>-IF(RTD("tos.rtd",,BB$43,"."&amp;$A$43&amp;$AS$42&amp;"P"&amp;$A78)="N/A",0,RTD("tos.rtd",,BB$43,"."&amp;$A$43&amp;$AS$42&amp;"P"&amp;$A78))</f>
        <v>0</v>
      </c>
      <c r="BC78" s="6">
        <f>IF(RTD("tos.rtd",,BC$2,"."&amp;$A$43&amp;$AU$1&amp;"C"&amp;$A78)="N/A",0,RTD("tos.rtd",,BC$2,"."&amp;$A$43&amp;$AU$1&amp;"C"&amp;$A78))</f>
        <v>155</v>
      </c>
      <c r="BD78" s="7">
        <f>-IF(RTD("tos.rtd",,BD$2,"."&amp;$A$43&amp;$AU$1&amp;"P"&amp;$A78)="N/A",0,RTD("tos.rtd",,BD$2,"."&amp;$A$43&amp;$AU$1&amp;"P"&amp;$A78))</f>
        <v>-2200</v>
      </c>
      <c r="BE78" s="6">
        <f>IF(RTD("tos.rtd",,BE$2,"."&amp;$A$43&amp;$AW$1&amp;"C"&amp;$A78)="N/A",0,RTD("tos.rtd",,BE$2,"."&amp;$A$43&amp;$AW$1&amp;"C"&amp;$A78))</f>
        <v>168</v>
      </c>
      <c r="BF78" s="7">
        <f>-IF(RTD("tos.rtd",,BF$2,"."&amp;$A$43&amp;$AW$1&amp;"P"&amp;$A78)="N/A",0,RTD("tos.rtd",,BF$2,"."&amp;$A$43&amp;$AW$1&amp;"P"&amp;$A78))</f>
        <v>-2335</v>
      </c>
      <c r="BG78" s="32">
        <f ca="1">+Hoja2!Y79</f>
        <v>-194</v>
      </c>
      <c r="BH78" s="7">
        <f t="shared" ca="1" si="277"/>
        <v>-4406</v>
      </c>
      <c r="BI78" s="8" t="str">
        <f t="shared" ca="1" si="295"/>
        <v/>
      </c>
      <c r="BJ78" s="83" t="e">
        <f ca="1">IF($BP$1=1,DX78,IF(RTD("tos.rtd",,BJ$43,"."&amp;$A$43&amp;$AS$42&amp;"C"&amp;$A78)="N/A",0,RTD("tos.rtd",,BJ$43,"."&amp;$A$43&amp;$AS$42&amp;"C"&amp;$A78)))</f>
        <v>#NUM!</v>
      </c>
      <c r="BK78" s="83" t="e">
        <f ca="1">IF($BP$1=1,DY78,-IF(RTD("tos.rtd",,BK$43,"."&amp;$A$43&amp;$AS$42&amp;"P"&amp;$A78)="N/A",0,RTD("tos.rtd",,BK$43,"."&amp;$A$43&amp;$AS$42&amp;"P"&amp;$A78)))</f>
        <v>#NUM!</v>
      </c>
      <c r="BL78" s="83" t="e">
        <f ca="1">IF($BP$1=1,DZ78,IF(RTD("tos.rtd",,BL$2,"."&amp;$A$43&amp;$AU$1&amp;"C"&amp;$A78)="N/A",0,RTD("tos.rtd",,BL$2,"."&amp;$A$43&amp;$AU$1&amp;"C"&amp;$A78)))</f>
        <v>#NUM!</v>
      </c>
      <c r="BM78" s="83" t="e">
        <f ca="1">IF($BP$1=1,EA78,-IF(RTD("tos.rtd",,BM$2,"."&amp;$A$43&amp;$AU$1&amp;"P"&amp;$A78)="N/A",0,RTD("tos.rtd",,BM$2,"."&amp;$A$43&amp;$AU$1&amp;"P"&amp;$A78)))</f>
        <v>#NUM!</v>
      </c>
      <c r="BN78" s="83" t="e">
        <f ca="1">IF($BP$1=1,EB78,IF(RTD("tos.rtd",,BN$2,"."&amp;$A$43&amp;$AW$1&amp;"C"&amp;$A78)="N/A",0,RTD("tos.rtd",,BN$2,"."&amp;$A$43&amp;$AW$1&amp;"C"&amp;$A78)))</f>
        <v>#NUM!</v>
      </c>
      <c r="BO78" s="83" t="e">
        <f ca="1">IF($BP$1=1,EC78,-IF(RTD("tos.rtd",,BO$2,"."&amp;$A$43&amp;$AW$1&amp;"P"&amp;$A78)="N/A",0,RTD("tos.rtd",,BO$2,"."&amp;$A$43&amp;$AW$1&amp;"P"&amp;$A78)))</f>
        <v>#NUM!</v>
      </c>
      <c r="BQ78" s="83" t="e">
        <f t="shared" ca="1" si="278"/>
        <v>#NUM!</v>
      </c>
      <c r="BR78" s="3" t="e">
        <f t="shared" ca="1" si="279"/>
        <v>#NUM!</v>
      </c>
      <c r="BS78" s="83" t="e">
        <f t="shared" ca="1" si="280"/>
        <v>#NUM!</v>
      </c>
      <c r="BT78" s="3" t="e">
        <f t="shared" ca="1" si="281"/>
        <v>#NUM!</v>
      </c>
      <c r="BU78" s="83" t="e">
        <f t="shared" ca="1" si="282"/>
        <v>#NUM!</v>
      </c>
      <c r="BV78" s="83"/>
      <c r="BX78" s="83" t="e">
        <f t="shared" ca="1" si="283"/>
        <v>#NUM!</v>
      </c>
      <c r="BY78" s="83" t="e">
        <f t="shared" ca="1" si="296"/>
        <v>#NUM!</v>
      </c>
      <c r="BZ78" s="83" t="e">
        <f t="shared" ca="1" si="284"/>
        <v>#NUM!</v>
      </c>
      <c r="CA78" s="83" t="e">
        <f t="shared" ca="1" si="296"/>
        <v>#NUM!</v>
      </c>
      <c r="CB78" s="83" t="e">
        <f t="shared" ca="1" si="285"/>
        <v>#NUM!</v>
      </c>
      <c r="CC78" s="83" t="e">
        <f t="shared" ca="1" si="296"/>
        <v>#NUM!</v>
      </c>
      <c r="CD78" s="83">
        <f>IF(RTD("tos.rtd",,CD$43,"."&amp;$A$43&amp;$AS$42&amp;"C"&amp;$A78)="N/A",0,RTD("tos.rtd",,CD$43,"."&amp;$A$43&amp;$AS$42&amp;"C"&amp;$A78))</f>
        <v>1</v>
      </c>
      <c r="CE78" s="83">
        <f>-IF(RTD("tos.rtd",,CE$43,"."&amp;$A$43&amp;$AS$42&amp;"P"&amp;$A78)="N/A",0,RTD("tos.rtd",,CE$43,"."&amp;$A$43&amp;$AS$42&amp;"P"&amp;$A78))</f>
        <v>0</v>
      </c>
      <c r="CF78" s="83">
        <f>IF(RTD("tos.rtd",,CF$2,"."&amp;$A$43&amp;$AU$1&amp;"C"&amp;$A78)="N/A",0,RTD("tos.rtd",,CF$2,"."&amp;$A$43&amp;$AU$1&amp;"C"&amp;$A78))</f>
        <v>1</v>
      </c>
      <c r="CG78" s="83">
        <f>-IF(RTD("tos.rtd",,CG$2,"."&amp;$A$43&amp;$AU$1&amp;"P"&amp;$A78)="N/A",0,RTD("tos.rtd",,CG$2,"."&amp;$A$43&amp;$AU$1&amp;"P"&amp;$A78))</f>
        <v>0</v>
      </c>
      <c r="CH78" s="83">
        <f>IF(RTD("tos.rtd",,CH$2,"."&amp;$A$43&amp;$AW$1&amp;"C"&amp;$A78)="N/A",0,RTD("tos.rtd",,CH$2,"."&amp;$A$43&amp;$AW$1&amp;"C"&amp;$A78))</f>
        <v>1</v>
      </c>
      <c r="CI78" s="83">
        <f>-IF(RTD("tos.rtd",,CI$2,"."&amp;$A$43&amp;$AW$1&amp;"P"&amp;$A78)="N/A",0,RTD("tos.rtd",,CI$2,"."&amp;$A$43&amp;$AW$1&amp;"P"&amp;$A78))</f>
        <v>0.11</v>
      </c>
      <c r="CK78" s="83">
        <f t="shared" si="286"/>
        <v>5600</v>
      </c>
      <c r="CL78" s="83"/>
      <c r="CM78" s="83">
        <f t="shared" si="287"/>
        <v>66500</v>
      </c>
      <c r="CN78" s="83"/>
      <c r="CO78" s="83">
        <f t="shared" si="288"/>
        <v>75052</v>
      </c>
      <c r="CP78" s="83">
        <f t="shared" si="235"/>
        <v>147152</v>
      </c>
      <c r="CQ78" s="83">
        <f t="shared" si="249"/>
        <v>0</v>
      </c>
      <c r="CR78" s="83"/>
      <c r="CS78" s="83">
        <f t="shared" si="250"/>
        <v>-2045</v>
      </c>
      <c r="CT78" s="83"/>
      <c r="CU78" s="83">
        <f t="shared" si="251"/>
        <v>-2167</v>
      </c>
      <c r="CV78" s="83"/>
      <c r="CW78" s="83" t="e">
        <f t="shared" ca="1" si="252"/>
        <v>#NUM!</v>
      </c>
      <c r="CY78" s="83" t="e">
        <f t="shared" ca="1" si="253"/>
        <v>#NUM!</v>
      </c>
      <c r="CZ78" s="70" t="e">
        <f t="shared" ca="1" si="297"/>
        <v>#NUM!</v>
      </c>
      <c r="DA78" s="83">
        <f>IF(RTD("tos.rtd",,DA$43,"."&amp;$A$43&amp;$AS$42&amp;"C"&amp;$A78)="N/A",0,RTD("tos.rtd",,DA$43,"."&amp;$A$43&amp;$AS$42&amp;"C"&amp;$A78))</f>
        <v>22.33</v>
      </c>
      <c r="DB78" s="83">
        <f>IF(RTD("tos.rtd",,DB$43,"."&amp;$A$43&amp;$AS$42&amp;"P"&amp;$A78)="N/A",0,RTD("tos.rtd",,DB$43,"."&amp;$A$43&amp;$AS$42&amp;"P"&amp;$A78))</f>
        <v>0.01</v>
      </c>
      <c r="DC78" s="83">
        <f>IF(RTD("tos.rtd",,DC$43,"."&amp;$A$43&amp;$AS$42&amp;"C"&amp;$A78)="N/A",0,RTD("tos.rtd",,DC$43,"."&amp;$A$43&amp;$AS$42&amp;"C"&amp;$A78))</f>
        <v>20.97</v>
      </c>
      <c r="DD78" s="83">
        <f>IF(RTD("tos.rtd",,DD$43,"."&amp;$A$43&amp;$AS$42&amp;"P"&amp;$A78)="N/A",0,RTD("tos.rtd",,DD$43,"."&amp;$A$43&amp;$AS$42&amp;"P"&amp;$A78))</f>
        <v>0.01</v>
      </c>
      <c r="DE78" s="83">
        <f>IF(RTD("tos.rtd",,DE$43,"."&amp;$A$43&amp;$AS$42&amp;"C"&amp;$A78)="N/A",0,RTD("tos.rtd",,DE$43,"."&amp;$A$43&amp;$AS$42&amp;"C"&amp;$A78))</f>
        <v>17.760000000000002</v>
      </c>
      <c r="DF78" s="83">
        <f>IF(RTD("tos.rtd",,DF$43,"."&amp;$A$43&amp;$AS$42&amp;"P"&amp;$A78)="N/A",0,RTD("tos.rtd",,DF$43,"."&amp;$A$43&amp;$AS$42&amp;"P"&amp;$A78))</f>
        <v>0</v>
      </c>
      <c r="DG78" s="86">
        <f t="shared" si="289"/>
        <v>-26.779999999999973</v>
      </c>
      <c r="DH78" s="83">
        <f t="shared" si="254"/>
        <v>-42.710280373831786</v>
      </c>
      <c r="DI78" s="83">
        <f t="shared" si="255"/>
        <v>1601</v>
      </c>
      <c r="DJ78" s="83">
        <f t="shared" si="256"/>
        <v>-30</v>
      </c>
      <c r="DK78" s="83">
        <f t="shared" si="257"/>
        <v>1601</v>
      </c>
      <c r="DL78" s="83">
        <f t="shared" si="258"/>
        <v>1558.2897196261681</v>
      </c>
      <c r="DM78" s="83">
        <f t="shared" si="259"/>
        <v>1571</v>
      </c>
      <c r="DN78" s="64" t="str">
        <f t="shared" si="260"/>
        <v>UNKNOWN</v>
      </c>
      <c r="DO78" s="64" t="str">
        <f t="shared" si="261"/>
        <v>UNKNOWN</v>
      </c>
      <c r="DP78" s="83">
        <f t="shared" si="262"/>
        <v>-937.71056074766375</v>
      </c>
      <c r="DQ78" s="83">
        <f t="shared" si="263"/>
        <v>-653.89</v>
      </c>
      <c r="DR78" s="83" t="e">
        <f t="shared" ca="1" si="264"/>
        <v>#NUM!</v>
      </c>
      <c r="DS78" s="83">
        <f t="shared" si="265"/>
        <v>-30</v>
      </c>
      <c r="DT78" s="83">
        <f t="shared" si="290"/>
        <v>-30</v>
      </c>
      <c r="DU78" s="83">
        <f t="shared" si="291"/>
        <v>1601</v>
      </c>
      <c r="DV78" s="83">
        <f t="shared" si="266"/>
        <v>100</v>
      </c>
      <c r="DW78" s="83">
        <f t="shared" si="267"/>
        <v>-2907</v>
      </c>
      <c r="DX78" s="83" t="e">
        <f t="shared" ca="1" si="406"/>
        <v>#NUM!</v>
      </c>
      <c r="DY78" s="83" t="e">
        <f t="shared" ca="1" si="407"/>
        <v>#NUM!</v>
      </c>
      <c r="DZ78" s="83" t="e">
        <f t="shared" ca="1" si="408"/>
        <v>#NUM!</v>
      </c>
      <c r="EA78" s="83" t="e">
        <f t="shared" ca="1" si="409"/>
        <v>#NUM!</v>
      </c>
      <c r="EB78" s="83" t="e">
        <f t="shared" ca="1" si="410"/>
        <v>#NUM!</v>
      </c>
      <c r="EC78" s="83" t="e">
        <f t="shared" ca="1" si="411"/>
        <v>#NUM!</v>
      </c>
      <c r="ED78" s="63">
        <f t="shared" si="292"/>
        <v>-2807</v>
      </c>
      <c r="EE78" s="84">
        <f t="shared" si="268"/>
        <v>0.25</v>
      </c>
      <c r="EF78" s="84">
        <f t="shared" si="269"/>
        <v>2.5352999999999999</v>
      </c>
      <c r="EG78" s="84">
        <f t="shared" si="270"/>
        <v>0.25</v>
      </c>
      <c r="EH78" s="84">
        <f t="shared" si="271"/>
        <v>2.5352999999999999</v>
      </c>
      <c r="EI78" s="84">
        <f t="shared" si="272"/>
        <v>0.25</v>
      </c>
      <c r="EJ78" s="84">
        <f t="shared" si="273"/>
        <v>0.40210000000000001</v>
      </c>
      <c r="EK78" s="63" t="e">
        <f t="shared" ca="1" si="293"/>
        <v>#NUM!</v>
      </c>
      <c r="EL78" s="83" t="str">
        <f>RTD("tos.rtd",,EL$43,"."&amp;$A$43&amp;$AS$42&amp;"C"&amp;$A78)</f>
        <v>--</v>
      </c>
      <c r="EM78" s="83" t="str">
        <f>RTD("tos.rtd",,EM$43,"."&amp;$A$43&amp;$AS$42&amp;"P"&amp;$A78)</f>
        <v>253.53%</v>
      </c>
      <c r="EN78" s="83" t="str">
        <f>RTD("tos.rtd",,EN$2,"."&amp;$A$43&amp;$AU$1&amp;"C"&amp;$A78)</f>
        <v>--</v>
      </c>
      <c r="EO78" s="83" t="str">
        <f>RTD("tos.rtd",,EO$2,"."&amp;$A$43&amp;$AU$1&amp;"P"&amp;$A78)</f>
        <v>253.53%</v>
      </c>
      <c r="EP78" s="83" t="str">
        <f>RTD("tos.rtd",,EP$2,"."&amp;$A$43&amp;$AW$1&amp;"C"&amp;$A78)</f>
        <v>--</v>
      </c>
      <c r="EQ78" s="83" t="str">
        <f>RTD("tos.rtd",,EQ$2,"."&amp;$A$43&amp;$AW$1&amp;"P"&amp;$A78)</f>
        <v>40.21%</v>
      </c>
      <c r="ES78" s="63" t="str">
        <f t="shared" si="274"/>
        <v>469,-2807.00</v>
      </c>
      <c r="ET78" s="63" t="str">
        <f t="shared" ca="1" si="275"/>
        <v>469,00.00</v>
      </c>
      <c r="EU78" s="68">
        <v>561.62</v>
      </c>
      <c r="EV78" s="68" t="s">
        <v>643</v>
      </c>
      <c r="EW78" s="68">
        <v>484.09</v>
      </c>
      <c r="EX78" s="68" t="s">
        <v>644</v>
      </c>
      <c r="EY78" s="68">
        <v>5631.28</v>
      </c>
      <c r="EZ78" s="68" t="s">
        <v>645</v>
      </c>
      <c r="FA78" s="68">
        <v>19867.973000000002</v>
      </c>
      <c r="FB78" s="68" t="s">
        <v>646</v>
      </c>
      <c r="FC78" s="68" t="s">
        <v>647</v>
      </c>
      <c r="FD78" s="68" t="s">
        <v>648</v>
      </c>
      <c r="FE78" s="68" t="s">
        <v>649</v>
      </c>
      <c r="FF78" s="68" t="s">
        <v>650</v>
      </c>
    </row>
    <row r="79" spans="1:162" ht="13.5" thickBot="1" x14ac:dyDescent="0.25">
      <c r="A79" s="2">
        <f t="shared" si="294"/>
        <v>468</v>
      </c>
      <c r="B79" s="35">
        <f t="shared" si="241"/>
        <v>2033</v>
      </c>
      <c r="C79" s="35">
        <f t="shared" si="412"/>
        <v>3195</v>
      </c>
      <c r="D79" s="35">
        <f t="shared" si="243"/>
        <v>3585</v>
      </c>
      <c r="E79" s="35">
        <f t="shared" si="244"/>
        <v>8813</v>
      </c>
      <c r="F79" s="11">
        <f t="shared" si="298"/>
        <v>19309.082657630399</v>
      </c>
      <c r="AM79" s="1">
        <v>73</v>
      </c>
      <c r="AN79" s="1">
        <v>1159</v>
      </c>
      <c r="AO79" s="1">
        <v>468</v>
      </c>
      <c r="AP79" s="1">
        <v>18</v>
      </c>
      <c r="AQ79" s="1">
        <v>-3879</v>
      </c>
      <c r="AS79" s="15">
        <f>IF(RTD("tos.rtd",,AS$43,"."&amp;$A$43&amp;$AS$42&amp;"C"&amp;$A79)="N/A",0,RTD("tos.rtd",,AS$43,"."&amp;$A$43&amp;$AS$42&amp;"C"&amp;$A79))</f>
        <v>132</v>
      </c>
      <c r="AT79" s="36">
        <f>-IF(RTD("tos.rtd",,AT$43,"."&amp;$A$43&amp;$AS$42&amp;"P"&amp;$A79)="N/A",0,RTD("tos.rtd",,AT$43,"."&amp;$A$43&amp;$AS$42&amp;"P"&amp;$A79))</f>
        <v>-1901</v>
      </c>
      <c r="AU79" s="15">
        <f>IF(RTD("tos.rtd",,AU$2,"."&amp;$A$43&amp;$AU$1&amp;"C"&amp;$A79)="N/A",0,RTD("tos.rtd",,AU$2,"."&amp;$A$43&amp;$AU$1&amp;"C"&amp;$A79))</f>
        <v>980</v>
      </c>
      <c r="AV79" s="36">
        <f>-IF(RTD("tos.rtd",,AV$2,"."&amp;$A$43&amp;$AU$1&amp;"P"&amp;$A79)="N/A",0,RTD("tos.rtd",,AV$2,"."&amp;$A$43&amp;$AU$1&amp;"P"&amp;$A79))</f>
        <v>-2215</v>
      </c>
      <c r="AW79" s="15">
        <f>IF(RTD("tos.rtd",,AW$2,"."&amp;$A$43&amp;$AW$1&amp;"C"&amp;$A79)="N/A",0,RTD("tos.rtd",,AW$2,"."&amp;$A$43&amp;$AW$1&amp;"C"&amp;$A79))</f>
        <v>1737</v>
      </c>
      <c r="AX79" s="36">
        <f>-IF(RTD("tos.rtd",,AX$2,"."&amp;$A$43&amp;$AW$1&amp;"P"&amp;$A79)="N/A",0,RTD("tos.rtd",,AX$2,"."&amp;$A$43&amp;$AW$1&amp;"P"&amp;$A79))</f>
        <v>-1848</v>
      </c>
      <c r="AY79" s="36">
        <f t="shared" si="276"/>
        <v>-3115</v>
      </c>
      <c r="AZ79" s="8">
        <f t="shared" si="245"/>
        <v>468</v>
      </c>
      <c r="BA79" s="15">
        <f>IF(RTD("tos.rtd",,BA$43,"."&amp;$A$43&amp;$AS$42&amp;"C"&amp;$A79)="N/A",0,RTD("tos.rtd",,BA$43,"."&amp;$A$43&amp;$AS$42&amp;"C"&amp;$A79))</f>
        <v>0</v>
      </c>
      <c r="BB79" s="36">
        <f>-IF(RTD("tos.rtd",,BB$43,"."&amp;$A$43&amp;$AS$42&amp;"P"&amp;$A79)="N/A",0,RTD("tos.rtd",,BB$43,"."&amp;$A$43&amp;$AS$42&amp;"P"&amp;$A79))</f>
        <v>0</v>
      </c>
      <c r="BC79" s="15">
        <f>IF(RTD("tos.rtd",,BC$2,"."&amp;$A$43&amp;$AU$1&amp;"C"&amp;$A79)="N/A",0,RTD("tos.rtd",,BC$2,"."&amp;$A$43&amp;$AU$1&amp;"C"&amp;$A79))</f>
        <v>164</v>
      </c>
      <c r="BD79" s="36">
        <f>-IF(RTD("tos.rtd",,BD$2,"."&amp;$A$43&amp;$AU$1&amp;"P"&amp;$A79)="N/A",0,RTD("tos.rtd",,BD$2,"."&amp;$A$43&amp;$AU$1&amp;"P"&amp;$A79))</f>
        <v>-1290</v>
      </c>
      <c r="BE79" s="15">
        <f>IF(RTD("tos.rtd",,BE$2,"."&amp;$A$43&amp;$AW$1&amp;"C"&amp;$A79)="N/A",0,RTD("tos.rtd",,BE$2,"."&amp;$A$43&amp;$AW$1&amp;"C"&amp;$A79))</f>
        <v>29</v>
      </c>
      <c r="BF79" s="36">
        <f>-IF(RTD("tos.rtd",,BF$2,"."&amp;$A$43&amp;$AW$1&amp;"P"&amp;$A79)="N/A",0,RTD("tos.rtd",,BF$2,"."&amp;$A$43&amp;$AW$1&amp;"P"&amp;$A79))</f>
        <v>-1220</v>
      </c>
      <c r="BG79" s="32">
        <f ca="1">+Hoja2!Y80</f>
        <v>-379</v>
      </c>
      <c r="BH79" s="36">
        <f t="shared" ca="1" si="277"/>
        <v>-2696</v>
      </c>
      <c r="BI79" s="8" t="str">
        <f t="shared" ca="1" si="295"/>
        <v/>
      </c>
      <c r="BJ79" s="83" t="e">
        <f ca="1">IF($BP$1=1,DX79,IF(RTD("tos.rtd",,BJ$43,"."&amp;$A$43&amp;$AS$42&amp;"C"&amp;$A79)="N/A",0,RTD("tos.rtd",,BJ$43,"."&amp;$A$43&amp;$AS$42&amp;"C"&amp;$A79)))</f>
        <v>#NUM!</v>
      </c>
      <c r="BK79" s="83" t="e">
        <f ca="1">IF($BP$1=1,DY79,-IF(RTD("tos.rtd",,BK$43,"."&amp;$A$43&amp;$AS$42&amp;"P"&amp;$A79)="N/A",0,RTD("tos.rtd",,BK$43,"."&amp;$A$43&amp;$AS$42&amp;"P"&amp;$A79)))</f>
        <v>#NUM!</v>
      </c>
      <c r="BL79" s="83" t="e">
        <f ca="1">IF($BP$1=1,DZ79,IF(RTD("tos.rtd",,BL$2,"."&amp;$A$43&amp;$AU$1&amp;"C"&amp;$A79)="N/A",0,RTD("tos.rtd",,BL$2,"."&amp;$A$43&amp;$AU$1&amp;"C"&amp;$A79)))</f>
        <v>#NUM!</v>
      </c>
      <c r="BM79" s="83" t="e">
        <f ca="1">IF($BP$1=1,EA79,-IF(RTD("tos.rtd",,BM$2,"."&amp;$A$43&amp;$AU$1&amp;"P"&amp;$A79)="N/A",0,RTD("tos.rtd",,BM$2,"."&amp;$A$43&amp;$AU$1&amp;"P"&amp;$A79)))</f>
        <v>#NUM!</v>
      </c>
      <c r="BN79" s="83" t="e">
        <f ca="1">IF($BP$1=1,EB79,IF(RTD("tos.rtd",,BN$2,"."&amp;$A$43&amp;$AW$1&amp;"C"&amp;$A79)="N/A",0,RTD("tos.rtd",,BN$2,"."&amp;$A$43&amp;$AW$1&amp;"C"&amp;$A79)))</f>
        <v>#NUM!</v>
      </c>
      <c r="BO79" s="83" t="e">
        <f ca="1">IF($BP$1=1,EC79,-IF(RTD("tos.rtd",,BO$2,"."&amp;$A$43&amp;$AW$1&amp;"P"&amp;$A79)="N/A",0,RTD("tos.rtd",,BO$2,"."&amp;$A$43&amp;$AW$1&amp;"P"&amp;$A79)))</f>
        <v>#NUM!</v>
      </c>
      <c r="BQ79" s="83" t="e">
        <f t="shared" ca="1" si="278"/>
        <v>#NUM!</v>
      </c>
      <c r="BR79" s="3" t="e">
        <f t="shared" ca="1" si="279"/>
        <v>#NUM!</v>
      </c>
      <c r="BS79" s="83" t="e">
        <f t="shared" ca="1" si="280"/>
        <v>#NUM!</v>
      </c>
      <c r="BT79" s="3" t="e">
        <f t="shared" ca="1" si="281"/>
        <v>#NUM!</v>
      </c>
      <c r="BU79" s="83" t="e">
        <f t="shared" ca="1" si="282"/>
        <v>#NUM!</v>
      </c>
      <c r="BV79" s="83"/>
      <c r="BX79" s="83" t="e">
        <f t="shared" ca="1" si="283"/>
        <v>#NUM!</v>
      </c>
      <c r="BY79" s="83" t="e">
        <f t="shared" ca="1" si="296"/>
        <v>#NUM!</v>
      </c>
      <c r="BZ79" s="83" t="e">
        <f t="shared" ca="1" si="284"/>
        <v>#NUM!</v>
      </c>
      <c r="CA79" s="83" t="e">
        <f t="shared" ca="1" si="296"/>
        <v>#NUM!</v>
      </c>
      <c r="CB79" s="83" t="e">
        <f t="shared" ca="1" si="285"/>
        <v>#NUM!</v>
      </c>
      <c r="CC79" s="83" t="e">
        <f t="shared" ca="1" si="296"/>
        <v>#NUM!</v>
      </c>
      <c r="CD79" s="83">
        <f>IF(RTD("tos.rtd",,CD$43,"."&amp;$A$43&amp;$AS$42&amp;"C"&amp;$A79)="N/A",0,RTD("tos.rtd",,CD$43,"."&amp;$A$43&amp;$AS$42&amp;"C"&amp;$A79))</f>
        <v>1</v>
      </c>
      <c r="CE79" s="83">
        <f>-IF(RTD("tos.rtd",,CE$43,"."&amp;$A$43&amp;$AS$42&amp;"P"&amp;$A79)="N/A",0,RTD("tos.rtd",,CE$43,"."&amp;$A$43&amp;$AS$42&amp;"P"&amp;$A79))</f>
        <v>0</v>
      </c>
      <c r="CF79" s="83">
        <f>IF(RTD("tos.rtd",,CF$2,"."&amp;$A$43&amp;$AU$1&amp;"C"&amp;$A79)="N/A",0,RTD("tos.rtd",,CF$2,"."&amp;$A$43&amp;$AU$1&amp;"C"&amp;$A79))</f>
        <v>1</v>
      </c>
      <c r="CG79" s="83">
        <f>-IF(RTD("tos.rtd",,CG$2,"."&amp;$A$43&amp;$AU$1&amp;"P"&amp;$A79)="N/A",0,RTD("tos.rtd",,CG$2,"."&amp;$A$43&amp;$AU$1&amp;"P"&amp;$A79))</f>
        <v>0</v>
      </c>
      <c r="CH79" s="83">
        <f>IF(RTD("tos.rtd",,CH$2,"."&amp;$A$43&amp;$AW$1&amp;"C"&amp;$A79)="N/A",0,RTD("tos.rtd",,CH$2,"."&amp;$A$43&amp;$AW$1&amp;"C"&amp;$A79))</f>
        <v>1</v>
      </c>
      <c r="CI79" s="83">
        <f>-IF(RTD("tos.rtd",,CI$2,"."&amp;$A$43&amp;$AW$1&amp;"P"&amp;$A79)="N/A",0,RTD("tos.rtd",,CI$2,"."&amp;$A$43&amp;$AW$1&amp;"P"&amp;$A79))</f>
        <v>0.1</v>
      </c>
      <c r="CK79" s="83">
        <f t="shared" si="286"/>
        <v>13200</v>
      </c>
      <c r="CL79" s="83"/>
      <c r="CM79" s="83">
        <f t="shared" si="287"/>
        <v>98000</v>
      </c>
      <c r="CN79" s="83"/>
      <c r="CO79" s="83">
        <f t="shared" si="288"/>
        <v>155220</v>
      </c>
      <c r="CP79" s="83">
        <f t="shared" si="235"/>
        <v>266420</v>
      </c>
      <c r="CQ79" s="83">
        <f t="shared" si="249"/>
        <v>0</v>
      </c>
      <c r="CR79" s="83"/>
      <c r="CS79" s="83">
        <f t="shared" si="250"/>
        <v>-1126</v>
      </c>
      <c r="CT79" s="83"/>
      <c r="CU79" s="83">
        <f t="shared" si="251"/>
        <v>-1191</v>
      </c>
      <c r="CV79" s="83"/>
      <c r="CW79" s="83" t="e">
        <f t="shared" ca="1" si="252"/>
        <v>#NUM!</v>
      </c>
      <c r="CY79" s="83" t="e">
        <f t="shared" ca="1" si="253"/>
        <v>#NUM!</v>
      </c>
      <c r="CZ79" s="70" t="e">
        <f t="shared" ca="1" si="297"/>
        <v>#NUM!</v>
      </c>
      <c r="DA79" s="83">
        <f>IF(RTD("tos.rtd",,DA$43,"."&amp;$A$43&amp;$AS$42&amp;"C"&amp;$A79)="N/A",0,RTD("tos.rtd",,DA$43,"."&amp;$A$43&amp;$AS$42&amp;"C"&amp;$A79))</f>
        <v>20.350000000000001</v>
      </c>
      <c r="DB79" s="83">
        <f>IF(RTD("tos.rtd",,DB$43,"."&amp;$A$43&amp;$AS$42&amp;"P"&amp;$A79)="N/A",0,RTD("tos.rtd",,DB$43,"."&amp;$A$43&amp;$AS$42&amp;"P"&amp;$A79))</f>
        <v>0.01</v>
      </c>
      <c r="DC79" s="83">
        <f>IF(RTD("tos.rtd",,DC$43,"."&amp;$A$43&amp;$AS$42&amp;"C"&amp;$A79)="N/A",0,RTD("tos.rtd",,DC$43,"."&amp;$A$43&amp;$AS$42&amp;"C"&amp;$A79))</f>
        <v>21.97</v>
      </c>
      <c r="DD79" s="83">
        <f>IF(RTD("tos.rtd",,DD$43,"."&amp;$A$43&amp;$AS$42&amp;"P"&amp;$A79)="N/A",0,RTD("tos.rtd",,DD$43,"."&amp;$A$43&amp;$AS$42&amp;"P"&amp;$A79))</f>
        <v>0.01</v>
      </c>
      <c r="DE79" s="83">
        <f>IF(RTD("tos.rtd",,DE$43,"."&amp;$A$43&amp;$AS$42&amp;"C"&amp;$A79)="N/A",0,RTD("tos.rtd",,DE$43,"."&amp;$A$43&amp;$AS$42&amp;"C"&amp;$A79))</f>
        <v>18.760000000000002</v>
      </c>
      <c r="DF79" s="83">
        <f>IF(RTD("tos.rtd",,DF$43,"."&amp;$A$43&amp;$AS$42&amp;"P"&amp;$A79)="N/A",0,RTD("tos.rtd",,DF$43,"."&amp;$A$43&amp;$AS$42&amp;"P"&amp;$A79))</f>
        <v>0</v>
      </c>
      <c r="DG79" s="86">
        <f t="shared" si="289"/>
        <v>-27.779999999999973</v>
      </c>
      <c r="DH79" s="83">
        <f t="shared" si="254"/>
        <v>-8.9158878504672963</v>
      </c>
      <c r="DI79" s="83">
        <f t="shared" si="255"/>
        <v>3879</v>
      </c>
      <c r="DJ79" s="83">
        <f t="shared" si="256"/>
        <v>0</v>
      </c>
      <c r="DK79" s="83">
        <f t="shared" si="257"/>
        <v>3879</v>
      </c>
      <c r="DL79" s="83">
        <f t="shared" si="258"/>
        <v>3870.0841121495328</v>
      </c>
      <c r="DM79" s="83">
        <f t="shared" si="259"/>
        <v>3879</v>
      </c>
      <c r="DN79" s="64" t="str">
        <f t="shared" si="260"/>
        <v>UNKNOWN</v>
      </c>
      <c r="DO79" s="64" t="str">
        <f t="shared" si="261"/>
        <v>UNKNOWN</v>
      </c>
      <c r="DP79" s="83">
        <f t="shared" si="262"/>
        <v>-142.64831775700949</v>
      </c>
      <c r="DQ79" s="83">
        <f t="shared" si="263"/>
        <v>38.79</v>
      </c>
      <c r="DR79" s="83" t="e">
        <f t="shared" ca="1" si="264"/>
        <v>#NUM!</v>
      </c>
      <c r="DS79" s="83">
        <f t="shared" si="265"/>
        <v>0</v>
      </c>
      <c r="DT79" s="83">
        <f t="shared" si="290"/>
        <v>-18</v>
      </c>
      <c r="DU79" s="83">
        <f t="shared" si="291"/>
        <v>3879</v>
      </c>
      <c r="DV79" s="83">
        <f t="shared" si="266"/>
        <v>73</v>
      </c>
      <c r="DW79" s="83">
        <f t="shared" si="267"/>
        <v>1159</v>
      </c>
      <c r="DX79" s="83" t="e">
        <f t="shared" ca="1" si="406"/>
        <v>#NUM!</v>
      </c>
      <c r="DY79" s="83" t="e">
        <f t="shared" ca="1" si="407"/>
        <v>#NUM!</v>
      </c>
      <c r="DZ79" s="83" t="e">
        <f t="shared" ca="1" si="408"/>
        <v>#NUM!</v>
      </c>
      <c r="EA79" s="83" t="e">
        <f t="shared" ca="1" si="409"/>
        <v>#NUM!</v>
      </c>
      <c r="EB79" s="83" t="e">
        <f t="shared" ca="1" si="410"/>
        <v>#NUM!</v>
      </c>
      <c r="EC79" s="83" t="e">
        <f t="shared" ca="1" si="411"/>
        <v>#NUM!</v>
      </c>
      <c r="ED79" s="63">
        <f t="shared" si="292"/>
        <v>1232</v>
      </c>
      <c r="EE79" s="84">
        <f t="shared" si="268"/>
        <v>0.25</v>
      </c>
      <c r="EF79" s="84">
        <f t="shared" si="269"/>
        <v>2.6240999999999999</v>
      </c>
      <c r="EG79" s="84">
        <f t="shared" si="270"/>
        <v>0.25</v>
      </c>
      <c r="EH79" s="84">
        <f t="shared" si="271"/>
        <v>2.6240999999999999</v>
      </c>
      <c r="EI79" s="84">
        <f t="shared" si="272"/>
        <v>0.25</v>
      </c>
      <c r="EJ79" s="84">
        <f t="shared" si="273"/>
        <v>0.40139999999999998</v>
      </c>
      <c r="EK79" s="63" t="e">
        <f t="shared" ca="1" si="293"/>
        <v>#NUM!</v>
      </c>
      <c r="EL79" s="83" t="str">
        <f>RTD("tos.rtd",,EL$43,"."&amp;$A$43&amp;$AS$42&amp;"C"&amp;$A79)</f>
        <v>--</v>
      </c>
      <c r="EM79" s="83" t="str">
        <f>RTD("tos.rtd",,EM$43,"."&amp;$A$43&amp;$AS$42&amp;"P"&amp;$A79)</f>
        <v>262.41%</v>
      </c>
      <c r="EN79" s="83" t="str">
        <f>RTD("tos.rtd",,EN$2,"."&amp;$A$43&amp;$AU$1&amp;"C"&amp;$A79)</f>
        <v>--</v>
      </c>
      <c r="EO79" s="83" t="str">
        <f>RTD("tos.rtd",,EO$2,"."&amp;$A$43&amp;$AU$1&amp;"P"&amp;$A79)</f>
        <v>262.41%</v>
      </c>
      <c r="EP79" s="83" t="str">
        <f>RTD("tos.rtd",,EP$2,"."&amp;$A$43&amp;$AW$1&amp;"C"&amp;$A79)</f>
        <v>--</v>
      </c>
      <c r="EQ79" s="83" t="str">
        <f>RTD("tos.rtd",,EQ$2,"."&amp;$A$43&amp;$AW$1&amp;"P"&amp;$A79)</f>
        <v>40.14%</v>
      </c>
      <c r="ES79" s="63" t="str">
        <f t="shared" si="274"/>
        <v>468,1232.00</v>
      </c>
      <c r="ET79" s="63" t="str">
        <f t="shared" ca="1" si="275"/>
        <v>468,00.00</v>
      </c>
      <c r="EU79" s="68">
        <v>561.6</v>
      </c>
      <c r="EV79" s="68" t="s">
        <v>651</v>
      </c>
      <c r="EW79" s="68">
        <v>484.13</v>
      </c>
      <c r="EX79" s="68" t="s">
        <v>652</v>
      </c>
      <c r="EY79" s="68">
        <v>5631.28</v>
      </c>
      <c r="EZ79" s="68" t="s">
        <v>653</v>
      </c>
      <c r="FA79" s="68">
        <v>19867.973000000002</v>
      </c>
      <c r="FB79" s="68" t="s">
        <v>654</v>
      </c>
      <c r="FC79" s="68" t="s">
        <v>655</v>
      </c>
      <c r="FD79" s="68" t="s">
        <v>656</v>
      </c>
      <c r="FE79" s="68" t="s">
        <v>657</v>
      </c>
      <c r="FF79" s="68" t="s">
        <v>658</v>
      </c>
    </row>
    <row r="80" spans="1:162" x14ac:dyDescent="0.2">
      <c r="A80" s="49"/>
      <c r="AP80" s="1" t="s">
        <v>17</v>
      </c>
      <c r="AQ80" s="1" t="s">
        <v>18</v>
      </c>
      <c r="AS80" s="42" t="s">
        <v>17</v>
      </c>
      <c r="AT80" s="42" t="s">
        <v>18</v>
      </c>
      <c r="AU80" s="42" t="s">
        <v>17</v>
      </c>
      <c r="AV80" s="42" t="s">
        <v>18</v>
      </c>
      <c r="AW80" s="42" t="s">
        <v>17</v>
      </c>
      <c r="AX80" s="42" t="s">
        <v>18</v>
      </c>
      <c r="BA80" s="42" t="s">
        <v>17</v>
      </c>
      <c r="BB80" s="42" t="s">
        <v>18</v>
      </c>
      <c r="BC80" s="42" t="s">
        <v>17</v>
      </c>
      <c r="BD80" s="42" t="s">
        <v>18</v>
      </c>
      <c r="BE80" s="42" t="s">
        <v>17</v>
      </c>
      <c r="BF80" s="42" t="s">
        <v>18</v>
      </c>
      <c r="BG80" s="90"/>
      <c r="BH80" s="1">
        <f ca="1">MIN(BH45:BH79)</f>
        <v>-99862</v>
      </c>
      <c r="BI80" s="1">
        <f ca="1">IFERROR(IF(MIN(BH45:BH79)&lt;&gt;0,INDEX(A45:A79,MATCH(MIN(BH45:BH79),BH45:BH79,0)),""),"")</f>
        <v>485</v>
      </c>
      <c r="BJ80" s="42"/>
      <c r="BK80" s="42"/>
      <c r="BL80" s="42"/>
      <c r="BM80" s="42"/>
      <c r="BN80" s="42"/>
      <c r="BO80" s="42"/>
      <c r="BP80" s="64" t="e">
        <f ca="1">INDEX(BQ80:BU80,MATCH(MAX(BQ44:BU44),BQ44:BU44,0))</f>
        <v>#NUM!</v>
      </c>
      <c r="BQ80" s="42" t="e">
        <f ca="1">IF(AND(BQ44&gt;0,ABS(MAX(BQ45:BQ79))&gt;ABS(MIN(BQ45:BQ79))),IF(MAX(BQ45:BQ79)&lt;&gt;0,INDEX($A45:$A79,MATCH(MAX(BQ45:BQ79),BQ45:BQ79,0)),""),"")</f>
        <v>#NUM!</v>
      </c>
      <c r="BR80" s="42"/>
      <c r="BS80" s="42" t="e">
        <f ca="1">IF(AND(BS44&gt;0,ABS(MAX(BS45:BS79))&gt;ABS(MIN(BS45:BS79))),IF(MAX(BS45:BS79)&lt;&gt;0,INDEX($A45:$A79,MATCH(MAX(BS45:BS79),BS45:BS79,0)),""),"")</f>
        <v>#NUM!</v>
      </c>
      <c r="BT80" s="42"/>
      <c r="BU80" s="42" t="e">
        <f ca="1">IF(AND(BU44&gt;0,ABS(MAX(BU45:BU79))&gt;ABS(MIN(BU45:BU79))),IF(MAX(BU45:BU79)&lt;&gt;0,INDEX($A45:$A79,MATCH(MAX(BU45:BU79),BU45:BU79,0)),""),"")</f>
        <v>#NUM!</v>
      </c>
      <c r="BV80" s="42"/>
      <c r="BW80" s="64" t="e">
        <f ca="1">INDEX(BX80:CB80,MATCH(MAX(BX44:CB44),BX44:CB44,0))</f>
        <v>#NUM!</v>
      </c>
      <c r="BX80" s="42" t="e">
        <f ca="1">IF(AND(BX44&gt;0,ABS(MAX(BX45:BX79))&gt;ABS(MIN(BX45:BX79))),IF(MAX(BX45:BX79)&lt;&gt;0,INDEX($A45:$A79,MATCH(MAX(BX45:BX79),BX45:BX79,0)),""),"")</f>
        <v>#NUM!</v>
      </c>
      <c r="BY80" s="42" t="e">
        <f ca="1">INDEX($A$45:$A$79,MATCH("Cruce -",BY45:BY79,)+1)</f>
        <v>#N/A</v>
      </c>
      <c r="BZ80" s="42" t="e">
        <f ca="1">IF(AND(BZ44&gt;0,ABS(MAX(BZ45:BZ79))&gt;ABS(MIN(BZ45:BZ79))),IF(MAX(BZ45:BZ79)&lt;&gt;0,INDEX($A45:$A79,MATCH(MAX(BZ45:BZ79),BZ45:BZ79,0)),""),"")</f>
        <v>#NUM!</v>
      </c>
      <c r="CA80" s="42"/>
      <c r="CB80" s="42" t="e">
        <f ca="1">IF(AND(CB44&gt;0,ABS(MAX(CB45:CB79))&gt;ABS(MIN(CB45:CB79))),IF(MAX(CB45:CB79)&lt;&gt;0,INDEX($A45:$A79,MATCH(MAX(CB45:CB79),CB45:CB79,0)),""),"")</f>
        <v>#NUM!</v>
      </c>
      <c r="CC80" s="42"/>
      <c r="CD80" s="42"/>
      <c r="CE80" s="42"/>
      <c r="CF80" s="42"/>
      <c r="CG80" s="42"/>
      <c r="CH80" s="42"/>
      <c r="CI80" s="42"/>
      <c r="CJ80" s="64">
        <f>INDEX(CK80:CO80,MATCH(MAX(CK44:CO44),CK44:CO44,0))</f>
        <v>490</v>
      </c>
      <c r="CK80" s="42">
        <f>IF(AND(CK44&gt;0,ABS(MAX(CK45:CK79))&gt;ABS(MIN(CK45:CK79))),IF(MAX(CK45:CK79)&lt;&gt;0,INDEX($A45:$A79,MATCH(MAX(CK45:CK79),CK45:CK79,0)),""),"")</f>
        <v>490</v>
      </c>
      <c r="CL80" s="42"/>
      <c r="CM80" s="42">
        <f>IF(AND(CM44&gt;0,ABS(MAX(CM45:CM79))&gt;ABS(MIN(CM45:CM79))),IF(MAX(CM45:CM79)&lt;&gt;0,INDEX($A45:$A79,MATCH(MAX(CM45:CM79),CM45:CM79,0)),""),"")</f>
        <v>495</v>
      </c>
      <c r="CN80" s="42"/>
      <c r="CO80" s="42">
        <f>IF(AND(CO44&gt;0,ABS(MAX(CO45:CO79))&gt;ABS(MIN(CO45:CO79))),IF(MAX(CO45:CO79)&lt;&gt;0,INDEX($A45:$A79,MATCH(MAX(CO45:CO79),CO45:CO79,0)),""),"")</f>
        <v>490</v>
      </c>
      <c r="CP80" s="42">
        <f>IF(ABS(MAX(CP45:CP79))&gt;ABS(MIN(CP45:CP79)),IF(MAX(CP45:CP79)&lt;&gt;0,INDEX($A45:$A79,MATCH(MAX(CP45:CP79),CP45:CP79,0)),""),"")</f>
        <v>490</v>
      </c>
      <c r="CQ80" s="42"/>
      <c r="CR80" s="42"/>
      <c r="CS80" s="42"/>
      <c r="CT80" s="42"/>
      <c r="CU80" s="42"/>
      <c r="CV80" s="42"/>
      <c r="CW80" s="42" t="e">
        <f ca="1">IF(ABS(MAX(CW45:CW79))&gt;ABS(MIN(CW45:CW79)),IF(MAX(CW45:CW79)&lt;&gt;0,INDEX($A45:$A79,MATCH(MAX(CW45:CW79),CW45:CW79,0)),""),"")</f>
        <v>#NUM!</v>
      </c>
      <c r="CY80" s="42" t="e">
        <f ca="1">IF(ABS(MAX(CY45:CY79))&gt;ABS(MIN(CY45:CY79)),IF(MAX(CY45:CY79)&lt;&gt;0,INDEX($A45:$A79,MATCH(MAX(CY45:CY79),CY45:CY79,0)),""),"")</f>
        <v>#NUM!</v>
      </c>
      <c r="DA80" s="42" t="s">
        <v>17</v>
      </c>
      <c r="DB80" s="42" t="s">
        <v>18</v>
      </c>
      <c r="DC80" s="42" t="s">
        <v>17</v>
      </c>
      <c r="DD80" s="42" t="s">
        <v>18</v>
      </c>
      <c r="DE80" s="42" t="s">
        <v>17</v>
      </c>
      <c r="DF80" s="42" t="s">
        <v>18</v>
      </c>
      <c r="DH80" s="42" t="str">
        <f t="shared" ref="DH80:DM80" si="413">IF(AND(DH44&gt;0,ABS(MAX(DH45:DH79))&gt;ABS(MIN(DH45:DH79))),IF(MAX(DH45:DH79)&lt;&gt;0,INDEX($A45:$A79,MATCH(MAX(DH45:DH79),DH45:DH79,0)),""),"")</f>
        <v/>
      </c>
      <c r="DI80" s="42" t="str">
        <f t="shared" si="413"/>
        <v/>
      </c>
      <c r="DJ80" s="89" t="str">
        <f>IFERROR(IF(AND(ABS(MAX(DJ45:DJ79))&gt;$DG$44,ABS(INDEX($DG$45:$DG$79,MATCH(MAX(DJ45:DJ79),DJ45:DJ79,0)))&lt;0.5,1),IF(MAX(DJ45:DJ79)&lt;&gt;0,INDEX($A45:$A79,MATCH(MAX(DJ45:DJ79),DJ45:DJ79,0)),""),""),"")</f>
        <v/>
      </c>
      <c r="DK80" s="89" t="str">
        <f>IFERROR(IF(AND(ABS(MAX(DK45:DK79))&gt;$DG$44,ABS(INDEX($DG$45:$DG$79,MATCH(MAX(DK45:DK79),DK45:DK79,0)))&lt;0.5,1),IF(MAX(DK45:DK79)&lt;&gt;0,INDEX($A45:$A79,MATCH(MAX(DK45:DK79),DK45:DK79,0)),""),""),"")</f>
        <v/>
      </c>
      <c r="DL80" s="42" t="str">
        <f t="shared" si="413"/>
        <v/>
      </c>
      <c r="DM80" s="42" t="str">
        <f t="shared" si="413"/>
        <v/>
      </c>
      <c r="DN80" s="64" t="str">
        <f>DJ80&amp;","&amp;DJ81&amp;","&amp;DK80&amp;","&amp;DK81</f>
        <v>,,,</v>
      </c>
      <c r="DP80" s="42" t="str">
        <f>IF(AND(DP44&gt;0,ABS(MAX(DP45:DP79))&gt;ABS(MIN(DP45:DP79))),IF(MAX(DP45:DP79)&lt;&gt;0,INDEX($A45:$A79,MATCH(MAX(DP45:DP79),DP45:DP79,0)),""),"")</f>
        <v/>
      </c>
      <c r="DQ80" s="42" t="str">
        <f>IF(AND(DQ44&gt;0,ABS(MAX(DQ45:DQ79))&gt;ABS(MIN(DQ45:DQ79))),IF(MAX(DQ45:DQ79)&lt;&gt;0,INDEX($A45:$A79,MATCH(MAX(DQ45:DQ79),DQ45:DQ79,0)),""),"")</f>
        <v/>
      </c>
      <c r="DR80" s="42" t="e">
        <f ca="1">IF(AND(DR44&gt;0,ABS(MAX(DR45:DR79))&gt;ABS(MIN(DR45:DR79))),IF(MAX(DR45:DR79)&lt;&gt;0,INDEX($A45:$A79,MATCH(MAX(DR45:DR79),DR45:DR79,0)),""),"")</f>
        <v>#NUM!</v>
      </c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103">
        <f>IFERROR(IF(MAX(ED45:ED79)&lt;&gt;0,INDEX($A45:$A79,MATCH(MAX(ED45:ED79),ED45:ED79,0)),""),"")</f>
        <v>482</v>
      </c>
      <c r="EE80" s="42"/>
      <c r="EF80" s="42"/>
      <c r="EG80" s="42"/>
      <c r="EH80" s="42"/>
      <c r="EI80" s="42"/>
      <c r="EJ80" s="42"/>
      <c r="EL80" s="42"/>
      <c r="EM80" s="42"/>
      <c r="EN80" s="42"/>
      <c r="EO80" s="42"/>
      <c r="EP80" s="42"/>
      <c r="EQ80" s="42"/>
      <c r="EU80" s="68">
        <v>561.39</v>
      </c>
      <c r="EV80" s="68" t="s">
        <v>659</v>
      </c>
      <c r="EW80" s="68">
        <v>483.87</v>
      </c>
      <c r="EX80" s="68" t="s">
        <v>660</v>
      </c>
      <c r="EY80" s="68">
        <v>5631.28</v>
      </c>
      <c r="EZ80" s="68" t="s">
        <v>661</v>
      </c>
      <c r="FA80" s="68">
        <v>19867.973000000002</v>
      </c>
      <c r="FB80" s="68" t="s">
        <v>662</v>
      </c>
      <c r="FC80" s="68" t="s">
        <v>663</v>
      </c>
      <c r="FD80" s="68" t="s">
        <v>664</v>
      </c>
      <c r="FE80" s="68" t="s">
        <v>665</v>
      </c>
      <c r="FF80" s="68" t="s">
        <v>666</v>
      </c>
    </row>
    <row r="81" spans="1:162" ht="13.5" thickBot="1" x14ac:dyDescent="0.25">
      <c r="A81" s="49">
        <v>10</v>
      </c>
      <c r="D81" s="50">
        <f>+F84-24</f>
        <v>5722.5</v>
      </c>
      <c r="E81" s="82">
        <v>5650</v>
      </c>
      <c r="BP81" s="64" t="e">
        <f ca="1">INDEX(BQ81:BU81,MATCH(MIN(BQ44:BU44),BQ44:BU44,0))</f>
        <v>#NUM!</v>
      </c>
      <c r="BQ81" s="1" t="e">
        <f ca="1">IF(AND(BQ44&lt;0,ABS(MIN(BQ45:BQ79))&gt;ABS(MAX(BQ45:BQ79))),IF(MIN(BQ45:BQ79)&lt;&gt;0,INDEX($A45:$A79,MATCH(MIN(BQ45:BQ79),BQ45:BQ79,0)),""),"")</f>
        <v>#NUM!</v>
      </c>
      <c r="BS81" s="1" t="e">
        <f ca="1">IF(AND(BS44&lt;0,ABS(MIN(BS45:BS79))&gt;ABS(MAX(BS45:BS79))),IF(MIN(BS45:BS79)&lt;&gt;0,INDEX($A45:$A79,MATCH(MIN(BS45:BS79),BS45:BS79,0)),""),"")</f>
        <v>#NUM!</v>
      </c>
      <c r="BU81" s="1" t="e">
        <f ca="1">IF(AND(BU44&lt;0,ABS(MIN(BU45:BU79))&gt;ABS(MAX(BU45:BU79))),IF(MIN(BU45:BU79)&lt;&gt;0,INDEX($A45:$A79,MATCH(MIN(BU45:BU79),BU45:BU79,0)),""),"")</f>
        <v>#NUM!</v>
      </c>
      <c r="BW81" s="64" t="e">
        <f ca="1">INDEX(BX81:CB81,MATCH(MIN(BX44:CB44),BX44:CB44,0))</f>
        <v>#NUM!</v>
      </c>
      <c r="BX81" s="1" t="e">
        <f ca="1">IF(AND(BX44&lt;0,ABS(MIN(BX45:BX79))&gt;ABS(MAX(BX45:BX79))),IF(MIN(BX45:BX79)&lt;&gt;0,INDEX($A45:$A79,MATCH(MIN(BX45:BX79),BX45:BX79,0)),""),"")</f>
        <v>#NUM!</v>
      </c>
      <c r="BY81" s="1" t="e">
        <f ca="1">INDEX($A$45:$A$79,MATCH("Cruce -",BY45:BY79,)-1)</f>
        <v>#N/A</v>
      </c>
      <c r="BZ81" s="1" t="e">
        <f ca="1">IF(AND(BZ44&lt;0,ABS(MIN(BZ45:BZ79))&gt;ABS(MAX(BZ45:BZ79))),IF(MIN(BZ45:BZ79)&lt;&gt;0,INDEX($A45:$A79,MATCH(MIN(BZ45:BZ79),BZ45:BZ79,0)),""),"")</f>
        <v>#NUM!</v>
      </c>
      <c r="CB81" s="1" t="e">
        <f ca="1">IF(AND(CB44&lt;0,ABS(MIN(CB45:CB79))&gt;ABS(MAX(CB45:CB79))),IF(MIN(CB45:CB79)&lt;&gt;0,INDEX($A45:$A79,MATCH(MIN(CB45:CB79),CB45:CB79,0)),""),"")</f>
        <v>#NUM!</v>
      </c>
      <c r="CJ81" s="64" t="str">
        <f>INDEX(CK81:CO81,MATCH(MIN(CK44:CO44),CK44:CO44,0))</f>
        <v/>
      </c>
      <c r="CK81" s="1" t="str">
        <f>IF(AND(CK44&lt;0,ABS(MIN(CK45:CK79))&gt;ABS(MAX(CK45:CK79))),IF(MIN(CK45:CK79)&lt;&gt;0,INDEX($A45:$A79,MATCH(MIN(CK45:CK79),CK45:CK79,0)),""),"")</f>
        <v/>
      </c>
      <c r="CM81" s="1" t="str">
        <f>IF(AND(CM44&lt;0,ABS(MIN(CM45:CM79))&gt;ABS(MAX(CM45:CM79))),IF(MIN(CM45:CM79)&lt;&gt;0,INDEX($A45:$A79,MATCH(MIN(CM45:CM79),CM45:CM79,0)),""),"")</f>
        <v/>
      </c>
      <c r="CO81" s="1" t="str">
        <f>IF(AND(CO44&lt;0,ABS(MIN(CO45:CO79))&gt;ABS(MAX(CO45:CO79))),IF(MIN(CO45:CO79)&lt;&gt;0,INDEX($A45:$A79,MATCH(MIN(CO45:CO79),CO45:CO79,0)),""),"")</f>
        <v/>
      </c>
      <c r="CP81" s="1" t="str">
        <f>IF(ABS(MIN(CP45:CP79))&gt;ABS(MAX(CP45:CP79)),IF(MIN(CP45:CP79)&lt;&gt;0,INDEX($A45:$A79,MATCH(MIN(CP45:CP79),CP45:CP79,0)),""),"")</f>
        <v/>
      </c>
      <c r="CW81" s="1" t="e">
        <f ca="1">IF(ABS(MIN(CW45:CW79))&gt;ABS(MAX(CW45:CW79)),IF(MIN(CW45:CW79)&lt;&gt;0,INDEX($A45:$A79,MATCH(MIN(CW45:CW79),CW45:CW79,0)),""),"")</f>
        <v>#NUM!</v>
      </c>
      <c r="CY81" s="1" t="e">
        <f ca="1">IF(ABS(MIN(CY45:CY79))&gt;ABS(MAX(CY45:CY79)),IF(MIN(CY45:CY79)&lt;&gt;0,INDEX($A45:$A79,MATCH(MIN(CY45:CY79),CY45:CY79,0)),""),"")</f>
        <v>#NUM!</v>
      </c>
      <c r="DH81" s="1">
        <f t="shared" ref="DH81:DM81" si="414">IF(AND(DH44&lt;0,ABS(MIN(DH45:DH79))&gt;ABS(MAX(DH45:DH79))),IF(MIN(DH45:DH79)&lt;&gt;0,INDEX($A45:$A79,MATCH(MIN(DH45:DH79),DH45:DH79,0)),""),"")</f>
        <v>488</v>
      </c>
      <c r="DI81" s="1" t="str">
        <f t="shared" si="414"/>
        <v/>
      </c>
      <c r="DJ81" s="89" t="str">
        <f>IFERROR(IF(AND(ABS(MIN(DJ45:DJ79))&gt;$DG$44,ABS(INDEX($DG$45:$DG$79,MATCH(MIN(DJ45:DJ79),DJ45:DJ79,0)))&lt;0.5,1),IF(MIN(DJ45:DJ79)&lt;&gt;0,INDEX($A45:$A79,MATCH(MIN(DJ45:DJ79),DJ45:DJ79,0)),""),""),"")</f>
        <v/>
      </c>
      <c r="DK81" s="89" t="str">
        <f>IFERROR(IF(AND(ABS(MIN(DK45:DK79))&gt;$DG$44,ABS(INDEX($DG$45:$DG$79,MATCH(MIN(DK45:DK79),DK45:DK79,0)))&lt;0.5,1),IF(MIN(DK45:DK79)&lt;&gt;0,INDEX($A45:$A79,MATCH(MIN(DK45:DK79),DK45:DK79,0)),""),""),"")</f>
        <v/>
      </c>
      <c r="DL81" s="1">
        <f t="shared" si="414"/>
        <v>488</v>
      </c>
      <c r="DM81" s="1">
        <f t="shared" si="414"/>
        <v>492</v>
      </c>
      <c r="DN81" s="64" t="str">
        <f ca="1">BI42&amp;","&amp;BI80&amp;","&amp;ED80&amp;","&amp;ED81</f>
        <v>491,485,482,475</v>
      </c>
      <c r="DP81" s="1">
        <f>IF(AND(DP44&lt;0,ABS(MIN(DP45:DP79))&gt;ABS(MAX(DP45:DP79))),IF(MIN(DP45:DP79)&lt;&gt;0,INDEX($A45:$A79,MATCH(MIN(DP45:DP79),DP45:DP79,0)),""),"")</f>
        <v>487</v>
      </c>
      <c r="DQ81" s="1">
        <f>IF(AND(DQ44&lt;0,ABS(MIN(DQ45:DQ79))&gt;ABS(MAX(DQ45:DQ79))),IF(MIN(DQ45:DQ79)&lt;&gt;0,INDEX($A45:$A79,MATCH(MIN(DQ45:DQ79),DQ45:DQ79,0)),""),"")</f>
        <v>491</v>
      </c>
      <c r="DR81" s="1" t="e">
        <f ca="1">IF(AND(DR44&lt;0,ABS(MIN(DR45:DR79))&gt;ABS(MAX(DR45:DR79))),IF(MIN(DR45:DR79)&lt;&gt;0,INDEX($A45:$A79,MATCH(MIN(DR45:DR79),DR45:DR79,0)),""),"")</f>
        <v>#NUM!</v>
      </c>
      <c r="ED81" s="103">
        <f>IFERROR(IF(MIN(ED45:ED79)&lt;&gt;0,INDEX($A45:$A79,MATCH(MIN(ED45:ED79),ED45:ED79,0)),""),)</f>
        <v>475</v>
      </c>
      <c r="EU81" s="67">
        <v>561.28</v>
      </c>
      <c r="EV81" s="67" t="s">
        <v>667</v>
      </c>
      <c r="EW81" s="67">
        <v>483.85</v>
      </c>
      <c r="EX81" s="67" t="s">
        <v>668</v>
      </c>
      <c r="EY81" s="67">
        <v>5631.28</v>
      </c>
      <c r="EZ81" s="67" t="s">
        <v>669</v>
      </c>
      <c r="FA81" s="67">
        <v>19867.973000000002</v>
      </c>
      <c r="FB81" s="67" t="s">
        <v>670</v>
      </c>
      <c r="FC81" s="67" t="s">
        <v>671</v>
      </c>
      <c r="FD81" s="67" t="s">
        <v>672</v>
      </c>
      <c r="FE81" s="68" t="s">
        <v>673</v>
      </c>
      <c r="FF81" s="68" t="s">
        <v>674</v>
      </c>
    </row>
    <row r="82" spans="1:162" ht="13.5" thickBot="1" x14ac:dyDescent="0.25">
      <c r="A82" s="20" t="s">
        <v>9</v>
      </c>
      <c r="B82" s="45" t="s">
        <v>10</v>
      </c>
      <c r="C82" s="45" t="s">
        <v>10</v>
      </c>
      <c r="D82" s="45" t="s">
        <v>10</v>
      </c>
      <c r="E82" s="20">
        <f>RTD("tos.rtd", ,"MARK", A83)</f>
        <v>5659.91</v>
      </c>
      <c r="F82" s="20">
        <f>+[3]Sheet1!$AD$2</f>
        <v>5826.8235213891576</v>
      </c>
      <c r="AS82" s="22" t="str">
        <f>+B83</f>
        <v>250508</v>
      </c>
      <c r="AT82" s="22"/>
      <c r="AU82" s="22" t="str">
        <f>+C83</f>
        <v>250509</v>
      </c>
      <c r="AV82" s="22"/>
      <c r="AW82" s="22" t="str">
        <f>+D83</f>
        <v>250516</v>
      </c>
      <c r="AX82" s="22"/>
      <c r="BA82" s="22"/>
      <c r="BB82" s="22"/>
      <c r="BC82" s="22"/>
      <c r="BD82" s="22"/>
      <c r="BE82" s="22"/>
      <c r="BF82" s="22"/>
      <c r="BG82" s="96"/>
      <c r="BH82" s="1">
        <f ca="1">MAX(BH85:BH130)</f>
        <v>12</v>
      </c>
      <c r="BI82" s="1">
        <f ca="1">IFERROR(IF(MAX(BH85:BH130)&lt;&gt;0,INDEX(A85:A130,MATCH(MAX(BH85:BH130),BH85:BH130,0)),""),"")</f>
        <v>5840</v>
      </c>
      <c r="BJ82" s="22"/>
      <c r="BK82" s="22"/>
      <c r="BL82" s="22"/>
      <c r="BM82" s="22"/>
      <c r="BN82" s="22"/>
      <c r="BO82" s="22"/>
      <c r="BQ82" s="22" t="e">
        <f ca="1">IF(BR82&gt;BS82,IF(MAX(BQ85:BQ130)&lt;&gt;0,INDEX(A85:A130,MATCH(MAX(BQ85:BQ130),BQ85:BQ130,0)),A84),IF(MIN(BQ85:BQ130)&lt;&gt;0,INDEX(A85:A130,MATCH(MIN(BQ85:BQ130),BQ85:BQ130,0))))</f>
        <v>#NUM!</v>
      </c>
      <c r="BR82" s="22" t="e">
        <f ca="1">+MAX(BQ85:BQ130)</f>
        <v>#NUM!</v>
      </c>
      <c r="BS82" s="22" t="e">
        <f ca="1">ABS(MIN(BQ85:BQ130))</f>
        <v>#NUM!</v>
      </c>
      <c r="BT82" s="22"/>
      <c r="BU82" s="22"/>
      <c r="BV82" s="22"/>
      <c r="BX82" s="22" t="e">
        <f ca="1">IF(BY82&gt;BZ82,IF(MAX(BX85:BX130)&lt;&gt;0,INDEX(G85:G130,MATCH(MAX(BX85:BX130),BX85:BX130,0)),G84),IF(MIN(BX85:BX130)&lt;&gt;0,INDEX(G85:G130,MATCH(MIN(BX85:BX130),BX85:BX130,0))))</f>
        <v>#NUM!</v>
      </c>
      <c r="BY82" s="22" t="e">
        <f ca="1">+MAX(BX85:BX130)</f>
        <v>#NUM!</v>
      </c>
      <c r="BZ82" s="22" t="e">
        <f ca="1">ABS(MIN(BX85:BX130))</f>
        <v>#NUM!</v>
      </c>
      <c r="CA82" s="22"/>
      <c r="CB82" s="22"/>
      <c r="CC82" s="22" t="e">
        <f ca="1">+AVERAGE(BY131:BY132,CA131:CA132,CC131:CC132)</f>
        <v>#N/A</v>
      </c>
      <c r="CD82" s="22"/>
      <c r="CE82" s="22"/>
      <c r="CF82" s="22"/>
      <c r="CG82" s="22"/>
      <c r="CH82" s="22"/>
      <c r="CI82" s="22"/>
      <c r="CK82" s="22">
        <f>IF(CL82&gt;CM82,IF(MAX(CK85:CK130)&lt;&gt;0,INDEX(N85:N130,MATCH(MAX(CK85:CK130),CK85:CK130,0)),N84),IF(MIN(CK85:CK130)&lt;&gt;0,INDEX(N85:N130,MATCH(MIN(CK85:CK130),CK85:CK130,0))))</f>
        <v>0</v>
      </c>
      <c r="CL82" s="22">
        <f>+MAX(CK85:CK130)</f>
        <v>191080</v>
      </c>
      <c r="CM82" s="22">
        <f>ABS(MIN(CK85:CK130))</f>
        <v>76600</v>
      </c>
      <c r="CN82" s="22"/>
      <c r="CO82" s="22"/>
      <c r="CP82" s="22"/>
      <c r="CQ82" s="22" t="b">
        <f>IF(CR82&gt;CS82,IF(MAX(CQ85:CQ130)&lt;&gt;0,INDEX(G85:G130,MATCH(MAX(CQ85:CQ130),CQ85:CQ130,0)),G84),IF(MIN(CQ85:CQ130)&lt;&gt;0,INDEX(G85:G130,MATCH(MIN(CQ85:CQ130),CQ85:CQ130,0))))</f>
        <v>0</v>
      </c>
      <c r="CR82" s="22">
        <f>+MAX(CQ85:CQ130)</f>
        <v>0</v>
      </c>
      <c r="CS82" s="22">
        <f>ABS(MIN(CQ85:CQ130))</f>
        <v>0</v>
      </c>
      <c r="CT82" s="22"/>
      <c r="CU82" s="22"/>
      <c r="CV82" s="22"/>
      <c r="CW82" s="22" t="e">
        <f ca="1">IF(CX82&gt;CY82,IF(MAX(CW85:CW130)&lt;&gt;0,INDEX(M85:M130,MATCH(MAX(CW85:CW130),CW85:CW130,0)),M84),IF(MIN(CW85:CW130)&lt;&gt;0,INDEX(M85:M130,MATCH(MIN(CW85:CW130),CW85:CW130,0))))</f>
        <v>#NUM!</v>
      </c>
      <c r="CX82" s="61" t="e">
        <f ca="1">+MAX(CW85:CW130)</f>
        <v>#NUM!</v>
      </c>
      <c r="CY82" s="22" t="e">
        <f ca="1">ABS(MIN(CW85:CW130))</f>
        <v>#NUM!</v>
      </c>
      <c r="DA82" s="22"/>
      <c r="DB82" s="22"/>
      <c r="DC82" s="22"/>
      <c r="DD82" s="22"/>
      <c r="DE82" s="22"/>
      <c r="DF82" s="22"/>
      <c r="DH82" s="22"/>
      <c r="DI82" s="22"/>
      <c r="DJ82" s="22"/>
      <c r="DK82" s="22"/>
      <c r="DL82" s="22"/>
      <c r="DM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E82" s="22"/>
      <c r="EF82" s="22"/>
      <c r="EG82" s="22"/>
      <c r="EH82" s="22"/>
      <c r="EI82" s="22"/>
      <c r="EJ82" s="22"/>
      <c r="EL82" s="22"/>
      <c r="EM82" s="22"/>
      <c r="EN82" s="22"/>
      <c r="EO82" s="22"/>
      <c r="EP82" s="22"/>
      <c r="EQ82" s="22"/>
      <c r="EU82" s="67">
        <v>561.35</v>
      </c>
      <c r="EV82" s="67" t="s">
        <v>675</v>
      </c>
      <c r="EW82" s="67">
        <v>483.93</v>
      </c>
      <c r="EX82" s="67" t="s">
        <v>676</v>
      </c>
      <c r="EY82" s="67">
        <v>5631.28</v>
      </c>
      <c r="EZ82" s="67" t="s">
        <v>677</v>
      </c>
      <c r="FA82" s="67">
        <v>19867.973000000002</v>
      </c>
      <c r="FB82" s="67" t="s">
        <v>678</v>
      </c>
      <c r="FC82" s="67" t="s">
        <v>679</v>
      </c>
      <c r="FD82" s="67" t="s">
        <v>680</v>
      </c>
      <c r="FE82" s="68" t="s">
        <v>681</v>
      </c>
      <c r="FF82" s="68" t="s">
        <v>682</v>
      </c>
    </row>
    <row r="83" spans="1:162" s="63" customFormat="1" ht="13.5" thickBot="1" x14ac:dyDescent="0.25">
      <c r="A83" s="45" t="s">
        <v>9</v>
      </c>
      <c r="B83" s="45" t="str">
        <f>+B2</f>
        <v>250508</v>
      </c>
      <c r="C83" s="45" t="str">
        <f>+C2</f>
        <v>250509</v>
      </c>
      <c r="D83" s="45" t="str">
        <f>+D2</f>
        <v>250516</v>
      </c>
      <c r="E83" s="45"/>
      <c r="F83" s="18" t="s">
        <v>0</v>
      </c>
      <c r="G83" s="18" t="s">
        <v>13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 t="s">
        <v>7</v>
      </c>
      <c r="AQ83" s="20" t="s">
        <v>7</v>
      </c>
      <c r="AR83" s="20"/>
      <c r="AS83" s="18" t="s">
        <v>1</v>
      </c>
      <c r="AT83" s="18" t="s">
        <v>1</v>
      </c>
      <c r="AU83" s="18" t="s">
        <v>1</v>
      </c>
      <c r="AV83" s="18" t="s">
        <v>1</v>
      </c>
      <c r="AW83" s="18" t="s">
        <v>1</v>
      </c>
      <c r="AX83" s="51" t="s">
        <v>1</v>
      </c>
      <c r="AY83" s="20"/>
      <c r="AZ83" s="20"/>
      <c r="BA83" s="18" t="s">
        <v>7</v>
      </c>
      <c r="BB83" s="18" t="s">
        <v>7</v>
      </c>
      <c r="BC83" s="18" t="s">
        <v>7</v>
      </c>
      <c r="BD83" s="18" t="s">
        <v>7</v>
      </c>
      <c r="BE83" s="18" t="s">
        <v>7</v>
      </c>
      <c r="BF83" s="51" t="s">
        <v>7</v>
      </c>
      <c r="BG83" s="97"/>
      <c r="BH83" s="20" t="s">
        <v>15</v>
      </c>
      <c r="BI83" s="20"/>
      <c r="BJ83" s="18" t="str">
        <f>+BJ43</f>
        <v>GAMMA</v>
      </c>
      <c r="BK83" s="18" t="str">
        <f>+BJ83</f>
        <v>GAMMA</v>
      </c>
      <c r="BL83" s="18" t="str">
        <f>+BK83</f>
        <v>GAMMA</v>
      </c>
      <c r="BM83" s="18" t="str">
        <f>+BL83</f>
        <v>GAMMA</v>
      </c>
      <c r="BN83" s="18" t="str">
        <f>+BM83</f>
        <v>GAMMA</v>
      </c>
      <c r="BO83" s="51" t="str">
        <f>+BN83</f>
        <v>GAMMA</v>
      </c>
      <c r="BQ83" s="18" t="s">
        <v>11</v>
      </c>
      <c r="BR83" s="18"/>
      <c r="BS83" s="18" t="s">
        <v>11</v>
      </c>
      <c r="BT83" s="18"/>
      <c r="BU83" s="18" t="s">
        <v>11</v>
      </c>
      <c r="BV83" s="51"/>
      <c r="BX83" s="18" t="s">
        <v>11</v>
      </c>
      <c r="BY83" s="18"/>
      <c r="BZ83" s="18" t="s">
        <v>11</v>
      </c>
      <c r="CA83" s="18"/>
      <c r="CB83" s="18" t="s">
        <v>11</v>
      </c>
      <c r="CC83" s="51"/>
      <c r="CD83" s="18" t="str">
        <f>+CD43</f>
        <v>DELTA</v>
      </c>
      <c r="CE83" s="18" t="str">
        <f>+CD83</f>
        <v>DELTA</v>
      </c>
      <c r="CF83" s="18" t="str">
        <f>+CE83</f>
        <v>DELTA</v>
      </c>
      <c r="CG83" s="18" t="str">
        <f>+CF83</f>
        <v>DELTA</v>
      </c>
      <c r="CH83" s="18" t="str">
        <f>+CG83</f>
        <v>DELTA</v>
      </c>
      <c r="CI83" s="51" t="str">
        <f>+CH83</f>
        <v>DELTA</v>
      </c>
      <c r="CK83" s="18" t="s">
        <v>20</v>
      </c>
      <c r="CL83" s="18"/>
      <c r="CM83" s="18" t="s">
        <v>20</v>
      </c>
      <c r="CN83" s="18"/>
      <c r="CO83" s="18" t="s">
        <v>20</v>
      </c>
      <c r="CP83" s="51"/>
      <c r="CQ83" s="18" t="s">
        <v>16</v>
      </c>
      <c r="CR83" s="18"/>
      <c r="CS83" s="18" t="s">
        <v>16</v>
      </c>
      <c r="CT83" s="18"/>
      <c r="CU83" s="18" t="s">
        <v>16</v>
      </c>
      <c r="CV83" s="51"/>
      <c r="CW83" s="51" t="s">
        <v>11</v>
      </c>
      <c r="CY83" s="51" t="s">
        <v>11</v>
      </c>
      <c r="DA83" s="18" t="s">
        <v>25</v>
      </c>
      <c r="DB83" s="18" t="s">
        <v>25</v>
      </c>
      <c r="DC83" s="18" t="s">
        <v>27</v>
      </c>
      <c r="DD83" s="18" t="s">
        <v>27</v>
      </c>
      <c r="DE83" s="18" t="s">
        <v>26</v>
      </c>
      <c r="DF83" s="18" t="s">
        <v>26</v>
      </c>
      <c r="DG83" s="63">
        <v>400</v>
      </c>
      <c r="DH83" s="18"/>
      <c r="DI83" s="18"/>
      <c r="DJ83" s="18"/>
      <c r="DK83" s="18"/>
      <c r="DL83" s="18"/>
      <c r="DM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E83" s="18" t="str">
        <f>+EE43</f>
        <v>IMPL_VOL</v>
      </c>
      <c r="EF83" s="18" t="str">
        <f>+EE83</f>
        <v>IMPL_VOL</v>
      </c>
      <c r="EG83" s="18" t="str">
        <f>+EF83</f>
        <v>IMPL_VOL</v>
      </c>
      <c r="EH83" s="18" t="str">
        <f>+EG83</f>
        <v>IMPL_VOL</v>
      </c>
      <c r="EI83" s="18" t="str">
        <f>+EH83</f>
        <v>IMPL_VOL</v>
      </c>
      <c r="EJ83" s="18" t="str">
        <f>+EI83</f>
        <v>IMPL_VOL</v>
      </c>
      <c r="EL83" s="18" t="str">
        <f>+EL43</f>
        <v>IMPL_VOL</v>
      </c>
      <c r="EM83" s="18" t="str">
        <f>+EL83</f>
        <v>IMPL_VOL</v>
      </c>
      <c r="EN83" s="18" t="str">
        <f>+EM83</f>
        <v>IMPL_VOL</v>
      </c>
      <c r="EO83" s="18" t="str">
        <f>+EN83</f>
        <v>IMPL_VOL</v>
      </c>
      <c r="EP83" s="18" t="str">
        <f>+EO83</f>
        <v>IMPL_VOL</v>
      </c>
      <c r="EQ83" s="18" t="str">
        <f>+EP83</f>
        <v>IMPL_VOL</v>
      </c>
      <c r="EU83" s="67">
        <v>561.30999999999995</v>
      </c>
      <c r="EV83" s="67" t="s">
        <v>683</v>
      </c>
      <c r="EW83" s="67">
        <v>483.88</v>
      </c>
      <c r="EX83" s="67" t="s">
        <v>684</v>
      </c>
      <c r="EY83" s="67">
        <v>5631.28</v>
      </c>
      <c r="EZ83" s="67" t="s">
        <v>685</v>
      </c>
      <c r="FA83" s="67">
        <v>19867.973000000002</v>
      </c>
      <c r="FB83" s="67" t="s">
        <v>686</v>
      </c>
      <c r="FC83" s="67" t="s">
        <v>687</v>
      </c>
      <c r="FD83" s="67" t="s">
        <v>688</v>
      </c>
      <c r="FE83" s="68" t="s">
        <v>689</v>
      </c>
      <c r="FF83" s="68" t="s">
        <v>690</v>
      </c>
    </row>
    <row r="84" spans="1:162" s="63" customFormat="1" ht="13.5" thickBot="1" x14ac:dyDescent="0.25">
      <c r="A84" s="46">
        <f>+E82</f>
        <v>5659.91</v>
      </c>
      <c r="B84" s="27">
        <f>+AS84/AT84</f>
        <v>-1.1307909976309556</v>
      </c>
      <c r="C84" s="27">
        <f>+AU84/AV84</f>
        <v>-1.1399319596893254</v>
      </c>
      <c r="D84" s="27">
        <f>+AW84/AX84</f>
        <v>-1.2528155607037181</v>
      </c>
      <c r="E84" s="28">
        <v>0</v>
      </c>
      <c r="F84" s="47">
        <f>RTD("tos.rtd", ,"MARK", F83)</f>
        <v>5746.5</v>
      </c>
      <c r="G84" s="47">
        <f>RTD("tos.rtd", ,"MARK", G83)</f>
        <v>571.11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>
        <v>0</v>
      </c>
      <c r="AP84" s="20">
        <v>639482</v>
      </c>
      <c r="AQ84" s="20">
        <v>-596765</v>
      </c>
      <c r="AR84" s="20"/>
      <c r="AS84" s="52">
        <f t="shared" ref="AS84:AX84" si="415">SUM(AS85:AS130)</f>
        <v>34367</v>
      </c>
      <c r="AT84" s="53">
        <f t="shared" si="415"/>
        <v>-30392</v>
      </c>
      <c r="AU84" s="52">
        <f t="shared" si="415"/>
        <v>71036</v>
      </c>
      <c r="AV84" s="53">
        <f t="shared" si="415"/>
        <v>-62316</v>
      </c>
      <c r="AW84" s="52">
        <f t="shared" si="415"/>
        <v>54619</v>
      </c>
      <c r="AX84" s="53">
        <f t="shared" si="415"/>
        <v>-43597</v>
      </c>
      <c r="AY84" s="53">
        <f>SUM(AY85:AY130)</f>
        <v>23717</v>
      </c>
      <c r="AZ84" s="20">
        <v>0</v>
      </c>
      <c r="BA84" s="52">
        <f t="shared" ref="BA84:BF84" si="416">SUM(BA85:BA130)</f>
        <v>0</v>
      </c>
      <c r="BB84" s="53">
        <f t="shared" si="416"/>
        <v>0</v>
      </c>
      <c r="BC84" s="52">
        <f t="shared" si="416"/>
        <v>0</v>
      </c>
      <c r="BD84" s="53">
        <f t="shared" si="416"/>
        <v>0</v>
      </c>
      <c r="BE84" s="52">
        <f t="shared" si="416"/>
        <v>16</v>
      </c>
      <c r="BF84" s="53">
        <f t="shared" si="416"/>
        <v>-16</v>
      </c>
      <c r="BG84" s="53"/>
      <c r="BH84" s="53">
        <f ca="1">SUM(BH85:BH130)</f>
        <v>8</v>
      </c>
      <c r="BI84" s="20"/>
      <c r="BJ84" s="73" t="e">
        <f t="shared" ref="BJ84:BU84" ca="1" si="417">SUM(BJ85:BJ130)</f>
        <v>#NUM!</v>
      </c>
      <c r="BK84" s="74" t="e">
        <f t="shared" ref="BK84" ca="1" si="418">SUM(BK85:BK130)</f>
        <v>#NUM!</v>
      </c>
      <c r="BL84" s="73" t="e">
        <f t="shared" ref="BL84" ca="1" si="419">SUM(BL85:BL130)</f>
        <v>#NUM!</v>
      </c>
      <c r="BM84" s="74" t="e">
        <f t="shared" ref="BM84" ca="1" si="420">SUM(BM85:BM130)</f>
        <v>#NUM!</v>
      </c>
      <c r="BN84" s="73" t="e">
        <f t="shared" ref="BN84" ca="1" si="421">SUM(BN85:BN130)</f>
        <v>#NUM!</v>
      </c>
      <c r="BO84" s="74" t="e">
        <f t="shared" ref="BO84" ca="1" si="422">SUM(BO85:BO130)</f>
        <v>#NUM!</v>
      </c>
      <c r="BQ84" s="73" t="e">
        <f t="shared" ca="1" si="417"/>
        <v>#NUM!</v>
      </c>
      <c r="BR84" s="74"/>
      <c r="BS84" s="73" t="e">
        <f t="shared" ca="1" si="417"/>
        <v>#NUM!</v>
      </c>
      <c r="BT84" s="74"/>
      <c r="BU84" s="73" t="e">
        <f t="shared" ca="1" si="417"/>
        <v>#NUM!</v>
      </c>
      <c r="BV84" s="74"/>
      <c r="BX84" s="73" t="e">
        <f t="shared" ref="BX84" ca="1" si="423">SUM(BX85:BX130)</f>
        <v>#NUM!</v>
      </c>
      <c r="BY84" s="74"/>
      <c r="BZ84" s="73" t="e">
        <f t="shared" ref="BZ84" ca="1" si="424">SUM(BZ85:BZ130)</f>
        <v>#NUM!</v>
      </c>
      <c r="CA84" s="74"/>
      <c r="CB84" s="73" t="e">
        <f t="shared" ref="CB84" ca="1" si="425">SUM(CB85:CB130)</f>
        <v>#NUM!</v>
      </c>
      <c r="CC84" s="74"/>
      <c r="CD84" s="73">
        <f t="shared" ref="CD84:CI84" si="426">SUM(CD85:CD130)</f>
        <v>21.69</v>
      </c>
      <c r="CE84" s="74">
        <f t="shared" si="426"/>
        <v>22.050000000000004</v>
      </c>
      <c r="CF84" s="73">
        <f t="shared" si="426"/>
        <v>24.310000000000002</v>
      </c>
      <c r="CG84" s="74">
        <f t="shared" si="426"/>
        <v>20.000000000000004</v>
      </c>
      <c r="CH84" s="73">
        <f t="shared" si="426"/>
        <v>22.56</v>
      </c>
      <c r="CI84" s="74">
        <f t="shared" si="426"/>
        <v>24.169999999999995</v>
      </c>
      <c r="CK84" s="73">
        <f t="shared" ref="CK84" si="427">SUM(CK85:CK130)</f>
        <v>792029</v>
      </c>
      <c r="CL84" s="74"/>
      <c r="CM84" s="73">
        <f t="shared" ref="CM84" si="428">SUM(CM85:CM130)</f>
        <v>1290357</v>
      </c>
      <c r="CN84" s="74"/>
      <c r="CO84" s="73">
        <f t="shared" ref="CO84" si="429">SUM(CO85:CO130)</f>
        <v>-239192</v>
      </c>
      <c r="CP84" s="74"/>
      <c r="CQ84" s="73">
        <f t="shared" ref="CQ84" si="430">SUM(CQ85:CQ130)</f>
        <v>0</v>
      </c>
      <c r="CR84" s="74"/>
      <c r="CS84" s="73">
        <f t="shared" ref="CS84" si="431">SUM(CS85:CS130)</f>
        <v>0</v>
      </c>
      <c r="CT84" s="74">
        <f t="shared" ref="CT84:CU84" si="432">SUM(CT85:CT130)</f>
        <v>0</v>
      </c>
      <c r="CU84" s="73">
        <f t="shared" si="432"/>
        <v>0</v>
      </c>
      <c r="CV84" s="74"/>
      <c r="CW84" s="74" t="e">
        <f t="shared" ref="CW84" ca="1" si="433">SUM(CW85:CW130)</f>
        <v>#NUM!</v>
      </c>
      <c r="CY84" s="74" t="e">
        <f t="shared" ref="CY84" ca="1" si="434">SUM(CY85:CY130)</f>
        <v>#NUM!</v>
      </c>
      <c r="DA84" s="73">
        <f t="shared" ref="DA84:DB84" si="435">SUM(DA85:DA130)</f>
        <v>3565.7000000000003</v>
      </c>
      <c r="DB84" s="74">
        <f t="shared" si="435"/>
        <v>2037.5099999999991</v>
      </c>
      <c r="DC84" s="73">
        <f t="shared" ref="DC84:DF84" si="436">SUM(DC85:DC130)</f>
        <v>3205.2500000000009</v>
      </c>
      <c r="DD84" s="74">
        <f t="shared" si="436"/>
        <v>2279.250000000005</v>
      </c>
      <c r="DE84" s="73">
        <f t="shared" si="436"/>
        <v>3006.4999999999995</v>
      </c>
      <c r="DF84" s="73">
        <f t="shared" si="436"/>
        <v>2165.4</v>
      </c>
      <c r="DH84" s="73">
        <f t="shared" ref="DH84:DM84" si="437">SUM(DH85:DH130)</f>
        <v>-544172.87843324407</v>
      </c>
      <c r="DI84" s="74">
        <f t="shared" si="437"/>
        <v>316096.97894136875</v>
      </c>
      <c r="DJ84" s="73">
        <f t="shared" si="437"/>
        <v>-613614</v>
      </c>
      <c r="DK84" s="74">
        <f t="shared" si="437"/>
        <v>265327</v>
      </c>
      <c r="DL84" s="73">
        <f t="shared" si="437"/>
        <v>-228075.89949187505</v>
      </c>
      <c r="DM84" s="73">
        <f t="shared" si="437"/>
        <v>-348287</v>
      </c>
      <c r="DP84" s="73">
        <f t="shared" ref="DP84:DS84" si="438">SUM(DP85:DP130)</f>
        <v>-2287450.174295729</v>
      </c>
      <c r="DQ84" s="74">
        <f t="shared" si="438"/>
        <v>-2368247.59</v>
      </c>
      <c r="DR84" s="73" t="e">
        <f t="shared" ca="1" si="438"/>
        <v>#NUM!</v>
      </c>
      <c r="DS84" s="74">
        <f t="shared" si="438"/>
        <v>-64181.24</v>
      </c>
      <c r="DT84" s="73"/>
      <c r="DU84" s="73"/>
      <c r="DV84" s="73"/>
      <c r="DW84" s="74"/>
      <c r="DX84" s="73"/>
      <c r="DY84" s="74"/>
      <c r="DZ84" s="73"/>
      <c r="EA84" s="74"/>
      <c r="EB84" s="73"/>
      <c r="EC84" s="73"/>
      <c r="EE84" s="73">
        <f t="shared" ref="EE84" si="439">SUM(EE85:EE130)</f>
        <v>71.55510000000001</v>
      </c>
      <c r="EF84" s="74">
        <f t="shared" ref="EF84" si="440">SUM(EF85:EF130)</f>
        <v>29.8659</v>
      </c>
      <c r="EG84" s="73">
        <f t="shared" ref="EG84" si="441">SUM(EG85:EG130)</f>
        <v>31.692</v>
      </c>
      <c r="EH84" s="74">
        <f t="shared" ref="EH84" si="442">SUM(EH85:EH130)</f>
        <v>48.866500000000009</v>
      </c>
      <c r="EI84" s="73">
        <f t="shared" ref="EI84" si="443">SUM(EI85:EI130)</f>
        <v>19.071300000000001</v>
      </c>
      <c r="EJ84" s="73">
        <f t="shared" ref="EJ84" si="444">SUM(EJ85:EJ130)</f>
        <v>9.0902999999999974</v>
      </c>
      <c r="EK84" s="63" t="e">
        <f ca="1">SUM(EK85:EK130)</f>
        <v>#NUM!</v>
      </c>
      <c r="EL84" s="73">
        <f t="shared" ref="EL84" si="445">SUM(EL85:EL130)</f>
        <v>0</v>
      </c>
      <c r="EM84" s="74">
        <f t="shared" ref="EM84" si="446">SUM(EM85:EM130)</f>
        <v>0</v>
      </c>
      <c r="EN84" s="73">
        <f t="shared" ref="EN84" si="447">SUM(EN85:EN130)</f>
        <v>0</v>
      </c>
      <c r="EO84" s="74">
        <f t="shared" ref="EO84" si="448">SUM(EO85:EO130)</f>
        <v>0</v>
      </c>
      <c r="EP84" s="73">
        <f t="shared" ref="EP84" si="449">SUM(EP85:EP130)</f>
        <v>0</v>
      </c>
      <c r="EQ84" s="73">
        <f t="shared" ref="EQ84" si="450">SUM(EQ85:EQ130)</f>
        <v>0</v>
      </c>
      <c r="EU84" s="67">
        <v>561.27</v>
      </c>
      <c r="EV84" s="67" t="s">
        <v>691</v>
      </c>
      <c r="EW84" s="67">
        <v>483.87</v>
      </c>
      <c r="EX84" s="67" t="s">
        <v>692</v>
      </c>
      <c r="EY84" s="67">
        <v>5631.28</v>
      </c>
      <c r="EZ84" s="67" t="s">
        <v>693</v>
      </c>
      <c r="FA84" s="67">
        <v>19867.973000000002</v>
      </c>
      <c r="FB84" s="67" t="s">
        <v>694</v>
      </c>
      <c r="FC84" s="67" t="s">
        <v>695</v>
      </c>
      <c r="FD84" s="67" t="s">
        <v>696</v>
      </c>
      <c r="FE84" s="68" t="s">
        <v>697</v>
      </c>
      <c r="FF84" s="68" t="s">
        <v>698</v>
      </c>
    </row>
    <row r="85" spans="1:162" s="63" customFormat="1" ht="12" customHeight="1" thickBot="1" x14ac:dyDescent="0.25">
      <c r="A85" s="2">
        <f>ROUND(E81/A81,0)*A81+22*A81</f>
        <v>5870</v>
      </c>
      <c r="B85" s="3">
        <f t="shared" ref="B85:B130" si="451">+IF($A$1="ABS",AS85-AT85,AS85+AT85)</f>
        <v>345</v>
      </c>
      <c r="C85" s="3">
        <f t="shared" ref="C85:C130" si="452">+IF($A$1="ABS",AU85-AV85,AU85+AV85)</f>
        <v>900</v>
      </c>
      <c r="D85" s="3">
        <f t="shared" ref="D85:D130" si="453">+IF($A$1="ABS",AW85-AX85,AW85+AX85)</f>
        <v>432</v>
      </c>
      <c r="E85" s="3">
        <f t="shared" ref="E85:E96" si="454">SUM(B85:D85)</f>
        <v>1677</v>
      </c>
      <c r="F85" s="4">
        <f>+$F$84/$A$84*A85</f>
        <v>5959.8041311610959</v>
      </c>
      <c r="G85" s="4">
        <f>+$G$84/$A$84*A85</f>
        <v>592.30901198075594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>
        <v>1594</v>
      </c>
      <c r="AN85" s="20">
        <v>-8</v>
      </c>
      <c r="AO85" s="20">
        <v>5870</v>
      </c>
      <c r="AP85" s="20">
        <v>2950</v>
      </c>
      <c r="AQ85" s="20">
        <v>-3</v>
      </c>
      <c r="AR85" s="20"/>
      <c r="AS85" s="73">
        <f>IF(RTD("tos.rtd",,AS$83,"."&amp;$B$82&amp;$AS$82&amp;"C"&amp;$A85)="N/A",0,RTD("tos.rtd",,AS$83,"."&amp;$B$82&amp;$AS$82&amp;"C"&amp;$A85))</f>
        <v>336</v>
      </c>
      <c r="AT85" s="28">
        <f>-IF(RTD("tos.rtd",,AT$83,"."&amp;$B$82&amp;$AS$82&amp;"P"&amp;$A85)="N/A",0,RTD("tos.rtd",,AT$83,"."&amp;$B$82&amp;$AS$82&amp;"P"&amp;$A85))</f>
        <v>-9</v>
      </c>
      <c r="AU85" s="73">
        <f>IF(RTD("tos.rtd",,AU$83,"."&amp;$C$82&amp;$AU$82&amp;"C"&amp;$A85)="N/A",0,RTD("tos.rtd",,AU$83,"."&amp;$C$82&amp;$AU$82&amp;"C"&amp;$A85))</f>
        <v>899</v>
      </c>
      <c r="AV85" s="28">
        <f>-IF(RTD("tos.rtd",,AV$83,"."&amp;$C$82&amp;$AU$82&amp;"P"&amp;$A85)="N/A",0,RTD("tos.rtd",,AV$83,"."&amp;$C$82&amp;$AU$82&amp;"P"&amp;$A85))</f>
        <v>-1</v>
      </c>
      <c r="AW85" s="73">
        <f>IF(RTD("tos.rtd",,AW$83,"."&amp;$D$82&amp;$AW$82&amp;"C"&amp;$A85)="N/A",0,RTD("tos.rtd",,AW$83,"."&amp;$D$82&amp;$AW$82&amp;"C"&amp;$A85))</f>
        <v>275</v>
      </c>
      <c r="AX85" s="28">
        <f>-IF(RTD("tos.rtd",,AX$83,"."&amp;$D$82&amp;$AW$82&amp;"P"&amp;$A85)="N/A",0,RTD("tos.rtd",,AX$83,"."&amp;$D$82&amp;$AW$82&amp;"P"&amp;$A85))</f>
        <v>-157</v>
      </c>
      <c r="AY85" s="78">
        <f>SUM(AS85:AX85)</f>
        <v>1343</v>
      </c>
      <c r="AZ85" s="8">
        <f t="shared" ref="AZ85:AZ130" si="455">+A85</f>
        <v>5870</v>
      </c>
      <c r="BA85" s="73">
        <f>IF(RTD("tos.rtd",,BA$83,"."&amp;$B$82&amp;$AS$82&amp;"C"&amp;$A85)="N/A",0,RTD("tos.rtd",,BA$83,"."&amp;$B$82&amp;$AS$82&amp;"C"&amp;$A85))</f>
        <v>0</v>
      </c>
      <c r="BB85" s="28">
        <f>-IF(RTD("tos.rtd",,BB$83,"."&amp;$B$82&amp;$AS$82&amp;"P"&amp;$A85)="N/A",0,RTD("tos.rtd",,BB$83,"."&amp;$B$82&amp;$AS$82&amp;"P"&amp;$A85))</f>
        <v>0</v>
      </c>
      <c r="BC85" s="73">
        <f>IF(RTD("tos.rtd",,BC$83,"."&amp;$C$82&amp;$AU$82&amp;"C"&amp;$A85)="N/A",0,RTD("tos.rtd",,BC$83,"."&amp;$C$82&amp;$AU$82&amp;"C"&amp;$A85))</f>
        <v>0</v>
      </c>
      <c r="BD85" s="28">
        <f>-IF(RTD("tos.rtd",,BD$83,"."&amp;$C$82&amp;$AU$82&amp;"P"&amp;$A85)="N/A",0,RTD("tos.rtd",,BD$83,"."&amp;$C$82&amp;$AU$82&amp;"P"&amp;$A85))</f>
        <v>0</v>
      </c>
      <c r="BE85" s="73">
        <f>IF(RTD("tos.rtd",,BE$83,"."&amp;$D$82&amp;$AW$82&amp;"C"&amp;$A85)="N/A",0,RTD("tos.rtd",,BE$83,"."&amp;$D$82&amp;$AW$82&amp;"C"&amp;$A85))</f>
        <v>0</v>
      </c>
      <c r="BF85" s="28">
        <f>-IF(RTD("tos.rtd",,BF$83,"."&amp;$D$82&amp;$AW$82&amp;"P"&amp;$A85)="N/A",0,RTD("tos.rtd",,BF$83,"."&amp;$D$82&amp;$AW$82&amp;"P"&amp;$A85))</f>
        <v>0</v>
      </c>
      <c r="BG85" s="28">
        <f ca="1">+Hoja2!Y86</f>
        <v>0</v>
      </c>
      <c r="BH85" s="74">
        <f>SUM(BA85:BF85)</f>
        <v>0</v>
      </c>
      <c r="BI85" s="1"/>
      <c r="BJ85" s="3" t="e">
        <f ca="1">IF($BP$1=1,DX85,IF(RTD("tos.rtd",,BJ$83,"."&amp;$B$82&amp;$AS$82&amp;"C"&amp;$A85)="N/A",0,RTD("tos.rtd",,BJ$83,"."&amp;$B$82&amp;$AS$82&amp;"C"&amp;$A85)))</f>
        <v>#NUM!</v>
      </c>
      <c r="BK85" s="3" t="e">
        <f ca="1">IF($BP$1=1,DY85,-IF(RTD("tos.rtd",,BK$83,"."&amp;$B$82&amp;$AS$82&amp;"P"&amp;$A85)="N/A",0,RTD("tos.rtd",,BK$83,"."&amp;$B$82&amp;$AS$82&amp;"P"&amp;$A85)))</f>
        <v>#NUM!</v>
      </c>
      <c r="BL85" s="3" t="e">
        <f ca="1">IF($BP$1=1,DZ85,IF(RTD("tos.rtd",,BL$83,"."&amp;$C$82&amp;$AU$82&amp;"C"&amp;$A85)="N/A",0,RTD("tos.rtd",,BL$83,"."&amp;$C$82&amp;$AU$82&amp;"C"&amp;$A85)))</f>
        <v>#NUM!</v>
      </c>
      <c r="BM85" s="3" t="e">
        <f ca="1">IF($BP$1=1,EA85,-IF(RTD("tos.rtd",,BM$83,"."&amp;$C$82&amp;$AU$82&amp;"P"&amp;$A85)="N/A",0,RTD("tos.rtd",,BM$83,"."&amp;$C$82&amp;$AU$82&amp;"P"&amp;$A85)))</f>
        <v>#NUM!</v>
      </c>
      <c r="BN85" s="3" t="e">
        <f ca="1">IF($BP$1=1,EB85,IF(RTD("tos.rtd",,BN$83,"."&amp;$D$82&amp;$AW$82&amp;"C"&amp;$A85)="N/A",0,RTD("tos.rtd",,BN$83,"."&amp;$D$82&amp;$AW$82&amp;"C"&amp;$A85)))</f>
        <v>#NUM!</v>
      </c>
      <c r="BO85" s="3" t="e">
        <f ca="1">IF($BP$1=1,EC85,-IF(RTD("tos.rtd",,BO$83,"."&amp;$D$82&amp;$AW$82&amp;"P"&amp;$A85)="N/A",0,RTD("tos.rtd",,BO$83,"."&amp;$D$82&amp;$AW$82&amp;"P"&amp;$A85)))</f>
        <v>#NUM!</v>
      </c>
      <c r="BQ85" s="3" t="e">
        <f t="shared" ref="BQ85:BQ130" ca="1" si="456">+$A$44*$A$44*AS85*BJ85-$A$44*$A$44*AT85*BK85</f>
        <v>#NUM!</v>
      </c>
      <c r="BR85" s="3"/>
      <c r="BS85" s="3" t="e">
        <f t="shared" ref="BS85:BS130" ca="1" si="457">+$A$44*$A$44*AU85*BL85-$A$44*$A$44*AV85*BM85</f>
        <v>#NUM!</v>
      </c>
      <c r="BT85" s="3"/>
      <c r="BU85" s="3" t="e">
        <f t="shared" ref="BU85:BU130" ca="1" si="458">+$A$44*$A$44*AW85*BN85-$A$44*$A$44*AX85*BO85</f>
        <v>#NUM!</v>
      </c>
      <c r="BV85" s="3"/>
      <c r="BX85" s="3" t="e">
        <f t="shared" ref="BX85:BX130" ca="1" si="459">+$A$44*$A$44*BA85*BJ85-$A$44*$A$44*BB85*BK85</f>
        <v>#NUM!</v>
      </c>
      <c r="BY85" s="3"/>
      <c r="BZ85" s="3" t="e">
        <f t="shared" ref="BZ85:BZ130" ca="1" si="460">+$A$44*$A$44*BC85*BL85-$A$44*$A$44*BD85*BM85</f>
        <v>#NUM!</v>
      </c>
      <c r="CA85" s="3"/>
      <c r="CB85" s="3" t="e">
        <f t="shared" ref="CB85:CB130" ca="1" si="461">+$A$44*$A$44*BE85*BN85-$A$44*$A$44*BF85*BO85</f>
        <v>#NUM!</v>
      </c>
      <c r="CC85" s="3"/>
      <c r="CD85" s="3">
        <f>IF(RTD("tos.rtd",,CD$83,"."&amp;$B$82&amp;$AS$82&amp;"C"&amp;$A85)="N/A",0,RTD("tos.rtd",,CD$83,"."&amp;$B$82&amp;$AS$82&amp;"C"&amp;$A85))</f>
        <v>0</v>
      </c>
      <c r="CE85" s="3">
        <f>-IF(RTD("tos.rtd",,CE$83,"."&amp;$B$82&amp;$AS$82&amp;"P"&amp;$A85)="N/A",0,RTD("tos.rtd",,CE$83,"."&amp;$B$82&amp;$AS$82&amp;"P"&amp;$A85))</f>
        <v>1</v>
      </c>
      <c r="CF85" s="3">
        <f>IF(RTD("tos.rtd",,CF$83,"."&amp;$C$82&amp;$AU$82&amp;"C"&amp;$A85)="N/A",0,RTD("tos.rtd",,CF$83,"."&amp;$C$82&amp;$AU$82&amp;"C"&amp;$A85))</f>
        <v>0</v>
      </c>
      <c r="CG85" s="3">
        <f>-IF(RTD("tos.rtd",,CG$83,"."&amp;$C$82&amp;$AU$82&amp;"P"&amp;$A85)="N/A",0,RTD("tos.rtd",,CG$83,"."&amp;$C$82&amp;$AU$82&amp;"P"&amp;$A85))</f>
        <v>0.98</v>
      </c>
      <c r="CH85" s="3">
        <f>IF(RTD("tos.rtd",,CH$83,"."&amp;$D$82&amp;$AW$82&amp;"C"&amp;$A85)="N/A",0,RTD("tos.rtd",,CH$83,"."&amp;$D$82&amp;$AW$82&amp;"C"&amp;$A85))</f>
        <v>0.12</v>
      </c>
      <c r="CI85" s="3">
        <f>-IF(RTD("tos.rtd",,CI$83,"."&amp;$D$82&amp;$AW$82&amp;"P"&amp;$A85)="N/A",0,RTD("tos.rtd",,CI$83,"."&amp;$D$82&amp;$AW$82&amp;"P"&amp;$A85))</f>
        <v>1</v>
      </c>
      <c r="CK85" s="3">
        <f>+AS85*CD85*100+AT85*CE85*100</f>
        <v>-900</v>
      </c>
      <c r="CL85" s="3"/>
      <c r="CM85" s="3">
        <f>+AU85*CF85*100+AV85*CG85*100</f>
        <v>-98</v>
      </c>
      <c r="CN85" s="3"/>
      <c r="CO85" s="3">
        <f>+AW85*CH85*100+AX85*CI85*100</f>
        <v>-12400</v>
      </c>
      <c r="CP85" s="3">
        <f t="shared" ref="CP85:CP130" si="462">+CK85+CM85+CO85</f>
        <v>-13398</v>
      </c>
      <c r="CQ85" s="3">
        <f t="shared" ref="CQ85:CQ130" si="463">+BA85+BB85</f>
        <v>0</v>
      </c>
      <c r="CR85" s="3"/>
      <c r="CS85" s="3">
        <f t="shared" ref="CS85:CS130" si="464">+BC85+BD85</f>
        <v>0</v>
      </c>
      <c r="CT85" s="3"/>
      <c r="CU85" s="3">
        <f t="shared" ref="CU85:CU130" si="465">+BE85+BF85</f>
        <v>0</v>
      </c>
      <c r="CV85" s="3"/>
      <c r="CW85" s="3" t="e">
        <f t="shared" ref="CW85:CW130" ca="1" si="466">+BQ85+BS85+BU85</f>
        <v>#NUM!</v>
      </c>
      <c r="CY85" s="3" t="e">
        <f t="shared" ref="CY85:CY130" ca="1" si="467">+BX85+BZ85+CB85</f>
        <v>#NUM!</v>
      </c>
      <c r="CZ85" s="70"/>
      <c r="DA85" s="3">
        <f>IF(RTD("tos.rtd",,DA$83,"."&amp;$B$82&amp;$AS$82&amp;"C"&amp;$A85)="N/A",0,RTD("tos.rtd",,DA$83,"."&amp;$B$82&amp;$AS$82&amp;"C"&amp;$A85))</f>
        <v>0.03</v>
      </c>
      <c r="DB85" s="3">
        <f>IF(RTD("tos.rtd",,DB$83,"."&amp;$B$82&amp;$AS$82&amp;"P"&amp;$A85)="N/A",0,RTD("tos.rtd",,DB$83,"."&amp;$B$82&amp;$AS$82&amp;"P"&amp;$A85))</f>
        <v>151.66999999999999</v>
      </c>
      <c r="DC85" s="3">
        <f>IF(RTD("tos.rtd",,DC$83,"."&amp;$B$82&amp;$AS$82&amp;"C"&amp;$A85)="N/A",0,RTD("tos.rtd",,DC$83,"."&amp;$B$82&amp;$AS$82&amp;"C"&amp;$A85))</f>
        <v>0.05</v>
      </c>
      <c r="DD85" s="3">
        <f>IF(RTD("tos.rtd",,DD$83,"."&amp;$B$82&amp;$AS$82&amp;"P"&amp;$A85)="N/A",0,RTD("tos.rtd",,DD$83,"."&amp;$B$82&amp;$AS$82&amp;"P"&amp;$A85))</f>
        <v>212.5</v>
      </c>
      <c r="DE85" s="3">
        <f>IF(RTD("tos.rtd",,DE$83,"."&amp;$B$82&amp;$AS$82&amp;"C"&amp;$A85)="N/A",0,RTD("tos.rtd",,DE$83,"."&amp;$B$82&amp;$AS$82&amp;"C"&amp;$A85))</f>
        <v>0</v>
      </c>
      <c r="DF85" s="3">
        <f>IF(RTD("tos.rtd",,DF$83,"."&amp;$B$82&amp;$AS$82&amp;"P"&amp;$A85)="N/A",0,RTD("tos.rtd",,DF$83,"."&amp;$B$82&amp;$AS$82&amp;"P"&amp;$A85))</f>
        <v>200.4</v>
      </c>
      <c r="DG85" s="86">
        <f>+$A85-$A$84</f>
        <v>210.09000000000015</v>
      </c>
      <c r="DH85" s="3">
        <f t="shared" ref="DH85:DH130" si="468">((DA85-DE85)/(DC85-DE85))*(BA85-AP85)</f>
        <v>-1770</v>
      </c>
      <c r="DI85" s="3">
        <f t="shared" ref="DI85:DI130" si="469">((DB85-DF85)/(DD85-DF85))*(BB85-AQ85)</f>
        <v>-12.081818181818193</v>
      </c>
      <c r="DJ85" s="3">
        <f t="shared" ref="DJ85:DJ130" si="470">IF(DA85&gt;=(DE85+(DC85-DE85)*0.6),(BA85-AP85),IF(DA85&lt;=(DE85+(DC85-DE85)*0.4),-(BA85-AP85),0))</f>
        <v>-2950</v>
      </c>
      <c r="DK85" s="3">
        <f t="shared" ref="DK85:DK130" si="471">IF(DB85&lt;=(DF85+(DD85-DF85)*0.4),-(BB85-AQ85),IF(DB85&gt;=(DF85+(DD85-DF85)*0.6),(BB85-AQ85),0))</f>
        <v>-3</v>
      </c>
      <c r="DL85" s="3">
        <f t="shared" ref="DL85:DL130" si="472">+DH85+DI85</f>
        <v>-1782.0818181818181</v>
      </c>
      <c r="DM85" s="3">
        <f t="shared" ref="DM85:DM130" si="473">+DJ85+DK85</f>
        <v>-2953</v>
      </c>
      <c r="DN85" s="64" t="str">
        <f t="shared" ref="DN85:DN130" si="474">IF(AND(DA85&gt;=(DE85+(DC85-DE85)*0.6),BA85&gt;AP85),"BUY",IF(AND(DA85&lt;=(DE85+(DC85-DE85)*0.4),BA85&gt;AP85),"SELL","UNKNOWN"))</f>
        <v>UNKNOWN</v>
      </c>
      <c r="DO85" s="64" t="str">
        <f t="shared" ref="DO85:DO130" si="475">IF(AND(DB85&gt;=(DF85+(DD85-DF85)*0.6),ABS(BB85)&gt;ABS(AQ85)),"BUY",IF(AND(DB85&lt;=(DF85+(DD85-DF85)*0.4),ABS(BB85)&gt;ABS(AQ85)),"SELL","UNKNOWN"))</f>
        <v>UNKNOWN</v>
      </c>
      <c r="DP85" s="3">
        <f t="shared" ref="DP85:DP130" si="476">+DH85*DA85+DI85*DB85</f>
        <v>-1885.5493636363651</v>
      </c>
      <c r="DQ85" s="3">
        <f t="shared" ref="DQ85:DQ130" si="477">+DA85*DJ85+DB85*DK85</f>
        <v>-543.51</v>
      </c>
      <c r="DR85" s="3" t="e">
        <f t="shared" ref="DR85:DR130" ca="1" si="478">+BJ85*DJ85+BK85*DK85</f>
        <v>#NUM!</v>
      </c>
      <c r="DS85" s="3">
        <f t="shared" ref="DS85:DS130" si="479">+CD85*DJ85+CE85*DK85</f>
        <v>-3</v>
      </c>
      <c r="DT85" s="3">
        <f>BA85-VLOOKUP(AZ85,$AO$85:$AQ$130,2,FALSE)</f>
        <v>-2950</v>
      </c>
      <c r="DU85" s="3">
        <f>BB85-VLOOKUP(AZ85,$AO$85:$AQ$130,3,FALSE)</f>
        <v>3</v>
      </c>
      <c r="DV85" s="3">
        <f>AM85+IF(DN85="BUY",DT85,IF(DN85="SELL",-DT85,0))</f>
        <v>1594</v>
      </c>
      <c r="DW85" s="3">
        <f>AN85+IF(DO85="BUY",DU85,IF(DO85="SELL",-DU85,0))</f>
        <v>-8</v>
      </c>
      <c r="DX85" s="3" t="e">
        <f ca="1">(EXP(-POWER((LN($A$84/$A85)+($EC$1+POWER($EE85,2)/2)*($EM$1/$DY$1))/($EE85*SQRT($EM$1/$DY$1)),2)/2)/SQRT(2*PI())/($A$84*$EE85*SQRT($EM$1/$DY$1)))</f>
        <v>#NUM!</v>
      </c>
      <c r="DY85" s="3" t="e">
        <f t="shared" ref="DY85:DY130" ca="1" si="480">-(EXP(-POWER((LN($A$84/$A85)+($EC$1+POWER($EF85,2)/2)*($EM$1/$DY$1))/($EF85*SQRT($EM$1/$DY$1)),2)/2)/SQRT(2*PI())/($A$84*$EF85*SQRT($EM$1/$DY$1)))</f>
        <v>#NUM!</v>
      </c>
      <c r="DZ85" s="3" t="e">
        <f ca="1">(EXP(-POWER((LN($A$84/$A85)+($EC$1+POWER($EG85,2)/2)*($EO$1/$DY$1))/($EG85*SQRT($EO$1/$DY$1)),2)/2)/SQRT(2*PI())/($A$84*$EG85*SQRT($EO$1/$DY$1)))</f>
        <v>#NUM!</v>
      </c>
      <c r="EA85" s="3" t="e">
        <f ca="1">-(EXP(-POWER((LN($A$84/$A85)+($EC$1+POWER($EH85,2)/2)*($EO$1/$DY$1))/($EH85*SQRT($EO$1/$DY$1)),2)/2)/SQRT(2*PI())/($A$84*$EH85*SQRT($EO$1/$DY$1)))</f>
        <v>#NUM!</v>
      </c>
      <c r="EB85" s="3" t="e">
        <f t="shared" ref="EB85:EB130" ca="1" si="481">(EXP(-POWER((LN($A$84/$A85)+($EC$1+POWER($EI85,2)/2)*($EO$1/$DY$1))/($EI85*SQRT($EO$1/$DY$1)),2)/2)/SQRT(2*PI())/($A$84*$EI85*SQRT($EO$1/$DY$1)))</f>
        <v>#NUM!</v>
      </c>
      <c r="EC85" s="3" t="e">
        <f t="shared" ref="EC85:EC130" ca="1" si="482">-(EXP(-POWER((LN($A$84/$A85)+($EC$1+POWER($EJ85,2)/2)*($EO$1/$DY$1))/($EJ85*SQRT($EO$1/$DY$1)),2)/2)/SQRT(2*PI())/($A$84*$EJ85*SQRT($EO$1/$DY$1)))</f>
        <v>#NUM!</v>
      </c>
      <c r="ED85" s="63">
        <f>+DV85+DW85</f>
        <v>1586</v>
      </c>
      <c r="EE85" s="59">
        <f t="shared" ref="EE85:EE130" si="483">IFERROR(VALUE(IF(OR(EL85="--",EL85="0.00%"),$EE$1,EL85)),$EE$1)</f>
        <v>1.5992</v>
      </c>
      <c r="EF85" s="59">
        <f t="shared" ref="EF85:EF130" si="484">IFERROR(VALUE(IF(OR(EM85="--",EM85="0.00%"),$EE$1,EM85)),$EE$1)</f>
        <v>0.25</v>
      </c>
      <c r="EG85" s="59">
        <f t="shared" ref="EG85:EG130" si="485">IFERROR(VALUE(IF(OR(EN85="--",EN85="0.00%"),$EE$1,EN85)),$EE$1)</f>
        <v>1.5992</v>
      </c>
      <c r="EH85" s="59">
        <f t="shared" ref="EH85:EH130" si="486">IFERROR(VALUE(IF(OR(EO85="--",EO85="0.00%"),$EE$1,EO85)),$EE$1)</f>
        <v>2.3123</v>
      </c>
      <c r="EI85" s="59">
        <f t="shared" ref="EI85:EI130" si="487">IFERROR(VALUE(IF(OR(EP85="--",EP85="0.00%"),$EE$1,EP85)),$EE$1)</f>
        <v>0.25900000000000001</v>
      </c>
      <c r="EJ85" s="59">
        <f t="shared" ref="EJ85:EJ130" si="488">IFERROR(VALUE(IF(OR(EQ85="--",EQ85="0.00%"),$EE$1,EQ85)),$EE$1)</f>
        <v>0.25</v>
      </c>
      <c r="EK85" s="63" t="e">
        <f ca="1">+DV85*DX85*$A$84*$A$84+DW85*DY85*$A$84*$A$84</f>
        <v>#NUM!</v>
      </c>
      <c r="EL85" s="3" t="str">
        <f>RTD("tos.rtd",,EL$83,"."&amp;$B$82&amp;$AS$82&amp;"C"&amp;$A85)</f>
        <v>159.92%</v>
      </c>
      <c r="EM85" s="3" t="str">
        <f>RTD("tos.rtd",,EM$83,"."&amp;$B$82&amp;$AS$82&amp;"P"&amp;$A85)</f>
        <v>--</v>
      </c>
      <c r="EN85" s="3" t="str">
        <f>RTD("tos.rtd",,EN$83,"."&amp;$C$82&amp;$AU$82&amp;"C"&amp;$A85)</f>
        <v>159.92%</v>
      </c>
      <c r="EO85" s="3" t="str">
        <f>RTD("tos.rtd",,EO$83,"."&amp;$C$82&amp;$AU$82&amp;"P"&amp;$A85)</f>
        <v>231.23%</v>
      </c>
      <c r="EP85" s="3" t="str">
        <f>RTD("tos.rtd",,EP$83,"."&amp;$D$82&amp;$AW$82&amp;"C"&amp;$A85)</f>
        <v>25.90%</v>
      </c>
      <c r="EQ85" s="3" t="str">
        <f>RTD("tos.rtd",,EQ$83,"."&amp;$D$82&amp;$AW$82&amp;"P"&amp;$A85)</f>
        <v>--</v>
      </c>
      <c r="ES85" s="63" t="str">
        <f t="shared" ref="ES85:ES130" si="489">IFERROR(
    A85 &amp; "," &amp; TEXT(IF(ISNUMBER(DV85+DW85), DV85+DW85, 0), "00.00"),    "Error"
)</f>
        <v>5870,1586.00</v>
      </c>
      <c r="ET85" s="63" t="str">
        <f t="shared" ref="ET85:ET130" ca="1" si="490">IF(ISERROR(
    A85 &amp; "," &amp; TEXT(
        IF($E$1="GEX-VOL", IF(ISNUMBER(BX85+BZ85+CB85), (BX85+BZ85+CB85)/1000, 0),
           IF($E$1="GEX-OI", IF(ISNUMBER(BQ85+BS85+BU85), (BQ85+BS85+BU85)/1000, 0),
               IF($E$1="DEX",IF(ISNUMBER(CK85+CM85+CO85), (CK85+CM85+CO85)/1000, 0),
                  IF($E$1="VOLPRES",IF(ISNUMBER(DJ85+DK85), (DJ85+DK85), 0),
                     IF(ISNUMBER(EK85), (EK85), 0)
        )))),
    "00.00")
), "Error",
A85 &amp; "," &amp; TEXT(
        IF($E$1="GEX-VOL", IF(ISNUMBER(BX85+BZ85+CB85), (BX85+BZ85+CB85)/1000, 0),
           IF($E$1="GEX-OI", IF(ISNUMBER(BQ85+BS85+BU85), (BQ85+BS85+BU85)/1000, 0),
               IF($E$1="DEX", IF(ISNUMBER(CK85+CM85+CO85), (CK85+CM85+CO85)/1000, 0),
                  IF($E$1="VOLPRES",IF(ISNUMBER(DJ85+DK85), (DJ85+DK85), 0),
                    IF(ISNUMBER(EK85), (EK85), 0)
        )))),
    "00.00")
)</f>
        <v>5870,00.00</v>
      </c>
      <c r="EU85" s="67">
        <v>561.15</v>
      </c>
      <c r="EV85" s="67" t="s">
        <v>699</v>
      </c>
      <c r="EW85" s="67">
        <v>483.66</v>
      </c>
      <c r="EX85" s="67" t="s">
        <v>700</v>
      </c>
      <c r="EY85" s="67">
        <v>5631.28</v>
      </c>
      <c r="EZ85" s="67" t="s">
        <v>701</v>
      </c>
      <c r="FA85" s="67">
        <v>19867.973000000002</v>
      </c>
      <c r="FB85" s="67" t="s">
        <v>702</v>
      </c>
      <c r="FC85" s="67" t="s">
        <v>703</v>
      </c>
      <c r="FD85" s="67" t="s">
        <v>704</v>
      </c>
      <c r="FE85" s="68" t="s">
        <v>705</v>
      </c>
      <c r="FF85" s="68" t="s">
        <v>706</v>
      </c>
    </row>
    <row r="86" spans="1:162" s="63" customFormat="1" ht="12" customHeight="1" thickBot="1" x14ac:dyDescent="0.25">
      <c r="A86" s="2">
        <f>+A85-$A$81</f>
        <v>5860</v>
      </c>
      <c r="B86" s="3">
        <f t="shared" si="451"/>
        <v>187</v>
      </c>
      <c r="C86" s="3">
        <f t="shared" si="452"/>
        <v>436</v>
      </c>
      <c r="D86" s="3">
        <f t="shared" si="453"/>
        <v>1164</v>
      </c>
      <c r="E86" s="3">
        <f t="shared" si="454"/>
        <v>1787</v>
      </c>
      <c r="F86" s="4">
        <f>+$F$84/$A$84*A86</f>
        <v>5949.6511428626955</v>
      </c>
      <c r="G86" s="4">
        <f t="shared" ref="G86:G98" si="491">+$G$84/$A$84*A86</f>
        <v>591.29996766733041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>
        <v>191</v>
      </c>
      <c r="AN86" s="20">
        <v>-2</v>
      </c>
      <c r="AO86" s="20">
        <v>5860</v>
      </c>
      <c r="AP86" s="20">
        <v>1319</v>
      </c>
      <c r="AQ86" s="20">
        <v>-2</v>
      </c>
      <c r="AR86" s="20"/>
      <c r="AS86" s="54">
        <f>IF(RTD("tos.rtd",,AS$83,"."&amp;$B$82&amp;$AS$82&amp;"C"&amp;$A86)="N/A",0,RTD("tos.rtd",,AS$83,"."&amp;$B$82&amp;$AS$82&amp;"C"&amp;$A86))</f>
        <v>183</v>
      </c>
      <c r="AT86" s="3">
        <f>-IF(RTD("tos.rtd",,AT$83,"."&amp;$B$82&amp;$AS$82&amp;"P"&amp;$A86)="N/A",0,RTD("tos.rtd",,AT$83,"."&amp;$B$82&amp;$AS$82&amp;"P"&amp;$A86))</f>
        <v>-4</v>
      </c>
      <c r="AU86" s="54">
        <f>IF(RTD("tos.rtd",,AU$83,"."&amp;$C$82&amp;$AU$82&amp;"C"&amp;$A86)="N/A",0,RTD("tos.rtd",,AU$83,"."&amp;$C$82&amp;$AU$82&amp;"C"&amp;$A86))</f>
        <v>434</v>
      </c>
      <c r="AV86" s="3">
        <f>-IF(RTD("tos.rtd",,AV$83,"."&amp;$C$82&amp;$AU$82&amp;"P"&amp;$A86)="N/A",0,RTD("tos.rtd",,AV$83,"."&amp;$C$82&amp;$AU$82&amp;"P"&amp;$A86))</f>
        <v>-2</v>
      </c>
      <c r="AW86" s="54">
        <f>IF(RTD("tos.rtd",,AW$83,"."&amp;$D$82&amp;$AW$82&amp;"C"&amp;$A86)="N/A",0,RTD("tos.rtd",,AW$83,"."&amp;$D$82&amp;$AW$82&amp;"C"&amp;$A86))</f>
        <v>921</v>
      </c>
      <c r="AX86" s="3">
        <f>-IF(RTD("tos.rtd",,AX$83,"."&amp;$D$82&amp;$AW$82&amp;"P"&amp;$A86)="N/A",0,RTD("tos.rtd",,AX$83,"."&amp;$D$82&amp;$AW$82&amp;"P"&amp;$A86))</f>
        <v>-243</v>
      </c>
      <c r="AY86" s="79">
        <f t="shared" ref="AY86:AY98" si="492">SUM(AS86:AX86)</f>
        <v>1289</v>
      </c>
      <c r="AZ86" s="8">
        <f t="shared" si="455"/>
        <v>5860</v>
      </c>
      <c r="BA86" s="54">
        <f>IF(RTD("tos.rtd",,BA$83,"."&amp;$B$82&amp;$AS$82&amp;"C"&amp;$A86)="N/A",0,RTD("tos.rtd",,BA$83,"."&amp;$B$82&amp;$AS$82&amp;"C"&amp;$A86))</f>
        <v>0</v>
      </c>
      <c r="BB86" s="3">
        <f>-IF(RTD("tos.rtd",,BB$83,"."&amp;$B$82&amp;$AS$82&amp;"P"&amp;$A86)="N/A",0,RTD("tos.rtd",,BB$83,"."&amp;$B$82&amp;$AS$82&amp;"P"&amp;$A86))</f>
        <v>0</v>
      </c>
      <c r="BC86" s="54">
        <f>IF(RTD("tos.rtd",,BC$83,"."&amp;$C$82&amp;$AU$82&amp;"C"&amp;$A86)="N/A",0,RTD("tos.rtd",,BC$83,"."&amp;$C$82&amp;$AU$82&amp;"C"&amp;$A86))</f>
        <v>0</v>
      </c>
      <c r="BD86" s="3">
        <f>-IF(RTD("tos.rtd",,BD$83,"."&amp;$C$82&amp;$AU$82&amp;"P"&amp;$A86)="N/A",0,RTD("tos.rtd",,BD$83,"."&amp;$C$82&amp;$AU$82&amp;"P"&amp;$A86))</f>
        <v>0</v>
      </c>
      <c r="BE86" s="54">
        <f>IF(RTD("tos.rtd",,BE$83,"."&amp;$D$82&amp;$AW$82&amp;"C"&amp;$A86)="N/A",0,RTD("tos.rtd",,BE$83,"."&amp;$D$82&amp;$AW$82&amp;"C"&amp;$A86))</f>
        <v>0</v>
      </c>
      <c r="BF86" s="3">
        <f>-IF(RTD("tos.rtd",,BF$83,"."&amp;$D$82&amp;$AW$82&amp;"P"&amp;$A86)="N/A",0,RTD("tos.rtd",,BF$83,"."&amp;$D$82&amp;$AW$82&amp;"P"&amp;$A86))</f>
        <v>0</v>
      </c>
      <c r="BG86" s="3">
        <f ca="1">+Hoja2!Y87</f>
        <v>0</v>
      </c>
      <c r="BH86" s="55">
        <f t="shared" ref="BH86:BH130" ca="1" si="493">SUM(BA86:BG86)</f>
        <v>0</v>
      </c>
      <c r="BI86" s="32"/>
      <c r="BJ86" s="3" t="e">
        <f ca="1">IF($BP$1=1,DX86,IF(RTD("tos.rtd",,BJ$83,"."&amp;$B$82&amp;$AS$82&amp;"C"&amp;$A86)="N/A",0,RTD("tos.rtd",,BJ$83,"."&amp;$B$82&amp;$AS$82&amp;"C"&amp;$A86)))</f>
        <v>#NUM!</v>
      </c>
      <c r="BK86" s="3" t="e">
        <f ca="1">IF($BP$1=1,DY86,-IF(RTD("tos.rtd",,BK$83,"."&amp;$B$82&amp;$AS$82&amp;"P"&amp;$A86)="N/A",0,RTD("tos.rtd",,BK$83,"."&amp;$B$82&amp;$AS$82&amp;"P"&amp;$A86)))</f>
        <v>#NUM!</v>
      </c>
      <c r="BL86" s="3" t="e">
        <f ca="1">IF($BP$1=1,DZ86,IF(RTD("tos.rtd",,BL$83,"."&amp;$C$82&amp;$AU$82&amp;"C"&amp;$A86)="N/A",0,RTD("tos.rtd",,BL$83,"."&amp;$C$82&amp;$AU$82&amp;"C"&amp;$A86)))</f>
        <v>#NUM!</v>
      </c>
      <c r="BM86" s="3" t="e">
        <f ca="1">IF($BP$1=1,EA86,-IF(RTD("tos.rtd",,BM$83,"."&amp;$C$82&amp;$AU$82&amp;"P"&amp;$A86)="N/A",0,RTD("tos.rtd",,BM$83,"."&amp;$C$82&amp;$AU$82&amp;"P"&amp;$A86)))</f>
        <v>#NUM!</v>
      </c>
      <c r="BN86" s="3" t="e">
        <f ca="1">IF($BP$1=1,EB86,IF(RTD("tos.rtd",,BN$83,"."&amp;$D$82&amp;$AW$82&amp;"C"&amp;$A86)="N/A",0,RTD("tos.rtd",,BN$83,"."&amp;$D$82&amp;$AW$82&amp;"C"&amp;$A86)))</f>
        <v>#NUM!</v>
      </c>
      <c r="BO86" s="3" t="e">
        <f ca="1">IF($BP$1=1,EC86,-IF(RTD("tos.rtd",,BO$83,"."&amp;$D$82&amp;$AW$82&amp;"P"&amp;$A86)="N/A",0,RTD("tos.rtd",,BO$83,"."&amp;$D$82&amp;$AW$82&amp;"P"&amp;$A86)))</f>
        <v>#NUM!</v>
      </c>
      <c r="BQ86" s="3" t="e">
        <f t="shared" ca="1" si="456"/>
        <v>#NUM!</v>
      </c>
      <c r="BR86" s="3" t="e">
        <f t="shared" ref="BR86:BV130" ca="1" si="494">IF(AND(BQ86&lt;0,BQ85&gt;0), "Cruce -", IF(AND(BQ86&gt;0,BQ85&lt;0),"Cruce +", ""))</f>
        <v>#NUM!</v>
      </c>
      <c r="BS86" s="3" t="e">
        <f t="shared" ca="1" si="457"/>
        <v>#NUM!</v>
      </c>
      <c r="BT86" s="3" t="e">
        <f t="shared" ca="1" si="494"/>
        <v>#NUM!</v>
      </c>
      <c r="BU86" s="3" t="e">
        <f t="shared" ca="1" si="458"/>
        <v>#NUM!</v>
      </c>
      <c r="BV86" s="3" t="e">
        <f t="shared" ca="1" si="494"/>
        <v>#NUM!</v>
      </c>
      <c r="BX86" s="3" t="e">
        <f t="shared" ca="1" si="459"/>
        <v>#NUM!</v>
      </c>
      <c r="BY86" s="3" t="e">
        <f ca="1">IF(AND(BX86&lt;0,BX85&gt;0), "Cruce -", IF(AND(BX86&gt;0,BX85&lt;0),"Cruce +", ""))</f>
        <v>#NUM!</v>
      </c>
      <c r="BZ86" s="3" t="e">
        <f t="shared" ca="1" si="460"/>
        <v>#NUM!</v>
      </c>
      <c r="CA86" s="3" t="e">
        <f ca="1">IF(AND(BZ86&lt;0,BZ85&gt;0), "Cruce -", IF(AND(BZ86&gt;0,BZ85&lt;0),"Cruce +", ""))</f>
        <v>#NUM!</v>
      </c>
      <c r="CB86" s="3" t="e">
        <f t="shared" ca="1" si="461"/>
        <v>#NUM!</v>
      </c>
      <c r="CC86" s="3" t="e">
        <f ca="1">IF(AND(CB86&lt;0,CB85&gt;0), "Cruce -", IF(AND(CB86&gt;0,CB85&lt;0),"Cruce +", ""))</f>
        <v>#NUM!</v>
      </c>
      <c r="CD86" s="3">
        <f>IF(RTD("tos.rtd",,CD$83,"."&amp;$B$82&amp;$AS$82&amp;"C"&amp;$A86)="N/A",0,RTD("tos.rtd",,CD$83,"."&amp;$B$82&amp;$AS$82&amp;"C"&amp;$A86))</f>
        <v>0</v>
      </c>
      <c r="CE86" s="3">
        <f>-IF(RTD("tos.rtd",,CE$83,"."&amp;$B$82&amp;$AS$82&amp;"P"&amp;$A86)="N/A",0,RTD("tos.rtd",,CE$83,"."&amp;$B$82&amp;$AS$82&amp;"P"&amp;$A86))</f>
        <v>1</v>
      </c>
      <c r="CF86" s="3">
        <f>IF(RTD("tos.rtd",,CF$83,"."&amp;$C$82&amp;$AU$82&amp;"C"&amp;$A86)="N/A",0,RTD("tos.rtd",,CF$83,"."&amp;$C$82&amp;$AU$82&amp;"C"&amp;$A86))</f>
        <v>0</v>
      </c>
      <c r="CG86" s="3">
        <f>-IF(RTD("tos.rtd",,CG$83,"."&amp;$C$82&amp;$AU$82&amp;"P"&amp;$A86)="N/A",0,RTD("tos.rtd",,CG$83,"."&amp;$C$82&amp;$AU$82&amp;"P"&amp;$A86))</f>
        <v>0.98</v>
      </c>
      <c r="CH86" s="3">
        <f>IF(RTD("tos.rtd",,CH$83,"."&amp;$D$82&amp;$AW$82&amp;"C"&amp;$A86)="N/A",0,RTD("tos.rtd",,CH$83,"."&amp;$D$82&amp;$AW$82&amp;"C"&amp;$A86))</f>
        <v>0.13</v>
      </c>
      <c r="CI86" s="3">
        <f>-IF(RTD("tos.rtd",,CI$83,"."&amp;$D$82&amp;$AW$82&amp;"P"&amp;$A86)="N/A",0,RTD("tos.rtd",,CI$83,"."&amp;$D$82&amp;$AW$82&amp;"P"&amp;$A86))</f>
        <v>1</v>
      </c>
      <c r="CK86" s="3">
        <f t="shared" ref="CK86:CK130" si="495">+AS86*CD86*100+AT86*CE86*100</f>
        <v>-400</v>
      </c>
      <c r="CL86" s="3"/>
      <c r="CM86" s="3">
        <f t="shared" ref="CM86:CM130" si="496">+AU86*CF86*100+AV86*CG86*100</f>
        <v>-196</v>
      </c>
      <c r="CN86" s="3"/>
      <c r="CO86" s="3">
        <f t="shared" ref="CO86:CO130" si="497">+AW86*CH86*100+AX86*CI86*100</f>
        <v>-12327</v>
      </c>
      <c r="CP86" s="3">
        <f t="shared" si="462"/>
        <v>-12923</v>
      </c>
      <c r="CQ86" s="3">
        <f t="shared" si="463"/>
        <v>0</v>
      </c>
      <c r="CR86" s="3"/>
      <c r="CS86" s="3">
        <f t="shared" si="464"/>
        <v>0</v>
      </c>
      <c r="CT86" s="3"/>
      <c r="CU86" s="3">
        <f t="shared" si="465"/>
        <v>0</v>
      </c>
      <c r="CV86" s="3"/>
      <c r="CW86" s="3" t="e">
        <f t="shared" ref="CW86:CW98" ca="1" si="498">+BQ86+BS86+BU86</f>
        <v>#NUM!</v>
      </c>
      <c r="CY86" s="3" t="e">
        <f t="shared" ca="1" si="467"/>
        <v>#NUM!</v>
      </c>
      <c r="CZ86" s="70" t="e">
        <f ca="1">IF(AND(CY86&lt;0,CY85&gt;0), "Cruce -", IF(AND(CY86&gt;0,CY85&lt;0),"Cruce +", ""))</f>
        <v>#NUM!</v>
      </c>
      <c r="DA86" s="3">
        <f>IF(RTD("tos.rtd",,DA$83,"."&amp;$B$82&amp;$AS$82&amp;"C"&amp;$A86)="N/A",0,RTD("tos.rtd",,DA$83,"."&amp;$B$82&amp;$AS$82&amp;"C"&amp;$A86))</f>
        <v>0.03</v>
      </c>
      <c r="DB86" s="3">
        <f>IF(RTD("tos.rtd",,DB$83,"."&amp;$B$82&amp;$AS$82&amp;"P"&amp;$A86)="N/A",0,RTD("tos.rtd",,DB$83,"."&amp;$B$82&amp;$AS$82&amp;"P"&amp;$A86))</f>
        <v>141.72</v>
      </c>
      <c r="DC86" s="3">
        <f>IF(RTD("tos.rtd",,DC$83,"."&amp;$B$82&amp;$AS$82&amp;"C"&amp;$A86)="N/A",0,RTD("tos.rtd",,DC$83,"."&amp;$B$82&amp;$AS$82&amp;"C"&amp;$A86))</f>
        <v>0.05</v>
      </c>
      <c r="DD86" s="3">
        <f>IF(RTD("tos.rtd",,DD$83,"."&amp;$B$82&amp;$AS$82&amp;"P"&amp;$A86)="N/A",0,RTD("tos.rtd",,DD$83,"."&amp;$B$82&amp;$AS$82&amp;"P"&amp;$A86))</f>
        <v>202.5</v>
      </c>
      <c r="DE86" s="3">
        <f>IF(RTD("tos.rtd",,DE$83,"."&amp;$B$82&amp;$AS$82&amp;"C"&amp;$A86)="N/A",0,RTD("tos.rtd",,DE$83,"."&amp;$B$82&amp;$AS$82&amp;"C"&amp;$A86))</f>
        <v>0</v>
      </c>
      <c r="DF86" s="3">
        <f>IF(RTD("tos.rtd",,DF$83,"."&amp;$B$82&amp;$AS$82&amp;"P"&amp;$A86)="N/A",0,RTD("tos.rtd",,DF$83,"."&amp;$B$82&amp;$AS$82&amp;"P"&amp;$A86))</f>
        <v>190.4</v>
      </c>
      <c r="DG86" s="86">
        <f t="shared" ref="DG86:DG130" si="499">+$A86-$A$84</f>
        <v>200.09000000000015</v>
      </c>
      <c r="DH86" s="3">
        <f t="shared" si="468"/>
        <v>-791.4</v>
      </c>
      <c r="DI86" s="3">
        <f t="shared" si="469"/>
        <v>-8.0462809917355429</v>
      </c>
      <c r="DJ86" s="3">
        <f t="shared" si="470"/>
        <v>-1319</v>
      </c>
      <c r="DK86" s="3">
        <f t="shared" si="471"/>
        <v>-2</v>
      </c>
      <c r="DL86" s="3">
        <f t="shared" si="472"/>
        <v>-799.44628099173553</v>
      </c>
      <c r="DM86" s="3">
        <f t="shared" si="473"/>
        <v>-1321</v>
      </c>
      <c r="DN86" s="64" t="str">
        <f t="shared" si="474"/>
        <v>UNKNOWN</v>
      </c>
      <c r="DO86" s="64" t="str">
        <f t="shared" si="475"/>
        <v>UNKNOWN</v>
      </c>
      <c r="DP86" s="3">
        <f t="shared" si="476"/>
        <v>-1164.0609421487611</v>
      </c>
      <c r="DQ86" s="3">
        <f t="shared" si="477"/>
        <v>-323.01</v>
      </c>
      <c r="DR86" s="3" t="e">
        <f t="shared" ca="1" si="478"/>
        <v>#NUM!</v>
      </c>
      <c r="DS86" s="3">
        <f t="shared" si="479"/>
        <v>-2</v>
      </c>
      <c r="DT86" s="3">
        <f t="shared" ref="DT86:DT130" si="500">BA86-VLOOKUP(AZ86,$AO$85:$AQ$130,2,FALSE)</f>
        <v>-1319</v>
      </c>
      <c r="DU86" s="3">
        <f t="shared" ref="DU86:DU130" si="501">BB86-VLOOKUP(AZ86,$AO$85:$AQ$130,3,FALSE)</f>
        <v>2</v>
      </c>
      <c r="DV86" s="3">
        <f t="shared" ref="DV86:DV130" si="502">AM86+IF(DN86="BUY",DT86,IF(DN86="SELL",-DT86,0))</f>
        <v>191</v>
      </c>
      <c r="DW86" s="3">
        <f t="shared" ref="DW86:DW130" si="503">AN86+IF(DO86="BUY",DU86,IF(DO86="SELL",-DU86,0))</f>
        <v>-2</v>
      </c>
      <c r="DX86" s="3" t="e">
        <f ca="1">(EXP(-POWER((LN($A$84/$A86)+($EC$1+POWER($EE86,2)/2)*($EM$1/$DY$1))/($EE86*SQRT($EM$1/$DY$1)),2)/2)/SQRT(2*PI())/($A$84*$EE86*SQRT($EM$1/$DY$1)))</f>
        <v>#NUM!</v>
      </c>
      <c r="DY86" s="3" t="e">
        <f t="shared" ca="1" si="480"/>
        <v>#NUM!</v>
      </c>
      <c r="DZ86" s="3" t="e">
        <f t="shared" ref="DZ86:DZ130" ca="1" si="504">(EXP(-POWER((LN($A$84/$A86)+($EC$1+POWER($EG86,2)/2)*($EO$1/$DY$1))/($EG86*SQRT($EO$1/$DY$1)),2)/2)/SQRT(2*PI())/($A$84*$EG86*SQRT($EO$1/$DY$1)))</f>
        <v>#NUM!</v>
      </c>
      <c r="EA86" s="3" t="e">
        <f t="shared" ref="EA86:EA130" ca="1" si="505">-(EXP(-POWER((LN($A$84/$A86)+($EC$1+POWER($EH86,2)/2)*($EO$1/$DY$1))/($EH86*SQRT($EO$1/$DY$1)),2)/2)/SQRT(2*PI())/($A$84*$EH86*SQRT($EO$1/$DY$1)))</f>
        <v>#NUM!</v>
      </c>
      <c r="EB86" s="3" t="e">
        <f t="shared" ca="1" si="481"/>
        <v>#NUM!</v>
      </c>
      <c r="EC86" s="3" t="e">
        <f t="shared" ca="1" si="482"/>
        <v>#NUM!</v>
      </c>
      <c r="ED86" s="63">
        <f t="shared" ref="ED86:ED130" si="506">+DV86+DW86</f>
        <v>189</v>
      </c>
      <c r="EE86" s="59">
        <f t="shared" si="483"/>
        <v>1.5307999999999999</v>
      </c>
      <c r="EF86" s="59">
        <f t="shared" si="484"/>
        <v>0.25</v>
      </c>
      <c r="EG86" s="59">
        <f t="shared" si="485"/>
        <v>1.5307999999999999</v>
      </c>
      <c r="EH86" s="59">
        <f t="shared" si="486"/>
        <v>2.2202000000000002</v>
      </c>
      <c r="EI86" s="59">
        <f t="shared" si="487"/>
        <v>0.26240000000000002</v>
      </c>
      <c r="EJ86" s="59">
        <f t="shared" si="488"/>
        <v>0.25</v>
      </c>
      <c r="EK86" s="63" t="e">
        <f t="shared" ref="EK86:EK130" ca="1" si="507">+DV86*DX86*$A$84*$A$84+DW86*DY86*$A$84*$A$84</f>
        <v>#NUM!</v>
      </c>
      <c r="EL86" s="3" t="str">
        <f>RTD("tos.rtd",,EL$83,"."&amp;$B$82&amp;$AS$82&amp;"C"&amp;$A86)</f>
        <v>153.08%</v>
      </c>
      <c r="EM86" s="3" t="str">
        <f>RTD("tos.rtd",,EM$83,"."&amp;$B$82&amp;$AS$82&amp;"P"&amp;$A86)</f>
        <v>--</v>
      </c>
      <c r="EN86" s="3" t="str">
        <f>RTD("tos.rtd",,EN$83,"."&amp;$C$82&amp;$AU$82&amp;"C"&amp;$A86)</f>
        <v>153.08%</v>
      </c>
      <c r="EO86" s="3" t="str">
        <f>RTD("tos.rtd",,EO$83,"."&amp;$C$82&amp;$AU$82&amp;"P"&amp;$A86)</f>
        <v>222.02%</v>
      </c>
      <c r="EP86" s="3" t="str">
        <f>RTD("tos.rtd",,EP$83,"."&amp;$D$82&amp;$AW$82&amp;"C"&amp;$A86)</f>
        <v>26.24%</v>
      </c>
      <c r="EQ86" s="3" t="str">
        <f>RTD("tos.rtd",,EQ$83,"."&amp;$D$82&amp;$AW$82&amp;"P"&amp;$A86)</f>
        <v>--</v>
      </c>
      <c r="ES86" s="63" t="str">
        <f t="shared" si="489"/>
        <v>5860,189.00</v>
      </c>
      <c r="ET86" s="63" t="str">
        <f t="shared" ca="1" si="490"/>
        <v>5860,00.00</v>
      </c>
      <c r="EU86" s="67">
        <v>561.15</v>
      </c>
      <c r="EV86" s="67" t="s">
        <v>707</v>
      </c>
      <c r="EW86" s="67">
        <v>483.58</v>
      </c>
      <c r="EX86" s="67" t="s">
        <v>708</v>
      </c>
      <c r="EY86" s="67">
        <v>5631.28</v>
      </c>
      <c r="EZ86" s="67" t="s">
        <v>709</v>
      </c>
      <c r="FA86" s="67">
        <v>19867.973000000002</v>
      </c>
      <c r="FB86" s="67" t="s">
        <v>710</v>
      </c>
      <c r="FC86" s="67" t="s">
        <v>711</v>
      </c>
      <c r="FD86" s="67" t="s">
        <v>712</v>
      </c>
      <c r="FE86" s="68" t="s">
        <v>713</v>
      </c>
      <c r="FF86" s="68" t="s">
        <v>714</v>
      </c>
    </row>
    <row r="87" spans="1:162" s="63" customFormat="1" ht="12" customHeight="1" thickBot="1" x14ac:dyDescent="0.25">
      <c r="A87" s="2">
        <f t="shared" ref="A87:A130" si="508">+A86-$A$81</f>
        <v>5850</v>
      </c>
      <c r="B87" s="3">
        <f t="shared" si="451"/>
        <v>1236</v>
      </c>
      <c r="C87" s="3">
        <f t="shared" si="452"/>
        <v>8668</v>
      </c>
      <c r="D87" s="3">
        <f t="shared" si="453"/>
        <v>3715</v>
      </c>
      <c r="E87" s="3">
        <f t="shared" si="454"/>
        <v>13619</v>
      </c>
      <c r="F87" s="4">
        <f t="shared" ref="F87:F92" si="509">+$F$84/$A$84*A87</f>
        <v>5939.498154564295</v>
      </c>
      <c r="G87" s="4">
        <f t="shared" si="491"/>
        <v>590.29092335390499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>
        <v>-613</v>
      </c>
      <c r="AN87" s="20">
        <v>158</v>
      </c>
      <c r="AO87" s="20">
        <v>5850</v>
      </c>
      <c r="AP87" s="20">
        <v>4412</v>
      </c>
      <c r="AQ87" s="20">
        <v>-10</v>
      </c>
      <c r="AR87" s="20"/>
      <c r="AS87" s="54">
        <f>IF(RTD("tos.rtd",,AS$83,"."&amp;$B$82&amp;$AS$82&amp;"C"&amp;$A87)="N/A",0,RTD("tos.rtd",,AS$83,"."&amp;$B$82&amp;$AS$82&amp;"C"&amp;$A87))</f>
        <v>1220</v>
      </c>
      <c r="AT87" s="3">
        <f>-IF(RTD("tos.rtd",,AT$83,"."&amp;$B$82&amp;$AS$82&amp;"P"&amp;$A87)="N/A",0,RTD("tos.rtd",,AT$83,"."&amp;$B$82&amp;$AS$82&amp;"P"&amp;$A87))</f>
        <v>-16</v>
      </c>
      <c r="AU87" s="54">
        <f>IF(RTD("tos.rtd",,AU$83,"."&amp;$C$82&amp;$AU$82&amp;"C"&amp;$A87)="N/A",0,RTD("tos.rtd",,AU$83,"."&amp;$C$82&amp;$AU$82&amp;"C"&amp;$A87))</f>
        <v>8457</v>
      </c>
      <c r="AV87" s="3">
        <f>-IF(RTD("tos.rtd",,AV$83,"."&amp;$C$82&amp;$AU$82&amp;"P"&amp;$A87)="N/A",0,RTD("tos.rtd",,AV$83,"."&amp;$C$82&amp;$AU$82&amp;"P"&amp;$A87))</f>
        <v>-211</v>
      </c>
      <c r="AW87" s="54">
        <f>IF(RTD("tos.rtd",,AW$83,"."&amp;$D$82&amp;$AW$82&amp;"C"&amp;$A87)="N/A",0,RTD("tos.rtd",,AW$83,"."&amp;$D$82&amp;$AW$82&amp;"C"&amp;$A87))</f>
        <v>2908</v>
      </c>
      <c r="AX87" s="3">
        <f>-IF(RTD("tos.rtd",,AX$83,"."&amp;$D$82&amp;$AW$82&amp;"P"&amp;$A87)="N/A",0,RTD("tos.rtd",,AX$83,"."&amp;$D$82&amp;$AW$82&amp;"P"&amp;$A87))</f>
        <v>-807</v>
      </c>
      <c r="AY87" s="79">
        <f t="shared" si="492"/>
        <v>11551</v>
      </c>
      <c r="AZ87" s="8">
        <f t="shared" si="455"/>
        <v>5850</v>
      </c>
      <c r="BA87" s="54">
        <f>IF(RTD("tos.rtd",,BA$83,"."&amp;$B$82&amp;$AS$82&amp;"C"&amp;$A87)="N/A",0,RTD("tos.rtd",,BA$83,"."&amp;$B$82&amp;$AS$82&amp;"C"&amp;$A87))</f>
        <v>0</v>
      </c>
      <c r="BB87" s="3">
        <f>-IF(RTD("tos.rtd",,BB$83,"."&amp;$B$82&amp;$AS$82&amp;"P"&amp;$A87)="N/A",0,RTD("tos.rtd",,BB$83,"."&amp;$B$82&amp;$AS$82&amp;"P"&amp;$A87))</f>
        <v>0</v>
      </c>
      <c r="BC87" s="54">
        <f>IF(RTD("tos.rtd",,BC$83,"."&amp;$C$82&amp;$AU$82&amp;"C"&amp;$A87)="N/A",0,RTD("tos.rtd",,BC$83,"."&amp;$C$82&amp;$AU$82&amp;"C"&amp;$A87))</f>
        <v>0</v>
      </c>
      <c r="BD87" s="3">
        <f>-IF(RTD("tos.rtd",,BD$83,"."&amp;$C$82&amp;$AU$82&amp;"P"&amp;$A87)="N/A",0,RTD("tos.rtd",,BD$83,"."&amp;$C$82&amp;$AU$82&amp;"P"&amp;$A87))</f>
        <v>0</v>
      </c>
      <c r="BE87" s="54">
        <f>IF(RTD("tos.rtd",,BE$83,"."&amp;$D$82&amp;$AW$82&amp;"C"&amp;$A87)="N/A",0,RTD("tos.rtd",,BE$83,"."&amp;$D$82&amp;$AW$82&amp;"C"&amp;$A87))</f>
        <v>0</v>
      </c>
      <c r="BF87" s="3">
        <f>-IF(RTD("tos.rtd",,BF$83,"."&amp;$D$82&amp;$AW$82&amp;"P"&amp;$A87)="N/A",0,RTD("tos.rtd",,BF$83,"."&amp;$D$82&amp;$AW$82&amp;"P"&amp;$A87))</f>
        <v>0</v>
      </c>
      <c r="BG87" s="3">
        <f ca="1">+Hoja2!Y88</f>
        <v>5</v>
      </c>
      <c r="BH87" s="55">
        <f t="shared" ca="1" si="493"/>
        <v>5</v>
      </c>
      <c r="BI87" s="32" t="str">
        <f ca="1">IF(AND(BH87&lt;0,BH86&gt;0), "Cruce -", IF(AND(BH87&gt;0,BH86&lt;0),"Cruce +", ""))</f>
        <v/>
      </c>
      <c r="BJ87" s="3" t="e">
        <f ca="1">IF($BP$1=1,DX87,IF(RTD("tos.rtd",,BJ$83,"."&amp;$B$82&amp;$AS$82&amp;"C"&amp;$A87)="N/A",0,RTD("tos.rtd",,BJ$83,"."&amp;$B$82&amp;$AS$82&amp;"C"&amp;$A87)))</f>
        <v>#NUM!</v>
      </c>
      <c r="BK87" s="3" t="e">
        <f ca="1">IF($BP$1=1,DY87,-IF(RTD("tos.rtd",,BK$83,"."&amp;$B$82&amp;$AS$82&amp;"P"&amp;$A87)="N/A",0,RTD("tos.rtd",,BK$83,"."&amp;$B$82&amp;$AS$82&amp;"P"&amp;$A87)))</f>
        <v>#NUM!</v>
      </c>
      <c r="BL87" s="3" t="e">
        <f ca="1">IF($BP$1=1,DZ87,IF(RTD("tos.rtd",,BL$83,"."&amp;$C$82&amp;$AU$82&amp;"C"&amp;$A87)="N/A",0,RTD("tos.rtd",,BL$83,"."&amp;$C$82&amp;$AU$82&amp;"C"&amp;$A87)))</f>
        <v>#NUM!</v>
      </c>
      <c r="BM87" s="3" t="e">
        <f ca="1">IF($BP$1=1,EA87,-IF(RTD("tos.rtd",,BM$83,"."&amp;$C$82&amp;$AU$82&amp;"P"&amp;$A87)="N/A",0,RTD("tos.rtd",,BM$83,"."&amp;$C$82&amp;$AU$82&amp;"P"&amp;$A87)))</f>
        <v>#NUM!</v>
      </c>
      <c r="BN87" s="3" t="e">
        <f ca="1">IF($BP$1=1,EB87,IF(RTD("tos.rtd",,BN$83,"."&amp;$D$82&amp;$AW$82&amp;"C"&amp;$A87)="N/A",0,RTD("tos.rtd",,BN$83,"."&amp;$D$82&amp;$AW$82&amp;"C"&amp;$A87)))</f>
        <v>#NUM!</v>
      </c>
      <c r="BO87" s="3" t="e">
        <f ca="1">IF($BP$1=1,EC87,-IF(RTD("tos.rtd",,BO$83,"."&amp;$D$82&amp;$AW$82&amp;"P"&amp;$A87)="N/A",0,RTD("tos.rtd",,BO$83,"."&amp;$D$82&amp;$AW$82&amp;"P"&amp;$A87)))</f>
        <v>#NUM!</v>
      </c>
      <c r="BQ87" s="3" t="e">
        <f t="shared" ca="1" si="456"/>
        <v>#NUM!</v>
      </c>
      <c r="BR87" s="3" t="e">
        <f t="shared" ca="1" si="494"/>
        <v>#NUM!</v>
      </c>
      <c r="BS87" s="3" t="e">
        <f t="shared" ca="1" si="457"/>
        <v>#NUM!</v>
      </c>
      <c r="BT87" s="3" t="e">
        <f t="shared" ca="1" si="494"/>
        <v>#NUM!</v>
      </c>
      <c r="BU87" s="3" t="e">
        <f t="shared" ca="1" si="458"/>
        <v>#NUM!</v>
      </c>
      <c r="BV87" s="3" t="e">
        <f t="shared" ca="1" si="494"/>
        <v>#NUM!</v>
      </c>
      <c r="BX87" s="3" t="e">
        <f t="shared" ca="1" si="459"/>
        <v>#NUM!</v>
      </c>
      <c r="BY87" s="3" t="e">
        <f t="shared" ref="BY87:CC130" ca="1" si="510">IF(AND(BX87&lt;0,BX86&gt;0), "Cruce -", IF(AND(BX87&gt;0,BX86&lt;0),"Cruce +", ""))</f>
        <v>#NUM!</v>
      </c>
      <c r="BZ87" s="3" t="e">
        <f t="shared" ca="1" si="460"/>
        <v>#NUM!</v>
      </c>
      <c r="CA87" s="3" t="e">
        <f t="shared" ca="1" si="510"/>
        <v>#NUM!</v>
      </c>
      <c r="CB87" s="3" t="e">
        <f t="shared" ca="1" si="461"/>
        <v>#NUM!</v>
      </c>
      <c r="CC87" s="3" t="e">
        <f t="shared" ca="1" si="510"/>
        <v>#NUM!</v>
      </c>
      <c r="CD87" s="3">
        <f>IF(RTD("tos.rtd",,CD$83,"."&amp;$B$82&amp;$AS$82&amp;"C"&amp;$A87)="N/A",0,RTD("tos.rtd",,CD$83,"."&amp;$B$82&amp;$AS$82&amp;"C"&amp;$A87))</f>
        <v>0</v>
      </c>
      <c r="CE87" s="3">
        <f>-IF(RTD("tos.rtd",,CE$83,"."&amp;$B$82&amp;$AS$82&amp;"P"&amp;$A87)="N/A",0,RTD("tos.rtd",,CE$83,"."&amp;$B$82&amp;$AS$82&amp;"P"&amp;$A87))</f>
        <v>1</v>
      </c>
      <c r="CF87" s="3">
        <f>IF(RTD("tos.rtd",,CF$83,"."&amp;$C$82&amp;$AU$82&amp;"C"&amp;$A87)="N/A",0,RTD("tos.rtd",,CF$83,"."&amp;$C$82&amp;$AU$82&amp;"C"&amp;$A87))</f>
        <v>0</v>
      </c>
      <c r="CG87" s="3">
        <f>-IF(RTD("tos.rtd",,CG$83,"."&amp;$C$82&amp;$AU$82&amp;"P"&amp;$A87)="N/A",0,RTD("tos.rtd",,CG$83,"."&amp;$C$82&amp;$AU$82&amp;"P"&amp;$A87))</f>
        <v>0.98</v>
      </c>
      <c r="CH87" s="3">
        <f>IF(RTD("tos.rtd",,CH$83,"."&amp;$D$82&amp;$AW$82&amp;"C"&amp;$A87)="N/A",0,RTD("tos.rtd",,CH$83,"."&amp;$D$82&amp;$AW$82&amp;"C"&amp;$A87))</f>
        <v>0.15</v>
      </c>
      <c r="CI87" s="3">
        <f>-IF(RTD("tos.rtd",,CI$83,"."&amp;$D$82&amp;$AW$82&amp;"P"&amp;$A87)="N/A",0,RTD("tos.rtd",,CI$83,"."&amp;$D$82&amp;$AW$82&amp;"P"&amp;$A87))</f>
        <v>1</v>
      </c>
      <c r="CK87" s="3">
        <f t="shared" si="495"/>
        <v>-1600</v>
      </c>
      <c r="CL87" s="3"/>
      <c r="CM87" s="3">
        <f t="shared" si="496"/>
        <v>-20678</v>
      </c>
      <c r="CN87" s="3"/>
      <c r="CO87" s="3">
        <f t="shared" si="497"/>
        <v>-37080</v>
      </c>
      <c r="CP87" s="3">
        <f t="shared" si="462"/>
        <v>-59358</v>
      </c>
      <c r="CQ87" s="3">
        <f t="shared" si="463"/>
        <v>0</v>
      </c>
      <c r="CR87" s="3"/>
      <c r="CS87" s="3">
        <f t="shared" si="464"/>
        <v>0</v>
      </c>
      <c r="CT87" s="3"/>
      <c r="CU87" s="3">
        <f t="shared" si="465"/>
        <v>0</v>
      </c>
      <c r="CV87" s="3"/>
      <c r="CW87" s="3" t="e">
        <f t="shared" ca="1" si="498"/>
        <v>#NUM!</v>
      </c>
      <c r="CY87" s="3" t="e">
        <f t="shared" ca="1" si="467"/>
        <v>#NUM!</v>
      </c>
      <c r="CZ87" s="70" t="e">
        <f t="shared" ref="CZ87:CZ130" ca="1" si="511">IF(AND(CY87&lt;0,CY86&gt;0), "Cruce -", IF(AND(CY87&gt;0,CY86&lt;0),"Cruce +", ""))</f>
        <v>#NUM!</v>
      </c>
      <c r="DA87" s="3">
        <f>IF(RTD("tos.rtd",,DA$83,"."&amp;$B$82&amp;$AS$82&amp;"C"&amp;$A87)="N/A",0,RTD("tos.rtd",,DA$83,"."&amp;$B$82&amp;$AS$82&amp;"C"&amp;$A87))</f>
        <v>0.03</v>
      </c>
      <c r="DB87" s="3">
        <f>IF(RTD("tos.rtd",,DB$83,"."&amp;$B$82&amp;$AS$82&amp;"P"&amp;$A87)="N/A",0,RTD("tos.rtd",,DB$83,"."&amp;$B$82&amp;$AS$82&amp;"P"&amp;$A87))</f>
        <v>184.89</v>
      </c>
      <c r="DC87" s="3">
        <f>IF(RTD("tos.rtd",,DC$83,"."&amp;$B$82&amp;$AS$82&amp;"C"&amp;$A87)="N/A",0,RTD("tos.rtd",,DC$83,"."&amp;$B$82&amp;$AS$82&amp;"C"&amp;$A87))</f>
        <v>0.05</v>
      </c>
      <c r="DD87" s="3">
        <f>IF(RTD("tos.rtd",,DD$83,"."&amp;$B$82&amp;$AS$82&amp;"P"&amp;$A87)="N/A",0,RTD("tos.rtd",,DD$83,"."&amp;$B$82&amp;$AS$82&amp;"P"&amp;$A87))</f>
        <v>192.5</v>
      </c>
      <c r="DE87" s="3">
        <f>IF(RTD("tos.rtd",,DE$83,"."&amp;$B$82&amp;$AS$82&amp;"C"&amp;$A87)="N/A",0,RTD("tos.rtd",,DE$83,"."&amp;$B$82&amp;$AS$82&amp;"C"&amp;$A87))</f>
        <v>0</v>
      </c>
      <c r="DF87" s="3">
        <f>IF(RTD("tos.rtd",,DF$83,"."&amp;$B$82&amp;$AS$82&amp;"P"&amp;$A87)="N/A",0,RTD("tos.rtd",,DF$83,"."&amp;$B$82&amp;$AS$82&amp;"P"&amp;$A87))</f>
        <v>180.4</v>
      </c>
      <c r="DG87" s="86">
        <f t="shared" si="499"/>
        <v>190.09000000000015</v>
      </c>
      <c r="DH87" s="3">
        <f t="shared" si="468"/>
        <v>-2647.2</v>
      </c>
      <c r="DI87" s="3">
        <f t="shared" si="469"/>
        <v>3.7107438016528782</v>
      </c>
      <c r="DJ87" s="3">
        <f t="shared" si="470"/>
        <v>-4412</v>
      </c>
      <c r="DK87" s="3">
        <f t="shared" si="471"/>
        <v>-10</v>
      </c>
      <c r="DL87" s="3">
        <f t="shared" si="472"/>
        <v>-2643.489256198347</v>
      </c>
      <c r="DM87" s="3">
        <f t="shared" si="473"/>
        <v>-4422</v>
      </c>
      <c r="DN87" s="64" t="str">
        <f t="shared" si="474"/>
        <v>UNKNOWN</v>
      </c>
      <c r="DO87" s="64" t="str">
        <f t="shared" si="475"/>
        <v>UNKNOWN</v>
      </c>
      <c r="DP87" s="3">
        <f t="shared" si="476"/>
        <v>606.66342148760054</v>
      </c>
      <c r="DQ87" s="3">
        <f t="shared" si="477"/>
        <v>-1981.2599999999998</v>
      </c>
      <c r="DR87" s="3" t="e">
        <f t="shared" ca="1" si="478"/>
        <v>#NUM!</v>
      </c>
      <c r="DS87" s="3">
        <f t="shared" si="479"/>
        <v>-10</v>
      </c>
      <c r="DT87" s="3">
        <f t="shared" si="500"/>
        <v>-4412</v>
      </c>
      <c r="DU87" s="3">
        <f t="shared" si="501"/>
        <v>10</v>
      </c>
      <c r="DV87" s="3">
        <f t="shared" si="502"/>
        <v>-613</v>
      </c>
      <c r="DW87" s="3">
        <f t="shared" si="503"/>
        <v>158</v>
      </c>
      <c r="DX87" s="3" t="e">
        <f t="shared" ref="DX87:DX130" ca="1" si="512">(EXP(-POWER((LN($A$84/$A87)+($EC$1+POWER($EE87,2)/2)*($EM$1/$DY$1))/($EE87*SQRT($EM$1/$DY$1)),2)/2)/SQRT(2*PI())/($A$84*$EE87*SQRT($EM$1/$DY$1)))</f>
        <v>#NUM!</v>
      </c>
      <c r="DY87" s="3" t="e">
        <f t="shared" ca="1" si="480"/>
        <v>#NUM!</v>
      </c>
      <c r="DZ87" s="3" t="e">
        <f t="shared" ca="1" si="504"/>
        <v>#NUM!</v>
      </c>
      <c r="EA87" s="3" t="e">
        <f t="shared" ca="1" si="505"/>
        <v>#NUM!</v>
      </c>
      <c r="EB87" s="3" t="e">
        <f t="shared" ca="1" si="481"/>
        <v>#NUM!</v>
      </c>
      <c r="EC87" s="3" t="e">
        <f t="shared" ca="1" si="482"/>
        <v>#NUM!</v>
      </c>
      <c r="ED87" s="63">
        <f t="shared" si="506"/>
        <v>-455</v>
      </c>
      <c r="EE87" s="59">
        <f t="shared" si="483"/>
        <v>1.4619</v>
      </c>
      <c r="EF87" s="59">
        <f t="shared" si="484"/>
        <v>0.25</v>
      </c>
      <c r="EG87" s="59">
        <f t="shared" si="485"/>
        <v>1.4619</v>
      </c>
      <c r="EH87" s="59">
        <f t="shared" si="486"/>
        <v>2.1507000000000001</v>
      </c>
      <c r="EI87" s="59">
        <f t="shared" si="487"/>
        <v>0.26600000000000001</v>
      </c>
      <c r="EJ87" s="59">
        <f t="shared" si="488"/>
        <v>0.25</v>
      </c>
      <c r="EK87" s="63" t="e">
        <f t="shared" ca="1" si="507"/>
        <v>#NUM!</v>
      </c>
      <c r="EL87" s="3" t="str">
        <f>RTD("tos.rtd",,EL$83,"."&amp;$B$82&amp;$AS$82&amp;"C"&amp;$A87)</f>
        <v>146.19%</v>
      </c>
      <c r="EM87" s="3" t="str">
        <f>RTD("tos.rtd",,EM$83,"."&amp;$B$82&amp;$AS$82&amp;"P"&amp;$A87)</f>
        <v>--</v>
      </c>
      <c r="EN87" s="3" t="str">
        <f>RTD("tos.rtd",,EN$83,"."&amp;$C$82&amp;$AU$82&amp;"C"&amp;$A87)</f>
        <v>146.19%</v>
      </c>
      <c r="EO87" s="3" t="str">
        <f>RTD("tos.rtd",,EO$83,"."&amp;$C$82&amp;$AU$82&amp;"P"&amp;$A87)</f>
        <v>215.07%</v>
      </c>
      <c r="EP87" s="3" t="str">
        <f>RTD("tos.rtd",,EP$83,"."&amp;$D$82&amp;$AW$82&amp;"C"&amp;$A87)</f>
        <v>26.60%</v>
      </c>
      <c r="EQ87" s="3" t="str">
        <f>RTD("tos.rtd",,EQ$83,"."&amp;$D$82&amp;$AW$82&amp;"P"&amp;$A87)</f>
        <v>--</v>
      </c>
      <c r="ES87" s="63" t="str">
        <f t="shared" si="489"/>
        <v>5850,-455.00</v>
      </c>
      <c r="ET87" s="63" t="str">
        <f t="shared" ca="1" si="490"/>
        <v>5850,00.00</v>
      </c>
      <c r="EU87" s="67">
        <v>561.15</v>
      </c>
      <c r="EV87" s="67" t="s">
        <v>715</v>
      </c>
      <c r="EW87" s="67">
        <v>483.63</v>
      </c>
      <c r="EX87" s="67" t="s">
        <v>716</v>
      </c>
      <c r="EY87" s="67">
        <v>5631.28</v>
      </c>
      <c r="EZ87" s="67" t="s">
        <v>717</v>
      </c>
      <c r="FA87" s="67">
        <v>19867.973000000002</v>
      </c>
      <c r="FB87" s="67" t="s">
        <v>718</v>
      </c>
      <c r="FC87" s="67" t="s">
        <v>719</v>
      </c>
      <c r="FD87" s="67" t="s">
        <v>720</v>
      </c>
      <c r="FE87" s="68" t="s">
        <v>721</v>
      </c>
      <c r="FF87" s="68" t="s">
        <v>722</v>
      </c>
    </row>
    <row r="88" spans="1:162" s="63" customFormat="1" ht="12" customHeight="1" thickBot="1" x14ac:dyDescent="0.25">
      <c r="A88" s="2">
        <f t="shared" si="508"/>
        <v>5840</v>
      </c>
      <c r="B88" s="3">
        <f t="shared" si="451"/>
        <v>404</v>
      </c>
      <c r="C88" s="3">
        <f t="shared" si="452"/>
        <v>1485</v>
      </c>
      <c r="D88" s="3">
        <f t="shared" si="453"/>
        <v>495</v>
      </c>
      <c r="E88" s="3">
        <f t="shared" si="454"/>
        <v>2384</v>
      </c>
      <c r="F88" s="4">
        <f t="shared" si="509"/>
        <v>5929.3451662658945</v>
      </c>
      <c r="G88" s="4">
        <f t="shared" si="491"/>
        <v>589.28187904047945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>
        <v>-57</v>
      </c>
      <c r="AN88" s="20">
        <v>-16</v>
      </c>
      <c r="AO88" s="20">
        <v>5840</v>
      </c>
      <c r="AP88" s="20">
        <v>1694</v>
      </c>
      <c r="AQ88" s="20">
        <v>-29</v>
      </c>
      <c r="AR88" s="20"/>
      <c r="AS88" s="54">
        <f>IF(RTD("tos.rtd",,AS$83,"."&amp;$B$82&amp;$AS$82&amp;"C"&amp;$A88)="N/A",0,RTD("tos.rtd",,AS$83,"."&amp;$B$82&amp;$AS$82&amp;"C"&amp;$A88))</f>
        <v>399</v>
      </c>
      <c r="AT88" s="3">
        <f>-IF(RTD("tos.rtd",,AT$83,"."&amp;$B$82&amp;$AS$82&amp;"P"&amp;$A88)="N/A",0,RTD("tos.rtd",,AT$83,"."&amp;$B$82&amp;$AS$82&amp;"P"&amp;$A88))</f>
        <v>-5</v>
      </c>
      <c r="AU88" s="54">
        <f>IF(RTD("tos.rtd",,AU$83,"."&amp;$C$82&amp;$AU$82&amp;"C"&amp;$A88)="N/A",0,RTD("tos.rtd",,AU$83,"."&amp;$C$82&amp;$AU$82&amp;"C"&amp;$A88))</f>
        <v>1471</v>
      </c>
      <c r="AV88" s="3">
        <f>-IF(RTD("tos.rtd",,AV$83,"."&amp;$C$82&amp;$AU$82&amp;"P"&amp;$A88)="N/A",0,RTD("tos.rtd",,AV$83,"."&amp;$C$82&amp;$AU$82&amp;"P"&amp;$A88))</f>
        <v>-14</v>
      </c>
      <c r="AW88" s="54">
        <f>IF(RTD("tos.rtd",,AW$83,"."&amp;$D$82&amp;$AW$82&amp;"C"&amp;$A88)="N/A",0,RTD("tos.rtd",,AW$83,"."&amp;$D$82&amp;$AW$82&amp;"C"&amp;$A88))</f>
        <v>359</v>
      </c>
      <c r="AX88" s="3">
        <f>-IF(RTD("tos.rtd",,AX$83,"."&amp;$D$82&amp;$AW$82&amp;"P"&amp;$A88)="N/A",0,RTD("tos.rtd",,AX$83,"."&amp;$D$82&amp;$AW$82&amp;"P"&amp;$A88))</f>
        <v>-136</v>
      </c>
      <c r="AY88" s="79">
        <f t="shared" si="492"/>
        <v>2074</v>
      </c>
      <c r="AZ88" s="8">
        <f t="shared" si="455"/>
        <v>5840</v>
      </c>
      <c r="BA88" s="54">
        <f>IF(RTD("tos.rtd",,BA$83,"."&amp;$B$82&amp;$AS$82&amp;"C"&amp;$A88)="N/A",0,RTD("tos.rtd",,BA$83,"."&amp;$B$82&amp;$AS$82&amp;"C"&amp;$A88))</f>
        <v>0</v>
      </c>
      <c r="BB88" s="3">
        <f>-IF(RTD("tos.rtd",,BB$83,"."&amp;$B$82&amp;$AS$82&amp;"P"&amp;$A88)="N/A",0,RTD("tos.rtd",,BB$83,"."&amp;$B$82&amp;$AS$82&amp;"P"&amp;$A88))</f>
        <v>0</v>
      </c>
      <c r="BC88" s="54">
        <f>IF(RTD("tos.rtd",,BC$83,"."&amp;$C$82&amp;$AU$82&amp;"C"&amp;$A88)="N/A",0,RTD("tos.rtd",,BC$83,"."&amp;$C$82&amp;$AU$82&amp;"C"&amp;$A88))</f>
        <v>0</v>
      </c>
      <c r="BD88" s="3">
        <f>-IF(RTD("tos.rtd",,BD$83,"."&amp;$C$82&amp;$AU$82&amp;"P"&amp;$A88)="N/A",0,RTD("tos.rtd",,BD$83,"."&amp;$C$82&amp;$AU$82&amp;"P"&amp;$A88))</f>
        <v>0</v>
      </c>
      <c r="BE88" s="54">
        <f>IF(RTD("tos.rtd",,BE$83,"."&amp;$D$82&amp;$AW$82&amp;"C"&amp;$A88)="N/A",0,RTD("tos.rtd",,BE$83,"."&amp;$D$82&amp;$AW$82&amp;"C"&amp;$A88))</f>
        <v>12</v>
      </c>
      <c r="BF88" s="3">
        <f>-IF(RTD("tos.rtd",,BF$83,"."&amp;$D$82&amp;$AW$82&amp;"P"&amp;$A88)="N/A",0,RTD("tos.rtd",,BF$83,"."&amp;$D$82&amp;$AW$82&amp;"P"&amp;$A88))</f>
        <v>0</v>
      </c>
      <c r="BG88" s="3">
        <f ca="1">+Hoja2!Y89</f>
        <v>0</v>
      </c>
      <c r="BH88" s="55">
        <f t="shared" ca="1" si="493"/>
        <v>12</v>
      </c>
      <c r="BI88" s="32" t="str">
        <f t="shared" ref="BI88:BI130" ca="1" si="513">IF(AND(BH88&lt;0,BH87&gt;0), "Cruce -", IF(AND(BH88&gt;0,BH87&lt;0),"Cruce +", ""))</f>
        <v/>
      </c>
      <c r="BJ88" s="3" t="e">
        <f ca="1">IF($BP$1=1,DX88,IF(RTD("tos.rtd",,BJ$83,"."&amp;$B$82&amp;$AS$82&amp;"C"&amp;$A88)="N/A",0,RTD("tos.rtd",,BJ$83,"."&amp;$B$82&amp;$AS$82&amp;"C"&amp;$A88)))</f>
        <v>#NUM!</v>
      </c>
      <c r="BK88" s="3" t="e">
        <f ca="1">IF($BP$1=1,DY88,-IF(RTD("tos.rtd",,BK$83,"."&amp;$B$82&amp;$AS$82&amp;"P"&amp;$A88)="N/A",0,RTD("tos.rtd",,BK$83,"."&amp;$B$82&amp;$AS$82&amp;"P"&amp;$A88)))</f>
        <v>#NUM!</v>
      </c>
      <c r="BL88" s="3" t="e">
        <f ca="1">IF($BP$1=1,DZ88,IF(RTD("tos.rtd",,BL$83,"."&amp;$C$82&amp;$AU$82&amp;"C"&amp;$A88)="N/A",0,RTD("tos.rtd",,BL$83,"."&amp;$C$82&amp;$AU$82&amp;"C"&amp;$A88)))</f>
        <v>#NUM!</v>
      </c>
      <c r="BM88" s="3" t="e">
        <f ca="1">IF($BP$1=1,EA88,-IF(RTD("tos.rtd",,BM$83,"."&amp;$C$82&amp;$AU$82&amp;"P"&amp;$A88)="N/A",0,RTD("tos.rtd",,BM$83,"."&amp;$C$82&amp;$AU$82&amp;"P"&amp;$A88)))</f>
        <v>#NUM!</v>
      </c>
      <c r="BN88" s="3" t="e">
        <f ca="1">IF($BP$1=1,EB88,IF(RTD("tos.rtd",,BN$83,"."&amp;$D$82&amp;$AW$82&amp;"C"&amp;$A88)="N/A",0,RTD("tos.rtd",,BN$83,"."&amp;$D$82&amp;$AW$82&amp;"C"&amp;$A88)))</f>
        <v>#NUM!</v>
      </c>
      <c r="BO88" s="3" t="e">
        <f ca="1">IF($BP$1=1,EC88,-IF(RTD("tos.rtd",,BO$83,"."&amp;$D$82&amp;$AW$82&amp;"P"&amp;$A88)="N/A",0,RTD("tos.rtd",,BO$83,"."&amp;$D$82&amp;$AW$82&amp;"P"&amp;$A88)))</f>
        <v>#NUM!</v>
      </c>
      <c r="BQ88" s="3" t="e">
        <f t="shared" ca="1" si="456"/>
        <v>#NUM!</v>
      </c>
      <c r="BR88" s="3" t="e">
        <f t="shared" ca="1" si="494"/>
        <v>#NUM!</v>
      </c>
      <c r="BS88" s="3" t="e">
        <f t="shared" ca="1" si="457"/>
        <v>#NUM!</v>
      </c>
      <c r="BT88" s="3" t="e">
        <f t="shared" ca="1" si="494"/>
        <v>#NUM!</v>
      </c>
      <c r="BU88" s="3" t="e">
        <f t="shared" ca="1" si="458"/>
        <v>#NUM!</v>
      </c>
      <c r="BV88" s="3" t="e">
        <f t="shared" ca="1" si="494"/>
        <v>#NUM!</v>
      </c>
      <c r="BX88" s="3" t="e">
        <f t="shared" ca="1" si="459"/>
        <v>#NUM!</v>
      </c>
      <c r="BY88" s="3" t="e">
        <f t="shared" ca="1" si="510"/>
        <v>#NUM!</v>
      </c>
      <c r="BZ88" s="3" t="e">
        <f t="shared" ca="1" si="460"/>
        <v>#NUM!</v>
      </c>
      <c r="CA88" s="3" t="e">
        <f t="shared" ca="1" si="510"/>
        <v>#NUM!</v>
      </c>
      <c r="CB88" s="3" t="e">
        <f t="shared" ca="1" si="461"/>
        <v>#NUM!</v>
      </c>
      <c r="CC88" s="3" t="e">
        <f t="shared" ca="1" si="510"/>
        <v>#NUM!</v>
      </c>
      <c r="CD88" s="3">
        <f>IF(RTD("tos.rtd",,CD$83,"."&amp;$B$82&amp;$AS$82&amp;"C"&amp;$A88)="N/A",0,RTD("tos.rtd",,CD$83,"."&amp;$B$82&amp;$AS$82&amp;"C"&amp;$A88))</f>
        <v>0</v>
      </c>
      <c r="CE88" s="3">
        <f>-IF(RTD("tos.rtd",,CE$83,"."&amp;$B$82&amp;$AS$82&amp;"P"&amp;$A88)="N/A",0,RTD("tos.rtd",,CE$83,"."&amp;$B$82&amp;$AS$82&amp;"P"&amp;$A88))</f>
        <v>1</v>
      </c>
      <c r="CF88" s="3">
        <f>IF(RTD("tos.rtd",,CF$83,"."&amp;$C$82&amp;$AU$82&amp;"C"&amp;$A88)="N/A",0,RTD("tos.rtd",,CF$83,"."&amp;$C$82&amp;$AU$82&amp;"C"&amp;$A88))</f>
        <v>0</v>
      </c>
      <c r="CG88" s="3">
        <f>-IF(RTD("tos.rtd",,CG$83,"."&amp;$C$82&amp;$AU$82&amp;"P"&amp;$A88)="N/A",0,RTD("tos.rtd",,CG$83,"."&amp;$C$82&amp;$AU$82&amp;"P"&amp;$A88))</f>
        <v>0.98</v>
      </c>
      <c r="CH88" s="3">
        <f>IF(RTD("tos.rtd",,CH$83,"."&amp;$D$82&amp;$AW$82&amp;"C"&amp;$A88)="N/A",0,RTD("tos.rtd",,CH$83,"."&amp;$D$82&amp;$AW$82&amp;"C"&amp;$A88))</f>
        <v>0.16</v>
      </c>
      <c r="CI88" s="3">
        <f>-IF(RTD("tos.rtd",,CI$83,"."&amp;$D$82&amp;$AW$82&amp;"P"&amp;$A88)="N/A",0,RTD("tos.rtd",,CI$83,"."&amp;$D$82&amp;$AW$82&amp;"P"&amp;$A88))</f>
        <v>1</v>
      </c>
      <c r="CK88" s="3">
        <f t="shared" si="495"/>
        <v>-500</v>
      </c>
      <c r="CL88" s="3"/>
      <c r="CM88" s="3">
        <f t="shared" si="496"/>
        <v>-1372</v>
      </c>
      <c r="CN88" s="3"/>
      <c r="CO88" s="3">
        <f t="shared" si="497"/>
        <v>-7856</v>
      </c>
      <c r="CP88" s="3">
        <f t="shared" si="462"/>
        <v>-9728</v>
      </c>
      <c r="CQ88" s="3">
        <f t="shared" si="463"/>
        <v>0</v>
      </c>
      <c r="CR88" s="3"/>
      <c r="CS88" s="3">
        <f t="shared" si="464"/>
        <v>0</v>
      </c>
      <c r="CT88" s="3"/>
      <c r="CU88" s="3">
        <f t="shared" si="465"/>
        <v>12</v>
      </c>
      <c r="CV88" s="3"/>
      <c r="CW88" s="3" t="e">
        <f t="shared" ca="1" si="498"/>
        <v>#NUM!</v>
      </c>
      <c r="CY88" s="3" t="e">
        <f t="shared" ca="1" si="467"/>
        <v>#NUM!</v>
      </c>
      <c r="CZ88" s="70" t="e">
        <f t="shared" ca="1" si="511"/>
        <v>#NUM!</v>
      </c>
      <c r="DA88" s="3">
        <f>IF(RTD("tos.rtd",,DA$83,"."&amp;$B$82&amp;$AS$82&amp;"C"&amp;$A88)="N/A",0,RTD("tos.rtd",,DA$83,"."&amp;$B$82&amp;$AS$82&amp;"C"&amp;$A88))</f>
        <v>0.03</v>
      </c>
      <c r="DB88" s="3">
        <f>IF(RTD("tos.rtd",,DB$83,"."&amp;$B$82&amp;$AS$82&amp;"P"&amp;$A88)="N/A",0,RTD("tos.rtd",,DB$83,"."&amp;$B$82&amp;$AS$82&amp;"P"&amp;$A88))</f>
        <v>132.49</v>
      </c>
      <c r="DC88" s="3">
        <f>IF(RTD("tos.rtd",,DC$83,"."&amp;$B$82&amp;$AS$82&amp;"C"&amp;$A88)="N/A",0,RTD("tos.rtd",,DC$83,"."&amp;$B$82&amp;$AS$82&amp;"C"&amp;$A88))</f>
        <v>0.05</v>
      </c>
      <c r="DD88" s="3">
        <f>IF(RTD("tos.rtd",,DD$83,"."&amp;$B$82&amp;$AS$82&amp;"P"&amp;$A88)="N/A",0,RTD("tos.rtd",,DD$83,"."&amp;$B$82&amp;$AS$82&amp;"P"&amp;$A88))</f>
        <v>182.5</v>
      </c>
      <c r="DE88" s="3">
        <f>IF(RTD("tos.rtd",,DE$83,"."&amp;$B$82&amp;$AS$82&amp;"C"&amp;$A88)="N/A",0,RTD("tos.rtd",,DE$83,"."&amp;$B$82&amp;$AS$82&amp;"C"&amp;$A88))</f>
        <v>0</v>
      </c>
      <c r="DF88" s="3">
        <f>IF(RTD("tos.rtd",,DF$83,"."&amp;$B$82&amp;$AS$82&amp;"P"&amp;$A88)="N/A",0,RTD("tos.rtd",,DF$83,"."&amp;$B$82&amp;$AS$82&amp;"P"&amp;$A88))</f>
        <v>170.4</v>
      </c>
      <c r="DG88" s="86">
        <f t="shared" si="499"/>
        <v>180.09000000000015</v>
      </c>
      <c r="DH88" s="3">
        <f t="shared" si="468"/>
        <v>-1016.4</v>
      </c>
      <c r="DI88" s="3">
        <f t="shared" si="469"/>
        <v>-90.858677685950454</v>
      </c>
      <c r="DJ88" s="3">
        <f t="shared" si="470"/>
        <v>-1694</v>
      </c>
      <c r="DK88" s="3">
        <f t="shared" si="471"/>
        <v>-29</v>
      </c>
      <c r="DL88" s="3">
        <f t="shared" si="472"/>
        <v>-1107.2586776859505</v>
      </c>
      <c r="DM88" s="3">
        <f t="shared" si="473"/>
        <v>-1723</v>
      </c>
      <c r="DN88" s="64" t="str">
        <f t="shared" si="474"/>
        <v>UNKNOWN</v>
      </c>
      <c r="DO88" s="64" t="str">
        <f t="shared" si="475"/>
        <v>UNKNOWN</v>
      </c>
      <c r="DP88" s="3">
        <f t="shared" si="476"/>
        <v>-12068.358206611576</v>
      </c>
      <c r="DQ88" s="3">
        <f t="shared" si="477"/>
        <v>-3893.03</v>
      </c>
      <c r="DR88" s="3" t="e">
        <f t="shared" ca="1" si="478"/>
        <v>#NUM!</v>
      </c>
      <c r="DS88" s="3">
        <f t="shared" si="479"/>
        <v>-29</v>
      </c>
      <c r="DT88" s="3">
        <f t="shared" si="500"/>
        <v>-1694</v>
      </c>
      <c r="DU88" s="3">
        <f t="shared" si="501"/>
        <v>29</v>
      </c>
      <c r="DV88" s="3">
        <f t="shared" si="502"/>
        <v>-57</v>
      </c>
      <c r="DW88" s="3">
        <f t="shared" si="503"/>
        <v>-16</v>
      </c>
      <c r="DX88" s="3" t="e">
        <f t="shared" ca="1" si="512"/>
        <v>#NUM!</v>
      </c>
      <c r="DY88" s="3" t="e">
        <f t="shared" ca="1" si="480"/>
        <v>#NUM!</v>
      </c>
      <c r="DZ88" s="3" t="e">
        <f t="shared" ca="1" si="504"/>
        <v>#NUM!</v>
      </c>
      <c r="EA88" s="3" t="e">
        <f t="shared" ca="1" si="505"/>
        <v>#NUM!</v>
      </c>
      <c r="EB88" s="3" t="e">
        <f t="shared" ca="1" si="481"/>
        <v>#NUM!</v>
      </c>
      <c r="EC88" s="3" t="e">
        <f t="shared" ca="1" si="482"/>
        <v>#NUM!</v>
      </c>
      <c r="ED88" s="63">
        <f t="shared" si="506"/>
        <v>-73</v>
      </c>
      <c r="EE88" s="59">
        <f t="shared" si="483"/>
        <v>1.3927</v>
      </c>
      <c r="EF88" s="59">
        <f t="shared" si="484"/>
        <v>0.25</v>
      </c>
      <c r="EG88" s="59">
        <f t="shared" si="485"/>
        <v>1.3927</v>
      </c>
      <c r="EH88" s="59">
        <f t="shared" si="486"/>
        <v>2.0564</v>
      </c>
      <c r="EI88" s="59">
        <f t="shared" si="487"/>
        <v>0.26989999999999997</v>
      </c>
      <c r="EJ88" s="59">
        <f t="shared" si="488"/>
        <v>0.25</v>
      </c>
      <c r="EK88" s="63" t="e">
        <f t="shared" ca="1" si="507"/>
        <v>#NUM!</v>
      </c>
      <c r="EL88" s="3" t="str">
        <f>RTD("tos.rtd",,EL$83,"."&amp;$B$82&amp;$AS$82&amp;"C"&amp;$A88)</f>
        <v>139.27%</v>
      </c>
      <c r="EM88" s="3" t="str">
        <f>RTD("tos.rtd",,EM$83,"."&amp;$B$82&amp;$AS$82&amp;"P"&amp;$A88)</f>
        <v>--</v>
      </c>
      <c r="EN88" s="3" t="str">
        <f>RTD("tos.rtd",,EN$83,"."&amp;$C$82&amp;$AU$82&amp;"C"&amp;$A88)</f>
        <v>139.27%</v>
      </c>
      <c r="EO88" s="3" t="str">
        <f>RTD("tos.rtd",,EO$83,"."&amp;$C$82&amp;$AU$82&amp;"P"&amp;$A88)</f>
        <v>205.64%</v>
      </c>
      <c r="EP88" s="3" t="str">
        <f>RTD("tos.rtd",,EP$83,"."&amp;$D$82&amp;$AW$82&amp;"C"&amp;$A88)</f>
        <v>26.99%</v>
      </c>
      <c r="EQ88" s="3" t="str">
        <f>RTD("tos.rtd",,EQ$83,"."&amp;$D$82&amp;$AW$82&amp;"P"&amp;$A88)</f>
        <v>--</v>
      </c>
      <c r="ES88" s="63" t="str">
        <f t="shared" si="489"/>
        <v>5840,-73.00</v>
      </c>
      <c r="ET88" s="63" t="str">
        <f t="shared" ca="1" si="490"/>
        <v>5840,00.00</v>
      </c>
      <c r="EU88" s="67">
        <v>561.16999999999996</v>
      </c>
      <c r="EV88" s="67" t="s">
        <v>723</v>
      </c>
      <c r="EW88" s="67">
        <v>483.7</v>
      </c>
      <c r="EX88" s="67" t="s">
        <v>724</v>
      </c>
      <c r="EY88" s="67">
        <v>5631.28</v>
      </c>
      <c r="EZ88" s="67" t="s">
        <v>725</v>
      </c>
      <c r="FA88" s="67">
        <v>19867.973000000002</v>
      </c>
      <c r="FB88" s="67" t="s">
        <v>726</v>
      </c>
      <c r="FC88" s="67" t="s">
        <v>727</v>
      </c>
      <c r="FD88" s="67" t="s">
        <v>728</v>
      </c>
      <c r="FE88" s="68" t="s">
        <v>729</v>
      </c>
      <c r="FF88" s="68" t="s">
        <v>730</v>
      </c>
    </row>
    <row r="89" spans="1:162" s="63" customFormat="1" ht="12" customHeight="1" thickBot="1" x14ac:dyDescent="0.25">
      <c r="A89" s="2">
        <f t="shared" si="508"/>
        <v>5830</v>
      </c>
      <c r="B89" s="3">
        <f t="shared" si="451"/>
        <v>376</v>
      </c>
      <c r="C89" s="3">
        <f t="shared" si="452"/>
        <v>1838</v>
      </c>
      <c r="D89" s="3">
        <f t="shared" si="453"/>
        <v>440</v>
      </c>
      <c r="E89" s="3">
        <f t="shared" si="454"/>
        <v>2654</v>
      </c>
      <c r="F89" s="4">
        <f t="shared" si="509"/>
        <v>5919.192177967494</v>
      </c>
      <c r="G89" s="4">
        <f t="shared" si="491"/>
        <v>588.27283472705403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>
        <v>147</v>
      </c>
      <c r="AN89" s="20">
        <v>0</v>
      </c>
      <c r="AO89" s="20">
        <v>5830</v>
      </c>
      <c r="AP89" s="20">
        <v>3040</v>
      </c>
      <c r="AQ89" s="20">
        <v>0</v>
      </c>
      <c r="AR89" s="20"/>
      <c r="AS89" s="54">
        <f>IF(RTD("tos.rtd",,AS$83,"."&amp;$B$82&amp;$AS$82&amp;"C"&amp;$A89)="N/A",0,RTD("tos.rtd",,AS$83,"."&amp;$B$82&amp;$AS$82&amp;"C"&amp;$A89))</f>
        <v>371</v>
      </c>
      <c r="AT89" s="3">
        <f>-IF(RTD("tos.rtd",,AT$83,"."&amp;$B$82&amp;$AS$82&amp;"P"&amp;$A89)="N/A",0,RTD("tos.rtd",,AT$83,"."&amp;$B$82&amp;$AS$82&amp;"P"&amp;$A89))</f>
        <v>-5</v>
      </c>
      <c r="AU89" s="54">
        <f>IF(RTD("tos.rtd",,AU$83,"."&amp;$C$82&amp;$AU$82&amp;"C"&amp;$A89)="N/A",0,RTD("tos.rtd",,AU$83,"."&amp;$C$82&amp;$AU$82&amp;"C"&amp;$A89))</f>
        <v>1432</v>
      </c>
      <c r="AV89" s="3">
        <f>-IF(RTD("tos.rtd",,AV$83,"."&amp;$C$82&amp;$AU$82&amp;"P"&amp;$A89)="N/A",0,RTD("tos.rtd",,AV$83,"."&amp;$C$82&amp;$AU$82&amp;"P"&amp;$A89))</f>
        <v>-406</v>
      </c>
      <c r="AW89" s="54">
        <f>IF(RTD("tos.rtd",,AW$83,"."&amp;$D$82&amp;$AW$82&amp;"C"&amp;$A89)="N/A",0,RTD("tos.rtd",,AW$83,"."&amp;$D$82&amp;$AW$82&amp;"C"&amp;$A89))</f>
        <v>337</v>
      </c>
      <c r="AX89" s="3">
        <f>-IF(RTD("tos.rtd",,AX$83,"."&amp;$D$82&amp;$AW$82&amp;"P"&amp;$A89)="N/A",0,RTD("tos.rtd",,AX$83,"."&amp;$D$82&amp;$AW$82&amp;"P"&amp;$A89))</f>
        <v>-103</v>
      </c>
      <c r="AY89" s="79">
        <f t="shared" si="492"/>
        <v>1626</v>
      </c>
      <c r="AZ89" s="8">
        <f t="shared" si="455"/>
        <v>5830</v>
      </c>
      <c r="BA89" s="54">
        <f>IF(RTD("tos.rtd",,BA$83,"."&amp;$B$82&amp;$AS$82&amp;"C"&amp;$A89)="N/A",0,RTD("tos.rtd",,BA$83,"."&amp;$B$82&amp;$AS$82&amp;"C"&amp;$A89))</f>
        <v>0</v>
      </c>
      <c r="BB89" s="3">
        <f>-IF(RTD("tos.rtd",,BB$83,"."&amp;$B$82&amp;$AS$82&amp;"P"&amp;$A89)="N/A",0,RTD("tos.rtd",,BB$83,"."&amp;$B$82&amp;$AS$82&amp;"P"&amp;$A89))</f>
        <v>0</v>
      </c>
      <c r="BC89" s="54">
        <f>IF(RTD("tos.rtd",,BC$83,"."&amp;$C$82&amp;$AU$82&amp;"C"&amp;$A89)="N/A",0,RTD("tos.rtd",,BC$83,"."&amp;$C$82&amp;$AU$82&amp;"C"&amp;$A89))</f>
        <v>0</v>
      </c>
      <c r="BD89" s="3">
        <f>-IF(RTD("tos.rtd",,BD$83,"."&amp;$C$82&amp;$AU$82&amp;"P"&amp;$A89)="N/A",0,RTD("tos.rtd",,BD$83,"."&amp;$C$82&amp;$AU$82&amp;"P"&amp;$A89))</f>
        <v>0</v>
      </c>
      <c r="BE89" s="54">
        <f>IF(RTD("tos.rtd",,BE$83,"."&amp;$D$82&amp;$AW$82&amp;"C"&amp;$A89)="N/A",0,RTD("tos.rtd",,BE$83,"."&amp;$D$82&amp;$AW$82&amp;"C"&amp;$A89))</f>
        <v>0</v>
      </c>
      <c r="BF89" s="3">
        <f>-IF(RTD("tos.rtd",,BF$83,"."&amp;$D$82&amp;$AW$82&amp;"P"&amp;$A89)="N/A",0,RTD("tos.rtd",,BF$83,"."&amp;$D$82&amp;$AW$82&amp;"P"&amp;$A89))</f>
        <v>0</v>
      </c>
      <c r="BG89" s="3">
        <f ca="1">+Hoja2!Y90</f>
        <v>0</v>
      </c>
      <c r="BH89" s="55">
        <f t="shared" ca="1" si="493"/>
        <v>0</v>
      </c>
      <c r="BI89" s="32" t="str">
        <f t="shared" ca="1" si="513"/>
        <v/>
      </c>
      <c r="BJ89" s="3" t="e">
        <f ca="1">IF($BP$1=1,DX89,IF(RTD("tos.rtd",,BJ$83,"."&amp;$B$82&amp;$AS$82&amp;"C"&amp;$A89)="N/A",0,RTD("tos.rtd",,BJ$83,"."&amp;$B$82&amp;$AS$82&amp;"C"&amp;$A89)))</f>
        <v>#NUM!</v>
      </c>
      <c r="BK89" s="3" t="e">
        <f ca="1">IF($BP$1=1,DY89,-IF(RTD("tos.rtd",,BK$83,"."&amp;$B$82&amp;$AS$82&amp;"P"&amp;$A89)="N/A",0,RTD("tos.rtd",,BK$83,"."&amp;$B$82&amp;$AS$82&amp;"P"&amp;$A89)))</f>
        <v>#NUM!</v>
      </c>
      <c r="BL89" s="3" t="e">
        <f ca="1">IF($BP$1=1,DZ89,IF(RTD("tos.rtd",,BL$83,"."&amp;$C$82&amp;$AU$82&amp;"C"&amp;$A89)="N/A",0,RTD("tos.rtd",,BL$83,"."&amp;$C$82&amp;$AU$82&amp;"C"&amp;$A89)))</f>
        <v>#NUM!</v>
      </c>
      <c r="BM89" s="3" t="e">
        <f ca="1">IF($BP$1=1,EA89,-IF(RTD("tos.rtd",,BM$83,"."&amp;$C$82&amp;$AU$82&amp;"P"&amp;$A89)="N/A",0,RTD("tos.rtd",,BM$83,"."&amp;$C$82&amp;$AU$82&amp;"P"&amp;$A89)))</f>
        <v>#NUM!</v>
      </c>
      <c r="BN89" s="3" t="e">
        <f ca="1">IF($BP$1=1,EB89,IF(RTD("tos.rtd",,BN$83,"."&amp;$D$82&amp;$AW$82&amp;"C"&amp;$A89)="N/A",0,RTD("tos.rtd",,BN$83,"."&amp;$D$82&amp;$AW$82&amp;"C"&amp;$A89)))</f>
        <v>#NUM!</v>
      </c>
      <c r="BO89" s="3" t="e">
        <f ca="1">IF($BP$1=1,EC89,-IF(RTD("tos.rtd",,BO$83,"."&amp;$D$82&amp;$AW$82&amp;"P"&amp;$A89)="N/A",0,RTD("tos.rtd",,BO$83,"."&amp;$D$82&amp;$AW$82&amp;"P"&amp;$A89)))</f>
        <v>#NUM!</v>
      </c>
      <c r="BQ89" s="3" t="e">
        <f t="shared" ca="1" si="456"/>
        <v>#NUM!</v>
      </c>
      <c r="BR89" s="3" t="e">
        <f t="shared" ca="1" si="494"/>
        <v>#NUM!</v>
      </c>
      <c r="BS89" s="3" t="e">
        <f t="shared" ca="1" si="457"/>
        <v>#NUM!</v>
      </c>
      <c r="BT89" s="3" t="e">
        <f t="shared" ca="1" si="494"/>
        <v>#NUM!</v>
      </c>
      <c r="BU89" s="3" t="e">
        <f t="shared" ca="1" si="458"/>
        <v>#NUM!</v>
      </c>
      <c r="BV89" s="3" t="e">
        <f t="shared" ca="1" si="494"/>
        <v>#NUM!</v>
      </c>
      <c r="BX89" s="3" t="e">
        <f t="shared" ca="1" si="459"/>
        <v>#NUM!</v>
      </c>
      <c r="BY89" s="3" t="e">
        <f t="shared" ca="1" si="510"/>
        <v>#NUM!</v>
      </c>
      <c r="BZ89" s="3" t="e">
        <f t="shared" ca="1" si="460"/>
        <v>#NUM!</v>
      </c>
      <c r="CA89" s="3" t="e">
        <f t="shared" ca="1" si="510"/>
        <v>#NUM!</v>
      </c>
      <c r="CB89" s="3" t="e">
        <f t="shared" ca="1" si="461"/>
        <v>#NUM!</v>
      </c>
      <c r="CC89" s="3" t="e">
        <f t="shared" ca="1" si="510"/>
        <v>#NUM!</v>
      </c>
      <c r="CD89" s="3">
        <f>IF(RTD("tos.rtd",,CD$83,"."&amp;$B$82&amp;$AS$82&amp;"C"&amp;$A89)="N/A",0,RTD("tos.rtd",,CD$83,"."&amp;$B$82&amp;$AS$82&amp;"C"&amp;$A89))</f>
        <v>0</v>
      </c>
      <c r="CE89" s="3">
        <f>-IF(RTD("tos.rtd",,CE$83,"."&amp;$B$82&amp;$AS$82&amp;"P"&amp;$A89)="N/A",0,RTD("tos.rtd",,CE$83,"."&amp;$B$82&amp;$AS$82&amp;"P"&amp;$A89))</f>
        <v>1</v>
      </c>
      <c r="CF89" s="3">
        <f>IF(RTD("tos.rtd",,CF$83,"."&amp;$C$82&amp;$AU$82&amp;"C"&amp;$A89)="N/A",0,RTD("tos.rtd",,CF$83,"."&amp;$C$82&amp;$AU$82&amp;"C"&amp;$A89))</f>
        <v>0</v>
      </c>
      <c r="CG89" s="3">
        <f>-IF(RTD("tos.rtd",,CG$83,"."&amp;$C$82&amp;$AU$82&amp;"P"&amp;$A89)="N/A",0,RTD("tos.rtd",,CG$83,"."&amp;$C$82&amp;$AU$82&amp;"P"&amp;$A89))</f>
        <v>1</v>
      </c>
      <c r="CH89" s="3">
        <f>IF(RTD("tos.rtd",,CH$83,"."&amp;$D$82&amp;$AW$82&amp;"C"&amp;$A89)="N/A",0,RTD("tos.rtd",,CH$83,"."&amp;$D$82&amp;$AW$82&amp;"C"&amp;$A89))</f>
        <v>0.18</v>
      </c>
      <c r="CI89" s="3">
        <f>-IF(RTD("tos.rtd",,CI$83,"."&amp;$D$82&amp;$AW$82&amp;"P"&amp;$A89)="N/A",0,RTD("tos.rtd",,CI$83,"."&amp;$D$82&amp;$AW$82&amp;"P"&amp;$A89))</f>
        <v>1</v>
      </c>
      <c r="CK89" s="3">
        <f t="shared" si="495"/>
        <v>-500</v>
      </c>
      <c r="CL89" s="3"/>
      <c r="CM89" s="3">
        <f t="shared" si="496"/>
        <v>-40600</v>
      </c>
      <c r="CN89" s="3"/>
      <c r="CO89" s="3">
        <f t="shared" si="497"/>
        <v>-4234</v>
      </c>
      <c r="CP89" s="3">
        <f t="shared" si="462"/>
        <v>-45334</v>
      </c>
      <c r="CQ89" s="3">
        <f t="shared" si="463"/>
        <v>0</v>
      </c>
      <c r="CR89" s="3"/>
      <c r="CS89" s="3">
        <f t="shared" si="464"/>
        <v>0</v>
      </c>
      <c r="CT89" s="3"/>
      <c r="CU89" s="3">
        <f t="shared" si="465"/>
        <v>0</v>
      </c>
      <c r="CV89" s="3"/>
      <c r="CW89" s="3" t="e">
        <f t="shared" ca="1" si="498"/>
        <v>#NUM!</v>
      </c>
      <c r="CY89" s="3" t="e">
        <f t="shared" ca="1" si="467"/>
        <v>#NUM!</v>
      </c>
      <c r="CZ89" s="70" t="e">
        <f t="shared" ca="1" si="511"/>
        <v>#NUM!</v>
      </c>
      <c r="DA89" s="3">
        <f>IF(RTD("tos.rtd",,DA$83,"."&amp;$B$82&amp;$AS$82&amp;"C"&amp;$A89)="N/A",0,RTD("tos.rtd",,DA$83,"."&amp;$B$82&amp;$AS$82&amp;"C"&amp;$A89))</f>
        <v>0.03</v>
      </c>
      <c r="DB89" s="3">
        <f>IF(RTD("tos.rtd",,DB$83,"."&amp;$B$82&amp;$AS$82&amp;"P"&amp;$A89)="N/A",0,RTD("tos.rtd",,DB$83,"."&amp;$B$82&amp;$AS$82&amp;"P"&amp;$A89))</f>
        <v>223.2</v>
      </c>
      <c r="DC89" s="3">
        <f>IF(RTD("tos.rtd",,DC$83,"."&amp;$B$82&amp;$AS$82&amp;"C"&amp;$A89)="N/A",0,RTD("tos.rtd",,DC$83,"."&amp;$B$82&amp;$AS$82&amp;"C"&amp;$A89))</f>
        <v>0.05</v>
      </c>
      <c r="DD89" s="3">
        <f>IF(RTD("tos.rtd",,DD$83,"."&amp;$B$82&amp;$AS$82&amp;"P"&amp;$A89)="N/A",0,RTD("tos.rtd",,DD$83,"."&amp;$B$82&amp;$AS$82&amp;"P"&amp;$A89))</f>
        <v>169.3</v>
      </c>
      <c r="DE89" s="3">
        <f>IF(RTD("tos.rtd",,DE$83,"."&amp;$B$82&amp;$AS$82&amp;"C"&amp;$A89)="N/A",0,RTD("tos.rtd",,DE$83,"."&amp;$B$82&amp;$AS$82&amp;"C"&amp;$A89))</f>
        <v>0</v>
      </c>
      <c r="DF89" s="3">
        <f>IF(RTD("tos.rtd",,DF$83,"."&amp;$B$82&amp;$AS$82&amp;"P"&amp;$A89)="N/A",0,RTD("tos.rtd",,DF$83,"."&amp;$B$82&amp;$AS$82&amp;"P"&amp;$A89))</f>
        <v>163.5</v>
      </c>
      <c r="DG89" s="86">
        <f t="shared" si="499"/>
        <v>170.09000000000015</v>
      </c>
      <c r="DH89" s="3">
        <f t="shared" si="468"/>
        <v>-1824</v>
      </c>
      <c r="DI89" s="3">
        <f t="shared" si="469"/>
        <v>0</v>
      </c>
      <c r="DJ89" s="3">
        <f t="shared" si="470"/>
        <v>-3040</v>
      </c>
      <c r="DK89" s="3">
        <f t="shared" si="471"/>
        <v>0</v>
      </c>
      <c r="DL89" s="3">
        <f t="shared" si="472"/>
        <v>-1824</v>
      </c>
      <c r="DM89" s="3">
        <f t="shared" si="473"/>
        <v>-3040</v>
      </c>
      <c r="DN89" s="64" t="str">
        <f t="shared" si="474"/>
        <v>UNKNOWN</v>
      </c>
      <c r="DO89" s="64" t="str">
        <f t="shared" si="475"/>
        <v>UNKNOWN</v>
      </c>
      <c r="DP89" s="3">
        <f t="shared" si="476"/>
        <v>-54.72</v>
      </c>
      <c r="DQ89" s="3">
        <f t="shared" si="477"/>
        <v>-91.2</v>
      </c>
      <c r="DR89" s="3" t="e">
        <f t="shared" ca="1" si="478"/>
        <v>#NUM!</v>
      </c>
      <c r="DS89" s="3">
        <f t="shared" si="479"/>
        <v>0</v>
      </c>
      <c r="DT89" s="3">
        <f t="shared" si="500"/>
        <v>-3040</v>
      </c>
      <c r="DU89" s="3">
        <f t="shared" si="501"/>
        <v>0</v>
      </c>
      <c r="DV89" s="3">
        <f t="shared" si="502"/>
        <v>147</v>
      </c>
      <c r="DW89" s="3">
        <f t="shared" si="503"/>
        <v>0</v>
      </c>
      <c r="DX89" s="3" t="e">
        <f t="shared" ca="1" si="512"/>
        <v>#NUM!</v>
      </c>
      <c r="DY89" s="3" t="e">
        <f t="shared" ca="1" si="480"/>
        <v>#NUM!</v>
      </c>
      <c r="DZ89" s="3" t="e">
        <f t="shared" ca="1" si="504"/>
        <v>#NUM!</v>
      </c>
      <c r="EA89" s="3" t="e">
        <f t="shared" ca="1" si="505"/>
        <v>#NUM!</v>
      </c>
      <c r="EB89" s="3" t="e">
        <f t="shared" ca="1" si="481"/>
        <v>#NUM!</v>
      </c>
      <c r="EC89" s="3" t="e">
        <f t="shared" ca="1" si="482"/>
        <v>#NUM!</v>
      </c>
      <c r="ED89" s="63">
        <f t="shared" si="506"/>
        <v>147</v>
      </c>
      <c r="EE89" s="59">
        <f t="shared" si="483"/>
        <v>1.3230999999999999</v>
      </c>
      <c r="EF89" s="59">
        <f t="shared" si="484"/>
        <v>0.25</v>
      </c>
      <c r="EG89" s="59">
        <f t="shared" si="485"/>
        <v>1.3230999999999999</v>
      </c>
      <c r="EH89" s="59">
        <f t="shared" si="486"/>
        <v>1.323</v>
      </c>
      <c r="EI89" s="59">
        <f t="shared" si="487"/>
        <v>0.27439999999999998</v>
      </c>
      <c r="EJ89" s="59">
        <f t="shared" si="488"/>
        <v>0.25</v>
      </c>
      <c r="EK89" s="63" t="e">
        <f t="shared" ca="1" si="507"/>
        <v>#NUM!</v>
      </c>
      <c r="EL89" s="3" t="str">
        <f>RTD("tos.rtd",,EL$83,"."&amp;$B$82&amp;$AS$82&amp;"C"&amp;$A89)</f>
        <v>132.31%</v>
      </c>
      <c r="EM89" s="3" t="str">
        <f>RTD("tos.rtd",,EM$83,"."&amp;$B$82&amp;$AS$82&amp;"P"&amp;$A89)</f>
        <v>--</v>
      </c>
      <c r="EN89" s="3" t="str">
        <f>RTD("tos.rtd",,EN$83,"."&amp;$C$82&amp;$AU$82&amp;"C"&amp;$A89)</f>
        <v>132.31%</v>
      </c>
      <c r="EO89" s="3" t="str">
        <f>RTD("tos.rtd",,EO$83,"."&amp;$C$82&amp;$AU$82&amp;"P"&amp;$A89)</f>
        <v>132.30%</v>
      </c>
      <c r="EP89" s="3" t="str">
        <f>RTD("tos.rtd",,EP$83,"."&amp;$D$82&amp;$AW$82&amp;"C"&amp;$A89)</f>
        <v>27.44%</v>
      </c>
      <c r="EQ89" s="3" t="str">
        <f>RTD("tos.rtd",,EQ$83,"."&amp;$D$82&amp;$AW$82&amp;"P"&amp;$A89)</f>
        <v>--</v>
      </c>
      <c r="ES89" s="63" t="str">
        <f t="shared" si="489"/>
        <v>5830,147.00</v>
      </c>
      <c r="ET89" s="63" t="str">
        <f t="shared" ca="1" si="490"/>
        <v>5830,00.00</v>
      </c>
      <c r="EU89" s="67">
        <v>561.15</v>
      </c>
      <c r="EV89" s="67" t="s">
        <v>731</v>
      </c>
      <c r="EW89" s="67">
        <v>483.61</v>
      </c>
      <c r="EX89" s="67" t="s">
        <v>732</v>
      </c>
      <c r="EY89" s="67">
        <v>5631.28</v>
      </c>
      <c r="EZ89" s="67" t="s">
        <v>733</v>
      </c>
      <c r="FA89" s="67">
        <v>19867.973000000002</v>
      </c>
      <c r="FB89" s="67" t="s">
        <v>734</v>
      </c>
      <c r="FC89" s="67" t="s">
        <v>735</v>
      </c>
      <c r="FD89" s="67" t="s">
        <v>736</v>
      </c>
      <c r="FE89" s="68" t="s">
        <v>737</v>
      </c>
      <c r="FF89" s="68" t="s">
        <v>738</v>
      </c>
    </row>
    <row r="90" spans="1:162" s="63" customFormat="1" ht="12" customHeight="1" thickBot="1" x14ac:dyDescent="0.25">
      <c r="A90" s="2">
        <f t="shared" si="508"/>
        <v>5820</v>
      </c>
      <c r="B90" s="3">
        <f t="shared" si="451"/>
        <v>964</v>
      </c>
      <c r="C90" s="3">
        <f t="shared" si="452"/>
        <v>1984</v>
      </c>
      <c r="D90" s="3">
        <f t="shared" si="453"/>
        <v>875</v>
      </c>
      <c r="E90" s="3">
        <f t="shared" si="454"/>
        <v>3823</v>
      </c>
      <c r="F90" s="4">
        <f t="shared" si="509"/>
        <v>5909.0391896690935</v>
      </c>
      <c r="G90" s="4">
        <f t="shared" si="491"/>
        <v>587.2637904136285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>
        <v>326</v>
      </c>
      <c r="AN90" s="20">
        <v>-78</v>
      </c>
      <c r="AO90" s="20">
        <v>5820</v>
      </c>
      <c r="AP90" s="20">
        <v>2916</v>
      </c>
      <c r="AQ90" s="20">
        <v>-48</v>
      </c>
      <c r="AR90" s="20"/>
      <c r="AS90" s="54">
        <f>IF(RTD("tos.rtd",,AS$83,"."&amp;$B$82&amp;$AS$82&amp;"C"&amp;$A90)="N/A",0,RTD("tos.rtd",,AS$83,"."&amp;$B$82&amp;$AS$82&amp;"C"&amp;$A90))</f>
        <v>921</v>
      </c>
      <c r="AT90" s="3">
        <f>-IF(RTD("tos.rtd",,AT$83,"."&amp;$B$82&amp;$AS$82&amp;"P"&amp;$A90)="N/A",0,RTD("tos.rtd",,AT$83,"."&amp;$B$82&amp;$AS$82&amp;"P"&amp;$A90))</f>
        <v>-43</v>
      </c>
      <c r="AU90" s="54">
        <f>IF(RTD("tos.rtd",,AU$83,"."&amp;$C$82&amp;$AU$82&amp;"C"&amp;$A90)="N/A",0,RTD("tos.rtd",,AU$83,"."&amp;$C$82&amp;$AU$82&amp;"C"&amp;$A90))</f>
        <v>1668</v>
      </c>
      <c r="AV90" s="3">
        <f>-IF(RTD("tos.rtd",,AV$83,"."&amp;$C$82&amp;$AU$82&amp;"P"&amp;$A90)="N/A",0,RTD("tos.rtd",,AV$83,"."&amp;$C$82&amp;$AU$82&amp;"P"&amp;$A90))</f>
        <v>-316</v>
      </c>
      <c r="AW90" s="54">
        <f>IF(RTD("tos.rtd",,AW$83,"."&amp;$D$82&amp;$AW$82&amp;"C"&amp;$A90)="N/A",0,RTD("tos.rtd",,AW$83,"."&amp;$D$82&amp;$AW$82&amp;"C"&amp;$A90))</f>
        <v>663</v>
      </c>
      <c r="AX90" s="3">
        <f>-IF(RTD("tos.rtd",,AX$83,"."&amp;$D$82&amp;$AW$82&amp;"P"&amp;$A90)="N/A",0,RTD("tos.rtd",,AX$83,"."&amp;$D$82&amp;$AW$82&amp;"P"&amp;$A90))</f>
        <v>-212</v>
      </c>
      <c r="AY90" s="79">
        <f t="shared" si="492"/>
        <v>2681</v>
      </c>
      <c r="AZ90" s="8">
        <f t="shared" si="455"/>
        <v>5820</v>
      </c>
      <c r="BA90" s="54">
        <f>IF(RTD("tos.rtd",,BA$83,"."&amp;$B$82&amp;$AS$82&amp;"C"&amp;$A90)="N/A",0,RTD("tos.rtd",,BA$83,"."&amp;$B$82&amp;$AS$82&amp;"C"&amp;$A90))</f>
        <v>0</v>
      </c>
      <c r="BB90" s="3">
        <f>-IF(RTD("tos.rtd",,BB$83,"."&amp;$B$82&amp;$AS$82&amp;"P"&amp;$A90)="N/A",0,RTD("tos.rtd",,BB$83,"."&amp;$B$82&amp;$AS$82&amp;"P"&amp;$A90))</f>
        <v>0</v>
      </c>
      <c r="BC90" s="54">
        <f>IF(RTD("tos.rtd",,BC$83,"."&amp;$C$82&amp;$AU$82&amp;"C"&amp;$A90)="N/A",0,RTD("tos.rtd",,BC$83,"."&amp;$C$82&amp;$AU$82&amp;"C"&amp;$A90))</f>
        <v>0</v>
      </c>
      <c r="BD90" s="3">
        <f>-IF(RTD("tos.rtd",,BD$83,"."&amp;$C$82&amp;$AU$82&amp;"P"&amp;$A90)="N/A",0,RTD("tos.rtd",,BD$83,"."&amp;$C$82&amp;$AU$82&amp;"P"&amp;$A90))</f>
        <v>0</v>
      </c>
      <c r="BE90" s="54">
        <f>IF(RTD("tos.rtd",,BE$83,"."&amp;$D$82&amp;$AW$82&amp;"C"&amp;$A90)="N/A",0,RTD("tos.rtd",,BE$83,"."&amp;$D$82&amp;$AW$82&amp;"C"&amp;$A90))</f>
        <v>0</v>
      </c>
      <c r="BF90" s="3">
        <f>-IF(RTD("tos.rtd",,BF$83,"."&amp;$D$82&amp;$AW$82&amp;"P"&amp;$A90)="N/A",0,RTD("tos.rtd",,BF$83,"."&amp;$D$82&amp;$AW$82&amp;"P"&amp;$A90))</f>
        <v>0</v>
      </c>
      <c r="BG90" s="3">
        <f ca="1">+Hoja2!Y91</f>
        <v>0</v>
      </c>
      <c r="BH90" s="55">
        <f t="shared" ca="1" si="493"/>
        <v>0</v>
      </c>
      <c r="BI90" s="32" t="str">
        <f t="shared" ca="1" si="513"/>
        <v/>
      </c>
      <c r="BJ90" s="3" t="e">
        <f ca="1">IF($BP$1=1,DX90,IF(RTD("tos.rtd",,BJ$83,"."&amp;$B$82&amp;$AS$82&amp;"C"&amp;$A90)="N/A",0,RTD("tos.rtd",,BJ$83,"."&amp;$B$82&amp;$AS$82&amp;"C"&amp;$A90)))</f>
        <v>#NUM!</v>
      </c>
      <c r="BK90" s="3" t="e">
        <f ca="1">IF($BP$1=1,DY90,-IF(RTD("tos.rtd",,BK$83,"."&amp;$B$82&amp;$AS$82&amp;"P"&amp;$A90)="N/A",0,RTD("tos.rtd",,BK$83,"."&amp;$B$82&amp;$AS$82&amp;"P"&amp;$A90)))</f>
        <v>#NUM!</v>
      </c>
      <c r="BL90" s="3" t="e">
        <f ca="1">IF($BP$1=1,DZ90,IF(RTD("tos.rtd",,BL$83,"."&amp;$C$82&amp;$AU$82&amp;"C"&amp;$A90)="N/A",0,RTD("tos.rtd",,BL$83,"."&amp;$C$82&amp;$AU$82&amp;"C"&amp;$A90)))</f>
        <v>#NUM!</v>
      </c>
      <c r="BM90" s="3" t="e">
        <f ca="1">IF($BP$1=1,EA90,-IF(RTD("tos.rtd",,BM$83,"."&amp;$C$82&amp;$AU$82&amp;"P"&amp;$A90)="N/A",0,RTD("tos.rtd",,BM$83,"."&amp;$C$82&amp;$AU$82&amp;"P"&amp;$A90)))</f>
        <v>#NUM!</v>
      </c>
      <c r="BN90" s="3" t="e">
        <f ca="1">IF($BP$1=1,EB90,IF(RTD("tos.rtd",,BN$83,"."&amp;$D$82&amp;$AW$82&amp;"C"&amp;$A90)="N/A",0,RTD("tos.rtd",,BN$83,"."&amp;$D$82&amp;$AW$82&amp;"C"&amp;$A90)))</f>
        <v>#NUM!</v>
      </c>
      <c r="BO90" s="3" t="e">
        <f ca="1">IF($BP$1=1,EC90,-IF(RTD("tos.rtd",,BO$83,"."&amp;$D$82&amp;$AW$82&amp;"P"&amp;$A90)="N/A",0,RTD("tos.rtd",,BO$83,"."&amp;$D$82&amp;$AW$82&amp;"P"&amp;$A90)))</f>
        <v>#NUM!</v>
      </c>
      <c r="BQ90" s="3" t="e">
        <f t="shared" ca="1" si="456"/>
        <v>#NUM!</v>
      </c>
      <c r="BR90" s="3" t="e">
        <f t="shared" ca="1" si="494"/>
        <v>#NUM!</v>
      </c>
      <c r="BS90" s="3" t="e">
        <f t="shared" ca="1" si="457"/>
        <v>#NUM!</v>
      </c>
      <c r="BT90" s="3" t="e">
        <f t="shared" ca="1" si="494"/>
        <v>#NUM!</v>
      </c>
      <c r="BU90" s="3" t="e">
        <f t="shared" ca="1" si="458"/>
        <v>#NUM!</v>
      </c>
      <c r="BV90" s="3" t="e">
        <f t="shared" ca="1" si="494"/>
        <v>#NUM!</v>
      </c>
      <c r="BX90" s="3" t="e">
        <f t="shared" ca="1" si="459"/>
        <v>#NUM!</v>
      </c>
      <c r="BY90" s="3" t="e">
        <f t="shared" ca="1" si="510"/>
        <v>#NUM!</v>
      </c>
      <c r="BZ90" s="3" t="e">
        <f t="shared" ca="1" si="460"/>
        <v>#NUM!</v>
      </c>
      <c r="CA90" s="3" t="e">
        <f t="shared" ca="1" si="510"/>
        <v>#NUM!</v>
      </c>
      <c r="CB90" s="3" t="e">
        <f t="shared" ca="1" si="461"/>
        <v>#NUM!</v>
      </c>
      <c r="CC90" s="3" t="e">
        <f t="shared" ca="1" si="510"/>
        <v>#NUM!</v>
      </c>
      <c r="CD90" s="3">
        <f>IF(RTD("tos.rtd",,CD$83,"."&amp;$B$82&amp;$AS$82&amp;"C"&amp;$A90)="N/A",0,RTD("tos.rtd",,CD$83,"."&amp;$B$82&amp;$AS$82&amp;"C"&amp;$A90))</f>
        <v>0</v>
      </c>
      <c r="CE90" s="3">
        <f>-IF(RTD("tos.rtd",,CE$83,"."&amp;$B$82&amp;$AS$82&amp;"P"&amp;$A90)="N/A",0,RTD("tos.rtd",,CE$83,"."&amp;$B$82&amp;$AS$82&amp;"P"&amp;$A90))</f>
        <v>1</v>
      </c>
      <c r="CF90" s="3">
        <f>IF(RTD("tos.rtd",,CF$83,"."&amp;$C$82&amp;$AU$82&amp;"C"&amp;$A90)="N/A",0,RTD("tos.rtd",,CF$83,"."&amp;$C$82&amp;$AU$82&amp;"C"&amp;$A90))</f>
        <v>0</v>
      </c>
      <c r="CG90" s="3">
        <f>-IF(RTD("tos.rtd",,CG$83,"."&amp;$C$82&amp;$AU$82&amp;"P"&amp;$A90)="N/A",0,RTD("tos.rtd",,CG$83,"."&amp;$C$82&amp;$AU$82&amp;"P"&amp;$A90))</f>
        <v>1</v>
      </c>
      <c r="CH90" s="3">
        <f>IF(RTD("tos.rtd",,CH$83,"."&amp;$D$82&amp;$AW$82&amp;"C"&amp;$A90)="N/A",0,RTD("tos.rtd",,CH$83,"."&amp;$D$82&amp;$AW$82&amp;"C"&amp;$A90))</f>
        <v>0.2</v>
      </c>
      <c r="CI90" s="3">
        <f>-IF(RTD("tos.rtd",,CI$83,"."&amp;$D$82&amp;$AW$82&amp;"P"&amp;$A90)="N/A",0,RTD("tos.rtd",,CI$83,"."&amp;$D$82&amp;$AW$82&amp;"P"&amp;$A90))</f>
        <v>1</v>
      </c>
      <c r="CK90" s="3">
        <f t="shared" si="495"/>
        <v>-4300</v>
      </c>
      <c r="CL90" s="3"/>
      <c r="CM90" s="3">
        <f t="shared" si="496"/>
        <v>-31600</v>
      </c>
      <c r="CN90" s="3"/>
      <c r="CO90" s="3">
        <f t="shared" si="497"/>
        <v>-7940</v>
      </c>
      <c r="CP90" s="3">
        <f t="shared" si="462"/>
        <v>-43840</v>
      </c>
      <c r="CQ90" s="3">
        <f t="shared" si="463"/>
        <v>0</v>
      </c>
      <c r="CR90" s="3"/>
      <c r="CS90" s="3">
        <f t="shared" si="464"/>
        <v>0</v>
      </c>
      <c r="CT90" s="3"/>
      <c r="CU90" s="3">
        <f t="shared" si="465"/>
        <v>0</v>
      </c>
      <c r="CV90" s="3"/>
      <c r="CW90" s="3" t="e">
        <f t="shared" ca="1" si="498"/>
        <v>#NUM!</v>
      </c>
      <c r="CY90" s="3" t="e">
        <f t="shared" ca="1" si="467"/>
        <v>#NUM!</v>
      </c>
      <c r="CZ90" s="70" t="e">
        <f t="shared" ca="1" si="511"/>
        <v>#NUM!</v>
      </c>
      <c r="DA90" s="3">
        <f>IF(RTD("tos.rtd",,DA$83,"."&amp;$B$82&amp;$AS$82&amp;"C"&amp;$A90)="N/A",0,RTD("tos.rtd",,DA$83,"."&amp;$B$82&amp;$AS$82&amp;"C"&amp;$A90))</f>
        <v>0.03</v>
      </c>
      <c r="DB90" s="3">
        <f>IF(RTD("tos.rtd",,DB$83,"."&amp;$B$82&amp;$AS$82&amp;"P"&amp;$A90)="N/A",0,RTD("tos.rtd",,DB$83,"."&amp;$B$82&amp;$AS$82&amp;"P"&amp;$A90))</f>
        <v>144.54</v>
      </c>
      <c r="DC90" s="3">
        <f>IF(RTD("tos.rtd",,DC$83,"."&amp;$B$82&amp;$AS$82&amp;"C"&amp;$A90)="N/A",0,RTD("tos.rtd",,DC$83,"."&amp;$B$82&amp;$AS$82&amp;"C"&amp;$A90))</f>
        <v>0.05</v>
      </c>
      <c r="DD90" s="3">
        <f>IF(RTD("tos.rtd",,DD$83,"."&amp;$B$82&amp;$AS$82&amp;"P"&amp;$A90)="N/A",0,RTD("tos.rtd",,DD$83,"."&amp;$B$82&amp;$AS$82&amp;"P"&amp;$A90))</f>
        <v>159.30000000000001</v>
      </c>
      <c r="DE90" s="3">
        <f>IF(RTD("tos.rtd",,DE$83,"."&amp;$B$82&amp;$AS$82&amp;"C"&amp;$A90)="N/A",0,RTD("tos.rtd",,DE$83,"."&amp;$B$82&amp;$AS$82&amp;"C"&amp;$A90))</f>
        <v>0</v>
      </c>
      <c r="DF90" s="3">
        <f>IF(RTD("tos.rtd",,DF$83,"."&amp;$B$82&amp;$AS$82&amp;"P"&amp;$A90)="N/A",0,RTD("tos.rtd",,DF$83,"."&amp;$B$82&amp;$AS$82&amp;"P"&amp;$A90))</f>
        <v>153.5</v>
      </c>
      <c r="DG90" s="86">
        <f t="shared" si="499"/>
        <v>160.09000000000015</v>
      </c>
      <c r="DH90" s="3">
        <f t="shared" si="468"/>
        <v>-1749.6</v>
      </c>
      <c r="DI90" s="3">
        <f t="shared" si="469"/>
        <v>-74.151724137930955</v>
      </c>
      <c r="DJ90" s="3">
        <f t="shared" si="470"/>
        <v>-2916</v>
      </c>
      <c r="DK90" s="3">
        <f t="shared" si="471"/>
        <v>-48</v>
      </c>
      <c r="DL90" s="3">
        <f t="shared" si="472"/>
        <v>-1823.751724137931</v>
      </c>
      <c r="DM90" s="3">
        <f t="shared" si="473"/>
        <v>-2964</v>
      </c>
      <c r="DN90" s="64" t="str">
        <f t="shared" si="474"/>
        <v>UNKNOWN</v>
      </c>
      <c r="DO90" s="64" t="str">
        <f t="shared" si="475"/>
        <v>UNKNOWN</v>
      </c>
      <c r="DP90" s="3">
        <f t="shared" si="476"/>
        <v>-10770.378206896539</v>
      </c>
      <c r="DQ90" s="3">
        <f t="shared" si="477"/>
        <v>-7025.4</v>
      </c>
      <c r="DR90" s="3" t="e">
        <f t="shared" ca="1" si="478"/>
        <v>#NUM!</v>
      </c>
      <c r="DS90" s="3">
        <f t="shared" si="479"/>
        <v>-48</v>
      </c>
      <c r="DT90" s="3">
        <f t="shared" si="500"/>
        <v>-2916</v>
      </c>
      <c r="DU90" s="3">
        <f t="shared" si="501"/>
        <v>48</v>
      </c>
      <c r="DV90" s="3">
        <f t="shared" si="502"/>
        <v>326</v>
      </c>
      <c r="DW90" s="3">
        <f t="shared" si="503"/>
        <v>-78</v>
      </c>
      <c r="DX90" s="3" t="e">
        <f t="shared" ca="1" si="512"/>
        <v>#NUM!</v>
      </c>
      <c r="DY90" s="3" t="e">
        <f t="shared" ca="1" si="480"/>
        <v>#NUM!</v>
      </c>
      <c r="DZ90" s="3" t="e">
        <f t="shared" ca="1" si="504"/>
        <v>#NUM!</v>
      </c>
      <c r="EA90" s="3" t="e">
        <f t="shared" ca="1" si="505"/>
        <v>#NUM!</v>
      </c>
      <c r="EB90" s="3" t="e">
        <f t="shared" ca="1" si="481"/>
        <v>#NUM!</v>
      </c>
      <c r="EC90" s="3" t="e">
        <f t="shared" ca="1" si="482"/>
        <v>#NUM!</v>
      </c>
      <c r="ED90" s="63">
        <f t="shared" si="506"/>
        <v>248</v>
      </c>
      <c r="EE90" s="59">
        <f t="shared" si="483"/>
        <v>1.2531000000000001</v>
      </c>
      <c r="EF90" s="59">
        <f t="shared" si="484"/>
        <v>0.25</v>
      </c>
      <c r="EG90" s="59">
        <f t="shared" si="485"/>
        <v>1.2531000000000001</v>
      </c>
      <c r="EH90" s="59">
        <f t="shared" si="486"/>
        <v>1.2527999999999999</v>
      </c>
      <c r="EI90" s="59">
        <f t="shared" si="487"/>
        <v>0.27860000000000001</v>
      </c>
      <c r="EJ90" s="59">
        <f t="shared" si="488"/>
        <v>0.25</v>
      </c>
      <c r="EK90" s="63" t="e">
        <f t="shared" ca="1" si="507"/>
        <v>#NUM!</v>
      </c>
      <c r="EL90" s="3" t="str">
        <f>RTD("tos.rtd",,EL$83,"."&amp;$B$82&amp;$AS$82&amp;"C"&amp;$A90)</f>
        <v>125.31%</v>
      </c>
      <c r="EM90" s="3" t="str">
        <f>RTD("tos.rtd",,EM$83,"."&amp;$B$82&amp;$AS$82&amp;"P"&amp;$A90)</f>
        <v>--</v>
      </c>
      <c r="EN90" s="3" t="str">
        <f>RTD("tos.rtd",,EN$83,"."&amp;$C$82&amp;$AU$82&amp;"C"&amp;$A90)</f>
        <v>125.31%</v>
      </c>
      <c r="EO90" s="3" t="str">
        <f>RTD("tos.rtd",,EO$83,"."&amp;$C$82&amp;$AU$82&amp;"P"&amp;$A90)</f>
        <v>125.28%</v>
      </c>
      <c r="EP90" s="3" t="str">
        <f>RTD("tos.rtd",,EP$83,"."&amp;$D$82&amp;$AW$82&amp;"C"&amp;$A90)</f>
        <v>27.86%</v>
      </c>
      <c r="EQ90" s="3" t="str">
        <f>RTD("tos.rtd",,EQ$83,"."&amp;$D$82&amp;$AW$82&amp;"P"&amp;$A90)</f>
        <v>--</v>
      </c>
      <c r="ES90" s="63" t="str">
        <f t="shared" si="489"/>
        <v>5820,248.00</v>
      </c>
      <c r="ET90" s="63" t="str">
        <f t="shared" ca="1" si="490"/>
        <v>5820,00.00</v>
      </c>
      <c r="EU90" s="67">
        <v>561.15</v>
      </c>
      <c r="EV90" s="67" t="s">
        <v>739</v>
      </c>
      <c r="EW90" s="67">
        <v>483.51</v>
      </c>
      <c r="EX90" s="67" t="s">
        <v>740</v>
      </c>
      <c r="EY90" s="67">
        <v>5631.28</v>
      </c>
      <c r="EZ90" s="67" t="s">
        <v>741</v>
      </c>
      <c r="FA90" s="67">
        <v>19867.973000000002</v>
      </c>
      <c r="FB90" s="67" t="s">
        <v>742</v>
      </c>
      <c r="FC90" s="67" t="s">
        <v>743</v>
      </c>
      <c r="FD90" s="67" t="s">
        <v>744</v>
      </c>
      <c r="FE90" s="68" t="s">
        <v>745</v>
      </c>
      <c r="FF90" s="68" t="s">
        <v>746</v>
      </c>
    </row>
    <row r="91" spans="1:162" s="63" customFormat="1" ht="12" customHeight="1" thickBot="1" x14ac:dyDescent="0.25">
      <c r="A91" s="2">
        <f t="shared" si="508"/>
        <v>5810</v>
      </c>
      <c r="B91" s="3">
        <f t="shared" si="451"/>
        <v>696</v>
      </c>
      <c r="C91" s="3">
        <f t="shared" si="452"/>
        <v>1119</v>
      </c>
      <c r="D91" s="3">
        <f t="shared" si="453"/>
        <v>1097</v>
      </c>
      <c r="E91" s="3">
        <f t="shared" si="454"/>
        <v>2912</v>
      </c>
      <c r="F91" s="4">
        <f t="shared" si="509"/>
        <v>5898.886201370693</v>
      </c>
      <c r="G91" s="4">
        <f t="shared" si="491"/>
        <v>586.25474610020308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>
        <v>-744</v>
      </c>
      <c r="AN91" s="20">
        <v>43</v>
      </c>
      <c r="AO91" s="20">
        <v>5810</v>
      </c>
      <c r="AP91" s="20">
        <v>4615</v>
      </c>
      <c r="AQ91" s="20">
        <v>-14</v>
      </c>
      <c r="AR91" s="20"/>
      <c r="AS91" s="54">
        <f>IF(RTD("tos.rtd",,AS$83,"."&amp;$B$82&amp;$AS$82&amp;"C"&amp;$A91)="N/A",0,RTD("tos.rtd",,AS$83,"."&amp;$B$82&amp;$AS$82&amp;"C"&amp;$A91))</f>
        <v>690</v>
      </c>
      <c r="AT91" s="3">
        <f>-IF(RTD("tos.rtd",,AT$83,"."&amp;$B$82&amp;$AS$82&amp;"P"&amp;$A91)="N/A",0,RTD("tos.rtd",,AT$83,"."&amp;$B$82&amp;$AS$82&amp;"P"&amp;$A91))</f>
        <v>-6</v>
      </c>
      <c r="AU91" s="54">
        <f>IF(RTD("tos.rtd",,AU$83,"."&amp;$C$82&amp;$AU$82&amp;"C"&amp;$A91)="N/A",0,RTD("tos.rtd",,AU$83,"."&amp;$C$82&amp;$AU$82&amp;"C"&amp;$A91))</f>
        <v>1040</v>
      </c>
      <c r="AV91" s="3">
        <f>-IF(RTD("tos.rtd",,AV$83,"."&amp;$C$82&amp;$AU$82&amp;"P"&amp;$A91)="N/A",0,RTD("tos.rtd",,AV$83,"."&amp;$C$82&amp;$AU$82&amp;"P"&amp;$A91))</f>
        <v>-79</v>
      </c>
      <c r="AW91" s="54">
        <f>IF(RTD("tos.rtd",,AW$83,"."&amp;$D$82&amp;$AW$82&amp;"C"&amp;$A91)="N/A",0,RTD("tos.rtd",,AW$83,"."&amp;$D$82&amp;$AW$82&amp;"C"&amp;$A91))</f>
        <v>430</v>
      </c>
      <c r="AX91" s="3">
        <f>-IF(RTD("tos.rtd",,AX$83,"."&amp;$D$82&amp;$AW$82&amp;"P"&amp;$A91)="N/A",0,RTD("tos.rtd",,AX$83,"."&amp;$D$82&amp;$AW$82&amp;"P"&amp;$A91))</f>
        <v>-667</v>
      </c>
      <c r="AY91" s="79">
        <f t="shared" si="492"/>
        <v>1408</v>
      </c>
      <c r="AZ91" s="8">
        <f t="shared" si="455"/>
        <v>5810</v>
      </c>
      <c r="BA91" s="54">
        <f>IF(RTD("tos.rtd",,BA$83,"."&amp;$B$82&amp;$AS$82&amp;"C"&amp;$A91)="N/A",0,RTD("tos.rtd",,BA$83,"."&amp;$B$82&amp;$AS$82&amp;"C"&amp;$A91))</f>
        <v>0</v>
      </c>
      <c r="BB91" s="3">
        <f>-IF(RTD("tos.rtd",,BB$83,"."&amp;$B$82&amp;$AS$82&amp;"P"&amp;$A91)="N/A",0,RTD("tos.rtd",,BB$83,"."&amp;$B$82&amp;$AS$82&amp;"P"&amp;$A91))</f>
        <v>0</v>
      </c>
      <c r="BC91" s="54">
        <f>IF(RTD("tos.rtd",,BC$83,"."&amp;$C$82&amp;$AU$82&amp;"C"&amp;$A91)="N/A",0,RTD("tos.rtd",,BC$83,"."&amp;$C$82&amp;$AU$82&amp;"C"&amp;$A91))</f>
        <v>0</v>
      </c>
      <c r="BD91" s="3">
        <f>-IF(RTD("tos.rtd",,BD$83,"."&amp;$C$82&amp;$AU$82&amp;"P"&amp;$A91)="N/A",0,RTD("tos.rtd",,BD$83,"."&amp;$C$82&amp;$AU$82&amp;"P"&amp;$A91))</f>
        <v>0</v>
      </c>
      <c r="BE91" s="54">
        <f>IF(RTD("tos.rtd",,BE$83,"."&amp;$D$82&amp;$AW$82&amp;"C"&amp;$A91)="N/A",0,RTD("tos.rtd",,BE$83,"."&amp;$D$82&amp;$AW$82&amp;"C"&amp;$A91))</f>
        <v>0</v>
      </c>
      <c r="BF91" s="3">
        <f>-IF(RTD("tos.rtd",,BF$83,"."&amp;$D$82&amp;$AW$82&amp;"P"&amp;$A91)="N/A",0,RTD("tos.rtd",,BF$83,"."&amp;$D$82&amp;$AW$82&amp;"P"&amp;$A91))</f>
        <v>0</v>
      </c>
      <c r="BG91" s="3">
        <f ca="1">+Hoja2!Y92</f>
        <v>0</v>
      </c>
      <c r="BH91" s="55">
        <f t="shared" ca="1" si="493"/>
        <v>0</v>
      </c>
      <c r="BI91" s="32" t="str">
        <f t="shared" ca="1" si="513"/>
        <v/>
      </c>
      <c r="BJ91" s="3" t="e">
        <f ca="1">IF($BP$1=1,DX91,IF(RTD("tos.rtd",,BJ$83,"."&amp;$B$82&amp;$AS$82&amp;"C"&amp;$A91)="N/A",0,RTD("tos.rtd",,BJ$83,"."&amp;$B$82&amp;$AS$82&amp;"C"&amp;$A91)))</f>
        <v>#NUM!</v>
      </c>
      <c r="BK91" s="3" t="e">
        <f ca="1">IF($BP$1=1,DY91,-IF(RTD("tos.rtd",,BK$83,"."&amp;$B$82&amp;$AS$82&amp;"P"&amp;$A91)="N/A",0,RTD("tos.rtd",,BK$83,"."&amp;$B$82&amp;$AS$82&amp;"P"&amp;$A91)))</f>
        <v>#NUM!</v>
      </c>
      <c r="BL91" s="3" t="e">
        <f ca="1">IF($BP$1=1,DZ91,IF(RTD("tos.rtd",,BL$83,"."&amp;$C$82&amp;$AU$82&amp;"C"&amp;$A91)="N/A",0,RTD("tos.rtd",,BL$83,"."&amp;$C$82&amp;$AU$82&amp;"C"&amp;$A91)))</f>
        <v>#NUM!</v>
      </c>
      <c r="BM91" s="3" t="e">
        <f ca="1">IF($BP$1=1,EA91,-IF(RTD("tos.rtd",,BM$83,"."&amp;$C$82&amp;$AU$82&amp;"P"&amp;$A91)="N/A",0,RTD("tos.rtd",,BM$83,"."&amp;$C$82&amp;$AU$82&amp;"P"&amp;$A91)))</f>
        <v>#NUM!</v>
      </c>
      <c r="BN91" s="3" t="e">
        <f ca="1">IF($BP$1=1,EB91,IF(RTD("tos.rtd",,BN$83,"."&amp;$D$82&amp;$AW$82&amp;"C"&amp;$A91)="N/A",0,RTD("tos.rtd",,BN$83,"."&amp;$D$82&amp;$AW$82&amp;"C"&amp;$A91)))</f>
        <v>#NUM!</v>
      </c>
      <c r="BO91" s="3" t="e">
        <f ca="1">IF($BP$1=1,EC91,-IF(RTD("tos.rtd",,BO$83,"."&amp;$D$82&amp;$AW$82&amp;"P"&amp;$A91)="N/A",0,RTD("tos.rtd",,BO$83,"."&amp;$D$82&amp;$AW$82&amp;"P"&amp;$A91)))</f>
        <v>#NUM!</v>
      </c>
      <c r="BQ91" s="3" t="e">
        <f t="shared" ca="1" si="456"/>
        <v>#NUM!</v>
      </c>
      <c r="BR91" s="3" t="e">
        <f t="shared" ca="1" si="494"/>
        <v>#NUM!</v>
      </c>
      <c r="BS91" s="3" t="e">
        <f t="shared" ca="1" si="457"/>
        <v>#NUM!</v>
      </c>
      <c r="BT91" s="3" t="e">
        <f t="shared" ca="1" si="494"/>
        <v>#NUM!</v>
      </c>
      <c r="BU91" s="3" t="e">
        <f t="shared" ca="1" si="458"/>
        <v>#NUM!</v>
      </c>
      <c r="BV91" s="3" t="e">
        <f t="shared" ca="1" si="494"/>
        <v>#NUM!</v>
      </c>
      <c r="BX91" s="3" t="e">
        <f t="shared" ca="1" si="459"/>
        <v>#NUM!</v>
      </c>
      <c r="BY91" s="3" t="e">
        <f t="shared" ca="1" si="510"/>
        <v>#NUM!</v>
      </c>
      <c r="BZ91" s="3" t="e">
        <f t="shared" ca="1" si="460"/>
        <v>#NUM!</v>
      </c>
      <c r="CA91" s="3" t="e">
        <f t="shared" ca="1" si="510"/>
        <v>#NUM!</v>
      </c>
      <c r="CB91" s="3" t="e">
        <f t="shared" ca="1" si="461"/>
        <v>#NUM!</v>
      </c>
      <c r="CC91" s="3" t="e">
        <f t="shared" ca="1" si="510"/>
        <v>#NUM!</v>
      </c>
      <c r="CD91" s="3">
        <f>IF(RTD("tos.rtd",,CD$83,"."&amp;$B$82&amp;$AS$82&amp;"C"&amp;$A91)="N/A",0,RTD("tos.rtd",,CD$83,"."&amp;$B$82&amp;$AS$82&amp;"C"&amp;$A91))</f>
        <v>0</v>
      </c>
      <c r="CE91" s="3">
        <f>-IF(RTD("tos.rtd",,CE$83,"."&amp;$B$82&amp;$AS$82&amp;"P"&amp;$A91)="N/A",0,RTD("tos.rtd",,CE$83,"."&amp;$B$82&amp;$AS$82&amp;"P"&amp;$A91))</f>
        <v>1</v>
      </c>
      <c r="CF91" s="3">
        <f>IF(RTD("tos.rtd",,CF$83,"."&amp;$C$82&amp;$AU$82&amp;"C"&amp;$A91)="N/A",0,RTD("tos.rtd",,CF$83,"."&amp;$C$82&amp;$AU$82&amp;"C"&amp;$A91))</f>
        <v>0</v>
      </c>
      <c r="CG91" s="3">
        <f>-IF(RTD("tos.rtd",,CG$83,"."&amp;$C$82&amp;$AU$82&amp;"P"&amp;$A91)="N/A",0,RTD("tos.rtd",,CG$83,"."&amp;$C$82&amp;$AU$82&amp;"P"&amp;$A91))</f>
        <v>1</v>
      </c>
      <c r="CH91" s="3">
        <f>IF(RTD("tos.rtd",,CH$83,"."&amp;$D$82&amp;$AW$82&amp;"C"&amp;$A91)="N/A",0,RTD("tos.rtd",,CH$83,"."&amp;$D$82&amp;$AW$82&amp;"C"&amp;$A91))</f>
        <v>0.22</v>
      </c>
      <c r="CI91" s="3">
        <f>-IF(RTD("tos.rtd",,CI$83,"."&amp;$D$82&amp;$AW$82&amp;"P"&amp;$A91)="N/A",0,RTD("tos.rtd",,CI$83,"."&amp;$D$82&amp;$AW$82&amp;"P"&amp;$A91))</f>
        <v>1</v>
      </c>
      <c r="CK91" s="3">
        <f t="shared" si="495"/>
        <v>-600</v>
      </c>
      <c r="CL91" s="3"/>
      <c r="CM91" s="3">
        <f t="shared" si="496"/>
        <v>-7900</v>
      </c>
      <c r="CN91" s="3"/>
      <c r="CO91" s="3">
        <f t="shared" si="497"/>
        <v>-57240</v>
      </c>
      <c r="CP91" s="3">
        <f t="shared" si="462"/>
        <v>-65740</v>
      </c>
      <c r="CQ91" s="3">
        <f t="shared" si="463"/>
        <v>0</v>
      </c>
      <c r="CR91" s="3"/>
      <c r="CS91" s="3">
        <f t="shared" si="464"/>
        <v>0</v>
      </c>
      <c r="CT91" s="3"/>
      <c r="CU91" s="3">
        <f t="shared" si="465"/>
        <v>0</v>
      </c>
      <c r="CV91" s="3"/>
      <c r="CW91" s="3" t="e">
        <f t="shared" ca="1" si="498"/>
        <v>#NUM!</v>
      </c>
      <c r="CY91" s="3" t="e">
        <f t="shared" ca="1" si="467"/>
        <v>#NUM!</v>
      </c>
      <c r="CZ91" s="70" t="e">
        <f t="shared" ca="1" si="511"/>
        <v>#NUM!</v>
      </c>
      <c r="DA91" s="3">
        <f>IF(RTD("tos.rtd",,DA$83,"."&amp;$B$82&amp;$AS$82&amp;"C"&amp;$A91)="N/A",0,RTD("tos.rtd",,DA$83,"."&amp;$B$82&amp;$AS$82&amp;"C"&amp;$A91))</f>
        <v>0.03</v>
      </c>
      <c r="DB91" s="3">
        <f>IF(RTD("tos.rtd",,DB$83,"."&amp;$B$82&amp;$AS$82&amp;"P"&amp;$A91)="N/A",0,RTD("tos.rtd",,DB$83,"."&amp;$B$82&amp;$AS$82&amp;"P"&amp;$A91))</f>
        <v>134.59</v>
      </c>
      <c r="DC91" s="3">
        <f>IF(RTD("tos.rtd",,DC$83,"."&amp;$B$82&amp;$AS$82&amp;"C"&amp;$A91)="N/A",0,RTD("tos.rtd",,DC$83,"."&amp;$B$82&amp;$AS$82&amp;"C"&amp;$A91))</f>
        <v>0.05</v>
      </c>
      <c r="DD91" s="3">
        <f>IF(RTD("tos.rtd",,DD$83,"."&amp;$B$82&amp;$AS$82&amp;"P"&amp;$A91)="N/A",0,RTD("tos.rtd",,DD$83,"."&amp;$B$82&amp;$AS$82&amp;"P"&amp;$A91))</f>
        <v>147.30000000000001</v>
      </c>
      <c r="DE91" s="3">
        <f>IF(RTD("tos.rtd",,DE$83,"."&amp;$B$82&amp;$AS$82&amp;"C"&amp;$A91)="N/A",0,RTD("tos.rtd",,DE$83,"."&amp;$B$82&amp;$AS$82&amp;"C"&amp;$A91))</f>
        <v>0</v>
      </c>
      <c r="DF91" s="3">
        <f>IF(RTD("tos.rtd",,DF$83,"."&amp;$B$82&amp;$AS$82&amp;"P"&amp;$A91)="N/A",0,RTD("tos.rtd",,DF$83,"."&amp;$B$82&amp;$AS$82&amp;"P"&amp;$A91))</f>
        <v>143.5</v>
      </c>
      <c r="DG91" s="86">
        <f t="shared" si="499"/>
        <v>150.09000000000015</v>
      </c>
      <c r="DH91" s="3">
        <f t="shared" si="468"/>
        <v>-2769</v>
      </c>
      <c r="DI91" s="3">
        <f t="shared" si="469"/>
        <v>-32.826315789473576</v>
      </c>
      <c r="DJ91" s="3">
        <f t="shared" si="470"/>
        <v>-4615</v>
      </c>
      <c r="DK91" s="3">
        <f t="shared" si="471"/>
        <v>-14</v>
      </c>
      <c r="DL91" s="3">
        <f t="shared" si="472"/>
        <v>-2801.8263157894735</v>
      </c>
      <c r="DM91" s="3">
        <f t="shared" si="473"/>
        <v>-4629</v>
      </c>
      <c r="DN91" s="64" t="str">
        <f t="shared" si="474"/>
        <v>UNKNOWN</v>
      </c>
      <c r="DO91" s="64" t="str">
        <f t="shared" si="475"/>
        <v>UNKNOWN</v>
      </c>
      <c r="DP91" s="3">
        <f t="shared" si="476"/>
        <v>-4501.1638421052485</v>
      </c>
      <c r="DQ91" s="3">
        <f t="shared" si="477"/>
        <v>-2022.71</v>
      </c>
      <c r="DR91" s="3" t="e">
        <f t="shared" ca="1" si="478"/>
        <v>#NUM!</v>
      </c>
      <c r="DS91" s="3">
        <f t="shared" si="479"/>
        <v>-14</v>
      </c>
      <c r="DT91" s="3">
        <f t="shared" si="500"/>
        <v>-4615</v>
      </c>
      <c r="DU91" s="3">
        <f t="shared" si="501"/>
        <v>14</v>
      </c>
      <c r="DV91" s="3">
        <f t="shared" si="502"/>
        <v>-744</v>
      </c>
      <c r="DW91" s="3">
        <f t="shared" si="503"/>
        <v>43</v>
      </c>
      <c r="DX91" s="3" t="e">
        <f t="shared" ca="1" si="512"/>
        <v>#NUM!</v>
      </c>
      <c r="DY91" s="3" t="e">
        <f t="shared" ca="1" si="480"/>
        <v>#NUM!</v>
      </c>
      <c r="DZ91" s="3" t="e">
        <f t="shared" ca="1" si="504"/>
        <v>#NUM!</v>
      </c>
      <c r="EA91" s="3" t="e">
        <f t="shared" ca="1" si="505"/>
        <v>#NUM!</v>
      </c>
      <c r="EB91" s="3" t="e">
        <f t="shared" ca="1" si="481"/>
        <v>#NUM!</v>
      </c>
      <c r="EC91" s="3" t="e">
        <f t="shared" ca="1" si="482"/>
        <v>#NUM!</v>
      </c>
      <c r="ED91" s="63">
        <f t="shared" si="506"/>
        <v>-701</v>
      </c>
      <c r="EE91" s="59">
        <f t="shared" si="483"/>
        <v>1.1805000000000001</v>
      </c>
      <c r="EF91" s="59">
        <f t="shared" si="484"/>
        <v>0.25</v>
      </c>
      <c r="EG91" s="59">
        <f t="shared" si="485"/>
        <v>1.1805000000000001</v>
      </c>
      <c r="EH91" s="59">
        <f t="shared" si="486"/>
        <v>1.1800999999999999</v>
      </c>
      <c r="EI91" s="59">
        <f t="shared" si="487"/>
        <v>0.28360000000000002</v>
      </c>
      <c r="EJ91" s="59">
        <f t="shared" si="488"/>
        <v>0.25</v>
      </c>
      <c r="EK91" s="63" t="e">
        <f t="shared" ca="1" si="507"/>
        <v>#NUM!</v>
      </c>
      <c r="EL91" s="3" t="str">
        <f>RTD("tos.rtd",,EL$83,"."&amp;$B$82&amp;$AS$82&amp;"C"&amp;$A91)</f>
        <v>118.05%</v>
      </c>
      <c r="EM91" s="3" t="str">
        <f>RTD("tos.rtd",,EM$83,"."&amp;$B$82&amp;$AS$82&amp;"P"&amp;$A91)</f>
        <v>--</v>
      </c>
      <c r="EN91" s="3" t="str">
        <f>RTD("tos.rtd",,EN$83,"."&amp;$C$82&amp;$AU$82&amp;"C"&amp;$A91)</f>
        <v>118.05%</v>
      </c>
      <c r="EO91" s="3" t="str">
        <f>RTD("tos.rtd",,EO$83,"."&amp;$C$82&amp;$AU$82&amp;"P"&amp;$A91)</f>
        <v>118.01%</v>
      </c>
      <c r="EP91" s="3" t="str">
        <f>RTD("tos.rtd",,EP$83,"."&amp;$D$82&amp;$AW$82&amp;"C"&amp;$A91)</f>
        <v>28.36%</v>
      </c>
      <c r="EQ91" s="3" t="str">
        <f>RTD("tos.rtd",,EQ$83,"."&amp;$D$82&amp;$AW$82&amp;"P"&amp;$A91)</f>
        <v>--</v>
      </c>
      <c r="ES91" s="63" t="str">
        <f t="shared" si="489"/>
        <v>5810,-701.00</v>
      </c>
      <c r="ET91" s="63" t="str">
        <f t="shared" ca="1" si="490"/>
        <v>5810,00.00</v>
      </c>
      <c r="EU91" s="67">
        <v>561.03</v>
      </c>
      <c r="EV91" s="67" t="s">
        <v>747</v>
      </c>
      <c r="EW91" s="67">
        <v>483.31</v>
      </c>
      <c r="EX91" s="67" t="s">
        <v>748</v>
      </c>
      <c r="EY91" s="67">
        <v>5631.28</v>
      </c>
      <c r="EZ91" s="67" t="s">
        <v>749</v>
      </c>
      <c r="FA91" s="67">
        <v>19867.973000000002</v>
      </c>
      <c r="FB91" s="67" t="s">
        <v>750</v>
      </c>
      <c r="FC91" s="67" t="s">
        <v>751</v>
      </c>
      <c r="FD91" s="67" t="s">
        <v>752</v>
      </c>
      <c r="FE91" s="68" t="s">
        <v>753</v>
      </c>
      <c r="FF91" s="68" t="s">
        <v>754</v>
      </c>
    </row>
    <row r="92" spans="1:162" s="63" customFormat="1" ht="12" customHeight="1" thickBot="1" x14ac:dyDescent="0.25">
      <c r="A92" s="2">
        <f t="shared" si="508"/>
        <v>5800</v>
      </c>
      <c r="B92" s="3">
        <f t="shared" si="451"/>
        <v>1532</v>
      </c>
      <c r="C92" s="3">
        <f t="shared" si="452"/>
        <v>7715</v>
      </c>
      <c r="D92" s="3">
        <f t="shared" si="453"/>
        <v>30422</v>
      </c>
      <c r="E92" s="3">
        <f t="shared" si="454"/>
        <v>39669</v>
      </c>
      <c r="F92" s="4">
        <f t="shared" si="509"/>
        <v>5888.7332130722925</v>
      </c>
      <c r="G92" s="4">
        <f t="shared" si="491"/>
        <v>585.24570178677754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>
        <v>2353</v>
      </c>
      <c r="AN92" s="20">
        <v>30</v>
      </c>
      <c r="AO92" s="20">
        <v>5800</v>
      </c>
      <c r="AP92" s="20">
        <v>19670</v>
      </c>
      <c r="AQ92" s="20">
        <v>-161</v>
      </c>
      <c r="AR92" s="20"/>
      <c r="AS92" s="54">
        <f>IF(RTD("tos.rtd",,AS$83,"."&amp;$B$82&amp;$AS$82&amp;"C"&amp;$A92)="N/A",0,RTD("tos.rtd",,AS$83,"."&amp;$B$82&amp;$AS$82&amp;"C"&amp;$A92))</f>
        <v>1404</v>
      </c>
      <c r="AT92" s="3">
        <f>-IF(RTD("tos.rtd",,AT$83,"."&amp;$B$82&amp;$AS$82&amp;"P"&amp;$A92)="N/A",0,RTD("tos.rtd",,AT$83,"."&amp;$B$82&amp;$AS$82&amp;"P"&amp;$A92))</f>
        <v>-128</v>
      </c>
      <c r="AU92" s="54">
        <f>IF(RTD("tos.rtd",,AU$83,"."&amp;$C$82&amp;$AU$82&amp;"C"&amp;$A92)="N/A",0,RTD("tos.rtd",,AU$83,"."&amp;$C$82&amp;$AU$82&amp;"C"&amp;$A92))</f>
        <v>7493</v>
      </c>
      <c r="AV92" s="3">
        <f>-IF(RTD("tos.rtd",,AV$83,"."&amp;$C$82&amp;$AU$82&amp;"P"&amp;$A92)="N/A",0,RTD("tos.rtd",,AV$83,"."&amp;$C$82&amp;$AU$82&amp;"P"&amp;$A92))</f>
        <v>-222</v>
      </c>
      <c r="AW92" s="54">
        <f>IF(RTD("tos.rtd",,AW$83,"."&amp;$D$82&amp;$AW$82&amp;"C"&amp;$A92)="N/A",0,RTD("tos.rtd",,AW$83,"."&amp;$D$82&amp;$AW$82&amp;"C"&amp;$A92))</f>
        <v>22888</v>
      </c>
      <c r="AX92" s="3">
        <f>-IF(RTD("tos.rtd",,AX$83,"."&amp;$D$82&amp;$AW$82&amp;"P"&amp;$A92)="N/A",0,RTD("tos.rtd",,AX$83,"."&amp;$D$82&amp;$AW$82&amp;"P"&amp;$A92))</f>
        <v>-7534</v>
      </c>
      <c r="AY92" s="79">
        <f t="shared" si="492"/>
        <v>23901</v>
      </c>
      <c r="AZ92" s="8">
        <f t="shared" si="455"/>
        <v>5800</v>
      </c>
      <c r="BA92" s="54">
        <f>IF(RTD("tos.rtd",,BA$83,"."&amp;$B$82&amp;$AS$82&amp;"C"&amp;$A92)="N/A",0,RTD("tos.rtd",,BA$83,"."&amp;$B$82&amp;$AS$82&amp;"C"&amp;$A92))</f>
        <v>0</v>
      </c>
      <c r="BB92" s="3">
        <f>-IF(RTD("tos.rtd",,BB$83,"."&amp;$B$82&amp;$AS$82&amp;"P"&amp;$A92)="N/A",0,RTD("tos.rtd",,BB$83,"."&amp;$B$82&amp;$AS$82&amp;"P"&amp;$A92))</f>
        <v>0</v>
      </c>
      <c r="BC92" s="54">
        <f>IF(RTD("tos.rtd",,BC$83,"."&amp;$C$82&amp;$AU$82&amp;"C"&amp;$A92)="N/A",0,RTD("tos.rtd",,BC$83,"."&amp;$C$82&amp;$AU$82&amp;"C"&amp;$A92))</f>
        <v>0</v>
      </c>
      <c r="BD92" s="3">
        <f>-IF(RTD("tos.rtd",,BD$83,"."&amp;$C$82&amp;$AU$82&amp;"P"&amp;$A92)="N/A",0,RTD("tos.rtd",,BD$83,"."&amp;$C$82&amp;$AU$82&amp;"P"&amp;$A92))</f>
        <v>0</v>
      </c>
      <c r="BE92" s="54">
        <f>IF(RTD("tos.rtd",,BE$83,"."&amp;$D$82&amp;$AW$82&amp;"C"&amp;$A92)="N/A",0,RTD("tos.rtd",,BE$83,"."&amp;$D$82&amp;$AW$82&amp;"C"&amp;$A92))</f>
        <v>0</v>
      </c>
      <c r="BF92" s="3">
        <f>-IF(RTD("tos.rtd",,BF$83,"."&amp;$D$82&amp;$AW$82&amp;"P"&amp;$A92)="N/A",0,RTD("tos.rtd",,BF$83,"."&amp;$D$82&amp;$AW$82&amp;"P"&amp;$A92))</f>
        <v>0</v>
      </c>
      <c r="BG92" s="3">
        <f ca="1">+Hoja2!Y93</f>
        <v>1</v>
      </c>
      <c r="BH92" s="55">
        <f t="shared" ca="1" si="493"/>
        <v>1</v>
      </c>
      <c r="BI92" s="32" t="str">
        <f t="shared" ca="1" si="513"/>
        <v/>
      </c>
      <c r="BJ92" s="3" t="e">
        <f ca="1">IF($BP$1=1,DX92,IF(RTD("tos.rtd",,BJ$83,"."&amp;$B$82&amp;$AS$82&amp;"C"&amp;$A92)="N/A",0,RTD("tos.rtd",,BJ$83,"."&amp;$B$82&amp;$AS$82&amp;"C"&amp;$A92)))</f>
        <v>#NUM!</v>
      </c>
      <c r="BK92" s="3" t="e">
        <f ca="1">IF($BP$1=1,DY92,-IF(RTD("tos.rtd",,BK$83,"."&amp;$B$82&amp;$AS$82&amp;"P"&amp;$A92)="N/A",0,RTD("tos.rtd",,BK$83,"."&amp;$B$82&amp;$AS$82&amp;"P"&amp;$A92)))</f>
        <v>#NUM!</v>
      </c>
      <c r="BL92" s="3" t="e">
        <f ca="1">IF($BP$1=1,DZ92,IF(RTD("tos.rtd",,BL$83,"."&amp;$C$82&amp;$AU$82&amp;"C"&amp;$A92)="N/A",0,RTD("tos.rtd",,BL$83,"."&amp;$C$82&amp;$AU$82&amp;"C"&amp;$A92)))</f>
        <v>#NUM!</v>
      </c>
      <c r="BM92" s="3" t="e">
        <f ca="1">IF($BP$1=1,EA92,-IF(RTD("tos.rtd",,BM$83,"."&amp;$C$82&amp;$AU$82&amp;"P"&amp;$A92)="N/A",0,RTD("tos.rtd",,BM$83,"."&amp;$C$82&amp;$AU$82&amp;"P"&amp;$A92)))</f>
        <v>#NUM!</v>
      </c>
      <c r="BN92" s="3" t="e">
        <f ca="1">IF($BP$1=1,EB92,IF(RTD("tos.rtd",,BN$83,"."&amp;$D$82&amp;$AW$82&amp;"C"&amp;$A92)="N/A",0,RTD("tos.rtd",,BN$83,"."&amp;$D$82&amp;$AW$82&amp;"C"&amp;$A92)))</f>
        <v>#NUM!</v>
      </c>
      <c r="BO92" s="3" t="e">
        <f ca="1">IF($BP$1=1,EC92,-IF(RTD("tos.rtd",,BO$83,"."&amp;$D$82&amp;$AW$82&amp;"P"&amp;$A92)="N/A",0,RTD("tos.rtd",,BO$83,"."&amp;$D$82&amp;$AW$82&amp;"P"&amp;$A92)))</f>
        <v>#NUM!</v>
      </c>
      <c r="BQ92" s="3" t="e">
        <f t="shared" ca="1" si="456"/>
        <v>#NUM!</v>
      </c>
      <c r="BR92" s="3" t="e">
        <f t="shared" ca="1" si="494"/>
        <v>#NUM!</v>
      </c>
      <c r="BS92" s="3" t="e">
        <f t="shared" ca="1" si="457"/>
        <v>#NUM!</v>
      </c>
      <c r="BT92" s="3" t="e">
        <f t="shared" ca="1" si="494"/>
        <v>#NUM!</v>
      </c>
      <c r="BU92" s="3" t="e">
        <f t="shared" ca="1" si="458"/>
        <v>#NUM!</v>
      </c>
      <c r="BV92" s="3" t="e">
        <f t="shared" ca="1" si="494"/>
        <v>#NUM!</v>
      </c>
      <c r="BX92" s="3" t="e">
        <f t="shared" ca="1" si="459"/>
        <v>#NUM!</v>
      </c>
      <c r="BY92" s="3" t="e">
        <f t="shared" ca="1" si="510"/>
        <v>#NUM!</v>
      </c>
      <c r="BZ92" s="3" t="e">
        <f t="shared" ca="1" si="460"/>
        <v>#NUM!</v>
      </c>
      <c r="CA92" s="3" t="e">
        <f t="shared" ca="1" si="510"/>
        <v>#NUM!</v>
      </c>
      <c r="CB92" s="3" t="e">
        <f t="shared" ca="1" si="461"/>
        <v>#NUM!</v>
      </c>
      <c r="CC92" s="3" t="e">
        <f t="shared" ca="1" si="510"/>
        <v>#NUM!</v>
      </c>
      <c r="CD92" s="3">
        <f>IF(RTD("tos.rtd",,CD$83,"."&amp;$B$82&amp;$AS$82&amp;"C"&amp;$A92)="N/A",0,RTD("tos.rtd",,CD$83,"."&amp;$B$82&amp;$AS$82&amp;"C"&amp;$A92))</f>
        <v>0</v>
      </c>
      <c r="CE92" s="3">
        <f>-IF(RTD("tos.rtd",,CE$83,"."&amp;$B$82&amp;$AS$82&amp;"P"&amp;$A92)="N/A",0,RTD("tos.rtd",,CE$83,"."&amp;$B$82&amp;$AS$82&amp;"P"&amp;$A92))</f>
        <v>1</v>
      </c>
      <c r="CF92" s="3">
        <f>IF(RTD("tos.rtd",,CF$83,"."&amp;$C$82&amp;$AU$82&amp;"C"&amp;$A92)="N/A",0,RTD("tos.rtd",,CF$83,"."&amp;$C$82&amp;$AU$82&amp;"C"&amp;$A92))</f>
        <v>0</v>
      </c>
      <c r="CG92" s="3">
        <f>-IF(RTD("tos.rtd",,CG$83,"."&amp;$C$82&amp;$AU$82&amp;"P"&amp;$A92)="N/A",0,RTD("tos.rtd",,CG$83,"."&amp;$C$82&amp;$AU$82&amp;"P"&amp;$A92))</f>
        <v>0.99</v>
      </c>
      <c r="CH92" s="3">
        <f>IF(RTD("tos.rtd",,CH$83,"."&amp;$D$82&amp;$AW$82&amp;"C"&amp;$A92)="N/A",0,RTD("tos.rtd",,CH$83,"."&amp;$D$82&amp;$AW$82&amp;"C"&amp;$A92))</f>
        <v>0.24</v>
      </c>
      <c r="CI92" s="3">
        <f>-IF(RTD("tos.rtd",,CI$83,"."&amp;$D$82&amp;$AW$82&amp;"P"&amp;$A92)="N/A",0,RTD("tos.rtd",,CI$83,"."&amp;$D$82&amp;$AW$82&amp;"P"&amp;$A92))</f>
        <v>1</v>
      </c>
      <c r="CK92" s="3">
        <f t="shared" si="495"/>
        <v>-12800</v>
      </c>
      <c r="CL92" s="3"/>
      <c r="CM92" s="3">
        <f t="shared" si="496"/>
        <v>-21978</v>
      </c>
      <c r="CN92" s="3"/>
      <c r="CO92" s="3">
        <f t="shared" si="497"/>
        <v>-204088</v>
      </c>
      <c r="CP92" s="3">
        <f t="shared" si="462"/>
        <v>-238866</v>
      </c>
      <c r="CQ92" s="3">
        <f t="shared" si="463"/>
        <v>0</v>
      </c>
      <c r="CR92" s="3"/>
      <c r="CS92" s="3">
        <f t="shared" si="464"/>
        <v>0</v>
      </c>
      <c r="CT92" s="3"/>
      <c r="CU92" s="3">
        <f t="shared" si="465"/>
        <v>0</v>
      </c>
      <c r="CV92" s="3"/>
      <c r="CW92" s="3" t="e">
        <f t="shared" ca="1" si="498"/>
        <v>#NUM!</v>
      </c>
      <c r="CY92" s="3" t="e">
        <f t="shared" ca="1" si="467"/>
        <v>#NUM!</v>
      </c>
      <c r="CZ92" s="70" t="e">
        <f t="shared" ca="1" si="511"/>
        <v>#NUM!</v>
      </c>
      <c r="DA92" s="3">
        <f>IF(RTD("tos.rtd",,DA$83,"."&amp;$B$82&amp;$AS$82&amp;"C"&amp;$A92)="N/A",0,RTD("tos.rtd",,DA$83,"."&amp;$B$82&amp;$AS$82&amp;"C"&amp;$A92))</f>
        <v>0.03</v>
      </c>
      <c r="DB92" s="3">
        <f>IF(RTD("tos.rtd",,DB$83,"."&amp;$B$82&amp;$AS$82&amp;"P"&amp;$A92)="N/A",0,RTD("tos.rtd",,DB$83,"."&amp;$B$82&amp;$AS$82&amp;"P"&amp;$A92))</f>
        <v>134.5</v>
      </c>
      <c r="DC92" s="3">
        <f>IF(RTD("tos.rtd",,DC$83,"."&amp;$B$82&amp;$AS$82&amp;"C"&amp;$A92)="N/A",0,RTD("tos.rtd",,DC$83,"."&amp;$B$82&amp;$AS$82&amp;"C"&amp;$A92))</f>
        <v>0.05</v>
      </c>
      <c r="DD92" s="3">
        <f>IF(RTD("tos.rtd",,DD$83,"."&amp;$B$82&amp;$AS$82&amp;"P"&amp;$A92)="N/A",0,RTD("tos.rtd",,DD$83,"."&amp;$B$82&amp;$AS$82&amp;"P"&amp;$A92))</f>
        <v>137.30000000000001</v>
      </c>
      <c r="DE92" s="3">
        <f>IF(RTD("tos.rtd",,DE$83,"."&amp;$B$82&amp;$AS$82&amp;"C"&amp;$A92)="N/A",0,RTD("tos.rtd",,DE$83,"."&amp;$B$82&amp;$AS$82&amp;"C"&amp;$A92))</f>
        <v>0</v>
      </c>
      <c r="DF92" s="3">
        <f>IF(RTD("tos.rtd",,DF$83,"."&amp;$B$82&amp;$AS$82&amp;"P"&amp;$A92)="N/A",0,RTD("tos.rtd",,DF$83,"."&amp;$B$82&amp;$AS$82&amp;"P"&amp;$A92))</f>
        <v>133.5</v>
      </c>
      <c r="DG92" s="86">
        <f t="shared" si="499"/>
        <v>140.09000000000015</v>
      </c>
      <c r="DH92" s="3">
        <f t="shared" si="468"/>
        <v>-11802</v>
      </c>
      <c r="DI92" s="3">
        <f t="shared" si="469"/>
        <v>42.368421052631454</v>
      </c>
      <c r="DJ92" s="3">
        <f t="shared" si="470"/>
        <v>-19670</v>
      </c>
      <c r="DK92" s="3">
        <f t="shared" si="471"/>
        <v>-161</v>
      </c>
      <c r="DL92" s="3">
        <f t="shared" si="472"/>
        <v>-11759.631578947368</v>
      </c>
      <c r="DM92" s="3">
        <f t="shared" si="473"/>
        <v>-19831</v>
      </c>
      <c r="DN92" s="64" t="str">
        <f t="shared" si="474"/>
        <v>UNKNOWN</v>
      </c>
      <c r="DO92" s="64" t="str">
        <f t="shared" si="475"/>
        <v>UNKNOWN</v>
      </c>
      <c r="DP92" s="3">
        <f t="shared" si="476"/>
        <v>5344.4926315789298</v>
      </c>
      <c r="DQ92" s="3">
        <f t="shared" si="477"/>
        <v>-22244.6</v>
      </c>
      <c r="DR92" s="3" t="e">
        <f t="shared" ca="1" si="478"/>
        <v>#NUM!</v>
      </c>
      <c r="DS92" s="3">
        <f t="shared" si="479"/>
        <v>-161</v>
      </c>
      <c r="DT92" s="3">
        <f t="shared" si="500"/>
        <v>-19670</v>
      </c>
      <c r="DU92" s="3">
        <f t="shared" si="501"/>
        <v>161</v>
      </c>
      <c r="DV92" s="3">
        <f t="shared" si="502"/>
        <v>2353</v>
      </c>
      <c r="DW92" s="3">
        <f t="shared" si="503"/>
        <v>30</v>
      </c>
      <c r="DX92" s="3" t="e">
        <f t="shared" ca="1" si="512"/>
        <v>#NUM!</v>
      </c>
      <c r="DY92" s="3" t="e">
        <f t="shared" ca="1" si="480"/>
        <v>#NUM!</v>
      </c>
      <c r="DZ92" s="3" t="e">
        <f t="shared" ca="1" si="504"/>
        <v>#NUM!</v>
      </c>
      <c r="EA92" s="3" t="e">
        <f t="shared" ca="1" si="505"/>
        <v>#NUM!</v>
      </c>
      <c r="EB92" s="3" t="e">
        <f t="shared" ca="1" si="481"/>
        <v>#NUM!</v>
      </c>
      <c r="EC92" s="3" t="e">
        <f t="shared" ca="1" si="482"/>
        <v>#NUM!</v>
      </c>
      <c r="ED92" s="63">
        <f t="shared" si="506"/>
        <v>2383</v>
      </c>
      <c r="EE92" s="59">
        <f t="shared" si="483"/>
        <v>1.1097999999999999</v>
      </c>
      <c r="EF92" s="59">
        <f t="shared" si="484"/>
        <v>0.25</v>
      </c>
      <c r="EG92" s="59">
        <f t="shared" si="485"/>
        <v>1.1097999999999999</v>
      </c>
      <c r="EH92" s="59">
        <f t="shared" si="486"/>
        <v>1.4089</v>
      </c>
      <c r="EI92" s="59">
        <f t="shared" si="487"/>
        <v>0.2888</v>
      </c>
      <c r="EJ92" s="59">
        <f t="shared" si="488"/>
        <v>0.25</v>
      </c>
      <c r="EK92" s="63" t="e">
        <f t="shared" ca="1" si="507"/>
        <v>#NUM!</v>
      </c>
      <c r="EL92" s="3" t="str">
        <f>RTD("tos.rtd",,EL$83,"."&amp;$B$82&amp;$AS$82&amp;"C"&amp;$A92)</f>
        <v>110.98%</v>
      </c>
      <c r="EM92" s="3" t="str">
        <f>RTD("tos.rtd",,EM$83,"."&amp;$B$82&amp;$AS$82&amp;"P"&amp;$A92)</f>
        <v>--</v>
      </c>
      <c r="EN92" s="3" t="str">
        <f>RTD("tos.rtd",,EN$83,"."&amp;$C$82&amp;$AU$82&amp;"C"&amp;$A92)</f>
        <v>110.98%</v>
      </c>
      <c r="EO92" s="3" t="str">
        <f>RTD("tos.rtd",,EO$83,"."&amp;$C$82&amp;$AU$82&amp;"P"&amp;$A92)</f>
        <v>140.89%</v>
      </c>
      <c r="EP92" s="3" t="str">
        <f>RTD("tos.rtd",,EP$83,"."&amp;$D$82&amp;$AW$82&amp;"C"&amp;$A92)</f>
        <v>28.88%</v>
      </c>
      <c r="EQ92" s="3" t="str">
        <f>RTD("tos.rtd",,EQ$83,"."&amp;$D$82&amp;$AW$82&amp;"P"&amp;$A92)</f>
        <v>--</v>
      </c>
      <c r="ES92" s="63" t="str">
        <f t="shared" si="489"/>
        <v>5800,2383.00</v>
      </c>
      <c r="ET92" s="63" t="str">
        <f t="shared" ca="1" si="490"/>
        <v>5800,00.00</v>
      </c>
      <c r="EU92" s="67">
        <v>561.14</v>
      </c>
      <c r="EV92" s="67" t="s">
        <v>755</v>
      </c>
      <c r="EW92" s="67">
        <v>483.42</v>
      </c>
      <c r="EX92" s="67" t="s">
        <v>756</v>
      </c>
      <c r="EY92" s="67">
        <v>5631.28</v>
      </c>
      <c r="EZ92" s="67" t="s">
        <v>757</v>
      </c>
      <c r="FA92" s="67">
        <v>19867.973000000002</v>
      </c>
      <c r="FB92" s="67" t="s">
        <v>758</v>
      </c>
      <c r="FC92" s="67" t="s">
        <v>759</v>
      </c>
      <c r="FD92" s="67" t="s">
        <v>760</v>
      </c>
      <c r="FE92" s="68" t="s">
        <v>761</v>
      </c>
      <c r="FF92" s="68" t="s">
        <v>762</v>
      </c>
    </row>
    <row r="93" spans="1:162" s="63" customFormat="1" ht="12" customHeight="1" thickBot="1" x14ac:dyDescent="0.25">
      <c r="A93" s="2">
        <f t="shared" si="508"/>
        <v>5790</v>
      </c>
      <c r="B93" s="3">
        <f t="shared" si="451"/>
        <v>1162</v>
      </c>
      <c r="C93" s="3">
        <f t="shared" si="452"/>
        <v>2415</v>
      </c>
      <c r="D93" s="3">
        <f t="shared" si="453"/>
        <v>884</v>
      </c>
      <c r="E93" s="3">
        <f t="shared" si="454"/>
        <v>4461</v>
      </c>
      <c r="F93" s="4">
        <f>+$F$84/$A$84*A93</f>
        <v>5878.580224773892</v>
      </c>
      <c r="G93" s="4">
        <f t="shared" si="491"/>
        <v>584.23665747335212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>
        <v>-193</v>
      </c>
      <c r="AN93" s="20">
        <v>0</v>
      </c>
      <c r="AO93" s="20">
        <v>5790</v>
      </c>
      <c r="AP93" s="20">
        <v>8518</v>
      </c>
      <c r="AQ93" s="20">
        <v>-33</v>
      </c>
      <c r="AR93" s="20"/>
      <c r="AS93" s="54">
        <f>IF(RTD("tos.rtd",,AS$83,"."&amp;$B$82&amp;$AS$82&amp;"C"&amp;$A93)="N/A",0,RTD("tos.rtd",,AS$83,"."&amp;$B$82&amp;$AS$82&amp;"C"&amp;$A93))</f>
        <v>1145</v>
      </c>
      <c r="AT93" s="3">
        <f>-IF(RTD("tos.rtd",,AT$83,"."&amp;$B$82&amp;$AS$82&amp;"P"&amp;$A93)="N/A",0,RTD("tos.rtd",,AT$83,"."&amp;$B$82&amp;$AS$82&amp;"P"&amp;$A93))</f>
        <v>-17</v>
      </c>
      <c r="AU93" s="54">
        <f>IF(RTD("tos.rtd",,AU$83,"."&amp;$C$82&amp;$AU$82&amp;"C"&amp;$A93)="N/A",0,RTD("tos.rtd",,AU$83,"."&amp;$C$82&amp;$AU$82&amp;"C"&amp;$A93))</f>
        <v>1853</v>
      </c>
      <c r="AV93" s="3">
        <f>-IF(RTD("tos.rtd",,AV$83,"."&amp;$C$82&amp;$AU$82&amp;"P"&amp;$A93)="N/A",0,RTD("tos.rtd",,AV$83,"."&amp;$C$82&amp;$AU$82&amp;"P"&amp;$A93))</f>
        <v>-562</v>
      </c>
      <c r="AW93" s="54">
        <f>IF(RTD("tos.rtd",,AW$83,"."&amp;$D$82&amp;$AW$82&amp;"C"&amp;$A93)="N/A",0,RTD("tos.rtd",,AW$83,"."&amp;$D$82&amp;$AW$82&amp;"C"&amp;$A93))</f>
        <v>676</v>
      </c>
      <c r="AX93" s="3">
        <f>-IF(RTD("tos.rtd",,AX$83,"."&amp;$D$82&amp;$AW$82&amp;"P"&amp;$A93)="N/A",0,RTD("tos.rtd",,AX$83,"."&amp;$D$82&amp;$AW$82&amp;"P"&amp;$A93))</f>
        <v>-208</v>
      </c>
      <c r="AY93" s="79">
        <f t="shared" si="492"/>
        <v>2887</v>
      </c>
      <c r="AZ93" s="8">
        <f t="shared" si="455"/>
        <v>5790</v>
      </c>
      <c r="BA93" s="54">
        <f>IF(RTD("tos.rtd",,BA$83,"."&amp;$B$82&amp;$AS$82&amp;"C"&amp;$A93)="N/A",0,RTD("tos.rtd",,BA$83,"."&amp;$B$82&amp;$AS$82&amp;"C"&amp;$A93))</f>
        <v>0</v>
      </c>
      <c r="BB93" s="3">
        <f>-IF(RTD("tos.rtd",,BB$83,"."&amp;$B$82&amp;$AS$82&amp;"P"&amp;$A93)="N/A",0,RTD("tos.rtd",,BB$83,"."&amp;$B$82&amp;$AS$82&amp;"P"&amp;$A93))</f>
        <v>0</v>
      </c>
      <c r="BC93" s="54">
        <f>IF(RTD("tos.rtd",,BC$83,"."&amp;$C$82&amp;$AU$82&amp;"C"&amp;$A93)="N/A",0,RTD("tos.rtd",,BC$83,"."&amp;$C$82&amp;$AU$82&amp;"C"&amp;$A93))</f>
        <v>0</v>
      </c>
      <c r="BD93" s="3">
        <f>-IF(RTD("tos.rtd",,BD$83,"."&amp;$C$82&amp;$AU$82&amp;"P"&amp;$A93)="N/A",0,RTD("tos.rtd",,BD$83,"."&amp;$C$82&amp;$AU$82&amp;"P"&amp;$A93))</f>
        <v>0</v>
      </c>
      <c r="BE93" s="54">
        <f>IF(RTD("tos.rtd",,BE$83,"."&amp;$D$82&amp;$AW$82&amp;"C"&amp;$A93)="N/A",0,RTD("tos.rtd",,BE$83,"."&amp;$D$82&amp;$AW$82&amp;"C"&amp;$A93))</f>
        <v>0</v>
      </c>
      <c r="BF93" s="3">
        <f>-IF(RTD("tos.rtd",,BF$83,"."&amp;$D$82&amp;$AW$82&amp;"P"&amp;$A93)="N/A",0,RTD("tos.rtd",,BF$83,"."&amp;$D$82&amp;$AW$82&amp;"P"&amp;$A93))</f>
        <v>0</v>
      </c>
      <c r="BG93" s="3">
        <f ca="1">+Hoja2!Y94</f>
        <v>0</v>
      </c>
      <c r="BH93" s="55">
        <f t="shared" ca="1" si="493"/>
        <v>0</v>
      </c>
      <c r="BI93" s="32" t="str">
        <f t="shared" ca="1" si="513"/>
        <v/>
      </c>
      <c r="BJ93" s="3" t="e">
        <f ca="1">IF($BP$1=1,DX93,IF(RTD("tos.rtd",,BJ$83,"."&amp;$B$82&amp;$AS$82&amp;"C"&amp;$A93)="N/A",0,RTD("tos.rtd",,BJ$83,"."&amp;$B$82&amp;$AS$82&amp;"C"&amp;$A93)))</f>
        <v>#NUM!</v>
      </c>
      <c r="BK93" s="3" t="e">
        <f ca="1">IF($BP$1=1,DY93,-IF(RTD("tos.rtd",,BK$83,"."&amp;$B$82&amp;$AS$82&amp;"P"&amp;$A93)="N/A",0,RTD("tos.rtd",,BK$83,"."&amp;$B$82&amp;$AS$82&amp;"P"&amp;$A93)))</f>
        <v>#NUM!</v>
      </c>
      <c r="BL93" s="3" t="e">
        <f ca="1">IF($BP$1=1,DZ93,IF(RTD("tos.rtd",,BL$83,"."&amp;$C$82&amp;$AU$82&amp;"C"&amp;$A93)="N/A",0,RTD("tos.rtd",,BL$83,"."&amp;$C$82&amp;$AU$82&amp;"C"&amp;$A93)))</f>
        <v>#NUM!</v>
      </c>
      <c r="BM93" s="3" t="e">
        <f ca="1">IF($BP$1=1,EA93,-IF(RTD("tos.rtd",,BM$83,"."&amp;$C$82&amp;$AU$82&amp;"P"&amp;$A93)="N/A",0,RTD("tos.rtd",,BM$83,"."&amp;$C$82&amp;$AU$82&amp;"P"&amp;$A93)))</f>
        <v>#NUM!</v>
      </c>
      <c r="BN93" s="3" t="e">
        <f ca="1">IF($BP$1=1,EB93,IF(RTD("tos.rtd",,BN$83,"."&amp;$D$82&amp;$AW$82&amp;"C"&amp;$A93)="N/A",0,RTD("tos.rtd",,BN$83,"."&amp;$D$82&amp;$AW$82&amp;"C"&amp;$A93)))</f>
        <v>#NUM!</v>
      </c>
      <c r="BO93" s="3" t="e">
        <f ca="1">IF($BP$1=1,EC93,-IF(RTD("tos.rtd",,BO$83,"."&amp;$D$82&amp;$AW$82&amp;"P"&amp;$A93)="N/A",0,RTD("tos.rtd",,BO$83,"."&amp;$D$82&amp;$AW$82&amp;"P"&amp;$A93)))</f>
        <v>#NUM!</v>
      </c>
      <c r="BQ93" s="3" t="e">
        <f t="shared" ca="1" si="456"/>
        <v>#NUM!</v>
      </c>
      <c r="BR93" s="3" t="e">
        <f t="shared" ca="1" si="494"/>
        <v>#NUM!</v>
      </c>
      <c r="BS93" s="3" t="e">
        <f t="shared" ca="1" si="457"/>
        <v>#NUM!</v>
      </c>
      <c r="BT93" s="3" t="e">
        <f t="shared" ca="1" si="494"/>
        <v>#NUM!</v>
      </c>
      <c r="BU93" s="3" t="e">
        <f t="shared" ca="1" si="458"/>
        <v>#NUM!</v>
      </c>
      <c r="BV93" s="3" t="e">
        <f t="shared" ca="1" si="494"/>
        <v>#NUM!</v>
      </c>
      <c r="BX93" s="3" t="e">
        <f t="shared" ca="1" si="459"/>
        <v>#NUM!</v>
      </c>
      <c r="BY93" s="3" t="e">
        <f t="shared" ca="1" si="510"/>
        <v>#NUM!</v>
      </c>
      <c r="BZ93" s="3" t="e">
        <f t="shared" ca="1" si="460"/>
        <v>#NUM!</v>
      </c>
      <c r="CA93" s="3" t="e">
        <f t="shared" ca="1" si="510"/>
        <v>#NUM!</v>
      </c>
      <c r="CB93" s="3" t="e">
        <f t="shared" ca="1" si="461"/>
        <v>#NUM!</v>
      </c>
      <c r="CC93" s="3" t="e">
        <f t="shared" ca="1" si="510"/>
        <v>#NUM!</v>
      </c>
      <c r="CD93" s="3">
        <f>IF(RTD("tos.rtd",,CD$83,"."&amp;$B$82&amp;$AS$82&amp;"C"&amp;$A93)="N/A",0,RTD("tos.rtd",,CD$83,"."&amp;$B$82&amp;$AS$82&amp;"C"&amp;$A93))</f>
        <v>0</v>
      </c>
      <c r="CE93" s="3">
        <f>-IF(RTD("tos.rtd",,CE$83,"."&amp;$B$82&amp;$AS$82&amp;"P"&amp;$A93)="N/A",0,RTD("tos.rtd",,CE$83,"."&amp;$B$82&amp;$AS$82&amp;"P"&amp;$A93))</f>
        <v>1</v>
      </c>
      <c r="CF93" s="3">
        <f>IF(RTD("tos.rtd",,CF$83,"."&amp;$C$82&amp;$AU$82&amp;"C"&amp;$A93)="N/A",0,RTD("tos.rtd",,CF$83,"."&amp;$C$82&amp;$AU$82&amp;"C"&amp;$A93))</f>
        <v>0</v>
      </c>
      <c r="CG93" s="3">
        <f>-IF(RTD("tos.rtd",,CG$83,"."&amp;$C$82&amp;$AU$82&amp;"P"&amp;$A93)="N/A",0,RTD("tos.rtd",,CG$83,"."&amp;$C$82&amp;$AU$82&amp;"P"&amp;$A93))</f>
        <v>0.99</v>
      </c>
      <c r="CH93" s="3">
        <f>IF(RTD("tos.rtd",,CH$83,"."&amp;$D$82&amp;$AW$82&amp;"C"&amp;$A93)="N/A",0,RTD("tos.rtd",,CH$83,"."&amp;$D$82&amp;$AW$82&amp;"C"&amp;$A93))</f>
        <v>0.26</v>
      </c>
      <c r="CI93" s="3">
        <f>-IF(RTD("tos.rtd",,CI$83,"."&amp;$D$82&amp;$AW$82&amp;"P"&amp;$A93)="N/A",0,RTD("tos.rtd",,CI$83,"."&amp;$D$82&amp;$AW$82&amp;"P"&amp;$A93))</f>
        <v>1</v>
      </c>
      <c r="CK93" s="3">
        <f t="shared" ref="CK93:CK98" si="514">+AS93*CD93*100+AT93*CE93*100</f>
        <v>-1700</v>
      </c>
      <c r="CL93" s="3"/>
      <c r="CM93" s="3">
        <f t="shared" ref="CM93:CM98" si="515">+AU93*CF93*100+AV93*CG93*100</f>
        <v>-55638</v>
      </c>
      <c r="CN93" s="3"/>
      <c r="CO93" s="3">
        <f t="shared" ref="CO93:CO98" si="516">+AW93*CH93*100+AX93*CI93*100</f>
        <v>-3223.9999999999964</v>
      </c>
      <c r="CP93" s="3">
        <f t="shared" si="462"/>
        <v>-60562</v>
      </c>
      <c r="CQ93" s="3">
        <f t="shared" si="463"/>
        <v>0</v>
      </c>
      <c r="CR93" s="3"/>
      <c r="CS93" s="3">
        <f t="shared" si="464"/>
        <v>0</v>
      </c>
      <c r="CT93" s="3"/>
      <c r="CU93" s="3">
        <f t="shared" si="465"/>
        <v>0</v>
      </c>
      <c r="CV93" s="3"/>
      <c r="CW93" s="3" t="e">
        <f t="shared" ca="1" si="498"/>
        <v>#NUM!</v>
      </c>
      <c r="CY93" s="3" t="e">
        <f t="shared" ca="1" si="467"/>
        <v>#NUM!</v>
      </c>
      <c r="CZ93" s="70" t="e">
        <f t="shared" ca="1" si="511"/>
        <v>#NUM!</v>
      </c>
      <c r="DA93" s="3">
        <f>IF(RTD("tos.rtd",,DA$83,"."&amp;$B$82&amp;$AS$82&amp;"C"&amp;$A93)="N/A",0,RTD("tos.rtd",,DA$83,"."&amp;$B$82&amp;$AS$82&amp;"C"&amp;$A93))</f>
        <v>0.03</v>
      </c>
      <c r="DB93" s="3">
        <f>IF(RTD("tos.rtd",,DB$83,"."&amp;$B$82&amp;$AS$82&amp;"P"&amp;$A93)="N/A",0,RTD("tos.rtd",,DB$83,"."&amp;$B$82&amp;$AS$82&amp;"P"&amp;$A93))</f>
        <v>84.1</v>
      </c>
      <c r="DC93" s="3">
        <f>IF(RTD("tos.rtd",,DC$83,"."&amp;$B$82&amp;$AS$82&amp;"C"&amp;$A93)="N/A",0,RTD("tos.rtd",,DC$83,"."&amp;$B$82&amp;$AS$82&amp;"C"&amp;$A93))</f>
        <v>0.05</v>
      </c>
      <c r="DD93" s="3">
        <f>IF(RTD("tos.rtd",,DD$83,"."&amp;$B$82&amp;$AS$82&amp;"P"&amp;$A93)="N/A",0,RTD("tos.rtd",,DD$83,"."&amp;$B$82&amp;$AS$82&amp;"P"&amp;$A93))</f>
        <v>127.3</v>
      </c>
      <c r="DE93" s="3">
        <f>IF(RTD("tos.rtd",,DE$83,"."&amp;$B$82&amp;$AS$82&amp;"C"&amp;$A93)="N/A",0,RTD("tos.rtd",,DE$83,"."&amp;$B$82&amp;$AS$82&amp;"C"&amp;$A93))</f>
        <v>0</v>
      </c>
      <c r="DF93" s="3">
        <f>IF(RTD("tos.rtd",,DF$83,"."&amp;$B$82&amp;$AS$82&amp;"P"&amp;$A93)="N/A",0,RTD("tos.rtd",,DF$83,"."&amp;$B$82&amp;$AS$82&amp;"P"&amp;$A93))</f>
        <v>123.5</v>
      </c>
      <c r="DG93" s="86">
        <f t="shared" si="499"/>
        <v>130.09000000000015</v>
      </c>
      <c r="DH93" s="3">
        <f t="shared" si="468"/>
        <v>-5110.8</v>
      </c>
      <c r="DI93" s="3">
        <f t="shared" si="469"/>
        <v>-342.15789473684237</v>
      </c>
      <c r="DJ93" s="3">
        <f t="shared" si="470"/>
        <v>-8518</v>
      </c>
      <c r="DK93" s="3">
        <f t="shared" si="471"/>
        <v>-33</v>
      </c>
      <c r="DL93" s="3">
        <f t="shared" si="472"/>
        <v>-5452.9578947368427</v>
      </c>
      <c r="DM93" s="3">
        <f t="shared" si="473"/>
        <v>-8551</v>
      </c>
      <c r="DN93" s="64" t="str">
        <f t="shared" si="474"/>
        <v>UNKNOWN</v>
      </c>
      <c r="DO93" s="64" t="str">
        <f t="shared" si="475"/>
        <v>UNKNOWN</v>
      </c>
      <c r="DP93" s="3">
        <f t="shared" si="476"/>
        <v>-28928.80294736844</v>
      </c>
      <c r="DQ93" s="3">
        <f t="shared" si="477"/>
        <v>-3030.8399999999997</v>
      </c>
      <c r="DR93" s="3" t="e">
        <f t="shared" ca="1" si="478"/>
        <v>#NUM!</v>
      </c>
      <c r="DS93" s="3">
        <f t="shared" si="479"/>
        <v>-33</v>
      </c>
      <c r="DT93" s="3">
        <f t="shared" si="500"/>
        <v>-8518</v>
      </c>
      <c r="DU93" s="3">
        <f t="shared" si="501"/>
        <v>33</v>
      </c>
      <c r="DV93" s="3">
        <f t="shared" si="502"/>
        <v>-193</v>
      </c>
      <c r="DW93" s="3">
        <f t="shared" si="503"/>
        <v>0</v>
      </c>
      <c r="DX93" s="3" t="e">
        <f t="shared" ca="1" si="512"/>
        <v>#NUM!</v>
      </c>
      <c r="DY93" s="3" t="e">
        <f t="shared" ca="1" si="480"/>
        <v>#NUM!</v>
      </c>
      <c r="DZ93" s="3" t="e">
        <f t="shared" ca="1" si="504"/>
        <v>#NUM!</v>
      </c>
      <c r="EA93" s="3" t="e">
        <f t="shared" ca="1" si="505"/>
        <v>#NUM!</v>
      </c>
      <c r="EB93" s="3" t="e">
        <f t="shared" ca="1" si="481"/>
        <v>#NUM!</v>
      </c>
      <c r="EC93" s="3" t="e">
        <f t="shared" ca="1" si="482"/>
        <v>#NUM!</v>
      </c>
      <c r="ED93" s="63">
        <f t="shared" si="506"/>
        <v>-193</v>
      </c>
      <c r="EE93" s="59">
        <f t="shared" si="483"/>
        <v>1.0386</v>
      </c>
      <c r="EF93" s="59">
        <f t="shared" si="484"/>
        <v>0.25</v>
      </c>
      <c r="EG93" s="59">
        <f t="shared" si="485"/>
        <v>1.0386</v>
      </c>
      <c r="EH93" s="59">
        <f t="shared" si="486"/>
        <v>1.3222</v>
      </c>
      <c r="EI93" s="59">
        <f t="shared" si="487"/>
        <v>0.29380000000000001</v>
      </c>
      <c r="EJ93" s="59">
        <f t="shared" si="488"/>
        <v>0.25</v>
      </c>
      <c r="EK93" s="63" t="e">
        <f t="shared" ca="1" si="507"/>
        <v>#NUM!</v>
      </c>
      <c r="EL93" s="3" t="str">
        <f>RTD("tos.rtd",,EL$83,"."&amp;$B$82&amp;$AS$82&amp;"C"&amp;$A93)</f>
        <v>103.86%</v>
      </c>
      <c r="EM93" s="3" t="str">
        <f>RTD("tos.rtd",,EM$83,"."&amp;$B$82&amp;$AS$82&amp;"P"&amp;$A93)</f>
        <v>--</v>
      </c>
      <c r="EN93" s="3" t="str">
        <f>RTD("tos.rtd",,EN$83,"."&amp;$C$82&amp;$AU$82&amp;"C"&amp;$A93)</f>
        <v>103.86%</v>
      </c>
      <c r="EO93" s="3" t="str">
        <f>RTD("tos.rtd",,EO$83,"."&amp;$C$82&amp;$AU$82&amp;"P"&amp;$A93)</f>
        <v>132.22%</v>
      </c>
      <c r="EP93" s="3" t="str">
        <f>RTD("tos.rtd",,EP$83,"."&amp;$D$82&amp;$AW$82&amp;"C"&amp;$A93)</f>
        <v>29.38%</v>
      </c>
      <c r="EQ93" s="3" t="str">
        <f>RTD("tos.rtd",,EQ$83,"."&amp;$D$82&amp;$AW$82&amp;"P"&amp;$A93)</f>
        <v>--</v>
      </c>
      <c r="ES93" s="63" t="str">
        <f t="shared" si="489"/>
        <v>5790,-193.00</v>
      </c>
      <c r="ET93" s="63" t="str">
        <f t="shared" ca="1" si="490"/>
        <v>5790,00.00</v>
      </c>
      <c r="EU93" s="67">
        <v>561.16</v>
      </c>
      <c r="EV93" s="67" t="s">
        <v>763</v>
      </c>
      <c r="EW93" s="67">
        <v>483.59</v>
      </c>
      <c r="EX93" s="67" t="s">
        <v>764</v>
      </c>
      <c r="EY93" s="67">
        <v>5631.28</v>
      </c>
      <c r="EZ93" s="67" t="s">
        <v>765</v>
      </c>
      <c r="FA93" s="67">
        <v>19867.973000000002</v>
      </c>
      <c r="FB93" s="67" t="s">
        <v>766</v>
      </c>
      <c r="FC93" s="67" t="s">
        <v>767</v>
      </c>
      <c r="FD93" s="67" t="s">
        <v>768</v>
      </c>
      <c r="FE93" s="68" t="s">
        <v>769</v>
      </c>
      <c r="FF93" s="68" t="s">
        <v>770</v>
      </c>
    </row>
    <row r="94" spans="1:162" s="63" customFormat="1" ht="12" customHeight="1" thickBot="1" x14ac:dyDescent="0.25">
      <c r="A94" s="2">
        <f t="shared" si="508"/>
        <v>5780</v>
      </c>
      <c r="B94" s="3">
        <f t="shared" si="451"/>
        <v>1450</v>
      </c>
      <c r="C94" s="3">
        <f t="shared" si="452"/>
        <v>1092</v>
      </c>
      <c r="D94" s="3">
        <f t="shared" si="453"/>
        <v>879</v>
      </c>
      <c r="E94" s="3">
        <f t="shared" si="454"/>
        <v>3421</v>
      </c>
      <c r="F94" s="4">
        <f t="shared" ref="F94:F98" si="517">+$F$84/$A$84*A94</f>
        <v>5868.4272364754916</v>
      </c>
      <c r="G94" s="4">
        <f t="shared" si="491"/>
        <v>583.22761315992659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>
        <v>-2832</v>
      </c>
      <c r="AN94" s="20">
        <v>-232</v>
      </c>
      <c r="AO94" s="20">
        <v>5780</v>
      </c>
      <c r="AP94" s="20">
        <v>11174</v>
      </c>
      <c r="AQ94" s="20">
        <v>-243</v>
      </c>
      <c r="AR94" s="20"/>
      <c r="AS94" s="54">
        <f>IF(RTD("tos.rtd",,AS$83,"."&amp;$B$82&amp;$AS$82&amp;"C"&amp;$A94)="N/A",0,RTD("tos.rtd",,AS$83,"."&amp;$B$82&amp;$AS$82&amp;"C"&amp;$A94))</f>
        <v>1439</v>
      </c>
      <c r="AT94" s="3">
        <f>-IF(RTD("tos.rtd",,AT$83,"."&amp;$B$82&amp;$AS$82&amp;"P"&amp;$A94)="N/A",0,RTD("tos.rtd",,AT$83,"."&amp;$B$82&amp;$AS$82&amp;"P"&amp;$A94))</f>
        <v>-11</v>
      </c>
      <c r="AU94" s="54">
        <f>IF(RTD("tos.rtd",,AU$83,"."&amp;$C$82&amp;$AU$82&amp;"C"&amp;$A94)="N/A",0,RTD("tos.rtd",,AU$83,"."&amp;$C$82&amp;$AU$82&amp;"C"&amp;$A94))</f>
        <v>1006</v>
      </c>
      <c r="AV94" s="3">
        <f>-IF(RTD("tos.rtd",,AV$83,"."&amp;$C$82&amp;$AU$82&amp;"P"&amp;$A94)="N/A",0,RTD("tos.rtd",,AV$83,"."&amp;$C$82&amp;$AU$82&amp;"P"&amp;$A94))</f>
        <v>-86</v>
      </c>
      <c r="AW94" s="54">
        <f>IF(RTD("tos.rtd",,AW$83,"."&amp;$D$82&amp;$AW$82&amp;"C"&amp;$A94)="N/A",0,RTD("tos.rtd",,AW$83,"."&amp;$D$82&amp;$AW$82&amp;"C"&amp;$A94))</f>
        <v>428</v>
      </c>
      <c r="AX94" s="3">
        <f>-IF(RTD("tos.rtd",,AX$83,"."&amp;$D$82&amp;$AW$82&amp;"P"&amp;$A94)="N/A",0,RTD("tos.rtd",,AX$83,"."&amp;$D$82&amp;$AW$82&amp;"P"&amp;$A94))</f>
        <v>-451</v>
      </c>
      <c r="AY94" s="79">
        <f t="shared" si="492"/>
        <v>2325</v>
      </c>
      <c r="AZ94" s="8">
        <f t="shared" si="455"/>
        <v>5780</v>
      </c>
      <c r="BA94" s="54">
        <f>IF(RTD("tos.rtd",,BA$83,"."&amp;$B$82&amp;$AS$82&amp;"C"&amp;$A94)="N/A",0,RTD("tos.rtd",,BA$83,"."&amp;$B$82&amp;$AS$82&amp;"C"&amp;$A94))</f>
        <v>0</v>
      </c>
      <c r="BB94" s="3">
        <f>-IF(RTD("tos.rtd",,BB$83,"."&amp;$B$82&amp;$AS$82&amp;"P"&amp;$A94)="N/A",0,RTD("tos.rtd",,BB$83,"."&amp;$B$82&amp;$AS$82&amp;"P"&amp;$A94))</f>
        <v>0</v>
      </c>
      <c r="BC94" s="54">
        <f>IF(RTD("tos.rtd",,BC$83,"."&amp;$C$82&amp;$AU$82&amp;"C"&amp;$A94)="N/A",0,RTD("tos.rtd",,BC$83,"."&amp;$C$82&amp;$AU$82&amp;"C"&amp;$A94))</f>
        <v>0</v>
      </c>
      <c r="BD94" s="3">
        <f>-IF(RTD("tos.rtd",,BD$83,"."&amp;$C$82&amp;$AU$82&amp;"P"&amp;$A94)="N/A",0,RTD("tos.rtd",,BD$83,"."&amp;$C$82&amp;$AU$82&amp;"P"&amp;$A94))</f>
        <v>0</v>
      </c>
      <c r="BE94" s="54">
        <f>IF(RTD("tos.rtd",,BE$83,"."&amp;$D$82&amp;$AW$82&amp;"C"&amp;$A94)="N/A",0,RTD("tos.rtd",,BE$83,"."&amp;$D$82&amp;$AW$82&amp;"C"&amp;$A94))</f>
        <v>0</v>
      </c>
      <c r="BF94" s="3">
        <f>-IF(RTD("tos.rtd",,BF$83,"."&amp;$D$82&amp;$AW$82&amp;"P"&amp;$A94)="N/A",0,RTD("tos.rtd",,BF$83,"."&amp;$D$82&amp;$AW$82&amp;"P"&amp;$A94))</f>
        <v>0</v>
      </c>
      <c r="BG94" s="3">
        <f ca="1">+Hoja2!Y95</f>
        <v>0</v>
      </c>
      <c r="BH94" s="55">
        <f t="shared" ca="1" si="493"/>
        <v>0</v>
      </c>
      <c r="BI94" s="32" t="str">
        <f t="shared" ca="1" si="513"/>
        <v/>
      </c>
      <c r="BJ94" s="3" t="e">
        <f ca="1">IF($BP$1=1,DX94,IF(RTD("tos.rtd",,BJ$83,"."&amp;$B$82&amp;$AS$82&amp;"C"&amp;$A94)="N/A",0,RTD("tos.rtd",,BJ$83,"."&amp;$B$82&amp;$AS$82&amp;"C"&amp;$A94)))</f>
        <v>#NUM!</v>
      </c>
      <c r="BK94" s="3" t="e">
        <f ca="1">IF($BP$1=1,DY94,-IF(RTD("tos.rtd",,BK$83,"."&amp;$B$82&amp;$AS$82&amp;"P"&amp;$A94)="N/A",0,RTD("tos.rtd",,BK$83,"."&amp;$B$82&amp;$AS$82&amp;"P"&amp;$A94)))</f>
        <v>#NUM!</v>
      </c>
      <c r="BL94" s="3" t="e">
        <f ca="1">IF($BP$1=1,DZ94,IF(RTD("tos.rtd",,BL$83,"."&amp;$C$82&amp;$AU$82&amp;"C"&amp;$A94)="N/A",0,RTD("tos.rtd",,BL$83,"."&amp;$C$82&amp;$AU$82&amp;"C"&amp;$A94)))</f>
        <v>#NUM!</v>
      </c>
      <c r="BM94" s="3" t="e">
        <f ca="1">IF($BP$1=1,EA94,-IF(RTD("tos.rtd",,BM$83,"."&amp;$C$82&amp;$AU$82&amp;"P"&amp;$A94)="N/A",0,RTD("tos.rtd",,BM$83,"."&amp;$C$82&amp;$AU$82&amp;"P"&amp;$A94)))</f>
        <v>#NUM!</v>
      </c>
      <c r="BN94" s="3" t="e">
        <f ca="1">IF($BP$1=1,EB94,IF(RTD("tos.rtd",,BN$83,"."&amp;$D$82&amp;$AW$82&amp;"C"&amp;$A94)="N/A",0,RTD("tos.rtd",,BN$83,"."&amp;$D$82&amp;$AW$82&amp;"C"&amp;$A94)))</f>
        <v>#NUM!</v>
      </c>
      <c r="BO94" s="3" t="e">
        <f ca="1">IF($BP$1=1,EC94,-IF(RTD("tos.rtd",,BO$83,"."&amp;$D$82&amp;$AW$82&amp;"P"&amp;$A94)="N/A",0,RTD("tos.rtd",,BO$83,"."&amp;$D$82&amp;$AW$82&amp;"P"&amp;$A94)))</f>
        <v>#NUM!</v>
      </c>
      <c r="BQ94" s="3" t="e">
        <f t="shared" ca="1" si="456"/>
        <v>#NUM!</v>
      </c>
      <c r="BR94" s="3" t="e">
        <f t="shared" ca="1" si="494"/>
        <v>#NUM!</v>
      </c>
      <c r="BS94" s="3" t="e">
        <f t="shared" ca="1" si="457"/>
        <v>#NUM!</v>
      </c>
      <c r="BT94" s="3" t="e">
        <f t="shared" ca="1" si="494"/>
        <v>#NUM!</v>
      </c>
      <c r="BU94" s="3" t="e">
        <f t="shared" ca="1" si="458"/>
        <v>#NUM!</v>
      </c>
      <c r="BV94" s="3" t="e">
        <f t="shared" ca="1" si="494"/>
        <v>#NUM!</v>
      </c>
      <c r="BX94" s="3" t="e">
        <f t="shared" ca="1" si="459"/>
        <v>#NUM!</v>
      </c>
      <c r="BY94" s="3" t="e">
        <f t="shared" ca="1" si="510"/>
        <v>#NUM!</v>
      </c>
      <c r="BZ94" s="3" t="e">
        <f t="shared" ca="1" si="460"/>
        <v>#NUM!</v>
      </c>
      <c r="CA94" s="3" t="e">
        <f t="shared" ca="1" si="510"/>
        <v>#NUM!</v>
      </c>
      <c r="CB94" s="3" t="e">
        <f t="shared" ca="1" si="461"/>
        <v>#NUM!</v>
      </c>
      <c r="CC94" s="3" t="e">
        <f t="shared" ca="1" si="510"/>
        <v>#NUM!</v>
      </c>
      <c r="CD94" s="3">
        <f>IF(RTD("tos.rtd",,CD$83,"."&amp;$B$82&amp;$AS$82&amp;"C"&amp;$A94)="N/A",0,RTD("tos.rtd",,CD$83,"."&amp;$B$82&amp;$AS$82&amp;"C"&amp;$A94))</f>
        <v>0</v>
      </c>
      <c r="CE94" s="3">
        <f>-IF(RTD("tos.rtd",,CE$83,"."&amp;$B$82&amp;$AS$82&amp;"P"&amp;$A94)="N/A",0,RTD("tos.rtd",,CE$83,"."&amp;$B$82&amp;$AS$82&amp;"P"&amp;$A94))</f>
        <v>1</v>
      </c>
      <c r="CF94" s="3">
        <f>IF(RTD("tos.rtd",,CF$83,"."&amp;$C$82&amp;$AU$82&amp;"C"&amp;$A94)="N/A",0,RTD("tos.rtd",,CF$83,"."&amp;$C$82&amp;$AU$82&amp;"C"&amp;$A94))</f>
        <v>0</v>
      </c>
      <c r="CG94" s="3">
        <f>-IF(RTD("tos.rtd",,CG$83,"."&amp;$C$82&amp;$AU$82&amp;"P"&amp;$A94)="N/A",0,RTD("tos.rtd",,CG$83,"."&amp;$C$82&amp;$AU$82&amp;"P"&amp;$A94))</f>
        <v>0.99</v>
      </c>
      <c r="CH94" s="3">
        <f>IF(RTD("tos.rtd",,CH$83,"."&amp;$D$82&amp;$AW$82&amp;"C"&amp;$A94)="N/A",0,RTD("tos.rtd",,CH$83,"."&amp;$D$82&amp;$AW$82&amp;"C"&amp;$A94))</f>
        <v>0.28000000000000003</v>
      </c>
      <c r="CI94" s="3">
        <f>-IF(RTD("tos.rtd",,CI$83,"."&amp;$D$82&amp;$AW$82&amp;"P"&amp;$A94)="N/A",0,RTD("tos.rtd",,CI$83,"."&amp;$D$82&amp;$AW$82&amp;"P"&amp;$A94))</f>
        <v>1</v>
      </c>
      <c r="CK94" s="3">
        <f t="shared" si="514"/>
        <v>-1100</v>
      </c>
      <c r="CL94" s="3"/>
      <c r="CM94" s="3">
        <f t="shared" si="515"/>
        <v>-8514</v>
      </c>
      <c r="CN94" s="3"/>
      <c r="CO94" s="3">
        <f t="shared" si="516"/>
        <v>-33116</v>
      </c>
      <c r="CP94" s="3">
        <f t="shared" si="462"/>
        <v>-42730</v>
      </c>
      <c r="CQ94" s="3">
        <f t="shared" si="463"/>
        <v>0</v>
      </c>
      <c r="CR94" s="3"/>
      <c r="CS94" s="3">
        <f t="shared" si="464"/>
        <v>0</v>
      </c>
      <c r="CT94" s="3"/>
      <c r="CU94" s="3">
        <f t="shared" si="465"/>
        <v>0</v>
      </c>
      <c r="CV94" s="3"/>
      <c r="CW94" s="3" t="e">
        <f t="shared" ca="1" si="498"/>
        <v>#NUM!</v>
      </c>
      <c r="CY94" s="3" t="e">
        <f t="shared" ca="1" si="467"/>
        <v>#NUM!</v>
      </c>
      <c r="CZ94" s="70" t="e">
        <f t="shared" ca="1" si="511"/>
        <v>#NUM!</v>
      </c>
      <c r="DA94" s="3">
        <f>IF(RTD("tos.rtd",,DA$83,"."&amp;$B$82&amp;$AS$82&amp;"C"&amp;$A94)="N/A",0,RTD("tos.rtd",,DA$83,"."&amp;$B$82&amp;$AS$82&amp;"C"&amp;$A94))</f>
        <v>0.03</v>
      </c>
      <c r="DB94" s="3">
        <f>IF(RTD("tos.rtd",,DB$83,"."&amp;$B$82&amp;$AS$82&amp;"P"&amp;$A94)="N/A",0,RTD("tos.rtd",,DB$83,"."&amp;$B$82&amp;$AS$82&amp;"P"&amp;$A94))</f>
        <v>115</v>
      </c>
      <c r="DC94" s="3">
        <f>IF(RTD("tos.rtd",,DC$83,"."&amp;$B$82&amp;$AS$82&amp;"C"&amp;$A94)="N/A",0,RTD("tos.rtd",,DC$83,"."&amp;$B$82&amp;$AS$82&amp;"C"&amp;$A94))</f>
        <v>0.05</v>
      </c>
      <c r="DD94" s="3">
        <f>IF(RTD("tos.rtd",,DD$83,"."&amp;$B$82&amp;$AS$82&amp;"P"&amp;$A94)="N/A",0,RTD("tos.rtd",,DD$83,"."&amp;$B$82&amp;$AS$82&amp;"P"&amp;$A94))</f>
        <v>117.3</v>
      </c>
      <c r="DE94" s="3">
        <f>IF(RTD("tos.rtd",,DE$83,"."&amp;$B$82&amp;$AS$82&amp;"C"&amp;$A94)="N/A",0,RTD("tos.rtd",,DE$83,"."&amp;$B$82&amp;$AS$82&amp;"C"&amp;$A94))</f>
        <v>0</v>
      </c>
      <c r="DF94" s="3">
        <f>IF(RTD("tos.rtd",,DF$83,"."&amp;$B$82&amp;$AS$82&amp;"P"&amp;$A94)="N/A",0,RTD("tos.rtd",,DF$83,"."&amp;$B$82&amp;$AS$82&amp;"P"&amp;$A94))</f>
        <v>113.5</v>
      </c>
      <c r="DG94" s="86">
        <f t="shared" si="499"/>
        <v>120.09000000000015</v>
      </c>
      <c r="DH94" s="3">
        <f t="shared" si="468"/>
        <v>-6704.4</v>
      </c>
      <c r="DI94" s="3">
        <f t="shared" si="469"/>
        <v>95.921052631579016</v>
      </c>
      <c r="DJ94" s="3">
        <f t="shared" si="470"/>
        <v>-11174</v>
      </c>
      <c r="DK94" s="3">
        <f t="shared" si="471"/>
        <v>-243</v>
      </c>
      <c r="DL94" s="3">
        <f t="shared" si="472"/>
        <v>-6608.4789473684204</v>
      </c>
      <c r="DM94" s="3">
        <f t="shared" si="473"/>
        <v>-11417</v>
      </c>
      <c r="DN94" s="64" t="str">
        <f t="shared" si="474"/>
        <v>UNKNOWN</v>
      </c>
      <c r="DO94" s="64" t="str">
        <f t="shared" si="475"/>
        <v>UNKNOWN</v>
      </c>
      <c r="DP94" s="3">
        <f t="shared" si="476"/>
        <v>10829.789052631588</v>
      </c>
      <c r="DQ94" s="3">
        <f t="shared" si="477"/>
        <v>-28280.22</v>
      </c>
      <c r="DR94" s="3" t="e">
        <f t="shared" ca="1" si="478"/>
        <v>#NUM!</v>
      </c>
      <c r="DS94" s="3">
        <f t="shared" si="479"/>
        <v>-243</v>
      </c>
      <c r="DT94" s="3">
        <f t="shared" si="500"/>
        <v>-11174</v>
      </c>
      <c r="DU94" s="3">
        <f t="shared" si="501"/>
        <v>243</v>
      </c>
      <c r="DV94" s="3">
        <f t="shared" si="502"/>
        <v>-2832</v>
      </c>
      <c r="DW94" s="3">
        <f t="shared" si="503"/>
        <v>-232</v>
      </c>
      <c r="DX94" s="3" t="e">
        <f t="shared" ca="1" si="512"/>
        <v>#NUM!</v>
      </c>
      <c r="DY94" s="3" t="e">
        <f t="shared" ca="1" si="480"/>
        <v>#NUM!</v>
      </c>
      <c r="DZ94" s="3" t="e">
        <f t="shared" ca="1" si="504"/>
        <v>#NUM!</v>
      </c>
      <c r="EA94" s="3" t="e">
        <f t="shared" ca="1" si="505"/>
        <v>#NUM!</v>
      </c>
      <c r="EB94" s="3" t="e">
        <f t="shared" ca="1" si="481"/>
        <v>#NUM!</v>
      </c>
      <c r="EC94" s="3" t="e">
        <f t="shared" ca="1" si="482"/>
        <v>#NUM!</v>
      </c>
      <c r="ED94" s="63">
        <f t="shared" si="506"/>
        <v>-3064</v>
      </c>
      <c r="EE94" s="59">
        <f t="shared" si="483"/>
        <v>0.96679999999999999</v>
      </c>
      <c r="EF94" s="59">
        <f t="shared" si="484"/>
        <v>0.25</v>
      </c>
      <c r="EG94" s="59">
        <f t="shared" si="485"/>
        <v>0.96679999999999999</v>
      </c>
      <c r="EH94" s="59">
        <f t="shared" si="486"/>
        <v>1.2686999999999999</v>
      </c>
      <c r="EI94" s="59">
        <f t="shared" si="487"/>
        <v>0.29909999999999998</v>
      </c>
      <c r="EJ94" s="59">
        <f t="shared" si="488"/>
        <v>0.25</v>
      </c>
      <c r="EK94" s="63" t="e">
        <f t="shared" ca="1" si="507"/>
        <v>#NUM!</v>
      </c>
      <c r="EL94" s="3" t="str">
        <f>RTD("tos.rtd",,EL$83,"."&amp;$B$82&amp;$AS$82&amp;"C"&amp;$A94)</f>
        <v>96.68%</v>
      </c>
      <c r="EM94" s="3" t="str">
        <f>RTD("tos.rtd",,EM$83,"."&amp;$B$82&amp;$AS$82&amp;"P"&amp;$A94)</f>
        <v>--</v>
      </c>
      <c r="EN94" s="3" t="str">
        <f>RTD("tos.rtd",,EN$83,"."&amp;$C$82&amp;$AU$82&amp;"C"&amp;$A94)</f>
        <v>96.68%</v>
      </c>
      <c r="EO94" s="3" t="str">
        <f>RTD("tos.rtd",,EO$83,"."&amp;$C$82&amp;$AU$82&amp;"P"&amp;$A94)</f>
        <v>126.87%</v>
      </c>
      <c r="EP94" s="3" t="str">
        <f>RTD("tos.rtd",,EP$83,"."&amp;$D$82&amp;$AW$82&amp;"C"&amp;$A94)</f>
        <v>29.91%</v>
      </c>
      <c r="EQ94" s="3" t="str">
        <f>RTD("tos.rtd",,EQ$83,"."&amp;$D$82&amp;$AW$82&amp;"P"&amp;$A94)</f>
        <v>--</v>
      </c>
      <c r="ES94" s="63" t="str">
        <f t="shared" si="489"/>
        <v>5780,-3064.00</v>
      </c>
      <c r="ET94" s="63" t="str">
        <f t="shared" ca="1" si="490"/>
        <v>5780,00.00</v>
      </c>
      <c r="EU94" s="67">
        <v>561.28</v>
      </c>
      <c r="EV94" s="67" t="s">
        <v>771</v>
      </c>
      <c r="EW94" s="67">
        <v>483.67</v>
      </c>
      <c r="EX94" s="67" t="s">
        <v>772</v>
      </c>
      <c r="EY94" s="67">
        <v>5631.28</v>
      </c>
      <c r="EZ94" s="67" t="s">
        <v>773</v>
      </c>
      <c r="FA94" s="67">
        <v>19867.973000000002</v>
      </c>
      <c r="FB94" s="67" t="s">
        <v>774</v>
      </c>
      <c r="FC94" s="67" t="s">
        <v>775</v>
      </c>
      <c r="FD94" s="67" t="s">
        <v>776</v>
      </c>
      <c r="FE94" s="68" t="s">
        <v>777</v>
      </c>
      <c r="FF94" s="68" t="s">
        <v>778</v>
      </c>
    </row>
    <row r="95" spans="1:162" s="63" customFormat="1" ht="12" customHeight="1" thickBot="1" x14ac:dyDescent="0.25">
      <c r="A95" s="2">
        <f t="shared" si="508"/>
        <v>5770</v>
      </c>
      <c r="B95" s="3">
        <f t="shared" si="451"/>
        <v>841</v>
      </c>
      <c r="C95" s="3">
        <f t="shared" si="452"/>
        <v>1760</v>
      </c>
      <c r="D95" s="3">
        <f t="shared" si="453"/>
        <v>612</v>
      </c>
      <c r="E95" s="3">
        <f t="shared" si="454"/>
        <v>3213</v>
      </c>
      <c r="F95" s="4">
        <f t="shared" si="517"/>
        <v>5858.2742481770911</v>
      </c>
      <c r="G95" s="4">
        <f t="shared" si="491"/>
        <v>582.21856884650117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>
        <v>-2283</v>
      </c>
      <c r="AN95" s="20">
        <v>-447</v>
      </c>
      <c r="AO95" s="20">
        <v>5770</v>
      </c>
      <c r="AP95" s="20">
        <v>13455</v>
      </c>
      <c r="AQ95" s="20">
        <v>-919</v>
      </c>
      <c r="AR95" s="20"/>
      <c r="AS95" s="54">
        <f>IF(RTD("tos.rtd",,AS$83,"."&amp;$B$82&amp;$AS$82&amp;"C"&amp;$A95)="N/A",0,RTD("tos.rtd",,AS$83,"."&amp;$B$82&amp;$AS$82&amp;"C"&amp;$A95))</f>
        <v>480</v>
      </c>
      <c r="AT95" s="3">
        <f>-IF(RTD("tos.rtd",,AT$83,"."&amp;$B$82&amp;$AS$82&amp;"P"&amp;$A95)="N/A",0,RTD("tos.rtd",,AT$83,"."&amp;$B$82&amp;$AS$82&amp;"P"&amp;$A95))</f>
        <v>-361</v>
      </c>
      <c r="AU95" s="54">
        <f>IF(RTD("tos.rtd",,AU$83,"."&amp;$C$82&amp;$AU$82&amp;"C"&amp;$A95)="N/A",0,RTD("tos.rtd",,AU$83,"."&amp;$C$82&amp;$AU$82&amp;"C"&amp;$A95))</f>
        <v>1391</v>
      </c>
      <c r="AV95" s="3">
        <f>-IF(RTD("tos.rtd",,AV$83,"."&amp;$C$82&amp;$AU$82&amp;"P"&amp;$A95)="N/A",0,RTD("tos.rtd",,AV$83,"."&amp;$C$82&amp;$AU$82&amp;"P"&amp;$A95))</f>
        <v>-369</v>
      </c>
      <c r="AW95" s="54">
        <f>IF(RTD("tos.rtd",,AW$83,"."&amp;$D$82&amp;$AW$82&amp;"C"&amp;$A95)="N/A",0,RTD("tos.rtd",,AW$83,"."&amp;$D$82&amp;$AW$82&amp;"C"&amp;$A95))</f>
        <v>409</v>
      </c>
      <c r="AX95" s="3">
        <f>-IF(RTD("tos.rtd",,AX$83,"."&amp;$D$82&amp;$AW$82&amp;"P"&amp;$A95)="N/A",0,RTD("tos.rtd",,AX$83,"."&amp;$D$82&amp;$AW$82&amp;"P"&amp;$A95))</f>
        <v>-203</v>
      </c>
      <c r="AY95" s="79">
        <f t="shared" si="492"/>
        <v>1347</v>
      </c>
      <c r="AZ95" s="8">
        <f t="shared" si="455"/>
        <v>5770</v>
      </c>
      <c r="BA95" s="54">
        <f>IF(RTD("tos.rtd",,BA$83,"."&amp;$B$82&amp;$AS$82&amp;"C"&amp;$A95)="N/A",0,RTD("tos.rtd",,BA$83,"."&amp;$B$82&amp;$AS$82&amp;"C"&amp;$A95))</f>
        <v>0</v>
      </c>
      <c r="BB95" s="3">
        <f>-IF(RTD("tos.rtd",,BB$83,"."&amp;$B$82&amp;$AS$82&amp;"P"&amp;$A95)="N/A",0,RTD("tos.rtd",,BB$83,"."&amp;$B$82&amp;$AS$82&amp;"P"&amp;$A95))</f>
        <v>0</v>
      </c>
      <c r="BC95" s="54">
        <f>IF(RTD("tos.rtd",,BC$83,"."&amp;$C$82&amp;$AU$82&amp;"C"&amp;$A95)="N/A",0,RTD("tos.rtd",,BC$83,"."&amp;$C$82&amp;$AU$82&amp;"C"&amp;$A95))</f>
        <v>0</v>
      </c>
      <c r="BD95" s="3">
        <f>-IF(RTD("tos.rtd",,BD$83,"."&amp;$C$82&amp;$AU$82&amp;"P"&amp;$A95)="N/A",0,RTD("tos.rtd",,BD$83,"."&amp;$C$82&amp;$AU$82&amp;"P"&amp;$A95))</f>
        <v>0</v>
      </c>
      <c r="BE95" s="54">
        <f>IF(RTD("tos.rtd",,BE$83,"."&amp;$D$82&amp;$AW$82&amp;"C"&amp;$A95)="N/A",0,RTD("tos.rtd",,BE$83,"."&amp;$D$82&amp;$AW$82&amp;"C"&amp;$A95))</f>
        <v>0</v>
      </c>
      <c r="BF95" s="3">
        <f>-IF(RTD("tos.rtd",,BF$83,"."&amp;$D$82&amp;$AW$82&amp;"P"&amp;$A95)="N/A",0,RTD("tos.rtd",,BF$83,"."&amp;$D$82&amp;$AW$82&amp;"P"&amp;$A95))</f>
        <v>0</v>
      </c>
      <c r="BG95" s="3">
        <f ca="1">+Hoja2!Y96</f>
        <v>0</v>
      </c>
      <c r="BH95" s="55">
        <f t="shared" ca="1" si="493"/>
        <v>0</v>
      </c>
      <c r="BI95" s="32" t="str">
        <f t="shared" ca="1" si="513"/>
        <v/>
      </c>
      <c r="BJ95" s="3" t="e">
        <f ca="1">IF($BP$1=1,DX95,IF(RTD("tos.rtd",,BJ$83,"."&amp;$B$82&amp;$AS$82&amp;"C"&amp;$A95)="N/A",0,RTD("tos.rtd",,BJ$83,"."&amp;$B$82&amp;$AS$82&amp;"C"&amp;$A95)))</f>
        <v>#NUM!</v>
      </c>
      <c r="BK95" s="3" t="e">
        <f ca="1">IF($BP$1=1,DY95,-IF(RTD("tos.rtd",,BK$83,"."&amp;$B$82&amp;$AS$82&amp;"P"&amp;$A95)="N/A",0,RTD("tos.rtd",,BK$83,"."&amp;$B$82&amp;$AS$82&amp;"P"&amp;$A95)))</f>
        <v>#NUM!</v>
      </c>
      <c r="BL95" s="3" t="e">
        <f ca="1">IF($BP$1=1,DZ95,IF(RTD("tos.rtd",,BL$83,"."&amp;$C$82&amp;$AU$82&amp;"C"&amp;$A95)="N/A",0,RTD("tos.rtd",,BL$83,"."&amp;$C$82&amp;$AU$82&amp;"C"&amp;$A95)))</f>
        <v>#NUM!</v>
      </c>
      <c r="BM95" s="3" t="e">
        <f ca="1">IF($BP$1=1,EA95,-IF(RTD("tos.rtd",,BM$83,"."&amp;$C$82&amp;$AU$82&amp;"P"&amp;$A95)="N/A",0,RTD("tos.rtd",,BM$83,"."&amp;$C$82&amp;$AU$82&amp;"P"&amp;$A95)))</f>
        <v>#NUM!</v>
      </c>
      <c r="BN95" s="3" t="e">
        <f ca="1">IF($BP$1=1,EB95,IF(RTD("tos.rtd",,BN$83,"."&amp;$D$82&amp;$AW$82&amp;"C"&amp;$A95)="N/A",0,RTD("tos.rtd",,BN$83,"."&amp;$D$82&amp;$AW$82&amp;"C"&amp;$A95)))</f>
        <v>#NUM!</v>
      </c>
      <c r="BO95" s="3" t="e">
        <f ca="1">IF($BP$1=1,EC95,-IF(RTD("tos.rtd",,BO$83,"."&amp;$D$82&amp;$AW$82&amp;"P"&amp;$A95)="N/A",0,RTD("tos.rtd",,BO$83,"."&amp;$D$82&amp;$AW$82&amp;"P"&amp;$A95)))</f>
        <v>#NUM!</v>
      </c>
      <c r="BQ95" s="3" t="e">
        <f t="shared" ca="1" si="456"/>
        <v>#NUM!</v>
      </c>
      <c r="BR95" s="3" t="e">
        <f t="shared" ca="1" si="494"/>
        <v>#NUM!</v>
      </c>
      <c r="BS95" s="3" t="e">
        <f t="shared" ca="1" si="457"/>
        <v>#NUM!</v>
      </c>
      <c r="BT95" s="3" t="e">
        <f t="shared" ca="1" si="494"/>
        <v>#NUM!</v>
      </c>
      <c r="BU95" s="3" t="e">
        <f t="shared" ca="1" si="458"/>
        <v>#NUM!</v>
      </c>
      <c r="BV95" s="3" t="e">
        <f t="shared" ca="1" si="494"/>
        <v>#NUM!</v>
      </c>
      <c r="BX95" s="3" t="e">
        <f t="shared" ca="1" si="459"/>
        <v>#NUM!</v>
      </c>
      <c r="BY95" s="3" t="e">
        <f t="shared" ca="1" si="510"/>
        <v>#NUM!</v>
      </c>
      <c r="BZ95" s="3" t="e">
        <f t="shared" ca="1" si="460"/>
        <v>#NUM!</v>
      </c>
      <c r="CA95" s="3" t="e">
        <f t="shared" ca="1" si="510"/>
        <v>#NUM!</v>
      </c>
      <c r="CB95" s="3" t="e">
        <f t="shared" ca="1" si="461"/>
        <v>#NUM!</v>
      </c>
      <c r="CC95" s="3" t="e">
        <f t="shared" ca="1" si="510"/>
        <v>#NUM!</v>
      </c>
      <c r="CD95" s="3">
        <f>IF(RTD("tos.rtd",,CD$83,"."&amp;$B$82&amp;$AS$82&amp;"C"&amp;$A95)="N/A",0,RTD("tos.rtd",,CD$83,"."&amp;$B$82&amp;$AS$82&amp;"C"&amp;$A95))</f>
        <v>0</v>
      </c>
      <c r="CE95" s="3">
        <f>-IF(RTD("tos.rtd",,CE$83,"."&amp;$B$82&amp;$AS$82&amp;"P"&amp;$A95)="N/A",0,RTD("tos.rtd",,CE$83,"."&amp;$B$82&amp;$AS$82&amp;"P"&amp;$A95))</f>
        <v>1</v>
      </c>
      <c r="CF95" s="3">
        <f>IF(RTD("tos.rtd",,CF$83,"."&amp;$C$82&amp;$AU$82&amp;"C"&amp;$A95)="N/A",0,RTD("tos.rtd",,CF$83,"."&amp;$C$82&amp;$AU$82&amp;"C"&amp;$A95))</f>
        <v>0</v>
      </c>
      <c r="CG95" s="3">
        <f>-IF(RTD("tos.rtd",,CG$83,"."&amp;$C$82&amp;$AU$82&amp;"P"&amp;$A95)="N/A",0,RTD("tos.rtd",,CG$83,"."&amp;$C$82&amp;$AU$82&amp;"P"&amp;$A95))</f>
        <v>0.98</v>
      </c>
      <c r="CH95" s="3">
        <f>IF(RTD("tos.rtd",,CH$83,"."&amp;$D$82&amp;$AW$82&amp;"C"&amp;$A95)="N/A",0,RTD("tos.rtd",,CH$83,"."&amp;$D$82&amp;$AW$82&amp;"C"&amp;$A95))</f>
        <v>0.3</v>
      </c>
      <c r="CI95" s="3">
        <f>-IF(RTD("tos.rtd",,CI$83,"."&amp;$D$82&amp;$AW$82&amp;"P"&amp;$A95)="N/A",0,RTD("tos.rtd",,CI$83,"."&amp;$D$82&amp;$AW$82&amp;"P"&amp;$A95))</f>
        <v>1</v>
      </c>
      <c r="CK95" s="3">
        <f t="shared" si="514"/>
        <v>-36100</v>
      </c>
      <c r="CL95" s="3"/>
      <c r="CM95" s="3">
        <f t="shared" si="515"/>
        <v>-36162</v>
      </c>
      <c r="CN95" s="3"/>
      <c r="CO95" s="3">
        <f t="shared" si="516"/>
        <v>-8030.0000000000018</v>
      </c>
      <c r="CP95" s="3">
        <f t="shared" si="462"/>
        <v>-80292</v>
      </c>
      <c r="CQ95" s="3">
        <f t="shared" si="463"/>
        <v>0</v>
      </c>
      <c r="CR95" s="3"/>
      <c r="CS95" s="3">
        <f t="shared" si="464"/>
        <v>0</v>
      </c>
      <c r="CT95" s="3"/>
      <c r="CU95" s="3">
        <f t="shared" si="465"/>
        <v>0</v>
      </c>
      <c r="CV95" s="3"/>
      <c r="CW95" s="3" t="e">
        <f t="shared" ca="1" si="498"/>
        <v>#NUM!</v>
      </c>
      <c r="CY95" s="3" t="e">
        <f t="shared" ca="1" si="467"/>
        <v>#NUM!</v>
      </c>
      <c r="CZ95" s="70" t="e">
        <f t="shared" ca="1" si="511"/>
        <v>#NUM!</v>
      </c>
      <c r="DA95" s="3">
        <f>IF(RTD("tos.rtd",,DA$83,"."&amp;$B$82&amp;$AS$82&amp;"C"&amp;$A95)="N/A",0,RTD("tos.rtd",,DA$83,"."&amp;$B$82&amp;$AS$82&amp;"C"&amp;$A95))</f>
        <v>0.03</v>
      </c>
      <c r="DB95" s="3">
        <f>IF(RTD("tos.rtd",,DB$83,"."&amp;$B$82&amp;$AS$82&amp;"P"&amp;$A95)="N/A",0,RTD("tos.rtd",,DB$83,"."&amp;$B$82&amp;$AS$82&amp;"P"&amp;$A95))</f>
        <v>104.5</v>
      </c>
      <c r="DC95" s="3">
        <f>IF(RTD("tos.rtd",,DC$83,"."&amp;$B$82&amp;$AS$82&amp;"C"&amp;$A95)="N/A",0,RTD("tos.rtd",,DC$83,"."&amp;$B$82&amp;$AS$82&amp;"C"&amp;$A95))</f>
        <v>0.05</v>
      </c>
      <c r="DD95" s="3">
        <f>IF(RTD("tos.rtd",,DD$83,"."&amp;$B$82&amp;$AS$82&amp;"P"&amp;$A95)="N/A",0,RTD("tos.rtd",,DD$83,"."&amp;$B$82&amp;$AS$82&amp;"P"&amp;$A95))</f>
        <v>107.3</v>
      </c>
      <c r="DE95" s="3">
        <f>IF(RTD("tos.rtd",,DE$83,"."&amp;$B$82&amp;$AS$82&amp;"C"&amp;$A95)="N/A",0,RTD("tos.rtd",,DE$83,"."&amp;$B$82&amp;$AS$82&amp;"C"&amp;$A95))</f>
        <v>0</v>
      </c>
      <c r="DF95" s="3">
        <f>IF(RTD("tos.rtd",,DF$83,"."&amp;$B$82&amp;$AS$82&amp;"P"&amp;$A95)="N/A",0,RTD("tos.rtd",,DF$83,"."&amp;$B$82&amp;$AS$82&amp;"P"&amp;$A95))</f>
        <v>103.5</v>
      </c>
      <c r="DG95" s="86">
        <f t="shared" si="499"/>
        <v>110.09000000000015</v>
      </c>
      <c r="DH95" s="3">
        <f t="shared" si="468"/>
        <v>-8073</v>
      </c>
      <c r="DI95" s="3">
        <f t="shared" si="469"/>
        <v>241.84210526315809</v>
      </c>
      <c r="DJ95" s="3">
        <f t="shared" si="470"/>
        <v>-13455</v>
      </c>
      <c r="DK95" s="3">
        <f t="shared" si="471"/>
        <v>-919</v>
      </c>
      <c r="DL95" s="3">
        <f t="shared" si="472"/>
        <v>-7831.1578947368416</v>
      </c>
      <c r="DM95" s="3">
        <f t="shared" si="473"/>
        <v>-14374</v>
      </c>
      <c r="DN95" s="64" t="str">
        <f t="shared" si="474"/>
        <v>UNKNOWN</v>
      </c>
      <c r="DO95" s="64" t="str">
        <f t="shared" si="475"/>
        <v>UNKNOWN</v>
      </c>
      <c r="DP95" s="3">
        <f t="shared" si="476"/>
        <v>25030.310000000023</v>
      </c>
      <c r="DQ95" s="3">
        <f t="shared" si="477"/>
        <v>-96439.15</v>
      </c>
      <c r="DR95" s="3" t="e">
        <f t="shared" ca="1" si="478"/>
        <v>#NUM!</v>
      </c>
      <c r="DS95" s="3">
        <f t="shared" si="479"/>
        <v>-919</v>
      </c>
      <c r="DT95" s="3">
        <f t="shared" si="500"/>
        <v>-13455</v>
      </c>
      <c r="DU95" s="3">
        <f t="shared" si="501"/>
        <v>919</v>
      </c>
      <c r="DV95" s="3">
        <f t="shared" si="502"/>
        <v>-2283</v>
      </c>
      <c r="DW95" s="3">
        <f t="shared" si="503"/>
        <v>-447</v>
      </c>
      <c r="DX95" s="3" t="e">
        <f t="shared" ca="1" si="512"/>
        <v>#NUM!</v>
      </c>
      <c r="DY95" s="3" t="e">
        <f t="shared" ca="1" si="480"/>
        <v>#NUM!</v>
      </c>
      <c r="DZ95" s="3" t="e">
        <f t="shared" ca="1" si="504"/>
        <v>#NUM!</v>
      </c>
      <c r="EA95" s="3" t="e">
        <f t="shared" ca="1" si="505"/>
        <v>#NUM!</v>
      </c>
      <c r="EB95" s="3" t="e">
        <f t="shared" ca="1" si="481"/>
        <v>#NUM!</v>
      </c>
      <c r="EC95" s="3" t="e">
        <f t="shared" ca="1" si="482"/>
        <v>#NUM!</v>
      </c>
      <c r="ED95" s="63">
        <f t="shared" si="506"/>
        <v>-2730</v>
      </c>
      <c r="EE95" s="59">
        <f t="shared" si="483"/>
        <v>0.89439999999999997</v>
      </c>
      <c r="EF95" s="59">
        <f t="shared" si="484"/>
        <v>0.25</v>
      </c>
      <c r="EG95" s="59">
        <f t="shared" si="485"/>
        <v>0.89439999999999997</v>
      </c>
      <c r="EH95" s="59">
        <f t="shared" si="486"/>
        <v>1.2565</v>
      </c>
      <c r="EI95" s="59">
        <f t="shared" si="487"/>
        <v>0.30470000000000003</v>
      </c>
      <c r="EJ95" s="59">
        <f t="shared" si="488"/>
        <v>0.25</v>
      </c>
      <c r="EK95" s="63" t="e">
        <f t="shared" ca="1" si="507"/>
        <v>#NUM!</v>
      </c>
      <c r="EL95" s="3" t="str">
        <f>RTD("tos.rtd",,EL$83,"."&amp;$B$82&amp;$AS$82&amp;"C"&amp;$A95)</f>
        <v>89.44%</v>
      </c>
      <c r="EM95" s="3" t="str">
        <f>RTD("tos.rtd",,EM$83,"."&amp;$B$82&amp;$AS$82&amp;"P"&amp;$A95)</f>
        <v>--</v>
      </c>
      <c r="EN95" s="3" t="str">
        <f>RTD("tos.rtd",,EN$83,"."&amp;$C$82&amp;$AU$82&amp;"C"&amp;$A95)</f>
        <v>89.44%</v>
      </c>
      <c r="EO95" s="3" t="str">
        <f>RTD("tos.rtd",,EO$83,"."&amp;$C$82&amp;$AU$82&amp;"P"&amp;$A95)</f>
        <v>125.65%</v>
      </c>
      <c r="EP95" s="3" t="str">
        <f>RTD("tos.rtd",,EP$83,"."&amp;$D$82&amp;$AW$82&amp;"C"&amp;$A95)</f>
        <v>30.47%</v>
      </c>
      <c r="EQ95" s="3" t="str">
        <f>RTD("tos.rtd",,EQ$83,"."&amp;$D$82&amp;$AW$82&amp;"P"&amp;$A95)</f>
        <v>--</v>
      </c>
      <c r="ES95" s="63" t="str">
        <f t="shared" si="489"/>
        <v>5770,-2730.00</v>
      </c>
      <c r="ET95" s="63" t="str">
        <f t="shared" ca="1" si="490"/>
        <v>5770,00.00</v>
      </c>
      <c r="EU95" s="67">
        <v>561.29</v>
      </c>
      <c r="EV95" s="67" t="s">
        <v>779</v>
      </c>
      <c r="EW95" s="67">
        <v>483.64</v>
      </c>
      <c r="EX95" s="67" t="s">
        <v>780</v>
      </c>
      <c r="EY95" s="67">
        <v>5631.28</v>
      </c>
      <c r="EZ95" s="67" t="s">
        <v>781</v>
      </c>
      <c r="FA95" s="67">
        <v>19867.973000000002</v>
      </c>
      <c r="FB95" s="67" t="s">
        <v>782</v>
      </c>
      <c r="FC95" s="67" t="s">
        <v>783</v>
      </c>
      <c r="FD95" s="67" t="s">
        <v>784</v>
      </c>
      <c r="FE95" s="68" t="s">
        <v>785</v>
      </c>
      <c r="FF95" s="68" t="s">
        <v>786</v>
      </c>
    </row>
    <row r="96" spans="1:162" s="63" customFormat="1" ht="12" customHeight="1" thickBot="1" x14ac:dyDescent="0.25">
      <c r="A96" s="2">
        <f t="shared" si="508"/>
        <v>5760</v>
      </c>
      <c r="B96" s="3">
        <f t="shared" si="451"/>
        <v>1458</v>
      </c>
      <c r="C96" s="3">
        <f t="shared" si="452"/>
        <v>2965</v>
      </c>
      <c r="D96" s="3">
        <f t="shared" si="453"/>
        <v>808</v>
      </c>
      <c r="E96" s="3">
        <f t="shared" si="454"/>
        <v>5231</v>
      </c>
      <c r="F96" s="4">
        <f t="shared" si="517"/>
        <v>5848.1212598786906</v>
      </c>
      <c r="G96" s="4">
        <f t="shared" si="491"/>
        <v>581.20952453307564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>
        <v>-1335</v>
      </c>
      <c r="AN96" s="20">
        <v>376</v>
      </c>
      <c r="AO96" s="20">
        <v>5760</v>
      </c>
      <c r="AP96" s="20">
        <v>21779</v>
      </c>
      <c r="AQ96" s="20">
        <v>-685</v>
      </c>
      <c r="AR96" s="20"/>
      <c r="AS96" s="54">
        <f>IF(RTD("tos.rtd",,AS$83,"."&amp;$B$82&amp;$AS$82&amp;"C"&amp;$A96)="N/A",0,RTD("tos.rtd",,AS$83,"."&amp;$B$82&amp;$AS$82&amp;"C"&amp;$A96))</f>
        <v>1035</v>
      </c>
      <c r="AT96" s="3">
        <f>-IF(RTD("tos.rtd",,AT$83,"."&amp;$B$82&amp;$AS$82&amp;"P"&amp;$A96)="N/A",0,RTD("tos.rtd",,AT$83,"."&amp;$B$82&amp;$AS$82&amp;"P"&amp;$A96))</f>
        <v>-423</v>
      </c>
      <c r="AU96" s="54">
        <f>IF(RTD("tos.rtd",,AU$83,"."&amp;$C$82&amp;$AU$82&amp;"C"&amp;$A96)="N/A",0,RTD("tos.rtd",,AU$83,"."&amp;$C$82&amp;$AU$82&amp;"C"&amp;$A96))</f>
        <v>2655</v>
      </c>
      <c r="AV96" s="3">
        <f>-IF(RTD("tos.rtd",,AV$83,"."&amp;$C$82&amp;$AU$82&amp;"P"&amp;$A96)="N/A",0,RTD("tos.rtd",,AV$83,"."&amp;$C$82&amp;$AU$82&amp;"P"&amp;$A96))</f>
        <v>-310</v>
      </c>
      <c r="AW96" s="54">
        <f>IF(RTD("tos.rtd",,AW$83,"."&amp;$D$82&amp;$AW$82&amp;"C"&amp;$A96)="N/A",0,RTD("tos.rtd",,AW$83,"."&amp;$D$82&amp;$AW$82&amp;"C"&amp;$A96))</f>
        <v>460</v>
      </c>
      <c r="AX96" s="3">
        <f>-IF(RTD("tos.rtd",,AX$83,"."&amp;$D$82&amp;$AW$82&amp;"P"&amp;$A96)="N/A",0,RTD("tos.rtd",,AX$83,"."&amp;$D$82&amp;$AW$82&amp;"P"&amp;$A96))</f>
        <v>-348</v>
      </c>
      <c r="AY96" s="79">
        <f t="shared" si="492"/>
        <v>3069</v>
      </c>
      <c r="AZ96" s="8">
        <f t="shared" si="455"/>
        <v>5760</v>
      </c>
      <c r="BA96" s="54">
        <f>IF(RTD("tos.rtd",,BA$83,"."&amp;$B$82&amp;$AS$82&amp;"C"&amp;$A96)="N/A",0,RTD("tos.rtd",,BA$83,"."&amp;$B$82&amp;$AS$82&amp;"C"&amp;$A96))</f>
        <v>0</v>
      </c>
      <c r="BB96" s="3">
        <f>-IF(RTD("tos.rtd",,BB$83,"."&amp;$B$82&amp;$AS$82&amp;"P"&amp;$A96)="N/A",0,RTD("tos.rtd",,BB$83,"."&amp;$B$82&amp;$AS$82&amp;"P"&amp;$A96))</f>
        <v>0</v>
      </c>
      <c r="BC96" s="54">
        <f>IF(RTD("tos.rtd",,BC$83,"."&amp;$C$82&amp;$AU$82&amp;"C"&amp;$A96)="N/A",0,RTD("tos.rtd",,BC$83,"."&amp;$C$82&amp;$AU$82&amp;"C"&amp;$A96))</f>
        <v>0</v>
      </c>
      <c r="BD96" s="3">
        <f>-IF(RTD("tos.rtd",,BD$83,"."&amp;$C$82&amp;$AU$82&amp;"P"&amp;$A96)="N/A",0,RTD("tos.rtd",,BD$83,"."&amp;$C$82&amp;$AU$82&amp;"P"&amp;$A96))</f>
        <v>0</v>
      </c>
      <c r="BE96" s="54">
        <f>IF(RTD("tos.rtd",,BE$83,"."&amp;$D$82&amp;$AW$82&amp;"C"&amp;$A96)="N/A",0,RTD("tos.rtd",,BE$83,"."&amp;$D$82&amp;$AW$82&amp;"C"&amp;$A96))</f>
        <v>0</v>
      </c>
      <c r="BF96" s="3">
        <f>-IF(RTD("tos.rtd",,BF$83,"."&amp;$D$82&amp;$AW$82&amp;"P"&amp;$A96)="N/A",0,RTD("tos.rtd",,BF$83,"."&amp;$D$82&amp;$AW$82&amp;"P"&amp;$A96))</f>
        <v>0</v>
      </c>
      <c r="BG96" s="3">
        <f ca="1">+Hoja2!Y97</f>
        <v>0</v>
      </c>
      <c r="BH96" s="55">
        <f t="shared" ca="1" si="493"/>
        <v>0</v>
      </c>
      <c r="BI96" s="32" t="str">
        <f t="shared" ca="1" si="513"/>
        <v/>
      </c>
      <c r="BJ96" s="3" t="e">
        <f ca="1">IF($BP$1=1,DX96,IF(RTD("tos.rtd",,BJ$83,"."&amp;$B$82&amp;$AS$82&amp;"C"&amp;$A96)="N/A",0,RTD("tos.rtd",,BJ$83,"."&amp;$B$82&amp;$AS$82&amp;"C"&amp;$A96)))</f>
        <v>#NUM!</v>
      </c>
      <c r="BK96" s="3" t="e">
        <f ca="1">IF($BP$1=1,DY96,-IF(RTD("tos.rtd",,BK$83,"."&amp;$B$82&amp;$AS$82&amp;"P"&amp;$A96)="N/A",0,RTD("tos.rtd",,BK$83,"."&amp;$B$82&amp;$AS$82&amp;"P"&amp;$A96)))</f>
        <v>#NUM!</v>
      </c>
      <c r="BL96" s="3" t="e">
        <f ca="1">IF($BP$1=1,DZ96,IF(RTD("tos.rtd",,BL$83,"."&amp;$C$82&amp;$AU$82&amp;"C"&amp;$A96)="N/A",0,RTD("tos.rtd",,BL$83,"."&amp;$C$82&amp;$AU$82&amp;"C"&amp;$A96)))</f>
        <v>#NUM!</v>
      </c>
      <c r="BM96" s="3" t="e">
        <f ca="1">IF($BP$1=1,EA96,-IF(RTD("tos.rtd",,BM$83,"."&amp;$C$82&amp;$AU$82&amp;"P"&amp;$A96)="N/A",0,RTD("tos.rtd",,BM$83,"."&amp;$C$82&amp;$AU$82&amp;"P"&amp;$A96)))</f>
        <v>#NUM!</v>
      </c>
      <c r="BN96" s="3" t="e">
        <f ca="1">IF($BP$1=1,EB96,IF(RTD("tos.rtd",,BN$83,"."&amp;$D$82&amp;$AW$82&amp;"C"&amp;$A96)="N/A",0,RTD("tos.rtd",,BN$83,"."&amp;$D$82&amp;$AW$82&amp;"C"&amp;$A96)))</f>
        <v>#NUM!</v>
      </c>
      <c r="BO96" s="3" t="e">
        <f ca="1">IF($BP$1=1,EC96,-IF(RTD("tos.rtd",,BO$83,"."&amp;$D$82&amp;$AW$82&amp;"P"&amp;$A96)="N/A",0,RTD("tos.rtd",,BO$83,"."&amp;$D$82&amp;$AW$82&amp;"P"&amp;$A96)))</f>
        <v>#NUM!</v>
      </c>
      <c r="BQ96" s="3" t="e">
        <f t="shared" ca="1" si="456"/>
        <v>#NUM!</v>
      </c>
      <c r="BR96" s="3" t="e">
        <f t="shared" ca="1" si="494"/>
        <v>#NUM!</v>
      </c>
      <c r="BS96" s="3" t="e">
        <f t="shared" ca="1" si="457"/>
        <v>#NUM!</v>
      </c>
      <c r="BT96" s="3" t="e">
        <f t="shared" ca="1" si="494"/>
        <v>#NUM!</v>
      </c>
      <c r="BU96" s="3" t="e">
        <f t="shared" ca="1" si="458"/>
        <v>#NUM!</v>
      </c>
      <c r="BV96" s="3" t="e">
        <f t="shared" ca="1" si="494"/>
        <v>#NUM!</v>
      </c>
      <c r="BX96" s="3" t="e">
        <f t="shared" ca="1" si="459"/>
        <v>#NUM!</v>
      </c>
      <c r="BY96" s="3" t="e">
        <f t="shared" ca="1" si="510"/>
        <v>#NUM!</v>
      </c>
      <c r="BZ96" s="3" t="e">
        <f t="shared" ca="1" si="460"/>
        <v>#NUM!</v>
      </c>
      <c r="CA96" s="3" t="e">
        <f t="shared" ca="1" si="510"/>
        <v>#NUM!</v>
      </c>
      <c r="CB96" s="3" t="e">
        <f t="shared" ca="1" si="461"/>
        <v>#NUM!</v>
      </c>
      <c r="CC96" s="3" t="e">
        <f t="shared" ca="1" si="510"/>
        <v>#NUM!</v>
      </c>
      <c r="CD96" s="3">
        <f>IF(RTD("tos.rtd",,CD$83,"."&amp;$B$82&amp;$AS$82&amp;"C"&amp;$A96)="N/A",0,RTD("tos.rtd",,CD$83,"."&amp;$B$82&amp;$AS$82&amp;"C"&amp;$A96))</f>
        <v>0</v>
      </c>
      <c r="CE96" s="3">
        <f>-IF(RTD("tos.rtd",,CE$83,"."&amp;$B$82&amp;$AS$82&amp;"P"&amp;$A96)="N/A",0,RTD("tos.rtd",,CE$83,"."&amp;$B$82&amp;$AS$82&amp;"P"&amp;$A96))</f>
        <v>1</v>
      </c>
      <c r="CF96" s="3">
        <f>IF(RTD("tos.rtd",,CF$83,"."&amp;$C$82&amp;$AU$82&amp;"C"&amp;$A96)="N/A",0,RTD("tos.rtd",,CF$83,"."&amp;$C$82&amp;$AU$82&amp;"C"&amp;$A96))</f>
        <v>0</v>
      </c>
      <c r="CG96" s="3">
        <f>-IF(RTD("tos.rtd",,CG$83,"."&amp;$C$82&amp;$AU$82&amp;"P"&amp;$A96)="N/A",0,RTD("tos.rtd",,CG$83,"."&amp;$C$82&amp;$AU$82&amp;"P"&amp;$A96))</f>
        <v>0.97</v>
      </c>
      <c r="CH96" s="3">
        <f>IF(RTD("tos.rtd",,CH$83,"."&amp;$D$82&amp;$AW$82&amp;"C"&amp;$A96)="N/A",0,RTD("tos.rtd",,CH$83,"."&amp;$D$82&amp;$AW$82&amp;"C"&amp;$A96))</f>
        <v>0.32</v>
      </c>
      <c r="CI96" s="3">
        <f>-IF(RTD("tos.rtd",,CI$83,"."&amp;$D$82&amp;$AW$82&amp;"P"&amp;$A96)="N/A",0,RTD("tos.rtd",,CI$83,"."&amp;$D$82&amp;$AW$82&amp;"P"&amp;$A96))</f>
        <v>1</v>
      </c>
      <c r="CK96" s="3">
        <f t="shared" si="514"/>
        <v>-42300</v>
      </c>
      <c r="CL96" s="3"/>
      <c r="CM96" s="3">
        <f t="shared" si="515"/>
        <v>-30070</v>
      </c>
      <c r="CN96" s="3"/>
      <c r="CO96" s="3">
        <f t="shared" si="516"/>
        <v>-20080</v>
      </c>
      <c r="CP96" s="3">
        <f t="shared" si="462"/>
        <v>-92450</v>
      </c>
      <c r="CQ96" s="3">
        <f t="shared" si="463"/>
        <v>0</v>
      </c>
      <c r="CR96" s="3"/>
      <c r="CS96" s="3">
        <f t="shared" si="464"/>
        <v>0</v>
      </c>
      <c r="CT96" s="3"/>
      <c r="CU96" s="3">
        <f t="shared" si="465"/>
        <v>0</v>
      </c>
      <c r="CV96" s="3"/>
      <c r="CW96" s="3" t="e">
        <f t="shared" ca="1" si="498"/>
        <v>#NUM!</v>
      </c>
      <c r="CY96" s="3" t="e">
        <f t="shared" ca="1" si="467"/>
        <v>#NUM!</v>
      </c>
      <c r="CZ96" s="70" t="e">
        <f t="shared" ca="1" si="511"/>
        <v>#NUM!</v>
      </c>
      <c r="DA96" s="3">
        <f>IF(RTD("tos.rtd",,DA$83,"."&amp;$B$82&amp;$AS$82&amp;"C"&amp;$A96)="N/A",0,RTD("tos.rtd",,DA$83,"."&amp;$B$82&amp;$AS$82&amp;"C"&amp;$A96))</f>
        <v>0.03</v>
      </c>
      <c r="DB96" s="3">
        <f>IF(RTD("tos.rtd",,DB$83,"."&amp;$B$82&amp;$AS$82&amp;"P"&amp;$A96)="N/A",0,RTD("tos.rtd",,DB$83,"."&amp;$B$82&amp;$AS$82&amp;"P"&amp;$A96))</f>
        <v>77.62</v>
      </c>
      <c r="DC96" s="3">
        <f>IF(RTD("tos.rtd",,DC$83,"."&amp;$B$82&amp;$AS$82&amp;"C"&amp;$A96)="N/A",0,RTD("tos.rtd",,DC$83,"."&amp;$B$82&amp;$AS$82&amp;"C"&amp;$A96))</f>
        <v>0.05</v>
      </c>
      <c r="DD96" s="3">
        <f>IF(RTD("tos.rtd",,DD$83,"."&amp;$B$82&amp;$AS$82&amp;"P"&amp;$A96)="N/A",0,RTD("tos.rtd",,DD$83,"."&amp;$B$82&amp;$AS$82&amp;"P"&amp;$A96))</f>
        <v>97.3</v>
      </c>
      <c r="DE96" s="3">
        <f>IF(RTD("tos.rtd",,DE$83,"."&amp;$B$82&amp;$AS$82&amp;"C"&amp;$A96)="N/A",0,RTD("tos.rtd",,DE$83,"."&amp;$B$82&amp;$AS$82&amp;"C"&amp;$A96))</f>
        <v>0</v>
      </c>
      <c r="DF96" s="3">
        <f>IF(RTD("tos.rtd",,DF$83,"."&amp;$B$82&amp;$AS$82&amp;"P"&amp;$A96)="N/A",0,RTD("tos.rtd",,DF$83,"."&amp;$B$82&amp;$AS$82&amp;"P"&amp;$A96))</f>
        <v>93.5</v>
      </c>
      <c r="DG96" s="86">
        <f t="shared" si="499"/>
        <v>100.09000000000015</v>
      </c>
      <c r="DH96" s="3">
        <f t="shared" si="468"/>
        <v>-13067.4</v>
      </c>
      <c r="DI96" s="3">
        <f t="shared" si="469"/>
        <v>-2862.5789473684222</v>
      </c>
      <c r="DJ96" s="3">
        <f t="shared" si="470"/>
        <v>-21779</v>
      </c>
      <c r="DK96" s="3">
        <f t="shared" si="471"/>
        <v>-685</v>
      </c>
      <c r="DL96" s="3">
        <f t="shared" si="472"/>
        <v>-15929.978947368421</v>
      </c>
      <c r="DM96" s="3">
        <f t="shared" si="473"/>
        <v>-22464</v>
      </c>
      <c r="DN96" s="64" t="str">
        <f t="shared" si="474"/>
        <v>UNKNOWN</v>
      </c>
      <c r="DO96" s="64" t="str">
        <f t="shared" si="475"/>
        <v>UNKNOWN</v>
      </c>
      <c r="DP96" s="3">
        <f t="shared" si="476"/>
        <v>-222585.39989473694</v>
      </c>
      <c r="DQ96" s="3">
        <f t="shared" si="477"/>
        <v>-53823.070000000007</v>
      </c>
      <c r="DR96" s="3" t="e">
        <f t="shared" ca="1" si="478"/>
        <v>#NUM!</v>
      </c>
      <c r="DS96" s="3">
        <f t="shared" si="479"/>
        <v>-685</v>
      </c>
      <c r="DT96" s="3">
        <f t="shared" si="500"/>
        <v>-21779</v>
      </c>
      <c r="DU96" s="3">
        <f t="shared" si="501"/>
        <v>685</v>
      </c>
      <c r="DV96" s="3">
        <f t="shared" si="502"/>
        <v>-1335</v>
      </c>
      <c r="DW96" s="3">
        <f t="shared" si="503"/>
        <v>376</v>
      </c>
      <c r="DX96" s="3" t="e">
        <f t="shared" ca="1" si="512"/>
        <v>#NUM!</v>
      </c>
      <c r="DY96" s="3" t="e">
        <f t="shared" ca="1" si="480"/>
        <v>#NUM!</v>
      </c>
      <c r="DZ96" s="3" t="e">
        <f t="shared" ca="1" si="504"/>
        <v>#NUM!</v>
      </c>
      <c r="EA96" s="3" t="e">
        <f t="shared" ca="1" si="505"/>
        <v>#NUM!</v>
      </c>
      <c r="EB96" s="3" t="e">
        <f t="shared" ca="1" si="481"/>
        <v>#NUM!</v>
      </c>
      <c r="EC96" s="3" t="e">
        <f t="shared" ca="1" si="482"/>
        <v>#NUM!</v>
      </c>
      <c r="ED96" s="63">
        <f t="shared" si="506"/>
        <v>-959</v>
      </c>
      <c r="EE96" s="59">
        <f t="shared" si="483"/>
        <v>0.82130000000000003</v>
      </c>
      <c r="EF96" s="59">
        <f t="shared" si="484"/>
        <v>0.25</v>
      </c>
      <c r="EG96" s="59">
        <f t="shared" si="485"/>
        <v>0.82130000000000003</v>
      </c>
      <c r="EH96" s="59">
        <f t="shared" si="486"/>
        <v>1.2188000000000001</v>
      </c>
      <c r="EI96" s="59">
        <f t="shared" si="487"/>
        <v>0.31069999999999998</v>
      </c>
      <c r="EJ96" s="59">
        <f t="shared" si="488"/>
        <v>0.25</v>
      </c>
      <c r="EK96" s="63" t="e">
        <f t="shared" ca="1" si="507"/>
        <v>#NUM!</v>
      </c>
      <c r="EL96" s="3" t="str">
        <f>RTD("tos.rtd",,EL$83,"."&amp;$B$82&amp;$AS$82&amp;"C"&amp;$A96)</f>
        <v>82.13%</v>
      </c>
      <c r="EM96" s="3" t="str">
        <f>RTD("tos.rtd",,EM$83,"."&amp;$B$82&amp;$AS$82&amp;"P"&amp;$A96)</f>
        <v>--</v>
      </c>
      <c r="EN96" s="3" t="str">
        <f>RTD("tos.rtd",,EN$83,"."&amp;$C$82&amp;$AU$82&amp;"C"&amp;$A96)</f>
        <v>82.13%</v>
      </c>
      <c r="EO96" s="3" t="str">
        <f>RTD("tos.rtd",,EO$83,"."&amp;$C$82&amp;$AU$82&amp;"P"&amp;$A96)</f>
        <v>121.88%</v>
      </c>
      <c r="EP96" s="3" t="str">
        <f>RTD("tos.rtd",,EP$83,"."&amp;$D$82&amp;$AW$82&amp;"C"&amp;$A96)</f>
        <v>31.07%</v>
      </c>
      <c r="EQ96" s="3" t="str">
        <f>RTD("tos.rtd",,EQ$83,"."&amp;$D$82&amp;$AW$82&amp;"P"&amp;$A96)</f>
        <v>--</v>
      </c>
      <c r="ES96" s="63" t="str">
        <f t="shared" si="489"/>
        <v>5760,-959.00</v>
      </c>
      <c r="ET96" s="63" t="str">
        <f t="shared" ca="1" si="490"/>
        <v>5760,00.00</v>
      </c>
      <c r="EU96" s="67">
        <v>561.29999999999995</v>
      </c>
      <c r="EV96" s="67" t="s">
        <v>787</v>
      </c>
      <c r="EW96" s="67">
        <v>483.66</v>
      </c>
      <c r="EX96" s="67" t="s">
        <v>788</v>
      </c>
      <c r="EY96" s="67">
        <v>5631.28</v>
      </c>
      <c r="EZ96" s="67" t="s">
        <v>789</v>
      </c>
      <c r="FA96" s="67">
        <v>19867.973000000002</v>
      </c>
      <c r="FB96" s="67" t="s">
        <v>790</v>
      </c>
      <c r="FC96" s="67" t="s">
        <v>791</v>
      </c>
      <c r="FD96" s="67" t="s">
        <v>792</v>
      </c>
      <c r="FE96" s="68" t="s">
        <v>793</v>
      </c>
      <c r="FF96" s="68" t="s">
        <v>794</v>
      </c>
    </row>
    <row r="97" spans="1:162" s="63" customFormat="1" ht="12" customHeight="1" thickBot="1" x14ac:dyDescent="0.25">
      <c r="A97" s="2">
        <f t="shared" si="508"/>
        <v>5750</v>
      </c>
      <c r="B97" s="3">
        <f t="shared" si="451"/>
        <v>2874</v>
      </c>
      <c r="C97" s="3">
        <f t="shared" si="452"/>
        <v>4342</v>
      </c>
      <c r="D97" s="3">
        <f t="shared" si="453"/>
        <v>2887</v>
      </c>
      <c r="E97" s="3">
        <f>SUM(B97:D97)</f>
        <v>10103</v>
      </c>
      <c r="F97" s="4">
        <f t="shared" si="517"/>
        <v>5837.9682715802901</v>
      </c>
      <c r="G97" s="4">
        <f t="shared" si="491"/>
        <v>580.20048021965022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>
        <v>-5237</v>
      </c>
      <c r="AN97" s="20">
        <v>328</v>
      </c>
      <c r="AO97" s="20">
        <v>5750</v>
      </c>
      <c r="AP97" s="20">
        <v>51360</v>
      </c>
      <c r="AQ97" s="20">
        <v>-1355</v>
      </c>
      <c r="AR97" s="20"/>
      <c r="AS97" s="54">
        <f>IF(RTD("tos.rtd",,AS$83,"."&amp;$B$82&amp;$AS$82&amp;"C"&amp;$A97)="N/A",0,RTD("tos.rtd",,AS$83,"."&amp;$B$82&amp;$AS$82&amp;"C"&amp;$A97))</f>
        <v>2108</v>
      </c>
      <c r="AT97" s="3">
        <f>-IF(RTD("tos.rtd",,AT$83,"."&amp;$B$82&amp;$AS$82&amp;"P"&amp;$A97)="N/A",0,RTD("tos.rtd",,AT$83,"."&amp;$B$82&amp;$AS$82&amp;"P"&amp;$A97))</f>
        <v>-766</v>
      </c>
      <c r="AU97" s="54">
        <f>IF(RTD("tos.rtd",,AU$83,"."&amp;$C$82&amp;$AU$82&amp;"C"&amp;$A97)="N/A",0,RTD("tos.rtd",,AU$83,"."&amp;$C$82&amp;$AU$82&amp;"C"&amp;$A97))</f>
        <v>3846</v>
      </c>
      <c r="AV97" s="3">
        <f>-IF(RTD("tos.rtd",,AV$83,"."&amp;$C$82&amp;$AU$82&amp;"P"&amp;$A97)="N/A",0,RTD("tos.rtd",,AV$83,"."&amp;$C$82&amp;$AU$82&amp;"P"&amp;$A97))</f>
        <v>-496</v>
      </c>
      <c r="AW97" s="54">
        <f>IF(RTD("tos.rtd",,AW$83,"."&amp;$D$82&amp;$AW$82&amp;"C"&amp;$A97)="N/A",0,RTD("tos.rtd",,AW$83,"."&amp;$D$82&amp;$AW$82&amp;"C"&amp;$A97))</f>
        <v>2542</v>
      </c>
      <c r="AX97" s="3">
        <f>-IF(RTD("tos.rtd",,AX$83,"."&amp;$D$82&amp;$AW$82&amp;"P"&amp;$A97)="N/A",0,RTD("tos.rtd",,AX$83,"."&amp;$D$82&amp;$AW$82&amp;"P"&amp;$A97))</f>
        <v>-345</v>
      </c>
      <c r="AY97" s="79">
        <f t="shared" si="492"/>
        <v>6889</v>
      </c>
      <c r="AZ97" s="8">
        <f t="shared" si="455"/>
        <v>5750</v>
      </c>
      <c r="BA97" s="54">
        <f>IF(RTD("tos.rtd",,BA$83,"."&amp;$B$82&amp;$AS$82&amp;"C"&amp;$A97)="N/A",0,RTD("tos.rtd",,BA$83,"."&amp;$B$82&amp;$AS$82&amp;"C"&amp;$A97))</f>
        <v>0</v>
      </c>
      <c r="BB97" s="3">
        <f>-IF(RTD("tos.rtd",,BB$83,"."&amp;$B$82&amp;$AS$82&amp;"P"&amp;$A97)="N/A",0,RTD("tos.rtd",,BB$83,"."&amp;$B$82&amp;$AS$82&amp;"P"&amp;$A97))</f>
        <v>0</v>
      </c>
      <c r="BC97" s="54">
        <f>IF(RTD("tos.rtd",,BC$83,"."&amp;$C$82&amp;$AU$82&amp;"C"&amp;$A97)="N/A",0,RTD("tos.rtd",,BC$83,"."&amp;$C$82&amp;$AU$82&amp;"C"&amp;$A97))</f>
        <v>0</v>
      </c>
      <c r="BD97" s="3">
        <f>-IF(RTD("tos.rtd",,BD$83,"."&amp;$C$82&amp;$AU$82&amp;"P"&amp;$A97)="N/A",0,RTD("tos.rtd",,BD$83,"."&amp;$C$82&amp;$AU$82&amp;"P"&amp;$A97))</f>
        <v>0</v>
      </c>
      <c r="BE97" s="54">
        <f>IF(RTD("tos.rtd",,BE$83,"."&amp;$D$82&amp;$AW$82&amp;"C"&amp;$A97)="N/A",0,RTD("tos.rtd",,BE$83,"."&amp;$D$82&amp;$AW$82&amp;"C"&amp;$A97))</f>
        <v>0</v>
      </c>
      <c r="BF97" s="3">
        <f>-IF(RTD("tos.rtd",,BF$83,"."&amp;$D$82&amp;$AW$82&amp;"P"&amp;$A97)="N/A",0,RTD("tos.rtd",,BF$83,"."&amp;$D$82&amp;$AW$82&amp;"P"&amp;$A97))</f>
        <v>0</v>
      </c>
      <c r="BG97" s="3">
        <f ca="1">+Hoja2!Y98</f>
        <v>4</v>
      </c>
      <c r="BH97" s="55">
        <f t="shared" ca="1" si="493"/>
        <v>4</v>
      </c>
      <c r="BI97" s="32" t="str">
        <f t="shared" ca="1" si="513"/>
        <v/>
      </c>
      <c r="BJ97" s="3" t="e">
        <f ca="1">IF($BP$1=1,DX97,IF(RTD("tos.rtd",,BJ$83,"."&amp;$B$82&amp;$AS$82&amp;"C"&amp;$A97)="N/A",0,RTD("tos.rtd",,BJ$83,"."&amp;$B$82&amp;$AS$82&amp;"C"&amp;$A97)))</f>
        <v>#NUM!</v>
      </c>
      <c r="BK97" s="3" t="e">
        <f ca="1">IF($BP$1=1,DY97,-IF(RTD("tos.rtd",,BK$83,"."&amp;$B$82&amp;$AS$82&amp;"P"&amp;$A97)="N/A",0,RTD("tos.rtd",,BK$83,"."&amp;$B$82&amp;$AS$82&amp;"P"&amp;$A97)))</f>
        <v>#NUM!</v>
      </c>
      <c r="BL97" s="3" t="e">
        <f ca="1">IF($BP$1=1,DZ97,IF(RTD("tos.rtd",,BL$83,"."&amp;$C$82&amp;$AU$82&amp;"C"&amp;$A97)="N/A",0,RTD("tos.rtd",,BL$83,"."&amp;$C$82&amp;$AU$82&amp;"C"&amp;$A97)))</f>
        <v>#NUM!</v>
      </c>
      <c r="BM97" s="3" t="e">
        <f ca="1">IF($BP$1=1,EA97,-IF(RTD("tos.rtd",,BM$83,"."&amp;$C$82&amp;$AU$82&amp;"P"&amp;$A97)="N/A",0,RTD("tos.rtd",,BM$83,"."&amp;$C$82&amp;$AU$82&amp;"P"&amp;$A97)))</f>
        <v>#NUM!</v>
      </c>
      <c r="BN97" s="3" t="e">
        <f ca="1">IF($BP$1=1,EB97,IF(RTD("tos.rtd",,BN$83,"."&amp;$D$82&amp;$AW$82&amp;"C"&amp;$A97)="N/A",0,RTD("tos.rtd",,BN$83,"."&amp;$D$82&amp;$AW$82&amp;"C"&amp;$A97)))</f>
        <v>#NUM!</v>
      </c>
      <c r="BO97" s="3" t="e">
        <f ca="1">IF($BP$1=1,EC97,-IF(RTD("tos.rtd",,BO$83,"."&amp;$D$82&amp;$AW$82&amp;"P"&amp;$A97)="N/A",0,RTD("tos.rtd",,BO$83,"."&amp;$D$82&amp;$AW$82&amp;"P"&amp;$A97)))</f>
        <v>#NUM!</v>
      </c>
      <c r="BQ97" s="3" t="e">
        <f t="shared" ca="1" si="456"/>
        <v>#NUM!</v>
      </c>
      <c r="BR97" s="3" t="e">
        <f t="shared" ca="1" si="494"/>
        <v>#NUM!</v>
      </c>
      <c r="BS97" s="3" t="e">
        <f t="shared" ca="1" si="457"/>
        <v>#NUM!</v>
      </c>
      <c r="BT97" s="3" t="e">
        <f t="shared" ca="1" si="494"/>
        <v>#NUM!</v>
      </c>
      <c r="BU97" s="3" t="e">
        <f t="shared" ca="1" si="458"/>
        <v>#NUM!</v>
      </c>
      <c r="BV97" s="3" t="e">
        <f t="shared" ca="1" si="494"/>
        <v>#NUM!</v>
      </c>
      <c r="BX97" s="3" t="e">
        <f t="shared" ca="1" si="459"/>
        <v>#NUM!</v>
      </c>
      <c r="BY97" s="3" t="e">
        <f t="shared" ca="1" si="510"/>
        <v>#NUM!</v>
      </c>
      <c r="BZ97" s="3" t="e">
        <f t="shared" ca="1" si="460"/>
        <v>#NUM!</v>
      </c>
      <c r="CA97" s="3" t="e">
        <f t="shared" ca="1" si="510"/>
        <v>#NUM!</v>
      </c>
      <c r="CB97" s="3" t="e">
        <f t="shared" ca="1" si="461"/>
        <v>#NUM!</v>
      </c>
      <c r="CC97" s="3" t="e">
        <f t="shared" ca="1" si="510"/>
        <v>#NUM!</v>
      </c>
      <c r="CD97" s="3">
        <f>IF(RTD("tos.rtd",,CD$83,"."&amp;$B$82&amp;$AS$82&amp;"C"&amp;$A97)="N/A",0,RTD("tos.rtd",,CD$83,"."&amp;$B$82&amp;$AS$82&amp;"C"&amp;$A97))</f>
        <v>0</v>
      </c>
      <c r="CE97" s="3">
        <f>-IF(RTD("tos.rtd",,CE$83,"."&amp;$B$82&amp;$AS$82&amp;"P"&amp;$A97)="N/A",0,RTD("tos.rtd",,CE$83,"."&amp;$B$82&amp;$AS$82&amp;"P"&amp;$A97))</f>
        <v>1</v>
      </c>
      <c r="CF97" s="3">
        <f>IF(RTD("tos.rtd",,CF$83,"."&amp;$C$82&amp;$AU$82&amp;"C"&amp;$A97)="N/A",0,RTD("tos.rtd",,CF$83,"."&amp;$C$82&amp;$AU$82&amp;"C"&amp;$A97))</f>
        <v>0</v>
      </c>
      <c r="CG97" s="3">
        <f>-IF(RTD("tos.rtd",,CG$83,"."&amp;$C$82&amp;$AU$82&amp;"P"&amp;$A97)="N/A",0,RTD("tos.rtd",,CG$83,"."&amp;$C$82&amp;$AU$82&amp;"P"&amp;$A97))</f>
        <v>0.97</v>
      </c>
      <c r="CH97" s="3">
        <f>IF(RTD("tos.rtd",,CH$83,"."&amp;$D$82&amp;$AW$82&amp;"C"&amp;$A97)="N/A",0,RTD("tos.rtd",,CH$83,"."&amp;$D$82&amp;$AW$82&amp;"C"&amp;$A97))</f>
        <v>0.34</v>
      </c>
      <c r="CI97" s="3">
        <f>-IF(RTD("tos.rtd",,CI$83,"."&amp;$D$82&amp;$AW$82&amp;"P"&amp;$A97)="N/A",0,RTD("tos.rtd",,CI$83,"."&amp;$D$82&amp;$AW$82&amp;"P"&amp;$A97))</f>
        <v>1</v>
      </c>
      <c r="CK97" s="3">
        <f t="shared" si="514"/>
        <v>-76600</v>
      </c>
      <c r="CL97" s="3"/>
      <c r="CM97" s="3">
        <f t="shared" si="515"/>
        <v>-48112</v>
      </c>
      <c r="CN97" s="3"/>
      <c r="CO97" s="3">
        <f t="shared" si="516"/>
        <v>51928.000000000015</v>
      </c>
      <c r="CP97" s="3">
        <f t="shared" si="462"/>
        <v>-72783.999999999985</v>
      </c>
      <c r="CQ97" s="3">
        <f t="shared" si="463"/>
        <v>0</v>
      </c>
      <c r="CR97" s="3"/>
      <c r="CS97" s="3">
        <f t="shared" si="464"/>
        <v>0</v>
      </c>
      <c r="CT97" s="3"/>
      <c r="CU97" s="3">
        <f t="shared" si="465"/>
        <v>0</v>
      </c>
      <c r="CV97" s="3"/>
      <c r="CW97" s="3" t="e">
        <f t="shared" ca="1" si="498"/>
        <v>#NUM!</v>
      </c>
      <c r="CY97" s="3" t="e">
        <f t="shared" ca="1" si="467"/>
        <v>#NUM!</v>
      </c>
      <c r="CZ97" s="70" t="e">
        <f t="shared" ca="1" si="511"/>
        <v>#NUM!</v>
      </c>
      <c r="DA97" s="3">
        <f>IF(RTD("tos.rtd",,DA$83,"."&amp;$B$82&amp;$AS$82&amp;"C"&amp;$A97)="N/A",0,RTD("tos.rtd",,DA$83,"."&amp;$B$82&amp;$AS$82&amp;"C"&amp;$A97))</f>
        <v>0.05</v>
      </c>
      <c r="DB97" s="3">
        <f>IF(RTD("tos.rtd",,DB$83,"."&amp;$B$82&amp;$AS$82&amp;"P"&amp;$A97)="N/A",0,RTD("tos.rtd",,DB$83,"."&amp;$B$82&amp;$AS$82&amp;"P"&amp;$A97))</f>
        <v>84.9</v>
      </c>
      <c r="DC97" s="3">
        <f>IF(RTD("tos.rtd",,DC$83,"."&amp;$B$82&amp;$AS$82&amp;"C"&amp;$A97)="N/A",0,RTD("tos.rtd",,DC$83,"."&amp;$B$82&amp;$AS$82&amp;"C"&amp;$A97))</f>
        <v>0.05</v>
      </c>
      <c r="DD97" s="3">
        <f>IF(RTD("tos.rtd",,DD$83,"."&amp;$B$82&amp;$AS$82&amp;"P"&amp;$A97)="N/A",0,RTD("tos.rtd",,DD$83,"."&amp;$B$82&amp;$AS$82&amp;"P"&amp;$A97))</f>
        <v>87.3</v>
      </c>
      <c r="DE97" s="3">
        <f>IF(RTD("tos.rtd",,DE$83,"."&amp;$B$82&amp;$AS$82&amp;"C"&amp;$A97)="N/A",0,RTD("tos.rtd",,DE$83,"."&amp;$B$82&amp;$AS$82&amp;"C"&amp;$A97))</f>
        <v>0</v>
      </c>
      <c r="DF97" s="3">
        <f>IF(RTD("tos.rtd",,DF$83,"."&amp;$B$82&amp;$AS$82&amp;"P"&amp;$A97)="N/A",0,RTD("tos.rtd",,DF$83,"."&amp;$B$82&amp;$AS$82&amp;"P"&amp;$A97))</f>
        <v>83.5</v>
      </c>
      <c r="DG97" s="86">
        <f t="shared" si="499"/>
        <v>90.090000000000146</v>
      </c>
      <c r="DH97" s="3">
        <f t="shared" si="468"/>
        <v>-51360</v>
      </c>
      <c r="DI97" s="3">
        <f t="shared" si="469"/>
        <v>499.21052631579187</v>
      </c>
      <c r="DJ97" s="3">
        <f t="shared" si="470"/>
        <v>-51360</v>
      </c>
      <c r="DK97" s="3">
        <f t="shared" si="471"/>
        <v>-1355</v>
      </c>
      <c r="DL97" s="3">
        <f t="shared" si="472"/>
        <v>-50860.789473684206</v>
      </c>
      <c r="DM97" s="3">
        <f t="shared" si="473"/>
        <v>-52715</v>
      </c>
      <c r="DN97" s="64" t="str">
        <f t="shared" si="474"/>
        <v>UNKNOWN</v>
      </c>
      <c r="DO97" s="64" t="str">
        <f t="shared" si="475"/>
        <v>UNKNOWN</v>
      </c>
      <c r="DP97" s="3">
        <f t="shared" si="476"/>
        <v>39814.97368421073</v>
      </c>
      <c r="DQ97" s="3">
        <f t="shared" si="477"/>
        <v>-117607.50000000001</v>
      </c>
      <c r="DR97" s="3" t="e">
        <f t="shared" ca="1" si="478"/>
        <v>#NUM!</v>
      </c>
      <c r="DS97" s="3">
        <f t="shared" si="479"/>
        <v>-1355</v>
      </c>
      <c r="DT97" s="3">
        <f t="shared" si="500"/>
        <v>-51360</v>
      </c>
      <c r="DU97" s="3">
        <f t="shared" si="501"/>
        <v>1355</v>
      </c>
      <c r="DV97" s="3">
        <f t="shared" si="502"/>
        <v>-5237</v>
      </c>
      <c r="DW97" s="3">
        <f t="shared" si="503"/>
        <v>328</v>
      </c>
      <c r="DX97" s="3" t="e">
        <f t="shared" ca="1" si="512"/>
        <v>#NUM!</v>
      </c>
      <c r="DY97" s="3" t="e">
        <f t="shared" ca="1" si="480"/>
        <v>#NUM!</v>
      </c>
      <c r="DZ97" s="3" t="e">
        <f t="shared" ca="1" si="504"/>
        <v>#NUM!</v>
      </c>
      <c r="EA97" s="3" t="e">
        <f t="shared" ca="1" si="505"/>
        <v>#NUM!</v>
      </c>
      <c r="EB97" s="3" t="e">
        <f t="shared" ca="1" si="481"/>
        <v>#NUM!</v>
      </c>
      <c r="EC97" s="3" t="e">
        <f t="shared" ca="1" si="482"/>
        <v>#NUM!</v>
      </c>
      <c r="ED97" s="63">
        <f t="shared" si="506"/>
        <v>-4909</v>
      </c>
      <c r="EE97" s="59">
        <f t="shared" si="483"/>
        <v>0.74809999999999999</v>
      </c>
      <c r="EF97" s="59">
        <f t="shared" si="484"/>
        <v>0.25</v>
      </c>
      <c r="EG97" s="59">
        <f t="shared" si="485"/>
        <v>0.74809999999999999</v>
      </c>
      <c r="EH97" s="59">
        <f t="shared" si="486"/>
        <v>1.1177999999999999</v>
      </c>
      <c r="EI97" s="59">
        <f t="shared" si="487"/>
        <v>0.31659999999999999</v>
      </c>
      <c r="EJ97" s="59">
        <f t="shared" si="488"/>
        <v>0.25</v>
      </c>
      <c r="EK97" s="63" t="e">
        <f t="shared" ca="1" si="507"/>
        <v>#NUM!</v>
      </c>
      <c r="EL97" s="3" t="str">
        <f>RTD("tos.rtd",,EL$83,"."&amp;$B$82&amp;$AS$82&amp;"C"&amp;$A97)</f>
        <v>74.81%</v>
      </c>
      <c r="EM97" s="3" t="str">
        <f>RTD("tos.rtd",,EM$83,"."&amp;$B$82&amp;$AS$82&amp;"P"&amp;$A97)</f>
        <v>--</v>
      </c>
      <c r="EN97" s="3" t="str">
        <f>RTD("tos.rtd",,EN$83,"."&amp;$C$82&amp;$AU$82&amp;"C"&amp;$A97)</f>
        <v>74.81%</v>
      </c>
      <c r="EO97" s="3" t="str">
        <f>RTD("tos.rtd",,EO$83,"."&amp;$C$82&amp;$AU$82&amp;"P"&amp;$A97)</f>
        <v>111.78%</v>
      </c>
      <c r="EP97" s="3" t="str">
        <f>RTD("tos.rtd",,EP$83,"."&amp;$D$82&amp;$AW$82&amp;"C"&amp;$A97)</f>
        <v>31.66%</v>
      </c>
      <c r="EQ97" s="3" t="str">
        <f>RTD("tos.rtd",,EQ$83,"."&amp;$D$82&amp;$AW$82&amp;"P"&amp;$A97)</f>
        <v>--</v>
      </c>
      <c r="ES97" s="63" t="str">
        <f t="shared" si="489"/>
        <v>5750,-4909.00</v>
      </c>
      <c r="ET97" s="63" t="str">
        <f t="shared" ca="1" si="490"/>
        <v>5750,00.00</v>
      </c>
      <c r="EU97" s="67">
        <v>561.29</v>
      </c>
      <c r="EV97" s="67" t="s">
        <v>795</v>
      </c>
      <c r="EW97" s="67">
        <v>483.63</v>
      </c>
      <c r="EX97" s="67" t="s">
        <v>796</v>
      </c>
      <c r="EY97" s="67">
        <v>5631.28</v>
      </c>
      <c r="EZ97" s="67" t="s">
        <v>797</v>
      </c>
      <c r="FA97" s="67">
        <v>19867.973000000002</v>
      </c>
      <c r="FB97" s="67" t="s">
        <v>798</v>
      </c>
      <c r="FC97" s="67" t="s">
        <v>799</v>
      </c>
      <c r="FD97" s="67" t="s">
        <v>800</v>
      </c>
      <c r="FE97" s="68" t="s">
        <v>801</v>
      </c>
      <c r="FF97" s="68" t="s">
        <v>802</v>
      </c>
    </row>
    <row r="98" spans="1:162" s="63" customFormat="1" ht="12" customHeight="1" thickBot="1" x14ac:dyDescent="0.25">
      <c r="A98" s="2">
        <f t="shared" si="508"/>
        <v>5740</v>
      </c>
      <c r="B98" s="3">
        <f t="shared" si="451"/>
        <v>2162</v>
      </c>
      <c r="C98" s="3">
        <f t="shared" si="452"/>
        <v>1741</v>
      </c>
      <c r="D98" s="3">
        <f t="shared" si="453"/>
        <v>551</v>
      </c>
      <c r="E98" s="3">
        <f t="shared" ref="E98" si="518">SUM(B98:D98)</f>
        <v>4454</v>
      </c>
      <c r="F98" s="4">
        <f t="shared" si="517"/>
        <v>5827.8152832818896</v>
      </c>
      <c r="G98" s="4">
        <f t="shared" si="491"/>
        <v>579.19143590622468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>
        <v>-7226</v>
      </c>
      <c r="AN98" s="20">
        <v>70</v>
      </c>
      <c r="AO98" s="20">
        <v>5740</v>
      </c>
      <c r="AP98" s="20">
        <v>48476</v>
      </c>
      <c r="AQ98" s="20">
        <v>-1264</v>
      </c>
      <c r="AR98" s="20"/>
      <c r="AS98" s="54">
        <f>IF(RTD("tos.rtd",,AS$83,"."&amp;$B$82&amp;$AS$82&amp;"C"&amp;$A98)="N/A",0,RTD("tos.rtd",,AS$83,"."&amp;$B$82&amp;$AS$82&amp;"C"&amp;$A98))</f>
        <v>2064</v>
      </c>
      <c r="AT98" s="3">
        <f>-IF(RTD("tos.rtd",,AT$83,"."&amp;$B$82&amp;$AS$82&amp;"P"&amp;$A98)="N/A",0,RTD("tos.rtd",,AT$83,"."&amp;$B$82&amp;$AS$82&amp;"P"&amp;$A98))</f>
        <v>-98</v>
      </c>
      <c r="AU98" s="54">
        <f>IF(RTD("tos.rtd",,AU$83,"."&amp;$C$82&amp;$AU$82&amp;"C"&amp;$A98)="N/A",0,RTD("tos.rtd",,AU$83,"."&amp;$C$82&amp;$AU$82&amp;"C"&amp;$A98))</f>
        <v>1602</v>
      </c>
      <c r="AV98" s="3">
        <f>-IF(RTD("tos.rtd",,AV$83,"."&amp;$C$82&amp;$AU$82&amp;"P"&amp;$A98)="N/A",0,RTD("tos.rtd",,AV$83,"."&amp;$C$82&amp;$AU$82&amp;"P"&amp;$A98))</f>
        <v>-139</v>
      </c>
      <c r="AW98" s="54">
        <f>IF(RTD("tos.rtd",,AW$83,"."&amp;$D$82&amp;$AW$82&amp;"C"&amp;$A98)="N/A",0,RTD("tos.rtd",,AW$83,"."&amp;$D$82&amp;$AW$82&amp;"C"&amp;$A98))</f>
        <v>361</v>
      </c>
      <c r="AX98" s="3">
        <f>-IF(RTD("tos.rtd",,AX$83,"."&amp;$D$82&amp;$AW$82&amp;"P"&amp;$A98)="N/A",0,RTD("tos.rtd",,AX$83,"."&amp;$D$82&amp;$AW$82&amp;"P"&amp;$A98))</f>
        <v>-190</v>
      </c>
      <c r="AY98" s="79">
        <f t="shared" si="492"/>
        <v>3600</v>
      </c>
      <c r="AZ98" s="8">
        <f t="shared" si="455"/>
        <v>5740</v>
      </c>
      <c r="BA98" s="54">
        <f>IF(RTD("tos.rtd",,BA$83,"."&amp;$B$82&amp;$AS$82&amp;"C"&amp;$A98)="N/A",0,RTD("tos.rtd",,BA$83,"."&amp;$B$82&amp;$AS$82&amp;"C"&amp;$A98))</f>
        <v>0</v>
      </c>
      <c r="BB98" s="3">
        <f>-IF(RTD("tos.rtd",,BB$83,"."&amp;$B$82&amp;$AS$82&amp;"P"&amp;$A98)="N/A",0,RTD("tos.rtd",,BB$83,"."&amp;$B$82&amp;$AS$82&amp;"P"&amp;$A98))</f>
        <v>0</v>
      </c>
      <c r="BC98" s="54">
        <f>IF(RTD("tos.rtd",,BC$83,"."&amp;$C$82&amp;$AU$82&amp;"C"&amp;$A98)="N/A",0,RTD("tos.rtd",,BC$83,"."&amp;$C$82&amp;$AU$82&amp;"C"&amp;$A98))</f>
        <v>0</v>
      </c>
      <c r="BD98" s="3">
        <f>-IF(RTD("tos.rtd",,BD$83,"."&amp;$C$82&amp;$AU$82&amp;"P"&amp;$A98)="N/A",0,RTD("tos.rtd",,BD$83,"."&amp;$C$82&amp;$AU$82&amp;"P"&amp;$A98))</f>
        <v>0</v>
      </c>
      <c r="BE98" s="54">
        <f>IF(RTD("tos.rtd",,BE$83,"."&amp;$D$82&amp;$AW$82&amp;"C"&amp;$A98)="N/A",0,RTD("tos.rtd",,BE$83,"."&amp;$D$82&amp;$AW$82&amp;"C"&amp;$A98))</f>
        <v>0</v>
      </c>
      <c r="BF98" s="3">
        <f>-IF(RTD("tos.rtd",,BF$83,"."&amp;$D$82&amp;$AW$82&amp;"P"&amp;$A98)="N/A",0,RTD("tos.rtd",,BF$83,"."&amp;$D$82&amp;$AW$82&amp;"P"&amp;$A98))</f>
        <v>0</v>
      </c>
      <c r="BG98" s="3">
        <f ca="1">+Hoja2!Y99</f>
        <v>0</v>
      </c>
      <c r="BH98" s="55">
        <f t="shared" ca="1" si="493"/>
        <v>0</v>
      </c>
      <c r="BI98" s="32" t="str">
        <f t="shared" ca="1" si="513"/>
        <v/>
      </c>
      <c r="BJ98" s="3" t="e">
        <f ca="1">IF($BP$1=1,DX98,IF(RTD("tos.rtd",,BJ$83,"."&amp;$B$82&amp;$AS$82&amp;"C"&amp;$A98)="N/A",0,RTD("tos.rtd",,BJ$83,"."&amp;$B$82&amp;$AS$82&amp;"C"&amp;$A98)))</f>
        <v>#NUM!</v>
      </c>
      <c r="BK98" s="3" t="e">
        <f ca="1">IF($BP$1=1,DY98,-IF(RTD("tos.rtd",,BK$83,"."&amp;$B$82&amp;$AS$82&amp;"P"&amp;$A98)="N/A",0,RTD("tos.rtd",,BK$83,"."&amp;$B$82&amp;$AS$82&amp;"P"&amp;$A98)))</f>
        <v>#NUM!</v>
      </c>
      <c r="BL98" s="3" t="e">
        <f ca="1">IF($BP$1=1,DZ98,IF(RTD("tos.rtd",,BL$83,"."&amp;$C$82&amp;$AU$82&amp;"C"&amp;$A98)="N/A",0,RTD("tos.rtd",,BL$83,"."&amp;$C$82&amp;$AU$82&amp;"C"&amp;$A98)))</f>
        <v>#NUM!</v>
      </c>
      <c r="BM98" s="3" t="e">
        <f ca="1">IF($BP$1=1,EA98,-IF(RTD("tos.rtd",,BM$83,"."&amp;$C$82&amp;$AU$82&amp;"P"&amp;$A98)="N/A",0,RTD("tos.rtd",,BM$83,"."&amp;$C$82&amp;$AU$82&amp;"P"&amp;$A98)))</f>
        <v>#NUM!</v>
      </c>
      <c r="BN98" s="3" t="e">
        <f ca="1">IF($BP$1=1,EB98,IF(RTD("tos.rtd",,BN$83,"."&amp;$D$82&amp;$AW$82&amp;"C"&amp;$A98)="N/A",0,RTD("tos.rtd",,BN$83,"."&amp;$D$82&amp;$AW$82&amp;"C"&amp;$A98)))</f>
        <v>#NUM!</v>
      </c>
      <c r="BO98" s="3" t="e">
        <f ca="1">IF($BP$1=1,EC98,-IF(RTD("tos.rtd",,BO$83,"."&amp;$D$82&amp;$AW$82&amp;"P"&amp;$A98)="N/A",0,RTD("tos.rtd",,BO$83,"."&amp;$D$82&amp;$AW$82&amp;"P"&amp;$A98)))</f>
        <v>#NUM!</v>
      </c>
      <c r="BQ98" s="3" t="e">
        <f t="shared" ca="1" si="456"/>
        <v>#NUM!</v>
      </c>
      <c r="BR98" s="3" t="e">
        <f t="shared" ca="1" si="494"/>
        <v>#NUM!</v>
      </c>
      <c r="BS98" s="3" t="e">
        <f t="shared" ca="1" si="457"/>
        <v>#NUM!</v>
      </c>
      <c r="BT98" s="3" t="e">
        <f t="shared" ca="1" si="494"/>
        <v>#NUM!</v>
      </c>
      <c r="BU98" s="3" t="e">
        <f t="shared" ca="1" si="458"/>
        <v>#NUM!</v>
      </c>
      <c r="BV98" s="3" t="e">
        <f t="shared" ca="1" si="494"/>
        <v>#NUM!</v>
      </c>
      <c r="BX98" s="3" t="e">
        <f t="shared" ca="1" si="459"/>
        <v>#NUM!</v>
      </c>
      <c r="BY98" s="3" t="e">
        <f t="shared" ca="1" si="510"/>
        <v>#NUM!</v>
      </c>
      <c r="BZ98" s="3" t="e">
        <f t="shared" ca="1" si="460"/>
        <v>#NUM!</v>
      </c>
      <c r="CA98" s="3" t="e">
        <f t="shared" ca="1" si="510"/>
        <v>#NUM!</v>
      </c>
      <c r="CB98" s="3" t="e">
        <f t="shared" ca="1" si="461"/>
        <v>#NUM!</v>
      </c>
      <c r="CC98" s="3" t="e">
        <f t="shared" ca="1" si="510"/>
        <v>#NUM!</v>
      </c>
      <c r="CD98" s="3">
        <f>IF(RTD("tos.rtd",,CD$83,"."&amp;$B$82&amp;$AS$82&amp;"C"&amp;$A98)="N/A",0,RTD("tos.rtd",,CD$83,"."&amp;$B$82&amp;$AS$82&amp;"C"&amp;$A98))</f>
        <v>0</v>
      </c>
      <c r="CE98" s="3">
        <f>-IF(RTD("tos.rtd",,CE$83,"."&amp;$B$82&amp;$AS$82&amp;"P"&amp;$A98)="N/A",0,RTD("tos.rtd",,CE$83,"."&amp;$B$82&amp;$AS$82&amp;"P"&amp;$A98))</f>
        <v>1</v>
      </c>
      <c r="CF98" s="3">
        <f>IF(RTD("tos.rtd",,CF$83,"."&amp;$C$82&amp;$AU$82&amp;"C"&amp;$A98)="N/A",0,RTD("tos.rtd",,CF$83,"."&amp;$C$82&amp;$AU$82&amp;"C"&amp;$A98))</f>
        <v>0</v>
      </c>
      <c r="CG98" s="3">
        <f>-IF(RTD("tos.rtd",,CG$83,"."&amp;$C$82&amp;$AU$82&amp;"P"&amp;$A98)="N/A",0,RTD("tos.rtd",,CG$83,"."&amp;$C$82&amp;$AU$82&amp;"P"&amp;$A98))</f>
        <v>0.97</v>
      </c>
      <c r="CH98" s="3">
        <f>IF(RTD("tos.rtd",,CH$83,"."&amp;$D$82&amp;$AW$82&amp;"C"&amp;$A98)="N/A",0,RTD("tos.rtd",,CH$83,"."&amp;$D$82&amp;$AW$82&amp;"C"&amp;$A98))</f>
        <v>0.37</v>
      </c>
      <c r="CI98" s="3">
        <f>-IF(RTD("tos.rtd",,CI$83,"."&amp;$D$82&amp;$AW$82&amp;"P"&amp;$A98)="N/A",0,RTD("tos.rtd",,CI$83,"."&amp;$D$82&amp;$AW$82&amp;"P"&amp;$A98))</f>
        <v>1</v>
      </c>
      <c r="CK98" s="3">
        <f t="shared" si="514"/>
        <v>-9800</v>
      </c>
      <c r="CL98" s="3"/>
      <c r="CM98" s="3">
        <f t="shared" si="515"/>
        <v>-13482.999999999998</v>
      </c>
      <c r="CN98" s="3"/>
      <c r="CO98" s="3">
        <f t="shared" si="516"/>
        <v>-5643</v>
      </c>
      <c r="CP98" s="3">
        <f t="shared" si="462"/>
        <v>-28926</v>
      </c>
      <c r="CQ98" s="3">
        <f t="shared" si="463"/>
        <v>0</v>
      </c>
      <c r="CR98" s="3"/>
      <c r="CS98" s="3">
        <f t="shared" si="464"/>
        <v>0</v>
      </c>
      <c r="CT98" s="3"/>
      <c r="CU98" s="3">
        <f t="shared" si="465"/>
        <v>0</v>
      </c>
      <c r="CV98" s="3"/>
      <c r="CW98" s="3" t="e">
        <f t="shared" ca="1" si="498"/>
        <v>#NUM!</v>
      </c>
      <c r="CY98" s="3" t="e">
        <f t="shared" ca="1" si="467"/>
        <v>#NUM!</v>
      </c>
      <c r="CZ98" s="70" t="e">
        <f t="shared" ca="1" si="511"/>
        <v>#NUM!</v>
      </c>
      <c r="DA98" s="3">
        <f>IF(RTD("tos.rtd",,DA$83,"."&amp;$B$82&amp;$AS$82&amp;"C"&amp;$A98)="N/A",0,RTD("tos.rtd",,DA$83,"."&amp;$B$82&amp;$AS$82&amp;"C"&amp;$A98))</f>
        <v>0.03</v>
      </c>
      <c r="DB98" s="3">
        <f>IF(RTD("tos.rtd",,DB$83,"."&amp;$B$82&amp;$AS$82&amp;"P"&amp;$A98)="N/A",0,RTD("tos.rtd",,DB$83,"."&amp;$B$82&amp;$AS$82&amp;"P"&amp;$A98))</f>
        <v>74.83</v>
      </c>
      <c r="DC98" s="3">
        <f>IF(RTD("tos.rtd",,DC$83,"."&amp;$B$82&amp;$AS$82&amp;"C"&amp;$A98)="N/A",0,RTD("tos.rtd",,DC$83,"."&amp;$B$82&amp;$AS$82&amp;"C"&amp;$A98))</f>
        <v>0.05</v>
      </c>
      <c r="DD98" s="3">
        <f>IF(RTD("tos.rtd",,DD$83,"."&amp;$B$82&amp;$AS$82&amp;"P"&amp;$A98)="N/A",0,RTD("tos.rtd",,DD$83,"."&amp;$B$82&amp;$AS$82&amp;"P"&amp;$A98))</f>
        <v>77.3</v>
      </c>
      <c r="DE98" s="3">
        <f>IF(RTD("tos.rtd",,DE$83,"."&amp;$B$82&amp;$AS$82&amp;"C"&amp;$A98)="N/A",0,RTD("tos.rtd",,DE$83,"."&amp;$B$82&amp;$AS$82&amp;"C"&amp;$A98))</f>
        <v>0</v>
      </c>
      <c r="DF98" s="3">
        <f>IF(RTD("tos.rtd",,DF$83,"."&amp;$B$82&amp;$AS$82&amp;"P"&amp;$A98)="N/A",0,RTD("tos.rtd",,DF$83,"."&amp;$B$82&amp;$AS$82&amp;"P"&amp;$A98))</f>
        <v>73.5</v>
      </c>
      <c r="DG98" s="86">
        <f t="shared" si="499"/>
        <v>80.090000000000146</v>
      </c>
      <c r="DH98" s="3">
        <f t="shared" si="468"/>
        <v>-29085.599999999999</v>
      </c>
      <c r="DI98" s="3">
        <f t="shared" si="469"/>
        <v>442.39999999999975</v>
      </c>
      <c r="DJ98" s="3">
        <f t="shared" si="470"/>
        <v>-48476</v>
      </c>
      <c r="DK98" s="3">
        <f t="shared" si="471"/>
        <v>-1264</v>
      </c>
      <c r="DL98" s="3">
        <f t="shared" si="472"/>
        <v>-28643.199999999997</v>
      </c>
      <c r="DM98" s="3">
        <f t="shared" si="473"/>
        <v>-49740</v>
      </c>
      <c r="DN98" s="64" t="str">
        <f t="shared" si="474"/>
        <v>UNKNOWN</v>
      </c>
      <c r="DO98" s="64" t="str">
        <f t="shared" si="475"/>
        <v>UNKNOWN</v>
      </c>
      <c r="DP98" s="3">
        <f t="shared" si="476"/>
        <v>32232.22399999998</v>
      </c>
      <c r="DQ98" s="3">
        <f t="shared" si="477"/>
        <v>-96039.4</v>
      </c>
      <c r="DR98" s="3" t="e">
        <f t="shared" ca="1" si="478"/>
        <v>#NUM!</v>
      </c>
      <c r="DS98" s="3">
        <f t="shared" si="479"/>
        <v>-1264</v>
      </c>
      <c r="DT98" s="3">
        <f t="shared" si="500"/>
        <v>-48476</v>
      </c>
      <c r="DU98" s="3">
        <f t="shared" si="501"/>
        <v>1264</v>
      </c>
      <c r="DV98" s="3">
        <f>AM98+IF(DN98="BUY",DT98,IF(DN98="SELL",-DT98,0))</f>
        <v>-7226</v>
      </c>
      <c r="DW98" s="3">
        <f t="shared" si="503"/>
        <v>70</v>
      </c>
      <c r="DX98" s="3" t="e">
        <f t="shared" ca="1" si="512"/>
        <v>#NUM!</v>
      </c>
      <c r="DY98" s="3" t="e">
        <f t="shared" ca="1" si="480"/>
        <v>#NUM!</v>
      </c>
      <c r="DZ98" s="3" t="e">
        <f t="shared" ca="1" si="504"/>
        <v>#NUM!</v>
      </c>
      <c r="EA98" s="3" t="e">
        <f t="shared" ca="1" si="505"/>
        <v>#NUM!</v>
      </c>
      <c r="EB98" s="3" t="e">
        <f t="shared" ca="1" si="481"/>
        <v>#NUM!</v>
      </c>
      <c r="EC98" s="3" t="e">
        <f t="shared" ca="1" si="482"/>
        <v>#NUM!</v>
      </c>
      <c r="ED98" s="63">
        <f t="shared" si="506"/>
        <v>-7156</v>
      </c>
      <c r="EE98" s="59">
        <f t="shared" si="483"/>
        <v>0.6744</v>
      </c>
      <c r="EF98" s="59">
        <f t="shared" si="484"/>
        <v>0.25</v>
      </c>
      <c r="EG98" s="59">
        <f t="shared" si="485"/>
        <v>0.6744</v>
      </c>
      <c r="EH98" s="59">
        <f t="shared" si="486"/>
        <v>1.0152000000000001</v>
      </c>
      <c r="EI98" s="59">
        <f t="shared" si="487"/>
        <v>0.32250000000000001</v>
      </c>
      <c r="EJ98" s="59">
        <f t="shared" si="488"/>
        <v>0.25</v>
      </c>
      <c r="EK98" s="63" t="e">
        <f t="shared" ca="1" si="507"/>
        <v>#NUM!</v>
      </c>
      <c r="EL98" s="3" t="str">
        <f>RTD("tos.rtd",,EL$83,"."&amp;$B$82&amp;$AS$82&amp;"C"&amp;$A98)</f>
        <v>67.44%</v>
      </c>
      <c r="EM98" s="3" t="str">
        <f>RTD("tos.rtd",,EM$83,"."&amp;$B$82&amp;$AS$82&amp;"P"&amp;$A98)</f>
        <v>--</v>
      </c>
      <c r="EN98" s="3" t="str">
        <f>RTD("tos.rtd",,EN$83,"."&amp;$C$82&amp;$AU$82&amp;"C"&amp;$A98)</f>
        <v>67.44%</v>
      </c>
      <c r="EO98" s="3" t="str">
        <f>RTD("tos.rtd",,EO$83,"."&amp;$C$82&amp;$AU$82&amp;"P"&amp;$A98)</f>
        <v>101.52%</v>
      </c>
      <c r="EP98" s="3" t="str">
        <f>RTD("tos.rtd",,EP$83,"."&amp;$D$82&amp;$AW$82&amp;"C"&amp;$A98)</f>
        <v>32.25%</v>
      </c>
      <c r="EQ98" s="3" t="str">
        <f>RTD("tos.rtd",,EQ$83,"."&amp;$D$82&amp;$AW$82&amp;"P"&amp;$A98)</f>
        <v>--</v>
      </c>
      <c r="ES98" s="63" t="str">
        <f t="shared" si="489"/>
        <v>5740,-7156.00</v>
      </c>
      <c r="ET98" s="63" t="str">
        <f t="shared" ca="1" si="490"/>
        <v>5740,00.00</v>
      </c>
      <c r="EU98" s="67">
        <v>561.53</v>
      </c>
      <c r="EV98" s="67" t="s">
        <v>803</v>
      </c>
      <c r="EW98" s="67">
        <v>483.93</v>
      </c>
      <c r="EX98" s="67" t="s">
        <v>804</v>
      </c>
      <c r="EY98" s="67">
        <v>5631.28</v>
      </c>
      <c r="EZ98" s="67" t="s">
        <v>805</v>
      </c>
      <c r="FA98" s="67">
        <v>19867.973000000002</v>
      </c>
      <c r="FB98" s="67" t="s">
        <v>806</v>
      </c>
      <c r="FC98" s="67" t="s">
        <v>807</v>
      </c>
      <c r="FD98" s="67" t="s">
        <v>808</v>
      </c>
      <c r="FE98" s="68" t="s">
        <v>809</v>
      </c>
      <c r="FF98" s="68" t="s">
        <v>810</v>
      </c>
    </row>
    <row r="99" spans="1:162" s="63" customFormat="1" ht="12" customHeight="1" thickBot="1" x14ac:dyDescent="0.25">
      <c r="A99" s="2">
        <f t="shared" si="508"/>
        <v>5730</v>
      </c>
      <c r="B99" s="3">
        <f t="shared" si="451"/>
        <v>754</v>
      </c>
      <c r="C99" s="3">
        <f t="shared" si="452"/>
        <v>1319</v>
      </c>
      <c r="D99" s="3">
        <f t="shared" si="453"/>
        <v>460</v>
      </c>
      <c r="E99" s="3">
        <f t="shared" ref="E99:E129" si="519">SUM(B99:D99)</f>
        <v>2533</v>
      </c>
      <c r="F99" s="4">
        <f>+$F$84/$A$84*A99</f>
        <v>5817.6622949834891</v>
      </c>
      <c r="G99" s="4">
        <f t="shared" ref="G99:G130" si="520">+$G$84/$A$84*A99</f>
        <v>578.18239159279915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>
        <v>254</v>
      </c>
      <c r="AN99" s="20">
        <v>-253</v>
      </c>
      <c r="AO99" s="20">
        <v>5730</v>
      </c>
      <c r="AP99" s="20">
        <v>62101</v>
      </c>
      <c r="AQ99" s="20">
        <v>-1695</v>
      </c>
      <c r="AR99" s="20"/>
      <c r="AS99" s="54">
        <f>IF(RTD("tos.rtd",,AS$83,"."&amp;$B$82&amp;$AS$82&amp;"C"&amp;$A99)="N/A",0,RTD("tos.rtd",,AS$83,"."&amp;$B$82&amp;$AS$82&amp;"C"&amp;$A99))</f>
        <v>704</v>
      </c>
      <c r="AT99" s="3">
        <f>-IF(RTD("tos.rtd",,AT$83,"."&amp;$B$82&amp;$AS$82&amp;"P"&amp;$A99)="N/A",0,RTD("tos.rtd",,AT$83,"."&amp;$B$82&amp;$AS$82&amp;"P"&amp;$A99))</f>
        <v>-50</v>
      </c>
      <c r="AU99" s="54">
        <f>IF(RTD("tos.rtd",,AU$83,"."&amp;$C$82&amp;$AU$82&amp;"C"&amp;$A99)="N/A",0,RTD("tos.rtd",,AU$83,"."&amp;$C$82&amp;$AU$82&amp;"C"&amp;$A99))</f>
        <v>1117</v>
      </c>
      <c r="AV99" s="3">
        <f>-IF(RTD("tos.rtd",,AV$83,"."&amp;$C$82&amp;$AU$82&amp;"P"&amp;$A99)="N/A",0,RTD("tos.rtd",,AV$83,"."&amp;$C$82&amp;$AU$82&amp;"P"&amp;$A99))</f>
        <v>-202</v>
      </c>
      <c r="AW99" s="54">
        <f>IF(RTD("tos.rtd",,AW$83,"."&amp;$D$82&amp;$AW$82&amp;"C"&amp;$A99)="N/A",0,RTD("tos.rtd",,AW$83,"."&amp;$D$82&amp;$AW$82&amp;"C"&amp;$A99))</f>
        <v>354</v>
      </c>
      <c r="AX99" s="3">
        <f>-IF(RTD("tos.rtd",,AX$83,"."&amp;$D$82&amp;$AW$82&amp;"P"&amp;$A99)="N/A",0,RTD("tos.rtd",,AX$83,"."&amp;$D$82&amp;$AW$82&amp;"P"&amp;$A99))</f>
        <v>-106</v>
      </c>
      <c r="AY99" s="79">
        <f t="shared" ref="AY99:AY130" si="521">SUM(AS99:AX99)</f>
        <v>1817</v>
      </c>
      <c r="AZ99" s="8">
        <f t="shared" si="455"/>
        <v>5730</v>
      </c>
      <c r="BA99" s="54">
        <f>IF(RTD("tos.rtd",,BA$83,"."&amp;$B$82&amp;$AS$82&amp;"C"&amp;$A99)="N/A",0,RTD("tos.rtd",,BA$83,"."&amp;$B$82&amp;$AS$82&amp;"C"&amp;$A99))</f>
        <v>0</v>
      </c>
      <c r="BB99" s="3">
        <f>-IF(RTD("tos.rtd",,BB$83,"."&amp;$B$82&amp;$AS$82&amp;"P"&amp;$A99)="N/A",0,RTD("tos.rtd",,BB$83,"."&amp;$B$82&amp;$AS$82&amp;"P"&amp;$A99))</f>
        <v>0</v>
      </c>
      <c r="BC99" s="54">
        <f>IF(RTD("tos.rtd",,BC$83,"."&amp;$C$82&amp;$AU$82&amp;"C"&amp;$A99)="N/A",0,RTD("tos.rtd",,BC$83,"."&amp;$C$82&amp;$AU$82&amp;"C"&amp;$A99))</f>
        <v>0</v>
      </c>
      <c r="BD99" s="3">
        <f>-IF(RTD("tos.rtd",,BD$83,"."&amp;$C$82&amp;$AU$82&amp;"P"&amp;$A99)="N/A",0,RTD("tos.rtd",,BD$83,"."&amp;$C$82&amp;$AU$82&amp;"P"&amp;$A99))</f>
        <v>0</v>
      </c>
      <c r="BE99" s="54">
        <f>IF(RTD("tos.rtd",,BE$83,"."&amp;$D$82&amp;$AW$82&amp;"C"&amp;$A99)="N/A",0,RTD("tos.rtd",,BE$83,"."&amp;$D$82&amp;$AW$82&amp;"C"&amp;$A99))</f>
        <v>0</v>
      </c>
      <c r="BF99" s="3">
        <f>-IF(RTD("tos.rtd",,BF$83,"."&amp;$D$82&amp;$AW$82&amp;"P"&amp;$A99)="N/A",0,RTD("tos.rtd",,BF$83,"."&amp;$D$82&amp;$AW$82&amp;"P"&amp;$A99))</f>
        <v>0</v>
      </c>
      <c r="BG99" s="3">
        <f ca="1">+Hoja2!Y100</f>
        <v>0</v>
      </c>
      <c r="BH99" s="55">
        <f t="shared" ca="1" si="493"/>
        <v>0</v>
      </c>
      <c r="BI99" s="32" t="str">
        <f t="shared" ca="1" si="513"/>
        <v/>
      </c>
      <c r="BJ99" s="3" t="e">
        <f ca="1">IF($BP$1=1,DX99,IF(RTD("tos.rtd",,BJ$83,"."&amp;$B$82&amp;$AS$82&amp;"C"&amp;$A99)="N/A",0,RTD("tos.rtd",,BJ$83,"."&amp;$B$82&amp;$AS$82&amp;"C"&amp;$A99)))</f>
        <v>#NUM!</v>
      </c>
      <c r="BK99" s="3" t="e">
        <f ca="1">IF($BP$1=1,DY99,-IF(RTD("tos.rtd",,BK$83,"."&amp;$B$82&amp;$AS$82&amp;"P"&amp;$A99)="N/A",0,RTD("tos.rtd",,BK$83,"."&amp;$B$82&amp;$AS$82&amp;"P"&amp;$A99)))</f>
        <v>#NUM!</v>
      </c>
      <c r="BL99" s="3" t="e">
        <f ca="1">IF($BP$1=1,DZ99,IF(RTD("tos.rtd",,BL$83,"."&amp;$C$82&amp;$AU$82&amp;"C"&amp;$A99)="N/A",0,RTD("tos.rtd",,BL$83,"."&amp;$C$82&amp;$AU$82&amp;"C"&amp;$A99)))</f>
        <v>#NUM!</v>
      </c>
      <c r="BM99" s="3" t="e">
        <f ca="1">IF($BP$1=1,EA99,-IF(RTD("tos.rtd",,BM$83,"."&amp;$C$82&amp;$AU$82&amp;"P"&amp;$A99)="N/A",0,RTD("tos.rtd",,BM$83,"."&amp;$C$82&amp;$AU$82&amp;"P"&amp;$A99)))</f>
        <v>#NUM!</v>
      </c>
      <c r="BN99" s="3" t="e">
        <f ca="1">IF($BP$1=1,EB99,IF(RTD("tos.rtd",,BN$83,"."&amp;$D$82&amp;$AW$82&amp;"C"&amp;$A99)="N/A",0,RTD("tos.rtd",,BN$83,"."&amp;$D$82&amp;$AW$82&amp;"C"&amp;$A99)))</f>
        <v>#NUM!</v>
      </c>
      <c r="BO99" s="3" t="e">
        <f ca="1">IF($BP$1=1,EC99,-IF(RTD("tos.rtd",,BO$83,"."&amp;$D$82&amp;$AW$82&amp;"P"&amp;$A99)="N/A",0,RTD("tos.rtd",,BO$83,"."&amp;$D$82&amp;$AW$82&amp;"P"&amp;$A99)))</f>
        <v>#NUM!</v>
      </c>
      <c r="BQ99" s="3" t="e">
        <f t="shared" ca="1" si="456"/>
        <v>#NUM!</v>
      </c>
      <c r="BR99" s="3" t="e">
        <f t="shared" ca="1" si="494"/>
        <v>#NUM!</v>
      </c>
      <c r="BS99" s="3" t="e">
        <f t="shared" ca="1" si="457"/>
        <v>#NUM!</v>
      </c>
      <c r="BT99" s="3" t="e">
        <f t="shared" ca="1" si="494"/>
        <v>#NUM!</v>
      </c>
      <c r="BU99" s="3" t="e">
        <f t="shared" ca="1" si="458"/>
        <v>#NUM!</v>
      </c>
      <c r="BV99" s="3" t="e">
        <f t="shared" ca="1" si="494"/>
        <v>#NUM!</v>
      </c>
      <c r="BX99" s="3" t="e">
        <f t="shared" ca="1" si="459"/>
        <v>#NUM!</v>
      </c>
      <c r="BY99" s="3" t="e">
        <f t="shared" ca="1" si="510"/>
        <v>#NUM!</v>
      </c>
      <c r="BZ99" s="3" t="e">
        <f t="shared" ca="1" si="460"/>
        <v>#NUM!</v>
      </c>
      <c r="CA99" s="3" t="e">
        <f t="shared" ca="1" si="510"/>
        <v>#NUM!</v>
      </c>
      <c r="CB99" s="3" t="e">
        <f t="shared" ca="1" si="461"/>
        <v>#NUM!</v>
      </c>
      <c r="CC99" s="3" t="e">
        <f t="shared" ca="1" si="510"/>
        <v>#NUM!</v>
      </c>
      <c r="CD99" s="3">
        <f>IF(RTD("tos.rtd",,CD$83,"."&amp;$B$82&amp;$AS$82&amp;"C"&amp;$A99)="N/A",0,RTD("tos.rtd",,CD$83,"."&amp;$B$82&amp;$AS$82&amp;"C"&amp;$A99))</f>
        <v>0</v>
      </c>
      <c r="CE99" s="3">
        <f>-IF(RTD("tos.rtd",,CE$83,"."&amp;$B$82&amp;$AS$82&amp;"P"&amp;$A99)="N/A",0,RTD("tos.rtd",,CE$83,"."&amp;$B$82&amp;$AS$82&amp;"P"&amp;$A99))</f>
        <v>1</v>
      </c>
      <c r="CF99" s="3">
        <f>IF(RTD("tos.rtd",,CF$83,"."&amp;$C$82&amp;$AU$82&amp;"C"&amp;$A99)="N/A",0,RTD("tos.rtd",,CF$83,"."&amp;$C$82&amp;$AU$82&amp;"C"&amp;$A99))</f>
        <v>0</v>
      </c>
      <c r="CG99" s="3">
        <f>-IF(RTD("tos.rtd",,CG$83,"."&amp;$C$82&amp;$AU$82&amp;"P"&amp;$A99)="N/A",0,RTD("tos.rtd",,CG$83,"."&amp;$C$82&amp;$AU$82&amp;"P"&amp;$A99))</f>
        <v>0.96</v>
      </c>
      <c r="CH99" s="3">
        <f>IF(RTD("tos.rtd",,CH$83,"."&amp;$D$82&amp;$AW$82&amp;"C"&amp;$A99)="N/A",0,RTD("tos.rtd",,CH$83,"."&amp;$D$82&amp;$AW$82&amp;"C"&amp;$A99))</f>
        <v>0.39</v>
      </c>
      <c r="CI99" s="3">
        <f>-IF(RTD("tos.rtd",,CI$83,"."&amp;$D$82&amp;$AW$82&amp;"P"&amp;$A99)="N/A",0,RTD("tos.rtd",,CI$83,"."&amp;$D$82&amp;$AW$82&amp;"P"&amp;$A99))</f>
        <v>1</v>
      </c>
      <c r="CK99" s="3">
        <f t="shared" si="495"/>
        <v>-5000</v>
      </c>
      <c r="CL99" s="3"/>
      <c r="CM99" s="3">
        <f t="shared" si="496"/>
        <v>-19392</v>
      </c>
      <c r="CN99" s="3"/>
      <c r="CO99" s="3">
        <f t="shared" si="497"/>
        <v>3206</v>
      </c>
      <c r="CP99" s="3">
        <f t="shared" si="462"/>
        <v>-21186</v>
      </c>
      <c r="CQ99" s="3">
        <f t="shared" si="463"/>
        <v>0</v>
      </c>
      <c r="CR99" s="3"/>
      <c r="CS99" s="3">
        <f t="shared" si="464"/>
        <v>0</v>
      </c>
      <c r="CT99" s="3"/>
      <c r="CU99" s="3">
        <f t="shared" si="465"/>
        <v>0</v>
      </c>
      <c r="CV99" s="3"/>
      <c r="CW99" s="3" t="e">
        <f t="shared" ca="1" si="466"/>
        <v>#NUM!</v>
      </c>
      <c r="CY99" s="3" t="e">
        <f t="shared" ca="1" si="467"/>
        <v>#NUM!</v>
      </c>
      <c r="CZ99" s="70" t="e">
        <f t="shared" ca="1" si="511"/>
        <v>#NUM!</v>
      </c>
      <c r="DA99" s="3">
        <f>IF(RTD("tos.rtd",,DA$83,"."&amp;$B$82&amp;$AS$82&amp;"C"&amp;$A99)="N/A",0,RTD("tos.rtd",,DA$83,"."&amp;$B$82&amp;$AS$82&amp;"C"&amp;$A99))</f>
        <v>0.03</v>
      </c>
      <c r="DB99" s="3">
        <f>IF(RTD("tos.rtd",,DB$83,"."&amp;$B$82&amp;$AS$82&amp;"P"&amp;$A99)="N/A",0,RTD("tos.rtd",,DB$83,"."&amp;$B$82&amp;$AS$82&amp;"P"&amp;$A99))</f>
        <v>63.92</v>
      </c>
      <c r="DC99" s="3">
        <f>IF(RTD("tos.rtd",,DC$83,"."&amp;$B$82&amp;$AS$82&amp;"C"&amp;$A99)="N/A",0,RTD("tos.rtd",,DC$83,"."&amp;$B$82&amp;$AS$82&amp;"C"&amp;$A99))</f>
        <v>0.05</v>
      </c>
      <c r="DD99" s="3">
        <f>IF(RTD("tos.rtd",,DD$83,"."&amp;$B$82&amp;$AS$82&amp;"P"&amp;$A99)="N/A",0,RTD("tos.rtd",,DD$83,"."&amp;$B$82&amp;$AS$82&amp;"P"&amp;$A99))</f>
        <v>67.3</v>
      </c>
      <c r="DE99" s="3">
        <f>IF(RTD("tos.rtd",,DE$83,"."&amp;$B$82&amp;$AS$82&amp;"C"&amp;$A99)="N/A",0,RTD("tos.rtd",,DE$83,"."&amp;$B$82&amp;$AS$82&amp;"C"&amp;$A99))</f>
        <v>0</v>
      </c>
      <c r="DF99" s="3">
        <f>IF(RTD("tos.rtd",,DF$83,"."&amp;$B$82&amp;$AS$82&amp;"P"&amp;$A99)="N/A",0,RTD("tos.rtd",,DF$83,"."&amp;$B$82&amp;$AS$82&amp;"P"&amp;$A99))</f>
        <v>63.5</v>
      </c>
      <c r="DG99" s="86">
        <f t="shared" si="499"/>
        <v>70.090000000000146</v>
      </c>
      <c r="DH99" s="3">
        <f t="shared" si="468"/>
        <v>-37260.6</v>
      </c>
      <c r="DI99" s="3">
        <f t="shared" si="469"/>
        <v>187.3421052631588</v>
      </c>
      <c r="DJ99" s="3">
        <f t="shared" si="470"/>
        <v>-62101</v>
      </c>
      <c r="DK99" s="3">
        <f t="shared" si="471"/>
        <v>-1695</v>
      </c>
      <c r="DL99" s="3">
        <f t="shared" si="472"/>
        <v>-37073.257894736838</v>
      </c>
      <c r="DM99" s="3">
        <f t="shared" si="473"/>
        <v>-63796</v>
      </c>
      <c r="DN99" s="64" t="str">
        <f>IF(AND(DA99&gt;=(DE99+(DC99-DE99)*0.6),BA99&gt;AP99),"BUY",IF(AND(DA99&lt;=(DE99+(DC99-DE99)*0.4),BA99&gt;AP99),"SELL","UNKNOWN"))</f>
        <v>UNKNOWN</v>
      </c>
      <c r="DO99" s="64" t="str">
        <f t="shared" si="475"/>
        <v>UNKNOWN</v>
      </c>
      <c r="DP99" s="3">
        <f t="shared" si="476"/>
        <v>10857.089368421111</v>
      </c>
      <c r="DQ99" s="3">
        <f t="shared" si="477"/>
        <v>-110207.43000000001</v>
      </c>
      <c r="DR99" s="3" t="e">
        <f t="shared" ca="1" si="478"/>
        <v>#NUM!</v>
      </c>
      <c r="DS99" s="3">
        <f t="shared" si="479"/>
        <v>-1695</v>
      </c>
      <c r="DT99" s="3">
        <f t="shared" si="500"/>
        <v>-62101</v>
      </c>
      <c r="DU99" s="3">
        <f t="shared" si="501"/>
        <v>1695</v>
      </c>
      <c r="DV99" s="3">
        <f t="shared" si="502"/>
        <v>254</v>
      </c>
      <c r="DW99" s="3">
        <f t="shared" si="503"/>
        <v>-253</v>
      </c>
      <c r="DX99" s="3" t="e">
        <f t="shared" ca="1" si="512"/>
        <v>#NUM!</v>
      </c>
      <c r="DY99" s="3" t="e">
        <f t="shared" ca="1" si="480"/>
        <v>#NUM!</v>
      </c>
      <c r="DZ99" s="3" t="e">
        <f t="shared" ca="1" si="504"/>
        <v>#NUM!</v>
      </c>
      <c r="EA99" s="3" t="e">
        <f t="shared" ca="1" si="505"/>
        <v>#NUM!</v>
      </c>
      <c r="EB99" s="3" t="e">
        <f t="shared" ca="1" si="481"/>
        <v>#NUM!</v>
      </c>
      <c r="EC99" s="3" t="e">
        <f t="shared" ca="1" si="482"/>
        <v>#NUM!</v>
      </c>
      <c r="ED99" s="63">
        <f t="shared" si="506"/>
        <v>1</v>
      </c>
      <c r="EE99" s="59">
        <f t="shared" si="483"/>
        <v>0.59809999999999997</v>
      </c>
      <c r="EF99" s="59">
        <f t="shared" si="484"/>
        <v>0.25</v>
      </c>
      <c r="EG99" s="59">
        <f t="shared" si="485"/>
        <v>0.59809999999999997</v>
      </c>
      <c r="EH99" s="59">
        <f t="shared" si="486"/>
        <v>0.91069999999999995</v>
      </c>
      <c r="EI99" s="59">
        <f t="shared" si="487"/>
        <v>0.32890000000000003</v>
      </c>
      <c r="EJ99" s="59">
        <f t="shared" si="488"/>
        <v>0.25</v>
      </c>
      <c r="EK99" s="63" t="e">
        <f t="shared" ca="1" si="507"/>
        <v>#NUM!</v>
      </c>
      <c r="EL99" s="3" t="str">
        <f>RTD("tos.rtd",,EL$83,"."&amp;$B$82&amp;$AS$82&amp;"C"&amp;$A99)</f>
        <v>59.81%</v>
      </c>
      <c r="EM99" s="3" t="str">
        <f>RTD("tos.rtd",,EM$83,"."&amp;$B$82&amp;$AS$82&amp;"P"&amp;$A99)</f>
        <v>--</v>
      </c>
      <c r="EN99" s="3" t="str">
        <f>RTD("tos.rtd",,EN$83,"."&amp;$C$82&amp;$AU$82&amp;"C"&amp;$A99)</f>
        <v>59.81%</v>
      </c>
      <c r="EO99" s="3" t="str">
        <f>RTD("tos.rtd",,EO$83,"."&amp;$C$82&amp;$AU$82&amp;"P"&amp;$A99)</f>
        <v>91.07%</v>
      </c>
      <c r="EP99" s="3" t="str">
        <f>RTD("tos.rtd",,EP$83,"."&amp;$D$82&amp;$AW$82&amp;"C"&amp;$A99)</f>
        <v>32.89%</v>
      </c>
      <c r="EQ99" s="3" t="str">
        <f>RTD("tos.rtd",,EQ$83,"."&amp;$D$82&amp;$AW$82&amp;"P"&amp;$A99)</f>
        <v>--</v>
      </c>
      <c r="ES99" s="63" t="str">
        <f t="shared" si="489"/>
        <v>5730,01.00</v>
      </c>
      <c r="ET99" s="63" t="str">
        <f t="shared" ca="1" si="490"/>
        <v>5730,00.00</v>
      </c>
      <c r="EU99" s="67">
        <v>561.47</v>
      </c>
      <c r="EV99" s="67" t="s">
        <v>811</v>
      </c>
      <c r="EW99" s="67">
        <v>483.85</v>
      </c>
      <c r="EX99" s="67" t="s">
        <v>812</v>
      </c>
      <c r="EY99" s="67">
        <v>5631.28</v>
      </c>
      <c r="EZ99" s="67" t="s">
        <v>813</v>
      </c>
      <c r="FA99" s="67">
        <v>19867.973000000002</v>
      </c>
      <c r="FB99" s="67" t="s">
        <v>814</v>
      </c>
      <c r="FC99" s="67" t="s">
        <v>815</v>
      </c>
      <c r="FD99" s="67" t="s">
        <v>816</v>
      </c>
      <c r="FE99" s="68" t="s">
        <v>817</v>
      </c>
      <c r="FF99" s="68" t="s">
        <v>818</v>
      </c>
    </row>
    <row r="100" spans="1:162" s="63" customFormat="1" ht="12" customHeight="1" thickBot="1" x14ac:dyDescent="0.25">
      <c r="A100" s="2">
        <f t="shared" si="508"/>
        <v>5720</v>
      </c>
      <c r="B100" s="3">
        <f t="shared" si="451"/>
        <v>957</v>
      </c>
      <c r="C100" s="3">
        <f t="shared" si="452"/>
        <v>0</v>
      </c>
      <c r="D100" s="3">
        <f t="shared" si="453"/>
        <v>673</v>
      </c>
      <c r="E100" s="3">
        <f t="shared" si="519"/>
        <v>1630</v>
      </c>
      <c r="F100" s="4">
        <f t="shared" ref="F100:F129" si="522">+$F$84/$A$84*A100</f>
        <v>5807.5093066850886</v>
      </c>
      <c r="G100" s="4">
        <f t="shared" si="520"/>
        <v>577.17334727937373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>
        <v>-3512</v>
      </c>
      <c r="AN100" s="20">
        <v>-29</v>
      </c>
      <c r="AO100" s="20">
        <v>5720</v>
      </c>
      <c r="AP100" s="20">
        <v>74700</v>
      </c>
      <c r="AQ100" s="20">
        <v>-5846</v>
      </c>
      <c r="AR100" s="20"/>
      <c r="AS100" s="54">
        <f>IF(RTD("tos.rtd",,AS$83,"."&amp;$B$82&amp;$AS$82&amp;"C"&amp;$A100)="N/A",0,RTD("tos.rtd",,AS$83,"."&amp;$B$82&amp;$AS$82&amp;"C"&amp;$A100))</f>
        <v>923</v>
      </c>
      <c r="AT100" s="3">
        <f>-IF(RTD("tos.rtd",,AT$83,"."&amp;$B$82&amp;$AS$82&amp;"P"&amp;$A100)="N/A",0,RTD("tos.rtd",,AT$83,"."&amp;$B$82&amp;$AS$82&amp;"P"&amp;$A100))</f>
        <v>-34</v>
      </c>
      <c r="AU100" s="54">
        <f>IF(RTD("tos.rtd",,AU$83,"."&amp;$C$82&amp;$AU$82&amp;"C"&amp;$A100)="N/A",0,RTD("tos.rtd",,AU$83,"."&amp;$C$82&amp;$AU$82&amp;"C"&amp;$A100))</f>
        <v>0</v>
      </c>
      <c r="AV100" s="3">
        <f>-IF(RTD("tos.rtd",,AV$83,"."&amp;$C$82&amp;$AU$82&amp;"P"&amp;$A100)="N/A",0,RTD("tos.rtd",,AV$83,"."&amp;$C$82&amp;$AU$82&amp;"P"&amp;$A100))</f>
        <v>0</v>
      </c>
      <c r="AW100" s="54">
        <f>IF(RTD("tos.rtd",,AW$83,"."&amp;$D$82&amp;$AW$82&amp;"C"&amp;$A100)="N/A",0,RTD("tos.rtd",,AW$83,"."&amp;$D$82&amp;$AW$82&amp;"C"&amp;$A100))</f>
        <v>475</v>
      </c>
      <c r="AX100" s="3">
        <f>-IF(RTD("tos.rtd",,AX$83,"."&amp;$D$82&amp;$AW$82&amp;"P"&amp;$A100)="N/A",0,RTD("tos.rtd",,AX$83,"."&amp;$D$82&amp;$AW$82&amp;"P"&amp;$A100))</f>
        <v>-198</v>
      </c>
      <c r="AY100" s="79">
        <f t="shared" si="521"/>
        <v>1166</v>
      </c>
      <c r="AZ100" s="8">
        <f t="shared" si="455"/>
        <v>5720</v>
      </c>
      <c r="BA100" s="54">
        <f>IF(RTD("tos.rtd",,BA$83,"."&amp;$B$82&amp;$AS$82&amp;"C"&amp;$A100)="N/A",0,RTD("tos.rtd",,BA$83,"."&amp;$B$82&amp;$AS$82&amp;"C"&amp;$A100))</f>
        <v>0</v>
      </c>
      <c r="BB100" s="3">
        <f>-IF(RTD("tos.rtd",,BB$83,"."&amp;$B$82&amp;$AS$82&amp;"P"&amp;$A100)="N/A",0,RTD("tos.rtd",,BB$83,"."&amp;$B$82&amp;$AS$82&amp;"P"&amp;$A100))</f>
        <v>0</v>
      </c>
      <c r="BC100" s="54">
        <f>IF(RTD("tos.rtd",,BC$83,"."&amp;$C$82&amp;$AU$82&amp;"C"&amp;$A100)="N/A",0,RTD("tos.rtd",,BC$83,"."&amp;$C$82&amp;$AU$82&amp;"C"&amp;$A100))</f>
        <v>0</v>
      </c>
      <c r="BD100" s="3">
        <f>-IF(RTD("tos.rtd",,BD$83,"."&amp;$C$82&amp;$AU$82&amp;"P"&amp;$A100)="N/A",0,RTD("tos.rtd",,BD$83,"."&amp;$C$82&amp;$AU$82&amp;"P"&amp;$A100))</f>
        <v>0</v>
      </c>
      <c r="BE100" s="54">
        <f>IF(RTD("tos.rtd",,BE$83,"."&amp;$D$82&amp;$AW$82&amp;"C"&amp;$A100)="N/A",0,RTD("tos.rtd",,BE$83,"."&amp;$D$82&amp;$AW$82&amp;"C"&amp;$A100))</f>
        <v>0</v>
      </c>
      <c r="BF100" s="3">
        <f>-IF(RTD("tos.rtd",,BF$83,"."&amp;$D$82&amp;$AW$82&amp;"P"&amp;$A100)="N/A",0,RTD("tos.rtd",,BF$83,"."&amp;$D$82&amp;$AW$82&amp;"P"&amp;$A100))</f>
        <v>0</v>
      </c>
      <c r="BG100" s="3">
        <f ca="1">+Hoja2!Y101</f>
        <v>1</v>
      </c>
      <c r="BH100" s="55">
        <f t="shared" ca="1" si="493"/>
        <v>1</v>
      </c>
      <c r="BI100" s="32" t="str">
        <f t="shared" ca="1" si="513"/>
        <v/>
      </c>
      <c r="BJ100" s="3" t="e">
        <f ca="1">IF($BP$1=1,DX100,IF(RTD("tos.rtd",,BJ$83,"."&amp;$B$82&amp;$AS$82&amp;"C"&amp;$A100)="N/A",0,RTD("tos.rtd",,BJ$83,"."&amp;$B$82&amp;$AS$82&amp;"C"&amp;$A100)))</f>
        <v>#NUM!</v>
      </c>
      <c r="BK100" s="3" t="e">
        <f ca="1">IF($BP$1=1,DY100,-IF(RTD("tos.rtd",,BK$83,"."&amp;$B$82&amp;$AS$82&amp;"P"&amp;$A100)="N/A",0,RTD("tos.rtd",,BK$83,"."&amp;$B$82&amp;$AS$82&amp;"P"&amp;$A100)))</f>
        <v>#NUM!</v>
      </c>
      <c r="BL100" s="3" t="e">
        <f ca="1">IF($BP$1=1,DZ100,IF(RTD("tos.rtd",,BL$83,"."&amp;$C$82&amp;$AU$82&amp;"C"&amp;$A100)="N/A",0,RTD("tos.rtd",,BL$83,"."&amp;$C$82&amp;$AU$82&amp;"C"&amp;$A100)))</f>
        <v>#NUM!</v>
      </c>
      <c r="BM100" s="3" t="e">
        <f ca="1">IF($BP$1=1,EA100,-IF(RTD("tos.rtd",,BM$83,"."&amp;$C$82&amp;$AU$82&amp;"P"&amp;$A100)="N/A",0,RTD("tos.rtd",,BM$83,"."&amp;$C$82&amp;$AU$82&amp;"P"&amp;$A100)))</f>
        <v>#NUM!</v>
      </c>
      <c r="BN100" s="3" t="e">
        <f ca="1">IF($BP$1=1,EB100,IF(RTD("tos.rtd",,BN$83,"."&amp;$D$82&amp;$AW$82&amp;"C"&amp;$A100)="N/A",0,RTD("tos.rtd",,BN$83,"."&amp;$D$82&amp;$AW$82&amp;"C"&amp;$A100)))</f>
        <v>#NUM!</v>
      </c>
      <c r="BO100" s="3" t="e">
        <f ca="1">IF($BP$1=1,EC100,-IF(RTD("tos.rtd",,BO$83,"."&amp;$D$82&amp;$AW$82&amp;"P"&amp;$A100)="N/A",0,RTD("tos.rtd",,BO$83,"."&amp;$D$82&amp;$AW$82&amp;"P"&amp;$A100)))</f>
        <v>#NUM!</v>
      </c>
      <c r="BQ100" s="3" t="e">
        <f t="shared" ca="1" si="456"/>
        <v>#NUM!</v>
      </c>
      <c r="BR100" s="3" t="e">
        <f t="shared" ca="1" si="494"/>
        <v>#NUM!</v>
      </c>
      <c r="BS100" s="3" t="e">
        <f t="shared" ca="1" si="457"/>
        <v>#NUM!</v>
      </c>
      <c r="BT100" s="3" t="e">
        <f t="shared" ca="1" si="494"/>
        <v>#NUM!</v>
      </c>
      <c r="BU100" s="3" t="e">
        <f t="shared" ca="1" si="458"/>
        <v>#NUM!</v>
      </c>
      <c r="BV100" s="3" t="e">
        <f t="shared" ca="1" si="494"/>
        <v>#NUM!</v>
      </c>
      <c r="BX100" s="3" t="e">
        <f t="shared" ca="1" si="459"/>
        <v>#NUM!</v>
      </c>
      <c r="BY100" s="3" t="e">
        <f t="shared" ca="1" si="510"/>
        <v>#NUM!</v>
      </c>
      <c r="BZ100" s="3" t="e">
        <f t="shared" ca="1" si="460"/>
        <v>#NUM!</v>
      </c>
      <c r="CA100" s="3" t="e">
        <f t="shared" ca="1" si="510"/>
        <v>#NUM!</v>
      </c>
      <c r="CB100" s="3" t="e">
        <f t="shared" ca="1" si="461"/>
        <v>#NUM!</v>
      </c>
      <c r="CC100" s="3" t="e">
        <f t="shared" ca="1" si="510"/>
        <v>#NUM!</v>
      </c>
      <c r="CD100" s="3">
        <f>IF(RTD("tos.rtd",,CD$83,"."&amp;$B$82&amp;$AS$82&amp;"C"&amp;$A100)="N/A",0,RTD("tos.rtd",,CD$83,"."&amp;$B$82&amp;$AS$82&amp;"C"&amp;$A100))</f>
        <v>0</v>
      </c>
      <c r="CE100" s="3">
        <f>-IF(RTD("tos.rtd",,CE$83,"."&amp;$B$82&amp;$AS$82&amp;"P"&amp;$A100)="N/A",0,RTD("tos.rtd",,CE$83,"."&amp;$B$82&amp;$AS$82&amp;"P"&amp;$A100))</f>
        <v>1</v>
      </c>
      <c r="CF100" s="3">
        <f>IF(RTD("tos.rtd",,CF$83,"."&amp;$C$82&amp;$AU$82&amp;"C"&amp;$A100)="N/A",0,RTD("tos.rtd",,CF$83,"."&amp;$C$82&amp;$AU$82&amp;"C"&amp;$A100))</f>
        <v>0</v>
      </c>
      <c r="CG100" s="3">
        <f>-IF(RTD("tos.rtd",,CG$83,"."&amp;$C$82&amp;$AU$82&amp;"P"&amp;$A100)="N/A",0,RTD("tos.rtd",,CG$83,"."&amp;$C$82&amp;$AU$82&amp;"P"&amp;$A100))</f>
        <v>0</v>
      </c>
      <c r="CH100" s="3">
        <f>IF(RTD("tos.rtd",,CH$83,"."&amp;$D$82&amp;$AW$82&amp;"C"&amp;$A100)="N/A",0,RTD("tos.rtd",,CH$83,"."&amp;$D$82&amp;$AW$82&amp;"C"&amp;$A100))</f>
        <v>0.41</v>
      </c>
      <c r="CI100" s="3">
        <f>-IF(RTD("tos.rtd",,CI$83,"."&amp;$D$82&amp;$AW$82&amp;"P"&amp;$A100)="N/A",0,RTD("tos.rtd",,CI$83,"."&amp;$D$82&amp;$AW$82&amp;"P"&amp;$A100))</f>
        <v>1</v>
      </c>
      <c r="CK100" s="3">
        <f t="shared" si="495"/>
        <v>-3400</v>
      </c>
      <c r="CL100" s="3"/>
      <c r="CM100" s="3">
        <f t="shared" si="496"/>
        <v>0</v>
      </c>
      <c r="CN100" s="3"/>
      <c r="CO100" s="3">
        <f t="shared" si="497"/>
        <v>-325</v>
      </c>
      <c r="CP100" s="3">
        <f t="shared" si="462"/>
        <v>-3725</v>
      </c>
      <c r="CQ100" s="3">
        <f t="shared" si="463"/>
        <v>0</v>
      </c>
      <c r="CR100" s="3"/>
      <c r="CS100" s="3">
        <f t="shared" si="464"/>
        <v>0</v>
      </c>
      <c r="CT100" s="3"/>
      <c r="CU100" s="3">
        <f t="shared" si="465"/>
        <v>0</v>
      </c>
      <c r="CV100" s="3"/>
      <c r="CW100" s="3" t="e">
        <f t="shared" ca="1" si="466"/>
        <v>#NUM!</v>
      </c>
      <c r="CY100" s="3" t="e">
        <f t="shared" ca="1" si="467"/>
        <v>#NUM!</v>
      </c>
      <c r="CZ100" s="70" t="e">
        <f t="shared" ca="1" si="511"/>
        <v>#NUM!</v>
      </c>
      <c r="DA100" s="3">
        <f>IF(RTD("tos.rtd",,DA$83,"."&amp;$B$82&amp;$AS$82&amp;"C"&amp;$A100)="N/A",0,RTD("tos.rtd",,DA$83,"."&amp;$B$82&amp;$AS$82&amp;"C"&amp;$A100))</f>
        <v>0.05</v>
      </c>
      <c r="DB100" s="3">
        <f>IF(RTD("tos.rtd",,DB$83,"."&amp;$B$82&amp;$AS$82&amp;"P"&amp;$A100)="N/A",0,RTD("tos.rtd",,DB$83,"."&amp;$B$82&amp;$AS$82&amp;"P"&amp;$A100))</f>
        <v>56.63</v>
      </c>
      <c r="DC100" s="3">
        <f>IF(RTD("tos.rtd",,DC$83,"."&amp;$B$82&amp;$AS$82&amp;"C"&amp;$A100)="N/A",0,RTD("tos.rtd",,DC$83,"."&amp;$B$82&amp;$AS$82&amp;"C"&amp;$A100))</f>
        <v>0.05</v>
      </c>
      <c r="DD100" s="3">
        <f>IF(RTD("tos.rtd",,DD$83,"."&amp;$B$82&amp;$AS$82&amp;"P"&amp;$A100)="N/A",0,RTD("tos.rtd",,DD$83,"."&amp;$B$82&amp;$AS$82&amp;"P"&amp;$A100))</f>
        <v>57.3</v>
      </c>
      <c r="DE100" s="3">
        <f>IF(RTD("tos.rtd",,DE$83,"."&amp;$B$82&amp;$AS$82&amp;"C"&amp;$A100)="N/A",0,RTD("tos.rtd",,DE$83,"."&amp;$B$82&amp;$AS$82&amp;"C"&amp;$A100))</f>
        <v>0</v>
      </c>
      <c r="DF100" s="3">
        <f>IF(RTD("tos.rtd",,DF$83,"."&amp;$B$82&amp;$AS$82&amp;"P"&amp;$A100)="N/A",0,RTD("tos.rtd",,DF$83,"."&amp;$B$82&amp;$AS$82&amp;"P"&amp;$A100))</f>
        <v>53.5</v>
      </c>
      <c r="DG100" s="86">
        <f t="shared" si="499"/>
        <v>60.090000000000146</v>
      </c>
      <c r="DH100" s="3">
        <f t="shared" si="468"/>
        <v>-74700</v>
      </c>
      <c r="DI100" s="3">
        <f t="shared" si="469"/>
        <v>4815.2578947368502</v>
      </c>
      <c r="DJ100" s="3">
        <f t="shared" si="470"/>
        <v>-74700</v>
      </c>
      <c r="DK100" s="3">
        <f t="shared" si="471"/>
        <v>5846</v>
      </c>
      <c r="DL100" s="3">
        <f t="shared" si="472"/>
        <v>-69884.742105263154</v>
      </c>
      <c r="DM100" s="3">
        <f t="shared" si="473"/>
        <v>-68854</v>
      </c>
      <c r="DN100" s="64" t="str">
        <f t="shared" si="474"/>
        <v>UNKNOWN</v>
      </c>
      <c r="DO100" s="64" t="str">
        <f t="shared" si="475"/>
        <v>UNKNOWN</v>
      </c>
      <c r="DP100" s="3">
        <f t="shared" si="476"/>
        <v>268953.05457894783</v>
      </c>
      <c r="DQ100" s="3">
        <f t="shared" si="477"/>
        <v>327323.98000000004</v>
      </c>
      <c r="DR100" s="3" t="e">
        <f t="shared" ca="1" si="478"/>
        <v>#NUM!</v>
      </c>
      <c r="DS100" s="3">
        <f t="shared" si="479"/>
        <v>5846</v>
      </c>
      <c r="DT100" s="3">
        <f t="shared" si="500"/>
        <v>-74700</v>
      </c>
      <c r="DU100" s="3">
        <f t="shared" si="501"/>
        <v>5846</v>
      </c>
      <c r="DV100" s="3">
        <f t="shared" si="502"/>
        <v>-3512</v>
      </c>
      <c r="DW100" s="3">
        <f t="shared" si="503"/>
        <v>-29</v>
      </c>
      <c r="DX100" s="3" t="e">
        <f t="shared" ca="1" si="512"/>
        <v>#NUM!</v>
      </c>
      <c r="DY100" s="3" t="e">
        <f t="shared" ca="1" si="480"/>
        <v>#NUM!</v>
      </c>
      <c r="DZ100" s="3" t="e">
        <f t="shared" ca="1" si="504"/>
        <v>#NUM!</v>
      </c>
      <c r="EA100" s="3" t="e">
        <f t="shared" ca="1" si="505"/>
        <v>#NUM!</v>
      </c>
      <c r="EB100" s="3" t="e">
        <f t="shared" ca="1" si="481"/>
        <v>#NUM!</v>
      </c>
      <c r="EC100" s="3" t="e">
        <f t="shared" ca="1" si="482"/>
        <v>#NUM!</v>
      </c>
      <c r="ED100" s="63">
        <f t="shared" si="506"/>
        <v>-3541</v>
      </c>
      <c r="EE100" s="59">
        <f t="shared" si="483"/>
        <v>0.52100000000000002</v>
      </c>
      <c r="EF100" s="59">
        <f t="shared" si="484"/>
        <v>0.25</v>
      </c>
      <c r="EG100" s="59">
        <f t="shared" si="485"/>
        <v>0.25</v>
      </c>
      <c r="EH100" s="59">
        <f t="shared" si="486"/>
        <v>0.25</v>
      </c>
      <c r="EI100" s="59">
        <f t="shared" si="487"/>
        <v>0.33550000000000002</v>
      </c>
      <c r="EJ100" s="59">
        <f t="shared" si="488"/>
        <v>0.25</v>
      </c>
      <c r="EK100" s="63" t="e">
        <f t="shared" ca="1" si="507"/>
        <v>#NUM!</v>
      </c>
      <c r="EL100" s="3" t="str">
        <f>RTD("tos.rtd",,EL$83,"."&amp;$B$82&amp;$AS$82&amp;"C"&amp;$A100)</f>
        <v>52.10%</v>
      </c>
      <c r="EM100" s="3" t="str">
        <f>RTD("tos.rtd",,EM$83,"."&amp;$B$82&amp;$AS$82&amp;"P"&amp;$A100)</f>
        <v>--</v>
      </c>
      <c r="EN100" s="3" t="str">
        <f>RTD("tos.rtd",,EN$83,"."&amp;$C$82&amp;$AU$82&amp;"C"&amp;$A100)</f>
        <v>N/A</v>
      </c>
      <c r="EO100" s="3" t="str">
        <f>RTD("tos.rtd",,EO$83,"."&amp;$C$82&amp;$AU$82&amp;"P"&amp;$A100)</f>
        <v>N/A</v>
      </c>
      <c r="EP100" s="3" t="str">
        <f>RTD("tos.rtd",,EP$83,"."&amp;$D$82&amp;$AW$82&amp;"C"&amp;$A100)</f>
        <v>33.55%</v>
      </c>
      <c r="EQ100" s="3" t="str">
        <f>RTD("tos.rtd",,EQ$83,"."&amp;$D$82&amp;$AW$82&amp;"P"&amp;$A100)</f>
        <v>--</v>
      </c>
      <c r="ES100" s="63" t="str">
        <f t="shared" si="489"/>
        <v>5720,-3541.00</v>
      </c>
      <c r="ET100" s="63" t="str">
        <f t="shared" ca="1" si="490"/>
        <v>5720,00.00</v>
      </c>
      <c r="EU100" s="67">
        <v>561.47</v>
      </c>
      <c r="EV100" s="67" t="s">
        <v>819</v>
      </c>
      <c r="EW100" s="67">
        <v>483.87</v>
      </c>
      <c r="EX100" s="67" t="s">
        <v>820</v>
      </c>
      <c r="EY100" s="67">
        <v>5631.28</v>
      </c>
      <c r="EZ100" s="67" t="s">
        <v>821</v>
      </c>
      <c r="FA100" s="67">
        <v>19867.973000000002</v>
      </c>
      <c r="FB100" s="67" t="s">
        <v>822</v>
      </c>
      <c r="FC100" s="67" t="s">
        <v>823</v>
      </c>
      <c r="FD100" s="67" t="s">
        <v>824</v>
      </c>
      <c r="FE100" s="68" t="s">
        <v>825</v>
      </c>
      <c r="FF100" s="68" t="s">
        <v>826</v>
      </c>
    </row>
    <row r="101" spans="1:162" s="63" customFormat="1" ht="12" customHeight="1" thickBot="1" x14ac:dyDescent="0.25">
      <c r="A101" s="2">
        <f t="shared" si="508"/>
        <v>5710</v>
      </c>
      <c r="B101" s="3">
        <f t="shared" si="451"/>
        <v>889</v>
      </c>
      <c r="C101" s="3">
        <f t="shared" si="452"/>
        <v>3182</v>
      </c>
      <c r="D101" s="3">
        <f t="shared" si="453"/>
        <v>1448</v>
      </c>
      <c r="E101" s="3">
        <f t="shared" si="519"/>
        <v>5519</v>
      </c>
      <c r="F101" s="4">
        <f t="shared" si="522"/>
        <v>5797.3563183866881</v>
      </c>
      <c r="G101" s="4">
        <f t="shared" si="520"/>
        <v>576.1643029659482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>
        <v>-1886</v>
      </c>
      <c r="AN101" s="20">
        <v>603</v>
      </c>
      <c r="AO101" s="20">
        <v>5710</v>
      </c>
      <c r="AP101" s="20">
        <v>76551</v>
      </c>
      <c r="AQ101" s="20">
        <v>-21204</v>
      </c>
      <c r="AR101" s="20"/>
      <c r="AS101" s="54">
        <f>IF(RTD("tos.rtd",,AS$83,"."&amp;$B$82&amp;$AS$82&amp;"C"&amp;$A101)="N/A",0,RTD("tos.rtd",,AS$83,"."&amp;$B$82&amp;$AS$82&amp;"C"&amp;$A101))</f>
        <v>851</v>
      </c>
      <c r="AT101" s="3">
        <f>-IF(RTD("tos.rtd",,AT$83,"."&amp;$B$82&amp;$AS$82&amp;"P"&amp;$A101)="N/A",0,RTD("tos.rtd",,AT$83,"."&amp;$B$82&amp;$AS$82&amp;"P"&amp;$A101))</f>
        <v>-38</v>
      </c>
      <c r="AU101" s="54">
        <f>IF(RTD("tos.rtd",,AU$83,"."&amp;$C$82&amp;$AU$82&amp;"C"&amp;$A101)="N/A",0,RTD("tos.rtd",,AU$83,"."&amp;$C$82&amp;$AU$82&amp;"C"&amp;$A101))</f>
        <v>2369</v>
      </c>
      <c r="AV101" s="3">
        <f>-IF(RTD("tos.rtd",,AV$83,"."&amp;$C$82&amp;$AU$82&amp;"P"&amp;$A101)="N/A",0,RTD("tos.rtd",,AV$83,"."&amp;$C$82&amp;$AU$82&amp;"P"&amp;$A101))</f>
        <v>-813</v>
      </c>
      <c r="AW101" s="54">
        <f>IF(RTD("tos.rtd",,AW$83,"."&amp;$D$82&amp;$AW$82&amp;"C"&amp;$A101)="N/A",0,RTD("tos.rtd",,AW$83,"."&amp;$D$82&amp;$AW$82&amp;"C"&amp;$A101))</f>
        <v>858</v>
      </c>
      <c r="AX101" s="3">
        <f>-IF(RTD("tos.rtd",,AX$83,"."&amp;$D$82&amp;$AW$82&amp;"P"&amp;$A101)="N/A",0,RTD("tos.rtd",,AX$83,"."&amp;$D$82&amp;$AW$82&amp;"P"&amp;$A101))</f>
        <v>-590</v>
      </c>
      <c r="AY101" s="79">
        <f t="shared" si="521"/>
        <v>2637</v>
      </c>
      <c r="AZ101" s="8">
        <f t="shared" si="455"/>
        <v>5710</v>
      </c>
      <c r="BA101" s="54">
        <f>IF(RTD("tos.rtd",,BA$83,"."&amp;$B$82&amp;$AS$82&amp;"C"&amp;$A101)="N/A",0,RTD("tos.rtd",,BA$83,"."&amp;$B$82&amp;$AS$82&amp;"C"&amp;$A101))</f>
        <v>0</v>
      </c>
      <c r="BB101" s="3">
        <f>-IF(RTD("tos.rtd",,BB$83,"."&amp;$B$82&amp;$AS$82&amp;"P"&amp;$A101)="N/A",0,RTD("tos.rtd",,BB$83,"."&amp;$B$82&amp;$AS$82&amp;"P"&amp;$A101))</f>
        <v>0</v>
      </c>
      <c r="BC101" s="54">
        <f>IF(RTD("tos.rtd",,BC$83,"."&amp;$C$82&amp;$AU$82&amp;"C"&amp;$A101)="N/A",0,RTD("tos.rtd",,BC$83,"."&amp;$C$82&amp;$AU$82&amp;"C"&amp;$A101))</f>
        <v>0</v>
      </c>
      <c r="BD101" s="3">
        <f>-IF(RTD("tos.rtd",,BD$83,"."&amp;$C$82&amp;$AU$82&amp;"P"&amp;$A101)="N/A",0,RTD("tos.rtd",,BD$83,"."&amp;$C$82&amp;$AU$82&amp;"P"&amp;$A101))</f>
        <v>0</v>
      </c>
      <c r="BE101" s="54">
        <f>IF(RTD("tos.rtd",,BE$83,"."&amp;$D$82&amp;$AW$82&amp;"C"&amp;$A101)="N/A",0,RTD("tos.rtd",,BE$83,"."&amp;$D$82&amp;$AW$82&amp;"C"&amp;$A101))</f>
        <v>0</v>
      </c>
      <c r="BF101" s="3">
        <f>-IF(RTD("tos.rtd",,BF$83,"."&amp;$D$82&amp;$AW$82&amp;"P"&amp;$A101)="N/A",0,RTD("tos.rtd",,BF$83,"."&amp;$D$82&amp;$AW$82&amp;"P"&amp;$A101))</f>
        <v>0</v>
      </c>
      <c r="BG101" s="3">
        <f ca="1">+Hoja2!Y102</f>
        <v>0</v>
      </c>
      <c r="BH101" s="55">
        <f t="shared" ca="1" si="493"/>
        <v>0</v>
      </c>
      <c r="BI101" s="32" t="str">
        <f t="shared" ca="1" si="513"/>
        <v/>
      </c>
      <c r="BJ101" s="3" t="e">
        <f ca="1">IF($BP$1=1,DX101,IF(RTD("tos.rtd",,BJ$83,"."&amp;$B$82&amp;$AS$82&amp;"C"&amp;$A101)="N/A",0,RTD("tos.rtd",,BJ$83,"."&amp;$B$82&amp;$AS$82&amp;"C"&amp;$A101)))</f>
        <v>#NUM!</v>
      </c>
      <c r="BK101" s="3" t="e">
        <f ca="1">IF($BP$1=1,DY101,-IF(RTD("tos.rtd",,BK$83,"."&amp;$B$82&amp;$AS$82&amp;"P"&amp;$A101)="N/A",0,RTD("tos.rtd",,BK$83,"."&amp;$B$82&amp;$AS$82&amp;"P"&amp;$A101)))</f>
        <v>#NUM!</v>
      </c>
      <c r="BL101" s="3" t="e">
        <f ca="1">IF($BP$1=1,DZ101,IF(RTD("tos.rtd",,BL$83,"."&amp;$C$82&amp;$AU$82&amp;"C"&amp;$A101)="N/A",0,RTD("tos.rtd",,BL$83,"."&amp;$C$82&amp;$AU$82&amp;"C"&amp;$A101)))</f>
        <v>#NUM!</v>
      </c>
      <c r="BM101" s="3" t="e">
        <f ca="1">IF($BP$1=1,EA101,-IF(RTD("tos.rtd",,BM$83,"."&amp;$C$82&amp;$AU$82&amp;"P"&amp;$A101)="N/A",0,RTD("tos.rtd",,BM$83,"."&amp;$C$82&amp;$AU$82&amp;"P"&amp;$A101)))</f>
        <v>#NUM!</v>
      </c>
      <c r="BN101" s="3" t="e">
        <f ca="1">IF($BP$1=1,EB101,IF(RTD("tos.rtd",,BN$83,"."&amp;$D$82&amp;$AW$82&amp;"C"&amp;$A101)="N/A",0,RTD("tos.rtd",,BN$83,"."&amp;$D$82&amp;$AW$82&amp;"C"&amp;$A101)))</f>
        <v>#NUM!</v>
      </c>
      <c r="BO101" s="3" t="e">
        <f ca="1">IF($BP$1=1,EC101,-IF(RTD("tos.rtd",,BO$83,"."&amp;$D$82&amp;$AW$82&amp;"P"&amp;$A101)="N/A",0,RTD("tos.rtd",,BO$83,"."&amp;$D$82&amp;$AW$82&amp;"P"&amp;$A101)))</f>
        <v>#NUM!</v>
      </c>
      <c r="BQ101" s="3" t="e">
        <f t="shared" ca="1" si="456"/>
        <v>#NUM!</v>
      </c>
      <c r="BR101" s="3" t="e">
        <f t="shared" ca="1" si="494"/>
        <v>#NUM!</v>
      </c>
      <c r="BS101" s="3" t="e">
        <f t="shared" ca="1" si="457"/>
        <v>#NUM!</v>
      </c>
      <c r="BT101" s="3" t="e">
        <f t="shared" ca="1" si="494"/>
        <v>#NUM!</v>
      </c>
      <c r="BU101" s="3" t="e">
        <f t="shared" ca="1" si="458"/>
        <v>#NUM!</v>
      </c>
      <c r="BV101" s="3" t="e">
        <f t="shared" ca="1" si="494"/>
        <v>#NUM!</v>
      </c>
      <c r="BX101" s="3" t="e">
        <f t="shared" ca="1" si="459"/>
        <v>#NUM!</v>
      </c>
      <c r="BY101" s="3" t="e">
        <f t="shared" ca="1" si="510"/>
        <v>#NUM!</v>
      </c>
      <c r="BZ101" s="3" t="e">
        <f t="shared" ca="1" si="460"/>
        <v>#NUM!</v>
      </c>
      <c r="CA101" s="3" t="e">
        <f t="shared" ca="1" si="510"/>
        <v>#NUM!</v>
      </c>
      <c r="CB101" s="3" t="e">
        <f t="shared" ca="1" si="461"/>
        <v>#NUM!</v>
      </c>
      <c r="CC101" s="3" t="e">
        <f t="shared" ca="1" si="510"/>
        <v>#NUM!</v>
      </c>
      <c r="CD101" s="3">
        <f>IF(RTD("tos.rtd",,CD$83,"."&amp;$B$82&amp;$AS$82&amp;"C"&amp;$A101)="N/A",0,RTD("tos.rtd",,CD$83,"."&amp;$B$82&amp;$AS$82&amp;"C"&amp;$A101))</f>
        <v>0</v>
      </c>
      <c r="CE101" s="3">
        <f>-IF(RTD("tos.rtd",,CE$83,"."&amp;$B$82&amp;$AS$82&amp;"P"&amp;$A101)="N/A",0,RTD("tos.rtd",,CE$83,"."&amp;$B$82&amp;$AS$82&amp;"P"&amp;$A101))</f>
        <v>1</v>
      </c>
      <c r="CF101" s="3">
        <f>IF(RTD("tos.rtd",,CF$83,"."&amp;$C$82&amp;$AU$82&amp;"C"&amp;$A101)="N/A",0,RTD("tos.rtd",,CF$83,"."&amp;$C$82&amp;$AU$82&amp;"C"&amp;$A101))</f>
        <v>0</v>
      </c>
      <c r="CG101" s="3">
        <f>-IF(RTD("tos.rtd",,CG$83,"."&amp;$C$82&amp;$AU$82&amp;"P"&amp;$A101)="N/A",0,RTD("tos.rtd",,CG$83,"."&amp;$C$82&amp;$AU$82&amp;"P"&amp;$A101))</f>
        <v>0.95</v>
      </c>
      <c r="CH101" s="3">
        <f>IF(RTD("tos.rtd",,CH$83,"."&amp;$D$82&amp;$AW$82&amp;"C"&amp;$A101)="N/A",0,RTD("tos.rtd",,CH$83,"."&amp;$D$82&amp;$AW$82&amp;"C"&amp;$A101))</f>
        <v>0.43</v>
      </c>
      <c r="CI101" s="3">
        <f>-IF(RTD("tos.rtd",,CI$83,"."&amp;$D$82&amp;$AW$82&amp;"P"&amp;$A101)="N/A",0,RTD("tos.rtd",,CI$83,"."&amp;$D$82&amp;$AW$82&amp;"P"&amp;$A101))</f>
        <v>0.88</v>
      </c>
      <c r="CK101" s="3">
        <f t="shared" si="495"/>
        <v>-3800</v>
      </c>
      <c r="CL101" s="3"/>
      <c r="CM101" s="3">
        <f t="shared" si="496"/>
        <v>-77234.999999999985</v>
      </c>
      <c r="CN101" s="3"/>
      <c r="CO101" s="3">
        <f t="shared" si="497"/>
        <v>-15026.000000000007</v>
      </c>
      <c r="CP101" s="3">
        <f t="shared" si="462"/>
        <v>-96061</v>
      </c>
      <c r="CQ101" s="3">
        <f t="shared" si="463"/>
        <v>0</v>
      </c>
      <c r="CR101" s="3"/>
      <c r="CS101" s="3">
        <f t="shared" si="464"/>
        <v>0</v>
      </c>
      <c r="CT101" s="3"/>
      <c r="CU101" s="3">
        <f t="shared" si="465"/>
        <v>0</v>
      </c>
      <c r="CV101" s="3"/>
      <c r="CW101" s="3" t="e">
        <f t="shared" ca="1" si="466"/>
        <v>#NUM!</v>
      </c>
      <c r="CY101" s="3" t="e">
        <f t="shared" ca="1" si="467"/>
        <v>#NUM!</v>
      </c>
      <c r="CZ101" s="70" t="e">
        <f t="shared" ca="1" si="511"/>
        <v>#NUM!</v>
      </c>
      <c r="DA101" s="3">
        <f>IF(RTD("tos.rtd",,DA$83,"."&amp;$B$82&amp;$AS$82&amp;"C"&amp;$A101)="N/A",0,RTD("tos.rtd",,DA$83,"."&amp;$B$82&amp;$AS$82&amp;"C"&amp;$A101))</f>
        <v>0.05</v>
      </c>
      <c r="DB101" s="3">
        <f>IF(RTD("tos.rtd",,DB$83,"."&amp;$B$82&amp;$AS$82&amp;"P"&amp;$A101)="N/A",0,RTD("tos.rtd",,DB$83,"."&amp;$B$82&amp;$AS$82&amp;"P"&amp;$A101))</f>
        <v>46</v>
      </c>
      <c r="DC101" s="3">
        <f>IF(RTD("tos.rtd",,DC$83,"."&amp;$B$82&amp;$AS$82&amp;"C"&amp;$A101)="N/A",0,RTD("tos.rtd",,DC$83,"."&amp;$B$82&amp;$AS$82&amp;"C"&amp;$A101))</f>
        <v>0.05</v>
      </c>
      <c r="DD101" s="3">
        <f>IF(RTD("tos.rtd",,DD$83,"."&amp;$B$82&amp;$AS$82&amp;"P"&amp;$A101)="N/A",0,RTD("tos.rtd",,DD$83,"."&amp;$B$82&amp;$AS$82&amp;"P"&amp;$A101))</f>
        <v>47.3</v>
      </c>
      <c r="DE101" s="3">
        <f>IF(RTD("tos.rtd",,DE$83,"."&amp;$B$82&amp;$AS$82&amp;"C"&amp;$A101)="N/A",0,RTD("tos.rtd",,DE$83,"."&amp;$B$82&amp;$AS$82&amp;"C"&amp;$A101))</f>
        <v>0</v>
      </c>
      <c r="DF101" s="3">
        <f>IF(RTD("tos.rtd",,DF$83,"."&amp;$B$82&amp;$AS$82&amp;"P"&amp;$A101)="N/A",0,RTD("tos.rtd",,DF$83,"."&amp;$B$82&amp;$AS$82&amp;"P"&amp;$A101))</f>
        <v>43.5</v>
      </c>
      <c r="DG101" s="86">
        <f t="shared" si="499"/>
        <v>50.090000000000146</v>
      </c>
      <c r="DH101" s="3">
        <f t="shared" si="468"/>
        <v>-76551</v>
      </c>
      <c r="DI101" s="3">
        <f t="shared" si="469"/>
        <v>13950.000000000011</v>
      </c>
      <c r="DJ101" s="3">
        <f t="shared" si="470"/>
        <v>-76551</v>
      </c>
      <c r="DK101" s="3">
        <f t="shared" si="471"/>
        <v>21204</v>
      </c>
      <c r="DL101" s="3">
        <f t="shared" si="472"/>
        <v>-62600.999999999985</v>
      </c>
      <c r="DM101" s="3">
        <f t="shared" si="473"/>
        <v>-55347</v>
      </c>
      <c r="DN101" s="64" t="str">
        <f t="shared" si="474"/>
        <v>UNKNOWN</v>
      </c>
      <c r="DO101" s="64" t="str">
        <f t="shared" si="475"/>
        <v>UNKNOWN</v>
      </c>
      <c r="DP101" s="3">
        <f t="shared" si="476"/>
        <v>637872.45000000042</v>
      </c>
      <c r="DQ101" s="3">
        <f t="shared" si="477"/>
        <v>971556.45</v>
      </c>
      <c r="DR101" s="3" t="e">
        <f t="shared" ca="1" si="478"/>
        <v>#NUM!</v>
      </c>
      <c r="DS101" s="3">
        <f t="shared" si="479"/>
        <v>21204</v>
      </c>
      <c r="DT101" s="3">
        <f t="shared" si="500"/>
        <v>-76551</v>
      </c>
      <c r="DU101" s="3">
        <f t="shared" si="501"/>
        <v>21204</v>
      </c>
      <c r="DV101" s="3">
        <f t="shared" si="502"/>
        <v>-1886</v>
      </c>
      <c r="DW101" s="3">
        <f t="shared" si="503"/>
        <v>603</v>
      </c>
      <c r="DX101" s="3" t="e">
        <f t="shared" ca="1" si="512"/>
        <v>#NUM!</v>
      </c>
      <c r="DY101" s="3" t="e">
        <f t="shared" ca="1" si="480"/>
        <v>#NUM!</v>
      </c>
      <c r="DZ101" s="3" t="e">
        <f t="shared" ca="1" si="504"/>
        <v>#NUM!</v>
      </c>
      <c r="EA101" s="3" t="e">
        <f t="shared" ca="1" si="505"/>
        <v>#NUM!</v>
      </c>
      <c r="EB101" s="3" t="e">
        <f t="shared" ca="1" si="481"/>
        <v>#NUM!</v>
      </c>
      <c r="EC101" s="3" t="e">
        <f t="shared" ca="1" si="482"/>
        <v>#NUM!</v>
      </c>
      <c r="ED101" s="63">
        <f t="shared" si="506"/>
        <v>-1283</v>
      </c>
      <c r="EE101" s="59">
        <f t="shared" si="483"/>
        <v>0.44290000000000002</v>
      </c>
      <c r="EF101" s="59">
        <f t="shared" si="484"/>
        <v>0.25</v>
      </c>
      <c r="EG101" s="59">
        <f t="shared" si="485"/>
        <v>0.44290000000000002</v>
      </c>
      <c r="EH101" s="59">
        <f t="shared" si="486"/>
        <v>0.69479999999999997</v>
      </c>
      <c r="EI101" s="59">
        <f t="shared" si="487"/>
        <v>0.34470000000000001</v>
      </c>
      <c r="EJ101" s="59">
        <f t="shared" si="488"/>
        <v>6.0499999999999998E-2</v>
      </c>
      <c r="EK101" s="63" t="e">
        <f t="shared" ca="1" si="507"/>
        <v>#NUM!</v>
      </c>
      <c r="EL101" s="3" t="str">
        <f>RTD("tos.rtd",,EL$83,"."&amp;$B$82&amp;$AS$82&amp;"C"&amp;$A101)</f>
        <v>44.29%</v>
      </c>
      <c r="EM101" s="3" t="str">
        <f>RTD("tos.rtd",,EM$83,"."&amp;$B$82&amp;$AS$82&amp;"P"&amp;$A101)</f>
        <v>--</v>
      </c>
      <c r="EN101" s="3" t="str">
        <f>RTD("tos.rtd",,EN$83,"."&amp;$C$82&amp;$AU$82&amp;"C"&amp;$A101)</f>
        <v>44.29%</v>
      </c>
      <c r="EO101" s="3" t="str">
        <f>RTD("tos.rtd",,EO$83,"."&amp;$C$82&amp;$AU$82&amp;"P"&amp;$A101)</f>
        <v>69.48%</v>
      </c>
      <c r="EP101" s="3" t="str">
        <f>RTD("tos.rtd",,EP$83,"."&amp;$D$82&amp;$AW$82&amp;"C"&amp;$A101)</f>
        <v>34.47%</v>
      </c>
      <c r="EQ101" s="3" t="str">
        <f>RTD("tos.rtd",,EQ$83,"."&amp;$D$82&amp;$AW$82&amp;"P"&amp;$A101)</f>
        <v>6.05%</v>
      </c>
      <c r="ES101" s="63" t="str">
        <f t="shared" si="489"/>
        <v>5710,-1283.00</v>
      </c>
      <c r="ET101" s="63" t="str">
        <f t="shared" ca="1" si="490"/>
        <v>5710,00.00</v>
      </c>
      <c r="EU101" s="67">
        <v>561.55999999999995</v>
      </c>
      <c r="EV101" s="67" t="s">
        <v>827</v>
      </c>
      <c r="EW101" s="67">
        <v>483.91</v>
      </c>
      <c r="EX101" s="67" t="s">
        <v>828</v>
      </c>
      <c r="EY101" s="67">
        <v>5631.28</v>
      </c>
      <c r="EZ101" s="67" t="s">
        <v>829</v>
      </c>
      <c r="FA101" s="67">
        <v>19867.973000000002</v>
      </c>
      <c r="FB101" s="67" t="s">
        <v>830</v>
      </c>
      <c r="FC101" s="67" t="s">
        <v>831</v>
      </c>
      <c r="FD101" s="67" t="s">
        <v>832</v>
      </c>
      <c r="FE101" s="68" t="s">
        <v>833</v>
      </c>
      <c r="FF101" s="68" t="s">
        <v>834</v>
      </c>
    </row>
    <row r="102" spans="1:162" s="63" customFormat="1" ht="12" customHeight="1" thickBot="1" x14ac:dyDescent="0.25">
      <c r="A102" s="2">
        <f t="shared" si="508"/>
        <v>5700</v>
      </c>
      <c r="B102" s="3">
        <f t="shared" si="451"/>
        <v>2618</v>
      </c>
      <c r="C102" s="3">
        <f t="shared" si="452"/>
        <v>5911</v>
      </c>
      <c r="D102" s="3">
        <f t="shared" si="453"/>
        <v>9814</v>
      </c>
      <c r="E102" s="3">
        <f t="shared" si="519"/>
        <v>18343</v>
      </c>
      <c r="F102" s="4">
        <f t="shared" si="522"/>
        <v>5787.2033300882877</v>
      </c>
      <c r="G102" s="4">
        <f t="shared" si="520"/>
        <v>575.15525865252278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>
        <v>168</v>
      </c>
      <c r="AN102" s="20">
        <v>-7195</v>
      </c>
      <c r="AO102" s="20">
        <v>5700</v>
      </c>
      <c r="AP102" s="20">
        <v>92573</v>
      </c>
      <c r="AQ102" s="20">
        <v>-58743</v>
      </c>
      <c r="AR102" s="20"/>
      <c r="AS102" s="54">
        <f>IF(RTD("tos.rtd",,AS$83,"."&amp;$B$82&amp;$AS$82&amp;"C"&amp;$A102)="N/A",0,RTD("tos.rtd",,AS$83,"."&amp;$B$82&amp;$AS$82&amp;"C"&amp;$A102))</f>
        <v>2458</v>
      </c>
      <c r="AT102" s="3">
        <f>-IF(RTD("tos.rtd",,AT$83,"."&amp;$B$82&amp;$AS$82&amp;"P"&amp;$A102)="N/A",0,RTD("tos.rtd",,AT$83,"."&amp;$B$82&amp;$AS$82&amp;"P"&amp;$A102))</f>
        <v>-160</v>
      </c>
      <c r="AU102" s="54">
        <f>IF(RTD("tos.rtd",,AU$83,"."&amp;$C$82&amp;$AU$82&amp;"C"&amp;$A102)="N/A",0,RTD("tos.rtd",,AU$83,"."&amp;$C$82&amp;$AU$82&amp;"C"&amp;$A102))</f>
        <v>3989</v>
      </c>
      <c r="AV102" s="3">
        <f>-IF(RTD("tos.rtd",,AV$83,"."&amp;$C$82&amp;$AU$82&amp;"P"&amp;$A102)="N/A",0,RTD("tos.rtd",,AV$83,"."&amp;$C$82&amp;$AU$82&amp;"P"&amp;$A102))</f>
        <v>-1922</v>
      </c>
      <c r="AW102" s="54">
        <f>IF(RTD("tos.rtd",,AW$83,"."&amp;$D$82&amp;$AW$82&amp;"C"&amp;$A102)="N/A",0,RTD("tos.rtd",,AW$83,"."&amp;$D$82&amp;$AW$82&amp;"C"&amp;$A102))</f>
        <v>3560</v>
      </c>
      <c r="AX102" s="3">
        <f>-IF(RTD("tos.rtd",,AX$83,"."&amp;$D$82&amp;$AW$82&amp;"P"&amp;$A102)="N/A",0,RTD("tos.rtd",,AX$83,"."&amp;$D$82&amp;$AW$82&amp;"P"&amp;$A102))</f>
        <v>-6254</v>
      </c>
      <c r="AY102" s="79">
        <f t="shared" si="521"/>
        <v>1671</v>
      </c>
      <c r="AZ102" s="8">
        <f t="shared" si="455"/>
        <v>5700</v>
      </c>
      <c r="BA102" s="54">
        <f>IF(RTD("tos.rtd",,BA$83,"."&amp;$B$82&amp;$AS$82&amp;"C"&amp;$A102)="N/A",0,RTD("tos.rtd",,BA$83,"."&amp;$B$82&amp;$AS$82&amp;"C"&amp;$A102))</f>
        <v>0</v>
      </c>
      <c r="BB102" s="3">
        <f>-IF(RTD("tos.rtd",,BB$83,"."&amp;$B$82&amp;$AS$82&amp;"P"&amp;$A102)="N/A",0,RTD("tos.rtd",,BB$83,"."&amp;$B$82&amp;$AS$82&amp;"P"&amp;$A102))</f>
        <v>0</v>
      </c>
      <c r="BC102" s="54">
        <f>IF(RTD("tos.rtd",,BC$83,"."&amp;$C$82&amp;$AU$82&amp;"C"&amp;$A102)="N/A",0,RTD("tos.rtd",,BC$83,"."&amp;$C$82&amp;$AU$82&amp;"C"&amp;$A102))</f>
        <v>0</v>
      </c>
      <c r="BD102" s="3">
        <f>-IF(RTD("tos.rtd",,BD$83,"."&amp;$C$82&amp;$AU$82&amp;"P"&amp;$A102)="N/A",0,RTD("tos.rtd",,BD$83,"."&amp;$C$82&amp;$AU$82&amp;"P"&amp;$A102))</f>
        <v>0</v>
      </c>
      <c r="BE102" s="54">
        <f>IF(RTD("tos.rtd",,BE$83,"."&amp;$D$82&amp;$AW$82&amp;"C"&amp;$A102)="N/A",0,RTD("tos.rtd",,BE$83,"."&amp;$D$82&amp;$AW$82&amp;"C"&amp;$A102))</f>
        <v>2</v>
      </c>
      <c r="BF102" s="3">
        <f>-IF(RTD("tos.rtd",,BF$83,"."&amp;$D$82&amp;$AW$82&amp;"P"&amp;$A102)="N/A",0,RTD("tos.rtd",,BF$83,"."&amp;$D$82&amp;$AW$82&amp;"P"&amp;$A102))</f>
        <v>-1</v>
      </c>
      <c r="BG102" s="3">
        <f ca="1">+Hoja2!Y103</f>
        <v>2</v>
      </c>
      <c r="BH102" s="55">
        <f t="shared" ca="1" si="493"/>
        <v>3</v>
      </c>
      <c r="BI102" s="32" t="str">
        <f t="shared" ca="1" si="513"/>
        <v/>
      </c>
      <c r="BJ102" s="3" t="e">
        <f ca="1">IF($BP$1=1,DX102,IF(RTD("tos.rtd",,BJ$83,"."&amp;$B$82&amp;$AS$82&amp;"C"&amp;$A102)="N/A",0,RTD("tos.rtd",,BJ$83,"."&amp;$B$82&amp;$AS$82&amp;"C"&amp;$A102)))</f>
        <v>#NUM!</v>
      </c>
      <c r="BK102" s="3" t="e">
        <f ca="1">IF($BP$1=1,DY102,-IF(RTD("tos.rtd",,BK$83,"."&amp;$B$82&amp;$AS$82&amp;"P"&amp;$A102)="N/A",0,RTD("tos.rtd",,BK$83,"."&amp;$B$82&amp;$AS$82&amp;"P"&amp;$A102)))</f>
        <v>#NUM!</v>
      </c>
      <c r="BL102" s="3" t="e">
        <f ca="1">IF($BP$1=1,DZ102,IF(RTD("tos.rtd",,BL$83,"."&amp;$C$82&amp;$AU$82&amp;"C"&amp;$A102)="N/A",0,RTD("tos.rtd",,BL$83,"."&amp;$C$82&amp;$AU$82&amp;"C"&amp;$A102)))</f>
        <v>#NUM!</v>
      </c>
      <c r="BM102" s="3" t="e">
        <f ca="1">IF($BP$1=1,EA102,-IF(RTD("tos.rtd",,BM$83,"."&amp;$C$82&amp;$AU$82&amp;"P"&amp;$A102)="N/A",0,RTD("tos.rtd",,BM$83,"."&amp;$C$82&amp;$AU$82&amp;"P"&amp;$A102)))</f>
        <v>#NUM!</v>
      </c>
      <c r="BN102" s="3" t="e">
        <f ca="1">IF($BP$1=1,EB102,IF(RTD("tos.rtd",,BN$83,"."&amp;$D$82&amp;$AW$82&amp;"C"&amp;$A102)="N/A",0,RTD("tos.rtd",,BN$83,"."&amp;$D$82&amp;$AW$82&amp;"C"&amp;$A102)))</f>
        <v>#NUM!</v>
      </c>
      <c r="BO102" s="3" t="e">
        <f ca="1">IF($BP$1=1,EC102,-IF(RTD("tos.rtd",,BO$83,"."&amp;$D$82&amp;$AW$82&amp;"P"&amp;$A102)="N/A",0,RTD("tos.rtd",,BO$83,"."&amp;$D$82&amp;$AW$82&amp;"P"&amp;$A102)))</f>
        <v>#NUM!</v>
      </c>
      <c r="BQ102" s="3" t="e">
        <f t="shared" ca="1" si="456"/>
        <v>#NUM!</v>
      </c>
      <c r="BR102" s="3" t="e">
        <f t="shared" ca="1" si="494"/>
        <v>#NUM!</v>
      </c>
      <c r="BS102" s="3" t="e">
        <f t="shared" ca="1" si="457"/>
        <v>#NUM!</v>
      </c>
      <c r="BT102" s="3" t="e">
        <f t="shared" ca="1" si="494"/>
        <v>#NUM!</v>
      </c>
      <c r="BU102" s="3" t="e">
        <f t="shared" ca="1" si="458"/>
        <v>#NUM!</v>
      </c>
      <c r="BV102" s="3" t="e">
        <f t="shared" ca="1" si="494"/>
        <v>#NUM!</v>
      </c>
      <c r="BX102" s="3" t="e">
        <f t="shared" ca="1" si="459"/>
        <v>#NUM!</v>
      </c>
      <c r="BY102" s="3" t="e">
        <f t="shared" ca="1" si="510"/>
        <v>#NUM!</v>
      </c>
      <c r="BZ102" s="3" t="e">
        <f t="shared" ca="1" si="460"/>
        <v>#NUM!</v>
      </c>
      <c r="CA102" s="3" t="e">
        <f t="shared" ca="1" si="510"/>
        <v>#NUM!</v>
      </c>
      <c r="CB102" s="3" t="e">
        <f t="shared" ca="1" si="461"/>
        <v>#NUM!</v>
      </c>
      <c r="CC102" s="3" t="e">
        <f t="shared" ca="1" si="510"/>
        <v>#NUM!</v>
      </c>
      <c r="CD102" s="3">
        <f>IF(RTD("tos.rtd",,CD$83,"."&amp;$B$82&amp;$AS$82&amp;"C"&amp;$A102)="N/A",0,RTD("tos.rtd",,CD$83,"."&amp;$B$82&amp;$AS$82&amp;"C"&amp;$A102))</f>
        <v>0.01</v>
      </c>
      <c r="CE102" s="3">
        <f>-IF(RTD("tos.rtd",,CE$83,"."&amp;$B$82&amp;$AS$82&amp;"P"&amp;$A102)="N/A",0,RTD("tos.rtd",,CE$83,"."&amp;$B$82&amp;$AS$82&amp;"P"&amp;$A102))</f>
        <v>1</v>
      </c>
      <c r="CF102" s="3">
        <f>IF(RTD("tos.rtd",,CF$83,"."&amp;$C$82&amp;$AU$82&amp;"C"&amp;$A102)="N/A",0,RTD("tos.rtd",,CF$83,"."&amp;$C$82&amp;$AU$82&amp;"C"&amp;$A102))</f>
        <v>0.01</v>
      </c>
      <c r="CG102" s="3">
        <f>-IF(RTD("tos.rtd",,CG$83,"."&amp;$C$82&amp;$AU$82&amp;"P"&amp;$A102)="N/A",0,RTD("tos.rtd",,CG$83,"."&amp;$C$82&amp;$AU$82&amp;"P"&amp;$A102))</f>
        <v>0.95</v>
      </c>
      <c r="CH102" s="3">
        <f>IF(RTD("tos.rtd",,CH$83,"."&amp;$D$82&amp;$AW$82&amp;"C"&amp;$A102)="N/A",0,RTD("tos.rtd",,CH$83,"."&amp;$D$82&amp;$AW$82&amp;"C"&amp;$A102))</f>
        <v>0.44</v>
      </c>
      <c r="CI102" s="3">
        <f>-IF(RTD("tos.rtd",,CI$83,"."&amp;$D$82&amp;$AW$82&amp;"P"&amp;$A102)="N/A",0,RTD("tos.rtd",,CI$83,"."&amp;$D$82&amp;$AW$82&amp;"P"&amp;$A102))</f>
        <v>0.75</v>
      </c>
      <c r="CK102" s="3">
        <f t="shared" si="495"/>
        <v>-13542</v>
      </c>
      <c r="CL102" s="3"/>
      <c r="CM102" s="3">
        <f t="shared" si="496"/>
        <v>-178601</v>
      </c>
      <c r="CN102" s="3"/>
      <c r="CO102" s="3">
        <f t="shared" si="497"/>
        <v>-312410</v>
      </c>
      <c r="CP102" s="3">
        <f t="shared" si="462"/>
        <v>-504553</v>
      </c>
      <c r="CQ102" s="3">
        <f t="shared" si="463"/>
        <v>0</v>
      </c>
      <c r="CR102" s="3"/>
      <c r="CS102" s="3">
        <f t="shared" si="464"/>
        <v>0</v>
      </c>
      <c r="CT102" s="3"/>
      <c r="CU102" s="3">
        <f t="shared" si="465"/>
        <v>1</v>
      </c>
      <c r="CV102" s="3"/>
      <c r="CW102" s="3" t="e">
        <f t="shared" ca="1" si="466"/>
        <v>#NUM!</v>
      </c>
      <c r="CY102" s="3" t="e">
        <f t="shared" ca="1" si="467"/>
        <v>#NUM!</v>
      </c>
      <c r="CZ102" s="70" t="e">
        <f t="shared" ca="1" si="511"/>
        <v>#NUM!</v>
      </c>
      <c r="DA102" s="3">
        <f>IF(RTD("tos.rtd",,DA$83,"."&amp;$B$82&amp;$AS$82&amp;"C"&amp;$A102)="N/A",0,RTD("tos.rtd",,DA$83,"."&amp;$B$82&amp;$AS$82&amp;"C"&amp;$A102))</f>
        <v>0.05</v>
      </c>
      <c r="DB102" s="3">
        <f>IF(RTD("tos.rtd",,DB$83,"."&amp;$B$82&amp;$AS$82&amp;"P"&amp;$A102)="N/A",0,RTD("tos.rtd",,DB$83,"."&amp;$B$82&amp;$AS$82&amp;"P"&amp;$A102))</f>
        <v>34.700000000000003</v>
      </c>
      <c r="DC102" s="3">
        <f>IF(RTD("tos.rtd",,DC$83,"."&amp;$B$82&amp;$AS$82&amp;"C"&amp;$A102)="N/A",0,RTD("tos.rtd",,DC$83,"."&amp;$B$82&amp;$AS$82&amp;"C"&amp;$A102))</f>
        <v>0.05</v>
      </c>
      <c r="DD102" s="3">
        <f>IF(RTD("tos.rtd",,DD$83,"."&amp;$B$82&amp;$AS$82&amp;"P"&amp;$A102)="N/A",0,RTD("tos.rtd",,DD$83,"."&amp;$B$82&amp;$AS$82&amp;"P"&amp;$A102))</f>
        <v>37.299999999999997</v>
      </c>
      <c r="DE102" s="3">
        <f>IF(RTD("tos.rtd",,DE$83,"."&amp;$B$82&amp;$AS$82&amp;"C"&amp;$A102)="N/A",0,RTD("tos.rtd",,DE$83,"."&amp;$B$82&amp;$AS$82&amp;"C"&amp;$A102))</f>
        <v>0</v>
      </c>
      <c r="DF102" s="3">
        <f>IF(RTD("tos.rtd",,DF$83,"."&amp;$B$82&amp;$AS$82&amp;"P"&amp;$A102)="N/A",0,RTD("tos.rtd",,DF$83,"."&amp;$B$82&amp;$AS$82&amp;"P"&amp;$A102))</f>
        <v>33.5</v>
      </c>
      <c r="DG102" s="86">
        <f t="shared" si="499"/>
        <v>40.090000000000146</v>
      </c>
      <c r="DH102" s="3">
        <f t="shared" si="468"/>
        <v>-92573</v>
      </c>
      <c r="DI102" s="3">
        <f t="shared" si="469"/>
        <v>18550.421052631638</v>
      </c>
      <c r="DJ102" s="3">
        <f t="shared" si="470"/>
        <v>-92573</v>
      </c>
      <c r="DK102" s="3">
        <f t="shared" si="471"/>
        <v>-58743</v>
      </c>
      <c r="DL102" s="3">
        <f t="shared" si="472"/>
        <v>-74022.578947368369</v>
      </c>
      <c r="DM102" s="3">
        <f t="shared" si="473"/>
        <v>-151316</v>
      </c>
      <c r="DN102" s="64" t="str">
        <f t="shared" si="474"/>
        <v>UNKNOWN</v>
      </c>
      <c r="DO102" s="64" t="str">
        <f t="shared" si="475"/>
        <v>UNKNOWN</v>
      </c>
      <c r="DP102" s="3">
        <f t="shared" si="476"/>
        <v>639070.96052631782</v>
      </c>
      <c r="DQ102" s="3">
        <f t="shared" si="477"/>
        <v>-2043010.75</v>
      </c>
      <c r="DR102" s="3" t="e">
        <f t="shared" ca="1" si="478"/>
        <v>#NUM!</v>
      </c>
      <c r="DS102" s="3">
        <f t="shared" si="479"/>
        <v>-59668.73</v>
      </c>
      <c r="DT102" s="3">
        <f t="shared" si="500"/>
        <v>-92573</v>
      </c>
      <c r="DU102" s="3">
        <f t="shared" si="501"/>
        <v>58743</v>
      </c>
      <c r="DV102" s="3">
        <f t="shared" si="502"/>
        <v>168</v>
      </c>
      <c r="DW102" s="3">
        <f t="shared" si="503"/>
        <v>-7195</v>
      </c>
      <c r="DX102" s="3" t="e">
        <f t="shared" ca="1" si="512"/>
        <v>#NUM!</v>
      </c>
      <c r="DY102" s="3" t="e">
        <f t="shared" ca="1" si="480"/>
        <v>#NUM!</v>
      </c>
      <c r="DZ102" s="3" t="e">
        <f t="shared" ca="1" si="504"/>
        <v>#NUM!</v>
      </c>
      <c r="EA102" s="3" t="e">
        <f t="shared" ca="1" si="505"/>
        <v>#NUM!</v>
      </c>
      <c r="EB102" s="3" t="e">
        <f t="shared" ca="1" si="481"/>
        <v>#NUM!</v>
      </c>
      <c r="EC102" s="3" t="e">
        <f t="shared" ca="1" si="482"/>
        <v>#NUM!</v>
      </c>
      <c r="ED102" s="63">
        <f t="shared" si="506"/>
        <v>-7027</v>
      </c>
      <c r="EE102" s="59">
        <f t="shared" si="483"/>
        <v>0.36330000000000001</v>
      </c>
      <c r="EF102" s="59">
        <f t="shared" si="484"/>
        <v>0.25</v>
      </c>
      <c r="EG102" s="59">
        <f t="shared" si="485"/>
        <v>0.36330000000000001</v>
      </c>
      <c r="EH102" s="59">
        <f t="shared" si="486"/>
        <v>0.58230000000000004</v>
      </c>
      <c r="EI102" s="59">
        <f t="shared" si="487"/>
        <v>0.34939999999999999</v>
      </c>
      <c r="EJ102" s="59">
        <f t="shared" si="488"/>
        <v>8.4500000000000006E-2</v>
      </c>
      <c r="EK102" s="63" t="e">
        <f t="shared" ca="1" si="507"/>
        <v>#NUM!</v>
      </c>
      <c r="EL102" s="3" t="str">
        <f>RTD("tos.rtd",,EL$83,"."&amp;$B$82&amp;$AS$82&amp;"C"&amp;$A102)</f>
        <v>36.33%</v>
      </c>
      <c r="EM102" s="3" t="str">
        <f>RTD("tos.rtd",,EM$83,"."&amp;$B$82&amp;$AS$82&amp;"P"&amp;$A102)</f>
        <v>--</v>
      </c>
      <c r="EN102" s="3" t="str">
        <f>RTD("tos.rtd",,EN$83,"."&amp;$C$82&amp;$AU$82&amp;"C"&amp;$A102)</f>
        <v>36.33%</v>
      </c>
      <c r="EO102" s="3" t="str">
        <f>RTD("tos.rtd",,EO$83,"."&amp;$C$82&amp;$AU$82&amp;"P"&amp;$A102)</f>
        <v>58.23%</v>
      </c>
      <c r="EP102" s="3" t="str">
        <f>RTD("tos.rtd",,EP$83,"."&amp;$D$82&amp;$AW$82&amp;"C"&amp;$A102)</f>
        <v>34.94%</v>
      </c>
      <c r="EQ102" s="3" t="str">
        <f>RTD("tos.rtd",,EQ$83,"."&amp;$D$82&amp;$AW$82&amp;"P"&amp;$A102)</f>
        <v>8.45%</v>
      </c>
      <c r="ES102" s="63" t="str">
        <f t="shared" si="489"/>
        <v>5700,-7027.00</v>
      </c>
      <c r="ET102" s="63" t="str">
        <f t="shared" ca="1" si="490"/>
        <v>5700,00.00</v>
      </c>
      <c r="EU102" s="67">
        <v>561.55999999999995</v>
      </c>
      <c r="EV102" s="67" t="s">
        <v>835</v>
      </c>
      <c r="EW102" s="67">
        <v>483.95</v>
      </c>
      <c r="EX102" s="67" t="s">
        <v>836</v>
      </c>
      <c r="EY102" s="67">
        <v>5631.28</v>
      </c>
      <c r="EZ102" s="67" t="s">
        <v>837</v>
      </c>
      <c r="FA102" s="67">
        <v>19867.973000000002</v>
      </c>
      <c r="FB102" s="67" t="s">
        <v>838</v>
      </c>
      <c r="FC102" s="67" t="s">
        <v>839</v>
      </c>
      <c r="FD102" s="67" t="s">
        <v>840</v>
      </c>
      <c r="FE102" s="68" t="s">
        <v>841</v>
      </c>
      <c r="FF102" s="68" t="s">
        <v>842</v>
      </c>
    </row>
    <row r="103" spans="1:162" s="63" customFormat="1" ht="12" customHeight="1" thickBot="1" x14ac:dyDescent="0.25">
      <c r="A103" s="2">
        <f t="shared" si="508"/>
        <v>5690</v>
      </c>
      <c r="B103" s="3">
        <f t="shared" si="451"/>
        <v>1008</v>
      </c>
      <c r="C103" s="3">
        <f t="shared" si="452"/>
        <v>1901</v>
      </c>
      <c r="D103" s="3">
        <f t="shared" si="453"/>
        <v>861</v>
      </c>
      <c r="E103" s="3">
        <f>SUM(B103:D103)</f>
        <v>3770</v>
      </c>
      <c r="F103" s="4">
        <f t="shared" si="522"/>
        <v>5777.0503417898872</v>
      </c>
      <c r="G103" s="4">
        <f t="shared" si="520"/>
        <v>574.14621433909724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>
        <v>-271</v>
      </c>
      <c r="AN103" s="20">
        <v>1140</v>
      </c>
      <c r="AO103" s="20">
        <v>5690</v>
      </c>
      <c r="AP103" s="20">
        <v>28743</v>
      </c>
      <c r="AQ103" s="20">
        <v>-47047</v>
      </c>
      <c r="AR103" s="20"/>
      <c r="AS103" s="54">
        <f>IF(RTD("tos.rtd",,AS$83,"."&amp;$B$82&amp;$AS$82&amp;"C"&amp;$A103)="N/A",0,RTD("tos.rtd",,AS$83,"."&amp;$B$82&amp;$AS$82&amp;"C"&amp;$A103))</f>
        <v>909</v>
      </c>
      <c r="AT103" s="3">
        <f>-IF(RTD("tos.rtd",,AT$83,"."&amp;$B$82&amp;$AS$82&amp;"P"&amp;$A103)="N/A",0,RTD("tos.rtd",,AT$83,"."&amp;$B$82&amp;$AS$82&amp;"P"&amp;$A103))</f>
        <v>-99</v>
      </c>
      <c r="AU103" s="54">
        <f>IF(RTD("tos.rtd",,AU$83,"."&amp;$C$82&amp;$AU$82&amp;"C"&amp;$A103)="N/A",0,RTD("tos.rtd",,AU$83,"."&amp;$C$82&amp;$AU$82&amp;"C"&amp;$A103))</f>
        <v>1409</v>
      </c>
      <c r="AV103" s="3">
        <f>-IF(RTD("tos.rtd",,AV$83,"."&amp;$C$82&amp;$AU$82&amp;"P"&amp;$A103)="N/A",0,RTD("tos.rtd",,AV$83,"."&amp;$C$82&amp;$AU$82&amp;"P"&amp;$A103))</f>
        <v>-492</v>
      </c>
      <c r="AW103" s="54">
        <f>IF(RTD("tos.rtd",,AW$83,"."&amp;$D$82&amp;$AW$82&amp;"C"&amp;$A103)="N/A",0,RTD("tos.rtd",,AW$83,"."&amp;$D$82&amp;$AW$82&amp;"C"&amp;$A103))</f>
        <v>563</v>
      </c>
      <c r="AX103" s="3">
        <f>-IF(RTD("tos.rtd",,AX$83,"."&amp;$D$82&amp;$AW$82&amp;"P"&amp;$A103)="N/A",0,RTD("tos.rtd",,AX$83,"."&amp;$D$82&amp;$AW$82&amp;"P"&amp;$A103))</f>
        <v>-298</v>
      </c>
      <c r="AY103" s="79">
        <f t="shared" si="521"/>
        <v>1992</v>
      </c>
      <c r="AZ103" s="8">
        <f t="shared" si="455"/>
        <v>5690</v>
      </c>
      <c r="BA103" s="54">
        <f>IF(RTD("tos.rtd",,BA$83,"."&amp;$B$82&amp;$AS$82&amp;"C"&amp;$A103)="N/A",0,RTD("tos.rtd",,BA$83,"."&amp;$B$82&amp;$AS$82&amp;"C"&amp;$A103))</f>
        <v>0</v>
      </c>
      <c r="BB103" s="3">
        <f>-IF(RTD("tos.rtd",,BB$83,"."&amp;$B$82&amp;$AS$82&amp;"P"&amp;$A103)="N/A",0,RTD("tos.rtd",,BB$83,"."&amp;$B$82&amp;$AS$82&amp;"P"&amp;$A103))</f>
        <v>0</v>
      </c>
      <c r="BC103" s="54">
        <f>IF(RTD("tos.rtd",,BC$83,"."&amp;$C$82&amp;$AU$82&amp;"C"&amp;$A103)="N/A",0,RTD("tos.rtd",,BC$83,"."&amp;$C$82&amp;$AU$82&amp;"C"&amp;$A103))</f>
        <v>0</v>
      </c>
      <c r="BD103" s="3">
        <f>-IF(RTD("tos.rtd",,BD$83,"."&amp;$C$82&amp;$AU$82&amp;"P"&amp;$A103)="N/A",0,RTD("tos.rtd",,BD$83,"."&amp;$C$82&amp;$AU$82&amp;"P"&amp;$A103))</f>
        <v>0</v>
      </c>
      <c r="BE103" s="54">
        <f>IF(RTD("tos.rtd",,BE$83,"."&amp;$D$82&amp;$AW$82&amp;"C"&amp;$A103)="N/A",0,RTD("tos.rtd",,BE$83,"."&amp;$D$82&amp;$AW$82&amp;"C"&amp;$A103))</f>
        <v>0</v>
      </c>
      <c r="BF103" s="3">
        <f>-IF(RTD("tos.rtd",,BF$83,"."&amp;$D$82&amp;$AW$82&amp;"P"&amp;$A103)="N/A",0,RTD("tos.rtd",,BF$83,"."&amp;$D$82&amp;$AW$82&amp;"P"&amp;$A103))</f>
        <v>-1</v>
      </c>
      <c r="BG103" s="3">
        <f ca="1">+Hoja2!Y104</f>
        <v>0</v>
      </c>
      <c r="BH103" s="55">
        <f t="shared" ca="1" si="493"/>
        <v>-1</v>
      </c>
      <c r="BI103" s="32" t="str">
        <f t="shared" ca="1" si="513"/>
        <v>Cruce -</v>
      </c>
      <c r="BJ103" s="3" t="e">
        <f ca="1">IF($BP$1=1,DX103,IF(RTD("tos.rtd",,BJ$83,"."&amp;$B$82&amp;$AS$82&amp;"C"&amp;$A103)="N/A",0,RTD("tos.rtd",,BJ$83,"."&amp;$B$82&amp;$AS$82&amp;"C"&amp;$A103)))</f>
        <v>#NUM!</v>
      </c>
      <c r="BK103" s="3" t="e">
        <f ca="1">IF($BP$1=1,DY103,-IF(RTD("tos.rtd",,BK$83,"."&amp;$B$82&amp;$AS$82&amp;"P"&amp;$A103)="N/A",0,RTD("tos.rtd",,BK$83,"."&amp;$B$82&amp;$AS$82&amp;"P"&amp;$A103)))</f>
        <v>#NUM!</v>
      </c>
      <c r="BL103" s="3" t="e">
        <f ca="1">IF($BP$1=1,DZ103,IF(RTD("tos.rtd",,BL$83,"."&amp;$C$82&amp;$AU$82&amp;"C"&amp;$A103)="N/A",0,RTD("tos.rtd",,BL$83,"."&amp;$C$82&amp;$AU$82&amp;"C"&amp;$A103)))</f>
        <v>#NUM!</v>
      </c>
      <c r="BM103" s="3" t="e">
        <f ca="1">IF($BP$1=1,EA103,-IF(RTD("tos.rtd",,BM$83,"."&amp;$C$82&amp;$AU$82&amp;"P"&amp;$A103)="N/A",0,RTD("tos.rtd",,BM$83,"."&amp;$C$82&amp;$AU$82&amp;"P"&amp;$A103)))</f>
        <v>#NUM!</v>
      </c>
      <c r="BN103" s="3" t="e">
        <f ca="1">IF($BP$1=1,EB103,IF(RTD("tos.rtd",,BN$83,"."&amp;$D$82&amp;$AW$82&amp;"C"&amp;$A103)="N/A",0,RTD("tos.rtd",,BN$83,"."&amp;$D$82&amp;$AW$82&amp;"C"&amp;$A103)))</f>
        <v>#NUM!</v>
      </c>
      <c r="BO103" s="3" t="e">
        <f ca="1">IF($BP$1=1,EC103,-IF(RTD("tos.rtd",,BO$83,"."&amp;$D$82&amp;$AW$82&amp;"P"&amp;$A103)="N/A",0,RTD("tos.rtd",,BO$83,"."&amp;$D$82&amp;$AW$82&amp;"P"&amp;$A103)))</f>
        <v>#NUM!</v>
      </c>
      <c r="BQ103" s="3" t="e">
        <f t="shared" ca="1" si="456"/>
        <v>#NUM!</v>
      </c>
      <c r="BR103" s="3" t="e">
        <f t="shared" ca="1" si="494"/>
        <v>#NUM!</v>
      </c>
      <c r="BS103" s="3" t="e">
        <f t="shared" ca="1" si="457"/>
        <v>#NUM!</v>
      </c>
      <c r="BT103" s="3" t="e">
        <f t="shared" ca="1" si="494"/>
        <v>#NUM!</v>
      </c>
      <c r="BU103" s="3" t="e">
        <f t="shared" ca="1" si="458"/>
        <v>#NUM!</v>
      </c>
      <c r="BV103" s="3" t="e">
        <f t="shared" ca="1" si="494"/>
        <v>#NUM!</v>
      </c>
      <c r="BX103" s="3" t="e">
        <f t="shared" ca="1" si="459"/>
        <v>#NUM!</v>
      </c>
      <c r="BY103" s="3" t="e">
        <f t="shared" ca="1" si="510"/>
        <v>#NUM!</v>
      </c>
      <c r="BZ103" s="3" t="e">
        <f t="shared" ca="1" si="460"/>
        <v>#NUM!</v>
      </c>
      <c r="CA103" s="3" t="e">
        <f t="shared" ca="1" si="510"/>
        <v>#NUM!</v>
      </c>
      <c r="CB103" s="3" t="e">
        <f t="shared" ca="1" si="461"/>
        <v>#NUM!</v>
      </c>
      <c r="CC103" s="3" t="e">
        <f t="shared" ca="1" si="510"/>
        <v>#NUM!</v>
      </c>
      <c r="CD103" s="3">
        <f>IF(RTD("tos.rtd",,CD$83,"."&amp;$B$82&amp;$AS$82&amp;"C"&amp;$A103)="N/A",0,RTD("tos.rtd",,CD$83,"."&amp;$B$82&amp;$AS$82&amp;"C"&amp;$A103))</f>
        <v>0.01</v>
      </c>
      <c r="CE103" s="3">
        <f>-IF(RTD("tos.rtd",,CE$83,"."&amp;$B$82&amp;$AS$82&amp;"P"&amp;$A103)="N/A",0,RTD("tos.rtd",,CE$83,"."&amp;$B$82&amp;$AS$82&amp;"P"&amp;$A103))</f>
        <v>1</v>
      </c>
      <c r="CF103" s="3">
        <f>IF(RTD("tos.rtd",,CF$83,"."&amp;$C$82&amp;$AU$82&amp;"C"&amp;$A103)="N/A",0,RTD("tos.rtd",,CF$83,"."&amp;$C$82&amp;$AU$82&amp;"C"&amp;$A103))</f>
        <v>0.01</v>
      </c>
      <c r="CG103" s="3">
        <f>-IF(RTD("tos.rtd",,CG$83,"."&amp;$C$82&amp;$AU$82&amp;"P"&amp;$A103)="N/A",0,RTD("tos.rtd",,CG$83,"."&amp;$C$82&amp;$AU$82&amp;"P"&amp;$A103))</f>
        <v>0.93</v>
      </c>
      <c r="CH103" s="3">
        <f>IF(RTD("tos.rtd",,CH$83,"."&amp;$D$82&amp;$AW$82&amp;"C"&amp;$A103)="N/A",0,RTD("tos.rtd",,CH$83,"."&amp;$D$82&amp;$AW$82&amp;"C"&amp;$A103))</f>
        <v>0.46</v>
      </c>
      <c r="CI103" s="3">
        <f>-IF(RTD("tos.rtd",,CI$83,"."&amp;$D$82&amp;$AW$82&amp;"P"&amp;$A103)="N/A",0,RTD("tos.rtd",,CI$83,"."&amp;$D$82&amp;$AW$82&amp;"P"&amp;$A103))</f>
        <v>0.66</v>
      </c>
      <c r="CK103" s="3">
        <f t="shared" si="495"/>
        <v>-8991</v>
      </c>
      <c r="CL103" s="3"/>
      <c r="CM103" s="3">
        <f t="shared" si="496"/>
        <v>-44347</v>
      </c>
      <c r="CN103" s="3"/>
      <c r="CO103" s="3">
        <f t="shared" si="497"/>
        <v>6230</v>
      </c>
      <c r="CP103" s="3">
        <f t="shared" si="462"/>
        <v>-47108</v>
      </c>
      <c r="CQ103" s="3">
        <f t="shared" si="463"/>
        <v>0</v>
      </c>
      <c r="CR103" s="3"/>
      <c r="CS103" s="3">
        <f t="shared" si="464"/>
        <v>0</v>
      </c>
      <c r="CT103" s="3"/>
      <c r="CU103" s="3">
        <f t="shared" si="465"/>
        <v>-1</v>
      </c>
      <c r="CV103" s="3"/>
      <c r="CW103" s="3" t="e">
        <f t="shared" ca="1" si="466"/>
        <v>#NUM!</v>
      </c>
      <c r="CY103" s="3" t="e">
        <f t="shared" ca="1" si="467"/>
        <v>#NUM!</v>
      </c>
      <c r="CZ103" s="70" t="e">
        <f t="shared" ca="1" si="511"/>
        <v>#NUM!</v>
      </c>
      <c r="DA103" s="3">
        <f>IF(RTD("tos.rtd",,DA$83,"."&amp;$B$82&amp;$AS$82&amp;"C"&amp;$A103)="N/A",0,RTD("tos.rtd",,DA$83,"."&amp;$B$82&amp;$AS$82&amp;"C"&amp;$A103))</f>
        <v>0.03</v>
      </c>
      <c r="DB103" s="3">
        <f>IF(RTD("tos.rtd",,DB$83,"."&amp;$B$82&amp;$AS$82&amp;"P"&amp;$A103)="N/A",0,RTD("tos.rtd",,DB$83,"."&amp;$B$82&amp;$AS$82&amp;"P"&amp;$A103))</f>
        <v>25.8</v>
      </c>
      <c r="DC103" s="3">
        <f>IF(RTD("tos.rtd",,DC$83,"."&amp;$B$82&amp;$AS$82&amp;"C"&amp;$A103)="N/A",0,RTD("tos.rtd",,DC$83,"."&amp;$B$82&amp;$AS$82&amp;"C"&amp;$A103))</f>
        <v>0.05</v>
      </c>
      <c r="DD103" s="3">
        <f>IF(RTD("tos.rtd",,DD$83,"."&amp;$B$82&amp;$AS$82&amp;"P"&amp;$A103)="N/A",0,RTD("tos.rtd",,DD$83,"."&amp;$B$82&amp;$AS$82&amp;"P"&amp;$A103))</f>
        <v>27.3</v>
      </c>
      <c r="DE103" s="3">
        <f>IF(RTD("tos.rtd",,DE$83,"."&amp;$B$82&amp;$AS$82&amp;"C"&amp;$A103)="N/A",0,RTD("tos.rtd",,DE$83,"."&amp;$B$82&amp;$AS$82&amp;"C"&amp;$A103))</f>
        <v>0</v>
      </c>
      <c r="DF103" s="3">
        <f>IF(RTD("tos.rtd",,DF$83,"."&amp;$B$82&amp;$AS$82&amp;"P"&amp;$A103)="N/A",0,RTD("tos.rtd",,DF$83,"."&amp;$B$82&amp;$AS$82&amp;"P"&amp;$A103))</f>
        <v>23.5</v>
      </c>
      <c r="DG103" s="86">
        <f t="shared" si="499"/>
        <v>30.090000000000146</v>
      </c>
      <c r="DH103" s="3">
        <f t="shared" si="468"/>
        <v>-17245.8</v>
      </c>
      <c r="DI103" s="3">
        <f t="shared" si="469"/>
        <v>28475.815789473691</v>
      </c>
      <c r="DJ103" s="3">
        <f t="shared" si="470"/>
        <v>-28743</v>
      </c>
      <c r="DK103" s="3">
        <f t="shared" si="471"/>
        <v>47047</v>
      </c>
      <c r="DL103" s="3">
        <f t="shared" si="472"/>
        <v>11230.015789473691</v>
      </c>
      <c r="DM103" s="3">
        <f t="shared" si="473"/>
        <v>18304</v>
      </c>
      <c r="DN103" s="64" t="str">
        <f t="shared" si="474"/>
        <v>UNKNOWN</v>
      </c>
      <c r="DO103" s="64" t="str">
        <f t="shared" si="475"/>
        <v>UNKNOWN</v>
      </c>
      <c r="DP103" s="3">
        <f t="shared" si="476"/>
        <v>734158.67336842127</v>
      </c>
      <c r="DQ103" s="3">
        <f t="shared" si="477"/>
        <v>1212950.31</v>
      </c>
      <c r="DR103" s="3" t="e">
        <f t="shared" ca="1" si="478"/>
        <v>#NUM!</v>
      </c>
      <c r="DS103" s="3">
        <f t="shared" si="479"/>
        <v>46759.57</v>
      </c>
      <c r="DT103" s="3">
        <f t="shared" si="500"/>
        <v>-28743</v>
      </c>
      <c r="DU103" s="3">
        <f t="shared" si="501"/>
        <v>47047</v>
      </c>
      <c r="DV103" s="3">
        <f t="shared" si="502"/>
        <v>-271</v>
      </c>
      <c r="DW103" s="3">
        <f t="shared" si="503"/>
        <v>1140</v>
      </c>
      <c r="DX103" s="3" t="e">
        <f t="shared" ca="1" si="512"/>
        <v>#NUM!</v>
      </c>
      <c r="DY103" s="3" t="e">
        <f t="shared" ca="1" si="480"/>
        <v>#NUM!</v>
      </c>
      <c r="DZ103" s="3" t="e">
        <f t="shared" ca="1" si="504"/>
        <v>#NUM!</v>
      </c>
      <c r="EA103" s="3" t="e">
        <f t="shared" ca="1" si="505"/>
        <v>#NUM!</v>
      </c>
      <c r="EB103" s="3" t="e">
        <f t="shared" ca="1" si="481"/>
        <v>#NUM!</v>
      </c>
      <c r="EC103" s="3" t="e">
        <f t="shared" ca="1" si="482"/>
        <v>#NUM!</v>
      </c>
      <c r="ED103" s="63">
        <f t="shared" si="506"/>
        <v>869</v>
      </c>
      <c r="EE103" s="59">
        <f t="shared" si="483"/>
        <v>0.28139999999999998</v>
      </c>
      <c r="EF103" s="59">
        <f t="shared" si="484"/>
        <v>0.25</v>
      </c>
      <c r="EG103" s="59">
        <f t="shared" si="485"/>
        <v>0.28139999999999998</v>
      </c>
      <c r="EH103" s="59">
        <f t="shared" si="486"/>
        <v>0.46550000000000002</v>
      </c>
      <c r="EI103" s="59">
        <f t="shared" si="487"/>
        <v>0.35649999999999998</v>
      </c>
      <c r="EJ103" s="59">
        <f t="shared" si="488"/>
        <v>9.9000000000000005E-2</v>
      </c>
      <c r="EK103" s="63" t="e">
        <f t="shared" ca="1" si="507"/>
        <v>#NUM!</v>
      </c>
      <c r="EL103" s="3" t="str">
        <f>RTD("tos.rtd",,EL$83,"."&amp;$B$82&amp;$AS$82&amp;"C"&amp;$A103)</f>
        <v>28.14%</v>
      </c>
      <c r="EM103" s="3" t="str">
        <f>RTD("tos.rtd",,EM$83,"."&amp;$B$82&amp;$AS$82&amp;"P"&amp;$A103)</f>
        <v>--</v>
      </c>
      <c r="EN103" s="3" t="str">
        <f>RTD("tos.rtd",,EN$83,"."&amp;$C$82&amp;$AU$82&amp;"C"&amp;$A103)</f>
        <v>28.14%</v>
      </c>
      <c r="EO103" s="3" t="str">
        <f>RTD("tos.rtd",,EO$83,"."&amp;$C$82&amp;$AU$82&amp;"P"&amp;$A103)</f>
        <v>46.55%</v>
      </c>
      <c r="EP103" s="3" t="str">
        <f>RTD("tos.rtd",,EP$83,"."&amp;$D$82&amp;$AW$82&amp;"C"&amp;$A103)</f>
        <v>35.65%</v>
      </c>
      <c r="EQ103" s="3" t="str">
        <f>RTD("tos.rtd",,EQ$83,"."&amp;$D$82&amp;$AW$82&amp;"P"&amp;$A103)</f>
        <v>9.90%</v>
      </c>
      <c r="ES103" s="63" t="str">
        <f t="shared" si="489"/>
        <v>5690,869.00</v>
      </c>
      <c r="ET103" s="63" t="str">
        <f t="shared" ca="1" si="490"/>
        <v>5690,00.00</v>
      </c>
      <c r="EU103" s="67">
        <v>561.54</v>
      </c>
      <c r="EV103" s="67" t="s">
        <v>843</v>
      </c>
      <c r="EW103" s="67">
        <v>483.91</v>
      </c>
      <c r="EX103" s="67" t="s">
        <v>844</v>
      </c>
      <c r="EY103" s="67">
        <v>5631.28</v>
      </c>
      <c r="EZ103" s="67" t="s">
        <v>845</v>
      </c>
      <c r="FA103" s="67">
        <v>19867.973000000002</v>
      </c>
      <c r="FB103" s="67" t="s">
        <v>846</v>
      </c>
      <c r="FC103" s="67" t="s">
        <v>847</v>
      </c>
      <c r="FD103" s="67" t="s">
        <v>848</v>
      </c>
      <c r="FE103" s="68" t="s">
        <v>849</v>
      </c>
      <c r="FF103" s="68" t="s">
        <v>850</v>
      </c>
    </row>
    <row r="104" spans="1:162" s="63" customFormat="1" ht="12" customHeight="1" thickBot="1" x14ac:dyDescent="0.25">
      <c r="A104" s="2">
        <f t="shared" si="508"/>
        <v>5680</v>
      </c>
      <c r="B104" s="3">
        <f t="shared" si="451"/>
        <v>698</v>
      </c>
      <c r="C104" s="3">
        <f t="shared" si="452"/>
        <v>4117</v>
      </c>
      <c r="D104" s="3">
        <f t="shared" si="453"/>
        <v>1319</v>
      </c>
      <c r="E104" s="3">
        <f t="shared" si="519"/>
        <v>6134</v>
      </c>
      <c r="F104" s="4">
        <f t="shared" si="522"/>
        <v>5766.8973534914867</v>
      </c>
      <c r="G104" s="4">
        <f t="shared" si="520"/>
        <v>573.13717002567182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>
        <v>-4780</v>
      </c>
      <c r="AN104" s="20">
        <v>4020</v>
      </c>
      <c r="AO104" s="20">
        <v>5680</v>
      </c>
      <c r="AP104" s="20">
        <v>28565</v>
      </c>
      <c r="AQ104" s="20">
        <v>-52481</v>
      </c>
      <c r="AR104" s="20"/>
      <c r="AS104" s="54">
        <f>IF(RTD("tos.rtd",,AS$83,"."&amp;$B$82&amp;$AS$82&amp;"C"&amp;$A104)="N/A",0,RTD("tos.rtd",,AS$83,"."&amp;$B$82&amp;$AS$82&amp;"C"&amp;$A104))</f>
        <v>605</v>
      </c>
      <c r="AT104" s="3">
        <f>-IF(RTD("tos.rtd",,AT$83,"."&amp;$B$82&amp;$AS$82&amp;"P"&amp;$A104)="N/A",0,RTD("tos.rtd",,AT$83,"."&amp;$B$82&amp;$AS$82&amp;"P"&amp;$A104))</f>
        <v>-93</v>
      </c>
      <c r="AU104" s="54">
        <f>IF(RTD("tos.rtd",,AU$83,"."&amp;$C$82&amp;$AU$82&amp;"C"&amp;$A104)="N/A",0,RTD("tos.rtd",,AU$83,"."&amp;$C$82&amp;$AU$82&amp;"C"&amp;$A104))</f>
        <v>3536</v>
      </c>
      <c r="AV104" s="3">
        <f>-IF(RTD("tos.rtd",,AV$83,"."&amp;$C$82&amp;$AU$82&amp;"P"&amp;$A104)="N/A",0,RTD("tos.rtd",,AV$83,"."&amp;$C$82&amp;$AU$82&amp;"P"&amp;$A104))</f>
        <v>-581</v>
      </c>
      <c r="AW104" s="54">
        <f>IF(RTD("tos.rtd",,AW$83,"."&amp;$D$82&amp;$AW$82&amp;"C"&amp;$A104)="N/A",0,RTD("tos.rtd",,AW$83,"."&amp;$D$82&amp;$AW$82&amp;"C"&amp;$A104))</f>
        <v>564</v>
      </c>
      <c r="AX104" s="3">
        <f>-IF(RTD("tos.rtd",,AX$83,"."&amp;$D$82&amp;$AW$82&amp;"P"&amp;$A104)="N/A",0,RTD("tos.rtd",,AX$83,"."&amp;$D$82&amp;$AW$82&amp;"P"&amp;$A104))</f>
        <v>-755</v>
      </c>
      <c r="AY104" s="79">
        <f t="shared" si="521"/>
        <v>3276</v>
      </c>
      <c r="AZ104" s="8">
        <f t="shared" si="455"/>
        <v>5680</v>
      </c>
      <c r="BA104" s="54">
        <f>IF(RTD("tos.rtd",,BA$83,"."&amp;$B$82&amp;$AS$82&amp;"C"&amp;$A104)="N/A",0,RTD("tos.rtd",,BA$83,"."&amp;$B$82&amp;$AS$82&amp;"C"&amp;$A104))</f>
        <v>0</v>
      </c>
      <c r="BB104" s="3">
        <f>-IF(RTD("tos.rtd",,BB$83,"."&amp;$B$82&amp;$AS$82&amp;"P"&amp;$A104)="N/A",0,RTD("tos.rtd",,BB$83,"."&amp;$B$82&amp;$AS$82&amp;"P"&amp;$A104))</f>
        <v>0</v>
      </c>
      <c r="BC104" s="54">
        <f>IF(RTD("tos.rtd",,BC$83,"."&amp;$C$82&amp;$AU$82&amp;"C"&amp;$A104)="N/A",0,RTD("tos.rtd",,BC$83,"."&amp;$C$82&amp;$AU$82&amp;"C"&amp;$A104))</f>
        <v>0</v>
      </c>
      <c r="BD104" s="3">
        <f>-IF(RTD("tos.rtd",,BD$83,"."&amp;$C$82&amp;$AU$82&amp;"P"&amp;$A104)="N/A",0,RTD("tos.rtd",,BD$83,"."&amp;$C$82&amp;$AU$82&amp;"P"&amp;$A104))</f>
        <v>0</v>
      </c>
      <c r="BE104" s="54">
        <f>IF(RTD("tos.rtd",,BE$83,"."&amp;$D$82&amp;$AW$82&amp;"C"&amp;$A104)="N/A",0,RTD("tos.rtd",,BE$83,"."&amp;$D$82&amp;$AW$82&amp;"C"&amp;$A104))</f>
        <v>0</v>
      </c>
      <c r="BF104" s="3">
        <f>-IF(RTD("tos.rtd",,BF$83,"."&amp;$D$82&amp;$AW$82&amp;"P"&amp;$A104)="N/A",0,RTD("tos.rtd",,BF$83,"."&amp;$D$82&amp;$AW$82&amp;"P"&amp;$A104))</f>
        <v>0</v>
      </c>
      <c r="BG104" s="3">
        <f ca="1">+Hoja2!Y105</f>
        <v>0</v>
      </c>
      <c r="BH104" s="55">
        <f t="shared" ca="1" si="493"/>
        <v>0</v>
      </c>
      <c r="BI104" s="32" t="str">
        <f t="shared" ca="1" si="513"/>
        <v/>
      </c>
      <c r="BJ104" s="3" t="e">
        <f ca="1">IF($BP$1=1,DX104,IF(RTD("tos.rtd",,BJ$83,"."&amp;$B$82&amp;$AS$82&amp;"C"&amp;$A104)="N/A",0,RTD("tos.rtd",,BJ$83,"."&amp;$B$82&amp;$AS$82&amp;"C"&amp;$A104)))</f>
        <v>#NUM!</v>
      </c>
      <c r="BK104" s="3" t="e">
        <f ca="1">IF($BP$1=1,DY104,-IF(RTD("tos.rtd",,BK$83,"."&amp;$B$82&amp;$AS$82&amp;"P"&amp;$A104)="N/A",0,RTD("tos.rtd",,BK$83,"."&amp;$B$82&amp;$AS$82&amp;"P"&amp;$A104)))</f>
        <v>#NUM!</v>
      </c>
      <c r="BL104" s="3" t="e">
        <f ca="1">IF($BP$1=1,DZ104,IF(RTD("tos.rtd",,BL$83,"."&amp;$C$82&amp;$AU$82&amp;"C"&amp;$A104)="N/A",0,RTD("tos.rtd",,BL$83,"."&amp;$C$82&amp;$AU$82&amp;"C"&amp;$A104)))</f>
        <v>#NUM!</v>
      </c>
      <c r="BM104" s="3" t="e">
        <f ca="1">IF($BP$1=1,EA104,-IF(RTD("tos.rtd",,BM$83,"."&amp;$C$82&amp;$AU$82&amp;"P"&amp;$A104)="N/A",0,RTD("tos.rtd",,BM$83,"."&amp;$C$82&amp;$AU$82&amp;"P"&amp;$A104)))</f>
        <v>#NUM!</v>
      </c>
      <c r="BN104" s="3" t="e">
        <f ca="1">IF($BP$1=1,EB104,IF(RTD("tos.rtd",,BN$83,"."&amp;$D$82&amp;$AW$82&amp;"C"&amp;$A104)="N/A",0,RTD("tos.rtd",,BN$83,"."&amp;$D$82&amp;$AW$82&amp;"C"&amp;$A104)))</f>
        <v>#NUM!</v>
      </c>
      <c r="BO104" s="3" t="e">
        <f ca="1">IF($BP$1=1,EC104,-IF(RTD("tos.rtd",,BO$83,"."&amp;$D$82&amp;$AW$82&amp;"P"&amp;$A104)="N/A",0,RTD("tos.rtd",,BO$83,"."&amp;$D$82&amp;$AW$82&amp;"P"&amp;$A104)))</f>
        <v>#NUM!</v>
      </c>
      <c r="BQ104" s="3" t="e">
        <f t="shared" ca="1" si="456"/>
        <v>#NUM!</v>
      </c>
      <c r="BR104" s="3" t="e">
        <f t="shared" ca="1" si="494"/>
        <v>#NUM!</v>
      </c>
      <c r="BS104" s="3" t="e">
        <f t="shared" ca="1" si="457"/>
        <v>#NUM!</v>
      </c>
      <c r="BT104" s="3" t="e">
        <f t="shared" ca="1" si="494"/>
        <v>#NUM!</v>
      </c>
      <c r="BU104" s="3" t="e">
        <f t="shared" ca="1" si="458"/>
        <v>#NUM!</v>
      </c>
      <c r="BV104" s="3" t="e">
        <f t="shared" ca="1" si="494"/>
        <v>#NUM!</v>
      </c>
      <c r="BX104" s="3" t="e">
        <f t="shared" ca="1" si="459"/>
        <v>#NUM!</v>
      </c>
      <c r="BY104" s="3" t="e">
        <f t="shared" ca="1" si="510"/>
        <v>#NUM!</v>
      </c>
      <c r="BZ104" s="3" t="e">
        <f t="shared" ca="1" si="460"/>
        <v>#NUM!</v>
      </c>
      <c r="CA104" s="3" t="e">
        <f t="shared" ca="1" si="510"/>
        <v>#NUM!</v>
      </c>
      <c r="CB104" s="3" t="e">
        <f t="shared" ca="1" si="461"/>
        <v>#NUM!</v>
      </c>
      <c r="CC104" s="3" t="e">
        <f t="shared" ca="1" si="510"/>
        <v>#NUM!</v>
      </c>
      <c r="CD104" s="3">
        <f>IF(RTD("tos.rtd",,CD$83,"."&amp;$B$82&amp;$AS$82&amp;"C"&amp;$A104)="N/A",0,RTD("tos.rtd",,CD$83,"."&amp;$B$82&amp;$AS$82&amp;"C"&amp;$A104))</f>
        <v>0.01</v>
      </c>
      <c r="CE104" s="3">
        <f>-IF(RTD("tos.rtd",,CE$83,"."&amp;$B$82&amp;$AS$82&amp;"P"&amp;$A104)="N/A",0,RTD("tos.rtd",,CE$83,"."&amp;$B$82&amp;$AS$82&amp;"P"&amp;$A104))</f>
        <v>1</v>
      </c>
      <c r="CF104" s="3">
        <f>IF(RTD("tos.rtd",,CF$83,"."&amp;$C$82&amp;$AU$82&amp;"C"&amp;$A104)="N/A",0,RTD("tos.rtd",,CF$83,"."&amp;$C$82&amp;$AU$82&amp;"C"&amp;$A104))</f>
        <v>0.01</v>
      </c>
      <c r="CG104" s="3">
        <f>-IF(RTD("tos.rtd",,CG$83,"."&amp;$C$82&amp;$AU$82&amp;"P"&amp;$A104)="N/A",0,RTD("tos.rtd",,CG$83,"."&amp;$C$82&amp;$AU$82&amp;"P"&amp;$A104))</f>
        <v>1</v>
      </c>
      <c r="CH104" s="3">
        <f>IF(RTD("tos.rtd",,CH$83,"."&amp;$D$82&amp;$AW$82&amp;"C"&amp;$A104)="N/A",0,RTD("tos.rtd",,CH$83,"."&amp;$D$82&amp;$AW$82&amp;"C"&amp;$A104))</f>
        <v>0.48</v>
      </c>
      <c r="CI104" s="3">
        <f>-IF(RTD("tos.rtd",,CI$83,"."&amp;$D$82&amp;$AW$82&amp;"P"&amp;$A104)="N/A",0,RTD("tos.rtd",,CI$83,"."&amp;$D$82&amp;$AW$82&amp;"P"&amp;$A104))</f>
        <v>0.59</v>
      </c>
      <c r="CK104" s="3">
        <f t="shared" si="495"/>
        <v>-8695</v>
      </c>
      <c r="CL104" s="3"/>
      <c r="CM104" s="3">
        <f t="shared" si="496"/>
        <v>-54564</v>
      </c>
      <c r="CN104" s="3"/>
      <c r="CO104" s="3">
        <f t="shared" si="497"/>
        <v>-17473.000000000004</v>
      </c>
      <c r="CP104" s="3">
        <f t="shared" si="462"/>
        <v>-80732</v>
      </c>
      <c r="CQ104" s="3">
        <f t="shared" si="463"/>
        <v>0</v>
      </c>
      <c r="CR104" s="3"/>
      <c r="CS104" s="3">
        <f t="shared" si="464"/>
        <v>0</v>
      </c>
      <c r="CT104" s="3"/>
      <c r="CU104" s="3">
        <f t="shared" si="465"/>
        <v>0</v>
      </c>
      <c r="CV104" s="3"/>
      <c r="CW104" s="3" t="e">
        <f t="shared" ca="1" si="466"/>
        <v>#NUM!</v>
      </c>
      <c r="CY104" s="3" t="e">
        <f t="shared" ca="1" si="467"/>
        <v>#NUM!</v>
      </c>
      <c r="CZ104" s="70" t="e">
        <f t="shared" ca="1" si="511"/>
        <v>#NUM!</v>
      </c>
      <c r="DA104" s="3">
        <f>IF(RTD("tos.rtd",,DA$83,"."&amp;$B$82&amp;$AS$82&amp;"C"&amp;$A104)="N/A",0,RTD("tos.rtd",,DA$83,"."&amp;$B$82&amp;$AS$82&amp;"C"&amp;$A104))</f>
        <v>0.05</v>
      </c>
      <c r="DB104" s="3">
        <f>IF(RTD("tos.rtd",,DB$83,"."&amp;$B$82&amp;$AS$82&amp;"P"&amp;$A104)="N/A",0,RTD("tos.rtd",,DB$83,"."&amp;$B$82&amp;$AS$82&amp;"P"&amp;$A104))</f>
        <v>15.5</v>
      </c>
      <c r="DC104" s="3">
        <f>IF(RTD("tos.rtd",,DC$83,"."&amp;$B$82&amp;$AS$82&amp;"C"&amp;$A104)="N/A",0,RTD("tos.rtd",,DC$83,"."&amp;$B$82&amp;$AS$82&amp;"C"&amp;$A104))</f>
        <v>0.05</v>
      </c>
      <c r="DD104" s="3">
        <f>IF(RTD("tos.rtd",,DD$83,"."&amp;$B$82&amp;$AS$82&amp;"P"&amp;$A104)="N/A",0,RTD("tos.rtd",,DD$83,"."&amp;$B$82&amp;$AS$82&amp;"P"&amp;$A104))</f>
        <v>17.3</v>
      </c>
      <c r="DE104" s="3">
        <f>IF(RTD("tos.rtd",,DE$83,"."&amp;$B$82&amp;$AS$82&amp;"C"&amp;$A104)="N/A",0,RTD("tos.rtd",,DE$83,"."&amp;$B$82&amp;$AS$82&amp;"C"&amp;$A104))</f>
        <v>0</v>
      </c>
      <c r="DF104" s="3">
        <f>IF(RTD("tos.rtd",,DF$83,"."&amp;$B$82&amp;$AS$82&amp;"P"&amp;$A104)="N/A",0,RTD("tos.rtd",,DF$83,"."&amp;$B$82&amp;$AS$82&amp;"P"&amp;$A104))</f>
        <v>16.3</v>
      </c>
      <c r="DG104" s="86">
        <f t="shared" si="499"/>
        <v>20.090000000000146</v>
      </c>
      <c r="DH104" s="3">
        <f t="shared" si="468"/>
        <v>-28565</v>
      </c>
      <c r="DI104" s="3">
        <f t="shared" si="469"/>
        <v>-41984.800000000039</v>
      </c>
      <c r="DJ104" s="3">
        <f t="shared" si="470"/>
        <v>-28565</v>
      </c>
      <c r="DK104" s="3">
        <f t="shared" si="471"/>
        <v>-52481</v>
      </c>
      <c r="DL104" s="3">
        <f t="shared" si="472"/>
        <v>-70549.800000000047</v>
      </c>
      <c r="DM104" s="3">
        <f t="shared" si="473"/>
        <v>-81046</v>
      </c>
      <c r="DN104" s="64" t="str">
        <f t="shared" si="474"/>
        <v>UNKNOWN</v>
      </c>
      <c r="DO104" s="64" t="str">
        <f t="shared" si="475"/>
        <v>UNKNOWN</v>
      </c>
      <c r="DP104" s="3">
        <f t="shared" si="476"/>
        <v>-652192.65000000061</v>
      </c>
      <c r="DQ104" s="3">
        <f t="shared" si="477"/>
        <v>-814883.75</v>
      </c>
      <c r="DR104" s="3" t="e">
        <f t="shared" ca="1" si="478"/>
        <v>#NUM!</v>
      </c>
      <c r="DS104" s="3">
        <f t="shared" si="479"/>
        <v>-52766.65</v>
      </c>
      <c r="DT104" s="3">
        <f t="shared" si="500"/>
        <v>-28565</v>
      </c>
      <c r="DU104" s="3">
        <f t="shared" si="501"/>
        <v>52481</v>
      </c>
      <c r="DV104" s="3">
        <f t="shared" si="502"/>
        <v>-4780</v>
      </c>
      <c r="DW104" s="3">
        <f t="shared" si="503"/>
        <v>4020</v>
      </c>
      <c r="DX104" s="3" t="e">
        <f t="shared" ca="1" si="512"/>
        <v>#NUM!</v>
      </c>
      <c r="DY104" s="3" t="e">
        <f t="shared" ca="1" si="480"/>
        <v>#NUM!</v>
      </c>
      <c r="DZ104" s="3" t="e">
        <f t="shared" ca="1" si="504"/>
        <v>#NUM!</v>
      </c>
      <c r="EA104" s="3" t="e">
        <f t="shared" ca="1" si="505"/>
        <v>#NUM!</v>
      </c>
      <c r="EB104" s="3" t="e">
        <f t="shared" ca="1" si="481"/>
        <v>#NUM!</v>
      </c>
      <c r="EC104" s="3" t="e">
        <f t="shared" ca="1" si="482"/>
        <v>#NUM!</v>
      </c>
      <c r="ED104" s="63">
        <f t="shared" si="506"/>
        <v>-760</v>
      </c>
      <c r="EE104" s="59">
        <f t="shared" si="483"/>
        <v>0.19789999999999999</v>
      </c>
      <c r="EF104" s="59">
        <f t="shared" si="484"/>
        <v>0.25</v>
      </c>
      <c r="EG104" s="59">
        <f t="shared" si="485"/>
        <v>0.19789999999999999</v>
      </c>
      <c r="EH104" s="59">
        <f t="shared" si="486"/>
        <v>0.25</v>
      </c>
      <c r="EI104" s="59">
        <f t="shared" si="487"/>
        <v>0.36430000000000001</v>
      </c>
      <c r="EJ104" s="59">
        <f t="shared" si="488"/>
        <v>0.11020000000000001</v>
      </c>
      <c r="EK104" s="63" t="e">
        <f t="shared" ca="1" si="507"/>
        <v>#NUM!</v>
      </c>
      <c r="EL104" s="3" t="str">
        <f>RTD("tos.rtd",,EL$83,"."&amp;$B$82&amp;$AS$82&amp;"C"&amp;$A104)</f>
        <v>19.79%</v>
      </c>
      <c r="EM104" s="3" t="str">
        <f>RTD("tos.rtd",,EM$83,"."&amp;$B$82&amp;$AS$82&amp;"P"&amp;$A104)</f>
        <v>--</v>
      </c>
      <c r="EN104" s="3" t="str">
        <f>RTD("tos.rtd",,EN$83,"."&amp;$C$82&amp;$AU$82&amp;"C"&amp;$A104)</f>
        <v>19.79%</v>
      </c>
      <c r="EO104" s="3" t="str">
        <f>RTD("tos.rtd",,EO$83,"."&amp;$C$82&amp;$AU$82&amp;"P"&amp;$A104)</f>
        <v>--</v>
      </c>
      <c r="EP104" s="3" t="str">
        <f>RTD("tos.rtd",,EP$83,"."&amp;$D$82&amp;$AW$82&amp;"C"&amp;$A104)</f>
        <v>36.43%</v>
      </c>
      <c r="EQ104" s="3" t="str">
        <f>RTD("tos.rtd",,EQ$83,"."&amp;$D$82&amp;$AW$82&amp;"P"&amp;$A104)</f>
        <v>11.02%</v>
      </c>
      <c r="ES104" s="63" t="str">
        <f t="shared" si="489"/>
        <v>5680,-760.00</v>
      </c>
      <c r="ET104" s="63" t="str">
        <f t="shared" ca="1" si="490"/>
        <v>5680,00.00</v>
      </c>
      <c r="EU104" s="67">
        <v>561.5</v>
      </c>
      <c r="EV104" s="67" t="s">
        <v>851</v>
      </c>
      <c r="EW104" s="67">
        <v>483.81</v>
      </c>
      <c r="EX104" s="67" t="s">
        <v>852</v>
      </c>
      <c r="EY104" s="67">
        <v>5631.28</v>
      </c>
      <c r="EZ104" s="67" t="s">
        <v>853</v>
      </c>
      <c r="FA104" s="67">
        <v>19867.973000000002</v>
      </c>
      <c r="FB104" s="67" t="s">
        <v>854</v>
      </c>
      <c r="FC104" s="67" t="s">
        <v>855</v>
      </c>
      <c r="FD104" s="67" t="s">
        <v>856</v>
      </c>
      <c r="FE104" s="68" t="s">
        <v>857</v>
      </c>
      <c r="FF104" s="68" t="s">
        <v>858</v>
      </c>
    </row>
    <row r="105" spans="1:162" s="63" customFormat="1" ht="12" customHeight="1" thickBot="1" x14ac:dyDescent="0.25">
      <c r="A105" s="2">
        <f t="shared" si="508"/>
        <v>5670</v>
      </c>
      <c r="B105" s="3">
        <f t="shared" si="451"/>
        <v>1009</v>
      </c>
      <c r="C105" s="3">
        <f t="shared" si="452"/>
        <v>1762</v>
      </c>
      <c r="D105" s="3">
        <f t="shared" si="453"/>
        <v>682</v>
      </c>
      <c r="E105" s="3">
        <f t="shared" si="519"/>
        <v>3453</v>
      </c>
      <c r="F105" s="4">
        <f t="shared" si="522"/>
        <v>5756.7443651930862</v>
      </c>
      <c r="G105" s="4">
        <f t="shared" si="520"/>
        <v>572.12812571224629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>
        <v>-6162</v>
      </c>
      <c r="AN105" s="20">
        <v>1682</v>
      </c>
      <c r="AO105" s="20">
        <v>5670</v>
      </c>
      <c r="AP105" s="20">
        <v>29259</v>
      </c>
      <c r="AQ105" s="20">
        <v>-45855</v>
      </c>
      <c r="AR105" s="20"/>
      <c r="AS105" s="54">
        <f>IF(RTD("tos.rtd",,AS$83,"."&amp;$B$82&amp;$AS$82&amp;"C"&amp;$A105)="N/A",0,RTD("tos.rtd",,AS$83,"."&amp;$B$82&amp;$AS$82&amp;"C"&amp;$A105))</f>
        <v>599</v>
      </c>
      <c r="AT105" s="3">
        <f>-IF(RTD("tos.rtd",,AT$83,"."&amp;$B$82&amp;$AS$82&amp;"P"&amp;$A105)="N/A",0,RTD("tos.rtd",,AT$83,"."&amp;$B$82&amp;$AS$82&amp;"P"&amp;$A105))</f>
        <v>-410</v>
      </c>
      <c r="AU105" s="54">
        <f>IF(RTD("tos.rtd",,AU$83,"."&amp;$C$82&amp;$AU$82&amp;"C"&amp;$A105)="N/A",0,RTD("tos.rtd",,AU$83,"."&amp;$C$82&amp;$AU$82&amp;"C"&amp;$A105))</f>
        <v>897</v>
      </c>
      <c r="AV105" s="3">
        <f>-IF(RTD("tos.rtd",,AV$83,"."&amp;$C$82&amp;$AU$82&amp;"P"&amp;$A105)="N/A",0,RTD("tos.rtd",,AV$83,"."&amp;$C$82&amp;$AU$82&amp;"P"&amp;$A105))</f>
        <v>-865</v>
      </c>
      <c r="AW105" s="54">
        <f>IF(RTD("tos.rtd",,AW$83,"."&amp;$D$82&amp;$AW$82&amp;"C"&amp;$A105)="N/A",0,RTD("tos.rtd",,AW$83,"."&amp;$D$82&amp;$AW$82&amp;"C"&amp;$A105))</f>
        <v>150</v>
      </c>
      <c r="AX105" s="3">
        <f>-IF(RTD("tos.rtd",,AX$83,"."&amp;$D$82&amp;$AW$82&amp;"P"&amp;$A105)="N/A",0,RTD("tos.rtd",,AX$83,"."&amp;$D$82&amp;$AW$82&amp;"P"&amp;$A105))</f>
        <v>-532</v>
      </c>
      <c r="AY105" s="79">
        <f t="shared" si="521"/>
        <v>-161</v>
      </c>
      <c r="AZ105" s="8">
        <f t="shared" si="455"/>
        <v>5670</v>
      </c>
      <c r="BA105" s="54">
        <f>IF(RTD("tos.rtd",,BA$83,"."&amp;$B$82&amp;$AS$82&amp;"C"&amp;$A105)="N/A",0,RTD("tos.rtd",,BA$83,"."&amp;$B$82&amp;$AS$82&amp;"C"&amp;$A105))</f>
        <v>0</v>
      </c>
      <c r="BB105" s="3">
        <f>-IF(RTD("tos.rtd",,BB$83,"."&amp;$B$82&amp;$AS$82&amp;"P"&amp;$A105)="N/A",0,RTD("tos.rtd",,BB$83,"."&amp;$B$82&amp;$AS$82&amp;"P"&amp;$A105))</f>
        <v>0</v>
      </c>
      <c r="BC105" s="54">
        <f>IF(RTD("tos.rtd",,BC$83,"."&amp;$C$82&amp;$AU$82&amp;"C"&amp;$A105)="N/A",0,RTD("tos.rtd",,BC$83,"."&amp;$C$82&amp;$AU$82&amp;"C"&amp;$A105))</f>
        <v>0</v>
      </c>
      <c r="BD105" s="3">
        <f>-IF(RTD("tos.rtd",,BD$83,"."&amp;$C$82&amp;$AU$82&amp;"P"&amp;$A105)="N/A",0,RTD("tos.rtd",,BD$83,"."&amp;$C$82&amp;$AU$82&amp;"P"&amp;$A105))</f>
        <v>0</v>
      </c>
      <c r="BE105" s="54">
        <f>IF(RTD("tos.rtd",,BE$83,"."&amp;$D$82&amp;$AW$82&amp;"C"&amp;$A105)="N/A",0,RTD("tos.rtd",,BE$83,"."&amp;$D$82&amp;$AW$82&amp;"C"&amp;$A105))</f>
        <v>0</v>
      </c>
      <c r="BF105" s="3">
        <f>-IF(RTD("tos.rtd",,BF$83,"."&amp;$D$82&amp;$AW$82&amp;"P"&amp;$A105)="N/A",0,RTD("tos.rtd",,BF$83,"."&amp;$D$82&amp;$AW$82&amp;"P"&amp;$A105))</f>
        <v>0</v>
      </c>
      <c r="BG105" s="3">
        <f ca="1">+Hoja2!Y106</f>
        <v>0</v>
      </c>
      <c r="BH105" s="55">
        <f t="shared" ca="1" si="493"/>
        <v>0</v>
      </c>
      <c r="BI105" s="32" t="str">
        <f t="shared" ca="1" si="513"/>
        <v/>
      </c>
      <c r="BJ105" s="3" t="e">
        <f ca="1">IF($BP$1=1,DX105,IF(RTD("tos.rtd",,BJ$83,"."&amp;$B$82&amp;$AS$82&amp;"C"&amp;$A105)="N/A",0,RTD("tos.rtd",,BJ$83,"."&amp;$B$82&amp;$AS$82&amp;"C"&amp;$A105)))</f>
        <v>#NUM!</v>
      </c>
      <c r="BK105" s="3" t="e">
        <f ca="1">IF($BP$1=1,DY105,-IF(RTD("tos.rtd",,BK$83,"."&amp;$B$82&amp;$AS$82&amp;"P"&amp;$A105)="N/A",0,RTD("tos.rtd",,BK$83,"."&amp;$B$82&amp;$AS$82&amp;"P"&amp;$A105)))</f>
        <v>#NUM!</v>
      </c>
      <c r="BL105" s="3" t="e">
        <f ca="1">IF($BP$1=1,DZ105,IF(RTD("tos.rtd",,BL$83,"."&amp;$C$82&amp;$AU$82&amp;"C"&amp;$A105)="N/A",0,RTD("tos.rtd",,BL$83,"."&amp;$C$82&amp;$AU$82&amp;"C"&amp;$A105)))</f>
        <v>#NUM!</v>
      </c>
      <c r="BM105" s="3" t="e">
        <f ca="1">IF($BP$1=1,EA105,-IF(RTD("tos.rtd",,BM$83,"."&amp;$C$82&amp;$AU$82&amp;"P"&amp;$A105)="N/A",0,RTD("tos.rtd",,BM$83,"."&amp;$C$82&amp;$AU$82&amp;"P"&amp;$A105)))</f>
        <v>#NUM!</v>
      </c>
      <c r="BN105" s="3" t="e">
        <f ca="1">IF($BP$1=1,EB105,IF(RTD("tos.rtd",,BN$83,"."&amp;$D$82&amp;$AW$82&amp;"C"&amp;$A105)="N/A",0,RTD("tos.rtd",,BN$83,"."&amp;$D$82&amp;$AW$82&amp;"C"&amp;$A105)))</f>
        <v>#NUM!</v>
      </c>
      <c r="BO105" s="3" t="e">
        <f ca="1">IF($BP$1=1,EC105,-IF(RTD("tos.rtd",,BO$83,"."&amp;$D$82&amp;$AW$82&amp;"P"&amp;$A105)="N/A",0,RTD("tos.rtd",,BO$83,"."&amp;$D$82&amp;$AW$82&amp;"P"&amp;$A105)))</f>
        <v>#NUM!</v>
      </c>
      <c r="BQ105" s="3" t="e">
        <f t="shared" ca="1" si="456"/>
        <v>#NUM!</v>
      </c>
      <c r="BR105" s="3" t="e">
        <f t="shared" ca="1" si="494"/>
        <v>#NUM!</v>
      </c>
      <c r="BS105" s="3" t="e">
        <f t="shared" ca="1" si="457"/>
        <v>#NUM!</v>
      </c>
      <c r="BT105" s="3" t="e">
        <f t="shared" ca="1" si="494"/>
        <v>#NUM!</v>
      </c>
      <c r="BU105" s="3" t="e">
        <f t="shared" ca="1" si="458"/>
        <v>#NUM!</v>
      </c>
      <c r="BV105" s="3" t="e">
        <f t="shared" ca="1" si="494"/>
        <v>#NUM!</v>
      </c>
      <c r="BX105" s="3" t="e">
        <f t="shared" ca="1" si="459"/>
        <v>#NUM!</v>
      </c>
      <c r="BY105" s="3" t="e">
        <f t="shared" ca="1" si="510"/>
        <v>#NUM!</v>
      </c>
      <c r="BZ105" s="3" t="e">
        <f t="shared" ca="1" si="460"/>
        <v>#NUM!</v>
      </c>
      <c r="CA105" s="3" t="e">
        <f t="shared" ca="1" si="510"/>
        <v>#NUM!</v>
      </c>
      <c r="CB105" s="3" t="e">
        <f t="shared" ca="1" si="461"/>
        <v>#NUM!</v>
      </c>
      <c r="CC105" s="3" t="e">
        <f t="shared" ca="1" si="510"/>
        <v>#NUM!</v>
      </c>
      <c r="CD105" s="3">
        <f>IF(RTD("tos.rtd",,CD$83,"."&amp;$B$82&amp;$AS$82&amp;"C"&amp;$A105)="N/A",0,RTD("tos.rtd",,CD$83,"."&amp;$B$82&amp;$AS$82&amp;"C"&amp;$A105))</f>
        <v>0.01</v>
      </c>
      <c r="CE105" s="3">
        <f>-IF(RTD("tos.rtd",,CE$83,"."&amp;$B$82&amp;$AS$82&amp;"P"&amp;$A105)="N/A",0,RTD("tos.rtd",,CE$83,"."&amp;$B$82&amp;$AS$82&amp;"P"&amp;$A105))</f>
        <v>1</v>
      </c>
      <c r="CF105" s="3">
        <f>IF(RTD("tos.rtd",,CF$83,"."&amp;$C$82&amp;$AU$82&amp;"C"&amp;$A105)="N/A",0,RTD("tos.rtd",,CF$83,"."&amp;$C$82&amp;$AU$82&amp;"C"&amp;$A105))</f>
        <v>0.01</v>
      </c>
      <c r="CG105" s="3">
        <f>-IF(RTD("tos.rtd",,CG$83,"."&amp;$C$82&amp;$AU$82&amp;"P"&amp;$A105)="N/A",0,RTD("tos.rtd",,CG$83,"."&amp;$C$82&amp;$AU$82&amp;"P"&amp;$A105))</f>
        <v>0.86</v>
      </c>
      <c r="CH105" s="3">
        <f>IF(RTD("tos.rtd",,CH$83,"."&amp;$D$82&amp;$AW$82&amp;"C"&amp;$A105)="N/A",0,RTD("tos.rtd",,CH$83,"."&amp;$D$82&amp;$AW$82&amp;"C"&amp;$A105))</f>
        <v>0.5</v>
      </c>
      <c r="CI105" s="3">
        <f>-IF(RTD("tos.rtd",,CI$83,"."&amp;$D$82&amp;$AW$82&amp;"P"&amp;$A105)="N/A",0,RTD("tos.rtd",,CI$83,"."&amp;$D$82&amp;$AW$82&amp;"P"&amp;$A105))</f>
        <v>0.53</v>
      </c>
      <c r="CK105" s="3">
        <f t="shared" si="495"/>
        <v>-40401</v>
      </c>
      <c r="CL105" s="3"/>
      <c r="CM105" s="3">
        <f t="shared" si="496"/>
        <v>-73493</v>
      </c>
      <c r="CN105" s="3"/>
      <c r="CO105" s="3">
        <f t="shared" si="497"/>
        <v>-20696.000000000004</v>
      </c>
      <c r="CP105" s="3">
        <f t="shared" si="462"/>
        <v>-134590</v>
      </c>
      <c r="CQ105" s="3">
        <f t="shared" si="463"/>
        <v>0</v>
      </c>
      <c r="CR105" s="3"/>
      <c r="CS105" s="3">
        <f t="shared" si="464"/>
        <v>0</v>
      </c>
      <c r="CT105" s="3"/>
      <c r="CU105" s="3">
        <f t="shared" si="465"/>
        <v>0</v>
      </c>
      <c r="CV105" s="3"/>
      <c r="CW105" s="3" t="e">
        <f t="shared" ca="1" si="466"/>
        <v>#NUM!</v>
      </c>
      <c r="CY105" s="3" t="e">
        <f t="shared" ca="1" si="467"/>
        <v>#NUM!</v>
      </c>
      <c r="CZ105" s="70" t="e">
        <f t="shared" ca="1" si="511"/>
        <v>#NUM!</v>
      </c>
      <c r="DA105" s="3">
        <f>IF(RTD("tos.rtd",,DA$83,"."&amp;$B$82&amp;$AS$82&amp;"C"&amp;$A105)="N/A",0,RTD("tos.rtd",,DA$83,"."&amp;$B$82&amp;$AS$82&amp;"C"&amp;$A105))</f>
        <v>0.05</v>
      </c>
      <c r="DB105" s="3">
        <f>IF(RTD("tos.rtd",,DB$83,"."&amp;$B$82&amp;$AS$82&amp;"P"&amp;$A105)="N/A",0,RTD("tos.rtd",,DB$83,"."&amp;$B$82&amp;$AS$82&amp;"P"&amp;$A105))</f>
        <v>5.5</v>
      </c>
      <c r="DC105" s="3">
        <f>IF(RTD("tos.rtd",,DC$83,"."&amp;$B$82&amp;$AS$82&amp;"C"&amp;$A105)="N/A",0,RTD("tos.rtd",,DC$83,"."&amp;$B$82&amp;$AS$82&amp;"C"&amp;$A105))</f>
        <v>0.05</v>
      </c>
      <c r="DD105" s="3">
        <f>IF(RTD("tos.rtd",,DD$83,"."&amp;$B$82&amp;$AS$82&amp;"P"&amp;$A105)="N/A",0,RTD("tos.rtd",,DD$83,"."&amp;$B$82&amp;$AS$82&amp;"P"&amp;$A105))</f>
        <v>7.2</v>
      </c>
      <c r="DE105" s="3">
        <f>IF(RTD("tos.rtd",,DE$83,"."&amp;$B$82&amp;$AS$82&amp;"C"&amp;$A105)="N/A",0,RTD("tos.rtd",,DE$83,"."&amp;$B$82&amp;$AS$82&amp;"C"&amp;$A105))</f>
        <v>0</v>
      </c>
      <c r="DF105" s="3">
        <f>IF(RTD("tos.rtd",,DF$83,"."&amp;$B$82&amp;$AS$82&amp;"P"&amp;$A105)="N/A",0,RTD("tos.rtd",,DF$83,"."&amp;$B$82&amp;$AS$82&amp;"P"&amp;$A105))</f>
        <v>5</v>
      </c>
      <c r="DG105" s="86">
        <f t="shared" si="499"/>
        <v>10.090000000000146</v>
      </c>
      <c r="DH105" s="3">
        <f t="shared" si="468"/>
        <v>-29259</v>
      </c>
      <c r="DI105" s="3">
        <f t="shared" si="469"/>
        <v>10421.590909090908</v>
      </c>
      <c r="DJ105" s="3">
        <f t="shared" si="470"/>
        <v>-29259</v>
      </c>
      <c r="DK105" s="3">
        <f t="shared" si="471"/>
        <v>-45855</v>
      </c>
      <c r="DL105" s="3">
        <f t="shared" si="472"/>
        <v>-18837.409090909092</v>
      </c>
      <c r="DM105" s="3">
        <f t="shared" si="473"/>
        <v>-75114</v>
      </c>
      <c r="DN105" s="64" t="str">
        <f t="shared" si="474"/>
        <v>UNKNOWN</v>
      </c>
      <c r="DO105" s="64" t="str">
        <f t="shared" si="475"/>
        <v>UNKNOWN</v>
      </c>
      <c r="DP105" s="3">
        <f t="shared" si="476"/>
        <v>55855.799999999996</v>
      </c>
      <c r="DQ105" s="3">
        <f t="shared" si="477"/>
        <v>-253665.45</v>
      </c>
      <c r="DR105" s="3" t="e">
        <f t="shared" ca="1" si="478"/>
        <v>#NUM!</v>
      </c>
      <c r="DS105" s="3">
        <f t="shared" si="479"/>
        <v>-46147.59</v>
      </c>
      <c r="DT105" s="3">
        <f t="shared" si="500"/>
        <v>-29259</v>
      </c>
      <c r="DU105" s="3">
        <f t="shared" si="501"/>
        <v>45855</v>
      </c>
      <c r="DV105" s="3">
        <f t="shared" si="502"/>
        <v>-6162</v>
      </c>
      <c r="DW105" s="3">
        <f t="shared" si="503"/>
        <v>1682</v>
      </c>
      <c r="DX105" s="3" t="e">
        <f t="shared" ca="1" si="512"/>
        <v>#NUM!</v>
      </c>
      <c r="DY105" s="3" t="e">
        <f t="shared" ca="1" si="480"/>
        <v>#NUM!</v>
      </c>
      <c r="DZ105" s="3" t="e">
        <f t="shared" ca="1" si="504"/>
        <v>#NUM!</v>
      </c>
      <c r="EA105" s="3" t="e">
        <f t="shared" ca="1" si="505"/>
        <v>#NUM!</v>
      </c>
      <c r="EB105" s="3" t="e">
        <f t="shared" ca="1" si="481"/>
        <v>#NUM!</v>
      </c>
      <c r="EC105" s="3" t="e">
        <f t="shared" ca="1" si="482"/>
        <v>#NUM!</v>
      </c>
      <c r="ED105" s="63">
        <f t="shared" si="506"/>
        <v>-4480</v>
      </c>
      <c r="EE105" s="59">
        <f t="shared" si="483"/>
        <v>0.1085</v>
      </c>
      <c r="EF105" s="59">
        <f t="shared" si="484"/>
        <v>0.25</v>
      </c>
      <c r="EG105" s="59">
        <f t="shared" si="485"/>
        <v>0.1085</v>
      </c>
      <c r="EH105" s="59">
        <f t="shared" si="486"/>
        <v>0.2137</v>
      </c>
      <c r="EI105" s="59">
        <f t="shared" si="487"/>
        <v>0.37190000000000001</v>
      </c>
      <c r="EJ105" s="59">
        <f t="shared" si="488"/>
        <v>0.11940000000000001</v>
      </c>
      <c r="EK105" s="63" t="e">
        <f t="shared" ca="1" si="507"/>
        <v>#NUM!</v>
      </c>
      <c r="EL105" s="3" t="str">
        <f>RTD("tos.rtd",,EL$83,"."&amp;$B$82&amp;$AS$82&amp;"C"&amp;$A105)</f>
        <v>10.85%</v>
      </c>
      <c r="EM105" s="3" t="str">
        <f>RTD("tos.rtd",,EM$83,"."&amp;$B$82&amp;$AS$82&amp;"P"&amp;$A105)</f>
        <v>--</v>
      </c>
      <c r="EN105" s="3" t="str">
        <f>RTD("tos.rtd",,EN$83,"."&amp;$C$82&amp;$AU$82&amp;"C"&amp;$A105)</f>
        <v>10.85%</v>
      </c>
      <c r="EO105" s="3" t="str">
        <f>RTD("tos.rtd",,EO$83,"."&amp;$C$82&amp;$AU$82&amp;"P"&amp;$A105)</f>
        <v>21.37%</v>
      </c>
      <c r="EP105" s="3" t="str">
        <f>RTD("tos.rtd",,EP$83,"."&amp;$D$82&amp;$AW$82&amp;"C"&amp;$A105)</f>
        <v>37.19%</v>
      </c>
      <c r="EQ105" s="3" t="str">
        <f>RTD("tos.rtd",,EQ$83,"."&amp;$D$82&amp;$AW$82&amp;"P"&amp;$A105)</f>
        <v>11.94%</v>
      </c>
      <c r="ES105" s="63" t="str">
        <f t="shared" si="489"/>
        <v>5670,-4480.00</v>
      </c>
      <c r="ET105" s="63" t="str">
        <f t="shared" ca="1" si="490"/>
        <v>5670,00.00</v>
      </c>
      <c r="EU105" s="67">
        <v>561.32000000000005</v>
      </c>
      <c r="EV105" s="67" t="s">
        <v>859</v>
      </c>
      <c r="EW105" s="67">
        <v>483.69</v>
      </c>
      <c r="EX105" s="67" t="s">
        <v>860</v>
      </c>
      <c r="EY105" s="67">
        <v>5631.28</v>
      </c>
      <c r="EZ105" s="67" t="s">
        <v>861</v>
      </c>
      <c r="FA105" s="67">
        <v>19867.973000000002</v>
      </c>
      <c r="FB105" s="67" t="s">
        <v>862</v>
      </c>
      <c r="FC105" s="67" t="s">
        <v>863</v>
      </c>
      <c r="FD105" s="67" t="s">
        <v>864</v>
      </c>
      <c r="FE105" s="68" t="s">
        <v>865</v>
      </c>
      <c r="FF105" s="68" t="s">
        <v>866</v>
      </c>
    </row>
    <row r="106" spans="1:162" s="63" customFormat="1" ht="12" customHeight="1" thickBot="1" x14ac:dyDescent="0.25">
      <c r="A106" s="2">
        <f t="shared" si="508"/>
        <v>5660</v>
      </c>
      <c r="B106" s="3">
        <f t="shared" si="451"/>
        <v>897</v>
      </c>
      <c r="C106" s="3">
        <f t="shared" si="452"/>
        <v>2831</v>
      </c>
      <c r="D106" s="3">
        <f t="shared" si="453"/>
        <v>841</v>
      </c>
      <c r="E106" s="3">
        <f t="shared" si="519"/>
        <v>4569</v>
      </c>
      <c r="F106" s="4">
        <f t="shared" si="522"/>
        <v>5746.5913768946857</v>
      </c>
      <c r="G106" s="4">
        <f t="shared" si="520"/>
        <v>571.11908139882087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>
        <v>2025</v>
      </c>
      <c r="AN106" s="20">
        <v>-831</v>
      </c>
      <c r="AO106" s="20">
        <v>5660</v>
      </c>
      <c r="AP106" s="20">
        <v>18428</v>
      </c>
      <c r="AQ106" s="20">
        <v>-44598</v>
      </c>
      <c r="AR106" s="20"/>
      <c r="AS106" s="54">
        <f>IF(RTD("tos.rtd",,AS$83,"."&amp;$B$82&amp;$AS$82&amp;"C"&amp;$A106)="N/A",0,RTD("tos.rtd",,AS$83,"."&amp;$B$82&amp;$AS$82&amp;"C"&amp;$A106))</f>
        <v>715</v>
      </c>
      <c r="AT106" s="3">
        <f>-IF(RTD("tos.rtd",,AT$83,"."&amp;$B$82&amp;$AS$82&amp;"P"&amp;$A106)="N/A",0,RTD("tos.rtd",,AT$83,"."&amp;$B$82&amp;$AS$82&amp;"P"&amp;$A106))</f>
        <v>-182</v>
      </c>
      <c r="AU106" s="54">
        <f>IF(RTD("tos.rtd",,AU$83,"."&amp;$C$82&amp;$AU$82&amp;"C"&amp;$A106)="N/A",0,RTD("tos.rtd",,AU$83,"."&amp;$C$82&amp;$AU$82&amp;"C"&amp;$A106))</f>
        <v>1391</v>
      </c>
      <c r="AV106" s="3">
        <f>-IF(RTD("tos.rtd",,AV$83,"."&amp;$C$82&amp;$AU$82&amp;"P"&amp;$A106)="N/A",0,RTD("tos.rtd",,AV$83,"."&amp;$C$82&amp;$AU$82&amp;"P"&amp;$A106))</f>
        <v>-1440</v>
      </c>
      <c r="AW106" s="54">
        <f>IF(RTD("tos.rtd",,AW$83,"."&amp;$D$82&amp;$AW$82&amp;"C"&amp;$A106)="N/A",0,RTD("tos.rtd",,AW$83,"."&amp;$D$82&amp;$AW$82&amp;"C"&amp;$A106))</f>
        <v>475</v>
      </c>
      <c r="AX106" s="3">
        <f>-IF(RTD("tos.rtd",,AX$83,"."&amp;$D$82&amp;$AW$82&amp;"P"&amp;$A106)="N/A",0,RTD("tos.rtd",,AX$83,"."&amp;$D$82&amp;$AW$82&amp;"P"&amp;$A106))</f>
        <v>-366</v>
      </c>
      <c r="AY106" s="79">
        <f t="shared" si="521"/>
        <v>593</v>
      </c>
      <c r="AZ106" s="8">
        <f t="shared" si="455"/>
        <v>5660</v>
      </c>
      <c r="BA106" s="54">
        <f>IF(RTD("tos.rtd",,BA$83,"."&amp;$B$82&amp;$AS$82&amp;"C"&amp;$A106)="N/A",0,RTD("tos.rtd",,BA$83,"."&amp;$B$82&amp;$AS$82&amp;"C"&amp;$A106))</f>
        <v>0</v>
      </c>
      <c r="BB106" s="3">
        <f>-IF(RTD("tos.rtd",,BB$83,"."&amp;$B$82&amp;$AS$82&amp;"P"&amp;$A106)="N/A",0,RTD("tos.rtd",,BB$83,"."&amp;$B$82&amp;$AS$82&amp;"P"&amp;$A106))</f>
        <v>0</v>
      </c>
      <c r="BC106" s="54">
        <f>IF(RTD("tos.rtd",,BC$83,"."&amp;$C$82&amp;$AU$82&amp;"C"&amp;$A106)="N/A",0,RTD("tos.rtd",,BC$83,"."&amp;$C$82&amp;$AU$82&amp;"C"&amp;$A106))</f>
        <v>0</v>
      </c>
      <c r="BD106" s="3">
        <f>-IF(RTD("tos.rtd",,BD$83,"."&amp;$C$82&amp;$AU$82&amp;"P"&amp;$A106)="N/A",0,RTD("tos.rtd",,BD$83,"."&amp;$C$82&amp;$AU$82&amp;"P"&amp;$A106))</f>
        <v>0</v>
      </c>
      <c r="BE106" s="54">
        <f>IF(RTD("tos.rtd",,BE$83,"."&amp;$D$82&amp;$AW$82&amp;"C"&amp;$A106)="N/A",0,RTD("tos.rtd",,BE$83,"."&amp;$D$82&amp;$AW$82&amp;"C"&amp;$A106))</f>
        <v>0</v>
      </c>
      <c r="BF106" s="3">
        <f>-IF(RTD("tos.rtd",,BF$83,"."&amp;$D$82&amp;$AW$82&amp;"P"&amp;$A106)="N/A",0,RTD("tos.rtd",,BF$83,"."&amp;$D$82&amp;$AW$82&amp;"P"&amp;$A106))</f>
        <v>0</v>
      </c>
      <c r="BG106" s="3">
        <f ca="1">+Hoja2!Y107</f>
        <v>0</v>
      </c>
      <c r="BH106" s="55">
        <f t="shared" ca="1" si="493"/>
        <v>0</v>
      </c>
      <c r="BI106" s="32" t="str">
        <f t="shared" ca="1" si="513"/>
        <v/>
      </c>
      <c r="BJ106" s="3" t="e">
        <f ca="1">IF($BP$1=1,DX106,IF(RTD("tos.rtd",,BJ$83,"."&amp;$B$82&amp;$AS$82&amp;"C"&amp;$A106)="N/A",0,RTD("tos.rtd",,BJ$83,"."&amp;$B$82&amp;$AS$82&amp;"C"&amp;$A106)))</f>
        <v>#NUM!</v>
      </c>
      <c r="BK106" s="3" t="e">
        <f ca="1">IF($BP$1=1,DY106,-IF(RTD("tos.rtd",,BK$83,"."&amp;$B$82&amp;$AS$82&amp;"P"&amp;$A106)="N/A",0,RTD("tos.rtd",,BK$83,"."&amp;$B$82&amp;$AS$82&amp;"P"&amp;$A106)))</f>
        <v>#NUM!</v>
      </c>
      <c r="BL106" s="3" t="e">
        <f ca="1">IF($BP$1=1,DZ106,IF(RTD("tos.rtd",,BL$83,"."&amp;$C$82&amp;$AU$82&amp;"C"&amp;$A106)="N/A",0,RTD("tos.rtd",,BL$83,"."&amp;$C$82&amp;$AU$82&amp;"C"&amp;$A106)))</f>
        <v>#NUM!</v>
      </c>
      <c r="BM106" s="3" t="e">
        <f ca="1">IF($BP$1=1,EA106,-IF(RTD("tos.rtd",,BM$83,"."&amp;$C$82&amp;$AU$82&amp;"P"&amp;$A106)="N/A",0,RTD("tos.rtd",,BM$83,"."&amp;$C$82&amp;$AU$82&amp;"P"&amp;$A106)))</f>
        <v>#NUM!</v>
      </c>
      <c r="BN106" s="3" t="e">
        <f ca="1">IF($BP$1=1,EB106,IF(RTD("tos.rtd",,BN$83,"."&amp;$D$82&amp;$AW$82&amp;"C"&amp;$A106)="N/A",0,RTD("tos.rtd",,BN$83,"."&amp;$D$82&amp;$AW$82&amp;"C"&amp;$A106)))</f>
        <v>#NUM!</v>
      </c>
      <c r="BO106" s="3" t="e">
        <f ca="1">IF($BP$1=1,EC106,-IF(RTD("tos.rtd",,BO$83,"."&amp;$D$82&amp;$AW$82&amp;"P"&amp;$A106)="N/A",0,RTD("tos.rtd",,BO$83,"."&amp;$D$82&amp;$AW$82&amp;"P"&amp;$A106)))</f>
        <v>#NUM!</v>
      </c>
      <c r="BQ106" s="3" t="e">
        <f t="shared" ca="1" si="456"/>
        <v>#NUM!</v>
      </c>
      <c r="BR106" s="3" t="e">
        <f t="shared" ca="1" si="494"/>
        <v>#NUM!</v>
      </c>
      <c r="BS106" s="3" t="e">
        <f t="shared" ca="1" si="457"/>
        <v>#NUM!</v>
      </c>
      <c r="BT106" s="3" t="e">
        <f t="shared" ca="1" si="494"/>
        <v>#NUM!</v>
      </c>
      <c r="BU106" s="3" t="e">
        <f t="shared" ca="1" si="458"/>
        <v>#NUM!</v>
      </c>
      <c r="BV106" s="3" t="e">
        <f t="shared" ca="1" si="494"/>
        <v>#NUM!</v>
      </c>
      <c r="BX106" s="3" t="e">
        <f t="shared" ca="1" si="459"/>
        <v>#NUM!</v>
      </c>
      <c r="BY106" s="3" t="e">
        <f t="shared" ca="1" si="510"/>
        <v>#NUM!</v>
      </c>
      <c r="BZ106" s="3" t="e">
        <f t="shared" ca="1" si="460"/>
        <v>#NUM!</v>
      </c>
      <c r="CA106" s="3" t="e">
        <f t="shared" ca="1" si="510"/>
        <v>#NUM!</v>
      </c>
      <c r="CB106" s="3" t="e">
        <f t="shared" ca="1" si="461"/>
        <v>#NUM!</v>
      </c>
      <c r="CC106" s="3" t="e">
        <f t="shared" ca="1" si="510"/>
        <v>#NUM!</v>
      </c>
      <c r="CD106" s="3">
        <f>IF(RTD("tos.rtd",,CD$83,"."&amp;$B$82&amp;$AS$82&amp;"C"&amp;$A106)="N/A",0,RTD("tos.rtd",,CD$83,"."&amp;$B$82&amp;$AS$82&amp;"C"&amp;$A106))</f>
        <v>0.5</v>
      </c>
      <c r="CE106" s="3">
        <f>-IF(RTD("tos.rtd",,CE$83,"."&amp;$B$82&amp;$AS$82&amp;"P"&amp;$A106)="N/A",0,RTD("tos.rtd",,CE$83,"."&amp;$B$82&amp;$AS$82&amp;"P"&amp;$A106))</f>
        <v>1</v>
      </c>
      <c r="CF106" s="3">
        <f>IF(RTD("tos.rtd",,CF$83,"."&amp;$C$82&amp;$AU$82&amp;"C"&amp;$A106)="N/A",0,RTD("tos.rtd",,CF$83,"."&amp;$C$82&amp;$AU$82&amp;"C"&amp;$A106))</f>
        <v>0.48</v>
      </c>
      <c r="CG106" s="3">
        <f>-IF(RTD("tos.rtd",,CG$83,"."&amp;$C$82&amp;$AU$82&amp;"P"&amp;$A106)="N/A",0,RTD("tos.rtd",,CG$83,"."&amp;$C$82&amp;$AU$82&amp;"P"&amp;$A106))</f>
        <v>0.52</v>
      </c>
      <c r="CH106" s="3">
        <f>IF(RTD("tos.rtd",,CH$83,"."&amp;$D$82&amp;$AW$82&amp;"C"&amp;$A106)="N/A",0,RTD("tos.rtd",,CH$83,"."&amp;$D$82&amp;$AW$82&amp;"C"&amp;$A106))</f>
        <v>0.51</v>
      </c>
      <c r="CI106" s="3">
        <f>-IF(RTD("tos.rtd",,CI$83,"."&amp;$D$82&amp;$AW$82&amp;"P"&amp;$A106)="N/A",0,RTD("tos.rtd",,CI$83,"."&amp;$D$82&amp;$AW$82&amp;"P"&amp;$A106))</f>
        <v>0.48</v>
      </c>
      <c r="CK106" s="3">
        <f t="shared" si="495"/>
        <v>17550</v>
      </c>
      <c r="CL106" s="3"/>
      <c r="CM106" s="3">
        <f t="shared" si="496"/>
        <v>-8112</v>
      </c>
      <c r="CN106" s="3"/>
      <c r="CO106" s="3">
        <f t="shared" si="497"/>
        <v>6657</v>
      </c>
      <c r="CP106" s="3">
        <f t="shared" si="462"/>
        <v>16095</v>
      </c>
      <c r="CQ106" s="3">
        <f t="shared" si="463"/>
        <v>0</v>
      </c>
      <c r="CR106" s="3"/>
      <c r="CS106" s="3">
        <f t="shared" si="464"/>
        <v>0</v>
      </c>
      <c r="CT106" s="3"/>
      <c r="CU106" s="3">
        <f t="shared" si="465"/>
        <v>0</v>
      </c>
      <c r="CV106" s="3"/>
      <c r="CW106" s="3" t="e">
        <f t="shared" ca="1" si="466"/>
        <v>#NUM!</v>
      </c>
      <c r="CY106" s="3" t="e">
        <f t="shared" ca="1" si="467"/>
        <v>#NUM!</v>
      </c>
      <c r="CZ106" s="70" t="e">
        <f t="shared" ca="1" si="511"/>
        <v>#NUM!</v>
      </c>
      <c r="DA106" s="3">
        <f>IF(RTD("tos.rtd",,DA$83,"."&amp;$B$82&amp;$AS$82&amp;"C"&amp;$A106)="N/A",0,RTD("tos.rtd",,DA$83,"."&amp;$B$82&amp;$AS$82&amp;"C"&amp;$A106))</f>
        <v>3.8</v>
      </c>
      <c r="DB106" s="3">
        <f>IF(RTD("tos.rtd",,DB$83,"."&amp;$B$82&amp;$AS$82&amp;"P"&amp;$A106)="N/A",0,RTD("tos.rtd",,DB$83,"."&amp;$B$82&amp;$AS$82&amp;"P"&amp;$A106))</f>
        <v>0.05</v>
      </c>
      <c r="DC106" s="3">
        <f>IF(RTD("tos.rtd",,DC$83,"."&amp;$B$82&amp;$AS$82&amp;"C"&amp;$A106)="N/A",0,RTD("tos.rtd",,DC$83,"."&amp;$B$82&amp;$AS$82&amp;"C"&amp;$A106))</f>
        <v>4.9000000000000004</v>
      </c>
      <c r="DD106" s="3">
        <f>IF(RTD("tos.rtd",,DD$83,"."&amp;$B$82&amp;$AS$82&amp;"P"&amp;$A106)="N/A",0,RTD("tos.rtd",,DD$83,"."&amp;$B$82&amp;$AS$82&amp;"P"&amp;$A106))</f>
        <v>0.05</v>
      </c>
      <c r="DE106" s="3">
        <f>IF(RTD("tos.rtd",,DE$83,"."&amp;$B$82&amp;$AS$82&amp;"C"&amp;$A106)="N/A",0,RTD("tos.rtd",,DE$83,"."&amp;$B$82&amp;$AS$82&amp;"C"&amp;$A106))</f>
        <v>3</v>
      </c>
      <c r="DF106" s="3">
        <f>IF(RTD("tos.rtd",,DF$83,"."&amp;$B$82&amp;$AS$82&amp;"P"&amp;$A106)="N/A",0,RTD("tos.rtd",,DF$83,"."&amp;$B$82&amp;$AS$82&amp;"P"&amp;$A106))</f>
        <v>0</v>
      </c>
      <c r="DG106" s="86">
        <f t="shared" si="499"/>
        <v>9.0000000000145519E-2</v>
      </c>
      <c r="DH106" s="3">
        <f t="shared" si="468"/>
        <v>-7759.1578947368389</v>
      </c>
      <c r="DI106" s="3">
        <f t="shared" si="469"/>
        <v>44598</v>
      </c>
      <c r="DJ106" s="3">
        <f t="shared" si="470"/>
        <v>0</v>
      </c>
      <c r="DK106" s="3">
        <f t="shared" si="471"/>
        <v>44598</v>
      </c>
      <c r="DL106" s="3">
        <f t="shared" si="472"/>
        <v>36838.84210526316</v>
      </c>
      <c r="DM106" s="3">
        <f t="shared" si="473"/>
        <v>44598</v>
      </c>
      <c r="DN106" s="64" t="str">
        <f t="shared" si="474"/>
        <v>UNKNOWN</v>
      </c>
      <c r="DO106" s="64" t="str">
        <f t="shared" si="475"/>
        <v>UNKNOWN</v>
      </c>
      <c r="DP106" s="3">
        <f t="shared" si="476"/>
        <v>-27254.899999999983</v>
      </c>
      <c r="DQ106" s="3">
        <f t="shared" si="477"/>
        <v>2229.9</v>
      </c>
      <c r="DR106" s="3" t="e">
        <f t="shared" ca="1" si="478"/>
        <v>#NUM!</v>
      </c>
      <c r="DS106" s="3">
        <f t="shared" si="479"/>
        <v>44598</v>
      </c>
      <c r="DT106" s="3">
        <f>BA106-VLOOKUP(AZ106,$AO$85:$AQ$130,2,FALSE)</f>
        <v>-18428</v>
      </c>
      <c r="DU106" s="3">
        <f t="shared" si="501"/>
        <v>44598</v>
      </c>
      <c r="DV106" s="3">
        <f t="shared" si="502"/>
        <v>2025</v>
      </c>
      <c r="DW106" s="3">
        <f t="shared" si="503"/>
        <v>-831</v>
      </c>
      <c r="DX106" s="3" t="e">
        <f t="shared" ca="1" si="512"/>
        <v>#NUM!</v>
      </c>
      <c r="DY106" s="3" t="e">
        <f t="shared" ca="1" si="480"/>
        <v>#NUM!</v>
      </c>
      <c r="DZ106" s="3" t="e">
        <f t="shared" ca="1" si="504"/>
        <v>#NUM!</v>
      </c>
      <c r="EA106" s="3" t="e">
        <f t="shared" ca="1" si="505"/>
        <v>#NUM!</v>
      </c>
      <c r="EB106" s="3" t="e">
        <f t="shared" ca="1" si="481"/>
        <v>#NUM!</v>
      </c>
      <c r="EC106" s="3" t="e">
        <f t="shared" ca="1" si="482"/>
        <v>#NUM!</v>
      </c>
      <c r="ED106" s="63">
        <f t="shared" si="506"/>
        <v>1194</v>
      </c>
      <c r="EE106" s="59">
        <f t="shared" si="483"/>
        <v>0.23380000000000001</v>
      </c>
      <c r="EF106" s="59">
        <f t="shared" si="484"/>
        <v>0.25</v>
      </c>
      <c r="EG106" s="59">
        <f t="shared" si="485"/>
        <v>2.8500000000000001E-2</v>
      </c>
      <c r="EH106" s="59">
        <f t="shared" si="486"/>
        <v>0.03</v>
      </c>
      <c r="EI106" s="59">
        <f t="shared" si="487"/>
        <v>0.38030000000000003</v>
      </c>
      <c r="EJ106" s="59">
        <f t="shared" si="488"/>
        <v>0.1275</v>
      </c>
      <c r="EK106" s="63" t="e">
        <f t="shared" ca="1" si="507"/>
        <v>#NUM!</v>
      </c>
      <c r="EL106" s="3" t="str">
        <f>RTD("tos.rtd",,EL$83,"."&amp;$B$82&amp;$AS$82&amp;"C"&amp;$A106)</f>
        <v>23.38%</v>
      </c>
      <c r="EM106" s="3" t="str">
        <f>RTD("tos.rtd",,EM$83,"."&amp;$B$82&amp;$AS$82&amp;"P"&amp;$A106)</f>
        <v>--</v>
      </c>
      <c r="EN106" s="3" t="str">
        <f>RTD("tos.rtd",,EN$83,"."&amp;$C$82&amp;$AU$82&amp;"C"&amp;$A106)</f>
        <v>2.85%</v>
      </c>
      <c r="EO106" s="3" t="str">
        <f>RTD("tos.rtd",,EO$83,"."&amp;$C$82&amp;$AU$82&amp;"P"&amp;$A106)</f>
        <v>3.00%</v>
      </c>
      <c r="EP106" s="3" t="str">
        <f>RTD("tos.rtd",,EP$83,"."&amp;$D$82&amp;$AW$82&amp;"C"&amp;$A106)</f>
        <v>38.03%</v>
      </c>
      <c r="EQ106" s="3" t="str">
        <f>RTD("tos.rtd",,EQ$83,"."&amp;$D$82&amp;$AW$82&amp;"P"&amp;$A106)</f>
        <v>12.75%</v>
      </c>
      <c r="ES106" s="63" t="str">
        <f t="shared" si="489"/>
        <v>5660,1194.00</v>
      </c>
      <c r="ET106" s="63" t="str">
        <f t="shared" ca="1" si="490"/>
        <v>5660,00.00</v>
      </c>
      <c r="EU106" s="67">
        <v>561.15</v>
      </c>
      <c r="EV106" s="67" t="s">
        <v>867</v>
      </c>
      <c r="EW106" s="67">
        <v>483.36</v>
      </c>
      <c r="EX106" s="67" t="s">
        <v>868</v>
      </c>
      <c r="EY106" s="67">
        <v>5631.28</v>
      </c>
      <c r="EZ106" s="67" t="s">
        <v>869</v>
      </c>
      <c r="FA106" s="67">
        <v>19867.973000000002</v>
      </c>
      <c r="FB106" s="67" t="s">
        <v>870</v>
      </c>
      <c r="FC106" s="67" t="s">
        <v>871</v>
      </c>
      <c r="FD106" s="67" t="s">
        <v>872</v>
      </c>
      <c r="FE106" s="68" t="s">
        <v>873</v>
      </c>
      <c r="FF106" s="68" t="s">
        <v>874</v>
      </c>
    </row>
    <row r="107" spans="1:162" s="63" customFormat="1" ht="12" customHeight="1" thickBot="1" x14ac:dyDescent="0.25">
      <c r="A107" s="2">
        <f t="shared" si="508"/>
        <v>5650</v>
      </c>
      <c r="B107" s="3">
        <f t="shared" si="451"/>
        <v>3223</v>
      </c>
      <c r="C107" s="3">
        <f t="shared" si="452"/>
        <v>6703</v>
      </c>
      <c r="D107" s="3">
        <f t="shared" si="453"/>
        <v>1763</v>
      </c>
      <c r="E107" s="3">
        <f t="shared" si="519"/>
        <v>11689</v>
      </c>
      <c r="F107" s="4">
        <f t="shared" si="522"/>
        <v>5736.4383885962852</v>
      </c>
      <c r="G107" s="4">
        <f t="shared" si="520"/>
        <v>570.11003708539533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>
        <v>-3103</v>
      </c>
      <c r="AN107" s="20">
        <v>-932</v>
      </c>
      <c r="AO107" s="20">
        <v>5650</v>
      </c>
      <c r="AP107" s="20">
        <v>16168</v>
      </c>
      <c r="AQ107" s="20">
        <v>-46405</v>
      </c>
      <c r="AR107" s="20"/>
      <c r="AS107" s="54">
        <f>IF(RTD("tos.rtd",,AS$83,"."&amp;$B$82&amp;$AS$82&amp;"C"&amp;$A107)="N/A",0,RTD("tos.rtd",,AS$83,"."&amp;$B$82&amp;$AS$82&amp;"C"&amp;$A107))</f>
        <v>2291</v>
      </c>
      <c r="AT107" s="3">
        <f>-IF(RTD("tos.rtd",,AT$83,"."&amp;$B$82&amp;$AS$82&amp;"P"&amp;$A107)="N/A",0,RTD("tos.rtd",,AT$83,"."&amp;$B$82&amp;$AS$82&amp;"P"&amp;$A107))</f>
        <v>-932</v>
      </c>
      <c r="AU107" s="54">
        <f>IF(RTD("tos.rtd",,AU$83,"."&amp;$C$82&amp;$AU$82&amp;"C"&amp;$A107)="N/A",0,RTD("tos.rtd",,AU$83,"."&amp;$C$82&amp;$AU$82&amp;"C"&amp;$A107))</f>
        <v>3508</v>
      </c>
      <c r="AV107" s="3">
        <f>-IF(RTD("tos.rtd",,AV$83,"."&amp;$C$82&amp;$AU$82&amp;"P"&amp;$A107)="N/A",0,RTD("tos.rtd",,AV$83,"."&amp;$C$82&amp;$AU$82&amp;"P"&amp;$A107))</f>
        <v>-3195</v>
      </c>
      <c r="AW107" s="54">
        <f>IF(RTD("tos.rtd",,AW$83,"."&amp;$D$82&amp;$AW$82&amp;"C"&amp;$A107)="N/A",0,RTD("tos.rtd",,AW$83,"."&amp;$D$82&amp;$AW$82&amp;"C"&amp;$A107))</f>
        <v>892</v>
      </c>
      <c r="AX107" s="3">
        <f>-IF(RTD("tos.rtd",,AX$83,"."&amp;$D$82&amp;$AW$82&amp;"P"&amp;$A107)="N/A",0,RTD("tos.rtd",,AX$83,"."&amp;$D$82&amp;$AW$82&amp;"P"&amp;$A107))</f>
        <v>-871</v>
      </c>
      <c r="AY107" s="79">
        <f t="shared" si="521"/>
        <v>1693</v>
      </c>
      <c r="AZ107" s="8">
        <f t="shared" si="455"/>
        <v>5650</v>
      </c>
      <c r="BA107" s="54">
        <f>IF(RTD("tos.rtd",,BA$83,"."&amp;$B$82&amp;$AS$82&amp;"C"&amp;$A107)="N/A",0,RTD("tos.rtd",,BA$83,"."&amp;$B$82&amp;$AS$82&amp;"C"&amp;$A107))</f>
        <v>0</v>
      </c>
      <c r="BB107" s="3">
        <f>-IF(RTD("tos.rtd",,BB$83,"."&amp;$B$82&amp;$AS$82&amp;"P"&amp;$A107)="N/A",0,RTD("tos.rtd",,BB$83,"."&amp;$B$82&amp;$AS$82&amp;"P"&amp;$A107))</f>
        <v>0</v>
      </c>
      <c r="BC107" s="54">
        <f>IF(RTD("tos.rtd",,BC$83,"."&amp;$C$82&amp;$AU$82&amp;"C"&amp;$A107)="N/A",0,RTD("tos.rtd",,BC$83,"."&amp;$C$82&amp;$AU$82&amp;"C"&amp;$A107))</f>
        <v>0</v>
      </c>
      <c r="BD107" s="3">
        <f>-IF(RTD("tos.rtd",,BD$83,"."&amp;$C$82&amp;$AU$82&amp;"P"&amp;$A107)="N/A",0,RTD("tos.rtd",,BD$83,"."&amp;$C$82&amp;$AU$82&amp;"P"&amp;$A107))</f>
        <v>0</v>
      </c>
      <c r="BE107" s="54">
        <f>IF(RTD("tos.rtd",,BE$83,"."&amp;$D$82&amp;$AW$82&amp;"C"&amp;$A107)="N/A",0,RTD("tos.rtd",,BE$83,"."&amp;$D$82&amp;$AW$82&amp;"C"&amp;$A107))</f>
        <v>0</v>
      </c>
      <c r="BF107" s="3">
        <f>-IF(RTD("tos.rtd",,BF$83,"."&amp;$D$82&amp;$AW$82&amp;"P"&amp;$A107)="N/A",0,RTD("tos.rtd",,BF$83,"."&amp;$D$82&amp;$AW$82&amp;"P"&amp;$A107))</f>
        <v>0</v>
      </c>
      <c r="BG107" s="3">
        <f ca="1">+Hoja2!Y108</f>
        <v>0</v>
      </c>
      <c r="BH107" s="55">
        <f t="shared" ca="1" si="493"/>
        <v>0</v>
      </c>
      <c r="BI107" s="32" t="str">
        <f t="shared" ca="1" si="513"/>
        <v/>
      </c>
      <c r="BJ107" s="3" t="e">
        <f ca="1">IF($BP$1=1,DX107,IF(RTD("tos.rtd",,BJ$83,"."&amp;$B$82&amp;$AS$82&amp;"C"&amp;$A107)="N/A",0,RTD("tos.rtd",,BJ$83,"."&amp;$B$82&amp;$AS$82&amp;"C"&amp;$A107)))</f>
        <v>#NUM!</v>
      </c>
      <c r="BK107" s="3" t="e">
        <f ca="1">IF($BP$1=1,DY107,-IF(RTD("tos.rtd",,BK$83,"."&amp;$B$82&amp;$AS$82&amp;"P"&amp;$A107)="N/A",0,RTD("tos.rtd",,BK$83,"."&amp;$B$82&amp;$AS$82&amp;"P"&amp;$A107)))</f>
        <v>#NUM!</v>
      </c>
      <c r="BL107" s="3" t="e">
        <f ca="1">IF($BP$1=1,DZ107,IF(RTD("tos.rtd",,BL$83,"."&amp;$C$82&amp;$AU$82&amp;"C"&amp;$A107)="N/A",0,RTD("tos.rtd",,BL$83,"."&amp;$C$82&amp;$AU$82&amp;"C"&amp;$A107)))</f>
        <v>#NUM!</v>
      </c>
      <c r="BM107" s="3" t="e">
        <f ca="1">IF($BP$1=1,EA107,-IF(RTD("tos.rtd",,BM$83,"."&amp;$C$82&amp;$AU$82&amp;"P"&amp;$A107)="N/A",0,RTD("tos.rtd",,BM$83,"."&amp;$C$82&amp;$AU$82&amp;"P"&amp;$A107)))</f>
        <v>#NUM!</v>
      </c>
      <c r="BN107" s="3" t="e">
        <f ca="1">IF($BP$1=1,EB107,IF(RTD("tos.rtd",,BN$83,"."&amp;$D$82&amp;$AW$82&amp;"C"&amp;$A107)="N/A",0,RTD("tos.rtd",,BN$83,"."&amp;$D$82&amp;$AW$82&amp;"C"&amp;$A107)))</f>
        <v>#NUM!</v>
      </c>
      <c r="BO107" s="3" t="e">
        <f ca="1">IF($BP$1=1,EC107,-IF(RTD("tos.rtd",,BO$83,"."&amp;$D$82&amp;$AW$82&amp;"P"&amp;$A107)="N/A",0,RTD("tos.rtd",,BO$83,"."&amp;$D$82&amp;$AW$82&amp;"P"&amp;$A107)))</f>
        <v>#NUM!</v>
      </c>
      <c r="BQ107" s="3" t="e">
        <f t="shared" ca="1" si="456"/>
        <v>#NUM!</v>
      </c>
      <c r="BR107" s="3" t="e">
        <f t="shared" ca="1" si="494"/>
        <v>#NUM!</v>
      </c>
      <c r="BS107" s="3" t="e">
        <f t="shared" ca="1" si="457"/>
        <v>#NUM!</v>
      </c>
      <c r="BT107" s="3" t="e">
        <f t="shared" ca="1" si="494"/>
        <v>#NUM!</v>
      </c>
      <c r="BU107" s="3" t="e">
        <f t="shared" ca="1" si="458"/>
        <v>#NUM!</v>
      </c>
      <c r="BV107" s="3" t="e">
        <f t="shared" ca="1" si="494"/>
        <v>#NUM!</v>
      </c>
      <c r="BX107" s="3" t="e">
        <f t="shared" ca="1" si="459"/>
        <v>#NUM!</v>
      </c>
      <c r="BY107" s="3" t="e">
        <f t="shared" ca="1" si="510"/>
        <v>#NUM!</v>
      </c>
      <c r="BZ107" s="3" t="e">
        <f t="shared" ca="1" si="460"/>
        <v>#NUM!</v>
      </c>
      <c r="CA107" s="3" t="e">
        <f t="shared" ca="1" si="510"/>
        <v>#NUM!</v>
      </c>
      <c r="CB107" s="3" t="e">
        <f t="shared" ca="1" si="461"/>
        <v>#NUM!</v>
      </c>
      <c r="CC107" s="3" t="e">
        <f t="shared" ca="1" si="510"/>
        <v>#NUM!</v>
      </c>
      <c r="CD107" s="3">
        <f>IF(RTD("tos.rtd",,CD$83,"."&amp;$B$82&amp;$AS$82&amp;"C"&amp;$A107)="N/A",0,RTD("tos.rtd",,CD$83,"."&amp;$B$82&amp;$AS$82&amp;"C"&amp;$A107))</f>
        <v>0.68</v>
      </c>
      <c r="CE107" s="3">
        <f>-IF(RTD("tos.rtd",,CE$83,"."&amp;$B$82&amp;$AS$82&amp;"P"&amp;$A107)="N/A",0,RTD("tos.rtd",,CE$83,"."&amp;$B$82&amp;$AS$82&amp;"P"&amp;$A107))</f>
        <v>0.02</v>
      </c>
      <c r="CF107" s="3">
        <f>IF(RTD("tos.rtd",,CF$83,"."&amp;$C$82&amp;$AU$82&amp;"C"&amp;$A107)="N/A",0,RTD("tos.rtd",,CF$83,"."&amp;$C$82&amp;$AU$82&amp;"C"&amp;$A107))</f>
        <v>0.94</v>
      </c>
      <c r="CG107" s="3">
        <f>-IF(RTD("tos.rtd",,CG$83,"."&amp;$C$82&amp;$AU$82&amp;"P"&amp;$A107)="N/A",0,RTD("tos.rtd",,CG$83,"."&amp;$C$82&amp;$AU$82&amp;"P"&amp;$A107))</f>
        <v>0.02</v>
      </c>
      <c r="CH107" s="3">
        <f>IF(RTD("tos.rtd",,CH$83,"."&amp;$D$82&amp;$AW$82&amp;"C"&amp;$A107)="N/A",0,RTD("tos.rtd",,CH$83,"."&amp;$D$82&amp;$AW$82&amp;"C"&amp;$A107))</f>
        <v>0.53</v>
      </c>
      <c r="CI107" s="3">
        <f>-IF(RTD("tos.rtd",,CI$83,"."&amp;$D$82&amp;$AW$82&amp;"P"&amp;$A107)="N/A",0,RTD("tos.rtd",,CI$83,"."&amp;$D$82&amp;$AW$82&amp;"P"&amp;$A107))</f>
        <v>0.44</v>
      </c>
      <c r="CK107" s="3">
        <f t="shared" si="495"/>
        <v>153924</v>
      </c>
      <c r="CL107" s="3"/>
      <c r="CM107" s="3">
        <f t="shared" si="496"/>
        <v>323362</v>
      </c>
      <c r="CN107" s="3"/>
      <c r="CO107" s="3">
        <f t="shared" si="497"/>
        <v>8952.0000000000073</v>
      </c>
      <c r="CP107" s="3">
        <f t="shared" si="462"/>
        <v>486238</v>
      </c>
      <c r="CQ107" s="3">
        <f t="shared" si="463"/>
        <v>0</v>
      </c>
      <c r="CR107" s="3"/>
      <c r="CS107" s="3">
        <f t="shared" si="464"/>
        <v>0</v>
      </c>
      <c r="CT107" s="3"/>
      <c r="CU107" s="3">
        <f t="shared" si="465"/>
        <v>0</v>
      </c>
      <c r="CV107" s="3"/>
      <c r="CW107" s="3" t="e">
        <f t="shared" ca="1" si="466"/>
        <v>#NUM!</v>
      </c>
      <c r="CY107" s="3" t="e">
        <f t="shared" ca="1" si="467"/>
        <v>#NUM!</v>
      </c>
      <c r="CZ107" s="70" t="e">
        <f t="shared" ca="1" si="511"/>
        <v>#NUM!</v>
      </c>
      <c r="DA107" s="3">
        <f>IF(RTD("tos.rtd",,DA$83,"."&amp;$B$82&amp;$AS$82&amp;"C"&amp;$A107)="N/A",0,RTD("tos.rtd",,DA$83,"."&amp;$B$82&amp;$AS$82&amp;"C"&amp;$A107))</f>
        <v>14.9</v>
      </c>
      <c r="DB107" s="3">
        <f>IF(RTD("tos.rtd",,DB$83,"."&amp;$B$82&amp;$AS$82&amp;"P"&amp;$A107)="N/A",0,RTD("tos.rtd",,DB$83,"."&amp;$B$82&amp;$AS$82&amp;"P"&amp;$A107))</f>
        <v>0.05</v>
      </c>
      <c r="DC107" s="3">
        <f>IF(RTD("tos.rtd",,DC$83,"."&amp;$B$82&amp;$AS$82&amp;"C"&amp;$A107)="N/A",0,RTD("tos.rtd",,DC$83,"."&amp;$B$82&amp;$AS$82&amp;"C"&amp;$A107))</f>
        <v>14.9</v>
      </c>
      <c r="DD107" s="3">
        <f>IF(RTD("tos.rtd",,DD$83,"."&amp;$B$82&amp;$AS$82&amp;"P"&amp;$A107)="N/A",0,RTD("tos.rtd",,DD$83,"."&amp;$B$82&amp;$AS$82&amp;"P"&amp;$A107))</f>
        <v>0.05</v>
      </c>
      <c r="DE107" s="3">
        <f>IF(RTD("tos.rtd",,DE$83,"."&amp;$B$82&amp;$AS$82&amp;"C"&amp;$A107)="N/A",0,RTD("tos.rtd",,DE$83,"."&amp;$B$82&amp;$AS$82&amp;"C"&amp;$A107))</f>
        <v>13.8</v>
      </c>
      <c r="DF107" s="3">
        <f>IF(RTD("tos.rtd",,DF$83,"."&amp;$B$82&amp;$AS$82&amp;"P"&amp;$A107)="N/A",0,RTD("tos.rtd",,DF$83,"."&amp;$B$82&amp;$AS$82&amp;"P"&amp;$A107))</f>
        <v>0</v>
      </c>
      <c r="DG107" s="86">
        <f t="shared" si="499"/>
        <v>-9.9099999999998545</v>
      </c>
      <c r="DH107" s="3">
        <f t="shared" si="468"/>
        <v>-16168</v>
      </c>
      <c r="DI107" s="3">
        <f t="shared" si="469"/>
        <v>46405</v>
      </c>
      <c r="DJ107" s="3">
        <f t="shared" si="470"/>
        <v>-16168</v>
      </c>
      <c r="DK107" s="3">
        <f t="shared" si="471"/>
        <v>46405</v>
      </c>
      <c r="DL107" s="3">
        <f t="shared" si="472"/>
        <v>30237</v>
      </c>
      <c r="DM107" s="3">
        <f t="shared" si="473"/>
        <v>30237</v>
      </c>
      <c r="DN107" s="64" t="str">
        <f t="shared" si="474"/>
        <v>UNKNOWN</v>
      </c>
      <c r="DO107" s="64" t="str">
        <f t="shared" si="475"/>
        <v>UNKNOWN</v>
      </c>
      <c r="DP107" s="3">
        <f t="shared" si="476"/>
        <v>-238582.95</v>
      </c>
      <c r="DQ107" s="3">
        <f t="shared" si="477"/>
        <v>-238582.95</v>
      </c>
      <c r="DR107" s="3" t="e">
        <f t="shared" ca="1" si="478"/>
        <v>#NUM!</v>
      </c>
      <c r="DS107" s="3">
        <f t="shared" si="479"/>
        <v>-10066.140000000001</v>
      </c>
      <c r="DT107" s="3">
        <f t="shared" si="500"/>
        <v>-16168</v>
      </c>
      <c r="DU107" s="3">
        <f t="shared" si="501"/>
        <v>46405</v>
      </c>
      <c r="DV107" s="3">
        <f t="shared" si="502"/>
        <v>-3103</v>
      </c>
      <c r="DW107" s="3">
        <f t="shared" si="503"/>
        <v>-932</v>
      </c>
      <c r="DX107" s="3" t="e">
        <f t="shared" ca="1" si="512"/>
        <v>#NUM!</v>
      </c>
      <c r="DY107" s="3" t="e">
        <f t="shared" ca="1" si="480"/>
        <v>#NUM!</v>
      </c>
      <c r="DZ107" s="3" t="e">
        <f t="shared" ca="1" si="504"/>
        <v>#NUM!</v>
      </c>
      <c r="EA107" s="3" t="e">
        <f t="shared" ca="1" si="505"/>
        <v>#NUM!</v>
      </c>
      <c r="EB107" s="3" t="e">
        <f t="shared" ca="1" si="481"/>
        <v>#NUM!</v>
      </c>
      <c r="EC107" s="3" t="e">
        <f t="shared" ca="1" si="482"/>
        <v>#NUM!</v>
      </c>
      <c r="ED107" s="63">
        <f t="shared" si="506"/>
        <v>-4035</v>
      </c>
      <c r="EE107" s="59">
        <f t="shared" si="483"/>
        <v>0.49769999999999998</v>
      </c>
      <c r="EF107" s="59">
        <f t="shared" si="484"/>
        <v>0.10730000000000001</v>
      </c>
      <c r="EG107" s="59">
        <f t="shared" si="485"/>
        <v>0.15160000000000001</v>
      </c>
      <c r="EH107" s="59">
        <f t="shared" si="486"/>
        <v>0.10730000000000001</v>
      </c>
      <c r="EI107" s="59">
        <f t="shared" si="487"/>
        <v>0.38879999999999998</v>
      </c>
      <c r="EJ107" s="59">
        <f t="shared" si="488"/>
        <v>0.13469999999999999</v>
      </c>
      <c r="EK107" s="63" t="e">
        <f t="shared" ca="1" si="507"/>
        <v>#NUM!</v>
      </c>
      <c r="EL107" s="3" t="str">
        <f>RTD("tos.rtd",,EL$83,"."&amp;$B$82&amp;$AS$82&amp;"C"&amp;$A107)</f>
        <v>49.77%</v>
      </c>
      <c r="EM107" s="3" t="str">
        <f>RTD("tos.rtd",,EM$83,"."&amp;$B$82&amp;$AS$82&amp;"P"&amp;$A107)</f>
        <v>10.73%</v>
      </c>
      <c r="EN107" s="3" t="str">
        <f>RTD("tos.rtd",,EN$83,"."&amp;$C$82&amp;$AU$82&amp;"C"&amp;$A107)</f>
        <v>15.16%</v>
      </c>
      <c r="EO107" s="3" t="str">
        <f>RTD("tos.rtd",,EO$83,"."&amp;$C$82&amp;$AU$82&amp;"P"&amp;$A107)</f>
        <v>10.73%</v>
      </c>
      <c r="EP107" s="3" t="str">
        <f>RTD("tos.rtd",,EP$83,"."&amp;$D$82&amp;$AW$82&amp;"C"&amp;$A107)</f>
        <v>38.88%</v>
      </c>
      <c r="EQ107" s="3" t="str">
        <f>RTD("tos.rtd",,EQ$83,"."&amp;$D$82&amp;$AW$82&amp;"P"&amp;$A107)</f>
        <v>13.47%</v>
      </c>
      <c r="ES107" s="63" t="str">
        <f t="shared" si="489"/>
        <v>5650,-4035.00</v>
      </c>
      <c r="ET107" s="63" t="str">
        <f t="shared" ca="1" si="490"/>
        <v>5650,00.00</v>
      </c>
      <c r="EU107" s="67">
        <v>561.15</v>
      </c>
      <c r="EV107" s="67" t="s">
        <v>875</v>
      </c>
      <c r="EW107" s="67">
        <v>483.37</v>
      </c>
      <c r="EX107" s="67" t="s">
        <v>876</v>
      </c>
      <c r="EY107" s="67">
        <v>5631.28</v>
      </c>
      <c r="EZ107" s="67" t="s">
        <v>877</v>
      </c>
      <c r="FA107" s="67">
        <v>19867.973000000002</v>
      </c>
      <c r="FB107" s="67" t="s">
        <v>878</v>
      </c>
      <c r="FC107" s="67" t="s">
        <v>879</v>
      </c>
      <c r="FD107" s="67" t="s">
        <v>880</v>
      </c>
      <c r="FE107" s="68" t="s">
        <v>881</v>
      </c>
      <c r="FF107" s="68" t="s">
        <v>882</v>
      </c>
    </row>
    <row r="108" spans="1:162" s="63" customFormat="1" ht="12" customHeight="1" thickBot="1" x14ac:dyDescent="0.25">
      <c r="A108" s="2">
        <f t="shared" si="508"/>
        <v>5640</v>
      </c>
      <c r="B108" s="10">
        <f t="shared" si="451"/>
        <v>1939</v>
      </c>
      <c r="C108" s="10">
        <f t="shared" si="452"/>
        <v>2034</v>
      </c>
      <c r="D108" s="10">
        <f t="shared" si="453"/>
        <v>1675</v>
      </c>
      <c r="E108" s="10">
        <f t="shared" si="519"/>
        <v>5648</v>
      </c>
      <c r="F108" s="11">
        <f t="shared" si="522"/>
        <v>5726.2854002978847</v>
      </c>
      <c r="G108" s="11">
        <f t="shared" si="520"/>
        <v>569.10099277196991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>
        <v>-1299</v>
      </c>
      <c r="AN108" s="10">
        <v>-3639</v>
      </c>
      <c r="AO108" s="10">
        <v>5640</v>
      </c>
      <c r="AP108" s="10">
        <v>5128</v>
      </c>
      <c r="AQ108" s="10">
        <v>-25303</v>
      </c>
      <c r="AR108" s="10"/>
      <c r="AS108" s="54">
        <f>IF(RTD("tos.rtd",,AS$83,"."&amp;$B$82&amp;$AS$82&amp;"C"&amp;$A108)="N/A",0,RTD("tos.rtd",,AS$83,"."&amp;$B$82&amp;$AS$82&amp;"C"&amp;$A108))</f>
        <v>1214</v>
      </c>
      <c r="AT108" s="3">
        <f>-IF(RTD("tos.rtd",,AT$83,"."&amp;$B$82&amp;$AS$82&amp;"P"&amp;$A108)="N/A",0,RTD("tos.rtd",,AT$83,"."&amp;$B$82&amp;$AS$82&amp;"P"&amp;$A108))</f>
        <v>-725</v>
      </c>
      <c r="AU108" s="54">
        <f>IF(RTD("tos.rtd",,AU$83,"."&amp;$C$82&amp;$AU$82&amp;"C"&amp;$A108)="N/A",0,RTD("tos.rtd",,AU$83,"."&amp;$C$82&amp;$AU$82&amp;"C"&amp;$A108))</f>
        <v>1190</v>
      </c>
      <c r="AV108" s="3">
        <f>-IF(RTD("tos.rtd",,AV$83,"."&amp;$C$82&amp;$AU$82&amp;"P"&amp;$A108)="N/A",0,RTD("tos.rtd",,AV$83,"."&amp;$C$82&amp;$AU$82&amp;"P"&amp;$A108))</f>
        <v>-844</v>
      </c>
      <c r="AW108" s="54">
        <f>IF(RTD("tos.rtd",,AW$83,"."&amp;$D$82&amp;$AW$82&amp;"C"&amp;$A108)="N/A",0,RTD("tos.rtd",,AW$83,"."&amp;$D$82&amp;$AW$82&amp;"C"&amp;$A108))</f>
        <v>731</v>
      </c>
      <c r="AX108" s="3">
        <f>-IF(RTD("tos.rtd",,AX$83,"."&amp;$D$82&amp;$AW$82&amp;"P"&amp;$A108)="N/A",0,RTD("tos.rtd",,AX$83,"."&amp;$D$82&amp;$AW$82&amp;"P"&amp;$A108))</f>
        <v>-944</v>
      </c>
      <c r="AY108" s="80">
        <f t="shared" si="521"/>
        <v>622</v>
      </c>
      <c r="AZ108" s="8">
        <f t="shared" si="455"/>
        <v>5640</v>
      </c>
      <c r="BA108" s="54">
        <f>IF(RTD("tos.rtd",,BA$83,"."&amp;$B$82&amp;$AS$82&amp;"C"&amp;$A108)="N/A",0,RTD("tos.rtd",,BA$83,"."&amp;$B$82&amp;$AS$82&amp;"C"&amp;$A108))</f>
        <v>0</v>
      </c>
      <c r="BB108" s="3">
        <f>-IF(RTD("tos.rtd",,BB$83,"."&amp;$B$82&amp;$AS$82&amp;"P"&amp;$A108)="N/A",0,RTD("tos.rtd",,BB$83,"."&amp;$B$82&amp;$AS$82&amp;"P"&amp;$A108))</f>
        <v>0</v>
      </c>
      <c r="BC108" s="54">
        <f>IF(RTD("tos.rtd",,BC$83,"."&amp;$C$82&amp;$AU$82&amp;"C"&amp;$A108)="N/A",0,RTD("tos.rtd",,BC$83,"."&amp;$C$82&amp;$AU$82&amp;"C"&amp;$A108))</f>
        <v>0</v>
      </c>
      <c r="BD108" s="3">
        <f>-IF(RTD("tos.rtd",,BD$83,"."&amp;$C$82&amp;$AU$82&amp;"P"&amp;$A108)="N/A",0,RTD("tos.rtd",,BD$83,"."&amp;$C$82&amp;$AU$82&amp;"P"&amp;$A108))</f>
        <v>0</v>
      </c>
      <c r="BE108" s="54">
        <f>IF(RTD("tos.rtd",,BE$83,"."&amp;$D$82&amp;$AW$82&amp;"C"&amp;$A108)="N/A",0,RTD("tos.rtd",,BE$83,"."&amp;$D$82&amp;$AW$82&amp;"C"&amp;$A108))</f>
        <v>2</v>
      </c>
      <c r="BF108" s="3">
        <f>-IF(RTD("tos.rtd",,BF$83,"."&amp;$D$82&amp;$AW$82&amp;"P"&amp;$A108)="N/A",0,RTD("tos.rtd",,BF$83,"."&amp;$D$82&amp;$AW$82&amp;"P"&amp;$A108))</f>
        <v>0</v>
      </c>
      <c r="BG108" s="3">
        <f ca="1">+Hoja2!Y109</f>
        <v>0</v>
      </c>
      <c r="BH108" s="53">
        <f t="shared" ca="1" si="493"/>
        <v>2</v>
      </c>
      <c r="BI108" s="32" t="str">
        <f t="shared" ca="1" si="513"/>
        <v/>
      </c>
      <c r="BJ108" s="3" t="e">
        <f ca="1">IF($BP$1=1,DX108,IF(RTD("tos.rtd",,BJ$83,"."&amp;$B$82&amp;$AS$82&amp;"C"&amp;$A108)="N/A",0,RTD("tos.rtd",,BJ$83,"."&amp;$B$82&amp;$AS$82&amp;"C"&amp;$A108)))</f>
        <v>#NUM!</v>
      </c>
      <c r="BK108" s="3" t="e">
        <f ca="1">IF($BP$1=1,DY108,-IF(RTD("tos.rtd",,BK$83,"."&amp;$B$82&amp;$AS$82&amp;"P"&amp;$A108)="N/A",0,RTD("tos.rtd",,BK$83,"."&amp;$B$82&amp;$AS$82&amp;"P"&amp;$A108)))</f>
        <v>#NUM!</v>
      </c>
      <c r="BL108" s="3" t="e">
        <f ca="1">IF($BP$1=1,DZ108,IF(RTD("tos.rtd",,BL$83,"."&amp;$C$82&amp;$AU$82&amp;"C"&amp;$A108)="N/A",0,RTD("tos.rtd",,BL$83,"."&amp;$C$82&amp;$AU$82&amp;"C"&amp;$A108)))</f>
        <v>#NUM!</v>
      </c>
      <c r="BM108" s="3" t="e">
        <f ca="1">IF($BP$1=1,EA108,-IF(RTD("tos.rtd",,BM$83,"."&amp;$C$82&amp;$AU$82&amp;"P"&amp;$A108)="N/A",0,RTD("tos.rtd",,BM$83,"."&amp;$C$82&amp;$AU$82&amp;"P"&amp;$A108)))</f>
        <v>#NUM!</v>
      </c>
      <c r="BN108" s="3" t="e">
        <f ca="1">IF($BP$1=1,EB108,IF(RTD("tos.rtd",,BN$83,"."&amp;$D$82&amp;$AW$82&amp;"C"&amp;$A108)="N/A",0,RTD("tos.rtd",,BN$83,"."&amp;$D$82&amp;$AW$82&amp;"C"&amp;$A108)))</f>
        <v>#NUM!</v>
      </c>
      <c r="BO108" s="3" t="e">
        <f ca="1">IF($BP$1=1,EC108,-IF(RTD("tos.rtd",,BO$83,"."&amp;$D$82&amp;$AW$82&amp;"P"&amp;$A108)="N/A",0,RTD("tos.rtd",,BO$83,"."&amp;$D$82&amp;$AW$82&amp;"P"&amp;$A108)))</f>
        <v>#NUM!</v>
      </c>
      <c r="BQ108" s="3" t="e">
        <f t="shared" ca="1" si="456"/>
        <v>#NUM!</v>
      </c>
      <c r="BR108" s="3" t="e">
        <f t="shared" ca="1" si="494"/>
        <v>#NUM!</v>
      </c>
      <c r="BS108" s="3" t="e">
        <f t="shared" ca="1" si="457"/>
        <v>#NUM!</v>
      </c>
      <c r="BT108" s="3" t="e">
        <f t="shared" ca="1" si="494"/>
        <v>#NUM!</v>
      </c>
      <c r="BU108" s="3" t="e">
        <f t="shared" ca="1" si="458"/>
        <v>#NUM!</v>
      </c>
      <c r="BV108" s="3" t="e">
        <f t="shared" ca="1" si="494"/>
        <v>#NUM!</v>
      </c>
      <c r="BX108" s="3" t="e">
        <f t="shared" ca="1" si="459"/>
        <v>#NUM!</v>
      </c>
      <c r="BY108" s="3" t="e">
        <f t="shared" ca="1" si="510"/>
        <v>#NUM!</v>
      </c>
      <c r="BZ108" s="3" t="e">
        <f t="shared" ca="1" si="460"/>
        <v>#NUM!</v>
      </c>
      <c r="CA108" s="3" t="e">
        <f t="shared" ca="1" si="510"/>
        <v>#NUM!</v>
      </c>
      <c r="CB108" s="3" t="e">
        <f t="shared" ca="1" si="461"/>
        <v>#NUM!</v>
      </c>
      <c r="CC108" s="3" t="e">
        <f t="shared" ca="1" si="510"/>
        <v>#NUM!</v>
      </c>
      <c r="CD108" s="3">
        <f>IF(RTD("tos.rtd",,CD$83,"."&amp;$B$82&amp;$AS$82&amp;"C"&amp;$A108)="N/A",0,RTD("tos.rtd",,CD$83,"."&amp;$B$82&amp;$AS$82&amp;"C"&amp;$A108))</f>
        <v>0.74</v>
      </c>
      <c r="CE108" s="3">
        <f>-IF(RTD("tos.rtd",,CE$83,"."&amp;$B$82&amp;$AS$82&amp;"P"&amp;$A108)="N/A",0,RTD("tos.rtd",,CE$83,"."&amp;$B$82&amp;$AS$82&amp;"P"&amp;$A108))</f>
        <v>0.01</v>
      </c>
      <c r="CF108" s="3">
        <f>IF(RTD("tos.rtd",,CF$83,"."&amp;$C$82&amp;$AU$82&amp;"C"&amp;$A108)="N/A",0,RTD("tos.rtd",,CF$83,"."&amp;$C$82&amp;$AU$82&amp;"C"&amp;$A108))</f>
        <v>0.91</v>
      </c>
      <c r="CG108" s="3">
        <f>-IF(RTD("tos.rtd",,CG$83,"."&amp;$C$82&amp;$AU$82&amp;"P"&amp;$A108)="N/A",0,RTD("tos.rtd",,CG$83,"."&amp;$C$82&amp;$AU$82&amp;"P"&amp;$A108))</f>
        <v>0.01</v>
      </c>
      <c r="CH108" s="3">
        <f>IF(RTD("tos.rtd",,CH$83,"."&amp;$D$82&amp;$AW$82&amp;"C"&amp;$A108)="N/A",0,RTD("tos.rtd",,CH$83,"."&amp;$D$82&amp;$AW$82&amp;"C"&amp;$A108))</f>
        <v>0.54</v>
      </c>
      <c r="CI108" s="3">
        <f>-IF(RTD("tos.rtd",,CI$83,"."&amp;$D$82&amp;$AW$82&amp;"P"&amp;$A108)="N/A",0,RTD("tos.rtd",,CI$83,"."&amp;$D$82&amp;$AW$82&amp;"P"&amp;$A108))</f>
        <v>0.4</v>
      </c>
      <c r="CK108" s="3">
        <f t="shared" si="495"/>
        <v>89111</v>
      </c>
      <c r="CL108" s="3"/>
      <c r="CM108" s="3">
        <f t="shared" si="496"/>
        <v>107446.00000000001</v>
      </c>
      <c r="CN108" s="3"/>
      <c r="CO108" s="3">
        <f t="shared" si="497"/>
        <v>1714</v>
      </c>
      <c r="CP108" s="3">
        <f t="shared" si="462"/>
        <v>198271</v>
      </c>
      <c r="CQ108" s="3">
        <f t="shared" si="463"/>
        <v>0</v>
      </c>
      <c r="CR108" s="3"/>
      <c r="CS108" s="3">
        <f t="shared" si="464"/>
        <v>0</v>
      </c>
      <c r="CT108" s="3"/>
      <c r="CU108" s="3">
        <f t="shared" si="465"/>
        <v>2</v>
      </c>
      <c r="CV108" s="3"/>
      <c r="CW108" s="3" t="e">
        <f t="shared" ca="1" si="466"/>
        <v>#NUM!</v>
      </c>
      <c r="CY108" s="3" t="e">
        <f t="shared" ca="1" si="467"/>
        <v>#NUM!</v>
      </c>
      <c r="CZ108" s="70" t="e">
        <f t="shared" ca="1" si="511"/>
        <v>#NUM!</v>
      </c>
      <c r="DA108" s="3">
        <f>IF(RTD("tos.rtd",,DA$83,"."&amp;$B$82&amp;$AS$82&amp;"C"&amp;$A108)="N/A",0,RTD("tos.rtd",,DA$83,"."&amp;$B$82&amp;$AS$82&amp;"C"&amp;$A108))</f>
        <v>24.4</v>
      </c>
      <c r="DB108" s="3">
        <f>IF(RTD("tos.rtd",,DB$83,"."&amp;$B$82&amp;$AS$82&amp;"P"&amp;$A108)="N/A",0,RTD("tos.rtd",,DB$83,"."&amp;$B$82&amp;$AS$82&amp;"P"&amp;$A108))</f>
        <v>0.05</v>
      </c>
      <c r="DC108" s="3">
        <f>IF(RTD("tos.rtd",,DC$83,"."&amp;$B$82&amp;$AS$82&amp;"C"&amp;$A108)="N/A",0,RTD("tos.rtd",,DC$83,"."&amp;$B$82&amp;$AS$82&amp;"C"&amp;$A108))</f>
        <v>26.5</v>
      </c>
      <c r="DD108" s="3">
        <f>IF(RTD("tos.rtd",,DD$83,"."&amp;$B$82&amp;$AS$82&amp;"P"&amp;$A108)="N/A",0,RTD("tos.rtd",,DD$83,"."&amp;$B$82&amp;$AS$82&amp;"P"&amp;$A108))</f>
        <v>0.05</v>
      </c>
      <c r="DE108" s="3">
        <f>IF(RTD("tos.rtd",,DE$83,"."&amp;$B$82&amp;$AS$82&amp;"C"&amp;$A108)="N/A",0,RTD("tos.rtd",,DE$83,"."&amp;$B$82&amp;$AS$82&amp;"C"&amp;$A108))</f>
        <v>22.9</v>
      </c>
      <c r="DF108" s="3">
        <f>IF(RTD("tos.rtd",,DF$83,"."&amp;$B$82&amp;$AS$82&amp;"P"&amp;$A108)="N/A",0,RTD("tos.rtd",,DF$83,"."&amp;$B$82&amp;$AS$82&amp;"P"&amp;$A108))</f>
        <v>0</v>
      </c>
      <c r="DG108" s="86">
        <f t="shared" si="499"/>
        <v>-19.909999999999854</v>
      </c>
      <c r="DH108" s="3">
        <f t="shared" si="468"/>
        <v>-2136.6666666666661</v>
      </c>
      <c r="DI108" s="3">
        <f t="shared" si="469"/>
        <v>25303</v>
      </c>
      <c r="DJ108" s="3">
        <f t="shared" si="470"/>
        <v>0</v>
      </c>
      <c r="DK108" s="3">
        <f t="shared" si="471"/>
        <v>25303</v>
      </c>
      <c r="DL108" s="3">
        <f t="shared" si="472"/>
        <v>23166.333333333336</v>
      </c>
      <c r="DM108" s="3">
        <f t="shared" si="473"/>
        <v>25303</v>
      </c>
      <c r="DN108" s="64" t="str">
        <f t="shared" si="474"/>
        <v>UNKNOWN</v>
      </c>
      <c r="DO108" s="64" t="str">
        <f t="shared" si="475"/>
        <v>UNKNOWN</v>
      </c>
      <c r="DP108" s="3">
        <f t="shared" si="476"/>
        <v>-50869.516666666648</v>
      </c>
      <c r="DQ108" s="3">
        <f t="shared" si="477"/>
        <v>1265.1500000000001</v>
      </c>
      <c r="DR108" s="3" t="e">
        <f t="shared" ca="1" si="478"/>
        <v>#NUM!</v>
      </c>
      <c r="DS108" s="3">
        <f t="shared" si="479"/>
        <v>253.03</v>
      </c>
      <c r="DT108" s="3">
        <f t="shared" si="500"/>
        <v>-5128</v>
      </c>
      <c r="DU108" s="3">
        <f t="shared" si="501"/>
        <v>25303</v>
      </c>
      <c r="DV108" s="3">
        <f t="shared" si="502"/>
        <v>-1299</v>
      </c>
      <c r="DW108" s="3">
        <f t="shared" si="503"/>
        <v>-3639</v>
      </c>
      <c r="DX108" s="3" t="e">
        <f t="shared" ca="1" si="512"/>
        <v>#NUM!</v>
      </c>
      <c r="DY108" s="3" t="e">
        <f t="shared" ca="1" si="480"/>
        <v>#NUM!</v>
      </c>
      <c r="DZ108" s="3" t="e">
        <f t="shared" ca="1" si="504"/>
        <v>#NUM!</v>
      </c>
      <c r="EA108" s="3" t="e">
        <f t="shared" ca="1" si="505"/>
        <v>#NUM!</v>
      </c>
      <c r="EB108" s="3" t="e">
        <f t="shared" ca="1" si="481"/>
        <v>#NUM!</v>
      </c>
      <c r="EC108" s="3" t="e">
        <f t="shared" ca="1" si="482"/>
        <v>#NUM!</v>
      </c>
      <c r="ED108" s="63">
        <f t="shared" si="506"/>
        <v>-4938</v>
      </c>
      <c r="EE108" s="59">
        <f t="shared" si="483"/>
        <v>0.71930000000000005</v>
      </c>
      <c r="EF108" s="59">
        <f t="shared" si="484"/>
        <v>0.1973</v>
      </c>
      <c r="EG108" s="59">
        <f t="shared" si="485"/>
        <v>0.35610000000000003</v>
      </c>
      <c r="EH108" s="59">
        <f t="shared" si="486"/>
        <v>0.1973</v>
      </c>
      <c r="EI108" s="59">
        <f t="shared" si="487"/>
        <v>0.39729999999999999</v>
      </c>
      <c r="EJ108" s="59">
        <f t="shared" si="488"/>
        <v>0.1411</v>
      </c>
      <c r="EK108" s="63" t="e">
        <f t="shared" ca="1" si="507"/>
        <v>#NUM!</v>
      </c>
      <c r="EL108" s="3" t="str">
        <f>RTD("tos.rtd",,EL$83,"."&amp;$B$82&amp;$AS$82&amp;"C"&amp;$A108)</f>
        <v>71.93%</v>
      </c>
      <c r="EM108" s="3" t="str">
        <f>RTD("tos.rtd",,EM$83,"."&amp;$B$82&amp;$AS$82&amp;"P"&amp;$A108)</f>
        <v>19.73%</v>
      </c>
      <c r="EN108" s="3" t="str">
        <f>RTD("tos.rtd",,EN$83,"."&amp;$C$82&amp;$AU$82&amp;"C"&amp;$A108)</f>
        <v>35.61%</v>
      </c>
      <c r="EO108" s="3" t="str">
        <f>RTD("tos.rtd",,EO$83,"."&amp;$C$82&amp;$AU$82&amp;"P"&amp;$A108)</f>
        <v>19.73%</v>
      </c>
      <c r="EP108" s="3" t="str">
        <f>RTD("tos.rtd",,EP$83,"."&amp;$D$82&amp;$AW$82&amp;"C"&amp;$A108)</f>
        <v>39.73%</v>
      </c>
      <c r="EQ108" s="3" t="str">
        <f>RTD("tos.rtd",,EQ$83,"."&amp;$D$82&amp;$AW$82&amp;"P"&amp;$A108)</f>
        <v>14.11%</v>
      </c>
      <c r="ES108" s="63" t="str">
        <f t="shared" si="489"/>
        <v>5640,-4938.00</v>
      </c>
      <c r="ET108" s="63" t="str">
        <f t="shared" ca="1" si="490"/>
        <v>5640,00.00</v>
      </c>
      <c r="EU108" s="67">
        <v>561.15</v>
      </c>
      <c r="EV108" s="67" t="s">
        <v>883</v>
      </c>
      <c r="EW108" s="67">
        <v>483.38</v>
      </c>
      <c r="EX108" s="67" t="s">
        <v>884</v>
      </c>
      <c r="EY108" s="67">
        <v>5631.28</v>
      </c>
      <c r="EZ108" s="67" t="s">
        <v>885</v>
      </c>
      <c r="FA108" s="67">
        <v>19867.973000000002</v>
      </c>
      <c r="FB108" s="67" t="s">
        <v>886</v>
      </c>
      <c r="FC108" s="67" t="s">
        <v>887</v>
      </c>
      <c r="FD108" s="67" t="s">
        <v>888</v>
      </c>
      <c r="FE108" s="68" t="s">
        <v>889</v>
      </c>
      <c r="FF108" s="68" t="s">
        <v>890</v>
      </c>
    </row>
    <row r="109" spans="1:162" s="63" customFormat="1" ht="12" customHeight="1" thickBot="1" x14ac:dyDescent="0.25">
      <c r="A109" s="2">
        <f t="shared" si="508"/>
        <v>5630</v>
      </c>
      <c r="B109" s="3">
        <f t="shared" si="451"/>
        <v>3140</v>
      </c>
      <c r="C109" s="3">
        <f t="shared" si="452"/>
        <v>2256</v>
      </c>
      <c r="D109" s="3">
        <f t="shared" si="453"/>
        <v>1490</v>
      </c>
      <c r="E109" s="3">
        <f t="shared" si="519"/>
        <v>6886</v>
      </c>
      <c r="F109" s="14">
        <f t="shared" si="522"/>
        <v>5716.1324119994842</v>
      </c>
      <c r="G109" s="14">
        <f t="shared" si="520"/>
        <v>568.09194845854438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>
        <v>3963</v>
      </c>
      <c r="AN109" s="20">
        <v>2820</v>
      </c>
      <c r="AO109" s="20">
        <v>5630</v>
      </c>
      <c r="AP109" s="20">
        <v>2346</v>
      </c>
      <c r="AQ109" s="20">
        <v>-25323</v>
      </c>
      <c r="AR109" s="20"/>
      <c r="AS109" s="54">
        <f>IF(RTD("tos.rtd",,AS$83,"."&amp;$B$82&amp;$AS$82&amp;"C"&amp;$A109)="N/A",0,RTD("tos.rtd",,AS$83,"."&amp;$B$82&amp;$AS$82&amp;"C"&amp;$A109))</f>
        <v>1324</v>
      </c>
      <c r="AT109" s="3">
        <f>-IF(RTD("tos.rtd",,AT$83,"."&amp;$B$82&amp;$AS$82&amp;"P"&amp;$A109)="N/A",0,RTD("tos.rtd",,AT$83,"."&amp;$B$82&amp;$AS$82&amp;"P"&amp;$A109))</f>
        <v>-1816</v>
      </c>
      <c r="AU109" s="54">
        <f>IF(RTD("tos.rtd",,AU$83,"."&amp;$C$82&amp;$AU$82&amp;"C"&amp;$A109)="N/A",0,RTD("tos.rtd",,AU$83,"."&amp;$C$82&amp;$AU$82&amp;"C"&amp;$A109))</f>
        <v>1052</v>
      </c>
      <c r="AV109" s="3">
        <f>-IF(RTD("tos.rtd",,AV$83,"."&amp;$C$82&amp;$AU$82&amp;"P"&amp;$A109)="N/A",0,RTD("tos.rtd",,AV$83,"."&amp;$C$82&amp;$AU$82&amp;"P"&amp;$A109))</f>
        <v>-1204</v>
      </c>
      <c r="AW109" s="54">
        <f>IF(RTD("tos.rtd",,AW$83,"."&amp;$D$82&amp;$AW$82&amp;"C"&amp;$A109)="N/A",0,RTD("tos.rtd",,AW$83,"."&amp;$D$82&amp;$AW$82&amp;"C"&amp;$A109))</f>
        <v>380</v>
      </c>
      <c r="AX109" s="3">
        <f>-IF(RTD("tos.rtd",,AX$83,"."&amp;$D$82&amp;$AW$82&amp;"P"&amp;$A109)="N/A",0,RTD("tos.rtd",,AX$83,"."&amp;$D$82&amp;$AW$82&amp;"P"&amp;$A109))</f>
        <v>-1110</v>
      </c>
      <c r="AY109" s="79">
        <f t="shared" si="521"/>
        <v>-1374</v>
      </c>
      <c r="AZ109" s="8">
        <f t="shared" si="455"/>
        <v>5630</v>
      </c>
      <c r="BA109" s="54">
        <f>IF(RTD("tos.rtd",,BA$83,"."&amp;$B$82&amp;$AS$82&amp;"C"&amp;$A109)="N/A",0,RTD("tos.rtd",,BA$83,"."&amp;$B$82&amp;$AS$82&amp;"C"&amp;$A109))</f>
        <v>0</v>
      </c>
      <c r="BB109" s="3">
        <f>-IF(RTD("tos.rtd",,BB$83,"."&amp;$B$82&amp;$AS$82&amp;"P"&amp;$A109)="N/A",0,RTD("tos.rtd",,BB$83,"."&amp;$B$82&amp;$AS$82&amp;"P"&amp;$A109))</f>
        <v>0</v>
      </c>
      <c r="BC109" s="54">
        <f>IF(RTD("tos.rtd",,BC$83,"."&amp;$C$82&amp;$AU$82&amp;"C"&amp;$A109)="N/A",0,RTD("tos.rtd",,BC$83,"."&amp;$C$82&amp;$AU$82&amp;"C"&amp;$A109))</f>
        <v>0</v>
      </c>
      <c r="BD109" s="3">
        <f>-IF(RTD("tos.rtd",,BD$83,"."&amp;$C$82&amp;$AU$82&amp;"P"&amp;$A109)="N/A",0,RTD("tos.rtd",,BD$83,"."&amp;$C$82&amp;$AU$82&amp;"P"&amp;$A109))</f>
        <v>0</v>
      </c>
      <c r="BE109" s="54">
        <f>IF(RTD("tos.rtd",,BE$83,"."&amp;$D$82&amp;$AW$82&amp;"C"&amp;$A109)="N/A",0,RTD("tos.rtd",,BE$83,"."&amp;$D$82&amp;$AW$82&amp;"C"&amp;$A109))</f>
        <v>0</v>
      </c>
      <c r="BF109" s="3">
        <f>-IF(RTD("tos.rtd",,BF$83,"."&amp;$D$82&amp;$AW$82&amp;"P"&amp;$A109)="N/A",0,RTD("tos.rtd",,BF$83,"."&amp;$D$82&amp;$AW$82&amp;"P"&amp;$A109))</f>
        <v>0</v>
      </c>
      <c r="BG109" s="3">
        <f ca="1">+Hoja2!Y110</f>
        <v>0</v>
      </c>
      <c r="BH109" s="55">
        <f t="shared" ca="1" si="493"/>
        <v>0</v>
      </c>
      <c r="BI109" s="32" t="str">
        <f t="shared" ca="1" si="513"/>
        <v/>
      </c>
      <c r="BJ109" s="3" t="e">
        <f ca="1">IF($BP$1=1,DX109,IF(RTD("tos.rtd",,BJ$83,"."&amp;$B$82&amp;$AS$82&amp;"C"&amp;$A109)="N/A",0,RTD("tos.rtd",,BJ$83,"."&amp;$B$82&amp;$AS$82&amp;"C"&amp;$A109)))</f>
        <v>#NUM!</v>
      </c>
      <c r="BK109" s="3" t="e">
        <f ca="1">IF($BP$1=1,DY109,-IF(RTD("tos.rtd",,BK$83,"."&amp;$B$82&amp;$AS$82&amp;"P"&amp;$A109)="N/A",0,RTD("tos.rtd",,BK$83,"."&amp;$B$82&amp;$AS$82&amp;"P"&amp;$A109)))</f>
        <v>#NUM!</v>
      </c>
      <c r="BL109" s="3" t="e">
        <f ca="1">IF($BP$1=1,DZ109,IF(RTD("tos.rtd",,BL$83,"."&amp;$C$82&amp;$AU$82&amp;"C"&amp;$A109)="N/A",0,RTD("tos.rtd",,BL$83,"."&amp;$C$82&amp;$AU$82&amp;"C"&amp;$A109)))</f>
        <v>#NUM!</v>
      </c>
      <c r="BM109" s="3" t="e">
        <f ca="1">IF($BP$1=1,EA109,-IF(RTD("tos.rtd",,BM$83,"."&amp;$C$82&amp;$AU$82&amp;"P"&amp;$A109)="N/A",0,RTD("tos.rtd",,BM$83,"."&amp;$C$82&amp;$AU$82&amp;"P"&amp;$A109)))</f>
        <v>#NUM!</v>
      </c>
      <c r="BN109" s="3" t="e">
        <f ca="1">IF($BP$1=1,EB109,IF(RTD("tos.rtd",,BN$83,"."&amp;$D$82&amp;$AW$82&amp;"C"&amp;$A109)="N/A",0,RTD("tos.rtd",,BN$83,"."&amp;$D$82&amp;$AW$82&amp;"C"&amp;$A109)))</f>
        <v>#NUM!</v>
      </c>
      <c r="BO109" s="3" t="e">
        <f ca="1">IF($BP$1=1,EC109,-IF(RTD("tos.rtd",,BO$83,"."&amp;$D$82&amp;$AW$82&amp;"P"&amp;$A109)="N/A",0,RTD("tos.rtd",,BO$83,"."&amp;$D$82&amp;$AW$82&amp;"P"&amp;$A109)))</f>
        <v>#NUM!</v>
      </c>
      <c r="BQ109" s="3" t="e">
        <f t="shared" ca="1" si="456"/>
        <v>#NUM!</v>
      </c>
      <c r="BR109" s="3" t="e">
        <f t="shared" ca="1" si="494"/>
        <v>#NUM!</v>
      </c>
      <c r="BS109" s="3" t="e">
        <f t="shared" ca="1" si="457"/>
        <v>#NUM!</v>
      </c>
      <c r="BT109" s="3" t="e">
        <f t="shared" ca="1" si="494"/>
        <v>#NUM!</v>
      </c>
      <c r="BU109" s="3" t="e">
        <f t="shared" ca="1" si="458"/>
        <v>#NUM!</v>
      </c>
      <c r="BV109" s="3" t="e">
        <f t="shared" ca="1" si="494"/>
        <v>#NUM!</v>
      </c>
      <c r="BX109" s="3" t="e">
        <f t="shared" ca="1" si="459"/>
        <v>#NUM!</v>
      </c>
      <c r="BY109" s="3" t="e">
        <f t="shared" ca="1" si="510"/>
        <v>#NUM!</v>
      </c>
      <c r="BZ109" s="3" t="e">
        <f t="shared" ca="1" si="460"/>
        <v>#NUM!</v>
      </c>
      <c r="CA109" s="3" t="e">
        <f t="shared" ca="1" si="510"/>
        <v>#NUM!</v>
      </c>
      <c r="CB109" s="3" t="e">
        <f t="shared" ca="1" si="461"/>
        <v>#NUM!</v>
      </c>
      <c r="CC109" s="3" t="e">
        <f t="shared" ca="1" si="510"/>
        <v>#NUM!</v>
      </c>
      <c r="CD109" s="3">
        <f>IF(RTD("tos.rtd",,CD$83,"."&amp;$B$82&amp;$AS$82&amp;"C"&amp;$A109)="N/A",0,RTD("tos.rtd",,CD$83,"."&amp;$B$82&amp;$AS$82&amp;"C"&amp;$A109))</f>
        <v>0.79</v>
      </c>
      <c r="CE109" s="3">
        <f>-IF(RTD("tos.rtd",,CE$83,"."&amp;$B$82&amp;$AS$82&amp;"P"&amp;$A109)="N/A",0,RTD("tos.rtd",,CE$83,"."&amp;$B$82&amp;$AS$82&amp;"P"&amp;$A109))</f>
        <v>0.01</v>
      </c>
      <c r="CF109" s="3">
        <f>IF(RTD("tos.rtd",,CF$83,"."&amp;$C$82&amp;$AU$82&amp;"C"&amp;$A109)="N/A",0,RTD("tos.rtd",,CF$83,"."&amp;$C$82&amp;$AU$82&amp;"C"&amp;$A109))</f>
        <v>1</v>
      </c>
      <c r="CG109" s="3">
        <f>-IF(RTD("tos.rtd",,CG$83,"."&amp;$C$82&amp;$AU$82&amp;"P"&amp;$A109)="N/A",0,RTD("tos.rtd",,CG$83,"."&amp;$C$82&amp;$AU$82&amp;"P"&amp;$A109))</f>
        <v>0.01</v>
      </c>
      <c r="CH109" s="3">
        <f>IF(RTD("tos.rtd",,CH$83,"."&amp;$D$82&amp;$AW$82&amp;"C"&amp;$A109)="N/A",0,RTD("tos.rtd",,CH$83,"."&amp;$D$82&amp;$AW$82&amp;"C"&amp;$A109))</f>
        <v>0.56000000000000005</v>
      </c>
      <c r="CI109" s="3">
        <f>-IF(RTD("tos.rtd",,CI$83,"."&amp;$D$82&amp;$AW$82&amp;"P"&amp;$A109)="N/A",0,RTD("tos.rtd",,CI$83,"."&amp;$D$82&amp;$AW$82&amp;"P"&amp;$A109))</f>
        <v>0.36</v>
      </c>
      <c r="CK109" s="3">
        <f t="shared" si="495"/>
        <v>102780</v>
      </c>
      <c r="CL109" s="3"/>
      <c r="CM109" s="3">
        <f t="shared" si="496"/>
        <v>103996</v>
      </c>
      <c r="CN109" s="3"/>
      <c r="CO109" s="3">
        <f t="shared" si="497"/>
        <v>-18680</v>
      </c>
      <c r="CP109" s="3">
        <f t="shared" si="462"/>
        <v>188096</v>
      </c>
      <c r="CQ109" s="3">
        <f t="shared" si="463"/>
        <v>0</v>
      </c>
      <c r="CR109" s="3"/>
      <c r="CS109" s="3">
        <f t="shared" si="464"/>
        <v>0</v>
      </c>
      <c r="CT109" s="3"/>
      <c r="CU109" s="3">
        <f t="shared" si="465"/>
        <v>0</v>
      </c>
      <c r="CV109" s="3"/>
      <c r="CW109" s="3" t="e">
        <f t="shared" ca="1" si="466"/>
        <v>#NUM!</v>
      </c>
      <c r="CY109" s="3" t="e">
        <f t="shared" ca="1" si="467"/>
        <v>#NUM!</v>
      </c>
      <c r="CZ109" s="70" t="e">
        <f t="shared" ca="1" si="511"/>
        <v>#NUM!</v>
      </c>
      <c r="DA109" s="3">
        <f>IF(RTD("tos.rtd",,DA$83,"."&amp;$B$82&amp;$AS$82&amp;"C"&amp;$A109)="N/A",0,RTD("tos.rtd",,DA$83,"."&amp;$B$82&amp;$AS$82&amp;"C"&amp;$A109))</f>
        <v>35.700000000000003</v>
      </c>
      <c r="DB109" s="3">
        <f>IF(RTD("tos.rtd",,DB$83,"."&amp;$B$82&amp;$AS$82&amp;"P"&amp;$A109)="N/A",0,RTD("tos.rtd",,DB$83,"."&amp;$B$82&amp;$AS$82&amp;"P"&amp;$A109))</f>
        <v>0.03</v>
      </c>
      <c r="DC109" s="3">
        <f>IF(RTD("tos.rtd",,DC$83,"."&amp;$B$82&amp;$AS$82&amp;"C"&amp;$A109)="N/A",0,RTD("tos.rtd",,DC$83,"."&amp;$B$82&amp;$AS$82&amp;"C"&amp;$A109))</f>
        <v>36.5</v>
      </c>
      <c r="DD109" s="3">
        <f>IF(RTD("tos.rtd",,DD$83,"."&amp;$B$82&amp;$AS$82&amp;"P"&amp;$A109)="N/A",0,RTD("tos.rtd",,DD$83,"."&amp;$B$82&amp;$AS$82&amp;"P"&amp;$A109))</f>
        <v>0.05</v>
      </c>
      <c r="DE109" s="3">
        <f>IF(RTD("tos.rtd",,DE$83,"."&amp;$B$82&amp;$AS$82&amp;"C"&amp;$A109)="N/A",0,RTD("tos.rtd",,DE$83,"."&amp;$B$82&amp;$AS$82&amp;"C"&amp;$A109))</f>
        <v>32.700000000000003</v>
      </c>
      <c r="DF109" s="3">
        <f>IF(RTD("tos.rtd",,DF$83,"."&amp;$B$82&amp;$AS$82&amp;"P"&amp;$A109)="N/A",0,RTD("tos.rtd",,DF$83,"."&amp;$B$82&amp;$AS$82&amp;"P"&amp;$A109))</f>
        <v>0</v>
      </c>
      <c r="DG109" s="86">
        <f t="shared" si="499"/>
        <v>-29.909999999999854</v>
      </c>
      <c r="DH109" s="3">
        <f t="shared" si="468"/>
        <v>-1852.1052631578962</v>
      </c>
      <c r="DI109" s="3">
        <f t="shared" si="469"/>
        <v>15193.8</v>
      </c>
      <c r="DJ109" s="3">
        <f t="shared" si="470"/>
        <v>-2346</v>
      </c>
      <c r="DK109" s="3">
        <f t="shared" si="471"/>
        <v>25323</v>
      </c>
      <c r="DL109" s="3">
        <f t="shared" si="472"/>
        <v>13341.694736842102</v>
      </c>
      <c r="DM109" s="3">
        <f t="shared" si="473"/>
        <v>22977</v>
      </c>
      <c r="DN109" s="64" t="str">
        <f t="shared" si="474"/>
        <v>UNKNOWN</v>
      </c>
      <c r="DO109" s="64" t="str">
        <f t="shared" si="475"/>
        <v>UNKNOWN</v>
      </c>
      <c r="DP109" s="3">
        <f t="shared" si="476"/>
        <v>-65664.3438947369</v>
      </c>
      <c r="DQ109" s="3">
        <f t="shared" si="477"/>
        <v>-82992.510000000009</v>
      </c>
      <c r="DR109" s="3" t="e">
        <f t="shared" ca="1" si="478"/>
        <v>#NUM!</v>
      </c>
      <c r="DS109" s="3">
        <f t="shared" si="479"/>
        <v>-1600.1100000000001</v>
      </c>
      <c r="DT109" s="3">
        <f t="shared" si="500"/>
        <v>-2346</v>
      </c>
      <c r="DU109" s="3">
        <f t="shared" si="501"/>
        <v>25323</v>
      </c>
      <c r="DV109" s="3">
        <f t="shared" si="502"/>
        <v>3963</v>
      </c>
      <c r="DW109" s="3">
        <f t="shared" si="503"/>
        <v>2820</v>
      </c>
      <c r="DX109" s="3" t="e">
        <f t="shared" ca="1" si="512"/>
        <v>#NUM!</v>
      </c>
      <c r="DY109" s="3" t="e">
        <f t="shared" ca="1" si="480"/>
        <v>#NUM!</v>
      </c>
      <c r="DZ109" s="3" t="e">
        <f t="shared" ca="1" si="504"/>
        <v>#NUM!</v>
      </c>
      <c r="EA109" s="3" t="e">
        <f t="shared" ca="1" si="505"/>
        <v>#NUM!</v>
      </c>
      <c r="EB109" s="3" t="e">
        <f t="shared" ca="1" si="481"/>
        <v>#NUM!</v>
      </c>
      <c r="EC109" s="3" t="e">
        <f t="shared" ca="1" si="482"/>
        <v>#NUM!</v>
      </c>
      <c r="ED109" s="63">
        <f t="shared" si="506"/>
        <v>6783</v>
      </c>
      <c r="EE109" s="59">
        <f t="shared" si="483"/>
        <v>0.89180000000000004</v>
      </c>
      <c r="EF109" s="59">
        <f t="shared" si="484"/>
        <v>0.28160000000000002</v>
      </c>
      <c r="EG109" s="59">
        <f t="shared" si="485"/>
        <v>0.25</v>
      </c>
      <c r="EH109" s="59">
        <f t="shared" si="486"/>
        <v>0.28160000000000002</v>
      </c>
      <c r="EI109" s="59">
        <f t="shared" si="487"/>
        <v>0.41</v>
      </c>
      <c r="EJ109" s="59">
        <f t="shared" si="488"/>
        <v>0.14710000000000001</v>
      </c>
      <c r="EK109" s="63" t="e">
        <f t="shared" ca="1" si="507"/>
        <v>#NUM!</v>
      </c>
      <c r="EL109" s="3" t="str">
        <f>RTD("tos.rtd",,EL$83,"."&amp;$B$82&amp;$AS$82&amp;"C"&amp;$A109)</f>
        <v>89.18%</v>
      </c>
      <c r="EM109" s="3" t="str">
        <f>RTD("tos.rtd",,EM$83,"."&amp;$B$82&amp;$AS$82&amp;"P"&amp;$A109)</f>
        <v>28.16%</v>
      </c>
      <c r="EN109" s="3" t="str">
        <f>RTD("tos.rtd",,EN$83,"."&amp;$C$82&amp;$AU$82&amp;"C"&amp;$A109)</f>
        <v>--</v>
      </c>
      <c r="EO109" s="3" t="str">
        <f>RTD("tos.rtd",,EO$83,"."&amp;$C$82&amp;$AU$82&amp;"P"&amp;$A109)</f>
        <v>28.16%</v>
      </c>
      <c r="EP109" s="3" t="str">
        <f>RTD("tos.rtd",,EP$83,"."&amp;$D$82&amp;$AW$82&amp;"C"&amp;$A109)</f>
        <v>41.00%</v>
      </c>
      <c r="EQ109" s="3" t="str">
        <f>RTD("tos.rtd",,EQ$83,"."&amp;$D$82&amp;$AW$82&amp;"P"&amp;$A109)</f>
        <v>14.71%</v>
      </c>
      <c r="ES109" s="63" t="str">
        <f t="shared" si="489"/>
        <v>5630,6783.00</v>
      </c>
      <c r="ET109" s="63" t="str">
        <f t="shared" ca="1" si="490"/>
        <v>5630,00.00</v>
      </c>
      <c r="EU109" s="67">
        <v>561.14</v>
      </c>
      <c r="EV109" s="67" t="s">
        <v>891</v>
      </c>
      <c r="EW109" s="67">
        <v>483.33</v>
      </c>
      <c r="EX109" s="67" t="s">
        <v>892</v>
      </c>
      <c r="EY109" s="67">
        <v>5631.28</v>
      </c>
      <c r="EZ109" s="67" t="s">
        <v>893</v>
      </c>
      <c r="FA109" s="67">
        <v>19867.973000000002</v>
      </c>
      <c r="FB109" s="67" t="s">
        <v>894</v>
      </c>
      <c r="FC109" s="67" t="s">
        <v>895</v>
      </c>
      <c r="FD109" s="67" t="s">
        <v>896</v>
      </c>
      <c r="FE109" s="68" t="s">
        <v>897</v>
      </c>
      <c r="FF109" s="68" t="s">
        <v>898</v>
      </c>
    </row>
    <row r="110" spans="1:162" s="63" customFormat="1" ht="12" customHeight="1" thickBot="1" x14ac:dyDescent="0.25">
      <c r="A110" s="2">
        <f t="shared" si="508"/>
        <v>5620</v>
      </c>
      <c r="B110" s="3">
        <f t="shared" si="451"/>
        <v>1206</v>
      </c>
      <c r="C110" s="3">
        <f t="shared" si="452"/>
        <v>4019</v>
      </c>
      <c r="D110" s="3">
        <f t="shared" si="453"/>
        <v>1396</v>
      </c>
      <c r="E110" s="3">
        <f t="shared" si="519"/>
        <v>6621</v>
      </c>
      <c r="F110" s="4">
        <f t="shared" si="522"/>
        <v>5705.9794237010838</v>
      </c>
      <c r="G110" s="4">
        <f t="shared" si="520"/>
        <v>567.08290414511896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>
        <v>-5477</v>
      </c>
      <c r="AN110" s="20">
        <v>22</v>
      </c>
      <c r="AO110" s="20">
        <v>5620</v>
      </c>
      <c r="AP110" s="20">
        <v>1254</v>
      </c>
      <c r="AQ110" s="20">
        <v>-19966</v>
      </c>
      <c r="AR110" s="20"/>
      <c r="AS110" s="54">
        <f>IF(RTD("tos.rtd",,AS$83,"."&amp;$B$82&amp;$AS$82&amp;"C"&amp;$A110)="N/A",0,RTD("tos.rtd",,AS$83,"."&amp;$B$82&amp;$AS$82&amp;"C"&amp;$A110))</f>
        <v>407</v>
      </c>
      <c r="AT110" s="3">
        <f>-IF(RTD("tos.rtd",,AT$83,"."&amp;$B$82&amp;$AS$82&amp;"P"&amp;$A110)="N/A",0,RTD("tos.rtd",,AT$83,"."&amp;$B$82&amp;$AS$82&amp;"P"&amp;$A110))</f>
        <v>-799</v>
      </c>
      <c r="AU110" s="54">
        <f>IF(RTD("tos.rtd",,AU$83,"."&amp;$C$82&amp;$AU$82&amp;"C"&amp;$A110)="N/A",0,RTD("tos.rtd",,AU$83,"."&amp;$C$82&amp;$AU$82&amp;"C"&amp;$A110))</f>
        <v>1685</v>
      </c>
      <c r="AV110" s="3">
        <f>-IF(RTD("tos.rtd",,AV$83,"."&amp;$C$82&amp;$AU$82&amp;"P"&amp;$A110)="N/A",0,RTD("tos.rtd",,AV$83,"."&amp;$C$82&amp;$AU$82&amp;"P"&amp;$A110))</f>
        <v>-2334</v>
      </c>
      <c r="AW110" s="54">
        <f>IF(RTD("tos.rtd",,AW$83,"."&amp;$D$82&amp;$AW$82&amp;"C"&amp;$A110)="N/A",0,RTD("tos.rtd",,AW$83,"."&amp;$D$82&amp;$AW$82&amp;"C"&amp;$A110))</f>
        <v>619</v>
      </c>
      <c r="AX110" s="3">
        <f>-IF(RTD("tos.rtd",,AX$83,"."&amp;$D$82&amp;$AW$82&amp;"P"&amp;$A110)="N/A",0,RTD("tos.rtd",,AX$83,"."&amp;$D$82&amp;$AW$82&amp;"P"&amp;$A110))</f>
        <v>-777</v>
      </c>
      <c r="AY110" s="79">
        <f t="shared" si="521"/>
        <v>-1199</v>
      </c>
      <c r="AZ110" s="8">
        <f t="shared" si="455"/>
        <v>5620</v>
      </c>
      <c r="BA110" s="54">
        <f>IF(RTD("tos.rtd",,BA$83,"."&amp;$B$82&amp;$AS$82&amp;"C"&amp;$A110)="N/A",0,RTD("tos.rtd",,BA$83,"."&amp;$B$82&amp;$AS$82&amp;"C"&amp;$A110))</f>
        <v>0</v>
      </c>
      <c r="BB110" s="3">
        <f>-IF(RTD("tos.rtd",,BB$83,"."&amp;$B$82&amp;$AS$82&amp;"P"&amp;$A110)="N/A",0,RTD("tos.rtd",,BB$83,"."&amp;$B$82&amp;$AS$82&amp;"P"&amp;$A110))</f>
        <v>0</v>
      </c>
      <c r="BC110" s="54">
        <f>IF(RTD("tos.rtd",,BC$83,"."&amp;$C$82&amp;$AU$82&amp;"C"&amp;$A110)="N/A",0,RTD("tos.rtd",,BC$83,"."&amp;$C$82&amp;$AU$82&amp;"C"&amp;$A110))</f>
        <v>0</v>
      </c>
      <c r="BD110" s="3">
        <f>-IF(RTD("tos.rtd",,BD$83,"."&amp;$C$82&amp;$AU$82&amp;"P"&amp;$A110)="N/A",0,RTD("tos.rtd",,BD$83,"."&amp;$C$82&amp;$AU$82&amp;"P"&amp;$A110))</f>
        <v>0</v>
      </c>
      <c r="BE110" s="54">
        <f>IF(RTD("tos.rtd",,BE$83,"."&amp;$D$82&amp;$AW$82&amp;"C"&amp;$A110)="N/A",0,RTD("tos.rtd",,BE$83,"."&amp;$D$82&amp;$AW$82&amp;"C"&amp;$A110))</f>
        <v>0</v>
      </c>
      <c r="BF110" s="3">
        <f>-IF(RTD("tos.rtd",,BF$83,"."&amp;$D$82&amp;$AW$82&amp;"P"&amp;$A110)="N/A",0,RTD("tos.rtd",,BF$83,"."&amp;$D$82&amp;$AW$82&amp;"P"&amp;$A110))</f>
        <v>0</v>
      </c>
      <c r="BG110" s="3">
        <f ca="1">+Hoja2!Y111</f>
        <v>0</v>
      </c>
      <c r="BH110" s="55">
        <f t="shared" ca="1" si="493"/>
        <v>0</v>
      </c>
      <c r="BI110" s="32" t="str">
        <f t="shared" ca="1" si="513"/>
        <v/>
      </c>
      <c r="BJ110" s="3" t="e">
        <f ca="1">IF($BP$1=1,DX110,IF(RTD("tos.rtd",,BJ$83,"."&amp;$B$82&amp;$AS$82&amp;"C"&amp;$A110)="N/A",0,RTD("tos.rtd",,BJ$83,"."&amp;$B$82&amp;$AS$82&amp;"C"&amp;$A110)))</f>
        <v>#NUM!</v>
      </c>
      <c r="BK110" s="3" t="e">
        <f ca="1">IF($BP$1=1,DY110,-IF(RTD("tos.rtd",,BK$83,"."&amp;$B$82&amp;$AS$82&amp;"P"&amp;$A110)="N/A",0,RTD("tos.rtd",,BK$83,"."&amp;$B$82&amp;$AS$82&amp;"P"&amp;$A110)))</f>
        <v>#NUM!</v>
      </c>
      <c r="BL110" s="3" t="e">
        <f ca="1">IF($BP$1=1,DZ110,IF(RTD("tos.rtd",,BL$83,"."&amp;$C$82&amp;$AU$82&amp;"C"&amp;$A110)="N/A",0,RTD("tos.rtd",,BL$83,"."&amp;$C$82&amp;$AU$82&amp;"C"&amp;$A110)))</f>
        <v>#NUM!</v>
      </c>
      <c r="BM110" s="3" t="e">
        <f ca="1">IF($BP$1=1,EA110,-IF(RTD("tos.rtd",,BM$83,"."&amp;$C$82&amp;$AU$82&amp;"P"&amp;$A110)="N/A",0,RTD("tos.rtd",,BM$83,"."&amp;$C$82&amp;$AU$82&amp;"P"&amp;$A110)))</f>
        <v>#NUM!</v>
      </c>
      <c r="BN110" s="3" t="e">
        <f ca="1">IF($BP$1=1,EB110,IF(RTD("tos.rtd",,BN$83,"."&amp;$D$82&amp;$AW$82&amp;"C"&amp;$A110)="N/A",0,RTD("tos.rtd",,BN$83,"."&amp;$D$82&amp;$AW$82&amp;"C"&amp;$A110)))</f>
        <v>#NUM!</v>
      </c>
      <c r="BO110" s="3" t="e">
        <f ca="1">IF($BP$1=1,EC110,-IF(RTD("tos.rtd",,BO$83,"."&amp;$D$82&amp;$AW$82&amp;"P"&amp;$A110)="N/A",0,RTD("tos.rtd",,BO$83,"."&amp;$D$82&amp;$AW$82&amp;"P"&amp;$A110)))</f>
        <v>#NUM!</v>
      </c>
      <c r="BQ110" s="3" t="e">
        <f t="shared" ca="1" si="456"/>
        <v>#NUM!</v>
      </c>
      <c r="BR110" s="3" t="e">
        <f t="shared" ca="1" si="494"/>
        <v>#NUM!</v>
      </c>
      <c r="BS110" s="3" t="e">
        <f t="shared" ca="1" si="457"/>
        <v>#NUM!</v>
      </c>
      <c r="BT110" s="3" t="e">
        <f t="shared" ca="1" si="494"/>
        <v>#NUM!</v>
      </c>
      <c r="BU110" s="3" t="e">
        <f t="shared" ca="1" si="458"/>
        <v>#NUM!</v>
      </c>
      <c r="BV110" s="3" t="e">
        <f t="shared" ca="1" si="494"/>
        <v>#NUM!</v>
      </c>
      <c r="BX110" s="3" t="e">
        <f t="shared" ca="1" si="459"/>
        <v>#NUM!</v>
      </c>
      <c r="BY110" s="3" t="e">
        <f t="shared" ca="1" si="510"/>
        <v>#NUM!</v>
      </c>
      <c r="BZ110" s="3" t="e">
        <f t="shared" ca="1" si="460"/>
        <v>#NUM!</v>
      </c>
      <c r="CA110" s="3" t="e">
        <f t="shared" ca="1" si="510"/>
        <v>#NUM!</v>
      </c>
      <c r="CB110" s="3" t="e">
        <f t="shared" ca="1" si="461"/>
        <v>#NUM!</v>
      </c>
      <c r="CC110" s="3" t="e">
        <f t="shared" ca="1" si="510"/>
        <v>#NUM!</v>
      </c>
      <c r="CD110" s="3">
        <f>IF(RTD("tos.rtd",,CD$83,"."&amp;$B$82&amp;$AS$82&amp;"C"&amp;$A110)="N/A",0,RTD("tos.rtd",,CD$83,"."&amp;$B$82&amp;$AS$82&amp;"C"&amp;$A110))</f>
        <v>0.82</v>
      </c>
      <c r="CE110" s="3">
        <f>-IF(RTD("tos.rtd",,CE$83,"."&amp;$B$82&amp;$AS$82&amp;"P"&amp;$A110)="N/A",0,RTD("tos.rtd",,CE$83,"."&amp;$B$82&amp;$AS$82&amp;"P"&amp;$A110))</f>
        <v>0.01</v>
      </c>
      <c r="CF110" s="3">
        <f>IF(RTD("tos.rtd",,CF$83,"."&amp;$C$82&amp;$AU$82&amp;"C"&amp;$A110)="N/A",0,RTD("tos.rtd",,CF$83,"."&amp;$C$82&amp;$AU$82&amp;"C"&amp;$A110))</f>
        <v>1</v>
      </c>
      <c r="CG110" s="3">
        <f>-IF(RTD("tos.rtd",,CG$83,"."&amp;$C$82&amp;$AU$82&amp;"P"&amp;$A110)="N/A",0,RTD("tos.rtd",,CG$83,"."&amp;$C$82&amp;$AU$82&amp;"P"&amp;$A110))</f>
        <v>0.01</v>
      </c>
      <c r="CH110" s="3">
        <f>IF(RTD("tos.rtd",,CH$83,"."&amp;$D$82&amp;$AW$82&amp;"C"&amp;$A110)="N/A",0,RTD("tos.rtd",,CH$83,"."&amp;$D$82&amp;$AW$82&amp;"C"&amp;$A110))</f>
        <v>0.56999999999999995</v>
      </c>
      <c r="CI110" s="3">
        <f>-IF(RTD("tos.rtd",,CI$83,"."&amp;$D$82&amp;$AW$82&amp;"P"&amp;$A110)="N/A",0,RTD("tos.rtd",,CI$83,"."&amp;$D$82&amp;$AW$82&amp;"P"&amp;$A110))</f>
        <v>0.33</v>
      </c>
      <c r="CK110" s="3">
        <f t="shared" si="495"/>
        <v>32574.999999999993</v>
      </c>
      <c r="CL110" s="3"/>
      <c r="CM110" s="3">
        <f t="shared" si="496"/>
        <v>166166</v>
      </c>
      <c r="CN110" s="3"/>
      <c r="CO110" s="3">
        <f t="shared" si="497"/>
        <v>9641.9999999999964</v>
      </c>
      <c r="CP110" s="3">
        <f t="shared" si="462"/>
        <v>208383</v>
      </c>
      <c r="CQ110" s="3">
        <f t="shared" si="463"/>
        <v>0</v>
      </c>
      <c r="CR110" s="3"/>
      <c r="CS110" s="3">
        <f t="shared" si="464"/>
        <v>0</v>
      </c>
      <c r="CT110" s="3"/>
      <c r="CU110" s="3">
        <f t="shared" si="465"/>
        <v>0</v>
      </c>
      <c r="CV110" s="3"/>
      <c r="CW110" s="3" t="e">
        <f t="shared" ca="1" si="466"/>
        <v>#NUM!</v>
      </c>
      <c r="CY110" s="3" t="e">
        <f t="shared" ca="1" si="467"/>
        <v>#NUM!</v>
      </c>
      <c r="CZ110" s="70" t="e">
        <f t="shared" ca="1" si="511"/>
        <v>#NUM!</v>
      </c>
      <c r="DA110" s="3">
        <f>IF(RTD("tos.rtd",,DA$83,"."&amp;$B$82&amp;$AS$82&amp;"C"&amp;$A110)="N/A",0,RTD("tos.rtd",,DA$83,"."&amp;$B$82&amp;$AS$82&amp;"C"&amp;$A110))</f>
        <v>45.58</v>
      </c>
      <c r="DB110" s="3">
        <f>IF(RTD("tos.rtd",,DB$83,"."&amp;$B$82&amp;$AS$82&amp;"P"&amp;$A110)="N/A",0,RTD("tos.rtd",,DB$83,"."&amp;$B$82&amp;$AS$82&amp;"P"&amp;$A110))</f>
        <v>0.05</v>
      </c>
      <c r="DC110" s="3">
        <f>IF(RTD("tos.rtd",,DC$83,"."&amp;$B$82&amp;$AS$82&amp;"C"&amp;$A110)="N/A",0,RTD("tos.rtd",,DC$83,"."&amp;$B$82&amp;$AS$82&amp;"C"&amp;$A110))</f>
        <v>45.5</v>
      </c>
      <c r="DD110" s="3">
        <f>IF(RTD("tos.rtd",,DD$83,"."&amp;$B$82&amp;$AS$82&amp;"P"&amp;$A110)="N/A",0,RTD("tos.rtd",,DD$83,"."&amp;$B$82&amp;$AS$82&amp;"P"&amp;$A110))</f>
        <v>0.05</v>
      </c>
      <c r="DE110" s="3">
        <f>IF(RTD("tos.rtd",,DE$83,"."&amp;$B$82&amp;$AS$82&amp;"C"&amp;$A110)="N/A",0,RTD("tos.rtd",,DE$83,"."&amp;$B$82&amp;$AS$82&amp;"C"&amp;$A110))</f>
        <v>42.7</v>
      </c>
      <c r="DF110" s="3">
        <f>IF(RTD("tos.rtd",,DF$83,"."&amp;$B$82&amp;$AS$82&amp;"P"&amp;$A110)="N/A",0,RTD("tos.rtd",,DF$83,"."&amp;$B$82&amp;$AS$82&amp;"P"&amp;$A110))</f>
        <v>0</v>
      </c>
      <c r="DG110" s="86">
        <f t="shared" si="499"/>
        <v>-39.909999999999854</v>
      </c>
      <c r="DH110" s="3">
        <f t="shared" si="468"/>
        <v>-1289.8285714285707</v>
      </c>
      <c r="DI110" s="3">
        <f t="shared" si="469"/>
        <v>19966</v>
      </c>
      <c r="DJ110" s="3">
        <f t="shared" si="470"/>
        <v>-1254</v>
      </c>
      <c r="DK110" s="3">
        <f t="shared" si="471"/>
        <v>19966</v>
      </c>
      <c r="DL110" s="3">
        <f t="shared" si="472"/>
        <v>18676.17142857143</v>
      </c>
      <c r="DM110" s="3">
        <f t="shared" si="473"/>
        <v>18712</v>
      </c>
      <c r="DN110" s="64" t="str">
        <f t="shared" si="474"/>
        <v>UNKNOWN</v>
      </c>
      <c r="DO110" s="64" t="str">
        <f t="shared" si="475"/>
        <v>UNKNOWN</v>
      </c>
      <c r="DP110" s="3">
        <f t="shared" si="476"/>
        <v>-57792.086285714249</v>
      </c>
      <c r="DQ110" s="3">
        <f t="shared" si="477"/>
        <v>-56159.02</v>
      </c>
      <c r="DR110" s="3" t="e">
        <f t="shared" ca="1" si="478"/>
        <v>#NUM!</v>
      </c>
      <c r="DS110" s="3">
        <f t="shared" si="479"/>
        <v>-828.62</v>
      </c>
      <c r="DT110" s="3">
        <f t="shared" si="500"/>
        <v>-1254</v>
      </c>
      <c r="DU110" s="3">
        <f t="shared" si="501"/>
        <v>19966</v>
      </c>
      <c r="DV110" s="3">
        <f t="shared" si="502"/>
        <v>-5477</v>
      </c>
      <c r="DW110" s="3">
        <f t="shared" si="503"/>
        <v>22</v>
      </c>
      <c r="DX110" s="3" t="e">
        <f t="shared" ca="1" si="512"/>
        <v>#NUM!</v>
      </c>
      <c r="DY110" s="3" t="e">
        <f t="shared" ca="1" si="480"/>
        <v>#NUM!</v>
      </c>
      <c r="DZ110" s="3" t="e">
        <f t="shared" ca="1" si="504"/>
        <v>#NUM!</v>
      </c>
      <c r="EA110" s="3" t="e">
        <f t="shared" ca="1" si="505"/>
        <v>#NUM!</v>
      </c>
      <c r="EB110" s="3" t="e">
        <f t="shared" ca="1" si="481"/>
        <v>#NUM!</v>
      </c>
      <c r="EC110" s="3" t="e">
        <f t="shared" ca="1" si="482"/>
        <v>#NUM!</v>
      </c>
      <c r="ED110" s="63">
        <f t="shared" si="506"/>
        <v>-5455</v>
      </c>
      <c r="EE110" s="59">
        <f t="shared" si="483"/>
        <v>1.0165</v>
      </c>
      <c r="EF110" s="59">
        <f t="shared" si="484"/>
        <v>0.36470000000000002</v>
      </c>
      <c r="EG110" s="59">
        <f t="shared" si="485"/>
        <v>0.25</v>
      </c>
      <c r="EH110" s="59">
        <f t="shared" si="486"/>
        <v>0.36470000000000002</v>
      </c>
      <c r="EI110" s="59">
        <f t="shared" si="487"/>
        <v>0.41909999999999997</v>
      </c>
      <c r="EJ110" s="59">
        <f t="shared" si="488"/>
        <v>0.15240000000000001</v>
      </c>
      <c r="EK110" s="63" t="e">
        <f t="shared" ca="1" si="507"/>
        <v>#NUM!</v>
      </c>
      <c r="EL110" s="3" t="str">
        <f>RTD("tos.rtd",,EL$83,"."&amp;$B$82&amp;$AS$82&amp;"C"&amp;$A110)</f>
        <v>101.65%</v>
      </c>
      <c r="EM110" s="3" t="str">
        <f>RTD("tos.rtd",,EM$83,"."&amp;$B$82&amp;$AS$82&amp;"P"&amp;$A110)</f>
        <v>36.47%</v>
      </c>
      <c r="EN110" s="3" t="str">
        <f>RTD("tos.rtd",,EN$83,"."&amp;$C$82&amp;$AU$82&amp;"C"&amp;$A110)</f>
        <v>--</v>
      </c>
      <c r="EO110" s="3" t="str">
        <f>RTD("tos.rtd",,EO$83,"."&amp;$C$82&amp;$AU$82&amp;"P"&amp;$A110)</f>
        <v>36.47%</v>
      </c>
      <c r="EP110" s="3" t="str">
        <f>RTD("tos.rtd",,EP$83,"."&amp;$D$82&amp;$AW$82&amp;"C"&amp;$A110)</f>
        <v>41.91%</v>
      </c>
      <c r="EQ110" s="3" t="str">
        <f>RTD("tos.rtd",,EQ$83,"."&amp;$D$82&amp;$AW$82&amp;"P"&amp;$A110)</f>
        <v>15.24%</v>
      </c>
      <c r="ES110" s="63" t="str">
        <f t="shared" si="489"/>
        <v>5620,-5455.00</v>
      </c>
      <c r="ET110" s="63" t="str">
        <f t="shared" ca="1" si="490"/>
        <v>5620,00.00</v>
      </c>
      <c r="EU110" s="67">
        <v>560.94000000000005</v>
      </c>
      <c r="EV110" s="67" t="s">
        <v>899</v>
      </c>
      <c r="EW110" s="67">
        <v>483.23</v>
      </c>
      <c r="EX110" s="67" t="s">
        <v>900</v>
      </c>
      <c r="EY110" s="67">
        <v>5631.28</v>
      </c>
      <c r="EZ110" s="67" t="s">
        <v>901</v>
      </c>
      <c r="FA110" s="67">
        <v>19867.973000000002</v>
      </c>
      <c r="FB110" s="67" t="s">
        <v>902</v>
      </c>
      <c r="FC110" s="67" t="s">
        <v>903</v>
      </c>
      <c r="FD110" s="67" t="s">
        <v>904</v>
      </c>
      <c r="FE110" s="68" t="s">
        <v>905</v>
      </c>
      <c r="FF110" s="68" t="s">
        <v>906</v>
      </c>
    </row>
    <row r="111" spans="1:162" s="63" customFormat="1" ht="12" customHeight="1" thickBot="1" x14ac:dyDescent="0.25">
      <c r="A111" s="2">
        <f t="shared" si="508"/>
        <v>5610</v>
      </c>
      <c r="B111" s="3">
        <f t="shared" si="451"/>
        <v>2958</v>
      </c>
      <c r="C111" s="3">
        <f t="shared" si="452"/>
        <v>1780</v>
      </c>
      <c r="D111" s="3">
        <f t="shared" si="453"/>
        <v>1674</v>
      </c>
      <c r="E111" s="3">
        <f t="shared" si="519"/>
        <v>6412</v>
      </c>
      <c r="F111" s="4">
        <f t="shared" si="522"/>
        <v>5695.8264354026833</v>
      </c>
      <c r="G111" s="4">
        <f t="shared" si="520"/>
        <v>566.07385983169343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>
        <v>-1704</v>
      </c>
      <c r="AN111" s="20">
        <v>-917</v>
      </c>
      <c r="AO111" s="20">
        <v>5610</v>
      </c>
      <c r="AP111" s="20">
        <v>1759</v>
      </c>
      <c r="AQ111" s="20">
        <v>-18693</v>
      </c>
      <c r="AR111" s="20"/>
      <c r="AS111" s="54">
        <f>IF(RTD("tos.rtd",,AS$83,"."&amp;$B$82&amp;$AS$82&amp;"C"&amp;$A111)="N/A",0,RTD("tos.rtd",,AS$83,"."&amp;$B$82&amp;$AS$82&amp;"C"&amp;$A111))</f>
        <v>1411</v>
      </c>
      <c r="AT111" s="3">
        <f>-IF(RTD("tos.rtd",,AT$83,"."&amp;$B$82&amp;$AS$82&amp;"P"&amp;$A111)="N/A",0,RTD("tos.rtd",,AT$83,"."&amp;$B$82&amp;$AS$82&amp;"P"&amp;$A111))</f>
        <v>-1547</v>
      </c>
      <c r="AU111" s="54">
        <f>IF(RTD("tos.rtd",,AU$83,"."&amp;$C$82&amp;$AU$82&amp;"C"&amp;$A111)="N/A",0,RTD("tos.rtd",,AU$83,"."&amp;$C$82&amp;$AU$82&amp;"C"&amp;$A111))</f>
        <v>675</v>
      </c>
      <c r="AV111" s="3">
        <f>-IF(RTD("tos.rtd",,AV$83,"."&amp;$C$82&amp;$AU$82&amp;"P"&amp;$A111)="N/A",0,RTD("tos.rtd",,AV$83,"."&amp;$C$82&amp;$AU$82&amp;"P"&amp;$A111))</f>
        <v>-1105</v>
      </c>
      <c r="AW111" s="54">
        <f>IF(RTD("tos.rtd",,AW$83,"."&amp;$D$82&amp;$AW$82&amp;"C"&amp;$A111)="N/A",0,RTD("tos.rtd",,AW$83,"."&amp;$D$82&amp;$AW$82&amp;"C"&amp;$A111))</f>
        <v>1209</v>
      </c>
      <c r="AX111" s="3">
        <f>-IF(RTD("tos.rtd",,AX$83,"."&amp;$D$82&amp;$AW$82&amp;"P"&amp;$A111)="N/A",0,RTD("tos.rtd",,AX$83,"."&amp;$D$82&amp;$AW$82&amp;"P"&amp;$A111))</f>
        <v>-465</v>
      </c>
      <c r="AY111" s="79">
        <f t="shared" si="521"/>
        <v>178</v>
      </c>
      <c r="AZ111" s="8">
        <f t="shared" si="455"/>
        <v>5610</v>
      </c>
      <c r="BA111" s="54">
        <f>IF(RTD("tos.rtd",,BA$83,"."&amp;$B$82&amp;$AS$82&amp;"C"&amp;$A111)="N/A",0,RTD("tos.rtd",,BA$83,"."&amp;$B$82&amp;$AS$82&amp;"C"&amp;$A111))</f>
        <v>0</v>
      </c>
      <c r="BB111" s="3">
        <f>-IF(RTD("tos.rtd",,BB$83,"."&amp;$B$82&amp;$AS$82&amp;"P"&amp;$A111)="N/A",0,RTD("tos.rtd",,BB$83,"."&amp;$B$82&amp;$AS$82&amp;"P"&amp;$A111))</f>
        <v>0</v>
      </c>
      <c r="BC111" s="54">
        <f>IF(RTD("tos.rtd",,BC$83,"."&amp;$C$82&amp;$AU$82&amp;"C"&amp;$A111)="N/A",0,RTD("tos.rtd",,BC$83,"."&amp;$C$82&amp;$AU$82&amp;"C"&amp;$A111))</f>
        <v>0</v>
      </c>
      <c r="BD111" s="3">
        <f>-IF(RTD("tos.rtd",,BD$83,"."&amp;$C$82&amp;$AU$82&amp;"P"&amp;$A111)="N/A",0,RTD("tos.rtd",,BD$83,"."&amp;$C$82&amp;$AU$82&amp;"P"&amp;$A111))</f>
        <v>0</v>
      </c>
      <c r="BE111" s="54">
        <f>IF(RTD("tos.rtd",,BE$83,"."&amp;$D$82&amp;$AW$82&amp;"C"&amp;$A111)="N/A",0,RTD("tos.rtd",,BE$83,"."&amp;$D$82&amp;$AW$82&amp;"C"&amp;$A111))</f>
        <v>0</v>
      </c>
      <c r="BF111" s="3">
        <f>-IF(RTD("tos.rtd",,BF$83,"."&amp;$D$82&amp;$AW$82&amp;"P"&amp;$A111)="N/A",0,RTD("tos.rtd",,BF$83,"."&amp;$D$82&amp;$AW$82&amp;"P"&amp;$A111))</f>
        <v>0</v>
      </c>
      <c r="BG111" s="3">
        <f ca="1">+Hoja2!Y112</f>
        <v>0</v>
      </c>
      <c r="BH111" s="55">
        <f t="shared" ca="1" si="493"/>
        <v>0</v>
      </c>
      <c r="BI111" s="32" t="str">
        <f t="shared" ca="1" si="513"/>
        <v/>
      </c>
      <c r="BJ111" s="3" t="e">
        <f ca="1">IF($BP$1=1,DX111,IF(RTD("tos.rtd",,BJ$83,"."&amp;$B$82&amp;$AS$82&amp;"C"&amp;$A111)="N/A",0,RTD("tos.rtd",,BJ$83,"."&amp;$B$82&amp;$AS$82&amp;"C"&amp;$A111)))</f>
        <v>#NUM!</v>
      </c>
      <c r="BK111" s="3" t="e">
        <f ca="1">IF($BP$1=1,DY111,-IF(RTD("tos.rtd",,BK$83,"."&amp;$B$82&amp;$AS$82&amp;"P"&amp;$A111)="N/A",0,RTD("tos.rtd",,BK$83,"."&amp;$B$82&amp;$AS$82&amp;"P"&amp;$A111)))</f>
        <v>#NUM!</v>
      </c>
      <c r="BL111" s="3" t="e">
        <f ca="1">IF($BP$1=1,DZ111,IF(RTD("tos.rtd",,BL$83,"."&amp;$C$82&amp;$AU$82&amp;"C"&amp;$A111)="N/A",0,RTD("tos.rtd",,BL$83,"."&amp;$C$82&amp;$AU$82&amp;"C"&amp;$A111)))</f>
        <v>#NUM!</v>
      </c>
      <c r="BM111" s="3" t="e">
        <f ca="1">IF($BP$1=1,EA111,-IF(RTD("tos.rtd",,BM$83,"."&amp;$C$82&amp;$AU$82&amp;"P"&amp;$A111)="N/A",0,RTD("tos.rtd",,BM$83,"."&amp;$C$82&amp;$AU$82&amp;"P"&amp;$A111)))</f>
        <v>#NUM!</v>
      </c>
      <c r="BN111" s="3" t="e">
        <f ca="1">IF($BP$1=1,EB111,IF(RTD("tos.rtd",,BN$83,"."&amp;$D$82&amp;$AW$82&amp;"C"&amp;$A111)="N/A",0,RTD("tos.rtd",,BN$83,"."&amp;$D$82&amp;$AW$82&amp;"C"&amp;$A111)))</f>
        <v>#NUM!</v>
      </c>
      <c r="BO111" s="3" t="e">
        <f ca="1">IF($BP$1=1,EC111,-IF(RTD("tos.rtd",,BO$83,"."&amp;$D$82&amp;$AW$82&amp;"P"&amp;$A111)="N/A",0,RTD("tos.rtd",,BO$83,"."&amp;$D$82&amp;$AW$82&amp;"P"&amp;$A111)))</f>
        <v>#NUM!</v>
      </c>
      <c r="BQ111" s="3" t="e">
        <f t="shared" ca="1" si="456"/>
        <v>#NUM!</v>
      </c>
      <c r="BR111" s="3" t="e">
        <f t="shared" ca="1" si="494"/>
        <v>#NUM!</v>
      </c>
      <c r="BS111" s="3" t="e">
        <f t="shared" ca="1" si="457"/>
        <v>#NUM!</v>
      </c>
      <c r="BT111" s="3" t="e">
        <f t="shared" ca="1" si="494"/>
        <v>#NUM!</v>
      </c>
      <c r="BU111" s="3" t="e">
        <f t="shared" ca="1" si="458"/>
        <v>#NUM!</v>
      </c>
      <c r="BV111" s="3" t="e">
        <f t="shared" ca="1" si="494"/>
        <v>#NUM!</v>
      </c>
      <c r="BX111" s="3" t="e">
        <f t="shared" ca="1" si="459"/>
        <v>#NUM!</v>
      </c>
      <c r="BY111" s="3" t="e">
        <f t="shared" ca="1" si="510"/>
        <v>#NUM!</v>
      </c>
      <c r="BZ111" s="3" t="e">
        <f t="shared" ca="1" si="460"/>
        <v>#NUM!</v>
      </c>
      <c r="CA111" s="3" t="e">
        <f t="shared" ca="1" si="510"/>
        <v>#NUM!</v>
      </c>
      <c r="CB111" s="3" t="e">
        <f t="shared" ca="1" si="461"/>
        <v>#NUM!</v>
      </c>
      <c r="CC111" s="3" t="e">
        <f t="shared" ca="1" si="510"/>
        <v>#NUM!</v>
      </c>
      <c r="CD111" s="3">
        <f>IF(RTD("tos.rtd",,CD$83,"."&amp;$B$82&amp;$AS$82&amp;"C"&amp;$A111)="N/A",0,RTD("tos.rtd",,CD$83,"."&amp;$B$82&amp;$AS$82&amp;"C"&amp;$A111))</f>
        <v>0.83</v>
      </c>
      <c r="CE111" s="3">
        <f>-IF(RTD("tos.rtd",,CE$83,"."&amp;$B$82&amp;$AS$82&amp;"P"&amp;$A111)="N/A",0,RTD("tos.rtd",,CE$83,"."&amp;$B$82&amp;$AS$82&amp;"P"&amp;$A111))</f>
        <v>0</v>
      </c>
      <c r="CF111" s="3">
        <f>IF(RTD("tos.rtd",,CF$83,"."&amp;$C$82&amp;$AU$82&amp;"C"&amp;$A111)="N/A",0,RTD("tos.rtd",,CF$83,"."&amp;$C$82&amp;$AU$82&amp;"C"&amp;$A111))</f>
        <v>1</v>
      </c>
      <c r="CG111" s="3">
        <f>-IF(RTD("tos.rtd",,CG$83,"."&amp;$C$82&amp;$AU$82&amp;"P"&amp;$A111)="N/A",0,RTD("tos.rtd",,CG$83,"."&amp;$C$82&amp;$AU$82&amp;"P"&amp;$A111))</f>
        <v>0</v>
      </c>
      <c r="CH111" s="3">
        <f>IF(RTD("tos.rtd",,CH$83,"."&amp;$D$82&amp;$AW$82&amp;"C"&amp;$A111)="N/A",0,RTD("tos.rtd",,CH$83,"."&amp;$D$82&amp;$AW$82&amp;"C"&amp;$A111))</f>
        <v>0.59</v>
      </c>
      <c r="CI111" s="3">
        <f>-IF(RTD("tos.rtd",,CI$83,"."&amp;$D$82&amp;$AW$82&amp;"P"&amp;$A111)="N/A",0,RTD("tos.rtd",,CI$83,"."&amp;$D$82&amp;$AW$82&amp;"P"&amp;$A111))</f>
        <v>0.3</v>
      </c>
      <c r="CK111" s="3">
        <f t="shared" si="495"/>
        <v>117112.99999999999</v>
      </c>
      <c r="CL111" s="3"/>
      <c r="CM111" s="3">
        <f t="shared" si="496"/>
        <v>67500</v>
      </c>
      <c r="CN111" s="3"/>
      <c r="CO111" s="3">
        <f t="shared" si="497"/>
        <v>57381</v>
      </c>
      <c r="CP111" s="3">
        <f t="shared" si="462"/>
        <v>241994</v>
      </c>
      <c r="CQ111" s="3">
        <f t="shared" si="463"/>
        <v>0</v>
      </c>
      <c r="CR111" s="3"/>
      <c r="CS111" s="3">
        <f t="shared" si="464"/>
        <v>0</v>
      </c>
      <c r="CT111" s="3"/>
      <c r="CU111" s="3">
        <f t="shared" si="465"/>
        <v>0</v>
      </c>
      <c r="CV111" s="3"/>
      <c r="CW111" s="3" t="e">
        <f t="shared" ca="1" si="466"/>
        <v>#NUM!</v>
      </c>
      <c r="CY111" s="3" t="e">
        <f t="shared" ca="1" si="467"/>
        <v>#NUM!</v>
      </c>
      <c r="CZ111" s="70" t="e">
        <f t="shared" ca="1" si="511"/>
        <v>#NUM!</v>
      </c>
      <c r="DA111" s="3">
        <f>IF(RTD("tos.rtd",,DA$83,"."&amp;$B$82&amp;$AS$82&amp;"C"&amp;$A111)="N/A",0,RTD("tos.rtd",,DA$83,"."&amp;$B$82&amp;$AS$82&amp;"C"&amp;$A111))</f>
        <v>56.9</v>
      </c>
      <c r="DB111" s="3">
        <f>IF(RTD("tos.rtd",,DB$83,"."&amp;$B$82&amp;$AS$82&amp;"P"&amp;$A111)="N/A",0,RTD("tos.rtd",,DB$83,"."&amp;$B$82&amp;$AS$82&amp;"P"&amp;$A111))</f>
        <v>0.03</v>
      </c>
      <c r="DC111" s="3">
        <f>IF(RTD("tos.rtd",,DC$83,"."&amp;$B$82&amp;$AS$82&amp;"C"&amp;$A111)="N/A",0,RTD("tos.rtd",,DC$83,"."&amp;$B$82&amp;$AS$82&amp;"C"&amp;$A111))</f>
        <v>56.5</v>
      </c>
      <c r="DD111" s="3">
        <f>IF(RTD("tos.rtd",,DD$83,"."&amp;$B$82&amp;$AS$82&amp;"P"&amp;$A111)="N/A",0,RTD("tos.rtd",,DD$83,"."&amp;$B$82&amp;$AS$82&amp;"P"&amp;$A111))</f>
        <v>0.05</v>
      </c>
      <c r="DE111" s="3">
        <f>IF(RTD("tos.rtd",,DE$83,"."&amp;$B$82&amp;$AS$82&amp;"C"&amp;$A111)="N/A",0,RTD("tos.rtd",,DE$83,"."&amp;$B$82&amp;$AS$82&amp;"C"&amp;$A111))</f>
        <v>52.7</v>
      </c>
      <c r="DF111" s="3">
        <f>IF(RTD("tos.rtd",,DF$83,"."&amp;$B$82&amp;$AS$82&amp;"P"&amp;$A111)="N/A",0,RTD("tos.rtd",,DF$83,"."&amp;$B$82&amp;$AS$82&amp;"P"&amp;$A111))</f>
        <v>0</v>
      </c>
      <c r="DG111" s="86">
        <f t="shared" si="499"/>
        <v>-49.909999999999854</v>
      </c>
      <c r="DH111" s="3">
        <f t="shared" si="468"/>
        <v>-1944.1578947368414</v>
      </c>
      <c r="DI111" s="3">
        <f t="shared" si="469"/>
        <v>11215.8</v>
      </c>
      <c r="DJ111" s="3">
        <f t="shared" si="470"/>
        <v>-1759</v>
      </c>
      <c r="DK111" s="3">
        <f t="shared" si="471"/>
        <v>18693</v>
      </c>
      <c r="DL111" s="3">
        <f t="shared" si="472"/>
        <v>9271.6421052631576</v>
      </c>
      <c r="DM111" s="3">
        <f t="shared" si="473"/>
        <v>16934</v>
      </c>
      <c r="DN111" s="64" t="str">
        <f t="shared" si="474"/>
        <v>UNKNOWN</v>
      </c>
      <c r="DO111" s="64" t="str">
        <f t="shared" si="475"/>
        <v>UNKNOWN</v>
      </c>
      <c r="DP111" s="3">
        <f t="shared" si="476"/>
        <v>-110286.11021052627</v>
      </c>
      <c r="DQ111" s="3">
        <f t="shared" si="477"/>
        <v>-99526.31</v>
      </c>
      <c r="DR111" s="3" t="e">
        <f t="shared" ca="1" si="478"/>
        <v>#NUM!</v>
      </c>
      <c r="DS111" s="3">
        <f t="shared" si="479"/>
        <v>-1459.97</v>
      </c>
      <c r="DT111" s="3">
        <f t="shared" si="500"/>
        <v>-1759</v>
      </c>
      <c r="DU111" s="3">
        <f t="shared" si="501"/>
        <v>18693</v>
      </c>
      <c r="DV111" s="3">
        <f t="shared" si="502"/>
        <v>-1704</v>
      </c>
      <c r="DW111" s="3">
        <f t="shared" si="503"/>
        <v>-917</v>
      </c>
      <c r="DX111" s="3" t="e">
        <f t="shared" ca="1" si="512"/>
        <v>#NUM!</v>
      </c>
      <c r="DY111" s="3" t="e">
        <f t="shared" ca="1" si="480"/>
        <v>#NUM!</v>
      </c>
      <c r="DZ111" s="3" t="e">
        <f t="shared" ca="1" si="504"/>
        <v>#NUM!</v>
      </c>
      <c r="EA111" s="3" t="e">
        <f t="shared" ca="1" si="505"/>
        <v>#NUM!</v>
      </c>
      <c r="EB111" s="3" t="e">
        <f t="shared" ca="1" si="481"/>
        <v>#NUM!</v>
      </c>
      <c r="EC111" s="3" t="e">
        <f t="shared" ca="1" si="482"/>
        <v>#NUM!</v>
      </c>
      <c r="ED111" s="63">
        <f t="shared" si="506"/>
        <v>-2621</v>
      </c>
      <c r="EE111" s="59">
        <f t="shared" si="483"/>
        <v>1.2222</v>
      </c>
      <c r="EF111" s="59">
        <f t="shared" si="484"/>
        <v>0.4456</v>
      </c>
      <c r="EG111" s="59">
        <f t="shared" si="485"/>
        <v>0.25</v>
      </c>
      <c r="EH111" s="59">
        <f t="shared" si="486"/>
        <v>0.4456</v>
      </c>
      <c r="EI111" s="59">
        <f t="shared" si="487"/>
        <v>0.42859999999999998</v>
      </c>
      <c r="EJ111" s="59">
        <f t="shared" si="488"/>
        <v>0.1575</v>
      </c>
      <c r="EK111" s="63" t="e">
        <f t="shared" ca="1" si="507"/>
        <v>#NUM!</v>
      </c>
      <c r="EL111" s="3" t="str">
        <f>RTD("tos.rtd",,EL$83,"."&amp;$B$82&amp;$AS$82&amp;"C"&amp;$A111)</f>
        <v>122.22%</v>
      </c>
      <c r="EM111" s="3" t="str">
        <f>RTD("tos.rtd",,EM$83,"."&amp;$B$82&amp;$AS$82&amp;"P"&amp;$A111)</f>
        <v>44.56%</v>
      </c>
      <c r="EN111" s="3" t="str">
        <f>RTD("tos.rtd",,EN$83,"."&amp;$C$82&amp;$AU$82&amp;"C"&amp;$A111)</f>
        <v>--</v>
      </c>
      <c r="EO111" s="3" t="str">
        <f>RTD("tos.rtd",,EO$83,"."&amp;$C$82&amp;$AU$82&amp;"P"&amp;$A111)</f>
        <v>44.56%</v>
      </c>
      <c r="EP111" s="3" t="str">
        <f>RTD("tos.rtd",,EP$83,"."&amp;$D$82&amp;$AW$82&amp;"C"&amp;$A111)</f>
        <v>42.86%</v>
      </c>
      <c r="EQ111" s="3" t="str">
        <f>RTD("tos.rtd",,EQ$83,"."&amp;$D$82&amp;$AW$82&amp;"P"&amp;$A111)</f>
        <v>15.75%</v>
      </c>
      <c r="ES111" s="63" t="str">
        <f t="shared" si="489"/>
        <v>5610,-2621.00</v>
      </c>
      <c r="ET111" s="63" t="str">
        <f t="shared" ca="1" si="490"/>
        <v>5610,00.00</v>
      </c>
      <c r="EU111" s="67">
        <v>560.87</v>
      </c>
      <c r="EV111" s="67" t="s">
        <v>907</v>
      </c>
      <c r="EW111" s="67">
        <v>483.13</v>
      </c>
      <c r="EX111" s="67" t="s">
        <v>908</v>
      </c>
      <c r="EY111" s="67">
        <v>5631.28</v>
      </c>
      <c r="EZ111" s="67" t="s">
        <v>909</v>
      </c>
      <c r="FA111" s="67">
        <v>19867.973000000002</v>
      </c>
      <c r="FB111" s="67" t="s">
        <v>910</v>
      </c>
      <c r="FC111" s="67" t="s">
        <v>911</v>
      </c>
      <c r="FD111" s="67" t="s">
        <v>912</v>
      </c>
      <c r="FE111" s="68" t="s">
        <v>913</v>
      </c>
      <c r="FF111" s="68" t="s">
        <v>914</v>
      </c>
    </row>
    <row r="112" spans="1:162" s="63" customFormat="1" ht="12" customHeight="1" thickBot="1" x14ac:dyDescent="0.25">
      <c r="A112" s="2">
        <f t="shared" si="508"/>
        <v>5600</v>
      </c>
      <c r="B112" s="3">
        <f t="shared" si="451"/>
        <v>4735</v>
      </c>
      <c r="C112" s="3">
        <f t="shared" si="452"/>
        <v>7525</v>
      </c>
      <c r="D112" s="3">
        <f t="shared" si="453"/>
        <v>5274</v>
      </c>
      <c r="E112" s="3">
        <f t="shared" ref="E112:E122" si="523">SUM(B112:D112)</f>
        <v>17534</v>
      </c>
      <c r="F112" s="4">
        <f t="shared" ref="F112:F122" si="524">+$F$84/$A$84*A112</f>
        <v>5685.6734471042828</v>
      </c>
      <c r="G112" s="4">
        <f t="shared" ref="G112:G122" si="525">+$G$84/$A$84*A112</f>
        <v>565.06481551826801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>
        <v>2138</v>
      </c>
      <c r="AN112" s="20">
        <v>4488</v>
      </c>
      <c r="AO112" s="20">
        <v>5600</v>
      </c>
      <c r="AP112" s="20">
        <v>2175</v>
      </c>
      <c r="AQ112" s="20">
        <v>-38118</v>
      </c>
      <c r="AR112" s="20"/>
      <c r="AS112" s="54">
        <f>IF(RTD("tos.rtd",,AS$83,"."&amp;$B$82&amp;$AS$82&amp;"C"&amp;$A112)="N/A",0,RTD("tos.rtd",,AS$83,"."&amp;$B$82&amp;$AS$82&amp;"C"&amp;$A112))</f>
        <v>2248</v>
      </c>
      <c r="AT112" s="3">
        <f>-IF(RTD("tos.rtd",,AT$83,"."&amp;$B$82&amp;$AS$82&amp;"P"&amp;$A112)="N/A",0,RTD("tos.rtd",,AT$83,"."&amp;$B$82&amp;$AS$82&amp;"P"&amp;$A112))</f>
        <v>-2487</v>
      </c>
      <c r="AU112" s="54">
        <f>IF(RTD("tos.rtd",,AU$83,"."&amp;$C$82&amp;$AU$82&amp;"C"&amp;$A112)="N/A",0,RTD("tos.rtd",,AU$83,"."&amp;$C$82&amp;$AU$82&amp;"C"&amp;$A112))</f>
        <v>2808</v>
      </c>
      <c r="AV112" s="3">
        <f>-IF(RTD("tos.rtd",,AV$83,"."&amp;$C$82&amp;$AU$82&amp;"P"&amp;$A112)="N/A",0,RTD("tos.rtd",,AV$83,"."&amp;$C$82&amp;$AU$82&amp;"P"&amp;$A112))</f>
        <v>-4717</v>
      </c>
      <c r="AW112" s="54">
        <f>IF(RTD("tos.rtd",,AW$83,"."&amp;$D$82&amp;$AW$82&amp;"C"&amp;$A112)="N/A",0,RTD("tos.rtd",,AW$83,"."&amp;$D$82&amp;$AW$82&amp;"C"&amp;$A112))</f>
        <v>3152</v>
      </c>
      <c r="AX112" s="3">
        <f>-IF(RTD("tos.rtd",,AX$83,"."&amp;$D$82&amp;$AW$82&amp;"P"&amp;$A112)="N/A",0,RTD("tos.rtd",,AX$83,"."&amp;$D$82&amp;$AW$82&amp;"P"&amp;$A112))</f>
        <v>-2122</v>
      </c>
      <c r="AY112" s="79">
        <f t="shared" ref="AY112:AY122" si="526">SUM(AS112:AX112)</f>
        <v>-1118</v>
      </c>
      <c r="AZ112" s="8">
        <f t="shared" si="455"/>
        <v>5600</v>
      </c>
      <c r="BA112" s="54">
        <f>IF(RTD("tos.rtd",,BA$83,"."&amp;$B$82&amp;$AS$82&amp;"C"&amp;$A112)="N/A",0,RTD("tos.rtd",,BA$83,"."&amp;$B$82&amp;$AS$82&amp;"C"&amp;$A112))</f>
        <v>0</v>
      </c>
      <c r="BB112" s="3">
        <f>-IF(RTD("tos.rtd",,BB$83,"."&amp;$B$82&amp;$AS$82&amp;"P"&amp;$A112)="N/A",0,RTD("tos.rtd",,BB$83,"."&amp;$B$82&amp;$AS$82&amp;"P"&amp;$A112))</f>
        <v>0</v>
      </c>
      <c r="BC112" s="54">
        <f>IF(RTD("tos.rtd",,BC$83,"."&amp;$C$82&amp;$AU$82&amp;"C"&amp;$A112)="N/A",0,RTD("tos.rtd",,BC$83,"."&amp;$C$82&amp;$AU$82&amp;"C"&amp;$A112))</f>
        <v>0</v>
      </c>
      <c r="BD112" s="3">
        <f>-IF(RTD("tos.rtd",,BD$83,"."&amp;$C$82&amp;$AU$82&amp;"P"&amp;$A112)="N/A",0,RTD("tos.rtd",,BD$83,"."&amp;$C$82&amp;$AU$82&amp;"P"&amp;$A112))</f>
        <v>0</v>
      </c>
      <c r="BE112" s="54">
        <f>IF(RTD("tos.rtd",,BE$83,"."&amp;$D$82&amp;$AW$82&amp;"C"&amp;$A112)="N/A",0,RTD("tos.rtd",,BE$83,"."&amp;$D$82&amp;$AW$82&amp;"C"&amp;$A112))</f>
        <v>0</v>
      </c>
      <c r="BF112" s="3">
        <f>-IF(RTD("tos.rtd",,BF$83,"."&amp;$D$82&amp;$AW$82&amp;"P"&amp;$A112)="N/A",0,RTD("tos.rtd",,BF$83,"."&amp;$D$82&amp;$AW$82&amp;"P"&amp;$A112))</f>
        <v>-2</v>
      </c>
      <c r="BG112" s="3">
        <f ca="1">+Hoja2!Y113</f>
        <v>0</v>
      </c>
      <c r="BH112" s="55">
        <f t="shared" ca="1" si="493"/>
        <v>-2</v>
      </c>
      <c r="BI112" s="32" t="str">
        <f t="shared" ca="1" si="513"/>
        <v/>
      </c>
      <c r="BJ112" s="3" t="e">
        <f ca="1">IF($BP$1=1,DX112,IF(RTD("tos.rtd",,BJ$83,"."&amp;$B$82&amp;$AS$82&amp;"C"&amp;$A112)="N/A",0,RTD("tos.rtd",,BJ$83,"."&amp;$B$82&amp;$AS$82&amp;"C"&amp;$A112)))</f>
        <v>#NUM!</v>
      </c>
      <c r="BK112" s="3" t="e">
        <f ca="1">IF($BP$1=1,DY112,-IF(RTD("tos.rtd",,BK$83,"."&amp;$B$82&amp;$AS$82&amp;"P"&amp;$A112)="N/A",0,RTD("tos.rtd",,BK$83,"."&amp;$B$82&amp;$AS$82&amp;"P"&amp;$A112)))</f>
        <v>#NUM!</v>
      </c>
      <c r="BL112" s="3" t="e">
        <f ca="1">IF($BP$1=1,DZ112,IF(RTD("tos.rtd",,BL$83,"."&amp;$C$82&amp;$AU$82&amp;"C"&amp;$A112)="N/A",0,RTD("tos.rtd",,BL$83,"."&amp;$C$82&amp;$AU$82&amp;"C"&amp;$A112)))</f>
        <v>#NUM!</v>
      </c>
      <c r="BM112" s="3" t="e">
        <f ca="1">IF($BP$1=1,EA112,-IF(RTD("tos.rtd",,BM$83,"."&amp;$C$82&amp;$AU$82&amp;"P"&amp;$A112)="N/A",0,RTD("tos.rtd",,BM$83,"."&amp;$C$82&amp;$AU$82&amp;"P"&amp;$A112)))</f>
        <v>#NUM!</v>
      </c>
      <c r="BN112" s="3" t="e">
        <f ca="1">IF($BP$1=1,EB112,IF(RTD("tos.rtd",,BN$83,"."&amp;$D$82&amp;$AW$82&amp;"C"&amp;$A112)="N/A",0,RTD("tos.rtd",,BN$83,"."&amp;$D$82&amp;$AW$82&amp;"C"&amp;$A112)))</f>
        <v>#NUM!</v>
      </c>
      <c r="BO112" s="3" t="e">
        <f ca="1">IF($BP$1=1,EC112,-IF(RTD("tos.rtd",,BO$83,"."&amp;$D$82&amp;$AW$82&amp;"P"&amp;$A112)="N/A",0,RTD("tos.rtd",,BO$83,"."&amp;$D$82&amp;$AW$82&amp;"P"&amp;$A112)))</f>
        <v>#NUM!</v>
      </c>
      <c r="BQ112" s="3" t="e">
        <f t="shared" ca="1" si="456"/>
        <v>#NUM!</v>
      </c>
      <c r="BR112" s="3" t="e">
        <f t="shared" ca="1" si="494"/>
        <v>#NUM!</v>
      </c>
      <c r="BS112" s="3" t="e">
        <f t="shared" ca="1" si="457"/>
        <v>#NUM!</v>
      </c>
      <c r="BT112" s="3" t="e">
        <f t="shared" ca="1" si="494"/>
        <v>#NUM!</v>
      </c>
      <c r="BU112" s="3" t="e">
        <f t="shared" ca="1" si="458"/>
        <v>#NUM!</v>
      </c>
      <c r="BV112" s="3" t="e">
        <f t="shared" ca="1" si="494"/>
        <v>#NUM!</v>
      </c>
      <c r="BX112" s="3" t="e">
        <f t="shared" ca="1" si="459"/>
        <v>#NUM!</v>
      </c>
      <c r="BY112" s="3" t="e">
        <f t="shared" ca="1" si="510"/>
        <v>#NUM!</v>
      </c>
      <c r="BZ112" s="3" t="e">
        <f t="shared" ca="1" si="460"/>
        <v>#NUM!</v>
      </c>
      <c r="CA112" s="3" t="e">
        <f t="shared" ca="1" si="510"/>
        <v>#NUM!</v>
      </c>
      <c r="CB112" s="3" t="e">
        <f t="shared" ca="1" si="461"/>
        <v>#NUM!</v>
      </c>
      <c r="CC112" s="3" t="e">
        <f t="shared" ca="1" si="510"/>
        <v>#NUM!</v>
      </c>
      <c r="CD112" s="3">
        <f>IF(RTD("tos.rtd",,CD$83,"."&amp;$B$82&amp;$AS$82&amp;"C"&amp;$A112)="N/A",0,RTD("tos.rtd",,CD$83,"."&amp;$B$82&amp;$AS$82&amp;"C"&amp;$A112))</f>
        <v>0.85</v>
      </c>
      <c r="CE112" s="3">
        <f>-IF(RTD("tos.rtd",,CE$83,"."&amp;$B$82&amp;$AS$82&amp;"P"&amp;$A112)="N/A",0,RTD("tos.rtd",,CE$83,"."&amp;$B$82&amp;$AS$82&amp;"P"&amp;$A112))</f>
        <v>0</v>
      </c>
      <c r="CF112" s="3">
        <f>IF(RTD("tos.rtd",,CF$83,"."&amp;$C$82&amp;$AU$82&amp;"C"&amp;$A112)="N/A",0,RTD("tos.rtd",,CF$83,"."&amp;$C$82&amp;$AU$82&amp;"C"&amp;$A112))</f>
        <v>1</v>
      </c>
      <c r="CG112" s="3">
        <f>-IF(RTD("tos.rtd",,CG$83,"."&amp;$C$82&amp;$AU$82&amp;"P"&amp;$A112)="N/A",0,RTD("tos.rtd",,CG$83,"."&amp;$C$82&amp;$AU$82&amp;"P"&amp;$A112))</f>
        <v>0</v>
      </c>
      <c r="CH112" s="3">
        <f>IF(RTD("tos.rtd",,CH$83,"."&amp;$D$82&amp;$AW$82&amp;"C"&amp;$A112)="N/A",0,RTD("tos.rtd",,CH$83,"."&amp;$D$82&amp;$AW$82&amp;"C"&amp;$A112))</f>
        <v>0.6</v>
      </c>
      <c r="CI112" s="3">
        <f>-IF(RTD("tos.rtd",,CI$83,"."&amp;$D$82&amp;$AW$82&amp;"P"&amp;$A112)="N/A",0,RTD("tos.rtd",,CI$83,"."&amp;$D$82&amp;$AW$82&amp;"P"&amp;$A112))</f>
        <v>0.27</v>
      </c>
      <c r="CK112" s="3">
        <f t="shared" si="495"/>
        <v>191080</v>
      </c>
      <c r="CL112" s="3"/>
      <c r="CM112" s="3">
        <f t="shared" si="496"/>
        <v>280800</v>
      </c>
      <c r="CN112" s="3"/>
      <c r="CO112" s="3">
        <f t="shared" si="497"/>
        <v>131825.99999999997</v>
      </c>
      <c r="CP112" s="3">
        <f t="shared" si="462"/>
        <v>603706</v>
      </c>
      <c r="CQ112" s="3">
        <f t="shared" si="463"/>
        <v>0</v>
      </c>
      <c r="CR112" s="3"/>
      <c r="CS112" s="3">
        <f t="shared" si="464"/>
        <v>0</v>
      </c>
      <c r="CT112" s="3"/>
      <c r="CU112" s="3">
        <f t="shared" si="465"/>
        <v>-2</v>
      </c>
      <c r="CV112" s="3"/>
      <c r="CW112" s="3" t="e">
        <f t="shared" ref="CW112:CW122" ca="1" si="527">+BQ112+BS112+BU112</f>
        <v>#NUM!</v>
      </c>
      <c r="CY112" s="3" t="e">
        <f t="shared" ca="1" si="467"/>
        <v>#NUM!</v>
      </c>
      <c r="CZ112" s="70" t="e">
        <f t="shared" ca="1" si="511"/>
        <v>#NUM!</v>
      </c>
      <c r="DA112" s="3">
        <f>IF(RTD("tos.rtd",,DA$83,"."&amp;$B$82&amp;$AS$82&amp;"C"&amp;$A112)="N/A",0,RTD("tos.rtd",,DA$83,"."&amp;$B$82&amp;$AS$82&amp;"C"&amp;$A112))</f>
        <v>64.900000000000006</v>
      </c>
      <c r="DB112" s="3">
        <f>IF(RTD("tos.rtd",,DB$83,"."&amp;$B$82&amp;$AS$82&amp;"P"&amp;$A112)="N/A",0,RTD("tos.rtd",,DB$83,"."&amp;$B$82&amp;$AS$82&amp;"P"&amp;$A112))</f>
        <v>0.03</v>
      </c>
      <c r="DC112" s="3">
        <f>IF(RTD("tos.rtd",,DC$83,"."&amp;$B$82&amp;$AS$82&amp;"C"&amp;$A112)="N/A",0,RTD("tos.rtd",,DC$83,"."&amp;$B$82&amp;$AS$82&amp;"C"&amp;$A112))</f>
        <v>66.5</v>
      </c>
      <c r="DD112" s="3">
        <f>IF(RTD("tos.rtd",,DD$83,"."&amp;$B$82&amp;$AS$82&amp;"P"&amp;$A112)="N/A",0,RTD("tos.rtd",,DD$83,"."&amp;$B$82&amp;$AS$82&amp;"P"&amp;$A112))</f>
        <v>0.05</v>
      </c>
      <c r="DE112" s="3">
        <f>IF(RTD("tos.rtd",,DE$83,"."&amp;$B$82&amp;$AS$82&amp;"C"&amp;$A112)="N/A",0,RTD("tos.rtd",,DE$83,"."&amp;$B$82&amp;$AS$82&amp;"C"&amp;$A112))</f>
        <v>62.7</v>
      </c>
      <c r="DF112" s="3">
        <f>IF(RTD("tos.rtd",,DF$83,"."&amp;$B$82&amp;$AS$82&amp;"P"&amp;$A112)="N/A",0,RTD("tos.rtd",,DF$83,"."&amp;$B$82&amp;$AS$82&amp;"P"&amp;$A112))</f>
        <v>0</v>
      </c>
      <c r="DG112" s="86">
        <f t="shared" si="499"/>
        <v>-59.909999999999854</v>
      </c>
      <c r="DH112" s="3">
        <f t="shared" si="468"/>
        <v>-1259.2105263157919</v>
      </c>
      <c r="DI112" s="3">
        <f t="shared" si="469"/>
        <v>22870.799999999999</v>
      </c>
      <c r="DJ112" s="3">
        <f t="shared" si="470"/>
        <v>0</v>
      </c>
      <c r="DK112" s="3">
        <f t="shared" si="471"/>
        <v>38118</v>
      </c>
      <c r="DL112" s="3">
        <f t="shared" si="472"/>
        <v>21611.589473684209</v>
      </c>
      <c r="DM112" s="3">
        <f t="shared" si="473"/>
        <v>38118</v>
      </c>
      <c r="DN112" s="64" t="str">
        <f t="shared" si="474"/>
        <v>UNKNOWN</v>
      </c>
      <c r="DO112" s="64" t="str">
        <f t="shared" si="475"/>
        <v>UNKNOWN</v>
      </c>
      <c r="DP112" s="3">
        <f t="shared" si="476"/>
        <v>-81036.639157894897</v>
      </c>
      <c r="DQ112" s="3">
        <f t="shared" si="477"/>
        <v>1143.54</v>
      </c>
      <c r="DR112" s="3" t="e">
        <f t="shared" ca="1" si="478"/>
        <v>#NUM!</v>
      </c>
      <c r="DS112" s="3">
        <f t="shared" si="479"/>
        <v>0</v>
      </c>
      <c r="DT112" s="3">
        <f t="shared" si="500"/>
        <v>-2175</v>
      </c>
      <c r="DU112" s="3">
        <f t="shared" si="501"/>
        <v>38118</v>
      </c>
      <c r="DV112" s="3">
        <f t="shared" si="502"/>
        <v>2138</v>
      </c>
      <c r="DW112" s="3">
        <f t="shared" si="503"/>
        <v>4488</v>
      </c>
      <c r="DX112" s="3" t="e">
        <f t="shared" ca="1" si="512"/>
        <v>#NUM!</v>
      </c>
      <c r="DY112" s="3" t="e">
        <f t="shared" ca="1" si="480"/>
        <v>#NUM!</v>
      </c>
      <c r="DZ112" s="3" t="e">
        <f t="shared" ca="1" si="504"/>
        <v>#NUM!</v>
      </c>
      <c r="EA112" s="3" t="e">
        <f t="shared" ca="1" si="505"/>
        <v>#NUM!</v>
      </c>
      <c r="EB112" s="3" t="e">
        <f t="shared" ca="1" si="481"/>
        <v>#NUM!</v>
      </c>
      <c r="EC112" s="3" t="e">
        <f t="shared" ca="1" si="482"/>
        <v>#NUM!</v>
      </c>
      <c r="ED112" s="63">
        <f t="shared" si="506"/>
        <v>6626</v>
      </c>
      <c r="EE112" s="59">
        <f t="shared" si="483"/>
        <v>1.3782000000000001</v>
      </c>
      <c r="EF112" s="59">
        <f t="shared" si="484"/>
        <v>0.52539999999999998</v>
      </c>
      <c r="EG112" s="59">
        <f t="shared" si="485"/>
        <v>0.25</v>
      </c>
      <c r="EH112" s="59">
        <f t="shared" si="486"/>
        <v>0.52539999999999998</v>
      </c>
      <c r="EI112" s="59">
        <f t="shared" si="487"/>
        <v>0.43840000000000001</v>
      </c>
      <c r="EJ112" s="59">
        <f t="shared" si="488"/>
        <v>0.1623</v>
      </c>
      <c r="EK112" s="63" t="e">
        <f t="shared" ca="1" si="507"/>
        <v>#NUM!</v>
      </c>
      <c r="EL112" s="3" t="str">
        <f>RTD("tos.rtd",,EL$83,"."&amp;$B$82&amp;$AS$82&amp;"C"&amp;$A112)</f>
        <v>137.82%</v>
      </c>
      <c r="EM112" s="3" t="str">
        <f>RTD("tos.rtd",,EM$83,"."&amp;$B$82&amp;$AS$82&amp;"P"&amp;$A112)</f>
        <v>52.54%</v>
      </c>
      <c r="EN112" s="3" t="str">
        <f>RTD("tos.rtd",,EN$83,"."&amp;$C$82&amp;$AU$82&amp;"C"&amp;$A112)</f>
        <v>--</v>
      </c>
      <c r="EO112" s="3" t="str">
        <f>RTD("tos.rtd",,EO$83,"."&amp;$C$82&amp;$AU$82&amp;"P"&amp;$A112)</f>
        <v>52.54%</v>
      </c>
      <c r="EP112" s="3" t="str">
        <f>RTD("tos.rtd",,EP$83,"."&amp;$D$82&amp;$AW$82&amp;"C"&amp;$A112)</f>
        <v>43.84%</v>
      </c>
      <c r="EQ112" s="3" t="str">
        <f>RTD("tos.rtd",,EQ$83,"."&amp;$D$82&amp;$AW$82&amp;"P"&amp;$A112)</f>
        <v>16.23%</v>
      </c>
      <c r="ES112" s="63" t="str">
        <f t="shared" si="489"/>
        <v>5600,6626.00</v>
      </c>
      <c r="ET112" s="63" t="str">
        <f t="shared" ca="1" si="490"/>
        <v>5600,00.00</v>
      </c>
      <c r="EU112" s="67">
        <v>560.71</v>
      </c>
      <c r="EV112" s="67" t="s">
        <v>915</v>
      </c>
      <c r="EW112" s="67">
        <v>482.99</v>
      </c>
      <c r="EX112" s="67" t="s">
        <v>916</v>
      </c>
      <c r="EY112" s="67">
        <v>5631.28</v>
      </c>
      <c r="EZ112" s="67" t="s">
        <v>917</v>
      </c>
      <c r="FA112" s="67">
        <v>19867.973000000002</v>
      </c>
      <c r="FB112" s="67" t="s">
        <v>918</v>
      </c>
      <c r="FC112" s="67" t="s">
        <v>919</v>
      </c>
      <c r="FD112" s="67" t="s">
        <v>920</v>
      </c>
      <c r="FE112" s="68" t="s">
        <v>921</v>
      </c>
      <c r="FF112" s="68" t="s">
        <v>922</v>
      </c>
    </row>
    <row r="113" spans="1:162" s="63" customFormat="1" ht="12" customHeight="1" thickBot="1" x14ac:dyDescent="0.25">
      <c r="A113" s="2">
        <f t="shared" si="508"/>
        <v>5590</v>
      </c>
      <c r="B113" s="3">
        <f t="shared" si="451"/>
        <v>647</v>
      </c>
      <c r="C113" s="3">
        <f t="shared" si="452"/>
        <v>1883</v>
      </c>
      <c r="D113" s="3">
        <f t="shared" si="453"/>
        <v>904</v>
      </c>
      <c r="E113" s="3">
        <f t="shared" si="523"/>
        <v>3434</v>
      </c>
      <c r="F113" s="4">
        <f t="shared" si="524"/>
        <v>5675.5204588058823</v>
      </c>
      <c r="G113" s="4">
        <f t="shared" si="525"/>
        <v>564.05577120484247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>
        <v>-293</v>
      </c>
      <c r="AN113" s="20">
        <v>-2781</v>
      </c>
      <c r="AO113" s="20">
        <v>5590</v>
      </c>
      <c r="AP113" s="20">
        <v>137</v>
      </c>
      <c r="AQ113" s="20">
        <v>-13976</v>
      </c>
      <c r="AR113" s="20"/>
      <c r="AS113" s="54">
        <f>IF(RTD("tos.rtd",,AS$83,"."&amp;$B$82&amp;$AS$82&amp;"C"&amp;$A113)="N/A",0,RTD("tos.rtd",,AS$83,"."&amp;$B$82&amp;$AS$82&amp;"C"&amp;$A113))</f>
        <v>173</v>
      </c>
      <c r="AT113" s="3">
        <f>-IF(RTD("tos.rtd",,AT$83,"."&amp;$B$82&amp;$AS$82&amp;"P"&amp;$A113)="N/A",0,RTD("tos.rtd",,AT$83,"."&amp;$B$82&amp;$AS$82&amp;"P"&amp;$A113))</f>
        <v>-474</v>
      </c>
      <c r="AU113" s="54">
        <f>IF(RTD("tos.rtd",,AU$83,"."&amp;$C$82&amp;$AU$82&amp;"C"&amp;$A113)="N/A",0,RTD("tos.rtd",,AU$83,"."&amp;$C$82&amp;$AU$82&amp;"C"&amp;$A113))</f>
        <v>728</v>
      </c>
      <c r="AV113" s="3">
        <f>-IF(RTD("tos.rtd",,AV$83,"."&amp;$C$82&amp;$AU$82&amp;"P"&amp;$A113)="N/A",0,RTD("tos.rtd",,AV$83,"."&amp;$C$82&amp;$AU$82&amp;"P"&amp;$A113))</f>
        <v>-1155</v>
      </c>
      <c r="AW113" s="54">
        <f>IF(RTD("tos.rtd",,AW$83,"."&amp;$D$82&amp;$AW$82&amp;"C"&amp;$A113)="N/A",0,RTD("tos.rtd",,AW$83,"."&amp;$D$82&amp;$AW$82&amp;"C"&amp;$A113))</f>
        <v>334</v>
      </c>
      <c r="AX113" s="3">
        <f>-IF(RTD("tos.rtd",,AX$83,"."&amp;$D$82&amp;$AW$82&amp;"P"&amp;$A113)="N/A",0,RTD("tos.rtd",,AX$83,"."&amp;$D$82&amp;$AW$82&amp;"P"&amp;$A113))</f>
        <v>-570</v>
      </c>
      <c r="AY113" s="79">
        <f t="shared" si="526"/>
        <v>-964</v>
      </c>
      <c r="AZ113" s="8">
        <f t="shared" si="455"/>
        <v>5590</v>
      </c>
      <c r="BA113" s="54">
        <f>IF(RTD("tos.rtd",,BA$83,"."&amp;$B$82&amp;$AS$82&amp;"C"&amp;$A113)="N/A",0,RTD("tos.rtd",,BA$83,"."&amp;$B$82&amp;$AS$82&amp;"C"&amp;$A113))</f>
        <v>0</v>
      </c>
      <c r="BB113" s="3">
        <f>-IF(RTD("tos.rtd",,BB$83,"."&amp;$B$82&amp;$AS$82&amp;"P"&amp;$A113)="N/A",0,RTD("tos.rtd",,BB$83,"."&amp;$B$82&amp;$AS$82&amp;"P"&amp;$A113))</f>
        <v>0</v>
      </c>
      <c r="BC113" s="54">
        <f>IF(RTD("tos.rtd",,BC$83,"."&amp;$C$82&amp;$AU$82&amp;"C"&amp;$A113)="N/A",0,RTD("tos.rtd",,BC$83,"."&amp;$C$82&amp;$AU$82&amp;"C"&amp;$A113))</f>
        <v>0</v>
      </c>
      <c r="BD113" s="3">
        <f>-IF(RTD("tos.rtd",,BD$83,"."&amp;$C$82&amp;$AU$82&amp;"P"&amp;$A113)="N/A",0,RTD("tos.rtd",,BD$83,"."&amp;$C$82&amp;$AU$82&amp;"P"&amp;$A113))</f>
        <v>0</v>
      </c>
      <c r="BE113" s="54">
        <f>IF(RTD("tos.rtd",,BE$83,"."&amp;$D$82&amp;$AW$82&amp;"C"&amp;$A113)="N/A",0,RTD("tos.rtd",,BE$83,"."&amp;$D$82&amp;$AW$82&amp;"C"&amp;$A113))</f>
        <v>0</v>
      </c>
      <c r="BF113" s="3">
        <f>-IF(RTD("tos.rtd",,BF$83,"."&amp;$D$82&amp;$AW$82&amp;"P"&amp;$A113)="N/A",0,RTD("tos.rtd",,BF$83,"."&amp;$D$82&amp;$AW$82&amp;"P"&amp;$A113))</f>
        <v>0</v>
      </c>
      <c r="BG113" s="3">
        <f ca="1">+Hoja2!Y114</f>
        <v>0</v>
      </c>
      <c r="BH113" s="55">
        <f t="shared" ca="1" si="493"/>
        <v>0</v>
      </c>
      <c r="BI113" s="32" t="str">
        <f t="shared" ca="1" si="513"/>
        <v/>
      </c>
      <c r="BJ113" s="3" t="e">
        <f ca="1">IF($BP$1=1,DX113,IF(RTD("tos.rtd",,BJ$83,"."&amp;$B$82&amp;$AS$82&amp;"C"&amp;$A113)="N/A",0,RTD("tos.rtd",,BJ$83,"."&amp;$B$82&amp;$AS$82&amp;"C"&amp;$A113)))</f>
        <v>#NUM!</v>
      </c>
      <c r="BK113" s="3" t="e">
        <f ca="1">IF($BP$1=1,DY113,-IF(RTD("tos.rtd",,BK$83,"."&amp;$B$82&amp;$AS$82&amp;"P"&amp;$A113)="N/A",0,RTD("tos.rtd",,BK$83,"."&amp;$B$82&amp;$AS$82&amp;"P"&amp;$A113)))</f>
        <v>#NUM!</v>
      </c>
      <c r="BL113" s="3" t="e">
        <f ca="1">IF($BP$1=1,DZ113,IF(RTD("tos.rtd",,BL$83,"."&amp;$C$82&amp;$AU$82&amp;"C"&amp;$A113)="N/A",0,RTD("tos.rtd",,BL$83,"."&amp;$C$82&amp;$AU$82&amp;"C"&amp;$A113)))</f>
        <v>#NUM!</v>
      </c>
      <c r="BM113" s="3" t="e">
        <f ca="1">IF($BP$1=1,EA113,-IF(RTD("tos.rtd",,BM$83,"."&amp;$C$82&amp;$AU$82&amp;"P"&amp;$A113)="N/A",0,RTD("tos.rtd",,BM$83,"."&amp;$C$82&amp;$AU$82&amp;"P"&amp;$A113)))</f>
        <v>#NUM!</v>
      </c>
      <c r="BN113" s="3" t="e">
        <f ca="1">IF($BP$1=1,EB113,IF(RTD("tos.rtd",,BN$83,"."&amp;$D$82&amp;$AW$82&amp;"C"&amp;$A113)="N/A",0,RTD("tos.rtd",,BN$83,"."&amp;$D$82&amp;$AW$82&amp;"C"&amp;$A113)))</f>
        <v>#NUM!</v>
      </c>
      <c r="BO113" s="3" t="e">
        <f ca="1">IF($BP$1=1,EC113,-IF(RTD("tos.rtd",,BO$83,"."&amp;$D$82&amp;$AW$82&amp;"P"&amp;$A113)="N/A",0,RTD("tos.rtd",,BO$83,"."&amp;$D$82&amp;$AW$82&amp;"P"&amp;$A113)))</f>
        <v>#NUM!</v>
      </c>
      <c r="BQ113" s="3" t="e">
        <f t="shared" ca="1" si="456"/>
        <v>#NUM!</v>
      </c>
      <c r="BR113" s="3" t="e">
        <f t="shared" ca="1" si="494"/>
        <v>#NUM!</v>
      </c>
      <c r="BS113" s="3" t="e">
        <f t="shared" ca="1" si="457"/>
        <v>#NUM!</v>
      </c>
      <c r="BT113" s="3" t="e">
        <f t="shared" ca="1" si="494"/>
        <v>#NUM!</v>
      </c>
      <c r="BU113" s="3" t="e">
        <f t="shared" ca="1" si="458"/>
        <v>#NUM!</v>
      </c>
      <c r="BV113" s="3" t="e">
        <f t="shared" ca="1" si="494"/>
        <v>#NUM!</v>
      </c>
      <c r="BX113" s="3" t="e">
        <f t="shared" ca="1" si="459"/>
        <v>#NUM!</v>
      </c>
      <c r="BY113" s="3" t="e">
        <f t="shared" ca="1" si="510"/>
        <v>#NUM!</v>
      </c>
      <c r="BZ113" s="3" t="e">
        <f t="shared" ca="1" si="460"/>
        <v>#NUM!</v>
      </c>
      <c r="CA113" s="3" t="e">
        <f t="shared" ca="1" si="510"/>
        <v>#NUM!</v>
      </c>
      <c r="CB113" s="3" t="e">
        <f t="shared" ca="1" si="461"/>
        <v>#NUM!</v>
      </c>
      <c r="CC113" s="3" t="e">
        <f t="shared" ca="1" si="510"/>
        <v>#NUM!</v>
      </c>
      <c r="CD113" s="3">
        <f>IF(RTD("tos.rtd",,CD$83,"."&amp;$B$82&amp;$AS$82&amp;"C"&amp;$A113)="N/A",0,RTD("tos.rtd",,CD$83,"."&amp;$B$82&amp;$AS$82&amp;"C"&amp;$A113))</f>
        <v>0.86</v>
      </c>
      <c r="CE113" s="3">
        <f>-IF(RTD("tos.rtd",,CE$83,"."&amp;$B$82&amp;$AS$82&amp;"P"&amp;$A113)="N/A",0,RTD("tos.rtd",,CE$83,"."&amp;$B$82&amp;$AS$82&amp;"P"&amp;$A113))</f>
        <v>0</v>
      </c>
      <c r="CF113" s="3">
        <f>IF(RTD("tos.rtd",,CF$83,"."&amp;$C$82&amp;$AU$82&amp;"C"&amp;$A113)="N/A",0,RTD("tos.rtd",,CF$83,"."&amp;$C$82&amp;$AU$82&amp;"C"&amp;$A113))</f>
        <v>1</v>
      </c>
      <c r="CG113" s="3">
        <f>-IF(RTD("tos.rtd",,CG$83,"."&amp;$C$82&amp;$AU$82&amp;"P"&amp;$A113)="N/A",0,RTD("tos.rtd",,CG$83,"."&amp;$C$82&amp;$AU$82&amp;"P"&amp;$A113))</f>
        <v>0</v>
      </c>
      <c r="CH113" s="3">
        <f>IF(RTD("tos.rtd",,CH$83,"."&amp;$D$82&amp;$AW$82&amp;"C"&amp;$A113)="N/A",0,RTD("tos.rtd",,CH$83,"."&amp;$D$82&amp;$AW$82&amp;"C"&amp;$A113))</f>
        <v>0.61</v>
      </c>
      <c r="CI113" s="3">
        <f>-IF(RTD("tos.rtd",,CI$83,"."&amp;$D$82&amp;$AW$82&amp;"P"&amp;$A113)="N/A",0,RTD("tos.rtd",,CI$83,"."&amp;$D$82&amp;$AW$82&amp;"P"&amp;$A113))</f>
        <v>0.25</v>
      </c>
      <c r="CK113" s="3">
        <f t="shared" si="495"/>
        <v>14878</v>
      </c>
      <c r="CL113" s="3"/>
      <c r="CM113" s="3">
        <f t="shared" si="496"/>
        <v>72800</v>
      </c>
      <c r="CN113" s="3"/>
      <c r="CO113" s="3">
        <f t="shared" si="497"/>
        <v>6124</v>
      </c>
      <c r="CP113" s="3">
        <f t="shared" si="462"/>
        <v>93802</v>
      </c>
      <c r="CQ113" s="3">
        <f t="shared" si="463"/>
        <v>0</v>
      </c>
      <c r="CR113" s="3"/>
      <c r="CS113" s="3">
        <f t="shared" si="464"/>
        <v>0</v>
      </c>
      <c r="CT113" s="3"/>
      <c r="CU113" s="3">
        <f t="shared" si="465"/>
        <v>0</v>
      </c>
      <c r="CV113" s="3"/>
      <c r="CW113" s="3" t="e">
        <f t="shared" ca="1" si="527"/>
        <v>#NUM!</v>
      </c>
      <c r="CY113" s="3" t="e">
        <f t="shared" ca="1" si="467"/>
        <v>#NUM!</v>
      </c>
      <c r="CZ113" s="70" t="e">
        <f t="shared" ca="1" si="511"/>
        <v>#NUM!</v>
      </c>
      <c r="DA113" s="3">
        <f>IF(RTD("tos.rtd",,DA$83,"."&amp;$B$82&amp;$AS$82&amp;"C"&amp;$A113)="N/A",0,RTD("tos.rtd",,DA$83,"."&amp;$B$82&amp;$AS$82&amp;"C"&amp;$A113))</f>
        <v>74.900000000000006</v>
      </c>
      <c r="DB113" s="3">
        <f>IF(RTD("tos.rtd",,DB$83,"."&amp;$B$82&amp;$AS$82&amp;"P"&amp;$A113)="N/A",0,RTD("tos.rtd",,DB$83,"."&amp;$B$82&amp;$AS$82&amp;"P"&amp;$A113))</f>
        <v>0.03</v>
      </c>
      <c r="DC113" s="3">
        <f>IF(RTD("tos.rtd",,DC$83,"."&amp;$B$82&amp;$AS$82&amp;"C"&amp;$A113)="N/A",0,RTD("tos.rtd",,DC$83,"."&amp;$B$82&amp;$AS$82&amp;"C"&amp;$A113))</f>
        <v>76.5</v>
      </c>
      <c r="DD113" s="3">
        <f>IF(RTD("tos.rtd",,DD$83,"."&amp;$B$82&amp;$AS$82&amp;"P"&amp;$A113)="N/A",0,RTD("tos.rtd",,DD$83,"."&amp;$B$82&amp;$AS$82&amp;"P"&amp;$A113))</f>
        <v>0.05</v>
      </c>
      <c r="DE113" s="3">
        <f>IF(RTD("tos.rtd",,DE$83,"."&amp;$B$82&amp;$AS$82&amp;"C"&amp;$A113)="N/A",0,RTD("tos.rtd",,DE$83,"."&amp;$B$82&amp;$AS$82&amp;"C"&amp;$A113))</f>
        <v>72.7</v>
      </c>
      <c r="DF113" s="3">
        <f>IF(RTD("tos.rtd",,DF$83,"."&amp;$B$82&amp;$AS$82&amp;"P"&amp;$A113)="N/A",0,RTD("tos.rtd",,DF$83,"."&amp;$B$82&amp;$AS$82&amp;"P"&amp;$A113))</f>
        <v>0</v>
      </c>
      <c r="DG113" s="86">
        <f t="shared" si="499"/>
        <v>-69.909999999999854</v>
      </c>
      <c r="DH113" s="3">
        <f t="shared" si="468"/>
        <v>-79.315789473684362</v>
      </c>
      <c r="DI113" s="3">
        <f t="shared" si="469"/>
        <v>8385.6</v>
      </c>
      <c r="DJ113" s="3">
        <f t="shared" si="470"/>
        <v>0</v>
      </c>
      <c r="DK113" s="3">
        <f t="shared" si="471"/>
        <v>13976</v>
      </c>
      <c r="DL113" s="3">
        <f t="shared" si="472"/>
        <v>8306.2842105263153</v>
      </c>
      <c r="DM113" s="3">
        <f t="shared" si="473"/>
        <v>13976</v>
      </c>
      <c r="DN113" s="64" t="str">
        <f t="shared" si="474"/>
        <v>UNKNOWN</v>
      </c>
      <c r="DO113" s="64" t="str">
        <f t="shared" si="475"/>
        <v>UNKNOWN</v>
      </c>
      <c r="DP113" s="3">
        <f t="shared" si="476"/>
        <v>-5689.1846315789589</v>
      </c>
      <c r="DQ113" s="3">
        <f t="shared" si="477"/>
        <v>419.28</v>
      </c>
      <c r="DR113" s="3" t="e">
        <f t="shared" ca="1" si="478"/>
        <v>#NUM!</v>
      </c>
      <c r="DS113" s="3">
        <f t="shared" si="479"/>
        <v>0</v>
      </c>
      <c r="DT113" s="3">
        <f t="shared" si="500"/>
        <v>-137</v>
      </c>
      <c r="DU113" s="3">
        <f t="shared" si="501"/>
        <v>13976</v>
      </c>
      <c r="DV113" s="3">
        <f t="shared" si="502"/>
        <v>-293</v>
      </c>
      <c r="DW113" s="3">
        <f t="shared" si="503"/>
        <v>-2781</v>
      </c>
      <c r="DX113" s="3" t="e">
        <f t="shared" ca="1" si="512"/>
        <v>#NUM!</v>
      </c>
      <c r="DY113" s="3" t="e">
        <f t="shared" ca="1" si="480"/>
        <v>#NUM!</v>
      </c>
      <c r="DZ113" s="3" t="e">
        <f t="shared" ca="1" si="504"/>
        <v>#NUM!</v>
      </c>
      <c r="EA113" s="3" t="e">
        <f t="shared" ca="1" si="505"/>
        <v>#NUM!</v>
      </c>
      <c r="EB113" s="3" t="e">
        <f t="shared" ca="1" si="481"/>
        <v>#NUM!</v>
      </c>
      <c r="EC113" s="3" t="e">
        <f t="shared" ca="1" si="482"/>
        <v>#NUM!</v>
      </c>
      <c r="ED113" s="63">
        <f t="shared" si="506"/>
        <v>-3074</v>
      </c>
      <c r="EE113" s="59">
        <f t="shared" si="483"/>
        <v>1.5298</v>
      </c>
      <c r="EF113" s="59">
        <f t="shared" si="484"/>
        <v>0.60429999999999995</v>
      </c>
      <c r="EG113" s="59">
        <f t="shared" si="485"/>
        <v>0.25</v>
      </c>
      <c r="EH113" s="59">
        <f t="shared" si="486"/>
        <v>0.60429999999999995</v>
      </c>
      <c r="EI113" s="59">
        <f t="shared" si="487"/>
        <v>0.44819999999999999</v>
      </c>
      <c r="EJ113" s="59">
        <f t="shared" si="488"/>
        <v>0.16650000000000001</v>
      </c>
      <c r="EK113" s="63" t="e">
        <f t="shared" ca="1" si="507"/>
        <v>#NUM!</v>
      </c>
      <c r="EL113" s="3" t="str">
        <f>RTD("tos.rtd",,EL$83,"."&amp;$B$82&amp;$AS$82&amp;"C"&amp;$A113)</f>
        <v>152.98%</v>
      </c>
      <c r="EM113" s="3" t="str">
        <f>RTD("tos.rtd",,EM$83,"."&amp;$B$82&amp;$AS$82&amp;"P"&amp;$A113)</f>
        <v>60.43%</v>
      </c>
      <c r="EN113" s="3" t="str">
        <f>RTD("tos.rtd",,EN$83,"."&amp;$C$82&amp;$AU$82&amp;"C"&amp;$A113)</f>
        <v>--</v>
      </c>
      <c r="EO113" s="3" t="str">
        <f>RTD("tos.rtd",,EO$83,"."&amp;$C$82&amp;$AU$82&amp;"P"&amp;$A113)</f>
        <v>60.43%</v>
      </c>
      <c r="EP113" s="3" t="str">
        <f>RTD("tos.rtd",,EP$83,"."&amp;$D$82&amp;$AW$82&amp;"C"&amp;$A113)</f>
        <v>44.82%</v>
      </c>
      <c r="EQ113" s="3" t="str">
        <f>RTD("tos.rtd",,EQ$83,"."&amp;$D$82&amp;$AW$82&amp;"P"&amp;$A113)</f>
        <v>16.65%</v>
      </c>
      <c r="ES113" s="63" t="str">
        <f t="shared" si="489"/>
        <v>5590,-3074.00</v>
      </c>
      <c r="ET113" s="63" t="str">
        <f t="shared" ca="1" si="490"/>
        <v>5590,00.00</v>
      </c>
      <c r="EU113" s="67">
        <v>560.72</v>
      </c>
      <c r="EV113" s="67" t="s">
        <v>923</v>
      </c>
      <c r="EW113" s="67">
        <v>483</v>
      </c>
      <c r="EX113" s="67" t="s">
        <v>924</v>
      </c>
      <c r="EY113" s="67">
        <v>5631.28</v>
      </c>
      <c r="EZ113" s="67" t="s">
        <v>925</v>
      </c>
      <c r="FA113" s="67">
        <v>19867.973000000002</v>
      </c>
      <c r="FB113" s="67" t="s">
        <v>926</v>
      </c>
      <c r="FC113" s="67" t="s">
        <v>927</v>
      </c>
      <c r="FD113" s="67" t="s">
        <v>928</v>
      </c>
      <c r="FE113" s="68" t="s">
        <v>929</v>
      </c>
      <c r="FF113" s="68" t="s">
        <v>930</v>
      </c>
    </row>
    <row r="114" spans="1:162" s="63" customFormat="1" ht="12" customHeight="1" thickBot="1" x14ac:dyDescent="0.25">
      <c r="A114" s="2">
        <f t="shared" si="508"/>
        <v>5580</v>
      </c>
      <c r="B114" s="3">
        <f t="shared" si="451"/>
        <v>1170</v>
      </c>
      <c r="C114" s="3">
        <f t="shared" si="452"/>
        <v>2105</v>
      </c>
      <c r="D114" s="3">
        <f t="shared" si="453"/>
        <v>753</v>
      </c>
      <c r="E114" s="3">
        <f t="shared" si="523"/>
        <v>4028</v>
      </c>
      <c r="F114" s="4">
        <f t="shared" si="524"/>
        <v>5665.3674705074818</v>
      </c>
      <c r="G114" s="4">
        <f t="shared" si="525"/>
        <v>563.04672689141705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>
        <v>-929</v>
      </c>
      <c r="AN114" s="20">
        <v>-78</v>
      </c>
      <c r="AO114" s="20">
        <v>5580</v>
      </c>
      <c r="AP114" s="20">
        <v>548</v>
      </c>
      <c r="AQ114" s="20">
        <v>-15041</v>
      </c>
      <c r="AR114" s="20"/>
      <c r="AS114" s="54">
        <f>IF(RTD("tos.rtd",,AS$83,"."&amp;$B$82&amp;$AS$82&amp;"C"&amp;$A114)="N/A",0,RTD("tos.rtd",,AS$83,"."&amp;$B$82&amp;$AS$82&amp;"C"&amp;$A114))</f>
        <v>92</v>
      </c>
      <c r="AT114" s="3">
        <f>-IF(RTD("tos.rtd",,AT$83,"."&amp;$B$82&amp;$AS$82&amp;"P"&amp;$A114)="N/A",0,RTD("tos.rtd",,AT$83,"."&amp;$B$82&amp;$AS$82&amp;"P"&amp;$A114))</f>
        <v>-1078</v>
      </c>
      <c r="AU114" s="54">
        <f>IF(RTD("tos.rtd",,AU$83,"."&amp;$C$82&amp;$AU$82&amp;"C"&amp;$A114)="N/A",0,RTD("tos.rtd",,AU$83,"."&amp;$C$82&amp;$AU$82&amp;"C"&amp;$A114))</f>
        <v>404</v>
      </c>
      <c r="AV114" s="3">
        <f>-IF(RTD("tos.rtd",,AV$83,"."&amp;$C$82&amp;$AU$82&amp;"P"&amp;$A114)="N/A",0,RTD("tos.rtd",,AV$83,"."&amp;$C$82&amp;$AU$82&amp;"P"&amp;$A114))</f>
        <v>-1701</v>
      </c>
      <c r="AW114" s="54">
        <f>IF(RTD("tos.rtd",,AW$83,"."&amp;$D$82&amp;$AW$82&amp;"C"&amp;$A114)="N/A",0,RTD("tos.rtd",,AW$83,"."&amp;$D$82&amp;$AW$82&amp;"C"&amp;$A114))</f>
        <v>318</v>
      </c>
      <c r="AX114" s="3">
        <f>-IF(RTD("tos.rtd",,AX$83,"."&amp;$D$82&amp;$AW$82&amp;"P"&amp;$A114)="N/A",0,RTD("tos.rtd",,AX$83,"."&amp;$D$82&amp;$AW$82&amp;"P"&amp;$A114))</f>
        <v>-435</v>
      </c>
      <c r="AY114" s="79">
        <f t="shared" si="526"/>
        <v>-2400</v>
      </c>
      <c r="AZ114" s="8">
        <f t="shared" si="455"/>
        <v>5580</v>
      </c>
      <c r="BA114" s="54">
        <f>IF(RTD("tos.rtd",,BA$83,"."&amp;$B$82&amp;$AS$82&amp;"C"&amp;$A114)="N/A",0,RTD("tos.rtd",,BA$83,"."&amp;$B$82&amp;$AS$82&amp;"C"&amp;$A114))</f>
        <v>0</v>
      </c>
      <c r="BB114" s="3">
        <f>-IF(RTD("tos.rtd",,BB$83,"."&amp;$B$82&amp;$AS$82&amp;"P"&amp;$A114)="N/A",0,RTD("tos.rtd",,BB$83,"."&amp;$B$82&amp;$AS$82&amp;"P"&amp;$A114))</f>
        <v>0</v>
      </c>
      <c r="BC114" s="54">
        <f>IF(RTD("tos.rtd",,BC$83,"."&amp;$C$82&amp;$AU$82&amp;"C"&amp;$A114)="N/A",0,RTD("tos.rtd",,BC$83,"."&amp;$C$82&amp;$AU$82&amp;"C"&amp;$A114))</f>
        <v>0</v>
      </c>
      <c r="BD114" s="3">
        <f>-IF(RTD("tos.rtd",,BD$83,"."&amp;$C$82&amp;$AU$82&amp;"P"&amp;$A114)="N/A",0,RTD("tos.rtd",,BD$83,"."&amp;$C$82&amp;$AU$82&amp;"P"&amp;$A114))</f>
        <v>0</v>
      </c>
      <c r="BE114" s="54">
        <f>IF(RTD("tos.rtd",,BE$83,"."&amp;$D$82&amp;$AW$82&amp;"C"&amp;$A114)="N/A",0,RTD("tos.rtd",,BE$83,"."&amp;$D$82&amp;$AW$82&amp;"C"&amp;$A114))</f>
        <v>0</v>
      </c>
      <c r="BF114" s="3">
        <f>-IF(RTD("tos.rtd",,BF$83,"."&amp;$D$82&amp;$AW$82&amp;"P"&amp;$A114)="N/A",0,RTD("tos.rtd",,BF$83,"."&amp;$D$82&amp;$AW$82&amp;"P"&amp;$A114))</f>
        <v>0</v>
      </c>
      <c r="BG114" s="3">
        <f ca="1">+Hoja2!Y115</f>
        <v>0</v>
      </c>
      <c r="BH114" s="55">
        <f t="shared" ca="1" si="493"/>
        <v>0</v>
      </c>
      <c r="BI114" s="32" t="str">
        <f t="shared" ca="1" si="513"/>
        <v/>
      </c>
      <c r="BJ114" s="3" t="e">
        <f ca="1">IF($BP$1=1,DX114,IF(RTD("tos.rtd",,BJ$83,"."&amp;$B$82&amp;$AS$82&amp;"C"&amp;$A114)="N/A",0,RTD("tos.rtd",,BJ$83,"."&amp;$B$82&amp;$AS$82&amp;"C"&amp;$A114)))</f>
        <v>#NUM!</v>
      </c>
      <c r="BK114" s="3" t="e">
        <f ca="1">IF($BP$1=1,DY114,-IF(RTD("tos.rtd",,BK$83,"."&amp;$B$82&amp;$AS$82&amp;"P"&amp;$A114)="N/A",0,RTD("tos.rtd",,BK$83,"."&amp;$B$82&amp;$AS$82&amp;"P"&amp;$A114)))</f>
        <v>#NUM!</v>
      </c>
      <c r="BL114" s="3" t="e">
        <f ca="1">IF($BP$1=1,DZ114,IF(RTD("tos.rtd",,BL$83,"."&amp;$C$82&amp;$AU$82&amp;"C"&amp;$A114)="N/A",0,RTD("tos.rtd",,BL$83,"."&amp;$C$82&amp;$AU$82&amp;"C"&amp;$A114)))</f>
        <v>#NUM!</v>
      </c>
      <c r="BM114" s="3" t="e">
        <f ca="1">IF($BP$1=1,EA114,-IF(RTD("tos.rtd",,BM$83,"."&amp;$C$82&amp;$AU$82&amp;"P"&amp;$A114)="N/A",0,RTD("tos.rtd",,BM$83,"."&amp;$C$82&amp;$AU$82&amp;"P"&amp;$A114)))</f>
        <v>#NUM!</v>
      </c>
      <c r="BN114" s="3" t="e">
        <f ca="1">IF($BP$1=1,EB114,IF(RTD("tos.rtd",,BN$83,"."&amp;$D$82&amp;$AW$82&amp;"C"&amp;$A114)="N/A",0,RTD("tos.rtd",,BN$83,"."&amp;$D$82&amp;$AW$82&amp;"C"&amp;$A114)))</f>
        <v>#NUM!</v>
      </c>
      <c r="BO114" s="3" t="e">
        <f ca="1">IF($BP$1=1,EC114,-IF(RTD("tos.rtd",,BO$83,"."&amp;$D$82&amp;$AW$82&amp;"P"&amp;$A114)="N/A",0,RTD("tos.rtd",,BO$83,"."&amp;$D$82&amp;$AW$82&amp;"P"&amp;$A114)))</f>
        <v>#NUM!</v>
      </c>
      <c r="BQ114" s="3" t="e">
        <f t="shared" ca="1" si="456"/>
        <v>#NUM!</v>
      </c>
      <c r="BR114" s="3" t="e">
        <f t="shared" ca="1" si="494"/>
        <v>#NUM!</v>
      </c>
      <c r="BS114" s="3" t="e">
        <f t="shared" ca="1" si="457"/>
        <v>#NUM!</v>
      </c>
      <c r="BT114" s="3" t="e">
        <f t="shared" ca="1" si="494"/>
        <v>#NUM!</v>
      </c>
      <c r="BU114" s="3" t="e">
        <f t="shared" ca="1" si="458"/>
        <v>#NUM!</v>
      </c>
      <c r="BV114" s="3" t="e">
        <f t="shared" ca="1" si="494"/>
        <v>#NUM!</v>
      </c>
      <c r="BX114" s="3" t="e">
        <f t="shared" ca="1" si="459"/>
        <v>#NUM!</v>
      </c>
      <c r="BY114" s="3" t="e">
        <f t="shared" ca="1" si="510"/>
        <v>#NUM!</v>
      </c>
      <c r="BZ114" s="3" t="e">
        <f t="shared" ca="1" si="460"/>
        <v>#NUM!</v>
      </c>
      <c r="CA114" s="3" t="e">
        <f t="shared" ca="1" si="510"/>
        <v>#NUM!</v>
      </c>
      <c r="CB114" s="3" t="e">
        <f t="shared" ca="1" si="461"/>
        <v>#NUM!</v>
      </c>
      <c r="CC114" s="3" t="e">
        <f t="shared" ca="1" si="510"/>
        <v>#NUM!</v>
      </c>
      <c r="CD114" s="3">
        <f>IF(RTD("tos.rtd",,CD$83,"."&amp;$B$82&amp;$AS$82&amp;"C"&amp;$A114)="N/A",0,RTD("tos.rtd",,CD$83,"."&amp;$B$82&amp;$AS$82&amp;"C"&amp;$A114))</f>
        <v>0.87</v>
      </c>
      <c r="CE114" s="3">
        <f>-IF(RTD("tos.rtd",,CE$83,"."&amp;$B$82&amp;$AS$82&amp;"P"&amp;$A114)="N/A",0,RTD("tos.rtd",,CE$83,"."&amp;$B$82&amp;$AS$82&amp;"P"&amp;$A114))</f>
        <v>0</v>
      </c>
      <c r="CF114" s="3">
        <f>IF(RTD("tos.rtd",,CF$83,"."&amp;$C$82&amp;$AU$82&amp;"C"&amp;$A114)="N/A",0,RTD("tos.rtd",,CF$83,"."&amp;$C$82&amp;$AU$82&amp;"C"&amp;$A114))</f>
        <v>1</v>
      </c>
      <c r="CG114" s="3">
        <f>-IF(RTD("tos.rtd",,CG$83,"."&amp;$C$82&amp;$AU$82&amp;"P"&amp;$A114)="N/A",0,RTD("tos.rtd",,CG$83,"."&amp;$C$82&amp;$AU$82&amp;"P"&amp;$A114))</f>
        <v>0</v>
      </c>
      <c r="CH114" s="3">
        <f>IF(RTD("tos.rtd",,CH$83,"."&amp;$D$82&amp;$AW$82&amp;"C"&amp;$A114)="N/A",0,RTD("tos.rtd",,CH$83,"."&amp;$D$82&amp;$AW$82&amp;"C"&amp;$A114))</f>
        <v>0.62</v>
      </c>
      <c r="CI114" s="3">
        <f>-IF(RTD("tos.rtd",,CI$83,"."&amp;$D$82&amp;$AW$82&amp;"P"&amp;$A114)="N/A",0,RTD("tos.rtd",,CI$83,"."&amp;$D$82&amp;$AW$82&amp;"P"&amp;$A114))</f>
        <v>0.22</v>
      </c>
      <c r="CK114" s="3">
        <f t="shared" si="495"/>
        <v>8004.0000000000009</v>
      </c>
      <c r="CL114" s="3"/>
      <c r="CM114" s="3">
        <f t="shared" si="496"/>
        <v>40400</v>
      </c>
      <c r="CN114" s="3"/>
      <c r="CO114" s="3">
        <f t="shared" si="497"/>
        <v>10146</v>
      </c>
      <c r="CP114" s="3">
        <f t="shared" si="462"/>
        <v>58550</v>
      </c>
      <c r="CQ114" s="3">
        <f t="shared" si="463"/>
        <v>0</v>
      </c>
      <c r="CR114" s="3"/>
      <c r="CS114" s="3">
        <f t="shared" si="464"/>
        <v>0</v>
      </c>
      <c r="CT114" s="3"/>
      <c r="CU114" s="3">
        <f t="shared" si="465"/>
        <v>0</v>
      </c>
      <c r="CV114" s="3"/>
      <c r="CW114" s="3" t="e">
        <f t="shared" ca="1" si="527"/>
        <v>#NUM!</v>
      </c>
      <c r="CY114" s="3" t="e">
        <f t="shared" ca="1" si="467"/>
        <v>#NUM!</v>
      </c>
      <c r="CZ114" s="70" t="e">
        <f t="shared" ca="1" si="511"/>
        <v>#NUM!</v>
      </c>
      <c r="DA114" s="3">
        <f>IF(RTD("tos.rtd",,DA$83,"."&amp;$B$82&amp;$AS$82&amp;"C"&amp;$A114)="N/A",0,RTD("tos.rtd",,DA$83,"."&amp;$B$82&amp;$AS$82&amp;"C"&amp;$A114))</f>
        <v>96.97</v>
      </c>
      <c r="DB114" s="3">
        <f>IF(RTD("tos.rtd",,DB$83,"."&amp;$B$82&amp;$AS$82&amp;"P"&amp;$A114)="N/A",0,RTD("tos.rtd",,DB$83,"."&amp;$B$82&amp;$AS$82&amp;"P"&amp;$A114))</f>
        <v>0.05</v>
      </c>
      <c r="DC114" s="3">
        <f>IF(RTD("tos.rtd",,DC$83,"."&amp;$B$82&amp;$AS$82&amp;"C"&amp;$A114)="N/A",0,RTD("tos.rtd",,DC$83,"."&amp;$B$82&amp;$AS$82&amp;"C"&amp;$A114))</f>
        <v>86.5</v>
      </c>
      <c r="DD114" s="3">
        <f>IF(RTD("tos.rtd",,DD$83,"."&amp;$B$82&amp;$AS$82&amp;"P"&amp;$A114)="N/A",0,RTD("tos.rtd",,DD$83,"."&amp;$B$82&amp;$AS$82&amp;"P"&amp;$A114))</f>
        <v>0.05</v>
      </c>
      <c r="DE114" s="3">
        <f>IF(RTD("tos.rtd",,DE$83,"."&amp;$B$82&amp;$AS$82&amp;"C"&amp;$A114)="N/A",0,RTD("tos.rtd",,DE$83,"."&amp;$B$82&amp;$AS$82&amp;"C"&amp;$A114))</f>
        <v>82.7</v>
      </c>
      <c r="DF114" s="3">
        <f>IF(RTD("tos.rtd",,DF$83,"."&amp;$B$82&amp;$AS$82&amp;"P"&amp;$A114)="N/A",0,RTD("tos.rtd",,DF$83,"."&amp;$B$82&amp;$AS$82&amp;"P"&amp;$A114))</f>
        <v>0</v>
      </c>
      <c r="DG114" s="86">
        <f t="shared" si="499"/>
        <v>-79.909999999999854</v>
      </c>
      <c r="DH114" s="3">
        <f t="shared" si="468"/>
        <v>-2057.8842105263166</v>
      </c>
      <c r="DI114" s="3">
        <f t="shared" si="469"/>
        <v>15041</v>
      </c>
      <c r="DJ114" s="3">
        <f t="shared" si="470"/>
        <v>-548</v>
      </c>
      <c r="DK114" s="3">
        <f t="shared" si="471"/>
        <v>15041</v>
      </c>
      <c r="DL114" s="3">
        <f t="shared" si="472"/>
        <v>12983.115789473683</v>
      </c>
      <c r="DM114" s="3">
        <f t="shared" si="473"/>
        <v>14493</v>
      </c>
      <c r="DN114" s="64" t="str">
        <f t="shared" si="474"/>
        <v>UNKNOWN</v>
      </c>
      <c r="DO114" s="64" t="str">
        <f t="shared" si="475"/>
        <v>UNKNOWN</v>
      </c>
      <c r="DP114" s="3">
        <f t="shared" si="476"/>
        <v>-198800.98189473693</v>
      </c>
      <c r="DQ114" s="3">
        <f t="shared" si="477"/>
        <v>-52387.509999999995</v>
      </c>
      <c r="DR114" s="3" t="e">
        <f t="shared" ca="1" si="478"/>
        <v>#NUM!</v>
      </c>
      <c r="DS114" s="3">
        <f t="shared" si="479"/>
        <v>-476.76</v>
      </c>
      <c r="DT114" s="3">
        <f t="shared" si="500"/>
        <v>-548</v>
      </c>
      <c r="DU114" s="3">
        <f t="shared" si="501"/>
        <v>15041</v>
      </c>
      <c r="DV114" s="3">
        <f t="shared" si="502"/>
        <v>-929</v>
      </c>
      <c r="DW114" s="3">
        <f t="shared" si="503"/>
        <v>-78</v>
      </c>
      <c r="DX114" s="3" t="e">
        <f t="shared" ca="1" si="512"/>
        <v>#NUM!</v>
      </c>
      <c r="DY114" s="3" t="e">
        <f t="shared" ca="1" si="480"/>
        <v>#NUM!</v>
      </c>
      <c r="DZ114" s="3" t="e">
        <f t="shared" ca="1" si="504"/>
        <v>#NUM!</v>
      </c>
      <c r="EA114" s="3" t="e">
        <f t="shared" ca="1" si="505"/>
        <v>#NUM!</v>
      </c>
      <c r="EB114" s="3" t="e">
        <f t="shared" ca="1" si="481"/>
        <v>#NUM!</v>
      </c>
      <c r="EC114" s="3" t="e">
        <f t="shared" ca="1" si="482"/>
        <v>#NUM!</v>
      </c>
      <c r="ED114" s="63">
        <f t="shared" si="506"/>
        <v>-1007</v>
      </c>
      <c r="EE114" s="59">
        <f t="shared" si="483"/>
        <v>1.6778999999999999</v>
      </c>
      <c r="EF114" s="59">
        <f t="shared" si="484"/>
        <v>0.68279999999999996</v>
      </c>
      <c r="EG114" s="59">
        <f t="shared" si="485"/>
        <v>0.25</v>
      </c>
      <c r="EH114" s="59">
        <f t="shared" si="486"/>
        <v>0.68279999999999996</v>
      </c>
      <c r="EI114" s="59">
        <f t="shared" si="487"/>
        <v>0.45800000000000002</v>
      </c>
      <c r="EJ114" s="59">
        <f t="shared" si="488"/>
        <v>0.1709</v>
      </c>
      <c r="EK114" s="63" t="e">
        <f t="shared" ca="1" si="507"/>
        <v>#NUM!</v>
      </c>
      <c r="EL114" s="3" t="str">
        <f>RTD("tos.rtd",,EL$83,"."&amp;$B$82&amp;$AS$82&amp;"C"&amp;$A114)</f>
        <v>167.79%</v>
      </c>
      <c r="EM114" s="3" t="str">
        <f>RTD("tos.rtd",,EM$83,"."&amp;$B$82&amp;$AS$82&amp;"P"&amp;$A114)</f>
        <v>68.28%</v>
      </c>
      <c r="EN114" s="3" t="str">
        <f>RTD("tos.rtd",,EN$83,"."&amp;$C$82&amp;$AU$82&amp;"C"&amp;$A114)</f>
        <v>--</v>
      </c>
      <c r="EO114" s="3" t="str">
        <f>RTD("tos.rtd",,EO$83,"."&amp;$C$82&amp;$AU$82&amp;"P"&amp;$A114)</f>
        <v>68.28%</v>
      </c>
      <c r="EP114" s="3" t="str">
        <f>RTD("tos.rtd",,EP$83,"."&amp;$D$82&amp;$AW$82&amp;"C"&amp;$A114)</f>
        <v>45.80%</v>
      </c>
      <c r="EQ114" s="3" t="str">
        <f>RTD("tos.rtd",,EQ$83,"."&amp;$D$82&amp;$AW$82&amp;"P"&amp;$A114)</f>
        <v>17.09%</v>
      </c>
      <c r="ES114" s="63" t="str">
        <f t="shared" si="489"/>
        <v>5580,-1007.00</v>
      </c>
      <c r="ET114" s="63" t="str">
        <f t="shared" ca="1" si="490"/>
        <v>5580,00.00</v>
      </c>
      <c r="EU114" s="67">
        <v>560.74</v>
      </c>
      <c r="EV114" s="67" t="s">
        <v>931</v>
      </c>
      <c r="EW114" s="67">
        <v>482.99</v>
      </c>
      <c r="EX114" s="67" t="s">
        <v>932</v>
      </c>
      <c r="EY114" s="67">
        <v>5631.28</v>
      </c>
      <c r="EZ114" s="67" t="s">
        <v>933</v>
      </c>
      <c r="FA114" s="67">
        <v>19867.973000000002</v>
      </c>
      <c r="FB114" s="67" t="s">
        <v>934</v>
      </c>
      <c r="FC114" s="67" t="s">
        <v>935</v>
      </c>
      <c r="FD114" s="67" t="s">
        <v>936</v>
      </c>
      <c r="FE114" s="68" t="s">
        <v>937</v>
      </c>
      <c r="FF114" s="68" t="s">
        <v>938</v>
      </c>
    </row>
    <row r="115" spans="1:162" s="63" customFormat="1" ht="12" customHeight="1" thickBot="1" x14ac:dyDescent="0.25">
      <c r="A115" s="2">
        <f t="shared" si="508"/>
        <v>5570</v>
      </c>
      <c r="B115" s="3">
        <f t="shared" si="451"/>
        <v>1363</v>
      </c>
      <c r="C115" s="3">
        <f t="shared" si="452"/>
        <v>2877</v>
      </c>
      <c r="D115" s="3">
        <f t="shared" si="453"/>
        <v>1484</v>
      </c>
      <c r="E115" s="3">
        <f t="shared" si="523"/>
        <v>5724</v>
      </c>
      <c r="F115" s="4">
        <f t="shared" si="524"/>
        <v>5655.2144822090813</v>
      </c>
      <c r="G115" s="4">
        <f t="shared" si="525"/>
        <v>562.03768257799152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>
        <v>-724</v>
      </c>
      <c r="AN115" s="20">
        <v>-6124</v>
      </c>
      <c r="AO115" s="20">
        <v>5570</v>
      </c>
      <c r="AP115" s="20">
        <v>388</v>
      </c>
      <c r="AQ115" s="20">
        <v>-21341</v>
      </c>
      <c r="AR115" s="20"/>
      <c r="AS115" s="54">
        <f>IF(RTD("tos.rtd",,AS$83,"."&amp;$B$82&amp;$AS$82&amp;"C"&amp;$A115)="N/A",0,RTD("tos.rtd",,AS$83,"."&amp;$B$82&amp;$AS$82&amp;"C"&amp;$A115))</f>
        <v>57</v>
      </c>
      <c r="AT115" s="3">
        <f>-IF(RTD("tos.rtd",,AT$83,"."&amp;$B$82&amp;$AS$82&amp;"P"&amp;$A115)="N/A",0,RTD("tos.rtd",,AT$83,"."&amp;$B$82&amp;$AS$82&amp;"P"&amp;$A115))</f>
        <v>-1306</v>
      </c>
      <c r="AU115" s="54">
        <f>IF(RTD("tos.rtd",,AU$83,"."&amp;$C$82&amp;$AU$82&amp;"C"&amp;$A115)="N/A",0,RTD("tos.rtd",,AU$83,"."&amp;$C$82&amp;$AU$82&amp;"C"&amp;$A115))</f>
        <v>192</v>
      </c>
      <c r="AV115" s="3">
        <f>-IF(RTD("tos.rtd",,AV$83,"."&amp;$C$82&amp;$AU$82&amp;"P"&amp;$A115)="N/A",0,RTD("tos.rtd",,AV$83,"."&amp;$C$82&amp;$AU$82&amp;"P"&amp;$A115))</f>
        <v>-2685</v>
      </c>
      <c r="AW115" s="54">
        <f>IF(RTD("tos.rtd",,AW$83,"."&amp;$D$82&amp;$AW$82&amp;"C"&amp;$A115)="N/A",0,RTD("tos.rtd",,AW$83,"."&amp;$D$82&amp;$AW$82&amp;"C"&amp;$A115))</f>
        <v>215</v>
      </c>
      <c r="AX115" s="3">
        <f>-IF(RTD("tos.rtd",,AX$83,"."&amp;$D$82&amp;$AW$82&amp;"P"&amp;$A115)="N/A",0,RTD("tos.rtd",,AX$83,"."&amp;$D$82&amp;$AW$82&amp;"P"&amp;$A115))</f>
        <v>-1269</v>
      </c>
      <c r="AY115" s="79">
        <f t="shared" si="526"/>
        <v>-4796</v>
      </c>
      <c r="AZ115" s="8">
        <f t="shared" si="455"/>
        <v>5570</v>
      </c>
      <c r="BA115" s="54">
        <f>IF(RTD("tos.rtd",,BA$83,"."&amp;$B$82&amp;$AS$82&amp;"C"&amp;$A115)="N/A",0,RTD("tos.rtd",,BA$83,"."&amp;$B$82&amp;$AS$82&amp;"C"&amp;$A115))</f>
        <v>0</v>
      </c>
      <c r="BB115" s="3">
        <f>-IF(RTD("tos.rtd",,BB$83,"."&amp;$B$82&amp;$AS$82&amp;"P"&amp;$A115)="N/A",0,RTD("tos.rtd",,BB$83,"."&amp;$B$82&amp;$AS$82&amp;"P"&amp;$A115))</f>
        <v>0</v>
      </c>
      <c r="BC115" s="54">
        <f>IF(RTD("tos.rtd",,BC$83,"."&amp;$C$82&amp;$AU$82&amp;"C"&amp;$A115)="N/A",0,RTD("tos.rtd",,BC$83,"."&amp;$C$82&amp;$AU$82&amp;"C"&amp;$A115))</f>
        <v>0</v>
      </c>
      <c r="BD115" s="3">
        <f>-IF(RTD("tos.rtd",,BD$83,"."&amp;$C$82&amp;$AU$82&amp;"P"&amp;$A115)="N/A",0,RTD("tos.rtd",,BD$83,"."&amp;$C$82&amp;$AU$82&amp;"P"&amp;$A115))</f>
        <v>0</v>
      </c>
      <c r="BE115" s="54">
        <f>IF(RTD("tos.rtd",,BE$83,"."&amp;$D$82&amp;$AW$82&amp;"C"&amp;$A115)="N/A",0,RTD("tos.rtd",,BE$83,"."&amp;$D$82&amp;$AW$82&amp;"C"&amp;$A115))</f>
        <v>0</v>
      </c>
      <c r="BF115" s="3">
        <f>-IF(RTD("tos.rtd",,BF$83,"."&amp;$D$82&amp;$AW$82&amp;"P"&amp;$A115)="N/A",0,RTD("tos.rtd",,BF$83,"."&amp;$D$82&amp;$AW$82&amp;"P"&amp;$A115))</f>
        <v>0</v>
      </c>
      <c r="BG115" s="3">
        <f ca="1">+Hoja2!Y116</f>
        <v>0</v>
      </c>
      <c r="BH115" s="55">
        <f t="shared" ca="1" si="493"/>
        <v>0</v>
      </c>
      <c r="BI115" s="32" t="str">
        <f t="shared" ca="1" si="513"/>
        <v/>
      </c>
      <c r="BJ115" s="3" t="e">
        <f ca="1">IF($BP$1=1,DX115,IF(RTD("tos.rtd",,BJ$83,"."&amp;$B$82&amp;$AS$82&amp;"C"&amp;$A115)="N/A",0,RTD("tos.rtd",,BJ$83,"."&amp;$B$82&amp;$AS$82&amp;"C"&amp;$A115)))</f>
        <v>#NUM!</v>
      </c>
      <c r="BK115" s="3" t="e">
        <f ca="1">IF($BP$1=1,DY115,-IF(RTD("tos.rtd",,BK$83,"."&amp;$B$82&amp;$AS$82&amp;"P"&amp;$A115)="N/A",0,RTD("tos.rtd",,BK$83,"."&amp;$B$82&amp;$AS$82&amp;"P"&amp;$A115)))</f>
        <v>#NUM!</v>
      </c>
      <c r="BL115" s="3" t="e">
        <f ca="1">IF($BP$1=1,DZ115,IF(RTD("tos.rtd",,BL$83,"."&amp;$C$82&amp;$AU$82&amp;"C"&amp;$A115)="N/A",0,RTD("tos.rtd",,BL$83,"."&amp;$C$82&amp;$AU$82&amp;"C"&amp;$A115)))</f>
        <v>#NUM!</v>
      </c>
      <c r="BM115" s="3" t="e">
        <f ca="1">IF($BP$1=1,EA115,-IF(RTD("tos.rtd",,BM$83,"."&amp;$C$82&amp;$AU$82&amp;"P"&amp;$A115)="N/A",0,RTD("tos.rtd",,BM$83,"."&amp;$C$82&amp;$AU$82&amp;"P"&amp;$A115)))</f>
        <v>#NUM!</v>
      </c>
      <c r="BN115" s="3" t="e">
        <f ca="1">IF($BP$1=1,EB115,IF(RTD("tos.rtd",,BN$83,"."&amp;$D$82&amp;$AW$82&amp;"C"&amp;$A115)="N/A",0,RTD("tos.rtd",,BN$83,"."&amp;$D$82&amp;$AW$82&amp;"C"&amp;$A115)))</f>
        <v>#NUM!</v>
      </c>
      <c r="BO115" s="3" t="e">
        <f ca="1">IF($BP$1=1,EC115,-IF(RTD("tos.rtd",,BO$83,"."&amp;$D$82&amp;$AW$82&amp;"P"&amp;$A115)="N/A",0,RTD("tos.rtd",,BO$83,"."&amp;$D$82&amp;$AW$82&amp;"P"&amp;$A115)))</f>
        <v>#NUM!</v>
      </c>
      <c r="BQ115" s="3" t="e">
        <f t="shared" ca="1" si="456"/>
        <v>#NUM!</v>
      </c>
      <c r="BR115" s="3" t="e">
        <f t="shared" ca="1" si="494"/>
        <v>#NUM!</v>
      </c>
      <c r="BS115" s="3" t="e">
        <f t="shared" ca="1" si="457"/>
        <v>#NUM!</v>
      </c>
      <c r="BT115" s="3" t="e">
        <f t="shared" ca="1" si="494"/>
        <v>#NUM!</v>
      </c>
      <c r="BU115" s="3" t="e">
        <f t="shared" ca="1" si="458"/>
        <v>#NUM!</v>
      </c>
      <c r="BV115" s="3" t="e">
        <f t="shared" ca="1" si="494"/>
        <v>#NUM!</v>
      </c>
      <c r="BX115" s="3" t="e">
        <f t="shared" ca="1" si="459"/>
        <v>#NUM!</v>
      </c>
      <c r="BY115" s="3" t="e">
        <f t="shared" ca="1" si="510"/>
        <v>#NUM!</v>
      </c>
      <c r="BZ115" s="3" t="e">
        <f t="shared" ca="1" si="460"/>
        <v>#NUM!</v>
      </c>
      <c r="CA115" s="3" t="e">
        <f t="shared" ca="1" si="510"/>
        <v>#NUM!</v>
      </c>
      <c r="CB115" s="3" t="e">
        <f t="shared" ca="1" si="461"/>
        <v>#NUM!</v>
      </c>
      <c r="CC115" s="3" t="e">
        <f t="shared" ca="1" si="510"/>
        <v>#NUM!</v>
      </c>
      <c r="CD115" s="3">
        <f>IF(RTD("tos.rtd",,CD$83,"."&amp;$B$82&amp;$AS$82&amp;"C"&amp;$A115)="N/A",0,RTD("tos.rtd",,CD$83,"."&amp;$B$82&amp;$AS$82&amp;"C"&amp;$A115))</f>
        <v>0.88</v>
      </c>
      <c r="CE115" s="3">
        <f>-IF(RTD("tos.rtd",,CE$83,"."&amp;$B$82&amp;$AS$82&amp;"P"&amp;$A115)="N/A",0,RTD("tos.rtd",,CE$83,"."&amp;$B$82&amp;$AS$82&amp;"P"&amp;$A115))</f>
        <v>0</v>
      </c>
      <c r="CF115" s="3">
        <f>IF(RTD("tos.rtd",,CF$83,"."&amp;$C$82&amp;$AU$82&amp;"C"&amp;$A115)="N/A",0,RTD("tos.rtd",,CF$83,"."&amp;$C$82&amp;$AU$82&amp;"C"&amp;$A115))</f>
        <v>1</v>
      </c>
      <c r="CG115" s="3">
        <f>-IF(RTD("tos.rtd",,CG$83,"."&amp;$C$82&amp;$AU$82&amp;"P"&amp;$A115)="N/A",0,RTD("tos.rtd",,CG$83,"."&amp;$C$82&amp;$AU$82&amp;"P"&amp;$A115))</f>
        <v>0</v>
      </c>
      <c r="CH115" s="3">
        <f>IF(RTD("tos.rtd",,CH$83,"."&amp;$D$82&amp;$AW$82&amp;"C"&amp;$A115)="N/A",0,RTD("tos.rtd",,CH$83,"."&amp;$D$82&amp;$AW$82&amp;"C"&amp;$A115))</f>
        <v>0.63</v>
      </c>
      <c r="CI115" s="3">
        <f>-IF(RTD("tos.rtd",,CI$83,"."&amp;$D$82&amp;$AW$82&amp;"P"&amp;$A115)="N/A",0,RTD("tos.rtd",,CI$83,"."&amp;$D$82&amp;$AW$82&amp;"P"&amp;$A115))</f>
        <v>0.2</v>
      </c>
      <c r="CK115" s="3">
        <f t="shared" si="495"/>
        <v>5016</v>
      </c>
      <c r="CL115" s="3"/>
      <c r="CM115" s="3">
        <f t="shared" si="496"/>
        <v>19200</v>
      </c>
      <c r="CN115" s="3"/>
      <c r="CO115" s="3">
        <f t="shared" si="497"/>
        <v>-11835.000000000002</v>
      </c>
      <c r="CP115" s="3">
        <f t="shared" si="462"/>
        <v>12380.999999999998</v>
      </c>
      <c r="CQ115" s="3">
        <f t="shared" si="463"/>
        <v>0</v>
      </c>
      <c r="CR115" s="3"/>
      <c r="CS115" s="3">
        <f t="shared" si="464"/>
        <v>0</v>
      </c>
      <c r="CT115" s="3"/>
      <c r="CU115" s="3">
        <f t="shared" si="465"/>
        <v>0</v>
      </c>
      <c r="CV115" s="3"/>
      <c r="CW115" s="3" t="e">
        <f t="shared" ca="1" si="527"/>
        <v>#NUM!</v>
      </c>
      <c r="CY115" s="3" t="e">
        <f t="shared" ca="1" si="467"/>
        <v>#NUM!</v>
      </c>
      <c r="CZ115" s="70" t="e">
        <f t="shared" ca="1" si="511"/>
        <v>#NUM!</v>
      </c>
      <c r="DA115" s="3">
        <f>IF(RTD("tos.rtd",,DA$83,"."&amp;$B$82&amp;$AS$82&amp;"C"&amp;$A115)="N/A",0,RTD("tos.rtd",,DA$83,"."&amp;$B$82&amp;$AS$82&amp;"C"&amp;$A115))</f>
        <v>100</v>
      </c>
      <c r="DB115" s="3">
        <f>IF(RTD("tos.rtd",,DB$83,"."&amp;$B$82&amp;$AS$82&amp;"P"&amp;$A115)="N/A",0,RTD("tos.rtd",,DB$83,"."&amp;$B$82&amp;$AS$82&amp;"P"&amp;$A115))</f>
        <v>0.03</v>
      </c>
      <c r="DC115" s="3">
        <f>IF(RTD("tos.rtd",,DC$83,"."&amp;$B$82&amp;$AS$82&amp;"C"&amp;$A115)="N/A",0,RTD("tos.rtd",,DC$83,"."&amp;$B$82&amp;$AS$82&amp;"C"&amp;$A115))</f>
        <v>96.5</v>
      </c>
      <c r="DD115" s="3">
        <f>IF(RTD("tos.rtd",,DD$83,"."&amp;$B$82&amp;$AS$82&amp;"P"&amp;$A115)="N/A",0,RTD("tos.rtd",,DD$83,"."&amp;$B$82&amp;$AS$82&amp;"P"&amp;$A115))</f>
        <v>0.05</v>
      </c>
      <c r="DE115" s="3">
        <f>IF(RTD("tos.rtd",,DE$83,"."&amp;$B$82&amp;$AS$82&amp;"C"&amp;$A115)="N/A",0,RTD("tos.rtd",,DE$83,"."&amp;$B$82&amp;$AS$82&amp;"C"&amp;$A115))</f>
        <v>92.7</v>
      </c>
      <c r="DF115" s="3">
        <f>IF(RTD("tos.rtd",,DF$83,"."&amp;$B$82&amp;$AS$82&amp;"P"&amp;$A115)="N/A",0,RTD("tos.rtd",,DF$83,"."&amp;$B$82&amp;$AS$82&amp;"P"&amp;$A115))</f>
        <v>0</v>
      </c>
      <c r="DG115" s="86">
        <f t="shared" si="499"/>
        <v>-89.909999999999854</v>
      </c>
      <c r="DH115" s="3">
        <f t="shared" si="468"/>
        <v>-745.36842105263179</v>
      </c>
      <c r="DI115" s="3">
        <f t="shared" si="469"/>
        <v>12804.6</v>
      </c>
      <c r="DJ115" s="3">
        <f t="shared" si="470"/>
        <v>-388</v>
      </c>
      <c r="DK115" s="3">
        <f t="shared" si="471"/>
        <v>21341</v>
      </c>
      <c r="DL115" s="3">
        <f t="shared" si="472"/>
        <v>12059.231578947369</v>
      </c>
      <c r="DM115" s="3">
        <f t="shared" si="473"/>
        <v>20953</v>
      </c>
      <c r="DN115" s="64" t="str">
        <f t="shared" si="474"/>
        <v>UNKNOWN</v>
      </c>
      <c r="DO115" s="64" t="str">
        <f t="shared" si="475"/>
        <v>UNKNOWN</v>
      </c>
      <c r="DP115" s="3">
        <f t="shared" si="476"/>
        <v>-74152.704105263168</v>
      </c>
      <c r="DQ115" s="3">
        <f t="shared" si="477"/>
        <v>-38159.769999999997</v>
      </c>
      <c r="DR115" s="3" t="e">
        <f t="shared" ca="1" si="478"/>
        <v>#NUM!</v>
      </c>
      <c r="DS115" s="3">
        <f t="shared" si="479"/>
        <v>-341.44</v>
      </c>
      <c r="DT115" s="3">
        <f t="shared" si="500"/>
        <v>-388</v>
      </c>
      <c r="DU115" s="3">
        <f t="shared" si="501"/>
        <v>21341</v>
      </c>
      <c r="DV115" s="3">
        <f t="shared" si="502"/>
        <v>-724</v>
      </c>
      <c r="DW115" s="3">
        <f t="shared" si="503"/>
        <v>-6124</v>
      </c>
      <c r="DX115" s="3" t="e">
        <f t="shared" ca="1" si="512"/>
        <v>#NUM!</v>
      </c>
      <c r="DY115" s="3" t="e">
        <f t="shared" ca="1" si="480"/>
        <v>#NUM!</v>
      </c>
      <c r="DZ115" s="3" t="e">
        <f t="shared" ca="1" si="504"/>
        <v>#NUM!</v>
      </c>
      <c r="EA115" s="3" t="e">
        <f t="shared" ca="1" si="505"/>
        <v>#NUM!</v>
      </c>
      <c r="EB115" s="3" t="e">
        <f t="shared" ca="1" si="481"/>
        <v>#NUM!</v>
      </c>
      <c r="EC115" s="3" t="e">
        <f t="shared" ca="1" si="482"/>
        <v>#NUM!</v>
      </c>
      <c r="ED115" s="63">
        <f t="shared" si="506"/>
        <v>-6848</v>
      </c>
      <c r="EE115" s="59">
        <f t="shared" si="483"/>
        <v>1.8231999999999999</v>
      </c>
      <c r="EF115" s="59">
        <f t="shared" si="484"/>
        <v>0.75900000000000001</v>
      </c>
      <c r="EG115" s="59">
        <f t="shared" si="485"/>
        <v>0.25</v>
      </c>
      <c r="EH115" s="59">
        <f t="shared" si="486"/>
        <v>0.75900000000000001</v>
      </c>
      <c r="EI115" s="59">
        <f t="shared" si="487"/>
        <v>0.46629999999999999</v>
      </c>
      <c r="EJ115" s="59">
        <f t="shared" si="488"/>
        <v>0.17480000000000001</v>
      </c>
      <c r="EK115" s="63" t="e">
        <f t="shared" ca="1" si="507"/>
        <v>#NUM!</v>
      </c>
      <c r="EL115" s="3" t="str">
        <f>RTD("tos.rtd",,EL$83,"."&amp;$B$82&amp;$AS$82&amp;"C"&amp;$A115)</f>
        <v>182.32%</v>
      </c>
      <c r="EM115" s="3" t="str">
        <f>RTD("tos.rtd",,EM$83,"."&amp;$B$82&amp;$AS$82&amp;"P"&amp;$A115)</f>
        <v>75.90%</v>
      </c>
      <c r="EN115" s="3" t="str">
        <f>RTD("tos.rtd",,EN$83,"."&amp;$C$82&amp;$AU$82&amp;"C"&amp;$A115)</f>
        <v>--</v>
      </c>
      <c r="EO115" s="3" t="str">
        <f>RTD("tos.rtd",,EO$83,"."&amp;$C$82&amp;$AU$82&amp;"P"&amp;$A115)</f>
        <v>75.90%</v>
      </c>
      <c r="EP115" s="3" t="str">
        <f>RTD("tos.rtd",,EP$83,"."&amp;$D$82&amp;$AW$82&amp;"C"&amp;$A115)</f>
        <v>46.63%</v>
      </c>
      <c r="EQ115" s="3" t="str">
        <f>RTD("tos.rtd",,EQ$83,"."&amp;$D$82&amp;$AW$82&amp;"P"&amp;$A115)</f>
        <v>17.48%</v>
      </c>
      <c r="ES115" s="63" t="str">
        <f t="shared" si="489"/>
        <v>5570,-6848.00</v>
      </c>
      <c r="ET115" s="63" t="str">
        <f t="shared" ca="1" si="490"/>
        <v>5570,00.00</v>
      </c>
      <c r="EU115" s="67">
        <v>560.83000000000004</v>
      </c>
      <c r="EV115" s="67" t="s">
        <v>939</v>
      </c>
      <c r="EW115" s="67">
        <v>483.1</v>
      </c>
      <c r="EX115" s="67" t="s">
        <v>940</v>
      </c>
      <c r="EY115" s="67">
        <v>5631.28</v>
      </c>
      <c r="EZ115" s="67" t="s">
        <v>941</v>
      </c>
      <c r="FA115" s="67">
        <v>19867.973000000002</v>
      </c>
      <c r="FB115" s="67" t="s">
        <v>942</v>
      </c>
      <c r="FC115" s="67" t="s">
        <v>943</v>
      </c>
      <c r="FD115" s="67" t="s">
        <v>944</v>
      </c>
      <c r="FE115" s="68" t="s">
        <v>945</v>
      </c>
      <c r="FF115" s="68" t="s">
        <v>946</v>
      </c>
    </row>
    <row r="116" spans="1:162" s="63" customFormat="1" ht="12" customHeight="1" thickBot="1" x14ac:dyDescent="0.25">
      <c r="A116" s="2">
        <f t="shared" si="508"/>
        <v>5560</v>
      </c>
      <c r="B116" s="3">
        <f t="shared" si="451"/>
        <v>1573</v>
      </c>
      <c r="C116" s="3">
        <f t="shared" si="452"/>
        <v>1086</v>
      </c>
      <c r="D116" s="3">
        <f t="shared" si="453"/>
        <v>648</v>
      </c>
      <c r="E116" s="3">
        <f t="shared" si="523"/>
        <v>3307</v>
      </c>
      <c r="F116" s="4">
        <f t="shared" si="524"/>
        <v>5645.0614939106808</v>
      </c>
      <c r="G116" s="4">
        <f t="shared" si="525"/>
        <v>561.0286382645661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>
        <v>-137</v>
      </c>
      <c r="AN116" s="20">
        <v>-2372</v>
      </c>
      <c r="AO116" s="20">
        <v>5560</v>
      </c>
      <c r="AP116" s="20">
        <v>77</v>
      </c>
      <c r="AQ116" s="20">
        <v>-13214</v>
      </c>
      <c r="AR116" s="20"/>
      <c r="AS116" s="54">
        <f>IF(RTD("tos.rtd",,AS$83,"."&amp;$B$82&amp;$AS$82&amp;"C"&amp;$A116)="N/A",0,RTD("tos.rtd",,AS$83,"."&amp;$B$82&amp;$AS$82&amp;"C"&amp;$A116))</f>
        <v>72</v>
      </c>
      <c r="AT116" s="3">
        <f>-IF(RTD("tos.rtd",,AT$83,"."&amp;$B$82&amp;$AS$82&amp;"P"&amp;$A116)="N/A",0,RTD("tos.rtd",,AT$83,"."&amp;$B$82&amp;$AS$82&amp;"P"&amp;$A116))</f>
        <v>-1501</v>
      </c>
      <c r="AU116" s="54">
        <f>IF(RTD("tos.rtd",,AU$83,"."&amp;$C$82&amp;$AU$82&amp;"C"&amp;$A116)="N/A",0,RTD("tos.rtd",,AU$83,"."&amp;$C$82&amp;$AU$82&amp;"C"&amp;$A116))</f>
        <v>244</v>
      </c>
      <c r="AV116" s="3">
        <f>-IF(RTD("tos.rtd",,AV$83,"."&amp;$C$82&amp;$AU$82&amp;"P"&amp;$A116)="N/A",0,RTD("tos.rtd",,AV$83,"."&amp;$C$82&amp;$AU$82&amp;"P"&amp;$A116))</f>
        <v>-842</v>
      </c>
      <c r="AW116" s="54">
        <f>IF(RTD("tos.rtd",,AW$83,"."&amp;$D$82&amp;$AW$82&amp;"C"&amp;$A116)="N/A",0,RTD("tos.rtd",,AW$83,"."&amp;$D$82&amp;$AW$82&amp;"C"&amp;$A116))</f>
        <v>212</v>
      </c>
      <c r="AX116" s="3">
        <f>-IF(RTD("tos.rtd",,AX$83,"."&amp;$D$82&amp;$AW$82&amp;"P"&amp;$A116)="N/A",0,RTD("tos.rtd",,AX$83,"."&amp;$D$82&amp;$AW$82&amp;"P"&amp;$A116))</f>
        <v>-436</v>
      </c>
      <c r="AY116" s="79">
        <f t="shared" si="526"/>
        <v>-2251</v>
      </c>
      <c r="AZ116" s="8">
        <f t="shared" si="455"/>
        <v>5560</v>
      </c>
      <c r="BA116" s="54">
        <f>IF(RTD("tos.rtd",,BA$83,"."&amp;$B$82&amp;$AS$82&amp;"C"&amp;$A116)="N/A",0,RTD("tos.rtd",,BA$83,"."&amp;$B$82&amp;$AS$82&amp;"C"&amp;$A116))</f>
        <v>0</v>
      </c>
      <c r="BB116" s="3">
        <f>-IF(RTD("tos.rtd",,BB$83,"."&amp;$B$82&amp;$AS$82&amp;"P"&amp;$A116)="N/A",0,RTD("tos.rtd",,BB$83,"."&amp;$B$82&amp;$AS$82&amp;"P"&amp;$A116))</f>
        <v>0</v>
      </c>
      <c r="BC116" s="54">
        <f>IF(RTD("tos.rtd",,BC$83,"."&amp;$C$82&amp;$AU$82&amp;"C"&amp;$A116)="N/A",0,RTD("tos.rtd",,BC$83,"."&amp;$C$82&amp;$AU$82&amp;"C"&amp;$A116))</f>
        <v>0</v>
      </c>
      <c r="BD116" s="3">
        <f>-IF(RTD("tos.rtd",,BD$83,"."&amp;$C$82&amp;$AU$82&amp;"P"&amp;$A116)="N/A",0,RTD("tos.rtd",,BD$83,"."&amp;$C$82&amp;$AU$82&amp;"P"&amp;$A116))</f>
        <v>0</v>
      </c>
      <c r="BE116" s="54">
        <f>IF(RTD("tos.rtd",,BE$83,"."&amp;$D$82&amp;$AW$82&amp;"C"&amp;$A116)="N/A",0,RTD("tos.rtd",,BE$83,"."&amp;$D$82&amp;$AW$82&amp;"C"&amp;$A116))</f>
        <v>0</v>
      </c>
      <c r="BF116" s="3">
        <f>-IF(RTD("tos.rtd",,BF$83,"."&amp;$D$82&amp;$AW$82&amp;"P"&amp;$A116)="N/A",0,RTD("tos.rtd",,BF$83,"."&amp;$D$82&amp;$AW$82&amp;"P"&amp;$A116))</f>
        <v>0</v>
      </c>
      <c r="BG116" s="3">
        <f ca="1">+Hoja2!Y117</f>
        <v>0</v>
      </c>
      <c r="BH116" s="55">
        <f t="shared" ca="1" si="493"/>
        <v>0</v>
      </c>
      <c r="BI116" s="32" t="str">
        <f t="shared" ca="1" si="513"/>
        <v/>
      </c>
      <c r="BJ116" s="3" t="e">
        <f ca="1">IF($BP$1=1,DX116,IF(RTD("tos.rtd",,BJ$83,"."&amp;$B$82&amp;$AS$82&amp;"C"&amp;$A116)="N/A",0,RTD("tos.rtd",,BJ$83,"."&amp;$B$82&amp;$AS$82&amp;"C"&amp;$A116)))</f>
        <v>#NUM!</v>
      </c>
      <c r="BK116" s="3" t="e">
        <f ca="1">IF($BP$1=1,DY116,-IF(RTD("tos.rtd",,BK$83,"."&amp;$B$82&amp;$AS$82&amp;"P"&amp;$A116)="N/A",0,RTD("tos.rtd",,BK$83,"."&amp;$B$82&amp;$AS$82&amp;"P"&amp;$A116)))</f>
        <v>#NUM!</v>
      </c>
      <c r="BL116" s="3" t="e">
        <f ca="1">IF($BP$1=1,DZ116,IF(RTD("tos.rtd",,BL$83,"."&amp;$C$82&amp;$AU$82&amp;"C"&amp;$A116)="N/A",0,RTD("tos.rtd",,BL$83,"."&amp;$C$82&amp;$AU$82&amp;"C"&amp;$A116)))</f>
        <v>#NUM!</v>
      </c>
      <c r="BM116" s="3" t="e">
        <f ca="1">IF($BP$1=1,EA116,-IF(RTD("tos.rtd",,BM$83,"."&amp;$C$82&amp;$AU$82&amp;"P"&amp;$A116)="N/A",0,RTD("tos.rtd",,BM$83,"."&amp;$C$82&amp;$AU$82&amp;"P"&amp;$A116)))</f>
        <v>#NUM!</v>
      </c>
      <c r="BN116" s="3" t="e">
        <f ca="1">IF($BP$1=1,EB116,IF(RTD("tos.rtd",,BN$83,"."&amp;$D$82&amp;$AW$82&amp;"C"&amp;$A116)="N/A",0,RTD("tos.rtd",,BN$83,"."&amp;$D$82&amp;$AW$82&amp;"C"&amp;$A116)))</f>
        <v>#NUM!</v>
      </c>
      <c r="BO116" s="3" t="e">
        <f ca="1">IF($BP$1=1,EC116,-IF(RTD("tos.rtd",,BO$83,"."&amp;$D$82&amp;$AW$82&amp;"P"&amp;$A116)="N/A",0,RTD("tos.rtd",,BO$83,"."&amp;$D$82&amp;$AW$82&amp;"P"&amp;$A116)))</f>
        <v>#NUM!</v>
      </c>
      <c r="BQ116" s="3" t="e">
        <f t="shared" ca="1" si="456"/>
        <v>#NUM!</v>
      </c>
      <c r="BR116" s="3" t="e">
        <f t="shared" ca="1" si="494"/>
        <v>#NUM!</v>
      </c>
      <c r="BS116" s="3" t="e">
        <f t="shared" ca="1" si="457"/>
        <v>#NUM!</v>
      </c>
      <c r="BT116" s="3" t="e">
        <f t="shared" ca="1" si="494"/>
        <v>#NUM!</v>
      </c>
      <c r="BU116" s="3" t="e">
        <f t="shared" ca="1" si="458"/>
        <v>#NUM!</v>
      </c>
      <c r="BV116" s="3" t="e">
        <f t="shared" ca="1" si="494"/>
        <v>#NUM!</v>
      </c>
      <c r="BX116" s="3" t="e">
        <f t="shared" ca="1" si="459"/>
        <v>#NUM!</v>
      </c>
      <c r="BY116" s="3" t="e">
        <f t="shared" ca="1" si="510"/>
        <v>#NUM!</v>
      </c>
      <c r="BZ116" s="3" t="e">
        <f t="shared" ca="1" si="460"/>
        <v>#NUM!</v>
      </c>
      <c r="CA116" s="3" t="e">
        <f t="shared" ca="1" si="510"/>
        <v>#NUM!</v>
      </c>
      <c r="CB116" s="3" t="e">
        <f t="shared" ca="1" si="461"/>
        <v>#NUM!</v>
      </c>
      <c r="CC116" s="3" t="e">
        <f t="shared" ca="1" si="510"/>
        <v>#NUM!</v>
      </c>
      <c r="CD116" s="3">
        <f>IF(RTD("tos.rtd",,CD$83,"."&amp;$B$82&amp;$AS$82&amp;"C"&amp;$A116)="N/A",0,RTD("tos.rtd",,CD$83,"."&amp;$B$82&amp;$AS$82&amp;"C"&amp;$A116))</f>
        <v>0.89</v>
      </c>
      <c r="CE116" s="3">
        <f>-IF(RTD("tos.rtd",,CE$83,"."&amp;$B$82&amp;$AS$82&amp;"P"&amp;$A116)="N/A",0,RTD("tos.rtd",,CE$83,"."&amp;$B$82&amp;$AS$82&amp;"P"&amp;$A116))</f>
        <v>0</v>
      </c>
      <c r="CF116" s="3">
        <f>IF(RTD("tos.rtd",,CF$83,"."&amp;$C$82&amp;$AU$82&amp;"C"&amp;$A116)="N/A",0,RTD("tos.rtd",,CF$83,"."&amp;$C$82&amp;$AU$82&amp;"C"&amp;$A116))</f>
        <v>1</v>
      </c>
      <c r="CG116" s="3">
        <f>-IF(RTD("tos.rtd",,CG$83,"."&amp;$C$82&amp;$AU$82&amp;"P"&amp;$A116)="N/A",0,RTD("tos.rtd",,CG$83,"."&amp;$C$82&amp;$AU$82&amp;"P"&amp;$A116))</f>
        <v>0</v>
      </c>
      <c r="CH116" s="3">
        <f>IF(RTD("tos.rtd",,CH$83,"."&amp;$D$82&amp;$AW$82&amp;"C"&amp;$A116)="N/A",0,RTD("tos.rtd",,CH$83,"."&amp;$D$82&amp;$AW$82&amp;"C"&amp;$A116))</f>
        <v>0.64</v>
      </c>
      <c r="CI116" s="3">
        <f>-IF(RTD("tos.rtd",,CI$83,"."&amp;$D$82&amp;$AW$82&amp;"P"&amp;$A116)="N/A",0,RTD("tos.rtd",,CI$83,"."&amp;$D$82&amp;$AW$82&amp;"P"&amp;$A116))</f>
        <v>0.18</v>
      </c>
      <c r="CK116" s="3">
        <f t="shared" si="495"/>
        <v>6408</v>
      </c>
      <c r="CL116" s="3"/>
      <c r="CM116" s="3">
        <f t="shared" si="496"/>
        <v>24400</v>
      </c>
      <c r="CN116" s="3"/>
      <c r="CO116" s="3">
        <f t="shared" si="497"/>
        <v>5720</v>
      </c>
      <c r="CP116" s="3">
        <f t="shared" si="462"/>
        <v>36528</v>
      </c>
      <c r="CQ116" s="3">
        <f t="shared" si="463"/>
        <v>0</v>
      </c>
      <c r="CR116" s="3"/>
      <c r="CS116" s="3">
        <f t="shared" si="464"/>
        <v>0</v>
      </c>
      <c r="CT116" s="3"/>
      <c r="CU116" s="3">
        <f t="shared" si="465"/>
        <v>0</v>
      </c>
      <c r="CV116" s="3"/>
      <c r="CW116" s="3" t="e">
        <f t="shared" ca="1" si="527"/>
        <v>#NUM!</v>
      </c>
      <c r="CY116" s="3" t="e">
        <f t="shared" ca="1" si="467"/>
        <v>#NUM!</v>
      </c>
      <c r="CZ116" s="70" t="e">
        <f t="shared" ca="1" si="511"/>
        <v>#NUM!</v>
      </c>
      <c r="DA116" s="3">
        <f>IF(RTD("tos.rtd",,DA$83,"."&amp;$B$82&amp;$AS$82&amp;"C"&amp;$A116)="N/A",0,RTD("tos.rtd",,DA$83,"."&amp;$B$82&amp;$AS$82&amp;"C"&amp;$A116))</f>
        <v>113.1</v>
      </c>
      <c r="DB116" s="3">
        <f>IF(RTD("tos.rtd",,DB$83,"."&amp;$B$82&amp;$AS$82&amp;"P"&amp;$A116)="N/A",0,RTD("tos.rtd",,DB$83,"."&amp;$B$82&amp;$AS$82&amp;"P"&amp;$A116))</f>
        <v>0.04</v>
      </c>
      <c r="DC116" s="3">
        <f>IF(RTD("tos.rtd",,DC$83,"."&amp;$B$82&amp;$AS$82&amp;"C"&amp;$A116)="N/A",0,RTD("tos.rtd",,DC$83,"."&amp;$B$82&amp;$AS$82&amp;"C"&amp;$A116))</f>
        <v>106.5</v>
      </c>
      <c r="DD116" s="3">
        <f>IF(RTD("tos.rtd",,DD$83,"."&amp;$B$82&amp;$AS$82&amp;"P"&amp;$A116)="N/A",0,RTD("tos.rtd",,DD$83,"."&amp;$B$82&amp;$AS$82&amp;"P"&amp;$A116))</f>
        <v>0.05</v>
      </c>
      <c r="DE116" s="3">
        <f>IF(RTD("tos.rtd",,DE$83,"."&amp;$B$82&amp;$AS$82&amp;"C"&amp;$A116)="N/A",0,RTD("tos.rtd",,DE$83,"."&amp;$B$82&amp;$AS$82&amp;"C"&amp;$A116))</f>
        <v>102.7</v>
      </c>
      <c r="DF116" s="3">
        <f>IF(RTD("tos.rtd",,DF$83,"."&amp;$B$82&amp;$AS$82&amp;"P"&amp;$A116)="N/A",0,RTD("tos.rtd",,DF$83,"."&amp;$B$82&amp;$AS$82&amp;"P"&amp;$A116))</f>
        <v>0</v>
      </c>
      <c r="DG116" s="86">
        <f t="shared" si="499"/>
        <v>-99.909999999999854</v>
      </c>
      <c r="DH116" s="3">
        <f t="shared" si="468"/>
        <v>-210.73684210526312</v>
      </c>
      <c r="DI116" s="3">
        <f t="shared" si="469"/>
        <v>10571.199999999999</v>
      </c>
      <c r="DJ116" s="3">
        <f t="shared" si="470"/>
        <v>-77</v>
      </c>
      <c r="DK116" s="3">
        <f t="shared" si="471"/>
        <v>13214</v>
      </c>
      <c r="DL116" s="3">
        <f t="shared" si="472"/>
        <v>10360.463157894736</v>
      </c>
      <c r="DM116" s="3">
        <f t="shared" si="473"/>
        <v>13137</v>
      </c>
      <c r="DN116" s="64" t="str">
        <f t="shared" si="474"/>
        <v>UNKNOWN</v>
      </c>
      <c r="DO116" s="64" t="str">
        <f t="shared" si="475"/>
        <v>UNKNOWN</v>
      </c>
      <c r="DP116" s="3">
        <f t="shared" si="476"/>
        <v>-23411.48884210526</v>
      </c>
      <c r="DQ116" s="3">
        <f t="shared" si="477"/>
        <v>-8180.1399999999985</v>
      </c>
      <c r="DR116" s="3" t="e">
        <f t="shared" ca="1" si="478"/>
        <v>#NUM!</v>
      </c>
      <c r="DS116" s="3">
        <f t="shared" si="479"/>
        <v>-68.53</v>
      </c>
      <c r="DT116" s="3">
        <f t="shared" si="500"/>
        <v>-77</v>
      </c>
      <c r="DU116" s="3">
        <f t="shared" si="501"/>
        <v>13214</v>
      </c>
      <c r="DV116" s="3">
        <f t="shared" si="502"/>
        <v>-137</v>
      </c>
      <c r="DW116" s="3">
        <f t="shared" si="503"/>
        <v>-2372</v>
      </c>
      <c r="DX116" s="3" t="e">
        <f t="shared" ca="1" si="512"/>
        <v>#NUM!</v>
      </c>
      <c r="DY116" s="3" t="e">
        <f t="shared" ca="1" si="480"/>
        <v>#NUM!</v>
      </c>
      <c r="DZ116" s="3" t="e">
        <f t="shared" ca="1" si="504"/>
        <v>#NUM!</v>
      </c>
      <c r="EA116" s="3" t="e">
        <f t="shared" ca="1" si="505"/>
        <v>#NUM!</v>
      </c>
      <c r="EB116" s="3" t="e">
        <f t="shared" ca="1" si="481"/>
        <v>#NUM!</v>
      </c>
      <c r="EC116" s="3" t="e">
        <f t="shared" ca="1" si="482"/>
        <v>#NUM!</v>
      </c>
      <c r="ED116" s="63">
        <f t="shared" si="506"/>
        <v>-2509</v>
      </c>
      <c r="EE116" s="59">
        <f t="shared" si="483"/>
        <v>1.9659</v>
      </c>
      <c r="EF116" s="59">
        <f t="shared" si="484"/>
        <v>0.83479999999999999</v>
      </c>
      <c r="EG116" s="59">
        <f t="shared" si="485"/>
        <v>0.25</v>
      </c>
      <c r="EH116" s="59">
        <f t="shared" si="486"/>
        <v>0.83479999999999999</v>
      </c>
      <c r="EI116" s="59">
        <f t="shared" si="487"/>
        <v>0.47610000000000002</v>
      </c>
      <c r="EJ116" s="59">
        <f t="shared" si="488"/>
        <v>0.1789</v>
      </c>
      <c r="EK116" s="63" t="e">
        <f t="shared" ca="1" si="507"/>
        <v>#NUM!</v>
      </c>
      <c r="EL116" s="3" t="str">
        <f>RTD("tos.rtd",,EL$83,"."&amp;$B$82&amp;$AS$82&amp;"C"&amp;$A116)</f>
        <v>196.59%</v>
      </c>
      <c r="EM116" s="3" t="str">
        <f>RTD("tos.rtd",,EM$83,"."&amp;$B$82&amp;$AS$82&amp;"P"&amp;$A116)</f>
        <v>83.48%</v>
      </c>
      <c r="EN116" s="3" t="str">
        <f>RTD("tos.rtd",,EN$83,"."&amp;$C$82&amp;$AU$82&amp;"C"&amp;$A116)</f>
        <v>--</v>
      </c>
      <c r="EO116" s="3" t="str">
        <f>RTD("tos.rtd",,EO$83,"."&amp;$C$82&amp;$AU$82&amp;"P"&amp;$A116)</f>
        <v>83.48%</v>
      </c>
      <c r="EP116" s="3" t="str">
        <f>RTD("tos.rtd",,EP$83,"."&amp;$D$82&amp;$AW$82&amp;"C"&amp;$A116)</f>
        <v>47.61%</v>
      </c>
      <c r="EQ116" s="3" t="str">
        <f>RTD("tos.rtd",,EQ$83,"."&amp;$D$82&amp;$AW$82&amp;"P"&amp;$A116)</f>
        <v>17.89%</v>
      </c>
      <c r="ES116" s="63" t="str">
        <f t="shared" si="489"/>
        <v>5560,-2509.00</v>
      </c>
      <c r="ET116" s="63" t="str">
        <f t="shared" ca="1" si="490"/>
        <v>5560,00.00</v>
      </c>
      <c r="EU116" s="67">
        <v>560.77</v>
      </c>
      <c r="EV116" s="67" t="s">
        <v>947</v>
      </c>
      <c r="EW116" s="67">
        <v>482.99</v>
      </c>
      <c r="EX116" s="67" t="s">
        <v>948</v>
      </c>
      <c r="EY116" s="67">
        <v>5631.28</v>
      </c>
      <c r="EZ116" s="67" t="s">
        <v>949</v>
      </c>
      <c r="FA116" s="67">
        <v>19867.973000000002</v>
      </c>
      <c r="FB116" s="67" t="s">
        <v>950</v>
      </c>
      <c r="FC116" s="67" t="s">
        <v>951</v>
      </c>
      <c r="FD116" s="67" t="s">
        <v>952</v>
      </c>
      <c r="FE116" s="68" t="s">
        <v>953</v>
      </c>
      <c r="FF116" s="68" t="s">
        <v>954</v>
      </c>
    </row>
    <row r="117" spans="1:162" s="63" customFormat="1" ht="12" customHeight="1" thickBot="1" x14ac:dyDescent="0.25">
      <c r="A117" s="2">
        <f t="shared" si="508"/>
        <v>5550</v>
      </c>
      <c r="B117" s="3">
        <f t="shared" si="451"/>
        <v>2133</v>
      </c>
      <c r="C117" s="3">
        <f t="shared" si="452"/>
        <v>6072</v>
      </c>
      <c r="D117" s="3">
        <f t="shared" si="453"/>
        <v>2943</v>
      </c>
      <c r="E117" s="3">
        <f t="shared" ref="E117:E121" si="528">SUM(B117:D117)</f>
        <v>11148</v>
      </c>
      <c r="F117" s="4">
        <f t="shared" ref="F117:F121" si="529">+$F$84/$A$84*A117</f>
        <v>5634.9085056122804</v>
      </c>
      <c r="G117" s="4">
        <f t="shared" ref="G117:G121" si="530">+$G$84/$A$84*A117</f>
        <v>560.01959395114056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>
        <v>-776</v>
      </c>
      <c r="AN117" s="20">
        <v>-7818</v>
      </c>
      <c r="AO117" s="20">
        <v>5550</v>
      </c>
      <c r="AP117" s="20">
        <v>461</v>
      </c>
      <c r="AQ117" s="20">
        <v>-16508</v>
      </c>
      <c r="AR117" s="20"/>
      <c r="AS117" s="54">
        <f>IF(RTD("tos.rtd",,AS$83,"."&amp;$B$82&amp;$AS$82&amp;"C"&amp;$A117)="N/A",0,RTD("tos.rtd",,AS$83,"."&amp;$B$82&amp;$AS$82&amp;"C"&amp;$A117))</f>
        <v>244</v>
      </c>
      <c r="AT117" s="3">
        <f>-IF(RTD("tos.rtd",,AT$83,"."&amp;$B$82&amp;$AS$82&amp;"P"&amp;$A117)="N/A",0,RTD("tos.rtd",,AT$83,"."&amp;$B$82&amp;$AS$82&amp;"P"&amp;$A117))</f>
        <v>-1889</v>
      </c>
      <c r="AU117" s="54">
        <f>IF(RTD("tos.rtd",,AU$83,"."&amp;$C$82&amp;$AU$82&amp;"C"&amp;$A117)="N/A",0,RTD("tos.rtd",,AU$83,"."&amp;$C$82&amp;$AU$82&amp;"C"&amp;$A117))</f>
        <v>1234</v>
      </c>
      <c r="AV117" s="3">
        <f>-IF(RTD("tos.rtd",,AV$83,"."&amp;$C$82&amp;$AU$82&amp;"P"&amp;$A117)="N/A",0,RTD("tos.rtd",,AV$83,"."&amp;$C$82&amp;$AU$82&amp;"P"&amp;$A117))</f>
        <v>-4838</v>
      </c>
      <c r="AW117" s="54">
        <f>IF(RTD("tos.rtd",,AW$83,"."&amp;$D$82&amp;$AW$82&amp;"C"&amp;$A117)="N/A",0,RTD("tos.rtd",,AW$83,"."&amp;$D$82&amp;$AW$82&amp;"C"&amp;$A117))</f>
        <v>757</v>
      </c>
      <c r="AX117" s="3">
        <f>-IF(RTD("tos.rtd",,AX$83,"."&amp;$D$82&amp;$AW$82&amp;"P"&amp;$A117)="N/A",0,RTD("tos.rtd",,AX$83,"."&amp;$D$82&amp;$AW$82&amp;"P"&amp;$A117))</f>
        <v>-2186</v>
      </c>
      <c r="AY117" s="79">
        <f t="shared" ref="AY117:AY121" si="531">SUM(AS117:AX117)</f>
        <v>-6678</v>
      </c>
      <c r="AZ117" s="8">
        <f t="shared" si="455"/>
        <v>5550</v>
      </c>
      <c r="BA117" s="54">
        <f>IF(RTD("tos.rtd",,BA$83,"."&amp;$B$82&amp;$AS$82&amp;"C"&amp;$A117)="N/A",0,RTD("tos.rtd",,BA$83,"."&amp;$B$82&amp;$AS$82&amp;"C"&amp;$A117))</f>
        <v>0</v>
      </c>
      <c r="BB117" s="3">
        <f>-IF(RTD("tos.rtd",,BB$83,"."&amp;$B$82&amp;$AS$82&amp;"P"&amp;$A117)="N/A",0,RTD("tos.rtd",,BB$83,"."&amp;$B$82&amp;$AS$82&amp;"P"&amp;$A117))</f>
        <v>0</v>
      </c>
      <c r="BC117" s="54">
        <f>IF(RTD("tos.rtd",,BC$83,"."&amp;$C$82&amp;$AU$82&amp;"C"&amp;$A117)="N/A",0,RTD("tos.rtd",,BC$83,"."&amp;$C$82&amp;$AU$82&amp;"C"&amp;$A117))</f>
        <v>0</v>
      </c>
      <c r="BD117" s="3">
        <f>-IF(RTD("tos.rtd",,BD$83,"."&amp;$C$82&amp;$AU$82&amp;"P"&amp;$A117)="N/A",0,RTD("tos.rtd",,BD$83,"."&amp;$C$82&amp;$AU$82&amp;"P"&amp;$A117))</f>
        <v>0</v>
      </c>
      <c r="BE117" s="54">
        <f>IF(RTD("tos.rtd",,BE$83,"."&amp;$D$82&amp;$AW$82&amp;"C"&amp;$A117)="N/A",0,RTD("tos.rtd",,BE$83,"."&amp;$D$82&amp;$AW$82&amp;"C"&amp;$A117))</f>
        <v>0</v>
      </c>
      <c r="BF117" s="3">
        <f>-IF(RTD("tos.rtd",,BF$83,"."&amp;$D$82&amp;$AW$82&amp;"P"&amp;$A117)="N/A",0,RTD("tos.rtd",,BF$83,"."&amp;$D$82&amp;$AW$82&amp;"P"&amp;$A117))</f>
        <v>-1</v>
      </c>
      <c r="BG117" s="3">
        <f ca="1">+Hoja2!Y118</f>
        <v>-1</v>
      </c>
      <c r="BH117" s="55">
        <f t="shared" ca="1" si="493"/>
        <v>-2</v>
      </c>
      <c r="BI117" s="32" t="str">
        <f t="shared" ca="1" si="513"/>
        <v/>
      </c>
      <c r="BJ117" s="3" t="e">
        <f ca="1">IF($BP$1=1,DX117,IF(RTD("tos.rtd",,BJ$83,"."&amp;$B$82&amp;$AS$82&amp;"C"&amp;$A117)="N/A",0,RTD("tos.rtd",,BJ$83,"."&amp;$B$82&amp;$AS$82&amp;"C"&amp;$A117)))</f>
        <v>#NUM!</v>
      </c>
      <c r="BK117" s="3" t="e">
        <f ca="1">IF($BP$1=1,DY117,-IF(RTD("tos.rtd",,BK$83,"."&amp;$B$82&amp;$AS$82&amp;"P"&amp;$A117)="N/A",0,RTD("tos.rtd",,BK$83,"."&amp;$B$82&amp;$AS$82&amp;"P"&amp;$A117)))</f>
        <v>#NUM!</v>
      </c>
      <c r="BL117" s="3" t="e">
        <f ca="1">IF($BP$1=1,DZ117,IF(RTD("tos.rtd",,BL$83,"."&amp;$C$82&amp;$AU$82&amp;"C"&amp;$A117)="N/A",0,RTD("tos.rtd",,BL$83,"."&amp;$C$82&amp;$AU$82&amp;"C"&amp;$A117)))</f>
        <v>#NUM!</v>
      </c>
      <c r="BM117" s="3" t="e">
        <f ca="1">IF($BP$1=1,EA117,-IF(RTD("tos.rtd",,BM$83,"."&amp;$C$82&amp;$AU$82&amp;"P"&amp;$A117)="N/A",0,RTD("tos.rtd",,BM$83,"."&amp;$C$82&amp;$AU$82&amp;"P"&amp;$A117)))</f>
        <v>#NUM!</v>
      </c>
      <c r="BN117" s="3" t="e">
        <f ca="1">IF($BP$1=1,EB117,IF(RTD("tos.rtd",,BN$83,"."&amp;$D$82&amp;$AW$82&amp;"C"&amp;$A117)="N/A",0,RTD("tos.rtd",,BN$83,"."&amp;$D$82&amp;$AW$82&amp;"C"&amp;$A117)))</f>
        <v>#NUM!</v>
      </c>
      <c r="BO117" s="3" t="e">
        <f ca="1">IF($BP$1=1,EC117,-IF(RTD("tos.rtd",,BO$83,"."&amp;$D$82&amp;$AW$82&amp;"P"&amp;$A117)="N/A",0,RTD("tos.rtd",,BO$83,"."&amp;$D$82&amp;$AW$82&amp;"P"&amp;$A117)))</f>
        <v>#NUM!</v>
      </c>
      <c r="BQ117" s="3" t="e">
        <f t="shared" ca="1" si="456"/>
        <v>#NUM!</v>
      </c>
      <c r="BR117" s="3" t="e">
        <f t="shared" ca="1" si="494"/>
        <v>#NUM!</v>
      </c>
      <c r="BS117" s="3" t="e">
        <f t="shared" ca="1" si="457"/>
        <v>#NUM!</v>
      </c>
      <c r="BT117" s="3" t="e">
        <f t="shared" ca="1" si="494"/>
        <v>#NUM!</v>
      </c>
      <c r="BU117" s="3" t="e">
        <f t="shared" ca="1" si="458"/>
        <v>#NUM!</v>
      </c>
      <c r="BV117" s="3" t="e">
        <f t="shared" ca="1" si="494"/>
        <v>#NUM!</v>
      </c>
      <c r="BX117" s="3" t="e">
        <f t="shared" ca="1" si="459"/>
        <v>#NUM!</v>
      </c>
      <c r="BY117" s="3" t="e">
        <f t="shared" ca="1" si="510"/>
        <v>#NUM!</v>
      </c>
      <c r="BZ117" s="3" t="e">
        <f t="shared" ca="1" si="460"/>
        <v>#NUM!</v>
      </c>
      <c r="CA117" s="3" t="e">
        <f t="shared" ca="1" si="510"/>
        <v>#NUM!</v>
      </c>
      <c r="CB117" s="3" t="e">
        <f t="shared" ca="1" si="461"/>
        <v>#NUM!</v>
      </c>
      <c r="CC117" s="3" t="e">
        <f t="shared" ca="1" si="510"/>
        <v>#NUM!</v>
      </c>
      <c r="CD117" s="3">
        <f>IF(RTD("tos.rtd",,CD$83,"."&amp;$B$82&amp;$AS$82&amp;"C"&amp;$A117)="N/A",0,RTD("tos.rtd",,CD$83,"."&amp;$B$82&amp;$AS$82&amp;"C"&amp;$A117))</f>
        <v>0.89</v>
      </c>
      <c r="CE117" s="3">
        <f>-IF(RTD("tos.rtd",,CE$83,"."&amp;$B$82&amp;$AS$82&amp;"P"&amp;$A117)="N/A",0,RTD("tos.rtd",,CE$83,"."&amp;$B$82&amp;$AS$82&amp;"P"&amp;$A117))</f>
        <v>0</v>
      </c>
      <c r="CF117" s="3">
        <f>IF(RTD("tos.rtd",,CF$83,"."&amp;$C$82&amp;$AU$82&amp;"C"&amp;$A117)="N/A",0,RTD("tos.rtd",,CF$83,"."&amp;$C$82&amp;$AU$82&amp;"C"&amp;$A117))</f>
        <v>1</v>
      </c>
      <c r="CG117" s="3">
        <f>-IF(RTD("tos.rtd",,CG$83,"."&amp;$C$82&amp;$AU$82&amp;"P"&amp;$A117)="N/A",0,RTD("tos.rtd",,CG$83,"."&amp;$C$82&amp;$AU$82&amp;"P"&amp;$A117))</f>
        <v>0</v>
      </c>
      <c r="CH117" s="3">
        <f>IF(RTD("tos.rtd",,CH$83,"."&amp;$D$82&amp;$AW$82&amp;"C"&amp;$A117)="N/A",0,RTD("tos.rtd",,CH$83,"."&amp;$D$82&amp;$AW$82&amp;"C"&amp;$A117))</f>
        <v>0.65</v>
      </c>
      <c r="CI117" s="3">
        <f>-IF(RTD("tos.rtd",,CI$83,"."&amp;$D$82&amp;$AW$82&amp;"P"&amp;$A117)="N/A",0,RTD("tos.rtd",,CI$83,"."&amp;$D$82&amp;$AW$82&amp;"P"&amp;$A117))</f>
        <v>0.17</v>
      </c>
      <c r="CK117" s="3">
        <f t="shared" ref="CK117:CK121" si="532">+AS117*CD117*100+AT117*CE117*100</f>
        <v>21716</v>
      </c>
      <c r="CL117" s="3"/>
      <c r="CM117" s="3">
        <f t="shared" ref="CM117:CM121" si="533">+AU117*CF117*100+AV117*CG117*100</f>
        <v>123400</v>
      </c>
      <c r="CN117" s="3"/>
      <c r="CO117" s="3">
        <f t="shared" ref="CO117:CO121" si="534">+AW117*CH117*100+AX117*CI117*100</f>
        <v>12043</v>
      </c>
      <c r="CP117" s="3">
        <f t="shared" si="462"/>
        <v>157159</v>
      </c>
      <c r="CQ117" s="3">
        <f t="shared" si="463"/>
        <v>0</v>
      </c>
      <c r="CR117" s="3"/>
      <c r="CS117" s="3">
        <f t="shared" si="464"/>
        <v>0</v>
      </c>
      <c r="CT117" s="3"/>
      <c r="CU117" s="3">
        <f t="shared" si="465"/>
        <v>-1</v>
      </c>
      <c r="CV117" s="3"/>
      <c r="CW117" s="3" t="e">
        <f t="shared" ref="CW117:CW121" ca="1" si="535">+BQ117+BS117+BU117</f>
        <v>#NUM!</v>
      </c>
      <c r="CY117" s="3" t="e">
        <f t="shared" ca="1" si="467"/>
        <v>#NUM!</v>
      </c>
      <c r="CZ117" s="70" t="e">
        <f t="shared" ca="1" si="511"/>
        <v>#NUM!</v>
      </c>
      <c r="DA117" s="3">
        <f>IF(RTD("tos.rtd",,DA$83,"."&amp;$B$82&amp;$AS$82&amp;"C"&amp;$A117)="N/A",0,RTD("tos.rtd",,DA$83,"."&amp;$B$82&amp;$AS$82&amp;"C"&amp;$A117))</f>
        <v>156.19999999999999</v>
      </c>
      <c r="DB117" s="3">
        <f>IF(RTD("tos.rtd",,DB$83,"."&amp;$B$82&amp;$AS$82&amp;"P"&amp;$A117)="N/A",0,RTD("tos.rtd",,DB$83,"."&amp;$B$82&amp;$AS$82&amp;"P"&amp;$A117))</f>
        <v>0.03</v>
      </c>
      <c r="DC117" s="3">
        <f>IF(RTD("tos.rtd",,DC$83,"."&amp;$B$82&amp;$AS$82&amp;"C"&amp;$A117)="N/A",0,RTD("tos.rtd",,DC$83,"."&amp;$B$82&amp;$AS$82&amp;"C"&amp;$A117))</f>
        <v>116.5</v>
      </c>
      <c r="DD117" s="3">
        <f>IF(RTD("tos.rtd",,DD$83,"."&amp;$B$82&amp;$AS$82&amp;"P"&amp;$A117)="N/A",0,RTD("tos.rtd",,DD$83,"."&amp;$B$82&amp;$AS$82&amp;"P"&amp;$A117))</f>
        <v>0.05</v>
      </c>
      <c r="DE117" s="3">
        <f>IF(RTD("tos.rtd",,DE$83,"."&amp;$B$82&amp;$AS$82&amp;"C"&amp;$A117)="N/A",0,RTD("tos.rtd",,DE$83,"."&amp;$B$82&amp;$AS$82&amp;"C"&amp;$A117))</f>
        <v>112.7</v>
      </c>
      <c r="DF117" s="3">
        <f>IF(RTD("tos.rtd",,DF$83,"."&amp;$B$82&amp;$AS$82&amp;"P"&amp;$A117)="N/A",0,RTD("tos.rtd",,DF$83,"."&amp;$B$82&amp;$AS$82&amp;"P"&amp;$A117))</f>
        <v>0</v>
      </c>
      <c r="DG117" s="86">
        <f t="shared" si="499"/>
        <v>-109.90999999999985</v>
      </c>
      <c r="DH117" s="3">
        <f t="shared" si="468"/>
        <v>-5277.2368421052661</v>
      </c>
      <c r="DI117" s="3">
        <f t="shared" si="469"/>
        <v>9904.7999999999993</v>
      </c>
      <c r="DJ117" s="3">
        <f t="shared" si="470"/>
        <v>-461</v>
      </c>
      <c r="DK117" s="3">
        <f t="shared" si="471"/>
        <v>16508</v>
      </c>
      <c r="DL117" s="3">
        <f t="shared" si="472"/>
        <v>4627.5631578947332</v>
      </c>
      <c r="DM117" s="3">
        <f t="shared" si="473"/>
        <v>16047</v>
      </c>
      <c r="DN117" s="64" t="str">
        <f t="shared" si="474"/>
        <v>UNKNOWN</v>
      </c>
      <c r="DO117" s="64" t="str">
        <f t="shared" si="475"/>
        <v>UNKNOWN</v>
      </c>
      <c r="DP117" s="3">
        <f t="shared" si="476"/>
        <v>-824007.25073684251</v>
      </c>
      <c r="DQ117" s="3">
        <f t="shared" si="477"/>
        <v>-71512.959999999992</v>
      </c>
      <c r="DR117" s="3" t="e">
        <f t="shared" ca="1" si="478"/>
        <v>#NUM!</v>
      </c>
      <c r="DS117" s="3">
        <f t="shared" si="479"/>
        <v>-410.29</v>
      </c>
      <c r="DT117" s="3">
        <f t="shared" si="500"/>
        <v>-461</v>
      </c>
      <c r="DU117" s="3">
        <f t="shared" si="501"/>
        <v>16508</v>
      </c>
      <c r="DV117" s="3">
        <f t="shared" si="502"/>
        <v>-776</v>
      </c>
      <c r="DW117" s="3">
        <f t="shared" si="503"/>
        <v>-7818</v>
      </c>
      <c r="DX117" s="3" t="e">
        <f t="shared" ca="1" si="512"/>
        <v>#NUM!</v>
      </c>
      <c r="DY117" s="3" t="e">
        <f t="shared" ca="1" si="480"/>
        <v>#NUM!</v>
      </c>
      <c r="DZ117" s="3" t="e">
        <f t="shared" ca="1" si="504"/>
        <v>#NUM!</v>
      </c>
      <c r="EA117" s="3" t="e">
        <f t="shared" ca="1" si="505"/>
        <v>#NUM!</v>
      </c>
      <c r="EB117" s="3" t="e">
        <f t="shared" ca="1" si="481"/>
        <v>#NUM!</v>
      </c>
      <c r="EC117" s="3" t="e">
        <f t="shared" ca="1" si="482"/>
        <v>#NUM!</v>
      </c>
      <c r="ED117" s="63">
        <f t="shared" si="506"/>
        <v>-8594</v>
      </c>
      <c r="EE117" s="59">
        <f t="shared" si="483"/>
        <v>2.1065999999999998</v>
      </c>
      <c r="EF117" s="59">
        <f t="shared" si="484"/>
        <v>0.91080000000000005</v>
      </c>
      <c r="EG117" s="59">
        <f t="shared" si="485"/>
        <v>0.25</v>
      </c>
      <c r="EH117" s="59">
        <f t="shared" si="486"/>
        <v>0.91080000000000005</v>
      </c>
      <c r="EI117" s="59">
        <f t="shared" si="487"/>
        <v>0.48970000000000002</v>
      </c>
      <c r="EJ117" s="59">
        <f t="shared" si="488"/>
        <v>0.1827</v>
      </c>
      <c r="EK117" s="63" t="e">
        <f t="shared" ca="1" si="507"/>
        <v>#NUM!</v>
      </c>
      <c r="EL117" s="3" t="str">
        <f>RTD("tos.rtd",,EL$83,"."&amp;$B$82&amp;$AS$82&amp;"C"&amp;$A117)</f>
        <v>210.66%</v>
      </c>
      <c r="EM117" s="3" t="str">
        <f>RTD("tos.rtd",,EM$83,"."&amp;$B$82&amp;$AS$82&amp;"P"&amp;$A117)</f>
        <v>91.08%</v>
      </c>
      <c r="EN117" s="3" t="str">
        <f>RTD("tos.rtd",,EN$83,"."&amp;$C$82&amp;$AU$82&amp;"C"&amp;$A117)</f>
        <v>--</v>
      </c>
      <c r="EO117" s="3" t="str">
        <f>RTD("tos.rtd",,EO$83,"."&amp;$C$82&amp;$AU$82&amp;"P"&amp;$A117)</f>
        <v>91.08%</v>
      </c>
      <c r="EP117" s="3" t="str">
        <f>RTD("tos.rtd",,EP$83,"."&amp;$D$82&amp;$AW$82&amp;"C"&amp;$A117)</f>
        <v>48.97%</v>
      </c>
      <c r="EQ117" s="3" t="str">
        <f>RTD("tos.rtd",,EQ$83,"."&amp;$D$82&amp;$AW$82&amp;"P"&amp;$A117)</f>
        <v>18.27%</v>
      </c>
      <c r="ES117" s="63" t="str">
        <f t="shared" si="489"/>
        <v>5550,-8594.00</v>
      </c>
      <c r="ET117" s="63" t="str">
        <f t="shared" ca="1" si="490"/>
        <v>5550,00.00</v>
      </c>
      <c r="EU117" s="67">
        <v>560.84</v>
      </c>
      <c r="EV117" s="67" t="s">
        <v>955</v>
      </c>
      <c r="EW117" s="67">
        <v>483.06</v>
      </c>
      <c r="EX117" s="67" t="s">
        <v>956</v>
      </c>
      <c r="EY117" s="67">
        <v>5631.28</v>
      </c>
      <c r="EZ117" s="67" t="s">
        <v>957</v>
      </c>
      <c r="FA117" s="67">
        <v>19867.973000000002</v>
      </c>
      <c r="FB117" s="67" t="s">
        <v>958</v>
      </c>
      <c r="FC117" s="67" t="s">
        <v>959</v>
      </c>
      <c r="FD117" s="67" t="s">
        <v>960</v>
      </c>
      <c r="FE117" s="68" t="s">
        <v>961</v>
      </c>
      <c r="FF117" s="68" t="s">
        <v>962</v>
      </c>
    </row>
    <row r="118" spans="1:162" s="63" customFormat="1" ht="12" customHeight="1" thickBot="1" x14ac:dyDescent="0.25">
      <c r="A118" s="2">
        <f t="shared" si="508"/>
        <v>5540</v>
      </c>
      <c r="B118" s="3">
        <f t="shared" si="451"/>
        <v>434</v>
      </c>
      <c r="C118" s="3">
        <f t="shared" si="452"/>
        <v>5162</v>
      </c>
      <c r="D118" s="3">
        <f t="shared" si="453"/>
        <v>978</v>
      </c>
      <c r="E118" s="3">
        <f t="shared" si="528"/>
        <v>6574</v>
      </c>
      <c r="F118" s="4">
        <f t="shared" si="529"/>
        <v>5624.7555173138799</v>
      </c>
      <c r="G118" s="4">
        <f t="shared" si="530"/>
        <v>559.01054963771514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>
        <v>-261</v>
      </c>
      <c r="AN118" s="20">
        <v>-5211</v>
      </c>
      <c r="AO118" s="20">
        <v>5540</v>
      </c>
      <c r="AP118" s="20">
        <v>360</v>
      </c>
      <c r="AQ118" s="20">
        <v>-9841</v>
      </c>
      <c r="AR118" s="20"/>
      <c r="AS118" s="54">
        <f>IF(RTD("tos.rtd",,AS$83,"."&amp;$B$82&amp;$AS$82&amp;"C"&amp;$A118)="N/A",0,RTD("tos.rtd",,AS$83,"."&amp;$B$82&amp;$AS$82&amp;"C"&amp;$A118))</f>
        <v>38</v>
      </c>
      <c r="AT118" s="3">
        <f>-IF(RTD("tos.rtd",,AT$83,"."&amp;$B$82&amp;$AS$82&amp;"P"&amp;$A118)="N/A",0,RTD("tos.rtd",,AT$83,"."&amp;$B$82&amp;$AS$82&amp;"P"&amp;$A118))</f>
        <v>-396</v>
      </c>
      <c r="AU118" s="54">
        <f>IF(RTD("tos.rtd",,AU$83,"."&amp;$C$82&amp;$AU$82&amp;"C"&amp;$A118)="N/A",0,RTD("tos.rtd",,AU$83,"."&amp;$C$82&amp;$AU$82&amp;"C"&amp;$A118))</f>
        <v>751</v>
      </c>
      <c r="AV118" s="3">
        <f>-IF(RTD("tos.rtd",,AV$83,"."&amp;$C$82&amp;$AU$82&amp;"P"&amp;$A118)="N/A",0,RTD("tos.rtd",,AV$83,"."&amp;$C$82&amp;$AU$82&amp;"P"&amp;$A118))</f>
        <v>-4411</v>
      </c>
      <c r="AW118" s="54">
        <f>IF(RTD("tos.rtd",,AW$83,"."&amp;$D$82&amp;$AW$82&amp;"C"&amp;$A118)="N/A",0,RTD("tos.rtd",,AW$83,"."&amp;$D$82&amp;$AW$82&amp;"C"&amp;$A118))</f>
        <v>483</v>
      </c>
      <c r="AX118" s="3">
        <f>-IF(RTD("tos.rtd",,AX$83,"."&amp;$D$82&amp;$AW$82&amp;"P"&amp;$A118)="N/A",0,RTD("tos.rtd",,AX$83,"."&amp;$D$82&amp;$AW$82&amp;"P"&amp;$A118))</f>
        <v>-495</v>
      </c>
      <c r="AY118" s="79">
        <f t="shared" si="531"/>
        <v>-4030</v>
      </c>
      <c r="AZ118" s="8">
        <f t="shared" si="455"/>
        <v>5540</v>
      </c>
      <c r="BA118" s="54">
        <f>IF(RTD("tos.rtd",,BA$83,"."&amp;$B$82&amp;$AS$82&amp;"C"&amp;$A118)="N/A",0,RTD("tos.rtd",,BA$83,"."&amp;$B$82&amp;$AS$82&amp;"C"&amp;$A118))</f>
        <v>0</v>
      </c>
      <c r="BB118" s="3">
        <f>-IF(RTD("tos.rtd",,BB$83,"."&amp;$B$82&amp;$AS$82&amp;"P"&amp;$A118)="N/A",0,RTD("tos.rtd",,BB$83,"."&amp;$B$82&amp;$AS$82&amp;"P"&amp;$A118))</f>
        <v>0</v>
      </c>
      <c r="BC118" s="54">
        <f>IF(RTD("tos.rtd",,BC$83,"."&amp;$C$82&amp;$AU$82&amp;"C"&amp;$A118)="N/A",0,RTD("tos.rtd",,BC$83,"."&amp;$C$82&amp;$AU$82&amp;"C"&amp;$A118))</f>
        <v>0</v>
      </c>
      <c r="BD118" s="3">
        <f>-IF(RTD("tos.rtd",,BD$83,"."&amp;$C$82&amp;$AU$82&amp;"P"&amp;$A118)="N/A",0,RTD("tos.rtd",,BD$83,"."&amp;$C$82&amp;$AU$82&amp;"P"&amp;$A118))</f>
        <v>0</v>
      </c>
      <c r="BE118" s="54">
        <f>IF(RTD("tos.rtd",,BE$83,"."&amp;$D$82&amp;$AW$82&amp;"C"&amp;$A118)="N/A",0,RTD("tos.rtd",,BE$83,"."&amp;$D$82&amp;$AW$82&amp;"C"&amp;$A118))</f>
        <v>0</v>
      </c>
      <c r="BF118" s="3">
        <f>-IF(RTD("tos.rtd",,BF$83,"."&amp;$D$82&amp;$AW$82&amp;"P"&amp;$A118)="N/A",0,RTD("tos.rtd",,BF$83,"."&amp;$D$82&amp;$AW$82&amp;"P"&amp;$A118))</f>
        <v>-2</v>
      </c>
      <c r="BG118" s="3">
        <f ca="1">+Hoja2!Y119</f>
        <v>0</v>
      </c>
      <c r="BH118" s="55">
        <f t="shared" ca="1" si="493"/>
        <v>-2</v>
      </c>
      <c r="BI118" s="32" t="str">
        <f t="shared" ca="1" si="513"/>
        <v/>
      </c>
      <c r="BJ118" s="3" t="e">
        <f ca="1">IF($BP$1=1,DX118,IF(RTD("tos.rtd",,BJ$83,"."&amp;$B$82&amp;$AS$82&amp;"C"&amp;$A118)="N/A",0,RTD("tos.rtd",,BJ$83,"."&amp;$B$82&amp;$AS$82&amp;"C"&amp;$A118)))</f>
        <v>#NUM!</v>
      </c>
      <c r="BK118" s="3" t="e">
        <f ca="1">IF($BP$1=1,DY118,-IF(RTD("tos.rtd",,BK$83,"."&amp;$B$82&amp;$AS$82&amp;"P"&amp;$A118)="N/A",0,RTD("tos.rtd",,BK$83,"."&amp;$B$82&amp;$AS$82&amp;"P"&amp;$A118)))</f>
        <v>#NUM!</v>
      </c>
      <c r="BL118" s="3" t="e">
        <f ca="1">IF($BP$1=1,DZ118,IF(RTD("tos.rtd",,BL$83,"."&amp;$C$82&amp;$AU$82&amp;"C"&amp;$A118)="N/A",0,RTD("tos.rtd",,BL$83,"."&amp;$C$82&amp;$AU$82&amp;"C"&amp;$A118)))</f>
        <v>#NUM!</v>
      </c>
      <c r="BM118" s="3" t="e">
        <f ca="1">IF($BP$1=1,EA118,-IF(RTD("tos.rtd",,BM$83,"."&amp;$C$82&amp;$AU$82&amp;"P"&amp;$A118)="N/A",0,RTD("tos.rtd",,BM$83,"."&amp;$C$82&amp;$AU$82&amp;"P"&amp;$A118)))</f>
        <v>#NUM!</v>
      </c>
      <c r="BN118" s="3" t="e">
        <f ca="1">IF($BP$1=1,EB118,IF(RTD("tos.rtd",,BN$83,"."&amp;$D$82&amp;$AW$82&amp;"C"&amp;$A118)="N/A",0,RTD("tos.rtd",,BN$83,"."&amp;$D$82&amp;$AW$82&amp;"C"&amp;$A118)))</f>
        <v>#NUM!</v>
      </c>
      <c r="BO118" s="3" t="e">
        <f ca="1">IF($BP$1=1,EC118,-IF(RTD("tos.rtd",,BO$83,"."&amp;$D$82&amp;$AW$82&amp;"P"&amp;$A118)="N/A",0,RTD("tos.rtd",,BO$83,"."&amp;$D$82&amp;$AW$82&amp;"P"&amp;$A118)))</f>
        <v>#NUM!</v>
      </c>
      <c r="BQ118" s="3" t="e">
        <f t="shared" ca="1" si="456"/>
        <v>#NUM!</v>
      </c>
      <c r="BR118" s="3" t="e">
        <f t="shared" ca="1" si="494"/>
        <v>#NUM!</v>
      </c>
      <c r="BS118" s="3" t="e">
        <f t="shared" ca="1" si="457"/>
        <v>#NUM!</v>
      </c>
      <c r="BT118" s="3" t="e">
        <f t="shared" ca="1" si="494"/>
        <v>#NUM!</v>
      </c>
      <c r="BU118" s="3" t="e">
        <f t="shared" ca="1" si="458"/>
        <v>#NUM!</v>
      </c>
      <c r="BV118" s="3" t="e">
        <f t="shared" ca="1" si="494"/>
        <v>#NUM!</v>
      </c>
      <c r="BX118" s="3" t="e">
        <f t="shared" ca="1" si="459"/>
        <v>#NUM!</v>
      </c>
      <c r="BY118" s="3" t="e">
        <f t="shared" ca="1" si="510"/>
        <v>#NUM!</v>
      </c>
      <c r="BZ118" s="3" t="e">
        <f t="shared" ca="1" si="460"/>
        <v>#NUM!</v>
      </c>
      <c r="CA118" s="3" t="e">
        <f t="shared" ca="1" si="510"/>
        <v>#NUM!</v>
      </c>
      <c r="CB118" s="3" t="e">
        <f t="shared" ca="1" si="461"/>
        <v>#NUM!</v>
      </c>
      <c r="CC118" s="3" t="e">
        <f t="shared" ca="1" si="510"/>
        <v>#NUM!</v>
      </c>
      <c r="CD118" s="3">
        <f>IF(RTD("tos.rtd",,CD$83,"."&amp;$B$82&amp;$AS$82&amp;"C"&amp;$A118)="N/A",0,RTD("tos.rtd",,CD$83,"."&amp;$B$82&amp;$AS$82&amp;"C"&amp;$A118))</f>
        <v>0.9</v>
      </c>
      <c r="CE118" s="3">
        <f>-IF(RTD("tos.rtd",,CE$83,"."&amp;$B$82&amp;$AS$82&amp;"P"&amp;$A118)="N/A",0,RTD("tos.rtd",,CE$83,"."&amp;$B$82&amp;$AS$82&amp;"P"&amp;$A118))</f>
        <v>0</v>
      </c>
      <c r="CF118" s="3">
        <f>IF(RTD("tos.rtd",,CF$83,"."&amp;$C$82&amp;$AU$82&amp;"C"&amp;$A118)="N/A",0,RTD("tos.rtd",,CF$83,"."&amp;$C$82&amp;$AU$82&amp;"C"&amp;$A118))</f>
        <v>1</v>
      </c>
      <c r="CG118" s="3">
        <f>-IF(RTD("tos.rtd",,CG$83,"."&amp;$C$82&amp;$AU$82&amp;"P"&amp;$A118)="N/A",0,RTD("tos.rtd",,CG$83,"."&amp;$C$82&amp;$AU$82&amp;"P"&amp;$A118))</f>
        <v>0</v>
      </c>
      <c r="CH118" s="3">
        <f>IF(RTD("tos.rtd",,CH$83,"."&amp;$D$82&amp;$AW$82&amp;"C"&amp;$A118)="N/A",0,RTD("tos.rtd",,CH$83,"."&amp;$D$82&amp;$AW$82&amp;"C"&amp;$A118))</f>
        <v>0.66</v>
      </c>
      <c r="CI118" s="3">
        <f>-IF(RTD("tos.rtd",,CI$83,"."&amp;$D$82&amp;$AW$82&amp;"P"&amp;$A118)="N/A",0,RTD("tos.rtd",,CI$83,"."&amp;$D$82&amp;$AW$82&amp;"P"&amp;$A118))</f>
        <v>0.15</v>
      </c>
      <c r="CK118" s="3">
        <f t="shared" si="532"/>
        <v>3420.0000000000005</v>
      </c>
      <c r="CL118" s="3"/>
      <c r="CM118" s="3">
        <f t="shared" si="533"/>
        <v>75100</v>
      </c>
      <c r="CN118" s="3"/>
      <c r="CO118" s="3">
        <f t="shared" si="534"/>
        <v>24453.000000000004</v>
      </c>
      <c r="CP118" s="3">
        <f t="shared" si="462"/>
        <v>102973</v>
      </c>
      <c r="CQ118" s="3">
        <f t="shared" si="463"/>
        <v>0</v>
      </c>
      <c r="CR118" s="3"/>
      <c r="CS118" s="3">
        <f t="shared" si="464"/>
        <v>0</v>
      </c>
      <c r="CT118" s="3"/>
      <c r="CU118" s="3">
        <f t="shared" si="465"/>
        <v>-2</v>
      </c>
      <c r="CV118" s="3"/>
      <c r="CW118" s="3" t="e">
        <f t="shared" ca="1" si="535"/>
        <v>#NUM!</v>
      </c>
      <c r="CY118" s="3" t="e">
        <f t="shared" ca="1" si="467"/>
        <v>#NUM!</v>
      </c>
      <c r="CZ118" s="70" t="e">
        <f t="shared" ca="1" si="511"/>
        <v>#NUM!</v>
      </c>
      <c r="DA118" s="3">
        <f>IF(RTD("tos.rtd",,DA$83,"."&amp;$B$82&amp;$AS$82&amp;"C"&amp;$A118)="N/A",0,RTD("tos.rtd",,DA$83,"."&amp;$B$82&amp;$AS$82&amp;"C"&amp;$A118))</f>
        <v>131.12</v>
      </c>
      <c r="DB118" s="3">
        <f>IF(RTD("tos.rtd",,DB$83,"."&amp;$B$82&amp;$AS$82&amp;"P"&amp;$A118)="N/A",0,RTD("tos.rtd",,DB$83,"."&amp;$B$82&amp;$AS$82&amp;"P"&amp;$A118))</f>
        <v>0.03</v>
      </c>
      <c r="DC118" s="3">
        <f>IF(RTD("tos.rtd",,DC$83,"."&amp;$B$82&amp;$AS$82&amp;"C"&amp;$A118)="N/A",0,RTD("tos.rtd",,DC$83,"."&amp;$B$82&amp;$AS$82&amp;"C"&amp;$A118))</f>
        <v>126.5</v>
      </c>
      <c r="DD118" s="3">
        <f>IF(RTD("tos.rtd",,DD$83,"."&amp;$B$82&amp;$AS$82&amp;"P"&amp;$A118)="N/A",0,RTD("tos.rtd",,DD$83,"."&amp;$B$82&amp;$AS$82&amp;"P"&amp;$A118))</f>
        <v>0.05</v>
      </c>
      <c r="DE118" s="3">
        <f>IF(RTD("tos.rtd",,DE$83,"."&amp;$B$82&amp;$AS$82&amp;"C"&amp;$A118)="N/A",0,RTD("tos.rtd",,DE$83,"."&amp;$B$82&amp;$AS$82&amp;"C"&amp;$A118))</f>
        <v>122.7</v>
      </c>
      <c r="DF118" s="3">
        <f>IF(RTD("tos.rtd",,DF$83,"."&amp;$B$82&amp;$AS$82&amp;"P"&amp;$A118)="N/A",0,RTD("tos.rtd",,DF$83,"."&amp;$B$82&amp;$AS$82&amp;"P"&amp;$A118))</f>
        <v>0</v>
      </c>
      <c r="DG118" s="86">
        <f t="shared" si="499"/>
        <v>-119.90999999999985</v>
      </c>
      <c r="DH118" s="3">
        <f t="shared" si="468"/>
        <v>-797.68421052631663</v>
      </c>
      <c r="DI118" s="3">
        <f t="shared" si="469"/>
        <v>5904.5999999999995</v>
      </c>
      <c r="DJ118" s="3">
        <f t="shared" si="470"/>
        <v>-360</v>
      </c>
      <c r="DK118" s="3">
        <f t="shared" si="471"/>
        <v>9841</v>
      </c>
      <c r="DL118" s="3">
        <f t="shared" si="472"/>
        <v>5106.9157894736827</v>
      </c>
      <c r="DM118" s="3">
        <f t="shared" si="473"/>
        <v>9481</v>
      </c>
      <c r="DN118" s="64" t="str">
        <f t="shared" si="474"/>
        <v>UNKNOWN</v>
      </c>
      <c r="DO118" s="64" t="str">
        <f t="shared" si="475"/>
        <v>UNKNOWN</v>
      </c>
      <c r="DP118" s="3">
        <f t="shared" si="476"/>
        <v>-104415.21568421063</v>
      </c>
      <c r="DQ118" s="3">
        <f t="shared" si="477"/>
        <v>-46907.97</v>
      </c>
      <c r="DR118" s="3" t="e">
        <f t="shared" ca="1" si="478"/>
        <v>#NUM!</v>
      </c>
      <c r="DS118" s="3">
        <f t="shared" si="479"/>
        <v>-324</v>
      </c>
      <c r="DT118" s="3">
        <f t="shared" si="500"/>
        <v>-360</v>
      </c>
      <c r="DU118" s="3">
        <f t="shared" si="501"/>
        <v>9841</v>
      </c>
      <c r="DV118" s="3">
        <f t="shared" si="502"/>
        <v>-261</v>
      </c>
      <c r="DW118" s="3">
        <f t="shared" si="503"/>
        <v>-5211</v>
      </c>
      <c r="DX118" s="3" t="e">
        <f t="shared" ca="1" si="512"/>
        <v>#NUM!</v>
      </c>
      <c r="DY118" s="3" t="e">
        <f t="shared" ca="1" si="480"/>
        <v>#NUM!</v>
      </c>
      <c r="DZ118" s="3" t="e">
        <f t="shared" ca="1" si="504"/>
        <v>#NUM!</v>
      </c>
      <c r="EA118" s="3" t="e">
        <f t="shared" ca="1" si="505"/>
        <v>#NUM!</v>
      </c>
      <c r="EB118" s="3" t="e">
        <f t="shared" ca="1" si="481"/>
        <v>#NUM!</v>
      </c>
      <c r="EC118" s="3" t="e">
        <f t="shared" ca="1" si="482"/>
        <v>#NUM!</v>
      </c>
      <c r="ED118" s="63">
        <f t="shared" si="506"/>
        <v>-5472</v>
      </c>
      <c r="EE118" s="59">
        <f t="shared" si="483"/>
        <v>2.2454000000000001</v>
      </c>
      <c r="EF118" s="59">
        <f t="shared" si="484"/>
        <v>0.98640000000000005</v>
      </c>
      <c r="EG118" s="59">
        <f t="shared" si="485"/>
        <v>0.25</v>
      </c>
      <c r="EH118" s="59">
        <f t="shared" si="486"/>
        <v>0.98640000000000005</v>
      </c>
      <c r="EI118" s="59">
        <f t="shared" si="487"/>
        <v>0.50090000000000001</v>
      </c>
      <c r="EJ118" s="59">
        <f t="shared" si="488"/>
        <v>0.18609999999999999</v>
      </c>
      <c r="EK118" s="63" t="e">
        <f t="shared" ca="1" si="507"/>
        <v>#NUM!</v>
      </c>
      <c r="EL118" s="3" t="str">
        <f>RTD("tos.rtd",,EL$83,"."&amp;$B$82&amp;$AS$82&amp;"C"&amp;$A118)</f>
        <v>224.54%</v>
      </c>
      <c r="EM118" s="3" t="str">
        <f>RTD("tos.rtd",,EM$83,"."&amp;$B$82&amp;$AS$82&amp;"P"&amp;$A118)</f>
        <v>98.64%</v>
      </c>
      <c r="EN118" s="3" t="str">
        <f>RTD("tos.rtd",,EN$83,"."&amp;$C$82&amp;$AU$82&amp;"C"&amp;$A118)</f>
        <v>--</v>
      </c>
      <c r="EO118" s="3" t="str">
        <f>RTD("tos.rtd",,EO$83,"."&amp;$C$82&amp;$AU$82&amp;"P"&amp;$A118)</f>
        <v>98.64%</v>
      </c>
      <c r="EP118" s="3" t="str">
        <f>RTD("tos.rtd",,EP$83,"."&amp;$D$82&amp;$AW$82&amp;"C"&amp;$A118)</f>
        <v>50.09%</v>
      </c>
      <c r="EQ118" s="3" t="str">
        <f>RTD("tos.rtd",,EQ$83,"."&amp;$D$82&amp;$AW$82&amp;"P"&amp;$A118)</f>
        <v>18.61%</v>
      </c>
      <c r="ES118" s="63" t="str">
        <f t="shared" si="489"/>
        <v>5540,-5472.00</v>
      </c>
      <c r="ET118" s="63" t="str">
        <f t="shared" ca="1" si="490"/>
        <v>5540,00.00</v>
      </c>
      <c r="EU118" s="67">
        <v>560.97</v>
      </c>
      <c r="EV118" s="67" t="s">
        <v>963</v>
      </c>
      <c r="EW118" s="67">
        <v>483.3</v>
      </c>
      <c r="EX118" s="67" t="s">
        <v>964</v>
      </c>
      <c r="EY118" s="67">
        <v>5631.28</v>
      </c>
      <c r="EZ118" s="67" t="s">
        <v>965</v>
      </c>
      <c r="FA118" s="67">
        <v>19867.973000000002</v>
      </c>
      <c r="FB118" s="67" t="s">
        <v>966</v>
      </c>
      <c r="FC118" s="67" t="s">
        <v>967</v>
      </c>
      <c r="FD118" s="67" t="s">
        <v>968</v>
      </c>
      <c r="FE118" s="68" t="s">
        <v>969</v>
      </c>
      <c r="FF118" s="68" t="s">
        <v>970</v>
      </c>
    </row>
    <row r="119" spans="1:162" s="63" customFormat="1" ht="12" customHeight="1" thickBot="1" x14ac:dyDescent="0.25">
      <c r="A119" s="2">
        <f t="shared" si="508"/>
        <v>5530</v>
      </c>
      <c r="B119" s="3">
        <f t="shared" si="451"/>
        <v>1204</v>
      </c>
      <c r="C119" s="3">
        <f t="shared" si="452"/>
        <v>803</v>
      </c>
      <c r="D119" s="3">
        <f t="shared" si="453"/>
        <v>1201</v>
      </c>
      <c r="E119" s="3">
        <f t="shared" si="528"/>
        <v>3208</v>
      </c>
      <c r="F119" s="4">
        <f t="shared" si="529"/>
        <v>5614.6025290154794</v>
      </c>
      <c r="G119" s="4">
        <f t="shared" si="530"/>
        <v>558.00150532428961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>
        <v>39</v>
      </c>
      <c r="AN119" s="20">
        <v>7292</v>
      </c>
      <c r="AO119" s="20">
        <v>5530</v>
      </c>
      <c r="AP119" s="20">
        <v>10</v>
      </c>
      <c r="AQ119" s="20">
        <v>-14685</v>
      </c>
      <c r="AR119" s="20"/>
      <c r="AS119" s="54">
        <f>IF(RTD("tos.rtd",,AS$83,"."&amp;$B$82&amp;$AS$82&amp;"C"&amp;$A119)="N/A",0,RTD("tos.rtd",,AS$83,"."&amp;$B$82&amp;$AS$82&amp;"C"&amp;$A119))</f>
        <v>70</v>
      </c>
      <c r="AT119" s="3">
        <f>-IF(RTD("tos.rtd",,AT$83,"."&amp;$B$82&amp;$AS$82&amp;"P"&amp;$A119)="N/A",0,RTD("tos.rtd",,AT$83,"."&amp;$B$82&amp;$AS$82&amp;"P"&amp;$A119))</f>
        <v>-1134</v>
      </c>
      <c r="AU119" s="54">
        <f>IF(RTD("tos.rtd",,AU$83,"."&amp;$C$82&amp;$AU$82&amp;"C"&amp;$A119)="N/A",0,RTD("tos.rtd",,AU$83,"."&amp;$C$82&amp;$AU$82&amp;"C"&amp;$A119))</f>
        <v>134</v>
      </c>
      <c r="AV119" s="3">
        <f>-IF(RTD("tos.rtd",,AV$83,"."&amp;$C$82&amp;$AU$82&amp;"P"&amp;$A119)="N/A",0,RTD("tos.rtd",,AV$83,"."&amp;$C$82&amp;$AU$82&amp;"P"&amp;$A119))</f>
        <v>-669</v>
      </c>
      <c r="AW119" s="54">
        <f>IF(RTD("tos.rtd",,AW$83,"."&amp;$D$82&amp;$AW$82&amp;"C"&amp;$A119)="N/A",0,RTD("tos.rtd",,AW$83,"."&amp;$D$82&amp;$AW$82&amp;"C"&amp;$A119))</f>
        <v>141</v>
      </c>
      <c r="AX119" s="3">
        <f>-IF(RTD("tos.rtd",,AX$83,"."&amp;$D$82&amp;$AW$82&amp;"P"&amp;$A119)="N/A",0,RTD("tos.rtd",,AX$83,"."&amp;$D$82&amp;$AW$82&amp;"P"&amp;$A119))</f>
        <v>-1060</v>
      </c>
      <c r="AY119" s="79">
        <f t="shared" si="531"/>
        <v>-2518</v>
      </c>
      <c r="AZ119" s="8">
        <f t="shared" si="455"/>
        <v>5530</v>
      </c>
      <c r="BA119" s="54">
        <f>IF(RTD("tos.rtd",,BA$83,"."&amp;$B$82&amp;$AS$82&amp;"C"&amp;$A119)="N/A",0,RTD("tos.rtd",,BA$83,"."&amp;$B$82&amp;$AS$82&amp;"C"&amp;$A119))</f>
        <v>0</v>
      </c>
      <c r="BB119" s="3">
        <f>-IF(RTD("tos.rtd",,BB$83,"."&amp;$B$82&amp;$AS$82&amp;"P"&amp;$A119)="N/A",0,RTD("tos.rtd",,BB$83,"."&amp;$B$82&amp;$AS$82&amp;"P"&amp;$A119))</f>
        <v>0</v>
      </c>
      <c r="BC119" s="54">
        <f>IF(RTD("tos.rtd",,BC$83,"."&amp;$C$82&amp;$AU$82&amp;"C"&amp;$A119)="N/A",0,RTD("tos.rtd",,BC$83,"."&amp;$C$82&amp;$AU$82&amp;"C"&amp;$A119))</f>
        <v>0</v>
      </c>
      <c r="BD119" s="3">
        <f>-IF(RTD("tos.rtd",,BD$83,"."&amp;$C$82&amp;$AU$82&amp;"P"&amp;$A119)="N/A",0,RTD("tos.rtd",,BD$83,"."&amp;$C$82&amp;$AU$82&amp;"P"&amp;$A119))</f>
        <v>0</v>
      </c>
      <c r="BE119" s="54">
        <f>IF(RTD("tos.rtd",,BE$83,"."&amp;$D$82&amp;$AW$82&amp;"C"&amp;$A119)="N/A",0,RTD("tos.rtd",,BE$83,"."&amp;$D$82&amp;$AW$82&amp;"C"&amp;$A119))</f>
        <v>0</v>
      </c>
      <c r="BF119" s="3">
        <f>-IF(RTD("tos.rtd",,BF$83,"."&amp;$D$82&amp;$AW$82&amp;"P"&amp;$A119)="N/A",0,RTD("tos.rtd",,BF$83,"."&amp;$D$82&amp;$AW$82&amp;"P"&amp;$A119))</f>
        <v>-1</v>
      </c>
      <c r="BG119" s="3">
        <f ca="1">+Hoja2!Y120</f>
        <v>0</v>
      </c>
      <c r="BH119" s="55">
        <f t="shared" ca="1" si="493"/>
        <v>-1</v>
      </c>
      <c r="BI119" s="32" t="str">
        <f t="shared" ca="1" si="513"/>
        <v/>
      </c>
      <c r="BJ119" s="3" t="e">
        <f ca="1">IF($BP$1=1,DX119,IF(RTD("tos.rtd",,BJ$83,"."&amp;$B$82&amp;$AS$82&amp;"C"&amp;$A119)="N/A",0,RTD("tos.rtd",,BJ$83,"."&amp;$B$82&amp;$AS$82&amp;"C"&amp;$A119)))</f>
        <v>#NUM!</v>
      </c>
      <c r="BK119" s="3" t="e">
        <f ca="1">IF($BP$1=1,DY119,-IF(RTD("tos.rtd",,BK$83,"."&amp;$B$82&amp;$AS$82&amp;"P"&amp;$A119)="N/A",0,RTD("tos.rtd",,BK$83,"."&amp;$B$82&amp;$AS$82&amp;"P"&amp;$A119)))</f>
        <v>#NUM!</v>
      </c>
      <c r="BL119" s="3" t="e">
        <f ca="1">IF($BP$1=1,DZ119,IF(RTD("tos.rtd",,BL$83,"."&amp;$C$82&amp;$AU$82&amp;"C"&amp;$A119)="N/A",0,RTD("tos.rtd",,BL$83,"."&amp;$C$82&amp;$AU$82&amp;"C"&amp;$A119)))</f>
        <v>#NUM!</v>
      </c>
      <c r="BM119" s="3" t="e">
        <f ca="1">IF($BP$1=1,EA119,-IF(RTD("tos.rtd",,BM$83,"."&amp;$C$82&amp;$AU$82&amp;"P"&amp;$A119)="N/A",0,RTD("tos.rtd",,BM$83,"."&amp;$C$82&amp;$AU$82&amp;"P"&amp;$A119)))</f>
        <v>#NUM!</v>
      </c>
      <c r="BN119" s="3" t="e">
        <f ca="1">IF($BP$1=1,EB119,IF(RTD("tos.rtd",,BN$83,"."&amp;$D$82&amp;$AW$82&amp;"C"&amp;$A119)="N/A",0,RTD("tos.rtd",,BN$83,"."&amp;$D$82&amp;$AW$82&amp;"C"&amp;$A119)))</f>
        <v>#NUM!</v>
      </c>
      <c r="BO119" s="3" t="e">
        <f ca="1">IF($BP$1=1,EC119,-IF(RTD("tos.rtd",,BO$83,"."&amp;$D$82&amp;$AW$82&amp;"P"&amp;$A119)="N/A",0,RTD("tos.rtd",,BO$83,"."&amp;$D$82&amp;$AW$82&amp;"P"&amp;$A119)))</f>
        <v>#NUM!</v>
      </c>
      <c r="BQ119" s="3" t="e">
        <f t="shared" ca="1" si="456"/>
        <v>#NUM!</v>
      </c>
      <c r="BR119" s="3" t="e">
        <f t="shared" ca="1" si="494"/>
        <v>#NUM!</v>
      </c>
      <c r="BS119" s="3" t="e">
        <f t="shared" ca="1" si="457"/>
        <v>#NUM!</v>
      </c>
      <c r="BT119" s="3" t="e">
        <f t="shared" ca="1" si="494"/>
        <v>#NUM!</v>
      </c>
      <c r="BU119" s="3" t="e">
        <f t="shared" ca="1" si="458"/>
        <v>#NUM!</v>
      </c>
      <c r="BV119" s="3" t="e">
        <f t="shared" ca="1" si="494"/>
        <v>#NUM!</v>
      </c>
      <c r="BX119" s="3" t="e">
        <f t="shared" ca="1" si="459"/>
        <v>#NUM!</v>
      </c>
      <c r="BY119" s="3" t="e">
        <f t="shared" ca="1" si="510"/>
        <v>#NUM!</v>
      </c>
      <c r="BZ119" s="3" t="e">
        <f t="shared" ca="1" si="460"/>
        <v>#NUM!</v>
      </c>
      <c r="CA119" s="3" t="e">
        <f t="shared" ca="1" si="510"/>
        <v>#NUM!</v>
      </c>
      <c r="CB119" s="3" t="e">
        <f t="shared" ca="1" si="461"/>
        <v>#NUM!</v>
      </c>
      <c r="CC119" s="3" t="e">
        <f t="shared" ca="1" si="510"/>
        <v>#NUM!</v>
      </c>
      <c r="CD119" s="3">
        <f>IF(RTD("tos.rtd",,CD$83,"."&amp;$B$82&amp;$AS$82&amp;"C"&amp;$A119)="N/A",0,RTD("tos.rtd",,CD$83,"."&amp;$B$82&amp;$AS$82&amp;"C"&amp;$A119))</f>
        <v>0.89</v>
      </c>
      <c r="CE119" s="3">
        <f>-IF(RTD("tos.rtd",,CE$83,"."&amp;$B$82&amp;$AS$82&amp;"P"&amp;$A119)="N/A",0,RTD("tos.rtd",,CE$83,"."&amp;$B$82&amp;$AS$82&amp;"P"&amp;$A119))</f>
        <v>0</v>
      </c>
      <c r="CF119" s="3">
        <f>IF(RTD("tos.rtd",,CF$83,"."&amp;$C$82&amp;$AU$82&amp;"C"&amp;$A119)="N/A",0,RTD("tos.rtd",,CF$83,"."&amp;$C$82&amp;$AU$82&amp;"C"&amp;$A119))</f>
        <v>1</v>
      </c>
      <c r="CG119" s="3">
        <f>-IF(RTD("tos.rtd",,CG$83,"."&amp;$C$82&amp;$AU$82&amp;"P"&amp;$A119)="N/A",0,RTD("tos.rtd",,CG$83,"."&amp;$C$82&amp;$AU$82&amp;"P"&amp;$A119))</f>
        <v>0</v>
      </c>
      <c r="CH119" s="3">
        <f>IF(RTD("tos.rtd",,CH$83,"."&amp;$D$82&amp;$AW$82&amp;"C"&amp;$A119)="N/A",0,RTD("tos.rtd",,CH$83,"."&amp;$D$82&amp;$AW$82&amp;"C"&amp;$A119))</f>
        <v>0.67</v>
      </c>
      <c r="CI119" s="3">
        <f>-IF(RTD("tos.rtd",,CI$83,"."&amp;$D$82&amp;$AW$82&amp;"P"&amp;$A119)="N/A",0,RTD("tos.rtd",,CI$83,"."&amp;$D$82&amp;$AW$82&amp;"P"&amp;$A119))</f>
        <v>0.14000000000000001</v>
      </c>
      <c r="CK119" s="3">
        <f t="shared" si="532"/>
        <v>6230</v>
      </c>
      <c r="CL119" s="3"/>
      <c r="CM119" s="3">
        <f t="shared" si="533"/>
        <v>13400</v>
      </c>
      <c r="CN119" s="3"/>
      <c r="CO119" s="3">
        <f t="shared" si="534"/>
        <v>-5393</v>
      </c>
      <c r="CP119" s="3">
        <f t="shared" si="462"/>
        <v>14237</v>
      </c>
      <c r="CQ119" s="3">
        <f t="shared" si="463"/>
        <v>0</v>
      </c>
      <c r="CR119" s="3"/>
      <c r="CS119" s="3">
        <f t="shared" si="464"/>
        <v>0</v>
      </c>
      <c r="CT119" s="3"/>
      <c r="CU119" s="3">
        <f t="shared" si="465"/>
        <v>-1</v>
      </c>
      <c r="CV119" s="3"/>
      <c r="CW119" s="3" t="e">
        <f t="shared" ca="1" si="535"/>
        <v>#NUM!</v>
      </c>
      <c r="CY119" s="3" t="e">
        <f t="shared" ca="1" si="467"/>
        <v>#NUM!</v>
      </c>
      <c r="CZ119" s="70" t="e">
        <f t="shared" ca="1" si="511"/>
        <v>#NUM!</v>
      </c>
      <c r="DA119" s="3">
        <f>IF(RTD("tos.rtd",,DA$83,"."&amp;$B$82&amp;$AS$82&amp;"C"&amp;$A119)="N/A",0,RTD("tos.rtd",,DA$83,"."&amp;$B$82&amp;$AS$82&amp;"C"&amp;$A119))</f>
        <v>174.91</v>
      </c>
      <c r="DB119" s="3">
        <f>IF(RTD("tos.rtd",,DB$83,"."&amp;$B$82&amp;$AS$82&amp;"P"&amp;$A119)="N/A",0,RTD("tos.rtd",,DB$83,"."&amp;$B$82&amp;$AS$82&amp;"P"&amp;$A119))</f>
        <v>0.03</v>
      </c>
      <c r="DC119" s="3">
        <f>IF(RTD("tos.rtd",,DC$83,"."&amp;$B$82&amp;$AS$82&amp;"C"&amp;$A119)="N/A",0,RTD("tos.rtd",,DC$83,"."&amp;$B$82&amp;$AS$82&amp;"C"&amp;$A119))</f>
        <v>138.19999999999999</v>
      </c>
      <c r="DD119" s="3">
        <f>IF(RTD("tos.rtd",,DD$83,"."&amp;$B$82&amp;$AS$82&amp;"P"&amp;$A119)="N/A",0,RTD("tos.rtd",,DD$83,"."&amp;$B$82&amp;$AS$82&amp;"P"&amp;$A119))</f>
        <v>0.05</v>
      </c>
      <c r="DE119" s="3">
        <f>IF(RTD("tos.rtd",,DE$83,"."&amp;$B$82&amp;$AS$82&amp;"C"&amp;$A119)="N/A",0,RTD("tos.rtd",,DE$83,"."&amp;$B$82&amp;$AS$82&amp;"C"&amp;$A119))</f>
        <v>132.69999999999999</v>
      </c>
      <c r="DF119" s="3">
        <f>IF(RTD("tos.rtd",,DF$83,"."&amp;$B$82&amp;$AS$82&amp;"P"&amp;$A119)="N/A",0,RTD("tos.rtd",,DF$83,"."&amp;$B$82&amp;$AS$82&amp;"P"&amp;$A119))</f>
        <v>0</v>
      </c>
      <c r="DG119" s="86">
        <f t="shared" si="499"/>
        <v>-129.90999999999985</v>
      </c>
      <c r="DH119" s="3">
        <f t="shared" si="468"/>
        <v>-76.74545454545455</v>
      </c>
      <c r="DI119" s="3">
        <f t="shared" si="469"/>
        <v>8811</v>
      </c>
      <c r="DJ119" s="3">
        <f t="shared" si="470"/>
        <v>-10</v>
      </c>
      <c r="DK119" s="3">
        <f t="shared" si="471"/>
        <v>14685</v>
      </c>
      <c r="DL119" s="3">
        <f t="shared" si="472"/>
        <v>8734.2545454545452</v>
      </c>
      <c r="DM119" s="3">
        <f t="shared" si="473"/>
        <v>14675</v>
      </c>
      <c r="DN119" s="64" t="str">
        <f t="shared" si="474"/>
        <v>UNKNOWN</v>
      </c>
      <c r="DO119" s="64" t="str">
        <f t="shared" si="475"/>
        <v>UNKNOWN</v>
      </c>
      <c r="DP119" s="3">
        <f t="shared" si="476"/>
        <v>-13159.217454545455</v>
      </c>
      <c r="DQ119" s="3">
        <f t="shared" si="477"/>
        <v>-1308.55</v>
      </c>
      <c r="DR119" s="3" t="e">
        <f t="shared" ca="1" si="478"/>
        <v>#NUM!</v>
      </c>
      <c r="DS119" s="3">
        <f t="shared" si="479"/>
        <v>-8.9</v>
      </c>
      <c r="DT119" s="3">
        <f t="shared" si="500"/>
        <v>-10</v>
      </c>
      <c r="DU119" s="3">
        <f t="shared" si="501"/>
        <v>14685</v>
      </c>
      <c r="DV119" s="3">
        <f t="shared" si="502"/>
        <v>39</v>
      </c>
      <c r="DW119" s="3">
        <f t="shared" si="503"/>
        <v>7292</v>
      </c>
      <c r="DX119" s="3" t="e">
        <f t="shared" ca="1" si="512"/>
        <v>#NUM!</v>
      </c>
      <c r="DY119" s="3" t="e">
        <f t="shared" ca="1" si="480"/>
        <v>#NUM!</v>
      </c>
      <c r="DZ119" s="3" t="e">
        <f t="shared" ca="1" si="504"/>
        <v>#NUM!</v>
      </c>
      <c r="EA119" s="3" t="e">
        <f t="shared" ca="1" si="505"/>
        <v>#NUM!</v>
      </c>
      <c r="EB119" s="3" t="e">
        <f t="shared" ca="1" si="481"/>
        <v>#NUM!</v>
      </c>
      <c r="EC119" s="3" t="e">
        <f t="shared" ca="1" si="482"/>
        <v>#NUM!</v>
      </c>
      <c r="ED119" s="63">
        <f t="shared" si="506"/>
        <v>7331</v>
      </c>
      <c r="EE119" s="59">
        <f t="shared" si="483"/>
        <v>2.4942000000000002</v>
      </c>
      <c r="EF119" s="59">
        <f t="shared" si="484"/>
        <v>1.0616000000000001</v>
      </c>
      <c r="EG119" s="59">
        <f t="shared" si="485"/>
        <v>0.25</v>
      </c>
      <c r="EH119" s="59">
        <f t="shared" si="486"/>
        <v>1.0616000000000001</v>
      </c>
      <c r="EI119" s="59">
        <f t="shared" si="487"/>
        <v>0.50900000000000001</v>
      </c>
      <c r="EJ119" s="59">
        <f t="shared" si="488"/>
        <v>0.19</v>
      </c>
      <c r="EK119" s="63" t="e">
        <f t="shared" ca="1" si="507"/>
        <v>#NUM!</v>
      </c>
      <c r="EL119" s="3" t="str">
        <f>RTD("tos.rtd",,EL$83,"."&amp;$B$82&amp;$AS$82&amp;"C"&amp;$A119)</f>
        <v>249.42%</v>
      </c>
      <c r="EM119" s="3" t="str">
        <f>RTD("tos.rtd",,EM$83,"."&amp;$B$82&amp;$AS$82&amp;"P"&amp;$A119)</f>
        <v>106.16%</v>
      </c>
      <c r="EN119" s="3" t="str">
        <f>RTD("tos.rtd",,EN$83,"."&amp;$C$82&amp;$AU$82&amp;"C"&amp;$A119)</f>
        <v>--</v>
      </c>
      <c r="EO119" s="3" t="str">
        <f>RTD("tos.rtd",,EO$83,"."&amp;$C$82&amp;$AU$82&amp;"P"&amp;$A119)</f>
        <v>106.16%</v>
      </c>
      <c r="EP119" s="3" t="str">
        <f>RTD("tos.rtd",,EP$83,"."&amp;$D$82&amp;$AW$82&amp;"C"&amp;$A119)</f>
        <v>50.90%</v>
      </c>
      <c r="EQ119" s="3" t="str">
        <f>RTD("tos.rtd",,EQ$83,"."&amp;$D$82&amp;$AW$82&amp;"P"&amp;$A119)</f>
        <v>19.00%</v>
      </c>
      <c r="ES119" s="63" t="str">
        <f t="shared" si="489"/>
        <v>5530,7331.00</v>
      </c>
      <c r="ET119" s="63" t="str">
        <f t="shared" ca="1" si="490"/>
        <v>5530,00.00</v>
      </c>
      <c r="EU119" s="67">
        <v>560.89</v>
      </c>
      <c r="EV119" s="67" t="s">
        <v>971</v>
      </c>
      <c r="EW119" s="67">
        <v>483.16</v>
      </c>
      <c r="EX119" s="67" t="s">
        <v>972</v>
      </c>
      <c r="EY119" s="67">
        <v>5631.28</v>
      </c>
      <c r="EZ119" s="67" t="s">
        <v>973</v>
      </c>
      <c r="FA119" s="67">
        <v>19867.973000000002</v>
      </c>
      <c r="FB119" s="67" t="s">
        <v>974</v>
      </c>
      <c r="FC119" s="67" t="s">
        <v>975</v>
      </c>
      <c r="FD119" s="67" t="s">
        <v>976</v>
      </c>
      <c r="FE119" s="68" t="s">
        <v>977</v>
      </c>
      <c r="FF119" s="68" t="s">
        <v>978</v>
      </c>
    </row>
    <row r="120" spans="1:162" s="63" customFormat="1" ht="12" customHeight="1" thickBot="1" x14ac:dyDescent="0.25">
      <c r="A120" s="2">
        <f t="shared" si="508"/>
        <v>5520</v>
      </c>
      <c r="B120" s="3">
        <f t="shared" si="451"/>
        <v>674</v>
      </c>
      <c r="C120" s="3">
        <f t="shared" si="452"/>
        <v>992</v>
      </c>
      <c r="D120" s="3">
        <f t="shared" si="453"/>
        <v>533</v>
      </c>
      <c r="E120" s="3">
        <f t="shared" si="528"/>
        <v>2199</v>
      </c>
      <c r="F120" s="4">
        <f t="shared" si="529"/>
        <v>5604.4495407170789</v>
      </c>
      <c r="G120" s="4">
        <f t="shared" si="530"/>
        <v>556.99246101086419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>
        <v>-27</v>
      </c>
      <c r="AN120" s="20">
        <v>-1977</v>
      </c>
      <c r="AO120" s="20">
        <v>5520</v>
      </c>
      <c r="AP120" s="20">
        <v>160</v>
      </c>
      <c r="AQ120" s="20">
        <v>-6930</v>
      </c>
      <c r="AR120" s="20"/>
      <c r="AS120" s="54">
        <f>IF(RTD("tos.rtd",,AS$83,"."&amp;$B$82&amp;$AS$82&amp;"C"&amp;$A120)="N/A",0,RTD("tos.rtd",,AS$83,"."&amp;$B$82&amp;$AS$82&amp;"C"&amp;$A120))</f>
        <v>156</v>
      </c>
      <c r="AT120" s="3">
        <f>-IF(RTD("tos.rtd",,AT$83,"."&amp;$B$82&amp;$AS$82&amp;"P"&amp;$A120)="N/A",0,RTD("tos.rtd",,AT$83,"."&amp;$B$82&amp;$AS$82&amp;"P"&amp;$A120))</f>
        <v>-518</v>
      </c>
      <c r="AU120" s="54">
        <f>IF(RTD("tos.rtd",,AU$83,"."&amp;$C$82&amp;$AU$82&amp;"C"&amp;$A120)="N/A",0,RTD("tos.rtd",,AU$83,"."&amp;$C$82&amp;$AU$82&amp;"C"&amp;$A120))</f>
        <v>341</v>
      </c>
      <c r="AV120" s="3">
        <f>-IF(RTD("tos.rtd",,AV$83,"."&amp;$C$82&amp;$AU$82&amp;"P"&amp;$A120)="N/A",0,RTD("tos.rtd",,AV$83,"."&amp;$C$82&amp;$AU$82&amp;"P"&amp;$A120))</f>
        <v>-651</v>
      </c>
      <c r="AW120" s="54">
        <f>IF(RTD("tos.rtd",,AW$83,"."&amp;$D$82&amp;$AW$82&amp;"C"&amp;$A120)="N/A",0,RTD("tos.rtd",,AW$83,"."&amp;$D$82&amp;$AW$82&amp;"C"&amp;$A120))</f>
        <v>141</v>
      </c>
      <c r="AX120" s="3">
        <f>-IF(RTD("tos.rtd",,AX$83,"."&amp;$D$82&amp;$AW$82&amp;"P"&amp;$A120)="N/A",0,RTD("tos.rtd",,AX$83,"."&amp;$D$82&amp;$AW$82&amp;"P"&amp;$A120))</f>
        <v>-392</v>
      </c>
      <c r="AY120" s="79">
        <f t="shared" si="531"/>
        <v>-923</v>
      </c>
      <c r="AZ120" s="8">
        <f t="shared" si="455"/>
        <v>5520</v>
      </c>
      <c r="BA120" s="54">
        <f>IF(RTD("tos.rtd",,BA$83,"."&amp;$B$82&amp;$AS$82&amp;"C"&amp;$A120)="N/A",0,RTD("tos.rtd",,BA$83,"."&amp;$B$82&amp;$AS$82&amp;"C"&amp;$A120))</f>
        <v>0</v>
      </c>
      <c r="BB120" s="3">
        <f>-IF(RTD("tos.rtd",,BB$83,"."&amp;$B$82&amp;$AS$82&amp;"P"&amp;$A120)="N/A",0,RTD("tos.rtd",,BB$83,"."&amp;$B$82&amp;$AS$82&amp;"P"&amp;$A120))</f>
        <v>0</v>
      </c>
      <c r="BC120" s="54">
        <f>IF(RTD("tos.rtd",,BC$83,"."&amp;$C$82&amp;$AU$82&amp;"C"&amp;$A120)="N/A",0,RTD("tos.rtd",,BC$83,"."&amp;$C$82&amp;$AU$82&amp;"C"&amp;$A120))</f>
        <v>0</v>
      </c>
      <c r="BD120" s="3">
        <f>-IF(RTD("tos.rtd",,BD$83,"."&amp;$C$82&amp;$AU$82&amp;"P"&amp;$A120)="N/A",0,RTD("tos.rtd",,BD$83,"."&amp;$C$82&amp;$AU$82&amp;"P"&amp;$A120))</f>
        <v>0</v>
      </c>
      <c r="BE120" s="54">
        <f>IF(RTD("tos.rtd",,BE$83,"."&amp;$D$82&amp;$AW$82&amp;"C"&amp;$A120)="N/A",0,RTD("tos.rtd",,BE$83,"."&amp;$D$82&amp;$AW$82&amp;"C"&amp;$A120))</f>
        <v>0</v>
      </c>
      <c r="BF120" s="3">
        <f>-IF(RTD("tos.rtd",,BF$83,"."&amp;$D$82&amp;$AW$82&amp;"P"&amp;$A120)="N/A",0,RTD("tos.rtd",,BF$83,"."&amp;$D$82&amp;$AW$82&amp;"P"&amp;$A120))</f>
        <v>0</v>
      </c>
      <c r="BG120" s="3">
        <f ca="1">+Hoja2!Y121</f>
        <v>0</v>
      </c>
      <c r="BH120" s="55">
        <f t="shared" ca="1" si="493"/>
        <v>0</v>
      </c>
      <c r="BI120" s="32" t="str">
        <f t="shared" ca="1" si="513"/>
        <v/>
      </c>
      <c r="BJ120" s="3" t="e">
        <f ca="1">IF($BP$1=1,DX120,IF(RTD("tos.rtd",,BJ$83,"."&amp;$B$82&amp;$AS$82&amp;"C"&amp;$A120)="N/A",0,RTD("tos.rtd",,BJ$83,"."&amp;$B$82&amp;$AS$82&amp;"C"&amp;$A120)))</f>
        <v>#NUM!</v>
      </c>
      <c r="BK120" s="3" t="e">
        <f ca="1">IF($BP$1=1,DY120,-IF(RTD("tos.rtd",,BK$83,"."&amp;$B$82&amp;$AS$82&amp;"P"&amp;$A120)="N/A",0,RTD("tos.rtd",,BK$83,"."&amp;$B$82&amp;$AS$82&amp;"P"&amp;$A120)))</f>
        <v>#NUM!</v>
      </c>
      <c r="BL120" s="3" t="e">
        <f ca="1">IF($BP$1=1,DZ120,IF(RTD("tos.rtd",,BL$83,"."&amp;$C$82&amp;$AU$82&amp;"C"&amp;$A120)="N/A",0,RTD("tos.rtd",,BL$83,"."&amp;$C$82&amp;$AU$82&amp;"C"&amp;$A120)))</f>
        <v>#NUM!</v>
      </c>
      <c r="BM120" s="3" t="e">
        <f ca="1">IF($BP$1=1,EA120,-IF(RTD("tos.rtd",,BM$83,"."&amp;$C$82&amp;$AU$82&amp;"P"&amp;$A120)="N/A",0,RTD("tos.rtd",,BM$83,"."&amp;$C$82&amp;$AU$82&amp;"P"&amp;$A120)))</f>
        <v>#NUM!</v>
      </c>
      <c r="BN120" s="3" t="e">
        <f ca="1">IF($BP$1=1,EB120,IF(RTD("tos.rtd",,BN$83,"."&amp;$D$82&amp;$AW$82&amp;"C"&amp;$A120)="N/A",0,RTD("tos.rtd",,BN$83,"."&amp;$D$82&amp;$AW$82&amp;"C"&amp;$A120)))</f>
        <v>#NUM!</v>
      </c>
      <c r="BO120" s="3" t="e">
        <f ca="1">IF($BP$1=1,EC120,-IF(RTD("tos.rtd",,BO$83,"."&amp;$D$82&amp;$AW$82&amp;"P"&amp;$A120)="N/A",0,RTD("tos.rtd",,BO$83,"."&amp;$D$82&amp;$AW$82&amp;"P"&amp;$A120)))</f>
        <v>#NUM!</v>
      </c>
      <c r="BQ120" s="3" t="e">
        <f t="shared" ca="1" si="456"/>
        <v>#NUM!</v>
      </c>
      <c r="BR120" s="3" t="e">
        <f t="shared" ca="1" si="494"/>
        <v>#NUM!</v>
      </c>
      <c r="BS120" s="3" t="e">
        <f t="shared" ca="1" si="457"/>
        <v>#NUM!</v>
      </c>
      <c r="BT120" s="3" t="e">
        <f t="shared" ca="1" si="494"/>
        <v>#NUM!</v>
      </c>
      <c r="BU120" s="3" t="e">
        <f t="shared" ca="1" si="458"/>
        <v>#NUM!</v>
      </c>
      <c r="BV120" s="3" t="e">
        <f t="shared" ca="1" si="494"/>
        <v>#NUM!</v>
      </c>
      <c r="BX120" s="3" t="e">
        <f t="shared" ca="1" si="459"/>
        <v>#NUM!</v>
      </c>
      <c r="BY120" s="3" t="e">
        <f t="shared" ca="1" si="510"/>
        <v>#NUM!</v>
      </c>
      <c r="BZ120" s="3" t="e">
        <f t="shared" ca="1" si="460"/>
        <v>#NUM!</v>
      </c>
      <c r="CA120" s="3" t="e">
        <f t="shared" ca="1" si="510"/>
        <v>#NUM!</v>
      </c>
      <c r="CB120" s="3" t="e">
        <f t="shared" ca="1" si="461"/>
        <v>#NUM!</v>
      </c>
      <c r="CC120" s="3" t="e">
        <f t="shared" ca="1" si="510"/>
        <v>#NUM!</v>
      </c>
      <c r="CD120" s="3">
        <f>IF(RTD("tos.rtd",,CD$83,"."&amp;$B$82&amp;$AS$82&amp;"C"&amp;$A120)="N/A",0,RTD("tos.rtd",,CD$83,"."&amp;$B$82&amp;$AS$82&amp;"C"&amp;$A120))</f>
        <v>0.9</v>
      </c>
      <c r="CE120" s="3">
        <f>-IF(RTD("tos.rtd",,CE$83,"."&amp;$B$82&amp;$AS$82&amp;"P"&amp;$A120)="N/A",0,RTD("tos.rtd",,CE$83,"."&amp;$B$82&amp;$AS$82&amp;"P"&amp;$A120))</f>
        <v>0</v>
      </c>
      <c r="CF120" s="3">
        <f>IF(RTD("tos.rtd",,CF$83,"."&amp;$C$82&amp;$AU$82&amp;"C"&amp;$A120)="N/A",0,RTD("tos.rtd",,CF$83,"."&amp;$C$82&amp;$AU$82&amp;"C"&amp;$A120))</f>
        <v>1</v>
      </c>
      <c r="CG120" s="3">
        <f>-IF(RTD("tos.rtd",,CG$83,"."&amp;$C$82&amp;$AU$82&amp;"P"&amp;$A120)="N/A",0,RTD("tos.rtd",,CG$83,"."&amp;$C$82&amp;$AU$82&amp;"P"&amp;$A120))</f>
        <v>0</v>
      </c>
      <c r="CH120" s="3">
        <f>IF(RTD("tos.rtd",,CH$83,"."&amp;$D$82&amp;$AW$82&amp;"C"&amp;$A120)="N/A",0,RTD("tos.rtd",,CH$83,"."&amp;$D$82&amp;$AW$82&amp;"C"&amp;$A120))</f>
        <v>0.68</v>
      </c>
      <c r="CI120" s="3">
        <f>-IF(RTD("tos.rtd",,CI$83,"."&amp;$D$82&amp;$AW$82&amp;"P"&amp;$A120)="N/A",0,RTD("tos.rtd",,CI$83,"."&amp;$D$82&amp;$AW$82&amp;"P"&amp;$A120))</f>
        <v>0.12</v>
      </c>
      <c r="CK120" s="3">
        <f t="shared" si="532"/>
        <v>14040</v>
      </c>
      <c r="CL120" s="3"/>
      <c r="CM120" s="3">
        <f t="shared" si="533"/>
        <v>34100</v>
      </c>
      <c r="CN120" s="3"/>
      <c r="CO120" s="3">
        <f t="shared" si="534"/>
        <v>4884.0000000000018</v>
      </c>
      <c r="CP120" s="3">
        <f t="shared" si="462"/>
        <v>53024</v>
      </c>
      <c r="CQ120" s="3">
        <f t="shared" si="463"/>
        <v>0</v>
      </c>
      <c r="CR120" s="3"/>
      <c r="CS120" s="3">
        <f t="shared" si="464"/>
        <v>0</v>
      </c>
      <c r="CT120" s="3"/>
      <c r="CU120" s="3">
        <f t="shared" si="465"/>
        <v>0</v>
      </c>
      <c r="CV120" s="3"/>
      <c r="CW120" s="3" t="e">
        <f t="shared" ca="1" si="535"/>
        <v>#NUM!</v>
      </c>
      <c r="CY120" s="3" t="e">
        <f t="shared" ca="1" si="467"/>
        <v>#NUM!</v>
      </c>
      <c r="CZ120" s="70" t="e">
        <f t="shared" ca="1" si="511"/>
        <v>#NUM!</v>
      </c>
      <c r="DA120" s="3">
        <f>IF(RTD("tos.rtd",,DA$83,"."&amp;$B$82&amp;$AS$82&amp;"C"&amp;$A120)="N/A",0,RTD("tos.rtd",,DA$83,"."&amp;$B$82&amp;$AS$82&amp;"C"&amp;$A120))</f>
        <v>184.71</v>
      </c>
      <c r="DB120" s="3">
        <f>IF(RTD("tos.rtd",,DB$83,"."&amp;$B$82&amp;$AS$82&amp;"P"&amp;$A120)="N/A",0,RTD("tos.rtd",,DB$83,"."&amp;$B$82&amp;$AS$82&amp;"P"&amp;$A120))</f>
        <v>0.03</v>
      </c>
      <c r="DC120" s="3">
        <f>IF(RTD("tos.rtd",,DC$83,"."&amp;$B$82&amp;$AS$82&amp;"C"&amp;$A120)="N/A",0,RTD("tos.rtd",,DC$83,"."&amp;$B$82&amp;$AS$82&amp;"C"&amp;$A120))</f>
        <v>148.19999999999999</v>
      </c>
      <c r="DD120" s="3">
        <f>IF(RTD("tos.rtd",,DD$83,"."&amp;$B$82&amp;$AS$82&amp;"P"&amp;$A120)="N/A",0,RTD("tos.rtd",,DD$83,"."&amp;$B$82&amp;$AS$82&amp;"P"&amp;$A120))</f>
        <v>0.05</v>
      </c>
      <c r="DE120" s="3">
        <f>IF(RTD("tos.rtd",,DE$83,"."&amp;$B$82&amp;$AS$82&amp;"C"&amp;$A120)="N/A",0,RTD("tos.rtd",,DE$83,"."&amp;$B$82&amp;$AS$82&amp;"C"&amp;$A120))</f>
        <v>142.69999999999999</v>
      </c>
      <c r="DF120" s="3">
        <f>IF(RTD("tos.rtd",,DF$83,"."&amp;$B$82&amp;$AS$82&amp;"P"&amp;$A120)="N/A",0,RTD("tos.rtd",,DF$83,"."&amp;$B$82&amp;$AS$82&amp;"P"&amp;$A120))</f>
        <v>0</v>
      </c>
      <c r="DG120" s="86">
        <f t="shared" si="499"/>
        <v>-139.90999999999985</v>
      </c>
      <c r="DH120" s="3">
        <f t="shared" si="468"/>
        <v>-1222.1090909090915</v>
      </c>
      <c r="DI120" s="3">
        <f t="shared" si="469"/>
        <v>4158</v>
      </c>
      <c r="DJ120" s="3">
        <f t="shared" si="470"/>
        <v>-160</v>
      </c>
      <c r="DK120" s="3">
        <f t="shared" si="471"/>
        <v>6930</v>
      </c>
      <c r="DL120" s="3">
        <f t="shared" si="472"/>
        <v>2935.8909090909083</v>
      </c>
      <c r="DM120" s="3">
        <f t="shared" si="473"/>
        <v>6770</v>
      </c>
      <c r="DN120" s="64" t="str">
        <f t="shared" si="474"/>
        <v>UNKNOWN</v>
      </c>
      <c r="DO120" s="64" t="str">
        <f t="shared" si="475"/>
        <v>UNKNOWN</v>
      </c>
      <c r="DP120" s="3">
        <f t="shared" si="476"/>
        <v>-225611.03018181832</v>
      </c>
      <c r="DQ120" s="3">
        <f t="shared" si="477"/>
        <v>-29345.7</v>
      </c>
      <c r="DR120" s="3" t="e">
        <f t="shared" ca="1" si="478"/>
        <v>#NUM!</v>
      </c>
      <c r="DS120" s="3">
        <f t="shared" si="479"/>
        <v>-144</v>
      </c>
      <c r="DT120" s="3">
        <f t="shared" si="500"/>
        <v>-160</v>
      </c>
      <c r="DU120" s="3">
        <f t="shared" si="501"/>
        <v>6930</v>
      </c>
      <c r="DV120" s="3">
        <f t="shared" si="502"/>
        <v>-27</v>
      </c>
      <c r="DW120" s="3">
        <f t="shared" si="503"/>
        <v>-1977</v>
      </c>
      <c r="DX120" s="3" t="e">
        <f t="shared" ca="1" si="512"/>
        <v>#NUM!</v>
      </c>
      <c r="DY120" s="3" t="e">
        <f t="shared" ca="1" si="480"/>
        <v>#NUM!</v>
      </c>
      <c r="DZ120" s="3" t="e">
        <f t="shared" ca="1" si="504"/>
        <v>#NUM!</v>
      </c>
      <c r="EA120" s="3" t="e">
        <f t="shared" ca="1" si="505"/>
        <v>#NUM!</v>
      </c>
      <c r="EB120" s="3" t="e">
        <f t="shared" ca="1" si="481"/>
        <v>#NUM!</v>
      </c>
      <c r="EC120" s="3" t="e">
        <f t="shared" ca="1" si="482"/>
        <v>#NUM!</v>
      </c>
      <c r="ED120" s="63">
        <f t="shared" si="506"/>
        <v>-2004</v>
      </c>
      <c r="EE120" s="59">
        <f t="shared" si="483"/>
        <v>2.6337999999999999</v>
      </c>
      <c r="EF120" s="59">
        <f t="shared" si="484"/>
        <v>1.1366000000000001</v>
      </c>
      <c r="EG120" s="59">
        <f t="shared" si="485"/>
        <v>0.25</v>
      </c>
      <c r="EH120" s="59">
        <f t="shared" si="486"/>
        <v>1.1366000000000001</v>
      </c>
      <c r="EI120" s="59">
        <f t="shared" si="487"/>
        <v>0.52090000000000003</v>
      </c>
      <c r="EJ120" s="59">
        <f t="shared" si="488"/>
        <v>0.19350000000000001</v>
      </c>
      <c r="EK120" s="63" t="e">
        <f t="shared" ca="1" si="507"/>
        <v>#NUM!</v>
      </c>
      <c r="EL120" s="3" t="str">
        <f>RTD("tos.rtd",,EL$83,"."&amp;$B$82&amp;$AS$82&amp;"C"&amp;$A120)</f>
        <v>263.38%</v>
      </c>
      <c r="EM120" s="3" t="str">
        <f>RTD("tos.rtd",,EM$83,"."&amp;$B$82&amp;$AS$82&amp;"P"&amp;$A120)</f>
        <v>113.66%</v>
      </c>
      <c r="EN120" s="3" t="str">
        <f>RTD("tos.rtd",,EN$83,"."&amp;$C$82&amp;$AU$82&amp;"C"&amp;$A120)</f>
        <v>--</v>
      </c>
      <c r="EO120" s="3" t="str">
        <f>RTD("tos.rtd",,EO$83,"."&amp;$C$82&amp;$AU$82&amp;"P"&amp;$A120)</f>
        <v>113.66%</v>
      </c>
      <c r="EP120" s="3" t="str">
        <f>RTD("tos.rtd",,EP$83,"."&amp;$D$82&amp;$AW$82&amp;"C"&amp;$A120)</f>
        <v>52.09%</v>
      </c>
      <c r="EQ120" s="3" t="str">
        <f>RTD("tos.rtd",,EQ$83,"."&amp;$D$82&amp;$AW$82&amp;"P"&amp;$A120)</f>
        <v>19.35%</v>
      </c>
      <c r="ES120" s="63" t="str">
        <f t="shared" si="489"/>
        <v>5520,-2004.00</v>
      </c>
      <c r="ET120" s="63" t="str">
        <f t="shared" ca="1" si="490"/>
        <v>5520,00.00</v>
      </c>
      <c r="EU120" s="67">
        <v>560.9</v>
      </c>
      <c r="EV120" s="67" t="s">
        <v>979</v>
      </c>
      <c r="EW120" s="67">
        <v>483.16</v>
      </c>
      <c r="EX120" s="67" t="s">
        <v>980</v>
      </c>
      <c r="EY120" s="67">
        <v>5631.28</v>
      </c>
      <c r="EZ120" s="67" t="s">
        <v>981</v>
      </c>
      <c r="FA120" s="67">
        <v>19867.973000000002</v>
      </c>
      <c r="FB120" s="67" t="s">
        <v>982</v>
      </c>
      <c r="FC120" s="67" t="s">
        <v>983</v>
      </c>
      <c r="FD120" s="67" t="s">
        <v>984</v>
      </c>
      <c r="FE120" s="68" t="s">
        <v>985</v>
      </c>
      <c r="FF120" s="68" t="s">
        <v>986</v>
      </c>
    </row>
    <row r="121" spans="1:162" s="63" customFormat="1" ht="12" customHeight="1" thickBot="1" x14ac:dyDescent="0.25">
      <c r="A121" s="2">
        <f t="shared" si="508"/>
        <v>5510</v>
      </c>
      <c r="B121" s="3">
        <f t="shared" si="451"/>
        <v>728</v>
      </c>
      <c r="C121" s="3">
        <f t="shared" si="452"/>
        <v>1221</v>
      </c>
      <c r="D121" s="3">
        <f t="shared" si="453"/>
        <v>535</v>
      </c>
      <c r="E121" s="3">
        <f t="shared" si="528"/>
        <v>2484</v>
      </c>
      <c r="F121" s="4">
        <f t="shared" si="529"/>
        <v>5594.2965524186784</v>
      </c>
      <c r="G121" s="4">
        <f t="shared" si="530"/>
        <v>555.98341669743866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>
        <v>27</v>
      </c>
      <c r="AN121" s="20">
        <v>-1317</v>
      </c>
      <c r="AO121" s="20">
        <v>5510</v>
      </c>
      <c r="AP121" s="20">
        <v>75</v>
      </c>
      <c r="AQ121" s="20">
        <v>-3411</v>
      </c>
      <c r="AR121" s="20"/>
      <c r="AS121" s="54">
        <f>IF(RTD("tos.rtd",,AS$83,"."&amp;$B$82&amp;$AS$82&amp;"C"&amp;$A121)="N/A",0,RTD("tos.rtd",,AS$83,"."&amp;$B$82&amp;$AS$82&amp;"C"&amp;$A121))</f>
        <v>186</v>
      </c>
      <c r="AT121" s="3">
        <f>-IF(RTD("tos.rtd",,AT$83,"."&amp;$B$82&amp;$AS$82&amp;"P"&amp;$A121)="N/A",0,RTD("tos.rtd",,AT$83,"."&amp;$B$82&amp;$AS$82&amp;"P"&amp;$A121))</f>
        <v>-542</v>
      </c>
      <c r="AU121" s="54">
        <f>IF(RTD("tos.rtd",,AU$83,"."&amp;$C$82&amp;$AU$82&amp;"C"&amp;$A121)="N/A",0,RTD("tos.rtd",,AU$83,"."&amp;$C$82&amp;$AU$82&amp;"C"&amp;$A121))</f>
        <v>377</v>
      </c>
      <c r="AV121" s="3">
        <f>-IF(RTD("tos.rtd",,AV$83,"."&amp;$C$82&amp;$AU$82&amp;"P"&amp;$A121)="N/A",0,RTD("tos.rtd",,AV$83,"."&amp;$C$82&amp;$AU$82&amp;"P"&amp;$A121))</f>
        <v>-844</v>
      </c>
      <c r="AW121" s="54">
        <f>IF(RTD("tos.rtd",,AW$83,"."&amp;$D$82&amp;$AW$82&amp;"C"&amp;$A121)="N/A",0,RTD("tos.rtd",,AW$83,"."&amp;$D$82&amp;$AW$82&amp;"C"&amp;$A121))</f>
        <v>375</v>
      </c>
      <c r="AX121" s="3">
        <f>-IF(RTD("tos.rtd",,AX$83,"."&amp;$D$82&amp;$AW$82&amp;"P"&amp;$A121)="N/A",0,RTD("tos.rtd",,AX$83,"."&amp;$D$82&amp;$AW$82&amp;"P"&amp;$A121))</f>
        <v>-160</v>
      </c>
      <c r="AY121" s="79">
        <f t="shared" si="531"/>
        <v>-608</v>
      </c>
      <c r="AZ121" s="8">
        <f t="shared" si="455"/>
        <v>5510</v>
      </c>
      <c r="BA121" s="54">
        <f>IF(RTD("tos.rtd",,BA$83,"."&amp;$B$82&amp;$AS$82&amp;"C"&amp;$A121)="N/A",0,RTD("tos.rtd",,BA$83,"."&amp;$B$82&amp;$AS$82&amp;"C"&amp;$A121))</f>
        <v>0</v>
      </c>
      <c r="BB121" s="3">
        <f>-IF(RTD("tos.rtd",,BB$83,"."&amp;$B$82&amp;$AS$82&amp;"P"&amp;$A121)="N/A",0,RTD("tos.rtd",,BB$83,"."&amp;$B$82&amp;$AS$82&amp;"P"&amp;$A121))</f>
        <v>0</v>
      </c>
      <c r="BC121" s="54">
        <f>IF(RTD("tos.rtd",,BC$83,"."&amp;$C$82&amp;$AU$82&amp;"C"&amp;$A121)="N/A",0,RTD("tos.rtd",,BC$83,"."&amp;$C$82&amp;$AU$82&amp;"C"&amp;$A121))</f>
        <v>0</v>
      </c>
      <c r="BD121" s="3">
        <f>-IF(RTD("tos.rtd",,BD$83,"."&amp;$C$82&amp;$AU$82&amp;"P"&amp;$A121)="N/A",0,RTD("tos.rtd",,BD$83,"."&amp;$C$82&amp;$AU$82&amp;"P"&amp;$A121))</f>
        <v>0</v>
      </c>
      <c r="BE121" s="54">
        <f>IF(RTD("tos.rtd",,BE$83,"."&amp;$D$82&amp;$AW$82&amp;"C"&amp;$A121)="N/A",0,RTD("tos.rtd",,BE$83,"."&amp;$D$82&amp;$AW$82&amp;"C"&amp;$A121))</f>
        <v>0</v>
      </c>
      <c r="BF121" s="3">
        <f>-IF(RTD("tos.rtd",,BF$83,"."&amp;$D$82&amp;$AW$82&amp;"P"&amp;$A121)="N/A",0,RTD("tos.rtd",,BF$83,"."&amp;$D$82&amp;$AW$82&amp;"P"&amp;$A121))</f>
        <v>-1</v>
      </c>
      <c r="BG121" s="3">
        <f ca="1">+Hoja2!Y122</f>
        <v>0</v>
      </c>
      <c r="BH121" s="55">
        <f t="shared" ca="1" si="493"/>
        <v>-1</v>
      </c>
      <c r="BI121" s="32" t="str">
        <f t="shared" ca="1" si="513"/>
        <v/>
      </c>
      <c r="BJ121" s="3" t="e">
        <f ca="1">IF($BP$1=1,DX121,IF(RTD("tos.rtd",,BJ$83,"."&amp;$B$82&amp;$AS$82&amp;"C"&amp;$A121)="N/A",0,RTD("tos.rtd",,BJ$83,"."&amp;$B$82&amp;$AS$82&amp;"C"&amp;$A121)))</f>
        <v>#NUM!</v>
      </c>
      <c r="BK121" s="3" t="e">
        <f ca="1">IF($BP$1=1,DY121,-IF(RTD("tos.rtd",,BK$83,"."&amp;$B$82&amp;$AS$82&amp;"P"&amp;$A121)="N/A",0,RTD("tos.rtd",,BK$83,"."&amp;$B$82&amp;$AS$82&amp;"P"&amp;$A121)))</f>
        <v>#NUM!</v>
      </c>
      <c r="BL121" s="3" t="e">
        <f ca="1">IF($BP$1=1,DZ121,IF(RTD("tos.rtd",,BL$83,"."&amp;$C$82&amp;$AU$82&amp;"C"&amp;$A121)="N/A",0,RTD("tos.rtd",,BL$83,"."&amp;$C$82&amp;$AU$82&amp;"C"&amp;$A121)))</f>
        <v>#NUM!</v>
      </c>
      <c r="BM121" s="3" t="e">
        <f ca="1">IF($BP$1=1,EA121,-IF(RTD("tos.rtd",,BM$83,"."&amp;$C$82&amp;$AU$82&amp;"P"&amp;$A121)="N/A",0,RTD("tos.rtd",,BM$83,"."&amp;$C$82&amp;$AU$82&amp;"P"&amp;$A121)))</f>
        <v>#NUM!</v>
      </c>
      <c r="BN121" s="3" t="e">
        <f ca="1">IF($BP$1=1,EB121,IF(RTD("tos.rtd",,BN$83,"."&amp;$D$82&amp;$AW$82&amp;"C"&amp;$A121)="N/A",0,RTD("tos.rtd",,BN$83,"."&amp;$D$82&amp;$AW$82&amp;"C"&amp;$A121)))</f>
        <v>#NUM!</v>
      </c>
      <c r="BO121" s="3" t="e">
        <f ca="1">IF($BP$1=1,EC121,-IF(RTD("tos.rtd",,BO$83,"."&amp;$D$82&amp;$AW$82&amp;"P"&amp;$A121)="N/A",0,RTD("tos.rtd",,BO$83,"."&amp;$D$82&amp;$AW$82&amp;"P"&amp;$A121)))</f>
        <v>#NUM!</v>
      </c>
      <c r="BQ121" s="3" t="e">
        <f t="shared" ca="1" si="456"/>
        <v>#NUM!</v>
      </c>
      <c r="BR121" s="3" t="e">
        <f t="shared" ca="1" si="494"/>
        <v>#NUM!</v>
      </c>
      <c r="BS121" s="3" t="e">
        <f t="shared" ca="1" si="457"/>
        <v>#NUM!</v>
      </c>
      <c r="BT121" s="3" t="e">
        <f t="shared" ca="1" si="494"/>
        <v>#NUM!</v>
      </c>
      <c r="BU121" s="3" t="e">
        <f t="shared" ca="1" si="458"/>
        <v>#NUM!</v>
      </c>
      <c r="BV121" s="3" t="e">
        <f t="shared" ca="1" si="494"/>
        <v>#NUM!</v>
      </c>
      <c r="BX121" s="3" t="e">
        <f t="shared" ca="1" si="459"/>
        <v>#NUM!</v>
      </c>
      <c r="BY121" s="3" t="e">
        <f t="shared" ca="1" si="510"/>
        <v>#NUM!</v>
      </c>
      <c r="BZ121" s="3" t="e">
        <f t="shared" ca="1" si="460"/>
        <v>#NUM!</v>
      </c>
      <c r="CA121" s="3" t="e">
        <f t="shared" ca="1" si="510"/>
        <v>#NUM!</v>
      </c>
      <c r="CB121" s="3" t="e">
        <f t="shared" ca="1" si="461"/>
        <v>#NUM!</v>
      </c>
      <c r="CC121" s="3" t="e">
        <f t="shared" ca="1" si="510"/>
        <v>#NUM!</v>
      </c>
      <c r="CD121" s="3">
        <f>IF(RTD("tos.rtd",,CD$83,"."&amp;$B$82&amp;$AS$82&amp;"C"&amp;$A121)="N/A",0,RTD("tos.rtd",,CD$83,"."&amp;$B$82&amp;$AS$82&amp;"C"&amp;$A121))</f>
        <v>0.92</v>
      </c>
      <c r="CE121" s="3">
        <f>-IF(RTD("tos.rtd",,CE$83,"."&amp;$B$82&amp;$AS$82&amp;"P"&amp;$A121)="N/A",0,RTD("tos.rtd",,CE$83,"."&amp;$B$82&amp;$AS$82&amp;"P"&amp;$A121))</f>
        <v>0</v>
      </c>
      <c r="CF121" s="3">
        <f>IF(RTD("tos.rtd",,CF$83,"."&amp;$C$82&amp;$AU$82&amp;"C"&amp;$A121)="N/A",0,RTD("tos.rtd",,CF$83,"."&amp;$C$82&amp;$AU$82&amp;"C"&amp;$A121))</f>
        <v>1</v>
      </c>
      <c r="CG121" s="3">
        <f>-IF(RTD("tos.rtd",,CG$83,"."&amp;$C$82&amp;$AU$82&amp;"P"&amp;$A121)="N/A",0,RTD("tos.rtd",,CG$83,"."&amp;$C$82&amp;$AU$82&amp;"P"&amp;$A121))</f>
        <v>0</v>
      </c>
      <c r="CH121" s="3">
        <f>IF(RTD("tos.rtd",,CH$83,"."&amp;$D$82&amp;$AW$82&amp;"C"&amp;$A121)="N/A",0,RTD("tos.rtd",,CH$83,"."&amp;$D$82&amp;$AW$82&amp;"C"&amp;$A121))</f>
        <v>0.68</v>
      </c>
      <c r="CI121" s="3">
        <f>-IF(RTD("tos.rtd",,CI$83,"."&amp;$D$82&amp;$AW$82&amp;"P"&amp;$A121)="N/A",0,RTD("tos.rtd",,CI$83,"."&amp;$D$82&amp;$AW$82&amp;"P"&amp;$A121))</f>
        <v>0.11</v>
      </c>
      <c r="CK121" s="3">
        <f t="shared" si="532"/>
        <v>17112</v>
      </c>
      <c r="CL121" s="3"/>
      <c r="CM121" s="3">
        <f t="shared" si="533"/>
        <v>37700</v>
      </c>
      <c r="CN121" s="3"/>
      <c r="CO121" s="3">
        <f t="shared" si="534"/>
        <v>23740.000000000004</v>
      </c>
      <c r="CP121" s="3">
        <f t="shared" si="462"/>
        <v>78552</v>
      </c>
      <c r="CQ121" s="3">
        <f t="shared" si="463"/>
        <v>0</v>
      </c>
      <c r="CR121" s="3"/>
      <c r="CS121" s="3">
        <f t="shared" si="464"/>
        <v>0</v>
      </c>
      <c r="CT121" s="3"/>
      <c r="CU121" s="3">
        <f t="shared" si="465"/>
        <v>-1</v>
      </c>
      <c r="CV121" s="3"/>
      <c r="CW121" s="3" t="e">
        <f t="shared" ca="1" si="535"/>
        <v>#NUM!</v>
      </c>
      <c r="CY121" s="3" t="e">
        <f t="shared" ca="1" si="467"/>
        <v>#NUM!</v>
      </c>
      <c r="CZ121" s="70" t="e">
        <f t="shared" ca="1" si="511"/>
        <v>#NUM!</v>
      </c>
      <c r="DA121" s="3">
        <f>IF(RTD("tos.rtd",,DA$83,"."&amp;$B$82&amp;$AS$82&amp;"C"&amp;$A121)="N/A",0,RTD("tos.rtd",,DA$83,"."&amp;$B$82&amp;$AS$82&amp;"C"&amp;$A121))</f>
        <v>159.16999999999999</v>
      </c>
      <c r="DB121" s="3">
        <f>IF(RTD("tos.rtd",,DB$83,"."&amp;$B$82&amp;$AS$82&amp;"P"&amp;$A121)="N/A",0,RTD("tos.rtd",,DB$83,"."&amp;$B$82&amp;$AS$82&amp;"P"&amp;$A121))</f>
        <v>0.03</v>
      </c>
      <c r="DC121" s="3">
        <f>IF(RTD("tos.rtd",,DC$83,"."&amp;$B$82&amp;$AS$82&amp;"C"&amp;$A121)="N/A",0,RTD("tos.rtd",,DC$83,"."&amp;$B$82&amp;$AS$82&amp;"C"&amp;$A121))</f>
        <v>160.30000000000001</v>
      </c>
      <c r="DD121" s="3">
        <f>IF(RTD("tos.rtd",,DD$83,"."&amp;$B$82&amp;$AS$82&amp;"P"&amp;$A121)="N/A",0,RTD("tos.rtd",,DD$83,"."&amp;$B$82&amp;$AS$82&amp;"P"&amp;$A121))</f>
        <v>0.05</v>
      </c>
      <c r="DE121" s="3">
        <f>IF(RTD("tos.rtd",,DE$83,"."&amp;$B$82&amp;$AS$82&amp;"C"&amp;$A121)="N/A",0,RTD("tos.rtd",,DE$83,"."&amp;$B$82&amp;$AS$82&amp;"C"&amp;$A121))</f>
        <v>147.5</v>
      </c>
      <c r="DF121" s="3">
        <f>IF(RTD("tos.rtd",,DF$83,"."&amp;$B$82&amp;$AS$82&amp;"P"&amp;$A121)="N/A",0,RTD("tos.rtd",,DF$83,"."&amp;$B$82&amp;$AS$82&amp;"P"&amp;$A121))</f>
        <v>0</v>
      </c>
      <c r="DG121" s="86">
        <f t="shared" si="499"/>
        <v>-149.90999999999985</v>
      </c>
      <c r="DH121" s="3">
        <f t="shared" si="468"/>
        <v>-68.378906249999872</v>
      </c>
      <c r="DI121" s="3">
        <f t="shared" si="469"/>
        <v>2046.6</v>
      </c>
      <c r="DJ121" s="3">
        <f t="shared" si="470"/>
        <v>-75</v>
      </c>
      <c r="DK121" s="3">
        <f t="shared" si="471"/>
        <v>3411</v>
      </c>
      <c r="DL121" s="3">
        <f t="shared" si="472"/>
        <v>1978.2210937500001</v>
      </c>
      <c r="DM121" s="3">
        <f t="shared" si="473"/>
        <v>3336</v>
      </c>
      <c r="DN121" s="64" t="str">
        <f t="shared" si="474"/>
        <v>UNKNOWN</v>
      </c>
      <c r="DO121" s="64" t="str">
        <f t="shared" si="475"/>
        <v>UNKNOWN</v>
      </c>
      <c r="DP121" s="3">
        <f t="shared" si="476"/>
        <v>-10822.472507812479</v>
      </c>
      <c r="DQ121" s="3">
        <f t="shared" si="477"/>
        <v>-11835.419999999998</v>
      </c>
      <c r="DR121" s="3" t="e">
        <f t="shared" ca="1" si="478"/>
        <v>#NUM!</v>
      </c>
      <c r="DS121" s="3">
        <f t="shared" si="479"/>
        <v>-69</v>
      </c>
      <c r="DT121" s="3">
        <f t="shared" si="500"/>
        <v>-75</v>
      </c>
      <c r="DU121" s="3">
        <f t="shared" si="501"/>
        <v>3411</v>
      </c>
      <c r="DV121" s="3">
        <f t="shared" si="502"/>
        <v>27</v>
      </c>
      <c r="DW121" s="3">
        <f t="shared" si="503"/>
        <v>-1317</v>
      </c>
      <c r="DX121" s="3" t="e">
        <f t="shared" ca="1" si="512"/>
        <v>#NUM!</v>
      </c>
      <c r="DY121" s="3" t="e">
        <f t="shared" ca="1" si="480"/>
        <v>#NUM!</v>
      </c>
      <c r="DZ121" s="3" t="e">
        <f t="shared" ca="1" si="504"/>
        <v>#NUM!</v>
      </c>
      <c r="EA121" s="3" t="e">
        <f t="shared" ca="1" si="505"/>
        <v>#NUM!</v>
      </c>
      <c r="EB121" s="3" t="e">
        <f t="shared" ca="1" si="481"/>
        <v>#NUM!</v>
      </c>
      <c r="EC121" s="3" t="e">
        <f t="shared" ca="1" si="482"/>
        <v>#NUM!</v>
      </c>
      <c r="ED121" s="63">
        <f t="shared" si="506"/>
        <v>-1290</v>
      </c>
      <c r="EE121" s="59">
        <f t="shared" si="483"/>
        <v>2.5468000000000002</v>
      </c>
      <c r="EF121" s="59">
        <f t="shared" si="484"/>
        <v>1.2112000000000001</v>
      </c>
      <c r="EG121" s="59">
        <f t="shared" si="485"/>
        <v>0.25</v>
      </c>
      <c r="EH121" s="59">
        <f t="shared" si="486"/>
        <v>1.2112000000000001</v>
      </c>
      <c r="EI121" s="59">
        <f t="shared" si="487"/>
        <v>0.53710000000000002</v>
      </c>
      <c r="EJ121" s="59">
        <f t="shared" si="488"/>
        <v>0.19750000000000001</v>
      </c>
      <c r="EK121" s="63" t="e">
        <f t="shared" ca="1" si="507"/>
        <v>#NUM!</v>
      </c>
      <c r="EL121" s="3" t="str">
        <f>RTD("tos.rtd",,EL$83,"."&amp;$B$82&amp;$AS$82&amp;"C"&amp;$A121)</f>
        <v>254.68%</v>
      </c>
      <c r="EM121" s="3" t="str">
        <f>RTD("tos.rtd",,EM$83,"."&amp;$B$82&amp;$AS$82&amp;"P"&amp;$A121)</f>
        <v>121.12%</v>
      </c>
      <c r="EN121" s="3" t="str">
        <f>RTD("tos.rtd",,EN$83,"."&amp;$C$82&amp;$AU$82&amp;"C"&amp;$A121)</f>
        <v>--</v>
      </c>
      <c r="EO121" s="3" t="str">
        <f>RTD("tos.rtd",,EO$83,"."&amp;$C$82&amp;$AU$82&amp;"P"&amp;$A121)</f>
        <v>121.12%</v>
      </c>
      <c r="EP121" s="3" t="str">
        <f>RTD("tos.rtd",,EP$83,"."&amp;$D$82&amp;$AW$82&amp;"C"&amp;$A121)</f>
        <v>53.71%</v>
      </c>
      <c r="EQ121" s="3" t="str">
        <f>RTD("tos.rtd",,EQ$83,"."&amp;$D$82&amp;$AW$82&amp;"P"&amp;$A121)</f>
        <v>19.75%</v>
      </c>
      <c r="ES121" s="63" t="str">
        <f t="shared" si="489"/>
        <v>5510,-1290.00</v>
      </c>
      <c r="ET121" s="63" t="str">
        <f t="shared" ca="1" si="490"/>
        <v>5510,00.00</v>
      </c>
      <c r="EU121" s="67">
        <v>561.04</v>
      </c>
      <c r="EV121" s="67" t="s">
        <v>987</v>
      </c>
      <c r="EW121" s="67">
        <v>483.3</v>
      </c>
      <c r="EX121" s="67" t="s">
        <v>988</v>
      </c>
      <c r="EY121" s="67">
        <v>5631.28</v>
      </c>
      <c r="EZ121" s="67" t="s">
        <v>989</v>
      </c>
      <c r="FA121" s="67">
        <v>19867.973000000002</v>
      </c>
      <c r="FB121" s="67" t="s">
        <v>990</v>
      </c>
      <c r="FC121" s="67" t="s">
        <v>991</v>
      </c>
      <c r="FD121" s="67" t="s">
        <v>992</v>
      </c>
      <c r="FE121" s="68" t="s">
        <v>993</v>
      </c>
      <c r="FF121" s="68" t="s">
        <v>994</v>
      </c>
    </row>
    <row r="122" spans="1:162" s="63" customFormat="1" ht="12" customHeight="1" thickBot="1" x14ac:dyDescent="0.25">
      <c r="A122" s="2">
        <f t="shared" si="508"/>
        <v>5500</v>
      </c>
      <c r="B122" s="3">
        <f t="shared" si="451"/>
        <v>2941</v>
      </c>
      <c r="C122" s="3">
        <f t="shared" si="452"/>
        <v>7224</v>
      </c>
      <c r="D122" s="3">
        <f t="shared" si="453"/>
        <v>3795</v>
      </c>
      <c r="E122" s="3">
        <f t="shared" si="523"/>
        <v>13960</v>
      </c>
      <c r="F122" s="4">
        <f t="shared" si="524"/>
        <v>5584.1435641202779</v>
      </c>
      <c r="G122" s="4">
        <f t="shared" si="525"/>
        <v>554.97437238401324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>
        <v>513</v>
      </c>
      <c r="AN122" s="20">
        <v>-7658</v>
      </c>
      <c r="AO122" s="20">
        <v>5500</v>
      </c>
      <c r="AP122" s="20">
        <v>251</v>
      </c>
      <c r="AQ122" s="20">
        <v>-8847</v>
      </c>
      <c r="AR122" s="20"/>
      <c r="AS122" s="54">
        <f>IF(RTD("tos.rtd",,AS$83,"."&amp;$B$82&amp;$AS$82&amp;"C"&amp;$A122)="N/A",0,RTD("tos.rtd",,AS$83,"."&amp;$B$82&amp;$AS$82&amp;"C"&amp;$A122))</f>
        <v>467</v>
      </c>
      <c r="AT122" s="3">
        <f>-IF(RTD("tos.rtd",,AT$83,"."&amp;$B$82&amp;$AS$82&amp;"P"&amp;$A122)="N/A",0,RTD("tos.rtd",,AT$83,"."&amp;$B$82&amp;$AS$82&amp;"P"&amp;$A122))</f>
        <v>-2474</v>
      </c>
      <c r="AU122" s="54">
        <f>IF(RTD("tos.rtd",,AU$83,"."&amp;$C$82&amp;$AU$82&amp;"C"&amp;$A122)="N/A",0,RTD("tos.rtd",,AU$83,"."&amp;$C$82&amp;$AU$82&amp;"C"&amp;$A122))</f>
        <v>1677</v>
      </c>
      <c r="AV122" s="3">
        <f>-IF(RTD("tos.rtd",,AV$83,"."&amp;$C$82&amp;$AU$82&amp;"P"&amp;$A122)="N/A",0,RTD("tos.rtd",,AV$83,"."&amp;$C$82&amp;$AU$82&amp;"P"&amp;$A122))</f>
        <v>-5547</v>
      </c>
      <c r="AW122" s="54">
        <f>IF(RTD("tos.rtd",,AW$83,"."&amp;$D$82&amp;$AW$82&amp;"C"&amp;$A122)="N/A",0,RTD("tos.rtd",,AW$83,"."&amp;$D$82&amp;$AW$82&amp;"C"&amp;$A122))</f>
        <v>1022</v>
      </c>
      <c r="AX122" s="3">
        <f>-IF(RTD("tos.rtd",,AX$83,"."&amp;$D$82&amp;$AW$82&amp;"P"&amp;$A122)="N/A",0,RTD("tos.rtd",,AX$83,"."&amp;$D$82&amp;$AW$82&amp;"P"&amp;$A122))</f>
        <v>-2773</v>
      </c>
      <c r="AY122" s="79">
        <f t="shared" si="526"/>
        <v>-7628</v>
      </c>
      <c r="AZ122" s="8">
        <f t="shared" si="455"/>
        <v>5500</v>
      </c>
      <c r="BA122" s="54">
        <f>IF(RTD("tos.rtd",,BA$83,"."&amp;$B$82&amp;$AS$82&amp;"C"&amp;$A122)="N/A",0,RTD("tos.rtd",,BA$83,"."&amp;$B$82&amp;$AS$82&amp;"C"&amp;$A122))</f>
        <v>0</v>
      </c>
      <c r="BB122" s="3">
        <f>-IF(RTD("tos.rtd",,BB$83,"."&amp;$B$82&amp;$AS$82&amp;"P"&amp;$A122)="N/A",0,RTD("tos.rtd",,BB$83,"."&amp;$B$82&amp;$AS$82&amp;"P"&amp;$A122))</f>
        <v>0</v>
      </c>
      <c r="BC122" s="54">
        <f>IF(RTD("tos.rtd",,BC$83,"."&amp;$C$82&amp;$AU$82&amp;"C"&amp;$A122)="N/A",0,RTD("tos.rtd",,BC$83,"."&amp;$C$82&amp;$AU$82&amp;"C"&amp;$A122))</f>
        <v>0</v>
      </c>
      <c r="BD122" s="3">
        <f>-IF(RTD("tos.rtd",,BD$83,"."&amp;$C$82&amp;$AU$82&amp;"P"&amp;$A122)="N/A",0,RTD("tos.rtd",,BD$83,"."&amp;$C$82&amp;$AU$82&amp;"P"&amp;$A122))</f>
        <v>0</v>
      </c>
      <c r="BE122" s="54">
        <f>IF(RTD("tos.rtd",,BE$83,"."&amp;$D$82&amp;$AW$82&amp;"C"&amp;$A122)="N/A",0,RTD("tos.rtd",,BE$83,"."&amp;$D$82&amp;$AW$82&amp;"C"&amp;$A122))</f>
        <v>0</v>
      </c>
      <c r="BF122" s="3">
        <f>-IF(RTD("tos.rtd",,BF$83,"."&amp;$D$82&amp;$AW$82&amp;"P"&amp;$A122)="N/A",0,RTD("tos.rtd",,BF$83,"."&amp;$D$82&amp;$AW$82&amp;"P"&amp;$A122))</f>
        <v>-2</v>
      </c>
      <c r="BG122" s="3">
        <f ca="1">+Hoja2!Y123</f>
        <v>0</v>
      </c>
      <c r="BH122" s="55">
        <f t="shared" ca="1" si="493"/>
        <v>-2</v>
      </c>
      <c r="BI122" s="32" t="str">
        <f t="shared" ca="1" si="513"/>
        <v/>
      </c>
      <c r="BJ122" s="3" t="e">
        <f ca="1">IF($BP$1=1,DX122,IF(RTD("tos.rtd",,BJ$83,"."&amp;$B$82&amp;$AS$82&amp;"C"&amp;$A122)="N/A",0,RTD("tos.rtd",,BJ$83,"."&amp;$B$82&amp;$AS$82&amp;"C"&amp;$A122)))</f>
        <v>#NUM!</v>
      </c>
      <c r="BK122" s="3" t="e">
        <f ca="1">IF($BP$1=1,DY122,-IF(RTD("tos.rtd",,BK$83,"."&amp;$B$82&amp;$AS$82&amp;"P"&amp;$A122)="N/A",0,RTD("tos.rtd",,BK$83,"."&amp;$B$82&amp;$AS$82&amp;"P"&amp;$A122)))</f>
        <v>#NUM!</v>
      </c>
      <c r="BL122" s="3" t="e">
        <f ca="1">IF($BP$1=1,DZ122,IF(RTD("tos.rtd",,BL$83,"."&amp;$C$82&amp;$AU$82&amp;"C"&amp;$A122)="N/A",0,RTD("tos.rtd",,BL$83,"."&amp;$C$82&amp;$AU$82&amp;"C"&amp;$A122)))</f>
        <v>#NUM!</v>
      </c>
      <c r="BM122" s="3" t="e">
        <f ca="1">IF($BP$1=1,EA122,-IF(RTD("tos.rtd",,BM$83,"."&amp;$C$82&amp;$AU$82&amp;"P"&amp;$A122)="N/A",0,RTD("tos.rtd",,BM$83,"."&amp;$C$82&amp;$AU$82&amp;"P"&amp;$A122)))</f>
        <v>#NUM!</v>
      </c>
      <c r="BN122" s="3" t="e">
        <f ca="1">IF($BP$1=1,EB122,IF(RTD("tos.rtd",,BN$83,"."&amp;$D$82&amp;$AW$82&amp;"C"&amp;$A122)="N/A",0,RTD("tos.rtd",,BN$83,"."&amp;$D$82&amp;$AW$82&amp;"C"&amp;$A122)))</f>
        <v>#NUM!</v>
      </c>
      <c r="BO122" s="3" t="e">
        <f ca="1">IF($BP$1=1,EC122,-IF(RTD("tos.rtd",,BO$83,"."&amp;$D$82&amp;$AW$82&amp;"P"&amp;$A122)="N/A",0,RTD("tos.rtd",,BO$83,"."&amp;$D$82&amp;$AW$82&amp;"P"&amp;$A122)))</f>
        <v>#NUM!</v>
      </c>
      <c r="BQ122" s="3" t="e">
        <f t="shared" ca="1" si="456"/>
        <v>#NUM!</v>
      </c>
      <c r="BR122" s="3" t="e">
        <f t="shared" ca="1" si="494"/>
        <v>#NUM!</v>
      </c>
      <c r="BS122" s="3" t="e">
        <f t="shared" ca="1" si="457"/>
        <v>#NUM!</v>
      </c>
      <c r="BT122" s="3" t="e">
        <f t="shared" ca="1" si="494"/>
        <v>#NUM!</v>
      </c>
      <c r="BU122" s="3" t="e">
        <f t="shared" ca="1" si="458"/>
        <v>#NUM!</v>
      </c>
      <c r="BV122" s="3" t="e">
        <f t="shared" ca="1" si="494"/>
        <v>#NUM!</v>
      </c>
      <c r="BX122" s="3" t="e">
        <f t="shared" ca="1" si="459"/>
        <v>#NUM!</v>
      </c>
      <c r="BY122" s="3" t="e">
        <f t="shared" ca="1" si="510"/>
        <v>#NUM!</v>
      </c>
      <c r="BZ122" s="3" t="e">
        <f t="shared" ca="1" si="460"/>
        <v>#NUM!</v>
      </c>
      <c r="CA122" s="3" t="e">
        <f t="shared" ca="1" si="510"/>
        <v>#NUM!</v>
      </c>
      <c r="CB122" s="3" t="e">
        <f t="shared" ca="1" si="461"/>
        <v>#NUM!</v>
      </c>
      <c r="CC122" s="3" t="e">
        <f t="shared" ca="1" si="510"/>
        <v>#NUM!</v>
      </c>
      <c r="CD122" s="3">
        <f>IF(RTD("tos.rtd",,CD$83,"."&amp;$B$82&amp;$AS$82&amp;"C"&amp;$A122)="N/A",0,RTD("tos.rtd",,CD$83,"."&amp;$B$82&amp;$AS$82&amp;"C"&amp;$A122))</f>
        <v>0.92</v>
      </c>
      <c r="CE122" s="3">
        <f>-IF(RTD("tos.rtd",,CE$83,"."&amp;$B$82&amp;$AS$82&amp;"P"&amp;$A122)="N/A",0,RTD("tos.rtd",,CE$83,"."&amp;$B$82&amp;$AS$82&amp;"P"&amp;$A122))</f>
        <v>0</v>
      </c>
      <c r="CF122" s="3">
        <f>IF(RTD("tos.rtd",,CF$83,"."&amp;$C$82&amp;$AU$82&amp;"C"&amp;$A122)="N/A",0,RTD("tos.rtd",,CF$83,"."&amp;$C$82&amp;$AU$82&amp;"C"&amp;$A122))</f>
        <v>1</v>
      </c>
      <c r="CG122" s="3">
        <f>-IF(RTD("tos.rtd",,CG$83,"."&amp;$C$82&amp;$AU$82&amp;"P"&amp;$A122)="N/A",0,RTD("tos.rtd",,CG$83,"."&amp;$C$82&amp;$AU$82&amp;"P"&amp;$A122))</f>
        <v>0</v>
      </c>
      <c r="CH122" s="3">
        <f>IF(RTD("tos.rtd",,CH$83,"."&amp;$D$82&amp;$AW$82&amp;"C"&amp;$A122)="N/A",0,RTD("tos.rtd",,CH$83,"."&amp;$D$82&amp;$AW$82&amp;"C"&amp;$A122))</f>
        <v>0.69</v>
      </c>
      <c r="CI122" s="3">
        <f>-IF(RTD("tos.rtd",,CI$83,"."&amp;$D$82&amp;$AW$82&amp;"P"&amp;$A122)="N/A",0,RTD("tos.rtd",,CI$83,"."&amp;$D$82&amp;$AW$82&amp;"P"&amp;$A122))</f>
        <v>0.1</v>
      </c>
      <c r="CK122" s="3">
        <f t="shared" si="495"/>
        <v>42964.000000000007</v>
      </c>
      <c r="CL122" s="3"/>
      <c r="CM122" s="3">
        <f t="shared" si="496"/>
        <v>167700</v>
      </c>
      <c r="CN122" s="3"/>
      <c r="CO122" s="3">
        <f t="shared" si="497"/>
        <v>42788</v>
      </c>
      <c r="CP122" s="3">
        <f t="shared" si="462"/>
        <v>253452</v>
      </c>
      <c r="CQ122" s="3">
        <f t="shared" si="463"/>
        <v>0</v>
      </c>
      <c r="CR122" s="3"/>
      <c r="CS122" s="3">
        <f t="shared" si="464"/>
        <v>0</v>
      </c>
      <c r="CT122" s="3"/>
      <c r="CU122" s="3">
        <f t="shared" si="465"/>
        <v>-2</v>
      </c>
      <c r="CV122" s="3"/>
      <c r="CW122" s="3" t="e">
        <f t="shared" ca="1" si="527"/>
        <v>#NUM!</v>
      </c>
      <c r="CY122" s="3" t="e">
        <f t="shared" ca="1" si="467"/>
        <v>#NUM!</v>
      </c>
      <c r="CZ122" s="70" t="e">
        <f t="shared" ca="1" si="511"/>
        <v>#NUM!</v>
      </c>
      <c r="DA122" s="3">
        <f>IF(RTD("tos.rtd",,DA$83,"."&amp;$B$82&amp;$AS$82&amp;"C"&amp;$A122)="N/A",0,RTD("tos.rtd",,DA$83,"."&amp;$B$82&amp;$AS$82&amp;"C"&amp;$A122))</f>
        <v>185.8</v>
      </c>
      <c r="DB122" s="3">
        <f>IF(RTD("tos.rtd",,DB$83,"."&amp;$B$82&amp;$AS$82&amp;"P"&amp;$A122)="N/A",0,RTD("tos.rtd",,DB$83,"."&amp;$B$82&amp;$AS$82&amp;"P"&amp;$A122))</f>
        <v>0.05</v>
      </c>
      <c r="DC122" s="3">
        <f>IF(RTD("tos.rtd",,DC$83,"."&amp;$B$82&amp;$AS$82&amp;"C"&amp;$A122)="N/A",0,RTD("tos.rtd",,DC$83,"."&amp;$B$82&amp;$AS$82&amp;"C"&amp;$A122))</f>
        <v>170.4</v>
      </c>
      <c r="DD122" s="3">
        <f>IF(RTD("tos.rtd",,DD$83,"."&amp;$B$82&amp;$AS$82&amp;"P"&amp;$A122)="N/A",0,RTD("tos.rtd",,DD$83,"."&amp;$B$82&amp;$AS$82&amp;"P"&amp;$A122))</f>
        <v>0.05</v>
      </c>
      <c r="DE122" s="3">
        <f>IF(RTD("tos.rtd",,DE$83,"."&amp;$B$82&amp;$AS$82&amp;"C"&amp;$A122)="N/A",0,RTD("tos.rtd",,DE$83,"."&amp;$B$82&amp;$AS$82&amp;"C"&amp;$A122))</f>
        <v>157.5</v>
      </c>
      <c r="DF122" s="3">
        <f>IF(RTD("tos.rtd",,DF$83,"."&amp;$B$82&amp;$AS$82&amp;"P"&amp;$A122)="N/A",0,RTD("tos.rtd",,DF$83,"."&amp;$B$82&amp;$AS$82&amp;"P"&amp;$A122))</f>
        <v>0</v>
      </c>
      <c r="DG122" s="86">
        <f t="shared" si="499"/>
        <v>-159.90999999999985</v>
      </c>
      <c r="DH122" s="3">
        <f t="shared" si="468"/>
        <v>-550.64341085271315</v>
      </c>
      <c r="DI122" s="3">
        <f t="shared" si="469"/>
        <v>8847</v>
      </c>
      <c r="DJ122" s="3">
        <f t="shared" si="470"/>
        <v>-251</v>
      </c>
      <c r="DK122" s="3">
        <f t="shared" si="471"/>
        <v>8847</v>
      </c>
      <c r="DL122" s="3">
        <f t="shared" si="472"/>
        <v>8296.3565891472863</v>
      </c>
      <c r="DM122" s="3">
        <f t="shared" si="473"/>
        <v>8596</v>
      </c>
      <c r="DN122" s="64" t="str">
        <f t="shared" si="474"/>
        <v>UNKNOWN</v>
      </c>
      <c r="DO122" s="64" t="str">
        <f t="shared" si="475"/>
        <v>UNKNOWN</v>
      </c>
      <c r="DP122" s="3">
        <f t="shared" si="476"/>
        <v>-101867.19573643411</v>
      </c>
      <c r="DQ122" s="3">
        <f t="shared" si="477"/>
        <v>-46193.450000000004</v>
      </c>
      <c r="DR122" s="3" t="e">
        <f t="shared" ca="1" si="478"/>
        <v>#NUM!</v>
      </c>
      <c r="DS122" s="3">
        <f t="shared" si="479"/>
        <v>-230.92000000000002</v>
      </c>
      <c r="DT122" s="3">
        <f t="shared" si="500"/>
        <v>-251</v>
      </c>
      <c r="DU122" s="3">
        <f t="shared" si="501"/>
        <v>8847</v>
      </c>
      <c r="DV122" s="3">
        <f t="shared" si="502"/>
        <v>513</v>
      </c>
      <c r="DW122" s="3">
        <f t="shared" si="503"/>
        <v>-7658</v>
      </c>
      <c r="DX122" s="3" t="e">
        <f t="shared" ca="1" si="512"/>
        <v>#NUM!</v>
      </c>
      <c r="DY122" s="3" t="e">
        <f t="shared" ca="1" si="480"/>
        <v>#NUM!</v>
      </c>
      <c r="DZ122" s="3" t="e">
        <f t="shared" ca="1" si="504"/>
        <v>#NUM!</v>
      </c>
      <c r="EA122" s="3" t="e">
        <f t="shared" ca="1" si="505"/>
        <v>#NUM!</v>
      </c>
      <c r="EB122" s="3" t="e">
        <f t="shared" ca="1" si="481"/>
        <v>#NUM!</v>
      </c>
      <c r="EC122" s="3" t="e">
        <f t="shared" ca="1" si="482"/>
        <v>#NUM!</v>
      </c>
      <c r="ED122" s="63">
        <f t="shared" si="506"/>
        <v>-7145</v>
      </c>
      <c r="EE122" s="59">
        <f t="shared" si="483"/>
        <v>2.6848000000000001</v>
      </c>
      <c r="EF122" s="59">
        <f t="shared" si="484"/>
        <v>1.2856000000000001</v>
      </c>
      <c r="EG122" s="59">
        <f t="shared" si="485"/>
        <v>0.25</v>
      </c>
      <c r="EH122" s="59">
        <f t="shared" si="486"/>
        <v>1.2856000000000001</v>
      </c>
      <c r="EI122" s="59">
        <f t="shared" si="487"/>
        <v>0.54300000000000004</v>
      </c>
      <c r="EJ122" s="59">
        <f t="shared" si="488"/>
        <v>0.20130000000000001</v>
      </c>
      <c r="EK122" s="63" t="e">
        <f t="shared" ca="1" si="507"/>
        <v>#NUM!</v>
      </c>
      <c r="EL122" s="3" t="str">
        <f>RTD("tos.rtd",,EL$83,"."&amp;$B$82&amp;$AS$82&amp;"C"&amp;$A122)</f>
        <v>268.48%</v>
      </c>
      <c r="EM122" s="3" t="str">
        <f>RTD("tos.rtd",,EM$83,"."&amp;$B$82&amp;$AS$82&amp;"P"&amp;$A122)</f>
        <v>128.56%</v>
      </c>
      <c r="EN122" s="3" t="str">
        <f>RTD("tos.rtd",,EN$83,"."&amp;$C$82&amp;$AU$82&amp;"C"&amp;$A122)</f>
        <v>--</v>
      </c>
      <c r="EO122" s="3" t="str">
        <f>RTD("tos.rtd",,EO$83,"."&amp;$C$82&amp;$AU$82&amp;"P"&amp;$A122)</f>
        <v>128.56%</v>
      </c>
      <c r="EP122" s="3" t="str">
        <f>RTD("tos.rtd",,EP$83,"."&amp;$D$82&amp;$AW$82&amp;"C"&amp;$A122)</f>
        <v>54.30%</v>
      </c>
      <c r="EQ122" s="3" t="str">
        <f>RTD("tos.rtd",,EQ$83,"."&amp;$D$82&amp;$AW$82&amp;"P"&amp;$A122)</f>
        <v>20.13%</v>
      </c>
      <c r="ES122" s="63" t="str">
        <f t="shared" si="489"/>
        <v>5500,-7145.00</v>
      </c>
      <c r="ET122" s="63" t="str">
        <f t="shared" ca="1" si="490"/>
        <v>5500,00.00</v>
      </c>
      <c r="EU122" s="67">
        <v>560.9</v>
      </c>
      <c r="EV122" s="67" t="s">
        <v>995</v>
      </c>
      <c r="EW122" s="67">
        <v>483.2</v>
      </c>
      <c r="EX122" s="67" t="s">
        <v>996</v>
      </c>
      <c r="EY122" s="67">
        <v>5631.28</v>
      </c>
      <c r="EZ122" s="67" t="s">
        <v>997</v>
      </c>
      <c r="FA122" s="67">
        <v>19867.973000000002</v>
      </c>
      <c r="FB122" s="67" t="s">
        <v>998</v>
      </c>
      <c r="FC122" s="67" t="s">
        <v>999</v>
      </c>
      <c r="FD122" s="67" t="s">
        <v>1000</v>
      </c>
      <c r="FE122" s="68" t="s">
        <v>1001</v>
      </c>
      <c r="FF122" s="68" t="s">
        <v>1002</v>
      </c>
    </row>
    <row r="123" spans="1:162" s="63" customFormat="1" ht="12" customHeight="1" thickBot="1" x14ac:dyDescent="0.25">
      <c r="A123" s="2">
        <f t="shared" si="508"/>
        <v>5490</v>
      </c>
      <c r="B123" s="3">
        <f t="shared" si="451"/>
        <v>671</v>
      </c>
      <c r="C123" s="3">
        <f t="shared" si="452"/>
        <v>1198</v>
      </c>
      <c r="D123" s="3">
        <f t="shared" si="453"/>
        <v>922</v>
      </c>
      <c r="E123" s="3">
        <f t="shared" si="519"/>
        <v>2791</v>
      </c>
      <c r="F123" s="4">
        <f t="shared" si="522"/>
        <v>5573.9905758218774</v>
      </c>
      <c r="G123" s="4">
        <f t="shared" si="520"/>
        <v>553.9653280705877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>
        <v>-5</v>
      </c>
      <c r="AN123" s="20">
        <v>-881</v>
      </c>
      <c r="AO123" s="20">
        <v>5490</v>
      </c>
      <c r="AP123" s="20">
        <v>53</v>
      </c>
      <c r="AQ123" s="20">
        <v>-2842</v>
      </c>
      <c r="AR123" s="20"/>
      <c r="AS123" s="54">
        <f>IF(RTD("tos.rtd",,AS$83,"."&amp;$B$82&amp;$AS$82&amp;"C"&amp;$A123)="N/A",0,RTD("tos.rtd",,AS$83,"."&amp;$B$82&amp;$AS$82&amp;"C"&amp;$A123))</f>
        <v>62</v>
      </c>
      <c r="AT123" s="3">
        <f>-IF(RTD("tos.rtd",,AT$83,"."&amp;$B$82&amp;$AS$82&amp;"P"&amp;$A123)="N/A",0,RTD("tos.rtd",,AT$83,"."&amp;$B$82&amp;$AS$82&amp;"P"&amp;$A123))</f>
        <v>-609</v>
      </c>
      <c r="AU123" s="54">
        <f>IF(RTD("tos.rtd",,AU$83,"."&amp;$C$82&amp;$AU$82&amp;"C"&amp;$A123)="N/A",0,RTD("tos.rtd",,AU$83,"."&amp;$C$82&amp;$AU$82&amp;"C"&amp;$A123))</f>
        <v>352</v>
      </c>
      <c r="AV123" s="3">
        <f>-IF(RTD("tos.rtd",,AV$83,"."&amp;$C$82&amp;$AU$82&amp;"P"&amp;$A123)="N/A",0,RTD("tos.rtd",,AV$83,"."&amp;$C$82&amp;$AU$82&amp;"P"&amp;$A123))</f>
        <v>-846</v>
      </c>
      <c r="AW123" s="54">
        <f>IF(RTD("tos.rtd",,AW$83,"."&amp;$D$82&amp;$AW$82&amp;"C"&amp;$A123)="N/A",0,RTD("tos.rtd",,AW$83,"."&amp;$D$82&amp;$AW$82&amp;"C"&amp;$A123))</f>
        <v>447</v>
      </c>
      <c r="AX123" s="3">
        <f>-IF(RTD("tos.rtd",,AX$83,"."&amp;$D$82&amp;$AW$82&amp;"P"&amp;$A123)="N/A",0,RTD("tos.rtd",,AX$83,"."&amp;$D$82&amp;$AW$82&amp;"P"&amp;$A123))</f>
        <v>-475</v>
      </c>
      <c r="AY123" s="79">
        <f t="shared" si="521"/>
        <v>-1069</v>
      </c>
      <c r="AZ123" s="8">
        <f t="shared" si="455"/>
        <v>5490</v>
      </c>
      <c r="BA123" s="54">
        <f>IF(RTD("tos.rtd",,BA$83,"."&amp;$B$82&amp;$AS$82&amp;"C"&amp;$A123)="N/A",0,RTD("tos.rtd",,BA$83,"."&amp;$B$82&amp;$AS$82&amp;"C"&amp;$A123))</f>
        <v>0</v>
      </c>
      <c r="BB123" s="3">
        <f>-IF(RTD("tos.rtd",,BB$83,"."&amp;$B$82&amp;$AS$82&amp;"P"&amp;$A123)="N/A",0,RTD("tos.rtd",,BB$83,"."&amp;$B$82&amp;$AS$82&amp;"P"&amp;$A123))</f>
        <v>0</v>
      </c>
      <c r="BC123" s="54">
        <f>IF(RTD("tos.rtd",,BC$83,"."&amp;$C$82&amp;$AU$82&amp;"C"&amp;$A123)="N/A",0,RTD("tos.rtd",,BC$83,"."&amp;$C$82&amp;$AU$82&amp;"C"&amp;$A123))</f>
        <v>0</v>
      </c>
      <c r="BD123" s="3">
        <f>-IF(RTD("tos.rtd",,BD$83,"."&amp;$C$82&amp;$AU$82&amp;"P"&amp;$A123)="N/A",0,RTD("tos.rtd",,BD$83,"."&amp;$C$82&amp;$AU$82&amp;"P"&amp;$A123))</f>
        <v>0</v>
      </c>
      <c r="BE123" s="54">
        <f>IF(RTD("tos.rtd",,BE$83,"."&amp;$D$82&amp;$AW$82&amp;"C"&amp;$A123)="N/A",0,RTD("tos.rtd",,BE$83,"."&amp;$D$82&amp;$AW$82&amp;"C"&amp;$A123))</f>
        <v>0</v>
      </c>
      <c r="BF123" s="3">
        <f>-IF(RTD("tos.rtd",,BF$83,"."&amp;$D$82&amp;$AW$82&amp;"P"&amp;$A123)="N/A",0,RTD("tos.rtd",,BF$83,"."&amp;$D$82&amp;$AW$82&amp;"P"&amp;$A123))</f>
        <v>0</v>
      </c>
      <c r="BG123" s="3">
        <f ca="1">+Hoja2!Y124</f>
        <v>0</v>
      </c>
      <c r="BH123" s="55">
        <f t="shared" ca="1" si="493"/>
        <v>0</v>
      </c>
      <c r="BI123" s="32" t="str">
        <f t="shared" ca="1" si="513"/>
        <v/>
      </c>
      <c r="BJ123" s="3" t="e">
        <f ca="1">IF($BP$1=1,DX123,IF(RTD("tos.rtd",,BJ$83,"."&amp;$B$82&amp;$AS$82&amp;"C"&amp;$A123)="N/A",0,RTD("tos.rtd",,BJ$83,"."&amp;$B$82&amp;$AS$82&amp;"C"&amp;$A123)))</f>
        <v>#NUM!</v>
      </c>
      <c r="BK123" s="3" t="e">
        <f ca="1">IF($BP$1=1,DY123,-IF(RTD("tos.rtd",,BK$83,"."&amp;$B$82&amp;$AS$82&amp;"P"&amp;$A123)="N/A",0,RTD("tos.rtd",,BK$83,"."&amp;$B$82&amp;$AS$82&amp;"P"&amp;$A123)))</f>
        <v>#NUM!</v>
      </c>
      <c r="BL123" s="3" t="e">
        <f ca="1">IF($BP$1=1,DZ123,IF(RTD("tos.rtd",,BL$83,"."&amp;$C$82&amp;$AU$82&amp;"C"&amp;$A123)="N/A",0,RTD("tos.rtd",,BL$83,"."&amp;$C$82&amp;$AU$82&amp;"C"&amp;$A123)))</f>
        <v>#NUM!</v>
      </c>
      <c r="BM123" s="3" t="e">
        <f ca="1">IF($BP$1=1,EA123,-IF(RTD("tos.rtd",,BM$83,"."&amp;$C$82&amp;$AU$82&amp;"P"&amp;$A123)="N/A",0,RTD("tos.rtd",,BM$83,"."&amp;$C$82&amp;$AU$82&amp;"P"&amp;$A123)))</f>
        <v>#NUM!</v>
      </c>
      <c r="BN123" s="3" t="e">
        <f ca="1">IF($BP$1=1,EB123,IF(RTD("tos.rtd",,BN$83,"."&amp;$D$82&amp;$AW$82&amp;"C"&amp;$A123)="N/A",0,RTD("tos.rtd",,BN$83,"."&amp;$D$82&amp;$AW$82&amp;"C"&amp;$A123)))</f>
        <v>#NUM!</v>
      </c>
      <c r="BO123" s="3" t="e">
        <f ca="1">IF($BP$1=1,EC123,-IF(RTD("tos.rtd",,BO$83,"."&amp;$D$82&amp;$AW$82&amp;"P"&amp;$A123)="N/A",0,RTD("tos.rtd",,BO$83,"."&amp;$D$82&amp;$AW$82&amp;"P"&amp;$A123)))</f>
        <v>#NUM!</v>
      </c>
      <c r="BQ123" s="3" t="e">
        <f t="shared" ca="1" si="456"/>
        <v>#NUM!</v>
      </c>
      <c r="BR123" s="3" t="e">
        <f t="shared" ca="1" si="494"/>
        <v>#NUM!</v>
      </c>
      <c r="BS123" s="3" t="e">
        <f t="shared" ca="1" si="457"/>
        <v>#NUM!</v>
      </c>
      <c r="BT123" s="3" t="e">
        <f t="shared" ca="1" si="494"/>
        <v>#NUM!</v>
      </c>
      <c r="BU123" s="3" t="e">
        <f t="shared" ca="1" si="458"/>
        <v>#NUM!</v>
      </c>
      <c r="BV123" s="3" t="e">
        <f t="shared" ca="1" si="494"/>
        <v>#NUM!</v>
      </c>
      <c r="BX123" s="3" t="e">
        <f t="shared" ca="1" si="459"/>
        <v>#NUM!</v>
      </c>
      <c r="BY123" s="3" t="e">
        <f t="shared" ca="1" si="510"/>
        <v>#NUM!</v>
      </c>
      <c r="BZ123" s="3" t="e">
        <f t="shared" ca="1" si="460"/>
        <v>#NUM!</v>
      </c>
      <c r="CA123" s="3" t="e">
        <f t="shared" ca="1" si="510"/>
        <v>#NUM!</v>
      </c>
      <c r="CB123" s="3" t="e">
        <f t="shared" ca="1" si="461"/>
        <v>#NUM!</v>
      </c>
      <c r="CC123" s="3" t="e">
        <f t="shared" ca="1" si="510"/>
        <v>#NUM!</v>
      </c>
      <c r="CD123" s="3">
        <f>IF(RTD("tos.rtd",,CD$83,"."&amp;$B$82&amp;$AS$82&amp;"C"&amp;$A123)="N/A",0,RTD("tos.rtd",,CD$83,"."&amp;$B$82&amp;$AS$82&amp;"C"&amp;$A123))</f>
        <v>0.93</v>
      </c>
      <c r="CE123" s="3">
        <f>-IF(RTD("tos.rtd",,CE$83,"."&amp;$B$82&amp;$AS$82&amp;"P"&amp;$A123)="N/A",0,RTD("tos.rtd",,CE$83,"."&amp;$B$82&amp;$AS$82&amp;"P"&amp;$A123))</f>
        <v>0</v>
      </c>
      <c r="CF123" s="3">
        <f>IF(RTD("tos.rtd",,CF$83,"."&amp;$C$82&amp;$AU$82&amp;"C"&amp;$A123)="N/A",0,RTD("tos.rtd",,CF$83,"."&amp;$C$82&amp;$AU$82&amp;"C"&amp;$A123))</f>
        <v>1</v>
      </c>
      <c r="CG123" s="3">
        <f>-IF(RTD("tos.rtd",,CG$83,"."&amp;$C$82&amp;$AU$82&amp;"P"&amp;$A123)="N/A",0,RTD("tos.rtd",,CG$83,"."&amp;$C$82&amp;$AU$82&amp;"P"&amp;$A123))</f>
        <v>0</v>
      </c>
      <c r="CH123" s="3">
        <f>IF(RTD("tos.rtd",,CH$83,"."&amp;$D$82&amp;$AW$82&amp;"C"&amp;$A123)="N/A",0,RTD("tos.rtd",,CH$83,"."&amp;$D$82&amp;$AW$82&amp;"C"&amp;$A123))</f>
        <v>0.7</v>
      </c>
      <c r="CI123" s="3">
        <f>-IF(RTD("tos.rtd",,CI$83,"."&amp;$D$82&amp;$AW$82&amp;"P"&amp;$A123)="N/A",0,RTD("tos.rtd",,CI$83,"."&amp;$D$82&amp;$AW$82&amp;"P"&amp;$A123))</f>
        <v>0.09</v>
      </c>
      <c r="CK123" s="3">
        <f t="shared" si="495"/>
        <v>5766</v>
      </c>
      <c r="CL123" s="3"/>
      <c r="CM123" s="3">
        <f t="shared" si="496"/>
        <v>35200</v>
      </c>
      <c r="CN123" s="3"/>
      <c r="CO123" s="3">
        <f t="shared" si="497"/>
        <v>27014.999999999996</v>
      </c>
      <c r="CP123" s="3">
        <f t="shared" si="462"/>
        <v>67981</v>
      </c>
      <c r="CQ123" s="3">
        <f t="shared" si="463"/>
        <v>0</v>
      </c>
      <c r="CR123" s="3"/>
      <c r="CS123" s="3">
        <f t="shared" si="464"/>
        <v>0</v>
      </c>
      <c r="CT123" s="3"/>
      <c r="CU123" s="3">
        <f t="shared" si="465"/>
        <v>0</v>
      </c>
      <c r="CV123" s="3"/>
      <c r="CW123" s="3" t="e">
        <f t="shared" ca="1" si="466"/>
        <v>#NUM!</v>
      </c>
      <c r="CY123" s="3" t="e">
        <f t="shared" ca="1" si="467"/>
        <v>#NUM!</v>
      </c>
      <c r="CZ123" s="70" t="e">
        <f t="shared" ca="1" si="511"/>
        <v>#NUM!</v>
      </c>
      <c r="DA123" s="3">
        <f>IF(RTD("tos.rtd",,DA$83,"."&amp;$B$82&amp;$AS$82&amp;"C"&amp;$A123)="N/A",0,RTD("tos.rtd",,DA$83,"."&amp;$B$82&amp;$AS$82&amp;"C"&amp;$A123))</f>
        <v>205.71</v>
      </c>
      <c r="DB123" s="3">
        <f>IF(RTD("tos.rtd",,DB$83,"."&amp;$B$82&amp;$AS$82&amp;"P"&amp;$A123)="N/A",0,RTD("tos.rtd",,DB$83,"."&amp;$B$82&amp;$AS$82&amp;"P"&amp;$A123))</f>
        <v>0.05</v>
      </c>
      <c r="DC123" s="3">
        <f>IF(RTD("tos.rtd",,DC$83,"."&amp;$B$82&amp;$AS$82&amp;"C"&amp;$A123)="N/A",0,RTD("tos.rtd",,DC$83,"."&amp;$B$82&amp;$AS$82&amp;"C"&amp;$A123))</f>
        <v>179.4</v>
      </c>
      <c r="DD123" s="3">
        <f>IF(RTD("tos.rtd",,DD$83,"."&amp;$B$82&amp;$AS$82&amp;"P"&amp;$A123)="N/A",0,RTD("tos.rtd",,DD$83,"."&amp;$B$82&amp;$AS$82&amp;"P"&amp;$A123))</f>
        <v>0.05</v>
      </c>
      <c r="DE123" s="3">
        <f>IF(RTD("tos.rtd",,DE$83,"."&amp;$B$82&amp;$AS$82&amp;"C"&amp;$A123)="N/A",0,RTD("tos.rtd",,DE$83,"."&amp;$B$82&amp;$AS$82&amp;"C"&amp;$A123))</f>
        <v>167.3</v>
      </c>
      <c r="DF123" s="3">
        <f>IF(RTD("tos.rtd",,DF$83,"."&amp;$B$82&amp;$AS$82&amp;"P"&amp;$A123)="N/A",0,RTD("tos.rtd",,DF$83,"."&amp;$B$82&amp;$AS$82&amp;"P"&amp;$A123))</f>
        <v>0</v>
      </c>
      <c r="DG123" s="86">
        <f t="shared" si="499"/>
        <v>-169.90999999999985</v>
      </c>
      <c r="DH123" s="3">
        <f t="shared" si="468"/>
        <v>-168.24214876033065</v>
      </c>
      <c r="DI123" s="3">
        <f t="shared" si="469"/>
        <v>2842</v>
      </c>
      <c r="DJ123" s="3">
        <f t="shared" si="470"/>
        <v>-53</v>
      </c>
      <c r="DK123" s="3">
        <f t="shared" si="471"/>
        <v>2842</v>
      </c>
      <c r="DL123" s="3">
        <f t="shared" si="472"/>
        <v>2673.7578512396694</v>
      </c>
      <c r="DM123" s="3">
        <f t="shared" si="473"/>
        <v>2789</v>
      </c>
      <c r="DN123" s="64" t="str">
        <f t="shared" si="474"/>
        <v>UNKNOWN</v>
      </c>
      <c r="DO123" s="64" t="str">
        <f t="shared" si="475"/>
        <v>UNKNOWN</v>
      </c>
      <c r="DP123" s="3">
        <f t="shared" si="476"/>
        <v>-34466.992421487623</v>
      </c>
      <c r="DQ123" s="3">
        <f t="shared" si="477"/>
        <v>-10760.53</v>
      </c>
      <c r="DR123" s="3" t="e">
        <f t="shared" ca="1" si="478"/>
        <v>#NUM!</v>
      </c>
      <c r="DS123" s="3">
        <f t="shared" si="479"/>
        <v>-49.29</v>
      </c>
      <c r="DT123" s="3">
        <f t="shared" si="500"/>
        <v>-53</v>
      </c>
      <c r="DU123" s="3">
        <f t="shared" si="501"/>
        <v>2842</v>
      </c>
      <c r="DV123" s="3">
        <f t="shared" si="502"/>
        <v>-5</v>
      </c>
      <c r="DW123" s="3">
        <f t="shared" si="503"/>
        <v>-881</v>
      </c>
      <c r="DX123" s="3" t="e">
        <f t="shared" ca="1" si="512"/>
        <v>#NUM!</v>
      </c>
      <c r="DY123" s="3" t="e">
        <f t="shared" ca="1" si="480"/>
        <v>#NUM!</v>
      </c>
      <c r="DZ123" s="3" t="e">
        <f t="shared" ca="1" si="504"/>
        <v>#NUM!</v>
      </c>
      <c r="EA123" s="3" t="e">
        <f t="shared" ca="1" si="505"/>
        <v>#NUM!</v>
      </c>
      <c r="EB123" s="3" t="e">
        <f t="shared" ca="1" si="481"/>
        <v>#NUM!</v>
      </c>
      <c r="EC123" s="3" t="e">
        <f t="shared" ca="1" si="482"/>
        <v>#NUM!</v>
      </c>
      <c r="ED123" s="63">
        <f t="shared" si="506"/>
        <v>-886</v>
      </c>
      <c r="EE123" s="59">
        <f t="shared" si="483"/>
        <v>2.71</v>
      </c>
      <c r="EF123" s="59">
        <f t="shared" si="484"/>
        <v>1.3624000000000001</v>
      </c>
      <c r="EG123" s="59">
        <f t="shared" si="485"/>
        <v>0.25</v>
      </c>
      <c r="EH123" s="59">
        <f t="shared" si="486"/>
        <v>1.3624000000000001</v>
      </c>
      <c r="EI123" s="59">
        <f t="shared" si="487"/>
        <v>0.55500000000000005</v>
      </c>
      <c r="EJ123" s="59">
        <f t="shared" si="488"/>
        <v>0.2054</v>
      </c>
      <c r="EK123" s="63" t="e">
        <f t="shared" ca="1" si="507"/>
        <v>#NUM!</v>
      </c>
      <c r="EL123" s="3" t="str">
        <f>RTD("tos.rtd",,EL$83,"."&amp;$B$82&amp;$AS$82&amp;"C"&amp;$A123)</f>
        <v>271.00%</v>
      </c>
      <c r="EM123" s="3" t="str">
        <f>RTD("tos.rtd",,EM$83,"."&amp;$B$82&amp;$AS$82&amp;"P"&amp;$A123)</f>
        <v>136.24%</v>
      </c>
      <c r="EN123" s="3" t="str">
        <f>RTD("tos.rtd",,EN$83,"."&amp;$C$82&amp;$AU$82&amp;"C"&amp;$A123)</f>
        <v>--</v>
      </c>
      <c r="EO123" s="3" t="str">
        <f>RTD("tos.rtd",,EO$83,"."&amp;$C$82&amp;$AU$82&amp;"P"&amp;$A123)</f>
        <v>136.24%</v>
      </c>
      <c r="EP123" s="3" t="str">
        <f>RTD("tos.rtd",,EP$83,"."&amp;$D$82&amp;$AW$82&amp;"C"&amp;$A123)</f>
        <v>55.50%</v>
      </c>
      <c r="EQ123" s="3" t="str">
        <f>RTD("tos.rtd",,EQ$83,"."&amp;$D$82&amp;$AW$82&amp;"P"&amp;$A123)</f>
        <v>20.54%</v>
      </c>
      <c r="ES123" s="63" t="str">
        <f t="shared" si="489"/>
        <v>5490,-886.00</v>
      </c>
      <c r="ET123" s="63" t="str">
        <f t="shared" ca="1" si="490"/>
        <v>5490,00.00</v>
      </c>
      <c r="EU123" s="67">
        <v>560.87</v>
      </c>
      <c r="EV123" s="67" t="s">
        <v>1003</v>
      </c>
      <c r="EW123" s="67">
        <v>483.16</v>
      </c>
      <c r="EX123" s="67" t="s">
        <v>1004</v>
      </c>
      <c r="EY123" s="67">
        <v>5631.28</v>
      </c>
      <c r="EZ123" s="67" t="s">
        <v>1005</v>
      </c>
      <c r="FA123" s="67">
        <v>19867.973000000002</v>
      </c>
      <c r="FB123" s="67" t="s">
        <v>1006</v>
      </c>
      <c r="FC123" s="67" t="s">
        <v>1007</v>
      </c>
      <c r="FD123" s="67" t="s">
        <v>1008</v>
      </c>
      <c r="FE123" s="68" t="s">
        <v>1009</v>
      </c>
      <c r="FF123" s="68" t="s">
        <v>1010</v>
      </c>
    </row>
    <row r="124" spans="1:162" s="63" customFormat="1" ht="12" customHeight="1" thickBot="1" x14ac:dyDescent="0.25">
      <c r="A124" s="2">
        <f t="shared" si="508"/>
        <v>5480</v>
      </c>
      <c r="B124" s="3">
        <f t="shared" si="451"/>
        <v>1282</v>
      </c>
      <c r="C124" s="3">
        <f t="shared" si="452"/>
        <v>1893</v>
      </c>
      <c r="D124" s="3">
        <f t="shared" si="453"/>
        <v>1907</v>
      </c>
      <c r="E124" s="3">
        <f t="shared" si="519"/>
        <v>5082</v>
      </c>
      <c r="F124" s="4">
        <f t="shared" si="522"/>
        <v>5563.8375875234769</v>
      </c>
      <c r="G124" s="4">
        <f t="shared" si="520"/>
        <v>552.95628375716228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>
        <v>888</v>
      </c>
      <c r="AN124" s="20">
        <v>26</v>
      </c>
      <c r="AO124" s="20">
        <v>5480</v>
      </c>
      <c r="AP124" s="20">
        <v>652</v>
      </c>
      <c r="AQ124" s="20">
        <v>-2179</v>
      </c>
      <c r="AR124" s="20"/>
      <c r="AS124" s="54">
        <f>IF(RTD("tos.rtd",,AS$83,"."&amp;$B$82&amp;$AS$82&amp;"C"&amp;$A124)="N/A",0,RTD("tos.rtd",,AS$83,"."&amp;$B$82&amp;$AS$82&amp;"C"&amp;$A124))</f>
        <v>663</v>
      </c>
      <c r="AT124" s="3">
        <f>-IF(RTD("tos.rtd",,AT$83,"."&amp;$B$82&amp;$AS$82&amp;"P"&amp;$A124)="N/A",0,RTD("tos.rtd",,AT$83,"."&amp;$B$82&amp;$AS$82&amp;"P"&amp;$A124))</f>
        <v>-619</v>
      </c>
      <c r="AU124" s="54">
        <f>IF(RTD("tos.rtd",,AU$83,"."&amp;$C$82&amp;$AU$82&amp;"C"&amp;$A124)="N/A",0,RTD("tos.rtd",,AU$83,"."&amp;$C$82&amp;$AU$82&amp;"C"&amp;$A124))</f>
        <v>766</v>
      </c>
      <c r="AV124" s="3">
        <f>-IF(RTD("tos.rtd",,AV$83,"."&amp;$C$82&amp;$AU$82&amp;"P"&amp;$A124)="N/A",0,RTD("tos.rtd",,AV$83,"."&amp;$C$82&amp;$AU$82&amp;"P"&amp;$A124))</f>
        <v>-1127</v>
      </c>
      <c r="AW124" s="54">
        <f>IF(RTD("tos.rtd",,AW$83,"."&amp;$D$82&amp;$AW$82&amp;"C"&amp;$A124)="N/A",0,RTD("tos.rtd",,AW$83,"."&amp;$D$82&amp;$AW$82&amp;"C"&amp;$A124))</f>
        <v>153</v>
      </c>
      <c r="AX124" s="3">
        <f>-IF(RTD("tos.rtd",,AX$83,"."&amp;$D$82&amp;$AW$82&amp;"P"&amp;$A124)="N/A",0,RTD("tos.rtd",,AX$83,"."&amp;$D$82&amp;$AW$82&amp;"P"&amp;$A124))</f>
        <v>-1754</v>
      </c>
      <c r="AY124" s="79">
        <f t="shared" si="521"/>
        <v>-1918</v>
      </c>
      <c r="AZ124" s="8">
        <f t="shared" si="455"/>
        <v>5480</v>
      </c>
      <c r="BA124" s="54">
        <f>IF(RTD("tos.rtd",,BA$83,"."&amp;$B$82&amp;$AS$82&amp;"C"&amp;$A124)="N/A",0,RTD("tos.rtd",,BA$83,"."&amp;$B$82&amp;$AS$82&amp;"C"&amp;$A124))</f>
        <v>0</v>
      </c>
      <c r="BB124" s="3">
        <f>-IF(RTD("tos.rtd",,BB$83,"."&amp;$B$82&amp;$AS$82&amp;"P"&amp;$A124)="N/A",0,RTD("tos.rtd",,BB$83,"."&amp;$B$82&amp;$AS$82&amp;"P"&amp;$A124))</f>
        <v>0</v>
      </c>
      <c r="BC124" s="54">
        <f>IF(RTD("tos.rtd",,BC$83,"."&amp;$C$82&amp;$AU$82&amp;"C"&amp;$A124)="N/A",0,RTD("tos.rtd",,BC$83,"."&amp;$C$82&amp;$AU$82&amp;"C"&amp;$A124))</f>
        <v>0</v>
      </c>
      <c r="BD124" s="3">
        <f>-IF(RTD("tos.rtd",,BD$83,"."&amp;$C$82&amp;$AU$82&amp;"P"&amp;$A124)="N/A",0,RTD("tos.rtd",,BD$83,"."&amp;$C$82&amp;$AU$82&amp;"P"&amp;$A124))</f>
        <v>0</v>
      </c>
      <c r="BE124" s="54">
        <f>IF(RTD("tos.rtd",,BE$83,"."&amp;$D$82&amp;$AW$82&amp;"C"&amp;$A124)="N/A",0,RTD("tos.rtd",,BE$83,"."&amp;$D$82&amp;$AW$82&amp;"C"&amp;$A124))</f>
        <v>0</v>
      </c>
      <c r="BF124" s="3">
        <f>-IF(RTD("tos.rtd",,BF$83,"."&amp;$D$82&amp;$AW$82&amp;"P"&amp;$A124)="N/A",0,RTD("tos.rtd",,BF$83,"."&amp;$D$82&amp;$AW$82&amp;"P"&amp;$A124))</f>
        <v>0</v>
      </c>
      <c r="BG124" s="3">
        <f ca="1">+Hoja2!Y125</f>
        <v>0</v>
      </c>
      <c r="BH124" s="55">
        <f t="shared" ca="1" si="493"/>
        <v>0</v>
      </c>
      <c r="BI124" s="32" t="str">
        <f t="shared" ca="1" si="513"/>
        <v/>
      </c>
      <c r="BJ124" s="3" t="e">
        <f ca="1">IF($BP$1=1,DX124,IF(RTD("tos.rtd",,BJ$83,"."&amp;$B$82&amp;$AS$82&amp;"C"&amp;$A124)="N/A",0,RTD("tos.rtd",,BJ$83,"."&amp;$B$82&amp;$AS$82&amp;"C"&amp;$A124)))</f>
        <v>#NUM!</v>
      </c>
      <c r="BK124" s="3" t="e">
        <f ca="1">IF($BP$1=1,DY124,-IF(RTD("tos.rtd",,BK$83,"."&amp;$B$82&amp;$AS$82&amp;"P"&amp;$A124)="N/A",0,RTD("tos.rtd",,BK$83,"."&amp;$B$82&amp;$AS$82&amp;"P"&amp;$A124)))</f>
        <v>#NUM!</v>
      </c>
      <c r="BL124" s="3" t="e">
        <f ca="1">IF($BP$1=1,DZ124,IF(RTD("tos.rtd",,BL$83,"."&amp;$C$82&amp;$AU$82&amp;"C"&amp;$A124)="N/A",0,RTD("tos.rtd",,BL$83,"."&amp;$C$82&amp;$AU$82&amp;"C"&amp;$A124)))</f>
        <v>#NUM!</v>
      </c>
      <c r="BM124" s="3" t="e">
        <f ca="1">IF($BP$1=1,EA124,-IF(RTD("tos.rtd",,BM$83,"."&amp;$C$82&amp;$AU$82&amp;"P"&amp;$A124)="N/A",0,RTD("tos.rtd",,BM$83,"."&amp;$C$82&amp;$AU$82&amp;"P"&amp;$A124)))</f>
        <v>#NUM!</v>
      </c>
      <c r="BN124" s="3" t="e">
        <f ca="1">IF($BP$1=1,EB124,IF(RTD("tos.rtd",,BN$83,"."&amp;$D$82&amp;$AW$82&amp;"C"&amp;$A124)="N/A",0,RTD("tos.rtd",,BN$83,"."&amp;$D$82&amp;$AW$82&amp;"C"&amp;$A124)))</f>
        <v>#NUM!</v>
      </c>
      <c r="BO124" s="3" t="e">
        <f ca="1">IF($BP$1=1,EC124,-IF(RTD("tos.rtd",,BO$83,"."&amp;$D$82&amp;$AW$82&amp;"P"&amp;$A124)="N/A",0,RTD("tos.rtd",,BO$83,"."&amp;$D$82&amp;$AW$82&amp;"P"&amp;$A124)))</f>
        <v>#NUM!</v>
      </c>
      <c r="BQ124" s="3" t="e">
        <f t="shared" ca="1" si="456"/>
        <v>#NUM!</v>
      </c>
      <c r="BR124" s="3" t="e">
        <f t="shared" ca="1" si="494"/>
        <v>#NUM!</v>
      </c>
      <c r="BS124" s="3" t="e">
        <f t="shared" ca="1" si="457"/>
        <v>#NUM!</v>
      </c>
      <c r="BT124" s="3" t="e">
        <f t="shared" ca="1" si="494"/>
        <v>#NUM!</v>
      </c>
      <c r="BU124" s="3" t="e">
        <f t="shared" ca="1" si="458"/>
        <v>#NUM!</v>
      </c>
      <c r="BV124" s="3" t="e">
        <f t="shared" ca="1" si="494"/>
        <v>#NUM!</v>
      </c>
      <c r="BX124" s="3" t="e">
        <f t="shared" ca="1" si="459"/>
        <v>#NUM!</v>
      </c>
      <c r="BY124" s="3" t="e">
        <f t="shared" ca="1" si="510"/>
        <v>#NUM!</v>
      </c>
      <c r="BZ124" s="3" t="e">
        <f t="shared" ca="1" si="460"/>
        <v>#NUM!</v>
      </c>
      <c r="CA124" s="3" t="e">
        <f t="shared" ca="1" si="510"/>
        <v>#NUM!</v>
      </c>
      <c r="CB124" s="3" t="e">
        <f t="shared" ca="1" si="461"/>
        <v>#NUM!</v>
      </c>
      <c r="CC124" s="3" t="e">
        <f t="shared" ca="1" si="510"/>
        <v>#NUM!</v>
      </c>
      <c r="CD124" s="3">
        <f>IF(RTD("tos.rtd",,CD$83,"."&amp;$B$82&amp;$AS$82&amp;"C"&amp;$A124)="N/A",0,RTD("tos.rtd",,CD$83,"."&amp;$B$82&amp;$AS$82&amp;"C"&amp;$A124))</f>
        <v>0.94</v>
      </c>
      <c r="CE124" s="3">
        <f>-IF(RTD("tos.rtd",,CE$83,"."&amp;$B$82&amp;$AS$82&amp;"P"&amp;$A124)="N/A",0,RTD("tos.rtd",,CE$83,"."&amp;$B$82&amp;$AS$82&amp;"P"&amp;$A124))</f>
        <v>0</v>
      </c>
      <c r="CF124" s="3">
        <f>IF(RTD("tos.rtd",,CF$83,"."&amp;$C$82&amp;$AU$82&amp;"C"&amp;$A124)="N/A",0,RTD("tos.rtd",,CF$83,"."&amp;$C$82&amp;$AU$82&amp;"C"&amp;$A124))</f>
        <v>1</v>
      </c>
      <c r="CG124" s="3">
        <f>-IF(RTD("tos.rtd",,CG$83,"."&amp;$C$82&amp;$AU$82&amp;"P"&amp;$A124)="N/A",0,RTD("tos.rtd",,CG$83,"."&amp;$C$82&amp;$AU$82&amp;"P"&amp;$A124))</f>
        <v>0</v>
      </c>
      <c r="CH124" s="3">
        <f>IF(RTD("tos.rtd",,CH$83,"."&amp;$D$82&amp;$AW$82&amp;"C"&amp;$A124)="N/A",0,RTD("tos.rtd",,CH$83,"."&amp;$D$82&amp;$AW$82&amp;"C"&amp;$A124))</f>
        <v>0.7</v>
      </c>
      <c r="CI124" s="3">
        <f>-IF(RTD("tos.rtd",,CI$83,"."&amp;$D$82&amp;$AW$82&amp;"P"&amp;$A124)="N/A",0,RTD("tos.rtd",,CI$83,"."&amp;$D$82&amp;$AW$82&amp;"P"&amp;$A124))</f>
        <v>0.08</v>
      </c>
      <c r="CK124" s="3">
        <f t="shared" si="495"/>
        <v>62321.999999999993</v>
      </c>
      <c r="CL124" s="3"/>
      <c r="CM124" s="3">
        <f t="shared" si="496"/>
        <v>76600</v>
      </c>
      <c r="CN124" s="3"/>
      <c r="CO124" s="3">
        <f t="shared" si="497"/>
        <v>-3322</v>
      </c>
      <c r="CP124" s="3">
        <f t="shared" si="462"/>
        <v>135600</v>
      </c>
      <c r="CQ124" s="3">
        <f t="shared" si="463"/>
        <v>0</v>
      </c>
      <c r="CR124" s="3"/>
      <c r="CS124" s="3">
        <f t="shared" si="464"/>
        <v>0</v>
      </c>
      <c r="CT124" s="3"/>
      <c r="CU124" s="3">
        <f t="shared" si="465"/>
        <v>0</v>
      </c>
      <c r="CV124" s="3"/>
      <c r="CW124" s="3" t="e">
        <f t="shared" ca="1" si="466"/>
        <v>#NUM!</v>
      </c>
      <c r="CY124" s="3" t="e">
        <f t="shared" ca="1" si="467"/>
        <v>#NUM!</v>
      </c>
      <c r="CZ124" s="70" t="e">
        <f t="shared" ca="1" si="511"/>
        <v>#NUM!</v>
      </c>
      <c r="DA124" s="3">
        <f>IF(RTD("tos.rtd",,DA$83,"."&amp;$B$82&amp;$AS$82&amp;"C"&amp;$A124)="N/A",0,RTD("tos.rtd",,DA$83,"."&amp;$B$82&amp;$AS$82&amp;"C"&amp;$A124))</f>
        <v>237.59</v>
      </c>
      <c r="DB124" s="3">
        <f>IF(RTD("tos.rtd",,DB$83,"."&amp;$B$82&amp;$AS$82&amp;"P"&amp;$A124)="N/A",0,RTD("tos.rtd",,DB$83,"."&amp;$B$82&amp;$AS$82&amp;"P"&amp;$A124))</f>
        <v>0.02</v>
      </c>
      <c r="DC124" s="3">
        <f>IF(RTD("tos.rtd",,DC$83,"."&amp;$B$82&amp;$AS$82&amp;"C"&amp;$A124)="N/A",0,RTD("tos.rtd",,DC$83,"."&amp;$B$82&amp;$AS$82&amp;"C"&amp;$A124))</f>
        <v>189.4</v>
      </c>
      <c r="DD124" s="3">
        <f>IF(RTD("tos.rtd",,DD$83,"."&amp;$B$82&amp;$AS$82&amp;"P"&amp;$A124)="N/A",0,RTD("tos.rtd",,DD$83,"."&amp;$B$82&amp;$AS$82&amp;"P"&amp;$A124))</f>
        <v>0.05</v>
      </c>
      <c r="DE124" s="3">
        <f>IF(RTD("tos.rtd",,DE$83,"."&amp;$B$82&amp;$AS$82&amp;"C"&amp;$A124)="N/A",0,RTD("tos.rtd",,DE$83,"."&amp;$B$82&amp;$AS$82&amp;"C"&amp;$A124))</f>
        <v>177.3</v>
      </c>
      <c r="DF124" s="3">
        <f>IF(RTD("tos.rtd",,DF$83,"."&amp;$B$82&amp;$AS$82&amp;"P"&amp;$A124)="N/A",0,RTD("tos.rtd",,DF$83,"."&amp;$B$82&amp;$AS$82&amp;"P"&amp;$A124))</f>
        <v>0</v>
      </c>
      <c r="DG124" s="86">
        <f t="shared" si="499"/>
        <v>-179.90999999999985</v>
      </c>
      <c r="DH124" s="3">
        <f t="shared" si="468"/>
        <v>-3248.6842975206619</v>
      </c>
      <c r="DI124" s="3">
        <f t="shared" si="469"/>
        <v>871.59999999999991</v>
      </c>
      <c r="DJ124" s="3">
        <f t="shared" si="470"/>
        <v>-652</v>
      </c>
      <c r="DK124" s="3">
        <f t="shared" si="471"/>
        <v>-2179</v>
      </c>
      <c r="DL124" s="3">
        <f t="shared" si="472"/>
        <v>-2377.0842975206619</v>
      </c>
      <c r="DM124" s="3">
        <f t="shared" si="473"/>
        <v>-2831</v>
      </c>
      <c r="DN124" s="64" t="str">
        <f t="shared" si="474"/>
        <v>UNKNOWN</v>
      </c>
      <c r="DO124" s="64" t="str">
        <f t="shared" si="475"/>
        <v>UNKNOWN</v>
      </c>
      <c r="DP124" s="3">
        <f t="shared" si="476"/>
        <v>-771837.47024793399</v>
      </c>
      <c r="DQ124" s="3">
        <f t="shared" si="477"/>
        <v>-154952.25999999998</v>
      </c>
      <c r="DR124" s="3" t="e">
        <f t="shared" ca="1" si="478"/>
        <v>#NUM!</v>
      </c>
      <c r="DS124" s="3">
        <f t="shared" si="479"/>
        <v>-612.88</v>
      </c>
      <c r="DT124" s="3">
        <f t="shared" si="500"/>
        <v>-652</v>
      </c>
      <c r="DU124" s="3">
        <f t="shared" si="501"/>
        <v>2179</v>
      </c>
      <c r="DV124" s="3">
        <f t="shared" si="502"/>
        <v>888</v>
      </c>
      <c r="DW124" s="3">
        <f t="shared" si="503"/>
        <v>26</v>
      </c>
      <c r="DX124" s="3" t="e">
        <f t="shared" ca="1" si="512"/>
        <v>#NUM!</v>
      </c>
      <c r="DY124" s="3" t="e">
        <f t="shared" ca="1" si="480"/>
        <v>#NUM!</v>
      </c>
      <c r="DZ124" s="3" t="e">
        <f t="shared" ca="1" si="504"/>
        <v>#NUM!</v>
      </c>
      <c r="EA124" s="3" t="e">
        <f t="shared" ca="1" si="505"/>
        <v>#NUM!</v>
      </c>
      <c r="EB124" s="3" t="e">
        <f t="shared" ca="1" si="481"/>
        <v>#NUM!</v>
      </c>
      <c r="EC124" s="3" t="e">
        <f t="shared" ca="1" si="482"/>
        <v>#NUM!</v>
      </c>
      <c r="ED124" s="63">
        <f t="shared" si="506"/>
        <v>914</v>
      </c>
      <c r="EE124" s="59">
        <f t="shared" si="483"/>
        <v>2.8351999999999999</v>
      </c>
      <c r="EF124" s="59">
        <f t="shared" si="484"/>
        <v>1.4367000000000001</v>
      </c>
      <c r="EG124" s="59">
        <f t="shared" si="485"/>
        <v>0.25</v>
      </c>
      <c r="EH124" s="59">
        <f t="shared" si="486"/>
        <v>1.4367000000000001</v>
      </c>
      <c r="EI124" s="59">
        <f t="shared" si="487"/>
        <v>0.56699999999999995</v>
      </c>
      <c r="EJ124" s="59">
        <f t="shared" si="488"/>
        <v>0.20899999999999999</v>
      </c>
      <c r="EK124" s="63" t="e">
        <f t="shared" ca="1" si="507"/>
        <v>#NUM!</v>
      </c>
      <c r="EL124" s="3" t="str">
        <f>RTD("tos.rtd",,EL$83,"."&amp;$B$82&amp;$AS$82&amp;"C"&amp;$A124)</f>
        <v>283.52%</v>
      </c>
      <c r="EM124" s="3" t="str">
        <f>RTD("tos.rtd",,EM$83,"."&amp;$B$82&amp;$AS$82&amp;"P"&amp;$A124)</f>
        <v>143.67%</v>
      </c>
      <c r="EN124" s="3" t="str">
        <f>RTD("tos.rtd",,EN$83,"."&amp;$C$82&amp;$AU$82&amp;"C"&amp;$A124)</f>
        <v>--</v>
      </c>
      <c r="EO124" s="3" t="str">
        <f>RTD("tos.rtd",,EO$83,"."&amp;$C$82&amp;$AU$82&amp;"P"&amp;$A124)</f>
        <v>143.67%</v>
      </c>
      <c r="EP124" s="3" t="str">
        <f>RTD("tos.rtd",,EP$83,"."&amp;$D$82&amp;$AW$82&amp;"C"&amp;$A124)</f>
        <v>56.70%</v>
      </c>
      <c r="EQ124" s="3" t="str">
        <f>RTD("tos.rtd",,EQ$83,"."&amp;$D$82&amp;$AW$82&amp;"P"&amp;$A124)</f>
        <v>20.90%</v>
      </c>
      <c r="ES124" s="63" t="str">
        <f t="shared" si="489"/>
        <v>5480,914.00</v>
      </c>
      <c r="ET124" s="63" t="str">
        <f t="shared" ca="1" si="490"/>
        <v>5480,00.00</v>
      </c>
      <c r="EU124" s="67">
        <v>560.97</v>
      </c>
      <c r="EV124" s="67" t="s">
        <v>1011</v>
      </c>
      <c r="EW124" s="67">
        <v>483.3</v>
      </c>
      <c r="EX124" s="67" t="s">
        <v>1012</v>
      </c>
      <c r="EY124" s="67">
        <v>5631.28</v>
      </c>
      <c r="EZ124" s="67" t="s">
        <v>1013</v>
      </c>
      <c r="FA124" s="67">
        <v>19867.973000000002</v>
      </c>
      <c r="FB124" s="67" t="s">
        <v>1014</v>
      </c>
      <c r="FC124" s="67" t="s">
        <v>1015</v>
      </c>
      <c r="FD124" s="67" t="s">
        <v>1016</v>
      </c>
      <c r="FE124" s="68" t="s">
        <v>1017</v>
      </c>
      <c r="FF124" s="68" t="s">
        <v>1018</v>
      </c>
    </row>
    <row r="125" spans="1:162" s="63" customFormat="1" ht="12" customHeight="1" thickBot="1" x14ac:dyDescent="0.25">
      <c r="A125" s="2">
        <f t="shared" si="508"/>
        <v>5470</v>
      </c>
      <c r="B125" s="3">
        <f t="shared" si="451"/>
        <v>1565</v>
      </c>
      <c r="C125" s="3">
        <f t="shared" si="452"/>
        <v>773</v>
      </c>
      <c r="D125" s="3">
        <f t="shared" si="453"/>
        <v>450</v>
      </c>
      <c r="E125" s="3">
        <f t="shared" si="519"/>
        <v>2788</v>
      </c>
      <c r="F125" s="4">
        <f t="shared" si="522"/>
        <v>5553.6845992250765</v>
      </c>
      <c r="G125" s="4">
        <f t="shared" si="520"/>
        <v>551.94723944373675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>
        <v>627</v>
      </c>
      <c r="AN125" s="20">
        <v>664</v>
      </c>
      <c r="AO125" s="20">
        <v>5470</v>
      </c>
      <c r="AP125" s="20">
        <v>603</v>
      </c>
      <c r="AQ125" s="20">
        <v>-2275</v>
      </c>
      <c r="AR125" s="20"/>
      <c r="AS125" s="54">
        <f>IF(RTD("tos.rtd",,AS$83,"."&amp;$B$82&amp;$AS$82&amp;"C"&amp;$A125)="N/A",0,RTD("tos.rtd",,AS$83,"."&amp;$B$82&amp;$AS$82&amp;"C"&amp;$A125))</f>
        <v>671</v>
      </c>
      <c r="AT125" s="3">
        <f>-IF(RTD("tos.rtd",,AT$83,"."&amp;$B$82&amp;$AS$82&amp;"P"&amp;$A125)="N/A",0,RTD("tos.rtd",,AT$83,"."&amp;$B$82&amp;$AS$82&amp;"P"&amp;$A125))</f>
        <v>-894</v>
      </c>
      <c r="AU125" s="54">
        <f>IF(RTD("tos.rtd",,AU$83,"."&amp;$C$82&amp;$AU$82&amp;"C"&amp;$A125)="N/A",0,RTD("tos.rtd",,AU$83,"."&amp;$C$82&amp;$AU$82&amp;"C"&amp;$A125))</f>
        <v>128</v>
      </c>
      <c r="AV125" s="3">
        <f>-IF(RTD("tos.rtd",,AV$83,"."&amp;$C$82&amp;$AU$82&amp;"P"&amp;$A125)="N/A",0,RTD("tos.rtd",,AV$83,"."&amp;$C$82&amp;$AU$82&amp;"P"&amp;$A125))</f>
        <v>-645</v>
      </c>
      <c r="AW125" s="54">
        <f>IF(RTD("tos.rtd",,AW$83,"."&amp;$D$82&amp;$AW$82&amp;"C"&amp;$A125)="N/A",0,RTD("tos.rtd",,AW$83,"."&amp;$D$82&amp;$AW$82&amp;"C"&amp;$A125))</f>
        <v>117</v>
      </c>
      <c r="AX125" s="3">
        <f>-IF(RTD("tos.rtd",,AX$83,"."&amp;$D$82&amp;$AW$82&amp;"P"&amp;$A125)="N/A",0,RTD("tos.rtd",,AX$83,"."&amp;$D$82&amp;$AW$82&amp;"P"&amp;$A125))</f>
        <v>-333</v>
      </c>
      <c r="AY125" s="79">
        <f t="shared" si="521"/>
        <v>-956</v>
      </c>
      <c r="AZ125" s="8">
        <f t="shared" si="455"/>
        <v>5470</v>
      </c>
      <c r="BA125" s="54">
        <f>IF(RTD("tos.rtd",,BA$83,"."&amp;$B$82&amp;$AS$82&amp;"C"&amp;$A125)="N/A",0,RTD("tos.rtd",,BA$83,"."&amp;$B$82&amp;$AS$82&amp;"C"&amp;$A125))</f>
        <v>0</v>
      </c>
      <c r="BB125" s="3">
        <f>-IF(RTD("tos.rtd",,BB$83,"."&amp;$B$82&amp;$AS$82&amp;"P"&amp;$A125)="N/A",0,RTD("tos.rtd",,BB$83,"."&amp;$B$82&amp;$AS$82&amp;"P"&amp;$A125))</f>
        <v>0</v>
      </c>
      <c r="BC125" s="54">
        <f>IF(RTD("tos.rtd",,BC$83,"."&amp;$C$82&amp;$AU$82&amp;"C"&amp;$A125)="N/A",0,RTD("tos.rtd",,BC$83,"."&amp;$C$82&amp;$AU$82&amp;"C"&amp;$A125))</f>
        <v>0</v>
      </c>
      <c r="BD125" s="3">
        <f>-IF(RTD("tos.rtd",,BD$83,"."&amp;$C$82&amp;$AU$82&amp;"P"&amp;$A125)="N/A",0,RTD("tos.rtd",,BD$83,"."&amp;$C$82&amp;$AU$82&amp;"P"&amp;$A125))</f>
        <v>0</v>
      </c>
      <c r="BE125" s="54">
        <f>IF(RTD("tos.rtd",,BE$83,"."&amp;$D$82&amp;$AW$82&amp;"C"&amp;$A125)="N/A",0,RTD("tos.rtd",,BE$83,"."&amp;$D$82&amp;$AW$82&amp;"C"&amp;$A125))</f>
        <v>0</v>
      </c>
      <c r="BF125" s="3">
        <f>-IF(RTD("tos.rtd",,BF$83,"."&amp;$D$82&amp;$AW$82&amp;"P"&amp;$A125)="N/A",0,RTD("tos.rtd",,BF$83,"."&amp;$D$82&amp;$AW$82&amp;"P"&amp;$A125))</f>
        <v>0</v>
      </c>
      <c r="BG125" s="3">
        <f ca="1">+Hoja2!Y126</f>
        <v>0</v>
      </c>
      <c r="BH125" s="55">
        <f t="shared" ca="1" si="493"/>
        <v>0</v>
      </c>
      <c r="BI125" s="32" t="str">
        <f t="shared" ca="1" si="513"/>
        <v/>
      </c>
      <c r="BJ125" s="3" t="e">
        <f ca="1">IF($BP$1=1,DX125,IF(RTD("tos.rtd",,BJ$83,"."&amp;$B$82&amp;$AS$82&amp;"C"&amp;$A125)="N/A",0,RTD("tos.rtd",,BJ$83,"."&amp;$B$82&amp;$AS$82&amp;"C"&amp;$A125)))</f>
        <v>#NUM!</v>
      </c>
      <c r="BK125" s="3" t="e">
        <f ca="1">IF($BP$1=1,DY125,-IF(RTD("tos.rtd",,BK$83,"."&amp;$B$82&amp;$AS$82&amp;"P"&amp;$A125)="N/A",0,RTD("tos.rtd",,BK$83,"."&amp;$B$82&amp;$AS$82&amp;"P"&amp;$A125)))</f>
        <v>#NUM!</v>
      </c>
      <c r="BL125" s="3" t="e">
        <f ca="1">IF($BP$1=1,DZ125,IF(RTD("tos.rtd",,BL$83,"."&amp;$C$82&amp;$AU$82&amp;"C"&amp;$A125)="N/A",0,RTD("tos.rtd",,BL$83,"."&amp;$C$82&amp;$AU$82&amp;"C"&amp;$A125)))</f>
        <v>#NUM!</v>
      </c>
      <c r="BM125" s="3" t="e">
        <f ca="1">IF($BP$1=1,EA125,-IF(RTD("tos.rtd",,BM$83,"."&amp;$C$82&amp;$AU$82&amp;"P"&amp;$A125)="N/A",0,RTD("tos.rtd",,BM$83,"."&amp;$C$82&amp;$AU$82&amp;"P"&amp;$A125)))</f>
        <v>#NUM!</v>
      </c>
      <c r="BN125" s="3" t="e">
        <f ca="1">IF($BP$1=1,EB125,IF(RTD("tos.rtd",,BN$83,"."&amp;$D$82&amp;$AW$82&amp;"C"&amp;$A125)="N/A",0,RTD("tos.rtd",,BN$83,"."&amp;$D$82&amp;$AW$82&amp;"C"&amp;$A125)))</f>
        <v>#NUM!</v>
      </c>
      <c r="BO125" s="3" t="e">
        <f ca="1">IF($BP$1=1,EC125,-IF(RTD("tos.rtd",,BO$83,"."&amp;$D$82&amp;$AW$82&amp;"P"&amp;$A125)="N/A",0,RTD("tos.rtd",,BO$83,"."&amp;$D$82&amp;$AW$82&amp;"P"&amp;$A125)))</f>
        <v>#NUM!</v>
      </c>
      <c r="BQ125" s="3" t="e">
        <f t="shared" ca="1" si="456"/>
        <v>#NUM!</v>
      </c>
      <c r="BR125" s="3" t="e">
        <f t="shared" ca="1" si="494"/>
        <v>#NUM!</v>
      </c>
      <c r="BS125" s="3" t="e">
        <f t="shared" ca="1" si="457"/>
        <v>#NUM!</v>
      </c>
      <c r="BT125" s="3" t="e">
        <f t="shared" ca="1" si="494"/>
        <v>#NUM!</v>
      </c>
      <c r="BU125" s="3" t="e">
        <f t="shared" ca="1" si="458"/>
        <v>#NUM!</v>
      </c>
      <c r="BV125" s="3" t="e">
        <f t="shared" ca="1" si="494"/>
        <v>#NUM!</v>
      </c>
      <c r="BX125" s="3" t="e">
        <f t="shared" ca="1" si="459"/>
        <v>#NUM!</v>
      </c>
      <c r="BY125" s="3" t="e">
        <f t="shared" ca="1" si="510"/>
        <v>#NUM!</v>
      </c>
      <c r="BZ125" s="3" t="e">
        <f t="shared" ca="1" si="460"/>
        <v>#NUM!</v>
      </c>
      <c r="CA125" s="3" t="e">
        <f t="shared" ca="1" si="510"/>
        <v>#NUM!</v>
      </c>
      <c r="CB125" s="3" t="e">
        <f t="shared" ca="1" si="461"/>
        <v>#NUM!</v>
      </c>
      <c r="CC125" s="3" t="e">
        <f t="shared" ca="1" si="510"/>
        <v>#NUM!</v>
      </c>
      <c r="CD125" s="3">
        <f>IF(RTD("tos.rtd",,CD$83,"."&amp;$B$82&amp;$AS$82&amp;"C"&amp;$A125)="N/A",0,RTD("tos.rtd",,CD$83,"."&amp;$B$82&amp;$AS$82&amp;"C"&amp;$A125))</f>
        <v>0.93</v>
      </c>
      <c r="CE125" s="3">
        <f>-IF(RTD("tos.rtd",,CE$83,"."&amp;$B$82&amp;$AS$82&amp;"P"&amp;$A125)="N/A",0,RTD("tos.rtd",,CE$83,"."&amp;$B$82&amp;$AS$82&amp;"P"&amp;$A125))</f>
        <v>0</v>
      </c>
      <c r="CF125" s="3">
        <f>IF(RTD("tos.rtd",,CF$83,"."&amp;$C$82&amp;$AU$82&amp;"C"&amp;$A125)="N/A",0,RTD("tos.rtd",,CF$83,"."&amp;$C$82&amp;$AU$82&amp;"C"&amp;$A125))</f>
        <v>1</v>
      </c>
      <c r="CG125" s="3">
        <f>-IF(RTD("tos.rtd",,CG$83,"."&amp;$C$82&amp;$AU$82&amp;"P"&amp;$A125)="N/A",0,RTD("tos.rtd",,CG$83,"."&amp;$C$82&amp;$AU$82&amp;"P"&amp;$A125))</f>
        <v>0</v>
      </c>
      <c r="CH125" s="3">
        <f>IF(RTD("tos.rtd",,CH$83,"."&amp;$D$82&amp;$AW$82&amp;"C"&amp;$A125)="N/A",0,RTD("tos.rtd",,CH$83,"."&amp;$D$82&amp;$AW$82&amp;"C"&amp;$A125))</f>
        <v>0.71</v>
      </c>
      <c r="CI125" s="3">
        <f>-IF(RTD("tos.rtd",,CI$83,"."&amp;$D$82&amp;$AW$82&amp;"P"&amp;$A125)="N/A",0,RTD("tos.rtd",,CI$83,"."&amp;$D$82&amp;$AW$82&amp;"P"&amp;$A125))</f>
        <v>0.08</v>
      </c>
      <c r="CK125" s="3">
        <f t="shared" si="495"/>
        <v>62403.000000000007</v>
      </c>
      <c r="CL125" s="3"/>
      <c r="CM125" s="3">
        <f t="shared" si="496"/>
        <v>12800</v>
      </c>
      <c r="CN125" s="3"/>
      <c r="CO125" s="3">
        <f t="shared" si="497"/>
        <v>5643</v>
      </c>
      <c r="CP125" s="3">
        <f t="shared" si="462"/>
        <v>80846</v>
      </c>
      <c r="CQ125" s="3">
        <f t="shared" si="463"/>
        <v>0</v>
      </c>
      <c r="CR125" s="3"/>
      <c r="CS125" s="3">
        <f t="shared" si="464"/>
        <v>0</v>
      </c>
      <c r="CT125" s="3"/>
      <c r="CU125" s="3">
        <f t="shared" si="465"/>
        <v>0</v>
      </c>
      <c r="CV125" s="3"/>
      <c r="CW125" s="3" t="e">
        <f t="shared" ca="1" si="466"/>
        <v>#NUM!</v>
      </c>
      <c r="CY125" s="3" t="e">
        <f t="shared" ca="1" si="467"/>
        <v>#NUM!</v>
      </c>
      <c r="CZ125" s="70" t="e">
        <f t="shared" ca="1" si="511"/>
        <v>#NUM!</v>
      </c>
      <c r="DA125" s="3">
        <f>IF(RTD("tos.rtd",,DA$83,"."&amp;$B$82&amp;$AS$82&amp;"C"&amp;$A125)="N/A",0,RTD("tos.rtd",,DA$83,"."&amp;$B$82&amp;$AS$82&amp;"C"&amp;$A125))</f>
        <v>224.3</v>
      </c>
      <c r="DB125" s="3">
        <f>IF(RTD("tos.rtd",,DB$83,"."&amp;$B$82&amp;$AS$82&amp;"P"&amp;$A125)="N/A",0,RTD("tos.rtd",,DB$83,"."&amp;$B$82&amp;$AS$82&amp;"P"&amp;$A125))</f>
        <v>0.03</v>
      </c>
      <c r="DC125" s="3">
        <f>IF(RTD("tos.rtd",,DC$83,"."&amp;$B$82&amp;$AS$82&amp;"C"&amp;$A125)="N/A",0,RTD("tos.rtd",,DC$83,"."&amp;$B$82&amp;$AS$82&amp;"C"&amp;$A125))</f>
        <v>200.4</v>
      </c>
      <c r="DD125" s="3">
        <f>IF(RTD("tos.rtd",,DD$83,"."&amp;$B$82&amp;$AS$82&amp;"P"&amp;$A125)="N/A",0,RTD("tos.rtd",,DD$83,"."&amp;$B$82&amp;$AS$82&amp;"P"&amp;$A125))</f>
        <v>0.05</v>
      </c>
      <c r="DE125" s="3">
        <f>IF(RTD("tos.rtd",,DE$83,"."&amp;$B$82&amp;$AS$82&amp;"C"&amp;$A125)="N/A",0,RTD("tos.rtd",,DE$83,"."&amp;$B$82&amp;$AS$82&amp;"C"&amp;$A125))</f>
        <v>187.5</v>
      </c>
      <c r="DF125" s="3">
        <f>IF(RTD("tos.rtd",,DF$83,"."&amp;$B$82&amp;$AS$82&amp;"P"&amp;$A125)="N/A",0,RTD("tos.rtd",,DF$83,"."&amp;$B$82&amp;$AS$82&amp;"P"&amp;$A125))</f>
        <v>0</v>
      </c>
      <c r="DG125" s="86">
        <f t="shared" si="499"/>
        <v>-189.90999999999985</v>
      </c>
      <c r="DH125" s="3">
        <f t="shared" si="468"/>
        <v>-1720.1860465116276</v>
      </c>
      <c r="DI125" s="3">
        <f t="shared" si="469"/>
        <v>1365</v>
      </c>
      <c r="DJ125" s="3">
        <f t="shared" si="470"/>
        <v>-603</v>
      </c>
      <c r="DK125" s="3">
        <f t="shared" si="471"/>
        <v>2275</v>
      </c>
      <c r="DL125" s="3">
        <f t="shared" si="472"/>
        <v>-355.18604651162764</v>
      </c>
      <c r="DM125" s="3">
        <f t="shared" si="473"/>
        <v>1672</v>
      </c>
      <c r="DN125" s="64" t="str">
        <f t="shared" si="474"/>
        <v>UNKNOWN</v>
      </c>
      <c r="DO125" s="64" t="str">
        <f t="shared" si="475"/>
        <v>UNKNOWN</v>
      </c>
      <c r="DP125" s="3">
        <f t="shared" si="476"/>
        <v>-385796.78023255809</v>
      </c>
      <c r="DQ125" s="3">
        <f t="shared" si="477"/>
        <v>-135184.65</v>
      </c>
      <c r="DR125" s="3" t="e">
        <f t="shared" ca="1" si="478"/>
        <v>#NUM!</v>
      </c>
      <c r="DS125" s="3">
        <f t="shared" si="479"/>
        <v>-560.79000000000008</v>
      </c>
      <c r="DT125" s="3">
        <f t="shared" si="500"/>
        <v>-603</v>
      </c>
      <c r="DU125" s="3">
        <f t="shared" si="501"/>
        <v>2275</v>
      </c>
      <c r="DV125" s="3">
        <f t="shared" si="502"/>
        <v>627</v>
      </c>
      <c r="DW125" s="3">
        <f t="shared" si="503"/>
        <v>664</v>
      </c>
      <c r="DX125" s="3" t="e">
        <f t="shared" ca="1" si="512"/>
        <v>#NUM!</v>
      </c>
      <c r="DY125" s="3" t="e">
        <f t="shared" ca="1" si="480"/>
        <v>#NUM!</v>
      </c>
      <c r="DZ125" s="3" t="e">
        <f t="shared" ca="1" si="504"/>
        <v>#NUM!</v>
      </c>
      <c r="EA125" s="3" t="e">
        <f t="shared" ca="1" si="505"/>
        <v>#NUM!</v>
      </c>
      <c r="EB125" s="3" t="e">
        <f t="shared" ca="1" si="481"/>
        <v>#NUM!</v>
      </c>
      <c r="EC125" s="3" t="e">
        <f t="shared" ca="1" si="482"/>
        <v>#NUM!</v>
      </c>
      <c r="ED125" s="63">
        <f t="shared" si="506"/>
        <v>1291</v>
      </c>
      <c r="EE125" s="59">
        <f t="shared" si="483"/>
        <v>3.0697000000000001</v>
      </c>
      <c r="EF125" s="59">
        <f t="shared" si="484"/>
        <v>1.5107999999999999</v>
      </c>
      <c r="EG125" s="59">
        <f t="shared" si="485"/>
        <v>0.25</v>
      </c>
      <c r="EH125" s="59">
        <f t="shared" si="486"/>
        <v>1.5107999999999999</v>
      </c>
      <c r="EI125" s="59">
        <f t="shared" si="487"/>
        <v>0.57909999999999995</v>
      </c>
      <c r="EJ125" s="59">
        <f t="shared" si="488"/>
        <v>0.21290000000000001</v>
      </c>
      <c r="EK125" s="63" t="e">
        <f t="shared" ca="1" si="507"/>
        <v>#NUM!</v>
      </c>
      <c r="EL125" s="3" t="str">
        <f>RTD("tos.rtd",,EL$83,"."&amp;$B$82&amp;$AS$82&amp;"C"&amp;$A125)</f>
        <v>306.97%</v>
      </c>
      <c r="EM125" s="3" t="str">
        <f>RTD("tos.rtd",,EM$83,"."&amp;$B$82&amp;$AS$82&amp;"P"&amp;$A125)</f>
        <v>151.08%</v>
      </c>
      <c r="EN125" s="3" t="str">
        <f>RTD("tos.rtd",,EN$83,"."&amp;$C$82&amp;$AU$82&amp;"C"&amp;$A125)</f>
        <v>--</v>
      </c>
      <c r="EO125" s="3" t="str">
        <f>RTD("tos.rtd",,EO$83,"."&amp;$C$82&amp;$AU$82&amp;"P"&amp;$A125)</f>
        <v>151.08%</v>
      </c>
      <c r="EP125" s="3" t="str">
        <f>RTD("tos.rtd",,EP$83,"."&amp;$D$82&amp;$AW$82&amp;"C"&amp;$A125)</f>
        <v>57.91%</v>
      </c>
      <c r="EQ125" s="3" t="str">
        <f>RTD("tos.rtd",,EQ$83,"."&amp;$D$82&amp;$AW$82&amp;"P"&amp;$A125)</f>
        <v>21.29%</v>
      </c>
      <c r="ES125" s="63" t="str">
        <f t="shared" si="489"/>
        <v>5470,1291.00</v>
      </c>
      <c r="ET125" s="63" t="str">
        <f t="shared" ca="1" si="490"/>
        <v>5470,00.00</v>
      </c>
      <c r="EU125" s="67">
        <v>561.82000000000005</v>
      </c>
      <c r="EV125" s="67" t="s">
        <v>1019</v>
      </c>
      <c r="EW125" s="67">
        <v>484.17</v>
      </c>
      <c r="EX125" s="67" t="s">
        <v>1020</v>
      </c>
      <c r="EY125" s="67">
        <v>5631.28</v>
      </c>
      <c r="EZ125" s="67" t="s">
        <v>1021</v>
      </c>
      <c r="FA125" s="67">
        <v>19867.973000000002</v>
      </c>
      <c r="FB125" s="67" t="s">
        <v>1022</v>
      </c>
      <c r="FC125" s="67" t="s">
        <v>1023</v>
      </c>
      <c r="FD125" s="67" t="s">
        <v>1024</v>
      </c>
      <c r="FE125" s="68" t="s">
        <v>1025</v>
      </c>
      <c r="FF125" s="68" t="s">
        <v>1026</v>
      </c>
    </row>
    <row r="126" spans="1:162" s="63" customFormat="1" ht="12" customHeight="1" thickBot="1" x14ac:dyDescent="0.25">
      <c r="A126" s="2">
        <f t="shared" si="508"/>
        <v>5460</v>
      </c>
      <c r="B126" s="3">
        <f t="shared" si="451"/>
        <v>677</v>
      </c>
      <c r="C126" s="3">
        <f t="shared" si="452"/>
        <v>1520</v>
      </c>
      <c r="D126" s="3">
        <f t="shared" si="453"/>
        <v>797</v>
      </c>
      <c r="E126" s="3">
        <f t="shared" si="519"/>
        <v>2994</v>
      </c>
      <c r="F126" s="4">
        <f t="shared" si="522"/>
        <v>5543.531610926676</v>
      </c>
      <c r="G126" s="4">
        <f t="shared" si="520"/>
        <v>550.93819513031133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>
        <v>-58</v>
      </c>
      <c r="AN126" s="20">
        <v>-333</v>
      </c>
      <c r="AO126" s="20">
        <v>5460</v>
      </c>
      <c r="AP126" s="20">
        <v>52</v>
      </c>
      <c r="AQ126" s="20">
        <v>-2235</v>
      </c>
      <c r="AR126" s="20"/>
      <c r="AS126" s="54">
        <f>IF(RTD("tos.rtd",,AS$83,"."&amp;$B$82&amp;$AS$82&amp;"C"&amp;$A126)="N/A",0,RTD("tos.rtd",,AS$83,"."&amp;$B$82&amp;$AS$82&amp;"C"&amp;$A126))</f>
        <v>97</v>
      </c>
      <c r="AT126" s="3">
        <f>-IF(RTD("tos.rtd",,AT$83,"."&amp;$B$82&amp;$AS$82&amp;"P"&amp;$A126)="N/A",0,RTD("tos.rtd",,AT$83,"."&amp;$B$82&amp;$AS$82&amp;"P"&amp;$A126))</f>
        <v>-580</v>
      </c>
      <c r="AU126" s="54">
        <f>IF(RTD("tos.rtd",,AU$83,"."&amp;$C$82&amp;$AU$82&amp;"C"&amp;$A126)="N/A",0,RTD("tos.rtd",,AU$83,"."&amp;$C$82&amp;$AU$82&amp;"C"&amp;$A126))</f>
        <v>318</v>
      </c>
      <c r="AV126" s="3">
        <f>-IF(RTD("tos.rtd",,AV$83,"."&amp;$C$82&amp;$AU$82&amp;"P"&amp;$A126)="N/A",0,RTD("tos.rtd",,AV$83,"."&amp;$C$82&amp;$AU$82&amp;"P"&amp;$A126))</f>
        <v>-1202</v>
      </c>
      <c r="AW126" s="54">
        <f>IF(RTD("tos.rtd",,AW$83,"."&amp;$D$82&amp;$AW$82&amp;"C"&amp;$A126)="N/A",0,RTD("tos.rtd",,AW$83,"."&amp;$D$82&amp;$AW$82&amp;"C"&amp;$A126))</f>
        <v>460</v>
      </c>
      <c r="AX126" s="3">
        <f>-IF(RTD("tos.rtd",,AX$83,"."&amp;$D$82&amp;$AW$82&amp;"P"&amp;$A126)="N/A",0,RTD("tos.rtd",,AX$83,"."&amp;$D$82&amp;$AW$82&amp;"P"&amp;$A126))</f>
        <v>-337</v>
      </c>
      <c r="AY126" s="79">
        <f t="shared" si="521"/>
        <v>-1244</v>
      </c>
      <c r="AZ126" s="8">
        <f t="shared" si="455"/>
        <v>5460</v>
      </c>
      <c r="BA126" s="54">
        <f>IF(RTD("tos.rtd",,BA$83,"."&amp;$B$82&amp;$AS$82&amp;"C"&amp;$A126)="N/A",0,RTD("tos.rtd",,BA$83,"."&amp;$B$82&amp;$AS$82&amp;"C"&amp;$A126))</f>
        <v>0</v>
      </c>
      <c r="BB126" s="3">
        <f>-IF(RTD("tos.rtd",,BB$83,"."&amp;$B$82&amp;$AS$82&amp;"P"&amp;$A126)="N/A",0,RTD("tos.rtd",,BB$83,"."&amp;$B$82&amp;$AS$82&amp;"P"&amp;$A126))</f>
        <v>0</v>
      </c>
      <c r="BC126" s="54">
        <f>IF(RTD("tos.rtd",,BC$83,"."&amp;$C$82&amp;$AU$82&amp;"C"&amp;$A126)="N/A",0,RTD("tos.rtd",,BC$83,"."&amp;$C$82&amp;$AU$82&amp;"C"&amp;$A126))</f>
        <v>0</v>
      </c>
      <c r="BD126" s="3">
        <f>-IF(RTD("tos.rtd",,BD$83,"."&amp;$C$82&amp;$AU$82&amp;"P"&amp;$A126)="N/A",0,RTD("tos.rtd",,BD$83,"."&amp;$C$82&amp;$AU$82&amp;"P"&amp;$A126))</f>
        <v>0</v>
      </c>
      <c r="BE126" s="54">
        <f>IF(RTD("tos.rtd",,BE$83,"."&amp;$D$82&amp;$AW$82&amp;"C"&amp;$A126)="N/A",0,RTD("tos.rtd",,BE$83,"."&amp;$D$82&amp;$AW$82&amp;"C"&amp;$A126))</f>
        <v>0</v>
      </c>
      <c r="BF126" s="3">
        <f>-IF(RTD("tos.rtd",,BF$83,"."&amp;$D$82&amp;$AW$82&amp;"P"&amp;$A126)="N/A",0,RTD("tos.rtd",,BF$83,"."&amp;$D$82&amp;$AW$82&amp;"P"&amp;$A126))</f>
        <v>0</v>
      </c>
      <c r="BG126" s="3">
        <f ca="1">+Hoja2!Y127</f>
        <v>0</v>
      </c>
      <c r="BH126" s="55">
        <f t="shared" ca="1" si="493"/>
        <v>0</v>
      </c>
      <c r="BI126" s="32" t="str">
        <f t="shared" ca="1" si="513"/>
        <v/>
      </c>
      <c r="BJ126" s="3" t="e">
        <f ca="1">IF($BP$1=1,DX126,IF(RTD("tos.rtd",,BJ$83,"."&amp;$B$82&amp;$AS$82&amp;"C"&amp;$A126)="N/A",0,RTD("tos.rtd",,BJ$83,"."&amp;$B$82&amp;$AS$82&amp;"C"&amp;$A126)))</f>
        <v>#NUM!</v>
      </c>
      <c r="BK126" s="3" t="e">
        <f ca="1">IF($BP$1=1,DY126,-IF(RTD("tos.rtd",,BK$83,"."&amp;$B$82&amp;$AS$82&amp;"P"&amp;$A126)="N/A",0,RTD("tos.rtd",,BK$83,"."&amp;$B$82&amp;$AS$82&amp;"P"&amp;$A126)))</f>
        <v>#NUM!</v>
      </c>
      <c r="BL126" s="3" t="e">
        <f ca="1">IF($BP$1=1,DZ126,IF(RTD("tos.rtd",,BL$83,"."&amp;$C$82&amp;$AU$82&amp;"C"&amp;$A126)="N/A",0,RTD("tos.rtd",,BL$83,"."&amp;$C$82&amp;$AU$82&amp;"C"&amp;$A126)))</f>
        <v>#NUM!</v>
      </c>
      <c r="BM126" s="3" t="e">
        <f ca="1">IF($BP$1=1,EA126,-IF(RTD("tos.rtd",,BM$83,"."&amp;$C$82&amp;$AU$82&amp;"P"&amp;$A126)="N/A",0,RTD("tos.rtd",,BM$83,"."&amp;$C$82&amp;$AU$82&amp;"P"&amp;$A126)))</f>
        <v>#NUM!</v>
      </c>
      <c r="BN126" s="3" t="e">
        <f ca="1">IF($BP$1=1,EB126,IF(RTD("tos.rtd",,BN$83,"."&amp;$D$82&amp;$AW$82&amp;"C"&amp;$A126)="N/A",0,RTD("tos.rtd",,BN$83,"."&amp;$D$82&amp;$AW$82&amp;"C"&amp;$A126)))</f>
        <v>#NUM!</v>
      </c>
      <c r="BO126" s="3" t="e">
        <f ca="1">IF($BP$1=1,EC126,-IF(RTD("tos.rtd",,BO$83,"."&amp;$D$82&amp;$AW$82&amp;"P"&amp;$A126)="N/A",0,RTD("tos.rtd",,BO$83,"."&amp;$D$82&amp;$AW$82&amp;"P"&amp;$A126)))</f>
        <v>#NUM!</v>
      </c>
      <c r="BQ126" s="3" t="e">
        <f t="shared" ca="1" si="456"/>
        <v>#NUM!</v>
      </c>
      <c r="BR126" s="3" t="e">
        <f t="shared" ca="1" si="494"/>
        <v>#NUM!</v>
      </c>
      <c r="BS126" s="3" t="e">
        <f t="shared" ca="1" si="457"/>
        <v>#NUM!</v>
      </c>
      <c r="BT126" s="3" t="e">
        <f t="shared" ca="1" si="494"/>
        <v>#NUM!</v>
      </c>
      <c r="BU126" s="3" t="e">
        <f t="shared" ca="1" si="458"/>
        <v>#NUM!</v>
      </c>
      <c r="BV126" s="3" t="e">
        <f t="shared" ca="1" si="494"/>
        <v>#NUM!</v>
      </c>
      <c r="BX126" s="3" t="e">
        <f t="shared" ca="1" si="459"/>
        <v>#NUM!</v>
      </c>
      <c r="BY126" s="3" t="e">
        <f t="shared" ca="1" si="510"/>
        <v>#NUM!</v>
      </c>
      <c r="BZ126" s="3" t="e">
        <f t="shared" ca="1" si="460"/>
        <v>#NUM!</v>
      </c>
      <c r="CA126" s="3" t="e">
        <f t="shared" ca="1" si="510"/>
        <v>#NUM!</v>
      </c>
      <c r="CB126" s="3" t="e">
        <f t="shared" ca="1" si="461"/>
        <v>#NUM!</v>
      </c>
      <c r="CC126" s="3" t="e">
        <f t="shared" ca="1" si="510"/>
        <v>#NUM!</v>
      </c>
      <c r="CD126" s="3">
        <f>IF(RTD("tos.rtd",,CD$83,"."&amp;$B$82&amp;$AS$82&amp;"C"&amp;$A126)="N/A",0,RTD("tos.rtd",,CD$83,"."&amp;$B$82&amp;$AS$82&amp;"C"&amp;$A126))</f>
        <v>0.93</v>
      </c>
      <c r="CE126" s="3">
        <f>-IF(RTD("tos.rtd",,CE$83,"."&amp;$B$82&amp;$AS$82&amp;"P"&amp;$A126)="N/A",0,RTD("tos.rtd",,CE$83,"."&amp;$B$82&amp;$AS$82&amp;"P"&amp;$A126))</f>
        <v>0</v>
      </c>
      <c r="CF126" s="3">
        <f>IF(RTD("tos.rtd",,CF$83,"."&amp;$C$82&amp;$AU$82&amp;"C"&amp;$A126)="N/A",0,RTD("tos.rtd",,CF$83,"."&amp;$C$82&amp;$AU$82&amp;"C"&amp;$A126))</f>
        <v>1</v>
      </c>
      <c r="CG126" s="3">
        <f>-IF(RTD("tos.rtd",,CG$83,"."&amp;$C$82&amp;$AU$82&amp;"P"&amp;$A126)="N/A",0,RTD("tos.rtd",,CG$83,"."&amp;$C$82&amp;$AU$82&amp;"P"&amp;$A126))</f>
        <v>0</v>
      </c>
      <c r="CH126" s="3">
        <f>IF(RTD("tos.rtd",,CH$83,"."&amp;$D$82&amp;$AW$82&amp;"C"&amp;$A126)="N/A",0,RTD("tos.rtd",,CH$83,"."&amp;$D$82&amp;$AW$82&amp;"C"&amp;$A126))</f>
        <v>0.72</v>
      </c>
      <c r="CI126" s="3">
        <f>-IF(RTD("tos.rtd",,CI$83,"."&amp;$D$82&amp;$AW$82&amp;"P"&amp;$A126)="N/A",0,RTD("tos.rtd",,CI$83,"."&amp;$D$82&amp;$AW$82&amp;"P"&amp;$A126))</f>
        <v>7.0000000000000007E-2</v>
      </c>
      <c r="CK126" s="3">
        <f t="shared" si="495"/>
        <v>9021</v>
      </c>
      <c r="CL126" s="3"/>
      <c r="CM126" s="3">
        <f t="shared" si="496"/>
        <v>31800</v>
      </c>
      <c r="CN126" s="3"/>
      <c r="CO126" s="3">
        <f t="shared" si="497"/>
        <v>30761</v>
      </c>
      <c r="CP126" s="3">
        <f t="shared" si="462"/>
        <v>71582</v>
      </c>
      <c r="CQ126" s="3">
        <f t="shared" si="463"/>
        <v>0</v>
      </c>
      <c r="CR126" s="3"/>
      <c r="CS126" s="3">
        <f t="shared" si="464"/>
        <v>0</v>
      </c>
      <c r="CT126" s="3"/>
      <c r="CU126" s="3">
        <f t="shared" si="465"/>
        <v>0</v>
      </c>
      <c r="CV126" s="3"/>
      <c r="CW126" s="3" t="e">
        <f t="shared" ca="1" si="466"/>
        <v>#NUM!</v>
      </c>
      <c r="CY126" s="3" t="e">
        <f t="shared" ca="1" si="467"/>
        <v>#NUM!</v>
      </c>
      <c r="CZ126" s="70" t="e">
        <f t="shared" ca="1" si="511"/>
        <v>#NUM!</v>
      </c>
      <c r="DA126" s="3">
        <f>IF(RTD("tos.rtd",,DA$83,"."&amp;$B$82&amp;$AS$82&amp;"C"&amp;$A126)="N/A",0,RTD("tos.rtd",,DA$83,"."&amp;$B$82&amp;$AS$82&amp;"C"&amp;$A126))</f>
        <v>238.4</v>
      </c>
      <c r="DB126" s="3">
        <f>IF(RTD("tos.rtd",,DB$83,"."&amp;$B$82&amp;$AS$82&amp;"P"&amp;$A126)="N/A",0,RTD("tos.rtd",,DB$83,"."&amp;$B$82&amp;$AS$82&amp;"P"&amp;$A126))</f>
        <v>0.05</v>
      </c>
      <c r="DC126" s="3">
        <f>IF(RTD("tos.rtd",,DC$83,"."&amp;$B$82&amp;$AS$82&amp;"C"&amp;$A126)="N/A",0,RTD("tos.rtd",,DC$83,"."&amp;$B$82&amp;$AS$82&amp;"C"&amp;$A126))</f>
        <v>210.3</v>
      </c>
      <c r="DD126" s="3">
        <f>IF(RTD("tos.rtd",,DD$83,"."&amp;$B$82&amp;$AS$82&amp;"P"&amp;$A126)="N/A",0,RTD("tos.rtd",,DD$83,"."&amp;$B$82&amp;$AS$82&amp;"P"&amp;$A126))</f>
        <v>0.05</v>
      </c>
      <c r="DE126" s="3">
        <f>IF(RTD("tos.rtd",,DE$83,"."&amp;$B$82&amp;$AS$82&amp;"C"&amp;$A126)="N/A",0,RTD("tos.rtd",,DE$83,"."&amp;$B$82&amp;$AS$82&amp;"C"&amp;$A126))</f>
        <v>197.5</v>
      </c>
      <c r="DF126" s="3">
        <f>IF(RTD("tos.rtd",,DF$83,"."&amp;$B$82&amp;$AS$82&amp;"P"&amp;$A126)="N/A",0,RTD("tos.rtd",,DF$83,"."&amp;$B$82&amp;$AS$82&amp;"P"&amp;$A126))</f>
        <v>0</v>
      </c>
      <c r="DG126" s="86">
        <f t="shared" si="499"/>
        <v>-199.90999999999985</v>
      </c>
      <c r="DH126" s="3">
        <f t="shared" si="468"/>
        <v>-166.15624999999989</v>
      </c>
      <c r="DI126" s="3">
        <f t="shared" si="469"/>
        <v>2235</v>
      </c>
      <c r="DJ126" s="3">
        <f t="shared" si="470"/>
        <v>-52</v>
      </c>
      <c r="DK126" s="3">
        <f t="shared" si="471"/>
        <v>2235</v>
      </c>
      <c r="DL126" s="3">
        <f t="shared" si="472"/>
        <v>2068.84375</v>
      </c>
      <c r="DM126" s="3">
        <f t="shared" si="473"/>
        <v>2183</v>
      </c>
      <c r="DN126" s="64" t="str">
        <f t="shared" si="474"/>
        <v>UNKNOWN</v>
      </c>
      <c r="DO126" s="64" t="str">
        <f t="shared" si="475"/>
        <v>UNKNOWN</v>
      </c>
      <c r="DP126" s="3">
        <f t="shared" si="476"/>
        <v>-39499.899999999972</v>
      </c>
      <c r="DQ126" s="3">
        <f t="shared" si="477"/>
        <v>-12285.050000000001</v>
      </c>
      <c r="DR126" s="3" t="e">
        <f t="shared" ca="1" si="478"/>
        <v>#NUM!</v>
      </c>
      <c r="DS126" s="3">
        <f t="shared" si="479"/>
        <v>-48.36</v>
      </c>
      <c r="DT126" s="3">
        <f t="shared" si="500"/>
        <v>-52</v>
      </c>
      <c r="DU126" s="3">
        <f t="shared" si="501"/>
        <v>2235</v>
      </c>
      <c r="DV126" s="3">
        <f t="shared" si="502"/>
        <v>-58</v>
      </c>
      <c r="DW126" s="3">
        <f t="shared" si="503"/>
        <v>-333</v>
      </c>
      <c r="DX126" s="3" t="e">
        <f t="shared" ca="1" si="512"/>
        <v>#NUM!</v>
      </c>
      <c r="DY126" s="3" t="e">
        <f t="shared" ca="1" si="480"/>
        <v>#NUM!</v>
      </c>
      <c r="DZ126" s="3" t="e">
        <f t="shared" ca="1" si="504"/>
        <v>#NUM!</v>
      </c>
      <c r="EA126" s="3" t="e">
        <f t="shared" ca="1" si="505"/>
        <v>#NUM!</v>
      </c>
      <c r="EB126" s="3" t="e">
        <f t="shared" ca="1" si="481"/>
        <v>#NUM!</v>
      </c>
      <c r="EC126" s="3" t="e">
        <f t="shared" ca="1" si="482"/>
        <v>#NUM!</v>
      </c>
      <c r="ED126" s="63">
        <f t="shared" si="506"/>
        <v>-391</v>
      </c>
      <c r="EE126" s="59">
        <f t="shared" si="483"/>
        <v>3.1873</v>
      </c>
      <c r="EF126" s="59">
        <f t="shared" si="484"/>
        <v>1.5847</v>
      </c>
      <c r="EG126" s="59">
        <f t="shared" si="485"/>
        <v>0.25</v>
      </c>
      <c r="EH126" s="59">
        <f t="shared" si="486"/>
        <v>1.5847</v>
      </c>
      <c r="EI126" s="59">
        <f t="shared" si="487"/>
        <v>0.59089999999999998</v>
      </c>
      <c r="EJ126" s="59">
        <f t="shared" si="488"/>
        <v>0.217</v>
      </c>
      <c r="EK126" s="63" t="e">
        <f t="shared" ca="1" si="507"/>
        <v>#NUM!</v>
      </c>
      <c r="EL126" s="3" t="str">
        <f>RTD("tos.rtd",,EL$83,"."&amp;$B$82&amp;$AS$82&amp;"C"&amp;$A126)</f>
        <v>318.73%</v>
      </c>
      <c r="EM126" s="3" t="str">
        <f>RTD("tos.rtd",,EM$83,"."&amp;$B$82&amp;$AS$82&amp;"P"&amp;$A126)</f>
        <v>158.47%</v>
      </c>
      <c r="EN126" s="3" t="str">
        <f>RTD("tos.rtd",,EN$83,"."&amp;$C$82&amp;$AU$82&amp;"C"&amp;$A126)</f>
        <v>--</v>
      </c>
      <c r="EO126" s="3" t="str">
        <f>RTD("tos.rtd",,EO$83,"."&amp;$C$82&amp;$AU$82&amp;"P"&amp;$A126)</f>
        <v>158.47%</v>
      </c>
      <c r="EP126" s="3" t="str">
        <f>RTD("tos.rtd",,EP$83,"."&amp;$D$82&amp;$AW$82&amp;"C"&amp;$A126)</f>
        <v>59.09%</v>
      </c>
      <c r="EQ126" s="3" t="str">
        <f>RTD("tos.rtd",,EQ$83,"."&amp;$D$82&amp;$AW$82&amp;"P"&amp;$A126)</f>
        <v>21.70%</v>
      </c>
      <c r="ES126" s="63" t="str">
        <f t="shared" si="489"/>
        <v>5460,-391.00</v>
      </c>
      <c r="ET126" s="63" t="str">
        <f t="shared" ca="1" si="490"/>
        <v>5460,00.00</v>
      </c>
      <c r="EU126" s="67">
        <v>562.73</v>
      </c>
      <c r="EV126" s="67" t="s">
        <v>1027</v>
      </c>
      <c r="EW126" s="67">
        <v>485</v>
      </c>
      <c r="EX126" s="67" t="s">
        <v>1028</v>
      </c>
      <c r="EY126" s="67">
        <v>5631.28</v>
      </c>
      <c r="EZ126" s="67" t="s">
        <v>1029</v>
      </c>
      <c r="FA126" s="67">
        <v>19867.973000000002</v>
      </c>
      <c r="FB126" s="67" t="s">
        <v>1030</v>
      </c>
      <c r="FC126" s="67" t="s">
        <v>1031</v>
      </c>
      <c r="FD126" s="67" t="s">
        <v>1032</v>
      </c>
      <c r="FE126" s="68" t="s">
        <v>1033</v>
      </c>
      <c r="FF126" s="68" t="s">
        <v>1034</v>
      </c>
    </row>
    <row r="127" spans="1:162" s="63" customFormat="1" ht="12" customHeight="1" thickBot="1" x14ac:dyDescent="0.25">
      <c r="A127" s="2">
        <f t="shared" si="508"/>
        <v>5450</v>
      </c>
      <c r="B127" s="3">
        <f t="shared" si="451"/>
        <v>3522</v>
      </c>
      <c r="C127" s="3">
        <f t="shared" si="452"/>
        <v>7943</v>
      </c>
      <c r="D127" s="3">
        <f t="shared" si="453"/>
        <v>2837</v>
      </c>
      <c r="E127" s="3">
        <f t="shared" si="519"/>
        <v>14302</v>
      </c>
      <c r="F127" s="4">
        <f t="shared" si="522"/>
        <v>5533.3786226282755</v>
      </c>
      <c r="G127" s="4">
        <f t="shared" si="520"/>
        <v>549.92915081688579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>
        <v>-93</v>
      </c>
      <c r="AN127" s="20">
        <v>-950</v>
      </c>
      <c r="AO127" s="20">
        <v>5450</v>
      </c>
      <c r="AP127" s="20">
        <v>278</v>
      </c>
      <c r="AQ127" s="20">
        <v>-2316</v>
      </c>
      <c r="AR127" s="20"/>
      <c r="AS127" s="54">
        <f>IF(RTD("tos.rtd",,AS$83,"."&amp;$B$82&amp;$AS$82&amp;"C"&amp;$A127)="N/A",0,RTD("tos.rtd",,AS$83,"."&amp;$B$82&amp;$AS$82&amp;"C"&amp;$A127))</f>
        <v>550</v>
      </c>
      <c r="AT127" s="3">
        <f>-IF(RTD("tos.rtd",,AT$83,"."&amp;$B$82&amp;$AS$82&amp;"P"&amp;$A127)="N/A",0,RTD("tos.rtd",,AT$83,"."&amp;$B$82&amp;$AS$82&amp;"P"&amp;$A127))</f>
        <v>-2972</v>
      </c>
      <c r="AU127" s="54">
        <f>IF(RTD("tos.rtd",,AU$83,"."&amp;$C$82&amp;$AU$82&amp;"C"&amp;$A127)="N/A",0,RTD("tos.rtd",,AU$83,"."&amp;$C$82&amp;$AU$82&amp;"C"&amp;$A127))</f>
        <v>983</v>
      </c>
      <c r="AV127" s="3">
        <f>-IF(RTD("tos.rtd",,AV$83,"."&amp;$C$82&amp;$AU$82&amp;"P"&amp;$A127)="N/A",0,RTD("tos.rtd",,AV$83,"."&amp;$C$82&amp;$AU$82&amp;"P"&amp;$A127))</f>
        <v>-6960</v>
      </c>
      <c r="AW127" s="54">
        <f>IF(RTD("tos.rtd",,AW$83,"."&amp;$D$82&amp;$AW$82&amp;"C"&amp;$A127)="N/A",0,RTD("tos.rtd",,AW$83,"."&amp;$D$82&amp;$AW$82&amp;"C"&amp;$A127))</f>
        <v>721</v>
      </c>
      <c r="AX127" s="3">
        <f>-IF(RTD("tos.rtd",,AX$83,"."&amp;$D$82&amp;$AW$82&amp;"P"&amp;$A127)="N/A",0,RTD("tos.rtd",,AX$83,"."&amp;$D$82&amp;$AW$82&amp;"P"&amp;$A127))</f>
        <v>-2116</v>
      </c>
      <c r="AY127" s="79">
        <f t="shared" si="521"/>
        <v>-9794</v>
      </c>
      <c r="AZ127" s="8">
        <f t="shared" si="455"/>
        <v>5450</v>
      </c>
      <c r="BA127" s="54">
        <f>IF(RTD("tos.rtd",,BA$83,"."&amp;$B$82&amp;$AS$82&amp;"C"&amp;$A127)="N/A",0,RTD("tos.rtd",,BA$83,"."&amp;$B$82&amp;$AS$82&amp;"C"&amp;$A127))</f>
        <v>0</v>
      </c>
      <c r="BB127" s="3">
        <f>-IF(RTD("tos.rtd",,BB$83,"."&amp;$B$82&amp;$AS$82&amp;"P"&amp;$A127)="N/A",0,RTD("tos.rtd",,BB$83,"."&amp;$B$82&amp;$AS$82&amp;"P"&amp;$A127))</f>
        <v>0</v>
      </c>
      <c r="BC127" s="54">
        <f>IF(RTD("tos.rtd",,BC$83,"."&amp;$C$82&amp;$AU$82&amp;"C"&amp;$A127)="N/A",0,RTD("tos.rtd",,BC$83,"."&amp;$C$82&amp;$AU$82&amp;"C"&amp;$A127))</f>
        <v>0</v>
      </c>
      <c r="BD127" s="3">
        <f>-IF(RTD("tos.rtd",,BD$83,"."&amp;$C$82&amp;$AU$82&amp;"P"&amp;$A127)="N/A",0,RTD("tos.rtd",,BD$83,"."&amp;$C$82&amp;$AU$82&amp;"P"&amp;$A127))</f>
        <v>0</v>
      </c>
      <c r="BE127" s="54">
        <f>IF(RTD("tos.rtd",,BE$83,"."&amp;$D$82&amp;$AW$82&amp;"C"&amp;$A127)="N/A",0,RTD("tos.rtd",,BE$83,"."&amp;$D$82&amp;$AW$82&amp;"C"&amp;$A127))</f>
        <v>0</v>
      </c>
      <c r="BF127" s="3">
        <f>-IF(RTD("tos.rtd",,BF$83,"."&amp;$D$82&amp;$AW$82&amp;"P"&amp;$A127)="N/A",0,RTD("tos.rtd",,BF$83,"."&amp;$D$82&amp;$AW$82&amp;"P"&amp;$A127))</f>
        <v>0</v>
      </c>
      <c r="BG127" s="3">
        <f ca="1">+Hoja2!Y128</f>
        <v>-4</v>
      </c>
      <c r="BH127" s="55">
        <f t="shared" ca="1" si="493"/>
        <v>-4</v>
      </c>
      <c r="BI127" s="32" t="str">
        <f t="shared" ca="1" si="513"/>
        <v/>
      </c>
      <c r="BJ127" s="3" t="e">
        <f ca="1">IF($BP$1=1,DX127,IF(RTD("tos.rtd",,BJ$83,"."&amp;$B$82&amp;$AS$82&amp;"C"&amp;$A127)="N/A",0,RTD("tos.rtd",,BJ$83,"."&amp;$B$82&amp;$AS$82&amp;"C"&amp;$A127)))</f>
        <v>#NUM!</v>
      </c>
      <c r="BK127" s="3" t="e">
        <f ca="1">IF($BP$1=1,DY127,-IF(RTD("tos.rtd",,BK$83,"."&amp;$B$82&amp;$AS$82&amp;"P"&amp;$A127)="N/A",0,RTD("tos.rtd",,BK$83,"."&amp;$B$82&amp;$AS$82&amp;"P"&amp;$A127)))</f>
        <v>#NUM!</v>
      </c>
      <c r="BL127" s="3" t="e">
        <f ca="1">IF($BP$1=1,DZ127,IF(RTD("tos.rtd",,BL$83,"."&amp;$C$82&amp;$AU$82&amp;"C"&amp;$A127)="N/A",0,RTD("tos.rtd",,BL$83,"."&amp;$C$82&amp;$AU$82&amp;"C"&amp;$A127)))</f>
        <v>#NUM!</v>
      </c>
      <c r="BM127" s="3" t="e">
        <f ca="1">IF($BP$1=1,EA127,-IF(RTD("tos.rtd",,BM$83,"."&amp;$C$82&amp;$AU$82&amp;"P"&amp;$A127)="N/A",0,RTD("tos.rtd",,BM$83,"."&amp;$C$82&amp;$AU$82&amp;"P"&amp;$A127)))</f>
        <v>#NUM!</v>
      </c>
      <c r="BN127" s="3" t="e">
        <f ca="1">IF($BP$1=1,EB127,IF(RTD("tos.rtd",,BN$83,"."&amp;$D$82&amp;$AW$82&amp;"C"&amp;$A127)="N/A",0,RTD("tos.rtd",,BN$83,"."&amp;$D$82&amp;$AW$82&amp;"C"&amp;$A127)))</f>
        <v>#NUM!</v>
      </c>
      <c r="BO127" s="3" t="e">
        <f ca="1">IF($BP$1=1,EC127,-IF(RTD("tos.rtd",,BO$83,"."&amp;$D$82&amp;$AW$82&amp;"P"&amp;$A127)="N/A",0,RTD("tos.rtd",,BO$83,"."&amp;$D$82&amp;$AW$82&amp;"P"&amp;$A127)))</f>
        <v>#NUM!</v>
      </c>
      <c r="BQ127" s="3" t="e">
        <f t="shared" ca="1" si="456"/>
        <v>#NUM!</v>
      </c>
      <c r="BR127" s="3" t="e">
        <f t="shared" ca="1" si="494"/>
        <v>#NUM!</v>
      </c>
      <c r="BS127" s="3" t="e">
        <f t="shared" ca="1" si="457"/>
        <v>#NUM!</v>
      </c>
      <c r="BT127" s="3" t="e">
        <f t="shared" ca="1" si="494"/>
        <v>#NUM!</v>
      </c>
      <c r="BU127" s="3" t="e">
        <f t="shared" ca="1" si="458"/>
        <v>#NUM!</v>
      </c>
      <c r="BV127" s="3" t="e">
        <f t="shared" ca="1" si="494"/>
        <v>#NUM!</v>
      </c>
      <c r="BX127" s="3" t="e">
        <f t="shared" ca="1" si="459"/>
        <v>#NUM!</v>
      </c>
      <c r="BY127" s="3" t="e">
        <f t="shared" ca="1" si="510"/>
        <v>#NUM!</v>
      </c>
      <c r="BZ127" s="3" t="e">
        <f t="shared" ca="1" si="460"/>
        <v>#NUM!</v>
      </c>
      <c r="CA127" s="3" t="e">
        <f t="shared" ca="1" si="510"/>
        <v>#NUM!</v>
      </c>
      <c r="CB127" s="3" t="e">
        <f t="shared" ca="1" si="461"/>
        <v>#NUM!</v>
      </c>
      <c r="CC127" s="3" t="e">
        <f t="shared" ca="1" si="510"/>
        <v>#NUM!</v>
      </c>
      <c r="CD127" s="3">
        <f>IF(RTD("tos.rtd",,CD$83,"."&amp;$B$82&amp;$AS$82&amp;"C"&amp;$A127)="N/A",0,RTD("tos.rtd",,CD$83,"."&amp;$B$82&amp;$AS$82&amp;"C"&amp;$A127))</f>
        <v>0.94</v>
      </c>
      <c r="CE127" s="3">
        <f>-IF(RTD("tos.rtd",,CE$83,"."&amp;$B$82&amp;$AS$82&amp;"P"&amp;$A127)="N/A",0,RTD("tos.rtd",,CE$83,"."&amp;$B$82&amp;$AS$82&amp;"P"&amp;$A127))</f>
        <v>0</v>
      </c>
      <c r="CF127" s="3">
        <f>IF(RTD("tos.rtd",,CF$83,"."&amp;$C$82&amp;$AU$82&amp;"C"&amp;$A127)="N/A",0,RTD("tos.rtd",,CF$83,"."&amp;$C$82&amp;$AU$82&amp;"C"&amp;$A127))</f>
        <v>1</v>
      </c>
      <c r="CG127" s="3">
        <f>-IF(RTD("tos.rtd",,CG$83,"."&amp;$C$82&amp;$AU$82&amp;"P"&amp;$A127)="N/A",0,RTD("tos.rtd",,CG$83,"."&amp;$C$82&amp;$AU$82&amp;"P"&amp;$A127))</f>
        <v>0</v>
      </c>
      <c r="CH127" s="3">
        <f>IF(RTD("tos.rtd",,CH$83,"."&amp;$D$82&amp;$AW$82&amp;"C"&amp;$A127)="N/A",0,RTD("tos.rtd",,CH$83,"."&amp;$D$82&amp;$AW$82&amp;"C"&amp;$A127))</f>
        <v>0.72</v>
      </c>
      <c r="CI127" s="3">
        <f>-IF(RTD("tos.rtd",,CI$83,"."&amp;$D$82&amp;$AW$82&amp;"P"&amp;$A127)="N/A",0,RTD("tos.rtd",,CI$83,"."&amp;$D$82&amp;$AW$82&amp;"P"&amp;$A127))</f>
        <v>0.06</v>
      </c>
      <c r="CK127" s="3">
        <f t="shared" si="495"/>
        <v>51700</v>
      </c>
      <c r="CL127" s="3"/>
      <c r="CM127" s="3">
        <f t="shared" si="496"/>
        <v>98300</v>
      </c>
      <c r="CN127" s="3"/>
      <c r="CO127" s="3">
        <f t="shared" si="497"/>
        <v>39216</v>
      </c>
      <c r="CP127" s="3">
        <f t="shared" si="462"/>
        <v>189216</v>
      </c>
      <c r="CQ127" s="3">
        <f t="shared" si="463"/>
        <v>0</v>
      </c>
      <c r="CR127" s="3"/>
      <c r="CS127" s="3">
        <f t="shared" si="464"/>
        <v>0</v>
      </c>
      <c r="CT127" s="3"/>
      <c r="CU127" s="3">
        <f t="shared" si="465"/>
        <v>0</v>
      </c>
      <c r="CV127" s="3"/>
      <c r="CW127" s="3" t="e">
        <f t="shared" ca="1" si="466"/>
        <v>#NUM!</v>
      </c>
      <c r="CY127" s="3" t="e">
        <f t="shared" ca="1" si="467"/>
        <v>#NUM!</v>
      </c>
      <c r="CZ127" s="70" t="e">
        <f t="shared" ca="1" si="511"/>
        <v>#NUM!</v>
      </c>
      <c r="DA127" s="3">
        <f>IF(RTD("tos.rtd",,DA$83,"."&amp;$B$82&amp;$AS$82&amp;"C"&amp;$A127)="N/A",0,RTD("tos.rtd",,DA$83,"."&amp;$B$82&amp;$AS$82&amp;"C"&amp;$A127))</f>
        <v>244.95</v>
      </c>
      <c r="DB127" s="3">
        <f>IF(RTD("tos.rtd",,DB$83,"."&amp;$B$82&amp;$AS$82&amp;"P"&amp;$A127)="N/A",0,RTD("tos.rtd",,DB$83,"."&amp;$B$82&amp;$AS$82&amp;"P"&amp;$A127))</f>
        <v>0.03</v>
      </c>
      <c r="DC127" s="3">
        <f>IF(RTD("tos.rtd",,DC$83,"."&amp;$B$82&amp;$AS$82&amp;"C"&amp;$A127)="N/A",0,RTD("tos.rtd",,DC$83,"."&amp;$B$82&amp;$AS$82&amp;"C"&amp;$A127))</f>
        <v>220.4</v>
      </c>
      <c r="DD127" s="3">
        <f>IF(RTD("tos.rtd",,DD$83,"."&amp;$B$82&amp;$AS$82&amp;"P"&amp;$A127)="N/A",0,RTD("tos.rtd",,DD$83,"."&amp;$B$82&amp;$AS$82&amp;"P"&amp;$A127))</f>
        <v>0.05</v>
      </c>
      <c r="DE127" s="3">
        <f>IF(RTD("tos.rtd",,DE$83,"."&amp;$B$82&amp;$AS$82&amp;"C"&amp;$A127)="N/A",0,RTD("tos.rtd",,DE$83,"."&amp;$B$82&amp;$AS$82&amp;"C"&amp;$A127))</f>
        <v>207.5</v>
      </c>
      <c r="DF127" s="3">
        <f>IF(RTD("tos.rtd",,DF$83,"."&amp;$B$82&amp;$AS$82&amp;"P"&amp;$A127)="N/A",0,RTD("tos.rtd",,DF$83,"."&amp;$B$82&amp;$AS$82&amp;"P"&amp;$A127))</f>
        <v>0</v>
      </c>
      <c r="DG127" s="86">
        <f t="shared" si="499"/>
        <v>-209.90999999999985</v>
      </c>
      <c r="DH127" s="3">
        <f t="shared" si="468"/>
        <v>-807.06201550387539</v>
      </c>
      <c r="DI127" s="3">
        <f t="shared" si="469"/>
        <v>1389.6</v>
      </c>
      <c r="DJ127" s="3">
        <f t="shared" si="470"/>
        <v>-278</v>
      </c>
      <c r="DK127" s="3">
        <f t="shared" si="471"/>
        <v>2316</v>
      </c>
      <c r="DL127" s="3">
        <f t="shared" si="472"/>
        <v>582.53798449612452</v>
      </c>
      <c r="DM127" s="3">
        <f t="shared" si="473"/>
        <v>2038</v>
      </c>
      <c r="DN127" s="64" t="str">
        <f t="shared" si="474"/>
        <v>UNKNOWN</v>
      </c>
      <c r="DO127" s="64" t="str">
        <f t="shared" si="475"/>
        <v>UNKNOWN</v>
      </c>
      <c r="DP127" s="3">
        <f t="shared" si="476"/>
        <v>-197648.15269767426</v>
      </c>
      <c r="DQ127" s="3">
        <f t="shared" si="477"/>
        <v>-68026.62</v>
      </c>
      <c r="DR127" s="3" t="e">
        <f t="shared" ca="1" si="478"/>
        <v>#NUM!</v>
      </c>
      <c r="DS127" s="3">
        <f t="shared" si="479"/>
        <v>-261.32</v>
      </c>
      <c r="DT127" s="3">
        <f t="shared" si="500"/>
        <v>-278</v>
      </c>
      <c r="DU127" s="3">
        <f t="shared" si="501"/>
        <v>2316</v>
      </c>
      <c r="DV127" s="3">
        <f t="shared" si="502"/>
        <v>-93</v>
      </c>
      <c r="DW127" s="3">
        <f t="shared" si="503"/>
        <v>-950</v>
      </c>
      <c r="DX127" s="3" t="e">
        <f t="shared" ca="1" si="512"/>
        <v>#NUM!</v>
      </c>
      <c r="DY127" s="3" t="e">
        <f t="shared" ca="1" si="480"/>
        <v>#NUM!</v>
      </c>
      <c r="DZ127" s="3" t="e">
        <f t="shared" ca="1" si="504"/>
        <v>#NUM!</v>
      </c>
      <c r="EA127" s="3" t="e">
        <f t="shared" ca="1" si="505"/>
        <v>#NUM!</v>
      </c>
      <c r="EB127" s="3" t="e">
        <f t="shared" ca="1" si="481"/>
        <v>#NUM!</v>
      </c>
      <c r="EC127" s="3" t="e">
        <f t="shared" ca="1" si="482"/>
        <v>#NUM!</v>
      </c>
      <c r="ED127" s="63">
        <f t="shared" si="506"/>
        <v>-1043</v>
      </c>
      <c r="EE127" s="59">
        <f t="shared" si="483"/>
        <v>3.3224</v>
      </c>
      <c r="EF127" s="59">
        <f t="shared" si="484"/>
        <v>1.6586000000000001</v>
      </c>
      <c r="EG127" s="59">
        <f t="shared" si="485"/>
        <v>0.25</v>
      </c>
      <c r="EH127" s="59">
        <f t="shared" si="486"/>
        <v>1.6586000000000001</v>
      </c>
      <c r="EI127" s="59">
        <f t="shared" si="487"/>
        <v>0.60289999999999999</v>
      </c>
      <c r="EJ127" s="59">
        <f t="shared" si="488"/>
        <v>0.2205</v>
      </c>
      <c r="EK127" s="63" t="e">
        <f t="shared" ca="1" si="507"/>
        <v>#NUM!</v>
      </c>
      <c r="EL127" s="3" t="str">
        <f>RTD("tos.rtd",,EL$83,"."&amp;$B$82&amp;$AS$82&amp;"C"&amp;$A127)</f>
        <v>332.24%</v>
      </c>
      <c r="EM127" s="3" t="str">
        <f>RTD("tos.rtd",,EM$83,"."&amp;$B$82&amp;$AS$82&amp;"P"&amp;$A127)</f>
        <v>165.86%</v>
      </c>
      <c r="EN127" s="3" t="str">
        <f>RTD("tos.rtd",,EN$83,"."&amp;$C$82&amp;$AU$82&amp;"C"&amp;$A127)</f>
        <v>--</v>
      </c>
      <c r="EO127" s="3" t="str">
        <f>RTD("tos.rtd",,EO$83,"."&amp;$C$82&amp;$AU$82&amp;"P"&amp;$A127)</f>
        <v>165.86%</v>
      </c>
      <c r="EP127" s="3" t="str">
        <f>RTD("tos.rtd",,EP$83,"."&amp;$D$82&amp;$AW$82&amp;"C"&amp;$A127)</f>
        <v>60.29%</v>
      </c>
      <c r="EQ127" s="3" t="str">
        <f>RTD("tos.rtd",,EQ$83,"."&amp;$D$82&amp;$AW$82&amp;"P"&amp;$A127)</f>
        <v>22.05%</v>
      </c>
      <c r="ES127" s="63" t="str">
        <f t="shared" si="489"/>
        <v>5450,-1043.00</v>
      </c>
      <c r="ET127" s="63" t="str">
        <f t="shared" ca="1" si="490"/>
        <v>5450,00.00</v>
      </c>
      <c r="EU127" s="67">
        <v>562.79999999999995</v>
      </c>
      <c r="EV127" s="67" t="s">
        <v>1035</v>
      </c>
      <c r="EW127" s="67">
        <v>485.26</v>
      </c>
      <c r="EX127" s="67" t="s">
        <v>1036</v>
      </c>
      <c r="EY127" s="67">
        <v>5631.28</v>
      </c>
      <c r="EZ127" s="67" t="s">
        <v>1037</v>
      </c>
      <c r="FA127" s="67">
        <v>19867.973000000002</v>
      </c>
      <c r="FB127" s="67" t="s">
        <v>1038</v>
      </c>
      <c r="FC127" s="67" t="s">
        <v>1039</v>
      </c>
      <c r="FD127" s="67" t="s">
        <v>1040</v>
      </c>
      <c r="FE127" s="68" t="s">
        <v>1041</v>
      </c>
      <c r="FF127" s="68" t="s">
        <v>1042</v>
      </c>
    </row>
    <row r="128" spans="1:162" s="63" customFormat="1" ht="12" customHeight="1" thickBot="1" x14ac:dyDescent="0.25">
      <c r="A128" s="2">
        <f t="shared" si="508"/>
        <v>5440</v>
      </c>
      <c r="B128" s="3">
        <f t="shared" si="451"/>
        <v>1216</v>
      </c>
      <c r="C128" s="3">
        <f t="shared" si="452"/>
        <v>2910</v>
      </c>
      <c r="D128" s="3">
        <f t="shared" si="453"/>
        <v>1873</v>
      </c>
      <c r="E128" s="3">
        <f t="shared" si="519"/>
        <v>5999</v>
      </c>
      <c r="F128" s="4">
        <f t="shared" si="522"/>
        <v>5523.225634329875</v>
      </c>
      <c r="G128" s="4">
        <f t="shared" si="520"/>
        <v>548.92010650346037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>
        <v>-370</v>
      </c>
      <c r="AN128" s="20">
        <v>-385</v>
      </c>
      <c r="AO128" s="20">
        <v>5440</v>
      </c>
      <c r="AP128" s="20">
        <v>205</v>
      </c>
      <c r="AQ128" s="20">
        <v>-1488</v>
      </c>
      <c r="AR128" s="20"/>
      <c r="AS128" s="54">
        <f>IF(RTD("tos.rtd",,AS$83,"."&amp;$B$82&amp;$AS$82&amp;"C"&amp;$A128)="N/A",0,RTD("tos.rtd",,AS$83,"."&amp;$B$82&amp;$AS$82&amp;"C"&amp;$A128))</f>
        <v>221</v>
      </c>
      <c r="AT128" s="3">
        <f>-IF(RTD("tos.rtd",,AT$83,"."&amp;$B$82&amp;$AS$82&amp;"P"&amp;$A128)="N/A",0,RTD("tos.rtd",,AT$83,"."&amp;$B$82&amp;$AS$82&amp;"P"&amp;$A128))</f>
        <v>-995</v>
      </c>
      <c r="AU128" s="54">
        <f>IF(RTD("tos.rtd",,AU$83,"."&amp;$C$82&amp;$AU$82&amp;"C"&amp;$A128)="N/A",0,RTD("tos.rtd",,AU$83,"."&amp;$C$82&amp;$AU$82&amp;"C"&amp;$A128))</f>
        <v>287</v>
      </c>
      <c r="AV128" s="3">
        <f>-IF(RTD("tos.rtd",,AV$83,"."&amp;$C$82&amp;$AU$82&amp;"P"&amp;$A128)="N/A",0,RTD("tos.rtd",,AV$83,"."&amp;$C$82&amp;$AU$82&amp;"P"&amp;$A128))</f>
        <v>-2623</v>
      </c>
      <c r="AW128" s="54">
        <f>IF(RTD("tos.rtd",,AW$83,"."&amp;$D$82&amp;$AW$82&amp;"C"&amp;$A128)="N/A",0,RTD("tos.rtd",,AW$83,"."&amp;$D$82&amp;$AW$82&amp;"C"&amp;$A128))</f>
        <v>659</v>
      </c>
      <c r="AX128" s="3">
        <f>-IF(RTD("tos.rtd",,AX$83,"."&amp;$D$82&amp;$AW$82&amp;"P"&amp;$A128)="N/A",0,RTD("tos.rtd",,AX$83,"."&amp;$D$82&amp;$AW$82&amp;"P"&amp;$A128))</f>
        <v>-1214</v>
      </c>
      <c r="AY128" s="79">
        <f t="shared" si="521"/>
        <v>-3665</v>
      </c>
      <c r="AZ128" s="8">
        <f t="shared" si="455"/>
        <v>5440</v>
      </c>
      <c r="BA128" s="54">
        <f>IF(RTD("tos.rtd",,BA$83,"."&amp;$B$82&amp;$AS$82&amp;"C"&amp;$A128)="N/A",0,RTD("tos.rtd",,BA$83,"."&amp;$B$82&amp;$AS$82&amp;"C"&amp;$A128))</f>
        <v>0</v>
      </c>
      <c r="BB128" s="3">
        <f>-IF(RTD("tos.rtd",,BB$83,"."&amp;$B$82&amp;$AS$82&amp;"P"&amp;$A128)="N/A",0,RTD("tos.rtd",,BB$83,"."&amp;$B$82&amp;$AS$82&amp;"P"&amp;$A128))</f>
        <v>0</v>
      </c>
      <c r="BC128" s="54">
        <f>IF(RTD("tos.rtd",,BC$83,"."&amp;$C$82&amp;$AU$82&amp;"C"&amp;$A128)="N/A",0,RTD("tos.rtd",,BC$83,"."&amp;$C$82&amp;$AU$82&amp;"C"&amp;$A128))</f>
        <v>0</v>
      </c>
      <c r="BD128" s="3">
        <f>-IF(RTD("tos.rtd",,BD$83,"."&amp;$C$82&amp;$AU$82&amp;"P"&amp;$A128)="N/A",0,RTD("tos.rtd",,BD$83,"."&amp;$C$82&amp;$AU$82&amp;"P"&amp;$A128))</f>
        <v>0</v>
      </c>
      <c r="BE128" s="54">
        <f>IF(RTD("tos.rtd",,BE$83,"."&amp;$D$82&amp;$AW$82&amp;"C"&amp;$A128)="N/A",0,RTD("tos.rtd",,BE$83,"."&amp;$D$82&amp;$AW$82&amp;"C"&amp;$A128))</f>
        <v>0</v>
      </c>
      <c r="BF128" s="3">
        <f>-IF(RTD("tos.rtd",,BF$83,"."&amp;$D$82&amp;$AW$82&amp;"P"&amp;$A128)="N/A",0,RTD("tos.rtd",,BF$83,"."&amp;$D$82&amp;$AW$82&amp;"P"&amp;$A128))</f>
        <v>0</v>
      </c>
      <c r="BG128" s="3">
        <f ca="1">+Hoja2!Y129</f>
        <v>0</v>
      </c>
      <c r="BH128" s="55">
        <f t="shared" ca="1" si="493"/>
        <v>0</v>
      </c>
      <c r="BI128" s="32" t="str">
        <f t="shared" ca="1" si="513"/>
        <v/>
      </c>
      <c r="BJ128" s="3" t="e">
        <f ca="1">IF($BP$1=1,DX128,IF(RTD("tos.rtd",,BJ$83,"."&amp;$B$82&amp;$AS$82&amp;"C"&amp;$A128)="N/A",0,RTD("tos.rtd",,BJ$83,"."&amp;$B$82&amp;$AS$82&amp;"C"&amp;$A128)))</f>
        <v>#NUM!</v>
      </c>
      <c r="BK128" s="3" t="e">
        <f ca="1">IF($BP$1=1,DY128,-IF(RTD("tos.rtd",,BK$83,"."&amp;$B$82&amp;$AS$82&amp;"P"&amp;$A128)="N/A",0,RTD("tos.rtd",,BK$83,"."&amp;$B$82&amp;$AS$82&amp;"P"&amp;$A128)))</f>
        <v>#NUM!</v>
      </c>
      <c r="BL128" s="3" t="e">
        <f ca="1">IF($BP$1=1,DZ128,IF(RTD("tos.rtd",,BL$83,"."&amp;$C$82&amp;$AU$82&amp;"C"&amp;$A128)="N/A",0,RTD("tos.rtd",,BL$83,"."&amp;$C$82&amp;$AU$82&amp;"C"&amp;$A128)))</f>
        <v>#NUM!</v>
      </c>
      <c r="BM128" s="3" t="e">
        <f ca="1">IF($BP$1=1,EA128,-IF(RTD("tos.rtd",,BM$83,"."&amp;$C$82&amp;$AU$82&amp;"P"&amp;$A128)="N/A",0,RTD("tos.rtd",,BM$83,"."&amp;$C$82&amp;$AU$82&amp;"P"&amp;$A128)))</f>
        <v>#NUM!</v>
      </c>
      <c r="BN128" s="3" t="e">
        <f ca="1">IF($BP$1=1,EB128,IF(RTD("tos.rtd",,BN$83,"."&amp;$D$82&amp;$AW$82&amp;"C"&amp;$A128)="N/A",0,RTD("tos.rtd",,BN$83,"."&amp;$D$82&amp;$AW$82&amp;"C"&amp;$A128)))</f>
        <v>#NUM!</v>
      </c>
      <c r="BO128" s="3" t="e">
        <f ca="1">IF($BP$1=1,EC128,-IF(RTD("tos.rtd",,BO$83,"."&amp;$D$82&amp;$AW$82&amp;"P"&amp;$A128)="N/A",0,RTD("tos.rtd",,BO$83,"."&amp;$D$82&amp;$AW$82&amp;"P"&amp;$A128)))</f>
        <v>#NUM!</v>
      </c>
      <c r="BQ128" s="3" t="e">
        <f t="shared" ca="1" si="456"/>
        <v>#NUM!</v>
      </c>
      <c r="BR128" s="3" t="e">
        <f t="shared" ca="1" si="494"/>
        <v>#NUM!</v>
      </c>
      <c r="BS128" s="3" t="e">
        <f t="shared" ca="1" si="457"/>
        <v>#NUM!</v>
      </c>
      <c r="BT128" s="3" t="e">
        <f t="shared" ca="1" si="494"/>
        <v>#NUM!</v>
      </c>
      <c r="BU128" s="3" t="e">
        <f t="shared" ca="1" si="458"/>
        <v>#NUM!</v>
      </c>
      <c r="BV128" s="3" t="e">
        <f t="shared" ca="1" si="494"/>
        <v>#NUM!</v>
      </c>
      <c r="BX128" s="3" t="e">
        <f t="shared" ca="1" si="459"/>
        <v>#NUM!</v>
      </c>
      <c r="BY128" s="3" t="e">
        <f t="shared" ca="1" si="510"/>
        <v>#NUM!</v>
      </c>
      <c r="BZ128" s="3" t="e">
        <f t="shared" ca="1" si="460"/>
        <v>#NUM!</v>
      </c>
      <c r="CA128" s="3" t="e">
        <f t="shared" ca="1" si="510"/>
        <v>#NUM!</v>
      </c>
      <c r="CB128" s="3" t="e">
        <f t="shared" ca="1" si="461"/>
        <v>#NUM!</v>
      </c>
      <c r="CC128" s="3" t="e">
        <f t="shared" ca="1" si="510"/>
        <v>#NUM!</v>
      </c>
      <c r="CD128" s="3">
        <f>IF(RTD("tos.rtd",,CD$83,"."&amp;$B$82&amp;$AS$82&amp;"C"&amp;$A128)="N/A",0,RTD("tos.rtd",,CD$83,"."&amp;$B$82&amp;$AS$82&amp;"C"&amp;$A128))</f>
        <v>0.95</v>
      </c>
      <c r="CE128" s="3">
        <f>-IF(RTD("tos.rtd",,CE$83,"."&amp;$B$82&amp;$AS$82&amp;"P"&amp;$A128)="N/A",0,RTD("tos.rtd",,CE$83,"."&amp;$B$82&amp;$AS$82&amp;"P"&amp;$A128))</f>
        <v>0</v>
      </c>
      <c r="CF128" s="3">
        <f>IF(RTD("tos.rtd",,CF$83,"."&amp;$C$82&amp;$AU$82&amp;"C"&amp;$A128)="N/A",0,RTD("tos.rtd",,CF$83,"."&amp;$C$82&amp;$AU$82&amp;"C"&amp;$A128))</f>
        <v>0.98</v>
      </c>
      <c r="CG128" s="3">
        <f>-IF(RTD("tos.rtd",,CG$83,"."&amp;$C$82&amp;$AU$82&amp;"P"&amp;$A128)="N/A",0,RTD("tos.rtd",,CG$83,"."&amp;$C$82&amp;$AU$82&amp;"P"&amp;$A128))</f>
        <v>0</v>
      </c>
      <c r="CH128" s="3">
        <f>IF(RTD("tos.rtd",,CH$83,"."&amp;$D$82&amp;$AW$82&amp;"C"&amp;$A128)="N/A",0,RTD("tos.rtd",,CH$83,"."&amp;$D$82&amp;$AW$82&amp;"C"&amp;$A128))</f>
        <v>0.73</v>
      </c>
      <c r="CI128" s="3">
        <f>-IF(RTD("tos.rtd",,CI$83,"."&amp;$D$82&amp;$AW$82&amp;"P"&amp;$A128)="N/A",0,RTD("tos.rtd",,CI$83,"."&amp;$D$82&amp;$AW$82&amp;"P"&amp;$A128))</f>
        <v>0.06</v>
      </c>
      <c r="CK128" s="3">
        <f t="shared" si="495"/>
        <v>20995</v>
      </c>
      <c r="CL128" s="3"/>
      <c r="CM128" s="3">
        <f t="shared" si="496"/>
        <v>28126</v>
      </c>
      <c r="CN128" s="3"/>
      <c r="CO128" s="3">
        <f t="shared" si="497"/>
        <v>40823</v>
      </c>
      <c r="CP128" s="3">
        <f t="shared" si="462"/>
        <v>89944</v>
      </c>
      <c r="CQ128" s="3">
        <f t="shared" si="463"/>
        <v>0</v>
      </c>
      <c r="CR128" s="3"/>
      <c r="CS128" s="3">
        <f t="shared" si="464"/>
        <v>0</v>
      </c>
      <c r="CT128" s="3"/>
      <c r="CU128" s="3">
        <f t="shared" si="465"/>
        <v>0</v>
      </c>
      <c r="CV128" s="3"/>
      <c r="CW128" s="3" t="e">
        <f t="shared" ca="1" si="466"/>
        <v>#NUM!</v>
      </c>
      <c r="CY128" s="3" t="e">
        <f t="shared" ca="1" si="467"/>
        <v>#NUM!</v>
      </c>
      <c r="CZ128" s="70" t="e">
        <f t="shared" ca="1" si="511"/>
        <v>#NUM!</v>
      </c>
      <c r="DA128" s="3">
        <f>IF(RTD("tos.rtd",,DA$83,"."&amp;$B$82&amp;$AS$82&amp;"C"&amp;$A128)="N/A",0,RTD("tos.rtd",,DA$83,"."&amp;$B$82&amp;$AS$82&amp;"C"&amp;$A128))</f>
        <v>267.26</v>
      </c>
      <c r="DB128" s="3">
        <f>IF(RTD("tos.rtd",,DB$83,"."&amp;$B$82&amp;$AS$82&amp;"P"&amp;$A128)="N/A",0,RTD("tos.rtd",,DB$83,"."&amp;$B$82&amp;$AS$82&amp;"P"&amp;$A128))</f>
        <v>0.03</v>
      </c>
      <c r="DC128" s="3">
        <f>IF(RTD("tos.rtd",,DC$83,"."&amp;$B$82&amp;$AS$82&amp;"C"&amp;$A128)="N/A",0,RTD("tos.rtd",,DC$83,"."&amp;$B$82&amp;$AS$82&amp;"C"&amp;$A128))</f>
        <v>232.3</v>
      </c>
      <c r="DD128" s="3">
        <f>IF(RTD("tos.rtd",,DD$83,"."&amp;$B$82&amp;$AS$82&amp;"P"&amp;$A128)="N/A",0,RTD("tos.rtd",,DD$83,"."&amp;$B$82&amp;$AS$82&amp;"P"&amp;$A128))</f>
        <v>0.05</v>
      </c>
      <c r="DE128" s="3">
        <f>IF(RTD("tos.rtd",,DE$83,"."&amp;$B$82&amp;$AS$82&amp;"C"&amp;$A128)="N/A",0,RTD("tos.rtd",,DE$83,"."&amp;$B$82&amp;$AS$82&amp;"C"&amp;$A128))</f>
        <v>213.9</v>
      </c>
      <c r="DF128" s="3">
        <f>IF(RTD("tos.rtd",,DF$83,"."&amp;$B$82&amp;$AS$82&amp;"P"&amp;$A128)="N/A",0,RTD("tos.rtd",,DF$83,"."&amp;$B$82&amp;$AS$82&amp;"P"&amp;$A128))</f>
        <v>0</v>
      </c>
      <c r="DG128" s="86">
        <f t="shared" si="499"/>
        <v>-219.90999999999985</v>
      </c>
      <c r="DH128" s="3">
        <f t="shared" si="468"/>
        <v>-594.49999999999966</v>
      </c>
      <c r="DI128" s="3">
        <f t="shared" si="469"/>
        <v>892.8</v>
      </c>
      <c r="DJ128" s="3">
        <f t="shared" si="470"/>
        <v>-205</v>
      </c>
      <c r="DK128" s="3">
        <f t="shared" si="471"/>
        <v>1488</v>
      </c>
      <c r="DL128" s="3">
        <f t="shared" si="472"/>
        <v>298.3000000000003</v>
      </c>
      <c r="DM128" s="3">
        <f t="shared" si="473"/>
        <v>1283</v>
      </c>
      <c r="DN128" s="64" t="str">
        <f t="shared" si="474"/>
        <v>UNKNOWN</v>
      </c>
      <c r="DO128" s="64" t="str">
        <f t="shared" si="475"/>
        <v>UNKNOWN</v>
      </c>
      <c r="DP128" s="3">
        <f t="shared" si="476"/>
        <v>-158859.28599999988</v>
      </c>
      <c r="DQ128" s="3">
        <f t="shared" si="477"/>
        <v>-54743.659999999996</v>
      </c>
      <c r="DR128" s="3" t="e">
        <f t="shared" ca="1" si="478"/>
        <v>#NUM!</v>
      </c>
      <c r="DS128" s="3">
        <f t="shared" si="479"/>
        <v>-194.75</v>
      </c>
      <c r="DT128" s="3">
        <f t="shared" si="500"/>
        <v>-205</v>
      </c>
      <c r="DU128" s="3">
        <f t="shared" si="501"/>
        <v>1488</v>
      </c>
      <c r="DV128" s="3">
        <f t="shared" si="502"/>
        <v>-370</v>
      </c>
      <c r="DW128" s="3">
        <f t="shared" si="503"/>
        <v>-385</v>
      </c>
      <c r="DX128" s="3" t="e">
        <f t="shared" ca="1" si="512"/>
        <v>#NUM!</v>
      </c>
      <c r="DY128" s="3" t="e">
        <f t="shared" ca="1" si="480"/>
        <v>#NUM!</v>
      </c>
      <c r="DZ128" s="3" t="e">
        <f t="shared" ca="1" si="504"/>
        <v>#NUM!</v>
      </c>
      <c r="EA128" s="3" t="e">
        <f t="shared" ca="1" si="505"/>
        <v>#NUM!</v>
      </c>
      <c r="EB128" s="3" t="e">
        <f t="shared" ca="1" si="481"/>
        <v>#NUM!</v>
      </c>
      <c r="EC128" s="3" t="e">
        <f t="shared" ca="1" si="482"/>
        <v>#NUM!</v>
      </c>
      <c r="ED128" s="63">
        <f t="shared" si="506"/>
        <v>-755</v>
      </c>
      <c r="EE128" s="59">
        <f t="shared" si="483"/>
        <v>3.2757999999999998</v>
      </c>
      <c r="EF128" s="59">
        <f t="shared" si="484"/>
        <v>1.7323</v>
      </c>
      <c r="EG128" s="59">
        <f t="shared" si="485"/>
        <v>2.6204000000000001</v>
      </c>
      <c r="EH128" s="59">
        <f t="shared" si="486"/>
        <v>1.7323</v>
      </c>
      <c r="EI128" s="59">
        <f t="shared" si="487"/>
        <v>0.61539999999999995</v>
      </c>
      <c r="EJ128" s="59">
        <f t="shared" si="488"/>
        <v>0.22489999999999999</v>
      </c>
      <c r="EK128" s="63" t="e">
        <f t="shared" ca="1" si="507"/>
        <v>#NUM!</v>
      </c>
      <c r="EL128" s="3" t="str">
        <f>RTD("tos.rtd",,EL$83,"."&amp;$B$82&amp;$AS$82&amp;"C"&amp;$A128)</f>
        <v>327.58%</v>
      </c>
      <c r="EM128" s="3" t="str">
        <f>RTD("tos.rtd",,EM$83,"."&amp;$B$82&amp;$AS$82&amp;"P"&amp;$A128)</f>
        <v>173.23%</v>
      </c>
      <c r="EN128" s="3" t="str">
        <f>RTD("tos.rtd",,EN$83,"."&amp;$C$82&amp;$AU$82&amp;"C"&amp;$A128)</f>
        <v>262.04%</v>
      </c>
      <c r="EO128" s="3" t="str">
        <f>RTD("tos.rtd",,EO$83,"."&amp;$C$82&amp;$AU$82&amp;"P"&amp;$A128)</f>
        <v>173.23%</v>
      </c>
      <c r="EP128" s="3" t="str">
        <f>RTD("tos.rtd",,EP$83,"."&amp;$D$82&amp;$AW$82&amp;"C"&amp;$A128)</f>
        <v>61.54%</v>
      </c>
      <c r="EQ128" s="3" t="str">
        <f>RTD("tos.rtd",,EQ$83,"."&amp;$D$82&amp;$AW$82&amp;"P"&amp;$A128)</f>
        <v>22.49%</v>
      </c>
      <c r="ES128" s="63" t="str">
        <f t="shared" si="489"/>
        <v>5440,-755.00</v>
      </c>
      <c r="ET128" s="63" t="str">
        <f t="shared" ca="1" si="490"/>
        <v>5440,00.00</v>
      </c>
      <c r="EU128" s="67">
        <v>562.94000000000005</v>
      </c>
      <c r="EV128" s="67" t="s">
        <v>1043</v>
      </c>
      <c r="EW128" s="67">
        <v>485.35</v>
      </c>
      <c r="EX128" s="67" t="s">
        <v>1044</v>
      </c>
      <c r="EY128" s="67">
        <v>5631.28</v>
      </c>
      <c r="EZ128" s="67" t="s">
        <v>1045</v>
      </c>
      <c r="FA128" s="67">
        <v>19867.973000000002</v>
      </c>
      <c r="FB128" s="67" t="s">
        <v>1046</v>
      </c>
      <c r="FC128" s="67" t="s">
        <v>1047</v>
      </c>
      <c r="FD128" s="67" t="s">
        <v>1048</v>
      </c>
      <c r="FE128" s="68" t="s">
        <v>1049</v>
      </c>
      <c r="FF128" s="68" t="s">
        <v>1050</v>
      </c>
    </row>
    <row r="129" spans="1:162" s="63" customFormat="1" ht="12" customHeight="1" thickBot="1" x14ac:dyDescent="0.25">
      <c r="A129" s="2">
        <f t="shared" si="508"/>
        <v>5430</v>
      </c>
      <c r="B129" s="3">
        <f t="shared" si="451"/>
        <v>523</v>
      </c>
      <c r="C129" s="3">
        <f t="shared" si="452"/>
        <v>1990</v>
      </c>
      <c r="D129" s="3">
        <f t="shared" si="453"/>
        <v>381</v>
      </c>
      <c r="E129" s="3">
        <f t="shared" si="519"/>
        <v>2894</v>
      </c>
      <c r="F129" s="11">
        <f t="shared" si="522"/>
        <v>5513.0726460314745</v>
      </c>
      <c r="G129" s="4">
        <f t="shared" si="520"/>
        <v>547.91106219003484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>
        <v>-2</v>
      </c>
      <c r="AN129" s="20">
        <v>-151</v>
      </c>
      <c r="AO129" s="20">
        <v>5430</v>
      </c>
      <c r="AP129" s="20">
        <v>8</v>
      </c>
      <c r="AQ129" s="20">
        <v>-1339</v>
      </c>
      <c r="AR129" s="20"/>
      <c r="AS129" s="54">
        <f>IF(RTD("tos.rtd",,AS$83,"."&amp;$B$82&amp;$AS$82&amp;"C"&amp;$A129)="N/A",0,RTD("tos.rtd",,AS$83,"."&amp;$B$82&amp;$AS$82&amp;"C"&amp;$A129))</f>
        <v>40</v>
      </c>
      <c r="AT129" s="3">
        <f>-IF(RTD("tos.rtd",,AT$83,"."&amp;$B$82&amp;$AS$82&amp;"P"&amp;$A129)="N/A",0,RTD("tos.rtd",,AT$83,"."&amp;$B$82&amp;$AS$82&amp;"P"&amp;$A129))</f>
        <v>-483</v>
      </c>
      <c r="AU129" s="54">
        <f>IF(RTD("tos.rtd",,AU$83,"."&amp;$C$82&amp;$AU$82&amp;"C"&amp;$A129)="N/A",0,RTD("tos.rtd",,AU$83,"."&amp;$C$82&amp;$AU$82&amp;"C"&amp;$A129))</f>
        <v>1100</v>
      </c>
      <c r="AV129" s="3">
        <f>-IF(RTD("tos.rtd",,AV$83,"."&amp;$C$82&amp;$AU$82&amp;"P"&amp;$A129)="N/A",0,RTD("tos.rtd",,AV$83,"."&amp;$C$82&amp;$AU$82&amp;"P"&amp;$A129))</f>
        <v>-890</v>
      </c>
      <c r="AW129" s="54">
        <f>IF(RTD("tos.rtd",,AW$83,"."&amp;$D$82&amp;$AW$82&amp;"C"&amp;$A129)="N/A",0,RTD("tos.rtd",,AW$83,"."&amp;$D$82&amp;$AW$82&amp;"C"&amp;$A129))</f>
        <v>116</v>
      </c>
      <c r="AX129" s="3">
        <f>-IF(RTD("tos.rtd",,AX$83,"."&amp;$D$82&amp;$AW$82&amp;"P"&amp;$A129)="N/A",0,RTD("tos.rtd",,AX$83,"."&amp;$D$82&amp;$AW$82&amp;"P"&amp;$A129))</f>
        <v>-265</v>
      </c>
      <c r="AY129" s="79">
        <f t="shared" si="521"/>
        <v>-382</v>
      </c>
      <c r="AZ129" s="8">
        <f t="shared" si="455"/>
        <v>5430</v>
      </c>
      <c r="BA129" s="54">
        <f>IF(RTD("tos.rtd",,BA$83,"."&amp;$B$82&amp;$AS$82&amp;"C"&amp;$A129)="N/A",0,RTD("tos.rtd",,BA$83,"."&amp;$B$82&amp;$AS$82&amp;"C"&amp;$A129))</f>
        <v>0</v>
      </c>
      <c r="BB129" s="3">
        <f>-IF(RTD("tos.rtd",,BB$83,"."&amp;$B$82&amp;$AS$82&amp;"P"&amp;$A129)="N/A",0,RTD("tos.rtd",,BB$83,"."&amp;$B$82&amp;$AS$82&amp;"P"&amp;$A129))</f>
        <v>0</v>
      </c>
      <c r="BC129" s="54">
        <f>IF(RTD("tos.rtd",,BC$83,"."&amp;$C$82&amp;$AU$82&amp;"C"&amp;$A129)="N/A",0,RTD("tos.rtd",,BC$83,"."&amp;$C$82&amp;$AU$82&amp;"C"&amp;$A129))</f>
        <v>0</v>
      </c>
      <c r="BD129" s="3">
        <f>-IF(RTD("tos.rtd",,BD$83,"."&amp;$C$82&amp;$AU$82&amp;"P"&amp;$A129)="N/A",0,RTD("tos.rtd",,BD$83,"."&amp;$C$82&amp;$AU$82&amp;"P"&amp;$A129))</f>
        <v>0</v>
      </c>
      <c r="BE129" s="54">
        <f>IF(RTD("tos.rtd",,BE$83,"."&amp;$D$82&amp;$AW$82&amp;"C"&amp;$A129)="N/A",0,RTD("tos.rtd",,BE$83,"."&amp;$D$82&amp;$AW$82&amp;"C"&amp;$A129))</f>
        <v>0</v>
      </c>
      <c r="BF129" s="3">
        <f>-IF(RTD("tos.rtd",,BF$83,"."&amp;$D$82&amp;$AW$82&amp;"P"&amp;$A129)="N/A",0,RTD("tos.rtd",,BF$83,"."&amp;$D$82&amp;$AW$82&amp;"P"&amp;$A129))</f>
        <v>-5</v>
      </c>
      <c r="BG129" s="3">
        <f ca="1">+Hoja2!Y130</f>
        <v>0</v>
      </c>
      <c r="BH129" s="55">
        <f t="shared" ca="1" si="493"/>
        <v>-5</v>
      </c>
      <c r="BI129" s="32" t="str">
        <f t="shared" ca="1" si="513"/>
        <v/>
      </c>
      <c r="BJ129" s="3" t="e">
        <f ca="1">IF($BP$1=1,DX129,IF(RTD("tos.rtd",,BJ$83,"."&amp;$B$82&amp;$AS$82&amp;"C"&amp;$A129)="N/A",0,RTD("tos.rtd",,BJ$83,"."&amp;$B$82&amp;$AS$82&amp;"C"&amp;$A129)))</f>
        <v>#NUM!</v>
      </c>
      <c r="BK129" s="3" t="e">
        <f ca="1">IF($BP$1=1,DY129,-IF(RTD("tos.rtd",,BK$83,"."&amp;$B$82&amp;$AS$82&amp;"P"&amp;$A129)="N/A",0,RTD("tos.rtd",,BK$83,"."&amp;$B$82&amp;$AS$82&amp;"P"&amp;$A129)))</f>
        <v>#NUM!</v>
      </c>
      <c r="BL129" s="3" t="e">
        <f ca="1">IF($BP$1=1,DZ129,IF(RTD("tos.rtd",,BL$83,"."&amp;$C$82&amp;$AU$82&amp;"C"&amp;$A129)="N/A",0,RTD("tos.rtd",,BL$83,"."&amp;$C$82&amp;$AU$82&amp;"C"&amp;$A129)))</f>
        <v>#NUM!</v>
      </c>
      <c r="BM129" s="3" t="e">
        <f ca="1">IF($BP$1=1,EA129,-IF(RTD("tos.rtd",,BM$83,"."&amp;$C$82&amp;$AU$82&amp;"P"&amp;$A129)="N/A",0,RTD("tos.rtd",,BM$83,"."&amp;$C$82&amp;$AU$82&amp;"P"&amp;$A129)))</f>
        <v>#NUM!</v>
      </c>
      <c r="BN129" s="3" t="e">
        <f ca="1">IF($BP$1=1,EB129,IF(RTD("tos.rtd",,BN$83,"."&amp;$D$82&amp;$AW$82&amp;"C"&amp;$A129)="N/A",0,RTD("tos.rtd",,BN$83,"."&amp;$D$82&amp;$AW$82&amp;"C"&amp;$A129)))</f>
        <v>#NUM!</v>
      </c>
      <c r="BO129" s="3" t="e">
        <f ca="1">IF($BP$1=1,EC129,-IF(RTD("tos.rtd",,BO$83,"."&amp;$D$82&amp;$AW$82&amp;"P"&amp;$A129)="N/A",0,RTD("tos.rtd",,BO$83,"."&amp;$D$82&amp;$AW$82&amp;"P"&amp;$A129)))</f>
        <v>#NUM!</v>
      </c>
      <c r="BQ129" s="3" t="e">
        <f t="shared" ca="1" si="456"/>
        <v>#NUM!</v>
      </c>
      <c r="BR129" s="3" t="e">
        <f t="shared" ca="1" si="494"/>
        <v>#NUM!</v>
      </c>
      <c r="BS129" s="3" t="e">
        <f t="shared" ca="1" si="457"/>
        <v>#NUM!</v>
      </c>
      <c r="BT129" s="3" t="e">
        <f t="shared" ca="1" si="494"/>
        <v>#NUM!</v>
      </c>
      <c r="BU129" s="3" t="e">
        <f t="shared" ca="1" si="458"/>
        <v>#NUM!</v>
      </c>
      <c r="BV129" s="3" t="e">
        <f t="shared" ca="1" si="494"/>
        <v>#NUM!</v>
      </c>
      <c r="BX129" s="3" t="e">
        <f t="shared" ca="1" si="459"/>
        <v>#NUM!</v>
      </c>
      <c r="BY129" s="3" t="e">
        <f t="shared" ca="1" si="510"/>
        <v>#NUM!</v>
      </c>
      <c r="BZ129" s="3" t="e">
        <f t="shared" ca="1" si="460"/>
        <v>#NUM!</v>
      </c>
      <c r="CA129" s="3" t="e">
        <f t="shared" ca="1" si="510"/>
        <v>#NUM!</v>
      </c>
      <c r="CB129" s="3" t="e">
        <f t="shared" ca="1" si="461"/>
        <v>#NUM!</v>
      </c>
      <c r="CC129" s="3" t="e">
        <f t="shared" ca="1" si="510"/>
        <v>#NUM!</v>
      </c>
      <c r="CD129" s="3">
        <f>IF(RTD("tos.rtd",,CD$83,"."&amp;$B$82&amp;$AS$82&amp;"C"&amp;$A129)="N/A",0,RTD("tos.rtd",,CD$83,"."&amp;$B$82&amp;$AS$82&amp;"C"&amp;$A129))</f>
        <v>0.95</v>
      </c>
      <c r="CE129" s="3">
        <f>-IF(RTD("tos.rtd",,CE$83,"."&amp;$B$82&amp;$AS$82&amp;"P"&amp;$A129)="N/A",0,RTD("tos.rtd",,CE$83,"."&amp;$B$82&amp;$AS$82&amp;"P"&amp;$A129))</f>
        <v>0</v>
      </c>
      <c r="CF129" s="3">
        <f>IF(RTD("tos.rtd",,CF$83,"."&amp;$C$82&amp;$AU$82&amp;"C"&amp;$A129)="N/A",0,RTD("tos.rtd",,CF$83,"."&amp;$C$82&amp;$AU$82&amp;"C"&amp;$A129))</f>
        <v>0.98</v>
      </c>
      <c r="CG129" s="3">
        <f>-IF(RTD("tos.rtd",,CG$83,"."&amp;$C$82&amp;$AU$82&amp;"P"&amp;$A129)="N/A",0,RTD("tos.rtd",,CG$83,"."&amp;$C$82&amp;$AU$82&amp;"P"&amp;$A129))</f>
        <v>0</v>
      </c>
      <c r="CH129" s="3">
        <f>IF(RTD("tos.rtd",,CH$83,"."&amp;$D$82&amp;$AW$82&amp;"C"&amp;$A129)="N/A",0,RTD("tos.rtd",,CH$83,"."&amp;$D$82&amp;$AW$82&amp;"C"&amp;$A129))</f>
        <v>0.73</v>
      </c>
      <c r="CI129" s="3">
        <f>-IF(RTD("tos.rtd",,CI$83,"."&amp;$D$82&amp;$AW$82&amp;"P"&amp;$A129)="N/A",0,RTD("tos.rtd",,CI$83,"."&amp;$D$82&amp;$AW$82&amp;"P"&amp;$A129))</f>
        <v>0.05</v>
      </c>
      <c r="CK129" s="3">
        <f t="shared" si="495"/>
        <v>3800</v>
      </c>
      <c r="CL129" s="3"/>
      <c r="CM129" s="3">
        <f t="shared" si="496"/>
        <v>107800</v>
      </c>
      <c r="CN129" s="3"/>
      <c r="CO129" s="3">
        <f t="shared" si="497"/>
        <v>7143</v>
      </c>
      <c r="CP129" s="3">
        <f t="shared" si="462"/>
        <v>118743</v>
      </c>
      <c r="CQ129" s="3">
        <f t="shared" si="463"/>
        <v>0</v>
      </c>
      <c r="CR129" s="3"/>
      <c r="CS129" s="3">
        <f t="shared" si="464"/>
        <v>0</v>
      </c>
      <c r="CT129" s="3"/>
      <c r="CU129" s="3">
        <f t="shared" si="465"/>
        <v>-5</v>
      </c>
      <c r="CV129" s="3"/>
      <c r="CW129" s="3" t="e">
        <f t="shared" ca="1" si="466"/>
        <v>#NUM!</v>
      </c>
      <c r="CY129" s="3" t="e">
        <f t="shared" ca="1" si="467"/>
        <v>#NUM!</v>
      </c>
      <c r="CZ129" s="70" t="e">
        <f t="shared" ca="1" si="511"/>
        <v>#NUM!</v>
      </c>
      <c r="DA129" s="3">
        <f>IF(RTD("tos.rtd",,DA$83,"."&amp;$B$82&amp;$AS$82&amp;"C"&amp;$A129)="N/A",0,RTD("tos.rtd",,DA$83,"."&amp;$B$82&amp;$AS$82&amp;"C"&amp;$A129))</f>
        <v>277.35000000000002</v>
      </c>
      <c r="DB129" s="3">
        <f>IF(RTD("tos.rtd",,DB$83,"."&amp;$B$82&amp;$AS$82&amp;"P"&amp;$A129)="N/A",0,RTD("tos.rtd",,DB$83,"."&amp;$B$82&amp;$AS$82&amp;"P"&amp;$A129))</f>
        <v>0.03</v>
      </c>
      <c r="DC129" s="3">
        <f>IF(RTD("tos.rtd",,DC$83,"."&amp;$B$82&amp;$AS$82&amp;"C"&amp;$A129)="N/A",0,RTD("tos.rtd",,DC$83,"."&amp;$B$82&amp;$AS$82&amp;"C"&amp;$A129))</f>
        <v>242.3</v>
      </c>
      <c r="DD129" s="3">
        <f>IF(RTD("tos.rtd",,DD$83,"."&amp;$B$82&amp;$AS$82&amp;"P"&amp;$A129)="N/A",0,RTD("tos.rtd",,DD$83,"."&amp;$B$82&amp;$AS$82&amp;"P"&amp;$A129))</f>
        <v>0.05</v>
      </c>
      <c r="DE129" s="3">
        <f>IF(RTD("tos.rtd",,DE$83,"."&amp;$B$82&amp;$AS$82&amp;"C"&amp;$A129)="N/A",0,RTD("tos.rtd",,DE$83,"."&amp;$B$82&amp;$AS$82&amp;"C"&amp;$A129))</f>
        <v>224.2</v>
      </c>
      <c r="DF129" s="3">
        <f>IF(RTD("tos.rtd",,DF$83,"."&amp;$B$82&amp;$AS$82&amp;"P"&amp;$A129)="N/A",0,RTD("tos.rtd",,DF$83,"."&amp;$B$82&amp;$AS$82&amp;"P"&amp;$A129))</f>
        <v>0</v>
      </c>
      <c r="DG129" s="86">
        <f t="shared" si="499"/>
        <v>-229.90999999999985</v>
      </c>
      <c r="DH129" s="3">
        <f t="shared" si="468"/>
        <v>-23.491712707182305</v>
      </c>
      <c r="DI129" s="3">
        <f t="shared" si="469"/>
        <v>803.4</v>
      </c>
      <c r="DJ129" s="3">
        <f t="shared" si="470"/>
        <v>-8</v>
      </c>
      <c r="DK129" s="3">
        <f t="shared" si="471"/>
        <v>1339</v>
      </c>
      <c r="DL129" s="3">
        <f t="shared" si="472"/>
        <v>779.9082872928177</v>
      </c>
      <c r="DM129" s="3">
        <f t="shared" si="473"/>
        <v>1331</v>
      </c>
      <c r="DN129" s="64" t="str">
        <f t="shared" si="474"/>
        <v>UNKNOWN</v>
      </c>
      <c r="DO129" s="64" t="str">
        <f t="shared" si="475"/>
        <v>UNKNOWN</v>
      </c>
      <c r="DP129" s="3">
        <f t="shared" si="476"/>
        <v>-6491.324519337013</v>
      </c>
      <c r="DQ129" s="3">
        <f t="shared" si="477"/>
        <v>-2178.63</v>
      </c>
      <c r="DR129" s="3" t="e">
        <f t="shared" ca="1" si="478"/>
        <v>#NUM!</v>
      </c>
      <c r="DS129" s="3">
        <f t="shared" si="479"/>
        <v>-7.6</v>
      </c>
      <c r="DT129" s="3">
        <f t="shared" si="500"/>
        <v>-8</v>
      </c>
      <c r="DU129" s="3">
        <f t="shared" si="501"/>
        <v>1339</v>
      </c>
      <c r="DV129" s="3">
        <f t="shared" si="502"/>
        <v>-2</v>
      </c>
      <c r="DW129" s="3">
        <f t="shared" si="503"/>
        <v>-151</v>
      </c>
      <c r="DX129" s="3" t="e">
        <f t="shared" ca="1" si="512"/>
        <v>#NUM!</v>
      </c>
      <c r="DY129" s="3" t="e">
        <f t="shared" ca="1" si="480"/>
        <v>#NUM!</v>
      </c>
      <c r="DZ129" s="3" t="e">
        <f t="shared" ca="1" si="504"/>
        <v>#NUM!</v>
      </c>
      <c r="EA129" s="3" t="e">
        <f t="shared" ca="1" si="505"/>
        <v>#NUM!</v>
      </c>
      <c r="EB129" s="3" t="e">
        <f t="shared" ca="1" si="481"/>
        <v>#NUM!</v>
      </c>
      <c r="EC129" s="3" t="e">
        <f t="shared" ca="1" si="482"/>
        <v>#NUM!</v>
      </c>
      <c r="ED129" s="63">
        <f t="shared" si="506"/>
        <v>-153</v>
      </c>
      <c r="EE129" s="59">
        <f t="shared" si="483"/>
        <v>3.4291</v>
      </c>
      <c r="EF129" s="59">
        <f t="shared" si="484"/>
        <v>1.8059000000000001</v>
      </c>
      <c r="EG129" s="59">
        <f t="shared" si="485"/>
        <v>2.7231000000000001</v>
      </c>
      <c r="EH129" s="59">
        <f t="shared" si="486"/>
        <v>1.8059000000000001</v>
      </c>
      <c r="EI129" s="59">
        <f t="shared" si="487"/>
        <v>0.62770000000000004</v>
      </c>
      <c r="EJ129" s="59">
        <f t="shared" si="488"/>
        <v>0.2288</v>
      </c>
      <c r="EK129" s="63" t="e">
        <f t="shared" ca="1" si="507"/>
        <v>#NUM!</v>
      </c>
      <c r="EL129" s="3" t="str">
        <f>RTD("tos.rtd",,EL$83,"."&amp;$B$82&amp;$AS$82&amp;"C"&amp;$A129)</f>
        <v>342.91%</v>
      </c>
      <c r="EM129" s="3" t="str">
        <f>RTD("tos.rtd",,EM$83,"."&amp;$B$82&amp;$AS$82&amp;"P"&amp;$A129)</f>
        <v>180.59%</v>
      </c>
      <c r="EN129" s="3" t="str">
        <f>RTD("tos.rtd",,EN$83,"."&amp;$C$82&amp;$AU$82&amp;"C"&amp;$A129)</f>
        <v>272.31%</v>
      </c>
      <c r="EO129" s="3" t="str">
        <f>RTD("tos.rtd",,EO$83,"."&amp;$C$82&amp;$AU$82&amp;"P"&amp;$A129)</f>
        <v>180.59%</v>
      </c>
      <c r="EP129" s="3" t="str">
        <f>RTD("tos.rtd",,EP$83,"."&amp;$D$82&amp;$AW$82&amp;"C"&amp;$A129)</f>
        <v>62.77%</v>
      </c>
      <c r="EQ129" s="3" t="str">
        <f>RTD("tos.rtd",,EQ$83,"."&amp;$D$82&amp;$AW$82&amp;"P"&amp;$A129)</f>
        <v>22.88%</v>
      </c>
      <c r="ES129" s="63" t="str">
        <f t="shared" si="489"/>
        <v>5430,-153.00</v>
      </c>
      <c r="ET129" s="63" t="str">
        <f t="shared" ca="1" si="490"/>
        <v>5430,00.00</v>
      </c>
      <c r="EU129" s="67">
        <v>562.72</v>
      </c>
      <c r="EV129" s="67" t="s">
        <v>1051</v>
      </c>
      <c r="EW129" s="67">
        <v>485.17</v>
      </c>
      <c r="EX129" s="67" t="s">
        <v>1052</v>
      </c>
      <c r="EY129" s="67">
        <v>5631.28</v>
      </c>
      <c r="EZ129" s="67" t="s">
        <v>1053</v>
      </c>
      <c r="FA129" s="67">
        <v>19867.973000000002</v>
      </c>
      <c r="FB129" s="67" t="s">
        <v>1054</v>
      </c>
      <c r="FC129" s="67" t="s">
        <v>1055</v>
      </c>
      <c r="FD129" s="67" t="s">
        <v>1056</v>
      </c>
      <c r="FE129" s="68" t="s">
        <v>1057</v>
      </c>
      <c r="FF129" s="68" t="s">
        <v>1058</v>
      </c>
    </row>
    <row r="130" spans="1:162" s="63" customFormat="1" ht="12" customHeight="1" thickBot="1" x14ac:dyDescent="0.25">
      <c r="A130" s="2">
        <f t="shared" si="508"/>
        <v>5420</v>
      </c>
      <c r="B130" s="3">
        <f t="shared" si="451"/>
        <v>718</v>
      </c>
      <c r="C130" s="3">
        <f t="shared" si="452"/>
        <v>1900</v>
      </c>
      <c r="D130" s="3">
        <f t="shared" si="453"/>
        <v>644</v>
      </c>
      <c r="E130" s="3">
        <f>SUM(B130:D130)</f>
        <v>3262</v>
      </c>
      <c r="F130" s="11">
        <f>+$F$84/$A$84*A130</f>
        <v>5502.919657733074</v>
      </c>
      <c r="G130" s="4">
        <f t="shared" si="520"/>
        <v>546.90201787660942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>
        <v>31</v>
      </c>
      <c r="AN130" s="20">
        <v>-807</v>
      </c>
      <c r="AO130" s="20">
        <v>5420</v>
      </c>
      <c r="AP130" s="20">
        <v>36</v>
      </c>
      <c r="AQ130" s="20">
        <v>-2254</v>
      </c>
      <c r="AR130" s="20"/>
      <c r="AS130" s="56">
        <f>IF(RTD("tos.rtd",,AS$83,"."&amp;$B$82&amp;$AS$82&amp;"C"&amp;$A130)="N/A",0,RTD("tos.rtd",,AS$83,"."&amp;$B$82&amp;$AS$82&amp;"C"&amp;$A130))</f>
        <v>54</v>
      </c>
      <c r="AT130" s="35">
        <f>-IF(RTD("tos.rtd",,AT$83,"."&amp;$B$82&amp;$AS$82&amp;"P"&amp;$A130)="N/A",0,RTD("tos.rtd",,AT$83,"."&amp;$B$82&amp;$AS$82&amp;"P"&amp;$A130))</f>
        <v>-664</v>
      </c>
      <c r="AU130" s="56">
        <f>IF(RTD("tos.rtd",,AU$83,"."&amp;$C$82&amp;$AU$82&amp;"C"&amp;$A130)="N/A",0,RTD("tos.rtd",,AU$83,"."&amp;$C$82&amp;$AU$82&amp;"C"&amp;$A130))</f>
        <v>147</v>
      </c>
      <c r="AV130" s="35">
        <f>-IF(RTD("tos.rtd",,AV$83,"."&amp;$C$82&amp;$AU$82&amp;"P"&amp;$A130)="N/A",0,RTD("tos.rtd",,AV$83,"."&amp;$C$82&amp;$AU$82&amp;"P"&amp;$A130))</f>
        <v>-1753</v>
      </c>
      <c r="AW130" s="56">
        <f>IF(RTD("tos.rtd",,AW$83,"."&amp;$D$82&amp;$AW$82&amp;"C"&amp;$A130)="N/A",0,RTD("tos.rtd",,AW$83,"."&amp;$D$82&amp;$AW$82&amp;"C"&amp;$A130))</f>
        <v>309</v>
      </c>
      <c r="AX130" s="35">
        <f>-IF(RTD("tos.rtd",,AX$83,"."&amp;$D$82&amp;$AW$82&amp;"P"&amp;$A130)="N/A",0,RTD("tos.rtd",,AX$83,"."&amp;$D$82&amp;$AW$82&amp;"P"&amp;$A130))</f>
        <v>-335</v>
      </c>
      <c r="AY130" s="81">
        <f t="shared" si="521"/>
        <v>-2242</v>
      </c>
      <c r="AZ130" s="8">
        <f t="shared" si="455"/>
        <v>5420</v>
      </c>
      <c r="BA130" s="56">
        <f>IF(RTD("tos.rtd",,BA$83,"."&amp;$B$82&amp;$AS$82&amp;"C"&amp;$A130)="N/A",0,RTD("tos.rtd",,BA$83,"."&amp;$B$82&amp;$AS$82&amp;"C"&amp;$A130))</f>
        <v>0</v>
      </c>
      <c r="BB130" s="35">
        <f>-IF(RTD("tos.rtd",,BB$83,"."&amp;$B$82&amp;$AS$82&amp;"P"&amp;$A130)="N/A",0,RTD("tos.rtd",,BB$83,"."&amp;$B$82&amp;$AS$82&amp;"P"&amp;$A130))</f>
        <v>0</v>
      </c>
      <c r="BC130" s="56">
        <f>IF(RTD("tos.rtd",,BC$83,"."&amp;$C$82&amp;$AU$82&amp;"C"&amp;$A130)="N/A",0,RTD("tos.rtd",,BC$83,"."&amp;$C$82&amp;$AU$82&amp;"C"&amp;$A130))</f>
        <v>0</v>
      </c>
      <c r="BD130" s="35">
        <f>-IF(RTD("tos.rtd",,BD$83,"."&amp;$C$82&amp;$AU$82&amp;"P"&amp;$A130)="N/A",0,RTD("tos.rtd",,BD$83,"."&amp;$C$82&amp;$AU$82&amp;"P"&amp;$A130))</f>
        <v>0</v>
      </c>
      <c r="BE130" s="56">
        <f>IF(RTD("tos.rtd",,BE$83,"."&amp;$D$82&amp;$AW$82&amp;"C"&amp;$A130)="N/A",0,RTD("tos.rtd",,BE$83,"."&amp;$D$82&amp;$AW$82&amp;"C"&amp;$A130))</f>
        <v>0</v>
      </c>
      <c r="BF130" s="35">
        <f>-IF(RTD("tos.rtd",,BF$83,"."&amp;$D$82&amp;$AW$82&amp;"P"&amp;$A130)="N/A",0,RTD("tos.rtd",,BF$83,"."&amp;$D$82&amp;$AW$82&amp;"P"&amp;$A130))</f>
        <v>0</v>
      </c>
      <c r="BG130" s="3">
        <f ca="1">+Hoja2!Y131</f>
        <v>0</v>
      </c>
      <c r="BH130" s="57">
        <f t="shared" ca="1" si="493"/>
        <v>0</v>
      </c>
      <c r="BI130" s="32" t="str">
        <f t="shared" ca="1" si="513"/>
        <v/>
      </c>
      <c r="BJ130" s="3" t="e">
        <f ca="1">IF($BP$1=1,DX130,IF(RTD("tos.rtd",,BJ$83,"."&amp;$B$82&amp;$AS$82&amp;"C"&amp;$A130)="N/A",0,RTD("tos.rtd",,BJ$83,"."&amp;$B$82&amp;$AS$82&amp;"C"&amp;$A130)))</f>
        <v>#NUM!</v>
      </c>
      <c r="BK130" s="3" t="e">
        <f ca="1">IF($BP$1=1,DY130,-IF(RTD("tos.rtd",,BK$83,"."&amp;$B$82&amp;$AS$82&amp;"P"&amp;$A130)="N/A",0,RTD("tos.rtd",,BK$83,"."&amp;$B$82&amp;$AS$82&amp;"P"&amp;$A130)))</f>
        <v>#NUM!</v>
      </c>
      <c r="BL130" s="3" t="e">
        <f ca="1">IF($BP$1=1,DZ130,IF(RTD("tos.rtd",,BL$83,"."&amp;$C$82&amp;$AU$82&amp;"C"&amp;$A130)="N/A",0,RTD("tos.rtd",,BL$83,"."&amp;$C$82&amp;$AU$82&amp;"C"&amp;$A130)))</f>
        <v>#NUM!</v>
      </c>
      <c r="BM130" s="3" t="e">
        <f ca="1">IF($BP$1=1,EA130,-IF(RTD("tos.rtd",,BM$83,"."&amp;$C$82&amp;$AU$82&amp;"P"&amp;$A130)="N/A",0,RTD("tos.rtd",,BM$83,"."&amp;$C$82&amp;$AU$82&amp;"P"&amp;$A130)))</f>
        <v>#NUM!</v>
      </c>
      <c r="BN130" s="3" t="e">
        <f ca="1">IF($BP$1=1,EB130,IF(RTD("tos.rtd",,BN$83,"."&amp;$D$82&amp;$AW$82&amp;"C"&amp;$A130)="N/A",0,RTD("tos.rtd",,BN$83,"."&amp;$D$82&amp;$AW$82&amp;"C"&amp;$A130)))</f>
        <v>#NUM!</v>
      </c>
      <c r="BO130" s="3" t="e">
        <f ca="1">IF($BP$1=1,EC130,-IF(RTD("tos.rtd",,BO$83,"."&amp;$D$82&amp;$AW$82&amp;"P"&amp;$A130)="N/A",0,RTD("tos.rtd",,BO$83,"."&amp;$D$82&amp;$AW$82&amp;"P"&amp;$A130)))</f>
        <v>#NUM!</v>
      </c>
      <c r="BQ130" s="3" t="e">
        <f t="shared" ca="1" si="456"/>
        <v>#NUM!</v>
      </c>
      <c r="BR130" s="3" t="e">
        <f t="shared" ca="1" si="494"/>
        <v>#NUM!</v>
      </c>
      <c r="BS130" s="3" t="e">
        <f t="shared" ca="1" si="457"/>
        <v>#NUM!</v>
      </c>
      <c r="BT130" s="3" t="e">
        <f t="shared" ca="1" si="494"/>
        <v>#NUM!</v>
      </c>
      <c r="BU130" s="3" t="e">
        <f t="shared" ca="1" si="458"/>
        <v>#NUM!</v>
      </c>
      <c r="BV130" s="3" t="e">
        <f t="shared" ca="1" si="494"/>
        <v>#NUM!</v>
      </c>
      <c r="BX130" s="3" t="e">
        <f t="shared" ca="1" si="459"/>
        <v>#NUM!</v>
      </c>
      <c r="BY130" s="3" t="e">
        <f t="shared" ca="1" si="510"/>
        <v>#NUM!</v>
      </c>
      <c r="BZ130" s="3" t="e">
        <f t="shared" ca="1" si="460"/>
        <v>#NUM!</v>
      </c>
      <c r="CA130" s="3" t="e">
        <f t="shared" ca="1" si="510"/>
        <v>#NUM!</v>
      </c>
      <c r="CB130" s="3" t="e">
        <f t="shared" ca="1" si="461"/>
        <v>#NUM!</v>
      </c>
      <c r="CC130" s="3" t="e">
        <f t="shared" ca="1" si="510"/>
        <v>#NUM!</v>
      </c>
      <c r="CD130" s="3">
        <f>IF(RTD("tos.rtd",,CD$83,"."&amp;$B$82&amp;$AS$82&amp;"C"&amp;$A130)="N/A",0,RTD("tos.rtd",,CD$83,"."&amp;$B$82&amp;$AS$82&amp;"C"&amp;$A130))</f>
        <v>0.95</v>
      </c>
      <c r="CE130" s="3">
        <f>-IF(RTD("tos.rtd",,CE$83,"."&amp;$B$82&amp;$AS$82&amp;"P"&amp;$A130)="N/A",0,RTD("tos.rtd",,CE$83,"."&amp;$B$82&amp;$AS$82&amp;"P"&amp;$A130))</f>
        <v>0</v>
      </c>
      <c r="CF130" s="3">
        <f>IF(RTD("tos.rtd",,CF$83,"."&amp;$C$82&amp;$AU$82&amp;"C"&amp;$A130)="N/A",0,RTD("tos.rtd",,CF$83,"."&amp;$C$82&amp;$AU$82&amp;"C"&amp;$A130))</f>
        <v>0.98</v>
      </c>
      <c r="CG130" s="3">
        <f>-IF(RTD("tos.rtd",,CG$83,"."&amp;$C$82&amp;$AU$82&amp;"P"&amp;$A130)="N/A",0,RTD("tos.rtd",,CG$83,"."&amp;$C$82&amp;$AU$82&amp;"P"&amp;$A130))</f>
        <v>0</v>
      </c>
      <c r="CH130" s="3">
        <f>IF(RTD("tos.rtd",,CH$83,"."&amp;$D$82&amp;$AW$82&amp;"C"&amp;$A130)="N/A",0,RTD("tos.rtd",,CH$83,"."&amp;$D$82&amp;$AW$82&amp;"C"&amp;$A130))</f>
        <v>0.74</v>
      </c>
      <c r="CI130" s="3">
        <f>-IF(RTD("tos.rtd",,CI$83,"."&amp;$D$82&amp;$AW$82&amp;"P"&amp;$A130)="N/A",0,RTD("tos.rtd",,CI$83,"."&amp;$D$82&amp;$AW$82&amp;"P"&amp;$A130))</f>
        <v>0.05</v>
      </c>
      <c r="CK130" s="3">
        <f t="shared" si="495"/>
        <v>5130</v>
      </c>
      <c r="CL130" s="3"/>
      <c r="CM130" s="3">
        <f t="shared" si="496"/>
        <v>14406</v>
      </c>
      <c r="CN130" s="3"/>
      <c r="CO130" s="3">
        <f t="shared" si="497"/>
        <v>21191</v>
      </c>
      <c r="CP130" s="3">
        <f t="shared" si="462"/>
        <v>40727</v>
      </c>
      <c r="CQ130" s="3">
        <f t="shared" si="463"/>
        <v>0</v>
      </c>
      <c r="CR130" s="3"/>
      <c r="CS130" s="3">
        <f t="shared" si="464"/>
        <v>0</v>
      </c>
      <c r="CT130" s="3"/>
      <c r="CU130" s="3">
        <f t="shared" si="465"/>
        <v>0</v>
      </c>
      <c r="CV130" s="3"/>
      <c r="CW130" s="3" t="e">
        <f t="shared" ca="1" si="466"/>
        <v>#NUM!</v>
      </c>
      <c r="CY130" s="3" t="e">
        <f t="shared" ca="1" si="467"/>
        <v>#NUM!</v>
      </c>
      <c r="CZ130" s="70" t="e">
        <f t="shared" ca="1" si="511"/>
        <v>#NUM!</v>
      </c>
      <c r="DA130" s="3">
        <f>IF(RTD("tos.rtd",,DA$83,"."&amp;$B$82&amp;$AS$82&amp;"C"&amp;$A130)="N/A",0,RTD("tos.rtd",,DA$83,"."&amp;$B$82&amp;$AS$82&amp;"C"&amp;$A130))</f>
        <v>246.33</v>
      </c>
      <c r="DB130" s="3">
        <f>IF(RTD("tos.rtd",,DB$83,"."&amp;$B$82&amp;$AS$82&amp;"P"&amp;$A130)="N/A",0,RTD("tos.rtd",,DB$83,"."&amp;$B$82&amp;$AS$82&amp;"P"&amp;$A130))</f>
        <v>0.03</v>
      </c>
      <c r="DC130" s="3">
        <f>IF(RTD("tos.rtd",,DC$83,"."&amp;$B$82&amp;$AS$82&amp;"C"&amp;$A130)="N/A",0,RTD("tos.rtd",,DC$83,"."&amp;$B$82&amp;$AS$82&amp;"C"&amp;$A130))</f>
        <v>252.3</v>
      </c>
      <c r="DD130" s="3">
        <f>IF(RTD("tos.rtd",,DD$83,"."&amp;$B$82&amp;$AS$82&amp;"P"&amp;$A130)="N/A",0,RTD("tos.rtd",,DD$83,"."&amp;$B$82&amp;$AS$82&amp;"P"&amp;$A130))</f>
        <v>0.05</v>
      </c>
      <c r="DE130" s="3">
        <f>IF(RTD("tos.rtd",,DE$83,"."&amp;$B$82&amp;$AS$82&amp;"C"&amp;$A130)="N/A",0,RTD("tos.rtd",,DE$83,"."&amp;$B$82&amp;$AS$82&amp;"C"&amp;$A130))</f>
        <v>234.2</v>
      </c>
      <c r="DF130" s="3">
        <f>IF(RTD("tos.rtd",,DF$83,"."&amp;$B$82&amp;$AS$82&amp;"P"&amp;$A130)="N/A",0,RTD("tos.rtd",,DF$83,"."&amp;$B$82&amp;$AS$82&amp;"P"&amp;$A130))</f>
        <v>0</v>
      </c>
      <c r="DG130" s="86">
        <f t="shared" si="499"/>
        <v>-239.90999999999985</v>
      </c>
      <c r="DH130" s="3">
        <f t="shared" si="468"/>
        <v>-24.125966850828746</v>
      </c>
      <c r="DI130" s="3">
        <f t="shared" si="469"/>
        <v>1352.3999999999999</v>
      </c>
      <c r="DJ130" s="3">
        <f t="shared" si="470"/>
        <v>-36</v>
      </c>
      <c r="DK130" s="3">
        <f t="shared" si="471"/>
        <v>2254</v>
      </c>
      <c r="DL130" s="3">
        <f t="shared" si="472"/>
        <v>1328.2740331491711</v>
      </c>
      <c r="DM130" s="3">
        <f t="shared" si="473"/>
        <v>2218</v>
      </c>
      <c r="DN130" s="64" t="str">
        <f t="shared" si="474"/>
        <v>UNKNOWN</v>
      </c>
      <c r="DO130" s="64" t="str">
        <f t="shared" si="475"/>
        <v>UNKNOWN</v>
      </c>
      <c r="DP130" s="3">
        <f t="shared" si="476"/>
        <v>-5902.3774143646451</v>
      </c>
      <c r="DQ130" s="3">
        <f t="shared" si="477"/>
        <v>-8800.26</v>
      </c>
      <c r="DR130" s="3" t="e">
        <f t="shared" ca="1" si="478"/>
        <v>#NUM!</v>
      </c>
      <c r="DS130" s="3">
        <f t="shared" si="479"/>
        <v>-34.199999999999996</v>
      </c>
      <c r="DT130" s="3">
        <f t="shared" si="500"/>
        <v>-36</v>
      </c>
      <c r="DU130" s="3">
        <f t="shared" si="501"/>
        <v>2254</v>
      </c>
      <c r="DV130" s="3">
        <f t="shared" si="502"/>
        <v>31</v>
      </c>
      <c r="DW130" s="3">
        <f t="shared" si="503"/>
        <v>-807</v>
      </c>
      <c r="DX130" s="3" t="e">
        <f t="shared" ca="1" si="512"/>
        <v>#NUM!</v>
      </c>
      <c r="DY130" s="3" t="e">
        <f t="shared" ca="1" si="480"/>
        <v>#NUM!</v>
      </c>
      <c r="DZ130" s="3" t="e">
        <f t="shared" ca="1" si="504"/>
        <v>#NUM!</v>
      </c>
      <c r="EA130" s="3" t="e">
        <f t="shared" ca="1" si="505"/>
        <v>#NUM!</v>
      </c>
      <c r="EB130" s="3" t="e">
        <f t="shared" ca="1" si="481"/>
        <v>#NUM!</v>
      </c>
      <c r="EC130" s="3" t="e">
        <f t="shared" ca="1" si="482"/>
        <v>#NUM!</v>
      </c>
      <c r="ED130" s="63">
        <f t="shared" si="506"/>
        <v>-776</v>
      </c>
      <c r="EE130" s="59">
        <f t="shared" si="483"/>
        <v>3.5499000000000001</v>
      </c>
      <c r="EF130" s="59">
        <f t="shared" si="484"/>
        <v>1.8794999999999999</v>
      </c>
      <c r="EG130" s="59">
        <f t="shared" si="485"/>
        <v>2.8254999999999999</v>
      </c>
      <c r="EH130" s="59">
        <f t="shared" si="486"/>
        <v>1.8794999999999999</v>
      </c>
      <c r="EI130" s="59">
        <f t="shared" si="487"/>
        <v>0.64029999999999998</v>
      </c>
      <c r="EJ130" s="59">
        <f t="shared" si="488"/>
        <v>0.2334</v>
      </c>
      <c r="EK130" s="63" t="e">
        <f t="shared" ca="1" si="507"/>
        <v>#NUM!</v>
      </c>
      <c r="EL130" s="3" t="str">
        <f>RTD("tos.rtd",,EL$83,"."&amp;$B$82&amp;$AS$82&amp;"C"&amp;$A130)</f>
        <v>354.99%</v>
      </c>
      <c r="EM130" s="3" t="str">
        <f>RTD("tos.rtd",,EM$83,"."&amp;$B$82&amp;$AS$82&amp;"P"&amp;$A130)</f>
        <v>187.95%</v>
      </c>
      <c r="EN130" s="3" t="str">
        <f>RTD("tos.rtd",,EN$83,"."&amp;$C$82&amp;$AU$82&amp;"C"&amp;$A130)</f>
        <v>282.55%</v>
      </c>
      <c r="EO130" s="3" t="str">
        <f>RTD("tos.rtd",,EO$83,"."&amp;$C$82&amp;$AU$82&amp;"P"&amp;$A130)</f>
        <v>187.95%</v>
      </c>
      <c r="EP130" s="3" t="str">
        <f>RTD("tos.rtd",,EP$83,"."&amp;$D$82&amp;$AW$82&amp;"C"&amp;$A130)</f>
        <v>64.03%</v>
      </c>
      <c r="EQ130" s="3" t="str">
        <f>RTD("tos.rtd",,EQ$83,"."&amp;$D$82&amp;$AW$82&amp;"P"&amp;$A130)</f>
        <v>23.34%</v>
      </c>
      <c r="ES130" s="63" t="str">
        <f t="shared" si="489"/>
        <v>5420,-776.00</v>
      </c>
      <c r="ET130" s="63" t="str">
        <f t="shared" ca="1" si="490"/>
        <v>5420,00.00</v>
      </c>
      <c r="EU130" s="67">
        <v>562.85</v>
      </c>
      <c r="EV130" s="67" t="s">
        <v>1059</v>
      </c>
      <c r="EW130" s="67">
        <v>485.17</v>
      </c>
      <c r="EX130" s="67" t="s">
        <v>1060</v>
      </c>
      <c r="EY130" s="67">
        <v>5631.28</v>
      </c>
      <c r="EZ130" s="67" t="s">
        <v>1061</v>
      </c>
      <c r="FA130" s="67">
        <v>19867.973000000002</v>
      </c>
      <c r="FB130" s="67" t="s">
        <v>1062</v>
      </c>
      <c r="FC130" s="67" t="s">
        <v>1063</v>
      </c>
      <c r="FD130" s="67" t="s">
        <v>1064</v>
      </c>
      <c r="FE130" s="68" t="s">
        <v>1065</v>
      </c>
      <c r="FF130" s="68" t="s">
        <v>1066</v>
      </c>
    </row>
    <row r="131" spans="1:162" ht="13.5" thickBot="1" x14ac:dyDescent="0.25">
      <c r="A131" s="56"/>
      <c r="C131" s="35"/>
      <c r="D131" s="35"/>
      <c r="E131" s="35"/>
      <c r="F131" s="57"/>
      <c r="BH131" s="1">
        <f ca="1">MIN(BH85:BH130)</f>
        <v>-5</v>
      </c>
      <c r="BI131" s="1">
        <f ca="1">IFERROR(IF(MIN(BH85:BH130)&lt;&gt;0,INDEX(A85:A130,MATCH(MIN(BH85:BH130),BH85:BH130,0)),""),"")</f>
        <v>5430</v>
      </c>
      <c r="BP131" s="64" t="e">
        <f ca="1">INDEX(BQ131:BU131,MATCH(MAX(BQ84:BU84),BQ84:BU84,0))</f>
        <v>#NUM!</v>
      </c>
      <c r="BQ131" s="1" t="e">
        <f ca="1">IF(AND(BQ84&gt;0,ABS(MAX(BQ85:BQ130))&gt;ABS(MIN(BQ85:BQ130))),IF(MAX(BQ85:BQ130)&lt;&gt;0,INDEX($A85:$A130,MATCH(MAX(BQ85:BQ130),BQ85:BQ130,0)),""),"")</f>
        <v>#NUM!</v>
      </c>
      <c r="BS131" s="1" t="e">
        <f ca="1">IF(AND(BS84&gt;0,ABS(MAX(BS85:BS130))&gt;ABS(MIN(BS85:BS130))),IF(MAX(BS85:BS130)&lt;&gt;0,INDEX($A85:$A130,MATCH(MAX(BS85:BS130),BS85:BS130,0)),""),"")</f>
        <v>#NUM!</v>
      </c>
      <c r="BU131" s="1" t="e">
        <f ca="1">IF(AND(BU84&gt;0,ABS(MAX(BU85:BU130))&gt;ABS(MIN(BU85:BU130))),IF(MAX(BU85:BU130)&lt;&gt;0,INDEX($A85:$A130,MATCH(MAX(BU85:BU130),BU85:BU130,0)),""),"")</f>
        <v>#NUM!</v>
      </c>
      <c r="BW131" s="64" t="e">
        <f ca="1">INDEX(BX131:CB131,MATCH(MAX(BX84:CB84),BX84:CB84,0))</f>
        <v>#NUM!</v>
      </c>
      <c r="BX131" s="1" t="e">
        <f ca="1">IF(AND(BX84&gt;0,ABS(MAX(BX85:BX130))&gt;ABS(MIN(BX85:BX130))),IF(MAX(BX85:BX130)&lt;&gt;0,INDEX($A85:$A130,MATCH(MAX(BX85:BX130),BX85:BX130,0)),""),"")</f>
        <v>#NUM!</v>
      </c>
      <c r="BY131" s="1" t="e">
        <f ca="1">INDEX($A$85:$A$130,MATCH("Cruce -",BY85:BY130,)+1)</f>
        <v>#N/A</v>
      </c>
      <c r="BZ131" s="1" t="e">
        <f ca="1">IF(AND(BZ84&gt;0,ABS(MAX(BZ85:BZ130))&gt;ABS(MIN(BZ85:BZ130))),IF(MAX(BZ85:BZ130)&lt;&gt;0,INDEX($A85:$A130,MATCH(MAX(BZ85:BZ130),BZ85:BZ130,0)),""),"")</f>
        <v>#NUM!</v>
      </c>
      <c r="CB131" s="1" t="e">
        <f ca="1">IF(AND(CB84&gt;0,ABS(MAX(CB85:CB130))&gt;ABS(MIN(CB85:CB130))),IF(MAX(CB85:CB130)&lt;&gt;0,INDEX($A85:$A130,MATCH(MAX(CB85:CB130),CB85:CB130,0)),""),"")</f>
        <v>#NUM!</v>
      </c>
      <c r="CJ131" s="64">
        <f>INDEX(CK131:CO131,MATCH(MAX(CK84:CO84),CK84:CO84,0))</f>
        <v>5650</v>
      </c>
      <c r="CK131" s="1">
        <f>IF(AND(CK84&gt;0,ABS(MAX(CK85:CK130))&gt;ABS(MIN(CK85:CK130))),IF(MAX(CK85:CK130)&lt;&gt;0,INDEX($A85:$A130,MATCH(MAX(CK85:CK130),CK85:CK130,0)),""),"")</f>
        <v>5600</v>
      </c>
      <c r="CM131" s="1">
        <f>IF(AND(CM84&gt;0,ABS(MAX(CM85:CM130))&gt;ABS(MIN(CM85:CM130))),IF(MAX(CM85:CM130)&lt;&gt;0,INDEX($A85:$A130,MATCH(MAX(CM85:CM130),CM85:CM130,0)),""),"")</f>
        <v>5650</v>
      </c>
      <c r="CO131" s="1" t="str">
        <f>IF(AND(CO84&gt;0,ABS(MAX(CO85:CO130))&gt;ABS(MIN(CO85:CO130))),IF(MAX(CO85:CO130)&lt;&gt;0,INDEX($A85:$A130,MATCH(MAX(CO85:CO130),CO85:CO130,0)),""),"")</f>
        <v/>
      </c>
      <c r="CP131" s="1">
        <f>IF(ABS(MAX(CP85:CP130))&gt;ABS(MIN(CP85:CP130)),IF(MAX(CP85:CP130)&lt;&gt;0,INDEX($A85:$A130,MATCH(MAX(CP85:CP130),CP85:CP130,0)),""),"")</f>
        <v>5600</v>
      </c>
      <c r="CW131" s="1" t="e">
        <f ca="1">IF(ABS(MAX(CW85:CW130))&gt;ABS(MIN(CW85:CW130)),IF(MAX(CW85:CW130)&lt;&gt;0,INDEX($A85:$A130,MATCH(MAX(CW85:CW130),CW85:CW130,0)),""),"")</f>
        <v>#NUM!</v>
      </c>
      <c r="CY131" s="1" t="e">
        <f ca="1">IF(ABS(MAX(CY85:CY130))&gt;ABS(MIN(CY85:CY130)),IF(MAX(CY85:CY130)&lt;&gt;0,INDEX($A85:$A130,MATCH(MAX(CY85:CY130),CY85:CY130,0)),""),"")</f>
        <v>#NUM!</v>
      </c>
      <c r="DH131" s="1" t="str">
        <f t="shared" ref="DH131:DM131" si="536">IF(ABS(MAX(DH85:DH130))&gt;ABS(MIN(DH85:DH130)),IF(MAX(DH85:DH130)&lt;&gt;0,INDEX($A85:$A130,MATCH(MAX(DH85:DH130),DH85:DH130,0)),""),"")</f>
        <v/>
      </c>
      <c r="DI131" s="1">
        <f t="shared" si="536"/>
        <v>5650</v>
      </c>
      <c r="DJ131" s="89" t="str">
        <f>IF(AND(ABS(MAX(DJ85:DJ130))&gt;$DG$83,ABS(INDEX($DG$85:$DG$130,MATCH(MAX(DJ85:DJ130),DJ85:DJ130,0)))&lt;10,1),IF(MAX(DJ85:DJ130)&lt;&gt;0,INDEX($A85:$A130,MATCH(MAX(DJ85:DJ130),DJ85:DJ130,0)),""),"")</f>
        <v/>
      </c>
      <c r="DK131" s="89" t="str">
        <f>IF(AND(ABS(MAX(DK85:DK130))&gt;$DG$83,ABS(INDEX($DG$85:$DG$130,MATCH(MAX(DK85:DK130),DK85:DK130,0)))&lt;10,1),IF(MAX(DK85:DK130)&lt;&gt;0,INDEX($A85:$A130,MATCH(MAX(DK85:DK130),DK85:DK130,0)),""),"")</f>
        <v/>
      </c>
      <c r="DL131" s="1" t="str">
        <f t="shared" si="536"/>
        <v/>
      </c>
      <c r="DM131" s="1" t="str">
        <f t="shared" si="536"/>
        <v/>
      </c>
      <c r="DN131" s="64" t="str">
        <f>DJ131&amp;","&amp;DJ132&amp;","&amp;DK131&amp;","&amp;DK132</f>
        <v>,,,</v>
      </c>
      <c r="DP131" s="1" t="str">
        <f>IF(ABS(MAX(DP85:DP130))&gt;ABS(MIN(DP85:DP130)),IF(MAX(DP85:DP130)&lt;&gt;0,INDEX($A85:$A130,MATCH(MAX(DP85:DP130),DP85:DP130,0)),""),"")</f>
        <v/>
      </c>
      <c r="DQ131" s="1" t="str">
        <f>IF(ABS(MAX(DQ85:DQ130))&gt;ABS(MIN(DQ85:DQ130)),IF(MAX(DQ85:DQ130)&lt;&gt;0,INDEX($A85:$A130,MATCH(MAX(DQ85:DQ130),DQ85:DQ130,0)),""),"")</f>
        <v/>
      </c>
      <c r="DR131" s="1" t="e">
        <f ca="1">IF(ABS(MAX(DR85:DR130))&gt;ABS(MIN(DR85:DR130)),IF(MAX(DR85:DR130)&lt;&gt;0,INDEX($A85:$A130,MATCH(MAX(DR85:DR130),DR85:DR130,0)),""),"")</f>
        <v>#NUM!</v>
      </c>
      <c r="DS131" s="1" t="str">
        <f>IF(ABS(MAX(DS85:DS130))&gt;ABS(MIN(DS85:DS130)),IF(MAX(DS85:DS130)&lt;&gt;0,INDEX($A85:$A130,MATCH(MAX(DS85:DS130),DS85:DS130,0)),""),"")</f>
        <v/>
      </c>
      <c r="ED131" s="103">
        <f>IFERROR(IF(MAX(ED85:ED130)&lt;&gt;0,INDEX($A85:$A130,MATCH(MAX(ED85:ED130),ED85:ED130,0)),""),"")</f>
        <v>5530</v>
      </c>
      <c r="EU131" s="67">
        <v>563.20000000000005</v>
      </c>
      <c r="EV131" s="67" t="s">
        <v>1067</v>
      </c>
      <c r="EW131" s="67">
        <v>485.68</v>
      </c>
      <c r="EX131" s="67" t="s">
        <v>1068</v>
      </c>
      <c r="EY131" s="67">
        <v>5631.28</v>
      </c>
      <c r="EZ131" s="67" t="s">
        <v>1069</v>
      </c>
      <c r="FA131" s="67">
        <v>19867.973000000002</v>
      </c>
      <c r="FB131" s="67" t="s">
        <v>1070</v>
      </c>
      <c r="FC131" s="67" t="s">
        <v>1071</v>
      </c>
      <c r="FD131" s="67" t="s">
        <v>1072</v>
      </c>
      <c r="FE131" s="68" t="s">
        <v>1073</v>
      </c>
      <c r="FF131" s="68" t="s">
        <v>1074</v>
      </c>
    </row>
    <row r="132" spans="1:162" x14ac:dyDescent="0.2">
      <c r="AP132" s="1">
        <v>5700</v>
      </c>
      <c r="AQ132" s="1">
        <v>5700</v>
      </c>
      <c r="BA132" s="1">
        <f>INDEX($A$85:$A$130,MATCH(MAX(BA85:BA130),BA85:BA130,0))</f>
        <v>5870</v>
      </c>
      <c r="BB132" s="38">
        <f>INDEX($A$85:$A$130,MATCH(MIN(BB85:BB130),BB85:BB130,0))</f>
        <v>5870</v>
      </c>
      <c r="BC132" s="1">
        <f>INDEX($A$85:$A$130,MATCH(MAX(BC85:BC130),BC85:BC130,0))</f>
        <v>5870</v>
      </c>
      <c r="BD132" s="38">
        <f>INDEX($A$85:$A$130,MATCH(MIN(BD85:BD130),BD85:BD130,0))</f>
        <v>5870</v>
      </c>
      <c r="BE132" s="1">
        <f>INDEX($A$85:$A$130,MATCH(MAX(BE85:BE130),BE85:BE130,0))</f>
        <v>5840</v>
      </c>
      <c r="BF132" s="38">
        <f>INDEX($A$85:$A$130,MATCH(MIN(BF85:BF130),BF85:BF130,0))</f>
        <v>5430</v>
      </c>
      <c r="BG132" s="38"/>
      <c r="BK132" s="38"/>
      <c r="BM132" s="38"/>
      <c r="BO132" s="38"/>
      <c r="BP132" s="64" t="e">
        <f ca="1">INDEX(BQ132:BU132,MATCH(MIN(BQ84:BU84),BQ84:BU84,0))</f>
        <v>#NUM!</v>
      </c>
      <c r="BQ132" s="1" t="e">
        <f ca="1">IF(AND(BQ84&lt;0,ABS(MIN(BQ85:BQ130))&gt;ABS(MAX(BQ85:BQ130))),IF(MIN(BQ85:BQ130)&lt;&gt;0,INDEX($A85:$A130,MATCH(MIN(BQ85:BQ130),BQ85:BQ130,0)),""),"")</f>
        <v>#NUM!</v>
      </c>
      <c r="BR132" s="38"/>
      <c r="BS132" s="1" t="e">
        <f ca="1">IF(AND(BS84&lt;0,ABS(MIN(BS85:BS130))&gt;ABS(MAX(BS85:BS130))),IF(MIN(BS85:BS130)&lt;&gt;0,INDEX($A85:$A130,MATCH(MIN(BS85:BS130),BS85:BS130,0)),""),"")</f>
        <v>#NUM!</v>
      </c>
      <c r="BT132" s="38"/>
      <c r="BU132" s="1" t="e">
        <f ca="1">IF(AND(BU84&lt;0,ABS(MIN(BU85:BU130))&gt;ABS(MAX(BU85:BU130))),IF(MIN(BU85:BU130)&lt;&gt;0,INDEX($A85:$A130,MATCH(MIN(BU85:BU130),BU85:BU130,0)),""),"")</f>
        <v>#NUM!</v>
      </c>
      <c r="BV132" s="38"/>
      <c r="BW132" s="64" t="e">
        <f ca="1">INDEX(BX132:CB132,MATCH(MIN(BX84:CB84),BX84:CB84,0))</f>
        <v>#NUM!</v>
      </c>
      <c r="BX132" s="1" t="e">
        <f ca="1">IF(AND(BX84&lt;0,ABS(MIN(BX85:BX130))&gt;ABS(MAX(BX85:BX130))),IF(MIN(BX85:BX130)&lt;&gt;0,INDEX($A85:$A130,MATCH(MIN(BX85:BX130),BX85:BX130,0)),""),"")</f>
        <v>#NUM!</v>
      </c>
      <c r="BY132" s="38" t="e">
        <f ca="1">INDEX($A$85:$A$130,MATCH("Cruce -",BY85:BY130,)-1)</f>
        <v>#N/A</v>
      </c>
      <c r="BZ132" s="1" t="e">
        <f ca="1">IF(AND(BZ84&lt;0,ABS(MIN(BZ85:BZ130))&gt;ABS(MAX(BZ85:BZ130))),IF(MIN(BZ85:BZ130)&lt;&gt;0,INDEX($A85:$A130,MATCH(MIN(BZ85:BZ130),BZ85:BZ130,0)),""),"")</f>
        <v>#NUM!</v>
      </c>
      <c r="CA132" s="38"/>
      <c r="CB132" s="1" t="e">
        <f ca="1">IF(AND(CB84&lt;0,ABS(MIN(CB85:CB130))&gt;ABS(MAX(CB85:CB130))),IF(MIN(CB85:CB130)&lt;&gt;0,INDEX($A85:$A130,MATCH(MIN(CB85:CB130),CB85:CB130,0)),""),"")</f>
        <v>#NUM!</v>
      </c>
      <c r="CC132" s="38"/>
      <c r="CE132" s="38"/>
      <c r="CG132" s="38"/>
      <c r="CI132" s="38"/>
      <c r="CJ132" s="64">
        <f>INDEX(CK132:CO132,MATCH(MIN(CK84:CO84),CK84:CO84,0))</f>
        <v>5700</v>
      </c>
      <c r="CK132" s="1" t="str">
        <f>IF(AND(CK84&lt;0,ABS(MIN(CK85:CK130))&gt;ABS(MAX(CK85:CK130))),IF(MIN(CK85:CK130)&lt;&gt;0,INDEX($A85:$A130,MATCH(MIN(CK85:CK130),CK85:CK130,0)),""),"")</f>
        <v/>
      </c>
      <c r="CL132" s="38"/>
      <c r="CM132" s="1" t="str">
        <f>IF(AND(CM84&lt;0,ABS(MIN(CM85:CM130))&gt;ABS(MAX(CM85:CM130))),IF(MIN(CM85:CM130)&lt;&gt;0,INDEX($A85:$A130,MATCH(MIN(CM85:CM130),CM85:CM130,0)),""),"")</f>
        <v/>
      </c>
      <c r="CN132" s="38"/>
      <c r="CO132" s="1">
        <f>IF(AND(CO84&lt;0,ABS(MIN(CO85:CO130))&gt;ABS(MAX(CO85:CO130))),IF(MIN(CO85:CO130)&lt;&gt;0,INDEX($A85:$A130,MATCH(MIN(CO85:CO130),CO85:CO130,0)),""),"")</f>
        <v>5700</v>
      </c>
      <c r="CP132" s="38" t="str">
        <f>IF(ABS(MIN(CP85:CP130))&gt;ABS(MAX(CP85:CP130)),IF(MIN(CP85:CP130)&lt;&gt;0,INDEX($A85:$A130,MATCH(MIN(CP85:CP130),CP85:CP130,0)),""),"")</f>
        <v/>
      </c>
      <c r="CR132" s="38"/>
      <c r="CT132" s="38"/>
      <c r="CV132" s="38"/>
      <c r="CW132" s="38" t="e">
        <f ca="1">IF(ABS(MIN(CW85:CW130))&gt;ABS(MAX(CW85:CW130)),IF(MIN(CW85:CW130)&lt;&gt;0,INDEX($A85:$A130,MATCH(MIN(CW85:CW130),CW85:CW130,0)),""),"")</f>
        <v>#NUM!</v>
      </c>
      <c r="CY132" s="38" t="e">
        <f ca="1">IF(ABS(MIN(CY85:CY130))&gt;ABS(MAX(CY85:CY130)),IF(MIN(CY85:CY130)&lt;&gt;0,INDEX($A85:$A130,MATCH(MIN(CY85:CY130),CY85:CY130,0)),""),"")</f>
        <v>#NUM!</v>
      </c>
      <c r="DB132" s="38"/>
      <c r="DD132" s="38"/>
      <c r="DH132" s="1">
        <f t="shared" ref="DH132:DM132" si="537">IF(ABS(MIN(DH85:DH130))&gt;ABS(MAX(DH85:DH130)),IF(MIN(DH85:DH130)&lt;&gt;0,INDEX($A85:$A130,MATCH(MIN(DH85:DH130),DH85:DH130,0)),""),"")</f>
        <v>5700</v>
      </c>
      <c r="DI132" s="38" t="str">
        <f t="shared" si="537"/>
        <v/>
      </c>
      <c r="DJ132" s="89" t="str">
        <f>IF(AND(ABS(MIN(DJ85:DJ130))&gt;$DG$83,ABS(INDEX($DG$85:$DG$130,MATCH(MIN(DJ85:DJ130),DJ85:DJ130,0)))&lt;10,1),IF(MIN(DJ85:DJ130)&lt;&gt;0,INDEX($A85:$A130,MATCH(MIN(DJ85:DJ130),DJ85:DJ130,0)),""),"")</f>
        <v/>
      </c>
      <c r="DK132" s="89" t="str">
        <f>IF(AND(ABS(MIN(DK85:DK130))&gt;$DG$83,ABS(INDEX($DG$85:$DG$130,MATCH(MIN(DK85:DK130),DK85:DK130,0)))&lt;10,1),IF(MIN(DK85:DK130)&lt;&gt;0,INDEX($A85:$A130,MATCH(MIN(DK85:DK130),DK85:DK130,0)),""),"")</f>
        <v/>
      </c>
      <c r="DL132" s="1">
        <f t="shared" si="537"/>
        <v>5700</v>
      </c>
      <c r="DM132" s="1">
        <f t="shared" si="537"/>
        <v>5700</v>
      </c>
      <c r="DN132" s="64" t="str">
        <f ca="1">BI82&amp;","&amp;BI131&amp;","&amp;ED131&amp;","&amp;ED132</f>
        <v>5840,5430,5530,5550</v>
      </c>
      <c r="DP132" s="1">
        <f>IF(ABS(MIN(DP85:DP130))&gt;ABS(MAX(DP85:DP130)),IF(MIN(DP85:DP130)&lt;&gt;0,INDEX($A85:$A130,MATCH(MIN(DP85:DP130),DP85:DP130,0)),""),"")</f>
        <v>5550</v>
      </c>
      <c r="DQ132" s="38">
        <f>IF(ABS(MIN(DQ85:DQ130))&gt;ABS(MAX(DQ85:DQ130)),IF(MIN(DQ85:DQ130)&lt;&gt;0,INDEX($A85:$A130,MATCH(MIN(DQ85:DQ130),DQ85:DQ130,0)),""),"")</f>
        <v>5700</v>
      </c>
      <c r="DR132" s="1" t="e">
        <f ca="1">IF(ABS(MIN(DR85:DR130))&gt;ABS(MAX(DR85:DR130)),IF(MIN(DR85:DR130)&lt;&gt;0,INDEX($A85:$A130,MATCH(MIN(DR85:DR130),DR85:DR130,0)),""),"")</f>
        <v>#NUM!</v>
      </c>
      <c r="DS132" s="38">
        <f>IF(ABS(MIN(DS85:DS130))&gt;ABS(MAX(DS85:DS130)),IF(MIN(DS85:DS130)&lt;&gt;0,INDEX($A85:$A130,MATCH(MIN(DS85:DS130),DS85:DS130,0)),""),"")</f>
        <v>5700</v>
      </c>
      <c r="DW132" s="38"/>
      <c r="DY132" s="38"/>
      <c r="EA132" s="38"/>
      <c r="ED132" s="103">
        <f>IFERROR(IF(MIN(ED85:ED130)&lt;&gt;0,INDEX($A85:$A130,MATCH(MIN(ED85:ED130),ED85:ED130,0)),""),"")</f>
        <v>5550</v>
      </c>
      <c r="EF132" s="38"/>
      <c r="EH132" s="38"/>
      <c r="EM132" s="38"/>
      <c r="EO132" s="38"/>
      <c r="EU132" s="67">
        <v>563.1</v>
      </c>
      <c r="EV132" s="67" t="s">
        <v>1075</v>
      </c>
      <c r="EW132" s="67">
        <v>485.49</v>
      </c>
      <c r="EX132" s="67" t="s">
        <v>1076</v>
      </c>
      <c r="EY132" s="67">
        <v>5631.28</v>
      </c>
      <c r="EZ132" s="67" t="s">
        <v>1077</v>
      </c>
      <c r="FA132" s="67">
        <v>19867.973000000002</v>
      </c>
      <c r="FB132" s="67" t="s">
        <v>1078</v>
      </c>
      <c r="FC132" s="67" t="s">
        <v>1079</v>
      </c>
      <c r="FD132" s="67" t="s">
        <v>1080</v>
      </c>
      <c r="FE132" s="68" t="s">
        <v>1081</v>
      </c>
      <c r="FF132" s="68" t="s">
        <v>1082</v>
      </c>
    </row>
    <row r="133" spans="1:162" ht="13.5" thickBot="1" x14ac:dyDescent="0.25">
      <c r="A133" s="49">
        <v>25</v>
      </c>
      <c r="D133" s="50">
        <f>+F136-100</f>
        <v>20355.25</v>
      </c>
      <c r="E133" s="82">
        <v>20000</v>
      </c>
      <c r="EU133" s="67">
        <v>563.04</v>
      </c>
      <c r="EV133" s="67" t="s">
        <v>1083</v>
      </c>
      <c r="EW133" s="67">
        <v>485.48</v>
      </c>
      <c r="EX133" s="67" t="s">
        <v>1084</v>
      </c>
      <c r="EY133" s="67">
        <v>5631.28</v>
      </c>
      <c r="EZ133" s="67" t="s">
        <v>1085</v>
      </c>
      <c r="FA133" s="67">
        <v>19867.973000000002</v>
      </c>
      <c r="FB133" s="67" t="s">
        <v>1086</v>
      </c>
      <c r="FC133" s="67" t="s">
        <v>1087</v>
      </c>
      <c r="FD133" s="67" t="s">
        <v>1088</v>
      </c>
      <c r="FE133" s="68" t="s">
        <v>1089</v>
      </c>
      <c r="FF133" s="68" t="s">
        <v>1090</v>
      </c>
    </row>
    <row r="134" spans="1:162" ht="13.5" thickBot="1" x14ac:dyDescent="0.25">
      <c r="A134" s="20" t="s">
        <v>14</v>
      </c>
      <c r="B134" s="45" t="s">
        <v>58</v>
      </c>
      <c r="C134" s="45" t="s">
        <v>58</v>
      </c>
      <c r="D134" s="45" t="s">
        <v>14</v>
      </c>
      <c r="E134" s="20">
        <f>RTD("tos.rtd", ,"MARK", A135)</f>
        <v>20061.449000000001</v>
      </c>
      <c r="F134" s="20">
        <f>+[3]Sheet1!$AD$2</f>
        <v>5826.8235213891576</v>
      </c>
      <c r="AP134" s="1">
        <v>250508</v>
      </c>
      <c r="AS134" s="22" t="str">
        <f>+B135</f>
        <v>250508</v>
      </c>
      <c r="AT134" s="22"/>
      <c r="AU134" s="22" t="str">
        <f>+C135</f>
        <v>250509</v>
      </c>
      <c r="AV134" s="22"/>
      <c r="AW134" s="22" t="str">
        <f>+D135</f>
        <v>250516</v>
      </c>
      <c r="AX134" s="22"/>
      <c r="BA134" s="22" t="str">
        <f>+B135</f>
        <v>250508</v>
      </c>
      <c r="BB134" s="22"/>
      <c r="BC134" s="22" t="str">
        <f>+C135</f>
        <v>250509</v>
      </c>
      <c r="BD134" s="22"/>
      <c r="BE134" s="22" t="str">
        <f>+D135</f>
        <v>250516</v>
      </c>
      <c r="BF134" s="22"/>
      <c r="BG134" s="96"/>
      <c r="BH134" s="1">
        <f ca="1">MAX(BH137:BH189)</f>
        <v>1169</v>
      </c>
      <c r="BI134" s="1">
        <f ca="1">IFERROR(IF(MAX(BH137:BH189)&lt;&gt;0,INDEX(A137:A189,MATCH(MAX(BH137:BH189),BH137:BH189,0)),""),"")</f>
        <v>20200</v>
      </c>
      <c r="BJ134" s="22"/>
      <c r="BK134" s="22"/>
      <c r="BL134" s="22"/>
      <c r="BM134" s="22"/>
      <c r="BN134" s="22"/>
      <c r="BO134" s="22"/>
      <c r="BQ134" s="22" t="e">
        <f ca="1">IF(BR134&gt;BS134,IF(MAX(BQ137:BQ189)&lt;&gt;0,INDEX(A137:A189,MATCH(MAX(BQ137:BQ189),BQ137:BQ189,0)),A136),IF(MIN(BQ137:BQ189)&lt;&gt;0,INDEX(A137:A189,MATCH(MIN(BQ137:BQ189),BQ137:BQ189,0))))</f>
        <v>#NUM!</v>
      </c>
      <c r="BR134" s="22" t="e">
        <f ca="1">+MAX(BQ137:BQ189)</f>
        <v>#NUM!</v>
      </c>
      <c r="BS134" s="22" t="e">
        <f ca="1">ABS(MIN(BQ137:BQ189))</f>
        <v>#NUM!</v>
      </c>
      <c r="BT134" s="22"/>
      <c r="BU134" s="22"/>
      <c r="BV134" s="22"/>
      <c r="BX134" s="22" t="e">
        <f ca="1">IF(BY134&gt;BZ134,IF(MAX(BX137:BX189)&lt;&gt;0,INDEX(G137:G189,MATCH(MAX(BX137:BX189),BX137:BX189,0)),G136),IF(MIN(BX137:BX189)&lt;&gt;0,INDEX(G137:G189,MATCH(MIN(BX137:BX189),BX137:BX189,0))))</f>
        <v>#NUM!</v>
      </c>
      <c r="BY134" s="22" t="e">
        <f ca="1">+MAX(BX137:BX189)</f>
        <v>#NUM!</v>
      </c>
      <c r="BZ134" s="22" t="e">
        <f ca="1">ABS(MIN(BX137:BX189))</f>
        <v>#NUM!</v>
      </c>
      <c r="CA134" s="22"/>
      <c r="CB134" s="22"/>
      <c r="CC134" s="22" t="e">
        <f ca="1">+AVERAGE(BY190:BY191,CA190:CA191,CC190:CC191)</f>
        <v>#N/A</v>
      </c>
      <c r="CD134" s="22"/>
      <c r="CE134" s="22"/>
      <c r="CF134" s="22"/>
      <c r="CG134" s="22"/>
      <c r="CH134" s="22"/>
      <c r="CI134" s="22"/>
      <c r="CK134" s="22">
        <f>IF(CL134&gt;CM134,IF(MAX(CK137:CK189)&lt;&gt;0,INDEX(N137:N189,MATCH(MAX(CK137:CK189),CK137:CK189,0)),N136),IF(MIN(CK137:CK189)&lt;&gt;0,INDEX(N137:N189,MATCH(MIN(CK137:CK189),CK137:CK189,0))))</f>
        <v>0</v>
      </c>
      <c r="CL134" s="22">
        <f>+MAX(CK137:CK189)</f>
        <v>6871.0000000000009</v>
      </c>
      <c r="CM134" s="22">
        <f>ABS(MIN(CK137:CK189))</f>
        <v>882</v>
      </c>
      <c r="CN134" s="22"/>
      <c r="CO134" s="22"/>
      <c r="CP134" s="22"/>
      <c r="CQ134" s="22" t="b">
        <f>IF(CR134&gt;CS134,IF(MAX(CQ137:CQ189)&lt;&gt;0,INDEX(G137:G189,MATCH(MAX(CQ137:CQ189),CQ137:CQ189,0)),G136),IF(MIN(CQ137:CQ189)&lt;&gt;0,INDEX(G137:G189,MATCH(MIN(CQ137:CQ189),CQ137:CQ189,0))))</f>
        <v>0</v>
      </c>
      <c r="CR134" s="22">
        <f>+MAX(CQ137:CQ189)</f>
        <v>0</v>
      </c>
      <c r="CS134" s="22">
        <f>ABS(MIN(CQ137:CQ189))</f>
        <v>0</v>
      </c>
      <c r="CT134" s="22"/>
      <c r="CU134" s="22"/>
      <c r="CV134" s="22"/>
      <c r="CW134" s="22" t="e">
        <f ca="1">IF(CX134&gt;CY134,IF(MAX(CW137:CW189)&lt;&gt;0,INDEX(M137:M189,MATCH(MAX(CW137:CW189),CW137:CW189,0)),M136),IF(MIN(CW137:CW189)&lt;&gt;0,INDEX(M137:M189,MATCH(MIN(CW137:CW189),CW137:CW189,0))))</f>
        <v>#NUM!</v>
      </c>
      <c r="CX134" s="61" t="e">
        <f ca="1">+MAX(CW137:CW189)</f>
        <v>#NUM!</v>
      </c>
      <c r="CY134" s="22" t="e">
        <f ca="1">ABS(MIN(CW137:CW189))</f>
        <v>#NUM!</v>
      </c>
      <c r="DA134" s="22"/>
      <c r="DB134" s="22"/>
      <c r="DC134" s="22"/>
      <c r="DD134" s="22"/>
      <c r="DE134" s="22"/>
      <c r="DF134" s="22"/>
      <c r="DH134" s="22"/>
      <c r="DI134" s="22"/>
      <c r="DJ134" s="22"/>
      <c r="DK134" s="22"/>
      <c r="DL134" s="22"/>
      <c r="DM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E134" s="22"/>
      <c r="EF134" s="22"/>
      <c r="EG134" s="22"/>
      <c r="EH134" s="22"/>
      <c r="EI134" s="22"/>
      <c r="EJ134" s="22"/>
      <c r="EL134" s="22"/>
      <c r="EM134" s="22"/>
      <c r="EN134" s="22"/>
      <c r="EO134" s="22"/>
      <c r="EP134" s="22"/>
      <c r="EQ134" s="22"/>
      <c r="EU134" s="67">
        <v>562.67999999999995</v>
      </c>
      <c r="EV134" s="67" t="s">
        <v>1091</v>
      </c>
      <c r="EW134" s="67">
        <v>485.15</v>
      </c>
      <c r="EX134" s="67" t="s">
        <v>1092</v>
      </c>
      <c r="EY134" s="67">
        <v>5631.28</v>
      </c>
      <c r="EZ134" s="67" t="s">
        <v>1093</v>
      </c>
      <c r="FA134" s="67">
        <v>19867.973000000002</v>
      </c>
      <c r="FB134" s="67" t="s">
        <v>1094</v>
      </c>
      <c r="FC134" s="67" t="s">
        <v>1095</v>
      </c>
      <c r="FD134" s="67" t="s">
        <v>1096</v>
      </c>
      <c r="FE134" s="68" t="s">
        <v>1097</v>
      </c>
      <c r="FF134" s="68" t="s">
        <v>1098</v>
      </c>
    </row>
    <row r="135" spans="1:162" ht="13.5" thickBot="1" x14ac:dyDescent="0.25">
      <c r="A135" s="45" t="s">
        <v>14</v>
      </c>
      <c r="B135" s="45" t="str">
        <f>+B83</f>
        <v>250508</v>
      </c>
      <c r="C135" s="45" t="str">
        <f>+C83</f>
        <v>250509</v>
      </c>
      <c r="D135" s="45" t="str">
        <f>+D83</f>
        <v>250516</v>
      </c>
      <c r="E135" s="45"/>
      <c r="F135" s="18" t="s">
        <v>3</v>
      </c>
      <c r="G135" s="22" t="s">
        <v>2</v>
      </c>
      <c r="AP135" s="1" t="s">
        <v>7</v>
      </c>
      <c r="AQ135" s="1" t="s">
        <v>7</v>
      </c>
      <c r="AS135" s="22" t="s">
        <v>1</v>
      </c>
      <c r="AT135" s="22" t="s">
        <v>1</v>
      </c>
      <c r="AU135" s="22" t="s">
        <v>1</v>
      </c>
      <c r="AV135" s="22" t="s">
        <v>1</v>
      </c>
      <c r="AW135" s="22" t="s">
        <v>1</v>
      </c>
      <c r="AX135" s="25" t="s">
        <v>1</v>
      </c>
      <c r="BA135" s="22" t="s">
        <v>7</v>
      </c>
      <c r="BB135" s="22" t="s">
        <v>7</v>
      </c>
      <c r="BC135" s="22" t="s">
        <v>7</v>
      </c>
      <c r="BD135" s="22" t="s">
        <v>7</v>
      </c>
      <c r="BE135" s="22" t="s">
        <v>7</v>
      </c>
      <c r="BF135" s="25" t="s">
        <v>7</v>
      </c>
      <c r="BG135" s="96"/>
      <c r="BH135" s="1" t="s">
        <v>12</v>
      </c>
      <c r="BJ135" s="22" t="str">
        <f>+BJ83</f>
        <v>GAMMA</v>
      </c>
      <c r="BK135" s="22" t="str">
        <f>+BJ135</f>
        <v>GAMMA</v>
      </c>
      <c r="BL135" s="22" t="str">
        <f>+BK135</f>
        <v>GAMMA</v>
      </c>
      <c r="BM135" s="22" t="str">
        <f>+BL135</f>
        <v>GAMMA</v>
      </c>
      <c r="BN135" s="22" t="str">
        <f>+BM135</f>
        <v>GAMMA</v>
      </c>
      <c r="BO135" s="25" t="str">
        <f>+BN135</f>
        <v>GAMMA</v>
      </c>
      <c r="BQ135" s="22" t="s">
        <v>11</v>
      </c>
      <c r="BR135" s="22"/>
      <c r="BS135" s="22" t="s">
        <v>11</v>
      </c>
      <c r="BT135" s="22"/>
      <c r="BU135" s="22" t="s">
        <v>11</v>
      </c>
      <c r="BV135" s="25"/>
      <c r="BX135" s="22" t="s">
        <v>11</v>
      </c>
      <c r="BY135" s="22"/>
      <c r="BZ135" s="22" t="s">
        <v>11</v>
      </c>
      <c r="CA135" s="22"/>
      <c r="CB135" s="22" t="s">
        <v>11</v>
      </c>
      <c r="CC135" s="25"/>
      <c r="CD135" s="22" t="str">
        <f>+CD83</f>
        <v>DELTA</v>
      </c>
      <c r="CE135" s="22" t="str">
        <f>+CD135</f>
        <v>DELTA</v>
      </c>
      <c r="CF135" s="22" t="str">
        <f>+CE135</f>
        <v>DELTA</v>
      </c>
      <c r="CG135" s="22" t="str">
        <f>+CF135</f>
        <v>DELTA</v>
      </c>
      <c r="CH135" s="22" t="str">
        <f>+CG135</f>
        <v>DELTA</v>
      </c>
      <c r="CI135" s="25" t="str">
        <f>+CH135</f>
        <v>DELTA</v>
      </c>
      <c r="CK135" s="22" t="s">
        <v>20</v>
      </c>
      <c r="CL135" s="22"/>
      <c r="CM135" s="22" t="s">
        <v>20</v>
      </c>
      <c r="CN135" s="22"/>
      <c r="CO135" s="22" t="s">
        <v>20</v>
      </c>
      <c r="CP135" s="25"/>
      <c r="CQ135" s="22" t="s">
        <v>16</v>
      </c>
      <c r="CR135" s="22"/>
      <c r="CS135" s="22" t="s">
        <v>16</v>
      </c>
      <c r="CT135" s="22"/>
      <c r="CU135" s="22" t="s">
        <v>16</v>
      </c>
      <c r="CV135" s="25"/>
      <c r="CW135" s="25" t="s">
        <v>11</v>
      </c>
      <c r="CX135" s="60"/>
      <c r="CY135" s="25" t="s">
        <v>11</v>
      </c>
      <c r="DA135" s="22" t="s">
        <v>25</v>
      </c>
      <c r="DB135" s="22" t="s">
        <v>25</v>
      </c>
      <c r="DC135" s="22" t="s">
        <v>27</v>
      </c>
      <c r="DD135" s="22" t="s">
        <v>27</v>
      </c>
      <c r="DE135" s="22" t="s">
        <v>26</v>
      </c>
      <c r="DF135" s="22" t="s">
        <v>26</v>
      </c>
      <c r="DG135" s="64">
        <v>50</v>
      </c>
      <c r="DH135" s="22"/>
      <c r="DI135" s="22"/>
      <c r="DJ135" s="22"/>
      <c r="DK135" s="22"/>
      <c r="DL135" s="22"/>
      <c r="DM135" s="22"/>
      <c r="DN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E135" s="22" t="str">
        <f>+EE83</f>
        <v>IMPL_VOL</v>
      </c>
      <c r="EF135" s="22" t="str">
        <f>+EE135</f>
        <v>IMPL_VOL</v>
      </c>
      <c r="EG135" s="22" t="str">
        <f>+EF135</f>
        <v>IMPL_VOL</v>
      </c>
      <c r="EH135" s="22" t="str">
        <f>+EG135</f>
        <v>IMPL_VOL</v>
      </c>
      <c r="EI135" s="22" t="str">
        <f>+EH135</f>
        <v>IMPL_VOL</v>
      </c>
      <c r="EJ135" s="22" t="str">
        <f>+EI135</f>
        <v>IMPL_VOL</v>
      </c>
      <c r="EL135" s="22" t="str">
        <f>+EL83</f>
        <v>IMPL_VOL</v>
      </c>
      <c r="EM135" s="22" t="str">
        <f>+EL135</f>
        <v>IMPL_VOL</v>
      </c>
      <c r="EN135" s="22" t="str">
        <f>+EM135</f>
        <v>IMPL_VOL</v>
      </c>
      <c r="EO135" s="22" t="str">
        <f>+EN135</f>
        <v>IMPL_VOL</v>
      </c>
      <c r="EP135" s="22" t="str">
        <f>+EO135</f>
        <v>IMPL_VOL</v>
      </c>
      <c r="EQ135" s="22" t="str">
        <f>+EP135</f>
        <v>IMPL_VOL</v>
      </c>
      <c r="EU135" s="67">
        <v>563.11</v>
      </c>
      <c r="EV135" s="67" t="s">
        <v>1099</v>
      </c>
      <c r="EW135" s="67">
        <v>485.6</v>
      </c>
      <c r="EX135" s="67" t="s">
        <v>1100</v>
      </c>
      <c r="EY135" s="67">
        <v>5631.28</v>
      </c>
      <c r="EZ135" s="67" t="s">
        <v>1101</v>
      </c>
      <c r="FA135" s="67">
        <v>19867.973000000002</v>
      </c>
      <c r="FB135" s="67" t="s">
        <v>1102</v>
      </c>
      <c r="FC135" s="67" t="s">
        <v>1103</v>
      </c>
      <c r="FD135" s="67" t="s">
        <v>1104</v>
      </c>
      <c r="FE135" s="68" t="s">
        <v>1105</v>
      </c>
      <c r="FF135" s="68" t="s">
        <v>1106</v>
      </c>
    </row>
    <row r="136" spans="1:162" ht="13.5" thickBot="1" x14ac:dyDescent="0.25">
      <c r="A136" s="46">
        <f>+E134</f>
        <v>20061.449000000001</v>
      </c>
      <c r="B136" s="27">
        <f>+AS136/AT136</f>
        <v>-1.6385224274406331</v>
      </c>
      <c r="C136" s="27">
        <f>+AU136/AV136</f>
        <v>-1.3062330623306233</v>
      </c>
      <c r="D136" s="27">
        <f>+AW136/AX136</f>
        <v>-1.5535966149506346</v>
      </c>
      <c r="E136" s="28">
        <v>0</v>
      </c>
      <c r="F136" s="47">
        <f>RTD("tos.rtd", ,"MARK", F135)</f>
        <v>20455.25</v>
      </c>
      <c r="G136" s="58">
        <f>RTD("tos.rtd", ,"MARK", G135)</f>
        <v>495.78</v>
      </c>
      <c r="AO136" s="1">
        <v>0</v>
      </c>
      <c r="AP136" s="1">
        <v>14669</v>
      </c>
      <c r="AQ136" s="1">
        <v>-8856</v>
      </c>
      <c r="AS136" s="13">
        <f t="shared" ref="AS136:AX136" si="538">SUM(AS137:AS189)</f>
        <v>621</v>
      </c>
      <c r="AT136" s="29">
        <f t="shared" si="538"/>
        <v>-379</v>
      </c>
      <c r="AU136" s="13">
        <f t="shared" si="538"/>
        <v>964</v>
      </c>
      <c r="AV136" s="29">
        <f t="shared" si="538"/>
        <v>-738</v>
      </c>
      <c r="AW136" s="13">
        <f t="shared" si="538"/>
        <v>2203</v>
      </c>
      <c r="AX136" s="29">
        <f t="shared" si="538"/>
        <v>-1418</v>
      </c>
      <c r="AY136" s="29">
        <f>SUM(AY137:AY189)</f>
        <v>1253</v>
      </c>
      <c r="AZ136" s="1">
        <v>0</v>
      </c>
      <c r="BA136" s="13">
        <f t="shared" ref="BA136:BF136" si="539">SUM(BA137:BA189)</f>
        <v>0</v>
      </c>
      <c r="BB136" s="29">
        <f t="shared" si="539"/>
        <v>0</v>
      </c>
      <c r="BC136" s="13">
        <f t="shared" si="539"/>
        <v>7776</v>
      </c>
      <c r="BD136" s="29">
        <f t="shared" si="539"/>
        <v>-10431</v>
      </c>
      <c r="BE136" s="13">
        <f t="shared" si="539"/>
        <v>297</v>
      </c>
      <c r="BF136" s="29">
        <f t="shared" si="539"/>
        <v>-552</v>
      </c>
      <c r="BG136" s="29"/>
      <c r="BH136" s="29">
        <f ca="1">SUM(BH137:BH189)</f>
        <v>-2910</v>
      </c>
      <c r="BJ136" s="30" t="e">
        <f t="shared" ref="BJ136:BO136" ca="1" si="540">SUM(BJ137:BJ189)</f>
        <v>#NUM!</v>
      </c>
      <c r="BK136" s="31" t="e">
        <f t="shared" ca="1" si="540"/>
        <v>#NUM!</v>
      </c>
      <c r="BL136" s="30" t="e">
        <f t="shared" ca="1" si="540"/>
        <v>#NUM!</v>
      </c>
      <c r="BM136" s="31" t="e">
        <f t="shared" ca="1" si="540"/>
        <v>#NUM!</v>
      </c>
      <c r="BN136" s="30" t="e">
        <f t="shared" ca="1" si="540"/>
        <v>#NUM!</v>
      </c>
      <c r="BO136" s="31" t="e">
        <f t="shared" ca="1" si="540"/>
        <v>#NUM!</v>
      </c>
      <c r="BQ136" s="30" t="e">
        <f ca="1">SUM(BQ137:BQ189)</f>
        <v>#NUM!</v>
      </c>
      <c r="BR136" s="31"/>
      <c r="BS136" s="30" t="e">
        <f ca="1">SUM(BS137:BS189)</f>
        <v>#NUM!</v>
      </c>
      <c r="BT136" s="31"/>
      <c r="BU136" s="30" t="e">
        <f ca="1">SUM(BU137:BU189)</f>
        <v>#NUM!</v>
      </c>
      <c r="BV136" s="31"/>
      <c r="BX136" s="30" t="e">
        <f ca="1">SUM(BX137:BX189)</f>
        <v>#NUM!</v>
      </c>
      <c r="BY136" s="31"/>
      <c r="BZ136" s="30" t="e">
        <f ca="1">SUM(BZ137:BZ189)</f>
        <v>#NUM!</v>
      </c>
      <c r="CA136" s="31"/>
      <c r="CB136" s="30" t="e">
        <f ca="1">SUM(CB137:CB189)</f>
        <v>#NUM!</v>
      </c>
      <c r="CC136" s="31"/>
      <c r="CD136" s="30">
        <f t="shared" ref="CD136:CI136" si="541">SUM(CD154:CD188)</f>
        <v>29.31</v>
      </c>
      <c r="CE136" s="31">
        <f t="shared" si="541"/>
        <v>4.8299999999999983</v>
      </c>
      <c r="CF136" s="30">
        <f t="shared" si="541"/>
        <v>31.73</v>
      </c>
      <c r="CG136" s="31">
        <f t="shared" si="541"/>
        <v>4.6599999999999975</v>
      </c>
      <c r="CH136" s="30">
        <f t="shared" si="541"/>
        <v>24.969999999999995</v>
      </c>
      <c r="CI136" s="31">
        <f t="shared" si="541"/>
        <v>10.38</v>
      </c>
      <c r="CK136" s="30">
        <f>SUM(CK137:CK188)</f>
        <v>24608</v>
      </c>
      <c r="CL136" s="31"/>
      <c r="CM136" s="30">
        <f>SUM(CM137:CM188)</f>
        <v>28380</v>
      </c>
      <c r="CN136" s="31"/>
      <c r="CO136" s="30">
        <f>SUM(CO137:CO188)</f>
        <v>69908</v>
      </c>
      <c r="CP136" s="31">
        <f t="shared" ref="CP136:CP189" si="542">+CK136+CM136+CO136</f>
        <v>122896</v>
      </c>
      <c r="CQ136" s="30">
        <f>SUM(CQ137:CQ189)</f>
        <v>0</v>
      </c>
      <c r="CR136" s="31"/>
      <c r="CS136" s="30">
        <f>SUM(CS137:CS189)</f>
        <v>-2655</v>
      </c>
      <c r="CT136" s="31"/>
      <c r="CU136" s="30">
        <f>SUM(CU137:CU189)</f>
        <v>-255</v>
      </c>
      <c r="CV136" s="31"/>
      <c r="CW136" s="31" t="e">
        <f ca="1">SUM(CW137:CW189)</f>
        <v>#NUM!</v>
      </c>
      <c r="CY136" s="31" t="e">
        <f ca="1">SUM(CY137:CY189)</f>
        <v>#NUM!</v>
      </c>
      <c r="DA136" s="30">
        <f t="shared" ref="DA136:DB136" si="543">SUM(DA137:DA189)</f>
        <v>10184.68</v>
      </c>
      <c r="DB136" s="31">
        <f t="shared" si="543"/>
        <v>2308.94</v>
      </c>
      <c r="DC136" s="30">
        <f t="shared" ref="DC136:DF136" si="544">SUM(DC137:DC189)</f>
        <v>14854.650000000001</v>
      </c>
      <c r="DD136" s="31">
        <f t="shared" si="544"/>
        <v>5705.5000000000045</v>
      </c>
      <c r="DE136" s="30">
        <f t="shared" si="544"/>
        <v>12960.05</v>
      </c>
      <c r="DF136" s="30">
        <f t="shared" si="544"/>
        <v>4522.3999999999996</v>
      </c>
      <c r="DH136" s="30">
        <f t="shared" ref="DH136:DM136" si="545">SUM(DH137:DH189)</f>
        <v>-8299.6868027470318</v>
      </c>
      <c r="DI136" s="31">
        <f t="shared" si="545"/>
        <v>6802.9348224307414</v>
      </c>
      <c r="DJ136" s="30">
        <f t="shared" si="545"/>
        <v>10160</v>
      </c>
      <c r="DK136" s="31">
        <f t="shared" si="545"/>
        <v>-3591</v>
      </c>
      <c r="DL136" s="30">
        <f t="shared" si="545"/>
        <v>-1496.7519803162868</v>
      </c>
      <c r="DM136" s="30">
        <f t="shared" si="545"/>
        <v>6569</v>
      </c>
      <c r="DP136" s="30">
        <f>SUM(DP137:DP189)</f>
        <v>-926306.74230691011</v>
      </c>
      <c r="DQ136" s="31">
        <f>SUM(DQ137:DQ189)</f>
        <v>-127378.07999999997</v>
      </c>
      <c r="DR136" s="30" t="e">
        <f ca="1">SUM(DR137:DR189)</f>
        <v>#NUM!</v>
      </c>
      <c r="DS136" s="31">
        <f>SUM(DS137:DS189)</f>
        <v>324.34999999999985</v>
      </c>
      <c r="DT136" s="30"/>
      <c r="DU136" s="30"/>
      <c r="DV136" s="30"/>
      <c r="DW136" s="31"/>
      <c r="DX136" s="30"/>
      <c r="DY136" s="31"/>
      <c r="DZ136" s="30"/>
      <c r="EA136" s="31"/>
      <c r="EB136" s="30"/>
      <c r="EC136" s="30"/>
      <c r="EE136" s="30">
        <f t="shared" ref="EE136:EJ136" si="546">SUM(EE137:EE189)</f>
        <v>76.651499999999999</v>
      </c>
      <c r="EF136" s="31">
        <f t="shared" si="546"/>
        <v>59.238700000000009</v>
      </c>
      <c r="EG136" s="30">
        <f t="shared" si="546"/>
        <v>36.562299999999993</v>
      </c>
      <c r="EH136" s="31">
        <f t="shared" si="546"/>
        <v>65.27</v>
      </c>
      <c r="EI136" s="30">
        <f t="shared" si="546"/>
        <v>14.656799999999997</v>
      </c>
      <c r="EJ136" s="30">
        <f t="shared" si="546"/>
        <v>15.6717</v>
      </c>
      <c r="EK136" s="63" t="e">
        <f ca="1">SUM(EK137:EK189)</f>
        <v>#NUM!</v>
      </c>
      <c r="EL136" s="30">
        <f t="shared" ref="EL136:EQ136" si="547">SUM(EL137:EL189)</f>
        <v>0</v>
      </c>
      <c r="EM136" s="31">
        <f t="shared" si="547"/>
        <v>0</v>
      </c>
      <c r="EN136" s="30">
        <f t="shared" si="547"/>
        <v>0</v>
      </c>
      <c r="EO136" s="31">
        <f t="shared" si="547"/>
        <v>0</v>
      </c>
      <c r="EP136" s="30">
        <f t="shared" si="547"/>
        <v>0</v>
      </c>
      <c r="EQ136" s="30">
        <f t="shared" si="547"/>
        <v>0</v>
      </c>
      <c r="EU136" s="67">
        <v>563.54999999999995</v>
      </c>
      <c r="EV136" s="67" t="s">
        <v>1107</v>
      </c>
      <c r="EW136" s="67">
        <v>486.17</v>
      </c>
      <c r="EX136" s="67" t="s">
        <v>1108</v>
      </c>
      <c r="EY136" s="67">
        <v>5631.28</v>
      </c>
      <c r="EZ136" s="67" t="s">
        <v>1109</v>
      </c>
      <c r="FA136" s="67">
        <v>19867.973000000002</v>
      </c>
      <c r="FB136" s="67" t="s">
        <v>1110</v>
      </c>
      <c r="FC136" s="67" t="s">
        <v>1111</v>
      </c>
      <c r="FD136" s="67" t="s">
        <v>1112</v>
      </c>
      <c r="FE136" s="68" t="s">
        <v>1113</v>
      </c>
      <c r="FF136" s="68" t="s">
        <v>1114</v>
      </c>
    </row>
    <row r="137" spans="1:162" ht="11.1" customHeight="1" thickBot="1" x14ac:dyDescent="0.25">
      <c r="A137" s="2">
        <f>ROUND(E133/A133,0)*A133+22*A133</f>
        <v>20550</v>
      </c>
      <c r="B137" s="3">
        <f>+IF($A$1="ABS",AS137-AT137,AS137+AT137)</f>
        <v>5</v>
      </c>
      <c r="C137" s="3">
        <f>+IF($A$1="ABS",AU137-AV137,AU137+AV137)</f>
        <v>38</v>
      </c>
      <c r="D137" s="3">
        <f>+IF($A$1="ABS",AW137-AX137,AW137+AX137)</f>
        <v>20</v>
      </c>
      <c r="E137" s="3">
        <f>SUM(B137:D137)</f>
        <v>63</v>
      </c>
      <c r="F137" s="4">
        <f>+$F$136/$A$136*A137</f>
        <v>20953.391128427462</v>
      </c>
      <c r="G137" s="5">
        <f>+$G$136/$A$136*A137</f>
        <v>507.85359522136207</v>
      </c>
      <c r="AM137" s="1">
        <v>-30</v>
      </c>
      <c r="AN137" s="1">
        <v>0</v>
      </c>
      <c r="AO137" s="1">
        <v>20550</v>
      </c>
      <c r="AP137" s="1">
        <v>439</v>
      </c>
      <c r="AQ137" s="1">
        <v>0</v>
      </c>
      <c r="AS137" s="73">
        <f>IF(RTD("tos.rtd",,AS$83,"."&amp;$B$134&amp;$AS$82&amp;"C"&amp;$A137)="N/A",0,RTD("tos.rtd",,AS$83,"."&amp;$B$134&amp;$AS$82&amp;"C"&amp;$A137))</f>
        <v>5</v>
      </c>
      <c r="AT137" s="28">
        <f>-IF(RTD("tos.rtd",,AT$83,"."&amp;$B$134&amp;$AS$82&amp;"P"&amp;$A137)="N/A",0,RTD("tos.rtd",,AT$83,"."&amp;$B$134&amp;$AS$82&amp;"P"&amp;$A137))</f>
        <v>0</v>
      </c>
      <c r="AU137" s="73">
        <f>IF(RTD("tos.rtd",,AU$2,"."&amp;$C$134&amp;$AU$134&amp;"C"&amp;$A137)="N/A",0,RTD("tos.rtd",,AU$2,"."&amp;$C$134&amp;$AU$134&amp;"C"&amp;$A137))</f>
        <v>35</v>
      </c>
      <c r="AV137" s="28">
        <f>-IF(RTD("tos.rtd",,AV$2,"."&amp;$C$134&amp;$AU$134&amp;"P"&amp;$A137)="N/A",0,RTD("tos.rtd",,AV$2,"."&amp;$C$134&amp;$AU$134&amp;"P"&amp;$A137))</f>
        <v>-3</v>
      </c>
      <c r="AW137" s="73">
        <f>IF(RTD("tos.rtd",,AW$2,"."&amp;$D$134&amp;$AW$134&amp;"C"&amp;$A137)="N/A",0,RTD("tos.rtd",,AW$2,"."&amp;$D$134&amp;$AW$134&amp;"C"&amp;$A137))</f>
        <v>14</v>
      </c>
      <c r="AX137" s="28">
        <f>-IF(RTD("tos.rtd",,AX$2,"."&amp;$D$134&amp;$AW$134&amp;"P"&amp;$A137)="N/A",0,RTD("tos.rtd",,AX$2,"."&amp;$D$134&amp;$AW$134&amp;"P"&amp;$A137))</f>
        <v>-6</v>
      </c>
      <c r="AY137" s="75">
        <f>SUM(AS137:AX137)</f>
        <v>45</v>
      </c>
      <c r="AZ137" s="8">
        <f t="shared" ref="AZ137:AZ189" si="548">+A137</f>
        <v>20550</v>
      </c>
      <c r="BA137" s="73">
        <f>IF(RTD("tos.rtd",,BA$43,"."&amp;$B$134&amp;$AS$82&amp;"C"&amp;$A137)="N/A",0,RTD("tos.rtd",,BA$43,"."&amp;$B$134&amp;$AS$82&amp;"C"&amp;$A137))</f>
        <v>0</v>
      </c>
      <c r="BB137" s="28">
        <f>-IF(RTD("tos.rtd",,BB$43,"."&amp;$B$134&amp;$AS$82&amp;"P"&amp;$A137)="N/A",0,RTD("tos.rtd",,BB$43,"."&amp;$B$134&amp;$AS$82&amp;"P"&amp;$A137))</f>
        <v>0</v>
      </c>
      <c r="BC137" s="73">
        <f>IF(RTD("tos.rtd",,BC$2,"."&amp;$C$134&amp;$AU$82&amp;"C"&amp;$A137)="N/A",0,RTD("tos.rtd",,BC$2,"."&amp;$C$134&amp;$AU$82&amp;"C"&amp;$A137))</f>
        <v>61</v>
      </c>
      <c r="BD137" s="28">
        <f>-IF(RTD("tos.rtd",,BD$2,"."&amp;$C$134&amp;$AU$82&amp;"P"&amp;$A137)="N/A",0,RTD("tos.rtd",,BD$2,"."&amp;$C$134&amp;$AU$82&amp;"P"&amp;$A137))</f>
        <v>0</v>
      </c>
      <c r="BE137" s="73">
        <f>IF(RTD("tos.rtd",,BE$2,"."&amp;$D$134&amp;$AW$82&amp;"C"&amp;$A137)="N/A",0,RTD("tos.rtd",,BE$2,"."&amp;$D$134&amp;$AW$82&amp;"C"&amp;$A137))</f>
        <v>6</v>
      </c>
      <c r="BF137" s="28">
        <f>-IF(RTD("tos.rtd",,BF$2,"."&amp;$D$134&amp;$AW$82&amp;"P"&amp;$A137)="N/A",0,RTD("tos.rtd",,BF$2,"."&amp;$D$134&amp;$AW$82&amp;"P"&amp;$A137))</f>
        <v>0</v>
      </c>
      <c r="BG137" s="28">
        <f ca="1">+Hoja2!Y138</f>
        <v>1</v>
      </c>
      <c r="BH137" s="31">
        <f t="shared" ref="BH137:BH189" ca="1" si="549">SUM(BA137:BG137)</f>
        <v>68</v>
      </c>
      <c r="BJ137" s="3" t="e">
        <f ca="1">IF($BP$1=1,DX137,IF(RTD("tos.rtd",,BJ$43,"."&amp;$B$134&amp;$AS$82&amp;"C"&amp;$A137)="N/A",0,RTD("tos.rtd",,BJ$43,"."&amp;$B$134&amp;$AS$82&amp;"C"&amp;$A137)))</f>
        <v>#NUM!</v>
      </c>
      <c r="BK137" s="3" t="e">
        <f ca="1">IF($BP$1=1,DY137,-IF(RTD("tos.rtd",,BK$43,"."&amp;$B$134&amp;$AS$82&amp;"P"&amp;$A137)="N/A",0,RTD("tos.rtd",,BK$43,"."&amp;$B$134&amp;$AS$82&amp;"P"&amp;$A137)))</f>
        <v>#NUM!</v>
      </c>
      <c r="BL137" s="3" t="e">
        <f ca="1">IF($BP$1=1,DZ137,IF(RTD("tos.rtd",,BL$2,"."&amp;$C$134&amp;$AU$82&amp;"C"&amp;$A137)="N/A",0,RTD("tos.rtd",,BL$2,"."&amp;$C$134&amp;$AU$82&amp;"C"&amp;$A137)))</f>
        <v>#NUM!</v>
      </c>
      <c r="BM137" s="3" t="e">
        <f ca="1">IF($BP$1=1,EA137,-IF(RTD("tos.rtd",,BM$2,"."&amp;$C$134&amp;$AU$82&amp;"P"&amp;$A137)="N/A",0,RTD("tos.rtd",,BM$2,"."&amp;$C$134&amp;$AU$82&amp;"P"&amp;$A137)))</f>
        <v>#NUM!</v>
      </c>
      <c r="BN137" s="3" t="e">
        <f ca="1">IF($BP$1=1,EB137,IF(RTD("tos.rtd",,BN$2,"."&amp;$D$134&amp;$AW$82&amp;"C"&amp;$A137)="N/A",0,RTD("tos.rtd",,BN$2,"."&amp;$D$134&amp;$AW$82&amp;"C"&amp;$A137)))</f>
        <v>#NUM!</v>
      </c>
      <c r="BO137" s="3" t="e">
        <f ca="1">IF($BP$1=1,EC137,-IF(RTD("tos.rtd",,BO$2,"."&amp;$D$134&amp;$AW$82&amp;"P"&amp;$A137)="N/A",0,RTD("tos.rtd",,BO$2,"."&amp;$D$134&amp;$AW$82&amp;"P"&amp;$A137)))</f>
        <v>#NUM!</v>
      </c>
      <c r="BQ137" s="3" t="e">
        <f ca="1">+$A$84*$A$84*AS137*BJ137-$A$84*$A$84*AT137*BK137</f>
        <v>#NUM!</v>
      </c>
      <c r="BR137" s="3" t="e">
        <f t="shared" ref="BR137:BR188" ca="1" si="550">IF(AND(BQ137&lt;0,BQ136&gt;0), "Cruce -", IF(AND(BQ137&gt;0,BQ136&lt;0),"Cruce +", ""))</f>
        <v>#NUM!</v>
      </c>
      <c r="BS137" s="3" t="e">
        <f ca="1">+$A$84*$A$84*AU137*BL137-$A$84*$A$84*AV137*BM137</f>
        <v>#NUM!</v>
      </c>
      <c r="BT137" s="3" t="e">
        <f t="shared" ref="BT137:BV188" ca="1" si="551">IF(AND(BS137&lt;0,BS136&gt;0), "Cruce -", IF(AND(BS137&gt;0,BS136&lt;0),"Cruce +", ""))</f>
        <v>#NUM!</v>
      </c>
      <c r="BU137" s="3" t="e">
        <f ca="1">+$A$84*$A$84*AW137*BN137-$A$84*$A$84*AX137*BO137</f>
        <v>#NUM!</v>
      </c>
      <c r="BV137" s="3"/>
      <c r="BX137" s="3" t="e">
        <f ca="1">+$A$44*$A$44*BA137*BJ137-$A$44*$A$44*BB137*BK137</f>
        <v>#NUM!</v>
      </c>
      <c r="BY137" s="3"/>
      <c r="BZ137" s="3" t="e">
        <f ca="1">+$A$44*$A$44*BC137*BL137-$A$44*$A$44*BD137*BM137</f>
        <v>#NUM!</v>
      </c>
      <c r="CA137" s="3"/>
      <c r="CB137" s="3" t="e">
        <f ca="1">+$A$44*$A$44*BE137*BN137-$A$44*$A$44*BF137*BO137</f>
        <v>#NUM!</v>
      </c>
      <c r="CC137" s="3"/>
      <c r="CD137" s="3">
        <f>IF(RTD("tos.rtd",,CD$43,"."&amp;$B$134&amp;$AS$82&amp;"C"&amp;$A137)="N/A",0,RTD("tos.rtd",,CD$43,"."&amp;$B$134&amp;$AS$82&amp;"C"&amp;$A137))</f>
        <v>0</v>
      </c>
      <c r="CE137" s="3">
        <f>-IF(RTD("tos.rtd",,CE$43,"."&amp;$B$134&amp;$AS$82&amp;"P"&amp;$A137)="N/A",0,RTD("tos.rtd",,CE$43,"."&amp;$B$134&amp;$AS$82&amp;"P"&amp;$A137))</f>
        <v>1</v>
      </c>
      <c r="CF137" s="3">
        <f>IF(RTD("tos.rtd",,CF$2,"."&amp;$C$134&amp;$AU$82&amp;"C"&amp;$A137)="N/A",0,RTD("tos.rtd",,CF$2,"."&amp;$C$134&amp;$AU$82&amp;"C"&amp;$A137))</f>
        <v>7.0000000000000007E-2</v>
      </c>
      <c r="CG137" s="3">
        <f>-IF(RTD("tos.rtd",,CG$2,"."&amp;$C$134&amp;$AU$82&amp;"P"&amp;$A137)="N/A",0,RTD("tos.rtd",,CG$2,"."&amp;$C$134&amp;$AU$82&amp;"P"&amp;$A137))</f>
        <v>1</v>
      </c>
      <c r="CH137" s="3">
        <f>IF(RTD("tos.rtd",,CH$2,"."&amp;$D$134&amp;$AW$82&amp;"C"&amp;$A137)="N/A",0,RTD("tos.rtd",,CH$2,"."&amp;$D$134&amp;$AW$82&amp;"C"&amp;$A137))</f>
        <v>0.21</v>
      </c>
      <c r="CI137" s="3">
        <f>-IF(RTD("tos.rtd",,CI$2,"."&amp;$D$134&amp;$AW$82&amp;"P"&amp;$A137)="N/A",0,RTD("tos.rtd",,CI$2,"."&amp;$D$134&amp;$AW$82&amp;"P"&amp;$A137))</f>
        <v>0.77</v>
      </c>
      <c r="CK137" s="3">
        <f>+AS137*CD137*100+AT137*CE137*100</f>
        <v>0</v>
      </c>
      <c r="CL137" s="3"/>
      <c r="CM137" s="3">
        <f>+AU137*CF137*100+AV137*CG137*100</f>
        <v>-54.999999999999972</v>
      </c>
      <c r="CN137" s="3"/>
      <c r="CO137" s="3">
        <f>+AW137*CH137*100+AX137*CI137*100</f>
        <v>-168</v>
      </c>
      <c r="CP137" s="3">
        <f t="shared" si="542"/>
        <v>-222.99999999999997</v>
      </c>
      <c r="CQ137" s="3">
        <f t="shared" ref="CQ137:CQ189" si="552">+BA137+BB137</f>
        <v>0</v>
      </c>
      <c r="CR137" s="3"/>
      <c r="CS137" s="3">
        <f t="shared" ref="CS137:CS189" si="553">+BC137+BD137</f>
        <v>61</v>
      </c>
      <c r="CT137" s="3"/>
      <c r="CU137" s="3">
        <f t="shared" ref="CU137:CU189" si="554">+BE137+BF137</f>
        <v>6</v>
      </c>
      <c r="CV137" s="3"/>
      <c r="CW137" s="3" t="e">
        <f t="shared" ref="CW137:CW189" ca="1" si="555">+BQ137+BS137+BU137</f>
        <v>#NUM!</v>
      </c>
      <c r="CY137" s="3" t="e">
        <f t="shared" ref="CY137:CY189" ca="1" si="556">+BX137+BZ137+CB137</f>
        <v>#NUM!</v>
      </c>
      <c r="DA137" s="3">
        <f>IF(RTD("tos.rtd",,DA$43,"."&amp;$B$134&amp;$AS$82&amp;"C"&amp;$A137)="N/A",0,RTD("tos.rtd",,DA$43,"."&amp;$B$134&amp;$AS$82&amp;"C"&amp;$A137))</f>
        <v>0.1</v>
      </c>
      <c r="DB137" s="3">
        <f>IF(RTD("tos.rtd",,DB$43,"."&amp;$B$134&amp;$AS$82&amp;"P"&amp;$A137)="N/A",0,RTD("tos.rtd",,DB$43,"."&amp;$B$134&amp;$AS$82&amp;"P"&amp;$A137))</f>
        <v>0</v>
      </c>
      <c r="DC137" s="3">
        <f>IF(RTD("tos.rtd",,DC$43,"."&amp;$B$134&amp;$AS$82&amp;"C"&amp;$A137)="N/A",0,RTD("tos.rtd",,DC$43,"."&amp;$B$134&amp;$AS$82&amp;"C"&amp;$A137))</f>
        <v>0.1</v>
      </c>
      <c r="DD137" s="3">
        <f>IF(RTD("tos.rtd",,DD$43,"."&amp;$B$134&amp;$AS$82&amp;"P"&amp;$A137)="N/A",0,RTD("tos.rtd",,DD$43,"."&amp;$B$134&amp;$AS$82&amp;"P"&amp;$A137))</f>
        <v>522</v>
      </c>
      <c r="DE137" s="3">
        <f>IF(RTD("tos.rtd",,DE$43,"."&amp;$B$134&amp;$AS$82&amp;"C"&amp;$A137)="N/A",0,RTD("tos.rtd",,DE$43,"."&amp;$B$134&amp;$AS$82&amp;"C"&amp;$A137))</f>
        <v>0</v>
      </c>
      <c r="DF137" s="3">
        <f>IF(RTD("tos.rtd",,DF$43,"."&amp;$B$134&amp;$AS$82&amp;"P"&amp;$A137)="N/A",0,RTD("tos.rtd",,DF$43,"."&amp;$B$134&amp;$AS$82&amp;"P"&amp;$A137))</f>
        <v>449.7</v>
      </c>
      <c r="DG137" s="86">
        <f>+$A137-$A$136</f>
        <v>488.55099999999948</v>
      </c>
      <c r="DH137" s="3">
        <f t="shared" ref="DH137:DH189" si="557">((DA137-DE137)/(DC137-DE137))*(BA137-AP137)</f>
        <v>-439</v>
      </c>
      <c r="DI137" s="3">
        <f t="shared" ref="DI137:DI189" si="558">((DB137-DF137)/(DD137-DF137))*(BB137-AQ137)</f>
        <v>0</v>
      </c>
      <c r="DJ137" s="3">
        <f t="shared" ref="DJ137:DJ188" si="559">IF(DA137&gt;=(DE137+(DC137-DE137)*0.6),(BA137-AP137),IF(DA137&lt;=(DE137+(DC137-DE137)*0.4),-(BA137-AP137),0))</f>
        <v>-439</v>
      </c>
      <c r="DK137" s="3">
        <f t="shared" ref="DK137:DK188" si="560">IF(DB137&lt;=(DF137+(DD137-DF137)*0.4),-(BB137-AQ137),IF(DB137&gt;=(DF137+(DD137-DF137)*0.6),(BB137-AQ137),0))</f>
        <v>0</v>
      </c>
      <c r="DL137" s="3">
        <f t="shared" ref="DL137:DL189" si="561">+DH137+DI137</f>
        <v>-439</v>
      </c>
      <c r="DM137" s="3">
        <f t="shared" ref="DM137:DM189" si="562">+DJ137+DK137</f>
        <v>-439</v>
      </c>
      <c r="DN137" s="64" t="str">
        <f t="shared" ref="DN137:DN189" si="563">IF(AND(DA137&gt;=(DE137+(DC137-DE137)*0.6),BA137&gt;AP137),"BUY",IF(AND(DA137&lt;=(DE137+(DC137-DE137)*0.4),BA137&gt;AP137),"SELL","UNKNOWN"))</f>
        <v>UNKNOWN</v>
      </c>
      <c r="DO137" s="64" t="str">
        <f t="shared" ref="DO137:DO189" si="564">IF(AND(DB137&gt;=(DF137+(DD137-DF137)*0.6),ABS(BB137)&gt;ABS(AQ137)),"BUY",IF(AND(DB137&lt;=(DF137+(DD137-DF137)*0.4),ABS(BB137)&gt;ABS(AQ137)),"SELL","UNKNOWN"))</f>
        <v>UNKNOWN</v>
      </c>
      <c r="DP137" s="3">
        <f t="shared" ref="DP137:DP189" si="565">+DH137*DA137+DI137*DB137</f>
        <v>-43.900000000000006</v>
      </c>
      <c r="DQ137" s="3">
        <f t="shared" ref="DQ137:DQ189" si="566">+DA137*DJ137+DB137*DK137</f>
        <v>-43.900000000000006</v>
      </c>
      <c r="DR137" s="3" t="e">
        <f t="shared" ref="DR137:DR189" ca="1" si="567">+BJ137*DJ137+BK137*DK137</f>
        <v>#NUM!</v>
      </c>
      <c r="DS137" s="3">
        <f t="shared" ref="DS137:DS189" si="568">+CD137*DJ137+CE137*DK137</f>
        <v>0</v>
      </c>
      <c r="DT137" s="3">
        <f>BA137-VLOOKUP(AZ137,$AO$137:$AQ$189,2,FALSE)</f>
        <v>-439</v>
      </c>
      <c r="DU137" s="3">
        <f>BB137-VLOOKUP(AZ137,$AO$137:$AQ$189,3,FALSE)</f>
        <v>0</v>
      </c>
      <c r="DV137" s="3">
        <f t="shared" ref="DV137:DV189" si="569">AM137+IF(DN137="BUY",DT137,IF(DN137="SELL",-DT137,0))</f>
        <v>-30</v>
      </c>
      <c r="DW137" s="3">
        <f t="shared" ref="DW137:DW189" si="570">AN137+IF(DO137="BUY",DU137,IF(DO137="SELL",-DU137,0))</f>
        <v>0</v>
      </c>
      <c r="DX137" s="3" t="e">
        <f t="shared" ref="DX137:DX168" ca="1" si="571">(EXP(-POWER((LN($A$136/$A137)+($EC$1+POWER($EE137,2)/2)*($EM$1/$DY$1))/($EE137*SQRT($EM$1/$DY$1)),2)/2)/SQRT(2*PI())/($A$136*$EE137*SQRT($EM$1/$DY$1)))</f>
        <v>#NUM!</v>
      </c>
      <c r="DY137" s="3" t="e">
        <f t="shared" ref="DY137:DY168" ca="1" si="572">-(EXP(-POWER((LN($A$136/$A137)+($EC$1+POWER($EF137,2)/2)*($EM$1/$DY$1))/($EF137*SQRT($EM$1/$DY$1)),2)/2)/SQRT(2*PI())/($A$136*$EF137*SQRT($EM$1/$DY$1)))</f>
        <v>#NUM!</v>
      </c>
      <c r="DZ137" s="3" t="e">
        <f t="shared" ref="DZ137:DZ168" ca="1" si="573">(EXP(-POWER((LN($A$136/$A137)+($EC$1+POWER($EG137,2)/2)*($EO$1/$DY$1))/($EG137*SQRT($EO$1/$DY$1)),2)/2)/SQRT(2*PI())/($A$136*$EG137*SQRT($EO$1/$DY$1)))</f>
        <v>#NUM!</v>
      </c>
      <c r="EA137" s="3" t="e">
        <f t="shared" ref="EA137:EA168" ca="1" si="574">-(EXP(-POWER((LN($A$136/$A137)+($EC$1+POWER($EH137,2)/2)*($EO$1/$DY$1))/($EH137*SQRT($EO$1/$DY$1)),2)/2)/SQRT(2*PI())/($A$136*$EH137*SQRT($EO$1/$DY$1)))</f>
        <v>#NUM!</v>
      </c>
      <c r="EB137" s="3" t="e">
        <f t="shared" ref="EB137:EB168" ca="1" si="575">(EXP(-POWER((LN($A$136/$A137)+($EC$1+POWER($EI137,2)/2)*($EO$1/$DY$1))/($EI137*SQRT($EO$1/$DY$1)),2)/2)/SQRT(2*PI())/($A$136*$EI137*SQRT($EO$1/$DY$1)))</f>
        <v>#NUM!</v>
      </c>
      <c r="EC137" s="3" t="e">
        <f t="shared" ref="EC137:EC168" ca="1" si="576">-(EXP(-POWER((LN($A$136/$A137)+($EC$1+POWER($EJ137,2)/2)*($EO$1/$DY$1))/($EJ137*SQRT($EO$1/$DY$1)),2)/2)/SQRT(2*PI())/($A$136*$EJ137*SQRT($EO$1/$DY$1)))</f>
        <v>#NUM!</v>
      </c>
      <c r="ED137" s="63">
        <f>+DV137+DW137</f>
        <v>-30</v>
      </c>
      <c r="EE137" s="59">
        <f t="shared" ref="EE137:EE189" si="577">IFERROR(VALUE(IF(OR(EL137="--",EL137="0.00%"),$EE$1,EL137)),$EE$1)</f>
        <v>1.0427999999999999</v>
      </c>
      <c r="EF137" s="59">
        <f t="shared" ref="EF137:EF189" si="578">IFERROR(VALUE(IF(OR(EM137="--",EM137="0.00%"),$EE$1,EM137)),$EE$1)</f>
        <v>0.25</v>
      </c>
      <c r="EG137" s="59">
        <f t="shared" ref="EG137:EG189" si="579">IFERROR(VALUE(IF(OR(EN137="--",EN137="0.00%"),$EE$1,EN137)),$EE$1)</f>
        <v>2.1414</v>
      </c>
      <c r="EH137" s="59">
        <f t="shared" ref="EH137:EH189" si="580">IFERROR(VALUE(IF(OR(EO137="--",EO137="0.00%"),$EE$1,EO137)),$EE$1)</f>
        <v>0.25</v>
      </c>
      <c r="EI137" s="59">
        <f t="shared" ref="EI137:EI189" si="581">IFERROR(VALUE(IF(OR(EP137="--",EP137="0.00%"),$EE$1,EP137)),$EE$1)</f>
        <v>0.2606</v>
      </c>
      <c r="EJ137" s="59">
        <f t="shared" ref="EJ137:EJ189" si="582">IFERROR(VALUE(IF(OR(EQ137="--",EQ137="0.00%"),$EE$1,EQ137)),$EE$1)</f>
        <v>0.28129999999999999</v>
      </c>
      <c r="EK137" s="63" t="e">
        <f ca="1">+DV137*DX137*$A$136*$A$136+DW137*DY137*$A$136*$A$136</f>
        <v>#NUM!</v>
      </c>
      <c r="EL137" s="3" t="str">
        <f>RTD("tos.rtd",,EL$43,"."&amp;$B$134&amp;$AS$82&amp;"C"&amp;$A137)</f>
        <v>104.28%</v>
      </c>
      <c r="EM137" s="3" t="str">
        <f>RTD("tos.rtd",,EM$43,"."&amp;$B$134&amp;$AS$82&amp;"P"&amp;$A137)</f>
        <v>--</v>
      </c>
      <c r="EN137" s="3" t="str">
        <f>RTD("tos.rtd",,EN$2,"."&amp;$C$134&amp;$AU$82&amp;"C"&amp;$A137)</f>
        <v>214.14%</v>
      </c>
      <c r="EO137" s="3" t="str">
        <f>RTD("tos.rtd",,EO$2,"."&amp;$C$134&amp;$AU$82&amp;"P"&amp;$A137)</f>
        <v>--</v>
      </c>
      <c r="EP137" s="3" t="str">
        <f>RTD("tos.rtd",,EP$2,"."&amp;$D$134&amp;$AW$82&amp;"C"&amp;$A137)</f>
        <v>26.06%</v>
      </c>
      <c r="EQ137" s="3" t="str">
        <f>RTD("tos.rtd",,EQ$2,"."&amp;$D$134&amp;$AW$82&amp;"P"&amp;$A137)</f>
        <v>28.13%</v>
      </c>
      <c r="ES137" s="63" t="str">
        <f t="shared" ref="ES137:ES189" si="583">IFERROR(
    A137 &amp; "," &amp; TEXT(IF(ISNUMBER(DV137+DW137), DV137+DW137, 0), "00.00"),    "Error"
)</f>
        <v>20550,-30.00</v>
      </c>
      <c r="ET137" s="63" t="str">
        <f t="shared" ref="ET137:ET189" ca="1" si="584">IF(ISERROR(
    A137 &amp; "," &amp; TEXT(
        IF($E$1="GEX-VOL", IF(ISNUMBER(BX137+BZ137+CB137), (BX137+BZ137+CB137)/1000, 0),
           IF($E$1="GEX-OI", IF(ISNUMBER(BQ137+BS137+BU137), (BQ137+BS137+BU137)/1000, 0),
               IF($E$1="DEX",IF(ISNUMBER(CK137+CM137+CO137), (CK137+CM137+CO137)/1000, 0),
                  IF($E$1="VOLPRES",IF(ISNUMBER(DJ137+DK137), (DJ137+DK137), 0),
                     IF(ISNUMBER(EK137), (EK137), 0)
        )))),
    "00.00")
), "Error",
A137 &amp; "," &amp; TEXT(
        IF($E$1="GEX-VOL", IF(ISNUMBER(BX137+BZ137+CB137), (BX137+BZ137+CB137)/1000, 0),
           IF($E$1="GEX-OI", IF(ISNUMBER(BQ137+BS137+BU137), (BQ137+BS137+BU137)/1000, 0),
               IF($E$1="DEX", IF(ISNUMBER(CK137+CM137+CO137), (CK137+CM137+CO137)/1000, 0),
                  IF($E$1="VOLPRES",IF(ISNUMBER(DJ137+DK137), (DJ137+DK137), 0),
                    IF(ISNUMBER(EK137), (EK137), 0)
        )))),
    "00.00")
)</f>
        <v>20550,00.00</v>
      </c>
      <c r="EU137" s="67">
        <v>564.01</v>
      </c>
      <c r="EV137" s="67" t="s">
        <v>1115</v>
      </c>
      <c r="EW137" s="67">
        <v>486.5</v>
      </c>
      <c r="EX137" s="67" t="s">
        <v>1116</v>
      </c>
      <c r="EY137" s="67">
        <v>5631.28</v>
      </c>
      <c r="EZ137" s="67" t="s">
        <v>1117</v>
      </c>
      <c r="FA137" s="67">
        <v>19867.973000000002</v>
      </c>
      <c r="FB137" s="67" t="s">
        <v>1118</v>
      </c>
      <c r="FC137" s="67" t="s">
        <v>1119</v>
      </c>
      <c r="FD137" s="67" t="s">
        <v>1120</v>
      </c>
      <c r="FE137" s="68" t="s">
        <v>1121</v>
      </c>
      <c r="FF137" s="68" t="s">
        <v>1122</v>
      </c>
    </row>
    <row r="138" spans="1:162" ht="11.1" customHeight="1" thickBot="1" x14ac:dyDescent="0.25">
      <c r="A138" s="2">
        <f>+A137-$A$133</f>
        <v>20525</v>
      </c>
      <c r="B138" s="3">
        <f>+IF($A$1="ABS",AS138-AT138,AS138+AT138)</f>
        <v>4</v>
      </c>
      <c r="C138" s="3">
        <f>+IF($A$1="ABS",AU138-AV138,AU138+AV138)</f>
        <v>8</v>
      </c>
      <c r="D138" s="3">
        <f>+IF($A$1="ABS",AW138-AX138,AW138+AX138)</f>
        <v>13</v>
      </c>
      <c r="E138" s="3">
        <f>SUM(B138:D138)</f>
        <v>25</v>
      </c>
      <c r="F138" s="4">
        <f>+$F$136/$A$136*A138</f>
        <v>20927.900384962224</v>
      </c>
      <c r="G138" s="5">
        <f>+$G$136/$A$136*A138</f>
        <v>507.23576846318525</v>
      </c>
      <c r="AM138" s="1">
        <v>37</v>
      </c>
      <c r="AN138" s="1">
        <v>0</v>
      </c>
      <c r="AO138" s="1">
        <v>20525</v>
      </c>
      <c r="AP138" s="1">
        <v>51</v>
      </c>
      <c r="AQ138" s="1">
        <v>0</v>
      </c>
      <c r="AS138" s="54">
        <f>IF(RTD("tos.rtd",,AS$83,"."&amp;$B$134&amp;$AS$82&amp;"C"&amp;$A138)="N/A",0,RTD("tos.rtd",,AS$83,"."&amp;$B$134&amp;$AS$82&amp;"C"&amp;$A138))</f>
        <v>4</v>
      </c>
      <c r="AT138" s="3">
        <f>-IF(RTD("tos.rtd",,AT$83,"."&amp;$B$134&amp;$AS$82&amp;"P"&amp;$A138)="N/A",0,RTD("tos.rtd",,AT$83,"."&amp;$B$134&amp;$AS$82&amp;"P"&amp;$A138))</f>
        <v>0</v>
      </c>
      <c r="AU138" s="54">
        <f>IF(RTD("tos.rtd",,AU$2,"."&amp;$C$134&amp;$AU$134&amp;"C"&amp;$A138)="N/A",0,RTD("tos.rtd",,AU$2,"."&amp;$C$134&amp;$AU$134&amp;"C"&amp;$A138))</f>
        <v>8</v>
      </c>
      <c r="AV138" s="3">
        <f>-IF(RTD("tos.rtd",,AV$2,"."&amp;$C$134&amp;$AU$134&amp;"P"&amp;$A138)="N/A",0,RTD("tos.rtd",,AV$2,"."&amp;$C$134&amp;$AU$134&amp;"P"&amp;$A138))</f>
        <v>0</v>
      </c>
      <c r="AW138" s="54">
        <f>IF(RTD("tos.rtd",,AW$2,"."&amp;$D$134&amp;$AW$134&amp;"C"&amp;$A138)="N/A",0,RTD("tos.rtd",,AW$2,"."&amp;$D$134&amp;$AW$134&amp;"C"&amp;$A138))</f>
        <v>7</v>
      </c>
      <c r="AX138" s="3">
        <f>-IF(RTD("tos.rtd",,AX$2,"."&amp;$D$134&amp;$AW$134&amp;"P"&amp;$A138)="N/A",0,RTD("tos.rtd",,AX$2,"."&amp;$D$134&amp;$AW$134&amp;"P"&amp;$A138))</f>
        <v>-6</v>
      </c>
      <c r="AY138" s="76">
        <f>SUM(AS138:AX138)</f>
        <v>13</v>
      </c>
      <c r="AZ138" s="8">
        <f t="shared" si="548"/>
        <v>20525</v>
      </c>
      <c r="BA138" s="54">
        <f>IF(RTD("tos.rtd",,BA$43,"."&amp;$B$134&amp;$AS$82&amp;"C"&amp;$A138)="N/A",0,RTD("tos.rtd",,BA$43,"."&amp;$B$134&amp;$AS$82&amp;"C"&amp;$A138))</f>
        <v>0</v>
      </c>
      <c r="BB138" s="3">
        <f>-IF(RTD("tos.rtd",,BB$43,"."&amp;$B$134&amp;$AS$82&amp;"P"&amp;$A138)="N/A",0,RTD("tos.rtd",,BB$43,"."&amp;$B$134&amp;$AS$82&amp;"P"&amp;$A138))</f>
        <v>0</v>
      </c>
      <c r="BC138" s="54">
        <f>IF(RTD("tos.rtd",,BC$2,"."&amp;$C$134&amp;$AU$82&amp;"C"&amp;$A138)="N/A",0,RTD("tos.rtd",,BC$2,"."&amp;$C$134&amp;$AU$82&amp;"C"&amp;$A138))</f>
        <v>31</v>
      </c>
      <c r="BD138" s="3">
        <f>-IF(RTD("tos.rtd",,BD$2,"."&amp;$C$134&amp;$AU$82&amp;"P"&amp;$A138)="N/A",0,RTD("tos.rtd",,BD$2,"."&amp;$C$134&amp;$AU$82&amp;"P"&amp;$A138))</f>
        <v>0</v>
      </c>
      <c r="BE138" s="54">
        <f>IF(RTD("tos.rtd",,BE$2,"."&amp;$D$134&amp;$AW$82&amp;"C"&amp;$A138)="N/A",0,RTD("tos.rtd",,BE$2,"."&amp;$D$134&amp;$AW$82&amp;"C"&amp;$A138))</f>
        <v>6</v>
      </c>
      <c r="BF138" s="3">
        <f>-IF(RTD("tos.rtd",,BF$2,"."&amp;$D$134&amp;$AW$82&amp;"P"&amp;$A138)="N/A",0,RTD("tos.rtd",,BF$2,"."&amp;$D$134&amp;$AW$82&amp;"P"&amp;$A138))</f>
        <v>0</v>
      </c>
      <c r="BG138" s="3">
        <f ca="1">+Hoja2!Y139</f>
        <v>0</v>
      </c>
      <c r="BH138" s="7">
        <f t="shared" ca="1" si="549"/>
        <v>37</v>
      </c>
      <c r="BI138" s="32"/>
      <c r="BJ138" s="3" t="e">
        <f ca="1">IF($BP$1=1,DX138,IF(RTD("tos.rtd",,BJ$43,"."&amp;$B$134&amp;$AS$82&amp;"C"&amp;$A138)="N/A",0,RTD("tos.rtd",,BJ$43,"."&amp;$B$134&amp;$AS$82&amp;"C"&amp;$A138)))</f>
        <v>#NUM!</v>
      </c>
      <c r="BK138" s="3" t="e">
        <f ca="1">IF($BP$1=1,DY138,-IF(RTD("tos.rtd",,BK$43,"."&amp;$B$134&amp;$AS$82&amp;"P"&amp;$A138)="N/A",0,RTD("tos.rtd",,BK$43,"."&amp;$B$134&amp;$AS$82&amp;"P"&amp;$A138)))</f>
        <v>#NUM!</v>
      </c>
      <c r="BL138" s="3" t="e">
        <f ca="1">IF($BP$1=1,DZ138,IF(RTD("tos.rtd",,BL$2,"."&amp;$C$134&amp;$AU$82&amp;"C"&amp;$A138)="N/A",0,RTD("tos.rtd",,BL$2,"."&amp;$C$134&amp;$AU$82&amp;"C"&amp;$A138)))</f>
        <v>#NUM!</v>
      </c>
      <c r="BM138" s="3" t="e">
        <f ca="1">IF($BP$1=1,EA138,-IF(RTD("tos.rtd",,BM$2,"."&amp;$C$134&amp;$AU$82&amp;"P"&amp;$A138)="N/A",0,RTD("tos.rtd",,BM$2,"."&amp;$C$134&amp;$AU$82&amp;"P"&amp;$A138)))</f>
        <v>#NUM!</v>
      </c>
      <c r="BN138" s="3" t="e">
        <f ca="1">IF($BP$1=1,EB138,IF(RTD("tos.rtd",,BN$2,"."&amp;$D$134&amp;$AW$82&amp;"C"&amp;$A138)="N/A",0,RTD("tos.rtd",,BN$2,"."&amp;$D$134&amp;$AW$82&amp;"C"&amp;$A138)))</f>
        <v>#NUM!</v>
      </c>
      <c r="BO138" s="3" t="e">
        <f ca="1">IF($BP$1=1,EC138,-IF(RTD("tos.rtd",,BO$2,"."&amp;$D$134&amp;$AW$82&amp;"P"&amp;$A138)="N/A",0,RTD("tos.rtd",,BO$2,"."&amp;$D$134&amp;$AW$82&amp;"P"&amp;$A138)))</f>
        <v>#NUM!</v>
      </c>
      <c r="BQ138" s="3" t="e">
        <f ca="1">+$A$84*$A$84*AS138*BJ138-$A$84*$A$84*AT138*BK138</f>
        <v>#NUM!</v>
      </c>
      <c r="BR138" s="3" t="e">
        <f t="shared" ca="1" si="550"/>
        <v>#NUM!</v>
      </c>
      <c r="BS138" s="3" t="e">
        <f ca="1">+$A$84*$A$84*AU138*BL138-$A$84*$A$84*AV138*BM138</f>
        <v>#NUM!</v>
      </c>
      <c r="BT138" s="3" t="e">
        <f t="shared" ca="1" si="551"/>
        <v>#NUM!</v>
      </c>
      <c r="BU138" s="3" t="e">
        <f ca="1">+$A$84*$A$84*AW138*BN138-$A$84*$A$84*AX138*BO138</f>
        <v>#NUM!</v>
      </c>
      <c r="BV138" s="3" t="e">
        <f t="shared" ca="1" si="551"/>
        <v>#NUM!</v>
      </c>
      <c r="BX138" s="3" t="e">
        <f t="shared" ref="BX138:BX189" ca="1" si="585">+$A$44*$A$44*BA138*BJ138-$A$44*$A$44*BB138*BK138</f>
        <v>#NUM!</v>
      </c>
      <c r="BY138" s="3" t="e">
        <f t="shared" ref="BY138:CC189" ca="1" si="586">IF(AND(BX138&lt;0,BX137&gt;0), "Cruce -", IF(AND(BX138&gt;0,BX137&lt;0),"Cruce +", ""))</f>
        <v>#NUM!</v>
      </c>
      <c r="BZ138" s="3" t="e">
        <f t="shared" ref="BZ138:BZ189" ca="1" si="587">+$A$44*$A$44*BC138*BL138-$A$44*$A$44*BD138*BM138</f>
        <v>#NUM!</v>
      </c>
      <c r="CA138" s="3" t="e">
        <f t="shared" ca="1" si="586"/>
        <v>#NUM!</v>
      </c>
      <c r="CB138" s="3" t="e">
        <f t="shared" ref="CB138:CB189" ca="1" si="588">+$A$44*$A$44*BE138*BN138-$A$44*$A$44*BF138*BO138</f>
        <v>#NUM!</v>
      </c>
      <c r="CC138" s="3" t="e">
        <f t="shared" ca="1" si="586"/>
        <v>#NUM!</v>
      </c>
      <c r="CD138" s="3">
        <f>IF(RTD("tos.rtd",,CD$43,"."&amp;$B$134&amp;$AS$82&amp;"C"&amp;$A138)="N/A",0,RTD("tos.rtd",,CD$43,"."&amp;$B$134&amp;$AS$82&amp;"C"&amp;$A138))</f>
        <v>7.0000000000000007E-2</v>
      </c>
      <c r="CE138" s="3">
        <f>-IF(RTD("tos.rtd",,CE$43,"."&amp;$B$134&amp;$AS$82&amp;"P"&amp;$A138)="N/A",0,RTD("tos.rtd",,CE$43,"."&amp;$B$134&amp;$AS$82&amp;"P"&amp;$A138))</f>
        <v>1</v>
      </c>
      <c r="CF138" s="3">
        <f>IF(RTD("tos.rtd",,CF$2,"."&amp;$C$134&amp;$AU$82&amp;"C"&amp;$A138)="N/A",0,RTD("tos.rtd",,CF$2,"."&amp;$C$134&amp;$AU$82&amp;"C"&amp;$A138))</f>
        <v>7.0000000000000007E-2</v>
      </c>
      <c r="CG138" s="3">
        <f>-IF(RTD("tos.rtd",,CG$2,"."&amp;$C$134&amp;$AU$82&amp;"P"&amp;$A138)="N/A",0,RTD("tos.rtd",,CG$2,"."&amp;$C$134&amp;$AU$82&amp;"P"&amp;$A138))</f>
        <v>0.99</v>
      </c>
      <c r="CH138" s="3">
        <f>IF(RTD("tos.rtd",,CH$2,"."&amp;$D$134&amp;$AW$82&amp;"C"&amp;$A138)="N/A",0,RTD("tos.rtd",,CH$2,"."&amp;$D$134&amp;$AW$82&amp;"C"&amp;$A138))</f>
        <v>0.23</v>
      </c>
      <c r="CI138" s="3">
        <f>-IF(RTD("tos.rtd",,CI$2,"."&amp;$D$134&amp;$AW$82&amp;"P"&amp;$A138)="N/A",0,RTD("tos.rtd",,CI$2,"."&amp;$D$134&amp;$AW$82&amp;"P"&amp;$A138))</f>
        <v>0.76</v>
      </c>
      <c r="CK138" s="3">
        <f>+AS138*CD138*100+AT138*CE138*100</f>
        <v>28.000000000000004</v>
      </c>
      <c r="CL138" s="3"/>
      <c r="CM138" s="3">
        <f>+AU138*CF138*100+AV138*CG138*100</f>
        <v>56.000000000000007</v>
      </c>
      <c r="CN138" s="3"/>
      <c r="CO138" s="3">
        <f>+AW138*CH138*100+AX138*CI138*100</f>
        <v>-295.00000000000006</v>
      </c>
      <c r="CP138" s="3">
        <f t="shared" si="542"/>
        <v>-211.00000000000006</v>
      </c>
      <c r="CQ138" s="3">
        <f t="shared" si="552"/>
        <v>0</v>
      </c>
      <c r="CR138" s="3"/>
      <c r="CS138" s="3">
        <f t="shared" si="553"/>
        <v>31</v>
      </c>
      <c r="CT138" s="3"/>
      <c r="CU138" s="3">
        <f t="shared" si="554"/>
        <v>6</v>
      </c>
      <c r="CV138" s="3"/>
      <c r="CW138" s="3" t="e">
        <f t="shared" ca="1" si="555"/>
        <v>#NUM!</v>
      </c>
      <c r="CY138" s="3" t="e">
        <f t="shared" ca="1" si="556"/>
        <v>#NUM!</v>
      </c>
      <c r="CZ138" s="70" t="e">
        <f t="shared" ref="CZ138:CZ189" ca="1" si="589">IF(AND(CY138&lt;0,CY137&gt;0), "Cruce -", IF(AND(CY138&gt;0,CY137&lt;0),"Cruce +", ""))</f>
        <v>#NUM!</v>
      </c>
      <c r="DA138" s="3">
        <f>IF(RTD("tos.rtd",,DA$43,"."&amp;$B$134&amp;$AS$82&amp;"C"&amp;$A138)="N/A",0,RTD("tos.rtd",,DA$43,"."&amp;$B$134&amp;$AS$82&amp;"C"&amp;$A138))</f>
        <v>0.2</v>
      </c>
      <c r="DB138" s="3">
        <f>IF(RTD("tos.rtd",,DB$43,"."&amp;$B$134&amp;$AS$82&amp;"P"&amp;$A138)="N/A",0,RTD("tos.rtd",,DB$43,"."&amp;$B$134&amp;$AS$82&amp;"P"&amp;$A138))</f>
        <v>0</v>
      </c>
      <c r="DC138" s="3">
        <f>IF(RTD("tos.rtd",,DC$43,"."&amp;$B$134&amp;$AS$82&amp;"C"&amp;$A138)="N/A",0,RTD("tos.rtd",,DC$43,"."&amp;$B$134&amp;$AS$82&amp;"C"&amp;$A138))</f>
        <v>19.8</v>
      </c>
      <c r="DD138" s="3">
        <f>IF(RTD("tos.rtd",,DD$43,"."&amp;$B$134&amp;$AS$82&amp;"P"&amp;$A138)="N/A",0,RTD("tos.rtd",,DD$43,"."&amp;$B$134&amp;$AS$82&amp;"P"&amp;$A138))</f>
        <v>496</v>
      </c>
      <c r="DE138" s="3">
        <f>IF(RTD("tos.rtd",,DE$43,"."&amp;$B$134&amp;$AS$82&amp;"C"&amp;$A138)="N/A",0,RTD("tos.rtd",,DE$43,"."&amp;$B$134&amp;$AS$82&amp;"C"&amp;$A138))</f>
        <v>0</v>
      </c>
      <c r="DF138" s="3">
        <f>IF(RTD("tos.rtd",,DF$43,"."&amp;$B$134&amp;$AS$82&amp;"P"&amp;$A138)="N/A",0,RTD("tos.rtd",,DF$43,"."&amp;$B$134&amp;$AS$82&amp;"P"&amp;$A138))</f>
        <v>424.2</v>
      </c>
      <c r="DG138" s="86">
        <f t="shared" ref="DG138:DG189" si="590">+$A138-$A$136</f>
        <v>463.55099999999948</v>
      </c>
      <c r="DH138" s="3">
        <f t="shared" si="557"/>
        <v>-0.51515151515151525</v>
      </c>
      <c r="DI138" s="3">
        <f t="shared" si="558"/>
        <v>0</v>
      </c>
      <c r="DJ138" s="3">
        <f t="shared" si="559"/>
        <v>51</v>
      </c>
      <c r="DK138" s="3">
        <f t="shared" si="560"/>
        <v>0</v>
      </c>
      <c r="DL138" s="3">
        <f t="shared" si="561"/>
        <v>-0.51515151515151525</v>
      </c>
      <c r="DM138" s="3">
        <f t="shared" si="562"/>
        <v>51</v>
      </c>
      <c r="DN138" s="64" t="str">
        <f t="shared" si="563"/>
        <v>UNKNOWN</v>
      </c>
      <c r="DO138" s="64" t="str">
        <f t="shared" si="564"/>
        <v>UNKNOWN</v>
      </c>
      <c r="DP138" s="3">
        <f t="shared" si="565"/>
        <v>-0.10303030303030306</v>
      </c>
      <c r="DQ138" s="3">
        <f t="shared" si="566"/>
        <v>10.200000000000001</v>
      </c>
      <c r="DR138" s="3" t="e">
        <f t="shared" ca="1" si="567"/>
        <v>#NUM!</v>
      </c>
      <c r="DS138" s="3">
        <f t="shared" si="568"/>
        <v>3.5700000000000003</v>
      </c>
      <c r="DT138" s="3">
        <f t="shared" ref="DT138:DT189" si="591">BA138-VLOOKUP(AZ138,$AO$137:$AQ$189,2,FALSE)</f>
        <v>-51</v>
      </c>
      <c r="DU138" s="3">
        <f t="shared" ref="DU138:DU189" si="592">BB138-VLOOKUP(AZ138,$AO$137:$AQ$189,3,FALSE)</f>
        <v>0</v>
      </c>
      <c r="DV138" s="3">
        <f t="shared" si="569"/>
        <v>37</v>
      </c>
      <c r="DW138" s="3">
        <f t="shared" si="570"/>
        <v>0</v>
      </c>
      <c r="DX138" s="3" t="e">
        <f t="shared" ca="1" si="571"/>
        <v>#NUM!</v>
      </c>
      <c r="DY138" s="3" t="e">
        <f t="shared" ca="1" si="572"/>
        <v>#NUM!</v>
      </c>
      <c r="DZ138" s="3" t="e">
        <f t="shared" ca="1" si="573"/>
        <v>#NUM!</v>
      </c>
      <c r="EA138" s="3" t="e">
        <f t="shared" ca="1" si="574"/>
        <v>#NUM!</v>
      </c>
      <c r="EB138" s="3" t="e">
        <f t="shared" ca="1" si="575"/>
        <v>#NUM!</v>
      </c>
      <c r="EC138" s="3" t="e">
        <f t="shared" ca="1" si="576"/>
        <v>#NUM!</v>
      </c>
      <c r="ED138" s="63">
        <f t="shared" ref="ED138:ED189" si="593">+DV138+DW138</f>
        <v>37</v>
      </c>
      <c r="EE138" s="59">
        <f t="shared" si="577"/>
        <v>2.0577999999999999</v>
      </c>
      <c r="EF138" s="59">
        <f t="shared" si="578"/>
        <v>0.25</v>
      </c>
      <c r="EG138" s="59">
        <f t="shared" si="579"/>
        <v>2.0577999999999999</v>
      </c>
      <c r="EH138" s="59">
        <f t="shared" si="580"/>
        <v>1.3694999999999999</v>
      </c>
      <c r="EI138" s="59">
        <f t="shared" si="581"/>
        <v>0.26090000000000002</v>
      </c>
      <c r="EJ138" s="59">
        <f t="shared" si="582"/>
        <v>0.27850000000000003</v>
      </c>
      <c r="EK138" s="63" t="e">
        <f t="shared" ref="EK138:EK189" ca="1" si="594">+DV138*DX138*$A$136*$A$136+DW138*DY138*$A$136*$A$136</f>
        <v>#NUM!</v>
      </c>
      <c r="EL138" s="3" t="str">
        <f>RTD("tos.rtd",,EL$43,"."&amp;$B$134&amp;$AS$82&amp;"C"&amp;$A138)</f>
        <v>205.78%</v>
      </c>
      <c r="EM138" s="3" t="str">
        <f>RTD("tos.rtd",,EM$43,"."&amp;$B$134&amp;$AS$82&amp;"P"&amp;$A138)</f>
        <v>--</v>
      </c>
      <c r="EN138" s="3" t="str">
        <f>RTD("tos.rtd",,EN$2,"."&amp;$C$134&amp;$AU$82&amp;"C"&amp;$A138)</f>
        <v>205.78%</v>
      </c>
      <c r="EO138" s="3" t="str">
        <f>RTD("tos.rtd",,EO$2,"."&amp;$C$134&amp;$AU$82&amp;"P"&amp;$A138)</f>
        <v>136.95%</v>
      </c>
      <c r="EP138" s="3" t="str">
        <f>RTD("tos.rtd",,EP$2,"."&amp;$D$134&amp;$AW$82&amp;"C"&amp;$A138)</f>
        <v>26.09%</v>
      </c>
      <c r="EQ138" s="3" t="str">
        <f>RTD("tos.rtd",,EQ$2,"."&amp;$D$134&amp;$AW$82&amp;"P"&amp;$A138)</f>
        <v>27.85%</v>
      </c>
      <c r="ES138" s="63" t="str">
        <f t="shared" si="583"/>
        <v>20525,37.00</v>
      </c>
      <c r="ET138" s="63" t="str">
        <f t="shared" ca="1" si="584"/>
        <v>20525,00.00</v>
      </c>
      <c r="EU138" s="67">
        <v>564.09</v>
      </c>
      <c r="EV138" s="67" t="s">
        <v>1123</v>
      </c>
      <c r="EW138" s="67">
        <v>486.63</v>
      </c>
      <c r="EX138" s="67" t="s">
        <v>1124</v>
      </c>
      <c r="EY138" s="67">
        <v>5631.28</v>
      </c>
      <c r="EZ138" s="67" t="s">
        <v>1125</v>
      </c>
      <c r="FA138" s="67">
        <v>19867.973000000002</v>
      </c>
      <c r="FB138" s="67" t="s">
        <v>1126</v>
      </c>
      <c r="FC138" s="67" t="s">
        <v>1127</v>
      </c>
      <c r="FD138" s="67" t="s">
        <v>1128</v>
      </c>
      <c r="FE138" s="68" t="s">
        <v>1129</v>
      </c>
      <c r="FF138" s="68" t="s">
        <v>1130</v>
      </c>
    </row>
    <row r="139" spans="1:162" ht="11.1" customHeight="1" thickBot="1" x14ac:dyDescent="0.25">
      <c r="A139" s="2">
        <f t="shared" ref="A139:A189" si="595">+A138-$A$133</f>
        <v>20500</v>
      </c>
      <c r="B139" s="3">
        <f t="shared" ref="B139:B144" si="596">+IF($A$1="ABS",AS139-AT139,AS139+AT139)</f>
        <v>27</v>
      </c>
      <c r="C139" s="3">
        <f t="shared" ref="C139:C144" si="597">+IF($A$1="ABS",AU139-AV139,AU139+AV139)</f>
        <v>73</v>
      </c>
      <c r="D139" s="3">
        <f>+IF($A$1="ABS",AW139-AX139,AW139+AX139)</f>
        <v>345</v>
      </c>
      <c r="E139" s="3">
        <f t="shared" ref="E139:E147" si="598">SUM(B139:D139)</f>
        <v>445</v>
      </c>
      <c r="F139" s="4">
        <f t="shared" ref="F139:F147" si="599">+$F$136/$A$136*A139</f>
        <v>20902.409641496983</v>
      </c>
      <c r="G139" s="5">
        <f t="shared" ref="G139:G147" si="600">+$G$136/$A$136*A139</f>
        <v>506.61794170500838</v>
      </c>
      <c r="AM139" s="1">
        <v>-881</v>
      </c>
      <c r="AN139" s="1">
        <v>-1</v>
      </c>
      <c r="AO139" s="1">
        <v>20500</v>
      </c>
      <c r="AP139" s="1">
        <v>1493</v>
      </c>
      <c r="AQ139" s="1">
        <v>-6</v>
      </c>
      <c r="AS139" s="54">
        <f>IF(RTD("tos.rtd",,AS$83,"."&amp;$B$134&amp;$AS$82&amp;"C"&amp;$A139)="N/A",0,RTD("tos.rtd",,AS$83,"."&amp;$B$134&amp;$AS$82&amp;"C"&amp;$A139))</f>
        <v>26</v>
      </c>
      <c r="AT139" s="3">
        <f>-IF(RTD("tos.rtd",,AT$83,"."&amp;$B$134&amp;$AS$82&amp;"P"&amp;$A139)="N/A",0,RTD("tos.rtd",,AT$83,"."&amp;$B$134&amp;$AS$82&amp;"P"&amp;$A139))</f>
        <v>-1</v>
      </c>
      <c r="AU139" s="54">
        <f>IF(RTD("tos.rtd",,AU$2,"."&amp;$C$134&amp;$AU$134&amp;"C"&amp;$A139)="N/A",0,RTD("tos.rtd",,AU$2,"."&amp;$C$134&amp;$AU$134&amp;"C"&amp;$A139))</f>
        <v>63</v>
      </c>
      <c r="AV139" s="3">
        <f>-IF(RTD("tos.rtd",,AV$2,"."&amp;$C$134&amp;$AU$134&amp;"P"&amp;$A139)="N/A",0,RTD("tos.rtd",,AV$2,"."&amp;$C$134&amp;$AU$134&amp;"P"&amp;$A139))</f>
        <v>-10</v>
      </c>
      <c r="AW139" s="54">
        <f>IF(RTD("tos.rtd",,AW$2,"."&amp;$D$134&amp;$AW$134&amp;"C"&amp;$A139)="N/A",0,RTD("tos.rtd",,AW$2,"."&amp;$D$134&amp;$AW$134&amp;"C"&amp;$A139))</f>
        <v>207</v>
      </c>
      <c r="AX139" s="3">
        <f>-IF(RTD("tos.rtd",,AX$2,"."&amp;$D$134&amp;$AW$134&amp;"P"&amp;$A139)="N/A",0,RTD("tos.rtd",,AX$2,"."&amp;$D$134&amp;$AW$134&amp;"P"&amp;$A139))</f>
        <v>-138</v>
      </c>
      <c r="AY139" s="76">
        <f t="shared" ref="AY139:AY147" si="601">SUM(AS139:AX139)</f>
        <v>147</v>
      </c>
      <c r="AZ139" s="8">
        <f t="shared" si="548"/>
        <v>20500</v>
      </c>
      <c r="BA139" s="54">
        <f>IF(RTD("tos.rtd",,BA$43,"."&amp;$B$134&amp;$AS$82&amp;"C"&amp;$A139)="N/A",0,RTD("tos.rtd",,BA$43,"."&amp;$B$134&amp;$AS$82&amp;"C"&amp;$A139))</f>
        <v>0</v>
      </c>
      <c r="BB139" s="3">
        <f>-IF(RTD("tos.rtd",,BB$43,"."&amp;$B$134&amp;$AS$82&amp;"P"&amp;$A139)="N/A",0,RTD("tos.rtd",,BB$43,"."&amp;$B$134&amp;$AS$82&amp;"P"&amp;$A139))</f>
        <v>0</v>
      </c>
      <c r="BC139" s="54">
        <f>IF(RTD("tos.rtd",,BC$2,"."&amp;$C$134&amp;$AU$82&amp;"C"&amp;$A139)="N/A",0,RTD("tos.rtd",,BC$2,"."&amp;$C$134&amp;$AU$82&amp;"C"&amp;$A139))</f>
        <v>239</v>
      </c>
      <c r="BD139" s="3">
        <f>-IF(RTD("tos.rtd",,BD$2,"."&amp;$C$134&amp;$AU$82&amp;"P"&amp;$A139)="N/A",0,RTD("tos.rtd",,BD$2,"."&amp;$C$134&amp;$AU$82&amp;"P"&amp;$A139))</f>
        <v>-7</v>
      </c>
      <c r="BE139" s="54">
        <f>IF(RTD("tos.rtd",,BE$2,"."&amp;$D$134&amp;$AW$82&amp;"C"&amp;$A139)="N/A",0,RTD("tos.rtd",,BE$2,"."&amp;$D$134&amp;$AW$82&amp;"C"&amp;$A139))</f>
        <v>61</v>
      </c>
      <c r="BF139" s="3">
        <f>-IF(RTD("tos.rtd",,BF$2,"."&amp;$D$134&amp;$AW$82&amp;"P"&amp;$A139)="N/A",0,RTD("tos.rtd",,BF$2,"."&amp;$D$134&amp;$AW$82&amp;"P"&amp;$A139))</f>
        <v>0</v>
      </c>
      <c r="BG139" s="3">
        <f ca="1">+Hoja2!Y140</f>
        <v>52</v>
      </c>
      <c r="BH139" s="7">
        <f t="shared" ca="1" si="549"/>
        <v>345</v>
      </c>
      <c r="BI139" s="32" t="str">
        <f ca="1">IF(AND(BH139&lt;0,BH138&gt;0), "Cruce -", IF(AND(BH139&gt;0,BH138&lt;0),"Cruce +", ""))</f>
        <v/>
      </c>
      <c r="BJ139" s="3" t="e">
        <f ca="1">IF($BP$1=1,DX139,IF(RTD("tos.rtd",,BJ$43,"."&amp;$B$134&amp;$AS$82&amp;"C"&amp;$A139)="N/A",0,RTD("tos.rtd",,BJ$43,"."&amp;$B$134&amp;$AS$82&amp;"C"&amp;$A139)))</f>
        <v>#NUM!</v>
      </c>
      <c r="BK139" s="3" t="e">
        <f ca="1">IF($BP$1=1,DY139,-IF(RTD("tos.rtd",,BK$43,"."&amp;$B$134&amp;$AS$82&amp;"P"&amp;$A139)="N/A",0,RTD("tos.rtd",,BK$43,"."&amp;$B$134&amp;$AS$82&amp;"P"&amp;$A139)))</f>
        <v>#NUM!</v>
      </c>
      <c r="BL139" s="3" t="e">
        <f ca="1">IF($BP$1=1,DZ139,IF(RTD("tos.rtd",,BL$2,"."&amp;$C$134&amp;$AU$82&amp;"C"&amp;$A139)="N/A",0,RTD("tos.rtd",,BL$2,"."&amp;$C$134&amp;$AU$82&amp;"C"&amp;$A139)))</f>
        <v>#NUM!</v>
      </c>
      <c r="BM139" s="3" t="e">
        <f ca="1">IF($BP$1=1,EA139,-IF(RTD("tos.rtd",,BM$2,"."&amp;$C$134&amp;$AU$82&amp;"P"&amp;$A139)="N/A",0,RTD("tos.rtd",,BM$2,"."&amp;$C$134&amp;$AU$82&amp;"P"&amp;$A139)))</f>
        <v>#NUM!</v>
      </c>
      <c r="BN139" s="3" t="e">
        <f ca="1">IF($BP$1=1,EB139,IF(RTD("tos.rtd",,BN$2,"."&amp;$D$134&amp;$AW$82&amp;"C"&amp;$A139)="N/A",0,RTD("tos.rtd",,BN$2,"."&amp;$D$134&amp;$AW$82&amp;"C"&amp;$A139)))</f>
        <v>#NUM!</v>
      </c>
      <c r="BO139" s="3" t="e">
        <f ca="1">IF($BP$1=1,EC139,-IF(RTD("tos.rtd",,BO$2,"."&amp;$D$134&amp;$AW$82&amp;"P"&amp;$A139)="N/A",0,RTD("tos.rtd",,BO$2,"."&amp;$D$134&amp;$AW$82&amp;"P"&amp;$A139)))</f>
        <v>#NUM!</v>
      </c>
      <c r="BQ139" s="3" t="e">
        <f t="shared" ref="BQ139:BQ147" ca="1" si="602">+$A$84*$A$84*AS139*BJ139-$A$84*$A$84*AT139*BK139</f>
        <v>#NUM!</v>
      </c>
      <c r="BR139" s="3" t="e">
        <f t="shared" ca="1" si="550"/>
        <v>#NUM!</v>
      </c>
      <c r="BS139" s="3" t="e">
        <f t="shared" ref="BS139:BS147" ca="1" si="603">+$A$84*$A$84*AU139*BL139-$A$84*$A$84*AV139*BM139</f>
        <v>#NUM!</v>
      </c>
      <c r="BT139" s="3" t="e">
        <f t="shared" ca="1" si="551"/>
        <v>#NUM!</v>
      </c>
      <c r="BU139" s="3" t="e">
        <f t="shared" ref="BU139:BU147" ca="1" si="604">+$A$84*$A$84*AW139*BN139-$A$84*$A$84*AX139*BO139</f>
        <v>#NUM!</v>
      </c>
      <c r="BV139" s="3" t="e">
        <f t="shared" ca="1" si="551"/>
        <v>#NUM!</v>
      </c>
      <c r="BX139" s="3" t="e">
        <f t="shared" ca="1" si="585"/>
        <v>#NUM!</v>
      </c>
      <c r="BY139" s="3" t="e">
        <f t="shared" ca="1" si="586"/>
        <v>#NUM!</v>
      </c>
      <c r="BZ139" s="3" t="e">
        <f t="shared" ca="1" si="587"/>
        <v>#NUM!</v>
      </c>
      <c r="CA139" s="3" t="e">
        <f t="shared" ca="1" si="586"/>
        <v>#NUM!</v>
      </c>
      <c r="CB139" s="3" t="e">
        <f t="shared" ca="1" si="588"/>
        <v>#NUM!</v>
      </c>
      <c r="CC139" s="3" t="e">
        <f t="shared" ca="1" si="586"/>
        <v>#NUM!</v>
      </c>
      <c r="CD139" s="3">
        <f>IF(RTD("tos.rtd",,CD$43,"."&amp;$B$134&amp;$AS$82&amp;"C"&amp;$A139)="N/A",0,RTD("tos.rtd",,CD$43,"."&amp;$B$134&amp;$AS$82&amp;"C"&amp;$A139))</f>
        <v>0</v>
      </c>
      <c r="CE139" s="3">
        <f>-IF(RTD("tos.rtd",,CE$43,"."&amp;$B$134&amp;$AS$82&amp;"P"&amp;$A139)="N/A",0,RTD("tos.rtd",,CE$43,"."&amp;$B$134&amp;$AS$82&amp;"P"&amp;$A139))</f>
        <v>0.97</v>
      </c>
      <c r="CF139" s="3">
        <f>IF(RTD("tos.rtd",,CF$2,"."&amp;$C$134&amp;$AU$82&amp;"C"&amp;$A139)="N/A",0,RTD("tos.rtd",,CF$2,"."&amp;$C$134&amp;$AU$82&amp;"C"&amp;$A139))</f>
        <v>0</v>
      </c>
      <c r="CG139" s="3">
        <f>-IF(RTD("tos.rtd",,CG$2,"."&amp;$C$134&amp;$AU$82&amp;"P"&amp;$A139)="N/A",0,RTD("tos.rtd",,CG$2,"."&amp;$C$134&amp;$AU$82&amp;"P"&amp;$A139))</f>
        <v>1</v>
      </c>
      <c r="CH139" s="3">
        <f>IF(RTD("tos.rtd",,CH$2,"."&amp;$D$134&amp;$AW$82&amp;"C"&amp;$A139)="N/A",0,RTD("tos.rtd",,CH$2,"."&amp;$D$134&amp;$AW$82&amp;"C"&amp;$A139))</f>
        <v>0.24</v>
      </c>
      <c r="CI139" s="3">
        <f>-IF(RTD("tos.rtd",,CI$2,"."&amp;$D$134&amp;$AW$82&amp;"P"&amp;$A139)="N/A",0,RTD("tos.rtd",,CI$2,"."&amp;$D$134&amp;$AW$82&amp;"P"&amp;$A139))</f>
        <v>0.75</v>
      </c>
      <c r="CK139" s="3">
        <f t="shared" ref="CK139:CK147" si="605">+AS139*CD139*100+AT139*CE139*100</f>
        <v>-97</v>
      </c>
      <c r="CL139" s="3"/>
      <c r="CM139" s="3">
        <f t="shared" ref="CM139:CM147" si="606">+AU139*CF139*100+AV139*CG139*100</f>
        <v>-1000</v>
      </c>
      <c r="CN139" s="3"/>
      <c r="CO139" s="3">
        <f t="shared" ref="CO139:CO147" si="607">+AW139*CH139*100+AX139*CI139*100</f>
        <v>-5382</v>
      </c>
      <c r="CP139" s="3">
        <f t="shared" si="542"/>
        <v>-6479</v>
      </c>
      <c r="CQ139" s="3">
        <f t="shared" si="552"/>
        <v>0</v>
      </c>
      <c r="CR139" s="3"/>
      <c r="CS139" s="3">
        <f t="shared" si="553"/>
        <v>232</v>
      </c>
      <c r="CT139" s="3"/>
      <c r="CU139" s="3">
        <f t="shared" si="554"/>
        <v>61</v>
      </c>
      <c r="CV139" s="3"/>
      <c r="CW139" s="3" t="e">
        <f t="shared" ca="1" si="555"/>
        <v>#NUM!</v>
      </c>
      <c r="CY139" s="3" t="e">
        <f t="shared" ca="1" si="556"/>
        <v>#NUM!</v>
      </c>
      <c r="CZ139" s="70" t="e">
        <f t="shared" ca="1" si="589"/>
        <v>#NUM!</v>
      </c>
      <c r="DA139" s="3">
        <f>IF(RTD("tos.rtd",,DA$43,"."&amp;$B$134&amp;$AS$82&amp;"C"&amp;$A139)="N/A",0,RTD("tos.rtd",,DA$43,"."&amp;$B$134&amp;$AS$82&amp;"C"&amp;$A139))</f>
        <v>0.05</v>
      </c>
      <c r="DB139" s="3">
        <f>IF(RTD("tos.rtd",,DB$43,"."&amp;$B$134&amp;$AS$82&amp;"P"&amp;$A139)="N/A",0,RTD("tos.rtd",,DB$43,"."&amp;$B$134&amp;$AS$82&amp;"P"&amp;$A139))</f>
        <v>265.63</v>
      </c>
      <c r="DC139" s="3">
        <f>IF(RTD("tos.rtd",,DC$43,"."&amp;$B$134&amp;$AS$82&amp;"C"&amp;$A139)="N/A",0,RTD("tos.rtd",,DC$43,"."&amp;$B$134&amp;$AS$82&amp;"C"&amp;$A139))</f>
        <v>0.1</v>
      </c>
      <c r="DD139" s="3">
        <f>IF(RTD("tos.rtd",,DD$43,"."&amp;$B$134&amp;$AS$82&amp;"P"&amp;$A139)="N/A",0,RTD("tos.rtd",,DD$43,"."&amp;$B$134&amp;$AS$82&amp;"P"&amp;$A139))</f>
        <v>480</v>
      </c>
      <c r="DE139" s="3">
        <f>IF(RTD("tos.rtd",,DE$43,"."&amp;$B$134&amp;$AS$82&amp;"C"&amp;$A139)="N/A",0,RTD("tos.rtd",,DE$43,"."&amp;$B$134&amp;$AS$82&amp;"C"&amp;$A139))</f>
        <v>0</v>
      </c>
      <c r="DF139" s="3">
        <f>IF(RTD("tos.rtd",,DF$43,"."&amp;$B$134&amp;$AS$82&amp;"P"&amp;$A139)="N/A",0,RTD("tos.rtd",,DF$43,"."&amp;$B$134&amp;$AS$82&amp;"P"&amp;$A139))</f>
        <v>401.3</v>
      </c>
      <c r="DG139" s="86">
        <f t="shared" si="590"/>
        <v>438.55099999999948</v>
      </c>
      <c r="DH139" s="3">
        <f t="shared" si="557"/>
        <v>-746.5</v>
      </c>
      <c r="DI139" s="3">
        <f t="shared" si="558"/>
        <v>-10.3433290978399</v>
      </c>
      <c r="DJ139" s="3">
        <f t="shared" si="559"/>
        <v>0</v>
      </c>
      <c r="DK139" s="3">
        <f t="shared" si="560"/>
        <v>-6</v>
      </c>
      <c r="DL139" s="3">
        <f t="shared" si="561"/>
        <v>-756.84332909783996</v>
      </c>
      <c r="DM139" s="3">
        <f t="shared" si="562"/>
        <v>-6</v>
      </c>
      <c r="DN139" s="64" t="str">
        <f t="shared" si="563"/>
        <v>UNKNOWN</v>
      </c>
      <c r="DO139" s="64" t="str">
        <f t="shared" si="564"/>
        <v>UNKNOWN</v>
      </c>
      <c r="DP139" s="3">
        <f t="shared" si="565"/>
        <v>-2784.8235082592123</v>
      </c>
      <c r="DQ139" s="3">
        <f t="shared" si="566"/>
        <v>-1593.78</v>
      </c>
      <c r="DR139" s="3" t="e">
        <f t="shared" ca="1" si="567"/>
        <v>#NUM!</v>
      </c>
      <c r="DS139" s="3">
        <f t="shared" si="568"/>
        <v>-5.82</v>
      </c>
      <c r="DT139" s="3">
        <f t="shared" si="591"/>
        <v>-1493</v>
      </c>
      <c r="DU139" s="3">
        <f t="shared" si="592"/>
        <v>6</v>
      </c>
      <c r="DV139" s="3">
        <f t="shared" si="569"/>
        <v>-881</v>
      </c>
      <c r="DW139" s="3">
        <f t="shared" si="570"/>
        <v>-1</v>
      </c>
      <c r="DX139" s="3" t="e">
        <f t="shared" ca="1" si="571"/>
        <v>#NUM!</v>
      </c>
      <c r="DY139" s="3" t="e">
        <f t="shared" ca="1" si="572"/>
        <v>#NUM!</v>
      </c>
      <c r="DZ139" s="3" t="e">
        <f t="shared" ca="1" si="573"/>
        <v>#NUM!</v>
      </c>
      <c r="EA139" s="3" t="e">
        <f t="shared" ca="1" si="574"/>
        <v>#NUM!</v>
      </c>
      <c r="EB139" s="3" t="e">
        <f t="shared" ca="1" si="575"/>
        <v>#NUM!</v>
      </c>
      <c r="EC139" s="3" t="e">
        <f t="shared" ca="1" si="576"/>
        <v>#NUM!</v>
      </c>
      <c r="ED139" s="63">
        <f t="shared" si="593"/>
        <v>-882</v>
      </c>
      <c r="EE139" s="59">
        <f t="shared" si="577"/>
        <v>0.94569999999999999</v>
      </c>
      <c r="EF139" s="59">
        <f t="shared" si="578"/>
        <v>1.4650000000000001</v>
      </c>
      <c r="EG139" s="59">
        <f t="shared" si="579"/>
        <v>0.89380000000000004</v>
      </c>
      <c r="EH139" s="59">
        <f t="shared" si="580"/>
        <v>0.25</v>
      </c>
      <c r="EI139" s="59">
        <f t="shared" si="581"/>
        <v>0.26169999999999999</v>
      </c>
      <c r="EJ139" s="59">
        <f t="shared" si="582"/>
        <v>0.27979999999999999</v>
      </c>
      <c r="EK139" s="63" t="e">
        <f t="shared" ca="1" si="594"/>
        <v>#NUM!</v>
      </c>
      <c r="EL139" s="3" t="str">
        <f>RTD("tos.rtd",,EL$43,"."&amp;$B$134&amp;$AS$82&amp;"C"&amp;$A139)</f>
        <v>94.57%</v>
      </c>
      <c r="EM139" s="3" t="str">
        <f>RTD("tos.rtd",,EM$43,"."&amp;$B$134&amp;$AS$82&amp;"P"&amp;$A139)</f>
        <v>146.50%</v>
      </c>
      <c r="EN139" s="3" t="str">
        <f>RTD("tos.rtd",,EN$2,"."&amp;$C$134&amp;$AU$82&amp;"C"&amp;$A139)</f>
        <v>89.38%</v>
      </c>
      <c r="EO139" s="3" t="str">
        <f>RTD("tos.rtd",,EO$2,"."&amp;$C$134&amp;$AU$82&amp;"P"&amp;$A139)</f>
        <v>--</v>
      </c>
      <c r="EP139" s="3" t="str">
        <f>RTD("tos.rtd",,EP$2,"."&amp;$D$134&amp;$AW$82&amp;"C"&amp;$A139)</f>
        <v>26.17%</v>
      </c>
      <c r="EQ139" s="3" t="str">
        <f>RTD("tos.rtd",,EQ$2,"."&amp;$D$134&amp;$AW$82&amp;"P"&amp;$A139)</f>
        <v>27.98%</v>
      </c>
      <c r="ES139" s="63" t="str">
        <f t="shared" si="583"/>
        <v>20500,-882.00</v>
      </c>
      <c r="ET139" s="63" t="str">
        <f t="shared" ca="1" si="584"/>
        <v>20500,00.00</v>
      </c>
      <c r="EU139" s="67">
        <v>563.91</v>
      </c>
      <c r="EV139" s="67" t="s">
        <v>1131</v>
      </c>
      <c r="EW139" s="67">
        <v>486.48</v>
      </c>
      <c r="EX139" s="67" t="s">
        <v>1132</v>
      </c>
      <c r="EY139" s="67">
        <v>5631.28</v>
      </c>
      <c r="EZ139" s="67" t="s">
        <v>1133</v>
      </c>
      <c r="FA139" s="67">
        <v>19867.973000000002</v>
      </c>
      <c r="FB139" s="67" t="s">
        <v>1134</v>
      </c>
      <c r="FC139" s="67" t="s">
        <v>1135</v>
      </c>
      <c r="FD139" s="67" t="s">
        <v>1136</v>
      </c>
      <c r="FE139" s="68" t="s">
        <v>1137</v>
      </c>
      <c r="FF139" s="68" t="s">
        <v>1138</v>
      </c>
    </row>
    <row r="140" spans="1:162" ht="11.1" customHeight="1" thickBot="1" x14ac:dyDescent="0.25">
      <c r="A140" s="2">
        <f t="shared" si="595"/>
        <v>20475</v>
      </c>
      <c r="B140" s="3">
        <f t="shared" si="596"/>
        <v>7</v>
      </c>
      <c r="C140" s="3">
        <f t="shared" si="597"/>
        <v>10</v>
      </c>
      <c r="D140" s="3">
        <f t="shared" ref="D140:D144" si="608">+IF($A$1="ABS",AW140-AX140,AW140+AX140)</f>
        <v>20</v>
      </c>
      <c r="E140" s="3">
        <f t="shared" si="598"/>
        <v>37</v>
      </c>
      <c r="F140" s="4">
        <f t="shared" si="599"/>
        <v>20876.918898031741</v>
      </c>
      <c r="G140" s="5">
        <f t="shared" si="600"/>
        <v>506.00011494683156</v>
      </c>
      <c r="AM140" s="1">
        <v>34</v>
      </c>
      <c r="AN140" s="1">
        <v>0</v>
      </c>
      <c r="AO140" s="1">
        <v>20475</v>
      </c>
      <c r="AP140" s="1">
        <v>83</v>
      </c>
      <c r="AQ140" s="1">
        <v>0</v>
      </c>
      <c r="AS140" s="54">
        <f>IF(RTD("tos.rtd",,AS$83,"."&amp;$B$134&amp;$AS$82&amp;"C"&amp;$A140)="N/A",0,RTD("tos.rtd",,AS$83,"."&amp;$B$134&amp;$AS$82&amp;"C"&amp;$A140))</f>
        <v>7</v>
      </c>
      <c r="AT140" s="3">
        <f>-IF(RTD("tos.rtd",,AT$83,"."&amp;$B$134&amp;$AS$82&amp;"P"&amp;$A140)="N/A",0,RTD("tos.rtd",,AT$83,"."&amp;$B$134&amp;$AS$82&amp;"P"&amp;$A140))</f>
        <v>0</v>
      </c>
      <c r="AU140" s="54">
        <f>IF(RTD("tos.rtd",,AU$2,"."&amp;$C$134&amp;$AU$134&amp;"C"&amp;$A140)="N/A",0,RTD("tos.rtd",,AU$2,"."&amp;$C$134&amp;$AU$134&amp;"C"&amp;$A140))</f>
        <v>10</v>
      </c>
      <c r="AV140" s="3">
        <f>-IF(RTD("tos.rtd",,AV$2,"."&amp;$C$134&amp;$AU$134&amp;"P"&amp;$A140)="N/A",0,RTD("tos.rtd",,AV$2,"."&amp;$C$134&amp;$AU$134&amp;"P"&amp;$A140))</f>
        <v>0</v>
      </c>
      <c r="AW140" s="54">
        <f>IF(RTD("tos.rtd",,AW$2,"."&amp;$D$134&amp;$AW$134&amp;"C"&amp;$A140)="N/A",0,RTD("tos.rtd",,AW$2,"."&amp;$D$134&amp;$AW$134&amp;"C"&amp;$A140))</f>
        <v>17</v>
      </c>
      <c r="AX140" s="3">
        <f>-IF(RTD("tos.rtd",,AX$2,"."&amp;$D$134&amp;$AW$134&amp;"P"&amp;$A140)="N/A",0,RTD("tos.rtd",,AX$2,"."&amp;$D$134&amp;$AW$134&amp;"P"&amp;$A140))</f>
        <v>-3</v>
      </c>
      <c r="AY140" s="76">
        <f t="shared" si="601"/>
        <v>31</v>
      </c>
      <c r="AZ140" s="8">
        <f t="shared" si="548"/>
        <v>20475</v>
      </c>
      <c r="BA140" s="54">
        <f>IF(RTD("tos.rtd",,BA$43,"."&amp;$B$134&amp;$AS$82&amp;"C"&amp;$A140)="N/A",0,RTD("tos.rtd",,BA$43,"."&amp;$B$134&amp;$AS$82&amp;"C"&amp;$A140))</f>
        <v>0</v>
      </c>
      <c r="BB140" s="3">
        <f>-IF(RTD("tos.rtd",,BB$43,"."&amp;$B$134&amp;$AS$82&amp;"P"&amp;$A140)="N/A",0,RTD("tos.rtd",,BB$43,"."&amp;$B$134&amp;$AS$82&amp;"P"&amp;$A140))</f>
        <v>0</v>
      </c>
      <c r="BC140" s="54">
        <f>IF(RTD("tos.rtd",,BC$2,"."&amp;$C$134&amp;$AU$82&amp;"C"&amp;$A140)="N/A",0,RTD("tos.rtd",,BC$2,"."&amp;$C$134&amp;$AU$82&amp;"C"&amp;$A140))</f>
        <v>299</v>
      </c>
      <c r="BD140" s="3">
        <f>-IF(RTD("tos.rtd",,BD$2,"."&amp;$C$134&amp;$AU$82&amp;"P"&amp;$A140)="N/A",0,RTD("tos.rtd",,BD$2,"."&amp;$C$134&amp;$AU$82&amp;"P"&amp;$A140))</f>
        <v>0</v>
      </c>
      <c r="BE140" s="54">
        <f>IF(RTD("tos.rtd",,BE$2,"."&amp;$D$134&amp;$AW$82&amp;"C"&amp;$A140)="N/A",0,RTD("tos.rtd",,BE$2,"."&amp;$D$134&amp;$AW$82&amp;"C"&amp;$A140))</f>
        <v>13</v>
      </c>
      <c r="BF140" s="3">
        <f>-IF(RTD("tos.rtd",,BF$2,"."&amp;$D$134&amp;$AW$82&amp;"P"&amp;$A140)="N/A",0,RTD("tos.rtd",,BF$2,"."&amp;$D$134&amp;$AW$82&amp;"P"&amp;$A140))</f>
        <v>0</v>
      </c>
      <c r="BG140" s="3">
        <f ca="1">+Hoja2!Y141</f>
        <v>0</v>
      </c>
      <c r="BH140" s="7">
        <f t="shared" ca="1" si="549"/>
        <v>312</v>
      </c>
      <c r="BI140" s="32" t="str">
        <f t="shared" ref="BI140:BI189" ca="1" si="609">IF(AND(BH140&lt;0,BH139&gt;0), "Cruce -", IF(AND(BH140&gt;0,BH139&lt;0),"Cruce +", ""))</f>
        <v/>
      </c>
      <c r="BJ140" s="3" t="e">
        <f ca="1">IF($BP$1=1,DX140,IF(RTD("tos.rtd",,BJ$43,"."&amp;$B$134&amp;$AS$82&amp;"C"&amp;$A140)="N/A",0,RTD("tos.rtd",,BJ$43,"."&amp;$B$134&amp;$AS$82&amp;"C"&amp;$A140)))</f>
        <v>#NUM!</v>
      </c>
      <c r="BK140" s="3" t="e">
        <f ca="1">IF($BP$1=1,DY140,-IF(RTD("tos.rtd",,BK$43,"."&amp;$B$134&amp;$AS$82&amp;"P"&amp;$A140)="N/A",0,RTD("tos.rtd",,BK$43,"."&amp;$B$134&amp;$AS$82&amp;"P"&amp;$A140)))</f>
        <v>#NUM!</v>
      </c>
      <c r="BL140" s="3" t="e">
        <f ca="1">IF($BP$1=1,DZ140,IF(RTD("tos.rtd",,BL$2,"."&amp;$C$134&amp;$AU$82&amp;"C"&amp;$A140)="N/A",0,RTD("tos.rtd",,BL$2,"."&amp;$C$134&amp;$AU$82&amp;"C"&amp;$A140)))</f>
        <v>#NUM!</v>
      </c>
      <c r="BM140" s="3" t="e">
        <f ca="1">IF($BP$1=1,EA140,-IF(RTD("tos.rtd",,BM$2,"."&amp;$C$134&amp;$AU$82&amp;"P"&amp;$A140)="N/A",0,RTD("tos.rtd",,BM$2,"."&amp;$C$134&amp;$AU$82&amp;"P"&amp;$A140)))</f>
        <v>#NUM!</v>
      </c>
      <c r="BN140" s="3" t="e">
        <f ca="1">IF($BP$1=1,EB140,IF(RTD("tos.rtd",,BN$2,"."&amp;$D$134&amp;$AW$82&amp;"C"&amp;$A140)="N/A",0,RTD("tos.rtd",,BN$2,"."&amp;$D$134&amp;$AW$82&amp;"C"&amp;$A140)))</f>
        <v>#NUM!</v>
      </c>
      <c r="BO140" s="3" t="e">
        <f ca="1">IF($BP$1=1,EC140,-IF(RTD("tos.rtd",,BO$2,"."&amp;$D$134&amp;$AW$82&amp;"P"&amp;$A140)="N/A",0,RTD("tos.rtd",,BO$2,"."&amp;$D$134&amp;$AW$82&amp;"P"&amp;$A140)))</f>
        <v>#NUM!</v>
      </c>
      <c r="BQ140" s="3" t="e">
        <f t="shared" ca="1" si="602"/>
        <v>#NUM!</v>
      </c>
      <c r="BR140" s="3" t="e">
        <f t="shared" ca="1" si="550"/>
        <v>#NUM!</v>
      </c>
      <c r="BS140" s="3" t="e">
        <f t="shared" ca="1" si="603"/>
        <v>#NUM!</v>
      </c>
      <c r="BT140" s="3" t="e">
        <f t="shared" ca="1" si="551"/>
        <v>#NUM!</v>
      </c>
      <c r="BU140" s="3" t="e">
        <f t="shared" ca="1" si="604"/>
        <v>#NUM!</v>
      </c>
      <c r="BV140" s="3" t="e">
        <f t="shared" ca="1" si="551"/>
        <v>#NUM!</v>
      </c>
      <c r="BX140" s="3" t="e">
        <f t="shared" ca="1" si="585"/>
        <v>#NUM!</v>
      </c>
      <c r="BY140" s="3" t="e">
        <f t="shared" ca="1" si="586"/>
        <v>#NUM!</v>
      </c>
      <c r="BZ140" s="3" t="e">
        <f t="shared" ca="1" si="587"/>
        <v>#NUM!</v>
      </c>
      <c r="CA140" s="3" t="e">
        <f t="shared" ca="1" si="586"/>
        <v>#NUM!</v>
      </c>
      <c r="CB140" s="3" t="e">
        <f t="shared" ca="1" si="588"/>
        <v>#NUM!</v>
      </c>
      <c r="CC140" s="3" t="e">
        <f t="shared" ca="1" si="586"/>
        <v>#NUM!</v>
      </c>
      <c r="CD140" s="3">
        <f>IF(RTD("tos.rtd",,CD$43,"."&amp;$B$134&amp;$AS$82&amp;"C"&amp;$A140)="N/A",0,RTD("tos.rtd",,CD$43,"."&amp;$B$134&amp;$AS$82&amp;"C"&amp;$A140))</f>
        <v>0.01</v>
      </c>
      <c r="CE140" s="3">
        <f>-IF(RTD("tos.rtd",,CE$43,"."&amp;$B$134&amp;$AS$82&amp;"P"&amp;$A140)="N/A",0,RTD("tos.rtd",,CE$43,"."&amp;$B$134&amp;$AS$82&amp;"P"&amp;$A140))</f>
        <v>1</v>
      </c>
      <c r="CF140" s="3">
        <f>IF(RTD("tos.rtd",,CF$2,"."&amp;$C$134&amp;$AU$82&amp;"C"&amp;$A140)="N/A",0,RTD("tos.rtd",,CF$2,"."&amp;$C$134&amp;$AU$82&amp;"C"&amp;$A140))</f>
        <v>0.08</v>
      </c>
      <c r="CG140" s="3">
        <f>-IF(RTD("tos.rtd",,CG$2,"."&amp;$C$134&amp;$AU$82&amp;"P"&amp;$A140)="N/A",0,RTD("tos.rtd",,CG$2,"."&amp;$C$134&amp;$AU$82&amp;"P"&amp;$A140))</f>
        <v>0.97</v>
      </c>
      <c r="CH140" s="3">
        <f>IF(RTD("tos.rtd",,CH$2,"."&amp;$D$134&amp;$AW$82&amp;"C"&amp;$A140)="N/A",0,RTD("tos.rtd",,CH$2,"."&amp;$D$134&amp;$AW$82&amp;"C"&amp;$A140))</f>
        <v>0.25</v>
      </c>
      <c r="CI140" s="3">
        <f>-IF(RTD("tos.rtd",,CI$2,"."&amp;$D$134&amp;$AW$82&amp;"P"&amp;$A140)="N/A",0,RTD("tos.rtd",,CI$2,"."&amp;$D$134&amp;$AW$82&amp;"P"&amp;$A140))</f>
        <v>0.73</v>
      </c>
      <c r="CK140" s="3">
        <f t="shared" si="605"/>
        <v>7.0000000000000009</v>
      </c>
      <c r="CL140" s="3"/>
      <c r="CM140" s="3">
        <f t="shared" si="606"/>
        <v>80</v>
      </c>
      <c r="CN140" s="3"/>
      <c r="CO140" s="3">
        <f t="shared" si="607"/>
        <v>206</v>
      </c>
      <c r="CP140" s="3">
        <f t="shared" si="542"/>
        <v>293</v>
      </c>
      <c r="CQ140" s="3">
        <f t="shared" si="552"/>
        <v>0</v>
      </c>
      <c r="CR140" s="3"/>
      <c r="CS140" s="3">
        <f t="shared" si="553"/>
        <v>299</v>
      </c>
      <c r="CT140" s="3"/>
      <c r="CU140" s="3">
        <f t="shared" si="554"/>
        <v>13</v>
      </c>
      <c r="CV140" s="3"/>
      <c r="CW140" s="3" t="e">
        <f t="shared" ca="1" si="555"/>
        <v>#NUM!</v>
      </c>
      <c r="CY140" s="3" t="e">
        <f t="shared" ca="1" si="556"/>
        <v>#NUM!</v>
      </c>
      <c r="CZ140" s="70" t="e">
        <f t="shared" ca="1" si="589"/>
        <v>#NUM!</v>
      </c>
      <c r="DA140" s="3">
        <f>IF(RTD("tos.rtd",,DA$43,"."&amp;$B$134&amp;$AS$82&amp;"C"&amp;$A140)="N/A",0,RTD("tos.rtd",,DA$43,"."&amp;$B$134&amp;$AS$82&amp;"C"&amp;$A140))</f>
        <v>0.25</v>
      </c>
      <c r="DB140" s="3">
        <f>IF(RTD("tos.rtd",,DB$43,"."&amp;$B$134&amp;$AS$82&amp;"P"&amp;$A140)="N/A",0,RTD("tos.rtd",,DB$43,"."&amp;$B$134&amp;$AS$82&amp;"P"&amp;$A140))</f>
        <v>0</v>
      </c>
      <c r="DC140" s="3">
        <f>IF(RTD("tos.rtd",,DC$43,"."&amp;$B$134&amp;$AS$82&amp;"C"&amp;$A140)="N/A",0,RTD("tos.rtd",,DC$43,"."&amp;$B$134&amp;$AS$82&amp;"C"&amp;$A140))</f>
        <v>1</v>
      </c>
      <c r="DD140" s="3">
        <f>IF(RTD("tos.rtd",,DD$43,"."&amp;$B$134&amp;$AS$82&amp;"P"&amp;$A140)="N/A",0,RTD("tos.rtd",,DD$43,"."&amp;$B$134&amp;$AS$82&amp;"P"&amp;$A140))</f>
        <v>430.3</v>
      </c>
      <c r="DE140" s="3">
        <f>IF(RTD("tos.rtd",,DE$43,"."&amp;$B$134&amp;$AS$82&amp;"C"&amp;$A140)="N/A",0,RTD("tos.rtd",,DE$43,"."&amp;$B$134&amp;$AS$82&amp;"C"&amp;$A140))</f>
        <v>0</v>
      </c>
      <c r="DF140" s="3">
        <f>IF(RTD("tos.rtd",,DF$43,"."&amp;$B$134&amp;$AS$82&amp;"P"&amp;$A140)="N/A",0,RTD("tos.rtd",,DF$43,"."&amp;$B$134&amp;$AS$82&amp;"P"&amp;$A140))</f>
        <v>382</v>
      </c>
      <c r="DG140" s="86">
        <f t="shared" si="590"/>
        <v>413.55099999999948</v>
      </c>
      <c r="DH140" s="3">
        <f t="shared" si="557"/>
        <v>-20.75</v>
      </c>
      <c r="DI140" s="3">
        <f t="shared" si="558"/>
        <v>0</v>
      </c>
      <c r="DJ140" s="3">
        <f t="shared" si="559"/>
        <v>83</v>
      </c>
      <c r="DK140" s="3">
        <f t="shared" si="560"/>
        <v>0</v>
      </c>
      <c r="DL140" s="3">
        <f t="shared" si="561"/>
        <v>-20.75</v>
      </c>
      <c r="DM140" s="3">
        <f t="shared" si="562"/>
        <v>83</v>
      </c>
      <c r="DN140" s="64" t="str">
        <f t="shared" si="563"/>
        <v>UNKNOWN</v>
      </c>
      <c r="DO140" s="64" t="str">
        <f t="shared" si="564"/>
        <v>UNKNOWN</v>
      </c>
      <c r="DP140" s="3">
        <f t="shared" si="565"/>
        <v>-5.1875</v>
      </c>
      <c r="DQ140" s="3">
        <f t="shared" si="566"/>
        <v>20.75</v>
      </c>
      <c r="DR140" s="3" t="e">
        <f t="shared" ca="1" si="567"/>
        <v>#NUM!</v>
      </c>
      <c r="DS140" s="3">
        <f t="shared" si="568"/>
        <v>0.83000000000000007</v>
      </c>
      <c r="DT140" s="3">
        <f t="shared" si="591"/>
        <v>-83</v>
      </c>
      <c r="DU140" s="3">
        <f t="shared" si="592"/>
        <v>0</v>
      </c>
      <c r="DV140" s="3">
        <f t="shared" si="569"/>
        <v>34</v>
      </c>
      <c r="DW140" s="3">
        <f t="shared" si="570"/>
        <v>0</v>
      </c>
      <c r="DX140" s="3" t="e">
        <f t="shared" ca="1" si="571"/>
        <v>#NUM!</v>
      </c>
      <c r="DY140" s="3" t="e">
        <f t="shared" ca="1" si="572"/>
        <v>#NUM!</v>
      </c>
      <c r="DZ140" s="3" t="e">
        <f t="shared" ca="1" si="573"/>
        <v>#NUM!</v>
      </c>
      <c r="EA140" s="3" t="e">
        <f t="shared" ca="1" si="574"/>
        <v>#NUM!</v>
      </c>
      <c r="EB140" s="3" t="e">
        <f t="shared" ca="1" si="575"/>
        <v>#NUM!</v>
      </c>
      <c r="EC140" s="3" t="e">
        <f t="shared" ca="1" si="576"/>
        <v>#NUM!</v>
      </c>
      <c r="ED140" s="63">
        <f t="shared" si="593"/>
        <v>34</v>
      </c>
      <c r="EE140" s="59">
        <f t="shared" si="577"/>
        <v>1.1346000000000001</v>
      </c>
      <c r="EF140" s="59">
        <f t="shared" si="578"/>
        <v>0.25</v>
      </c>
      <c r="EG140" s="59">
        <f t="shared" si="579"/>
        <v>1.8880999999999999</v>
      </c>
      <c r="EH140" s="59">
        <f t="shared" si="580"/>
        <v>1.4164000000000001</v>
      </c>
      <c r="EI140" s="59">
        <f t="shared" si="581"/>
        <v>0.26190000000000002</v>
      </c>
      <c r="EJ140" s="59">
        <f t="shared" si="582"/>
        <v>0.28139999999999998</v>
      </c>
      <c r="EK140" s="63" t="e">
        <f t="shared" ca="1" si="594"/>
        <v>#NUM!</v>
      </c>
      <c r="EL140" s="3" t="str">
        <f>RTD("tos.rtd",,EL$43,"."&amp;$B$134&amp;$AS$82&amp;"C"&amp;$A140)</f>
        <v>113.46%</v>
      </c>
      <c r="EM140" s="3" t="str">
        <f>RTD("tos.rtd",,EM$43,"."&amp;$B$134&amp;$AS$82&amp;"P"&amp;$A140)</f>
        <v>--</v>
      </c>
      <c r="EN140" s="3" t="str">
        <f>RTD("tos.rtd",,EN$2,"."&amp;$C$134&amp;$AU$82&amp;"C"&amp;$A140)</f>
        <v>188.81%</v>
      </c>
      <c r="EO140" s="3" t="str">
        <f>RTD("tos.rtd",,EO$2,"."&amp;$C$134&amp;$AU$82&amp;"P"&amp;$A140)</f>
        <v>141.64%</v>
      </c>
      <c r="EP140" s="3" t="str">
        <f>RTD("tos.rtd",,EP$2,"."&amp;$D$134&amp;$AW$82&amp;"C"&amp;$A140)</f>
        <v>26.19%</v>
      </c>
      <c r="EQ140" s="3" t="str">
        <f>RTD("tos.rtd",,EQ$2,"."&amp;$D$134&amp;$AW$82&amp;"P"&amp;$A140)</f>
        <v>28.14%</v>
      </c>
      <c r="ES140" s="63" t="str">
        <f t="shared" si="583"/>
        <v>20475,34.00</v>
      </c>
      <c r="ET140" s="63" t="str">
        <f t="shared" ca="1" si="584"/>
        <v>20475,00.00</v>
      </c>
      <c r="EU140" s="67">
        <v>564.26</v>
      </c>
      <c r="EV140" s="67" t="s">
        <v>1139</v>
      </c>
      <c r="EW140" s="67">
        <v>486.87</v>
      </c>
      <c r="EX140" s="67" t="s">
        <v>1140</v>
      </c>
      <c r="EY140" s="67">
        <v>5631.28</v>
      </c>
      <c r="EZ140" s="67" t="s">
        <v>1141</v>
      </c>
      <c r="FA140" s="67">
        <v>19867.973000000002</v>
      </c>
      <c r="FB140" s="67" t="s">
        <v>1142</v>
      </c>
      <c r="FC140" s="67" t="s">
        <v>1143</v>
      </c>
      <c r="FD140" s="67" t="s">
        <v>1144</v>
      </c>
      <c r="FE140" s="68" t="s">
        <v>1145</v>
      </c>
      <c r="FF140" s="68" t="s">
        <v>1146</v>
      </c>
    </row>
    <row r="141" spans="1:162" ht="11.1" customHeight="1" thickBot="1" x14ac:dyDescent="0.25">
      <c r="A141" s="2">
        <f t="shared" si="595"/>
        <v>20450</v>
      </c>
      <c r="B141" s="3">
        <f t="shared" si="596"/>
        <v>12</v>
      </c>
      <c r="C141" s="3">
        <f t="shared" si="597"/>
        <v>42</v>
      </c>
      <c r="D141" s="3">
        <f t="shared" si="608"/>
        <v>17</v>
      </c>
      <c r="E141" s="3">
        <f t="shared" si="598"/>
        <v>71</v>
      </c>
      <c r="F141" s="4">
        <f t="shared" si="599"/>
        <v>20851.428154566504</v>
      </c>
      <c r="G141" s="5">
        <f t="shared" si="600"/>
        <v>505.38228818865474</v>
      </c>
      <c r="AM141" s="1">
        <v>-41</v>
      </c>
      <c r="AN141" s="1">
        <v>-1</v>
      </c>
      <c r="AO141" s="1">
        <v>20450</v>
      </c>
      <c r="AP141" s="1">
        <v>227</v>
      </c>
      <c r="AQ141" s="1">
        <v>-1</v>
      </c>
      <c r="AS141" s="54">
        <f>IF(RTD("tos.rtd",,AS$83,"."&amp;$B$134&amp;$AS$82&amp;"C"&amp;$A141)="N/A",0,RTD("tos.rtd",,AS$83,"."&amp;$B$134&amp;$AS$82&amp;"C"&amp;$A141))</f>
        <v>12</v>
      </c>
      <c r="AT141" s="3">
        <f>-IF(RTD("tos.rtd",,AT$83,"."&amp;$B$134&amp;$AS$82&amp;"P"&amp;$A141)="N/A",0,RTD("tos.rtd",,AT$83,"."&amp;$B$134&amp;$AS$82&amp;"P"&amp;$A141))</f>
        <v>0</v>
      </c>
      <c r="AU141" s="54">
        <f>IF(RTD("tos.rtd",,AU$2,"."&amp;$C$134&amp;$AU$134&amp;"C"&amp;$A141)="N/A",0,RTD("tos.rtd",,AU$2,"."&amp;$C$134&amp;$AU$134&amp;"C"&amp;$A141))</f>
        <v>40</v>
      </c>
      <c r="AV141" s="3">
        <f>-IF(RTD("tos.rtd",,AV$2,"."&amp;$C$134&amp;$AU$134&amp;"P"&amp;$A141)="N/A",0,RTD("tos.rtd",,AV$2,"."&amp;$C$134&amp;$AU$134&amp;"P"&amp;$A141))</f>
        <v>-2</v>
      </c>
      <c r="AW141" s="54">
        <f>IF(RTD("tos.rtd",,AW$2,"."&amp;$D$134&amp;$AW$134&amp;"C"&amp;$A141)="N/A",0,RTD("tos.rtd",,AW$2,"."&amp;$D$134&amp;$AW$134&amp;"C"&amp;$A141))</f>
        <v>12</v>
      </c>
      <c r="AX141" s="3">
        <f>-IF(RTD("tos.rtd",,AX$2,"."&amp;$D$134&amp;$AW$134&amp;"P"&amp;$A141)="N/A",0,RTD("tos.rtd",,AX$2,"."&amp;$D$134&amp;$AW$134&amp;"P"&amp;$A141))</f>
        <v>-5</v>
      </c>
      <c r="AY141" s="76">
        <f t="shared" si="601"/>
        <v>57</v>
      </c>
      <c r="AZ141" s="8">
        <f t="shared" si="548"/>
        <v>20450</v>
      </c>
      <c r="BA141" s="54">
        <f>IF(RTD("tos.rtd",,BA$43,"."&amp;$B$134&amp;$AS$82&amp;"C"&amp;$A141)="N/A",0,RTD("tos.rtd",,BA$43,"."&amp;$B$134&amp;$AS$82&amp;"C"&amp;$A141))</f>
        <v>0</v>
      </c>
      <c r="BB141" s="3">
        <f>-IF(RTD("tos.rtd",,BB$43,"."&amp;$B$134&amp;$AS$82&amp;"P"&amp;$A141)="N/A",0,RTD("tos.rtd",,BB$43,"."&amp;$B$134&amp;$AS$82&amp;"P"&amp;$A141))</f>
        <v>0</v>
      </c>
      <c r="BC141" s="54">
        <f>IF(RTD("tos.rtd",,BC$2,"."&amp;$C$134&amp;$AU$82&amp;"C"&amp;$A141)="N/A",0,RTD("tos.rtd",,BC$2,"."&amp;$C$134&amp;$AU$82&amp;"C"&amp;$A141))</f>
        <v>92</v>
      </c>
      <c r="BD141" s="3">
        <f>-IF(RTD("tos.rtd",,BD$2,"."&amp;$C$134&amp;$AU$82&amp;"P"&amp;$A141)="N/A",0,RTD("tos.rtd",,BD$2,"."&amp;$C$134&amp;$AU$82&amp;"P"&amp;$A141))</f>
        <v>0</v>
      </c>
      <c r="BE141" s="54">
        <f>IF(RTD("tos.rtd",,BE$2,"."&amp;$D$134&amp;$AW$82&amp;"C"&amp;$A141)="N/A",0,RTD("tos.rtd",,BE$2,"."&amp;$D$134&amp;$AW$82&amp;"C"&amp;$A141))</f>
        <v>1</v>
      </c>
      <c r="BF141" s="3">
        <f>-IF(RTD("tos.rtd",,BF$2,"."&amp;$D$134&amp;$AW$82&amp;"P"&amp;$A141)="N/A",0,RTD("tos.rtd",,BF$2,"."&amp;$D$134&amp;$AW$82&amp;"P"&amp;$A141))</f>
        <v>0</v>
      </c>
      <c r="BG141" s="3">
        <f ca="1">+Hoja2!Y142</f>
        <v>18</v>
      </c>
      <c r="BH141" s="7">
        <f t="shared" ca="1" si="549"/>
        <v>111</v>
      </c>
      <c r="BI141" s="32" t="str">
        <f t="shared" ca="1" si="609"/>
        <v/>
      </c>
      <c r="BJ141" s="3" t="e">
        <f ca="1">IF($BP$1=1,DX141,IF(RTD("tos.rtd",,BJ$43,"."&amp;$B$134&amp;$AS$82&amp;"C"&amp;$A141)="N/A",0,RTD("tos.rtd",,BJ$43,"."&amp;$B$134&amp;$AS$82&amp;"C"&amp;$A141)))</f>
        <v>#NUM!</v>
      </c>
      <c r="BK141" s="3" t="e">
        <f ca="1">IF($BP$1=1,DY141,-IF(RTD("tos.rtd",,BK$43,"."&amp;$B$134&amp;$AS$82&amp;"P"&amp;$A141)="N/A",0,RTD("tos.rtd",,BK$43,"."&amp;$B$134&amp;$AS$82&amp;"P"&amp;$A141)))</f>
        <v>#NUM!</v>
      </c>
      <c r="BL141" s="3" t="e">
        <f ca="1">IF($BP$1=1,DZ141,IF(RTD("tos.rtd",,BL$2,"."&amp;$C$134&amp;$AU$82&amp;"C"&amp;$A141)="N/A",0,RTD("tos.rtd",,BL$2,"."&amp;$C$134&amp;$AU$82&amp;"C"&amp;$A141)))</f>
        <v>#NUM!</v>
      </c>
      <c r="BM141" s="3" t="e">
        <f ca="1">IF($BP$1=1,EA141,-IF(RTD("tos.rtd",,BM$2,"."&amp;$C$134&amp;$AU$82&amp;"P"&amp;$A141)="N/A",0,RTD("tos.rtd",,BM$2,"."&amp;$C$134&amp;$AU$82&amp;"P"&amp;$A141)))</f>
        <v>#NUM!</v>
      </c>
      <c r="BN141" s="3" t="e">
        <f ca="1">IF($BP$1=1,EB141,IF(RTD("tos.rtd",,BN$2,"."&amp;$D$134&amp;$AW$82&amp;"C"&amp;$A141)="N/A",0,RTD("tos.rtd",,BN$2,"."&amp;$D$134&amp;$AW$82&amp;"C"&amp;$A141)))</f>
        <v>#NUM!</v>
      </c>
      <c r="BO141" s="3" t="e">
        <f ca="1">IF($BP$1=1,EC141,-IF(RTD("tos.rtd",,BO$2,"."&amp;$D$134&amp;$AW$82&amp;"P"&amp;$A141)="N/A",0,RTD("tos.rtd",,BO$2,"."&amp;$D$134&amp;$AW$82&amp;"P"&amp;$A141)))</f>
        <v>#NUM!</v>
      </c>
      <c r="BQ141" s="3" t="e">
        <f t="shared" ca="1" si="602"/>
        <v>#NUM!</v>
      </c>
      <c r="BR141" s="3" t="e">
        <f t="shared" ca="1" si="550"/>
        <v>#NUM!</v>
      </c>
      <c r="BS141" s="3" t="e">
        <f t="shared" ca="1" si="603"/>
        <v>#NUM!</v>
      </c>
      <c r="BT141" s="3" t="e">
        <f t="shared" ca="1" si="551"/>
        <v>#NUM!</v>
      </c>
      <c r="BU141" s="3" t="e">
        <f t="shared" ca="1" si="604"/>
        <v>#NUM!</v>
      </c>
      <c r="BV141" s="3" t="e">
        <f t="shared" ca="1" si="551"/>
        <v>#NUM!</v>
      </c>
      <c r="BX141" s="3" t="e">
        <f t="shared" ca="1" si="585"/>
        <v>#NUM!</v>
      </c>
      <c r="BY141" s="3" t="e">
        <f t="shared" ca="1" si="586"/>
        <v>#NUM!</v>
      </c>
      <c r="BZ141" s="3" t="e">
        <f t="shared" ca="1" si="587"/>
        <v>#NUM!</v>
      </c>
      <c r="CA141" s="3" t="e">
        <f t="shared" ca="1" si="586"/>
        <v>#NUM!</v>
      </c>
      <c r="CB141" s="3" t="e">
        <f t="shared" ca="1" si="588"/>
        <v>#NUM!</v>
      </c>
      <c r="CC141" s="3" t="e">
        <f t="shared" ca="1" si="586"/>
        <v>#NUM!</v>
      </c>
      <c r="CD141" s="3">
        <f>IF(RTD("tos.rtd",,CD$43,"."&amp;$B$134&amp;$AS$82&amp;"C"&amp;$A141)="N/A",0,RTD("tos.rtd",,CD$43,"."&amp;$B$134&amp;$AS$82&amp;"C"&amp;$A141))</f>
        <v>0.08</v>
      </c>
      <c r="CE141" s="3">
        <f>-IF(RTD("tos.rtd",,CE$43,"."&amp;$B$134&amp;$AS$82&amp;"P"&amp;$A141)="N/A",0,RTD("tos.rtd",,CE$43,"."&amp;$B$134&amp;$AS$82&amp;"P"&amp;$A141))</f>
        <v>1</v>
      </c>
      <c r="CF141" s="3">
        <f>IF(RTD("tos.rtd",,CF$2,"."&amp;$C$134&amp;$AU$82&amp;"C"&amp;$A141)="N/A",0,RTD("tos.rtd",,CF$2,"."&amp;$C$134&amp;$AU$82&amp;"C"&amp;$A141))</f>
        <v>0.04</v>
      </c>
      <c r="CG141" s="3">
        <f>-IF(RTD("tos.rtd",,CG$2,"."&amp;$C$134&amp;$AU$82&amp;"P"&amp;$A141)="N/A",0,RTD("tos.rtd",,CG$2,"."&amp;$C$134&amp;$AU$82&amp;"P"&amp;$A141))</f>
        <v>0.97</v>
      </c>
      <c r="CH141" s="3">
        <f>IF(RTD("tos.rtd",,CH$2,"."&amp;$D$134&amp;$AW$82&amp;"C"&amp;$A141)="N/A",0,RTD("tos.rtd",,CH$2,"."&amp;$D$134&amp;$AW$82&amp;"C"&amp;$A141))</f>
        <v>0.27</v>
      </c>
      <c r="CI141" s="3">
        <f>-IF(RTD("tos.rtd",,CI$2,"."&amp;$D$134&amp;$AW$82&amp;"P"&amp;$A141)="N/A",0,RTD("tos.rtd",,CI$2,"."&amp;$D$134&amp;$AW$82&amp;"P"&amp;$A141))</f>
        <v>0.72</v>
      </c>
      <c r="CK141" s="3">
        <f t="shared" si="605"/>
        <v>96</v>
      </c>
      <c r="CL141" s="3"/>
      <c r="CM141" s="3">
        <f t="shared" si="606"/>
        <v>-34</v>
      </c>
      <c r="CN141" s="3"/>
      <c r="CO141" s="3">
        <f t="shared" si="607"/>
        <v>-35.999999999999943</v>
      </c>
      <c r="CP141" s="3">
        <f t="shared" si="542"/>
        <v>26.000000000000057</v>
      </c>
      <c r="CQ141" s="3">
        <f t="shared" si="552"/>
        <v>0</v>
      </c>
      <c r="CR141" s="3"/>
      <c r="CS141" s="3">
        <f t="shared" si="553"/>
        <v>92</v>
      </c>
      <c r="CT141" s="3"/>
      <c r="CU141" s="3">
        <f t="shared" si="554"/>
        <v>1</v>
      </c>
      <c r="CV141" s="3"/>
      <c r="CW141" s="3" t="e">
        <f t="shared" ca="1" si="555"/>
        <v>#NUM!</v>
      </c>
      <c r="CY141" s="3" t="e">
        <f t="shared" ca="1" si="556"/>
        <v>#NUM!</v>
      </c>
      <c r="CZ141" s="70" t="e">
        <f t="shared" ca="1" si="589"/>
        <v>#NUM!</v>
      </c>
      <c r="DA141" s="3">
        <f>IF(RTD("tos.rtd",,DA$43,"."&amp;$B$134&amp;$AS$82&amp;"C"&amp;$A141)="N/A",0,RTD("tos.rtd",,DA$43,"."&amp;$B$134&amp;$AS$82&amp;"C"&amp;$A141))</f>
        <v>0.26</v>
      </c>
      <c r="DB141" s="3">
        <f>IF(RTD("tos.rtd",,DB$43,"."&amp;$B$134&amp;$AS$82&amp;"P"&amp;$A141)="N/A",0,RTD("tos.rtd",,DB$43,"."&amp;$B$134&amp;$AS$82&amp;"P"&amp;$A141))</f>
        <v>236.75</v>
      </c>
      <c r="DC141" s="3">
        <f>IF(RTD("tos.rtd",,DC$43,"."&amp;$B$134&amp;$AS$82&amp;"C"&amp;$A141)="N/A",0,RTD("tos.rtd",,DC$43,"."&amp;$B$134&amp;$AS$82&amp;"C"&amp;$A141))</f>
        <v>19.8</v>
      </c>
      <c r="DD141" s="3">
        <f>IF(RTD("tos.rtd",,DD$43,"."&amp;$B$134&amp;$AS$82&amp;"P"&amp;$A141)="N/A",0,RTD("tos.rtd",,DD$43,"."&amp;$B$134&amp;$AS$82&amp;"P"&amp;$A141))</f>
        <v>405.3</v>
      </c>
      <c r="DE141" s="3">
        <f>IF(RTD("tos.rtd",,DE$43,"."&amp;$B$134&amp;$AS$82&amp;"C"&amp;$A141)="N/A",0,RTD("tos.rtd",,DE$43,"."&amp;$B$134&amp;$AS$82&amp;"C"&amp;$A141))</f>
        <v>0</v>
      </c>
      <c r="DF141" s="3">
        <f>IF(RTD("tos.rtd",,DF$43,"."&amp;$B$134&amp;$AS$82&amp;"P"&amp;$A141)="N/A",0,RTD("tos.rtd",,DF$43,"."&amp;$B$134&amp;$AS$82&amp;"P"&amp;$A141))</f>
        <v>358</v>
      </c>
      <c r="DG141" s="86">
        <f t="shared" si="590"/>
        <v>388.55099999999948</v>
      </c>
      <c r="DH141" s="3">
        <f t="shared" si="557"/>
        <v>-2.9808080808080808</v>
      </c>
      <c r="DI141" s="3">
        <f t="shared" si="558"/>
        <v>-2.5634249471458768</v>
      </c>
      <c r="DJ141" s="3">
        <f t="shared" si="559"/>
        <v>227</v>
      </c>
      <c r="DK141" s="3">
        <f t="shared" si="560"/>
        <v>-1</v>
      </c>
      <c r="DL141" s="3">
        <f t="shared" si="561"/>
        <v>-5.5442330279539576</v>
      </c>
      <c r="DM141" s="3">
        <f t="shared" si="562"/>
        <v>226</v>
      </c>
      <c r="DN141" s="64" t="str">
        <f t="shared" si="563"/>
        <v>UNKNOWN</v>
      </c>
      <c r="DO141" s="64" t="str">
        <f t="shared" si="564"/>
        <v>UNKNOWN</v>
      </c>
      <c r="DP141" s="3">
        <f t="shared" si="565"/>
        <v>-607.6658663377965</v>
      </c>
      <c r="DQ141" s="3">
        <f t="shared" si="566"/>
        <v>-177.73</v>
      </c>
      <c r="DR141" s="3" t="e">
        <f t="shared" ca="1" si="567"/>
        <v>#NUM!</v>
      </c>
      <c r="DS141" s="3">
        <f t="shared" si="568"/>
        <v>17.16</v>
      </c>
      <c r="DT141" s="3">
        <f t="shared" si="591"/>
        <v>-227</v>
      </c>
      <c r="DU141" s="3">
        <f t="shared" si="592"/>
        <v>1</v>
      </c>
      <c r="DV141" s="3">
        <f t="shared" si="569"/>
        <v>-41</v>
      </c>
      <c r="DW141" s="3">
        <f t="shared" si="570"/>
        <v>-1</v>
      </c>
      <c r="DX141" s="3" t="e">
        <f t="shared" ca="1" si="571"/>
        <v>#NUM!</v>
      </c>
      <c r="DY141" s="3" t="e">
        <f t="shared" ca="1" si="572"/>
        <v>#NUM!</v>
      </c>
      <c r="DZ141" s="3" t="e">
        <f t="shared" ca="1" si="573"/>
        <v>#NUM!</v>
      </c>
      <c r="EA141" s="3" t="e">
        <f t="shared" ca="1" si="574"/>
        <v>#NUM!</v>
      </c>
      <c r="EB141" s="3" t="e">
        <f t="shared" ca="1" si="575"/>
        <v>#NUM!</v>
      </c>
      <c r="EC141" s="3" t="e">
        <f t="shared" ca="1" si="576"/>
        <v>#NUM!</v>
      </c>
      <c r="ED141" s="63">
        <f t="shared" si="593"/>
        <v>-42</v>
      </c>
      <c r="EE141" s="59">
        <f t="shared" si="577"/>
        <v>1.8019000000000001</v>
      </c>
      <c r="EF141" s="59">
        <f t="shared" si="578"/>
        <v>0.25</v>
      </c>
      <c r="EG141" s="59">
        <f t="shared" si="579"/>
        <v>1.4366000000000001</v>
      </c>
      <c r="EH141" s="59">
        <f t="shared" si="580"/>
        <v>1.2934000000000001</v>
      </c>
      <c r="EI141" s="59">
        <f t="shared" si="581"/>
        <v>0.26269999999999999</v>
      </c>
      <c r="EJ141" s="59">
        <f t="shared" si="582"/>
        <v>0.28249999999999997</v>
      </c>
      <c r="EK141" s="63" t="e">
        <f t="shared" ca="1" si="594"/>
        <v>#NUM!</v>
      </c>
      <c r="EL141" s="3" t="str">
        <f>RTD("tos.rtd",,EL$43,"."&amp;$B$134&amp;$AS$82&amp;"C"&amp;$A141)</f>
        <v>180.19%</v>
      </c>
      <c r="EM141" s="3" t="str">
        <f>RTD("tos.rtd",,EM$43,"."&amp;$B$134&amp;$AS$82&amp;"P"&amp;$A141)</f>
        <v>--</v>
      </c>
      <c r="EN141" s="3" t="str">
        <f>RTD("tos.rtd",,EN$2,"."&amp;$C$134&amp;$AU$82&amp;"C"&amp;$A141)</f>
        <v>143.66%</v>
      </c>
      <c r="EO141" s="3" t="str">
        <f>RTD("tos.rtd",,EO$2,"."&amp;$C$134&amp;$AU$82&amp;"P"&amp;$A141)</f>
        <v>129.34%</v>
      </c>
      <c r="EP141" s="3" t="str">
        <f>RTD("tos.rtd",,EP$2,"."&amp;$D$134&amp;$AW$82&amp;"C"&amp;$A141)</f>
        <v>26.27%</v>
      </c>
      <c r="EQ141" s="3" t="str">
        <f>RTD("tos.rtd",,EQ$2,"."&amp;$D$134&amp;$AW$82&amp;"P"&amp;$A141)</f>
        <v>28.25%</v>
      </c>
      <c r="ES141" s="63" t="str">
        <f t="shared" si="583"/>
        <v>20450,-42.00</v>
      </c>
      <c r="ET141" s="63" t="str">
        <f t="shared" ca="1" si="584"/>
        <v>20450,00.00</v>
      </c>
      <c r="EU141" s="67">
        <v>563.78</v>
      </c>
      <c r="EV141" s="67" t="s">
        <v>1147</v>
      </c>
      <c r="EW141" s="67">
        <v>486.42</v>
      </c>
      <c r="EX141" s="67" t="s">
        <v>1148</v>
      </c>
      <c r="EY141" s="67">
        <v>5631.28</v>
      </c>
      <c r="EZ141" s="67" t="s">
        <v>1149</v>
      </c>
      <c r="FA141" s="67">
        <v>19867.973000000002</v>
      </c>
      <c r="FB141" s="67" t="s">
        <v>1150</v>
      </c>
      <c r="FC141" s="67" t="s">
        <v>1151</v>
      </c>
      <c r="FD141" s="67" t="s">
        <v>1152</v>
      </c>
      <c r="FE141" s="68" t="s">
        <v>1153</v>
      </c>
      <c r="FF141" s="68" t="s">
        <v>1154</v>
      </c>
    </row>
    <row r="142" spans="1:162" ht="11.1" customHeight="1" thickBot="1" x14ac:dyDescent="0.25">
      <c r="A142" s="2">
        <f t="shared" si="595"/>
        <v>20425</v>
      </c>
      <c r="B142" s="3">
        <f t="shared" si="596"/>
        <v>6</v>
      </c>
      <c r="C142" s="3">
        <f t="shared" si="597"/>
        <v>7</v>
      </c>
      <c r="D142" s="3">
        <f t="shared" si="608"/>
        <v>67</v>
      </c>
      <c r="E142" s="3">
        <f t="shared" si="598"/>
        <v>80</v>
      </c>
      <c r="F142" s="4">
        <f t="shared" si="599"/>
        <v>20825.937411101262</v>
      </c>
      <c r="G142" s="5">
        <f t="shared" si="600"/>
        <v>504.76446143047787</v>
      </c>
      <c r="AM142" s="1">
        <v>-40</v>
      </c>
      <c r="AN142" s="1">
        <v>-4</v>
      </c>
      <c r="AO142" s="1">
        <v>20425</v>
      </c>
      <c r="AP142" s="1">
        <v>155</v>
      </c>
      <c r="AQ142" s="1">
        <v>-12</v>
      </c>
      <c r="AS142" s="54">
        <f>IF(RTD("tos.rtd",,AS$83,"."&amp;$B$134&amp;$AS$82&amp;"C"&amp;$A142)="N/A",0,RTD("tos.rtd",,AS$83,"."&amp;$B$134&amp;$AS$82&amp;"C"&amp;$A142))</f>
        <v>6</v>
      </c>
      <c r="AT142" s="3">
        <f>-IF(RTD("tos.rtd",,AT$83,"."&amp;$B$134&amp;$AS$82&amp;"P"&amp;$A142)="N/A",0,RTD("tos.rtd",,AT$83,"."&amp;$B$134&amp;$AS$82&amp;"P"&amp;$A142))</f>
        <v>0</v>
      </c>
      <c r="AU142" s="54">
        <f>IF(RTD("tos.rtd",,AU$2,"."&amp;$C$134&amp;$AU$134&amp;"C"&amp;$A142)="N/A",0,RTD("tos.rtd",,AU$2,"."&amp;$C$134&amp;$AU$134&amp;"C"&amp;$A142))</f>
        <v>4</v>
      </c>
      <c r="AV142" s="3">
        <f>-IF(RTD("tos.rtd",,AV$2,"."&amp;$C$134&amp;$AU$134&amp;"P"&amp;$A142)="N/A",0,RTD("tos.rtd",,AV$2,"."&amp;$C$134&amp;$AU$134&amp;"P"&amp;$A142))</f>
        <v>-3</v>
      </c>
      <c r="AW142" s="54">
        <f>IF(RTD("tos.rtd",,AW$2,"."&amp;$D$134&amp;$AW$134&amp;"C"&amp;$A142)="N/A",0,RTD("tos.rtd",,AW$2,"."&amp;$D$134&amp;$AW$134&amp;"C"&amp;$A142))</f>
        <v>23</v>
      </c>
      <c r="AX142" s="3">
        <f>-IF(RTD("tos.rtd",,AX$2,"."&amp;$D$134&amp;$AW$134&amp;"P"&amp;$A142)="N/A",0,RTD("tos.rtd",,AX$2,"."&amp;$D$134&amp;$AW$134&amp;"P"&amp;$A142))</f>
        <v>-44</v>
      </c>
      <c r="AY142" s="76">
        <f t="shared" si="601"/>
        <v>-14</v>
      </c>
      <c r="AZ142" s="8">
        <f t="shared" si="548"/>
        <v>20425</v>
      </c>
      <c r="BA142" s="54">
        <f>IF(RTD("tos.rtd",,BA$43,"."&amp;$B$134&amp;$AS$82&amp;"C"&amp;$A142)="N/A",0,RTD("tos.rtd",,BA$43,"."&amp;$B$134&amp;$AS$82&amp;"C"&amp;$A142))</f>
        <v>0</v>
      </c>
      <c r="BB142" s="3">
        <f>-IF(RTD("tos.rtd",,BB$43,"."&amp;$B$134&amp;$AS$82&amp;"P"&amp;$A142)="N/A",0,RTD("tos.rtd",,BB$43,"."&amp;$B$134&amp;$AS$82&amp;"P"&amp;$A142))</f>
        <v>0</v>
      </c>
      <c r="BC142" s="54">
        <f>IF(RTD("tos.rtd",,BC$2,"."&amp;$C$134&amp;$AU$82&amp;"C"&amp;$A142)="N/A",0,RTD("tos.rtd",,BC$2,"."&amp;$C$134&amp;$AU$82&amp;"C"&amp;$A142))</f>
        <v>41</v>
      </c>
      <c r="BD142" s="3">
        <f>-IF(RTD("tos.rtd",,BD$2,"."&amp;$C$134&amp;$AU$82&amp;"P"&amp;$A142)="N/A",0,RTD("tos.rtd",,BD$2,"."&amp;$C$134&amp;$AU$82&amp;"P"&amp;$A142))</f>
        <v>-3</v>
      </c>
      <c r="BE142" s="54">
        <f>IF(RTD("tos.rtd",,BE$2,"."&amp;$D$134&amp;$AW$82&amp;"C"&amp;$A142)="N/A",0,RTD("tos.rtd",,BE$2,"."&amp;$D$134&amp;$AW$82&amp;"C"&amp;$A142))</f>
        <v>0</v>
      </c>
      <c r="BF142" s="3">
        <f>-IF(RTD("tos.rtd",,BF$2,"."&amp;$D$134&amp;$AW$82&amp;"P"&amp;$A142)="N/A",0,RTD("tos.rtd",,BF$2,"."&amp;$D$134&amp;$AW$82&amp;"P"&amp;$A142))</f>
        <v>0</v>
      </c>
      <c r="BG142" s="3">
        <f ca="1">+Hoja2!Y143</f>
        <v>0</v>
      </c>
      <c r="BH142" s="7">
        <f t="shared" ca="1" si="549"/>
        <v>38</v>
      </c>
      <c r="BI142" s="32" t="str">
        <f t="shared" ca="1" si="609"/>
        <v/>
      </c>
      <c r="BJ142" s="3" t="e">
        <f ca="1">IF($BP$1=1,DX142,IF(RTD("tos.rtd",,BJ$43,"."&amp;$B$134&amp;$AS$82&amp;"C"&amp;$A142)="N/A",0,RTD("tos.rtd",,BJ$43,"."&amp;$B$134&amp;$AS$82&amp;"C"&amp;$A142)))</f>
        <v>#NUM!</v>
      </c>
      <c r="BK142" s="3" t="e">
        <f ca="1">IF($BP$1=1,DY142,-IF(RTD("tos.rtd",,BK$43,"."&amp;$B$134&amp;$AS$82&amp;"P"&amp;$A142)="N/A",0,RTD("tos.rtd",,BK$43,"."&amp;$B$134&amp;$AS$82&amp;"P"&amp;$A142)))</f>
        <v>#NUM!</v>
      </c>
      <c r="BL142" s="3" t="e">
        <f ca="1">IF($BP$1=1,DZ142,IF(RTD("tos.rtd",,BL$2,"."&amp;$C$134&amp;$AU$82&amp;"C"&amp;$A142)="N/A",0,RTD("tos.rtd",,BL$2,"."&amp;$C$134&amp;$AU$82&amp;"C"&amp;$A142)))</f>
        <v>#NUM!</v>
      </c>
      <c r="BM142" s="3" t="e">
        <f ca="1">IF($BP$1=1,EA142,-IF(RTD("tos.rtd",,BM$2,"."&amp;$C$134&amp;$AU$82&amp;"P"&amp;$A142)="N/A",0,RTD("tos.rtd",,BM$2,"."&amp;$C$134&amp;$AU$82&amp;"P"&amp;$A142)))</f>
        <v>#NUM!</v>
      </c>
      <c r="BN142" s="3" t="e">
        <f ca="1">IF($BP$1=1,EB142,IF(RTD("tos.rtd",,BN$2,"."&amp;$D$134&amp;$AW$82&amp;"C"&amp;$A142)="N/A",0,RTD("tos.rtd",,BN$2,"."&amp;$D$134&amp;$AW$82&amp;"C"&amp;$A142)))</f>
        <v>#NUM!</v>
      </c>
      <c r="BO142" s="3" t="e">
        <f ca="1">IF($BP$1=1,EC142,-IF(RTD("tos.rtd",,BO$2,"."&amp;$D$134&amp;$AW$82&amp;"P"&amp;$A142)="N/A",0,RTD("tos.rtd",,BO$2,"."&amp;$D$134&amp;$AW$82&amp;"P"&amp;$A142)))</f>
        <v>#NUM!</v>
      </c>
      <c r="BQ142" s="3" t="e">
        <f t="shared" ca="1" si="602"/>
        <v>#NUM!</v>
      </c>
      <c r="BR142" s="3" t="e">
        <f t="shared" ca="1" si="550"/>
        <v>#NUM!</v>
      </c>
      <c r="BS142" s="3" t="e">
        <f t="shared" ca="1" si="603"/>
        <v>#NUM!</v>
      </c>
      <c r="BT142" s="3" t="e">
        <f t="shared" ca="1" si="551"/>
        <v>#NUM!</v>
      </c>
      <c r="BU142" s="3" t="e">
        <f t="shared" ca="1" si="604"/>
        <v>#NUM!</v>
      </c>
      <c r="BV142" s="3" t="e">
        <f t="shared" ca="1" si="551"/>
        <v>#NUM!</v>
      </c>
      <c r="BX142" s="3" t="e">
        <f t="shared" ca="1" si="585"/>
        <v>#NUM!</v>
      </c>
      <c r="BY142" s="3" t="e">
        <f t="shared" ca="1" si="586"/>
        <v>#NUM!</v>
      </c>
      <c r="BZ142" s="3" t="e">
        <f t="shared" ca="1" si="587"/>
        <v>#NUM!</v>
      </c>
      <c r="CA142" s="3" t="e">
        <f t="shared" ca="1" si="586"/>
        <v>#NUM!</v>
      </c>
      <c r="CB142" s="3" t="e">
        <f t="shared" ca="1" si="588"/>
        <v>#NUM!</v>
      </c>
      <c r="CC142" s="3" t="e">
        <f t="shared" ca="1" si="586"/>
        <v>#NUM!</v>
      </c>
      <c r="CD142" s="3">
        <f>IF(RTD("tos.rtd",,CD$43,"."&amp;$B$134&amp;$AS$82&amp;"C"&amp;$A142)="N/A",0,RTD("tos.rtd",,CD$43,"."&amp;$B$134&amp;$AS$82&amp;"C"&amp;$A142))</f>
        <v>0.02</v>
      </c>
      <c r="CE142" s="3">
        <f>-IF(RTD("tos.rtd",,CE$43,"."&amp;$B$134&amp;$AS$82&amp;"P"&amp;$A142)="N/A",0,RTD("tos.rtd",,CE$43,"."&amp;$B$134&amp;$AS$82&amp;"P"&amp;$A142))</f>
        <v>1</v>
      </c>
      <c r="CF142" s="3">
        <f>IF(RTD("tos.rtd",,CF$2,"."&amp;$C$134&amp;$AU$82&amp;"C"&amp;$A142)="N/A",0,RTD("tos.rtd",,CF$2,"."&amp;$C$134&amp;$AU$82&amp;"C"&amp;$A142))</f>
        <v>0.08</v>
      </c>
      <c r="CG142" s="3">
        <f>-IF(RTD("tos.rtd",,CG$2,"."&amp;$C$134&amp;$AU$82&amp;"P"&amp;$A142)="N/A",0,RTD("tos.rtd",,CG$2,"."&amp;$C$134&amp;$AU$82&amp;"P"&amp;$A142))</f>
        <v>0.97</v>
      </c>
      <c r="CH142" s="3">
        <f>IF(RTD("tos.rtd",,CH$2,"."&amp;$D$134&amp;$AW$82&amp;"C"&amp;$A142)="N/A",0,RTD("tos.rtd",,CH$2,"."&amp;$D$134&amp;$AW$82&amp;"C"&amp;$A142))</f>
        <v>0.28000000000000003</v>
      </c>
      <c r="CI142" s="3">
        <f>-IF(RTD("tos.rtd",,CI$2,"."&amp;$D$134&amp;$AW$82&amp;"P"&amp;$A142)="N/A",0,RTD("tos.rtd",,CI$2,"."&amp;$D$134&amp;$AW$82&amp;"P"&amp;$A142))</f>
        <v>0.7</v>
      </c>
      <c r="CK142" s="3">
        <f t="shared" si="605"/>
        <v>12</v>
      </c>
      <c r="CL142" s="3"/>
      <c r="CM142" s="3">
        <f t="shared" si="606"/>
        <v>-259</v>
      </c>
      <c r="CN142" s="3"/>
      <c r="CO142" s="3">
        <f t="shared" si="607"/>
        <v>-2435.9999999999995</v>
      </c>
      <c r="CP142" s="3">
        <f t="shared" si="542"/>
        <v>-2682.9999999999995</v>
      </c>
      <c r="CQ142" s="3">
        <f t="shared" si="552"/>
        <v>0</v>
      </c>
      <c r="CR142" s="3"/>
      <c r="CS142" s="3">
        <f t="shared" si="553"/>
        <v>38</v>
      </c>
      <c r="CT142" s="3"/>
      <c r="CU142" s="3">
        <f t="shared" si="554"/>
        <v>0</v>
      </c>
      <c r="CV142" s="3"/>
      <c r="CW142" s="3" t="e">
        <f t="shared" ca="1" si="555"/>
        <v>#NUM!</v>
      </c>
      <c r="CY142" s="3" t="e">
        <f t="shared" ca="1" si="556"/>
        <v>#NUM!</v>
      </c>
      <c r="CZ142" s="70" t="e">
        <f t="shared" ca="1" si="589"/>
        <v>#NUM!</v>
      </c>
      <c r="DA142" s="3">
        <f>IF(RTD("tos.rtd",,DA$43,"."&amp;$B$134&amp;$AS$82&amp;"C"&amp;$A142)="N/A",0,RTD("tos.rtd",,DA$43,"."&amp;$B$134&amp;$AS$82&amp;"C"&amp;$A142))</f>
        <v>0.1</v>
      </c>
      <c r="DB142" s="3">
        <f>IF(RTD("tos.rtd",,DB$43,"."&amp;$B$134&amp;$AS$82&amp;"P"&amp;$A142)="N/A",0,RTD("tos.rtd",,DB$43,"."&amp;$B$134&amp;$AS$82&amp;"P"&amp;$A142))</f>
        <v>240</v>
      </c>
      <c r="DC142" s="3">
        <f>IF(RTD("tos.rtd",,DC$43,"."&amp;$B$134&amp;$AS$82&amp;"C"&amp;$A142)="N/A",0,RTD("tos.rtd",,DC$43,"."&amp;$B$134&amp;$AS$82&amp;"C"&amp;$A142))</f>
        <v>2</v>
      </c>
      <c r="DD142" s="3">
        <f>IF(RTD("tos.rtd",,DD$43,"."&amp;$B$134&amp;$AS$82&amp;"P"&amp;$A142)="N/A",0,RTD("tos.rtd",,DD$43,"."&amp;$B$134&amp;$AS$82&amp;"P"&amp;$A142))</f>
        <v>380.3</v>
      </c>
      <c r="DE142" s="3">
        <f>IF(RTD("tos.rtd",,DE$43,"."&amp;$B$134&amp;$AS$82&amp;"C"&amp;$A142)="N/A",0,RTD("tos.rtd",,DE$43,"."&amp;$B$134&amp;$AS$82&amp;"C"&amp;$A142))</f>
        <v>0</v>
      </c>
      <c r="DF142" s="3">
        <f>IF(RTD("tos.rtd",,DF$43,"."&amp;$B$134&amp;$AS$82&amp;"P"&amp;$A142)="N/A",0,RTD("tos.rtd",,DF$43,"."&amp;$B$134&amp;$AS$82&amp;"P"&amp;$A142))</f>
        <v>332</v>
      </c>
      <c r="DG142" s="86">
        <f t="shared" si="590"/>
        <v>363.55099999999948</v>
      </c>
      <c r="DH142" s="3">
        <f t="shared" si="557"/>
        <v>-7.75</v>
      </c>
      <c r="DI142" s="3">
        <f t="shared" si="558"/>
        <v>-22.857142857142851</v>
      </c>
      <c r="DJ142" s="3">
        <f t="shared" si="559"/>
        <v>155</v>
      </c>
      <c r="DK142" s="3">
        <f t="shared" si="560"/>
        <v>-12</v>
      </c>
      <c r="DL142" s="3">
        <f t="shared" si="561"/>
        <v>-30.607142857142851</v>
      </c>
      <c r="DM142" s="3">
        <f t="shared" si="562"/>
        <v>143</v>
      </c>
      <c r="DN142" s="64" t="str">
        <f t="shared" si="563"/>
        <v>UNKNOWN</v>
      </c>
      <c r="DO142" s="64" t="str">
        <f t="shared" si="564"/>
        <v>UNKNOWN</v>
      </c>
      <c r="DP142" s="3">
        <f t="shared" si="565"/>
        <v>-5486.4892857142841</v>
      </c>
      <c r="DQ142" s="3">
        <f t="shared" si="566"/>
        <v>-2864.5</v>
      </c>
      <c r="DR142" s="3" t="e">
        <f t="shared" ca="1" si="567"/>
        <v>#NUM!</v>
      </c>
      <c r="DS142" s="3">
        <f t="shared" si="568"/>
        <v>-8.9</v>
      </c>
      <c r="DT142" s="3">
        <f t="shared" si="591"/>
        <v>-155</v>
      </c>
      <c r="DU142" s="3">
        <f t="shared" si="592"/>
        <v>12</v>
      </c>
      <c r="DV142" s="3">
        <f t="shared" si="569"/>
        <v>-40</v>
      </c>
      <c r="DW142" s="3">
        <f t="shared" si="570"/>
        <v>-4</v>
      </c>
      <c r="DX142" s="3" t="e">
        <f t="shared" ca="1" si="571"/>
        <v>#NUM!</v>
      </c>
      <c r="DY142" s="3" t="e">
        <f t="shared" ca="1" si="572"/>
        <v>#NUM!</v>
      </c>
      <c r="DZ142" s="3" t="e">
        <f t="shared" ca="1" si="573"/>
        <v>#NUM!</v>
      </c>
      <c r="EA142" s="3" t="e">
        <f t="shared" ca="1" si="574"/>
        <v>#NUM!</v>
      </c>
      <c r="EB142" s="3" t="e">
        <f t="shared" ca="1" si="575"/>
        <v>#NUM!</v>
      </c>
      <c r="EC142" s="3" t="e">
        <f t="shared" ca="1" si="576"/>
        <v>#NUM!</v>
      </c>
      <c r="ED142" s="63">
        <f t="shared" si="593"/>
        <v>-44</v>
      </c>
      <c r="EE142" s="59">
        <f t="shared" si="577"/>
        <v>1.1137999999999999</v>
      </c>
      <c r="EF142" s="59">
        <f t="shared" si="578"/>
        <v>0.25</v>
      </c>
      <c r="EG142" s="59">
        <f t="shared" si="579"/>
        <v>1.7146999999999999</v>
      </c>
      <c r="EH142" s="59">
        <f t="shared" si="580"/>
        <v>1.2742</v>
      </c>
      <c r="EI142" s="59">
        <f t="shared" si="581"/>
        <v>0.26340000000000002</v>
      </c>
      <c r="EJ142" s="59">
        <f t="shared" si="582"/>
        <v>0.28129999999999999</v>
      </c>
      <c r="EK142" s="63" t="e">
        <f t="shared" ca="1" si="594"/>
        <v>#NUM!</v>
      </c>
      <c r="EL142" s="3" t="str">
        <f>RTD("tos.rtd",,EL$43,"."&amp;$B$134&amp;$AS$82&amp;"C"&amp;$A142)</f>
        <v>111.38%</v>
      </c>
      <c r="EM142" s="3" t="str">
        <f>RTD("tos.rtd",,EM$43,"."&amp;$B$134&amp;$AS$82&amp;"P"&amp;$A142)</f>
        <v>--</v>
      </c>
      <c r="EN142" s="3" t="str">
        <f>RTD("tos.rtd",,EN$2,"."&amp;$C$134&amp;$AU$82&amp;"C"&amp;$A142)</f>
        <v>171.47%</v>
      </c>
      <c r="EO142" s="3" t="str">
        <f>RTD("tos.rtd",,EO$2,"."&amp;$C$134&amp;$AU$82&amp;"P"&amp;$A142)</f>
        <v>127.42%</v>
      </c>
      <c r="EP142" s="3" t="str">
        <f>RTD("tos.rtd",,EP$2,"."&amp;$D$134&amp;$AW$82&amp;"C"&amp;$A142)</f>
        <v>26.34%</v>
      </c>
      <c r="EQ142" s="3" t="str">
        <f>RTD("tos.rtd",,EQ$2,"."&amp;$D$134&amp;$AW$82&amp;"P"&amp;$A142)</f>
        <v>28.13%</v>
      </c>
      <c r="ES142" s="63" t="str">
        <f t="shared" si="583"/>
        <v>20425,-44.00</v>
      </c>
      <c r="ET142" s="63" t="str">
        <f t="shared" ca="1" si="584"/>
        <v>20425,00.00</v>
      </c>
      <c r="EU142" s="67">
        <v>563.76</v>
      </c>
      <c r="EV142" s="67" t="s">
        <v>1155</v>
      </c>
      <c r="EW142" s="67">
        <v>486.48</v>
      </c>
      <c r="EX142" s="67" t="s">
        <v>1156</v>
      </c>
      <c r="EY142" s="67">
        <v>5631.28</v>
      </c>
      <c r="EZ142" s="67" t="s">
        <v>1157</v>
      </c>
      <c r="FA142" s="67">
        <v>19867.973000000002</v>
      </c>
      <c r="FB142" s="67" t="s">
        <v>1158</v>
      </c>
      <c r="FC142" s="67" t="s">
        <v>1159</v>
      </c>
      <c r="FD142" s="67" t="s">
        <v>1160</v>
      </c>
      <c r="FE142" s="68" t="s">
        <v>1161</v>
      </c>
      <c r="FF142" s="68" t="s">
        <v>1162</v>
      </c>
    </row>
    <row r="143" spans="1:162" ht="11.1" customHeight="1" thickBot="1" x14ac:dyDescent="0.25">
      <c r="A143" s="2">
        <f t="shared" si="595"/>
        <v>20400</v>
      </c>
      <c r="B143" s="3">
        <f t="shared" si="596"/>
        <v>31</v>
      </c>
      <c r="C143" s="3">
        <f t="shared" si="597"/>
        <v>67</v>
      </c>
      <c r="D143" s="3">
        <f t="shared" si="608"/>
        <v>157</v>
      </c>
      <c r="E143" s="3">
        <f t="shared" si="598"/>
        <v>255</v>
      </c>
      <c r="F143" s="4">
        <f t="shared" si="599"/>
        <v>20800.446667636021</v>
      </c>
      <c r="G143" s="5">
        <f t="shared" si="600"/>
        <v>504.14663467230105</v>
      </c>
      <c r="AM143" s="1">
        <v>-719</v>
      </c>
      <c r="AN143" s="1">
        <v>0</v>
      </c>
      <c r="AO143" s="1">
        <v>20400</v>
      </c>
      <c r="AP143" s="1">
        <v>3295</v>
      </c>
      <c r="AQ143" s="1">
        <v>-13</v>
      </c>
      <c r="AS143" s="54">
        <f>IF(RTD("tos.rtd",,AS$83,"."&amp;$B$134&amp;$AS$82&amp;"C"&amp;$A143)="N/A",0,RTD("tos.rtd",,AS$83,"."&amp;$B$134&amp;$AS$82&amp;"C"&amp;$A143))</f>
        <v>30</v>
      </c>
      <c r="AT143" s="3">
        <f>-IF(RTD("tos.rtd",,AT$83,"."&amp;$B$134&amp;$AS$82&amp;"P"&amp;$A143)="N/A",0,RTD("tos.rtd",,AT$83,"."&amp;$B$134&amp;$AS$82&amp;"P"&amp;$A143))</f>
        <v>-1</v>
      </c>
      <c r="AU143" s="54">
        <f>IF(RTD("tos.rtd",,AU$2,"."&amp;$C$134&amp;$AU$134&amp;"C"&amp;$A143)="N/A",0,RTD("tos.rtd",,AU$2,"."&amp;$C$134&amp;$AU$134&amp;"C"&amp;$A143))</f>
        <v>66</v>
      </c>
      <c r="AV143" s="3">
        <f>-IF(RTD("tos.rtd",,AV$2,"."&amp;$C$134&amp;$AU$134&amp;"P"&amp;$A143)="N/A",0,RTD("tos.rtd",,AV$2,"."&amp;$C$134&amp;$AU$134&amp;"P"&amp;$A143))</f>
        <v>-1</v>
      </c>
      <c r="AW143" s="54">
        <f>IF(RTD("tos.rtd",,AW$2,"."&amp;$D$134&amp;$AW$134&amp;"C"&amp;$A143)="N/A",0,RTD("tos.rtd",,AW$2,"."&amp;$D$134&amp;$AW$134&amp;"C"&amp;$A143))</f>
        <v>62</v>
      </c>
      <c r="AX143" s="3">
        <f>-IF(RTD("tos.rtd",,AX$2,"."&amp;$D$134&amp;$AW$134&amp;"P"&amp;$A143)="N/A",0,RTD("tos.rtd",,AX$2,"."&amp;$D$134&amp;$AW$134&amp;"P"&amp;$A143))</f>
        <v>-95</v>
      </c>
      <c r="AY143" s="76">
        <f t="shared" si="601"/>
        <v>61</v>
      </c>
      <c r="AZ143" s="8">
        <f t="shared" si="548"/>
        <v>20400</v>
      </c>
      <c r="BA143" s="54">
        <f>IF(RTD("tos.rtd",,BA$43,"."&amp;$B$134&amp;$AS$82&amp;"C"&amp;$A143)="N/A",0,RTD("tos.rtd",,BA$43,"."&amp;$B$134&amp;$AS$82&amp;"C"&amp;$A143))</f>
        <v>0</v>
      </c>
      <c r="BB143" s="3">
        <f>-IF(RTD("tos.rtd",,BB$43,"."&amp;$B$134&amp;$AS$82&amp;"P"&amp;$A143)="N/A",0,RTD("tos.rtd",,BB$43,"."&amp;$B$134&amp;$AS$82&amp;"P"&amp;$A143))</f>
        <v>0</v>
      </c>
      <c r="BC143" s="54">
        <f>IF(RTD("tos.rtd",,BC$2,"."&amp;$C$134&amp;$AU$82&amp;"C"&amp;$A143)="N/A",0,RTD("tos.rtd",,BC$2,"."&amp;$C$134&amp;$AU$82&amp;"C"&amp;$A143))</f>
        <v>340</v>
      </c>
      <c r="BD143" s="3">
        <f>-IF(RTD("tos.rtd",,BD$2,"."&amp;$C$134&amp;$AU$82&amp;"P"&amp;$A143)="N/A",0,RTD("tos.rtd",,BD$2,"."&amp;$C$134&amp;$AU$82&amp;"P"&amp;$A143))</f>
        <v>-8</v>
      </c>
      <c r="BE143" s="54">
        <f>IF(RTD("tos.rtd",,BE$2,"."&amp;$D$134&amp;$AW$82&amp;"C"&amp;$A143)="N/A",0,RTD("tos.rtd",,BE$2,"."&amp;$D$134&amp;$AW$82&amp;"C"&amp;$A143))</f>
        <v>33</v>
      </c>
      <c r="BF143" s="3">
        <f>-IF(RTD("tos.rtd",,BF$2,"."&amp;$D$134&amp;$AW$82&amp;"P"&amp;$A143)="N/A",0,RTD("tos.rtd",,BF$2,"."&amp;$D$134&amp;$AW$82&amp;"P"&amp;$A143))</f>
        <v>0</v>
      </c>
      <c r="BG143" s="3">
        <f ca="1">+Hoja2!Y144</f>
        <v>13</v>
      </c>
      <c r="BH143" s="7">
        <f t="shared" ca="1" si="549"/>
        <v>378</v>
      </c>
      <c r="BI143" s="32" t="str">
        <f t="shared" ca="1" si="609"/>
        <v/>
      </c>
      <c r="BJ143" s="3" t="e">
        <f ca="1">IF($BP$1=1,DX143,IF(RTD("tos.rtd",,BJ$43,"."&amp;$B$134&amp;$AS$82&amp;"C"&amp;$A143)="N/A",0,RTD("tos.rtd",,BJ$43,"."&amp;$B$134&amp;$AS$82&amp;"C"&amp;$A143)))</f>
        <v>#NUM!</v>
      </c>
      <c r="BK143" s="3" t="e">
        <f ca="1">IF($BP$1=1,DY143,-IF(RTD("tos.rtd",,BK$43,"."&amp;$B$134&amp;$AS$82&amp;"P"&amp;$A143)="N/A",0,RTD("tos.rtd",,BK$43,"."&amp;$B$134&amp;$AS$82&amp;"P"&amp;$A143)))</f>
        <v>#NUM!</v>
      </c>
      <c r="BL143" s="3" t="e">
        <f ca="1">IF($BP$1=1,DZ143,IF(RTD("tos.rtd",,BL$2,"."&amp;$C$134&amp;$AU$82&amp;"C"&amp;$A143)="N/A",0,RTD("tos.rtd",,BL$2,"."&amp;$C$134&amp;$AU$82&amp;"C"&amp;$A143)))</f>
        <v>#NUM!</v>
      </c>
      <c r="BM143" s="3" t="e">
        <f ca="1">IF($BP$1=1,EA143,-IF(RTD("tos.rtd",,BM$2,"."&amp;$C$134&amp;$AU$82&amp;"P"&amp;$A143)="N/A",0,RTD("tos.rtd",,BM$2,"."&amp;$C$134&amp;$AU$82&amp;"P"&amp;$A143)))</f>
        <v>#NUM!</v>
      </c>
      <c r="BN143" s="3" t="e">
        <f ca="1">IF($BP$1=1,EB143,IF(RTD("tos.rtd",,BN$2,"."&amp;$D$134&amp;$AW$82&amp;"C"&amp;$A143)="N/A",0,RTD("tos.rtd",,BN$2,"."&amp;$D$134&amp;$AW$82&amp;"C"&amp;$A143)))</f>
        <v>#NUM!</v>
      </c>
      <c r="BO143" s="3" t="e">
        <f ca="1">IF($BP$1=1,EC143,-IF(RTD("tos.rtd",,BO$2,"."&amp;$D$134&amp;$AW$82&amp;"P"&amp;$A143)="N/A",0,RTD("tos.rtd",,BO$2,"."&amp;$D$134&amp;$AW$82&amp;"P"&amp;$A143)))</f>
        <v>#NUM!</v>
      </c>
      <c r="BQ143" s="3" t="e">
        <f t="shared" ca="1" si="602"/>
        <v>#NUM!</v>
      </c>
      <c r="BR143" s="3" t="e">
        <f t="shared" ca="1" si="550"/>
        <v>#NUM!</v>
      </c>
      <c r="BS143" s="3" t="e">
        <f t="shared" ca="1" si="603"/>
        <v>#NUM!</v>
      </c>
      <c r="BT143" s="3" t="e">
        <f t="shared" ca="1" si="551"/>
        <v>#NUM!</v>
      </c>
      <c r="BU143" s="3" t="e">
        <f t="shared" ca="1" si="604"/>
        <v>#NUM!</v>
      </c>
      <c r="BV143" s="3" t="e">
        <f t="shared" ca="1" si="551"/>
        <v>#NUM!</v>
      </c>
      <c r="BX143" s="3" t="e">
        <f t="shared" ca="1" si="585"/>
        <v>#NUM!</v>
      </c>
      <c r="BY143" s="3" t="e">
        <f t="shared" ca="1" si="586"/>
        <v>#NUM!</v>
      </c>
      <c r="BZ143" s="3" t="e">
        <f t="shared" ca="1" si="587"/>
        <v>#NUM!</v>
      </c>
      <c r="CA143" s="3" t="e">
        <f t="shared" ca="1" si="586"/>
        <v>#NUM!</v>
      </c>
      <c r="CB143" s="3" t="e">
        <f t="shared" ca="1" si="588"/>
        <v>#NUM!</v>
      </c>
      <c r="CC143" s="3" t="e">
        <f t="shared" ca="1" si="586"/>
        <v>#NUM!</v>
      </c>
      <c r="CD143" s="3">
        <f>IF(RTD("tos.rtd",,CD$43,"."&amp;$B$134&amp;$AS$82&amp;"C"&amp;$A143)="N/A",0,RTD("tos.rtd",,CD$43,"."&amp;$B$134&amp;$AS$82&amp;"C"&amp;$A143))</f>
        <v>0.01</v>
      </c>
      <c r="CE143" s="3">
        <f>-IF(RTD("tos.rtd",,CE$43,"."&amp;$B$134&amp;$AS$82&amp;"P"&amp;$A143)="N/A",0,RTD("tos.rtd",,CE$43,"."&amp;$B$134&amp;$AS$82&amp;"P"&amp;$A143))</f>
        <v>1</v>
      </c>
      <c r="CF143" s="3">
        <f>IF(RTD("tos.rtd",,CF$2,"."&amp;$C$134&amp;$AU$82&amp;"C"&amp;$A143)="N/A",0,RTD("tos.rtd",,CF$2,"."&amp;$C$134&amp;$AU$82&amp;"C"&amp;$A143))</f>
        <v>0</v>
      </c>
      <c r="CG143" s="3">
        <f>-IF(RTD("tos.rtd",,CG$2,"."&amp;$C$134&amp;$AU$82&amp;"P"&amp;$A143)="N/A",0,RTD("tos.rtd",,CG$2,"."&amp;$C$134&amp;$AU$82&amp;"P"&amp;$A143))</f>
        <v>0.97</v>
      </c>
      <c r="CH143" s="3">
        <f>IF(RTD("tos.rtd",,CH$2,"."&amp;$D$134&amp;$AW$82&amp;"C"&amp;$A143)="N/A",0,RTD("tos.rtd",,CH$2,"."&amp;$D$134&amp;$AW$82&amp;"C"&amp;$A143))</f>
        <v>0.3</v>
      </c>
      <c r="CI143" s="3">
        <f>-IF(RTD("tos.rtd",,CI$2,"."&amp;$D$134&amp;$AW$82&amp;"P"&amp;$A143)="N/A",0,RTD("tos.rtd",,CI$2,"."&amp;$D$134&amp;$AW$82&amp;"P"&amp;$A143))</f>
        <v>0.69</v>
      </c>
      <c r="CK143" s="3">
        <f t="shared" si="605"/>
        <v>-70</v>
      </c>
      <c r="CL143" s="3"/>
      <c r="CM143" s="3">
        <f t="shared" si="606"/>
        <v>-97</v>
      </c>
      <c r="CN143" s="3"/>
      <c r="CO143" s="3">
        <f t="shared" si="607"/>
        <v>-4695</v>
      </c>
      <c r="CP143" s="3">
        <f t="shared" si="542"/>
        <v>-4862</v>
      </c>
      <c r="CQ143" s="3">
        <f t="shared" si="552"/>
        <v>0</v>
      </c>
      <c r="CR143" s="3"/>
      <c r="CS143" s="3">
        <f t="shared" si="553"/>
        <v>332</v>
      </c>
      <c r="CT143" s="3"/>
      <c r="CU143" s="3">
        <f t="shared" si="554"/>
        <v>33</v>
      </c>
      <c r="CV143" s="3"/>
      <c r="CW143" s="3" t="e">
        <f t="shared" ca="1" si="555"/>
        <v>#NUM!</v>
      </c>
      <c r="CY143" s="3" t="e">
        <f t="shared" ca="1" si="556"/>
        <v>#NUM!</v>
      </c>
      <c r="CZ143" s="70" t="e">
        <f t="shared" ca="1" si="589"/>
        <v>#NUM!</v>
      </c>
      <c r="DA143" s="3">
        <f>IF(RTD("tos.rtd",,DA$43,"."&amp;$B$134&amp;$AS$82&amp;"C"&amp;$A143)="N/A",0,RTD("tos.rtd",,DA$43,"."&amp;$B$134&amp;$AS$82&amp;"C"&amp;$A143))</f>
        <v>0.05</v>
      </c>
      <c r="DB143" s="3">
        <f>IF(RTD("tos.rtd",,DB$43,"."&amp;$B$134&amp;$AS$82&amp;"P"&amp;$A143)="N/A",0,RTD("tos.rtd",,DB$43,"."&amp;$B$134&amp;$AS$82&amp;"P"&amp;$A143))</f>
        <v>213.2</v>
      </c>
      <c r="DC143" s="3">
        <f>IF(RTD("tos.rtd",,DC$43,"."&amp;$B$134&amp;$AS$82&amp;"C"&amp;$A143)="N/A",0,RTD("tos.rtd",,DC$43,"."&amp;$B$134&amp;$AS$82&amp;"C"&amp;$A143))</f>
        <v>0.8</v>
      </c>
      <c r="DD143" s="3">
        <f>IF(RTD("tos.rtd",,DD$43,"."&amp;$B$134&amp;$AS$82&amp;"P"&amp;$A143)="N/A",0,RTD("tos.rtd",,DD$43,"."&amp;$B$134&amp;$AS$82&amp;"P"&amp;$A143))</f>
        <v>355.3</v>
      </c>
      <c r="DE143" s="3">
        <f>IF(RTD("tos.rtd",,DE$43,"."&amp;$B$134&amp;$AS$82&amp;"C"&amp;$A143)="N/A",0,RTD("tos.rtd",,DE$43,"."&amp;$B$134&amp;$AS$82&amp;"C"&amp;$A143))</f>
        <v>0</v>
      </c>
      <c r="DF143" s="3">
        <f>IF(RTD("tos.rtd",,DF$43,"."&amp;$B$134&amp;$AS$82&amp;"P"&amp;$A143)="N/A",0,RTD("tos.rtd",,DF$43,"."&amp;$B$134&amp;$AS$82&amp;"P"&amp;$A143))</f>
        <v>308</v>
      </c>
      <c r="DG143" s="86">
        <f t="shared" si="590"/>
        <v>338.55099999999948</v>
      </c>
      <c r="DH143" s="3">
        <f t="shared" si="557"/>
        <v>-205.9375</v>
      </c>
      <c r="DI143" s="3">
        <f t="shared" si="558"/>
        <v>-26.054968287526421</v>
      </c>
      <c r="DJ143" s="3">
        <f t="shared" si="559"/>
        <v>3295</v>
      </c>
      <c r="DK143" s="3">
        <f t="shared" si="560"/>
        <v>-13</v>
      </c>
      <c r="DL143" s="3">
        <f t="shared" si="561"/>
        <v>-231.99246828752644</v>
      </c>
      <c r="DM143" s="3">
        <f t="shared" si="562"/>
        <v>3282</v>
      </c>
      <c r="DN143" s="64" t="str">
        <f t="shared" si="563"/>
        <v>UNKNOWN</v>
      </c>
      <c r="DO143" s="64" t="str">
        <f t="shared" si="564"/>
        <v>UNKNOWN</v>
      </c>
      <c r="DP143" s="3">
        <f t="shared" si="565"/>
        <v>-5565.216113900633</v>
      </c>
      <c r="DQ143" s="3">
        <f t="shared" si="566"/>
        <v>-2606.85</v>
      </c>
      <c r="DR143" s="3" t="e">
        <f t="shared" ca="1" si="567"/>
        <v>#NUM!</v>
      </c>
      <c r="DS143" s="3">
        <f t="shared" si="568"/>
        <v>19.950000000000003</v>
      </c>
      <c r="DT143" s="3">
        <f t="shared" si="591"/>
        <v>-3295</v>
      </c>
      <c r="DU143" s="3">
        <f t="shared" si="592"/>
        <v>13</v>
      </c>
      <c r="DV143" s="3">
        <f t="shared" si="569"/>
        <v>-719</v>
      </c>
      <c r="DW143" s="3">
        <f t="shared" si="570"/>
        <v>0</v>
      </c>
      <c r="DX143" s="3" t="e">
        <f t="shared" ca="1" si="571"/>
        <v>#NUM!</v>
      </c>
      <c r="DY143" s="3" t="e">
        <f t="shared" ca="1" si="572"/>
        <v>#NUM!</v>
      </c>
      <c r="DZ143" s="3" t="e">
        <f t="shared" ca="1" si="573"/>
        <v>#NUM!</v>
      </c>
      <c r="EA143" s="3" t="e">
        <f t="shared" ca="1" si="574"/>
        <v>#NUM!</v>
      </c>
      <c r="EB143" s="3" t="e">
        <f t="shared" ca="1" si="575"/>
        <v>#NUM!</v>
      </c>
      <c r="EC143" s="3" t="e">
        <f t="shared" ca="1" si="576"/>
        <v>#NUM!</v>
      </c>
      <c r="ED143" s="63">
        <f t="shared" si="593"/>
        <v>-719</v>
      </c>
      <c r="EE143" s="59">
        <f t="shared" si="577"/>
        <v>0.92779999999999996</v>
      </c>
      <c r="EF143" s="59">
        <f t="shared" si="578"/>
        <v>0.25</v>
      </c>
      <c r="EG143" s="59">
        <f t="shared" si="579"/>
        <v>0.70489999999999997</v>
      </c>
      <c r="EH143" s="59">
        <f t="shared" si="580"/>
        <v>1.1540999999999999</v>
      </c>
      <c r="EI143" s="59">
        <f t="shared" si="581"/>
        <v>0.26440000000000002</v>
      </c>
      <c r="EJ143" s="59">
        <f t="shared" si="582"/>
        <v>0.28260000000000002</v>
      </c>
      <c r="EK143" s="63" t="e">
        <f t="shared" ca="1" si="594"/>
        <v>#NUM!</v>
      </c>
      <c r="EL143" s="3" t="str">
        <f>RTD("tos.rtd",,EL$43,"."&amp;$B$134&amp;$AS$82&amp;"C"&amp;$A143)</f>
        <v>92.78%</v>
      </c>
      <c r="EM143" s="3" t="str">
        <f>RTD("tos.rtd",,EM$43,"."&amp;$B$134&amp;$AS$82&amp;"P"&amp;$A143)</f>
        <v>--</v>
      </c>
      <c r="EN143" s="3" t="str">
        <f>RTD("tos.rtd",,EN$2,"."&amp;$C$134&amp;$AU$82&amp;"C"&amp;$A143)</f>
        <v>70.49%</v>
      </c>
      <c r="EO143" s="3" t="str">
        <f>RTD("tos.rtd",,EO$2,"."&amp;$C$134&amp;$AU$82&amp;"P"&amp;$A143)</f>
        <v>115.41%</v>
      </c>
      <c r="EP143" s="3" t="str">
        <f>RTD("tos.rtd",,EP$2,"."&amp;$D$134&amp;$AW$82&amp;"C"&amp;$A143)</f>
        <v>26.44%</v>
      </c>
      <c r="EQ143" s="3" t="str">
        <f>RTD("tos.rtd",,EQ$2,"."&amp;$D$134&amp;$AW$82&amp;"P"&amp;$A143)</f>
        <v>28.26%</v>
      </c>
      <c r="ES143" s="63" t="str">
        <f t="shared" si="583"/>
        <v>20400,-719.00</v>
      </c>
      <c r="ET143" s="63" t="str">
        <f t="shared" ca="1" si="584"/>
        <v>20400,00.00</v>
      </c>
      <c r="EU143" s="67">
        <v>564.01</v>
      </c>
      <c r="EV143" s="67" t="s">
        <v>1163</v>
      </c>
      <c r="EW143" s="67">
        <v>486.75</v>
      </c>
      <c r="EX143" s="67" t="s">
        <v>1164</v>
      </c>
      <c r="EY143" s="67">
        <v>5631.28</v>
      </c>
      <c r="EZ143" s="67" t="s">
        <v>1165</v>
      </c>
      <c r="FA143" s="67">
        <v>19867.973000000002</v>
      </c>
      <c r="FB143" s="67" t="s">
        <v>1166</v>
      </c>
      <c r="FC143" s="67" t="s">
        <v>1167</v>
      </c>
      <c r="FD143" s="67" t="s">
        <v>1168</v>
      </c>
      <c r="FE143" s="68" t="s">
        <v>1169</v>
      </c>
      <c r="FF143" s="68" t="s">
        <v>1170</v>
      </c>
    </row>
    <row r="144" spans="1:162" ht="11.1" customHeight="1" thickBot="1" x14ac:dyDescent="0.25">
      <c r="A144" s="2">
        <f t="shared" si="595"/>
        <v>20375</v>
      </c>
      <c r="B144" s="3">
        <f t="shared" si="596"/>
        <v>11</v>
      </c>
      <c r="C144" s="3">
        <f t="shared" si="597"/>
        <v>8</v>
      </c>
      <c r="D144" s="3">
        <f t="shared" si="608"/>
        <v>22</v>
      </c>
      <c r="E144" s="3">
        <f t="shared" si="598"/>
        <v>41</v>
      </c>
      <c r="F144" s="4">
        <f t="shared" si="599"/>
        <v>20774.955924170783</v>
      </c>
      <c r="G144" s="5">
        <f t="shared" si="600"/>
        <v>503.52880791412417</v>
      </c>
      <c r="AM144" s="1">
        <v>63</v>
      </c>
      <c r="AN144" s="1">
        <v>7</v>
      </c>
      <c r="AO144" s="1">
        <v>20375</v>
      </c>
      <c r="AP144" s="1">
        <v>160</v>
      </c>
      <c r="AQ144" s="1">
        <v>-12</v>
      </c>
      <c r="AS144" s="54">
        <f>IF(RTD("tos.rtd",,AS$83,"."&amp;$B$134&amp;$AS$82&amp;"C"&amp;$A144)="N/A",0,RTD("tos.rtd",,AS$83,"."&amp;$B$134&amp;$AS$82&amp;"C"&amp;$A144))</f>
        <v>2</v>
      </c>
      <c r="AT144" s="3">
        <f>-IF(RTD("tos.rtd",,AT$83,"."&amp;$B$134&amp;$AS$82&amp;"P"&amp;$A144)="N/A",0,RTD("tos.rtd",,AT$83,"."&amp;$B$134&amp;$AS$82&amp;"P"&amp;$A144))</f>
        <v>-9</v>
      </c>
      <c r="AU144" s="54">
        <f>IF(RTD("tos.rtd",,AU$2,"."&amp;$C$134&amp;$AU$134&amp;"C"&amp;$A144)="N/A",0,RTD("tos.rtd",,AU$2,"."&amp;$C$134&amp;$AU$134&amp;"C"&amp;$A144))</f>
        <v>7</v>
      </c>
      <c r="AV144" s="3">
        <f>-IF(RTD("tos.rtd",,AV$2,"."&amp;$C$134&amp;$AU$134&amp;"P"&amp;$A144)="N/A",0,RTD("tos.rtd",,AV$2,"."&amp;$C$134&amp;$AU$134&amp;"P"&amp;$A144))</f>
        <v>-1</v>
      </c>
      <c r="AW144" s="54">
        <f>IF(RTD("tos.rtd",,AW$2,"."&amp;$D$134&amp;$AW$134&amp;"C"&amp;$A144)="N/A",0,RTD("tos.rtd",,AW$2,"."&amp;$D$134&amp;$AW$134&amp;"C"&amp;$A144))</f>
        <v>16</v>
      </c>
      <c r="AX144" s="3">
        <f>-IF(RTD("tos.rtd",,AX$2,"."&amp;$D$134&amp;$AW$134&amp;"P"&amp;$A144)="N/A",0,RTD("tos.rtd",,AX$2,"."&amp;$D$134&amp;$AW$134&amp;"P"&amp;$A144))</f>
        <v>-6</v>
      </c>
      <c r="AY144" s="76">
        <f t="shared" si="601"/>
        <v>9</v>
      </c>
      <c r="AZ144" s="8">
        <f t="shared" si="548"/>
        <v>20375</v>
      </c>
      <c r="BA144" s="54">
        <f>IF(RTD("tos.rtd",,BA$43,"."&amp;$B$134&amp;$AS$82&amp;"C"&amp;$A144)="N/A",0,RTD("tos.rtd",,BA$43,"."&amp;$B$134&amp;$AS$82&amp;"C"&amp;$A144))</f>
        <v>0</v>
      </c>
      <c r="BB144" s="3">
        <f>-IF(RTD("tos.rtd",,BB$43,"."&amp;$B$134&amp;$AS$82&amp;"P"&amp;$A144)="N/A",0,RTD("tos.rtd",,BB$43,"."&amp;$B$134&amp;$AS$82&amp;"P"&amp;$A144))</f>
        <v>0</v>
      </c>
      <c r="BC144" s="54">
        <f>IF(RTD("tos.rtd",,BC$2,"."&amp;$C$134&amp;$AU$82&amp;"C"&amp;$A144)="N/A",0,RTD("tos.rtd",,BC$2,"."&amp;$C$134&amp;$AU$82&amp;"C"&amp;$A144))</f>
        <v>117</v>
      </c>
      <c r="BD144" s="3">
        <f>-IF(RTD("tos.rtd",,BD$2,"."&amp;$C$134&amp;$AU$82&amp;"P"&amp;$A144)="N/A",0,RTD("tos.rtd",,BD$2,"."&amp;$C$134&amp;$AU$82&amp;"P"&amp;$A144))</f>
        <v>0</v>
      </c>
      <c r="BE144" s="54">
        <f>IF(RTD("tos.rtd",,BE$2,"."&amp;$D$134&amp;$AW$82&amp;"C"&amp;$A144)="N/A",0,RTD("tos.rtd",,BE$2,"."&amp;$D$134&amp;$AW$82&amp;"C"&amp;$A144))</f>
        <v>0</v>
      </c>
      <c r="BF144" s="3">
        <f>-IF(RTD("tos.rtd",,BF$2,"."&amp;$D$134&amp;$AW$82&amp;"P"&amp;$A144)="N/A",0,RTD("tos.rtd",,BF$2,"."&amp;$D$134&amp;$AW$82&amp;"P"&amp;$A144))</f>
        <v>0</v>
      </c>
      <c r="BG144" s="3">
        <f ca="1">+Hoja2!Y145</f>
        <v>2</v>
      </c>
      <c r="BH144" s="7">
        <f t="shared" ca="1" si="549"/>
        <v>119</v>
      </c>
      <c r="BI144" s="32" t="str">
        <f t="shared" ca="1" si="609"/>
        <v/>
      </c>
      <c r="BJ144" s="3" t="e">
        <f ca="1">IF($BP$1=1,DX144,IF(RTD("tos.rtd",,BJ$43,"."&amp;$B$134&amp;$AS$82&amp;"C"&amp;$A144)="N/A",0,RTD("tos.rtd",,BJ$43,"."&amp;$B$134&amp;$AS$82&amp;"C"&amp;$A144)))</f>
        <v>#NUM!</v>
      </c>
      <c r="BK144" s="3" t="e">
        <f ca="1">IF($BP$1=1,DY144,-IF(RTD("tos.rtd",,BK$43,"."&amp;$B$134&amp;$AS$82&amp;"P"&amp;$A144)="N/A",0,RTD("tos.rtd",,BK$43,"."&amp;$B$134&amp;$AS$82&amp;"P"&amp;$A144)))</f>
        <v>#NUM!</v>
      </c>
      <c r="BL144" s="3" t="e">
        <f ca="1">IF($BP$1=1,DZ144,IF(RTD("tos.rtd",,BL$2,"."&amp;$C$134&amp;$AU$82&amp;"C"&amp;$A144)="N/A",0,RTD("tos.rtd",,BL$2,"."&amp;$C$134&amp;$AU$82&amp;"C"&amp;$A144)))</f>
        <v>#NUM!</v>
      </c>
      <c r="BM144" s="3" t="e">
        <f ca="1">IF($BP$1=1,EA144,-IF(RTD("tos.rtd",,BM$2,"."&amp;$C$134&amp;$AU$82&amp;"P"&amp;$A144)="N/A",0,RTD("tos.rtd",,BM$2,"."&amp;$C$134&amp;$AU$82&amp;"P"&amp;$A144)))</f>
        <v>#NUM!</v>
      </c>
      <c r="BN144" s="3" t="e">
        <f ca="1">IF($BP$1=1,EB144,IF(RTD("tos.rtd",,BN$2,"."&amp;$D$134&amp;$AW$82&amp;"C"&amp;$A144)="N/A",0,RTD("tos.rtd",,BN$2,"."&amp;$D$134&amp;$AW$82&amp;"C"&amp;$A144)))</f>
        <v>#NUM!</v>
      </c>
      <c r="BO144" s="3" t="e">
        <f ca="1">IF($BP$1=1,EC144,-IF(RTD("tos.rtd",,BO$2,"."&amp;$D$134&amp;$AW$82&amp;"P"&amp;$A144)="N/A",0,RTD("tos.rtd",,BO$2,"."&amp;$D$134&amp;$AW$82&amp;"P"&amp;$A144)))</f>
        <v>#NUM!</v>
      </c>
      <c r="BQ144" s="3" t="e">
        <f t="shared" ca="1" si="602"/>
        <v>#NUM!</v>
      </c>
      <c r="BR144" s="3" t="e">
        <f t="shared" ca="1" si="550"/>
        <v>#NUM!</v>
      </c>
      <c r="BS144" s="3" t="e">
        <f t="shared" ca="1" si="603"/>
        <v>#NUM!</v>
      </c>
      <c r="BT144" s="3" t="e">
        <f t="shared" ca="1" si="551"/>
        <v>#NUM!</v>
      </c>
      <c r="BU144" s="3" t="e">
        <f t="shared" ca="1" si="604"/>
        <v>#NUM!</v>
      </c>
      <c r="BV144" s="3" t="e">
        <f t="shared" ca="1" si="551"/>
        <v>#NUM!</v>
      </c>
      <c r="BX144" s="3" t="e">
        <f t="shared" ca="1" si="585"/>
        <v>#NUM!</v>
      </c>
      <c r="BY144" s="3" t="e">
        <f t="shared" ca="1" si="586"/>
        <v>#NUM!</v>
      </c>
      <c r="BZ144" s="3" t="e">
        <f t="shared" ca="1" si="587"/>
        <v>#NUM!</v>
      </c>
      <c r="CA144" s="3" t="e">
        <f t="shared" ca="1" si="586"/>
        <v>#NUM!</v>
      </c>
      <c r="CB144" s="3" t="e">
        <f t="shared" ca="1" si="588"/>
        <v>#NUM!</v>
      </c>
      <c r="CC144" s="3" t="e">
        <f t="shared" ca="1" si="586"/>
        <v>#NUM!</v>
      </c>
      <c r="CD144" s="3">
        <f>IF(RTD("tos.rtd",,CD$43,"."&amp;$B$134&amp;$AS$82&amp;"C"&amp;$A144)="N/A",0,RTD("tos.rtd",,CD$43,"."&amp;$B$134&amp;$AS$82&amp;"C"&amp;$A144))</f>
        <v>0.09</v>
      </c>
      <c r="CE144" s="3">
        <f>-IF(RTD("tos.rtd",,CE$43,"."&amp;$B$134&amp;$AS$82&amp;"P"&amp;$A144)="N/A",0,RTD("tos.rtd",,CE$43,"."&amp;$B$134&amp;$AS$82&amp;"P"&amp;$A144))</f>
        <v>1</v>
      </c>
      <c r="CF144" s="3">
        <f>IF(RTD("tos.rtd",,CF$2,"."&amp;$C$134&amp;$AU$82&amp;"C"&amp;$A144)="N/A",0,RTD("tos.rtd",,CF$2,"."&amp;$C$134&amp;$AU$82&amp;"C"&amp;$A144))</f>
        <v>0.01</v>
      </c>
      <c r="CG144" s="3">
        <f>-IF(RTD("tos.rtd",,CG$2,"."&amp;$C$134&amp;$AU$82&amp;"P"&amp;$A144)="N/A",0,RTD("tos.rtd",,CG$2,"."&amp;$C$134&amp;$AU$82&amp;"P"&amp;$A144))</f>
        <v>0.97</v>
      </c>
      <c r="CH144" s="3">
        <f>IF(RTD("tos.rtd",,CH$2,"."&amp;$D$134&amp;$AW$82&amp;"C"&amp;$A144)="N/A",0,RTD("tos.rtd",,CH$2,"."&amp;$D$134&amp;$AW$82&amp;"C"&amp;$A144))</f>
        <v>0.31</v>
      </c>
      <c r="CI144" s="3">
        <f>-IF(RTD("tos.rtd",,CI$2,"."&amp;$D$134&amp;$AW$82&amp;"P"&amp;$A144)="N/A",0,RTD("tos.rtd",,CI$2,"."&amp;$D$134&amp;$AW$82&amp;"P"&amp;$A144))</f>
        <v>0.67</v>
      </c>
      <c r="CK144" s="3">
        <f t="shared" si="605"/>
        <v>-882</v>
      </c>
      <c r="CL144" s="3"/>
      <c r="CM144" s="3">
        <f t="shared" si="606"/>
        <v>-90</v>
      </c>
      <c r="CN144" s="3"/>
      <c r="CO144" s="3">
        <f t="shared" si="607"/>
        <v>93.999999999999943</v>
      </c>
      <c r="CP144" s="3">
        <f t="shared" si="542"/>
        <v>-878</v>
      </c>
      <c r="CQ144" s="3">
        <f t="shared" si="552"/>
        <v>0</v>
      </c>
      <c r="CR144" s="3"/>
      <c r="CS144" s="3">
        <f t="shared" si="553"/>
        <v>117</v>
      </c>
      <c r="CT144" s="3"/>
      <c r="CU144" s="3">
        <f t="shared" si="554"/>
        <v>0</v>
      </c>
      <c r="CV144" s="3"/>
      <c r="CW144" s="3" t="e">
        <f t="shared" ca="1" si="555"/>
        <v>#NUM!</v>
      </c>
      <c r="CY144" s="3" t="e">
        <f t="shared" ca="1" si="556"/>
        <v>#NUM!</v>
      </c>
      <c r="CZ144" s="70" t="e">
        <f t="shared" ca="1" si="589"/>
        <v>#NUM!</v>
      </c>
      <c r="DA144" s="3">
        <f>IF(RTD("tos.rtd",,DA$43,"."&amp;$B$134&amp;$AS$82&amp;"C"&amp;$A144)="N/A",0,RTD("tos.rtd",,DA$43,"."&amp;$B$134&amp;$AS$82&amp;"C"&amp;$A144))</f>
        <v>0.5</v>
      </c>
      <c r="DB144" s="3">
        <f>IF(RTD("tos.rtd",,DB$43,"."&amp;$B$134&amp;$AS$82&amp;"P"&amp;$A144)="N/A",0,RTD("tos.rtd",,DB$43,"."&amp;$B$134&amp;$AS$82&amp;"P"&amp;$A144))</f>
        <v>159.30000000000001</v>
      </c>
      <c r="DC144" s="3">
        <f>IF(RTD("tos.rtd",,DC$43,"."&amp;$B$134&amp;$AS$82&amp;"C"&amp;$A144)="N/A",0,RTD("tos.rtd",,DC$43,"."&amp;$B$134&amp;$AS$82&amp;"C"&amp;$A144))</f>
        <v>19.8</v>
      </c>
      <c r="DD144" s="3">
        <f>IF(RTD("tos.rtd",,DD$43,"."&amp;$B$134&amp;$AS$82&amp;"P"&amp;$A144)="N/A",0,RTD("tos.rtd",,DD$43,"."&amp;$B$134&amp;$AS$82&amp;"P"&amp;$A144))</f>
        <v>330.3</v>
      </c>
      <c r="DE144" s="3">
        <f>IF(RTD("tos.rtd",,DE$43,"."&amp;$B$134&amp;$AS$82&amp;"C"&amp;$A144)="N/A",0,RTD("tos.rtd",,DE$43,"."&amp;$B$134&amp;$AS$82&amp;"C"&amp;$A144))</f>
        <v>0</v>
      </c>
      <c r="DF144" s="3">
        <f>IF(RTD("tos.rtd",,DF$43,"."&amp;$B$134&amp;$AS$82&amp;"P"&amp;$A144)="N/A",0,RTD("tos.rtd",,DF$43,"."&amp;$B$134&amp;$AS$82&amp;"P"&amp;$A144))</f>
        <v>282</v>
      </c>
      <c r="DG144" s="86">
        <f t="shared" si="590"/>
        <v>313.55099999999948</v>
      </c>
      <c r="DH144" s="3">
        <f t="shared" si="557"/>
        <v>-4.0404040404040407</v>
      </c>
      <c r="DI144" s="3">
        <f t="shared" si="558"/>
        <v>-30.484472049689433</v>
      </c>
      <c r="DJ144" s="3">
        <f t="shared" si="559"/>
        <v>160</v>
      </c>
      <c r="DK144" s="3">
        <f t="shared" si="560"/>
        <v>-12</v>
      </c>
      <c r="DL144" s="3">
        <f t="shared" si="561"/>
        <v>-34.524876090093471</v>
      </c>
      <c r="DM144" s="3">
        <f t="shared" si="562"/>
        <v>148</v>
      </c>
      <c r="DN144" s="64" t="str">
        <f t="shared" si="563"/>
        <v>UNKNOWN</v>
      </c>
      <c r="DO144" s="64" t="str">
        <f t="shared" si="564"/>
        <v>UNKNOWN</v>
      </c>
      <c r="DP144" s="3">
        <f t="shared" si="565"/>
        <v>-4858.1965995357295</v>
      </c>
      <c r="DQ144" s="3">
        <f t="shared" si="566"/>
        <v>-1831.6000000000001</v>
      </c>
      <c r="DR144" s="3" t="e">
        <f t="shared" ca="1" si="567"/>
        <v>#NUM!</v>
      </c>
      <c r="DS144" s="3">
        <f t="shared" si="568"/>
        <v>2.3999999999999986</v>
      </c>
      <c r="DT144" s="3">
        <f t="shared" si="591"/>
        <v>-160</v>
      </c>
      <c r="DU144" s="3">
        <f t="shared" si="592"/>
        <v>12</v>
      </c>
      <c r="DV144" s="3">
        <f t="shared" si="569"/>
        <v>63</v>
      </c>
      <c r="DW144" s="3">
        <f t="shared" si="570"/>
        <v>7</v>
      </c>
      <c r="DX144" s="3" t="e">
        <f t="shared" ca="1" si="571"/>
        <v>#NUM!</v>
      </c>
      <c r="DY144" s="3" t="e">
        <f t="shared" ca="1" si="572"/>
        <v>#NUM!</v>
      </c>
      <c r="DZ144" s="3" t="e">
        <f t="shared" ca="1" si="573"/>
        <v>#NUM!</v>
      </c>
      <c r="EA144" s="3" t="e">
        <f t="shared" ca="1" si="574"/>
        <v>#NUM!</v>
      </c>
      <c r="EB144" s="3" t="e">
        <f t="shared" ca="1" si="575"/>
        <v>#NUM!</v>
      </c>
      <c r="EC144" s="3" t="e">
        <f t="shared" ca="1" si="576"/>
        <v>#NUM!</v>
      </c>
      <c r="ED144" s="63">
        <f t="shared" si="593"/>
        <v>70</v>
      </c>
      <c r="EE144" s="59">
        <f t="shared" si="577"/>
        <v>1.5370999999999999</v>
      </c>
      <c r="EF144" s="59">
        <f t="shared" si="578"/>
        <v>0.25</v>
      </c>
      <c r="EG144" s="59">
        <f t="shared" si="579"/>
        <v>0.94289999999999996</v>
      </c>
      <c r="EH144" s="59">
        <f t="shared" si="580"/>
        <v>1.1293</v>
      </c>
      <c r="EI144" s="59">
        <f t="shared" si="581"/>
        <v>0.26469999999999999</v>
      </c>
      <c r="EJ144" s="59">
        <f t="shared" si="582"/>
        <v>0.28610000000000002</v>
      </c>
      <c r="EK144" s="63" t="e">
        <f t="shared" ca="1" si="594"/>
        <v>#NUM!</v>
      </c>
      <c r="EL144" s="3" t="str">
        <f>RTD("tos.rtd",,EL$43,"."&amp;$B$134&amp;$AS$82&amp;"C"&amp;$A144)</f>
        <v>153.71%</v>
      </c>
      <c r="EM144" s="3" t="str">
        <f>RTD("tos.rtd",,EM$43,"."&amp;$B$134&amp;$AS$82&amp;"P"&amp;$A144)</f>
        <v>--</v>
      </c>
      <c r="EN144" s="3" t="str">
        <f>RTD("tos.rtd",,EN$2,"."&amp;$C$134&amp;$AU$82&amp;"C"&amp;$A144)</f>
        <v>94.29%</v>
      </c>
      <c r="EO144" s="3" t="str">
        <f>RTD("tos.rtd",,EO$2,"."&amp;$C$134&amp;$AU$82&amp;"P"&amp;$A144)</f>
        <v>112.93%</v>
      </c>
      <c r="EP144" s="3" t="str">
        <f>RTD("tos.rtd",,EP$2,"."&amp;$D$134&amp;$AW$82&amp;"C"&amp;$A144)</f>
        <v>26.47%</v>
      </c>
      <c r="EQ144" s="3" t="str">
        <f>RTD("tos.rtd",,EQ$2,"."&amp;$D$134&amp;$AW$82&amp;"P"&amp;$A144)</f>
        <v>28.61%</v>
      </c>
      <c r="ES144" s="63" t="str">
        <f t="shared" si="583"/>
        <v>20375,70.00</v>
      </c>
      <c r="ET144" s="63" t="str">
        <f t="shared" ca="1" si="584"/>
        <v>20375,00.00</v>
      </c>
      <c r="EU144" s="67">
        <v>563.99</v>
      </c>
      <c r="EV144" s="67" t="s">
        <v>1171</v>
      </c>
      <c r="EW144" s="67">
        <v>486.74</v>
      </c>
      <c r="EX144" s="67" t="s">
        <v>1172</v>
      </c>
      <c r="EY144" s="67">
        <v>5631.28</v>
      </c>
      <c r="EZ144" s="67" t="s">
        <v>1173</v>
      </c>
      <c r="FA144" s="67">
        <v>19867.973000000002</v>
      </c>
      <c r="FB144" s="67" t="s">
        <v>1174</v>
      </c>
      <c r="FC144" s="67" t="s">
        <v>1175</v>
      </c>
      <c r="FD144" s="67" t="s">
        <v>1176</v>
      </c>
      <c r="FE144" s="68" t="s">
        <v>1177</v>
      </c>
      <c r="FF144" s="68" t="s">
        <v>1178</v>
      </c>
    </row>
    <row r="145" spans="1:162" ht="11.1" customHeight="1" thickBot="1" x14ac:dyDescent="0.25">
      <c r="A145" s="2">
        <f t="shared" si="595"/>
        <v>20350</v>
      </c>
      <c r="B145" s="3">
        <f t="shared" ref="B145:B154" si="610">+IF($A$1="ABS",AS145-AT145,AS145+AT145)</f>
        <v>13</v>
      </c>
      <c r="C145" s="3">
        <f t="shared" ref="C145:C154" si="611">+IF($A$1="ABS",AU145-AV145,AU145+AV145)</f>
        <v>60</v>
      </c>
      <c r="D145" s="3">
        <f t="shared" ref="D145:D154" si="612">+IF($A$1="ABS",AW145-AX145,AW145+AX145)</f>
        <v>35</v>
      </c>
      <c r="E145" s="3">
        <f t="shared" si="598"/>
        <v>108</v>
      </c>
      <c r="F145" s="4">
        <f t="shared" si="599"/>
        <v>20749.465180705542</v>
      </c>
      <c r="G145" s="5">
        <f t="shared" si="600"/>
        <v>502.91098115594735</v>
      </c>
      <c r="AM145" s="1">
        <v>606</v>
      </c>
      <c r="AN145" s="1">
        <v>1</v>
      </c>
      <c r="AO145" s="1">
        <v>20350</v>
      </c>
      <c r="AP145" s="1">
        <v>3011</v>
      </c>
      <c r="AQ145" s="1">
        <v>-1</v>
      </c>
      <c r="AS145" s="54">
        <f>IF(RTD("tos.rtd",,AS$83,"."&amp;$B$134&amp;$AS$82&amp;"C"&amp;$A145)="N/A",0,RTD("tos.rtd",,AS$83,"."&amp;$B$134&amp;$AS$82&amp;"C"&amp;$A145))</f>
        <v>13</v>
      </c>
      <c r="AT145" s="3">
        <f>-IF(RTD("tos.rtd",,AT$83,"."&amp;$B$134&amp;$AS$82&amp;"P"&amp;$A145)="N/A",0,RTD("tos.rtd",,AT$83,"."&amp;$B$134&amp;$AS$82&amp;"P"&amp;$A145))</f>
        <v>0</v>
      </c>
      <c r="AU145" s="54">
        <f>IF(RTD("tos.rtd",,AU$2,"."&amp;$C$134&amp;$AU$134&amp;"C"&amp;$A145)="N/A",0,RTD("tos.rtd",,AU$2,"."&amp;$C$134&amp;$AU$134&amp;"C"&amp;$A145))</f>
        <v>60</v>
      </c>
      <c r="AV145" s="3">
        <f>-IF(RTD("tos.rtd",,AV$2,"."&amp;$C$134&amp;$AU$134&amp;"P"&amp;$A145)="N/A",0,RTD("tos.rtd",,AV$2,"."&amp;$C$134&amp;$AU$134&amp;"P"&amp;$A145))</f>
        <v>0</v>
      </c>
      <c r="AW145" s="54">
        <f>IF(RTD("tos.rtd",,AW$2,"."&amp;$D$134&amp;$AW$134&amp;"C"&amp;$A145)="N/A",0,RTD("tos.rtd",,AW$2,"."&amp;$D$134&amp;$AW$134&amp;"C"&amp;$A145))</f>
        <v>22</v>
      </c>
      <c r="AX145" s="3">
        <f>-IF(RTD("tos.rtd",,AX$2,"."&amp;$D$134&amp;$AW$134&amp;"P"&amp;$A145)="N/A",0,RTD("tos.rtd",,AX$2,"."&amp;$D$134&amp;$AW$134&amp;"P"&amp;$A145))</f>
        <v>-13</v>
      </c>
      <c r="AY145" s="76">
        <f t="shared" si="601"/>
        <v>82</v>
      </c>
      <c r="AZ145" s="8">
        <f t="shared" si="548"/>
        <v>20350</v>
      </c>
      <c r="BA145" s="54">
        <f>IF(RTD("tos.rtd",,BA$43,"."&amp;$B$134&amp;$AS$82&amp;"C"&amp;$A145)="N/A",0,RTD("tos.rtd",,BA$43,"."&amp;$B$134&amp;$AS$82&amp;"C"&amp;$A145))</f>
        <v>0</v>
      </c>
      <c r="BB145" s="3">
        <f>-IF(RTD("tos.rtd",,BB$43,"."&amp;$B$134&amp;$AS$82&amp;"P"&amp;$A145)="N/A",0,RTD("tos.rtd",,BB$43,"."&amp;$B$134&amp;$AS$82&amp;"P"&amp;$A145))</f>
        <v>0</v>
      </c>
      <c r="BC145" s="54">
        <f>IF(RTD("tos.rtd",,BC$2,"."&amp;$C$134&amp;$AU$82&amp;"C"&amp;$A145)="N/A",0,RTD("tos.rtd",,BC$2,"."&amp;$C$134&amp;$AU$82&amp;"C"&amp;$A145))</f>
        <v>360</v>
      </c>
      <c r="BD145" s="3">
        <f>-IF(RTD("tos.rtd",,BD$2,"."&amp;$C$134&amp;$AU$82&amp;"P"&amp;$A145)="N/A",0,RTD("tos.rtd",,BD$2,"."&amp;$C$134&amp;$AU$82&amp;"P"&amp;$A145))</f>
        <v>-8</v>
      </c>
      <c r="BE145" s="54">
        <f>IF(RTD("tos.rtd",,BE$2,"."&amp;$D$134&amp;$AW$82&amp;"C"&amp;$A145)="N/A",0,RTD("tos.rtd",,BE$2,"."&amp;$D$134&amp;$AW$82&amp;"C"&amp;$A145))</f>
        <v>1</v>
      </c>
      <c r="BF145" s="3">
        <f>-IF(RTD("tos.rtd",,BF$2,"."&amp;$D$134&amp;$AW$82&amp;"P"&amp;$A145)="N/A",0,RTD("tos.rtd",,BF$2,"."&amp;$D$134&amp;$AW$82&amp;"P"&amp;$A145))</f>
        <v>-8</v>
      </c>
      <c r="BG145" s="3">
        <f ca="1">+Hoja2!Y146</f>
        <v>0</v>
      </c>
      <c r="BH145" s="7">
        <f t="shared" ca="1" si="549"/>
        <v>345</v>
      </c>
      <c r="BI145" s="32" t="str">
        <f t="shared" ca="1" si="609"/>
        <v/>
      </c>
      <c r="BJ145" s="3" t="e">
        <f ca="1">IF($BP$1=1,DX145,IF(RTD("tos.rtd",,BJ$43,"."&amp;$B$134&amp;$AS$82&amp;"C"&amp;$A145)="N/A",0,RTD("tos.rtd",,BJ$43,"."&amp;$B$134&amp;$AS$82&amp;"C"&amp;$A145)))</f>
        <v>#NUM!</v>
      </c>
      <c r="BK145" s="3" t="e">
        <f ca="1">IF($BP$1=1,DY145,-IF(RTD("tos.rtd",,BK$43,"."&amp;$B$134&amp;$AS$82&amp;"P"&amp;$A145)="N/A",0,RTD("tos.rtd",,BK$43,"."&amp;$B$134&amp;$AS$82&amp;"P"&amp;$A145)))</f>
        <v>#NUM!</v>
      </c>
      <c r="BL145" s="3" t="e">
        <f ca="1">IF($BP$1=1,DZ145,IF(RTD("tos.rtd",,BL$2,"."&amp;$C$134&amp;$AU$82&amp;"C"&amp;$A145)="N/A",0,RTD("tos.rtd",,BL$2,"."&amp;$C$134&amp;$AU$82&amp;"C"&amp;$A145)))</f>
        <v>#NUM!</v>
      </c>
      <c r="BM145" s="3" t="e">
        <f ca="1">IF($BP$1=1,EA145,-IF(RTD("tos.rtd",,BM$2,"."&amp;$C$134&amp;$AU$82&amp;"P"&amp;$A145)="N/A",0,RTD("tos.rtd",,BM$2,"."&amp;$C$134&amp;$AU$82&amp;"P"&amp;$A145)))</f>
        <v>#NUM!</v>
      </c>
      <c r="BN145" s="3" t="e">
        <f ca="1">IF($BP$1=1,EB145,IF(RTD("tos.rtd",,BN$2,"."&amp;$D$134&amp;$AW$82&amp;"C"&amp;$A145)="N/A",0,RTD("tos.rtd",,BN$2,"."&amp;$D$134&amp;$AW$82&amp;"C"&amp;$A145)))</f>
        <v>#NUM!</v>
      </c>
      <c r="BO145" s="3" t="e">
        <f ca="1">IF($BP$1=1,EC145,-IF(RTD("tos.rtd",,BO$2,"."&amp;$D$134&amp;$AW$82&amp;"P"&amp;$A145)="N/A",0,RTD("tos.rtd",,BO$2,"."&amp;$D$134&amp;$AW$82&amp;"P"&amp;$A145)))</f>
        <v>#NUM!</v>
      </c>
      <c r="BQ145" s="3" t="e">
        <f t="shared" ca="1" si="602"/>
        <v>#NUM!</v>
      </c>
      <c r="BR145" s="3" t="e">
        <f t="shared" ca="1" si="550"/>
        <v>#NUM!</v>
      </c>
      <c r="BS145" s="3" t="e">
        <f t="shared" ca="1" si="603"/>
        <v>#NUM!</v>
      </c>
      <c r="BT145" s="3" t="e">
        <f t="shared" ca="1" si="551"/>
        <v>#NUM!</v>
      </c>
      <c r="BU145" s="3" t="e">
        <f t="shared" ca="1" si="604"/>
        <v>#NUM!</v>
      </c>
      <c r="BV145" s="3" t="e">
        <f t="shared" ca="1" si="551"/>
        <v>#NUM!</v>
      </c>
      <c r="BX145" s="3" t="e">
        <f t="shared" ca="1" si="585"/>
        <v>#NUM!</v>
      </c>
      <c r="BY145" s="3" t="e">
        <f t="shared" ca="1" si="586"/>
        <v>#NUM!</v>
      </c>
      <c r="BZ145" s="3" t="e">
        <f t="shared" ca="1" si="587"/>
        <v>#NUM!</v>
      </c>
      <c r="CA145" s="3" t="e">
        <f t="shared" ca="1" si="586"/>
        <v>#NUM!</v>
      </c>
      <c r="CB145" s="3" t="e">
        <f t="shared" ca="1" si="588"/>
        <v>#NUM!</v>
      </c>
      <c r="CC145" s="3" t="e">
        <f t="shared" ca="1" si="586"/>
        <v>#NUM!</v>
      </c>
      <c r="CD145" s="3">
        <f>IF(RTD("tos.rtd",,CD$43,"."&amp;$B$134&amp;$AS$82&amp;"C"&amp;$A145)="N/A",0,RTD("tos.rtd",,CD$43,"."&amp;$B$134&amp;$AS$82&amp;"C"&amp;$A145))</f>
        <v>0.1</v>
      </c>
      <c r="CE145" s="3">
        <f>-IF(RTD("tos.rtd",,CE$43,"."&amp;$B$134&amp;$AS$82&amp;"P"&amp;$A145)="N/A",0,RTD("tos.rtd",,CE$43,"."&amp;$B$134&amp;$AS$82&amp;"P"&amp;$A145))</f>
        <v>1</v>
      </c>
      <c r="CF145" s="3">
        <f>IF(RTD("tos.rtd",,CF$2,"."&amp;$C$134&amp;$AU$82&amp;"C"&amp;$A145)="N/A",0,RTD("tos.rtd",,CF$2,"."&amp;$C$134&amp;$AU$82&amp;"C"&amp;$A145))</f>
        <v>0.01</v>
      </c>
      <c r="CG145" s="3">
        <f>-IF(RTD("tos.rtd",,CG$2,"."&amp;$C$134&amp;$AU$82&amp;"P"&amp;$A145)="N/A",0,RTD("tos.rtd",,CG$2,"."&amp;$C$134&amp;$AU$82&amp;"P"&amp;$A145))</f>
        <v>0.97</v>
      </c>
      <c r="CH145" s="3">
        <f>IF(RTD("tos.rtd",,CH$2,"."&amp;$D$134&amp;$AW$82&amp;"C"&amp;$A145)="N/A",0,RTD("tos.rtd",,CH$2,"."&amp;$D$134&amp;$AW$82&amp;"C"&amp;$A145))</f>
        <v>0.33</v>
      </c>
      <c r="CI145" s="3">
        <f>-IF(RTD("tos.rtd",,CI$2,"."&amp;$D$134&amp;$AW$82&amp;"P"&amp;$A145)="N/A",0,RTD("tos.rtd",,CI$2,"."&amp;$D$134&amp;$AW$82&amp;"P"&amp;$A145))</f>
        <v>0.66</v>
      </c>
      <c r="CK145" s="3">
        <f t="shared" si="605"/>
        <v>130</v>
      </c>
      <c r="CL145" s="3"/>
      <c r="CM145" s="3">
        <f t="shared" si="606"/>
        <v>60</v>
      </c>
      <c r="CN145" s="3"/>
      <c r="CO145" s="3">
        <f t="shared" si="607"/>
        <v>-131.99999999999989</v>
      </c>
      <c r="CP145" s="3">
        <f t="shared" si="542"/>
        <v>58.000000000000114</v>
      </c>
      <c r="CQ145" s="3">
        <f t="shared" si="552"/>
        <v>0</v>
      </c>
      <c r="CR145" s="3"/>
      <c r="CS145" s="3">
        <f t="shared" si="553"/>
        <v>352</v>
      </c>
      <c r="CT145" s="3"/>
      <c r="CU145" s="3">
        <f t="shared" si="554"/>
        <v>-7</v>
      </c>
      <c r="CV145" s="3"/>
      <c r="CW145" s="3" t="e">
        <f t="shared" ca="1" si="555"/>
        <v>#NUM!</v>
      </c>
      <c r="CY145" s="3" t="e">
        <f t="shared" ca="1" si="556"/>
        <v>#NUM!</v>
      </c>
      <c r="CZ145" s="70" t="e">
        <f t="shared" ca="1" si="589"/>
        <v>#NUM!</v>
      </c>
      <c r="DA145" s="3">
        <f>IF(RTD("tos.rtd",,DA$43,"."&amp;$B$134&amp;$AS$82&amp;"C"&amp;$A145)="N/A",0,RTD("tos.rtd",,DA$43,"."&amp;$B$134&amp;$AS$82&amp;"C"&amp;$A145))</f>
        <v>0.18</v>
      </c>
      <c r="DB145" s="3">
        <f>IF(RTD("tos.rtd",,DB$43,"."&amp;$B$134&amp;$AS$82&amp;"P"&amp;$A145)="N/A",0,RTD("tos.rtd",,DB$43,"."&amp;$B$134&amp;$AS$82&amp;"P"&amp;$A145))</f>
        <v>152.30000000000001</v>
      </c>
      <c r="DC145" s="3">
        <f>IF(RTD("tos.rtd",,DC$43,"."&amp;$B$134&amp;$AS$82&amp;"C"&amp;$A145)="N/A",0,RTD("tos.rtd",,DC$43,"."&amp;$B$134&amp;$AS$82&amp;"C"&amp;$A145))</f>
        <v>19.8</v>
      </c>
      <c r="DD145" s="3">
        <f>IF(RTD("tos.rtd",,DD$43,"."&amp;$B$134&amp;$AS$82&amp;"P"&amp;$A145)="N/A",0,RTD("tos.rtd",,DD$43,"."&amp;$B$134&amp;$AS$82&amp;"P"&amp;$A145))</f>
        <v>305.3</v>
      </c>
      <c r="DE145" s="3">
        <f>IF(RTD("tos.rtd",,DE$43,"."&amp;$B$134&amp;$AS$82&amp;"C"&amp;$A145)="N/A",0,RTD("tos.rtd",,DE$43,"."&amp;$B$134&amp;$AS$82&amp;"C"&amp;$A145))</f>
        <v>0</v>
      </c>
      <c r="DF145" s="3">
        <f>IF(RTD("tos.rtd",,DF$43,"."&amp;$B$134&amp;$AS$82&amp;"P"&amp;$A145)="N/A",0,RTD("tos.rtd",,DF$43,"."&amp;$B$134&amp;$AS$82&amp;"P"&amp;$A145))</f>
        <v>258</v>
      </c>
      <c r="DG145" s="86">
        <f t="shared" si="590"/>
        <v>288.55099999999948</v>
      </c>
      <c r="DH145" s="3">
        <f t="shared" si="557"/>
        <v>-27.372727272727271</v>
      </c>
      <c r="DI145" s="3">
        <f t="shared" si="558"/>
        <v>-2.2346723044397456</v>
      </c>
      <c r="DJ145" s="3">
        <f t="shared" si="559"/>
        <v>3011</v>
      </c>
      <c r="DK145" s="3">
        <f t="shared" si="560"/>
        <v>-1</v>
      </c>
      <c r="DL145" s="3">
        <f t="shared" si="561"/>
        <v>-29.607399577167016</v>
      </c>
      <c r="DM145" s="3">
        <f t="shared" si="562"/>
        <v>3010</v>
      </c>
      <c r="DN145" s="64" t="str">
        <f t="shared" si="563"/>
        <v>UNKNOWN</v>
      </c>
      <c r="DO145" s="64" t="str">
        <f t="shared" si="564"/>
        <v>UNKNOWN</v>
      </c>
      <c r="DP145" s="3">
        <f t="shared" si="565"/>
        <v>-345.2676828752642</v>
      </c>
      <c r="DQ145" s="3">
        <f t="shared" si="566"/>
        <v>389.68</v>
      </c>
      <c r="DR145" s="3" t="e">
        <f t="shared" ca="1" si="567"/>
        <v>#NUM!</v>
      </c>
      <c r="DS145" s="3">
        <f t="shared" si="568"/>
        <v>300.10000000000002</v>
      </c>
      <c r="DT145" s="3">
        <f t="shared" si="591"/>
        <v>-3011</v>
      </c>
      <c r="DU145" s="3">
        <f t="shared" si="592"/>
        <v>1</v>
      </c>
      <c r="DV145" s="3">
        <f t="shared" si="569"/>
        <v>606</v>
      </c>
      <c r="DW145" s="3">
        <f t="shared" si="570"/>
        <v>1</v>
      </c>
      <c r="DX145" s="3" t="e">
        <f t="shared" ca="1" si="571"/>
        <v>#NUM!</v>
      </c>
      <c r="DY145" s="3" t="e">
        <f t="shared" ca="1" si="572"/>
        <v>#NUM!</v>
      </c>
      <c r="DZ145" s="3" t="e">
        <f t="shared" ca="1" si="573"/>
        <v>#NUM!</v>
      </c>
      <c r="EA145" s="3" t="e">
        <f t="shared" ca="1" si="574"/>
        <v>#NUM!</v>
      </c>
      <c r="EB145" s="3" t="e">
        <f t="shared" ca="1" si="575"/>
        <v>#NUM!</v>
      </c>
      <c r="EC145" s="3" t="e">
        <f t="shared" ca="1" si="576"/>
        <v>#NUM!</v>
      </c>
      <c r="ED145" s="63">
        <f t="shared" si="593"/>
        <v>607</v>
      </c>
      <c r="EE145" s="59">
        <f t="shared" si="577"/>
        <v>1.4464999999999999</v>
      </c>
      <c r="EF145" s="59">
        <f t="shared" si="578"/>
        <v>0.25</v>
      </c>
      <c r="EG145" s="59">
        <f t="shared" si="579"/>
        <v>0.8256</v>
      </c>
      <c r="EH145" s="59">
        <f t="shared" si="580"/>
        <v>1.0118</v>
      </c>
      <c r="EI145" s="59">
        <f t="shared" si="581"/>
        <v>0.26529999999999998</v>
      </c>
      <c r="EJ145" s="59">
        <f t="shared" si="582"/>
        <v>0.28349999999999997</v>
      </c>
      <c r="EK145" s="63" t="e">
        <f t="shared" ca="1" si="594"/>
        <v>#NUM!</v>
      </c>
      <c r="EL145" s="3" t="str">
        <f>RTD("tos.rtd",,EL$43,"."&amp;$B$134&amp;$AS$82&amp;"C"&amp;$A145)</f>
        <v>144.65%</v>
      </c>
      <c r="EM145" s="3" t="str">
        <f>RTD("tos.rtd",,EM$43,"."&amp;$B$134&amp;$AS$82&amp;"P"&amp;$A145)</f>
        <v>--</v>
      </c>
      <c r="EN145" s="3" t="str">
        <f>RTD("tos.rtd",,EN$2,"."&amp;$C$134&amp;$AU$82&amp;"C"&amp;$A145)</f>
        <v>82.56%</v>
      </c>
      <c r="EO145" s="3" t="str">
        <f>RTD("tos.rtd",,EO$2,"."&amp;$C$134&amp;$AU$82&amp;"P"&amp;$A145)</f>
        <v>101.18%</v>
      </c>
      <c r="EP145" s="3" t="str">
        <f>RTD("tos.rtd",,EP$2,"."&amp;$D$134&amp;$AW$82&amp;"C"&amp;$A145)</f>
        <v>26.53%</v>
      </c>
      <c r="EQ145" s="3" t="str">
        <f>RTD("tos.rtd",,EQ$2,"."&amp;$D$134&amp;$AW$82&amp;"P"&amp;$A145)</f>
        <v>28.35%</v>
      </c>
      <c r="ES145" s="63" t="str">
        <f t="shared" si="583"/>
        <v>20350,607.00</v>
      </c>
      <c r="ET145" s="63" t="str">
        <f t="shared" ca="1" si="584"/>
        <v>20350,00.00</v>
      </c>
      <c r="EU145" s="68">
        <v>564.04999999999995</v>
      </c>
      <c r="EV145" s="68" t="s">
        <v>1179</v>
      </c>
      <c r="EW145" s="68">
        <v>486.81</v>
      </c>
      <c r="EX145" s="68" t="s">
        <v>1180</v>
      </c>
      <c r="EY145" s="68">
        <v>5631.28</v>
      </c>
      <c r="EZ145" s="68" t="s">
        <v>1181</v>
      </c>
      <c r="FA145" s="68">
        <v>19867.973000000002</v>
      </c>
      <c r="FB145" s="68" t="s">
        <v>1182</v>
      </c>
      <c r="FC145" s="68" t="s">
        <v>1183</v>
      </c>
      <c r="FD145" s="68" t="s">
        <v>1184</v>
      </c>
      <c r="FE145" s="68" t="s">
        <v>1185</v>
      </c>
      <c r="FF145" s="68" t="s">
        <v>1186</v>
      </c>
    </row>
    <row r="146" spans="1:162" ht="11.1" customHeight="1" thickBot="1" x14ac:dyDescent="0.25">
      <c r="A146" s="2">
        <f t="shared" si="595"/>
        <v>20325</v>
      </c>
      <c r="B146" s="3">
        <f t="shared" si="610"/>
        <v>2</v>
      </c>
      <c r="C146" s="3">
        <f t="shared" si="611"/>
        <v>3</v>
      </c>
      <c r="D146" s="3">
        <f t="shared" si="612"/>
        <v>21</v>
      </c>
      <c r="E146" s="3">
        <f t="shared" si="598"/>
        <v>26</v>
      </c>
      <c r="F146" s="4">
        <f t="shared" si="599"/>
        <v>20723.9744372403</v>
      </c>
      <c r="G146" s="5">
        <f t="shared" si="600"/>
        <v>502.29315439777054</v>
      </c>
      <c r="AM146" s="1">
        <v>-21</v>
      </c>
      <c r="AN146" s="1">
        <v>-1</v>
      </c>
      <c r="AO146" s="1">
        <v>20325</v>
      </c>
      <c r="AP146" s="1">
        <v>232</v>
      </c>
      <c r="AQ146" s="1">
        <v>-1</v>
      </c>
      <c r="AS146" s="54">
        <f>IF(RTD("tos.rtd",,AS$83,"."&amp;$B$134&amp;$AS$82&amp;"C"&amp;$A146)="N/A",0,RTD("tos.rtd",,AS$83,"."&amp;$B$134&amp;$AS$82&amp;"C"&amp;$A146))</f>
        <v>2</v>
      </c>
      <c r="AT146" s="3">
        <f>-IF(RTD("tos.rtd",,AT$83,"."&amp;$B$134&amp;$AS$82&amp;"P"&amp;$A146)="N/A",0,RTD("tos.rtd",,AT$83,"."&amp;$B$134&amp;$AS$82&amp;"P"&amp;$A146))</f>
        <v>0</v>
      </c>
      <c r="AU146" s="54">
        <f>IF(RTD("tos.rtd",,AU$2,"."&amp;$C$134&amp;$AU$134&amp;"C"&amp;$A146)="N/A",0,RTD("tos.rtd",,AU$2,"."&amp;$C$134&amp;$AU$134&amp;"C"&amp;$A146))</f>
        <v>3</v>
      </c>
      <c r="AV146" s="3">
        <f>-IF(RTD("tos.rtd",,AV$2,"."&amp;$C$134&amp;$AU$134&amp;"P"&amp;$A146)="N/A",0,RTD("tos.rtd",,AV$2,"."&amp;$C$134&amp;$AU$134&amp;"P"&amp;$A146))</f>
        <v>0</v>
      </c>
      <c r="AW146" s="54">
        <f>IF(RTD("tos.rtd",,AW$2,"."&amp;$D$134&amp;$AW$134&amp;"C"&amp;$A146)="N/A",0,RTD("tos.rtd",,AW$2,"."&amp;$D$134&amp;$AW$134&amp;"C"&amp;$A146))</f>
        <v>14</v>
      </c>
      <c r="AX146" s="3">
        <f>-IF(RTD("tos.rtd",,AX$2,"."&amp;$D$134&amp;$AW$134&amp;"P"&amp;$A146)="N/A",0,RTD("tos.rtd",,AX$2,"."&amp;$D$134&amp;$AW$134&amp;"P"&amp;$A146))</f>
        <v>-7</v>
      </c>
      <c r="AY146" s="76">
        <f t="shared" si="601"/>
        <v>12</v>
      </c>
      <c r="AZ146" s="8">
        <f t="shared" si="548"/>
        <v>20325</v>
      </c>
      <c r="BA146" s="54">
        <f>IF(RTD("tos.rtd",,BA$43,"."&amp;$B$134&amp;$AS$82&amp;"C"&amp;$A146)="N/A",0,RTD("tos.rtd",,BA$43,"."&amp;$B$134&amp;$AS$82&amp;"C"&amp;$A146))</f>
        <v>0</v>
      </c>
      <c r="BB146" s="3">
        <f>-IF(RTD("tos.rtd",,BB$43,"."&amp;$B$134&amp;$AS$82&amp;"P"&amp;$A146)="N/A",0,RTD("tos.rtd",,BB$43,"."&amp;$B$134&amp;$AS$82&amp;"P"&amp;$A146))</f>
        <v>0</v>
      </c>
      <c r="BC146" s="54">
        <f>IF(RTD("tos.rtd",,BC$2,"."&amp;$C$134&amp;$AU$82&amp;"C"&amp;$A146)="N/A",0,RTD("tos.rtd",,BC$2,"."&amp;$C$134&amp;$AU$82&amp;"C"&amp;$A146))</f>
        <v>100</v>
      </c>
      <c r="BD146" s="3">
        <f>-IF(RTD("tos.rtd",,BD$2,"."&amp;$C$134&amp;$AU$82&amp;"P"&amp;$A146)="N/A",0,RTD("tos.rtd",,BD$2,"."&amp;$C$134&amp;$AU$82&amp;"P"&amp;$A146))</f>
        <v>0</v>
      </c>
      <c r="BE146" s="54">
        <f>IF(RTD("tos.rtd",,BE$2,"."&amp;$D$134&amp;$AW$82&amp;"C"&amp;$A146)="N/A",0,RTD("tos.rtd",,BE$2,"."&amp;$D$134&amp;$AW$82&amp;"C"&amp;$A146))</f>
        <v>1</v>
      </c>
      <c r="BF146" s="3">
        <f>-IF(RTD("tos.rtd",,BF$2,"."&amp;$D$134&amp;$AW$82&amp;"P"&amp;$A146)="N/A",0,RTD("tos.rtd",,BF$2,"."&amp;$D$134&amp;$AW$82&amp;"P"&amp;$A146))</f>
        <v>-11</v>
      </c>
      <c r="BG146" s="3">
        <f ca="1">+Hoja2!Y147</f>
        <v>1</v>
      </c>
      <c r="BH146" s="7">
        <f t="shared" ca="1" si="549"/>
        <v>91</v>
      </c>
      <c r="BI146" s="32" t="str">
        <f t="shared" ca="1" si="609"/>
        <v/>
      </c>
      <c r="BJ146" s="3" t="e">
        <f ca="1">IF($BP$1=1,DX146,IF(RTD("tos.rtd",,BJ$43,"."&amp;$B$134&amp;$AS$82&amp;"C"&amp;$A146)="N/A",0,RTD("tos.rtd",,BJ$43,"."&amp;$B$134&amp;$AS$82&amp;"C"&amp;$A146)))</f>
        <v>#NUM!</v>
      </c>
      <c r="BK146" s="3" t="e">
        <f ca="1">IF($BP$1=1,DY146,-IF(RTD("tos.rtd",,BK$43,"."&amp;$B$134&amp;$AS$82&amp;"P"&amp;$A146)="N/A",0,RTD("tos.rtd",,BK$43,"."&amp;$B$134&amp;$AS$82&amp;"P"&amp;$A146)))</f>
        <v>#NUM!</v>
      </c>
      <c r="BL146" s="3" t="e">
        <f ca="1">IF($BP$1=1,DZ146,IF(RTD("tos.rtd",,BL$2,"."&amp;$C$134&amp;$AU$82&amp;"C"&amp;$A146)="N/A",0,RTD("tos.rtd",,BL$2,"."&amp;$C$134&amp;$AU$82&amp;"C"&amp;$A146)))</f>
        <v>#NUM!</v>
      </c>
      <c r="BM146" s="3" t="e">
        <f ca="1">IF($BP$1=1,EA146,-IF(RTD("tos.rtd",,BM$2,"."&amp;$C$134&amp;$AU$82&amp;"P"&amp;$A146)="N/A",0,RTD("tos.rtd",,BM$2,"."&amp;$C$134&amp;$AU$82&amp;"P"&amp;$A146)))</f>
        <v>#NUM!</v>
      </c>
      <c r="BN146" s="3" t="e">
        <f ca="1">IF($BP$1=1,EB146,IF(RTD("tos.rtd",,BN$2,"."&amp;$D$134&amp;$AW$82&amp;"C"&amp;$A146)="N/A",0,RTD("tos.rtd",,BN$2,"."&amp;$D$134&amp;$AW$82&amp;"C"&amp;$A146)))</f>
        <v>#NUM!</v>
      </c>
      <c r="BO146" s="3" t="e">
        <f ca="1">IF($BP$1=1,EC146,-IF(RTD("tos.rtd",,BO$2,"."&amp;$D$134&amp;$AW$82&amp;"P"&amp;$A146)="N/A",0,RTD("tos.rtd",,BO$2,"."&amp;$D$134&amp;$AW$82&amp;"P"&amp;$A146)))</f>
        <v>#NUM!</v>
      </c>
      <c r="BQ146" s="3" t="e">
        <f t="shared" ca="1" si="602"/>
        <v>#NUM!</v>
      </c>
      <c r="BR146" s="3" t="e">
        <f t="shared" ca="1" si="550"/>
        <v>#NUM!</v>
      </c>
      <c r="BS146" s="3" t="e">
        <f t="shared" ca="1" si="603"/>
        <v>#NUM!</v>
      </c>
      <c r="BT146" s="3" t="e">
        <f t="shared" ca="1" si="551"/>
        <v>#NUM!</v>
      </c>
      <c r="BU146" s="3" t="e">
        <f t="shared" ca="1" si="604"/>
        <v>#NUM!</v>
      </c>
      <c r="BV146" s="3" t="e">
        <f t="shared" ca="1" si="551"/>
        <v>#NUM!</v>
      </c>
      <c r="BX146" s="3" t="e">
        <f t="shared" ca="1" si="585"/>
        <v>#NUM!</v>
      </c>
      <c r="BY146" s="3" t="e">
        <f t="shared" ca="1" si="586"/>
        <v>#NUM!</v>
      </c>
      <c r="BZ146" s="3" t="e">
        <f t="shared" ca="1" si="587"/>
        <v>#NUM!</v>
      </c>
      <c r="CA146" s="3" t="e">
        <f t="shared" ca="1" si="586"/>
        <v>#NUM!</v>
      </c>
      <c r="CB146" s="3" t="e">
        <f t="shared" ca="1" si="588"/>
        <v>#NUM!</v>
      </c>
      <c r="CC146" s="3" t="e">
        <f t="shared" ca="1" si="586"/>
        <v>#NUM!</v>
      </c>
      <c r="CD146" s="3">
        <f>IF(RTD("tos.rtd",,CD$43,"."&amp;$B$134&amp;$AS$82&amp;"C"&amp;$A146)="N/A",0,RTD("tos.rtd",,CD$43,"."&amp;$B$134&amp;$AS$82&amp;"C"&amp;$A146))</f>
        <v>0</v>
      </c>
      <c r="CE146" s="3">
        <f>-IF(RTD("tos.rtd",,CE$43,"."&amp;$B$134&amp;$AS$82&amp;"P"&amp;$A146)="N/A",0,RTD("tos.rtd",,CE$43,"."&amp;$B$134&amp;$AS$82&amp;"P"&amp;$A146))</f>
        <v>1</v>
      </c>
      <c r="CF146" s="3">
        <f>IF(RTD("tos.rtd",,CF$2,"."&amp;$C$134&amp;$AU$82&amp;"C"&amp;$A146)="N/A",0,RTD("tos.rtd",,CF$2,"."&amp;$C$134&amp;$AU$82&amp;"C"&amp;$A146))</f>
        <v>0.09</v>
      </c>
      <c r="CG146" s="3">
        <f>-IF(RTD("tos.rtd",,CG$2,"."&amp;$C$134&amp;$AU$82&amp;"P"&amp;$A146)="N/A",0,RTD("tos.rtd",,CG$2,"."&amp;$C$134&amp;$AU$82&amp;"P"&amp;$A146))</f>
        <v>0.96</v>
      </c>
      <c r="CH146" s="3">
        <f>IF(RTD("tos.rtd",,CH$2,"."&amp;$D$134&amp;$AW$82&amp;"C"&amp;$A146)="N/A",0,RTD("tos.rtd",,CH$2,"."&amp;$D$134&amp;$AW$82&amp;"C"&amp;$A146))</f>
        <v>0.34</v>
      </c>
      <c r="CI146" s="3">
        <f>-IF(RTD("tos.rtd",,CI$2,"."&amp;$D$134&amp;$AW$82&amp;"P"&amp;$A146)="N/A",0,RTD("tos.rtd",,CI$2,"."&amp;$D$134&amp;$AW$82&amp;"P"&amp;$A146))</f>
        <v>0.65</v>
      </c>
      <c r="CK146" s="3">
        <f t="shared" si="605"/>
        <v>0</v>
      </c>
      <c r="CL146" s="3"/>
      <c r="CM146" s="3">
        <f t="shared" si="606"/>
        <v>27</v>
      </c>
      <c r="CN146" s="3"/>
      <c r="CO146" s="3">
        <f t="shared" si="607"/>
        <v>21.000000000000057</v>
      </c>
      <c r="CP146" s="3">
        <f t="shared" si="542"/>
        <v>48.000000000000057</v>
      </c>
      <c r="CQ146" s="3">
        <f t="shared" si="552"/>
        <v>0</v>
      </c>
      <c r="CR146" s="3"/>
      <c r="CS146" s="3">
        <f t="shared" si="553"/>
        <v>100</v>
      </c>
      <c r="CT146" s="3"/>
      <c r="CU146" s="3">
        <f t="shared" si="554"/>
        <v>-10</v>
      </c>
      <c r="CV146" s="3"/>
      <c r="CW146" s="3" t="e">
        <f t="shared" ca="1" si="555"/>
        <v>#NUM!</v>
      </c>
      <c r="CY146" s="3" t="e">
        <f t="shared" ca="1" si="556"/>
        <v>#NUM!</v>
      </c>
      <c r="CZ146" s="70" t="e">
        <f t="shared" ca="1" si="589"/>
        <v>#NUM!</v>
      </c>
      <c r="DA146" s="3">
        <f>IF(RTD("tos.rtd",,DA$43,"."&amp;$B$134&amp;$AS$82&amp;"C"&amp;$A146)="N/A",0,RTD("tos.rtd",,DA$43,"."&amp;$B$134&amp;$AS$82&amp;"C"&amp;$A146))</f>
        <v>0.05</v>
      </c>
      <c r="DB146" s="3">
        <f>IF(RTD("tos.rtd",,DB$43,"."&amp;$B$134&amp;$AS$82&amp;"P"&amp;$A146)="N/A",0,RTD("tos.rtd",,DB$43,"."&amp;$B$134&amp;$AS$82&amp;"P"&amp;$A146))</f>
        <v>190.6</v>
      </c>
      <c r="DC146" s="3">
        <f>IF(RTD("tos.rtd",,DC$43,"."&amp;$B$134&amp;$AS$82&amp;"C"&amp;$A146)="N/A",0,RTD("tos.rtd",,DC$43,"."&amp;$B$134&amp;$AS$82&amp;"C"&amp;$A146))</f>
        <v>0.05</v>
      </c>
      <c r="DD146" s="3">
        <f>IF(RTD("tos.rtd",,DD$43,"."&amp;$B$134&amp;$AS$82&amp;"P"&amp;$A146)="N/A",0,RTD("tos.rtd",,DD$43,"."&amp;$B$134&amp;$AS$82&amp;"P"&amp;$A146))</f>
        <v>280.3</v>
      </c>
      <c r="DE146" s="3">
        <f>IF(RTD("tos.rtd",,DE$43,"."&amp;$B$134&amp;$AS$82&amp;"C"&amp;$A146)="N/A",0,RTD("tos.rtd",,DE$43,"."&amp;$B$134&amp;$AS$82&amp;"C"&amp;$A146))</f>
        <v>0</v>
      </c>
      <c r="DF146" s="3">
        <f>IF(RTD("tos.rtd",,DF$43,"."&amp;$B$134&amp;$AS$82&amp;"P"&amp;$A146)="N/A",0,RTD("tos.rtd",,DF$43,"."&amp;$B$134&amp;$AS$82&amp;"P"&amp;$A146))</f>
        <v>232</v>
      </c>
      <c r="DG146" s="86">
        <f t="shared" si="590"/>
        <v>263.55099999999948</v>
      </c>
      <c r="DH146" s="3">
        <f t="shared" si="557"/>
        <v>-232</v>
      </c>
      <c r="DI146" s="3">
        <f t="shared" si="558"/>
        <v>-0.8571428571428571</v>
      </c>
      <c r="DJ146" s="3">
        <f t="shared" si="559"/>
        <v>-232</v>
      </c>
      <c r="DK146" s="3">
        <f t="shared" si="560"/>
        <v>-1</v>
      </c>
      <c r="DL146" s="3">
        <f t="shared" si="561"/>
        <v>-232.85714285714286</v>
      </c>
      <c r="DM146" s="3">
        <f t="shared" si="562"/>
        <v>-233</v>
      </c>
      <c r="DN146" s="64" t="str">
        <f t="shared" si="563"/>
        <v>UNKNOWN</v>
      </c>
      <c r="DO146" s="64" t="str">
        <f t="shared" si="564"/>
        <v>UNKNOWN</v>
      </c>
      <c r="DP146" s="3">
        <f t="shared" si="565"/>
        <v>-174.97142857142856</v>
      </c>
      <c r="DQ146" s="3">
        <f t="shared" si="566"/>
        <v>-202.2</v>
      </c>
      <c r="DR146" s="3" t="e">
        <f t="shared" ca="1" si="567"/>
        <v>#NUM!</v>
      </c>
      <c r="DS146" s="3">
        <f t="shared" si="568"/>
        <v>-1</v>
      </c>
      <c r="DT146" s="3">
        <f t="shared" si="591"/>
        <v>-232</v>
      </c>
      <c r="DU146" s="3">
        <f t="shared" si="592"/>
        <v>1</v>
      </c>
      <c r="DV146" s="3">
        <f t="shared" si="569"/>
        <v>-21</v>
      </c>
      <c r="DW146" s="3">
        <f t="shared" si="570"/>
        <v>-1</v>
      </c>
      <c r="DX146" s="3" t="e">
        <f t="shared" ca="1" si="571"/>
        <v>#NUM!</v>
      </c>
      <c r="DY146" s="3" t="e">
        <f t="shared" ca="1" si="572"/>
        <v>#NUM!</v>
      </c>
      <c r="DZ146" s="3" t="e">
        <f t="shared" ca="1" si="573"/>
        <v>#NUM!</v>
      </c>
      <c r="EA146" s="3" t="e">
        <f t="shared" ca="1" si="574"/>
        <v>#NUM!</v>
      </c>
      <c r="EB146" s="3" t="e">
        <f t="shared" ca="1" si="575"/>
        <v>#NUM!</v>
      </c>
      <c r="EC146" s="3" t="e">
        <f t="shared" ca="1" si="576"/>
        <v>#NUM!</v>
      </c>
      <c r="ED146" s="63">
        <f t="shared" si="593"/>
        <v>-22</v>
      </c>
      <c r="EE146" s="59">
        <f t="shared" si="577"/>
        <v>0.56179999999999997</v>
      </c>
      <c r="EF146" s="59">
        <f t="shared" si="578"/>
        <v>0.25</v>
      </c>
      <c r="EG146" s="59">
        <f t="shared" si="579"/>
        <v>1.3106</v>
      </c>
      <c r="EH146" s="59">
        <f t="shared" si="580"/>
        <v>0.99970000000000003</v>
      </c>
      <c r="EI146" s="59">
        <f t="shared" si="581"/>
        <v>0.26619999999999999</v>
      </c>
      <c r="EJ146" s="59">
        <f t="shared" si="582"/>
        <v>0.28510000000000002</v>
      </c>
      <c r="EK146" s="63" t="e">
        <f t="shared" ca="1" si="594"/>
        <v>#NUM!</v>
      </c>
      <c r="EL146" s="3" t="str">
        <f>RTD("tos.rtd",,EL$43,"."&amp;$B$134&amp;$AS$82&amp;"C"&amp;$A146)</f>
        <v>56.18%</v>
      </c>
      <c r="EM146" s="3" t="str">
        <f>RTD("tos.rtd",,EM$43,"."&amp;$B$134&amp;$AS$82&amp;"P"&amp;$A146)</f>
        <v>--</v>
      </c>
      <c r="EN146" s="3" t="str">
        <f>RTD("tos.rtd",,EN$2,"."&amp;$C$134&amp;$AU$82&amp;"C"&amp;$A146)</f>
        <v>131.06%</v>
      </c>
      <c r="EO146" s="3" t="str">
        <f>RTD("tos.rtd",,EO$2,"."&amp;$C$134&amp;$AU$82&amp;"P"&amp;$A146)</f>
        <v>99.97%</v>
      </c>
      <c r="EP146" s="3" t="str">
        <f>RTD("tos.rtd",,EP$2,"."&amp;$D$134&amp;$AW$82&amp;"C"&amp;$A146)</f>
        <v>26.62%</v>
      </c>
      <c r="EQ146" s="3" t="str">
        <f>RTD("tos.rtd",,EQ$2,"."&amp;$D$134&amp;$AW$82&amp;"P"&amp;$A146)</f>
        <v>28.51%</v>
      </c>
      <c r="ES146" s="63" t="str">
        <f t="shared" si="583"/>
        <v>20325,-22.00</v>
      </c>
      <c r="ET146" s="63" t="str">
        <f t="shared" ca="1" si="584"/>
        <v>20325,00.00</v>
      </c>
      <c r="EU146" s="68">
        <v>564.11</v>
      </c>
      <c r="EV146" s="68" t="s">
        <v>1187</v>
      </c>
      <c r="EW146" s="68">
        <v>486.76</v>
      </c>
      <c r="EX146" s="68" t="s">
        <v>1188</v>
      </c>
      <c r="EY146" s="68">
        <v>5631.28</v>
      </c>
      <c r="EZ146" s="68" t="s">
        <v>1189</v>
      </c>
      <c r="FA146" s="68">
        <v>19867.973000000002</v>
      </c>
      <c r="FB146" s="68" t="s">
        <v>1190</v>
      </c>
      <c r="FC146" s="68" t="s">
        <v>1191</v>
      </c>
      <c r="FD146" s="68" t="s">
        <v>1192</v>
      </c>
      <c r="FE146" s="68" t="s">
        <v>1193</v>
      </c>
      <c r="FF146" s="68" t="s">
        <v>1194</v>
      </c>
    </row>
    <row r="147" spans="1:162" ht="11.1" customHeight="1" thickBot="1" x14ac:dyDescent="0.25">
      <c r="A147" s="2">
        <f t="shared" si="595"/>
        <v>20300</v>
      </c>
      <c r="B147" s="3">
        <f t="shared" si="610"/>
        <v>32</v>
      </c>
      <c r="C147" s="3">
        <f t="shared" si="611"/>
        <v>26</v>
      </c>
      <c r="D147" s="3">
        <f t="shared" si="612"/>
        <v>79</v>
      </c>
      <c r="E147" s="3">
        <f t="shared" si="598"/>
        <v>137</v>
      </c>
      <c r="F147" s="4">
        <f t="shared" si="599"/>
        <v>20698.483693775062</v>
      </c>
      <c r="G147" s="5">
        <f t="shared" si="600"/>
        <v>501.67532763959366</v>
      </c>
      <c r="AM147" s="1">
        <v>-170</v>
      </c>
      <c r="AN147" s="1">
        <v>-5</v>
      </c>
      <c r="AO147" s="1">
        <v>20300</v>
      </c>
      <c r="AP147" s="1">
        <v>1069</v>
      </c>
      <c r="AQ147" s="1">
        <v>-44</v>
      </c>
      <c r="AS147" s="54">
        <f>IF(RTD("tos.rtd",,AS$83,"."&amp;$B$134&amp;$AS$82&amp;"C"&amp;$A147)="N/A",0,RTD("tos.rtd",,AS$83,"."&amp;$B$134&amp;$AS$82&amp;"C"&amp;$A147))</f>
        <v>28</v>
      </c>
      <c r="AT147" s="3">
        <f>-IF(RTD("tos.rtd",,AT$83,"."&amp;$B$134&amp;$AS$82&amp;"P"&amp;$A147)="N/A",0,RTD("tos.rtd",,AT$83,"."&amp;$B$134&amp;$AS$82&amp;"P"&amp;$A147))</f>
        <v>-4</v>
      </c>
      <c r="AU147" s="54">
        <f>IF(RTD("tos.rtd",,AU$2,"."&amp;$C$134&amp;$AU$134&amp;"C"&amp;$A147)="N/A",0,RTD("tos.rtd",,AU$2,"."&amp;$C$134&amp;$AU$134&amp;"C"&amp;$A147))</f>
        <v>23</v>
      </c>
      <c r="AV147" s="3">
        <f>-IF(RTD("tos.rtd",,AV$2,"."&amp;$C$134&amp;$AU$134&amp;"P"&amp;$A147)="N/A",0,RTD("tos.rtd",,AV$2,"."&amp;$C$134&amp;$AU$134&amp;"P"&amp;$A147))</f>
        <v>-3</v>
      </c>
      <c r="AW147" s="54">
        <f>IF(RTD("tos.rtd",,AW$2,"."&amp;$D$134&amp;$AW$134&amp;"C"&amp;$A147)="N/A",0,RTD("tos.rtd",,AW$2,"."&amp;$D$134&amp;$AW$134&amp;"C"&amp;$A147))</f>
        <v>54</v>
      </c>
      <c r="AX147" s="3">
        <f>-IF(RTD("tos.rtd",,AX$2,"."&amp;$D$134&amp;$AW$134&amp;"P"&amp;$A147)="N/A",0,RTD("tos.rtd",,AX$2,"."&amp;$D$134&amp;$AW$134&amp;"P"&amp;$A147))</f>
        <v>-25</v>
      </c>
      <c r="AY147" s="76">
        <f t="shared" si="601"/>
        <v>73</v>
      </c>
      <c r="AZ147" s="8">
        <f t="shared" si="548"/>
        <v>20300</v>
      </c>
      <c r="BA147" s="54">
        <f>IF(RTD("tos.rtd",,BA$43,"."&amp;$B$134&amp;$AS$82&amp;"C"&amp;$A147)="N/A",0,RTD("tos.rtd",,BA$43,"."&amp;$B$134&amp;$AS$82&amp;"C"&amp;$A147))</f>
        <v>0</v>
      </c>
      <c r="BB147" s="3">
        <f>-IF(RTD("tos.rtd",,BB$43,"."&amp;$B$134&amp;$AS$82&amp;"P"&amp;$A147)="N/A",0,RTD("tos.rtd",,BB$43,"."&amp;$B$134&amp;$AS$82&amp;"P"&amp;$A147))</f>
        <v>0</v>
      </c>
      <c r="BC147" s="54">
        <f>IF(RTD("tos.rtd",,BC$2,"."&amp;$C$134&amp;$AU$82&amp;"C"&amp;$A147)="N/A",0,RTD("tos.rtd",,BC$2,"."&amp;$C$134&amp;$AU$82&amp;"C"&amp;$A147))</f>
        <v>755</v>
      </c>
      <c r="BD147" s="3">
        <f>-IF(RTD("tos.rtd",,BD$2,"."&amp;$C$134&amp;$AU$82&amp;"P"&amp;$A147)="N/A",0,RTD("tos.rtd",,BD$2,"."&amp;$C$134&amp;$AU$82&amp;"P"&amp;$A147))</f>
        <v>-3</v>
      </c>
      <c r="BE147" s="54">
        <f>IF(RTD("tos.rtd",,BE$2,"."&amp;$D$134&amp;$AW$82&amp;"C"&amp;$A147)="N/A",0,RTD("tos.rtd",,BE$2,"."&amp;$D$134&amp;$AW$82&amp;"C"&amp;$A147))</f>
        <v>8</v>
      </c>
      <c r="BF147" s="3">
        <f>-IF(RTD("tos.rtd",,BF$2,"."&amp;$D$134&amp;$AW$82&amp;"P"&amp;$A147)="N/A",0,RTD("tos.rtd",,BF$2,"."&amp;$D$134&amp;$AW$82&amp;"P"&amp;$A147))</f>
        <v>-6</v>
      </c>
      <c r="BG147" s="3">
        <f ca="1">+Hoja2!Y148</f>
        <v>13</v>
      </c>
      <c r="BH147" s="7">
        <f t="shared" ca="1" si="549"/>
        <v>767</v>
      </c>
      <c r="BI147" s="32" t="str">
        <f t="shared" ca="1" si="609"/>
        <v/>
      </c>
      <c r="BJ147" s="3" t="e">
        <f ca="1">IF($BP$1=1,DX147,IF(RTD("tos.rtd",,BJ$43,"."&amp;$B$134&amp;$AS$82&amp;"C"&amp;$A147)="N/A",0,RTD("tos.rtd",,BJ$43,"."&amp;$B$134&amp;$AS$82&amp;"C"&amp;$A147)))</f>
        <v>#NUM!</v>
      </c>
      <c r="BK147" s="3" t="e">
        <f ca="1">IF($BP$1=1,DY147,-IF(RTD("tos.rtd",,BK$43,"."&amp;$B$134&amp;$AS$82&amp;"P"&amp;$A147)="N/A",0,RTD("tos.rtd",,BK$43,"."&amp;$B$134&amp;$AS$82&amp;"P"&amp;$A147)))</f>
        <v>#NUM!</v>
      </c>
      <c r="BL147" s="3" t="e">
        <f ca="1">IF($BP$1=1,DZ147,IF(RTD("tos.rtd",,BL$2,"."&amp;$C$134&amp;$AU$82&amp;"C"&amp;$A147)="N/A",0,RTD("tos.rtd",,BL$2,"."&amp;$C$134&amp;$AU$82&amp;"C"&amp;$A147)))</f>
        <v>#NUM!</v>
      </c>
      <c r="BM147" s="3" t="e">
        <f ca="1">IF($BP$1=1,EA147,-IF(RTD("tos.rtd",,BM$2,"."&amp;$C$134&amp;$AU$82&amp;"P"&amp;$A147)="N/A",0,RTD("tos.rtd",,BM$2,"."&amp;$C$134&amp;$AU$82&amp;"P"&amp;$A147)))</f>
        <v>#NUM!</v>
      </c>
      <c r="BN147" s="3" t="e">
        <f ca="1">IF($BP$1=1,EB147,IF(RTD("tos.rtd",,BN$2,"."&amp;$D$134&amp;$AW$82&amp;"C"&amp;$A147)="N/A",0,RTD("tos.rtd",,BN$2,"."&amp;$D$134&amp;$AW$82&amp;"C"&amp;$A147)))</f>
        <v>#NUM!</v>
      </c>
      <c r="BO147" s="3" t="e">
        <f ca="1">IF($BP$1=1,EC147,-IF(RTD("tos.rtd",,BO$2,"."&amp;$D$134&amp;$AW$82&amp;"P"&amp;$A147)="N/A",0,RTD("tos.rtd",,BO$2,"."&amp;$D$134&amp;$AW$82&amp;"P"&amp;$A147)))</f>
        <v>#NUM!</v>
      </c>
      <c r="BQ147" s="3" t="e">
        <f t="shared" ca="1" si="602"/>
        <v>#NUM!</v>
      </c>
      <c r="BR147" s="3" t="e">
        <f t="shared" ca="1" si="550"/>
        <v>#NUM!</v>
      </c>
      <c r="BS147" s="3" t="e">
        <f t="shared" ca="1" si="603"/>
        <v>#NUM!</v>
      </c>
      <c r="BT147" s="3" t="e">
        <f t="shared" ca="1" si="551"/>
        <v>#NUM!</v>
      </c>
      <c r="BU147" s="3" t="e">
        <f t="shared" ca="1" si="604"/>
        <v>#NUM!</v>
      </c>
      <c r="BV147" s="3" t="e">
        <f t="shared" ca="1" si="551"/>
        <v>#NUM!</v>
      </c>
      <c r="BX147" s="3" t="e">
        <f t="shared" ca="1" si="585"/>
        <v>#NUM!</v>
      </c>
      <c r="BY147" s="3" t="e">
        <f t="shared" ca="1" si="586"/>
        <v>#NUM!</v>
      </c>
      <c r="BZ147" s="3" t="e">
        <f t="shared" ca="1" si="587"/>
        <v>#NUM!</v>
      </c>
      <c r="CA147" s="3" t="e">
        <f t="shared" ca="1" si="586"/>
        <v>#NUM!</v>
      </c>
      <c r="CB147" s="3" t="e">
        <f t="shared" ca="1" si="588"/>
        <v>#NUM!</v>
      </c>
      <c r="CC147" s="3" t="e">
        <f t="shared" ca="1" si="586"/>
        <v>#NUM!</v>
      </c>
      <c r="CD147" s="3">
        <f>IF(RTD("tos.rtd",,CD$43,"."&amp;$B$134&amp;$AS$82&amp;"C"&amp;$A147)="N/A",0,RTD("tos.rtd",,CD$43,"."&amp;$B$134&amp;$AS$82&amp;"C"&amp;$A147))</f>
        <v>7.0000000000000007E-2</v>
      </c>
      <c r="CE147" s="3">
        <f>-IF(RTD("tos.rtd",,CE$43,"."&amp;$B$134&amp;$AS$82&amp;"P"&amp;$A147)="N/A",0,RTD("tos.rtd",,CE$43,"."&amp;$B$134&amp;$AS$82&amp;"P"&amp;$A147))</f>
        <v>1</v>
      </c>
      <c r="CF147" s="3">
        <f>IF(RTD("tos.rtd",,CF$2,"."&amp;$C$134&amp;$AU$82&amp;"C"&amp;$A147)="N/A",0,RTD("tos.rtd",,CF$2,"."&amp;$C$134&amp;$AU$82&amp;"C"&amp;$A147))</f>
        <v>0</v>
      </c>
      <c r="CG147" s="3">
        <f>-IF(RTD("tos.rtd",,CG$2,"."&amp;$C$134&amp;$AU$82&amp;"P"&amp;$A147)="N/A",0,RTD("tos.rtd",,CG$2,"."&amp;$C$134&amp;$AU$82&amp;"P"&amp;$A147))</f>
        <v>0.96</v>
      </c>
      <c r="CH147" s="3">
        <f>IF(RTD("tos.rtd",,CH$2,"."&amp;$D$134&amp;$AW$82&amp;"C"&amp;$A147)="N/A",0,RTD("tos.rtd",,CH$2,"."&amp;$D$134&amp;$AW$82&amp;"C"&amp;$A147))</f>
        <v>0.36</v>
      </c>
      <c r="CI147" s="3">
        <f>-IF(RTD("tos.rtd",,CI$2,"."&amp;$D$134&amp;$AW$82&amp;"P"&amp;$A147)="N/A",0,RTD("tos.rtd",,CI$2,"."&amp;$D$134&amp;$AW$82&amp;"P"&amp;$A147))</f>
        <v>0.63</v>
      </c>
      <c r="CK147" s="3">
        <f t="shared" si="605"/>
        <v>-203.99999999999997</v>
      </c>
      <c r="CL147" s="3"/>
      <c r="CM147" s="3">
        <f t="shared" si="606"/>
        <v>-288</v>
      </c>
      <c r="CN147" s="3"/>
      <c r="CO147" s="3">
        <f t="shared" si="607"/>
        <v>368.99999999999977</v>
      </c>
      <c r="CP147" s="3">
        <f t="shared" si="542"/>
        <v>-123.00000000000023</v>
      </c>
      <c r="CQ147" s="3">
        <f t="shared" si="552"/>
        <v>0</v>
      </c>
      <c r="CR147" s="3"/>
      <c r="CS147" s="3">
        <f t="shared" si="553"/>
        <v>752</v>
      </c>
      <c r="CT147" s="3"/>
      <c r="CU147" s="3">
        <f t="shared" si="554"/>
        <v>2</v>
      </c>
      <c r="CV147" s="3"/>
      <c r="CW147" s="3" t="e">
        <f t="shared" ca="1" si="555"/>
        <v>#NUM!</v>
      </c>
      <c r="CY147" s="3" t="e">
        <f t="shared" ca="1" si="556"/>
        <v>#NUM!</v>
      </c>
      <c r="CZ147" s="70" t="e">
        <f t="shared" ca="1" si="589"/>
        <v>#NUM!</v>
      </c>
      <c r="DA147" s="3">
        <f>IF(RTD("tos.rtd",,DA$43,"."&amp;$B$134&amp;$AS$82&amp;"C"&amp;$A147)="N/A",0,RTD("tos.rtd",,DA$43,"."&amp;$B$134&amp;$AS$82&amp;"C"&amp;$A147))</f>
        <v>0.1</v>
      </c>
      <c r="DB147" s="3">
        <f>IF(RTD("tos.rtd",,DB$43,"."&amp;$B$134&amp;$AS$82&amp;"P"&amp;$A147)="N/A",0,RTD("tos.rtd",,DB$43,"."&amp;$B$134&amp;$AS$82&amp;"P"&amp;$A147))</f>
        <v>140</v>
      </c>
      <c r="DC147" s="3">
        <f>IF(RTD("tos.rtd",,DC$43,"."&amp;$B$134&amp;$AS$82&amp;"C"&amp;$A147)="N/A",0,RTD("tos.rtd",,DC$43,"."&amp;$B$134&amp;$AS$82&amp;"C"&amp;$A147))</f>
        <v>9.8000000000000007</v>
      </c>
      <c r="DD147" s="3">
        <f>IF(RTD("tos.rtd",,DD$43,"."&amp;$B$134&amp;$AS$82&amp;"P"&amp;$A147)="N/A",0,RTD("tos.rtd",,DD$43,"."&amp;$B$134&amp;$AS$82&amp;"P"&amp;$A147))</f>
        <v>255.3</v>
      </c>
      <c r="DE147" s="3">
        <f>IF(RTD("tos.rtd",,DE$43,"."&amp;$B$134&amp;$AS$82&amp;"C"&amp;$A147)="N/A",0,RTD("tos.rtd",,DE$43,"."&amp;$B$134&amp;$AS$82&amp;"C"&amp;$A147))</f>
        <v>0</v>
      </c>
      <c r="DF147" s="3">
        <f>IF(RTD("tos.rtd",,DF$43,"."&amp;$B$134&amp;$AS$82&amp;"P"&amp;$A147)="N/A",0,RTD("tos.rtd",,DF$43,"."&amp;$B$134&amp;$AS$82&amp;"P"&amp;$A147))</f>
        <v>208</v>
      </c>
      <c r="DG147" s="86">
        <f t="shared" si="590"/>
        <v>238.55099999999948</v>
      </c>
      <c r="DH147" s="3">
        <f t="shared" si="557"/>
        <v>-10.908163265306122</v>
      </c>
      <c r="DI147" s="3">
        <f t="shared" si="558"/>
        <v>-63.255813953488357</v>
      </c>
      <c r="DJ147" s="3">
        <f t="shared" si="559"/>
        <v>1069</v>
      </c>
      <c r="DK147" s="3">
        <f t="shared" si="560"/>
        <v>-44</v>
      </c>
      <c r="DL147" s="3">
        <f t="shared" si="561"/>
        <v>-74.163977218794486</v>
      </c>
      <c r="DM147" s="3">
        <f t="shared" si="562"/>
        <v>1025</v>
      </c>
      <c r="DN147" s="64" t="str">
        <f t="shared" si="563"/>
        <v>UNKNOWN</v>
      </c>
      <c r="DO147" s="64" t="str">
        <f t="shared" si="564"/>
        <v>UNKNOWN</v>
      </c>
      <c r="DP147" s="3">
        <f t="shared" si="565"/>
        <v>-8856.9047698149006</v>
      </c>
      <c r="DQ147" s="3">
        <f t="shared" si="566"/>
        <v>-6053.1</v>
      </c>
      <c r="DR147" s="3" t="e">
        <f t="shared" ca="1" si="567"/>
        <v>#NUM!</v>
      </c>
      <c r="DS147" s="3">
        <f t="shared" si="568"/>
        <v>30.830000000000013</v>
      </c>
      <c r="DT147" s="3">
        <f t="shared" si="591"/>
        <v>-1069</v>
      </c>
      <c r="DU147" s="3">
        <f t="shared" si="592"/>
        <v>44</v>
      </c>
      <c r="DV147" s="3">
        <f t="shared" si="569"/>
        <v>-170</v>
      </c>
      <c r="DW147" s="3">
        <f t="shared" si="570"/>
        <v>-5</v>
      </c>
      <c r="DX147" s="3" t="e">
        <f t="shared" ca="1" si="571"/>
        <v>#NUM!</v>
      </c>
      <c r="DY147" s="3" t="e">
        <f t="shared" ca="1" si="572"/>
        <v>#NUM!</v>
      </c>
      <c r="DZ147" s="3" t="e">
        <f t="shared" ca="1" si="573"/>
        <v>#NUM!</v>
      </c>
      <c r="EA147" s="3" t="e">
        <f t="shared" ca="1" si="574"/>
        <v>#NUM!</v>
      </c>
      <c r="EB147" s="3" t="e">
        <f t="shared" ca="1" si="575"/>
        <v>#NUM!</v>
      </c>
      <c r="EC147" s="3" t="e">
        <f t="shared" ca="1" si="576"/>
        <v>#NUM!</v>
      </c>
      <c r="ED147" s="63">
        <f t="shared" si="593"/>
        <v>-175</v>
      </c>
      <c r="EE147" s="59">
        <f t="shared" si="577"/>
        <v>1.0551999999999999</v>
      </c>
      <c r="EF147" s="59">
        <f t="shared" si="578"/>
        <v>0.25</v>
      </c>
      <c r="EG147" s="59">
        <f t="shared" si="579"/>
        <v>0.5131</v>
      </c>
      <c r="EH147" s="59">
        <f t="shared" si="580"/>
        <v>0.8901</v>
      </c>
      <c r="EI147" s="59">
        <f t="shared" si="581"/>
        <v>0.26690000000000003</v>
      </c>
      <c r="EJ147" s="59">
        <f t="shared" si="582"/>
        <v>0.2848</v>
      </c>
      <c r="EK147" s="63" t="e">
        <f t="shared" ca="1" si="594"/>
        <v>#NUM!</v>
      </c>
      <c r="EL147" s="3" t="str">
        <f>RTD("tos.rtd",,EL$43,"."&amp;$B$134&amp;$AS$82&amp;"C"&amp;$A147)</f>
        <v>105.52%</v>
      </c>
      <c r="EM147" s="3" t="str">
        <f>RTD("tos.rtd",,EM$43,"."&amp;$B$134&amp;$AS$82&amp;"P"&amp;$A147)</f>
        <v>--</v>
      </c>
      <c r="EN147" s="3" t="str">
        <f>RTD("tos.rtd",,EN$2,"."&amp;$C$134&amp;$AU$82&amp;"C"&amp;$A147)</f>
        <v>51.31%</v>
      </c>
      <c r="EO147" s="3" t="str">
        <f>RTD("tos.rtd",,EO$2,"."&amp;$C$134&amp;$AU$82&amp;"P"&amp;$A147)</f>
        <v>89.01%</v>
      </c>
      <c r="EP147" s="3" t="str">
        <f>RTD("tos.rtd",,EP$2,"."&amp;$D$134&amp;$AW$82&amp;"C"&amp;$A147)</f>
        <v>26.69%</v>
      </c>
      <c r="EQ147" s="3" t="str">
        <f>RTD("tos.rtd",,EQ$2,"."&amp;$D$134&amp;$AW$82&amp;"P"&amp;$A147)</f>
        <v>28.48%</v>
      </c>
      <c r="ES147" s="63" t="str">
        <f t="shared" si="583"/>
        <v>20300,-175.00</v>
      </c>
      <c r="ET147" s="63" t="str">
        <f t="shared" ca="1" si="584"/>
        <v>20300,00.00</v>
      </c>
      <c r="EU147" s="68">
        <v>564.20000000000005</v>
      </c>
      <c r="EV147" s="68" t="s">
        <v>1195</v>
      </c>
      <c r="EW147" s="68">
        <v>486.79</v>
      </c>
      <c r="EX147" s="68" t="s">
        <v>1196</v>
      </c>
      <c r="EY147" s="68">
        <v>5631.28</v>
      </c>
      <c r="EZ147" s="68" t="s">
        <v>1197</v>
      </c>
      <c r="FA147" s="68">
        <v>19867.973000000002</v>
      </c>
      <c r="FB147" s="68" t="s">
        <v>1198</v>
      </c>
      <c r="FC147" s="68" t="s">
        <v>1199</v>
      </c>
      <c r="FD147" s="68" t="s">
        <v>1200</v>
      </c>
      <c r="FE147" s="68" t="s">
        <v>1201</v>
      </c>
      <c r="FF147" s="68" t="s">
        <v>1202</v>
      </c>
    </row>
    <row r="148" spans="1:162" ht="11.1" customHeight="1" thickBot="1" x14ac:dyDescent="0.25">
      <c r="A148" s="2">
        <f t="shared" si="595"/>
        <v>20275</v>
      </c>
      <c r="B148" s="3">
        <f t="shared" si="610"/>
        <v>8</v>
      </c>
      <c r="C148" s="3">
        <f t="shared" si="611"/>
        <v>29</v>
      </c>
      <c r="D148" s="3">
        <f t="shared" si="612"/>
        <v>26</v>
      </c>
      <c r="E148" s="3">
        <f t="shared" ref="E148:E166" si="613">SUM(B148:D148)</f>
        <v>63</v>
      </c>
      <c r="F148" s="4">
        <f t="shared" ref="F148:F153" si="614">+$F$136/$A$136*A148</f>
        <v>20672.992950309821</v>
      </c>
      <c r="G148" s="5">
        <f t="shared" ref="G148:G166" si="615">+$G$136/$A$136*A148</f>
        <v>501.05750088141684</v>
      </c>
      <c r="AM148" s="1">
        <v>50</v>
      </c>
      <c r="AN148" s="1">
        <v>-4</v>
      </c>
      <c r="AO148" s="1">
        <v>20275</v>
      </c>
      <c r="AP148" s="1">
        <v>317</v>
      </c>
      <c r="AQ148" s="1">
        <v>-7</v>
      </c>
      <c r="AS148" s="54">
        <f>IF(RTD("tos.rtd",,AS$83,"."&amp;$B$134&amp;$AS$82&amp;"C"&amp;$A148)="N/A",0,RTD("tos.rtd",,AS$83,"."&amp;$B$134&amp;$AS$82&amp;"C"&amp;$A148))</f>
        <v>8</v>
      </c>
      <c r="AT148" s="3">
        <f>-IF(RTD("tos.rtd",,AT$83,"."&amp;$B$134&amp;$AS$82&amp;"P"&amp;$A148)="N/A",0,RTD("tos.rtd",,AT$83,"."&amp;$B$134&amp;$AS$82&amp;"P"&amp;$A148))</f>
        <v>0</v>
      </c>
      <c r="AU148" s="54">
        <f>IF(RTD("tos.rtd",,AU$2,"."&amp;$C$134&amp;$AU$134&amp;"C"&amp;$A148)="N/A",0,RTD("tos.rtd",,AU$2,"."&amp;$C$134&amp;$AU$134&amp;"C"&amp;$A148))</f>
        <v>28</v>
      </c>
      <c r="AV148" s="3">
        <f>-IF(RTD("tos.rtd",,AV$2,"."&amp;$C$134&amp;$AU$134&amp;"P"&amp;$A148)="N/A",0,RTD("tos.rtd",,AV$2,"."&amp;$C$134&amp;$AU$134&amp;"P"&amp;$A148))</f>
        <v>-1</v>
      </c>
      <c r="AW148" s="54">
        <f>IF(RTD("tos.rtd",,AW$2,"."&amp;$D$134&amp;$AW$134&amp;"C"&amp;$A148)="N/A",0,RTD("tos.rtd",,AW$2,"."&amp;$D$134&amp;$AW$134&amp;"C"&amp;$A148))</f>
        <v>24</v>
      </c>
      <c r="AX148" s="3">
        <f>-IF(RTD("tos.rtd",,AX$2,"."&amp;$D$134&amp;$AW$134&amp;"P"&amp;$A148)="N/A",0,RTD("tos.rtd",,AX$2,"."&amp;$D$134&amp;$AW$134&amp;"P"&amp;$A148))</f>
        <v>-2</v>
      </c>
      <c r="AY148" s="76">
        <f t="shared" ref="AY148:AY153" si="616">SUM(AS148:AX148)</f>
        <v>57</v>
      </c>
      <c r="AZ148" s="8">
        <f t="shared" si="548"/>
        <v>20275</v>
      </c>
      <c r="BA148" s="54">
        <f>IF(RTD("tos.rtd",,BA$43,"."&amp;$B$134&amp;$AS$82&amp;"C"&amp;$A148)="N/A",0,RTD("tos.rtd",,BA$43,"."&amp;$B$134&amp;$AS$82&amp;"C"&amp;$A148))</f>
        <v>0</v>
      </c>
      <c r="BB148" s="3">
        <f>-IF(RTD("tos.rtd",,BB$43,"."&amp;$B$134&amp;$AS$82&amp;"P"&amp;$A148)="N/A",0,RTD("tos.rtd",,BB$43,"."&amp;$B$134&amp;$AS$82&amp;"P"&amp;$A148))</f>
        <v>0</v>
      </c>
      <c r="BC148" s="54">
        <f>IF(RTD("tos.rtd",,BC$2,"."&amp;$C$134&amp;$AU$82&amp;"C"&amp;$A148)="N/A",0,RTD("tos.rtd",,BC$2,"."&amp;$C$134&amp;$AU$82&amp;"C"&amp;$A148))</f>
        <v>110</v>
      </c>
      <c r="BD148" s="3">
        <f>-IF(RTD("tos.rtd",,BD$2,"."&amp;$C$134&amp;$AU$82&amp;"P"&amp;$A148)="N/A",0,RTD("tos.rtd",,BD$2,"."&amp;$C$134&amp;$AU$82&amp;"P"&amp;$A148))</f>
        <v>-1</v>
      </c>
      <c r="BE148" s="54">
        <f>IF(RTD("tos.rtd",,BE$2,"."&amp;$D$134&amp;$AW$82&amp;"C"&amp;$A148)="N/A",0,RTD("tos.rtd",,BE$2,"."&amp;$D$134&amp;$AW$82&amp;"C"&amp;$A148))</f>
        <v>8</v>
      </c>
      <c r="BF148" s="3">
        <f>-IF(RTD("tos.rtd",,BF$2,"."&amp;$D$134&amp;$AW$82&amp;"P"&amp;$A148)="N/A",0,RTD("tos.rtd",,BF$2,"."&amp;$D$134&amp;$AW$82&amp;"P"&amp;$A148))</f>
        <v>-2</v>
      </c>
      <c r="BG148" s="3">
        <f ca="1">+Hoja2!Y149</f>
        <v>18</v>
      </c>
      <c r="BH148" s="7">
        <f t="shared" ca="1" si="549"/>
        <v>133</v>
      </c>
      <c r="BI148" s="32" t="str">
        <f t="shared" ca="1" si="609"/>
        <v/>
      </c>
      <c r="BJ148" s="3" t="e">
        <f ca="1">IF($BP$1=1,DX148,IF(RTD("tos.rtd",,BJ$43,"."&amp;$B$134&amp;$AS$82&amp;"C"&amp;$A148)="N/A",0,RTD("tos.rtd",,BJ$43,"."&amp;$B$134&amp;$AS$82&amp;"C"&amp;$A148)))</f>
        <v>#NUM!</v>
      </c>
      <c r="BK148" s="3" t="e">
        <f ca="1">IF($BP$1=1,DY148,-IF(RTD("tos.rtd",,BK$43,"."&amp;$B$134&amp;$AS$82&amp;"P"&amp;$A148)="N/A",0,RTD("tos.rtd",,BK$43,"."&amp;$B$134&amp;$AS$82&amp;"P"&amp;$A148)))</f>
        <v>#NUM!</v>
      </c>
      <c r="BL148" s="3" t="e">
        <f ca="1">IF($BP$1=1,DZ148,IF(RTD("tos.rtd",,BL$2,"."&amp;$C$134&amp;$AU$82&amp;"C"&amp;$A148)="N/A",0,RTD("tos.rtd",,BL$2,"."&amp;$C$134&amp;$AU$82&amp;"C"&amp;$A148)))</f>
        <v>#NUM!</v>
      </c>
      <c r="BM148" s="3" t="e">
        <f ca="1">IF($BP$1=1,EA148,-IF(RTD("tos.rtd",,BM$2,"."&amp;$C$134&amp;$AU$82&amp;"P"&amp;$A148)="N/A",0,RTD("tos.rtd",,BM$2,"."&amp;$C$134&amp;$AU$82&amp;"P"&amp;$A148)))</f>
        <v>#NUM!</v>
      </c>
      <c r="BN148" s="3" t="e">
        <f ca="1">IF($BP$1=1,EB148,IF(RTD("tos.rtd",,BN$2,"."&amp;$D$134&amp;$AW$82&amp;"C"&amp;$A148)="N/A",0,RTD("tos.rtd",,BN$2,"."&amp;$D$134&amp;$AW$82&amp;"C"&amp;$A148)))</f>
        <v>#NUM!</v>
      </c>
      <c r="BO148" s="3" t="e">
        <f ca="1">IF($BP$1=1,EC148,-IF(RTD("tos.rtd",,BO$2,"."&amp;$D$134&amp;$AW$82&amp;"P"&amp;$A148)="N/A",0,RTD("tos.rtd",,BO$2,"."&amp;$D$134&amp;$AW$82&amp;"P"&amp;$A148)))</f>
        <v>#NUM!</v>
      </c>
      <c r="BQ148" s="3" t="e">
        <f t="shared" ref="BQ148:BQ153" ca="1" si="617">+$A$84*$A$84*AS148*BJ148-$A$84*$A$84*AT148*BK148</f>
        <v>#NUM!</v>
      </c>
      <c r="BR148" s="3" t="e">
        <f t="shared" ca="1" si="550"/>
        <v>#NUM!</v>
      </c>
      <c r="BS148" s="3" t="e">
        <f t="shared" ref="BS148:BS153" ca="1" si="618">+$A$84*$A$84*AU148*BL148-$A$84*$A$84*AV148*BM148</f>
        <v>#NUM!</v>
      </c>
      <c r="BT148" s="3" t="e">
        <f t="shared" ca="1" si="551"/>
        <v>#NUM!</v>
      </c>
      <c r="BU148" s="3" t="e">
        <f t="shared" ref="BU148:BU153" ca="1" si="619">+$A$84*$A$84*AW148*BN148-$A$84*$A$84*AX148*BO148</f>
        <v>#NUM!</v>
      </c>
      <c r="BV148" s="3" t="e">
        <f t="shared" ca="1" si="551"/>
        <v>#NUM!</v>
      </c>
      <c r="BX148" s="3" t="e">
        <f t="shared" ca="1" si="585"/>
        <v>#NUM!</v>
      </c>
      <c r="BY148" s="3" t="e">
        <f t="shared" ca="1" si="586"/>
        <v>#NUM!</v>
      </c>
      <c r="BZ148" s="3" t="e">
        <f t="shared" ca="1" si="587"/>
        <v>#NUM!</v>
      </c>
      <c r="CA148" s="3" t="e">
        <f t="shared" ca="1" si="586"/>
        <v>#NUM!</v>
      </c>
      <c r="CB148" s="3" t="e">
        <f t="shared" ca="1" si="588"/>
        <v>#NUM!</v>
      </c>
      <c r="CC148" s="3" t="e">
        <f t="shared" ca="1" si="586"/>
        <v>#NUM!</v>
      </c>
      <c r="CD148" s="3">
        <f>IF(RTD("tos.rtd",,CD$43,"."&amp;$B$134&amp;$AS$82&amp;"C"&amp;$A148)="N/A",0,RTD("tos.rtd",,CD$43,"."&amp;$B$134&amp;$AS$82&amp;"C"&amp;$A148))</f>
        <v>0.04</v>
      </c>
      <c r="CE148" s="3">
        <f>-IF(RTD("tos.rtd",,CE$43,"."&amp;$B$134&amp;$AS$82&amp;"P"&amp;$A148)="N/A",0,RTD("tos.rtd",,CE$43,"."&amp;$B$134&amp;$AS$82&amp;"P"&amp;$A148))</f>
        <v>1</v>
      </c>
      <c r="CF148" s="3">
        <f>IF(RTD("tos.rtd",,CF$2,"."&amp;$C$134&amp;$AU$82&amp;"C"&amp;$A148)="N/A",0,RTD("tos.rtd",,CF$2,"."&amp;$C$134&amp;$AU$82&amp;"C"&amp;$A148))</f>
        <v>0.01</v>
      </c>
      <c r="CG148" s="3">
        <f>-IF(RTD("tos.rtd",,CG$2,"."&amp;$C$134&amp;$AU$82&amp;"P"&amp;$A148)="N/A",0,RTD("tos.rtd",,CG$2,"."&amp;$C$134&amp;$AU$82&amp;"P"&amp;$A148))</f>
        <v>0.93</v>
      </c>
      <c r="CH148" s="3">
        <f>IF(RTD("tos.rtd",,CH$2,"."&amp;$D$134&amp;$AW$82&amp;"C"&amp;$A148)="N/A",0,RTD("tos.rtd",,CH$2,"."&amp;$D$134&amp;$AW$82&amp;"C"&amp;$A148))</f>
        <v>0.37</v>
      </c>
      <c r="CI148" s="3">
        <f>-IF(RTD("tos.rtd",,CI$2,"."&amp;$D$134&amp;$AW$82&amp;"P"&amp;$A148)="N/A",0,RTD("tos.rtd",,CI$2,"."&amp;$D$134&amp;$AW$82&amp;"P"&amp;$A148))</f>
        <v>0.62</v>
      </c>
      <c r="CK148" s="3">
        <f t="shared" ref="CK148:CK167" si="620">+AS148*CD148*100+AT148*CE148*100</f>
        <v>32</v>
      </c>
      <c r="CL148" s="3"/>
      <c r="CM148" s="3">
        <f t="shared" ref="CM148:CM167" si="621">+AU148*CF148*100+AV148*CG148*100</f>
        <v>-65</v>
      </c>
      <c r="CN148" s="3"/>
      <c r="CO148" s="3">
        <f t="shared" ref="CO148:CO167" si="622">+AW148*CH148*100+AX148*CI148*100</f>
        <v>763.99999999999989</v>
      </c>
      <c r="CP148" s="3">
        <f t="shared" si="542"/>
        <v>730.99999999999989</v>
      </c>
      <c r="CQ148" s="3">
        <f t="shared" si="552"/>
        <v>0</v>
      </c>
      <c r="CR148" s="3"/>
      <c r="CS148" s="3">
        <f t="shared" si="553"/>
        <v>109</v>
      </c>
      <c r="CT148" s="3"/>
      <c r="CU148" s="3">
        <f t="shared" si="554"/>
        <v>6</v>
      </c>
      <c r="CV148" s="3"/>
      <c r="CW148" s="3" t="e">
        <f t="shared" ca="1" si="555"/>
        <v>#NUM!</v>
      </c>
      <c r="CY148" s="3" t="e">
        <f t="shared" ca="1" si="556"/>
        <v>#NUM!</v>
      </c>
      <c r="CZ148" s="70" t="e">
        <f t="shared" ca="1" si="589"/>
        <v>#NUM!</v>
      </c>
      <c r="DA148" s="3">
        <f>IF(RTD("tos.rtd",,DA$43,"."&amp;$B$134&amp;$AS$82&amp;"C"&amp;$A148)="N/A",0,RTD("tos.rtd",,DA$43,"."&amp;$B$134&amp;$AS$82&amp;"C"&amp;$A148))</f>
        <v>0.21</v>
      </c>
      <c r="DB148" s="3">
        <f>IF(RTD("tos.rtd",,DB$43,"."&amp;$B$134&amp;$AS$82&amp;"P"&amp;$A148)="N/A",0,RTD("tos.rtd",,DB$43,"."&amp;$B$134&amp;$AS$82&amp;"P"&amp;$A148))</f>
        <v>55.08</v>
      </c>
      <c r="DC148" s="3">
        <f>IF(RTD("tos.rtd",,DC$43,"."&amp;$B$134&amp;$AS$82&amp;"C"&amp;$A148)="N/A",0,RTD("tos.rtd",,DC$43,"."&amp;$B$134&amp;$AS$82&amp;"C"&amp;$A148))</f>
        <v>4.3</v>
      </c>
      <c r="DD148" s="3">
        <f>IF(RTD("tos.rtd",,DD$43,"."&amp;$B$134&amp;$AS$82&amp;"P"&amp;$A148)="N/A",0,RTD("tos.rtd",,DD$43,"."&amp;$B$134&amp;$AS$82&amp;"P"&amp;$A148))</f>
        <v>214.7</v>
      </c>
      <c r="DE148" s="3">
        <f>IF(RTD("tos.rtd",,DE$43,"."&amp;$B$134&amp;$AS$82&amp;"C"&amp;$A148)="N/A",0,RTD("tos.rtd",,DE$43,"."&amp;$B$134&amp;$AS$82&amp;"C"&amp;$A148))</f>
        <v>0</v>
      </c>
      <c r="DF148" s="3">
        <f>IF(RTD("tos.rtd",,DF$43,"."&amp;$B$134&amp;$AS$82&amp;"P"&amp;$A148)="N/A",0,RTD("tos.rtd",,DF$43,"."&amp;$B$134&amp;$AS$82&amp;"P"&amp;$A148))</f>
        <v>198</v>
      </c>
      <c r="DG148" s="86">
        <f t="shared" si="590"/>
        <v>213.55099999999948</v>
      </c>
      <c r="DH148" s="3">
        <f t="shared" si="557"/>
        <v>-15.481395348837209</v>
      </c>
      <c r="DI148" s="3">
        <f t="shared" si="558"/>
        <v>-59.906586826347358</v>
      </c>
      <c r="DJ148" s="3">
        <f t="shared" si="559"/>
        <v>317</v>
      </c>
      <c r="DK148" s="3">
        <f t="shared" si="560"/>
        <v>-7</v>
      </c>
      <c r="DL148" s="3">
        <f t="shared" si="561"/>
        <v>-75.387982175184561</v>
      </c>
      <c r="DM148" s="3">
        <f t="shared" si="562"/>
        <v>310</v>
      </c>
      <c r="DN148" s="64" t="str">
        <f t="shared" si="563"/>
        <v>UNKNOWN</v>
      </c>
      <c r="DO148" s="64" t="str">
        <f t="shared" si="564"/>
        <v>UNKNOWN</v>
      </c>
      <c r="DP148" s="3">
        <f t="shared" si="565"/>
        <v>-3302.9058954184679</v>
      </c>
      <c r="DQ148" s="3">
        <f t="shared" si="566"/>
        <v>-318.99</v>
      </c>
      <c r="DR148" s="3" t="e">
        <f t="shared" ca="1" si="567"/>
        <v>#NUM!</v>
      </c>
      <c r="DS148" s="3">
        <f t="shared" si="568"/>
        <v>5.68</v>
      </c>
      <c r="DT148" s="3">
        <f t="shared" si="591"/>
        <v>-317</v>
      </c>
      <c r="DU148" s="3">
        <f t="shared" si="592"/>
        <v>7</v>
      </c>
      <c r="DV148" s="3">
        <f t="shared" si="569"/>
        <v>50</v>
      </c>
      <c r="DW148" s="3">
        <f t="shared" si="570"/>
        <v>-4</v>
      </c>
      <c r="DX148" s="3" t="e">
        <f t="shared" ca="1" si="571"/>
        <v>#NUM!</v>
      </c>
      <c r="DY148" s="3" t="e">
        <f t="shared" ca="1" si="572"/>
        <v>#NUM!</v>
      </c>
      <c r="DZ148" s="3" t="e">
        <f t="shared" ca="1" si="573"/>
        <v>#NUM!</v>
      </c>
      <c r="EA148" s="3" t="e">
        <f t="shared" ca="1" si="574"/>
        <v>#NUM!</v>
      </c>
      <c r="EB148" s="3" t="e">
        <f t="shared" ca="1" si="575"/>
        <v>#NUM!</v>
      </c>
      <c r="EC148" s="3" t="e">
        <f t="shared" ca="1" si="576"/>
        <v>#NUM!</v>
      </c>
      <c r="ED148" s="63">
        <f t="shared" si="593"/>
        <v>46</v>
      </c>
      <c r="EE148" s="59">
        <f t="shared" si="577"/>
        <v>0.81410000000000005</v>
      </c>
      <c r="EF148" s="59">
        <f t="shared" si="578"/>
        <v>0.25</v>
      </c>
      <c r="EG148" s="59">
        <f t="shared" si="579"/>
        <v>0.58630000000000004</v>
      </c>
      <c r="EH148" s="59">
        <f t="shared" si="580"/>
        <v>0.96289999999999998</v>
      </c>
      <c r="EI148" s="59">
        <f t="shared" si="581"/>
        <v>0.26769999999999999</v>
      </c>
      <c r="EJ148" s="59">
        <f t="shared" si="582"/>
        <v>0.28639999999999999</v>
      </c>
      <c r="EK148" s="63" t="e">
        <f t="shared" ca="1" si="594"/>
        <v>#NUM!</v>
      </c>
      <c r="EL148" s="3" t="str">
        <f>RTD("tos.rtd",,EL$43,"."&amp;$B$134&amp;$AS$82&amp;"C"&amp;$A148)</f>
        <v>81.41%</v>
      </c>
      <c r="EM148" s="3" t="str">
        <f>RTD("tos.rtd",,EM$43,"."&amp;$B$134&amp;$AS$82&amp;"P"&amp;$A148)</f>
        <v>--</v>
      </c>
      <c r="EN148" s="3" t="str">
        <f>RTD("tos.rtd",,EN$2,"."&amp;$C$134&amp;$AU$82&amp;"C"&amp;$A148)</f>
        <v>58.63%</v>
      </c>
      <c r="EO148" s="3" t="str">
        <f>RTD("tos.rtd",,EO$2,"."&amp;$C$134&amp;$AU$82&amp;"P"&amp;$A148)</f>
        <v>96.29%</v>
      </c>
      <c r="EP148" s="3" t="str">
        <f>RTD("tos.rtd",,EP$2,"."&amp;$D$134&amp;$AW$82&amp;"C"&amp;$A148)</f>
        <v>26.77%</v>
      </c>
      <c r="EQ148" s="3" t="str">
        <f>RTD("tos.rtd",,EQ$2,"."&amp;$D$134&amp;$AW$82&amp;"P"&amp;$A148)</f>
        <v>28.64%</v>
      </c>
      <c r="ES148" s="63" t="str">
        <f t="shared" si="583"/>
        <v>20275,46.00</v>
      </c>
      <c r="ET148" s="63" t="str">
        <f t="shared" ca="1" si="584"/>
        <v>20275,00.00</v>
      </c>
      <c r="EU148" s="68">
        <v>564.4</v>
      </c>
      <c r="EV148" s="68" t="s">
        <v>1203</v>
      </c>
      <c r="EW148" s="68">
        <v>487.09</v>
      </c>
      <c r="EX148" s="68" t="s">
        <v>1204</v>
      </c>
      <c r="EY148" s="68">
        <v>5631.28</v>
      </c>
      <c r="EZ148" s="68" t="s">
        <v>1205</v>
      </c>
      <c r="FA148" s="68">
        <v>19867.973000000002</v>
      </c>
      <c r="FB148" s="68" t="s">
        <v>1206</v>
      </c>
      <c r="FC148" s="68" t="s">
        <v>1207</v>
      </c>
      <c r="FD148" s="68" t="s">
        <v>1208</v>
      </c>
      <c r="FE148" s="68" t="s">
        <v>1209</v>
      </c>
      <c r="FF148" s="68" t="s">
        <v>1210</v>
      </c>
    </row>
    <row r="149" spans="1:162" ht="11.1" customHeight="1" thickBot="1" x14ac:dyDescent="0.25">
      <c r="A149" s="2">
        <f t="shared" si="595"/>
        <v>20250</v>
      </c>
      <c r="B149" s="3">
        <f t="shared" si="610"/>
        <v>12</v>
      </c>
      <c r="C149" s="3">
        <f t="shared" si="611"/>
        <v>80</v>
      </c>
      <c r="D149" s="3">
        <f t="shared" si="612"/>
        <v>63</v>
      </c>
      <c r="E149" s="3">
        <f t="shared" si="613"/>
        <v>155</v>
      </c>
      <c r="F149" s="4">
        <f t="shared" si="614"/>
        <v>20647.50220684458</v>
      </c>
      <c r="G149" s="5">
        <f t="shared" si="615"/>
        <v>500.43967412324002</v>
      </c>
      <c r="AM149" s="1">
        <v>-27</v>
      </c>
      <c r="AN149" s="1">
        <v>15</v>
      </c>
      <c r="AO149" s="1">
        <v>20250</v>
      </c>
      <c r="AP149" s="1">
        <v>1056</v>
      </c>
      <c r="AQ149" s="1">
        <v>-57</v>
      </c>
      <c r="AS149" s="54">
        <f>IF(RTD("tos.rtd",,AS$83,"."&amp;$B$134&amp;$AS$82&amp;"C"&amp;$A149)="N/A",0,RTD("tos.rtd",,AS$83,"."&amp;$B$134&amp;$AS$82&amp;"C"&amp;$A149))</f>
        <v>12</v>
      </c>
      <c r="AT149" s="3">
        <f>-IF(RTD("tos.rtd",,AT$83,"."&amp;$B$134&amp;$AS$82&amp;"P"&amp;$A149)="N/A",0,RTD("tos.rtd",,AT$83,"."&amp;$B$134&amp;$AS$82&amp;"P"&amp;$A149))</f>
        <v>0</v>
      </c>
      <c r="AU149" s="54">
        <f>IF(RTD("tos.rtd",,AU$2,"."&amp;$C$134&amp;$AU$134&amp;"C"&amp;$A149)="N/A",0,RTD("tos.rtd",,AU$2,"."&amp;$C$134&amp;$AU$134&amp;"C"&amp;$A149))</f>
        <v>72</v>
      </c>
      <c r="AV149" s="3">
        <f>-IF(RTD("tos.rtd",,AV$2,"."&amp;$C$134&amp;$AU$134&amp;"P"&amp;$A149)="N/A",0,RTD("tos.rtd",,AV$2,"."&amp;$C$134&amp;$AU$134&amp;"P"&amp;$A149))</f>
        <v>-8</v>
      </c>
      <c r="AW149" s="54">
        <f>IF(RTD("tos.rtd",,AW$2,"."&amp;$D$134&amp;$AW$134&amp;"C"&amp;$A149)="N/A",0,RTD("tos.rtd",,AW$2,"."&amp;$D$134&amp;$AW$134&amp;"C"&amp;$A149))</f>
        <v>58</v>
      </c>
      <c r="AX149" s="3">
        <f>-IF(RTD("tos.rtd",,AX$2,"."&amp;$D$134&amp;$AW$134&amp;"P"&amp;$A149)="N/A",0,RTD("tos.rtd",,AX$2,"."&amp;$D$134&amp;$AW$134&amp;"P"&amp;$A149))</f>
        <v>-5</v>
      </c>
      <c r="AY149" s="76">
        <f t="shared" si="616"/>
        <v>129</v>
      </c>
      <c r="AZ149" s="8">
        <f t="shared" si="548"/>
        <v>20250</v>
      </c>
      <c r="BA149" s="54">
        <f>IF(RTD("tos.rtd",,BA$43,"."&amp;$B$134&amp;$AS$82&amp;"C"&amp;$A149)="N/A",0,RTD("tos.rtd",,BA$43,"."&amp;$B$134&amp;$AS$82&amp;"C"&amp;$A149))</f>
        <v>0</v>
      </c>
      <c r="BB149" s="3">
        <f>-IF(RTD("tos.rtd",,BB$43,"."&amp;$B$134&amp;$AS$82&amp;"P"&amp;$A149)="N/A",0,RTD("tos.rtd",,BB$43,"."&amp;$B$134&amp;$AS$82&amp;"P"&amp;$A149))</f>
        <v>0</v>
      </c>
      <c r="BC149" s="54">
        <f>IF(RTD("tos.rtd",,BC$2,"."&amp;$C$134&amp;$AU$82&amp;"C"&amp;$A149)="N/A",0,RTD("tos.rtd",,BC$2,"."&amp;$C$134&amp;$AU$82&amp;"C"&amp;$A149))</f>
        <v>400</v>
      </c>
      <c r="BD149" s="3">
        <f>-IF(RTD("tos.rtd",,BD$2,"."&amp;$C$134&amp;$AU$82&amp;"P"&amp;$A149)="N/A",0,RTD("tos.rtd",,BD$2,"."&amp;$C$134&amp;$AU$82&amp;"P"&amp;$A149))</f>
        <v>-27</v>
      </c>
      <c r="BE149" s="54">
        <f>IF(RTD("tos.rtd",,BE$2,"."&amp;$D$134&amp;$AW$82&amp;"C"&amp;$A149)="N/A",0,RTD("tos.rtd",,BE$2,"."&amp;$D$134&amp;$AW$82&amp;"C"&amp;$A149))</f>
        <v>8</v>
      </c>
      <c r="BF149" s="3">
        <f>-IF(RTD("tos.rtd",,BF$2,"."&amp;$D$134&amp;$AW$82&amp;"P"&amp;$A149)="N/A",0,RTD("tos.rtd",,BF$2,"."&amp;$D$134&amp;$AW$82&amp;"P"&amp;$A149))</f>
        <v>-2</v>
      </c>
      <c r="BG149" s="3">
        <f ca="1">+Hoja2!Y150</f>
        <v>-24</v>
      </c>
      <c r="BH149" s="7">
        <f t="shared" ca="1" si="549"/>
        <v>355</v>
      </c>
      <c r="BI149" s="32" t="str">
        <f t="shared" ca="1" si="609"/>
        <v/>
      </c>
      <c r="BJ149" s="3" t="e">
        <f ca="1">IF($BP$1=1,DX149,IF(RTD("tos.rtd",,BJ$43,"."&amp;$B$134&amp;$AS$82&amp;"C"&amp;$A149)="N/A",0,RTD("tos.rtd",,BJ$43,"."&amp;$B$134&amp;$AS$82&amp;"C"&amp;$A149)))</f>
        <v>#NUM!</v>
      </c>
      <c r="BK149" s="3" t="e">
        <f ca="1">IF($BP$1=1,DY149,-IF(RTD("tos.rtd",,BK$43,"."&amp;$B$134&amp;$AS$82&amp;"P"&amp;$A149)="N/A",0,RTD("tos.rtd",,BK$43,"."&amp;$B$134&amp;$AS$82&amp;"P"&amp;$A149)))</f>
        <v>#NUM!</v>
      </c>
      <c r="BL149" s="3" t="e">
        <f ca="1">IF($BP$1=1,DZ149,IF(RTD("tos.rtd",,BL$2,"."&amp;$C$134&amp;$AU$82&amp;"C"&amp;$A149)="N/A",0,RTD("tos.rtd",,BL$2,"."&amp;$C$134&amp;$AU$82&amp;"C"&amp;$A149)))</f>
        <v>#NUM!</v>
      </c>
      <c r="BM149" s="3" t="e">
        <f ca="1">IF($BP$1=1,EA149,-IF(RTD("tos.rtd",,BM$2,"."&amp;$C$134&amp;$AU$82&amp;"P"&amp;$A149)="N/A",0,RTD("tos.rtd",,BM$2,"."&amp;$C$134&amp;$AU$82&amp;"P"&amp;$A149)))</f>
        <v>#NUM!</v>
      </c>
      <c r="BN149" s="3" t="e">
        <f ca="1">IF($BP$1=1,EB149,IF(RTD("tos.rtd",,BN$2,"."&amp;$D$134&amp;$AW$82&amp;"C"&amp;$A149)="N/A",0,RTD("tos.rtd",,BN$2,"."&amp;$D$134&amp;$AW$82&amp;"C"&amp;$A149)))</f>
        <v>#NUM!</v>
      </c>
      <c r="BO149" s="3" t="e">
        <f ca="1">IF($BP$1=1,EC149,-IF(RTD("tos.rtd",,BO$2,"."&amp;$D$134&amp;$AW$82&amp;"P"&amp;$A149)="N/A",0,RTD("tos.rtd",,BO$2,"."&amp;$D$134&amp;$AW$82&amp;"P"&amp;$A149)))</f>
        <v>#NUM!</v>
      </c>
      <c r="BQ149" s="3" t="e">
        <f t="shared" ca="1" si="617"/>
        <v>#NUM!</v>
      </c>
      <c r="BR149" s="3" t="e">
        <f t="shared" ca="1" si="550"/>
        <v>#NUM!</v>
      </c>
      <c r="BS149" s="3" t="e">
        <f t="shared" ca="1" si="618"/>
        <v>#NUM!</v>
      </c>
      <c r="BT149" s="3" t="e">
        <f t="shared" ca="1" si="551"/>
        <v>#NUM!</v>
      </c>
      <c r="BU149" s="3" t="e">
        <f t="shared" ca="1" si="619"/>
        <v>#NUM!</v>
      </c>
      <c r="BV149" s="3" t="e">
        <f t="shared" ca="1" si="551"/>
        <v>#NUM!</v>
      </c>
      <c r="BX149" s="3" t="e">
        <f t="shared" ca="1" si="585"/>
        <v>#NUM!</v>
      </c>
      <c r="BY149" s="3" t="e">
        <f t="shared" ca="1" si="586"/>
        <v>#NUM!</v>
      </c>
      <c r="BZ149" s="3" t="e">
        <f t="shared" ca="1" si="587"/>
        <v>#NUM!</v>
      </c>
      <c r="CA149" s="3" t="e">
        <f t="shared" ca="1" si="586"/>
        <v>#NUM!</v>
      </c>
      <c r="CB149" s="3" t="e">
        <f t="shared" ca="1" si="588"/>
        <v>#NUM!</v>
      </c>
      <c r="CC149" s="3" t="e">
        <f t="shared" ca="1" si="586"/>
        <v>#NUM!</v>
      </c>
      <c r="CD149" s="3">
        <f>IF(RTD("tos.rtd",,CD$43,"."&amp;$B$134&amp;$AS$82&amp;"C"&amp;$A149)="N/A",0,RTD("tos.rtd",,CD$43,"."&amp;$B$134&amp;$AS$82&amp;"C"&amp;$A149))</f>
        <v>0.01</v>
      </c>
      <c r="CE149" s="3">
        <f>-IF(RTD("tos.rtd",,CE$43,"."&amp;$B$134&amp;$AS$82&amp;"P"&amp;$A149)="N/A",0,RTD("tos.rtd",,CE$43,"."&amp;$B$134&amp;$AS$82&amp;"P"&amp;$A149))</f>
        <v>1</v>
      </c>
      <c r="CF149" s="3">
        <f>IF(RTD("tos.rtd",,CF$2,"."&amp;$C$134&amp;$AU$82&amp;"C"&amp;$A149)="N/A",0,RTD("tos.rtd",,CF$2,"."&amp;$C$134&amp;$AU$82&amp;"C"&amp;$A149))</f>
        <v>0.01</v>
      </c>
      <c r="CG149" s="3">
        <f>-IF(RTD("tos.rtd",,CG$2,"."&amp;$C$134&amp;$AU$82&amp;"P"&amp;$A149)="N/A",0,RTD("tos.rtd",,CG$2,"."&amp;$C$134&amp;$AU$82&amp;"P"&amp;$A149))</f>
        <v>0.93</v>
      </c>
      <c r="CH149" s="3">
        <f>IF(RTD("tos.rtd",,CH$2,"."&amp;$D$134&amp;$AW$82&amp;"C"&amp;$A149)="N/A",0,RTD("tos.rtd",,CH$2,"."&amp;$D$134&amp;$AW$82&amp;"C"&amp;$A149))</f>
        <v>0.39</v>
      </c>
      <c r="CI149" s="3">
        <f>-IF(RTD("tos.rtd",,CI$2,"."&amp;$D$134&amp;$AW$82&amp;"P"&amp;$A149)="N/A",0,RTD("tos.rtd",,CI$2,"."&amp;$D$134&amp;$AW$82&amp;"P"&amp;$A149))</f>
        <v>0.6</v>
      </c>
      <c r="CK149" s="3">
        <f t="shared" si="620"/>
        <v>12</v>
      </c>
      <c r="CL149" s="3"/>
      <c r="CM149" s="3">
        <f t="shared" si="621"/>
        <v>-672</v>
      </c>
      <c r="CN149" s="3"/>
      <c r="CO149" s="3">
        <f t="shared" si="622"/>
        <v>1962</v>
      </c>
      <c r="CP149" s="3">
        <f t="shared" si="542"/>
        <v>1302</v>
      </c>
      <c r="CQ149" s="3">
        <f t="shared" si="552"/>
        <v>0</v>
      </c>
      <c r="CR149" s="3"/>
      <c r="CS149" s="3">
        <f t="shared" si="553"/>
        <v>373</v>
      </c>
      <c r="CT149" s="3"/>
      <c r="CU149" s="3">
        <f t="shared" si="554"/>
        <v>6</v>
      </c>
      <c r="CV149" s="3"/>
      <c r="CW149" s="3" t="e">
        <f t="shared" ca="1" si="555"/>
        <v>#NUM!</v>
      </c>
      <c r="CY149" s="3" t="e">
        <f t="shared" ca="1" si="556"/>
        <v>#NUM!</v>
      </c>
      <c r="CZ149" s="70" t="e">
        <f t="shared" ca="1" si="589"/>
        <v>#NUM!</v>
      </c>
      <c r="DA149" s="3">
        <f>IF(RTD("tos.rtd",,DA$43,"."&amp;$B$134&amp;$AS$82&amp;"C"&amp;$A149)="N/A",0,RTD("tos.rtd",,DA$43,"."&amp;$B$134&amp;$AS$82&amp;"C"&amp;$A149))</f>
        <v>0.1</v>
      </c>
      <c r="DB149" s="3">
        <f>IF(RTD("tos.rtd",,DB$43,"."&amp;$B$134&amp;$AS$82&amp;"P"&amp;$A149)="N/A",0,RTD("tos.rtd",,DB$43,"."&amp;$B$134&amp;$AS$82&amp;"P"&amp;$A149))</f>
        <v>158.1</v>
      </c>
      <c r="DC149" s="3">
        <f>IF(RTD("tos.rtd",,DC$43,"."&amp;$B$134&amp;$AS$82&amp;"C"&amp;$A149)="N/A",0,RTD("tos.rtd",,DC$43,"."&amp;$B$134&amp;$AS$82&amp;"C"&amp;$A149))</f>
        <v>0.25</v>
      </c>
      <c r="DD149" s="3">
        <f>IF(RTD("tos.rtd",,DD$43,"."&amp;$B$134&amp;$AS$82&amp;"P"&amp;$A149)="N/A",0,RTD("tos.rtd",,DD$43,"."&amp;$B$134&amp;$AS$82&amp;"P"&amp;$A149))</f>
        <v>189.8</v>
      </c>
      <c r="DE149" s="3">
        <f>IF(RTD("tos.rtd",,DE$43,"."&amp;$B$134&amp;$AS$82&amp;"C"&amp;$A149)="N/A",0,RTD("tos.rtd",,DE$43,"."&amp;$B$134&amp;$AS$82&amp;"C"&amp;$A149))</f>
        <v>0</v>
      </c>
      <c r="DF149" s="3">
        <f>IF(RTD("tos.rtd",,DF$43,"."&amp;$B$134&amp;$AS$82&amp;"P"&amp;$A149)="N/A",0,RTD("tos.rtd",,DF$43,"."&amp;$B$134&amp;$AS$82&amp;"P"&amp;$A149))</f>
        <v>172</v>
      </c>
      <c r="DG149" s="86">
        <f t="shared" si="590"/>
        <v>188.55099999999948</v>
      </c>
      <c r="DH149" s="3">
        <f t="shared" si="557"/>
        <v>-422.40000000000003</v>
      </c>
      <c r="DI149" s="3">
        <f t="shared" si="558"/>
        <v>-44.511235955056165</v>
      </c>
      <c r="DJ149" s="3">
        <f t="shared" si="559"/>
        <v>1056</v>
      </c>
      <c r="DK149" s="3">
        <f t="shared" si="560"/>
        <v>-57</v>
      </c>
      <c r="DL149" s="3">
        <f t="shared" si="561"/>
        <v>-466.91123595505621</v>
      </c>
      <c r="DM149" s="3">
        <f t="shared" si="562"/>
        <v>999</v>
      </c>
      <c r="DN149" s="64" t="str">
        <f t="shared" si="563"/>
        <v>UNKNOWN</v>
      </c>
      <c r="DO149" s="64" t="str">
        <f t="shared" si="564"/>
        <v>UNKNOWN</v>
      </c>
      <c r="DP149" s="3">
        <f t="shared" si="565"/>
        <v>-7079.4664044943793</v>
      </c>
      <c r="DQ149" s="3">
        <f t="shared" si="566"/>
        <v>-8906.0999999999985</v>
      </c>
      <c r="DR149" s="3" t="e">
        <f t="shared" ca="1" si="567"/>
        <v>#NUM!</v>
      </c>
      <c r="DS149" s="3">
        <f t="shared" si="568"/>
        <v>-46.44</v>
      </c>
      <c r="DT149" s="3">
        <f t="shared" si="591"/>
        <v>-1056</v>
      </c>
      <c r="DU149" s="3">
        <f t="shared" si="592"/>
        <v>57</v>
      </c>
      <c r="DV149" s="3">
        <f t="shared" si="569"/>
        <v>-27</v>
      </c>
      <c r="DW149" s="3">
        <f t="shared" si="570"/>
        <v>15</v>
      </c>
      <c r="DX149" s="3" t="e">
        <f t="shared" ca="1" si="571"/>
        <v>#NUM!</v>
      </c>
      <c r="DY149" s="3" t="e">
        <f t="shared" ca="1" si="572"/>
        <v>#NUM!</v>
      </c>
      <c r="DZ149" s="3" t="e">
        <f t="shared" ca="1" si="573"/>
        <v>#NUM!</v>
      </c>
      <c r="EA149" s="3" t="e">
        <f t="shared" ca="1" si="574"/>
        <v>#NUM!</v>
      </c>
      <c r="EB149" s="3" t="e">
        <f t="shared" ca="1" si="575"/>
        <v>#NUM!</v>
      </c>
      <c r="EC149" s="3" t="e">
        <f t="shared" ca="1" si="576"/>
        <v>#NUM!</v>
      </c>
      <c r="ED149" s="63">
        <f t="shared" si="593"/>
        <v>-12</v>
      </c>
      <c r="EE149" s="59">
        <f t="shared" si="577"/>
        <v>0.48480000000000001</v>
      </c>
      <c r="EF149" s="59">
        <f t="shared" si="578"/>
        <v>0.25</v>
      </c>
      <c r="EG149" s="59">
        <f t="shared" si="579"/>
        <v>0.53839999999999999</v>
      </c>
      <c r="EH149" s="59">
        <f t="shared" si="580"/>
        <v>0.85329999999999995</v>
      </c>
      <c r="EI149" s="59">
        <f t="shared" si="581"/>
        <v>0.26850000000000002</v>
      </c>
      <c r="EJ149" s="59">
        <f t="shared" si="582"/>
        <v>0.28589999999999999</v>
      </c>
      <c r="EK149" s="63" t="e">
        <f t="shared" ca="1" si="594"/>
        <v>#NUM!</v>
      </c>
      <c r="EL149" s="3" t="str">
        <f>RTD("tos.rtd",,EL$43,"."&amp;$B$134&amp;$AS$82&amp;"C"&amp;$A149)</f>
        <v>48.48%</v>
      </c>
      <c r="EM149" s="3" t="str">
        <f>RTD("tos.rtd",,EM$43,"."&amp;$B$134&amp;$AS$82&amp;"P"&amp;$A149)</f>
        <v>--</v>
      </c>
      <c r="EN149" s="3" t="str">
        <f>RTD("tos.rtd",,EN$2,"."&amp;$C$134&amp;$AU$82&amp;"C"&amp;$A149)</f>
        <v>53.84%</v>
      </c>
      <c r="EO149" s="3" t="str">
        <f>RTD("tos.rtd",,EO$2,"."&amp;$C$134&amp;$AU$82&amp;"P"&amp;$A149)</f>
        <v>85.33%</v>
      </c>
      <c r="EP149" s="3" t="str">
        <f>RTD("tos.rtd",,EP$2,"."&amp;$D$134&amp;$AW$82&amp;"C"&amp;$A149)</f>
        <v>26.85%</v>
      </c>
      <c r="EQ149" s="3" t="str">
        <f>RTD("tos.rtd",,EQ$2,"."&amp;$D$134&amp;$AW$82&amp;"P"&amp;$A149)</f>
        <v>28.59%</v>
      </c>
      <c r="ES149" s="63" t="str">
        <f t="shared" si="583"/>
        <v>20250,-12.00</v>
      </c>
      <c r="ET149" s="63" t="str">
        <f t="shared" ca="1" si="584"/>
        <v>20250,00.00</v>
      </c>
      <c r="EU149" s="68">
        <v>564.54999999999995</v>
      </c>
      <c r="EV149" s="68" t="s">
        <v>1211</v>
      </c>
      <c r="EW149" s="68">
        <v>487.32</v>
      </c>
      <c r="EX149" s="68" t="s">
        <v>1212</v>
      </c>
      <c r="EY149" s="68">
        <v>5631.28</v>
      </c>
      <c r="EZ149" s="68" t="s">
        <v>1213</v>
      </c>
      <c r="FA149" s="68">
        <v>19867.973000000002</v>
      </c>
      <c r="FB149" s="68" t="s">
        <v>1214</v>
      </c>
      <c r="FC149" s="68" t="s">
        <v>1215</v>
      </c>
      <c r="FD149" s="68" t="s">
        <v>1216</v>
      </c>
      <c r="FE149" s="68" t="s">
        <v>1217</v>
      </c>
      <c r="FF149" s="68" t="s">
        <v>1218</v>
      </c>
    </row>
    <row r="150" spans="1:162" ht="11.1" customHeight="1" thickBot="1" x14ac:dyDescent="0.25">
      <c r="A150" s="2">
        <f t="shared" si="595"/>
        <v>20225</v>
      </c>
      <c r="B150" s="3">
        <f t="shared" si="610"/>
        <v>3</v>
      </c>
      <c r="C150" s="3">
        <f t="shared" si="611"/>
        <v>26</v>
      </c>
      <c r="D150" s="3">
        <f t="shared" si="612"/>
        <v>63</v>
      </c>
      <c r="E150" s="3">
        <f t="shared" si="613"/>
        <v>92</v>
      </c>
      <c r="F150" s="4">
        <f t="shared" si="614"/>
        <v>20622.011463379342</v>
      </c>
      <c r="G150" s="5">
        <f t="shared" si="615"/>
        <v>499.82184736506315</v>
      </c>
      <c r="AM150" s="1">
        <v>-33</v>
      </c>
      <c r="AN150" s="1">
        <v>-4</v>
      </c>
      <c r="AO150" s="1">
        <v>20225</v>
      </c>
      <c r="AP150" s="1">
        <v>310</v>
      </c>
      <c r="AQ150" s="1">
        <v>-61</v>
      </c>
      <c r="AS150" s="54">
        <f>IF(RTD("tos.rtd",,AS$83,"."&amp;$B$134&amp;$AS$82&amp;"C"&amp;$A150)="N/A",0,RTD("tos.rtd",,AS$83,"."&amp;$B$134&amp;$AS$82&amp;"C"&amp;$A150))</f>
        <v>3</v>
      </c>
      <c r="AT150" s="3">
        <f>-IF(RTD("tos.rtd",,AT$83,"."&amp;$B$134&amp;$AS$82&amp;"P"&amp;$A150)="N/A",0,RTD("tos.rtd",,AT$83,"."&amp;$B$134&amp;$AS$82&amp;"P"&amp;$A150))</f>
        <v>0</v>
      </c>
      <c r="AU150" s="54">
        <f>IF(RTD("tos.rtd",,AU$2,"."&amp;$C$134&amp;$AU$134&amp;"C"&amp;$A150)="N/A",0,RTD("tos.rtd",,AU$2,"."&amp;$C$134&amp;$AU$134&amp;"C"&amp;$A150))</f>
        <v>10</v>
      </c>
      <c r="AV150" s="3">
        <f>-IF(RTD("tos.rtd",,AV$2,"."&amp;$C$134&amp;$AU$134&amp;"P"&amp;$A150)="N/A",0,RTD("tos.rtd",,AV$2,"."&amp;$C$134&amp;$AU$134&amp;"P"&amp;$A150))</f>
        <v>-16</v>
      </c>
      <c r="AW150" s="54">
        <f>IF(RTD("tos.rtd",,AW$2,"."&amp;$D$134&amp;$AW$134&amp;"C"&amp;$A150)="N/A",0,RTD("tos.rtd",,AW$2,"."&amp;$D$134&amp;$AW$134&amp;"C"&amp;$A150))</f>
        <v>34</v>
      </c>
      <c r="AX150" s="3">
        <f>-IF(RTD("tos.rtd",,AX$2,"."&amp;$D$134&amp;$AW$134&amp;"P"&amp;$A150)="N/A",0,RTD("tos.rtd",,AX$2,"."&amp;$D$134&amp;$AW$134&amp;"P"&amp;$A150))</f>
        <v>-29</v>
      </c>
      <c r="AY150" s="76">
        <f t="shared" si="616"/>
        <v>2</v>
      </c>
      <c r="AZ150" s="8">
        <f t="shared" si="548"/>
        <v>20225</v>
      </c>
      <c r="BA150" s="54">
        <f>IF(RTD("tos.rtd",,BA$43,"."&amp;$B$134&amp;$AS$82&amp;"C"&amp;$A150)="N/A",0,RTD("tos.rtd",,BA$43,"."&amp;$B$134&amp;$AS$82&amp;"C"&amp;$A150))</f>
        <v>0</v>
      </c>
      <c r="BB150" s="3">
        <f>-IF(RTD("tos.rtd",,BB$43,"."&amp;$B$134&amp;$AS$82&amp;"P"&amp;$A150)="N/A",0,RTD("tos.rtd",,BB$43,"."&amp;$B$134&amp;$AS$82&amp;"P"&amp;$A150))</f>
        <v>0</v>
      </c>
      <c r="BC150" s="54">
        <f>IF(RTD("tos.rtd",,BC$2,"."&amp;$C$134&amp;$AU$82&amp;"C"&amp;$A150)="N/A",0,RTD("tos.rtd",,BC$2,"."&amp;$C$134&amp;$AU$82&amp;"C"&amp;$A150))</f>
        <v>97</v>
      </c>
      <c r="BD150" s="3">
        <f>-IF(RTD("tos.rtd",,BD$2,"."&amp;$C$134&amp;$AU$82&amp;"P"&amp;$A150)="N/A",0,RTD("tos.rtd",,BD$2,"."&amp;$C$134&amp;$AU$82&amp;"P"&amp;$A150))</f>
        <v>-33</v>
      </c>
      <c r="BE150" s="54">
        <f>IF(RTD("tos.rtd",,BE$2,"."&amp;$D$134&amp;$AW$82&amp;"C"&amp;$A150)="N/A",0,RTD("tos.rtd",,BE$2,"."&amp;$D$134&amp;$AW$82&amp;"C"&amp;$A150))</f>
        <v>4</v>
      </c>
      <c r="BF150" s="3">
        <f>-IF(RTD("tos.rtd",,BF$2,"."&amp;$D$134&amp;$AW$82&amp;"P"&amp;$A150)="N/A",0,RTD("tos.rtd",,BF$2,"."&amp;$D$134&amp;$AW$82&amp;"P"&amp;$A150))</f>
        <v>-5</v>
      </c>
      <c r="BG150" s="3">
        <f ca="1">+Hoja2!Y151</f>
        <v>19</v>
      </c>
      <c r="BH150" s="7">
        <f t="shared" ca="1" si="549"/>
        <v>82</v>
      </c>
      <c r="BI150" s="32" t="str">
        <f t="shared" ca="1" si="609"/>
        <v/>
      </c>
      <c r="BJ150" s="3" t="e">
        <f ca="1">IF($BP$1=1,DX150,IF(RTD("tos.rtd",,BJ$43,"."&amp;$B$134&amp;$AS$82&amp;"C"&amp;$A150)="N/A",0,RTD("tos.rtd",,BJ$43,"."&amp;$B$134&amp;$AS$82&amp;"C"&amp;$A150)))</f>
        <v>#NUM!</v>
      </c>
      <c r="BK150" s="3" t="e">
        <f ca="1">IF($BP$1=1,DY150,-IF(RTD("tos.rtd",,BK$43,"."&amp;$B$134&amp;$AS$82&amp;"P"&amp;$A150)="N/A",0,RTD("tos.rtd",,BK$43,"."&amp;$B$134&amp;$AS$82&amp;"P"&amp;$A150)))</f>
        <v>#NUM!</v>
      </c>
      <c r="BL150" s="3" t="e">
        <f ca="1">IF($BP$1=1,DZ150,IF(RTD("tos.rtd",,BL$2,"."&amp;$C$134&amp;$AU$82&amp;"C"&amp;$A150)="N/A",0,RTD("tos.rtd",,BL$2,"."&amp;$C$134&amp;$AU$82&amp;"C"&amp;$A150)))</f>
        <v>#NUM!</v>
      </c>
      <c r="BM150" s="3" t="e">
        <f ca="1">IF($BP$1=1,EA150,-IF(RTD("tos.rtd",,BM$2,"."&amp;$C$134&amp;$AU$82&amp;"P"&amp;$A150)="N/A",0,RTD("tos.rtd",,BM$2,"."&amp;$C$134&amp;$AU$82&amp;"P"&amp;$A150)))</f>
        <v>#NUM!</v>
      </c>
      <c r="BN150" s="3" t="e">
        <f ca="1">IF($BP$1=1,EB150,IF(RTD("tos.rtd",,BN$2,"."&amp;$D$134&amp;$AW$82&amp;"C"&amp;$A150)="N/A",0,RTD("tos.rtd",,BN$2,"."&amp;$D$134&amp;$AW$82&amp;"C"&amp;$A150)))</f>
        <v>#NUM!</v>
      </c>
      <c r="BO150" s="3" t="e">
        <f ca="1">IF($BP$1=1,EC150,-IF(RTD("tos.rtd",,BO$2,"."&amp;$D$134&amp;$AW$82&amp;"P"&amp;$A150)="N/A",0,RTD("tos.rtd",,BO$2,"."&amp;$D$134&amp;$AW$82&amp;"P"&amp;$A150)))</f>
        <v>#NUM!</v>
      </c>
      <c r="BQ150" s="3" t="e">
        <f t="shared" ca="1" si="617"/>
        <v>#NUM!</v>
      </c>
      <c r="BR150" s="3" t="e">
        <f t="shared" ca="1" si="550"/>
        <v>#NUM!</v>
      </c>
      <c r="BS150" s="3" t="e">
        <f t="shared" ca="1" si="618"/>
        <v>#NUM!</v>
      </c>
      <c r="BT150" s="3" t="e">
        <f t="shared" ca="1" si="551"/>
        <v>#NUM!</v>
      </c>
      <c r="BU150" s="3" t="e">
        <f t="shared" ca="1" si="619"/>
        <v>#NUM!</v>
      </c>
      <c r="BV150" s="3" t="e">
        <f t="shared" ca="1" si="551"/>
        <v>#NUM!</v>
      </c>
      <c r="BX150" s="3" t="e">
        <f t="shared" ca="1" si="585"/>
        <v>#NUM!</v>
      </c>
      <c r="BY150" s="3" t="e">
        <f t="shared" ca="1" si="586"/>
        <v>#NUM!</v>
      </c>
      <c r="BZ150" s="3" t="e">
        <f t="shared" ca="1" si="587"/>
        <v>#NUM!</v>
      </c>
      <c r="CA150" s="3" t="e">
        <f t="shared" ca="1" si="586"/>
        <v>#NUM!</v>
      </c>
      <c r="CB150" s="3" t="e">
        <f t="shared" ca="1" si="588"/>
        <v>#NUM!</v>
      </c>
      <c r="CC150" s="3" t="e">
        <f t="shared" ca="1" si="586"/>
        <v>#NUM!</v>
      </c>
      <c r="CD150" s="3">
        <f>IF(RTD("tos.rtd",,CD$43,"."&amp;$B$134&amp;$AS$82&amp;"C"&amp;$A150)="N/A",0,RTD("tos.rtd",,CD$43,"."&amp;$B$134&amp;$AS$82&amp;"C"&amp;$A150))</f>
        <v>0.13</v>
      </c>
      <c r="CE150" s="3">
        <f>-IF(RTD("tos.rtd",,CE$43,"."&amp;$B$134&amp;$AS$82&amp;"P"&amp;$A150)="N/A",0,RTD("tos.rtd",,CE$43,"."&amp;$B$134&amp;$AS$82&amp;"P"&amp;$A150))</f>
        <v>1</v>
      </c>
      <c r="CF150" s="3">
        <f>IF(RTD("tos.rtd",,CF$2,"."&amp;$C$134&amp;$AU$82&amp;"C"&amp;$A150)="N/A",0,RTD("tos.rtd",,CF$2,"."&amp;$C$134&amp;$AU$82&amp;"C"&amp;$A150))</f>
        <v>7.0000000000000007E-2</v>
      </c>
      <c r="CG150" s="3">
        <f>-IF(RTD("tos.rtd",,CG$2,"."&amp;$C$134&amp;$AU$82&amp;"P"&amp;$A150)="N/A",0,RTD("tos.rtd",,CG$2,"."&amp;$C$134&amp;$AU$82&amp;"P"&amp;$A150))</f>
        <v>0.92</v>
      </c>
      <c r="CH150" s="3">
        <f>IF(RTD("tos.rtd",,CH$2,"."&amp;$D$134&amp;$AW$82&amp;"C"&amp;$A150)="N/A",0,RTD("tos.rtd",,CH$2,"."&amp;$D$134&amp;$AW$82&amp;"C"&amp;$A150))</f>
        <v>0.41</v>
      </c>
      <c r="CI150" s="3">
        <f>-IF(RTD("tos.rtd",,CI$2,"."&amp;$D$134&amp;$AW$82&amp;"P"&amp;$A150)="N/A",0,RTD("tos.rtd",,CI$2,"."&amp;$D$134&amp;$AW$82&amp;"P"&amp;$A150))</f>
        <v>0.59</v>
      </c>
      <c r="CK150" s="3">
        <f t="shared" si="620"/>
        <v>39</v>
      </c>
      <c r="CL150" s="3"/>
      <c r="CM150" s="3">
        <f t="shared" si="621"/>
        <v>-1402</v>
      </c>
      <c r="CN150" s="3"/>
      <c r="CO150" s="3">
        <f t="shared" si="622"/>
        <v>-317</v>
      </c>
      <c r="CP150" s="3">
        <f t="shared" si="542"/>
        <v>-1680</v>
      </c>
      <c r="CQ150" s="3">
        <f t="shared" si="552"/>
        <v>0</v>
      </c>
      <c r="CR150" s="3"/>
      <c r="CS150" s="3">
        <f t="shared" si="553"/>
        <v>64</v>
      </c>
      <c r="CT150" s="3"/>
      <c r="CU150" s="3">
        <f t="shared" si="554"/>
        <v>-1</v>
      </c>
      <c r="CV150" s="3"/>
      <c r="CW150" s="3" t="e">
        <f t="shared" ca="1" si="555"/>
        <v>#NUM!</v>
      </c>
      <c r="CY150" s="3" t="e">
        <f t="shared" ca="1" si="556"/>
        <v>#NUM!</v>
      </c>
      <c r="CZ150" s="70" t="e">
        <f t="shared" ca="1" si="589"/>
        <v>#NUM!</v>
      </c>
      <c r="DA150" s="3">
        <f>IF(RTD("tos.rtd",,DA$43,"."&amp;$B$134&amp;$AS$82&amp;"C"&amp;$A150)="N/A",0,RTD("tos.rtd",,DA$43,"."&amp;$B$134&amp;$AS$82&amp;"C"&amp;$A150))</f>
        <v>0.7</v>
      </c>
      <c r="DB150" s="3">
        <f>IF(RTD("tos.rtd",,DB$43,"."&amp;$B$134&amp;$AS$82&amp;"P"&amp;$A150)="N/A",0,RTD("tos.rtd",,DB$43,"."&amp;$B$134&amp;$AS$82&amp;"P"&amp;$A150))</f>
        <v>90</v>
      </c>
      <c r="DC150" s="3">
        <f>IF(RTD("tos.rtd",,DC$43,"."&amp;$B$134&amp;$AS$82&amp;"C"&amp;$A150)="N/A",0,RTD("tos.rtd",,DC$43,"."&amp;$B$134&amp;$AS$82&amp;"C"&amp;$A150))</f>
        <v>17.5</v>
      </c>
      <c r="DD150" s="3">
        <f>IF(RTD("tos.rtd",,DD$43,"."&amp;$B$134&amp;$AS$82&amp;"P"&amp;$A150)="N/A",0,RTD("tos.rtd",,DD$43,"."&amp;$B$134&amp;$AS$82&amp;"P"&amp;$A150))</f>
        <v>164.8</v>
      </c>
      <c r="DE150" s="3">
        <f>IF(RTD("tos.rtd",,DE$43,"."&amp;$B$134&amp;$AS$82&amp;"C"&amp;$A150)="N/A",0,RTD("tos.rtd",,DE$43,"."&amp;$B$134&amp;$AS$82&amp;"C"&amp;$A150))</f>
        <v>0.05</v>
      </c>
      <c r="DF150" s="3">
        <f>IF(RTD("tos.rtd",,DF$43,"."&amp;$B$134&amp;$AS$82&amp;"P"&amp;$A150)="N/A",0,RTD("tos.rtd",,DF$43,"."&amp;$B$134&amp;$AS$82&amp;"P"&amp;$A150))</f>
        <v>148</v>
      </c>
      <c r="DG150" s="86">
        <f t="shared" si="590"/>
        <v>163.55099999999948</v>
      </c>
      <c r="DH150" s="3">
        <f t="shared" si="557"/>
        <v>-11.547277936962749</v>
      </c>
      <c r="DI150" s="3">
        <f t="shared" si="558"/>
        <v>-210.59523809523793</v>
      </c>
      <c r="DJ150" s="3">
        <f t="shared" si="559"/>
        <v>310</v>
      </c>
      <c r="DK150" s="3">
        <f t="shared" si="560"/>
        <v>-61</v>
      </c>
      <c r="DL150" s="3">
        <f t="shared" si="561"/>
        <v>-222.14251603220069</v>
      </c>
      <c r="DM150" s="3">
        <f t="shared" si="562"/>
        <v>249</v>
      </c>
      <c r="DN150" s="64" t="str">
        <f t="shared" si="563"/>
        <v>UNKNOWN</v>
      </c>
      <c r="DO150" s="64" t="str">
        <f t="shared" si="564"/>
        <v>UNKNOWN</v>
      </c>
      <c r="DP150" s="3">
        <f t="shared" si="565"/>
        <v>-18961.654523127287</v>
      </c>
      <c r="DQ150" s="3">
        <f t="shared" si="566"/>
        <v>-5273</v>
      </c>
      <c r="DR150" s="3" t="e">
        <f t="shared" ca="1" si="567"/>
        <v>#NUM!</v>
      </c>
      <c r="DS150" s="3">
        <f t="shared" si="568"/>
        <v>-20.699999999999996</v>
      </c>
      <c r="DT150" s="3">
        <f t="shared" si="591"/>
        <v>-310</v>
      </c>
      <c r="DU150" s="3">
        <f t="shared" si="592"/>
        <v>61</v>
      </c>
      <c r="DV150" s="3">
        <f t="shared" si="569"/>
        <v>-33</v>
      </c>
      <c r="DW150" s="3">
        <f t="shared" si="570"/>
        <v>-4</v>
      </c>
      <c r="DX150" s="3" t="e">
        <f t="shared" ca="1" si="571"/>
        <v>#NUM!</v>
      </c>
      <c r="DY150" s="3" t="e">
        <f t="shared" ca="1" si="572"/>
        <v>#NUM!</v>
      </c>
      <c r="DZ150" s="3" t="e">
        <f t="shared" ca="1" si="573"/>
        <v>#NUM!</v>
      </c>
      <c r="EA150" s="3" t="e">
        <f t="shared" ca="1" si="574"/>
        <v>#NUM!</v>
      </c>
      <c r="EB150" s="3" t="e">
        <f t="shared" ca="1" si="575"/>
        <v>#NUM!</v>
      </c>
      <c r="EC150" s="3" t="e">
        <f t="shared" ca="1" si="576"/>
        <v>#NUM!</v>
      </c>
      <c r="ED150" s="63">
        <f t="shared" si="593"/>
        <v>-37</v>
      </c>
      <c r="EE150" s="59">
        <f t="shared" si="577"/>
        <v>0.93279999999999996</v>
      </c>
      <c r="EF150" s="59">
        <f t="shared" si="578"/>
        <v>0.25</v>
      </c>
      <c r="EG150" s="59">
        <f t="shared" si="579"/>
        <v>0.73650000000000004</v>
      </c>
      <c r="EH150" s="59">
        <f t="shared" si="580"/>
        <v>0.76629999999999998</v>
      </c>
      <c r="EI150" s="59">
        <f t="shared" si="581"/>
        <v>0.26910000000000001</v>
      </c>
      <c r="EJ150" s="59">
        <f t="shared" si="582"/>
        <v>0.28639999999999999</v>
      </c>
      <c r="EK150" s="63" t="e">
        <f t="shared" ca="1" si="594"/>
        <v>#NUM!</v>
      </c>
      <c r="EL150" s="3" t="str">
        <f>RTD("tos.rtd",,EL$43,"."&amp;$B$134&amp;$AS$82&amp;"C"&amp;$A150)</f>
        <v>93.28%</v>
      </c>
      <c r="EM150" s="3" t="str">
        <f>RTD("tos.rtd",,EM$43,"."&amp;$B$134&amp;$AS$82&amp;"P"&amp;$A150)</f>
        <v>--</v>
      </c>
      <c r="EN150" s="3" t="str">
        <f>RTD("tos.rtd",,EN$2,"."&amp;$C$134&amp;$AU$82&amp;"C"&amp;$A150)</f>
        <v>73.65%</v>
      </c>
      <c r="EO150" s="3" t="str">
        <f>RTD("tos.rtd",,EO$2,"."&amp;$C$134&amp;$AU$82&amp;"P"&amp;$A150)</f>
        <v>76.63%</v>
      </c>
      <c r="EP150" s="3" t="str">
        <f>RTD("tos.rtd",,EP$2,"."&amp;$D$134&amp;$AW$82&amp;"C"&amp;$A150)</f>
        <v>26.91%</v>
      </c>
      <c r="EQ150" s="3" t="str">
        <f>RTD("tos.rtd",,EQ$2,"."&amp;$D$134&amp;$AW$82&amp;"P"&amp;$A150)</f>
        <v>28.64%</v>
      </c>
      <c r="ES150" s="63" t="str">
        <f t="shared" si="583"/>
        <v>20225,-37.00</v>
      </c>
      <c r="ET150" s="63" t="str">
        <f t="shared" ca="1" si="584"/>
        <v>20225,00.00</v>
      </c>
      <c r="EU150" s="68">
        <v>564.53</v>
      </c>
      <c r="EV150" s="68" t="s">
        <v>1219</v>
      </c>
      <c r="EW150" s="68">
        <v>487.38</v>
      </c>
      <c r="EX150" s="68" t="s">
        <v>1220</v>
      </c>
      <c r="EY150" s="68">
        <v>5631.28</v>
      </c>
      <c r="EZ150" s="68" t="s">
        <v>1221</v>
      </c>
      <c r="FA150" s="68">
        <v>19867.973000000002</v>
      </c>
      <c r="FB150" s="68" t="s">
        <v>1222</v>
      </c>
      <c r="FC150" s="68" t="s">
        <v>1223</v>
      </c>
      <c r="FD150" s="68" t="s">
        <v>1224</v>
      </c>
      <c r="FE150" s="68" t="s">
        <v>1225</v>
      </c>
      <c r="FF150" s="68" t="s">
        <v>1226</v>
      </c>
    </row>
    <row r="151" spans="1:162" ht="11.1" customHeight="1" thickBot="1" x14ac:dyDescent="0.25">
      <c r="A151" s="2">
        <f t="shared" si="595"/>
        <v>20200</v>
      </c>
      <c r="B151" s="3">
        <f t="shared" si="610"/>
        <v>33</v>
      </c>
      <c r="C151" s="3">
        <f t="shared" si="611"/>
        <v>63</v>
      </c>
      <c r="D151" s="3">
        <f t="shared" si="612"/>
        <v>72</v>
      </c>
      <c r="E151" s="3">
        <f t="shared" si="613"/>
        <v>168</v>
      </c>
      <c r="F151" s="4">
        <f t="shared" si="614"/>
        <v>20596.5207199141</v>
      </c>
      <c r="G151" s="5">
        <f t="shared" si="615"/>
        <v>499.20402060688633</v>
      </c>
      <c r="AM151" s="1">
        <v>6</v>
      </c>
      <c r="AN151" s="1">
        <v>-28</v>
      </c>
      <c r="AO151" s="1">
        <v>20200</v>
      </c>
      <c r="AP151" s="1">
        <v>918</v>
      </c>
      <c r="AQ151" s="1">
        <v>-442</v>
      </c>
      <c r="AS151" s="54">
        <f>IF(RTD("tos.rtd",,AS$83,"."&amp;$B$134&amp;$AS$82&amp;"C"&amp;$A151)="N/A",0,RTD("tos.rtd",,AS$83,"."&amp;$B$134&amp;$AS$82&amp;"C"&amp;$A151))</f>
        <v>32</v>
      </c>
      <c r="AT151" s="3">
        <f>-IF(RTD("tos.rtd",,AT$83,"."&amp;$B$134&amp;$AS$82&amp;"P"&amp;$A151)="N/A",0,RTD("tos.rtd",,AT$83,"."&amp;$B$134&amp;$AS$82&amp;"P"&amp;$A151))</f>
        <v>-1</v>
      </c>
      <c r="AU151" s="54">
        <f>IF(RTD("tos.rtd",,AU$2,"."&amp;$C$134&amp;$AU$134&amp;"C"&amp;$A151)="N/A",0,RTD("tos.rtd",,AU$2,"."&amp;$C$134&amp;$AU$134&amp;"C"&amp;$A151))</f>
        <v>51</v>
      </c>
      <c r="AV151" s="3">
        <f>-IF(RTD("tos.rtd",,AV$2,"."&amp;$C$134&amp;$AU$134&amp;"P"&amp;$A151)="N/A",0,RTD("tos.rtd",,AV$2,"."&amp;$C$134&amp;$AU$134&amp;"P"&amp;$A151))</f>
        <v>-12</v>
      </c>
      <c r="AW151" s="54">
        <f>IF(RTD("tos.rtd",,AW$2,"."&amp;$D$134&amp;$AW$134&amp;"C"&amp;$A151)="N/A",0,RTD("tos.rtd",,AW$2,"."&amp;$D$134&amp;$AW$134&amp;"C"&amp;$A151))</f>
        <v>56</v>
      </c>
      <c r="AX151" s="3">
        <f>-IF(RTD("tos.rtd",,AX$2,"."&amp;$D$134&amp;$AW$134&amp;"P"&amp;$A151)="N/A",0,RTD("tos.rtd",,AX$2,"."&amp;$D$134&amp;$AW$134&amp;"P"&amp;$A151))</f>
        <v>-16</v>
      </c>
      <c r="AY151" s="76">
        <f t="shared" si="616"/>
        <v>110</v>
      </c>
      <c r="AZ151" s="8">
        <f t="shared" si="548"/>
        <v>20200</v>
      </c>
      <c r="BA151" s="54">
        <f>IF(RTD("tos.rtd",,BA$43,"."&amp;$B$134&amp;$AS$82&amp;"C"&amp;$A151)="N/A",0,RTD("tos.rtd",,BA$43,"."&amp;$B$134&amp;$AS$82&amp;"C"&amp;$A151))</f>
        <v>0</v>
      </c>
      <c r="BB151" s="3">
        <f>-IF(RTD("tos.rtd",,BB$43,"."&amp;$B$134&amp;$AS$82&amp;"P"&amp;$A151)="N/A",0,RTD("tos.rtd",,BB$43,"."&amp;$B$134&amp;$AS$82&amp;"P"&amp;$A151))</f>
        <v>0</v>
      </c>
      <c r="BC151" s="54">
        <f>IF(RTD("tos.rtd",,BC$2,"."&amp;$C$134&amp;$AU$82&amp;"C"&amp;$A151)="N/A",0,RTD("tos.rtd",,BC$2,"."&amp;$C$134&amp;$AU$82&amp;"C"&amp;$A151))</f>
        <v>1232</v>
      </c>
      <c r="BD151" s="3">
        <f>-IF(RTD("tos.rtd",,BD$2,"."&amp;$C$134&amp;$AU$82&amp;"P"&amp;$A151)="N/A",0,RTD("tos.rtd",,BD$2,"."&amp;$C$134&amp;$AU$82&amp;"P"&amp;$A151))</f>
        <v>-58</v>
      </c>
      <c r="BE151" s="54">
        <f>IF(RTD("tos.rtd",,BE$2,"."&amp;$D$134&amp;$AW$82&amp;"C"&amp;$A151)="N/A",0,RTD("tos.rtd",,BE$2,"."&amp;$D$134&amp;$AW$82&amp;"C"&amp;$A151))</f>
        <v>6</v>
      </c>
      <c r="BF151" s="3">
        <f>-IF(RTD("tos.rtd",,BF$2,"."&amp;$D$134&amp;$AW$82&amp;"P"&amp;$A151)="N/A",0,RTD("tos.rtd",,BF$2,"."&amp;$D$134&amp;$AW$82&amp;"P"&amp;$A151))</f>
        <v>-12</v>
      </c>
      <c r="BG151" s="3">
        <f ca="1">+Hoja2!Y152</f>
        <v>1</v>
      </c>
      <c r="BH151" s="7">
        <f t="shared" ca="1" si="549"/>
        <v>1169</v>
      </c>
      <c r="BI151" s="32" t="str">
        <f t="shared" ca="1" si="609"/>
        <v/>
      </c>
      <c r="BJ151" s="3" t="e">
        <f ca="1">IF($BP$1=1,DX151,IF(RTD("tos.rtd",,BJ$43,"."&amp;$B$134&amp;$AS$82&amp;"C"&amp;$A151)="N/A",0,RTD("tos.rtd",,BJ$43,"."&amp;$B$134&amp;$AS$82&amp;"C"&amp;$A151)))</f>
        <v>#NUM!</v>
      </c>
      <c r="BK151" s="3" t="e">
        <f ca="1">IF($BP$1=1,DY151,-IF(RTD("tos.rtd",,BK$43,"."&amp;$B$134&amp;$AS$82&amp;"P"&amp;$A151)="N/A",0,RTD("tos.rtd",,BK$43,"."&amp;$B$134&amp;$AS$82&amp;"P"&amp;$A151)))</f>
        <v>#NUM!</v>
      </c>
      <c r="BL151" s="3" t="e">
        <f ca="1">IF($BP$1=1,DZ151,IF(RTD("tos.rtd",,BL$2,"."&amp;$C$134&amp;$AU$82&amp;"C"&amp;$A151)="N/A",0,RTD("tos.rtd",,BL$2,"."&amp;$C$134&amp;$AU$82&amp;"C"&amp;$A151)))</f>
        <v>#NUM!</v>
      </c>
      <c r="BM151" s="3" t="e">
        <f ca="1">IF($BP$1=1,EA151,-IF(RTD("tos.rtd",,BM$2,"."&amp;$C$134&amp;$AU$82&amp;"P"&amp;$A151)="N/A",0,RTD("tos.rtd",,BM$2,"."&amp;$C$134&amp;$AU$82&amp;"P"&amp;$A151)))</f>
        <v>#NUM!</v>
      </c>
      <c r="BN151" s="3" t="e">
        <f ca="1">IF($BP$1=1,EB151,IF(RTD("tos.rtd",,BN$2,"."&amp;$D$134&amp;$AW$82&amp;"C"&amp;$A151)="N/A",0,RTD("tos.rtd",,BN$2,"."&amp;$D$134&amp;$AW$82&amp;"C"&amp;$A151)))</f>
        <v>#NUM!</v>
      </c>
      <c r="BO151" s="3" t="e">
        <f ca="1">IF($BP$1=1,EC151,-IF(RTD("tos.rtd",,BO$2,"."&amp;$D$134&amp;$AW$82&amp;"P"&amp;$A151)="N/A",0,RTD("tos.rtd",,BO$2,"."&amp;$D$134&amp;$AW$82&amp;"P"&amp;$A151)))</f>
        <v>#NUM!</v>
      </c>
      <c r="BQ151" s="3" t="e">
        <f t="shared" ca="1" si="617"/>
        <v>#NUM!</v>
      </c>
      <c r="BR151" s="3" t="e">
        <f t="shared" ca="1" si="550"/>
        <v>#NUM!</v>
      </c>
      <c r="BS151" s="3" t="e">
        <f t="shared" ca="1" si="618"/>
        <v>#NUM!</v>
      </c>
      <c r="BT151" s="3" t="e">
        <f t="shared" ca="1" si="551"/>
        <v>#NUM!</v>
      </c>
      <c r="BU151" s="3" t="e">
        <f t="shared" ca="1" si="619"/>
        <v>#NUM!</v>
      </c>
      <c r="BV151" s="3" t="e">
        <f t="shared" ca="1" si="551"/>
        <v>#NUM!</v>
      </c>
      <c r="BX151" s="3" t="e">
        <f t="shared" ca="1" si="585"/>
        <v>#NUM!</v>
      </c>
      <c r="BY151" s="3" t="e">
        <f t="shared" ca="1" si="586"/>
        <v>#NUM!</v>
      </c>
      <c r="BZ151" s="3" t="e">
        <f t="shared" ca="1" si="587"/>
        <v>#NUM!</v>
      </c>
      <c r="CA151" s="3" t="e">
        <f t="shared" ca="1" si="586"/>
        <v>#NUM!</v>
      </c>
      <c r="CB151" s="3" t="e">
        <f t="shared" ca="1" si="588"/>
        <v>#NUM!</v>
      </c>
      <c r="CC151" s="3" t="e">
        <f t="shared" ca="1" si="586"/>
        <v>#NUM!</v>
      </c>
      <c r="CD151" s="3">
        <f>IF(RTD("tos.rtd",,CD$43,"."&amp;$B$134&amp;$AS$82&amp;"C"&amp;$A151)="N/A",0,RTD("tos.rtd",,CD$43,"."&amp;$B$134&amp;$AS$82&amp;"C"&amp;$A151))</f>
        <v>0.02</v>
      </c>
      <c r="CE151" s="3">
        <f>-IF(RTD("tos.rtd",,CE$43,"."&amp;$B$134&amp;$AS$82&amp;"P"&amp;$A151)="N/A",0,RTD("tos.rtd",,CE$43,"."&amp;$B$134&amp;$AS$82&amp;"P"&amp;$A151))</f>
        <v>1</v>
      </c>
      <c r="CF151" s="3">
        <f>IF(RTD("tos.rtd",,CF$2,"."&amp;$C$134&amp;$AU$82&amp;"C"&amp;$A151)="N/A",0,RTD("tos.rtd",,CF$2,"."&amp;$C$134&amp;$AU$82&amp;"C"&amp;$A151))</f>
        <v>0</v>
      </c>
      <c r="CG151" s="3">
        <f>-IF(RTD("tos.rtd",,CG$2,"."&amp;$C$134&amp;$AU$82&amp;"P"&amp;$A151)="N/A",0,RTD("tos.rtd",,CG$2,"."&amp;$C$134&amp;$AU$82&amp;"P"&amp;$A151))</f>
        <v>0.91</v>
      </c>
      <c r="CH151" s="3">
        <f>IF(RTD("tos.rtd",,CH$2,"."&amp;$D$134&amp;$AW$82&amp;"C"&amp;$A151)="N/A",0,RTD("tos.rtd",,CH$2,"."&amp;$D$134&amp;$AW$82&amp;"C"&amp;$A151))</f>
        <v>0.42</v>
      </c>
      <c r="CI151" s="3">
        <f>-IF(RTD("tos.rtd",,CI$2,"."&amp;$D$134&amp;$AW$82&amp;"P"&amp;$A151)="N/A",0,RTD("tos.rtd",,CI$2,"."&amp;$D$134&amp;$AW$82&amp;"P"&amp;$A151))</f>
        <v>0.56999999999999995</v>
      </c>
      <c r="CK151" s="3">
        <f t="shared" si="620"/>
        <v>-36</v>
      </c>
      <c r="CL151" s="3"/>
      <c r="CM151" s="3">
        <f t="shared" si="621"/>
        <v>-1092</v>
      </c>
      <c r="CN151" s="3"/>
      <c r="CO151" s="3">
        <f t="shared" si="622"/>
        <v>1440</v>
      </c>
      <c r="CP151" s="3">
        <f t="shared" si="542"/>
        <v>312</v>
      </c>
      <c r="CQ151" s="3">
        <f t="shared" si="552"/>
        <v>0</v>
      </c>
      <c r="CR151" s="3"/>
      <c r="CS151" s="3">
        <f t="shared" si="553"/>
        <v>1174</v>
      </c>
      <c r="CT151" s="3"/>
      <c r="CU151" s="3">
        <f t="shared" si="554"/>
        <v>-6</v>
      </c>
      <c r="CV151" s="3"/>
      <c r="CW151" s="3" t="e">
        <f t="shared" ca="1" si="555"/>
        <v>#NUM!</v>
      </c>
      <c r="CY151" s="3" t="e">
        <f t="shared" ca="1" si="556"/>
        <v>#NUM!</v>
      </c>
      <c r="CZ151" s="70" t="e">
        <f t="shared" ca="1" si="589"/>
        <v>#NUM!</v>
      </c>
      <c r="DA151" s="3">
        <f>IF(RTD("tos.rtd",,DA$43,"."&amp;$B$134&amp;$AS$82&amp;"C"&amp;$A151)="N/A",0,RTD("tos.rtd",,DA$43,"."&amp;$B$134&amp;$AS$82&amp;"C"&amp;$A151))</f>
        <v>0.05</v>
      </c>
      <c r="DB151" s="3">
        <f>IF(RTD("tos.rtd",,DB$43,"."&amp;$B$134&amp;$AS$82&amp;"P"&amp;$A151)="N/A",0,RTD("tos.rtd",,DB$43,"."&amp;$B$134&amp;$AS$82&amp;"P"&amp;$A151))</f>
        <v>126.28</v>
      </c>
      <c r="DC151" s="3">
        <f>IF(RTD("tos.rtd",,DC$43,"."&amp;$B$134&amp;$AS$82&amp;"C"&amp;$A151)="N/A",0,RTD("tos.rtd",,DC$43,"."&amp;$B$134&amp;$AS$82&amp;"C"&amp;$A151))</f>
        <v>0.9</v>
      </c>
      <c r="DD151" s="3">
        <f>IF(RTD("tos.rtd",,DD$43,"."&amp;$B$134&amp;$AS$82&amp;"P"&amp;$A151)="N/A",0,RTD("tos.rtd",,DD$43,"."&amp;$B$134&amp;$AS$82&amp;"P"&amp;$A151))</f>
        <v>139.80000000000001</v>
      </c>
      <c r="DE151" s="3">
        <f>IF(RTD("tos.rtd",,DE$43,"."&amp;$B$134&amp;$AS$82&amp;"C"&amp;$A151)="N/A",0,RTD("tos.rtd",,DE$43,"."&amp;$B$134&amp;$AS$82&amp;"C"&amp;$A151))</f>
        <v>0</v>
      </c>
      <c r="DF151" s="3">
        <f>IF(RTD("tos.rtd",,DF$43,"."&amp;$B$134&amp;$AS$82&amp;"P"&amp;$A151)="N/A",0,RTD("tos.rtd",,DF$43,"."&amp;$B$134&amp;$AS$82&amp;"P"&amp;$A151))</f>
        <v>122</v>
      </c>
      <c r="DG151" s="86">
        <f t="shared" si="590"/>
        <v>138.55099999999948</v>
      </c>
      <c r="DH151" s="3">
        <f t="shared" si="557"/>
        <v>-51</v>
      </c>
      <c r="DI151" s="3">
        <f t="shared" si="558"/>
        <v>106.27865168539321</v>
      </c>
      <c r="DJ151" s="3">
        <f t="shared" si="559"/>
        <v>918</v>
      </c>
      <c r="DK151" s="3">
        <f t="shared" si="560"/>
        <v>-442</v>
      </c>
      <c r="DL151" s="3">
        <f t="shared" si="561"/>
        <v>55.278651685393214</v>
      </c>
      <c r="DM151" s="3">
        <f t="shared" si="562"/>
        <v>476</v>
      </c>
      <c r="DN151" s="64" t="str">
        <f t="shared" si="563"/>
        <v>UNKNOWN</v>
      </c>
      <c r="DO151" s="64" t="str">
        <f t="shared" si="564"/>
        <v>UNKNOWN</v>
      </c>
      <c r="DP151" s="3">
        <f t="shared" si="565"/>
        <v>13418.318134831456</v>
      </c>
      <c r="DQ151" s="3">
        <f t="shared" si="566"/>
        <v>-55769.86</v>
      </c>
      <c r="DR151" s="3" t="e">
        <f t="shared" ca="1" si="567"/>
        <v>#NUM!</v>
      </c>
      <c r="DS151" s="3">
        <f t="shared" si="568"/>
        <v>-423.64</v>
      </c>
      <c r="DT151" s="3">
        <f t="shared" si="591"/>
        <v>-918</v>
      </c>
      <c r="DU151" s="3">
        <f t="shared" si="592"/>
        <v>442</v>
      </c>
      <c r="DV151" s="3">
        <f t="shared" si="569"/>
        <v>6</v>
      </c>
      <c r="DW151" s="3">
        <f t="shared" si="570"/>
        <v>-28</v>
      </c>
      <c r="DX151" s="3" t="e">
        <f t="shared" ca="1" si="571"/>
        <v>#NUM!</v>
      </c>
      <c r="DY151" s="3" t="e">
        <f t="shared" ca="1" si="572"/>
        <v>#NUM!</v>
      </c>
      <c r="DZ151" s="3" t="e">
        <f t="shared" ca="1" si="573"/>
        <v>#NUM!</v>
      </c>
      <c r="EA151" s="3" t="e">
        <f t="shared" ca="1" si="574"/>
        <v>#NUM!</v>
      </c>
      <c r="EB151" s="3" t="e">
        <f t="shared" ca="1" si="575"/>
        <v>#NUM!</v>
      </c>
      <c r="EC151" s="3" t="e">
        <f t="shared" ca="1" si="576"/>
        <v>#NUM!</v>
      </c>
      <c r="ED151" s="63">
        <f t="shared" si="593"/>
        <v>-22</v>
      </c>
      <c r="EE151" s="59">
        <f t="shared" si="577"/>
        <v>0.43719999999999998</v>
      </c>
      <c r="EF151" s="59">
        <f t="shared" si="578"/>
        <v>0.25</v>
      </c>
      <c r="EG151" s="59">
        <f t="shared" si="579"/>
        <v>0.31319999999999998</v>
      </c>
      <c r="EH151" s="59">
        <f t="shared" si="580"/>
        <v>0.67700000000000005</v>
      </c>
      <c r="EI151" s="59">
        <f t="shared" si="581"/>
        <v>0.27</v>
      </c>
      <c r="EJ151" s="59">
        <f t="shared" si="582"/>
        <v>0.28689999999999999</v>
      </c>
      <c r="EK151" s="63" t="e">
        <f t="shared" ca="1" si="594"/>
        <v>#NUM!</v>
      </c>
      <c r="EL151" s="3" t="str">
        <f>RTD("tos.rtd",,EL$43,"."&amp;$B$134&amp;$AS$82&amp;"C"&amp;$A151)</f>
        <v>43.72%</v>
      </c>
      <c r="EM151" s="3" t="str">
        <f>RTD("tos.rtd",,EM$43,"."&amp;$B$134&amp;$AS$82&amp;"P"&amp;$A151)</f>
        <v>--</v>
      </c>
      <c r="EN151" s="3" t="str">
        <f>RTD("tos.rtd",,EN$2,"."&amp;$C$134&amp;$AU$82&amp;"C"&amp;$A151)</f>
        <v>31.32%</v>
      </c>
      <c r="EO151" s="3" t="str">
        <f>RTD("tos.rtd",,EO$2,"."&amp;$C$134&amp;$AU$82&amp;"P"&amp;$A151)</f>
        <v>67.70%</v>
      </c>
      <c r="EP151" s="3" t="str">
        <f>RTD("tos.rtd",,EP$2,"."&amp;$D$134&amp;$AW$82&amp;"C"&amp;$A151)</f>
        <v>27.00%</v>
      </c>
      <c r="EQ151" s="3" t="str">
        <f>RTD("tos.rtd",,EQ$2,"."&amp;$D$134&amp;$AW$82&amp;"P"&amp;$A151)</f>
        <v>28.69%</v>
      </c>
      <c r="ES151" s="63" t="str">
        <f t="shared" si="583"/>
        <v>20200,-22.00</v>
      </c>
      <c r="ET151" s="63" t="str">
        <f t="shared" ca="1" si="584"/>
        <v>20200,00.00</v>
      </c>
      <c r="EU151" s="68">
        <v>564.66</v>
      </c>
      <c r="EV151" s="68" t="s">
        <v>1227</v>
      </c>
      <c r="EW151" s="68">
        <v>487.45</v>
      </c>
      <c r="EX151" s="68" t="s">
        <v>1228</v>
      </c>
      <c r="EY151" s="68">
        <v>5631.28</v>
      </c>
      <c r="EZ151" s="68" t="s">
        <v>1229</v>
      </c>
      <c r="FA151" s="68">
        <v>19867.973000000002</v>
      </c>
      <c r="FB151" s="68" t="s">
        <v>1230</v>
      </c>
      <c r="FC151" s="68" t="s">
        <v>1231</v>
      </c>
      <c r="FD151" s="68" t="s">
        <v>1232</v>
      </c>
      <c r="FE151" s="68" t="s">
        <v>1233</v>
      </c>
      <c r="FF151" s="68" t="s">
        <v>1234</v>
      </c>
    </row>
    <row r="152" spans="1:162" ht="11.1" customHeight="1" thickBot="1" x14ac:dyDescent="0.25">
      <c r="A152" s="2">
        <f t="shared" si="595"/>
        <v>20175</v>
      </c>
      <c r="B152" s="3">
        <f t="shared" si="610"/>
        <v>1</v>
      </c>
      <c r="C152" s="3">
        <f t="shared" si="611"/>
        <v>22</v>
      </c>
      <c r="D152" s="3">
        <f t="shared" si="612"/>
        <v>28</v>
      </c>
      <c r="E152" s="3">
        <f t="shared" si="613"/>
        <v>51</v>
      </c>
      <c r="F152" s="4">
        <f t="shared" si="614"/>
        <v>20571.029976448859</v>
      </c>
      <c r="G152" s="5">
        <f t="shared" si="615"/>
        <v>498.58619384870946</v>
      </c>
      <c r="AM152" s="1">
        <v>-10</v>
      </c>
      <c r="AN152" s="1">
        <v>-2</v>
      </c>
      <c r="AO152" s="1">
        <v>20175</v>
      </c>
      <c r="AP152" s="1">
        <v>256</v>
      </c>
      <c r="AQ152" s="1">
        <v>-79</v>
      </c>
      <c r="AS152" s="54">
        <f>IF(RTD("tos.rtd",,AS$83,"."&amp;$B$134&amp;$AS$82&amp;"C"&amp;$A152)="N/A",0,RTD("tos.rtd",,AS$83,"."&amp;$B$134&amp;$AS$82&amp;"C"&amp;$A152))</f>
        <v>1</v>
      </c>
      <c r="AT152" s="3">
        <f>-IF(RTD("tos.rtd",,AT$83,"."&amp;$B$134&amp;$AS$82&amp;"P"&amp;$A152)="N/A",0,RTD("tos.rtd",,AT$83,"."&amp;$B$134&amp;$AS$82&amp;"P"&amp;$A152))</f>
        <v>0</v>
      </c>
      <c r="AU152" s="54">
        <f>IF(RTD("tos.rtd",,AU$2,"."&amp;$C$134&amp;$AU$134&amp;"C"&amp;$A152)="N/A",0,RTD("tos.rtd",,AU$2,"."&amp;$C$134&amp;$AU$134&amp;"C"&amp;$A152))</f>
        <v>21</v>
      </c>
      <c r="AV152" s="3">
        <f>-IF(RTD("tos.rtd",,AV$2,"."&amp;$C$134&amp;$AU$134&amp;"P"&amp;$A152)="N/A",0,RTD("tos.rtd",,AV$2,"."&amp;$C$134&amp;$AU$134&amp;"P"&amp;$A152))</f>
        <v>-1</v>
      </c>
      <c r="AW152" s="54">
        <f>IF(RTD("tos.rtd",,AW$2,"."&amp;$D$134&amp;$AW$134&amp;"C"&amp;$A152)="N/A",0,RTD("tos.rtd",,AW$2,"."&amp;$D$134&amp;$AW$134&amp;"C"&amp;$A152))</f>
        <v>17</v>
      </c>
      <c r="AX152" s="3">
        <f>-IF(RTD("tos.rtd",,AX$2,"."&amp;$D$134&amp;$AW$134&amp;"P"&amp;$A152)="N/A",0,RTD("tos.rtd",,AX$2,"."&amp;$D$134&amp;$AW$134&amp;"P"&amp;$A152))</f>
        <v>-11</v>
      </c>
      <c r="AY152" s="76">
        <f t="shared" si="616"/>
        <v>27</v>
      </c>
      <c r="AZ152" s="8">
        <f t="shared" si="548"/>
        <v>20175</v>
      </c>
      <c r="BA152" s="54">
        <f>IF(RTD("tos.rtd",,BA$43,"."&amp;$B$134&amp;$AS$82&amp;"C"&amp;$A152)="N/A",0,RTD("tos.rtd",,BA$43,"."&amp;$B$134&amp;$AS$82&amp;"C"&amp;$A152))</f>
        <v>0</v>
      </c>
      <c r="BB152" s="3">
        <f>-IF(RTD("tos.rtd",,BB$43,"."&amp;$B$134&amp;$AS$82&amp;"P"&amp;$A152)="N/A",0,RTD("tos.rtd",,BB$43,"."&amp;$B$134&amp;$AS$82&amp;"P"&amp;$A152))</f>
        <v>0</v>
      </c>
      <c r="BC152" s="54">
        <f>IF(RTD("tos.rtd",,BC$2,"."&amp;$C$134&amp;$AU$82&amp;"C"&amp;$A152)="N/A",0,RTD("tos.rtd",,BC$2,"."&amp;$C$134&amp;$AU$82&amp;"C"&amp;$A152))</f>
        <v>178</v>
      </c>
      <c r="BD152" s="3">
        <f>-IF(RTD("tos.rtd",,BD$2,"."&amp;$C$134&amp;$AU$82&amp;"P"&amp;$A152)="N/A",0,RTD("tos.rtd",,BD$2,"."&amp;$C$134&amp;$AU$82&amp;"P"&amp;$A152))</f>
        <v>-16</v>
      </c>
      <c r="BE152" s="54">
        <f>IF(RTD("tos.rtd",,BE$2,"."&amp;$D$134&amp;$AW$82&amp;"C"&amp;$A152)="N/A",0,RTD("tos.rtd",,BE$2,"."&amp;$D$134&amp;$AW$82&amp;"C"&amp;$A152))</f>
        <v>11</v>
      </c>
      <c r="BF152" s="3">
        <f>-IF(RTD("tos.rtd",,BF$2,"."&amp;$D$134&amp;$AW$82&amp;"P"&amp;$A152)="N/A",0,RTD("tos.rtd",,BF$2,"."&amp;$D$134&amp;$AW$82&amp;"P"&amp;$A152))</f>
        <v>-8</v>
      </c>
      <c r="BG152" s="3">
        <f ca="1">+Hoja2!Y153</f>
        <v>0</v>
      </c>
      <c r="BH152" s="7">
        <f t="shared" ca="1" si="549"/>
        <v>165</v>
      </c>
      <c r="BI152" s="32" t="str">
        <f t="shared" ca="1" si="609"/>
        <v/>
      </c>
      <c r="BJ152" s="3" t="e">
        <f ca="1">IF($BP$1=1,DX152,IF(RTD("tos.rtd",,BJ$43,"."&amp;$B$134&amp;$AS$82&amp;"C"&amp;$A152)="N/A",0,RTD("tos.rtd",,BJ$43,"."&amp;$B$134&amp;$AS$82&amp;"C"&amp;$A152)))</f>
        <v>#NUM!</v>
      </c>
      <c r="BK152" s="3" t="e">
        <f ca="1">IF($BP$1=1,DY152,-IF(RTD("tos.rtd",,BK$43,"."&amp;$B$134&amp;$AS$82&amp;"P"&amp;$A152)="N/A",0,RTD("tos.rtd",,BK$43,"."&amp;$B$134&amp;$AS$82&amp;"P"&amp;$A152)))</f>
        <v>#NUM!</v>
      </c>
      <c r="BL152" s="3" t="e">
        <f ca="1">IF($BP$1=1,DZ152,IF(RTD("tos.rtd",,BL$2,"."&amp;$C$134&amp;$AU$82&amp;"C"&amp;$A152)="N/A",0,RTD("tos.rtd",,BL$2,"."&amp;$C$134&amp;$AU$82&amp;"C"&amp;$A152)))</f>
        <v>#NUM!</v>
      </c>
      <c r="BM152" s="3" t="e">
        <f ca="1">IF($BP$1=1,EA152,-IF(RTD("tos.rtd",,BM$2,"."&amp;$C$134&amp;$AU$82&amp;"P"&amp;$A152)="N/A",0,RTD("tos.rtd",,BM$2,"."&amp;$C$134&amp;$AU$82&amp;"P"&amp;$A152)))</f>
        <v>#NUM!</v>
      </c>
      <c r="BN152" s="3" t="e">
        <f ca="1">IF($BP$1=1,EB152,IF(RTD("tos.rtd",,BN$2,"."&amp;$D$134&amp;$AW$82&amp;"C"&amp;$A152)="N/A",0,RTD("tos.rtd",,BN$2,"."&amp;$D$134&amp;$AW$82&amp;"C"&amp;$A152)))</f>
        <v>#NUM!</v>
      </c>
      <c r="BO152" s="3" t="e">
        <f ca="1">IF($BP$1=1,EC152,-IF(RTD("tos.rtd",,BO$2,"."&amp;$D$134&amp;$AW$82&amp;"P"&amp;$A152)="N/A",0,RTD("tos.rtd",,BO$2,"."&amp;$D$134&amp;$AW$82&amp;"P"&amp;$A152)))</f>
        <v>#NUM!</v>
      </c>
      <c r="BQ152" s="3" t="e">
        <f t="shared" ca="1" si="617"/>
        <v>#NUM!</v>
      </c>
      <c r="BR152" s="3" t="e">
        <f t="shared" ca="1" si="550"/>
        <v>#NUM!</v>
      </c>
      <c r="BS152" s="3" t="e">
        <f t="shared" ca="1" si="618"/>
        <v>#NUM!</v>
      </c>
      <c r="BT152" s="3" t="e">
        <f t="shared" ca="1" si="551"/>
        <v>#NUM!</v>
      </c>
      <c r="BU152" s="3" t="e">
        <f t="shared" ca="1" si="619"/>
        <v>#NUM!</v>
      </c>
      <c r="BV152" s="3" t="e">
        <f t="shared" ca="1" si="551"/>
        <v>#NUM!</v>
      </c>
      <c r="BX152" s="3" t="e">
        <f t="shared" ca="1" si="585"/>
        <v>#NUM!</v>
      </c>
      <c r="BY152" s="3" t="e">
        <f t="shared" ca="1" si="586"/>
        <v>#NUM!</v>
      </c>
      <c r="BZ152" s="3" t="e">
        <f t="shared" ca="1" si="587"/>
        <v>#NUM!</v>
      </c>
      <c r="CA152" s="3" t="e">
        <f t="shared" ca="1" si="586"/>
        <v>#NUM!</v>
      </c>
      <c r="CB152" s="3" t="e">
        <f t="shared" ca="1" si="588"/>
        <v>#NUM!</v>
      </c>
      <c r="CC152" s="3" t="e">
        <f t="shared" ca="1" si="586"/>
        <v>#NUM!</v>
      </c>
      <c r="CD152" s="3">
        <f>IF(RTD("tos.rtd",,CD$43,"."&amp;$B$134&amp;$AS$82&amp;"C"&amp;$A152)="N/A",0,RTD("tos.rtd",,CD$43,"."&amp;$B$134&amp;$AS$82&amp;"C"&amp;$A152))</f>
        <v>0.02</v>
      </c>
      <c r="CE152" s="3">
        <f>-IF(RTD("tos.rtd",,CE$43,"."&amp;$B$134&amp;$AS$82&amp;"P"&amp;$A152)="N/A",0,RTD("tos.rtd",,CE$43,"."&amp;$B$134&amp;$AS$82&amp;"P"&amp;$A152))</f>
        <v>1</v>
      </c>
      <c r="CF152" s="3">
        <f>IF(RTD("tos.rtd",,CF$2,"."&amp;$C$134&amp;$AU$82&amp;"C"&amp;$A152)="N/A",0,RTD("tos.rtd",,CF$2,"."&amp;$C$134&amp;$AU$82&amp;"C"&amp;$A152))</f>
        <v>0.16</v>
      </c>
      <c r="CG152" s="3">
        <f>-IF(RTD("tos.rtd",,CG$2,"."&amp;$C$134&amp;$AU$82&amp;"P"&amp;$A152)="N/A",0,RTD("tos.rtd",,CG$2,"."&amp;$C$134&amp;$AU$82&amp;"P"&amp;$A152))</f>
        <v>0.88</v>
      </c>
      <c r="CH152" s="3">
        <f>IF(RTD("tos.rtd",,CH$2,"."&amp;$D$134&amp;$AW$82&amp;"C"&amp;$A152)="N/A",0,RTD("tos.rtd",,CH$2,"."&amp;$D$134&amp;$AW$82&amp;"C"&amp;$A152))</f>
        <v>0.44</v>
      </c>
      <c r="CI152" s="3">
        <f>-IF(RTD("tos.rtd",,CI$2,"."&amp;$D$134&amp;$AW$82&amp;"P"&amp;$A152)="N/A",0,RTD("tos.rtd",,CI$2,"."&amp;$D$134&amp;$AW$82&amp;"P"&amp;$A152))</f>
        <v>0.56000000000000005</v>
      </c>
      <c r="CK152" s="3">
        <f t="shared" si="620"/>
        <v>2</v>
      </c>
      <c r="CL152" s="3"/>
      <c r="CM152" s="3">
        <f t="shared" si="621"/>
        <v>248</v>
      </c>
      <c r="CN152" s="3"/>
      <c r="CO152" s="3">
        <f t="shared" si="622"/>
        <v>132</v>
      </c>
      <c r="CP152" s="3">
        <f t="shared" si="542"/>
        <v>382</v>
      </c>
      <c r="CQ152" s="3">
        <f t="shared" si="552"/>
        <v>0</v>
      </c>
      <c r="CR152" s="3"/>
      <c r="CS152" s="3">
        <f t="shared" si="553"/>
        <v>162</v>
      </c>
      <c r="CT152" s="3"/>
      <c r="CU152" s="3">
        <f t="shared" si="554"/>
        <v>3</v>
      </c>
      <c r="CV152" s="3"/>
      <c r="CW152" s="3" t="e">
        <f t="shared" ca="1" si="555"/>
        <v>#NUM!</v>
      </c>
      <c r="CY152" s="3" t="e">
        <f t="shared" ca="1" si="556"/>
        <v>#NUM!</v>
      </c>
      <c r="CZ152" s="70" t="e">
        <f t="shared" ca="1" si="589"/>
        <v>#NUM!</v>
      </c>
      <c r="DA152" s="3">
        <f>IF(RTD("tos.rtd",,DA$43,"."&amp;$B$134&amp;$AS$82&amp;"C"&amp;$A152)="N/A",0,RTD("tos.rtd",,DA$43,"."&amp;$B$134&amp;$AS$82&amp;"C"&amp;$A152))</f>
        <v>0.1</v>
      </c>
      <c r="DB152" s="3">
        <f>IF(RTD("tos.rtd",,DB$43,"."&amp;$B$134&amp;$AS$82&amp;"P"&amp;$A152)="N/A",0,RTD("tos.rtd",,DB$43,"."&amp;$B$134&amp;$AS$82&amp;"P"&amp;$A152))</f>
        <v>70.2</v>
      </c>
      <c r="DC152" s="3">
        <f>IF(RTD("tos.rtd",,DC$43,"."&amp;$B$134&amp;$AS$82&amp;"C"&amp;$A152)="N/A",0,RTD("tos.rtd",,DC$43,"."&amp;$B$134&amp;$AS$82&amp;"C"&amp;$A152))</f>
        <v>0.95</v>
      </c>
      <c r="DD152" s="3">
        <f>IF(RTD("tos.rtd",,DD$43,"."&amp;$B$134&amp;$AS$82&amp;"P"&amp;$A152)="N/A",0,RTD("tos.rtd",,DD$43,"."&amp;$B$134&amp;$AS$82&amp;"P"&amp;$A152))</f>
        <v>114.8</v>
      </c>
      <c r="DE152" s="3">
        <f>IF(RTD("tos.rtd",,DE$43,"."&amp;$B$134&amp;$AS$82&amp;"C"&amp;$A152)="N/A",0,RTD("tos.rtd",,DE$43,"."&amp;$B$134&amp;$AS$82&amp;"C"&amp;$A152))</f>
        <v>0</v>
      </c>
      <c r="DF152" s="3">
        <f>IF(RTD("tos.rtd",,DF$43,"."&amp;$B$134&amp;$AS$82&amp;"P"&amp;$A152)="N/A",0,RTD("tos.rtd",,DF$43,"."&amp;$B$134&amp;$AS$82&amp;"P"&amp;$A152))</f>
        <v>98</v>
      </c>
      <c r="DG152" s="86">
        <f t="shared" si="590"/>
        <v>113.55099999999948</v>
      </c>
      <c r="DH152" s="3">
        <f t="shared" si="557"/>
        <v>-26.947368421052634</v>
      </c>
      <c r="DI152" s="3">
        <f t="shared" si="558"/>
        <v>-130.72619047619048</v>
      </c>
      <c r="DJ152" s="3">
        <f t="shared" si="559"/>
        <v>256</v>
      </c>
      <c r="DK152" s="3">
        <f t="shared" si="560"/>
        <v>-79</v>
      </c>
      <c r="DL152" s="3">
        <f t="shared" si="561"/>
        <v>-157.67355889724311</v>
      </c>
      <c r="DM152" s="3">
        <f t="shared" si="562"/>
        <v>177</v>
      </c>
      <c r="DN152" s="64" t="str">
        <f t="shared" si="563"/>
        <v>UNKNOWN</v>
      </c>
      <c r="DO152" s="64" t="str">
        <f t="shared" si="564"/>
        <v>UNKNOWN</v>
      </c>
      <c r="DP152" s="3">
        <f t="shared" si="565"/>
        <v>-9179.6733082706778</v>
      </c>
      <c r="DQ152" s="3">
        <f t="shared" si="566"/>
        <v>-5520.2</v>
      </c>
      <c r="DR152" s="3" t="e">
        <f t="shared" ca="1" si="567"/>
        <v>#NUM!</v>
      </c>
      <c r="DS152" s="3">
        <f t="shared" si="568"/>
        <v>-73.88</v>
      </c>
      <c r="DT152" s="3">
        <f t="shared" si="591"/>
        <v>-256</v>
      </c>
      <c r="DU152" s="3">
        <f t="shared" si="592"/>
        <v>79</v>
      </c>
      <c r="DV152" s="3">
        <f t="shared" si="569"/>
        <v>-10</v>
      </c>
      <c r="DW152" s="3">
        <f t="shared" si="570"/>
        <v>-2</v>
      </c>
      <c r="DX152" s="3" t="e">
        <f t="shared" ca="1" si="571"/>
        <v>#NUM!</v>
      </c>
      <c r="DY152" s="3" t="e">
        <f t="shared" ca="1" si="572"/>
        <v>#NUM!</v>
      </c>
      <c r="DZ152" s="3" t="e">
        <f t="shared" ca="1" si="573"/>
        <v>#NUM!</v>
      </c>
      <c r="EA152" s="3" t="e">
        <f t="shared" ca="1" si="574"/>
        <v>#NUM!</v>
      </c>
      <c r="EB152" s="3" t="e">
        <f t="shared" ca="1" si="575"/>
        <v>#NUM!</v>
      </c>
      <c r="EC152" s="3" t="e">
        <f t="shared" ca="1" si="576"/>
        <v>#NUM!</v>
      </c>
      <c r="ED152" s="63">
        <f t="shared" si="593"/>
        <v>-12</v>
      </c>
      <c r="EE152" s="59">
        <f t="shared" si="577"/>
        <v>0.37269999999999998</v>
      </c>
      <c r="EF152" s="59">
        <f t="shared" si="578"/>
        <v>0.25</v>
      </c>
      <c r="EG152" s="59">
        <f t="shared" si="579"/>
        <v>0.75900000000000001</v>
      </c>
      <c r="EH152" s="59">
        <f t="shared" si="580"/>
        <v>0.62739999999999996</v>
      </c>
      <c r="EI152" s="59">
        <f t="shared" si="581"/>
        <v>0.2707</v>
      </c>
      <c r="EJ152" s="59">
        <f t="shared" si="582"/>
        <v>0.28749999999999998</v>
      </c>
      <c r="EK152" s="63" t="e">
        <f t="shared" ca="1" si="594"/>
        <v>#NUM!</v>
      </c>
      <c r="EL152" s="3" t="str">
        <f>RTD("tos.rtd",,EL$43,"."&amp;$B$134&amp;$AS$82&amp;"C"&amp;$A152)</f>
        <v>37.27%</v>
      </c>
      <c r="EM152" s="3" t="str">
        <f>RTD("tos.rtd",,EM$43,"."&amp;$B$134&amp;$AS$82&amp;"P"&amp;$A152)</f>
        <v>--</v>
      </c>
      <c r="EN152" s="3" t="str">
        <f>RTD("tos.rtd",,EN$2,"."&amp;$C$134&amp;$AU$82&amp;"C"&amp;$A152)</f>
        <v>75.90%</v>
      </c>
      <c r="EO152" s="3" t="str">
        <f>RTD("tos.rtd",,EO$2,"."&amp;$C$134&amp;$AU$82&amp;"P"&amp;$A152)</f>
        <v>62.74%</v>
      </c>
      <c r="EP152" s="3" t="str">
        <f>RTD("tos.rtd",,EP$2,"."&amp;$D$134&amp;$AW$82&amp;"C"&amp;$A152)</f>
        <v>27.07%</v>
      </c>
      <c r="EQ152" s="3" t="str">
        <f>RTD("tos.rtd",,EQ$2,"."&amp;$D$134&amp;$AW$82&amp;"P"&amp;$A152)</f>
        <v>28.75%</v>
      </c>
      <c r="ES152" s="63" t="str">
        <f t="shared" si="583"/>
        <v>20175,-12.00</v>
      </c>
      <c r="ET152" s="63" t="str">
        <f t="shared" ca="1" si="584"/>
        <v>20175,00.00</v>
      </c>
      <c r="EU152" s="68">
        <v>564.48</v>
      </c>
      <c r="EV152" s="68" t="s">
        <v>1235</v>
      </c>
      <c r="EW152" s="68">
        <v>487.3</v>
      </c>
      <c r="EX152" s="68" t="s">
        <v>1236</v>
      </c>
      <c r="EY152" s="68">
        <v>5631.28</v>
      </c>
      <c r="EZ152" s="68" t="s">
        <v>1237</v>
      </c>
      <c r="FA152" s="68">
        <v>19867.973000000002</v>
      </c>
      <c r="FB152" s="68" t="s">
        <v>1238</v>
      </c>
      <c r="FC152" s="68" t="s">
        <v>1239</v>
      </c>
      <c r="FD152" s="68" t="s">
        <v>1240</v>
      </c>
      <c r="FE152" s="68" t="s">
        <v>1241</v>
      </c>
      <c r="FF152" s="68" t="s">
        <v>1242</v>
      </c>
    </row>
    <row r="153" spans="1:162" ht="11.1" customHeight="1" thickBot="1" x14ac:dyDescent="0.25">
      <c r="A153" s="2">
        <f t="shared" si="595"/>
        <v>20150</v>
      </c>
      <c r="B153" s="3">
        <f t="shared" si="610"/>
        <v>10</v>
      </c>
      <c r="C153" s="3">
        <f t="shared" si="611"/>
        <v>37</v>
      </c>
      <c r="D153" s="3">
        <f t="shared" si="612"/>
        <v>29</v>
      </c>
      <c r="E153" s="3">
        <f t="shared" si="613"/>
        <v>76</v>
      </c>
      <c r="F153" s="4">
        <f t="shared" si="614"/>
        <v>20545.539232983621</v>
      </c>
      <c r="G153" s="5">
        <f t="shared" si="615"/>
        <v>497.96836709053264</v>
      </c>
      <c r="AM153" s="1">
        <v>93</v>
      </c>
      <c r="AN153" s="1">
        <v>-25</v>
      </c>
      <c r="AO153" s="1">
        <v>20150</v>
      </c>
      <c r="AP153" s="1">
        <v>341</v>
      </c>
      <c r="AQ153" s="1">
        <v>-269</v>
      </c>
      <c r="AS153" s="54">
        <f>IF(RTD("tos.rtd",,AS$83,"."&amp;$B$134&amp;$AS$82&amp;"C"&amp;$A153)="N/A",0,RTD("tos.rtd",,AS$83,"."&amp;$B$134&amp;$AS$82&amp;"C"&amp;$A153))</f>
        <v>10</v>
      </c>
      <c r="AT153" s="3">
        <f>-IF(RTD("tos.rtd",,AT$83,"."&amp;$B$134&amp;$AS$82&amp;"P"&amp;$A153)="N/A",0,RTD("tos.rtd",,AT$83,"."&amp;$B$134&amp;$AS$82&amp;"P"&amp;$A153))</f>
        <v>0</v>
      </c>
      <c r="AU153" s="54">
        <f>IF(RTD("tos.rtd",,AU$2,"."&amp;$C$134&amp;$AU$134&amp;"C"&amp;$A153)="N/A",0,RTD("tos.rtd",,AU$2,"."&amp;$C$134&amp;$AU$134&amp;"C"&amp;$A153))</f>
        <v>14</v>
      </c>
      <c r="AV153" s="3">
        <f>-IF(RTD("tos.rtd",,AV$2,"."&amp;$C$134&amp;$AU$134&amp;"P"&amp;$A153)="N/A",0,RTD("tos.rtd",,AV$2,"."&amp;$C$134&amp;$AU$134&amp;"P"&amp;$A153))</f>
        <v>-23</v>
      </c>
      <c r="AW153" s="54">
        <f>IF(RTD("tos.rtd",,AW$2,"."&amp;$D$134&amp;$AW$134&amp;"C"&amp;$A153)="N/A",0,RTD("tos.rtd",,AW$2,"."&amp;$D$134&amp;$AW$134&amp;"C"&amp;$A153))</f>
        <v>21</v>
      </c>
      <c r="AX153" s="3">
        <f>-IF(RTD("tos.rtd",,AX$2,"."&amp;$D$134&amp;$AW$134&amp;"P"&amp;$A153)="N/A",0,RTD("tos.rtd",,AX$2,"."&amp;$D$134&amp;$AW$134&amp;"P"&amp;$A153))</f>
        <v>-8</v>
      </c>
      <c r="AY153" s="76">
        <f t="shared" si="616"/>
        <v>14</v>
      </c>
      <c r="AZ153" s="8">
        <f t="shared" si="548"/>
        <v>20150</v>
      </c>
      <c r="BA153" s="54">
        <f>IF(RTD("tos.rtd",,BA$43,"."&amp;$B$134&amp;$AS$82&amp;"C"&amp;$A153)="N/A",0,RTD("tos.rtd",,BA$43,"."&amp;$B$134&amp;$AS$82&amp;"C"&amp;$A153))</f>
        <v>0</v>
      </c>
      <c r="BB153" s="3">
        <f>-IF(RTD("tos.rtd",,BB$43,"."&amp;$B$134&amp;$AS$82&amp;"P"&amp;$A153)="N/A",0,RTD("tos.rtd",,BB$43,"."&amp;$B$134&amp;$AS$82&amp;"P"&amp;$A153))</f>
        <v>0</v>
      </c>
      <c r="BC153" s="54">
        <f>IF(RTD("tos.rtd",,BC$2,"."&amp;$C$134&amp;$AU$82&amp;"C"&amp;$A153)="N/A",0,RTD("tos.rtd",,BC$2,"."&amp;$C$134&amp;$AU$82&amp;"C"&amp;$A153))</f>
        <v>763</v>
      </c>
      <c r="BD153" s="3">
        <f>-IF(RTD("tos.rtd",,BD$2,"."&amp;$C$134&amp;$AU$82&amp;"P"&amp;$A153)="N/A",0,RTD("tos.rtd",,BD$2,"."&amp;$C$134&amp;$AU$82&amp;"P"&amp;$A153))</f>
        <v>-135</v>
      </c>
      <c r="BE153" s="54">
        <f>IF(RTD("tos.rtd",,BE$2,"."&amp;$D$134&amp;$AW$82&amp;"C"&amp;$A153)="N/A",0,RTD("tos.rtd",,BE$2,"."&amp;$D$134&amp;$AW$82&amp;"C"&amp;$A153))</f>
        <v>10</v>
      </c>
      <c r="BF153" s="3">
        <f>-IF(RTD("tos.rtd",,BF$2,"."&amp;$D$134&amp;$AW$82&amp;"P"&amp;$A153)="N/A",0,RTD("tos.rtd",,BF$2,"."&amp;$D$134&amp;$AW$82&amp;"P"&amp;$A153))</f>
        <v>-7</v>
      </c>
      <c r="BG153" s="3">
        <f ca="1">+Hoja2!Y154</f>
        <v>-4</v>
      </c>
      <c r="BH153" s="7">
        <f t="shared" ca="1" si="549"/>
        <v>627</v>
      </c>
      <c r="BI153" s="32" t="str">
        <f t="shared" ca="1" si="609"/>
        <v/>
      </c>
      <c r="BJ153" s="3" t="e">
        <f ca="1">IF($BP$1=1,DX153,IF(RTD("tos.rtd",,BJ$43,"."&amp;$B$134&amp;$AS$82&amp;"C"&amp;$A153)="N/A",0,RTD("tos.rtd",,BJ$43,"."&amp;$B$134&amp;$AS$82&amp;"C"&amp;$A153)))</f>
        <v>#NUM!</v>
      </c>
      <c r="BK153" s="3" t="e">
        <f ca="1">IF($BP$1=1,DY153,-IF(RTD("tos.rtd",,BK$43,"."&amp;$B$134&amp;$AS$82&amp;"P"&amp;$A153)="N/A",0,RTD("tos.rtd",,BK$43,"."&amp;$B$134&amp;$AS$82&amp;"P"&amp;$A153)))</f>
        <v>#NUM!</v>
      </c>
      <c r="BL153" s="3" t="e">
        <f ca="1">IF($BP$1=1,DZ153,IF(RTD("tos.rtd",,BL$2,"."&amp;$C$134&amp;$AU$82&amp;"C"&amp;$A153)="N/A",0,RTD("tos.rtd",,BL$2,"."&amp;$C$134&amp;$AU$82&amp;"C"&amp;$A153)))</f>
        <v>#NUM!</v>
      </c>
      <c r="BM153" s="3" t="e">
        <f ca="1">IF($BP$1=1,EA153,-IF(RTD("tos.rtd",,BM$2,"."&amp;$C$134&amp;$AU$82&amp;"P"&amp;$A153)="N/A",0,RTD("tos.rtd",,BM$2,"."&amp;$C$134&amp;$AU$82&amp;"P"&amp;$A153)))</f>
        <v>#NUM!</v>
      </c>
      <c r="BN153" s="3" t="e">
        <f ca="1">IF($BP$1=1,EB153,IF(RTD("tos.rtd",,BN$2,"."&amp;$D$134&amp;$AW$82&amp;"C"&amp;$A153)="N/A",0,RTD("tos.rtd",,BN$2,"."&amp;$D$134&amp;$AW$82&amp;"C"&amp;$A153)))</f>
        <v>#NUM!</v>
      </c>
      <c r="BO153" s="3" t="e">
        <f ca="1">IF($BP$1=1,EC153,-IF(RTD("tos.rtd",,BO$2,"."&amp;$D$134&amp;$AW$82&amp;"P"&amp;$A153)="N/A",0,RTD("tos.rtd",,BO$2,"."&amp;$D$134&amp;$AW$82&amp;"P"&amp;$A153)))</f>
        <v>#NUM!</v>
      </c>
      <c r="BQ153" s="3" t="e">
        <f t="shared" ca="1" si="617"/>
        <v>#NUM!</v>
      </c>
      <c r="BR153" s="3" t="e">
        <f t="shared" ca="1" si="550"/>
        <v>#NUM!</v>
      </c>
      <c r="BS153" s="3" t="e">
        <f t="shared" ca="1" si="618"/>
        <v>#NUM!</v>
      </c>
      <c r="BT153" s="3" t="e">
        <f t="shared" ca="1" si="551"/>
        <v>#NUM!</v>
      </c>
      <c r="BU153" s="3" t="e">
        <f t="shared" ca="1" si="619"/>
        <v>#NUM!</v>
      </c>
      <c r="BV153" s="3" t="e">
        <f t="shared" ca="1" si="551"/>
        <v>#NUM!</v>
      </c>
      <c r="BX153" s="3" t="e">
        <f t="shared" ca="1" si="585"/>
        <v>#NUM!</v>
      </c>
      <c r="BY153" s="3" t="e">
        <f t="shared" ca="1" si="586"/>
        <v>#NUM!</v>
      </c>
      <c r="BZ153" s="3" t="e">
        <f t="shared" ca="1" si="587"/>
        <v>#NUM!</v>
      </c>
      <c r="CA153" s="3" t="e">
        <f t="shared" ca="1" si="586"/>
        <v>#NUM!</v>
      </c>
      <c r="CB153" s="3" t="e">
        <f t="shared" ca="1" si="588"/>
        <v>#NUM!</v>
      </c>
      <c r="CC153" s="3" t="e">
        <f t="shared" ca="1" si="586"/>
        <v>#NUM!</v>
      </c>
      <c r="CD153" s="3">
        <f>IF(RTD("tos.rtd",,CD$43,"."&amp;$B$134&amp;$AS$82&amp;"C"&amp;$A153)="N/A",0,RTD("tos.rtd",,CD$43,"."&amp;$B$134&amp;$AS$82&amp;"C"&amp;$A153))</f>
        <v>0.03</v>
      </c>
      <c r="CE153" s="3">
        <f>-IF(RTD("tos.rtd",,CE$43,"."&amp;$B$134&amp;$AS$82&amp;"P"&amp;$A153)="N/A",0,RTD("tos.rtd",,CE$43,"."&amp;$B$134&amp;$AS$82&amp;"P"&amp;$A153))</f>
        <v>1</v>
      </c>
      <c r="CF153" s="3">
        <f>IF(RTD("tos.rtd",,CF$2,"."&amp;$C$134&amp;$AU$82&amp;"C"&amp;$A153)="N/A",0,RTD("tos.rtd",,CF$2,"."&amp;$C$134&amp;$AU$82&amp;"C"&amp;$A153))</f>
        <v>0</v>
      </c>
      <c r="CG153" s="3">
        <f>-IF(RTD("tos.rtd",,CG$2,"."&amp;$C$134&amp;$AU$82&amp;"P"&amp;$A153)="N/A",0,RTD("tos.rtd",,CG$2,"."&amp;$C$134&amp;$AU$82&amp;"P"&amp;$A153))</f>
        <v>0.86</v>
      </c>
      <c r="CH153" s="3">
        <f>IF(RTD("tos.rtd",,CH$2,"."&amp;$D$134&amp;$AW$82&amp;"C"&amp;$A153)="N/A",0,RTD("tos.rtd",,CH$2,"."&amp;$D$134&amp;$AW$82&amp;"C"&amp;$A153))</f>
        <v>0.46</v>
      </c>
      <c r="CI153" s="3">
        <f>-IF(RTD("tos.rtd",,CI$2,"."&amp;$D$134&amp;$AW$82&amp;"P"&amp;$A153)="N/A",0,RTD("tos.rtd",,CI$2,"."&amp;$D$134&amp;$AW$82&amp;"P"&amp;$A153))</f>
        <v>0.54</v>
      </c>
      <c r="CK153" s="3">
        <f t="shared" si="620"/>
        <v>30</v>
      </c>
      <c r="CL153" s="3"/>
      <c r="CM153" s="3">
        <f t="shared" si="621"/>
        <v>-1978</v>
      </c>
      <c r="CN153" s="3"/>
      <c r="CO153" s="3">
        <f t="shared" si="622"/>
        <v>534</v>
      </c>
      <c r="CP153" s="3">
        <f t="shared" si="542"/>
        <v>-1414</v>
      </c>
      <c r="CQ153" s="3">
        <f t="shared" si="552"/>
        <v>0</v>
      </c>
      <c r="CR153" s="3"/>
      <c r="CS153" s="3">
        <f t="shared" si="553"/>
        <v>628</v>
      </c>
      <c r="CT153" s="3"/>
      <c r="CU153" s="3">
        <f t="shared" si="554"/>
        <v>3</v>
      </c>
      <c r="CV153" s="3"/>
      <c r="CW153" s="3" t="e">
        <f t="shared" ca="1" si="555"/>
        <v>#NUM!</v>
      </c>
      <c r="CY153" s="3" t="e">
        <f t="shared" ca="1" si="556"/>
        <v>#NUM!</v>
      </c>
      <c r="CZ153" s="70" t="e">
        <f t="shared" ca="1" si="589"/>
        <v>#NUM!</v>
      </c>
      <c r="DA153" s="3">
        <f>IF(RTD("tos.rtd",,DA$43,"."&amp;$B$134&amp;$AS$82&amp;"C"&amp;$A153)="N/A",0,RTD("tos.rtd",,DA$43,"."&amp;$B$134&amp;$AS$82&amp;"C"&amp;$A153))</f>
        <v>0.1</v>
      </c>
      <c r="DB153" s="3">
        <f>IF(RTD("tos.rtd",,DB$43,"."&amp;$B$134&amp;$AS$82&amp;"P"&amp;$A153)="N/A",0,RTD("tos.rtd",,DB$43,"."&amp;$B$134&amp;$AS$82&amp;"P"&amp;$A153))</f>
        <v>83.77</v>
      </c>
      <c r="DC153" s="3">
        <f>IF(RTD("tos.rtd",,DC$43,"."&amp;$B$134&amp;$AS$82&amp;"C"&amp;$A153)="N/A",0,RTD("tos.rtd",,DC$43,"."&amp;$B$134&amp;$AS$82&amp;"C"&amp;$A153))</f>
        <v>0.9</v>
      </c>
      <c r="DD153" s="3">
        <f>IF(RTD("tos.rtd",,DD$43,"."&amp;$B$134&amp;$AS$82&amp;"P"&amp;$A153)="N/A",0,RTD("tos.rtd",,DD$43,"."&amp;$B$134&amp;$AS$82&amp;"P"&amp;$A153))</f>
        <v>89.8</v>
      </c>
      <c r="DE153" s="3">
        <f>IF(RTD("tos.rtd",,DE$43,"."&amp;$B$134&amp;$AS$82&amp;"C"&amp;$A153)="N/A",0,RTD("tos.rtd",,DE$43,"."&amp;$B$134&amp;$AS$82&amp;"C"&amp;$A153))</f>
        <v>0</v>
      </c>
      <c r="DF153" s="3">
        <f>IF(RTD("tos.rtd",,DF$43,"."&amp;$B$134&amp;$AS$82&amp;"P"&amp;$A153)="N/A",0,RTD("tos.rtd",,DF$43,"."&amp;$B$134&amp;$AS$82&amp;"P"&amp;$A153))</f>
        <v>72</v>
      </c>
      <c r="DG153" s="86">
        <f t="shared" si="590"/>
        <v>88.550999999999476</v>
      </c>
      <c r="DH153" s="3">
        <f t="shared" si="557"/>
        <v>-37.888888888888893</v>
      </c>
      <c r="DI153" s="3">
        <f t="shared" si="558"/>
        <v>177.87247191011232</v>
      </c>
      <c r="DJ153" s="3">
        <f t="shared" si="559"/>
        <v>341</v>
      </c>
      <c r="DK153" s="3">
        <f t="shared" si="560"/>
        <v>269</v>
      </c>
      <c r="DL153" s="3">
        <f t="shared" si="561"/>
        <v>139.98358302122344</v>
      </c>
      <c r="DM153" s="3">
        <f t="shared" si="562"/>
        <v>610</v>
      </c>
      <c r="DN153" s="64" t="str">
        <f t="shared" si="563"/>
        <v>UNKNOWN</v>
      </c>
      <c r="DO153" s="64" t="str">
        <f t="shared" si="564"/>
        <v>UNKNOWN</v>
      </c>
      <c r="DP153" s="3">
        <f t="shared" si="565"/>
        <v>14896.588083021221</v>
      </c>
      <c r="DQ153" s="3">
        <f t="shared" si="566"/>
        <v>22568.229999999996</v>
      </c>
      <c r="DR153" s="3" t="e">
        <f t="shared" ca="1" si="567"/>
        <v>#NUM!</v>
      </c>
      <c r="DS153" s="3">
        <f t="shared" si="568"/>
        <v>279.23</v>
      </c>
      <c r="DT153" s="3">
        <f t="shared" si="591"/>
        <v>-341</v>
      </c>
      <c r="DU153" s="3">
        <f t="shared" si="592"/>
        <v>269</v>
      </c>
      <c r="DV153" s="3">
        <f t="shared" si="569"/>
        <v>93</v>
      </c>
      <c r="DW153" s="3">
        <f t="shared" si="570"/>
        <v>-25</v>
      </c>
      <c r="DX153" s="3" t="e">
        <f t="shared" ca="1" si="571"/>
        <v>#NUM!</v>
      </c>
      <c r="DY153" s="3" t="e">
        <f t="shared" ca="1" si="572"/>
        <v>#NUM!</v>
      </c>
      <c r="DZ153" s="3" t="e">
        <f t="shared" ca="1" si="573"/>
        <v>#NUM!</v>
      </c>
      <c r="EA153" s="3" t="e">
        <f t="shared" ca="1" si="574"/>
        <v>#NUM!</v>
      </c>
      <c r="EB153" s="3" t="e">
        <f t="shared" ca="1" si="575"/>
        <v>#NUM!</v>
      </c>
      <c r="EC153" s="3" t="e">
        <f t="shared" ca="1" si="576"/>
        <v>#NUM!</v>
      </c>
      <c r="ED153" s="63">
        <f t="shared" si="593"/>
        <v>68</v>
      </c>
      <c r="EE153" s="59">
        <f t="shared" si="577"/>
        <v>0.3</v>
      </c>
      <c r="EF153" s="59">
        <f t="shared" si="578"/>
        <v>0.25</v>
      </c>
      <c r="EG153" s="59">
        <f t="shared" si="579"/>
        <v>0.20860000000000001</v>
      </c>
      <c r="EH153" s="59">
        <f t="shared" si="580"/>
        <v>0.53820000000000001</v>
      </c>
      <c r="EI153" s="59">
        <f t="shared" si="581"/>
        <v>0.27129999999999999</v>
      </c>
      <c r="EJ153" s="59">
        <f t="shared" si="582"/>
        <v>0.28849999999999998</v>
      </c>
      <c r="EK153" s="63" t="e">
        <f t="shared" ca="1" si="594"/>
        <v>#NUM!</v>
      </c>
      <c r="EL153" s="3" t="str">
        <f>RTD("tos.rtd",,EL$43,"."&amp;$B$134&amp;$AS$82&amp;"C"&amp;$A153)</f>
        <v>30.00%</v>
      </c>
      <c r="EM153" s="3" t="str">
        <f>RTD("tos.rtd",,EM$43,"."&amp;$B$134&amp;$AS$82&amp;"P"&amp;$A153)</f>
        <v>--</v>
      </c>
      <c r="EN153" s="3" t="str">
        <f>RTD("tos.rtd",,EN$2,"."&amp;$C$134&amp;$AU$82&amp;"C"&amp;$A153)</f>
        <v>20.86%</v>
      </c>
      <c r="EO153" s="3" t="str">
        <f>RTD("tos.rtd",,EO$2,"."&amp;$C$134&amp;$AU$82&amp;"P"&amp;$A153)</f>
        <v>53.82%</v>
      </c>
      <c r="EP153" s="3" t="str">
        <f>RTD("tos.rtd",,EP$2,"."&amp;$D$134&amp;$AW$82&amp;"C"&amp;$A153)</f>
        <v>27.13%</v>
      </c>
      <c r="EQ153" s="3" t="str">
        <f>RTD("tos.rtd",,EQ$2,"."&amp;$D$134&amp;$AW$82&amp;"P"&amp;$A153)</f>
        <v>28.85%</v>
      </c>
      <c r="ES153" s="63" t="str">
        <f t="shared" si="583"/>
        <v>20150,68.00</v>
      </c>
      <c r="ET153" s="63" t="str">
        <f t="shared" ca="1" si="584"/>
        <v>20150,00.00</v>
      </c>
      <c r="EU153" s="68">
        <v>564.36</v>
      </c>
      <c r="EV153" s="68" t="s">
        <v>1243</v>
      </c>
      <c r="EW153" s="68">
        <v>487.16</v>
      </c>
      <c r="EX153" s="68" t="s">
        <v>1244</v>
      </c>
      <c r="EY153" s="68">
        <v>5631.28</v>
      </c>
      <c r="EZ153" s="68" t="s">
        <v>1245</v>
      </c>
      <c r="FA153" s="68">
        <v>19867.973000000002</v>
      </c>
      <c r="FB153" s="68" t="s">
        <v>1246</v>
      </c>
      <c r="FC153" s="68" t="s">
        <v>1247</v>
      </c>
      <c r="FD153" s="68" t="s">
        <v>1248</v>
      </c>
      <c r="FE153" s="68" t="s">
        <v>1249</v>
      </c>
      <c r="FF153" s="68" t="s">
        <v>1250</v>
      </c>
    </row>
    <row r="154" spans="1:162" ht="11.1" customHeight="1" thickBot="1" x14ac:dyDescent="0.25">
      <c r="A154" s="2">
        <f t="shared" si="595"/>
        <v>20125</v>
      </c>
      <c r="B154" s="3">
        <f t="shared" si="610"/>
        <v>6</v>
      </c>
      <c r="C154" s="3">
        <f t="shared" si="611"/>
        <v>11</v>
      </c>
      <c r="D154" s="3">
        <f t="shared" si="612"/>
        <v>62</v>
      </c>
      <c r="E154" s="3">
        <f t="shared" si="613"/>
        <v>79</v>
      </c>
      <c r="F154" s="4">
        <f t="shared" ref="F154:F189" si="623">+$F$136/$A$136*A154</f>
        <v>20520.04848951838</v>
      </c>
      <c r="G154" s="5">
        <f t="shared" si="615"/>
        <v>497.35054033235582</v>
      </c>
      <c r="AM154" s="1">
        <v>47</v>
      </c>
      <c r="AN154" s="1">
        <v>-13</v>
      </c>
      <c r="AO154" s="1">
        <v>20125</v>
      </c>
      <c r="AP154" s="1">
        <v>131</v>
      </c>
      <c r="AQ154" s="1">
        <v>-118</v>
      </c>
      <c r="AS154" s="54">
        <f>IF(RTD("tos.rtd",,AS$83,"."&amp;$B$134&amp;$AS$82&amp;"C"&amp;$A154)="N/A",0,RTD("tos.rtd",,AS$83,"."&amp;$B$134&amp;$AS$82&amp;"C"&amp;$A154))</f>
        <v>6</v>
      </c>
      <c r="AT154" s="3">
        <f>-IF(RTD("tos.rtd",,AT$83,"."&amp;$B$134&amp;$AS$82&amp;"P"&amp;$A154)="N/A",0,RTD("tos.rtd",,AT$83,"."&amp;$B$134&amp;$AS$82&amp;"P"&amp;$A154))</f>
        <v>0</v>
      </c>
      <c r="AU154" s="54">
        <f>IF(RTD("tos.rtd",,AU$2,"."&amp;$C$134&amp;$AU$134&amp;"C"&amp;$A154)="N/A",0,RTD("tos.rtd",,AU$2,"."&amp;$C$134&amp;$AU$134&amp;"C"&amp;$A154))</f>
        <v>7</v>
      </c>
      <c r="AV154" s="3">
        <f>-IF(RTD("tos.rtd",,AV$2,"."&amp;$C$134&amp;$AU$134&amp;"P"&amp;$A154)="N/A",0,RTD("tos.rtd",,AV$2,"."&amp;$C$134&amp;$AU$134&amp;"P"&amp;$A154))</f>
        <v>-4</v>
      </c>
      <c r="AW154" s="54">
        <f>IF(RTD("tos.rtd",,AW$2,"."&amp;$D$134&amp;$AW$134&amp;"C"&amp;$A154)="N/A",0,RTD("tos.rtd",,AW$2,"."&amp;$D$134&amp;$AW$134&amp;"C"&amp;$A154))</f>
        <v>31</v>
      </c>
      <c r="AX154" s="3">
        <f>-IF(RTD("tos.rtd",,AX$2,"."&amp;$D$134&amp;$AW$134&amp;"P"&amp;$A154)="N/A",0,RTD("tos.rtd",,AX$2,"."&amp;$D$134&amp;$AW$134&amp;"P"&amp;$A154))</f>
        <v>-31</v>
      </c>
      <c r="AY154" s="76">
        <f t="shared" ref="AY154:AY189" si="624">SUM(AS154:AX154)</f>
        <v>9</v>
      </c>
      <c r="AZ154" s="8">
        <f t="shared" si="548"/>
        <v>20125</v>
      </c>
      <c r="BA154" s="54">
        <f>IF(RTD("tos.rtd",,BA$43,"."&amp;$B$134&amp;$AS$82&amp;"C"&amp;$A154)="N/A",0,RTD("tos.rtd",,BA$43,"."&amp;$B$134&amp;$AS$82&amp;"C"&amp;$A154))</f>
        <v>0</v>
      </c>
      <c r="BB154" s="3">
        <f>-IF(RTD("tos.rtd",,BB$43,"."&amp;$B$134&amp;$AS$82&amp;"P"&amp;$A154)="N/A",0,RTD("tos.rtd",,BB$43,"."&amp;$B$134&amp;$AS$82&amp;"P"&amp;$A154))</f>
        <v>0</v>
      </c>
      <c r="BC154" s="54">
        <f>IF(RTD("tos.rtd",,BC$2,"."&amp;$C$134&amp;$AU$82&amp;"C"&amp;$A154)="N/A",0,RTD("tos.rtd",,BC$2,"."&amp;$C$134&amp;$AU$82&amp;"C"&amp;$A154))</f>
        <v>300</v>
      </c>
      <c r="BD154" s="3">
        <f>-IF(RTD("tos.rtd",,BD$2,"."&amp;$C$134&amp;$AU$82&amp;"P"&amp;$A154)="N/A",0,RTD("tos.rtd",,BD$2,"."&amp;$C$134&amp;$AU$82&amp;"P"&amp;$A154))</f>
        <v>-29</v>
      </c>
      <c r="BE154" s="54">
        <f>IF(RTD("tos.rtd",,BE$2,"."&amp;$D$134&amp;$AW$82&amp;"C"&amp;$A154)="N/A",0,RTD("tos.rtd",,BE$2,"."&amp;$D$134&amp;$AW$82&amp;"C"&amp;$A154))</f>
        <v>20</v>
      </c>
      <c r="BF154" s="3">
        <f>-IF(RTD("tos.rtd",,BF$2,"."&amp;$D$134&amp;$AW$82&amp;"P"&amp;$A154)="N/A",0,RTD("tos.rtd",,BF$2,"."&amp;$D$134&amp;$AW$82&amp;"P"&amp;$A154))</f>
        <v>-10</v>
      </c>
      <c r="BG154" s="3">
        <f ca="1">+Hoja2!Y155</f>
        <v>0</v>
      </c>
      <c r="BH154" s="7">
        <f t="shared" ca="1" si="549"/>
        <v>281</v>
      </c>
      <c r="BI154" s="32" t="str">
        <f t="shared" ca="1" si="609"/>
        <v/>
      </c>
      <c r="BJ154" s="3" t="e">
        <f ca="1">IF($BP$1=1,DX154,IF(RTD("tos.rtd",,BJ$43,"."&amp;$B$134&amp;$AS$82&amp;"C"&amp;$A154)="N/A",0,RTD("tos.rtd",,BJ$43,"."&amp;$B$134&amp;$AS$82&amp;"C"&amp;$A154)))</f>
        <v>#NUM!</v>
      </c>
      <c r="BK154" s="3" t="e">
        <f ca="1">IF($BP$1=1,DY154,-IF(RTD("tos.rtd",,BK$43,"."&amp;$B$134&amp;$AS$82&amp;"P"&amp;$A154)="N/A",0,RTD("tos.rtd",,BK$43,"."&amp;$B$134&amp;$AS$82&amp;"P"&amp;$A154)))</f>
        <v>#NUM!</v>
      </c>
      <c r="BL154" s="3" t="e">
        <f ca="1">IF($BP$1=1,DZ154,IF(RTD("tos.rtd",,BL$2,"."&amp;$C$134&amp;$AU$82&amp;"C"&amp;$A154)="N/A",0,RTD("tos.rtd",,BL$2,"."&amp;$C$134&amp;$AU$82&amp;"C"&amp;$A154)))</f>
        <v>#NUM!</v>
      </c>
      <c r="BM154" s="3" t="e">
        <f ca="1">IF($BP$1=1,EA154,-IF(RTD("tos.rtd",,BM$2,"."&amp;$C$134&amp;$AU$82&amp;"P"&amp;$A154)="N/A",0,RTD("tos.rtd",,BM$2,"."&amp;$C$134&amp;$AU$82&amp;"P"&amp;$A154)))</f>
        <v>#NUM!</v>
      </c>
      <c r="BN154" s="3" t="e">
        <f ca="1">IF($BP$1=1,EB154,IF(RTD("tos.rtd",,BN$2,"."&amp;$D$134&amp;$AW$82&amp;"C"&amp;$A154)="N/A",0,RTD("tos.rtd",,BN$2,"."&amp;$D$134&amp;$AW$82&amp;"C"&amp;$A154)))</f>
        <v>#NUM!</v>
      </c>
      <c r="BO154" s="3" t="e">
        <f ca="1">IF($BP$1=1,EC154,-IF(RTD("tos.rtd",,BO$2,"."&amp;$D$134&amp;$AW$82&amp;"P"&amp;$A154)="N/A",0,RTD("tos.rtd",,BO$2,"."&amp;$D$134&amp;$AW$82&amp;"P"&amp;$A154)))</f>
        <v>#NUM!</v>
      </c>
      <c r="BQ154" s="3" t="e">
        <f t="shared" ref="BQ154:BQ189" ca="1" si="625">+$A$84*$A$84*AS154*BJ154-$A$84*$A$84*AT154*BK154</f>
        <v>#NUM!</v>
      </c>
      <c r="BR154" s="3" t="e">
        <f t="shared" ca="1" si="550"/>
        <v>#NUM!</v>
      </c>
      <c r="BS154" s="3" t="e">
        <f t="shared" ref="BS154:BS189" ca="1" si="626">+$A$84*$A$84*AU154*BL154-$A$84*$A$84*AV154*BM154</f>
        <v>#NUM!</v>
      </c>
      <c r="BT154" s="3" t="e">
        <f t="shared" ca="1" si="551"/>
        <v>#NUM!</v>
      </c>
      <c r="BU154" s="3" t="e">
        <f t="shared" ref="BU154:BU189" ca="1" si="627">+$A$84*$A$84*AW154*BN154-$A$84*$A$84*AX154*BO154</f>
        <v>#NUM!</v>
      </c>
      <c r="BV154" s="3" t="e">
        <f t="shared" ca="1" si="551"/>
        <v>#NUM!</v>
      </c>
      <c r="BX154" s="3" t="e">
        <f t="shared" ca="1" si="585"/>
        <v>#NUM!</v>
      </c>
      <c r="BY154" s="3" t="e">
        <f t="shared" ca="1" si="586"/>
        <v>#NUM!</v>
      </c>
      <c r="BZ154" s="3" t="e">
        <f t="shared" ca="1" si="587"/>
        <v>#NUM!</v>
      </c>
      <c r="CA154" s="3" t="e">
        <f t="shared" ca="1" si="586"/>
        <v>#NUM!</v>
      </c>
      <c r="CB154" s="3" t="e">
        <f t="shared" ca="1" si="588"/>
        <v>#NUM!</v>
      </c>
      <c r="CC154" s="3" t="e">
        <f t="shared" ca="1" si="586"/>
        <v>#NUM!</v>
      </c>
      <c r="CD154" s="3">
        <f>IF(RTD("tos.rtd",,CD$43,"."&amp;$B$134&amp;$AS$82&amp;"C"&amp;$A154)="N/A",0,RTD("tos.rtd",,CD$43,"."&amp;$B$134&amp;$AS$82&amp;"C"&amp;$A154))</f>
        <v>0.01</v>
      </c>
      <c r="CE154" s="3">
        <f>-IF(RTD("tos.rtd",,CE$43,"."&amp;$B$134&amp;$AS$82&amp;"P"&amp;$A154)="N/A",0,RTD("tos.rtd",,CE$43,"."&amp;$B$134&amp;$AS$82&amp;"P"&amp;$A154))</f>
        <v>1</v>
      </c>
      <c r="CF154" s="3">
        <f>IF(RTD("tos.rtd",,CF$2,"."&amp;$C$134&amp;$AU$82&amp;"C"&amp;$A154)="N/A",0,RTD("tos.rtd",,CF$2,"."&amp;$C$134&amp;$AU$82&amp;"C"&amp;$A154))</f>
        <v>0</v>
      </c>
      <c r="CG154" s="3">
        <f>-IF(RTD("tos.rtd",,CG$2,"."&amp;$C$134&amp;$AU$82&amp;"P"&amp;$A154)="N/A",0,RTD("tos.rtd",,CG$2,"."&amp;$C$134&amp;$AU$82&amp;"P"&amp;$A154))</f>
        <v>1</v>
      </c>
      <c r="CH154" s="3">
        <f>IF(RTD("tos.rtd",,CH$2,"."&amp;$D$134&amp;$AW$82&amp;"C"&amp;$A154)="N/A",0,RTD("tos.rtd",,CH$2,"."&amp;$D$134&amp;$AW$82&amp;"C"&amp;$A154))</f>
        <v>0.47</v>
      </c>
      <c r="CI154" s="3">
        <f>-IF(RTD("tos.rtd",,CI$2,"."&amp;$D$134&amp;$AW$82&amp;"P"&amp;$A154)="N/A",0,RTD("tos.rtd",,CI$2,"."&amp;$D$134&amp;$AW$82&amp;"P"&amp;$A154))</f>
        <v>0.53</v>
      </c>
      <c r="CK154" s="3">
        <f t="shared" si="620"/>
        <v>6</v>
      </c>
      <c r="CL154" s="3"/>
      <c r="CM154" s="3">
        <f t="shared" si="621"/>
        <v>-400</v>
      </c>
      <c r="CN154" s="3"/>
      <c r="CO154" s="3">
        <f t="shared" si="622"/>
        <v>-186.00000000000023</v>
      </c>
      <c r="CP154" s="3">
        <f t="shared" si="542"/>
        <v>-580.00000000000023</v>
      </c>
      <c r="CQ154" s="3">
        <f t="shared" si="552"/>
        <v>0</v>
      </c>
      <c r="CR154" s="3"/>
      <c r="CS154" s="3">
        <f t="shared" si="553"/>
        <v>271</v>
      </c>
      <c r="CT154" s="3"/>
      <c r="CU154" s="3">
        <f t="shared" si="554"/>
        <v>10</v>
      </c>
      <c r="CV154" s="3"/>
      <c r="CW154" s="3" t="e">
        <f t="shared" ca="1" si="555"/>
        <v>#NUM!</v>
      </c>
      <c r="CY154" s="3" t="e">
        <f t="shared" ca="1" si="556"/>
        <v>#NUM!</v>
      </c>
      <c r="CZ154" s="70" t="e">
        <f t="shared" ca="1" si="589"/>
        <v>#NUM!</v>
      </c>
      <c r="DA154" s="3">
        <f>IF(RTD("tos.rtd",,DA$43,"."&amp;$B$134&amp;$AS$82&amp;"C"&amp;$A154)="N/A",0,RTD("tos.rtd",,DA$43,"."&amp;$B$134&amp;$AS$82&amp;"C"&amp;$A154))</f>
        <v>1.1499999999999999</v>
      </c>
      <c r="DB154" s="3">
        <f>IF(RTD("tos.rtd",,DB$43,"."&amp;$B$134&amp;$AS$82&amp;"P"&amp;$A154)="N/A",0,RTD("tos.rtd",,DB$43,"."&amp;$B$134&amp;$AS$82&amp;"P"&amp;$A154))</f>
        <v>61.81</v>
      </c>
      <c r="DC154" s="3">
        <f>IF(RTD("tos.rtd",,DC$43,"."&amp;$B$134&amp;$AS$82&amp;"C"&amp;$A154)="N/A",0,RTD("tos.rtd",,DC$43,"."&amp;$B$134&amp;$AS$82&amp;"C"&amp;$A154))</f>
        <v>0.3</v>
      </c>
      <c r="DD154" s="3">
        <f>IF(RTD("tos.rtd",,DD$43,"."&amp;$B$134&amp;$AS$82&amp;"P"&amp;$A154)="N/A",0,RTD("tos.rtd",,DD$43,"."&amp;$B$134&amp;$AS$82&amp;"P"&amp;$A154))</f>
        <v>64.8</v>
      </c>
      <c r="DE154" s="3">
        <f>IF(RTD("tos.rtd",,DE$43,"."&amp;$B$134&amp;$AS$82&amp;"C"&amp;$A154)="N/A",0,RTD("tos.rtd",,DE$43,"."&amp;$B$134&amp;$AS$82&amp;"C"&amp;$A154))</f>
        <v>0</v>
      </c>
      <c r="DF154" s="3">
        <f>IF(RTD("tos.rtd",,DF$43,"."&amp;$B$134&amp;$AS$82&amp;"P"&amp;$A154)="N/A",0,RTD("tos.rtd",,DF$43,"."&amp;$B$134&amp;$AS$82&amp;"P"&amp;$A154))</f>
        <v>46</v>
      </c>
      <c r="DG154" s="86">
        <f t="shared" si="590"/>
        <v>63.550999999999476</v>
      </c>
      <c r="DH154" s="3">
        <f t="shared" si="557"/>
        <v>-502.16666666666663</v>
      </c>
      <c r="DI154" s="3">
        <f t="shared" si="558"/>
        <v>99.232978723404287</v>
      </c>
      <c r="DJ154" s="3">
        <f t="shared" si="559"/>
        <v>-131</v>
      </c>
      <c r="DK154" s="3">
        <f t="shared" si="560"/>
        <v>118</v>
      </c>
      <c r="DL154" s="3">
        <f t="shared" si="561"/>
        <v>-402.93368794326233</v>
      </c>
      <c r="DM154" s="3">
        <f t="shared" si="562"/>
        <v>-13</v>
      </c>
      <c r="DN154" s="64" t="str">
        <f t="shared" si="563"/>
        <v>UNKNOWN</v>
      </c>
      <c r="DO154" s="64" t="str">
        <f t="shared" si="564"/>
        <v>UNKNOWN</v>
      </c>
      <c r="DP154" s="3">
        <f t="shared" si="565"/>
        <v>5556.098748226952</v>
      </c>
      <c r="DQ154" s="3">
        <f t="shared" si="566"/>
        <v>7142.93</v>
      </c>
      <c r="DR154" s="3" t="e">
        <f t="shared" ca="1" si="567"/>
        <v>#NUM!</v>
      </c>
      <c r="DS154" s="3">
        <f t="shared" si="568"/>
        <v>116.69</v>
      </c>
      <c r="DT154" s="3">
        <f t="shared" si="591"/>
        <v>-131</v>
      </c>
      <c r="DU154" s="3">
        <f t="shared" si="592"/>
        <v>118</v>
      </c>
      <c r="DV154" s="3">
        <f t="shared" si="569"/>
        <v>47</v>
      </c>
      <c r="DW154" s="3">
        <f t="shared" si="570"/>
        <v>-13</v>
      </c>
      <c r="DX154" s="3" t="e">
        <f t="shared" ca="1" si="571"/>
        <v>#NUM!</v>
      </c>
      <c r="DY154" s="3" t="e">
        <f t="shared" ca="1" si="572"/>
        <v>#NUM!</v>
      </c>
      <c r="DZ154" s="3" t="e">
        <f t="shared" ca="1" si="573"/>
        <v>#NUM!</v>
      </c>
      <c r="EA154" s="3" t="e">
        <f t="shared" ca="1" si="574"/>
        <v>#NUM!</v>
      </c>
      <c r="EB154" s="3" t="e">
        <f t="shared" ca="1" si="575"/>
        <v>#NUM!</v>
      </c>
      <c r="EC154" s="3" t="e">
        <f t="shared" ca="1" si="576"/>
        <v>#NUM!</v>
      </c>
      <c r="ED154" s="63">
        <f t="shared" si="593"/>
        <v>34</v>
      </c>
      <c r="EE154" s="59">
        <f t="shared" si="577"/>
        <v>0.1918</v>
      </c>
      <c r="EF154" s="59">
        <f t="shared" si="578"/>
        <v>0.25</v>
      </c>
      <c r="EG154" s="59">
        <f t="shared" si="579"/>
        <v>0.1552</v>
      </c>
      <c r="EH154" s="59">
        <f t="shared" si="580"/>
        <v>0.25</v>
      </c>
      <c r="EI154" s="59">
        <f t="shared" si="581"/>
        <v>0.27210000000000001</v>
      </c>
      <c r="EJ154" s="59">
        <f t="shared" si="582"/>
        <v>0.28899999999999998</v>
      </c>
      <c r="EK154" s="63" t="e">
        <f t="shared" ca="1" si="594"/>
        <v>#NUM!</v>
      </c>
      <c r="EL154" s="3" t="str">
        <f>RTD("tos.rtd",,EL$43,"."&amp;$B$134&amp;$AS$82&amp;"C"&amp;$A154)</f>
        <v>19.18%</v>
      </c>
      <c r="EM154" s="3" t="str">
        <f>RTD("tos.rtd",,EM$43,"."&amp;$B$134&amp;$AS$82&amp;"P"&amp;$A154)</f>
        <v>--</v>
      </c>
      <c r="EN154" s="3" t="str">
        <f>RTD("tos.rtd",,EN$2,"."&amp;$C$134&amp;$AU$82&amp;"C"&amp;$A154)</f>
        <v>15.52%</v>
      </c>
      <c r="EO154" s="3" t="str">
        <f>RTD("tos.rtd",,EO$2,"."&amp;$C$134&amp;$AU$82&amp;"P"&amp;$A154)</f>
        <v>--</v>
      </c>
      <c r="EP154" s="3" t="str">
        <f>RTD("tos.rtd",,EP$2,"."&amp;$D$134&amp;$AW$82&amp;"C"&amp;$A154)</f>
        <v>27.21%</v>
      </c>
      <c r="EQ154" s="3" t="str">
        <f>RTD("tos.rtd",,EQ$2,"."&amp;$D$134&amp;$AW$82&amp;"P"&amp;$A154)</f>
        <v>28.90%</v>
      </c>
      <c r="ES154" s="63" t="str">
        <f t="shared" si="583"/>
        <v>20125,34.00</v>
      </c>
      <c r="ET154" s="63" t="str">
        <f t="shared" ca="1" si="584"/>
        <v>20125,00.00</v>
      </c>
      <c r="EU154" s="68">
        <v>564.23</v>
      </c>
      <c r="EV154" s="68" t="s">
        <v>1251</v>
      </c>
      <c r="EW154" s="68">
        <v>487.02</v>
      </c>
      <c r="EX154" s="68" t="s">
        <v>1252</v>
      </c>
      <c r="EY154" s="68">
        <v>5631.28</v>
      </c>
      <c r="EZ154" s="68" t="s">
        <v>1253</v>
      </c>
      <c r="FA154" s="68">
        <v>19867.973000000002</v>
      </c>
      <c r="FB154" s="68" t="s">
        <v>1254</v>
      </c>
      <c r="FC154" s="68" t="s">
        <v>1255</v>
      </c>
      <c r="FD154" s="68" t="s">
        <v>1256</v>
      </c>
      <c r="FE154" s="68" t="s">
        <v>1257</v>
      </c>
      <c r="FF154" s="68" t="s">
        <v>1258</v>
      </c>
    </row>
    <row r="155" spans="1:162" ht="11.1" customHeight="1" thickBot="1" x14ac:dyDescent="0.25">
      <c r="A155" s="2">
        <f t="shared" si="595"/>
        <v>20100</v>
      </c>
      <c r="B155" s="3">
        <f t="shared" ref="B155:B189" si="628">+IF($A$1="ABS",AS155-AT155,AS155+AT155)</f>
        <v>97</v>
      </c>
      <c r="C155" s="3">
        <f t="shared" ref="C155:C189" si="629">+IF($A$1="ABS",AU155-AV155,AU155+AV155)</f>
        <v>37</v>
      </c>
      <c r="D155" s="3">
        <f t="shared" ref="D155:D189" si="630">+IF($A$1="ABS",AW155-AX155,AW155+AX155)</f>
        <v>167</v>
      </c>
      <c r="E155" s="3">
        <f t="shared" si="613"/>
        <v>301</v>
      </c>
      <c r="F155" s="4">
        <f t="shared" si="623"/>
        <v>20494.557746053139</v>
      </c>
      <c r="G155" s="5">
        <f t="shared" si="615"/>
        <v>496.73271357417894</v>
      </c>
      <c r="AM155" s="1">
        <v>553</v>
      </c>
      <c r="AN155" s="1">
        <v>-170</v>
      </c>
      <c r="AO155" s="1">
        <v>20100</v>
      </c>
      <c r="AP155" s="1">
        <v>327</v>
      </c>
      <c r="AQ155" s="1">
        <v>-805</v>
      </c>
      <c r="AS155" s="54">
        <f>IF(RTD("tos.rtd",,AS$83,"."&amp;$B$134&amp;$AS$82&amp;"C"&amp;$A155)="N/A",0,RTD("tos.rtd",,AS$83,"."&amp;$B$134&amp;$AS$82&amp;"C"&amp;$A155))</f>
        <v>96</v>
      </c>
      <c r="AT155" s="3">
        <f>-IF(RTD("tos.rtd",,AT$83,"."&amp;$B$134&amp;$AS$82&amp;"P"&amp;$A155)="N/A",0,RTD("tos.rtd",,AT$83,"."&amp;$B$134&amp;$AS$82&amp;"P"&amp;$A155))</f>
        <v>-1</v>
      </c>
      <c r="AU155" s="54">
        <f>IF(RTD("tos.rtd",,AU$2,"."&amp;$C$134&amp;$AU$134&amp;"C"&amp;$A155)="N/A",0,RTD("tos.rtd",,AU$2,"."&amp;$C$134&amp;$AU$134&amp;"C"&amp;$A155))</f>
        <v>18</v>
      </c>
      <c r="AV155" s="3">
        <f>-IF(RTD("tos.rtd",,AV$2,"."&amp;$C$134&amp;$AU$134&amp;"P"&amp;$A155)="N/A",0,RTD("tos.rtd",,AV$2,"."&amp;$C$134&amp;$AU$134&amp;"P"&amp;$A155))</f>
        <v>-19</v>
      </c>
      <c r="AW155" s="54">
        <f>IF(RTD("tos.rtd",,AW$2,"."&amp;$D$134&amp;$AW$134&amp;"C"&amp;$A155)="N/A",0,RTD("tos.rtd",,AW$2,"."&amp;$D$134&amp;$AW$134&amp;"C"&amp;$A155))</f>
        <v>92</v>
      </c>
      <c r="AX155" s="3">
        <f>-IF(RTD("tos.rtd",,AX$2,"."&amp;$D$134&amp;$AW$134&amp;"P"&amp;$A155)="N/A",0,RTD("tos.rtd",,AX$2,"."&amp;$D$134&amp;$AW$134&amp;"P"&amp;$A155))</f>
        <v>-75</v>
      </c>
      <c r="AY155" s="76">
        <f t="shared" si="624"/>
        <v>111</v>
      </c>
      <c r="AZ155" s="8">
        <f t="shared" si="548"/>
        <v>20100</v>
      </c>
      <c r="BA155" s="54">
        <f>IF(RTD("tos.rtd",,BA$43,"."&amp;$B$134&amp;$AS$82&amp;"C"&amp;$A155)="N/A",0,RTD("tos.rtd",,BA$43,"."&amp;$B$134&amp;$AS$82&amp;"C"&amp;$A155))</f>
        <v>0</v>
      </c>
      <c r="BB155" s="3">
        <f>-IF(RTD("tos.rtd",,BB$43,"."&amp;$B$134&amp;$AS$82&amp;"P"&amp;$A155)="N/A",0,RTD("tos.rtd",,BB$43,"."&amp;$B$134&amp;$AS$82&amp;"P"&amp;$A155))</f>
        <v>0</v>
      </c>
      <c r="BC155" s="54">
        <f>IF(RTD("tos.rtd",,BC$2,"."&amp;$C$134&amp;$AU$82&amp;"C"&amp;$A155)="N/A",0,RTD("tos.rtd",,BC$2,"."&amp;$C$134&amp;$AU$82&amp;"C"&amp;$A155))</f>
        <v>1040</v>
      </c>
      <c r="BD155" s="3">
        <f>-IF(RTD("tos.rtd",,BD$2,"."&amp;$C$134&amp;$AU$82&amp;"P"&amp;$A155)="N/A",0,RTD("tos.rtd",,BD$2,"."&amp;$C$134&amp;$AU$82&amp;"P"&amp;$A155))</f>
        <v>-253</v>
      </c>
      <c r="BE155" s="54">
        <f>IF(RTD("tos.rtd",,BE$2,"."&amp;$D$134&amp;$AW$82&amp;"C"&amp;$A155)="N/A",0,RTD("tos.rtd",,BE$2,"."&amp;$D$134&amp;$AW$82&amp;"C"&amp;$A155))</f>
        <v>24</v>
      </c>
      <c r="BF155" s="3">
        <f>-IF(RTD("tos.rtd",,BF$2,"."&amp;$D$134&amp;$AW$82&amp;"P"&amp;$A155)="N/A",0,RTD("tos.rtd",,BF$2,"."&amp;$D$134&amp;$AW$82&amp;"P"&amp;$A155))</f>
        <v>-20</v>
      </c>
      <c r="BG155" s="3">
        <f ca="1">+Hoja2!Y156</f>
        <v>-14</v>
      </c>
      <c r="BH155" s="7">
        <f t="shared" ca="1" si="549"/>
        <v>777</v>
      </c>
      <c r="BI155" s="32" t="str">
        <f t="shared" ca="1" si="609"/>
        <v/>
      </c>
      <c r="BJ155" s="3" t="e">
        <f ca="1">IF($BP$1=1,DX155,IF(RTD("tos.rtd",,BJ$43,"."&amp;$B$134&amp;$AS$82&amp;"C"&amp;$A155)="N/A",0,RTD("tos.rtd",,BJ$43,"."&amp;$B$134&amp;$AS$82&amp;"C"&amp;$A155)))</f>
        <v>#NUM!</v>
      </c>
      <c r="BK155" s="3" t="e">
        <f ca="1">IF($BP$1=1,DY155,-IF(RTD("tos.rtd",,BK$43,"."&amp;$B$134&amp;$AS$82&amp;"P"&amp;$A155)="N/A",0,RTD("tos.rtd",,BK$43,"."&amp;$B$134&amp;$AS$82&amp;"P"&amp;$A155)))</f>
        <v>#NUM!</v>
      </c>
      <c r="BL155" s="3" t="e">
        <f ca="1">IF($BP$1=1,DZ155,IF(RTD("tos.rtd",,BL$2,"."&amp;$C$134&amp;$AU$82&amp;"C"&amp;$A155)="N/A",0,RTD("tos.rtd",,BL$2,"."&amp;$C$134&amp;$AU$82&amp;"C"&amp;$A155)))</f>
        <v>#NUM!</v>
      </c>
      <c r="BM155" s="3" t="e">
        <f ca="1">IF($BP$1=1,EA155,-IF(RTD("tos.rtd",,BM$2,"."&amp;$C$134&amp;$AU$82&amp;"P"&amp;$A155)="N/A",0,RTD("tos.rtd",,BM$2,"."&amp;$C$134&amp;$AU$82&amp;"P"&amp;$A155)))</f>
        <v>#NUM!</v>
      </c>
      <c r="BN155" s="3" t="e">
        <f ca="1">IF($BP$1=1,EB155,IF(RTD("tos.rtd",,BN$2,"."&amp;$D$134&amp;$AW$82&amp;"C"&amp;$A155)="N/A",0,RTD("tos.rtd",,BN$2,"."&amp;$D$134&amp;$AW$82&amp;"C"&amp;$A155)))</f>
        <v>#NUM!</v>
      </c>
      <c r="BO155" s="3" t="e">
        <f ca="1">IF($BP$1=1,EC155,-IF(RTD("tos.rtd",,BO$2,"."&amp;$D$134&amp;$AW$82&amp;"P"&amp;$A155)="N/A",0,RTD("tos.rtd",,BO$2,"."&amp;$D$134&amp;$AW$82&amp;"P"&amp;$A155)))</f>
        <v>#NUM!</v>
      </c>
      <c r="BQ155" s="3" t="e">
        <f t="shared" ca="1" si="625"/>
        <v>#NUM!</v>
      </c>
      <c r="BR155" s="3" t="e">
        <f t="shared" ca="1" si="550"/>
        <v>#NUM!</v>
      </c>
      <c r="BS155" s="3" t="e">
        <f t="shared" ca="1" si="626"/>
        <v>#NUM!</v>
      </c>
      <c r="BT155" s="3" t="e">
        <f t="shared" ca="1" si="551"/>
        <v>#NUM!</v>
      </c>
      <c r="BU155" s="3" t="e">
        <f t="shared" ca="1" si="627"/>
        <v>#NUM!</v>
      </c>
      <c r="BV155" s="3" t="e">
        <f t="shared" ca="1" si="551"/>
        <v>#NUM!</v>
      </c>
      <c r="BX155" s="3" t="e">
        <f t="shared" ca="1" si="585"/>
        <v>#NUM!</v>
      </c>
      <c r="BY155" s="3" t="e">
        <f t="shared" ca="1" si="586"/>
        <v>#NUM!</v>
      </c>
      <c r="BZ155" s="3" t="e">
        <f t="shared" ca="1" si="587"/>
        <v>#NUM!</v>
      </c>
      <c r="CA155" s="3" t="e">
        <f t="shared" ca="1" si="586"/>
        <v>#NUM!</v>
      </c>
      <c r="CB155" s="3" t="e">
        <f t="shared" ca="1" si="588"/>
        <v>#NUM!</v>
      </c>
      <c r="CC155" s="3" t="e">
        <f t="shared" ca="1" si="586"/>
        <v>#NUM!</v>
      </c>
      <c r="CD155" s="3">
        <f>IF(RTD("tos.rtd",,CD$43,"."&amp;$B$134&amp;$AS$82&amp;"C"&amp;$A155)="N/A",0,RTD("tos.rtd",,CD$43,"."&amp;$B$134&amp;$AS$82&amp;"C"&amp;$A155))</f>
        <v>0.02</v>
      </c>
      <c r="CE155" s="3">
        <f>-IF(RTD("tos.rtd",,CE$43,"."&amp;$B$134&amp;$AS$82&amp;"P"&amp;$A155)="N/A",0,RTD("tos.rtd",,CE$43,"."&amp;$B$134&amp;$AS$82&amp;"P"&amp;$A155))</f>
        <v>1</v>
      </c>
      <c r="CF155" s="3">
        <f>IF(RTD("tos.rtd",,CF$2,"."&amp;$C$134&amp;$AU$82&amp;"C"&amp;$A155)="N/A",0,RTD("tos.rtd",,CF$2,"."&amp;$C$134&amp;$AU$82&amp;"C"&amp;$A155))</f>
        <v>0.05</v>
      </c>
      <c r="CG155" s="3">
        <f>-IF(RTD("tos.rtd",,CG$2,"."&amp;$C$134&amp;$AU$82&amp;"P"&amp;$A155)="N/A",0,RTD("tos.rtd",,CG$2,"."&amp;$C$134&amp;$AU$82&amp;"P"&amp;$A155))</f>
        <v>1</v>
      </c>
      <c r="CH155" s="3">
        <f>IF(RTD("tos.rtd",,CH$2,"."&amp;$D$134&amp;$AW$82&amp;"C"&amp;$A155)="N/A",0,RTD("tos.rtd",,CH$2,"."&amp;$D$134&amp;$AW$82&amp;"C"&amp;$A155))</f>
        <v>0.49</v>
      </c>
      <c r="CI155" s="3">
        <f>-IF(RTD("tos.rtd",,CI$2,"."&amp;$D$134&amp;$AW$82&amp;"P"&amp;$A155)="N/A",0,RTD("tos.rtd",,CI$2,"."&amp;$D$134&amp;$AW$82&amp;"P"&amp;$A155))</f>
        <v>0.51</v>
      </c>
      <c r="CK155" s="3">
        <f t="shared" si="620"/>
        <v>92</v>
      </c>
      <c r="CL155" s="3"/>
      <c r="CM155" s="3">
        <f t="shared" si="621"/>
        <v>-1810</v>
      </c>
      <c r="CN155" s="3"/>
      <c r="CO155" s="3">
        <f t="shared" si="622"/>
        <v>683</v>
      </c>
      <c r="CP155" s="3">
        <f t="shared" si="542"/>
        <v>-1035</v>
      </c>
      <c r="CQ155" s="3">
        <f t="shared" si="552"/>
        <v>0</v>
      </c>
      <c r="CR155" s="3"/>
      <c r="CS155" s="3">
        <f t="shared" si="553"/>
        <v>787</v>
      </c>
      <c r="CT155" s="3"/>
      <c r="CU155" s="3">
        <f t="shared" si="554"/>
        <v>4</v>
      </c>
      <c r="CV155" s="3"/>
      <c r="CW155" s="3" t="e">
        <f t="shared" ca="1" si="555"/>
        <v>#NUM!</v>
      </c>
      <c r="CY155" s="3" t="e">
        <f t="shared" ca="1" si="556"/>
        <v>#NUM!</v>
      </c>
      <c r="CZ155" s="70" t="e">
        <f t="shared" ca="1" si="589"/>
        <v>#NUM!</v>
      </c>
      <c r="DA155" s="3">
        <f>IF(RTD("tos.rtd",,DA$43,"."&amp;$B$134&amp;$AS$82&amp;"C"&amp;$A155)="N/A",0,RTD("tos.rtd",,DA$43,"."&amp;$B$134&amp;$AS$82&amp;"C"&amp;$A155))</f>
        <v>0.1</v>
      </c>
      <c r="DB155" s="3">
        <f>IF(RTD("tos.rtd",,DB$43,"."&amp;$B$134&amp;$AS$82&amp;"P"&amp;$A155)="N/A",0,RTD("tos.rtd",,DB$43,"."&amp;$B$134&amp;$AS$82&amp;"P"&amp;$A155))</f>
        <v>38.950000000000003</v>
      </c>
      <c r="DC155" s="3">
        <f>IF(RTD("tos.rtd",,DC$43,"."&amp;$B$134&amp;$AS$82&amp;"C"&amp;$A155)="N/A",0,RTD("tos.rtd",,DC$43,"."&amp;$B$134&amp;$AS$82&amp;"C"&amp;$A155))</f>
        <v>0.3</v>
      </c>
      <c r="DD155" s="3">
        <f>IF(RTD("tos.rtd",,DD$43,"."&amp;$B$134&amp;$AS$82&amp;"P"&amp;$A155)="N/A",0,RTD("tos.rtd",,DD$43,"."&amp;$B$134&amp;$AS$82&amp;"P"&amp;$A155))</f>
        <v>42</v>
      </c>
      <c r="DE155" s="3">
        <f>IF(RTD("tos.rtd",,DE$43,"."&amp;$B$134&amp;$AS$82&amp;"C"&amp;$A155)="N/A",0,RTD("tos.rtd",,DE$43,"."&amp;$B$134&amp;$AS$82&amp;"C"&amp;$A155))</f>
        <v>0</v>
      </c>
      <c r="DF155" s="3">
        <f>IF(RTD("tos.rtd",,DF$43,"."&amp;$B$134&amp;$AS$82&amp;"P"&amp;$A155)="N/A",0,RTD("tos.rtd",,DF$43,"."&amp;$B$134&amp;$AS$82&amp;"P"&amp;$A155))</f>
        <v>22</v>
      </c>
      <c r="DG155" s="86">
        <f t="shared" si="590"/>
        <v>38.550999999999476</v>
      </c>
      <c r="DH155" s="3">
        <f t="shared" si="557"/>
        <v>-109.00000000000001</v>
      </c>
      <c r="DI155" s="3">
        <f t="shared" si="558"/>
        <v>682.23750000000007</v>
      </c>
      <c r="DJ155" s="3">
        <f t="shared" si="559"/>
        <v>327</v>
      </c>
      <c r="DK155" s="3">
        <f t="shared" si="560"/>
        <v>805</v>
      </c>
      <c r="DL155" s="3">
        <f t="shared" si="561"/>
        <v>573.23750000000007</v>
      </c>
      <c r="DM155" s="3">
        <f t="shared" si="562"/>
        <v>1132</v>
      </c>
      <c r="DN155" s="64" t="str">
        <f t="shared" si="563"/>
        <v>UNKNOWN</v>
      </c>
      <c r="DO155" s="64" t="str">
        <f t="shared" si="564"/>
        <v>UNKNOWN</v>
      </c>
      <c r="DP155" s="3">
        <f t="shared" si="565"/>
        <v>26562.250625000004</v>
      </c>
      <c r="DQ155" s="3">
        <f t="shared" si="566"/>
        <v>31387.450000000004</v>
      </c>
      <c r="DR155" s="3" t="e">
        <f t="shared" ca="1" si="567"/>
        <v>#NUM!</v>
      </c>
      <c r="DS155" s="3">
        <f t="shared" si="568"/>
        <v>811.54</v>
      </c>
      <c r="DT155" s="3">
        <f t="shared" si="591"/>
        <v>-327</v>
      </c>
      <c r="DU155" s="3">
        <f t="shared" si="592"/>
        <v>805</v>
      </c>
      <c r="DV155" s="3">
        <f t="shared" si="569"/>
        <v>553</v>
      </c>
      <c r="DW155" s="3">
        <f t="shared" si="570"/>
        <v>-170</v>
      </c>
      <c r="DX155" s="3" t="e">
        <f t="shared" ca="1" si="571"/>
        <v>#NUM!</v>
      </c>
      <c r="DY155" s="3" t="e">
        <f t="shared" ca="1" si="572"/>
        <v>#NUM!</v>
      </c>
      <c r="DZ155" s="3" t="e">
        <f t="shared" ca="1" si="573"/>
        <v>#NUM!</v>
      </c>
      <c r="EA155" s="3" t="e">
        <f t="shared" ca="1" si="574"/>
        <v>#NUM!</v>
      </c>
      <c r="EB155" s="3" t="e">
        <f t="shared" ca="1" si="575"/>
        <v>#NUM!</v>
      </c>
      <c r="EC155" s="3" t="e">
        <f t="shared" ca="1" si="576"/>
        <v>#NUM!</v>
      </c>
      <c r="ED155" s="63">
        <f t="shared" si="593"/>
        <v>383</v>
      </c>
      <c r="EE155" s="59">
        <f t="shared" si="577"/>
        <v>0.12520000000000001</v>
      </c>
      <c r="EF155" s="59">
        <f t="shared" si="578"/>
        <v>0.25</v>
      </c>
      <c r="EG155" s="59">
        <f t="shared" si="579"/>
        <v>0.15010000000000001</v>
      </c>
      <c r="EH155" s="59">
        <f t="shared" si="580"/>
        <v>0.25</v>
      </c>
      <c r="EI155" s="59">
        <f t="shared" si="581"/>
        <v>0.27279999999999999</v>
      </c>
      <c r="EJ155" s="59">
        <f t="shared" si="582"/>
        <v>0.28970000000000001</v>
      </c>
      <c r="EK155" s="63" t="e">
        <f t="shared" ca="1" si="594"/>
        <v>#NUM!</v>
      </c>
      <c r="EL155" s="3" t="str">
        <f>RTD("tos.rtd",,EL$43,"."&amp;$B$134&amp;$AS$82&amp;"C"&amp;$A155)</f>
        <v>12.52%</v>
      </c>
      <c r="EM155" s="3" t="str">
        <f>RTD("tos.rtd",,EM$43,"."&amp;$B$134&amp;$AS$82&amp;"P"&amp;$A155)</f>
        <v>--</v>
      </c>
      <c r="EN155" s="3" t="str">
        <f>RTD("tos.rtd",,EN$2,"."&amp;$C$134&amp;$AU$82&amp;"C"&amp;$A155)</f>
        <v>15.01%</v>
      </c>
      <c r="EO155" s="3" t="str">
        <f>RTD("tos.rtd",,EO$2,"."&amp;$C$134&amp;$AU$82&amp;"P"&amp;$A155)</f>
        <v>--</v>
      </c>
      <c r="EP155" s="3" t="str">
        <f>RTD("tos.rtd",,EP$2,"."&amp;$D$134&amp;$AW$82&amp;"C"&amp;$A155)</f>
        <v>27.28%</v>
      </c>
      <c r="EQ155" s="3" t="str">
        <f>RTD("tos.rtd",,EQ$2,"."&amp;$D$134&amp;$AW$82&amp;"P"&amp;$A155)</f>
        <v>28.97%</v>
      </c>
      <c r="ES155" s="63" t="str">
        <f t="shared" si="583"/>
        <v>20100,383.00</v>
      </c>
      <c r="ET155" s="63" t="str">
        <f t="shared" ca="1" si="584"/>
        <v>20100,00.00</v>
      </c>
      <c r="EU155" s="68">
        <v>564.23</v>
      </c>
      <c r="EV155" s="68" t="s">
        <v>1259</v>
      </c>
      <c r="EW155" s="68">
        <v>486.98</v>
      </c>
      <c r="EX155" s="68" t="s">
        <v>1260</v>
      </c>
      <c r="EY155" s="68">
        <v>5631.28</v>
      </c>
      <c r="EZ155" s="68" t="s">
        <v>1261</v>
      </c>
      <c r="FA155" s="68">
        <v>19867.973000000002</v>
      </c>
      <c r="FB155" s="68" t="s">
        <v>1262</v>
      </c>
      <c r="FC155" s="68" t="s">
        <v>1263</v>
      </c>
      <c r="FD155" s="68" t="s">
        <v>1264</v>
      </c>
      <c r="FE155" s="68" t="s">
        <v>1265</v>
      </c>
      <c r="FF155" s="68" t="s">
        <v>1266</v>
      </c>
    </row>
    <row r="156" spans="1:162" ht="11.1" customHeight="1" thickBot="1" x14ac:dyDescent="0.25">
      <c r="A156" s="2">
        <f t="shared" si="595"/>
        <v>20075</v>
      </c>
      <c r="B156" s="3">
        <f t="shared" si="628"/>
        <v>7</v>
      </c>
      <c r="C156" s="3">
        <f t="shared" si="629"/>
        <v>9</v>
      </c>
      <c r="D156" s="3">
        <f t="shared" si="630"/>
        <v>56</v>
      </c>
      <c r="E156" s="3">
        <f t="shared" si="613"/>
        <v>72</v>
      </c>
      <c r="F156" s="4">
        <f t="shared" si="623"/>
        <v>20469.067002587901</v>
      </c>
      <c r="G156" s="5">
        <f t="shared" si="615"/>
        <v>496.11488681600213</v>
      </c>
      <c r="AM156" s="1">
        <v>-195</v>
      </c>
      <c r="AN156" s="1">
        <v>46</v>
      </c>
      <c r="AO156" s="1">
        <v>20075</v>
      </c>
      <c r="AP156" s="1">
        <v>124</v>
      </c>
      <c r="AQ156" s="1">
        <v>-151</v>
      </c>
      <c r="AS156" s="54">
        <f>IF(RTD("tos.rtd",,AS$83,"."&amp;$B$134&amp;$AS$82&amp;"C"&amp;$A156)="N/A",0,RTD("tos.rtd",,AS$83,"."&amp;$B$134&amp;$AS$82&amp;"C"&amp;$A156))</f>
        <v>6</v>
      </c>
      <c r="AT156" s="3">
        <f>-IF(RTD("tos.rtd",,AT$83,"."&amp;$B$134&amp;$AS$82&amp;"P"&amp;$A156)="N/A",0,RTD("tos.rtd",,AT$83,"."&amp;$B$134&amp;$AS$82&amp;"P"&amp;$A156))</f>
        <v>-1</v>
      </c>
      <c r="AU156" s="54">
        <f>IF(RTD("tos.rtd",,AU$2,"."&amp;$C$134&amp;$AU$134&amp;"C"&amp;$A156)="N/A",0,RTD("tos.rtd",,AU$2,"."&amp;$C$134&amp;$AU$134&amp;"C"&amp;$A156))</f>
        <v>6</v>
      </c>
      <c r="AV156" s="3">
        <f>-IF(RTD("tos.rtd",,AV$2,"."&amp;$C$134&amp;$AU$134&amp;"P"&amp;$A156)="N/A",0,RTD("tos.rtd",,AV$2,"."&amp;$C$134&amp;$AU$134&amp;"P"&amp;$A156))</f>
        <v>-3</v>
      </c>
      <c r="AW156" s="54">
        <f>IF(RTD("tos.rtd",,AW$2,"."&amp;$D$134&amp;$AW$134&amp;"C"&amp;$A156)="N/A",0,RTD("tos.rtd",,AW$2,"."&amp;$D$134&amp;$AW$134&amp;"C"&amp;$A156))</f>
        <v>36</v>
      </c>
      <c r="AX156" s="3">
        <f>-IF(RTD("tos.rtd",,AX$2,"."&amp;$D$134&amp;$AW$134&amp;"P"&amp;$A156)="N/A",0,RTD("tos.rtd",,AX$2,"."&amp;$D$134&amp;$AW$134&amp;"P"&amp;$A156))</f>
        <v>-20</v>
      </c>
      <c r="AY156" s="76">
        <f t="shared" si="624"/>
        <v>24</v>
      </c>
      <c r="AZ156" s="8">
        <f t="shared" si="548"/>
        <v>20075</v>
      </c>
      <c r="BA156" s="54">
        <f>IF(RTD("tos.rtd",,BA$43,"."&amp;$B$134&amp;$AS$82&amp;"C"&amp;$A156)="N/A",0,RTD("tos.rtd",,BA$43,"."&amp;$B$134&amp;$AS$82&amp;"C"&amp;$A156))</f>
        <v>0</v>
      </c>
      <c r="BB156" s="3">
        <f>-IF(RTD("tos.rtd",,BB$43,"."&amp;$B$134&amp;$AS$82&amp;"P"&amp;$A156)="N/A",0,RTD("tos.rtd",,BB$43,"."&amp;$B$134&amp;$AS$82&amp;"P"&amp;$A156))</f>
        <v>0</v>
      </c>
      <c r="BC156" s="54">
        <f>IF(RTD("tos.rtd",,BC$2,"."&amp;$C$134&amp;$AU$82&amp;"C"&amp;$A156)="N/A",0,RTD("tos.rtd",,BC$2,"."&amp;$C$134&amp;$AU$82&amp;"C"&amp;$A156))</f>
        <v>247</v>
      </c>
      <c r="BD156" s="3">
        <f>-IF(RTD("tos.rtd",,BD$2,"."&amp;$C$134&amp;$AU$82&amp;"P"&amp;$A156)="N/A",0,RTD("tos.rtd",,BD$2,"."&amp;$C$134&amp;$AU$82&amp;"P"&amp;$A156))</f>
        <v>-165</v>
      </c>
      <c r="BE156" s="54">
        <f>IF(RTD("tos.rtd",,BE$2,"."&amp;$D$134&amp;$AW$82&amp;"C"&amp;$A156)="N/A",0,RTD("tos.rtd",,BE$2,"."&amp;$D$134&amp;$AW$82&amp;"C"&amp;$A156))</f>
        <v>36</v>
      </c>
      <c r="BF156" s="3">
        <f>-IF(RTD("tos.rtd",,BF$2,"."&amp;$D$134&amp;$AW$82&amp;"P"&amp;$A156)="N/A",0,RTD("tos.rtd",,BF$2,"."&amp;$D$134&amp;$AW$82&amp;"P"&amp;$A156))</f>
        <v>-26</v>
      </c>
      <c r="BG156" s="3">
        <f ca="1">+Hoja2!Y157</f>
        <v>-2</v>
      </c>
      <c r="BH156" s="7">
        <f t="shared" ca="1" si="549"/>
        <v>90</v>
      </c>
      <c r="BI156" s="32" t="str">
        <f t="shared" ca="1" si="609"/>
        <v/>
      </c>
      <c r="BJ156" s="3" t="e">
        <f ca="1">IF($BP$1=1,DX156,IF(RTD("tos.rtd",,BJ$43,"."&amp;$B$134&amp;$AS$82&amp;"C"&amp;$A156)="N/A",0,RTD("tos.rtd",,BJ$43,"."&amp;$B$134&amp;$AS$82&amp;"C"&amp;$A156)))</f>
        <v>#NUM!</v>
      </c>
      <c r="BK156" s="3" t="e">
        <f ca="1">IF($BP$1=1,DY156,-IF(RTD("tos.rtd",,BK$43,"."&amp;$B$134&amp;$AS$82&amp;"P"&amp;$A156)="N/A",0,RTD("tos.rtd",,BK$43,"."&amp;$B$134&amp;$AS$82&amp;"P"&amp;$A156)))</f>
        <v>#NUM!</v>
      </c>
      <c r="BL156" s="3" t="e">
        <f ca="1">IF($BP$1=1,DZ156,IF(RTD("tos.rtd",,BL$2,"."&amp;$C$134&amp;$AU$82&amp;"C"&amp;$A156)="N/A",0,RTD("tos.rtd",,BL$2,"."&amp;$C$134&amp;$AU$82&amp;"C"&amp;$A156)))</f>
        <v>#NUM!</v>
      </c>
      <c r="BM156" s="3" t="e">
        <f ca="1">IF($BP$1=1,EA156,-IF(RTD("tos.rtd",,BM$2,"."&amp;$C$134&amp;$AU$82&amp;"P"&amp;$A156)="N/A",0,RTD("tos.rtd",,BM$2,"."&amp;$C$134&amp;$AU$82&amp;"P"&amp;$A156)))</f>
        <v>#NUM!</v>
      </c>
      <c r="BN156" s="3" t="e">
        <f ca="1">IF($BP$1=1,EB156,IF(RTD("tos.rtd",,BN$2,"."&amp;$D$134&amp;$AW$82&amp;"C"&amp;$A156)="N/A",0,RTD("tos.rtd",,BN$2,"."&amp;$D$134&amp;$AW$82&amp;"C"&amp;$A156)))</f>
        <v>#NUM!</v>
      </c>
      <c r="BO156" s="3" t="e">
        <f ca="1">IF($BP$1=1,EC156,-IF(RTD("tos.rtd",,BO$2,"."&amp;$D$134&amp;$AW$82&amp;"P"&amp;$A156)="N/A",0,RTD("tos.rtd",,BO$2,"."&amp;$D$134&amp;$AW$82&amp;"P"&amp;$A156)))</f>
        <v>#NUM!</v>
      </c>
      <c r="BQ156" s="3" t="e">
        <f t="shared" ca="1" si="625"/>
        <v>#NUM!</v>
      </c>
      <c r="BR156" s="3" t="e">
        <f t="shared" ca="1" si="550"/>
        <v>#NUM!</v>
      </c>
      <c r="BS156" s="3" t="e">
        <f t="shared" ca="1" si="626"/>
        <v>#NUM!</v>
      </c>
      <c r="BT156" s="3" t="e">
        <f t="shared" ca="1" si="551"/>
        <v>#NUM!</v>
      </c>
      <c r="BU156" s="3" t="e">
        <f t="shared" ca="1" si="627"/>
        <v>#NUM!</v>
      </c>
      <c r="BV156" s="3" t="e">
        <f t="shared" ca="1" si="551"/>
        <v>#NUM!</v>
      </c>
      <c r="BX156" s="3" t="e">
        <f t="shared" ca="1" si="585"/>
        <v>#NUM!</v>
      </c>
      <c r="BY156" s="3" t="e">
        <f t="shared" ca="1" si="586"/>
        <v>#NUM!</v>
      </c>
      <c r="BZ156" s="3" t="e">
        <f t="shared" ca="1" si="587"/>
        <v>#NUM!</v>
      </c>
      <c r="CA156" s="3" t="e">
        <f t="shared" ca="1" si="586"/>
        <v>#NUM!</v>
      </c>
      <c r="CB156" s="3" t="e">
        <f t="shared" ca="1" si="588"/>
        <v>#NUM!</v>
      </c>
      <c r="CC156" s="3" t="e">
        <f t="shared" ca="1" si="586"/>
        <v>#NUM!</v>
      </c>
      <c r="CD156" s="3">
        <f>IF(RTD("tos.rtd",,CD$43,"."&amp;$B$134&amp;$AS$82&amp;"C"&amp;$A156)="N/A",0,RTD("tos.rtd",,CD$43,"."&amp;$B$134&amp;$AS$82&amp;"C"&amp;$A156))</f>
        <v>0.17</v>
      </c>
      <c r="CE156" s="3">
        <f>-IF(RTD("tos.rtd",,CE$43,"."&amp;$B$134&amp;$AS$82&amp;"P"&amp;$A156)="N/A",0,RTD("tos.rtd",,CE$43,"."&amp;$B$134&amp;$AS$82&amp;"P"&amp;$A156))</f>
        <v>0.78</v>
      </c>
      <c r="CF156" s="3">
        <f>IF(RTD("tos.rtd",,CF$2,"."&amp;$C$134&amp;$AU$82&amp;"C"&amp;$A156)="N/A",0,RTD("tos.rtd",,CF$2,"."&amp;$C$134&amp;$AU$82&amp;"C"&amp;$A156))</f>
        <v>0.09</v>
      </c>
      <c r="CG156" s="3">
        <f>-IF(RTD("tos.rtd",,CG$2,"."&amp;$C$134&amp;$AU$82&amp;"P"&amp;$A156)="N/A",0,RTD("tos.rtd",,CG$2,"."&amp;$C$134&amp;$AU$82&amp;"P"&amp;$A156))</f>
        <v>0.93</v>
      </c>
      <c r="CH156" s="3">
        <f>IF(RTD("tos.rtd",,CH$2,"."&amp;$D$134&amp;$AW$82&amp;"C"&amp;$A156)="N/A",0,RTD("tos.rtd",,CH$2,"."&amp;$D$134&amp;$AW$82&amp;"C"&amp;$A156))</f>
        <v>0.5</v>
      </c>
      <c r="CI156" s="3">
        <f>-IF(RTD("tos.rtd",,CI$2,"."&amp;$D$134&amp;$AW$82&amp;"P"&amp;$A156)="N/A",0,RTD("tos.rtd",,CI$2,"."&amp;$D$134&amp;$AW$82&amp;"P"&amp;$A156))</f>
        <v>0.49</v>
      </c>
      <c r="CK156" s="3">
        <f t="shared" si="620"/>
        <v>24</v>
      </c>
      <c r="CL156" s="3"/>
      <c r="CM156" s="3">
        <f t="shared" si="621"/>
        <v>-225</v>
      </c>
      <c r="CN156" s="3"/>
      <c r="CO156" s="3">
        <f t="shared" si="622"/>
        <v>819.99999999999989</v>
      </c>
      <c r="CP156" s="3">
        <f t="shared" si="542"/>
        <v>618.99999999999989</v>
      </c>
      <c r="CQ156" s="3">
        <f t="shared" si="552"/>
        <v>0</v>
      </c>
      <c r="CR156" s="3"/>
      <c r="CS156" s="3">
        <f t="shared" si="553"/>
        <v>82</v>
      </c>
      <c r="CT156" s="3"/>
      <c r="CU156" s="3">
        <f t="shared" si="554"/>
        <v>10</v>
      </c>
      <c r="CV156" s="3"/>
      <c r="CW156" s="3" t="e">
        <f t="shared" ca="1" si="555"/>
        <v>#NUM!</v>
      </c>
      <c r="CY156" s="3" t="e">
        <f t="shared" ca="1" si="556"/>
        <v>#NUM!</v>
      </c>
      <c r="CZ156" s="70" t="e">
        <f t="shared" ca="1" si="589"/>
        <v>#NUM!</v>
      </c>
      <c r="DA156" s="3">
        <f>IF(RTD("tos.rtd",,DA$43,"."&amp;$B$134&amp;$AS$82&amp;"C"&amp;$A156)="N/A",0,RTD("tos.rtd",,DA$43,"."&amp;$B$134&amp;$AS$82&amp;"C"&amp;$A156))</f>
        <v>2.6</v>
      </c>
      <c r="DB156" s="3">
        <f>IF(RTD("tos.rtd",,DB$43,"."&amp;$B$134&amp;$AS$82&amp;"P"&amp;$A156)="N/A",0,RTD("tos.rtd",,DB$43,"."&amp;$B$134&amp;$AS$82&amp;"P"&amp;$A156))</f>
        <v>15</v>
      </c>
      <c r="DC156" s="3">
        <f>IF(RTD("tos.rtd",,DC$43,"."&amp;$B$134&amp;$AS$82&amp;"C"&amp;$A156)="N/A",0,RTD("tos.rtd",,DC$43,"."&amp;$B$134&amp;$AS$82&amp;"C"&amp;$A156))</f>
        <v>2.6</v>
      </c>
      <c r="DD156" s="3">
        <f>IF(RTD("tos.rtd",,DD$43,"."&amp;$B$134&amp;$AS$82&amp;"P"&amp;$A156)="N/A",0,RTD("tos.rtd",,DD$43,"."&amp;$B$134&amp;$AS$82&amp;"P"&amp;$A156))</f>
        <v>22</v>
      </c>
      <c r="DE156" s="3">
        <f>IF(RTD("tos.rtd",,DE$43,"."&amp;$B$134&amp;$AS$82&amp;"C"&amp;$A156)="N/A",0,RTD("tos.rtd",,DE$43,"."&amp;$B$134&amp;$AS$82&amp;"C"&amp;$A156))</f>
        <v>0</v>
      </c>
      <c r="DF156" s="3">
        <f>IF(RTD("tos.rtd",,DF$43,"."&amp;$B$134&amp;$AS$82&amp;"P"&amp;$A156)="N/A",0,RTD("tos.rtd",,DF$43,"."&amp;$B$134&amp;$AS$82&amp;"P"&amp;$A156))</f>
        <v>9.1999999999999993</v>
      </c>
      <c r="DG156" s="86">
        <f t="shared" si="590"/>
        <v>13.550999999999476</v>
      </c>
      <c r="DH156" s="3">
        <f t="shared" si="557"/>
        <v>-124</v>
      </c>
      <c r="DI156" s="3">
        <f t="shared" si="558"/>
        <v>68.421875000000014</v>
      </c>
      <c r="DJ156" s="3">
        <f t="shared" si="559"/>
        <v>-124</v>
      </c>
      <c r="DK156" s="3">
        <f t="shared" si="560"/>
        <v>0</v>
      </c>
      <c r="DL156" s="3">
        <f t="shared" si="561"/>
        <v>-55.578124999999986</v>
      </c>
      <c r="DM156" s="3">
        <f t="shared" si="562"/>
        <v>-124</v>
      </c>
      <c r="DN156" s="64" t="str">
        <f t="shared" si="563"/>
        <v>UNKNOWN</v>
      </c>
      <c r="DO156" s="64" t="str">
        <f t="shared" si="564"/>
        <v>UNKNOWN</v>
      </c>
      <c r="DP156" s="3">
        <f t="shared" si="565"/>
        <v>703.92812500000014</v>
      </c>
      <c r="DQ156" s="3">
        <f t="shared" si="566"/>
        <v>-322.40000000000003</v>
      </c>
      <c r="DR156" s="3" t="e">
        <f t="shared" ca="1" si="567"/>
        <v>#NUM!</v>
      </c>
      <c r="DS156" s="3">
        <f t="shared" si="568"/>
        <v>-21.080000000000002</v>
      </c>
      <c r="DT156" s="3">
        <f t="shared" si="591"/>
        <v>-124</v>
      </c>
      <c r="DU156" s="3">
        <f t="shared" si="592"/>
        <v>151</v>
      </c>
      <c r="DV156" s="3">
        <f t="shared" si="569"/>
        <v>-195</v>
      </c>
      <c r="DW156" s="3">
        <f t="shared" si="570"/>
        <v>46</v>
      </c>
      <c r="DX156" s="3" t="e">
        <f t="shared" ca="1" si="571"/>
        <v>#NUM!</v>
      </c>
      <c r="DY156" s="3" t="e">
        <f t="shared" ca="1" si="572"/>
        <v>#NUM!</v>
      </c>
      <c r="DZ156" s="3" t="e">
        <f t="shared" ca="1" si="573"/>
        <v>#NUM!</v>
      </c>
      <c r="EA156" s="3" t="e">
        <f t="shared" ca="1" si="574"/>
        <v>#NUM!</v>
      </c>
      <c r="EB156" s="3" t="e">
        <f t="shared" ca="1" si="575"/>
        <v>#NUM!</v>
      </c>
      <c r="EC156" s="3" t="e">
        <f t="shared" ca="1" si="576"/>
        <v>#NUM!</v>
      </c>
      <c r="ED156" s="63">
        <f t="shared" si="593"/>
        <v>-149</v>
      </c>
      <c r="EE156" s="59">
        <f t="shared" si="577"/>
        <v>9.3700000000000006E-2</v>
      </c>
      <c r="EF156" s="59">
        <f t="shared" si="578"/>
        <v>0.113</v>
      </c>
      <c r="EG156" s="59">
        <f t="shared" si="579"/>
        <v>6.5600000000000006E-2</v>
      </c>
      <c r="EH156" s="59">
        <f t="shared" si="580"/>
        <v>6.1199999999999997E-2</v>
      </c>
      <c r="EI156" s="59">
        <f t="shared" si="581"/>
        <v>0.2737</v>
      </c>
      <c r="EJ156" s="59">
        <f t="shared" si="582"/>
        <v>0.29060000000000002</v>
      </c>
      <c r="EK156" s="63" t="e">
        <f t="shared" ca="1" si="594"/>
        <v>#NUM!</v>
      </c>
      <c r="EL156" s="3" t="str">
        <f>RTD("tos.rtd",,EL$43,"."&amp;$B$134&amp;$AS$82&amp;"C"&amp;$A156)</f>
        <v>9.37%</v>
      </c>
      <c r="EM156" s="3" t="str">
        <f>RTD("tos.rtd",,EM$43,"."&amp;$B$134&amp;$AS$82&amp;"P"&amp;$A156)</f>
        <v>11.30%</v>
      </c>
      <c r="EN156" s="3" t="str">
        <f>RTD("tos.rtd",,EN$2,"."&amp;$C$134&amp;$AU$82&amp;"C"&amp;$A156)</f>
        <v>6.56%</v>
      </c>
      <c r="EO156" s="3" t="str">
        <f>RTD("tos.rtd",,EO$2,"."&amp;$C$134&amp;$AU$82&amp;"P"&amp;$A156)</f>
        <v>6.12%</v>
      </c>
      <c r="EP156" s="3" t="str">
        <f>RTD("tos.rtd",,EP$2,"."&amp;$D$134&amp;$AW$82&amp;"C"&amp;$A156)</f>
        <v>27.37%</v>
      </c>
      <c r="EQ156" s="3" t="str">
        <f>RTD("tos.rtd",,EQ$2,"."&amp;$D$134&amp;$AW$82&amp;"P"&amp;$A156)</f>
        <v>29.06%</v>
      </c>
      <c r="ES156" s="63" t="str">
        <f t="shared" si="583"/>
        <v>20075,-149.00</v>
      </c>
      <c r="ET156" s="63" t="str">
        <f t="shared" ca="1" si="584"/>
        <v>20075,00.00</v>
      </c>
      <c r="EU156" s="68">
        <v>564.23</v>
      </c>
      <c r="EV156" s="68" t="s">
        <v>1267</v>
      </c>
      <c r="EW156" s="68">
        <v>487</v>
      </c>
      <c r="EX156" s="68" t="s">
        <v>1268</v>
      </c>
      <c r="EY156" s="68">
        <v>5631.28</v>
      </c>
      <c r="EZ156" s="68" t="s">
        <v>1269</v>
      </c>
      <c r="FA156" s="68">
        <v>19867.973000000002</v>
      </c>
      <c r="FB156" s="68" t="s">
        <v>1270</v>
      </c>
      <c r="FC156" s="68" t="s">
        <v>1271</v>
      </c>
      <c r="FD156" s="68" t="s">
        <v>1272</v>
      </c>
      <c r="FE156" s="68" t="s">
        <v>1273</v>
      </c>
      <c r="FF156" s="68" t="s">
        <v>1274</v>
      </c>
    </row>
    <row r="157" spans="1:162" ht="11.1" customHeight="1" thickBot="1" x14ac:dyDescent="0.25">
      <c r="A157" s="2">
        <f t="shared" si="595"/>
        <v>20050</v>
      </c>
      <c r="B157" s="3">
        <f t="shared" si="628"/>
        <v>12</v>
      </c>
      <c r="C157" s="3">
        <f t="shared" si="629"/>
        <v>82</v>
      </c>
      <c r="D157" s="3">
        <f t="shared" si="630"/>
        <v>43</v>
      </c>
      <c r="E157" s="3">
        <f t="shared" si="613"/>
        <v>137</v>
      </c>
      <c r="F157" s="4">
        <f t="shared" si="623"/>
        <v>20443.576259122659</v>
      </c>
      <c r="G157" s="5">
        <f t="shared" si="615"/>
        <v>495.49706005782531</v>
      </c>
      <c r="AM157" s="1">
        <v>-236</v>
      </c>
      <c r="AN157" s="1">
        <v>10</v>
      </c>
      <c r="AO157" s="1">
        <v>20050</v>
      </c>
      <c r="AP157" s="1">
        <v>99</v>
      </c>
      <c r="AQ157" s="1">
        <v>-397</v>
      </c>
      <c r="AS157" s="54">
        <f>IF(RTD("tos.rtd",,AS$83,"."&amp;$B$134&amp;$AS$82&amp;"C"&amp;$A157)="N/A",0,RTD("tos.rtd",,AS$83,"."&amp;$B$134&amp;$AS$82&amp;"C"&amp;$A157))</f>
        <v>12</v>
      </c>
      <c r="AT157" s="3">
        <f>-IF(RTD("tos.rtd",,AT$83,"."&amp;$B$134&amp;$AS$82&amp;"P"&amp;$A157)="N/A",0,RTD("tos.rtd",,AT$83,"."&amp;$B$134&amp;$AS$82&amp;"P"&amp;$A157))</f>
        <v>0</v>
      </c>
      <c r="AU157" s="54">
        <f>IF(RTD("tos.rtd",,AU$2,"."&amp;$C$134&amp;$AU$134&amp;"C"&amp;$A157)="N/A",0,RTD("tos.rtd",,AU$2,"."&amp;$C$134&amp;$AU$134&amp;"C"&amp;$A157))</f>
        <v>73</v>
      </c>
      <c r="AV157" s="3">
        <f>-IF(RTD("tos.rtd",,AV$2,"."&amp;$C$134&amp;$AU$134&amp;"P"&amp;$A157)="N/A",0,RTD("tos.rtd",,AV$2,"."&amp;$C$134&amp;$AU$134&amp;"P"&amp;$A157))</f>
        <v>-9</v>
      </c>
      <c r="AW157" s="54">
        <f>IF(RTD("tos.rtd",,AW$2,"."&amp;$D$134&amp;$AW$134&amp;"C"&amp;$A157)="N/A",0,RTD("tos.rtd",,AW$2,"."&amp;$D$134&amp;$AW$134&amp;"C"&amp;$A157))</f>
        <v>30</v>
      </c>
      <c r="AX157" s="3">
        <f>-IF(RTD("tos.rtd",,AX$2,"."&amp;$D$134&amp;$AW$134&amp;"P"&amp;$A157)="N/A",0,RTD("tos.rtd",,AX$2,"."&amp;$D$134&amp;$AW$134&amp;"P"&amp;$A157))</f>
        <v>-13</v>
      </c>
      <c r="AY157" s="76">
        <f t="shared" si="624"/>
        <v>93</v>
      </c>
      <c r="AZ157" s="8">
        <f t="shared" si="548"/>
        <v>20050</v>
      </c>
      <c r="BA157" s="54">
        <f>IF(RTD("tos.rtd",,BA$43,"."&amp;$B$134&amp;$AS$82&amp;"C"&amp;$A157)="N/A",0,RTD("tos.rtd",,BA$43,"."&amp;$B$134&amp;$AS$82&amp;"C"&amp;$A157))</f>
        <v>0</v>
      </c>
      <c r="BB157" s="3">
        <f>-IF(RTD("tos.rtd",,BB$43,"."&amp;$B$134&amp;$AS$82&amp;"P"&amp;$A157)="N/A",0,RTD("tos.rtd",,BB$43,"."&amp;$B$134&amp;$AS$82&amp;"P"&amp;$A157))</f>
        <v>0</v>
      </c>
      <c r="BC157" s="54">
        <f>IF(RTD("tos.rtd",,BC$2,"."&amp;$C$134&amp;$AU$82&amp;"C"&amp;$A157)="N/A",0,RTD("tos.rtd",,BC$2,"."&amp;$C$134&amp;$AU$82&amp;"C"&amp;$A157))</f>
        <v>489</v>
      </c>
      <c r="BD157" s="3">
        <f>-IF(RTD("tos.rtd",,BD$2,"."&amp;$C$134&amp;$AU$82&amp;"P"&amp;$A157)="N/A",0,RTD("tos.rtd",,BD$2,"."&amp;$C$134&amp;$AU$82&amp;"P"&amp;$A157))</f>
        <v>-542</v>
      </c>
      <c r="BE157" s="54">
        <f>IF(RTD("tos.rtd",,BE$2,"."&amp;$D$134&amp;$AW$82&amp;"C"&amp;$A157)="N/A",0,RTD("tos.rtd",,BE$2,"."&amp;$D$134&amp;$AW$82&amp;"C"&amp;$A157))</f>
        <v>4</v>
      </c>
      <c r="BF157" s="3">
        <f>-IF(RTD("tos.rtd",,BF$2,"."&amp;$D$134&amp;$AW$82&amp;"P"&amp;$A157)="N/A",0,RTD("tos.rtd",,BF$2,"."&amp;$D$134&amp;$AW$82&amp;"P"&amp;$A157))</f>
        <v>-17</v>
      </c>
      <c r="BG157" s="3">
        <f ca="1">+Hoja2!Y158</f>
        <v>19</v>
      </c>
      <c r="BH157" s="7">
        <f t="shared" ca="1" si="549"/>
        <v>-47</v>
      </c>
      <c r="BI157" s="32" t="str">
        <f t="shared" ca="1" si="609"/>
        <v>Cruce -</v>
      </c>
      <c r="BJ157" s="3" t="e">
        <f ca="1">IF($BP$1=1,DX157,IF(RTD("tos.rtd",,BJ$43,"."&amp;$B$134&amp;$AS$82&amp;"C"&amp;$A157)="N/A",0,RTD("tos.rtd",,BJ$43,"."&amp;$B$134&amp;$AS$82&amp;"C"&amp;$A157)))</f>
        <v>#NUM!</v>
      </c>
      <c r="BK157" s="3" t="e">
        <f ca="1">IF($BP$1=1,DY157,-IF(RTD("tos.rtd",,BK$43,"."&amp;$B$134&amp;$AS$82&amp;"P"&amp;$A157)="N/A",0,RTD("tos.rtd",,BK$43,"."&amp;$B$134&amp;$AS$82&amp;"P"&amp;$A157)))</f>
        <v>#NUM!</v>
      </c>
      <c r="BL157" s="3" t="e">
        <f ca="1">IF($BP$1=1,DZ157,IF(RTD("tos.rtd",,BL$2,"."&amp;$C$134&amp;$AU$82&amp;"C"&amp;$A157)="N/A",0,RTD("tos.rtd",,BL$2,"."&amp;$C$134&amp;$AU$82&amp;"C"&amp;$A157)))</f>
        <v>#NUM!</v>
      </c>
      <c r="BM157" s="3" t="e">
        <f ca="1">IF($BP$1=1,EA157,-IF(RTD("tos.rtd",,BM$2,"."&amp;$C$134&amp;$AU$82&amp;"P"&amp;$A157)="N/A",0,RTD("tos.rtd",,BM$2,"."&amp;$C$134&amp;$AU$82&amp;"P"&amp;$A157)))</f>
        <v>#NUM!</v>
      </c>
      <c r="BN157" s="3" t="e">
        <f ca="1">IF($BP$1=1,EB157,IF(RTD("tos.rtd",,BN$2,"."&amp;$D$134&amp;$AW$82&amp;"C"&amp;$A157)="N/A",0,RTD("tos.rtd",,BN$2,"."&amp;$D$134&amp;$AW$82&amp;"C"&amp;$A157)))</f>
        <v>#NUM!</v>
      </c>
      <c r="BO157" s="3" t="e">
        <f ca="1">IF($BP$1=1,EC157,-IF(RTD("tos.rtd",,BO$2,"."&amp;$D$134&amp;$AW$82&amp;"P"&amp;$A157)="N/A",0,RTD("tos.rtd",,BO$2,"."&amp;$D$134&amp;$AW$82&amp;"P"&amp;$A157)))</f>
        <v>#NUM!</v>
      </c>
      <c r="BQ157" s="3" t="e">
        <f t="shared" ca="1" si="625"/>
        <v>#NUM!</v>
      </c>
      <c r="BR157" s="3" t="e">
        <f t="shared" ca="1" si="550"/>
        <v>#NUM!</v>
      </c>
      <c r="BS157" s="3" t="e">
        <f t="shared" ca="1" si="626"/>
        <v>#NUM!</v>
      </c>
      <c r="BT157" s="3" t="e">
        <f t="shared" ca="1" si="551"/>
        <v>#NUM!</v>
      </c>
      <c r="BU157" s="3" t="e">
        <f t="shared" ca="1" si="627"/>
        <v>#NUM!</v>
      </c>
      <c r="BV157" s="3" t="e">
        <f t="shared" ca="1" si="551"/>
        <v>#NUM!</v>
      </c>
      <c r="BX157" s="3" t="e">
        <f t="shared" ca="1" si="585"/>
        <v>#NUM!</v>
      </c>
      <c r="BY157" s="3" t="e">
        <f t="shared" ca="1" si="586"/>
        <v>#NUM!</v>
      </c>
      <c r="BZ157" s="3" t="e">
        <f t="shared" ca="1" si="587"/>
        <v>#NUM!</v>
      </c>
      <c r="CA157" s="3" t="e">
        <f t="shared" ca="1" si="586"/>
        <v>#NUM!</v>
      </c>
      <c r="CB157" s="3" t="e">
        <f t="shared" ca="1" si="588"/>
        <v>#NUM!</v>
      </c>
      <c r="CC157" s="3" t="e">
        <f t="shared" ca="1" si="586"/>
        <v>#NUM!</v>
      </c>
      <c r="CD157" s="3">
        <f>IF(RTD("tos.rtd",,CD$43,"."&amp;$B$134&amp;$AS$82&amp;"C"&amp;$A157)="N/A",0,RTD("tos.rtd",,CD$43,"."&amp;$B$134&amp;$AS$82&amp;"C"&amp;$A157))</f>
        <v>0.74</v>
      </c>
      <c r="CE157" s="3">
        <f>-IF(RTD("tos.rtd",,CE$43,"."&amp;$B$134&amp;$AS$82&amp;"P"&amp;$A157)="N/A",0,RTD("tos.rtd",,CE$43,"."&amp;$B$134&amp;$AS$82&amp;"P"&amp;$A157))</f>
        <v>0.16</v>
      </c>
      <c r="CF157" s="3">
        <f>IF(RTD("tos.rtd",,CF$2,"."&amp;$C$134&amp;$AU$82&amp;"C"&amp;$A157)="N/A",0,RTD("tos.rtd",,CF$2,"."&amp;$C$134&amp;$AU$82&amp;"C"&amp;$A157))</f>
        <v>0.76</v>
      </c>
      <c r="CG157" s="3">
        <f>-IF(RTD("tos.rtd",,CG$2,"."&amp;$C$134&amp;$AU$82&amp;"P"&amp;$A157)="N/A",0,RTD("tos.rtd",,CG$2,"."&amp;$C$134&amp;$AU$82&amp;"P"&amp;$A157))</f>
        <v>0.11</v>
      </c>
      <c r="CH157" s="3">
        <f>IF(RTD("tos.rtd",,CH$2,"."&amp;$D$134&amp;$AW$82&amp;"C"&amp;$A157)="N/A",0,RTD("tos.rtd",,CH$2,"."&amp;$D$134&amp;$AW$82&amp;"C"&amp;$A157))</f>
        <v>0.52</v>
      </c>
      <c r="CI157" s="3">
        <f>-IF(RTD("tos.rtd",,CI$2,"."&amp;$D$134&amp;$AW$82&amp;"P"&amp;$A157)="N/A",0,RTD("tos.rtd",,CI$2,"."&amp;$D$134&amp;$AW$82&amp;"P"&amp;$A157))</f>
        <v>0.48</v>
      </c>
      <c r="CK157" s="3">
        <f t="shared" si="620"/>
        <v>887.99999999999989</v>
      </c>
      <c r="CL157" s="3"/>
      <c r="CM157" s="3">
        <f t="shared" si="621"/>
        <v>5449</v>
      </c>
      <c r="CN157" s="3"/>
      <c r="CO157" s="3">
        <f t="shared" si="622"/>
        <v>936.00000000000023</v>
      </c>
      <c r="CP157" s="3">
        <f t="shared" si="542"/>
        <v>7273</v>
      </c>
      <c r="CQ157" s="3">
        <f t="shared" si="552"/>
        <v>0</v>
      </c>
      <c r="CR157" s="3"/>
      <c r="CS157" s="3">
        <f t="shared" si="553"/>
        <v>-53</v>
      </c>
      <c r="CT157" s="3"/>
      <c r="CU157" s="3">
        <f t="shared" si="554"/>
        <v>-13</v>
      </c>
      <c r="CV157" s="3"/>
      <c r="CW157" s="3" t="e">
        <f t="shared" ca="1" si="555"/>
        <v>#NUM!</v>
      </c>
      <c r="CY157" s="3" t="e">
        <f t="shared" ca="1" si="556"/>
        <v>#NUM!</v>
      </c>
      <c r="CZ157" s="70" t="e">
        <f t="shared" ca="1" si="589"/>
        <v>#NUM!</v>
      </c>
      <c r="DA157" s="3">
        <f>IF(RTD("tos.rtd",,DA$43,"."&amp;$B$134&amp;$AS$82&amp;"C"&amp;$A157)="N/A",0,RTD("tos.rtd",,DA$43,"."&amp;$B$134&amp;$AS$82&amp;"C"&amp;$A157))</f>
        <v>107.1</v>
      </c>
      <c r="DB157" s="3">
        <f>IF(RTD("tos.rtd",,DB$43,"."&amp;$B$134&amp;$AS$82&amp;"P"&amp;$A157)="N/A",0,RTD("tos.rtd",,DB$43,"."&amp;$B$134&amp;$AS$82&amp;"P"&amp;$A157))</f>
        <v>1.3</v>
      </c>
      <c r="DC157" s="3">
        <f>IF(RTD("tos.rtd",,DC$43,"."&amp;$B$134&amp;$AS$82&amp;"C"&amp;$A157)="N/A",0,RTD("tos.rtd",,DC$43,"."&amp;$B$134&amp;$AS$82&amp;"C"&amp;$A157))</f>
        <v>16.8</v>
      </c>
      <c r="DD157" s="3">
        <f>IF(RTD("tos.rtd",,DD$43,"."&amp;$B$134&amp;$AS$82&amp;"P"&amp;$A157)="N/A",0,RTD("tos.rtd",,DD$43,"."&amp;$B$134&amp;$AS$82&amp;"P"&amp;$A157))</f>
        <v>2</v>
      </c>
      <c r="DE157" s="3">
        <f>IF(RTD("tos.rtd",,DE$43,"."&amp;$B$134&amp;$AS$82&amp;"C"&amp;$A157)="N/A",0,RTD("tos.rtd",,DE$43,"."&amp;$B$134&amp;$AS$82&amp;"C"&amp;$A157))</f>
        <v>12</v>
      </c>
      <c r="DF157" s="3">
        <f>IF(RTD("tos.rtd",,DF$43,"."&amp;$B$134&amp;$AS$82&amp;"P"&amp;$A157)="N/A",0,RTD("tos.rtd",,DF$43,"."&amp;$B$134&amp;$AS$82&amp;"P"&amp;$A157))</f>
        <v>0</v>
      </c>
      <c r="DG157" s="86">
        <f t="shared" si="590"/>
        <v>-11.449000000000524</v>
      </c>
      <c r="DH157" s="3">
        <f t="shared" si="557"/>
        <v>-1961.4374999999995</v>
      </c>
      <c r="DI157" s="3">
        <f t="shared" si="558"/>
        <v>258.05</v>
      </c>
      <c r="DJ157" s="3">
        <f t="shared" si="559"/>
        <v>-99</v>
      </c>
      <c r="DK157" s="3">
        <f t="shared" si="560"/>
        <v>397</v>
      </c>
      <c r="DL157" s="3">
        <f t="shared" si="561"/>
        <v>-1703.3874999999996</v>
      </c>
      <c r="DM157" s="3">
        <f t="shared" si="562"/>
        <v>298</v>
      </c>
      <c r="DN157" s="64" t="str">
        <f t="shared" si="563"/>
        <v>UNKNOWN</v>
      </c>
      <c r="DO157" s="64" t="str">
        <f t="shared" si="564"/>
        <v>UNKNOWN</v>
      </c>
      <c r="DP157" s="3">
        <f t="shared" si="565"/>
        <v>-209734.49124999993</v>
      </c>
      <c r="DQ157" s="3">
        <f t="shared" si="566"/>
        <v>-10086.799999999999</v>
      </c>
      <c r="DR157" s="3" t="e">
        <f t="shared" ca="1" si="567"/>
        <v>#NUM!</v>
      </c>
      <c r="DS157" s="3">
        <f t="shared" si="568"/>
        <v>-9.740000000000002</v>
      </c>
      <c r="DT157" s="3">
        <f t="shared" si="591"/>
        <v>-99</v>
      </c>
      <c r="DU157" s="3">
        <f t="shared" si="592"/>
        <v>397</v>
      </c>
      <c r="DV157" s="3">
        <f t="shared" si="569"/>
        <v>-236</v>
      </c>
      <c r="DW157" s="3">
        <f t="shared" si="570"/>
        <v>10</v>
      </c>
      <c r="DX157" s="3" t="e">
        <f t="shared" ca="1" si="571"/>
        <v>#NUM!</v>
      </c>
      <c r="DY157" s="3" t="e">
        <f t="shared" ca="1" si="572"/>
        <v>#NUM!</v>
      </c>
      <c r="DZ157" s="3" t="e">
        <f t="shared" ca="1" si="573"/>
        <v>#NUM!</v>
      </c>
      <c r="EA157" s="3" t="e">
        <f t="shared" ca="1" si="574"/>
        <v>#NUM!</v>
      </c>
      <c r="EB157" s="3" t="e">
        <f t="shared" ca="1" si="575"/>
        <v>#NUM!</v>
      </c>
      <c r="EC157" s="3" t="e">
        <f t="shared" ca="1" si="576"/>
        <v>#NUM!</v>
      </c>
      <c r="ED157" s="63">
        <f t="shared" si="593"/>
        <v>-226</v>
      </c>
      <c r="EE157" s="59">
        <f t="shared" si="577"/>
        <v>0.11990000000000001</v>
      </c>
      <c r="EF157" s="59">
        <f t="shared" si="578"/>
        <v>7.7100000000000002E-2</v>
      </c>
      <c r="EG157" s="59">
        <f t="shared" si="579"/>
        <v>0.1096</v>
      </c>
      <c r="EH157" s="59">
        <f t="shared" si="580"/>
        <v>6.2899999999999998E-2</v>
      </c>
      <c r="EI157" s="59">
        <f t="shared" si="581"/>
        <v>0.27429999999999999</v>
      </c>
      <c r="EJ157" s="59">
        <f t="shared" si="582"/>
        <v>0.29110000000000003</v>
      </c>
      <c r="EK157" s="63" t="e">
        <f t="shared" ca="1" si="594"/>
        <v>#NUM!</v>
      </c>
      <c r="EL157" s="3" t="str">
        <f>RTD("tos.rtd",,EL$43,"."&amp;$B$134&amp;$AS$82&amp;"C"&amp;$A157)</f>
        <v>11.99%</v>
      </c>
      <c r="EM157" s="3" t="str">
        <f>RTD("tos.rtd",,EM$43,"."&amp;$B$134&amp;$AS$82&amp;"P"&amp;$A157)</f>
        <v>7.71%</v>
      </c>
      <c r="EN157" s="3" t="str">
        <f>RTD("tos.rtd",,EN$2,"."&amp;$C$134&amp;$AU$82&amp;"C"&amp;$A157)</f>
        <v>10.96%</v>
      </c>
      <c r="EO157" s="3" t="str">
        <f>RTD("tos.rtd",,EO$2,"."&amp;$C$134&amp;$AU$82&amp;"P"&amp;$A157)</f>
        <v>6.29%</v>
      </c>
      <c r="EP157" s="3" t="str">
        <f>RTD("tos.rtd",,EP$2,"."&amp;$D$134&amp;$AW$82&amp;"C"&amp;$A157)</f>
        <v>27.43%</v>
      </c>
      <c r="EQ157" s="3" t="str">
        <f>RTD("tos.rtd",,EQ$2,"."&amp;$D$134&amp;$AW$82&amp;"P"&amp;$A157)</f>
        <v>29.11%</v>
      </c>
      <c r="ES157" s="63" t="str">
        <f t="shared" si="583"/>
        <v>20050,-226.00</v>
      </c>
      <c r="ET157" s="63" t="str">
        <f t="shared" ca="1" si="584"/>
        <v>20050,00.00</v>
      </c>
      <c r="EU157" s="68">
        <v>564.01</v>
      </c>
      <c r="EV157" s="68" t="s">
        <v>1275</v>
      </c>
      <c r="EW157" s="68">
        <v>486.76</v>
      </c>
      <c r="EX157" s="68" t="s">
        <v>1276</v>
      </c>
      <c r="EY157" s="68">
        <v>5631.28</v>
      </c>
      <c r="EZ157" s="68" t="s">
        <v>1277</v>
      </c>
      <c r="FA157" s="68">
        <v>19867.973000000002</v>
      </c>
      <c r="FB157" s="68" t="s">
        <v>1278</v>
      </c>
      <c r="FC157" s="68" t="s">
        <v>1279</v>
      </c>
      <c r="FD157" s="68" t="s">
        <v>1280</v>
      </c>
      <c r="FE157" s="68" t="s">
        <v>1281</v>
      </c>
      <c r="FF157" s="68" t="s">
        <v>1282</v>
      </c>
    </row>
    <row r="158" spans="1:162" ht="11.1" customHeight="1" thickBot="1" x14ac:dyDescent="0.25">
      <c r="A158" s="2">
        <f t="shared" si="595"/>
        <v>20025</v>
      </c>
      <c r="B158" s="3">
        <f t="shared" si="628"/>
        <v>12</v>
      </c>
      <c r="C158" s="3">
        <f t="shared" si="629"/>
        <v>11</v>
      </c>
      <c r="D158" s="3">
        <f t="shared" si="630"/>
        <v>68</v>
      </c>
      <c r="E158" s="3">
        <f t="shared" si="613"/>
        <v>91</v>
      </c>
      <c r="F158" s="4">
        <f t="shared" si="623"/>
        <v>20418.085515657418</v>
      </c>
      <c r="G158" s="5">
        <f t="shared" si="615"/>
        <v>494.87923329964843</v>
      </c>
      <c r="AM158" s="1">
        <v>-65</v>
      </c>
      <c r="AN158" s="1">
        <v>22</v>
      </c>
      <c r="AO158" s="1">
        <v>20025</v>
      </c>
      <c r="AP158" s="1">
        <v>105</v>
      </c>
      <c r="AQ158" s="1">
        <v>-87</v>
      </c>
      <c r="AS158" s="54">
        <f>IF(RTD("tos.rtd",,AS$83,"."&amp;$B$134&amp;$AS$82&amp;"C"&amp;$A158)="N/A",0,RTD("tos.rtd",,AS$83,"."&amp;$B$134&amp;$AS$82&amp;"C"&amp;$A158))</f>
        <v>10</v>
      </c>
      <c r="AT158" s="3">
        <f>-IF(RTD("tos.rtd",,AT$83,"."&amp;$B$134&amp;$AS$82&amp;"P"&amp;$A158)="N/A",0,RTD("tos.rtd",,AT$83,"."&amp;$B$134&amp;$AS$82&amp;"P"&amp;$A158))</f>
        <v>-2</v>
      </c>
      <c r="AU158" s="54">
        <f>IF(RTD("tos.rtd",,AU$2,"."&amp;$C$134&amp;$AU$134&amp;"C"&amp;$A158)="N/A",0,RTD("tos.rtd",,AU$2,"."&amp;$C$134&amp;$AU$134&amp;"C"&amp;$A158))</f>
        <v>8</v>
      </c>
      <c r="AV158" s="3">
        <f>-IF(RTD("tos.rtd",,AV$2,"."&amp;$C$134&amp;$AU$134&amp;"P"&amp;$A158)="N/A",0,RTD("tos.rtd",,AV$2,"."&amp;$C$134&amp;$AU$134&amp;"P"&amp;$A158))</f>
        <v>-3</v>
      </c>
      <c r="AW158" s="54">
        <f>IF(RTD("tos.rtd",,AW$2,"."&amp;$D$134&amp;$AW$134&amp;"C"&amp;$A158)="N/A",0,RTD("tos.rtd",,AW$2,"."&amp;$D$134&amp;$AW$134&amp;"C"&amp;$A158))</f>
        <v>35</v>
      </c>
      <c r="AX158" s="3">
        <f>-IF(RTD("tos.rtd",,AX$2,"."&amp;$D$134&amp;$AW$134&amp;"P"&amp;$A158)="N/A",0,RTD("tos.rtd",,AX$2,"."&amp;$D$134&amp;$AW$134&amp;"P"&amp;$A158))</f>
        <v>-33</v>
      </c>
      <c r="AY158" s="76">
        <f t="shared" si="624"/>
        <v>15</v>
      </c>
      <c r="AZ158" s="8">
        <f t="shared" si="548"/>
        <v>20025</v>
      </c>
      <c r="BA158" s="54">
        <f>IF(RTD("tos.rtd",,BA$43,"."&amp;$B$134&amp;$AS$82&amp;"C"&amp;$A158)="N/A",0,RTD("tos.rtd",,BA$43,"."&amp;$B$134&amp;$AS$82&amp;"C"&amp;$A158))</f>
        <v>0</v>
      </c>
      <c r="BB158" s="3">
        <f>-IF(RTD("tos.rtd",,BB$43,"."&amp;$B$134&amp;$AS$82&amp;"P"&amp;$A158)="N/A",0,RTD("tos.rtd",,BB$43,"."&amp;$B$134&amp;$AS$82&amp;"P"&amp;$A158))</f>
        <v>0</v>
      </c>
      <c r="BC158" s="54">
        <f>IF(RTD("tos.rtd",,BC$2,"."&amp;$C$134&amp;$AU$82&amp;"C"&amp;$A158)="N/A",0,RTD("tos.rtd",,BC$2,"."&amp;$C$134&amp;$AU$82&amp;"C"&amp;$A158))</f>
        <v>185</v>
      </c>
      <c r="BD158" s="3">
        <f>-IF(RTD("tos.rtd",,BD$2,"."&amp;$C$134&amp;$AU$82&amp;"P"&amp;$A158)="N/A",0,RTD("tos.rtd",,BD$2,"."&amp;$C$134&amp;$AU$82&amp;"P"&amp;$A158))</f>
        <v>-247</v>
      </c>
      <c r="BE158" s="54">
        <f>IF(RTD("tos.rtd",,BE$2,"."&amp;$D$134&amp;$AW$82&amp;"C"&amp;$A158)="N/A",0,RTD("tos.rtd",,BE$2,"."&amp;$D$134&amp;$AW$82&amp;"C"&amp;$A158))</f>
        <v>5</v>
      </c>
      <c r="BF158" s="3">
        <f>-IF(RTD("tos.rtd",,BF$2,"."&amp;$D$134&amp;$AW$82&amp;"P"&amp;$A158)="N/A",0,RTD("tos.rtd",,BF$2,"."&amp;$D$134&amp;$AW$82&amp;"P"&amp;$A158))</f>
        <v>-10</v>
      </c>
      <c r="BG158" s="3">
        <f ca="1">+Hoja2!Y159</f>
        <v>10</v>
      </c>
      <c r="BH158" s="7">
        <f t="shared" ca="1" si="549"/>
        <v>-57</v>
      </c>
      <c r="BI158" s="32" t="str">
        <f t="shared" ca="1" si="609"/>
        <v/>
      </c>
      <c r="BJ158" s="3" t="e">
        <f ca="1">IF($BP$1=1,DX158,IF(RTD("tos.rtd",,BJ$43,"."&amp;$B$134&amp;$AS$82&amp;"C"&amp;$A158)="N/A",0,RTD("tos.rtd",,BJ$43,"."&amp;$B$134&amp;$AS$82&amp;"C"&amp;$A158)))</f>
        <v>#NUM!</v>
      </c>
      <c r="BK158" s="3" t="e">
        <f ca="1">IF($BP$1=1,DY158,-IF(RTD("tos.rtd",,BK$43,"."&amp;$B$134&amp;$AS$82&amp;"P"&amp;$A158)="N/A",0,RTD("tos.rtd",,BK$43,"."&amp;$B$134&amp;$AS$82&amp;"P"&amp;$A158)))</f>
        <v>#NUM!</v>
      </c>
      <c r="BL158" s="3" t="e">
        <f ca="1">IF($BP$1=1,DZ158,IF(RTD("tos.rtd",,BL$2,"."&amp;$C$134&amp;$AU$82&amp;"C"&amp;$A158)="N/A",0,RTD("tos.rtd",,BL$2,"."&amp;$C$134&amp;$AU$82&amp;"C"&amp;$A158)))</f>
        <v>#NUM!</v>
      </c>
      <c r="BM158" s="3" t="e">
        <f ca="1">IF($BP$1=1,EA158,-IF(RTD("tos.rtd",,BM$2,"."&amp;$C$134&amp;$AU$82&amp;"P"&amp;$A158)="N/A",0,RTD("tos.rtd",,BM$2,"."&amp;$C$134&amp;$AU$82&amp;"P"&amp;$A158)))</f>
        <v>#NUM!</v>
      </c>
      <c r="BN158" s="3" t="e">
        <f ca="1">IF($BP$1=1,EB158,IF(RTD("tos.rtd",,BN$2,"."&amp;$D$134&amp;$AW$82&amp;"C"&amp;$A158)="N/A",0,RTD("tos.rtd",,BN$2,"."&amp;$D$134&amp;$AW$82&amp;"C"&amp;$A158)))</f>
        <v>#NUM!</v>
      </c>
      <c r="BO158" s="3" t="e">
        <f ca="1">IF($BP$1=1,EC158,-IF(RTD("tos.rtd",,BO$2,"."&amp;$D$134&amp;$AW$82&amp;"P"&amp;$A158)="N/A",0,RTD("tos.rtd",,BO$2,"."&amp;$D$134&amp;$AW$82&amp;"P"&amp;$A158)))</f>
        <v>#NUM!</v>
      </c>
      <c r="BQ158" s="3" t="e">
        <f t="shared" ca="1" si="625"/>
        <v>#NUM!</v>
      </c>
      <c r="BR158" s="3" t="e">
        <f t="shared" ca="1" si="550"/>
        <v>#NUM!</v>
      </c>
      <c r="BS158" s="3" t="e">
        <f t="shared" ca="1" si="626"/>
        <v>#NUM!</v>
      </c>
      <c r="BT158" s="3" t="e">
        <f t="shared" ca="1" si="551"/>
        <v>#NUM!</v>
      </c>
      <c r="BU158" s="3" t="e">
        <f t="shared" ca="1" si="627"/>
        <v>#NUM!</v>
      </c>
      <c r="BV158" s="3" t="e">
        <f t="shared" ca="1" si="551"/>
        <v>#NUM!</v>
      </c>
      <c r="BX158" s="3" t="e">
        <f t="shared" ca="1" si="585"/>
        <v>#NUM!</v>
      </c>
      <c r="BY158" s="3" t="e">
        <f t="shared" ca="1" si="586"/>
        <v>#NUM!</v>
      </c>
      <c r="BZ158" s="3" t="e">
        <f t="shared" ca="1" si="587"/>
        <v>#NUM!</v>
      </c>
      <c r="CA158" s="3" t="e">
        <f t="shared" ca="1" si="586"/>
        <v>#NUM!</v>
      </c>
      <c r="CB158" s="3" t="e">
        <f t="shared" ca="1" si="588"/>
        <v>#NUM!</v>
      </c>
      <c r="CC158" s="3" t="e">
        <f t="shared" ca="1" si="586"/>
        <v>#NUM!</v>
      </c>
      <c r="CD158" s="3">
        <f>IF(RTD("tos.rtd",,CD$43,"."&amp;$B$134&amp;$AS$82&amp;"C"&amp;$A158)="N/A",0,RTD("tos.rtd",,CD$43,"."&amp;$B$134&amp;$AS$82&amp;"C"&amp;$A158))</f>
        <v>0.74</v>
      </c>
      <c r="CE158" s="3">
        <f>-IF(RTD("tos.rtd",,CE$43,"."&amp;$B$134&amp;$AS$82&amp;"P"&amp;$A158)="N/A",0,RTD("tos.rtd",,CE$43,"."&amp;$B$134&amp;$AS$82&amp;"P"&amp;$A158))</f>
        <v>0.27</v>
      </c>
      <c r="CF158" s="3">
        <f>IF(RTD("tos.rtd",,CF$2,"."&amp;$C$134&amp;$AU$82&amp;"C"&amp;$A158)="N/A",0,RTD("tos.rtd",,CF$2,"."&amp;$C$134&amp;$AU$82&amp;"C"&amp;$A158))</f>
        <v>1</v>
      </c>
      <c r="CG158" s="3">
        <f>-IF(RTD("tos.rtd",,CG$2,"."&amp;$C$134&amp;$AU$82&amp;"P"&amp;$A158)="N/A",0,RTD("tos.rtd",,CG$2,"."&amp;$C$134&amp;$AU$82&amp;"P"&amp;$A158))</f>
        <v>0.06</v>
      </c>
      <c r="CH158" s="3">
        <f>IF(RTD("tos.rtd",,CH$2,"."&amp;$D$134&amp;$AW$82&amp;"C"&amp;$A158)="N/A",0,RTD("tos.rtd",,CH$2,"."&amp;$D$134&amp;$AW$82&amp;"C"&amp;$A158))</f>
        <v>0.54</v>
      </c>
      <c r="CI158" s="3">
        <f>-IF(RTD("tos.rtd",,CI$2,"."&amp;$D$134&amp;$AW$82&amp;"P"&amp;$A158)="N/A",0,RTD("tos.rtd",,CI$2,"."&amp;$D$134&amp;$AW$82&amp;"P"&amp;$A158))</f>
        <v>0.46</v>
      </c>
      <c r="CK158" s="3">
        <f t="shared" si="620"/>
        <v>686</v>
      </c>
      <c r="CL158" s="3"/>
      <c r="CM158" s="3">
        <f t="shared" si="621"/>
        <v>782</v>
      </c>
      <c r="CN158" s="3"/>
      <c r="CO158" s="3">
        <f t="shared" si="622"/>
        <v>372</v>
      </c>
      <c r="CP158" s="3">
        <f t="shared" si="542"/>
        <v>1840</v>
      </c>
      <c r="CQ158" s="3">
        <f t="shared" si="552"/>
        <v>0</v>
      </c>
      <c r="CR158" s="3"/>
      <c r="CS158" s="3">
        <f t="shared" si="553"/>
        <v>-62</v>
      </c>
      <c r="CT158" s="3"/>
      <c r="CU158" s="3">
        <f t="shared" si="554"/>
        <v>-5</v>
      </c>
      <c r="CV158" s="3"/>
      <c r="CW158" s="3" t="e">
        <f t="shared" ca="1" si="555"/>
        <v>#NUM!</v>
      </c>
      <c r="CY158" s="3" t="e">
        <f t="shared" ca="1" si="556"/>
        <v>#NUM!</v>
      </c>
      <c r="CZ158" s="70" t="e">
        <f t="shared" ca="1" si="589"/>
        <v>#NUM!</v>
      </c>
      <c r="DA158" s="3">
        <f>IF(RTD("tos.rtd",,DA$43,"."&amp;$B$134&amp;$AS$82&amp;"C"&amp;$A158)="N/A",0,RTD("tos.rtd",,DA$43,"."&amp;$B$134&amp;$AS$82&amp;"C"&amp;$A158))</f>
        <v>72.55</v>
      </c>
      <c r="DB158" s="3">
        <f>IF(RTD("tos.rtd",,DB$43,"."&amp;$B$134&amp;$AS$82&amp;"P"&amp;$A158)="N/A",0,RTD("tos.rtd",,DB$43,"."&amp;$B$134&amp;$AS$82&amp;"P"&amp;$A158))</f>
        <v>0.05</v>
      </c>
      <c r="DC158" s="3">
        <f>IF(RTD("tos.rtd",,DC$43,"."&amp;$B$134&amp;$AS$82&amp;"C"&amp;$A158)="N/A",0,RTD("tos.rtd",,DC$43,"."&amp;$B$134&amp;$AS$82&amp;"C"&amp;$A158))</f>
        <v>55.3</v>
      </c>
      <c r="DD158" s="3">
        <f>IF(RTD("tos.rtd",,DD$43,"."&amp;$B$134&amp;$AS$82&amp;"P"&amp;$A158)="N/A",0,RTD("tos.rtd",,DD$43,"."&amp;$B$134&amp;$AS$82&amp;"P"&amp;$A158))</f>
        <v>19.8</v>
      </c>
      <c r="DE158" s="3">
        <f>IF(RTD("tos.rtd",,DE$43,"."&amp;$B$134&amp;$AS$82&amp;"C"&amp;$A158)="N/A",0,RTD("tos.rtd",,DE$43,"."&amp;$B$134&amp;$AS$82&amp;"C"&amp;$A158))</f>
        <v>36</v>
      </c>
      <c r="DF158" s="3">
        <f>IF(RTD("tos.rtd",,DF$43,"."&amp;$B$134&amp;$AS$82&amp;"P"&amp;$A158)="N/A",0,RTD("tos.rtd",,DF$43,"."&amp;$B$134&amp;$AS$82&amp;"P"&amp;$A158))</f>
        <v>0</v>
      </c>
      <c r="DG158" s="86">
        <f t="shared" si="590"/>
        <v>-36.449000000000524</v>
      </c>
      <c r="DH158" s="3">
        <f t="shared" si="557"/>
        <v>-198.84715025906738</v>
      </c>
      <c r="DI158" s="3">
        <f t="shared" si="558"/>
        <v>0.21969696969696972</v>
      </c>
      <c r="DJ158" s="3">
        <f t="shared" si="559"/>
        <v>-105</v>
      </c>
      <c r="DK158" s="3">
        <f t="shared" si="560"/>
        <v>-87</v>
      </c>
      <c r="DL158" s="3">
        <f t="shared" si="561"/>
        <v>-198.62745328937041</v>
      </c>
      <c r="DM158" s="3">
        <f t="shared" si="562"/>
        <v>-192</v>
      </c>
      <c r="DN158" s="64" t="str">
        <f t="shared" si="563"/>
        <v>UNKNOWN</v>
      </c>
      <c r="DO158" s="64" t="str">
        <f t="shared" si="564"/>
        <v>UNKNOWN</v>
      </c>
      <c r="DP158" s="3">
        <f t="shared" si="565"/>
        <v>-14426.349766446852</v>
      </c>
      <c r="DQ158" s="3">
        <f t="shared" si="566"/>
        <v>-7622.1</v>
      </c>
      <c r="DR158" s="3" t="e">
        <f t="shared" ca="1" si="567"/>
        <v>#NUM!</v>
      </c>
      <c r="DS158" s="3">
        <f t="shared" si="568"/>
        <v>-101.19</v>
      </c>
      <c r="DT158" s="3">
        <f t="shared" si="591"/>
        <v>-105</v>
      </c>
      <c r="DU158" s="3">
        <f t="shared" si="592"/>
        <v>87</v>
      </c>
      <c r="DV158" s="3">
        <f t="shared" si="569"/>
        <v>-65</v>
      </c>
      <c r="DW158" s="3">
        <f t="shared" si="570"/>
        <v>22</v>
      </c>
      <c r="DX158" s="3" t="e">
        <f t="shared" ca="1" si="571"/>
        <v>#NUM!</v>
      </c>
      <c r="DY158" s="3" t="e">
        <f t="shared" ca="1" si="572"/>
        <v>#NUM!</v>
      </c>
      <c r="DZ158" s="3" t="e">
        <f t="shared" ca="1" si="573"/>
        <v>#NUM!</v>
      </c>
      <c r="EA158" s="3" t="e">
        <f t="shared" ca="1" si="574"/>
        <v>#NUM!</v>
      </c>
      <c r="EB158" s="3" t="e">
        <f t="shared" ca="1" si="575"/>
        <v>#NUM!</v>
      </c>
      <c r="EC158" s="3" t="e">
        <f t="shared" ca="1" si="576"/>
        <v>#NUM!</v>
      </c>
      <c r="ED158" s="63">
        <f t="shared" si="593"/>
        <v>-43</v>
      </c>
      <c r="EE158" s="59">
        <f t="shared" si="577"/>
        <v>0.37959999999999999</v>
      </c>
      <c r="EF158" s="59">
        <f t="shared" si="578"/>
        <v>0.3947</v>
      </c>
      <c r="EG158" s="59">
        <f t="shared" si="579"/>
        <v>0.25</v>
      </c>
      <c r="EH158" s="59">
        <f t="shared" si="580"/>
        <v>0.15190000000000001</v>
      </c>
      <c r="EI158" s="59">
        <f t="shared" si="581"/>
        <v>0.27510000000000001</v>
      </c>
      <c r="EJ158" s="59">
        <f t="shared" si="582"/>
        <v>0.29189999999999999</v>
      </c>
      <c r="EK158" s="63" t="e">
        <f t="shared" ca="1" si="594"/>
        <v>#NUM!</v>
      </c>
      <c r="EL158" s="3" t="str">
        <f>RTD("tos.rtd",,EL$43,"."&amp;$B$134&amp;$AS$82&amp;"C"&amp;$A158)</f>
        <v>37.96%</v>
      </c>
      <c r="EM158" s="3" t="str">
        <f>RTD("tos.rtd",,EM$43,"."&amp;$B$134&amp;$AS$82&amp;"P"&amp;$A158)</f>
        <v>39.47%</v>
      </c>
      <c r="EN158" s="3" t="str">
        <f>RTD("tos.rtd",,EN$2,"."&amp;$C$134&amp;$AU$82&amp;"C"&amp;$A158)</f>
        <v>--</v>
      </c>
      <c r="EO158" s="3" t="str">
        <f>RTD("tos.rtd",,EO$2,"."&amp;$C$134&amp;$AU$82&amp;"P"&amp;$A158)</f>
        <v>15.19%</v>
      </c>
      <c r="EP158" s="3" t="str">
        <f>RTD("tos.rtd",,EP$2,"."&amp;$D$134&amp;$AW$82&amp;"C"&amp;$A158)</f>
        <v>27.51%</v>
      </c>
      <c r="EQ158" s="3" t="str">
        <f>RTD("tos.rtd",,EQ$2,"."&amp;$D$134&amp;$AW$82&amp;"P"&amp;$A158)</f>
        <v>29.19%</v>
      </c>
      <c r="ES158" s="63" t="str">
        <f t="shared" si="583"/>
        <v>20025,-43.00</v>
      </c>
      <c r="ET158" s="63" t="str">
        <f t="shared" ca="1" si="584"/>
        <v>20025,00.00</v>
      </c>
      <c r="EU158" s="68">
        <v>563.98</v>
      </c>
      <c r="EV158" s="68" t="s">
        <v>1283</v>
      </c>
      <c r="EW158" s="68">
        <v>486.77</v>
      </c>
      <c r="EX158" s="68" t="s">
        <v>1284</v>
      </c>
      <c r="EY158" s="68">
        <v>5631.28</v>
      </c>
      <c r="EZ158" s="68" t="s">
        <v>1285</v>
      </c>
      <c r="FA158" s="68">
        <v>19867.973000000002</v>
      </c>
      <c r="FB158" s="68" t="s">
        <v>1286</v>
      </c>
      <c r="FC158" s="68" t="s">
        <v>1287</v>
      </c>
      <c r="FD158" s="68" t="s">
        <v>1288</v>
      </c>
      <c r="FE158" s="68" t="s">
        <v>1289</v>
      </c>
      <c r="FF158" s="68" t="s">
        <v>1290</v>
      </c>
    </row>
    <row r="159" spans="1:162" ht="11.1" customHeight="1" thickBot="1" x14ac:dyDescent="0.25">
      <c r="A159" s="2">
        <f t="shared" si="595"/>
        <v>20000</v>
      </c>
      <c r="B159" s="3">
        <f t="shared" si="628"/>
        <v>53</v>
      </c>
      <c r="C159" s="3">
        <f t="shared" si="629"/>
        <v>36</v>
      </c>
      <c r="D159" s="3">
        <f t="shared" si="630"/>
        <v>264</v>
      </c>
      <c r="E159" s="3">
        <f t="shared" si="613"/>
        <v>353</v>
      </c>
      <c r="F159" s="4">
        <f t="shared" si="623"/>
        <v>20392.59477219218</v>
      </c>
      <c r="G159" s="5">
        <f t="shared" si="615"/>
        <v>494.26140654147162</v>
      </c>
      <c r="AM159" s="1">
        <v>91</v>
      </c>
      <c r="AN159" s="1">
        <v>-225</v>
      </c>
      <c r="AO159" s="1">
        <v>20000</v>
      </c>
      <c r="AP159" s="1">
        <v>233</v>
      </c>
      <c r="AQ159" s="1">
        <v>-665</v>
      </c>
      <c r="AS159" s="54">
        <f>IF(RTD("tos.rtd",,AS$83,"."&amp;$B$134&amp;$AS$82&amp;"C"&amp;$A159)="N/A",0,RTD("tos.rtd",,AS$83,"."&amp;$B$134&amp;$AS$82&amp;"C"&amp;$A159))</f>
        <v>49</v>
      </c>
      <c r="AT159" s="3">
        <f>-IF(RTD("tos.rtd",,AT$83,"."&amp;$B$134&amp;$AS$82&amp;"P"&amp;$A159)="N/A",0,RTD("tos.rtd",,AT$83,"."&amp;$B$134&amp;$AS$82&amp;"P"&amp;$A159))</f>
        <v>-4</v>
      </c>
      <c r="AU159" s="54">
        <f>IF(RTD("tos.rtd",,AU$2,"."&amp;$C$134&amp;$AU$134&amp;"C"&amp;$A159)="N/A",0,RTD("tos.rtd",,AU$2,"."&amp;$C$134&amp;$AU$134&amp;"C"&amp;$A159))</f>
        <v>9</v>
      </c>
      <c r="AV159" s="3">
        <f>-IF(RTD("tos.rtd",,AV$2,"."&amp;$C$134&amp;$AU$134&amp;"P"&amp;$A159)="N/A",0,RTD("tos.rtd",,AV$2,"."&amp;$C$134&amp;$AU$134&amp;"P"&amp;$A159))</f>
        <v>-27</v>
      </c>
      <c r="AW159" s="54">
        <f>IF(RTD("tos.rtd",,AW$2,"."&amp;$D$134&amp;$AW$134&amp;"C"&amp;$A159)="N/A",0,RTD("tos.rtd",,AW$2,"."&amp;$D$134&amp;$AW$134&amp;"C"&amp;$A159))</f>
        <v>144</v>
      </c>
      <c r="AX159" s="3">
        <f>-IF(RTD("tos.rtd",,AX$2,"."&amp;$D$134&amp;$AW$134&amp;"P"&amp;$A159)="N/A",0,RTD("tos.rtd",,AX$2,"."&amp;$D$134&amp;$AW$134&amp;"P"&amp;$A159))</f>
        <v>-120</v>
      </c>
      <c r="AY159" s="76">
        <f t="shared" si="624"/>
        <v>51</v>
      </c>
      <c r="AZ159" s="8">
        <f t="shared" si="548"/>
        <v>20000</v>
      </c>
      <c r="BA159" s="54">
        <f>IF(RTD("tos.rtd",,BA$43,"."&amp;$B$134&amp;$AS$82&amp;"C"&amp;$A159)="N/A",0,RTD("tos.rtd",,BA$43,"."&amp;$B$134&amp;$AS$82&amp;"C"&amp;$A159))</f>
        <v>0</v>
      </c>
      <c r="BB159" s="3">
        <f>-IF(RTD("tos.rtd",,BB$43,"."&amp;$B$134&amp;$AS$82&amp;"P"&amp;$A159)="N/A",0,RTD("tos.rtd",,BB$43,"."&amp;$B$134&amp;$AS$82&amp;"P"&amp;$A159))</f>
        <v>0</v>
      </c>
      <c r="BC159" s="54">
        <f>IF(RTD("tos.rtd",,BC$2,"."&amp;$C$134&amp;$AU$82&amp;"C"&amp;$A159)="N/A",0,RTD("tos.rtd",,BC$2,"."&amp;$C$134&amp;$AU$82&amp;"C"&amp;$A159))</f>
        <v>194</v>
      </c>
      <c r="BD159" s="3">
        <f>-IF(RTD("tos.rtd",,BD$2,"."&amp;$C$134&amp;$AU$82&amp;"P"&amp;$A159)="N/A",0,RTD("tos.rtd",,BD$2,"."&amp;$C$134&amp;$AU$82&amp;"P"&amp;$A159))</f>
        <v>-877</v>
      </c>
      <c r="BE159" s="54">
        <f>IF(RTD("tos.rtd",,BE$2,"."&amp;$D$134&amp;$AW$82&amp;"C"&amp;$A159)="N/A",0,RTD("tos.rtd",,BE$2,"."&amp;$D$134&amp;$AW$82&amp;"C"&amp;$A159))</f>
        <v>18</v>
      </c>
      <c r="BF159" s="3">
        <f>-IF(RTD("tos.rtd",,BF$2,"."&amp;$D$134&amp;$AW$82&amp;"P"&amp;$A159)="N/A",0,RTD("tos.rtd",,BF$2,"."&amp;$D$134&amp;$AW$82&amp;"P"&amp;$A159))</f>
        <v>-21</v>
      </c>
      <c r="BG159" s="3">
        <f ca="1">+Hoja2!Y160</f>
        <v>-26</v>
      </c>
      <c r="BH159" s="7">
        <f t="shared" ca="1" si="549"/>
        <v>-712</v>
      </c>
      <c r="BI159" s="32" t="str">
        <f t="shared" ca="1" si="609"/>
        <v/>
      </c>
      <c r="BJ159" s="3" t="e">
        <f ca="1">IF($BP$1=1,DX159,IF(RTD("tos.rtd",,BJ$43,"."&amp;$B$134&amp;$AS$82&amp;"C"&amp;$A159)="N/A",0,RTD("tos.rtd",,BJ$43,"."&amp;$B$134&amp;$AS$82&amp;"C"&amp;$A159)))</f>
        <v>#NUM!</v>
      </c>
      <c r="BK159" s="3" t="e">
        <f ca="1">IF($BP$1=1,DY159,-IF(RTD("tos.rtd",,BK$43,"."&amp;$B$134&amp;$AS$82&amp;"P"&amp;$A159)="N/A",0,RTD("tos.rtd",,BK$43,"."&amp;$B$134&amp;$AS$82&amp;"P"&amp;$A159)))</f>
        <v>#NUM!</v>
      </c>
      <c r="BL159" s="3" t="e">
        <f ca="1">IF($BP$1=1,DZ159,IF(RTD("tos.rtd",,BL$2,"."&amp;$C$134&amp;$AU$82&amp;"C"&amp;$A159)="N/A",0,RTD("tos.rtd",,BL$2,"."&amp;$C$134&amp;$AU$82&amp;"C"&amp;$A159)))</f>
        <v>#NUM!</v>
      </c>
      <c r="BM159" s="3" t="e">
        <f ca="1">IF($BP$1=1,EA159,-IF(RTD("tos.rtd",,BM$2,"."&amp;$C$134&amp;$AU$82&amp;"P"&amp;$A159)="N/A",0,RTD("tos.rtd",,BM$2,"."&amp;$C$134&amp;$AU$82&amp;"P"&amp;$A159)))</f>
        <v>#NUM!</v>
      </c>
      <c r="BN159" s="3" t="e">
        <f ca="1">IF($BP$1=1,EB159,IF(RTD("tos.rtd",,BN$2,"."&amp;$D$134&amp;$AW$82&amp;"C"&amp;$A159)="N/A",0,RTD("tos.rtd",,BN$2,"."&amp;$D$134&amp;$AW$82&amp;"C"&amp;$A159)))</f>
        <v>#NUM!</v>
      </c>
      <c r="BO159" s="3" t="e">
        <f ca="1">IF($BP$1=1,EC159,-IF(RTD("tos.rtd",,BO$2,"."&amp;$D$134&amp;$AW$82&amp;"P"&amp;$A159)="N/A",0,RTD("tos.rtd",,BO$2,"."&amp;$D$134&amp;$AW$82&amp;"P"&amp;$A159)))</f>
        <v>#NUM!</v>
      </c>
      <c r="BQ159" s="3" t="e">
        <f t="shared" ca="1" si="625"/>
        <v>#NUM!</v>
      </c>
      <c r="BR159" s="3" t="e">
        <f t="shared" ca="1" si="550"/>
        <v>#NUM!</v>
      </c>
      <c r="BS159" s="3" t="e">
        <f t="shared" ca="1" si="626"/>
        <v>#NUM!</v>
      </c>
      <c r="BT159" s="3" t="e">
        <f t="shared" ca="1" si="551"/>
        <v>#NUM!</v>
      </c>
      <c r="BU159" s="3" t="e">
        <f t="shared" ca="1" si="627"/>
        <v>#NUM!</v>
      </c>
      <c r="BV159" s="3" t="e">
        <f t="shared" ca="1" si="551"/>
        <v>#NUM!</v>
      </c>
      <c r="BX159" s="3" t="e">
        <f t="shared" ca="1" si="585"/>
        <v>#NUM!</v>
      </c>
      <c r="BY159" s="3" t="e">
        <f t="shared" ca="1" si="586"/>
        <v>#NUM!</v>
      </c>
      <c r="BZ159" s="3" t="e">
        <f t="shared" ca="1" si="587"/>
        <v>#NUM!</v>
      </c>
      <c r="CA159" s="3" t="e">
        <f t="shared" ca="1" si="586"/>
        <v>#NUM!</v>
      </c>
      <c r="CB159" s="3" t="e">
        <f t="shared" ca="1" si="588"/>
        <v>#NUM!</v>
      </c>
      <c r="CC159" s="3" t="e">
        <f t="shared" ca="1" si="586"/>
        <v>#NUM!</v>
      </c>
      <c r="CD159" s="3">
        <f>IF(RTD("tos.rtd",,CD$43,"."&amp;$B$134&amp;$AS$82&amp;"C"&amp;$A159)="N/A",0,RTD("tos.rtd",,CD$43,"."&amp;$B$134&amp;$AS$82&amp;"C"&amp;$A159))</f>
        <v>0.82</v>
      </c>
      <c r="CE159" s="3">
        <f>-IF(RTD("tos.rtd",,CE$43,"."&amp;$B$134&amp;$AS$82&amp;"P"&amp;$A159)="N/A",0,RTD("tos.rtd",,CE$43,"."&amp;$B$134&amp;$AS$82&amp;"P"&amp;$A159))</f>
        <v>0.02</v>
      </c>
      <c r="CF159" s="3">
        <f>IF(RTD("tos.rtd",,CF$2,"."&amp;$C$134&amp;$AU$82&amp;"C"&amp;$A159)="N/A",0,RTD("tos.rtd",,CF$2,"."&amp;$C$134&amp;$AU$82&amp;"C"&amp;$A159))</f>
        <v>1</v>
      </c>
      <c r="CG159" s="3">
        <f>-IF(RTD("tos.rtd",,CG$2,"."&amp;$C$134&amp;$AU$82&amp;"P"&amp;$A159)="N/A",0,RTD("tos.rtd",,CG$2,"."&amp;$C$134&amp;$AU$82&amp;"P"&amp;$A159))</f>
        <v>0.01</v>
      </c>
      <c r="CH159" s="3">
        <f>IF(RTD("tos.rtd",,CH$2,"."&amp;$D$134&amp;$AW$82&amp;"C"&amp;$A159)="N/A",0,RTD("tos.rtd",,CH$2,"."&amp;$D$134&amp;$AW$82&amp;"C"&amp;$A159))</f>
        <v>0.55000000000000004</v>
      </c>
      <c r="CI159" s="3">
        <f>-IF(RTD("tos.rtd",,CI$2,"."&amp;$D$134&amp;$AW$82&amp;"P"&amp;$A159)="N/A",0,RTD("tos.rtd",,CI$2,"."&amp;$D$134&amp;$AW$82&amp;"P"&amp;$A159))</f>
        <v>0.45</v>
      </c>
      <c r="CK159" s="3">
        <f t="shared" si="620"/>
        <v>4010</v>
      </c>
      <c r="CL159" s="3"/>
      <c r="CM159" s="3">
        <f t="shared" si="621"/>
        <v>873</v>
      </c>
      <c r="CN159" s="3"/>
      <c r="CO159" s="3">
        <f t="shared" si="622"/>
        <v>2520</v>
      </c>
      <c r="CP159" s="3">
        <f t="shared" si="542"/>
        <v>7403</v>
      </c>
      <c r="CQ159" s="3">
        <f t="shared" si="552"/>
        <v>0</v>
      </c>
      <c r="CR159" s="3"/>
      <c r="CS159" s="3">
        <f t="shared" si="553"/>
        <v>-683</v>
      </c>
      <c r="CT159" s="3"/>
      <c r="CU159" s="3">
        <f t="shared" si="554"/>
        <v>-3</v>
      </c>
      <c r="CV159" s="3"/>
      <c r="CW159" s="3" t="e">
        <f t="shared" ca="1" si="555"/>
        <v>#NUM!</v>
      </c>
      <c r="CY159" s="3" t="e">
        <f t="shared" ca="1" si="556"/>
        <v>#NUM!</v>
      </c>
      <c r="CZ159" s="70" t="e">
        <f t="shared" ca="1" si="589"/>
        <v>#NUM!</v>
      </c>
      <c r="DA159" s="3">
        <f>IF(RTD("tos.rtd",,DA$43,"."&amp;$B$134&amp;$AS$82&amp;"C"&amp;$A159)="N/A",0,RTD("tos.rtd",,DA$43,"."&amp;$B$134&amp;$AS$82&amp;"C"&amp;$A159))</f>
        <v>196.55</v>
      </c>
      <c r="DB159" s="3">
        <f>IF(RTD("tos.rtd",,DB$43,"."&amp;$B$134&amp;$AS$82&amp;"P"&amp;$A159)="N/A",0,RTD("tos.rtd",,DB$43,"."&amp;$B$134&amp;$AS$82&amp;"P"&amp;$A159))</f>
        <v>0.05</v>
      </c>
      <c r="DC159" s="3">
        <f>IF(RTD("tos.rtd",,DC$43,"."&amp;$B$134&amp;$AS$82&amp;"C"&amp;$A159)="N/A",0,RTD("tos.rtd",,DC$43,"."&amp;$B$134&amp;$AS$82&amp;"C"&amp;$A159))</f>
        <v>74</v>
      </c>
      <c r="DD159" s="3">
        <f>IF(RTD("tos.rtd",,DD$43,"."&amp;$B$134&amp;$AS$82&amp;"P"&amp;$A159)="N/A",0,RTD("tos.rtd",,DD$43,"."&amp;$B$134&amp;$AS$82&amp;"P"&amp;$A159))</f>
        <v>0.5</v>
      </c>
      <c r="DE159" s="3">
        <f>IF(RTD("tos.rtd",,DE$43,"."&amp;$B$134&amp;$AS$82&amp;"C"&amp;$A159)="N/A",0,RTD("tos.rtd",,DE$43,"."&amp;$B$134&amp;$AS$82&amp;"C"&amp;$A159))</f>
        <v>62</v>
      </c>
      <c r="DF159" s="3">
        <f>IF(RTD("tos.rtd",,DF$43,"."&amp;$B$134&amp;$AS$82&amp;"P"&amp;$A159)="N/A",0,RTD("tos.rtd",,DF$43,"."&amp;$B$134&amp;$AS$82&amp;"P"&amp;$A159))</f>
        <v>0</v>
      </c>
      <c r="DG159" s="86">
        <f t="shared" si="590"/>
        <v>-61.449000000000524</v>
      </c>
      <c r="DH159" s="3">
        <f t="shared" si="557"/>
        <v>-2612.5125000000003</v>
      </c>
      <c r="DI159" s="3">
        <f t="shared" si="558"/>
        <v>66.5</v>
      </c>
      <c r="DJ159" s="3">
        <f t="shared" si="559"/>
        <v>-233</v>
      </c>
      <c r="DK159" s="3">
        <f t="shared" si="560"/>
        <v>-665</v>
      </c>
      <c r="DL159" s="3">
        <f t="shared" si="561"/>
        <v>-2546.0125000000003</v>
      </c>
      <c r="DM159" s="3">
        <f t="shared" si="562"/>
        <v>-898</v>
      </c>
      <c r="DN159" s="64" t="str">
        <f t="shared" si="563"/>
        <v>UNKNOWN</v>
      </c>
      <c r="DO159" s="64" t="str">
        <f t="shared" si="564"/>
        <v>UNKNOWN</v>
      </c>
      <c r="DP159" s="3">
        <f t="shared" si="565"/>
        <v>-513486.00687500008</v>
      </c>
      <c r="DQ159" s="3">
        <f t="shared" si="566"/>
        <v>-45829.4</v>
      </c>
      <c r="DR159" s="3" t="e">
        <f t="shared" ca="1" si="567"/>
        <v>#NUM!</v>
      </c>
      <c r="DS159" s="3">
        <f t="shared" si="568"/>
        <v>-204.36</v>
      </c>
      <c r="DT159" s="3">
        <f t="shared" si="591"/>
        <v>-233</v>
      </c>
      <c r="DU159" s="3">
        <f t="shared" si="592"/>
        <v>665</v>
      </c>
      <c r="DV159" s="3">
        <f t="shared" si="569"/>
        <v>91</v>
      </c>
      <c r="DW159" s="3">
        <f t="shared" si="570"/>
        <v>-225</v>
      </c>
      <c r="DX159" s="3" t="e">
        <f t="shared" ca="1" si="571"/>
        <v>#NUM!</v>
      </c>
      <c r="DY159" s="3" t="e">
        <f t="shared" ca="1" si="572"/>
        <v>#NUM!</v>
      </c>
      <c r="DZ159" s="3" t="e">
        <f t="shared" ca="1" si="573"/>
        <v>#NUM!</v>
      </c>
      <c r="EA159" s="3" t="e">
        <f t="shared" ca="1" si="574"/>
        <v>#NUM!</v>
      </c>
      <c r="EB159" s="3" t="e">
        <f t="shared" ca="1" si="575"/>
        <v>#NUM!</v>
      </c>
      <c r="EC159" s="3" t="e">
        <f t="shared" ca="1" si="576"/>
        <v>#NUM!</v>
      </c>
      <c r="ED159" s="63">
        <f t="shared" si="593"/>
        <v>-134</v>
      </c>
      <c r="EE159" s="59">
        <f t="shared" si="577"/>
        <v>0.44259999999999999</v>
      </c>
      <c r="EF159" s="59">
        <f t="shared" si="578"/>
        <v>0.2019</v>
      </c>
      <c r="EG159" s="59">
        <f t="shared" si="579"/>
        <v>0.25</v>
      </c>
      <c r="EH159" s="59">
        <f t="shared" si="580"/>
        <v>0.17080000000000001</v>
      </c>
      <c r="EI159" s="59">
        <f t="shared" si="581"/>
        <v>0.2757</v>
      </c>
      <c r="EJ159" s="59">
        <f t="shared" si="582"/>
        <v>0.29270000000000002</v>
      </c>
      <c r="EK159" s="63" t="e">
        <f t="shared" ca="1" si="594"/>
        <v>#NUM!</v>
      </c>
      <c r="EL159" s="3" t="str">
        <f>RTD("tos.rtd",,EL$43,"."&amp;$B$134&amp;$AS$82&amp;"C"&amp;$A159)</f>
        <v>44.26%</v>
      </c>
      <c r="EM159" s="3" t="str">
        <f>RTD("tos.rtd",,EM$43,"."&amp;$B$134&amp;$AS$82&amp;"P"&amp;$A159)</f>
        <v>20.19%</v>
      </c>
      <c r="EN159" s="3" t="str">
        <f>RTD("tos.rtd",,EN$2,"."&amp;$C$134&amp;$AU$82&amp;"C"&amp;$A159)</f>
        <v>--</v>
      </c>
      <c r="EO159" s="3" t="str">
        <f>RTD("tos.rtd",,EO$2,"."&amp;$C$134&amp;$AU$82&amp;"P"&amp;$A159)</f>
        <v>17.08%</v>
      </c>
      <c r="EP159" s="3" t="str">
        <f>RTD("tos.rtd",,EP$2,"."&amp;$D$134&amp;$AW$82&amp;"C"&amp;$A159)</f>
        <v>27.57%</v>
      </c>
      <c r="EQ159" s="3" t="str">
        <f>RTD("tos.rtd",,EQ$2,"."&amp;$D$134&amp;$AW$82&amp;"P"&amp;$A159)</f>
        <v>29.27%</v>
      </c>
      <c r="ES159" s="63" t="str">
        <f t="shared" si="583"/>
        <v>20000,-134.00</v>
      </c>
      <c r="ET159" s="63" t="str">
        <f t="shared" ca="1" si="584"/>
        <v>20000,00.00</v>
      </c>
      <c r="EU159" s="68">
        <v>564.21</v>
      </c>
      <c r="EV159" s="68" t="s">
        <v>1291</v>
      </c>
      <c r="EW159" s="68">
        <v>486.97</v>
      </c>
      <c r="EX159" s="68" t="s">
        <v>1292</v>
      </c>
      <c r="EY159" s="68">
        <v>5631.28</v>
      </c>
      <c r="EZ159" s="68" t="s">
        <v>1293</v>
      </c>
      <c r="FA159" s="68">
        <v>19867.973000000002</v>
      </c>
      <c r="FB159" s="68" t="s">
        <v>1294</v>
      </c>
      <c r="FC159" s="68" t="s">
        <v>1295</v>
      </c>
      <c r="FD159" s="68" t="s">
        <v>1296</v>
      </c>
      <c r="FE159" s="68" t="s">
        <v>1297</v>
      </c>
      <c r="FF159" s="68" t="s">
        <v>1298</v>
      </c>
    </row>
    <row r="160" spans="1:162" ht="11.1" customHeight="1" thickBot="1" x14ac:dyDescent="0.25">
      <c r="A160" s="2">
        <f t="shared" si="595"/>
        <v>19975</v>
      </c>
      <c r="B160" s="3">
        <f t="shared" si="628"/>
        <v>16</v>
      </c>
      <c r="C160" s="3">
        <f t="shared" si="629"/>
        <v>16</v>
      </c>
      <c r="D160" s="3">
        <f t="shared" si="630"/>
        <v>26</v>
      </c>
      <c r="E160" s="3">
        <f t="shared" si="613"/>
        <v>58</v>
      </c>
      <c r="F160" s="4">
        <f t="shared" si="623"/>
        <v>20367.104028726939</v>
      </c>
      <c r="G160" s="5">
        <f t="shared" si="615"/>
        <v>493.64357978329474</v>
      </c>
      <c r="AM160" s="1">
        <v>55</v>
      </c>
      <c r="AN160" s="1">
        <v>-22</v>
      </c>
      <c r="AO160" s="1">
        <v>19975</v>
      </c>
      <c r="AP160" s="1">
        <v>28</v>
      </c>
      <c r="AQ160" s="1">
        <v>-171</v>
      </c>
      <c r="AS160" s="54">
        <f>IF(RTD("tos.rtd",,AS$83,"."&amp;$B$134&amp;$AS$82&amp;"C"&amp;$A160)="N/A",0,RTD("tos.rtd",,AS$83,"."&amp;$B$134&amp;$AS$82&amp;"C"&amp;$A160))</f>
        <v>12</v>
      </c>
      <c r="AT160" s="3">
        <f>-IF(RTD("tos.rtd",,AT$83,"."&amp;$B$134&amp;$AS$82&amp;"P"&amp;$A160)="N/A",0,RTD("tos.rtd",,AT$83,"."&amp;$B$134&amp;$AS$82&amp;"P"&amp;$A160))</f>
        <v>-4</v>
      </c>
      <c r="AU160" s="54">
        <f>IF(RTD("tos.rtd",,AU$2,"."&amp;$C$134&amp;$AU$134&amp;"C"&amp;$A160)="N/A",0,RTD("tos.rtd",,AU$2,"."&amp;$C$134&amp;$AU$134&amp;"C"&amp;$A160))</f>
        <v>5</v>
      </c>
      <c r="AV160" s="3">
        <f>-IF(RTD("tos.rtd",,AV$2,"."&amp;$C$134&amp;$AU$134&amp;"P"&amp;$A160)="N/A",0,RTD("tos.rtd",,AV$2,"."&amp;$C$134&amp;$AU$134&amp;"P"&amp;$A160))</f>
        <v>-11</v>
      </c>
      <c r="AW160" s="54">
        <f>IF(RTD("tos.rtd",,AW$2,"."&amp;$D$134&amp;$AW$134&amp;"C"&amp;$A160)="N/A",0,RTD("tos.rtd",,AW$2,"."&amp;$D$134&amp;$AW$134&amp;"C"&amp;$A160))</f>
        <v>16</v>
      </c>
      <c r="AX160" s="3">
        <f>-IF(RTD("tos.rtd",,AX$2,"."&amp;$D$134&amp;$AW$134&amp;"P"&amp;$A160)="N/A",0,RTD("tos.rtd",,AX$2,"."&amp;$D$134&amp;$AW$134&amp;"P"&amp;$A160))</f>
        <v>-10</v>
      </c>
      <c r="AY160" s="76">
        <f t="shared" si="624"/>
        <v>8</v>
      </c>
      <c r="AZ160" s="8">
        <f t="shared" si="548"/>
        <v>19975</v>
      </c>
      <c r="BA160" s="54">
        <f>IF(RTD("tos.rtd",,BA$43,"."&amp;$B$134&amp;$AS$82&amp;"C"&amp;$A160)="N/A",0,RTD("tos.rtd",,BA$43,"."&amp;$B$134&amp;$AS$82&amp;"C"&amp;$A160))</f>
        <v>0</v>
      </c>
      <c r="BB160" s="3">
        <f>-IF(RTD("tos.rtd",,BB$43,"."&amp;$B$134&amp;$AS$82&amp;"P"&amp;$A160)="N/A",0,RTD("tos.rtd",,BB$43,"."&amp;$B$134&amp;$AS$82&amp;"P"&amp;$A160))</f>
        <v>0</v>
      </c>
      <c r="BC160" s="54">
        <f>IF(RTD("tos.rtd",,BC$2,"."&amp;$C$134&amp;$AU$82&amp;"C"&amp;$A160)="N/A",0,RTD("tos.rtd",,BC$2,"."&amp;$C$134&amp;$AU$82&amp;"C"&amp;$A160))</f>
        <v>6</v>
      </c>
      <c r="BD160" s="3">
        <f>-IF(RTD("tos.rtd",,BD$2,"."&amp;$C$134&amp;$AU$82&amp;"P"&amp;$A160)="N/A",0,RTD("tos.rtd",,BD$2,"."&amp;$C$134&amp;$AU$82&amp;"P"&amp;$A160))</f>
        <v>-224</v>
      </c>
      <c r="BE160" s="54">
        <f>IF(RTD("tos.rtd",,BE$2,"."&amp;$D$134&amp;$AW$82&amp;"C"&amp;$A160)="N/A",0,RTD("tos.rtd",,BE$2,"."&amp;$D$134&amp;$AW$82&amp;"C"&amp;$A160))</f>
        <v>0</v>
      </c>
      <c r="BF160" s="3">
        <f>-IF(RTD("tos.rtd",,BF$2,"."&amp;$D$134&amp;$AW$82&amp;"P"&amp;$A160)="N/A",0,RTD("tos.rtd",,BF$2,"."&amp;$D$134&amp;$AW$82&amp;"P"&amp;$A160))</f>
        <v>-4</v>
      </c>
      <c r="BG160" s="3">
        <f ca="1">+Hoja2!Y161</f>
        <v>-4</v>
      </c>
      <c r="BH160" s="7">
        <f t="shared" ca="1" si="549"/>
        <v>-226</v>
      </c>
      <c r="BI160" s="32" t="str">
        <f t="shared" ca="1" si="609"/>
        <v/>
      </c>
      <c r="BJ160" s="3" t="e">
        <f ca="1">IF($BP$1=1,DX160,IF(RTD("tos.rtd",,BJ$43,"."&amp;$B$134&amp;$AS$82&amp;"C"&amp;$A160)="N/A",0,RTD("tos.rtd",,BJ$43,"."&amp;$B$134&amp;$AS$82&amp;"C"&amp;$A160)))</f>
        <v>#NUM!</v>
      </c>
      <c r="BK160" s="3" t="e">
        <f ca="1">IF($BP$1=1,DY160,-IF(RTD("tos.rtd",,BK$43,"."&amp;$B$134&amp;$AS$82&amp;"P"&amp;$A160)="N/A",0,RTD("tos.rtd",,BK$43,"."&amp;$B$134&amp;$AS$82&amp;"P"&amp;$A160)))</f>
        <v>#NUM!</v>
      </c>
      <c r="BL160" s="3" t="e">
        <f ca="1">IF($BP$1=1,DZ160,IF(RTD("tos.rtd",,BL$2,"."&amp;$C$134&amp;$AU$82&amp;"C"&amp;$A160)="N/A",0,RTD("tos.rtd",,BL$2,"."&amp;$C$134&amp;$AU$82&amp;"C"&amp;$A160)))</f>
        <v>#NUM!</v>
      </c>
      <c r="BM160" s="3" t="e">
        <f ca="1">IF($BP$1=1,EA160,-IF(RTD("tos.rtd",,BM$2,"."&amp;$C$134&amp;$AU$82&amp;"P"&amp;$A160)="N/A",0,RTD("tos.rtd",,BM$2,"."&amp;$C$134&amp;$AU$82&amp;"P"&amp;$A160)))</f>
        <v>#NUM!</v>
      </c>
      <c r="BN160" s="3" t="e">
        <f ca="1">IF($BP$1=1,EB160,IF(RTD("tos.rtd",,BN$2,"."&amp;$D$134&amp;$AW$82&amp;"C"&amp;$A160)="N/A",0,RTD("tos.rtd",,BN$2,"."&amp;$D$134&amp;$AW$82&amp;"C"&amp;$A160)))</f>
        <v>#NUM!</v>
      </c>
      <c r="BO160" s="3" t="e">
        <f ca="1">IF($BP$1=1,EC160,-IF(RTD("tos.rtd",,BO$2,"."&amp;$D$134&amp;$AW$82&amp;"P"&amp;$A160)="N/A",0,RTD("tos.rtd",,BO$2,"."&amp;$D$134&amp;$AW$82&amp;"P"&amp;$A160)))</f>
        <v>#NUM!</v>
      </c>
      <c r="BQ160" s="3" t="e">
        <f t="shared" ca="1" si="625"/>
        <v>#NUM!</v>
      </c>
      <c r="BR160" s="3" t="e">
        <f t="shared" ca="1" si="550"/>
        <v>#NUM!</v>
      </c>
      <c r="BS160" s="3" t="e">
        <f t="shared" ca="1" si="626"/>
        <v>#NUM!</v>
      </c>
      <c r="BT160" s="3" t="e">
        <f t="shared" ca="1" si="551"/>
        <v>#NUM!</v>
      </c>
      <c r="BU160" s="3" t="e">
        <f t="shared" ca="1" si="627"/>
        <v>#NUM!</v>
      </c>
      <c r="BV160" s="3" t="e">
        <f t="shared" ca="1" si="551"/>
        <v>#NUM!</v>
      </c>
      <c r="BX160" s="3" t="e">
        <f t="shared" ca="1" si="585"/>
        <v>#NUM!</v>
      </c>
      <c r="BY160" s="3" t="e">
        <f t="shared" ca="1" si="586"/>
        <v>#NUM!</v>
      </c>
      <c r="BZ160" s="3" t="e">
        <f t="shared" ca="1" si="587"/>
        <v>#NUM!</v>
      </c>
      <c r="CA160" s="3" t="e">
        <f t="shared" ca="1" si="586"/>
        <v>#NUM!</v>
      </c>
      <c r="CB160" s="3" t="e">
        <f t="shared" ca="1" si="588"/>
        <v>#NUM!</v>
      </c>
      <c r="CC160" s="3" t="e">
        <f t="shared" ca="1" si="586"/>
        <v>#NUM!</v>
      </c>
      <c r="CD160" s="3">
        <f>IF(RTD("tos.rtd",,CD$43,"."&amp;$B$134&amp;$AS$82&amp;"C"&amp;$A160)="N/A",0,RTD("tos.rtd",,CD$43,"."&amp;$B$134&amp;$AS$82&amp;"C"&amp;$A160))</f>
        <v>0.86</v>
      </c>
      <c r="CE160" s="3">
        <f>-IF(RTD("tos.rtd",,CE$43,"."&amp;$B$134&amp;$AS$82&amp;"P"&amp;$A160)="N/A",0,RTD("tos.rtd",,CE$43,"."&amp;$B$134&amp;$AS$82&amp;"P"&amp;$A160))</f>
        <v>0.01</v>
      </c>
      <c r="CF160" s="3">
        <f>IF(RTD("tos.rtd",,CF$2,"."&amp;$C$134&amp;$AU$82&amp;"C"&amp;$A160)="N/A",0,RTD("tos.rtd",,CF$2,"."&amp;$C$134&amp;$AU$82&amp;"C"&amp;$A160))</f>
        <v>1</v>
      </c>
      <c r="CG160" s="3">
        <f>-IF(RTD("tos.rtd",,CG$2,"."&amp;$C$134&amp;$AU$82&amp;"P"&amp;$A160)="N/A",0,RTD("tos.rtd",,CG$2,"."&amp;$C$134&amp;$AU$82&amp;"P"&amp;$A160))</f>
        <v>0.19</v>
      </c>
      <c r="CH160" s="3">
        <f>IF(RTD("tos.rtd",,CH$2,"."&amp;$D$134&amp;$AW$82&amp;"C"&amp;$A160)="N/A",0,RTD("tos.rtd",,CH$2,"."&amp;$D$134&amp;$AW$82&amp;"C"&amp;$A160))</f>
        <v>0.56999999999999995</v>
      </c>
      <c r="CI160" s="3">
        <f>-IF(RTD("tos.rtd",,CI$2,"."&amp;$D$134&amp;$AW$82&amp;"P"&amp;$A160)="N/A",0,RTD("tos.rtd",,CI$2,"."&amp;$D$134&amp;$AW$82&amp;"P"&amp;$A160))</f>
        <v>0.43</v>
      </c>
      <c r="CK160" s="3">
        <f t="shared" si="620"/>
        <v>1028</v>
      </c>
      <c r="CL160" s="3"/>
      <c r="CM160" s="3">
        <f t="shared" si="621"/>
        <v>291</v>
      </c>
      <c r="CN160" s="3"/>
      <c r="CO160" s="3">
        <f t="shared" si="622"/>
        <v>481.99999999999989</v>
      </c>
      <c r="CP160" s="3">
        <f t="shared" si="542"/>
        <v>1801</v>
      </c>
      <c r="CQ160" s="3">
        <f t="shared" si="552"/>
        <v>0</v>
      </c>
      <c r="CR160" s="3"/>
      <c r="CS160" s="3">
        <f t="shared" si="553"/>
        <v>-218</v>
      </c>
      <c r="CT160" s="3"/>
      <c r="CU160" s="3">
        <f t="shared" si="554"/>
        <v>-4</v>
      </c>
      <c r="CV160" s="3"/>
      <c r="CW160" s="3" t="e">
        <f t="shared" ca="1" si="555"/>
        <v>#NUM!</v>
      </c>
      <c r="CY160" s="3" t="e">
        <f t="shared" ca="1" si="556"/>
        <v>#NUM!</v>
      </c>
      <c r="CZ160" s="70" t="e">
        <f t="shared" ca="1" si="589"/>
        <v>#NUM!</v>
      </c>
      <c r="DA160" s="3">
        <f>IF(RTD("tos.rtd",,DA$43,"."&amp;$B$134&amp;$AS$82&amp;"C"&amp;$A160)="N/A",0,RTD("tos.rtd",,DA$43,"."&amp;$B$134&amp;$AS$82&amp;"C"&amp;$A160))</f>
        <v>88.2</v>
      </c>
      <c r="DB160" s="3">
        <f>IF(RTD("tos.rtd",,DB$43,"."&amp;$B$134&amp;$AS$82&amp;"P"&amp;$A160)="N/A",0,RTD("tos.rtd",,DB$43,"."&amp;$B$134&amp;$AS$82&amp;"P"&amp;$A160))</f>
        <v>0.1</v>
      </c>
      <c r="DC160" s="3">
        <f>IF(RTD("tos.rtd",,DC$43,"."&amp;$B$134&amp;$AS$82&amp;"C"&amp;$A160)="N/A",0,RTD("tos.rtd",,DC$43,"."&amp;$B$134&amp;$AS$82&amp;"C"&amp;$A160))</f>
        <v>98.2</v>
      </c>
      <c r="DD160" s="3">
        <f>IF(RTD("tos.rtd",,DD$43,"."&amp;$B$134&amp;$AS$82&amp;"P"&amp;$A160)="N/A",0,RTD("tos.rtd",,DD$43,"."&amp;$B$134&amp;$AS$82&amp;"P"&amp;$A160))</f>
        <v>0.25</v>
      </c>
      <c r="DE160" s="3">
        <f>IF(RTD("tos.rtd",,DE$43,"."&amp;$B$134&amp;$AS$82&amp;"C"&amp;$A160)="N/A",0,RTD("tos.rtd",,DE$43,"."&amp;$B$134&amp;$AS$82&amp;"C"&amp;$A160))</f>
        <v>86</v>
      </c>
      <c r="DF160" s="3">
        <f>IF(RTD("tos.rtd",,DF$43,"."&amp;$B$134&amp;$AS$82&amp;"P"&amp;$A160)="N/A",0,RTD("tos.rtd",,DF$43,"."&amp;$B$134&amp;$AS$82&amp;"P"&amp;$A160))</f>
        <v>0</v>
      </c>
      <c r="DG160" s="86">
        <f t="shared" si="590"/>
        <v>-86.449000000000524</v>
      </c>
      <c r="DH160" s="3">
        <f t="shared" si="557"/>
        <v>-5.0491803278688581</v>
      </c>
      <c r="DI160" s="3">
        <f t="shared" si="558"/>
        <v>68.400000000000006</v>
      </c>
      <c r="DJ160" s="3">
        <f t="shared" si="559"/>
        <v>28</v>
      </c>
      <c r="DK160" s="3">
        <f t="shared" si="560"/>
        <v>-171</v>
      </c>
      <c r="DL160" s="3">
        <f t="shared" si="561"/>
        <v>63.350819672131145</v>
      </c>
      <c r="DM160" s="3">
        <f t="shared" si="562"/>
        <v>-143</v>
      </c>
      <c r="DN160" s="64" t="str">
        <f t="shared" si="563"/>
        <v>UNKNOWN</v>
      </c>
      <c r="DO160" s="64" t="str">
        <f t="shared" si="564"/>
        <v>UNKNOWN</v>
      </c>
      <c r="DP160" s="3">
        <f t="shared" si="565"/>
        <v>-438.49770491803332</v>
      </c>
      <c r="DQ160" s="3">
        <f t="shared" si="566"/>
        <v>2452.5</v>
      </c>
      <c r="DR160" s="3" t="e">
        <f t="shared" ca="1" si="567"/>
        <v>#NUM!</v>
      </c>
      <c r="DS160" s="3">
        <f t="shared" si="568"/>
        <v>22.369999999999997</v>
      </c>
      <c r="DT160" s="3">
        <f t="shared" si="591"/>
        <v>-28</v>
      </c>
      <c r="DU160" s="3">
        <f t="shared" si="592"/>
        <v>171</v>
      </c>
      <c r="DV160" s="3">
        <f t="shared" si="569"/>
        <v>55</v>
      </c>
      <c r="DW160" s="3">
        <f t="shared" si="570"/>
        <v>-22</v>
      </c>
      <c r="DX160" s="3" t="e">
        <f t="shared" ca="1" si="571"/>
        <v>#NUM!</v>
      </c>
      <c r="DY160" s="3" t="e">
        <f t="shared" ca="1" si="572"/>
        <v>#NUM!</v>
      </c>
      <c r="DZ160" s="3" t="e">
        <f t="shared" ca="1" si="573"/>
        <v>#NUM!</v>
      </c>
      <c r="EA160" s="3" t="e">
        <f t="shared" ca="1" si="574"/>
        <v>#NUM!</v>
      </c>
      <c r="EB160" s="3" t="e">
        <f t="shared" ca="1" si="575"/>
        <v>#NUM!</v>
      </c>
      <c r="EC160" s="3" t="e">
        <f t="shared" ca="1" si="576"/>
        <v>#NUM!</v>
      </c>
      <c r="ED160" s="63">
        <f t="shared" si="593"/>
        <v>33</v>
      </c>
      <c r="EE160" s="59">
        <f t="shared" si="577"/>
        <v>0.52629999999999999</v>
      </c>
      <c r="EF160" s="59">
        <f t="shared" si="578"/>
        <v>0.24579999999999999</v>
      </c>
      <c r="EG160" s="59">
        <f t="shared" si="579"/>
        <v>0.25</v>
      </c>
      <c r="EH160" s="59">
        <f t="shared" si="580"/>
        <v>0.64249999999999996</v>
      </c>
      <c r="EI160" s="59">
        <f t="shared" si="581"/>
        <v>0.27600000000000002</v>
      </c>
      <c r="EJ160" s="59">
        <f t="shared" si="582"/>
        <v>0.29330000000000001</v>
      </c>
      <c r="EK160" s="63" t="e">
        <f t="shared" ca="1" si="594"/>
        <v>#NUM!</v>
      </c>
      <c r="EL160" s="3" t="str">
        <f>RTD("tos.rtd",,EL$43,"."&amp;$B$134&amp;$AS$82&amp;"C"&amp;$A160)</f>
        <v>52.63%</v>
      </c>
      <c r="EM160" s="3" t="str">
        <f>RTD("tos.rtd",,EM$43,"."&amp;$B$134&amp;$AS$82&amp;"P"&amp;$A160)</f>
        <v>24.58%</v>
      </c>
      <c r="EN160" s="3" t="str">
        <f>RTD("tos.rtd",,EN$2,"."&amp;$C$134&amp;$AU$82&amp;"C"&amp;$A160)</f>
        <v>--</v>
      </c>
      <c r="EO160" s="3" t="str">
        <f>RTD("tos.rtd",,EO$2,"."&amp;$C$134&amp;$AU$82&amp;"P"&amp;$A160)</f>
        <v>64.25%</v>
      </c>
      <c r="EP160" s="3" t="str">
        <f>RTD("tos.rtd",,EP$2,"."&amp;$D$134&amp;$AW$82&amp;"C"&amp;$A160)</f>
        <v>27.60%</v>
      </c>
      <c r="EQ160" s="3" t="str">
        <f>RTD("tos.rtd",,EQ$2,"."&amp;$D$134&amp;$AW$82&amp;"P"&amp;$A160)</f>
        <v>29.33%</v>
      </c>
      <c r="ES160" s="63" t="str">
        <f t="shared" si="583"/>
        <v>19975,33.00</v>
      </c>
      <c r="ET160" s="63" t="str">
        <f t="shared" ca="1" si="584"/>
        <v>19975,00.00</v>
      </c>
      <c r="EU160" s="68">
        <v>564.21</v>
      </c>
      <c r="EV160" s="68" t="s">
        <v>1299</v>
      </c>
      <c r="EW160" s="68">
        <v>487</v>
      </c>
      <c r="EX160" s="68" t="s">
        <v>1300</v>
      </c>
      <c r="EY160" s="68">
        <v>5631.28</v>
      </c>
      <c r="EZ160" s="68" t="s">
        <v>1301</v>
      </c>
      <c r="FA160" s="68">
        <v>19867.973000000002</v>
      </c>
      <c r="FB160" s="68" t="s">
        <v>1302</v>
      </c>
      <c r="FC160" s="68" t="s">
        <v>1303</v>
      </c>
      <c r="FD160" s="68" t="s">
        <v>1304</v>
      </c>
      <c r="FE160" s="68" t="s">
        <v>1305</v>
      </c>
      <c r="FF160" s="68" t="s">
        <v>1306</v>
      </c>
    </row>
    <row r="161" spans="1:162" ht="11.1" customHeight="1" thickBot="1" x14ac:dyDescent="0.25">
      <c r="A161" s="2">
        <f t="shared" si="595"/>
        <v>19950</v>
      </c>
      <c r="B161" s="3">
        <f t="shared" si="628"/>
        <v>13</v>
      </c>
      <c r="C161" s="3">
        <f t="shared" si="629"/>
        <v>29</v>
      </c>
      <c r="D161" s="3">
        <f t="shared" si="630"/>
        <v>35</v>
      </c>
      <c r="E161" s="3">
        <f t="shared" si="613"/>
        <v>77</v>
      </c>
      <c r="F161" s="4">
        <f t="shared" si="623"/>
        <v>20341.613285261697</v>
      </c>
      <c r="G161" s="5">
        <f t="shared" si="615"/>
        <v>493.02575302511792</v>
      </c>
      <c r="AM161" s="1">
        <v>-42</v>
      </c>
      <c r="AN161" s="1">
        <v>42</v>
      </c>
      <c r="AO161" s="1">
        <v>19950</v>
      </c>
      <c r="AP161" s="1">
        <v>102</v>
      </c>
      <c r="AQ161" s="1">
        <v>-575</v>
      </c>
      <c r="AS161" s="54">
        <f>IF(RTD("tos.rtd",,AS$83,"."&amp;$B$134&amp;$AS$82&amp;"C"&amp;$A161)="N/A",0,RTD("tos.rtd",,AS$83,"."&amp;$B$134&amp;$AS$82&amp;"C"&amp;$A161))</f>
        <v>11</v>
      </c>
      <c r="AT161" s="3">
        <f>-IF(RTD("tos.rtd",,AT$83,"."&amp;$B$134&amp;$AS$82&amp;"P"&amp;$A161)="N/A",0,RTD("tos.rtd",,AT$83,"."&amp;$B$134&amp;$AS$82&amp;"P"&amp;$A161))</f>
        <v>-2</v>
      </c>
      <c r="AU161" s="54">
        <f>IF(RTD("tos.rtd",,AU$2,"."&amp;$C$134&amp;$AU$134&amp;"C"&amp;$A161)="N/A",0,RTD("tos.rtd",,AU$2,"."&amp;$C$134&amp;$AU$134&amp;"C"&amp;$A161))</f>
        <v>6</v>
      </c>
      <c r="AV161" s="3">
        <f>-IF(RTD("tos.rtd",,AV$2,"."&amp;$C$134&amp;$AU$134&amp;"P"&amp;$A161)="N/A",0,RTD("tos.rtd",,AV$2,"."&amp;$C$134&amp;$AU$134&amp;"P"&amp;$A161))</f>
        <v>-23</v>
      </c>
      <c r="AW161" s="54">
        <f>IF(RTD("tos.rtd",,AW$2,"."&amp;$D$134&amp;$AW$134&amp;"C"&amp;$A161)="N/A",0,RTD("tos.rtd",,AW$2,"."&amp;$D$134&amp;$AW$134&amp;"C"&amp;$A161))</f>
        <v>28</v>
      </c>
      <c r="AX161" s="3">
        <f>-IF(RTD("tos.rtd",,AX$2,"."&amp;$D$134&amp;$AW$134&amp;"P"&amp;$A161)="N/A",0,RTD("tos.rtd",,AX$2,"."&amp;$D$134&amp;$AW$134&amp;"P"&amp;$A161))</f>
        <v>-7</v>
      </c>
      <c r="AY161" s="76">
        <f t="shared" si="624"/>
        <v>13</v>
      </c>
      <c r="AZ161" s="8">
        <f t="shared" si="548"/>
        <v>19950</v>
      </c>
      <c r="BA161" s="54">
        <f>IF(RTD("tos.rtd",,BA$43,"."&amp;$B$134&amp;$AS$82&amp;"C"&amp;$A161)="N/A",0,RTD("tos.rtd",,BA$43,"."&amp;$B$134&amp;$AS$82&amp;"C"&amp;$A161))</f>
        <v>0</v>
      </c>
      <c r="BB161" s="3">
        <f>-IF(RTD("tos.rtd",,BB$43,"."&amp;$B$134&amp;$AS$82&amp;"P"&amp;$A161)="N/A",0,RTD("tos.rtd",,BB$43,"."&amp;$B$134&amp;$AS$82&amp;"P"&amp;$A161))</f>
        <v>0</v>
      </c>
      <c r="BC161" s="54">
        <f>IF(RTD("tos.rtd",,BC$2,"."&amp;$C$134&amp;$AU$82&amp;"C"&amp;$A161)="N/A",0,RTD("tos.rtd",,BC$2,"."&amp;$C$134&amp;$AU$82&amp;"C"&amp;$A161))</f>
        <v>22</v>
      </c>
      <c r="BD161" s="3">
        <f>-IF(RTD("tos.rtd",,BD$2,"."&amp;$C$134&amp;$AU$82&amp;"P"&amp;$A161)="N/A",0,RTD("tos.rtd",,BD$2,"."&amp;$C$134&amp;$AU$82&amp;"P"&amp;$A161))</f>
        <v>-480</v>
      </c>
      <c r="BE161" s="54">
        <f>IF(RTD("tos.rtd",,BE$2,"."&amp;$D$134&amp;$AW$82&amp;"C"&amp;$A161)="N/A",0,RTD("tos.rtd",,BE$2,"."&amp;$D$134&amp;$AW$82&amp;"C"&amp;$A161))</f>
        <v>0</v>
      </c>
      <c r="BF161" s="3">
        <f>-IF(RTD("tos.rtd",,BF$2,"."&amp;$D$134&amp;$AW$82&amp;"P"&amp;$A161)="N/A",0,RTD("tos.rtd",,BF$2,"."&amp;$D$134&amp;$AW$82&amp;"P"&amp;$A161))</f>
        <v>-6</v>
      </c>
      <c r="BG161" s="3">
        <f ca="1">+Hoja2!Y162</f>
        <v>-5</v>
      </c>
      <c r="BH161" s="7">
        <f t="shared" ca="1" si="549"/>
        <v>-469</v>
      </c>
      <c r="BI161" s="32" t="str">
        <f t="shared" ca="1" si="609"/>
        <v/>
      </c>
      <c r="BJ161" s="3" t="e">
        <f ca="1">IF($BP$1=1,DX161,IF(RTD("tos.rtd",,BJ$43,"."&amp;$B$134&amp;$AS$82&amp;"C"&amp;$A161)="N/A",0,RTD("tos.rtd",,BJ$43,"."&amp;$B$134&amp;$AS$82&amp;"C"&amp;$A161)))</f>
        <v>#NUM!</v>
      </c>
      <c r="BK161" s="3" t="e">
        <f ca="1">IF($BP$1=1,DY161,-IF(RTD("tos.rtd",,BK$43,"."&amp;$B$134&amp;$AS$82&amp;"P"&amp;$A161)="N/A",0,RTD("tos.rtd",,BK$43,"."&amp;$B$134&amp;$AS$82&amp;"P"&amp;$A161)))</f>
        <v>#NUM!</v>
      </c>
      <c r="BL161" s="3" t="e">
        <f ca="1">IF($BP$1=1,DZ161,IF(RTD("tos.rtd",,BL$2,"."&amp;$C$134&amp;$AU$82&amp;"C"&amp;$A161)="N/A",0,RTD("tos.rtd",,BL$2,"."&amp;$C$134&amp;$AU$82&amp;"C"&amp;$A161)))</f>
        <v>#NUM!</v>
      </c>
      <c r="BM161" s="3" t="e">
        <f ca="1">IF($BP$1=1,EA161,-IF(RTD("tos.rtd",,BM$2,"."&amp;$C$134&amp;$AU$82&amp;"P"&amp;$A161)="N/A",0,RTD("tos.rtd",,BM$2,"."&amp;$C$134&amp;$AU$82&amp;"P"&amp;$A161)))</f>
        <v>#NUM!</v>
      </c>
      <c r="BN161" s="3" t="e">
        <f ca="1">IF($BP$1=1,EB161,IF(RTD("tos.rtd",,BN$2,"."&amp;$D$134&amp;$AW$82&amp;"C"&amp;$A161)="N/A",0,RTD("tos.rtd",,BN$2,"."&amp;$D$134&amp;$AW$82&amp;"C"&amp;$A161)))</f>
        <v>#NUM!</v>
      </c>
      <c r="BO161" s="3" t="e">
        <f ca="1">IF($BP$1=1,EC161,-IF(RTD("tos.rtd",,BO$2,"."&amp;$D$134&amp;$AW$82&amp;"P"&amp;$A161)="N/A",0,RTD("tos.rtd",,BO$2,"."&amp;$D$134&amp;$AW$82&amp;"P"&amp;$A161)))</f>
        <v>#NUM!</v>
      </c>
      <c r="BQ161" s="3" t="e">
        <f t="shared" ca="1" si="625"/>
        <v>#NUM!</v>
      </c>
      <c r="BR161" s="3" t="e">
        <f t="shared" ca="1" si="550"/>
        <v>#NUM!</v>
      </c>
      <c r="BS161" s="3" t="e">
        <f t="shared" ca="1" si="626"/>
        <v>#NUM!</v>
      </c>
      <c r="BT161" s="3" t="e">
        <f t="shared" ca="1" si="551"/>
        <v>#NUM!</v>
      </c>
      <c r="BU161" s="3" t="e">
        <f t="shared" ca="1" si="627"/>
        <v>#NUM!</v>
      </c>
      <c r="BV161" s="3" t="e">
        <f t="shared" ca="1" si="551"/>
        <v>#NUM!</v>
      </c>
      <c r="BX161" s="3" t="e">
        <f t="shared" ca="1" si="585"/>
        <v>#NUM!</v>
      </c>
      <c r="BY161" s="3" t="e">
        <f t="shared" ca="1" si="586"/>
        <v>#NUM!</v>
      </c>
      <c r="BZ161" s="3" t="e">
        <f t="shared" ca="1" si="587"/>
        <v>#NUM!</v>
      </c>
      <c r="CA161" s="3" t="e">
        <f t="shared" ca="1" si="586"/>
        <v>#NUM!</v>
      </c>
      <c r="CB161" s="3" t="e">
        <f t="shared" ca="1" si="588"/>
        <v>#NUM!</v>
      </c>
      <c r="CC161" s="3" t="e">
        <f t="shared" ca="1" si="586"/>
        <v>#NUM!</v>
      </c>
      <c r="CD161" s="3">
        <f>IF(RTD("tos.rtd",,CD$43,"."&amp;$B$134&amp;$AS$82&amp;"C"&amp;$A161)="N/A",0,RTD("tos.rtd",,CD$43,"."&amp;$B$134&amp;$AS$82&amp;"C"&amp;$A161))</f>
        <v>0.85</v>
      </c>
      <c r="CE161" s="3">
        <f>-IF(RTD("tos.rtd",,CE$43,"."&amp;$B$134&amp;$AS$82&amp;"P"&amp;$A161)="N/A",0,RTD("tos.rtd",,CE$43,"."&amp;$B$134&amp;$AS$82&amp;"P"&amp;$A161))</f>
        <v>0</v>
      </c>
      <c r="CF161" s="3">
        <f>IF(RTD("tos.rtd",,CF$2,"."&amp;$C$134&amp;$AU$82&amp;"C"&amp;$A161)="N/A",0,RTD("tos.rtd",,CF$2,"."&amp;$C$134&amp;$AU$82&amp;"C"&amp;$A161))</f>
        <v>1</v>
      </c>
      <c r="CG161" s="3">
        <f>-IF(RTD("tos.rtd",,CG$2,"."&amp;$C$134&amp;$AU$82&amp;"P"&amp;$A161)="N/A",0,RTD("tos.rtd",,CG$2,"."&amp;$C$134&amp;$AU$82&amp;"P"&amp;$A161))</f>
        <v>0.04</v>
      </c>
      <c r="CH161" s="3">
        <f>IF(RTD("tos.rtd",,CH$2,"."&amp;$D$134&amp;$AW$82&amp;"C"&amp;$A161)="N/A",0,RTD("tos.rtd",,CH$2,"."&amp;$D$134&amp;$AW$82&amp;"C"&amp;$A161))</f>
        <v>0.57999999999999996</v>
      </c>
      <c r="CI161" s="3">
        <f>-IF(RTD("tos.rtd",,CI$2,"."&amp;$D$134&amp;$AW$82&amp;"P"&amp;$A161)="N/A",0,RTD("tos.rtd",,CI$2,"."&amp;$D$134&amp;$AW$82&amp;"P"&amp;$A161))</f>
        <v>0.42</v>
      </c>
      <c r="CK161" s="3">
        <f t="shared" si="620"/>
        <v>935</v>
      </c>
      <c r="CL161" s="3"/>
      <c r="CM161" s="3">
        <f t="shared" si="621"/>
        <v>508</v>
      </c>
      <c r="CN161" s="3"/>
      <c r="CO161" s="3">
        <f t="shared" si="622"/>
        <v>1329.9999999999998</v>
      </c>
      <c r="CP161" s="3">
        <f t="shared" si="542"/>
        <v>2773</v>
      </c>
      <c r="CQ161" s="3">
        <f t="shared" si="552"/>
        <v>0</v>
      </c>
      <c r="CR161" s="3"/>
      <c r="CS161" s="3">
        <f t="shared" si="553"/>
        <v>-458</v>
      </c>
      <c r="CT161" s="3"/>
      <c r="CU161" s="3">
        <f t="shared" si="554"/>
        <v>-6</v>
      </c>
      <c r="CV161" s="3"/>
      <c r="CW161" s="3" t="e">
        <f t="shared" ca="1" si="555"/>
        <v>#NUM!</v>
      </c>
      <c r="CY161" s="3" t="e">
        <f t="shared" ca="1" si="556"/>
        <v>#NUM!</v>
      </c>
      <c r="CZ161" s="70" t="e">
        <f t="shared" ca="1" si="589"/>
        <v>#NUM!</v>
      </c>
      <c r="DA161" s="3">
        <f>IF(RTD("tos.rtd",,DA$43,"."&amp;$B$134&amp;$AS$82&amp;"C"&amp;$A161)="N/A",0,RTD("tos.rtd",,DA$43,"."&amp;$B$134&amp;$AS$82&amp;"C"&amp;$A161))</f>
        <v>121.72</v>
      </c>
      <c r="DB161" s="3">
        <f>IF(RTD("tos.rtd",,DB$43,"."&amp;$B$134&amp;$AS$82&amp;"P"&amp;$A161)="N/A",0,RTD("tos.rtd",,DB$43,"."&amp;$B$134&amp;$AS$82&amp;"P"&amp;$A161))</f>
        <v>0.4</v>
      </c>
      <c r="DC161" s="3">
        <f>IF(RTD("tos.rtd",,DC$43,"."&amp;$B$134&amp;$AS$82&amp;"C"&amp;$A161)="N/A",0,RTD("tos.rtd",,DC$43,"."&amp;$B$134&amp;$AS$82&amp;"C"&amp;$A161))</f>
        <v>130</v>
      </c>
      <c r="DD161" s="3">
        <f>IF(RTD("tos.rtd",,DD$43,"."&amp;$B$134&amp;$AS$82&amp;"P"&amp;$A161)="N/A",0,RTD("tos.rtd",,DD$43,"."&amp;$B$134&amp;$AS$82&amp;"P"&amp;$A161))</f>
        <v>0.05</v>
      </c>
      <c r="DE161" s="3">
        <f>IF(RTD("tos.rtd",,DE$43,"."&amp;$B$134&amp;$AS$82&amp;"C"&amp;$A161)="N/A",0,RTD("tos.rtd",,DE$43,"."&amp;$B$134&amp;$AS$82&amp;"C"&amp;$A161))</f>
        <v>110.3</v>
      </c>
      <c r="DF161" s="3">
        <f>IF(RTD("tos.rtd",,DF$43,"."&amp;$B$134&amp;$AS$82&amp;"P"&amp;$A161)="N/A",0,RTD("tos.rtd",,DF$43,"."&amp;$B$134&amp;$AS$82&amp;"P"&amp;$A161))</f>
        <v>0</v>
      </c>
      <c r="DG161" s="86">
        <f t="shared" si="590"/>
        <v>-111.44900000000052</v>
      </c>
      <c r="DH161" s="3">
        <f t="shared" si="557"/>
        <v>-59.128934010152285</v>
      </c>
      <c r="DI161" s="3">
        <f t="shared" si="558"/>
        <v>4600</v>
      </c>
      <c r="DJ161" s="3">
        <f t="shared" si="559"/>
        <v>0</v>
      </c>
      <c r="DK161" s="3">
        <f t="shared" si="560"/>
        <v>575</v>
      </c>
      <c r="DL161" s="3">
        <f t="shared" si="561"/>
        <v>4540.8710659898479</v>
      </c>
      <c r="DM161" s="3">
        <f t="shared" si="562"/>
        <v>575</v>
      </c>
      <c r="DN161" s="64" t="str">
        <f t="shared" si="563"/>
        <v>UNKNOWN</v>
      </c>
      <c r="DO161" s="64" t="str">
        <f t="shared" si="564"/>
        <v>UNKNOWN</v>
      </c>
      <c r="DP161" s="3">
        <f t="shared" si="565"/>
        <v>-5357.173847715736</v>
      </c>
      <c r="DQ161" s="3">
        <f t="shared" si="566"/>
        <v>230</v>
      </c>
      <c r="DR161" s="3" t="e">
        <f t="shared" ca="1" si="567"/>
        <v>#NUM!</v>
      </c>
      <c r="DS161" s="3">
        <f t="shared" si="568"/>
        <v>0</v>
      </c>
      <c r="DT161" s="3">
        <f t="shared" si="591"/>
        <v>-102</v>
      </c>
      <c r="DU161" s="3">
        <f t="shared" si="592"/>
        <v>575</v>
      </c>
      <c r="DV161" s="3">
        <f t="shared" si="569"/>
        <v>-42</v>
      </c>
      <c r="DW161" s="3">
        <f t="shared" si="570"/>
        <v>42</v>
      </c>
      <c r="DX161" s="3" t="e">
        <f t="shared" ca="1" si="571"/>
        <v>#NUM!</v>
      </c>
      <c r="DY161" s="3" t="e">
        <f t="shared" ca="1" si="572"/>
        <v>#NUM!</v>
      </c>
      <c r="DZ161" s="3" t="e">
        <f t="shared" ca="1" si="573"/>
        <v>#NUM!</v>
      </c>
      <c r="EA161" s="3" t="e">
        <f t="shared" ca="1" si="574"/>
        <v>#NUM!</v>
      </c>
      <c r="EB161" s="3" t="e">
        <f t="shared" ca="1" si="575"/>
        <v>#NUM!</v>
      </c>
      <c r="EC161" s="3" t="e">
        <f t="shared" ca="1" si="576"/>
        <v>#NUM!</v>
      </c>
      <c r="ED161" s="63">
        <f t="shared" si="593"/>
        <v>0</v>
      </c>
      <c r="EE161" s="59">
        <f t="shared" si="577"/>
        <v>0.72019999999999995</v>
      </c>
      <c r="EF161" s="59">
        <f t="shared" si="578"/>
        <v>0.25879999999999997</v>
      </c>
      <c r="EG161" s="59">
        <f t="shared" si="579"/>
        <v>0.25</v>
      </c>
      <c r="EH161" s="59">
        <f t="shared" si="580"/>
        <v>0.42130000000000001</v>
      </c>
      <c r="EI161" s="59">
        <f t="shared" si="581"/>
        <v>0.27710000000000001</v>
      </c>
      <c r="EJ161" s="59">
        <f t="shared" si="582"/>
        <v>0.29420000000000002</v>
      </c>
      <c r="EK161" s="63" t="e">
        <f t="shared" ca="1" si="594"/>
        <v>#NUM!</v>
      </c>
      <c r="EL161" s="3" t="str">
        <f>RTD("tos.rtd",,EL$43,"."&amp;$B$134&amp;$AS$82&amp;"C"&amp;$A161)</f>
        <v>72.02%</v>
      </c>
      <c r="EM161" s="3" t="str">
        <f>RTD("tos.rtd",,EM$43,"."&amp;$B$134&amp;$AS$82&amp;"P"&amp;$A161)</f>
        <v>25.88%</v>
      </c>
      <c r="EN161" s="3" t="str">
        <f>RTD("tos.rtd",,EN$2,"."&amp;$C$134&amp;$AU$82&amp;"C"&amp;$A161)</f>
        <v>--</v>
      </c>
      <c r="EO161" s="3" t="str">
        <f>RTD("tos.rtd",,EO$2,"."&amp;$C$134&amp;$AU$82&amp;"P"&amp;$A161)</f>
        <v>42.13%</v>
      </c>
      <c r="EP161" s="3" t="str">
        <f>RTD("tos.rtd",,EP$2,"."&amp;$D$134&amp;$AW$82&amp;"C"&amp;$A161)</f>
        <v>27.71%</v>
      </c>
      <c r="EQ161" s="3" t="str">
        <f>RTD("tos.rtd",,EQ$2,"."&amp;$D$134&amp;$AW$82&amp;"P"&amp;$A161)</f>
        <v>29.42%</v>
      </c>
      <c r="ES161" s="63" t="str">
        <f t="shared" si="583"/>
        <v>19950,00.00</v>
      </c>
      <c r="ET161" s="63" t="str">
        <f t="shared" ca="1" si="584"/>
        <v>19950,00.00</v>
      </c>
      <c r="EU161" s="68">
        <v>564.16</v>
      </c>
      <c r="EV161" s="68" t="s">
        <v>1307</v>
      </c>
      <c r="EW161" s="68">
        <v>486.94</v>
      </c>
      <c r="EX161" s="68" t="s">
        <v>1308</v>
      </c>
      <c r="EY161" s="68">
        <v>5631.28</v>
      </c>
      <c r="EZ161" s="68" t="s">
        <v>1309</v>
      </c>
      <c r="FA161" s="68">
        <v>19867.973000000002</v>
      </c>
      <c r="FB161" s="68" t="s">
        <v>1310</v>
      </c>
      <c r="FC161" s="68" t="s">
        <v>1311</v>
      </c>
      <c r="FD161" s="68" t="s">
        <v>1312</v>
      </c>
      <c r="FE161" s="68" t="s">
        <v>1313</v>
      </c>
      <c r="FF161" s="68" t="s">
        <v>1314</v>
      </c>
    </row>
    <row r="162" spans="1:162" ht="11.1" customHeight="1" thickBot="1" x14ac:dyDescent="0.25">
      <c r="A162" s="2">
        <f t="shared" si="595"/>
        <v>19925</v>
      </c>
      <c r="B162" s="3">
        <f t="shared" si="628"/>
        <v>7</v>
      </c>
      <c r="C162" s="3">
        <f t="shared" si="629"/>
        <v>10</v>
      </c>
      <c r="D162" s="3">
        <f t="shared" si="630"/>
        <v>18</v>
      </c>
      <c r="E162" s="3">
        <f t="shared" si="613"/>
        <v>35</v>
      </c>
      <c r="F162" s="4">
        <f t="shared" si="623"/>
        <v>20316.122541796456</v>
      </c>
      <c r="G162" s="5">
        <f t="shared" si="615"/>
        <v>492.4079262669411</v>
      </c>
      <c r="AM162" s="1">
        <v>-35</v>
      </c>
      <c r="AN162" s="1">
        <v>7</v>
      </c>
      <c r="AO162" s="1">
        <v>19925</v>
      </c>
      <c r="AP162" s="1">
        <v>15</v>
      </c>
      <c r="AQ162" s="1">
        <v>-110</v>
      </c>
      <c r="AS162" s="54">
        <f>IF(RTD("tos.rtd",,AS$83,"."&amp;$B$134&amp;$AS$82&amp;"C"&amp;$A162)="N/A",0,RTD("tos.rtd",,AS$83,"."&amp;$B$134&amp;$AS$82&amp;"C"&amp;$A162))</f>
        <v>5</v>
      </c>
      <c r="AT162" s="3">
        <f>-IF(RTD("tos.rtd",,AT$83,"."&amp;$B$134&amp;$AS$82&amp;"P"&amp;$A162)="N/A",0,RTD("tos.rtd",,AT$83,"."&amp;$B$134&amp;$AS$82&amp;"P"&amp;$A162))</f>
        <v>-2</v>
      </c>
      <c r="AU162" s="54">
        <f>IF(RTD("tos.rtd",,AU$2,"."&amp;$C$134&amp;$AU$134&amp;"C"&amp;$A162)="N/A",0,RTD("tos.rtd",,AU$2,"."&amp;$C$134&amp;$AU$134&amp;"C"&amp;$A162))</f>
        <v>4</v>
      </c>
      <c r="AV162" s="3">
        <f>-IF(RTD("tos.rtd",,AV$2,"."&amp;$C$134&amp;$AU$134&amp;"P"&amp;$A162)="N/A",0,RTD("tos.rtd",,AV$2,"."&amp;$C$134&amp;$AU$134&amp;"P"&amp;$A162))</f>
        <v>-6</v>
      </c>
      <c r="AW162" s="54">
        <f>IF(RTD("tos.rtd",,AW$2,"."&amp;$D$134&amp;$AW$134&amp;"C"&amp;$A162)="N/A",0,RTD("tos.rtd",,AW$2,"."&amp;$D$134&amp;$AW$134&amp;"C"&amp;$A162))</f>
        <v>13</v>
      </c>
      <c r="AX162" s="3">
        <f>-IF(RTD("tos.rtd",,AX$2,"."&amp;$D$134&amp;$AW$134&amp;"P"&amp;$A162)="N/A",0,RTD("tos.rtd",,AX$2,"."&amp;$D$134&amp;$AW$134&amp;"P"&amp;$A162))</f>
        <v>-5</v>
      </c>
      <c r="AY162" s="76">
        <f t="shared" si="624"/>
        <v>9</v>
      </c>
      <c r="AZ162" s="8">
        <f t="shared" si="548"/>
        <v>19925</v>
      </c>
      <c r="BA162" s="54">
        <f>IF(RTD("tos.rtd",,BA$43,"."&amp;$B$134&amp;$AS$82&amp;"C"&amp;$A162)="N/A",0,RTD("tos.rtd",,BA$43,"."&amp;$B$134&amp;$AS$82&amp;"C"&amp;$A162))</f>
        <v>0</v>
      </c>
      <c r="BB162" s="3">
        <f>-IF(RTD("tos.rtd",,BB$43,"."&amp;$B$134&amp;$AS$82&amp;"P"&amp;$A162)="N/A",0,RTD("tos.rtd",,BB$43,"."&amp;$B$134&amp;$AS$82&amp;"P"&amp;$A162))</f>
        <v>0</v>
      </c>
      <c r="BC162" s="54">
        <f>IF(RTD("tos.rtd",,BC$2,"."&amp;$C$134&amp;$AU$82&amp;"C"&amp;$A162)="N/A",0,RTD("tos.rtd",,BC$2,"."&amp;$C$134&amp;$AU$82&amp;"C"&amp;$A162))</f>
        <v>5</v>
      </c>
      <c r="BD162" s="3">
        <f>-IF(RTD("tos.rtd",,BD$2,"."&amp;$C$134&amp;$AU$82&amp;"P"&amp;$A162)="N/A",0,RTD("tos.rtd",,BD$2,"."&amp;$C$134&amp;$AU$82&amp;"P"&amp;$A162))</f>
        <v>-138</v>
      </c>
      <c r="BE162" s="54">
        <f>IF(RTD("tos.rtd",,BE$2,"."&amp;$D$134&amp;$AW$82&amp;"C"&amp;$A162)="N/A",0,RTD("tos.rtd",,BE$2,"."&amp;$D$134&amp;$AW$82&amp;"C"&amp;$A162))</f>
        <v>3</v>
      </c>
      <c r="BF162" s="3">
        <f>-IF(RTD("tos.rtd",,BF$2,"."&amp;$D$134&amp;$AW$82&amp;"P"&amp;$A162)="N/A",0,RTD("tos.rtd",,BF$2,"."&amp;$D$134&amp;$AW$82&amp;"P"&amp;$A162))</f>
        <v>-6</v>
      </c>
      <c r="BG162" s="3">
        <f ca="1">+Hoja2!Y163</f>
        <v>-4</v>
      </c>
      <c r="BH162" s="7">
        <f t="shared" ca="1" si="549"/>
        <v>-140</v>
      </c>
      <c r="BI162" s="32" t="str">
        <f t="shared" ca="1" si="609"/>
        <v/>
      </c>
      <c r="BJ162" s="3" t="e">
        <f ca="1">IF($BP$1=1,DX162,IF(RTD("tos.rtd",,BJ$43,"."&amp;$B$134&amp;$AS$82&amp;"C"&amp;$A162)="N/A",0,RTD("tos.rtd",,BJ$43,"."&amp;$B$134&amp;$AS$82&amp;"C"&amp;$A162)))</f>
        <v>#NUM!</v>
      </c>
      <c r="BK162" s="3" t="e">
        <f ca="1">IF($BP$1=1,DY162,-IF(RTD("tos.rtd",,BK$43,"."&amp;$B$134&amp;$AS$82&amp;"P"&amp;$A162)="N/A",0,RTD("tos.rtd",,BK$43,"."&amp;$B$134&amp;$AS$82&amp;"P"&amp;$A162)))</f>
        <v>#NUM!</v>
      </c>
      <c r="BL162" s="3" t="e">
        <f ca="1">IF($BP$1=1,DZ162,IF(RTD("tos.rtd",,BL$2,"."&amp;$C$134&amp;$AU$82&amp;"C"&amp;$A162)="N/A",0,RTD("tos.rtd",,BL$2,"."&amp;$C$134&amp;$AU$82&amp;"C"&amp;$A162)))</f>
        <v>#NUM!</v>
      </c>
      <c r="BM162" s="3" t="e">
        <f ca="1">IF($BP$1=1,EA162,-IF(RTD("tos.rtd",,BM$2,"."&amp;$C$134&amp;$AU$82&amp;"P"&amp;$A162)="N/A",0,RTD("tos.rtd",,BM$2,"."&amp;$C$134&amp;$AU$82&amp;"P"&amp;$A162)))</f>
        <v>#NUM!</v>
      </c>
      <c r="BN162" s="3" t="e">
        <f ca="1">IF($BP$1=1,EB162,IF(RTD("tos.rtd",,BN$2,"."&amp;$D$134&amp;$AW$82&amp;"C"&amp;$A162)="N/A",0,RTD("tos.rtd",,BN$2,"."&amp;$D$134&amp;$AW$82&amp;"C"&amp;$A162)))</f>
        <v>#NUM!</v>
      </c>
      <c r="BO162" s="3" t="e">
        <f ca="1">IF($BP$1=1,EC162,-IF(RTD("tos.rtd",,BO$2,"."&amp;$D$134&amp;$AW$82&amp;"P"&amp;$A162)="N/A",0,RTD("tos.rtd",,BO$2,"."&amp;$D$134&amp;$AW$82&amp;"P"&amp;$A162)))</f>
        <v>#NUM!</v>
      </c>
      <c r="BQ162" s="3" t="e">
        <f t="shared" ca="1" si="625"/>
        <v>#NUM!</v>
      </c>
      <c r="BR162" s="3" t="e">
        <f t="shared" ca="1" si="550"/>
        <v>#NUM!</v>
      </c>
      <c r="BS162" s="3" t="e">
        <f t="shared" ca="1" si="626"/>
        <v>#NUM!</v>
      </c>
      <c r="BT162" s="3" t="e">
        <f t="shared" ca="1" si="551"/>
        <v>#NUM!</v>
      </c>
      <c r="BU162" s="3" t="e">
        <f t="shared" ca="1" si="627"/>
        <v>#NUM!</v>
      </c>
      <c r="BV162" s="3" t="e">
        <f t="shared" ca="1" si="551"/>
        <v>#NUM!</v>
      </c>
      <c r="BX162" s="3" t="e">
        <f t="shared" ca="1" si="585"/>
        <v>#NUM!</v>
      </c>
      <c r="BY162" s="3" t="e">
        <f t="shared" ca="1" si="586"/>
        <v>#NUM!</v>
      </c>
      <c r="BZ162" s="3" t="e">
        <f t="shared" ca="1" si="587"/>
        <v>#NUM!</v>
      </c>
      <c r="CA162" s="3" t="e">
        <f t="shared" ca="1" si="586"/>
        <v>#NUM!</v>
      </c>
      <c r="CB162" s="3" t="e">
        <f t="shared" ca="1" si="588"/>
        <v>#NUM!</v>
      </c>
      <c r="CC162" s="3" t="e">
        <f t="shared" ca="1" si="586"/>
        <v>#NUM!</v>
      </c>
      <c r="CD162" s="3">
        <f>IF(RTD("tos.rtd",,CD$43,"."&amp;$B$134&amp;$AS$82&amp;"C"&amp;$A162)="N/A",0,RTD("tos.rtd",,CD$43,"."&amp;$B$134&amp;$AS$82&amp;"C"&amp;$A162))</f>
        <v>0.87</v>
      </c>
      <c r="CE162" s="3">
        <f>-IF(RTD("tos.rtd",,CE$43,"."&amp;$B$134&amp;$AS$82&amp;"P"&amp;$A162)="N/A",0,RTD("tos.rtd",,CE$43,"."&amp;$B$134&amp;$AS$82&amp;"P"&amp;$A162))</f>
        <v>0.01</v>
      </c>
      <c r="CF162" s="3">
        <f>IF(RTD("tos.rtd",,CF$2,"."&amp;$C$134&amp;$AU$82&amp;"C"&amp;$A162)="N/A",0,RTD("tos.rtd",,CF$2,"."&amp;$C$134&amp;$AU$82&amp;"C"&amp;$A162))</f>
        <v>1</v>
      </c>
      <c r="CG162" s="3">
        <f>-IF(RTD("tos.rtd",,CG$2,"."&amp;$C$134&amp;$AU$82&amp;"P"&amp;$A162)="N/A",0,RTD("tos.rtd",,CG$2,"."&amp;$C$134&amp;$AU$82&amp;"P"&amp;$A162))</f>
        <v>0</v>
      </c>
      <c r="CH162" s="3">
        <f>IF(RTD("tos.rtd",,CH$2,"."&amp;$D$134&amp;$AW$82&amp;"C"&amp;$A162)="N/A",0,RTD("tos.rtd",,CH$2,"."&amp;$D$134&amp;$AW$82&amp;"C"&amp;$A162))</f>
        <v>0.6</v>
      </c>
      <c r="CI162" s="3">
        <f>-IF(RTD("tos.rtd",,CI$2,"."&amp;$D$134&amp;$AW$82&amp;"P"&amp;$A162)="N/A",0,RTD("tos.rtd",,CI$2,"."&amp;$D$134&amp;$AW$82&amp;"P"&amp;$A162))</f>
        <v>0.4</v>
      </c>
      <c r="CK162" s="3">
        <f t="shared" si="620"/>
        <v>432.99999999999994</v>
      </c>
      <c r="CL162" s="3"/>
      <c r="CM162" s="3">
        <f t="shared" si="621"/>
        <v>400</v>
      </c>
      <c r="CN162" s="3"/>
      <c r="CO162" s="3">
        <f t="shared" si="622"/>
        <v>580</v>
      </c>
      <c r="CP162" s="3">
        <f t="shared" si="542"/>
        <v>1413</v>
      </c>
      <c r="CQ162" s="3">
        <f t="shared" si="552"/>
        <v>0</v>
      </c>
      <c r="CR162" s="3"/>
      <c r="CS162" s="3">
        <f t="shared" si="553"/>
        <v>-133</v>
      </c>
      <c r="CT162" s="3"/>
      <c r="CU162" s="3">
        <f t="shared" si="554"/>
        <v>-3</v>
      </c>
      <c r="CV162" s="3"/>
      <c r="CW162" s="3" t="e">
        <f t="shared" ca="1" si="555"/>
        <v>#NUM!</v>
      </c>
      <c r="CY162" s="3" t="e">
        <f t="shared" ca="1" si="556"/>
        <v>#NUM!</v>
      </c>
      <c r="CZ162" s="70" t="e">
        <f t="shared" ca="1" si="589"/>
        <v>#NUM!</v>
      </c>
      <c r="DA162" s="3">
        <f>IF(RTD("tos.rtd",,DA$43,"."&amp;$B$134&amp;$AS$82&amp;"C"&amp;$A162)="N/A",0,RTD("tos.rtd",,DA$43,"."&amp;$B$134&amp;$AS$82&amp;"C"&amp;$A162))</f>
        <v>261.3</v>
      </c>
      <c r="DB162" s="3">
        <f>IF(RTD("tos.rtd",,DB$43,"."&amp;$B$134&amp;$AS$82&amp;"P"&amp;$A162)="N/A",0,RTD("tos.rtd",,DB$43,"."&amp;$B$134&amp;$AS$82&amp;"P"&amp;$A162))</f>
        <v>0.55000000000000004</v>
      </c>
      <c r="DC162" s="3">
        <f>IF(RTD("tos.rtd",,DC$43,"."&amp;$B$134&amp;$AS$82&amp;"C"&amp;$A162)="N/A",0,RTD("tos.rtd",,DC$43,"."&amp;$B$134&amp;$AS$82&amp;"C"&amp;$A162))</f>
        <v>154</v>
      </c>
      <c r="DD162" s="3">
        <f>IF(RTD("tos.rtd",,DD$43,"."&amp;$B$134&amp;$AS$82&amp;"P"&amp;$A162)="N/A",0,RTD("tos.rtd",,DD$43,"."&amp;$B$134&amp;$AS$82&amp;"P"&amp;$A162))</f>
        <v>0.65</v>
      </c>
      <c r="DE162" s="3">
        <f>IF(RTD("tos.rtd",,DE$43,"."&amp;$B$134&amp;$AS$82&amp;"C"&amp;$A162)="N/A",0,RTD("tos.rtd",,DE$43,"."&amp;$B$134&amp;$AS$82&amp;"C"&amp;$A162))</f>
        <v>136</v>
      </c>
      <c r="DF162" s="3">
        <f>IF(RTD("tos.rtd",,DF$43,"."&amp;$B$134&amp;$AS$82&amp;"P"&amp;$A162)="N/A",0,RTD("tos.rtd",,DF$43,"."&amp;$B$134&amp;$AS$82&amp;"P"&amp;$A162))</f>
        <v>0</v>
      </c>
      <c r="DG162" s="86">
        <f t="shared" si="590"/>
        <v>-136.44900000000052</v>
      </c>
      <c r="DH162" s="3">
        <f t="shared" si="557"/>
        <v>-104.41666666666669</v>
      </c>
      <c r="DI162" s="3">
        <f t="shared" si="558"/>
        <v>93.07692307692308</v>
      </c>
      <c r="DJ162" s="3">
        <f t="shared" si="559"/>
        <v>-15</v>
      </c>
      <c r="DK162" s="3">
        <f t="shared" si="560"/>
        <v>110</v>
      </c>
      <c r="DL162" s="3">
        <f t="shared" si="561"/>
        <v>-11.339743589743605</v>
      </c>
      <c r="DM162" s="3">
        <f t="shared" si="562"/>
        <v>95</v>
      </c>
      <c r="DN162" s="64" t="str">
        <f t="shared" si="563"/>
        <v>UNKNOWN</v>
      </c>
      <c r="DO162" s="64" t="str">
        <f t="shared" si="564"/>
        <v>UNKNOWN</v>
      </c>
      <c r="DP162" s="3">
        <f t="shared" si="565"/>
        <v>-27232.882692307696</v>
      </c>
      <c r="DQ162" s="3">
        <f t="shared" si="566"/>
        <v>-3859</v>
      </c>
      <c r="DR162" s="3" t="e">
        <f t="shared" ca="1" si="567"/>
        <v>#NUM!</v>
      </c>
      <c r="DS162" s="3">
        <f t="shared" si="568"/>
        <v>-11.950000000000001</v>
      </c>
      <c r="DT162" s="3">
        <f t="shared" si="591"/>
        <v>-15</v>
      </c>
      <c r="DU162" s="3">
        <f t="shared" si="592"/>
        <v>110</v>
      </c>
      <c r="DV162" s="3">
        <f t="shared" si="569"/>
        <v>-35</v>
      </c>
      <c r="DW162" s="3">
        <f t="shared" si="570"/>
        <v>7</v>
      </c>
      <c r="DX162" s="3" t="e">
        <f t="shared" ca="1" si="571"/>
        <v>#NUM!</v>
      </c>
      <c r="DY162" s="3" t="e">
        <f t="shared" ca="1" si="572"/>
        <v>#NUM!</v>
      </c>
      <c r="DZ162" s="3" t="e">
        <f t="shared" ca="1" si="573"/>
        <v>#NUM!</v>
      </c>
      <c r="EA162" s="3" t="e">
        <f t="shared" ca="1" si="574"/>
        <v>#NUM!</v>
      </c>
      <c r="EB162" s="3" t="e">
        <f t="shared" ca="1" si="575"/>
        <v>#NUM!</v>
      </c>
      <c r="EC162" s="3" t="e">
        <f t="shared" ca="1" si="576"/>
        <v>#NUM!</v>
      </c>
      <c r="ED162" s="63">
        <f t="shared" si="593"/>
        <v>-28</v>
      </c>
      <c r="EE162" s="59">
        <f t="shared" si="577"/>
        <v>0.82130000000000003</v>
      </c>
      <c r="EF162" s="59">
        <f t="shared" si="578"/>
        <v>0.41489999999999999</v>
      </c>
      <c r="EG162" s="59">
        <f t="shared" si="579"/>
        <v>0.25</v>
      </c>
      <c r="EH162" s="59">
        <f t="shared" si="580"/>
        <v>0.31119999999999998</v>
      </c>
      <c r="EI162" s="59">
        <f t="shared" si="581"/>
        <v>0.27789999999999998</v>
      </c>
      <c r="EJ162" s="59">
        <f t="shared" si="582"/>
        <v>0.29459999999999997</v>
      </c>
      <c r="EK162" s="63" t="e">
        <f t="shared" ca="1" si="594"/>
        <v>#NUM!</v>
      </c>
      <c r="EL162" s="3" t="str">
        <f>RTD("tos.rtd",,EL$43,"."&amp;$B$134&amp;$AS$82&amp;"C"&amp;$A162)</f>
        <v>82.13%</v>
      </c>
      <c r="EM162" s="3" t="str">
        <f>RTD("tos.rtd",,EM$43,"."&amp;$B$134&amp;$AS$82&amp;"P"&amp;$A162)</f>
        <v>41.49%</v>
      </c>
      <c r="EN162" s="3" t="str">
        <f>RTD("tos.rtd",,EN$2,"."&amp;$C$134&amp;$AU$82&amp;"C"&amp;$A162)</f>
        <v>--</v>
      </c>
      <c r="EO162" s="3" t="str">
        <f>RTD("tos.rtd",,EO$2,"."&amp;$C$134&amp;$AU$82&amp;"P"&amp;$A162)</f>
        <v>31.12%</v>
      </c>
      <c r="EP162" s="3" t="str">
        <f>RTD("tos.rtd",,EP$2,"."&amp;$D$134&amp;$AW$82&amp;"C"&amp;$A162)</f>
        <v>27.79%</v>
      </c>
      <c r="EQ162" s="3" t="str">
        <f>RTD("tos.rtd",,EQ$2,"."&amp;$D$134&amp;$AW$82&amp;"P"&amp;$A162)</f>
        <v>29.46%</v>
      </c>
      <c r="ES162" s="63" t="str">
        <f t="shared" si="583"/>
        <v>19925,-28.00</v>
      </c>
      <c r="ET162" s="63" t="str">
        <f t="shared" ca="1" si="584"/>
        <v>19925,00.00</v>
      </c>
      <c r="EU162" s="68">
        <v>564.29</v>
      </c>
      <c r="EV162" s="68" t="s">
        <v>1315</v>
      </c>
      <c r="EW162" s="68">
        <v>487.12</v>
      </c>
      <c r="EX162" s="68" t="s">
        <v>1316</v>
      </c>
      <c r="EY162" s="68">
        <v>5631.28</v>
      </c>
      <c r="EZ162" s="68" t="s">
        <v>1317</v>
      </c>
      <c r="FA162" s="68">
        <v>19867.973000000002</v>
      </c>
      <c r="FB162" s="68" t="s">
        <v>1318</v>
      </c>
      <c r="FC162" s="68" t="s">
        <v>1319</v>
      </c>
      <c r="FD162" s="68" t="s">
        <v>1320</v>
      </c>
      <c r="FE162" s="68" t="s">
        <v>1321</v>
      </c>
      <c r="FF162" s="68" t="s">
        <v>1322</v>
      </c>
    </row>
    <row r="163" spans="1:162" ht="11.1" customHeight="1" thickBot="1" x14ac:dyDescent="0.25">
      <c r="A163" s="2">
        <f t="shared" si="595"/>
        <v>19900</v>
      </c>
      <c r="B163" s="10">
        <f t="shared" si="628"/>
        <v>93</v>
      </c>
      <c r="C163" s="10">
        <f t="shared" si="629"/>
        <v>31</v>
      </c>
      <c r="D163" s="10">
        <f t="shared" si="630"/>
        <v>112</v>
      </c>
      <c r="E163" s="10">
        <f t="shared" si="613"/>
        <v>236</v>
      </c>
      <c r="F163" s="11">
        <f t="shared" si="623"/>
        <v>20290.631798331218</v>
      </c>
      <c r="G163" s="5">
        <f t="shared" si="615"/>
        <v>491.79009950876423</v>
      </c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">
        <v>-25</v>
      </c>
      <c r="AN163" s="1">
        <v>-20</v>
      </c>
      <c r="AO163" s="12">
        <v>19900</v>
      </c>
      <c r="AP163" s="12">
        <v>21</v>
      </c>
      <c r="AQ163" s="12">
        <v>-410</v>
      </c>
      <c r="AR163" s="12"/>
      <c r="AS163" s="54">
        <f>IF(RTD("tos.rtd",,AS$83,"."&amp;$B$134&amp;$AS$82&amp;"C"&amp;$A163)="N/A",0,RTD("tos.rtd",,AS$83,"."&amp;$B$134&amp;$AS$82&amp;"C"&amp;$A163))</f>
        <v>80</v>
      </c>
      <c r="AT163" s="3">
        <f>-IF(RTD("tos.rtd",,AT$83,"."&amp;$B$134&amp;$AS$82&amp;"P"&amp;$A163)="N/A",0,RTD("tos.rtd",,AT$83,"."&amp;$B$134&amp;$AS$82&amp;"P"&amp;$A163))</f>
        <v>-13</v>
      </c>
      <c r="AU163" s="54">
        <f>IF(RTD("tos.rtd",,AU$2,"."&amp;$C$134&amp;$AU$134&amp;"C"&amp;$A163)="N/A",0,RTD("tos.rtd",,AU$2,"."&amp;$C$134&amp;$AU$134&amp;"C"&amp;$A163))</f>
        <v>16</v>
      </c>
      <c r="AV163" s="3">
        <f>-IF(RTD("tos.rtd",,AV$2,"."&amp;$C$134&amp;$AU$134&amp;"P"&amp;$A163)="N/A",0,RTD("tos.rtd",,AV$2,"."&amp;$C$134&amp;$AU$134&amp;"P"&amp;$A163))</f>
        <v>-15</v>
      </c>
      <c r="AW163" s="54">
        <f>IF(RTD("tos.rtd",,AW$2,"."&amp;$D$134&amp;$AW$134&amp;"C"&amp;$A163)="N/A",0,RTD("tos.rtd",,AW$2,"."&amp;$D$134&amp;$AW$134&amp;"C"&amp;$A163))</f>
        <v>54</v>
      </c>
      <c r="AX163" s="3">
        <f>-IF(RTD("tos.rtd",,AX$2,"."&amp;$D$134&amp;$AW$134&amp;"P"&amp;$A163)="N/A",0,RTD("tos.rtd",,AX$2,"."&amp;$D$134&amp;$AW$134&amp;"P"&amp;$A163))</f>
        <v>-58</v>
      </c>
      <c r="AY163" s="76">
        <f t="shared" si="624"/>
        <v>64</v>
      </c>
      <c r="AZ163" s="8">
        <f t="shared" si="548"/>
        <v>19900</v>
      </c>
      <c r="BA163" s="54">
        <f>IF(RTD("tos.rtd",,BA$43,"."&amp;$B$134&amp;$AS$82&amp;"C"&amp;$A163)="N/A",0,RTD("tos.rtd",,BA$43,"."&amp;$B$134&amp;$AS$82&amp;"C"&amp;$A163))</f>
        <v>0</v>
      </c>
      <c r="BB163" s="3">
        <f>-IF(RTD("tos.rtd",,BB$43,"."&amp;$B$134&amp;$AS$82&amp;"P"&amp;$A163)="N/A",0,RTD("tos.rtd",,BB$43,"."&amp;$B$134&amp;$AS$82&amp;"P"&amp;$A163))</f>
        <v>0</v>
      </c>
      <c r="BC163" s="54">
        <f>IF(RTD("tos.rtd",,BC$2,"."&amp;$C$134&amp;$AU$82&amp;"C"&amp;$A163)="N/A",0,RTD("tos.rtd",,BC$2,"."&amp;$C$134&amp;$AU$82&amp;"C"&amp;$A163))</f>
        <v>4</v>
      </c>
      <c r="BD163" s="3">
        <f>-IF(RTD("tos.rtd",,BD$2,"."&amp;$C$134&amp;$AU$82&amp;"P"&amp;$A163)="N/A",0,RTD("tos.rtd",,BD$2,"."&amp;$C$134&amp;$AU$82&amp;"P"&amp;$A163))</f>
        <v>-713</v>
      </c>
      <c r="BE163" s="54">
        <f>IF(RTD("tos.rtd",,BE$2,"."&amp;$D$134&amp;$AW$82&amp;"C"&amp;$A163)="N/A",0,RTD("tos.rtd",,BE$2,"."&amp;$D$134&amp;$AW$82&amp;"C"&amp;$A163))</f>
        <v>4</v>
      </c>
      <c r="BF163" s="3">
        <f>-IF(RTD("tos.rtd",,BF$2,"."&amp;$D$134&amp;$AW$82&amp;"P"&amp;$A163)="N/A",0,RTD("tos.rtd",,BF$2,"."&amp;$D$134&amp;$AW$82&amp;"P"&amp;$A163))</f>
        <v>-12</v>
      </c>
      <c r="BG163" s="3">
        <f ca="1">+Hoja2!Y164</f>
        <v>-3</v>
      </c>
      <c r="BH163" s="7">
        <f t="shared" ca="1" si="549"/>
        <v>-720</v>
      </c>
      <c r="BI163" s="32" t="str">
        <f t="shared" ca="1" si="609"/>
        <v/>
      </c>
      <c r="BJ163" s="3" t="e">
        <f ca="1">IF($BP$1=1,DX163,IF(RTD("tos.rtd",,BJ$43,"."&amp;$B$134&amp;$AS$82&amp;"C"&amp;$A163)="N/A",0,RTD("tos.rtd",,BJ$43,"."&amp;$B$134&amp;$AS$82&amp;"C"&amp;$A163)))</f>
        <v>#NUM!</v>
      </c>
      <c r="BK163" s="3" t="e">
        <f ca="1">IF($BP$1=1,DY163,-IF(RTD("tos.rtd",,BK$43,"."&amp;$B$134&amp;$AS$82&amp;"P"&amp;$A163)="N/A",0,RTD("tos.rtd",,BK$43,"."&amp;$B$134&amp;$AS$82&amp;"P"&amp;$A163)))</f>
        <v>#NUM!</v>
      </c>
      <c r="BL163" s="3" t="e">
        <f ca="1">IF($BP$1=1,DZ163,IF(RTD("tos.rtd",,BL$2,"."&amp;$C$134&amp;$AU$82&amp;"C"&amp;$A163)="N/A",0,RTD("tos.rtd",,BL$2,"."&amp;$C$134&amp;$AU$82&amp;"C"&amp;$A163)))</f>
        <v>#NUM!</v>
      </c>
      <c r="BM163" s="3" t="e">
        <f ca="1">IF($BP$1=1,EA163,-IF(RTD("tos.rtd",,BM$2,"."&amp;$C$134&amp;$AU$82&amp;"P"&amp;$A163)="N/A",0,RTD("tos.rtd",,BM$2,"."&amp;$C$134&amp;$AU$82&amp;"P"&amp;$A163)))</f>
        <v>#NUM!</v>
      </c>
      <c r="BN163" s="3" t="e">
        <f ca="1">IF($BP$1=1,EB163,IF(RTD("tos.rtd",,BN$2,"."&amp;$D$134&amp;$AW$82&amp;"C"&amp;$A163)="N/A",0,RTD("tos.rtd",,BN$2,"."&amp;$D$134&amp;$AW$82&amp;"C"&amp;$A163)))</f>
        <v>#NUM!</v>
      </c>
      <c r="BO163" s="3" t="e">
        <f ca="1">IF($BP$1=1,EC163,-IF(RTD("tos.rtd",,BO$2,"."&amp;$D$134&amp;$AW$82&amp;"P"&amp;$A163)="N/A",0,RTD("tos.rtd",,BO$2,"."&amp;$D$134&amp;$AW$82&amp;"P"&amp;$A163)))</f>
        <v>#NUM!</v>
      </c>
      <c r="BQ163" s="3" t="e">
        <f t="shared" ca="1" si="625"/>
        <v>#NUM!</v>
      </c>
      <c r="BR163" s="3" t="e">
        <f t="shared" ca="1" si="550"/>
        <v>#NUM!</v>
      </c>
      <c r="BS163" s="3" t="e">
        <f t="shared" ca="1" si="626"/>
        <v>#NUM!</v>
      </c>
      <c r="BT163" s="3" t="e">
        <f t="shared" ca="1" si="551"/>
        <v>#NUM!</v>
      </c>
      <c r="BU163" s="3" t="e">
        <f t="shared" ca="1" si="627"/>
        <v>#NUM!</v>
      </c>
      <c r="BV163" s="3" t="e">
        <f t="shared" ca="1" si="551"/>
        <v>#NUM!</v>
      </c>
      <c r="BX163" s="3" t="e">
        <f t="shared" ca="1" si="585"/>
        <v>#NUM!</v>
      </c>
      <c r="BY163" s="3" t="e">
        <f t="shared" ca="1" si="586"/>
        <v>#NUM!</v>
      </c>
      <c r="BZ163" s="3" t="e">
        <f t="shared" ca="1" si="587"/>
        <v>#NUM!</v>
      </c>
      <c r="CA163" s="3" t="e">
        <f t="shared" ca="1" si="586"/>
        <v>#NUM!</v>
      </c>
      <c r="CB163" s="3" t="e">
        <f t="shared" ca="1" si="588"/>
        <v>#NUM!</v>
      </c>
      <c r="CC163" s="3" t="e">
        <f t="shared" ca="1" si="586"/>
        <v>#NUM!</v>
      </c>
      <c r="CD163" s="3">
        <f>IF(RTD("tos.rtd",,CD$43,"."&amp;$B$134&amp;$AS$82&amp;"C"&amp;$A163)="N/A",0,RTD("tos.rtd",,CD$43,"."&amp;$B$134&amp;$AS$82&amp;"C"&amp;$A163))</f>
        <v>0.88</v>
      </c>
      <c r="CE163" s="3">
        <f>-IF(RTD("tos.rtd",,CE$43,"."&amp;$B$134&amp;$AS$82&amp;"P"&amp;$A163)="N/A",0,RTD("tos.rtd",,CE$43,"."&amp;$B$134&amp;$AS$82&amp;"P"&amp;$A163))</f>
        <v>0.13</v>
      </c>
      <c r="CF163" s="3">
        <f>IF(RTD("tos.rtd",,CF$2,"."&amp;$C$134&amp;$AU$82&amp;"C"&amp;$A163)="N/A",0,RTD("tos.rtd",,CF$2,"."&amp;$C$134&amp;$AU$82&amp;"C"&amp;$A163))</f>
        <v>1</v>
      </c>
      <c r="CG163" s="3">
        <f>-IF(RTD("tos.rtd",,CG$2,"."&amp;$C$134&amp;$AU$82&amp;"P"&amp;$A163)="N/A",0,RTD("tos.rtd",,CG$2,"."&amp;$C$134&amp;$AU$82&amp;"P"&amp;$A163))</f>
        <v>0</v>
      </c>
      <c r="CH163" s="3">
        <f>IF(RTD("tos.rtd",,CH$2,"."&amp;$D$134&amp;$AW$82&amp;"C"&amp;$A163)="N/A",0,RTD("tos.rtd",,CH$2,"."&amp;$D$134&amp;$AW$82&amp;"C"&amp;$A163))</f>
        <v>0.62</v>
      </c>
      <c r="CI163" s="3">
        <f>-IF(RTD("tos.rtd",,CI$2,"."&amp;$D$134&amp;$AW$82&amp;"P"&amp;$A163)="N/A",0,RTD("tos.rtd",,CI$2,"."&amp;$D$134&amp;$AW$82&amp;"P"&amp;$A163))</f>
        <v>0.39</v>
      </c>
      <c r="CK163" s="3">
        <f t="shared" si="620"/>
        <v>6871.0000000000009</v>
      </c>
      <c r="CL163" s="3"/>
      <c r="CM163" s="3">
        <f t="shared" si="621"/>
        <v>1600</v>
      </c>
      <c r="CN163" s="3"/>
      <c r="CO163" s="3">
        <f t="shared" si="622"/>
        <v>1085.9999999999995</v>
      </c>
      <c r="CP163" s="3">
        <f t="shared" si="542"/>
        <v>9557</v>
      </c>
      <c r="CQ163" s="3">
        <f t="shared" si="552"/>
        <v>0</v>
      </c>
      <c r="CR163" s="3"/>
      <c r="CS163" s="3">
        <f t="shared" si="553"/>
        <v>-709</v>
      </c>
      <c r="CT163" s="3"/>
      <c r="CU163" s="3">
        <f t="shared" si="554"/>
        <v>-8</v>
      </c>
      <c r="CV163" s="3"/>
      <c r="CW163" s="3" t="e">
        <f t="shared" ca="1" si="555"/>
        <v>#NUM!</v>
      </c>
      <c r="CY163" s="3" t="e">
        <f t="shared" ca="1" si="556"/>
        <v>#NUM!</v>
      </c>
      <c r="CZ163" s="70" t="e">
        <f t="shared" ca="1" si="589"/>
        <v>#NUM!</v>
      </c>
      <c r="DA163" s="3">
        <f>IF(RTD("tos.rtd",,DA$43,"."&amp;$B$134&amp;$AS$82&amp;"C"&amp;$A163)="N/A",0,RTD("tos.rtd",,DA$43,"."&amp;$B$134&amp;$AS$82&amp;"C"&amp;$A163))</f>
        <v>320.94</v>
      </c>
      <c r="DB163" s="3">
        <f>IF(RTD("tos.rtd",,DB$43,"."&amp;$B$134&amp;$AS$82&amp;"P"&amp;$A163)="N/A",0,RTD("tos.rtd",,DB$43,"."&amp;$B$134&amp;$AS$82&amp;"P"&amp;$A163))</f>
        <v>0.23</v>
      </c>
      <c r="DC163" s="3">
        <f>IF(RTD("tos.rtd",,DC$43,"."&amp;$B$134&amp;$AS$82&amp;"C"&amp;$A163)="N/A",0,RTD("tos.rtd",,DC$43,"."&amp;$B$134&amp;$AS$82&amp;"C"&amp;$A163))</f>
        <v>180</v>
      </c>
      <c r="DD163" s="3">
        <f>IF(RTD("tos.rtd",,DD$43,"."&amp;$B$134&amp;$AS$82&amp;"P"&amp;$A163)="N/A",0,RTD("tos.rtd",,DD$43,"."&amp;$B$134&amp;$AS$82&amp;"P"&amp;$A163))</f>
        <v>19.8</v>
      </c>
      <c r="DE163" s="3">
        <f>IF(RTD("tos.rtd",,DE$43,"."&amp;$B$134&amp;$AS$82&amp;"C"&amp;$A163)="N/A",0,RTD("tos.rtd",,DE$43,"."&amp;$B$134&amp;$AS$82&amp;"C"&amp;$A163))</f>
        <v>160.30000000000001</v>
      </c>
      <c r="DF163" s="3">
        <f>IF(RTD("tos.rtd",,DF$43,"."&amp;$B$134&amp;$AS$82&amp;"P"&amp;$A163)="N/A",0,RTD("tos.rtd",,DF$43,"."&amp;$B$134&amp;$AS$82&amp;"P"&amp;$A163))</f>
        <v>0</v>
      </c>
      <c r="DG163" s="86">
        <f t="shared" si="590"/>
        <v>-161.44900000000052</v>
      </c>
      <c r="DH163" s="3">
        <f t="shared" si="557"/>
        <v>-171.24060913705591</v>
      </c>
      <c r="DI163" s="3">
        <f t="shared" si="558"/>
        <v>4.762626262626263</v>
      </c>
      <c r="DJ163" s="3">
        <f t="shared" si="559"/>
        <v>-21</v>
      </c>
      <c r="DK163" s="3">
        <f t="shared" si="560"/>
        <v>-410</v>
      </c>
      <c r="DL163" s="3">
        <f t="shared" si="561"/>
        <v>-166.47798287442964</v>
      </c>
      <c r="DM163" s="3">
        <f t="shared" si="562"/>
        <v>-431</v>
      </c>
      <c r="DN163" s="64" t="str">
        <f t="shared" si="563"/>
        <v>UNKNOWN</v>
      </c>
      <c r="DO163" s="64" t="str">
        <f t="shared" si="564"/>
        <v>UNKNOWN</v>
      </c>
      <c r="DP163" s="3">
        <f t="shared" si="565"/>
        <v>-54956.865692406318</v>
      </c>
      <c r="DQ163" s="3">
        <f t="shared" si="566"/>
        <v>-6834.04</v>
      </c>
      <c r="DR163" s="3" t="e">
        <f t="shared" ca="1" si="567"/>
        <v>#NUM!</v>
      </c>
      <c r="DS163" s="3">
        <f t="shared" si="568"/>
        <v>-71.78</v>
      </c>
      <c r="DT163" s="3">
        <f t="shared" si="591"/>
        <v>-21</v>
      </c>
      <c r="DU163" s="3">
        <f t="shared" si="592"/>
        <v>410</v>
      </c>
      <c r="DV163" s="3">
        <f t="shared" si="569"/>
        <v>-25</v>
      </c>
      <c r="DW163" s="3">
        <f t="shared" si="570"/>
        <v>-20</v>
      </c>
      <c r="DX163" s="3" t="e">
        <f t="shared" ca="1" si="571"/>
        <v>#NUM!</v>
      </c>
      <c r="DY163" s="3" t="e">
        <f t="shared" ca="1" si="572"/>
        <v>#NUM!</v>
      </c>
      <c r="DZ163" s="3" t="e">
        <f t="shared" ca="1" si="573"/>
        <v>#NUM!</v>
      </c>
      <c r="EA163" s="3" t="e">
        <f t="shared" ca="1" si="574"/>
        <v>#NUM!</v>
      </c>
      <c r="EB163" s="3" t="e">
        <f t="shared" ca="1" si="575"/>
        <v>#NUM!</v>
      </c>
      <c r="EC163" s="3" t="e">
        <f t="shared" ca="1" si="576"/>
        <v>#NUM!</v>
      </c>
      <c r="ED163" s="63">
        <f t="shared" si="593"/>
        <v>-45</v>
      </c>
      <c r="EE163" s="59">
        <f t="shared" si="577"/>
        <v>0.92830000000000001</v>
      </c>
      <c r="EF163" s="59">
        <f t="shared" si="578"/>
        <v>0.96760000000000002</v>
      </c>
      <c r="EG163" s="59">
        <f t="shared" si="579"/>
        <v>0.25</v>
      </c>
      <c r="EH163" s="59">
        <f t="shared" si="580"/>
        <v>0.36299999999999999</v>
      </c>
      <c r="EI163" s="59">
        <f t="shared" si="581"/>
        <v>0.2782</v>
      </c>
      <c r="EJ163" s="59">
        <f t="shared" si="582"/>
        <v>0.2954</v>
      </c>
      <c r="EK163" s="63" t="e">
        <f t="shared" ca="1" si="594"/>
        <v>#NUM!</v>
      </c>
      <c r="EL163" s="3" t="str">
        <f>RTD("tos.rtd",,EL$43,"."&amp;$B$134&amp;$AS$82&amp;"C"&amp;$A163)</f>
        <v>92.83%</v>
      </c>
      <c r="EM163" s="3" t="str">
        <f>RTD("tos.rtd",,EM$43,"."&amp;$B$134&amp;$AS$82&amp;"P"&amp;$A163)</f>
        <v>96.76%</v>
      </c>
      <c r="EN163" s="3" t="str">
        <f>RTD("tos.rtd",,EN$2,"."&amp;$C$134&amp;$AU$82&amp;"C"&amp;$A163)</f>
        <v>--</v>
      </c>
      <c r="EO163" s="3" t="str">
        <f>RTD("tos.rtd",,EO$2,"."&amp;$C$134&amp;$AU$82&amp;"P"&amp;$A163)</f>
        <v>36.30%</v>
      </c>
      <c r="EP163" s="3" t="str">
        <f>RTD("tos.rtd",,EP$2,"."&amp;$D$134&amp;$AW$82&amp;"C"&amp;$A163)</f>
        <v>27.82%</v>
      </c>
      <c r="EQ163" s="3" t="str">
        <f>RTD("tos.rtd",,EQ$2,"."&amp;$D$134&amp;$AW$82&amp;"P"&amp;$A163)</f>
        <v>29.54%</v>
      </c>
      <c r="ES163" s="63" t="str">
        <f t="shared" si="583"/>
        <v>19900,-45.00</v>
      </c>
      <c r="ET163" s="63" t="str">
        <f t="shared" ca="1" si="584"/>
        <v>19900,00.00</v>
      </c>
      <c r="EU163" s="68">
        <v>564.11</v>
      </c>
      <c r="EV163" s="68" t="s">
        <v>1323</v>
      </c>
      <c r="EW163" s="68">
        <v>486.91</v>
      </c>
      <c r="EX163" s="68" t="s">
        <v>1324</v>
      </c>
      <c r="EY163" s="68">
        <v>5631.28</v>
      </c>
      <c r="EZ163" s="68" t="s">
        <v>1325</v>
      </c>
      <c r="FA163" s="68">
        <v>19867.973000000002</v>
      </c>
      <c r="FB163" s="68" t="s">
        <v>1326</v>
      </c>
      <c r="FC163" s="68" t="s">
        <v>1327</v>
      </c>
      <c r="FD163" s="68" t="s">
        <v>1328</v>
      </c>
      <c r="FE163" s="68" t="s">
        <v>1329</v>
      </c>
      <c r="FF163" s="68" t="s">
        <v>1330</v>
      </c>
    </row>
    <row r="164" spans="1:162" ht="11.1" customHeight="1" thickBot="1" x14ac:dyDescent="0.25">
      <c r="A164" s="2">
        <f t="shared" si="595"/>
        <v>19875</v>
      </c>
      <c r="B164" s="3">
        <f t="shared" si="628"/>
        <v>8</v>
      </c>
      <c r="C164" s="3">
        <f t="shared" si="629"/>
        <v>12</v>
      </c>
      <c r="D164" s="3">
        <f t="shared" si="630"/>
        <v>22</v>
      </c>
      <c r="E164" s="3">
        <f t="shared" si="613"/>
        <v>42</v>
      </c>
      <c r="F164" s="14">
        <f t="shared" si="623"/>
        <v>20265.141054865977</v>
      </c>
      <c r="G164" s="5">
        <f t="shared" si="615"/>
        <v>491.17227275058741</v>
      </c>
      <c r="AM164" s="1">
        <v>36</v>
      </c>
      <c r="AN164" s="1">
        <v>-45</v>
      </c>
      <c r="AO164" s="1">
        <v>19875</v>
      </c>
      <c r="AP164" s="1">
        <v>4</v>
      </c>
      <c r="AQ164" s="1">
        <v>-117</v>
      </c>
      <c r="AS164" s="54">
        <f>IF(RTD("tos.rtd",,AS$83,"."&amp;$B$134&amp;$AS$82&amp;"C"&amp;$A164)="N/A",0,RTD("tos.rtd",,AS$83,"."&amp;$B$134&amp;$AS$82&amp;"C"&amp;$A164))</f>
        <v>4</v>
      </c>
      <c r="AT164" s="3">
        <f>-IF(RTD("tos.rtd",,AT$83,"."&amp;$B$134&amp;$AS$82&amp;"P"&amp;$A164)="N/A",0,RTD("tos.rtd",,AT$83,"."&amp;$B$134&amp;$AS$82&amp;"P"&amp;$A164))</f>
        <v>-4</v>
      </c>
      <c r="AU164" s="54">
        <f>IF(RTD("tos.rtd",,AU$2,"."&amp;$C$134&amp;$AU$134&amp;"C"&amp;$A164)="N/A",0,RTD("tos.rtd",,AU$2,"."&amp;$C$134&amp;$AU$134&amp;"C"&amp;$A164))</f>
        <v>6</v>
      </c>
      <c r="AV164" s="3">
        <f>-IF(RTD("tos.rtd",,AV$2,"."&amp;$C$134&amp;$AU$134&amp;"P"&amp;$A164)="N/A",0,RTD("tos.rtd",,AV$2,"."&amp;$C$134&amp;$AU$134&amp;"P"&amp;$A164))</f>
        <v>-6</v>
      </c>
      <c r="AW164" s="54">
        <f>IF(RTD("tos.rtd",,AW$2,"."&amp;$D$134&amp;$AW$134&amp;"C"&amp;$A164)="N/A",0,RTD("tos.rtd",,AW$2,"."&amp;$D$134&amp;$AW$134&amp;"C"&amp;$A164))</f>
        <v>14</v>
      </c>
      <c r="AX164" s="3">
        <f>-IF(RTD("tos.rtd",,AX$2,"."&amp;$D$134&amp;$AW$134&amp;"P"&amp;$A164)="N/A",0,RTD("tos.rtd",,AX$2,"."&amp;$D$134&amp;$AW$134&amp;"P"&amp;$A164))</f>
        <v>-8</v>
      </c>
      <c r="AY164" s="76">
        <f t="shared" si="624"/>
        <v>6</v>
      </c>
      <c r="AZ164" s="8">
        <f t="shared" si="548"/>
        <v>19875</v>
      </c>
      <c r="BA164" s="54">
        <f>IF(RTD("tos.rtd",,BA$43,"."&amp;$B$134&amp;$AS$82&amp;"C"&amp;$A164)="N/A",0,RTD("tos.rtd",,BA$43,"."&amp;$B$134&amp;$AS$82&amp;"C"&amp;$A164))</f>
        <v>0</v>
      </c>
      <c r="BB164" s="3">
        <f>-IF(RTD("tos.rtd",,BB$43,"."&amp;$B$134&amp;$AS$82&amp;"P"&amp;$A164)="N/A",0,RTD("tos.rtd",,BB$43,"."&amp;$B$134&amp;$AS$82&amp;"P"&amp;$A164))</f>
        <v>0</v>
      </c>
      <c r="BC164" s="54">
        <f>IF(RTD("tos.rtd",,BC$2,"."&amp;$C$134&amp;$AU$82&amp;"C"&amp;$A164)="N/A",0,RTD("tos.rtd",,BC$2,"."&amp;$C$134&amp;$AU$82&amp;"C"&amp;$A164))</f>
        <v>0</v>
      </c>
      <c r="BD164" s="3">
        <f>-IF(RTD("tos.rtd",,BD$2,"."&amp;$C$134&amp;$AU$82&amp;"P"&amp;$A164)="N/A",0,RTD("tos.rtd",,BD$2,"."&amp;$C$134&amp;$AU$82&amp;"P"&amp;$A164))</f>
        <v>-140</v>
      </c>
      <c r="BE164" s="54">
        <f>IF(RTD("tos.rtd",,BE$2,"."&amp;$D$134&amp;$AW$82&amp;"C"&amp;$A164)="N/A",0,RTD("tos.rtd",,BE$2,"."&amp;$D$134&amp;$AW$82&amp;"C"&amp;$A164))</f>
        <v>0</v>
      </c>
      <c r="BF164" s="3">
        <f>-IF(RTD("tos.rtd",,BF$2,"."&amp;$D$134&amp;$AW$82&amp;"P"&amp;$A164)="N/A",0,RTD("tos.rtd",,BF$2,"."&amp;$D$134&amp;$AW$82&amp;"P"&amp;$A164))</f>
        <v>-8</v>
      </c>
      <c r="BG164" s="3">
        <f ca="1">+Hoja2!Y165</f>
        <v>1</v>
      </c>
      <c r="BH164" s="7">
        <f t="shared" ca="1" si="549"/>
        <v>-147</v>
      </c>
      <c r="BI164" s="32" t="str">
        <f t="shared" ca="1" si="609"/>
        <v/>
      </c>
      <c r="BJ164" s="3" t="e">
        <f ca="1">IF($BP$1=1,DX164,IF(RTD("tos.rtd",,BJ$43,"."&amp;$B$134&amp;$AS$82&amp;"C"&amp;$A164)="N/A",0,RTD("tos.rtd",,BJ$43,"."&amp;$B$134&amp;$AS$82&amp;"C"&amp;$A164)))</f>
        <v>#NUM!</v>
      </c>
      <c r="BK164" s="3" t="e">
        <f ca="1">IF($BP$1=1,DY164,-IF(RTD("tos.rtd",,BK$43,"."&amp;$B$134&amp;$AS$82&amp;"P"&amp;$A164)="N/A",0,RTD("tos.rtd",,BK$43,"."&amp;$B$134&amp;$AS$82&amp;"P"&amp;$A164)))</f>
        <v>#NUM!</v>
      </c>
      <c r="BL164" s="3" t="e">
        <f ca="1">IF($BP$1=1,DZ164,IF(RTD("tos.rtd",,BL$2,"."&amp;$C$134&amp;$AU$82&amp;"C"&amp;$A164)="N/A",0,RTD("tos.rtd",,BL$2,"."&amp;$C$134&amp;$AU$82&amp;"C"&amp;$A164)))</f>
        <v>#NUM!</v>
      </c>
      <c r="BM164" s="3" t="e">
        <f ca="1">IF($BP$1=1,EA164,-IF(RTD("tos.rtd",,BM$2,"."&amp;$C$134&amp;$AU$82&amp;"P"&amp;$A164)="N/A",0,RTD("tos.rtd",,BM$2,"."&amp;$C$134&amp;$AU$82&amp;"P"&amp;$A164)))</f>
        <v>#NUM!</v>
      </c>
      <c r="BN164" s="3" t="e">
        <f ca="1">IF($BP$1=1,EB164,IF(RTD("tos.rtd",,BN$2,"."&amp;$D$134&amp;$AW$82&amp;"C"&amp;$A164)="N/A",0,RTD("tos.rtd",,BN$2,"."&amp;$D$134&amp;$AW$82&amp;"C"&amp;$A164)))</f>
        <v>#NUM!</v>
      </c>
      <c r="BO164" s="3" t="e">
        <f ca="1">IF($BP$1=1,EC164,-IF(RTD("tos.rtd",,BO$2,"."&amp;$D$134&amp;$AW$82&amp;"P"&amp;$A164)="N/A",0,RTD("tos.rtd",,BO$2,"."&amp;$D$134&amp;$AW$82&amp;"P"&amp;$A164)))</f>
        <v>#NUM!</v>
      </c>
      <c r="BQ164" s="3" t="e">
        <f t="shared" ca="1" si="625"/>
        <v>#NUM!</v>
      </c>
      <c r="BR164" s="3" t="e">
        <f t="shared" ca="1" si="550"/>
        <v>#NUM!</v>
      </c>
      <c r="BS164" s="3" t="e">
        <f t="shared" ca="1" si="626"/>
        <v>#NUM!</v>
      </c>
      <c r="BT164" s="3" t="e">
        <f t="shared" ca="1" si="551"/>
        <v>#NUM!</v>
      </c>
      <c r="BU164" s="3" t="e">
        <f t="shared" ca="1" si="627"/>
        <v>#NUM!</v>
      </c>
      <c r="BV164" s="3" t="e">
        <f t="shared" ca="1" si="551"/>
        <v>#NUM!</v>
      </c>
      <c r="BX164" s="3" t="e">
        <f t="shared" ca="1" si="585"/>
        <v>#NUM!</v>
      </c>
      <c r="BY164" s="3" t="e">
        <f t="shared" ca="1" si="586"/>
        <v>#NUM!</v>
      </c>
      <c r="BZ164" s="3" t="e">
        <f t="shared" ca="1" si="587"/>
        <v>#NUM!</v>
      </c>
      <c r="CA164" s="3" t="e">
        <f t="shared" ca="1" si="586"/>
        <v>#NUM!</v>
      </c>
      <c r="CB164" s="3" t="e">
        <f t="shared" ca="1" si="588"/>
        <v>#NUM!</v>
      </c>
      <c r="CC164" s="3" t="e">
        <f t="shared" ca="1" si="586"/>
        <v>#NUM!</v>
      </c>
      <c r="CD164" s="3">
        <f>IF(RTD("tos.rtd",,CD$43,"."&amp;$B$134&amp;$AS$82&amp;"C"&amp;$A164)="N/A",0,RTD("tos.rtd",,CD$43,"."&amp;$B$134&amp;$AS$82&amp;"C"&amp;$A164))</f>
        <v>0.89</v>
      </c>
      <c r="CE164" s="3">
        <f>-IF(RTD("tos.rtd",,CE$43,"."&amp;$B$134&amp;$AS$82&amp;"P"&amp;$A164)="N/A",0,RTD("tos.rtd",,CE$43,"."&amp;$B$134&amp;$AS$82&amp;"P"&amp;$A164))</f>
        <v>0.12</v>
      </c>
      <c r="CF164" s="3">
        <f>IF(RTD("tos.rtd",,CF$2,"."&amp;$C$134&amp;$AU$82&amp;"C"&amp;$A164)="N/A",0,RTD("tos.rtd",,CF$2,"."&amp;$C$134&amp;$AU$82&amp;"C"&amp;$A164))</f>
        <v>1</v>
      </c>
      <c r="CG164" s="3">
        <f>-IF(RTD("tos.rtd",,CG$2,"."&amp;$C$134&amp;$AU$82&amp;"P"&amp;$A164)="N/A",0,RTD("tos.rtd",,CG$2,"."&amp;$C$134&amp;$AU$82&amp;"P"&amp;$A164))</f>
        <v>0.12</v>
      </c>
      <c r="CH164" s="3">
        <f>IF(RTD("tos.rtd",,CH$2,"."&amp;$D$134&amp;$AW$82&amp;"C"&amp;$A164)="N/A",0,RTD("tos.rtd",,CH$2,"."&amp;$D$134&amp;$AW$82&amp;"C"&amp;$A164))</f>
        <v>0.63</v>
      </c>
      <c r="CI164" s="3">
        <f>-IF(RTD("tos.rtd",,CI$2,"."&amp;$D$134&amp;$AW$82&amp;"P"&amp;$A164)="N/A",0,RTD("tos.rtd",,CI$2,"."&amp;$D$134&amp;$AW$82&amp;"P"&amp;$A164))</f>
        <v>0.38</v>
      </c>
      <c r="CK164" s="3">
        <f t="shared" si="620"/>
        <v>308</v>
      </c>
      <c r="CL164" s="3"/>
      <c r="CM164" s="3">
        <f t="shared" si="621"/>
        <v>528</v>
      </c>
      <c r="CN164" s="3"/>
      <c r="CO164" s="3">
        <f t="shared" si="622"/>
        <v>578</v>
      </c>
      <c r="CP164" s="3">
        <f t="shared" si="542"/>
        <v>1414</v>
      </c>
      <c r="CQ164" s="3">
        <f t="shared" si="552"/>
        <v>0</v>
      </c>
      <c r="CR164" s="3"/>
      <c r="CS164" s="3">
        <f t="shared" si="553"/>
        <v>-140</v>
      </c>
      <c r="CT164" s="3"/>
      <c r="CU164" s="3">
        <f t="shared" si="554"/>
        <v>-8</v>
      </c>
      <c r="CV164" s="3"/>
      <c r="CW164" s="3" t="e">
        <f t="shared" ca="1" si="555"/>
        <v>#NUM!</v>
      </c>
      <c r="CY164" s="3" t="e">
        <f t="shared" ca="1" si="556"/>
        <v>#NUM!</v>
      </c>
      <c r="CZ164" s="70" t="e">
        <f t="shared" ca="1" si="589"/>
        <v>#NUM!</v>
      </c>
      <c r="DA164" s="3">
        <f>IF(RTD("tos.rtd",,DA$43,"."&amp;$B$134&amp;$AS$82&amp;"C"&amp;$A164)="N/A",0,RTD("tos.rtd",,DA$43,"."&amp;$B$134&amp;$AS$82&amp;"C"&amp;$A164))</f>
        <v>111</v>
      </c>
      <c r="DB164" s="3">
        <f>IF(RTD("tos.rtd",,DB$43,"."&amp;$B$134&amp;$AS$82&amp;"P"&amp;$A164)="N/A",0,RTD("tos.rtd",,DB$43,"."&amp;$B$134&amp;$AS$82&amp;"P"&amp;$A164))</f>
        <v>0.22</v>
      </c>
      <c r="DC164" s="3">
        <f>IF(RTD("tos.rtd",,DC$43,"."&amp;$B$134&amp;$AS$82&amp;"C"&amp;$A164)="N/A",0,RTD("tos.rtd",,DC$43,"."&amp;$B$134&amp;$AS$82&amp;"C"&amp;$A164))</f>
        <v>204</v>
      </c>
      <c r="DD164" s="3">
        <f>IF(RTD("tos.rtd",,DD$43,"."&amp;$B$134&amp;$AS$82&amp;"P"&amp;$A164)="N/A",0,RTD("tos.rtd",,DD$43,"."&amp;$B$134&amp;$AS$82&amp;"P"&amp;$A164))</f>
        <v>19.8</v>
      </c>
      <c r="DE164" s="3">
        <f>IF(RTD("tos.rtd",,DE$43,"."&amp;$B$134&amp;$AS$82&amp;"C"&amp;$A164)="N/A",0,RTD("tos.rtd",,DE$43,"."&amp;$B$134&amp;$AS$82&amp;"C"&amp;$A164))</f>
        <v>186</v>
      </c>
      <c r="DF164" s="3">
        <f>IF(RTD("tos.rtd",,DF$43,"."&amp;$B$134&amp;$AS$82&amp;"P"&amp;$A164)="N/A",0,RTD("tos.rtd",,DF$43,"."&amp;$B$134&amp;$AS$82&amp;"P"&amp;$A164))</f>
        <v>0</v>
      </c>
      <c r="DG164" s="86">
        <f t="shared" si="590"/>
        <v>-186.44900000000052</v>
      </c>
      <c r="DH164" s="3">
        <f t="shared" si="557"/>
        <v>16.666666666666668</v>
      </c>
      <c r="DI164" s="3">
        <f t="shared" si="558"/>
        <v>1.3</v>
      </c>
      <c r="DJ164" s="3">
        <f t="shared" si="559"/>
        <v>4</v>
      </c>
      <c r="DK164" s="3">
        <f t="shared" si="560"/>
        <v>-117</v>
      </c>
      <c r="DL164" s="3">
        <f t="shared" si="561"/>
        <v>17.966666666666669</v>
      </c>
      <c r="DM164" s="3">
        <f t="shared" si="562"/>
        <v>-113</v>
      </c>
      <c r="DN164" s="64" t="str">
        <f t="shared" si="563"/>
        <v>UNKNOWN</v>
      </c>
      <c r="DO164" s="64" t="str">
        <f t="shared" si="564"/>
        <v>UNKNOWN</v>
      </c>
      <c r="DP164" s="3">
        <f t="shared" si="565"/>
        <v>1850.2860000000003</v>
      </c>
      <c r="DQ164" s="3">
        <f t="shared" si="566"/>
        <v>418.26</v>
      </c>
      <c r="DR164" s="3" t="e">
        <f t="shared" ca="1" si="567"/>
        <v>#NUM!</v>
      </c>
      <c r="DS164" s="3">
        <f t="shared" si="568"/>
        <v>-10.479999999999999</v>
      </c>
      <c r="DT164" s="3">
        <f t="shared" si="591"/>
        <v>-4</v>
      </c>
      <c r="DU164" s="3">
        <f t="shared" si="592"/>
        <v>117</v>
      </c>
      <c r="DV164" s="3">
        <f t="shared" si="569"/>
        <v>36</v>
      </c>
      <c r="DW164" s="3">
        <f t="shared" si="570"/>
        <v>-45</v>
      </c>
      <c r="DX164" s="3" t="e">
        <f t="shared" ca="1" si="571"/>
        <v>#NUM!</v>
      </c>
      <c r="DY164" s="3" t="e">
        <f t="shared" ca="1" si="572"/>
        <v>#NUM!</v>
      </c>
      <c r="DZ164" s="3" t="e">
        <f t="shared" ca="1" si="573"/>
        <v>#NUM!</v>
      </c>
      <c r="EA164" s="3" t="e">
        <f t="shared" ca="1" si="574"/>
        <v>#NUM!</v>
      </c>
      <c r="EB164" s="3" t="e">
        <f t="shared" ca="1" si="575"/>
        <v>#NUM!</v>
      </c>
      <c r="EC164" s="3" t="e">
        <f t="shared" ca="1" si="576"/>
        <v>#NUM!</v>
      </c>
      <c r="ED164" s="63">
        <f t="shared" si="593"/>
        <v>-9</v>
      </c>
      <c r="EE164" s="59">
        <f t="shared" si="577"/>
        <v>1.0229999999999999</v>
      </c>
      <c r="EF164" s="59">
        <f t="shared" si="578"/>
        <v>1.0698000000000001</v>
      </c>
      <c r="EG164" s="59">
        <f t="shared" si="579"/>
        <v>0.25</v>
      </c>
      <c r="EH164" s="59">
        <f t="shared" si="580"/>
        <v>1.0698000000000001</v>
      </c>
      <c r="EI164" s="59">
        <f t="shared" si="581"/>
        <v>0.28029999999999999</v>
      </c>
      <c r="EJ164" s="59">
        <f t="shared" si="582"/>
        <v>0.29649999999999999</v>
      </c>
      <c r="EK164" s="63" t="e">
        <f t="shared" ca="1" si="594"/>
        <v>#NUM!</v>
      </c>
      <c r="EL164" s="3" t="str">
        <f>RTD("tos.rtd",,EL$43,"."&amp;$B$134&amp;$AS$82&amp;"C"&amp;$A164)</f>
        <v>102.30%</v>
      </c>
      <c r="EM164" s="3" t="str">
        <f>RTD("tos.rtd",,EM$43,"."&amp;$B$134&amp;$AS$82&amp;"P"&amp;$A164)</f>
        <v>106.98%</v>
      </c>
      <c r="EN164" s="3" t="str">
        <f>RTD("tos.rtd",,EN$2,"."&amp;$C$134&amp;$AU$82&amp;"C"&amp;$A164)</f>
        <v>--</v>
      </c>
      <c r="EO164" s="3" t="str">
        <f>RTD("tos.rtd",,EO$2,"."&amp;$C$134&amp;$AU$82&amp;"P"&amp;$A164)</f>
        <v>106.98%</v>
      </c>
      <c r="EP164" s="3" t="str">
        <f>RTD("tos.rtd",,EP$2,"."&amp;$D$134&amp;$AW$82&amp;"C"&amp;$A164)</f>
        <v>28.03%</v>
      </c>
      <c r="EQ164" s="3" t="str">
        <f>RTD("tos.rtd",,EQ$2,"."&amp;$D$134&amp;$AW$82&amp;"P"&amp;$A164)</f>
        <v>29.65%</v>
      </c>
      <c r="ES164" s="63" t="str">
        <f t="shared" si="583"/>
        <v>19875,-09.00</v>
      </c>
      <c r="ET164" s="63" t="str">
        <f t="shared" ca="1" si="584"/>
        <v>19875,00.00</v>
      </c>
      <c r="EU164" s="68">
        <v>564.1</v>
      </c>
      <c r="EV164" s="68" t="s">
        <v>1331</v>
      </c>
      <c r="EW164" s="68">
        <v>486.86</v>
      </c>
      <c r="EX164" s="68" t="s">
        <v>1332</v>
      </c>
      <c r="EY164" s="68">
        <v>5631.28</v>
      </c>
      <c r="EZ164" s="68" t="s">
        <v>1333</v>
      </c>
      <c r="FA164" s="68">
        <v>19867.973000000002</v>
      </c>
      <c r="FB164" s="68" t="s">
        <v>1334</v>
      </c>
      <c r="FC164" s="68" t="s">
        <v>1335</v>
      </c>
      <c r="FD164" s="68" t="s">
        <v>1336</v>
      </c>
      <c r="FE164" s="68" t="s">
        <v>1337</v>
      </c>
      <c r="FF164" s="68" t="s">
        <v>1338</v>
      </c>
    </row>
    <row r="165" spans="1:162" ht="11.1" customHeight="1" thickBot="1" x14ac:dyDescent="0.25">
      <c r="A165" s="2">
        <f t="shared" si="595"/>
        <v>19850</v>
      </c>
      <c r="B165" s="3">
        <f t="shared" si="628"/>
        <v>12</v>
      </c>
      <c r="C165" s="3">
        <f t="shared" si="629"/>
        <v>24</v>
      </c>
      <c r="D165" s="3">
        <f t="shared" si="630"/>
        <v>31</v>
      </c>
      <c r="E165" s="3">
        <f t="shared" si="613"/>
        <v>67</v>
      </c>
      <c r="F165" s="4">
        <f t="shared" si="623"/>
        <v>20239.650311400736</v>
      </c>
      <c r="G165" s="5">
        <f t="shared" si="615"/>
        <v>490.55444599241059</v>
      </c>
      <c r="AM165" s="1">
        <v>-28</v>
      </c>
      <c r="AN165" s="1">
        <v>-106</v>
      </c>
      <c r="AO165" s="1">
        <v>19850</v>
      </c>
      <c r="AP165" s="1">
        <v>10</v>
      </c>
      <c r="AQ165" s="1">
        <v>-389</v>
      </c>
      <c r="AS165" s="54">
        <f>IF(RTD("tos.rtd",,AS$83,"."&amp;$B$134&amp;$AS$82&amp;"C"&amp;$A165)="N/A",0,RTD("tos.rtd",,AS$83,"."&amp;$B$134&amp;$AS$82&amp;"C"&amp;$A165))</f>
        <v>9</v>
      </c>
      <c r="AT165" s="3">
        <f>-IF(RTD("tos.rtd",,AT$83,"."&amp;$B$134&amp;$AS$82&amp;"P"&amp;$A165)="N/A",0,RTD("tos.rtd",,AT$83,"."&amp;$B$134&amp;$AS$82&amp;"P"&amp;$A165))</f>
        <v>-3</v>
      </c>
      <c r="AU165" s="54">
        <f>IF(RTD("tos.rtd",,AU$2,"."&amp;$C$134&amp;$AU$134&amp;"C"&amp;$A165)="N/A",0,RTD("tos.rtd",,AU$2,"."&amp;$C$134&amp;$AU$134&amp;"C"&amp;$A165))</f>
        <v>7</v>
      </c>
      <c r="AV165" s="3">
        <f>-IF(RTD("tos.rtd",,AV$2,"."&amp;$C$134&amp;$AU$134&amp;"P"&amp;$A165)="N/A",0,RTD("tos.rtd",,AV$2,"."&amp;$C$134&amp;$AU$134&amp;"P"&amp;$A165))</f>
        <v>-17</v>
      </c>
      <c r="AW165" s="54">
        <f>IF(RTD("tos.rtd",,AW$2,"."&amp;$D$134&amp;$AW$134&amp;"C"&amp;$A165)="N/A",0,RTD("tos.rtd",,AW$2,"."&amp;$D$134&amp;$AW$134&amp;"C"&amp;$A165))</f>
        <v>24</v>
      </c>
      <c r="AX165" s="3">
        <f>-IF(RTD("tos.rtd",,AX$2,"."&amp;$D$134&amp;$AW$134&amp;"P"&amp;$A165)="N/A",0,RTD("tos.rtd",,AX$2,"."&amp;$D$134&amp;$AW$134&amp;"P"&amp;$A165))</f>
        <v>-7</v>
      </c>
      <c r="AY165" s="76">
        <f t="shared" si="624"/>
        <v>13</v>
      </c>
      <c r="AZ165" s="8">
        <f t="shared" si="548"/>
        <v>19850</v>
      </c>
      <c r="BA165" s="54">
        <f>IF(RTD("tos.rtd",,BA$43,"."&amp;$B$134&amp;$AS$82&amp;"C"&amp;$A165)="N/A",0,RTD("tos.rtd",,BA$43,"."&amp;$B$134&amp;$AS$82&amp;"C"&amp;$A165))</f>
        <v>0</v>
      </c>
      <c r="BB165" s="3">
        <f>-IF(RTD("tos.rtd",,BB$43,"."&amp;$B$134&amp;$AS$82&amp;"P"&amp;$A165)="N/A",0,RTD("tos.rtd",,BB$43,"."&amp;$B$134&amp;$AS$82&amp;"P"&amp;$A165))</f>
        <v>0</v>
      </c>
      <c r="BC165" s="54">
        <f>IF(RTD("tos.rtd",,BC$2,"."&amp;$C$134&amp;$AU$82&amp;"C"&amp;$A165)="N/A",0,RTD("tos.rtd",,BC$2,"."&amp;$C$134&amp;$AU$82&amp;"C"&amp;$A165))</f>
        <v>3</v>
      </c>
      <c r="BD165" s="3">
        <f>-IF(RTD("tos.rtd",,BD$2,"."&amp;$C$134&amp;$AU$82&amp;"P"&amp;$A165)="N/A",0,RTD("tos.rtd",,BD$2,"."&amp;$C$134&amp;$AU$82&amp;"P"&amp;$A165))</f>
        <v>-238</v>
      </c>
      <c r="BE165" s="54">
        <f>IF(RTD("tos.rtd",,BE$2,"."&amp;$D$134&amp;$AW$82&amp;"C"&amp;$A165)="N/A",0,RTD("tos.rtd",,BE$2,"."&amp;$D$134&amp;$AW$82&amp;"C"&amp;$A165))</f>
        <v>3</v>
      </c>
      <c r="BF165" s="3">
        <f>-IF(RTD("tos.rtd",,BF$2,"."&amp;$D$134&amp;$AW$82&amp;"P"&amp;$A165)="N/A",0,RTD("tos.rtd",,BF$2,"."&amp;$D$134&amp;$AW$82&amp;"P"&amp;$A165))</f>
        <v>-3</v>
      </c>
      <c r="BG165" s="3">
        <f ca="1">+Hoja2!Y166</f>
        <v>-2</v>
      </c>
      <c r="BH165" s="7">
        <f t="shared" ca="1" si="549"/>
        <v>-237</v>
      </c>
      <c r="BI165" s="32" t="str">
        <f t="shared" ca="1" si="609"/>
        <v/>
      </c>
      <c r="BJ165" s="3" t="e">
        <f ca="1">IF($BP$1=1,DX165,IF(RTD("tos.rtd",,BJ$43,"."&amp;$B$134&amp;$AS$82&amp;"C"&amp;$A165)="N/A",0,RTD("tos.rtd",,BJ$43,"."&amp;$B$134&amp;$AS$82&amp;"C"&amp;$A165)))</f>
        <v>#NUM!</v>
      </c>
      <c r="BK165" s="3" t="e">
        <f ca="1">IF($BP$1=1,DY165,-IF(RTD("tos.rtd",,BK$43,"."&amp;$B$134&amp;$AS$82&amp;"P"&amp;$A165)="N/A",0,RTD("tos.rtd",,BK$43,"."&amp;$B$134&amp;$AS$82&amp;"P"&amp;$A165)))</f>
        <v>#NUM!</v>
      </c>
      <c r="BL165" s="3" t="e">
        <f ca="1">IF($BP$1=1,DZ165,IF(RTD("tos.rtd",,BL$2,"."&amp;$C$134&amp;$AU$82&amp;"C"&amp;$A165)="N/A",0,RTD("tos.rtd",,BL$2,"."&amp;$C$134&amp;$AU$82&amp;"C"&amp;$A165)))</f>
        <v>#NUM!</v>
      </c>
      <c r="BM165" s="3" t="e">
        <f ca="1">IF($BP$1=1,EA165,-IF(RTD("tos.rtd",,BM$2,"."&amp;$C$134&amp;$AU$82&amp;"P"&amp;$A165)="N/A",0,RTD("tos.rtd",,BM$2,"."&amp;$C$134&amp;$AU$82&amp;"P"&amp;$A165)))</f>
        <v>#NUM!</v>
      </c>
      <c r="BN165" s="3" t="e">
        <f ca="1">IF($BP$1=1,EB165,IF(RTD("tos.rtd",,BN$2,"."&amp;$D$134&amp;$AW$82&amp;"C"&amp;$A165)="N/A",0,RTD("tos.rtd",,BN$2,"."&amp;$D$134&amp;$AW$82&amp;"C"&amp;$A165)))</f>
        <v>#NUM!</v>
      </c>
      <c r="BO165" s="3" t="e">
        <f ca="1">IF($BP$1=1,EC165,-IF(RTD("tos.rtd",,BO$2,"."&amp;$D$134&amp;$AW$82&amp;"P"&amp;$A165)="N/A",0,RTD("tos.rtd",,BO$2,"."&amp;$D$134&amp;$AW$82&amp;"P"&amp;$A165)))</f>
        <v>#NUM!</v>
      </c>
      <c r="BQ165" s="3" t="e">
        <f t="shared" ca="1" si="625"/>
        <v>#NUM!</v>
      </c>
      <c r="BR165" s="3" t="e">
        <f t="shared" ca="1" si="550"/>
        <v>#NUM!</v>
      </c>
      <c r="BS165" s="3" t="e">
        <f t="shared" ca="1" si="626"/>
        <v>#NUM!</v>
      </c>
      <c r="BT165" s="3" t="e">
        <f t="shared" ca="1" si="551"/>
        <v>#NUM!</v>
      </c>
      <c r="BU165" s="3" t="e">
        <f t="shared" ca="1" si="627"/>
        <v>#NUM!</v>
      </c>
      <c r="BV165" s="3" t="e">
        <f t="shared" ca="1" si="551"/>
        <v>#NUM!</v>
      </c>
      <c r="BX165" s="3" t="e">
        <f t="shared" ca="1" si="585"/>
        <v>#NUM!</v>
      </c>
      <c r="BY165" s="3" t="e">
        <f t="shared" ca="1" si="586"/>
        <v>#NUM!</v>
      </c>
      <c r="BZ165" s="3" t="e">
        <f t="shared" ca="1" si="587"/>
        <v>#NUM!</v>
      </c>
      <c r="CA165" s="3" t="e">
        <f t="shared" ca="1" si="586"/>
        <v>#NUM!</v>
      </c>
      <c r="CB165" s="3" t="e">
        <f t="shared" ca="1" si="588"/>
        <v>#NUM!</v>
      </c>
      <c r="CC165" s="3" t="e">
        <f t="shared" ca="1" si="586"/>
        <v>#NUM!</v>
      </c>
      <c r="CD165" s="3">
        <f>IF(RTD("tos.rtd",,CD$43,"."&amp;$B$134&amp;$AS$82&amp;"C"&amp;$A165)="N/A",0,RTD("tos.rtd",,CD$43,"."&amp;$B$134&amp;$AS$82&amp;"C"&amp;$A165))</f>
        <v>0.89</v>
      </c>
      <c r="CE165" s="3">
        <f>-IF(RTD("tos.rtd",,CE$43,"."&amp;$B$134&amp;$AS$82&amp;"P"&amp;$A165)="N/A",0,RTD("tos.rtd",,CE$43,"."&amp;$B$134&amp;$AS$82&amp;"P"&amp;$A165))</f>
        <v>0.11</v>
      </c>
      <c r="CF165" s="3">
        <f>IF(RTD("tos.rtd",,CF$2,"."&amp;$C$134&amp;$AU$82&amp;"C"&amp;$A165)="N/A",0,RTD("tos.rtd",,CF$2,"."&amp;$C$134&amp;$AU$82&amp;"C"&amp;$A165))</f>
        <v>1</v>
      </c>
      <c r="CG165" s="3">
        <f>-IF(RTD("tos.rtd",,CG$2,"."&amp;$C$134&amp;$AU$82&amp;"P"&amp;$A165)="N/A",0,RTD("tos.rtd",,CG$2,"."&amp;$C$134&amp;$AU$82&amp;"P"&amp;$A165))</f>
        <v>0.11</v>
      </c>
      <c r="CH165" s="3">
        <f>IF(RTD("tos.rtd",,CH$2,"."&amp;$D$134&amp;$AW$82&amp;"C"&amp;$A165)="N/A",0,RTD("tos.rtd",,CH$2,"."&amp;$D$134&amp;$AW$82&amp;"C"&amp;$A165))</f>
        <v>0.65</v>
      </c>
      <c r="CI165" s="3">
        <f>-IF(RTD("tos.rtd",,CI$2,"."&amp;$D$134&amp;$AW$82&amp;"P"&amp;$A165)="N/A",0,RTD("tos.rtd",,CI$2,"."&amp;$D$134&amp;$AW$82&amp;"P"&amp;$A165))</f>
        <v>0.36</v>
      </c>
      <c r="CK165" s="3">
        <f t="shared" si="620"/>
        <v>768</v>
      </c>
      <c r="CL165" s="3"/>
      <c r="CM165" s="3">
        <f t="shared" si="621"/>
        <v>513</v>
      </c>
      <c r="CN165" s="3"/>
      <c r="CO165" s="3">
        <f t="shared" si="622"/>
        <v>1308.0000000000002</v>
      </c>
      <c r="CP165" s="3">
        <f t="shared" si="542"/>
        <v>2589</v>
      </c>
      <c r="CQ165" s="3">
        <f t="shared" si="552"/>
        <v>0</v>
      </c>
      <c r="CR165" s="3"/>
      <c r="CS165" s="3">
        <f t="shared" si="553"/>
        <v>-235</v>
      </c>
      <c r="CT165" s="3"/>
      <c r="CU165" s="3">
        <f t="shared" si="554"/>
        <v>0</v>
      </c>
      <c r="CV165" s="3"/>
      <c r="CW165" s="3" t="e">
        <f t="shared" ca="1" si="555"/>
        <v>#NUM!</v>
      </c>
      <c r="CY165" s="3" t="e">
        <f t="shared" ca="1" si="556"/>
        <v>#NUM!</v>
      </c>
      <c r="CZ165" s="70" t="e">
        <f t="shared" ca="1" si="589"/>
        <v>#NUM!</v>
      </c>
      <c r="DA165" s="3">
        <f>IF(RTD("tos.rtd",,DA$43,"."&amp;$B$134&amp;$AS$82&amp;"C"&amp;$A165)="N/A",0,RTD("tos.rtd",,DA$43,"."&amp;$B$134&amp;$AS$82&amp;"C"&amp;$A165))</f>
        <v>335.5</v>
      </c>
      <c r="DB165" s="3">
        <f>IF(RTD("tos.rtd",,DB$43,"."&amp;$B$134&amp;$AS$82&amp;"P"&amp;$A165)="N/A",0,RTD("tos.rtd",,DB$43,"."&amp;$B$134&amp;$AS$82&amp;"P"&amp;$A165))</f>
        <v>0.25</v>
      </c>
      <c r="DC165" s="3">
        <f>IF(RTD("tos.rtd",,DC$43,"."&amp;$B$134&amp;$AS$82&amp;"C"&amp;$A165)="N/A",0,RTD("tos.rtd",,DC$43,"."&amp;$B$134&amp;$AS$82&amp;"C"&amp;$A165))</f>
        <v>230.1</v>
      </c>
      <c r="DD165" s="3">
        <f>IF(RTD("tos.rtd",,DD$43,"."&amp;$B$134&amp;$AS$82&amp;"P"&amp;$A165)="N/A",0,RTD("tos.rtd",,DD$43,"."&amp;$B$134&amp;$AS$82&amp;"P"&amp;$A165))</f>
        <v>19.8</v>
      </c>
      <c r="DE165" s="3">
        <f>IF(RTD("tos.rtd",,DE$43,"."&amp;$B$134&amp;$AS$82&amp;"C"&amp;$A165)="N/A",0,RTD("tos.rtd",,DE$43,"."&amp;$B$134&amp;$AS$82&amp;"C"&amp;$A165))</f>
        <v>210.1</v>
      </c>
      <c r="DF165" s="3">
        <f>IF(RTD("tos.rtd",,DF$43,"."&amp;$B$134&amp;$AS$82&amp;"P"&amp;$A165)="N/A",0,RTD("tos.rtd",,DF$43,"."&amp;$B$134&amp;$AS$82&amp;"P"&amp;$A165))</f>
        <v>0</v>
      </c>
      <c r="DG165" s="86">
        <f t="shared" si="590"/>
        <v>-211.44900000000052</v>
      </c>
      <c r="DH165" s="3">
        <f t="shared" si="557"/>
        <v>-62.7</v>
      </c>
      <c r="DI165" s="3">
        <f t="shared" si="558"/>
        <v>4.9116161616161618</v>
      </c>
      <c r="DJ165" s="3">
        <f t="shared" si="559"/>
        <v>-10</v>
      </c>
      <c r="DK165" s="3">
        <f t="shared" si="560"/>
        <v>-389</v>
      </c>
      <c r="DL165" s="3">
        <f t="shared" si="561"/>
        <v>-57.788383838383844</v>
      </c>
      <c r="DM165" s="3">
        <f t="shared" si="562"/>
        <v>-399</v>
      </c>
      <c r="DN165" s="64" t="str">
        <f t="shared" si="563"/>
        <v>UNKNOWN</v>
      </c>
      <c r="DO165" s="64" t="str">
        <f t="shared" si="564"/>
        <v>UNKNOWN</v>
      </c>
      <c r="DP165" s="3">
        <f t="shared" si="565"/>
        <v>-21034.622095959599</v>
      </c>
      <c r="DQ165" s="3">
        <f t="shared" si="566"/>
        <v>-3452.25</v>
      </c>
      <c r="DR165" s="3" t="e">
        <f t="shared" ca="1" si="567"/>
        <v>#NUM!</v>
      </c>
      <c r="DS165" s="3">
        <f t="shared" si="568"/>
        <v>-51.69</v>
      </c>
      <c r="DT165" s="3">
        <f t="shared" si="591"/>
        <v>-10</v>
      </c>
      <c r="DU165" s="3">
        <f t="shared" si="592"/>
        <v>389</v>
      </c>
      <c r="DV165" s="3">
        <f t="shared" si="569"/>
        <v>-28</v>
      </c>
      <c r="DW165" s="3">
        <f t="shared" si="570"/>
        <v>-106</v>
      </c>
      <c r="DX165" s="3" t="e">
        <f t="shared" ca="1" si="571"/>
        <v>#NUM!</v>
      </c>
      <c r="DY165" s="3" t="e">
        <f t="shared" ca="1" si="572"/>
        <v>#NUM!</v>
      </c>
      <c r="DZ165" s="3" t="e">
        <f t="shared" ca="1" si="573"/>
        <v>#NUM!</v>
      </c>
      <c r="EA165" s="3" t="e">
        <f t="shared" ca="1" si="574"/>
        <v>#NUM!</v>
      </c>
      <c r="EB165" s="3" t="e">
        <f t="shared" ca="1" si="575"/>
        <v>#NUM!</v>
      </c>
      <c r="EC165" s="3" t="e">
        <f t="shared" ca="1" si="576"/>
        <v>#NUM!</v>
      </c>
      <c r="ED165" s="63">
        <f t="shared" si="593"/>
        <v>-134</v>
      </c>
      <c r="EE165" s="59">
        <f t="shared" si="577"/>
        <v>1.1241000000000001</v>
      </c>
      <c r="EF165" s="59">
        <f t="shared" si="578"/>
        <v>1.1698</v>
      </c>
      <c r="EG165" s="59">
        <f t="shared" si="579"/>
        <v>0.25</v>
      </c>
      <c r="EH165" s="59">
        <f t="shared" si="580"/>
        <v>1.1698</v>
      </c>
      <c r="EI165" s="59">
        <f t="shared" si="581"/>
        <v>0.27939999999999998</v>
      </c>
      <c r="EJ165" s="59">
        <f t="shared" si="582"/>
        <v>0.29709999999999998</v>
      </c>
      <c r="EK165" s="63" t="e">
        <f t="shared" ca="1" si="594"/>
        <v>#NUM!</v>
      </c>
      <c r="EL165" s="3" t="str">
        <f>RTD("tos.rtd",,EL$43,"."&amp;$B$134&amp;$AS$82&amp;"C"&amp;$A165)</f>
        <v>112.41%</v>
      </c>
      <c r="EM165" s="3" t="str">
        <f>RTD("tos.rtd",,EM$43,"."&amp;$B$134&amp;$AS$82&amp;"P"&amp;$A165)</f>
        <v>116.98%</v>
      </c>
      <c r="EN165" s="3" t="str">
        <f>RTD("tos.rtd",,EN$2,"."&amp;$C$134&amp;$AU$82&amp;"C"&amp;$A165)</f>
        <v>--</v>
      </c>
      <c r="EO165" s="3" t="str">
        <f>RTD("tos.rtd",,EO$2,"."&amp;$C$134&amp;$AU$82&amp;"P"&amp;$A165)</f>
        <v>116.98%</v>
      </c>
      <c r="EP165" s="3" t="str">
        <f>RTD("tos.rtd",,EP$2,"."&amp;$D$134&amp;$AW$82&amp;"C"&amp;$A165)</f>
        <v>27.94%</v>
      </c>
      <c r="EQ165" s="3" t="str">
        <f>RTD("tos.rtd",,EQ$2,"."&amp;$D$134&amp;$AW$82&amp;"P"&amp;$A165)</f>
        <v>29.71%</v>
      </c>
      <c r="ES165" s="63" t="str">
        <f t="shared" si="583"/>
        <v>19850,-134.00</v>
      </c>
      <c r="ET165" s="63" t="str">
        <f t="shared" ca="1" si="584"/>
        <v>19850,00.00</v>
      </c>
      <c r="EU165" s="68">
        <v>564.1</v>
      </c>
      <c r="EV165" s="68" t="s">
        <v>1339</v>
      </c>
      <c r="EW165" s="68">
        <v>486.8</v>
      </c>
      <c r="EX165" s="68" t="s">
        <v>1340</v>
      </c>
      <c r="EY165" s="68">
        <v>5631.28</v>
      </c>
      <c r="EZ165" s="68" t="s">
        <v>1341</v>
      </c>
      <c r="FA165" s="68">
        <v>19867.973000000002</v>
      </c>
      <c r="FB165" s="68" t="s">
        <v>1342</v>
      </c>
      <c r="FC165" s="68" t="s">
        <v>1343</v>
      </c>
      <c r="FD165" s="68" t="s">
        <v>1344</v>
      </c>
      <c r="FE165" s="68" t="s">
        <v>1345</v>
      </c>
      <c r="FF165" s="68" t="s">
        <v>1346</v>
      </c>
    </row>
    <row r="166" spans="1:162" ht="11.1" customHeight="1" thickBot="1" x14ac:dyDescent="0.25">
      <c r="A166" s="2">
        <f t="shared" si="595"/>
        <v>19825</v>
      </c>
      <c r="B166" s="3">
        <f t="shared" si="628"/>
        <v>12</v>
      </c>
      <c r="C166" s="3">
        <f t="shared" si="629"/>
        <v>21</v>
      </c>
      <c r="D166" s="3">
        <f t="shared" si="630"/>
        <v>60</v>
      </c>
      <c r="E166" s="3">
        <f t="shared" si="613"/>
        <v>93</v>
      </c>
      <c r="F166" s="4">
        <f t="shared" si="623"/>
        <v>20214.159567935498</v>
      </c>
      <c r="G166" s="5">
        <f t="shared" si="615"/>
        <v>489.93661923423372</v>
      </c>
      <c r="AM166" s="1">
        <v>-49</v>
      </c>
      <c r="AN166" s="1">
        <v>53</v>
      </c>
      <c r="AO166" s="1">
        <v>19825</v>
      </c>
      <c r="AP166" s="1">
        <v>0</v>
      </c>
      <c r="AQ166" s="1">
        <v>-66</v>
      </c>
      <c r="AS166" s="54">
        <f>IF(RTD("tos.rtd",,AS$83,"."&amp;$B$134&amp;$AS$82&amp;"C"&amp;$A166)="N/A",0,RTD("tos.rtd",,AS$83,"."&amp;$B$134&amp;$AS$82&amp;"C"&amp;$A166))</f>
        <v>8</v>
      </c>
      <c r="AT166" s="3">
        <f>-IF(RTD("tos.rtd",,AT$83,"."&amp;$B$134&amp;$AS$82&amp;"P"&amp;$A166)="N/A",0,RTD("tos.rtd",,AT$83,"."&amp;$B$134&amp;$AS$82&amp;"P"&amp;$A166))</f>
        <v>-4</v>
      </c>
      <c r="AU166" s="54">
        <f>IF(RTD("tos.rtd",,AU$2,"."&amp;$C$134&amp;$AU$134&amp;"C"&amp;$A166)="N/A",0,RTD("tos.rtd",,AU$2,"."&amp;$C$134&amp;$AU$134&amp;"C"&amp;$A166))</f>
        <v>15</v>
      </c>
      <c r="AV166" s="3">
        <f>-IF(RTD("tos.rtd",,AV$2,"."&amp;$C$134&amp;$AU$134&amp;"P"&amp;$A166)="N/A",0,RTD("tos.rtd",,AV$2,"."&amp;$C$134&amp;$AU$134&amp;"P"&amp;$A166))</f>
        <v>-6</v>
      </c>
      <c r="AW166" s="54">
        <f>IF(RTD("tos.rtd",,AW$2,"."&amp;$D$134&amp;$AW$134&amp;"C"&amp;$A166)="N/A",0,RTD("tos.rtd",,AW$2,"."&amp;$D$134&amp;$AW$134&amp;"C"&amp;$A166))</f>
        <v>32</v>
      </c>
      <c r="AX166" s="3">
        <f>-IF(RTD("tos.rtd",,AX$2,"."&amp;$D$134&amp;$AW$134&amp;"P"&amp;$A166)="N/A",0,RTD("tos.rtd",,AX$2,"."&amp;$D$134&amp;$AW$134&amp;"P"&amp;$A166))</f>
        <v>-28</v>
      </c>
      <c r="AY166" s="76">
        <f t="shared" si="624"/>
        <v>17</v>
      </c>
      <c r="AZ166" s="8">
        <f t="shared" si="548"/>
        <v>19825</v>
      </c>
      <c r="BA166" s="54">
        <f>IF(RTD("tos.rtd",,BA$43,"."&amp;$B$134&amp;$AS$82&amp;"C"&amp;$A166)="N/A",0,RTD("tos.rtd",,BA$43,"."&amp;$B$134&amp;$AS$82&amp;"C"&amp;$A166))</f>
        <v>0</v>
      </c>
      <c r="BB166" s="3">
        <f>-IF(RTD("tos.rtd",,BB$43,"."&amp;$B$134&amp;$AS$82&amp;"P"&amp;$A166)="N/A",0,RTD("tos.rtd",,BB$43,"."&amp;$B$134&amp;$AS$82&amp;"P"&amp;$A166))</f>
        <v>0</v>
      </c>
      <c r="BC166" s="54">
        <f>IF(RTD("tos.rtd",,BC$2,"."&amp;$C$134&amp;$AU$82&amp;"C"&amp;$A166)="N/A",0,RTD("tos.rtd",,BC$2,"."&amp;$C$134&amp;$AU$82&amp;"C"&amp;$A166))</f>
        <v>0</v>
      </c>
      <c r="BD166" s="3">
        <f>-IF(RTD("tos.rtd",,BD$2,"."&amp;$C$134&amp;$AU$82&amp;"P"&amp;$A166)="N/A",0,RTD("tos.rtd",,BD$2,"."&amp;$C$134&amp;$AU$82&amp;"P"&amp;$A166))</f>
        <v>-152</v>
      </c>
      <c r="BE166" s="54">
        <f>IF(RTD("tos.rtd",,BE$2,"."&amp;$D$134&amp;$AW$82&amp;"C"&amp;$A166)="N/A",0,RTD("tos.rtd",,BE$2,"."&amp;$D$134&amp;$AW$82&amp;"C"&amp;$A166))</f>
        <v>0</v>
      </c>
      <c r="BF166" s="3">
        <f>-IF(RTD("tos.rtd",,BF$2,"."&amp;$D$134&amp;$AW$82&amp;"P"&amp;$A166)="N/A",0,RTD("tos.rtd",,BF$2,"."&amp;$D$134&amp;$AW$82&amp;"P"&amp;$A166))</f>
        <v>-4</v>
      </c>
      <c r="BG166" s="3">
        <f ca="1">+Hoja2!Y167</f>
        <v>0</v>
      </c>
      <c r="BH166" s="7">
        <f t="shared" ca="1" si="549"/>
        <v>-156</v>
      </c>
      <c r="BI166" s="32" t="str">
        <f t="shared" ca="1" si="609"/>
        <v/>
      </c>
      <c r="BJ166" s="3" t="e">
        <f ca="1">IF($BP$1=1,DX166,IF(RTD("tos.rtd",,BJ$43,"."&amp;$B$134&amp;$AS$82&amp;"C"&amp;$A166)="N/A",0,RTD("tos.rtd",,BJ$43,"."&amp;$B$134&amp;$AS$82&amp;"C"&amp;$A166)))</f>
        <v>#NUM!</v>
      </c>
      <c r="BK166" s="3" t="e">
        <f ca="1">IF($BP$1=1,DY166,-IF(RTD("tos.rtd",,BK$43,"."&amp;$B$134&amp;$AS$82&amp;"P"&amp;$A166)="N/A",0,RTD("tos.rtd",,BK$43,"."&amp;$B$134&amp;$AS$82&amp;"P"&amp;$A166)))</f>
        <v>#NUM!</v>
      </c>
      <c r="BL166" s="3" t="e">
        <f ca="1">IF($BP$1=1,DZ166,IF(RTD("tos.rtd",,BL$2,"."&amp;$C$134&amp;$AU$82&amp;"C"&amp;$A166)="N/A",0,RTD("tos.rtd",,BL$2,"."&amp;$C$134&amp;$AU$82&amp;"C"&amp;$A166)))</f>
        <v>#NUM!</v>
      </c>
      <c r="BM166" s="3" t="e">
        <f ca="1">IF($BP$1=1,EA166,-IF(RTD("tos.rtd",,BM$2,"."&amp;$C$134&amp;$AU$82&amp;"P"&amp;$A166)="N/A",0,RTD("tos.rtd",,BM$2,"."&amp;$C$134&amp;$AU$82&amp;"P"&amp;$A166)))</f>
        <v>#NUM!</v>
      </c>
      <c r="BN166" s="3" t="e">
        <f ca="1">IF($BP$1=1,EB166,IF(RTD("tos.rtd",,BN$2,"."&amp;$D$134&amp;$AW$82&amp;"C"&amp;$A166)="N/A",0,RTD("tos.rtd",,BN$2,"."&amp;$D$134&amp;$AW$82&amp;"C"&amp;$A166)))</f>
        <v>#NUM!</v>
      </c>
      <c r="BO166" s="3" t="e">
        <f ca="1">IF($BP$1=1,EC166,-IF(RTD("tos.rtd",,BO$2,"."&amp;$D$134&amp;$AW$82&amp;"P"&amp;$A166)="N/A",0,RTD("tos.rtd",,BO$2,"."&amp;$D$134&amp;$AW$82&amp;"P"&amp;$A166)))</f>
        <v>#NUM!</v>
      </c>
      <c r="BQ166" s="3" t="e">
        <f t="shared" ca="1" si="625"/>
        <v>#NUM!</v>
      </c>
      <c r="BR166" s="3" t="e">
        <f t="shared" ca="1" si="550"/>
        <v>#NUM!</v>
      </c>
      <c r="BS166" s="3" t="e">
        <f t="shared" ca="1" si="626"/>
        <v>#NUM!</v>
      </c>
      <c r="BT166" s="3" t="e">
        <f t="shared" ca="1" si="551"/>
        <v>#NUM!</v>
      </c>
      <c r="BU166" s="3" t="e">
        <f t="shared" ca="1" si="627"/>
        <v>#NUM!</v>
      </c>
      <c r="BV166" s="3" t="e">
        <f t="shared" ca="1" si="551"/>
        <v>#NUM!</v>
      </c>
      <c r="BX166" s="3" t="e">
        <f t="shared" ca="1" si="585"/>
        <v>#NUM!</v>
      </c>
      <c r="BY166" s="3" t="e">
        <f t="shared" ca="1" si="586"/>
        <v>#NUM!</v>
      </c>
      <c r="BZ166" s="3" t="e">
        <f t="shared" ca="1" si="587"/>
        <v>#NUM!</v>
      </c>
      <c r="CA166" s="3" t="e">
        <f t="shared" ca="1" si="586"/>
        <v>#NUM!</v>
      </c>
      <c r="CB166" s="3" t="e">
        <f t="shared" ca="1" si="588"/>
        <v>#NUM!</v>
      </c>
      <c r="CC166" s="3" t="e">
        <f t="shared" ca="1" si="586"/>
        <v>#NUM!</v>
      </c>
      <c r="CD166" s="3">
        <f>IF(RTD("tos.rtd",,CD$43,"."&amp;$B$134&amp;$AS$82&amp;"C"&amp;$A166)="N/A",0,RTD("tos.rtd",,CD$43,"."&amp;$B$134&amp;$AS$82&amp;"C"&amp;$A166))</f>
        <v>0.9</v>
      </c>
      <c r="CE166" s="3">
        <f>-IF(RTD("tos.rtd",,CE$43,"."&amp;$B$134&amp;$AS$82&amp;"P"&amp;$A166)="N/A",0,RTD("tos.rtd",,CE$43,"."&amp;$B$134&amp;$AS$82&amp;"P"&amp;$A166))</f>
        <v>0.11</v>
      </c>
      <c r="CF166" s="3">
        <f>IF(RTD("tos.rtd",,CF$2,"."&amp;$C$134&amp;$AU$82&amp;"C"&amp;$A166)="N/A",0,RTD("tos.rtd",,CF$2,"."&amp;$C$134&amp;$AU$82&amp;"C"&amp;$A166))</f>
        <v>0.98</v>
      </c>
      <c r="CG166" s="3">
        <f>-IF(RTD("tos.rtd",,CG$2,"."&amp;$C$134&amp;$AU$82&amp;"P"&amp;$A166)="N/A",0,RTD("tos.rtd",,CG$2,"."&amp;$C$134&amp;$AU$82&amp;"P"&amp;$A166))</f>
        <v>0.11</v>
      </c>
      <c r="CH166" s="3">
        <f>IF(RTD("tos.rtd",,CH$2,"."&amp;$D$134&amp;$AW$82&amp;"C"&amp;$A166)="N/A",0,RTD("tos.rtd",,CH$2,"."&amp;$D$134&amp;$AW$82&amp;"C"&amp;$A166))</f>
        <v>0.66</v>
      </c>
      <c r="CI166" s="3">
        <f>-IF(RTD("tos.rtd",,CI$2,"."&amp;$D$134&amp;$AW$82&amp;"P"&amp;$A166)="N/A",0,RTD("tos.rtd",,CI$2,"."&amp;$D$134&amp;$AW$82&amp;"P"&amp;$A166))</f>
        <v>0.35</v>
      </c>
      <c r="CK166" s="3">
        <f t="shared" si="620"/>
        <v>676</v>
      </c>
      <c r="CL166" s="3"/>
      <c r="CM166" s="3">
        <f t="shared" si="621"/>
        <v>1404</v>
      </c>
      <c r="CN166" s="3"/>
      <c r="CO166" s="3">
        <f t="shared" si="622"/>
        <v>1132</v>
      </c>
      <c r="CP166" s="3">
        <f t="shared" si="542"/>
        <v>3212</v>
      </c>
      <c r="CQ166" s="3">
        <f t="shared" si="552"/>
        <v>0</v>
      </c>
      <c r="CR166" s="3"/>
      <c r="CS166" s="3">
        <f t="shared" si="553"/>
        <v>-152</v>
      </c>
      <c r="CT166" s="3"/>
      <c r="CU166" s="3">
        <f t="shared" si="554"/>
        <v>-4</v>
      </c>
      <c r="CV166" s="3"/>
      <c r="CW166" s="3" t="e">
        <f t="shared" ca="1" si="555"/>
        <v>#NUM!</v>
      </c>
      <c r="CY166" s="3" t="e">
        <f t="shared" ca="1" si="556"/>
        <v>#NUM!</v>
      </c>
      <c r="CZ166" s="70" t="e">
        <f t="shared" ca="1" si="589"/>
        <v>#NUM!</v>
      </c>
      <c r="DA166" s="3">
        <f>IF(RTD("tos.rtd",,DA$43,"."&amp;$B$134&amp;$AS$82&amp;"C"&amp;$A166)="N/A",0,RTD("tos.rtd",,DA$43,"."&amp;$B$134&amp;$AS$82&amp;"C"&amp;$A166))</f>
        <v>142.6</v>
      </c>
      <c r="DB166" s="3">
        <f>IF(RTD("tos.rtd",,DB$43,"."&amp;$B$134&amp;$AS$82&amp;"P"&amp;$A166)="N/A",0,RTD("tos.rtd",,DB$43,"."&amp;$B$134&amp;$AS$82&amp;"P"&amp;$A166))</f>
        <v>0.15</v>
      </c>
      <c r="DC166" s="3">
        <f>IF(RTD("tos.rtd",,DC$43,"."&amp;$B$134&amp;$AS$82&amp;"C"&amp;$A166)="N/A",0,RTD("tos.rtd",,DC$43,"."&amp;$B$134&amp;$AS$82&amp;"C"&amp;$A166))</f>
        <v>269.8</v>
      </c>
      <c r="DD166" s="3">
        <f>IF(RTD("tos.rtd",,DD$43,"."&amp;$B$134&amp;$AS$82&amp;"P"&amp;$A166)="N/A",0,RTD("tos.rtd",,DD$43,"."&amp;$B$134&amp;$AS$82&amp;"P"&amp;$A166))</f>
        <v>19.8</v>
      </c>
      <c r="DE166" s="3">
        <f>IF(RTD("tos.rtd",,DE$43,"."&amp;$B$134&amp;$AS$82&amp;"C"&amp;$A166)="N/A",0,RTD("tos.rtd",,DE$43,"."&amp;$B$134&amp;$AS$82&amp;"C"&amp;$A166))</f>
        <v>220</v>
      </c>
      <c r="DF166" s="3">
        <f>IF(RTD("tos.rtd",,DF$43,"."&amp;$B$134&amp;$AS$82&amp;"P"&amp;$A166)="N/A",0,RTD("tos.rtd",,DF$43,"."&amp;$B$134&amp;$AS$82&amp;"P"&amp;$A166))</f>
        <v>0</v>
      </c>
      <c r="DG166" s="86">
        <f t="shared" si="590"/>
        <v>-236.44900000000052</v>
      </c>
      <c r="DH166" s="3">
        <f t="shared" si="557"/>
        <v>0</v>
      </c>
      <c r="DI166" s="3">
        <f t="shared" si="558"/>
        <v>0.49999999999999994</v>
      </c>
      <c r="DJ166" s="3">
        <f t="shared" si="559"/>
        <v>0</v>
      </c>
      <c r="DK166" s="3">
        <f t="shared" si="560"/>
        <v>-66</v>
      </c>
      <c r="DL166" s="3">
        <f t="shared" si="561"/>
        <v>0.49999999999999994</v>
      </c>
      <c r="DM166" s="3">
        <f t="shared" si="562"/>
        <v>-66</v>
      </c>
      <c r="DN166" s="64" t="str">
        <f t="shared" si="563"/>
        <v>UNKNOWN</v>
      </c>
      <c r="DO166" s="64" t="str">
        <f t="shared" si="564"/>
        <v>UNKNOWN</v>
      </c>
      <c r="DP166" s="3">
        <f t="shared" si="565"/>
        <v>7.4999999999999983E-2</v>
      </c>
      <c r="DQ166" s="3">
        <f t="shared" si="566"/>
        <v>-9.9</v>
      </c>
      <c r="DR166" s="3" t="e">
        <f t="shared" ca="1" si="567"/>
        <v>#NUM!</v>
      </c>
      <c r="DS166" s="3">
        <f t="shared" si="568"/>
        <v>-7.26</v>
      </c>
      <c r="DT166" s="3">
        <f t="shared" si="591"/>
        <v>0</v>
      </c>
      <c r="DU166" s="3">
        <f t="shared" si="592"/>
        <v>66</v>
      </c>
      <c r="DV166" s="3">
        <f t="shared" si="569"/>
        <v>-49</v>
      </c>
      <c r="DW166" s="3">
        <f t="shared" si="570"/>
        <v>53</v>
      </c>
      <c r="DX166" s="3" t="e">
        <f t="shared" ca="1" si="571"/>
        <v>#NUM!</v>
      </c>
      <c r="DY166" s="3" t="e">
        <f t="shared" ca="1" si="572"/>
        <v>#NUM!</v>
      </c>
      <c r="DZ166" s="3" t="e">
        <f t="shared" ca="1" si="573"/>
        <v>#NUM!</v>
      </c>
      <c r="EA166" s="3" t="e">
        <f t="shared" ca="1" si="574"/>
        <v>#NUM!</v>
      </c>
      <c r="EB166" s="3" t="e">
        <f t="shared" ca="1" si="575"/>
        <v>#NUM!</v>
      </c>
      <c r="EC166" s="3" t="e">
        <f t="shared" ca="1" si="576"/>
        <v>#NUM!</v>
      </c>
      <c r="ED166" s="63">
        <f t="shared" si="593"/>
        <v>4</v>
      </c>
      <c r="EE166" s="59">
        <f t="shared" si="577"/>
        <v>1.2123999999999999</v>
      </c>
      <c r="EF166" s="59">
        <f t="shared" si="578"/>
        <v>1.268</v>
      </c>
      <c r="EG166" s="59">
        <f t="shared" si="579"/>
        <v>0.73540000000000005</v>
      </c>
      <c r="EH166" s="59">
        <f t="shared" si="580"/>
        <v>1.268</v>
      </c>
      <c r="EI166" s="59">
        <f t="shared" si="581"/>
        <v>0.28120000000000001</v>
      </c>
      <c r="EJ166" s="59">
        <f t="shared" si="582"/>
        <v>0.2974</v>
      </c>
      <c r="EK166" s="63" t="e">
        <f t="shared" ca="1" si="594"/>
        <v>#NUM!</v>
      </c>
      <c r="EL166" s="3" t="str">
        <f>RTD("tos.rtd",,EL$43,"."&amp;$B$134&amp;$AS$82&amp;"C"&amp;$A166)</f>
        <v>121.24%</v>
      </c>
      <c r="EM166" s="3" t="str">
        <f>RTD("tos.rtd",,EM$43,"."&amp;$B$134&amp;$AS$82&amp;"P"&amp;$A166)</f>
        <v>126.80%</v>
      </c>
      <c r="EN166" s="3" t="str">
        <f>RTD("tos.rtd",,EN$2,"."&amp;$C$134&amp;$AU$82&amp;"C"&amp;$A166)</f>
        <v>73.54%</v>
      </c>
      <c r="EO166" s="3" t="str">
        <f>RTD("tos.rtd",,EO$2,"."&amp;$C$134&amp;$AU$82&amp;"P"&amp;$A166)</f>
        <v>126.80%</v>
      </c>
      <c r="EP166" s="3" t="str">
        <f>RTD("tos.rtd",,EP$2,"."&amp;$D$134&amp;$AW$82&amp;"C"&amp;$A166)</f>
        <v>28.12%</v>
      </c>
      <c r="EQ166" s="3" t="str">
        <f>RTD("tos.rtd",,EQ$2,"."&amp;$D$134&amp;$AW$82&amp;"P"&amp;$A166)</f>
        <v>29.74%</v>
      </c>
      <c r="ES166" s="63" t="str">
        <f t="shared" si="583"/>
        <v>19825,04.00</v>
      </c>
      <c r="ET166" s="63" t="str">
        <f t="shared" ca="1" si="584"/>
        <v>19825,00.00</v>
      </c>
      <c r="EU166" s="68">
        <v>564.02</v>
      </c>
      <c r="EV166" s="68" t="s">
        <v>1347</v>
      </c>
      <c r="EW166" s="68">
        <v>486.84</v>
      </c>
      <c r="EX166" s="68" t="s">
        <v>1348</v>
      </c>
      <c r="EY166" s="68">
        <v>5631.28</v>
      </c>
      <c r="EZ166" s="68" t="s">
        <v>1349</v>
      </c>
      <c r="FA166" s="68">
        <v>19867.973000000002</v>
      </c>
      <c r="FB166" s="68" t="s">
        <v>1350</v>
      </c>
      <c r="FC166" s="68" t="s">
        <v>1351</v>
      </c>
      <c r="FD166" s="68" t="s">
        <v>1352</v>
      </c>
      <c r="FE166" s="68" t="s">
        <v>1353</v>
      </c>
      <c r="FF166" s="68" t="s">
        <v>1354</v>
      </c>
    </row>
    <row r="167" spans="1:162" ht="11.1" customHeight="1" thickBot="1" x14ac:dyDescent="0.25">
      <c r="A167" s="2">
        <f t="shared" si="595"/>
        <v>19800</v>
      </c>
      <c r="B167" s="3">
        <f t="shared" ref="B167:B181" si="631">+IF($A$1="ABS",AS167-AT167,AS167+AT167)</f>
        <v>57</v>
      </c>
      <c r="C167" s="3">
        <f t="shared" ref="C167:C181" si="632">+IF($A$1="ABS",AU167-AV167,AU167+AV167)</f>
        <v>62</v>
      </c>
      <c r="D167" s="3">
        <f t="shared" ref="D167:D181" si="633">+IF($A$1="ABS",AW167-AX167,AW167+AX167)</f>
        <v>62</v>
      </c>
      <c r="E167" s="3">
        <f t="shared" ref="E167:E181" si="634">SUM(B167:D167)</f>
        <v>181</v>
      </c>
      <c r="F167" s="4">
        <f t="shared" ref="F167:F181" si="635">+$F$136/$A$136*A167</f>
        <v>20188.668824470256</v>
      </c>
      <c r="G167" s="5">
        <f t="shared" ref="G167:G181" si="636">+$G$136/$A$136*A167</f>
        <v>489.3187924760569</v>
      </c>
      <c r="AM167" s="1">
        <v>2</v>
      </c>
      <c r="AN167" s="1">
        <v>-72</v>
      </c>
      <c r="AO167" s="1">
        <v>19800</v>
      </c>
      <c r="AP167" s="1">
        <v>18</v>
      </c>
      <c r="AQ167" s="1">
        <v>-332</v>
      </c>
      <c r="AS167" s="54">
        <f>IF(RTD("tos.rtd",,AS$83,"."&amp;$B$134&amp;$AS$82&amp;"C"&amp;$A167)="N/A",0,RTD("tos.rtd",,AS$83,"."&amp;$B$134&amp;$AS$82&amp;"C"&amp;$A167))</f>
        <v>42</v>
      </c>
      <c r="AT167" s="3">
        <f>-IF(RTD("tos.rtd",,AT$83,"."&amp;$B$134&amp;$AS$82&amp;"P"&amp;$A167)="N/A",0,RTD("tos.rtd",,AT$83,"."&amp;$B$134&amp;$AS$82&amp;"P"&amp;$A167))</f>
        <v>-15</v>
      </c>
      <c r="AU167" s="54">
        <f>IF(RTD("tos.rtd",,AU$2,"."&amp;$C$134&amp;$AU$134&amp;"C"&amp;$A167)="N/A",0,RTD("tos.rtd",,AU$2,"."&amp;$C$134&amp;$AU$134&amp;"C"&amp;$A167))</f>
        <v>38</v>
      </c>
      <c r="AV167" s="3">
        <f>-IF(RTD("tos.rtd",,AV$2,"."&amp;$C$134&amp;$AU$134&amp;"P"&amp;$A167)="N/A",0,RTD("tos.rtd",,AV$2,"."&amp;$C$134&amp;$AU$134&amp;"P"&amp;$A167))</f>
        <v>-24</v>
      </c>
      <c r="AW167" s="54">
        <f>IF(RTD("tos.rtd",,AW$2,"."&amp;$D$134&amp;$AW$134&amp;"C"&amp;$A167)="N/A",0,RTD("tos.rtd",,AW$2,"."&amp;$D$134&amp;$AW$134&amp;"C"&amp;$A167))</f>
        <v>34</v>
      </c>
      <c r="AX167" s="3">
        <f>-IF(RTD("tos.rtd",,AX$2,"."&amp;$D$134&amp;$AW$134&amp;"P"&amp;$A167)="N/A",0,RTD("tos.rtd",,AX$2,"."&amp;$D$134&amp;$AW$134&amp;"P"&amp;$A167))</f>
        <v>-28</v>
      </c>
      <c r="AY167" s="76">
        <f t="shared" ref="AY167:AY181" si="637">SUM(AS167:AX167)</f>
        <v>47</v>
      </c>
      <c r="AZ167" s="8">
        <f t="shared" si="548"/>
        <v>19800</v>
      </c>
      <c r="BA167" s="54">
        <f>IF(RTD("tos.rtd",,BA$43,"."&amp;$B$134&amp;$AS$82&amp;"C"&amp;$A167)="N/A",0,RTD("tos.rtd",,BA$43,"."&amp;$B$134&amp;$AS$82&amp;"C"&amp;$A167))</f>
        <v>0</v>
      </c>
      <c r="BB167" s="3">
        <f>-IF(RTD("tos.rtd",,BB$43,"."&amp;$B$134&amp;$AS$82&amp;"P"&amp;$A167)="N/A",0,RTD("tos.rtd",,BB$43,"."&amp;$B$134&amp;$AS$82&amp;"P"&amp;$A167))</f>
        <v>0</v>
      </c>
      <c r="BC167" s="54">
        <f>IF(RTD("tos.rtd",,BC$2,"."&amp;$C$134&amp;$AU$82&amp;"C"&amp;$A167)="N/A",0,RTD("tos.rtd",,BC$2,"."&amp;$C$134&amp;$AU$82&amp;"C"&amp;$A167))</f>
        <v>17</v>
      </c>
      <c r="BD167" s="3">
        <f>-IF(RTD("tos.rtd",,BD$2,"."&amp;$C$134&amp;$AU$82&amp;"P"&amp;$A167)="N/A",0,RTD("tos.rtd",,BD$2,"."&amp;$C$134&amp;$AU$82&amp;"P"&amp;$A167))</f>
        <v>-2752</v>
      </c>
      <c r="BE167" s="54">
        <f>IF(RTD("tos.rtd",,BE$2,"."&amp;$D$134&amp;$AW$82&amp;"C"&amp;$A167)="N/A",0,RTD("tos.rtd",,BE$2,"."&amp;$D$134&amp;$AW$82&amp;"C"&amp;$A167))</f>
        <v>1</v>
      </c>
      <c r="BF167" s="3">
        <f>-IF(RTD("tos.rtd",,BF$2,"."&amp;$D$134&amp;$AW$82&amp;"P"&amp;$A167)="N/A",0,RTD("tos.rtd",,BF$2,"."&amp;$D$134&amp;$AW$82&amp;"P"&amp;$A167))</f>
        <v>-23</v>
      </c>
      <c r="BG167" s="3">
        <f ca="1">+Hoja2!Y168</f>
        <v>-6</v>
      </c>
      <c r="BH167" s="7">
        <f t="shared" ca="1" si="549"/>
        <v>-2763</v>
      </c>
      <c r="BI167" s="32" t="str">
        <f t="shared" ca="1" si="609"/>
        <v/>
      </c>
      <c r="BJ167" s="3" t="e">
        <f ca="1">IF($BP$1=1,DX167,IF(RTD("tos.rtd",,BJ$43,"."&amp;$B$134&amp;$AS$82&amp;"C"&amp;$A167)="N/A",0,RTD("tos.rtd",,BJ$43,"."&amp;$B$134&amp;$AS$82&amp;"C"&amp;$A167)))</f>
        <v>#NUM!</v>
      </c>
      <c r="BK167" s="3" t="e">
        <f ca="1">IF($BP$1=1,DY167,-IF(RTD("tos.rtd",,BK$43,"."&amp;$B$134&amp;$AS$82&amp;"P"&amp;$A167)="N/A",0,RTD("tos.rtd",,BK$43,"."&amp;$B$134&amp;$AS$82&amp;"P"&amp;$A167)))</f>
        <v>#NUM!</v>
      </c>
      <c r="BL167" s="3" t="e">
        <f ca="1">IF($BP$1=1,DZ167,IF(RTD("tos.rtd",,BL$2,"."&amp;$C$134&amp;$AU$82&amp;"C"&amp;$A167)="N/A",0,RTD("tos.rtd",,BL$2,"."&amp;$C$134&amp;$AU$82&amp;"C"&amp;$A167)))</f>
        <v>#NUM!</v>
      </c>
      <c r="BM167" s="3" t="e">
        <f ca="1">IF($BP$1=1,EA167,-IF(RTD("tos.rtd",,BM$2,"."&amp;$C$134&amp;$AU$82&amp;"P"&amp;$A167)="N/A",0,RTD("tos.rtd",,BM$2,"."&amp;$C$134&amp;$AU$82&amp;"P"&amp;$A167)))</f>
        <v>#NUM!</v>
      </c>
      <c r="BN167" s="3" t="e">
        <f ca="1">IF($BP$1=1,EB167,IF(RTD("tos.rtd",,BN$2,"."&amp;$D$134&amp;$AW$82&amp;"C"&amp;$A167)="N/A",0,RTD("tos.rtd",,BN$2,"."&amp;$D$134&amp;$AW$82&amp;"C"&amp;$A167)))</f>
        <v>#NUM!</v>
      </c>
      <c r="BO167" s="3" t="e">
        <f ca="1">IF($BP$1=1,EC167,-IF(RTD("tos.rtd",,BO$2,"."&amp;$D$134&amp;$AW$82&amp;"P"&amp;$A167)="N/A",0,RTD("tos.rtd",,BO$2,"."&amp;$D$134&amp;$AW$82&amp;"P"&amp;$A167)))</f>
        <v>#NUM!</v>
      </c>
      <c r="BQ167" s="3" t="e">
        <f t="shared" ref="BQ167:BQ181" ca="1" si="638">+$A$84*$A$84*AS167*BJ167-$A$84*$A$84*AT167*BK167</f>
        <v>#NUM!</v>
      </c>
      <c r="BR167" s="3" t="e">
        <f t="shared" ca="1" si="550"/>
        <v>#NUM!</v>
      </c>
      <c r="BS167" s="3" t="e">
        <f t="shared" ref="BS167:BS181" ca="1" si="639">+$A$84*$A$84*AU167*BL167-$A$84*$A$84*AV167*BM167</f>
        <v>#NUM!</v>
      </c>
      <c r="BT167" s="3" t="e">
        <f t="shared" ca="1" si="551"/>
        <v>#NUM!</v>
      </c>
      <c r="BU167" s="3" t="e">
        <f t="shared" ref="BU167:BU181" ca="1" si="640">+$A$84*$A$84*AW167*BN167-$A$84*$A$84*AX167*BO167</f>
        <v>#NUM!</v>
      </c>
      <c r="BV167" s="3" t="e">
        <f t="shared" ca="1" si="551"/>
        <v>#NUM!</v>
      </c>
      <c r="BX167" s="3" t="e">
        <f t="shared" ca="1" si="585"/>
        <v>#NUM!</v>
      </c>
      <c r="BY167" s="3" t="e">
        <f t="shared" ca="1" si="586"/>
        <v>#NUM!</v>
      </c>
      <c r="BZ167" s="3" t="e">
        <f t="shared" ca="1" si="587"/>
        <v>#NUM!</v>
      </c>
      <c r="CA167" s="3" t="e">
        <f t="shared" ca="1" si="586"/>
        <v>#NUM!</v>
      </c>
      <c r="CB167" s="3" t="e">
        <f t="shared" ca="1" si="588"/>
        <v>#NUM!</v>
      </c>
      <c r="CC167" s="3" t="e">
        <f t="shared" ca="1" si="586"/>
        <v>#NUM!</v>
      </c>
      <c r="CD167" s="3">
        <f>IF(RTD("tos.rtd",,CD$43,"."&amp;$B$134&amp;$AS$82&amp;"C"&amp;$A167)="N/A",0,RTD("tos.rtd",,CD$43,"."&amp;$B$134&amp;$AS$82&amp;"C"&amp;$A167))</f>
        <v>0.91</v>
      </c>
      <c r="CE167" s="3">
        <f>-IF(RTD("tos.rtd",,CE$43,"."&amp;$B$134&amp;$AS$82&amp;"P"&amp;$A167)="N/A",0,RTD("tos.rtd",,CE$43,"."&amp;$B$134&amp;$AS$82&amp;"P"&amp;$A167))</f>
        <v>0</v>
      </c>
      <c r="CF167" s="3">
        <f>IF(RTD("tos.rtd",,CF$2,"."&amp;$C$134&amp;$AU$82&amp;"C"&amp;$A167)="N/A",0,RTD("tos.rtd",,CF$2,"."&amp;$C$134&amp;$AU$82&amp;"C"&amp;$A167))</f>
        <v>1</v>
      </c>
      <c r="CG167" s="3">
        <f>-IF(RTD("tos.rtd",,CG$2,"."&amp;$C$134&amp;$AU$82&amp;"P"&amp;$A167)="N/A",0,RTD("tos.rtd",,CG$2,"."&amp;$C$134&amp;$AU$82&amp;"P"&amp;$A167))</f>
        <v>0</v>
      </c>
      <c r="CH167" s="3">
        <f>IF(RTD("tos.rtd",,CH$2,"."&amp;$D$134&amp;$AW$82&amp;"C"&amp;$A167)="N/A",0,RTD("tos.rtd",,CH$2,"."&amp;$D$134&amp;$AW$82&amp;"C"&amp;$A167))</f>
        <v>0.67</v>
      </c>
      <c r="CI167" s="3">
        <f>-IF(RTD("tos.rtd",,CI$2,"."&amp;$D$134&amp;$AW$82&amp;"P"&amp;$A167)="N/A",0,RTD("tos.rtd",,CI$2,"."&amp;$D$134&amp;$AW$82&amp;"P"&amp;$A167))</f>
        <v>0.33</v>
      </c>
      <c r="CK167" s="3">
        <f t="shared" si="620"/>
        <v>3822</v>
      </c>
      <c r="CL167" s="3"/>
      <c r="CM167" s="3">
        <f t="shared" si="621"/>
        <v>3800</v>
      </c>
      <c r="CN167" s="3"/>
      <c r="CO167" s="3">
        <f t="shared" si="622"/>
        <v>1354</v>
      </c>
      <c r="CP167" s="3">
        <f t="shared" si="542"/>
        <v>8976</v>
      </c>
      <c r="CQ167" s="3">
        <f t="shared" si="552"/>
        <v>0</v>
      </c>
      <c r="CR167" s="3"/>
      <c r="CS167" s="3">
        <f t="shared" si="553"/>
        <v>-2735</v>
      </c>
      <c r="CT167" s="3"/>
      <c r="CU167" s="3">
        <f t="shared" si="554"/>
        <v>-22</v>
      </c>
      <c r="CV167" s="3"/>
      <c r="CW167" s="3" t="e">
        <f t="shared" ca="1" si="555"/>
        <v>#NUM!</v>
      </c>
      <c r="CY167" s="3" t="e">
        <f t="shared" ca="1" si="556"/>
        <v>#NUM!</v>
      </c>
      <c r="CZ167" s="70" t="e">
        <f t="shared" ca="1" si="589"/>
        <v>#NUM!</v>
      </c>
      <c r="DA167" s="3">
        <f>IF(RTD("tos.rtd",,DA$43,"."&amp;$B$134&amp;$AS$82&amp;"C"&amp;$A167)="N/A",0,RTD("tos.rtd",,DA$43,"."&amp;$B$134&amp;$AS$82&amp;"C"&amp;$A167))</f>
        <v>385.5</v>
      </c>
      <c r="DB167" s="3">
        <f>IF(RTD("tos.rtd",,DB$43,"."&amp;$B$134&amp;$AS$82&amp;"P"&amp;$A167)="N/A",0,RTD("tos.rtd",,DB$43,"."&amp;$B$134&amp;$AS$82&amp;"P"&amp;$A167))</f>
        <v>0.1</v>
      </c>
      <c r="DC167" s="3">
        <f>IF(RTD("tos.rtd",,DC$43,"."&amp;$B$134&amp;$AS$82&amp;"C"&amp;$A167)="N/A",0,RTD("tos.rtd",,DC$43,"."&amp;$B$134&amp;$AS$82&amp;"C"&amp;$A167))</f>
        <v>294.8</v>
      </c>
      <c r="DD167" s="3">
        <f>IF(RTD("tos.rtd",,DD$43,"."&amp;$B$134&amp;$AS$82&amp;"P"&amp;$A167)="N/A",0,RTD("tos.rtd",,DD$43,"."&amp;$B$134&amp;$AS$82&amp;"P"&amp;$A167))</f>
        <v>0.25</v>
      </c>
      <c r="DE167" s="3">
        <f>IF(RTD("tos.rtd",,DE$43,"."&amp;$B$134&amp;$AS$82&amp;"C"&amp;$A167)="N/A",0,RTD("tos.rtd",,DE$43,"."&amp;$B$134&amp;$AS$82&amp;"C"&amp;$A167))</f>
        <v>246</v>
      </c>
      <c r="DF167" s="3">
        <f>IF(RTD("tos.rtd",,DF$43,"."&amp;$B$134&amp;$AS$82&amp;"P"&amp;$A167)="N/A",0,RTD("tos.rtd",,DF$43,"."&amp;$B$134&amp;$AS$82&amp;"P"&amp;$A167))</f>
        <v>0</v>
      </c>
      <c r="DG167" s="86">
        <f t="shared" si="590"/>
        <v>-261.44900000000052</v>
      </c>
      <c r="DH167" s="3">
        <f t="shared" si="557"/>
        <v>-51.454918032786871</v>
      </c>
      <c r="DI167" s="3">
        <f t="shared" si="558"/>
        <v>132.80000000000001</v>
      </c>
      <c r="DJ167" s="3">
        <f t="shared" si="559"/>
        <v>-18</v>
      </c>
      <c r="DK167" s="3">
        <f t="shared" si="560"/>
        <v>-332</v>
      </c>
      <c r="DL167" s="3">
        <f t="shared" si="561"/>
        <v>81.345081967213133</v>
      </c>
      <c r="DM167" s="3">
        <f t="shared" si="562"/>
        <v>-350</v>
      </c>
      <c r="DN167" s="64" t="str">
        <f t="shared" si="563"/>
        <v>UNKNOWN</v>
      </c>
      <c r="DO167" s="64" t="str">
        <f t="shared" si="564"/>
        <v>UNKNOWN</v>
      </c>
      <c r="DP167" s="3">
        <f t="shared" si="565"/>
        <v>-19822.590901639342</v>
      </c>
      <c r="DQ167" s="3">
        <f t="shared" si="566"/>
        <v>-6972.2</v>
      </c>
      <c r="DR167" s="3" t="e">
        <f t="shared" ca="1" si="567"/>
        <v>#NUM!</v>
      </c>
      <c r="DS167" s="3">
        <f t="shared" si="568"/>
        <v>-16.38</v>
      </c>
      <c r="DT167" s="3">
        <f t="shared" si="591"/>
        <v>-18</v>
      </c>
      <c r="DU167" s="3">
        <f t="shared" si="592"/>
        <v>332</v>
      </c>
      <c r="DV167" s="3">
        <f t="shared" si="569"/>
        <v>2</v>
      </c>
      <c r="DW167" s="3">
        <f t="shared" si="570"/>
        <v>-72</v>
      </c>
      <c r="DX167" s="3" t="e">
        <f t="shared" ca="1" si="571"/>
        <v>#NUM!</v>
      </c>
      <c r="DY167" s="3" t="e">
        <f t="shared" ca="1" si="572"/>
        <v>#NUM!</v>
      </c>
      <c r="DZ167" s="3" t="e">
        <f t="shared" ca="1" si="573"/>
        <v>#NUM!</v>
      </c>
      <c r="EA167" s="3" t="e">
        <f t="shared" ca="1" si="574"/>
        <v>#NUM!</v>
      </c>
      <c r="EB167" s="3" t="e">
        <f t="shared" ca="1" si="575"/>
        <v>#NUM!</v>
      </c>
      <c r="EC167" s="3" t="e">
        <f t="shared" ca="1" si="576"/>
        <v>#NUM!</v>
      </c>
      <c r="ED167" s="63">
        <f t="shared" si="593"/>
        <v>-70</v>
      </c>
      <c r="EE167" s="59">
        <f t="shared" si="577"/>
        <v>1.3263</v>
      </c>
      <c r="EF167" s="59">
        <f t="shared" si="578"/>
        <v>0.65669999999999995</v>
      </c>
      <c r="EG167" s="59">
        <f t="shared" si="579"/>
        <v>0.25</v>
      </c>
      <c r="EH167" s="59">
        <f t="shared" si="580"/>
        <v>0.56530000000000002</v>
      </c>
      <c r="EI167" s="59">
        <f t="shared" si="581"/>
        <v>0.27989999999999998</v>
      </c>
      <c r="EJ167" s="59">
        <f t="shared" si="582"/>
        <v>0.2984</v>
      </c>
      <c r="EK167" s="63" t="e">
        <f t="shared" ca="1" si="594"/>
        <v>#NUM!</v>
      </c>
      <c r="EL167" s="3" t="str">
        <f>RTD("tos.rtd",,EL$43,"."&amp;$B$134&amp;$AS$82&amp;"C"&amp;$A167)</f>
        <v>132.63%</v>
      </c>
      <c r="EM167" s="3" t="str">
        <f>RTD("tos.rtd",,EM$43,"."&amp;$B$134&amp;$AS$82&amp;"P"&amp;$A167)</f>
        <v>65.67%</v>
      </c>
      <c r="EN167" s="3" t="str">
        <f>RTD("tos.rtd",,EN$2,"."&amp;$C$134&amp;$AU$82&amp;"C"&amp;$A167)</f>
        <v>--</v>
      </c>
      <c r="EO167" s="3" t="str">
        <f>RTD("tos.rtd",,EO$2,"."&amp;$C$134&amp;$AU$82&amp;"P"&amp;$A167)</f>
        <v>56.53%</v>
      </c>
      <c r="EP167" s="3" t="str">
        <f>RTD("tos.rtd",,EP$2,"."&amp;$D$134&amp;$AW$82&amp;"C"&amp;$A167)</f>
        <v>27.99%</v>
      </c>
      <c r="EQ167" s="3" t="str">
        <f>RTD("tos.rtd",,EQ$2,"."&amp;$D$134&amp;$AW$82&amp;"P"&amp;$A167)</f>
        <v>29.84%</v>
      </c>
      <c r="ES167" s="63" t="str">
        <f t="shared" si="583"/>
        <v>19800,-70.00</v>
      </c>
      <c r="ET167" s="63" t="str">
        <f t="shared" ca="1" si="584"/>
        <v>19800,00.00</v>
      </c>
      <c r="EU167" s="68">
        <v>564.01</v>
      </c>
      <c r="EV167" s="68" t="s">
        <v>1355</v>
      </c>
      <c r="EW167" s="68">
        <v>486.8</v>
      </c>
      <c r="EX167" s="68" t="s">
        <v>1356</v>
      </c>
      <c r="EY167" s="68">
        <v>5631.28</v>
      </c>
      <c r="EZ167" s="68" t="s">
        <v>1357</v>
      </c>
      <c r="FA167" s="68">
        <v>19867.973000000002</v>
      </c>
      <c r="FB167" s="68" t="s">
        <v>1358</v>
      </c>
      <c r="FC167" s="68" t="s">
        <v>1359</v>
      </c>
      <c r="FD167" s="68" t="s">
        <v>1360</v>
      </c>
      <c r="FE167" s="68" t="s">
        <v>1361</v>
      </c>
      <c r="FF167" s="68" t="s">
        <v>1362</v>
      </c>
    </row>
    <row r="168" spans="1:162" ht="11.1" customHeight="1" thickBot="1" x14ac:dyDescent="0.25">
      <c r="A168" s="2">
        <f t="shared" si="595"/>
        <v>19775</v>
      </c>
      <c r="B168" s="3">
        <f t="shared" ref="B168:B175" si="641">+IF($A$1="ABS",AS168-AT168,AS168+AT168)</f>
        <v>7</v>
      </c>
      <c r="C168" s="3">
        <f t="shared" ref="C168:C175" si="642">+IF($A$1="ABS",AU168-AV168,AU168+AV168)</f>
        <v>15</v>
      </c>
      <c r="D168" s="3">
        <f t="shared" ref="D168:D175" si="643">+IF($A$1="ABS",AW168-AX168,AW168+AX168)</f>
        <v>32</v>
      </c>
      <c r="E168" s="3">
        <f t="shared" ref="E168:E175" si="644">SUM(B168:D168)</f>
        <v>54</v>
      </c>
      <c r="F168" s="4">
        <f t="shared" ref="F168:F175" si="645">+$F$136/$A$136*A168</f>
        <v>20163.178081005015</v>
      </c>
      <c r="G168" s="5">
        <f t="shared" ref="G168:G175" si="646">+$G$136/$A$136*A168</f>
        <v>488.70096571788002</v>
      </c>
      <c r="AM168" s="1">
        <v>7</v>
      </c>
      <c r="AN168" s="1">
        <v>-39</v>
      </c>
      <c r="AO168" s="1">
        <v>19775</v>
      </c>
      <c r="AP168" s="1">
        <v>0</v>
      </c>
      <c r="AQ168" s="1">
        <v>-59</v>
      </c>
      <c r="AS168" s="54">
        <f>IF(RTD("tos.rtd",,AS$83,"."&amp;$B$134&amp;$AS$82&amp;"C"&amp;$A168)="N/A",0,RTD("tos.rtd",,AS$83,"."&amp;$B$134&amp;$AS$82&amp;"C"&amp;$A168))</f>
        <v>1</v>
      </c>
      <c r="AT168" s="3">
        <f>-IF(RTD("tos.rtd",,AT$83,"."&amp;$B$134&amp;$AS$82&amp;"P"&amp;$A168)="N/A",0,RTD("tos.rtd",,AT$83,"."&amp;$B$134&amp;$AS$82&amp;"P"&amp;$A168))</f>
        <v>-6</v>
      </c>
      <c r="AU168" s="54">
        <f>IF(RTD("tos.rtd",,AU$2,"."&amp;$C$134&amp;$AU$134&amp;"C"&amp;$A168)="N/A",0,RTD("tos.rtd",,AU$2,"."&amp;$C$134&amp;$AU$134&amp;"C"&amp;$A168))</f>
        <v>12</v>
      </c>
      <c r="AV168" s="3">
        <f>-IF(RTD("tos.rtd",,AV$2,"."&amp;$C$134&amp;$AU$134&amp;"P"&amp;$A168)="N/A",0,RTD("tos.rtd",,AV$2,"."&amp;$C$134&amp;$AU$134&amp;"P"&amp;$A168))</f>
        <v>-3</v>
      </c>
      <c r="AW168" s="54">
        <f>IF(RTD("tos.rtd",,AW$2,"."&amp;$D$134&amp;$AW$134&amp;"C"&amp;$A168)="N/A",0,RTD("tos.rtd",,AW$2,"."&amp;$D$134&amp;$AW$134&amp;"C"&amp;$A168))</f>
        <v>22</v>
      </c>
      <c r="AX168" s="3">
        <f>-IF(RTD("tos.rtd",,AX$2,"."&amp;$D$134&amp;$AW$134&amp;"P"&amp;$A168)="N/A",0,RTD("tos.rtd",,AX$2,"."&amp;$D$134&amp;$AW$134&amp;"P"&amp;$A168))</f>
        <v>-10</v>
      </c>
      <c r="AY168" s="76">
        <f t="shared" ref="AY168:AY175" si="647">SUM(AS168:AX168)</f>
        <v>16</v>
      </c>
      <c r="AZ168" s="8">
        <f t="shared" si="548"/>
        <v>19775</v>
      </c>
      <c r="BA168" s="54">
        <f>IF(RTD("tos.rtd",,BA$43,"."&amp;$B$134&amp;$AS$82&amp;"C"&amp;$A168)="N/A",0,RTD("tos.rtd",,BA$43,"."&amp;$B$134&amp;$AS$82&amp;"C"&amp;$A168))</f>
        <v>0</v>
      </c>
      <c r="BB168" s="3">
        <f>-IF(RTD("tos.rtd",,BB$43,"."&amp;$B$134&amp;$AS$82&amp;"P"&amp;$A168)="N/A",0,RTD("tos.rtd",,BB$43,"."&amp;$B$134&amp;$AS$82&amp;"P"&amp;$A168))</f>
        <v>0</v>
      </c>
      <c r="BC168" s="54">
        <f>IF(RTD("tos.rtd",,BC$2,"."&amp;$C$134&amp;$AU$82&amp;"C"&amp;$A168)="N/A",0,RTD("tos.rtd",,BC$2,"."&amp;$C$134&amp;$AU$82&amp;"C"&amp;$A168))</f>
        <v>0</v>
      </c>
      <c r="BD168" s="3">
        <f>-IF(RTD("tos.rtd",,BD$2,"."&amp;$C$134&amp;$AU$82&amp;"P"&amp;$A168)="N/A",0,RTD("tos.rtd",,BD$2,"."&amp;$C$134&amp;$AU$82&amp;"P"&amp;$A168))</f>
        <v>-69</v>
      </c>
      <c r="BE168" s="54">
        <f>IF(RTD("tos.rtd",,BE$2,"."&amp;$D$134&amp;$AW$82&amp;"C"&amp;$A168)="N/A",0,RTD("tos.rtd",,BE$2,"."&amp;$D$134&amp;$AW$82&amp;"C"&amp;$A168))</f>
        <v>0</v>
      </c>
      <c r="BF168" s="3">
        <f>-IF(RTD("tos.rtd",,BF$2,"."&amp;$D$134&amp;$AW$82&amp;"P"&amp;$A168)="N/A",0,RTD("tos.rtd",,BF$2,"."&amp;$D$134&amp;$AW$82&amp;"P"&amp;$A168))</f>
        <v>-9</v>
      </c>
      <c r="BG168" s="3">
        <f ca="1">+Hoja2!Y169</f>
        <v>1</v>
      </c>
      <c r="BH168" s="7">
        <f t="shared" ca="1" si="549"/>
        <v>-77</v>
      </c>
      <c r="BI168" s="32" t="str">
        <f t="shared" ca="1" si="609"/>
        <v/>
      </c>
      <c r="BJ168" s="3" t="e">
        <f ca="1">IF($BP$1=1,DX168,IF(RTD("tos.rtd",,BJ$43,"."&amp;$B$134&amp;$AS$82&amp;"C"&amp;$A168)="N/A",0,RTD("tos.rtd",,BJ$43,"."&amp;$B$134&amp;$AS$82&amp;"C"&amp;$A168)))</f>
        <v>#NUM!</v>
      </c>
      <c r="BK168" s="3" t="e">
        <f ca="1">IF($BP$1=1,DY168,-IF(RTD("tos.rtd",,BK$43,"."&amp;$B$134&amp;$AS$82&amp;"P"&amp;$A168)="N/A",0,RTD("tos.rtd",,BK$43,"."&amp;$B$134&amp;$AS$82&amp;"P"&amp;$A168)))</f>
        <v>#NUM!</v>
      </c>
      <c r="BL168" s="3" t="e">
        <f ca="1">IF($BP$1=1,DZ168,IF(RTD("tos.rtd",,BL$2,"."&amp;$C$134&amp;$AU$82&amp;"C"&amp;$A168)="N/A",0,RTD("tos.rtd",,BL$2,"."&amp;$C$134&amp;$AU$82&amp;"C"&amp;$A168)))</f>
        <v>#NUM!</v>
      </c>
      <c r="BM168" s="3" t="e">
        <f ca="1">IF($BP$1=1,EA168,-IF(RTD("tos.rtd",,BM$2,"."&amp;$C$134&amp;$AU$82&amp;"P"&amp;$A168)="N/A",0,RTD("tos.rtd",,BM$2,"."&amp;$C$134&amp;$AU$82&amp;"P"&amp;$A168)))</f>
        <v>#NUM!</v>
      </c>
      <c r="BN168" s="3" t="e">
        <f ca="1">IF($BP$1=1,EB168,IF(RTD("tos.rtd",,BN$2,"."&amp;$D$134&amp;$AW$82&amp;"C"&amp;$A168)="N/A",0,RTD("tos.rtd",,BN$2,"."&amp;$D$134&amp;$AW$82&amp;"C"&amp;$A168)))</f>
        <v>#NUM!</v>
      </c>
      <c r="BO168" s="3" t="e">
        <f ca="1">IF($BP$1=1,EC168,-IF(RTD("tos.rtd",,BO$2,"."&amp;$D$134&amp;$AW$82&amp;"P"&amp;$A168)="N/A",0,RTD("tos.rtd",,BO$2,"."&amp;$D$134&amp;$AW$82&amp;"P"&amp;$A168)))</f>
        <v>#NUM!</v>
      </c>
      <c r="BQ168" s="3" t="e">
        <f t="shared" ref="BQ168:BQ175" ca="1" si="648">+$A$84*$A$84*AS168*BJ168-$A$84*$A$84*AT168*BK168</f>
        <v>#NUM!</v>
      </c>
      <c r="BR168" s="3" t="e">
        <f t="shared" ca="1" si="550"/>
        <v>#NUM!</v>
      </c>
      <c r="BS168" s="3" t="e">
        <f t="shared" ref="BS168:BS175" ca="1" si="649">+$A$84*$A$84*AU168*BL168-$A$84*$A$84*AV168*BM168</f>
        <v>#NUM!</v>
      </c>
      <c r="BT168" s="3" t="e">
        <f t="shared" ca="1" si="551"/>
        <v>#NUM!</v>
      </c>
      <c r="BU168" s="3" t="e">
        <f t="shared" ref="BU168:BU175" ca="1" si="650">+$A$84*$A$84*AW168*BN168-$A$84*$A$84*AX168*BO168</f>
        <v>#NUM!</v>
      </c>
      <c r="BV168" s="3" t="e">
        <f t="shared" ca="1" si="551"/>
        <v>#NUM!</v>
      </c>
      <c r="BX168" s="3" t="e">
        <f t="shared" ca="1" si="585"/>
        <v>#NUM!</v>
      </c>
      <c r="BY168" s="3" t="e">
        <f t="shared" ca="1" si="586"/>
        <v>#NUM!</v>
      </c>
      <c r="BZ168" s="3" t="e">
        <f t="shared" ca="1" si="587"/>
        <v>#NUM!</v>
      </c>
      <c r="CA168" s="3" t="e">
        <f t="shared" ca="1" si="586"/>
        <v>#NUM!</v>
      </c>
      <c r="CB168" s="3" t="e">
        <f t="shared" ca="1" si="588"/>
        <v>#NUM!</v>
      </c>
      <c r="CC168" s="3" t="e">
        <f t="shared" ca="1" si="586"/>
        <v>#NUM!</v>
      </c>
      <c r="CD168" s="3">
        <f>IF(RTD("tos.rtd",,CD$43,"."&amp;$B$134&amp;$AS$82&amp;"C"&amp;$A168)="N/A",0,RTD("tos.rtd",,CD$43,"."&amp;$B$134&amp;$AS$82&amp;"C"&amp;$A168))</f>
        <v>0.91</v>
      </c>
      <c r="CE168" s="3">
        <f>-IF(RTD("tos.rtd",,CE$43,"."&amp;$B$134&amp;$AS$82&amp;"P"&amp;$A168)="N/A",0,RTD("tos.rtd",,CE$43,"."&amp;$B$134&amp;$AS$82&amp;"P"&amp;$A168))</f>
        <v>0.1</v>
      </c>
      <c r="CF168" s="3">
        <f>IF(RTD("tos.rtd",,CF$2,"."&amp;$C$134&amp;$AU$82&amp;"C"&amp;$A168)="N/A",0,RTD("tos.rtd",,CF$2,"."&amp;$C$134&amp;$AU$82&amp;"C"&amp;$A168))</f>
        <v>1</v>
      </c>
      <c r="CG168" s="3">
        <f>-IF(RTD("tos.rtd",,CG$2,"."&amp;$C$134&amp;$AU$82&amp;"P"&amp;$A168)="N/A",0,RTD("tos.rtd",,CG$2,"."&amp;$C$134&amp;$AU$82&amp;"P"&amp;$A168))</f>
        <v>0.1</v>
      </c>
      <c r="CH168" s="3">
        <f>IF(RTD("tos.rtd",,CH$2,"."&amp;$D$134&amp;$AW$82&amp;"C"&amp;$A168)="N/A",0,RTD("tos.rtd",,CH$2,"."&amp;$D$134&amp;$AW$82&amp;"C"&amp;$A168))</f>
        <v>0.69</v>
      </c>
      <c r="CI168" s="3">
        <f>-IF(RTD("tos.rtd",,CI$2,"."&amp;$D$134&amp;$AW$82&amp;"P"&amp;$A168)="N/A",0,RTD("tos.rtd",,CI$2,"."&amp;$D$134&amp;$AW$82&amp;"P"&amp;$A168))</f>
        <v>0.32</v>
      </c>
      <c r="CK168" s="3">
        <f t="shared" ref="CK168:CK175" si="651">+AS168*CD168*100+AT168*CE168*100</f>
        <v>30.999999999999993</v>
      </c>
      <c r="CL168" s="3"/>
      <c r="CM168" s="3">
        <f t="shared" ref="CM168:CM175" si="652">+AU168*CF168*100+AV168*CG168*100</f>
        <v>1170</v>
      </c>
      <c r="CN168" s="3"/>
      <c r="CO168" s="3">
        <f t="shared" ref="CO168:CO175" si="653">+AW168*CH168*100+AX168*CI168*100</f>
        <v>1198</v>
      </c>
      <c r="CP168" s="3">
        <f t="shared" si="542"/>
        <v>2399</v>
      </c>
      <c r="CQ168" s="3">
        <f t="shared" si="552"/>
        <v>0</v>
      </c>
      <c r="CR168" s="3"/>
      <c r="CS168" s="3">
        <f t="shared" si="553"/>
        <v>-69</v>
      </c>
      <c r="CT168" s="3"/>
      <c r="CU168" s="3">
        <f t="shared" si="554"/>
        <v>-9</v>
      </c>
      <c r="CV168" s="3"/>
      <c r="CW168" s="3" t="e">
        <f t="shared" ca="1" si="555"/>
        <v>#NUM!</v>
      </c>
      <c r="CY168" s="3" t="e">
        <f t="shared" ca="1" si="556"/>
        <v>#NUM!</v>
      </c>
      <c r="CZ168" s="70" t="e">
        <f t="shared" ca="1" si="589"/>
        <v>#NUM!</v>
      </c>
      <c r="DA168" s="3">
        <f>IF(RTD("tos.rtd",,DA$43,"."&amp;$B$134&amp;$AS$82&amp;"C"&amp;$A168)="N/A",0,RTD("tos.rtd",,DA$43,"."&amp;$B$134&amp;$AS$82&amp;"C"&amp;$A168))</f>
        <v>135.6</v>
      </c>
      <c r="DB168" s="3">
        <f>IF(RTD("tos.rtd",,DB$43,"."&amp;$B$134&amp;$AS$82&amp;"P"&amp;$A168)="N/A",0,RTD("tos.rtd",,DB$43,"."&amp;$B$134&amp;$AS$82&amp;"P"&amp;$A168))</f>
        <v>1</v>
      </c>
      <c r="DC168" s="3">
        <f>IF(RTD("tos.rtd",,DC$43,"."&amp;$B$134&amp;$AS$82&amp;"C"&amp;$A168)="N/A",0,RTD("tos.rtd",,DC$43,"."&amp;$B$134&amp;$AS$82&amp;"C"&amp;$A168))</f>
        <v>319.8</v>
      </c>
      <c r="DD168" s="3">
        <f>IF(RTD("tos.rtd",,DD$43,"."&amp;$B$134&amp;$AS$82&amp;"P"&amp;$A168)="N/A",0,RTD("tos.rtd",,DD$43,"."&amp;$B$134&amp;$AS$82&amp;"P"&amp;$A168))</f>
        <v>19.8</v>
      </c>
      <c r="DE168" s="3">
        <f>IF(RTD("tos.rtd",,DE$43,"."&amp;$B$134&amp;$AS$82&amp;"C"&amp;$A168)="N/A",0,RTD("tos.rtd",,DE$43,"."&amp;$B$134&amp;$AS$82&amp;"C"&amp;$A168))</f>
        <v>270</v>
      </c>
      <c r="DF168" s="3">
        <f>IF(RTD("tos.rtd",,DF$43,"."&amp;$B$134&amp;$AS$82&amp;"P"&amp;$A168)="N/A",0,RTD("tos.rtd",,DF$43,"."&amp;$B$134&amp;$AS$82&amp;"P"&amp;$A168))</f>
        <v>0</v>
      </c>
      <c r="DG168" s="86">
        <f t="shared" si="590"/>
        <v>-286.44900000000052</v>
      </c>
      <c r="DH168" s="3">
        <f t="shared" si="557"/>
        <v>0</v>
      </c>
      <c r="DI168" s="3">
        <f t="shared" si="558"/>
        <v>2.9797979797979797</v>
      </c>
      <c r="DJ168" s="3">
        <f t="shared" si="559"/>
        <v>0</v>
      </c>
      <c r="DK168" s="3">
        <f t="shared" si="560"/>
        <v>-59</v>
      </c>
      <c r="DL168" s="3">
        <f t="shared" si="561"/>
        <v>2.9797979797979797</v>
      </c>
      <c r="DM168" s="3">
        <f t="shared" si="562"/>
        <v>-59</v>
      </c>
      <c r="DN168" s="64" t="str">
        <f t="shared" si="563"/>
        <v>UNKNOWN</v>
      </c>
      <c r="DO168" s="64" t="str">
        <f t="shared" si="564"/>
        <v>UNKNOWN</v>
      </c>
      <c r="DP168" s="3">
        <f t="shared" si="565"/>
        <v>2.9797979797979797</v>
      </c>
      <c r="DQ168" s="3">
        <f t="shared" si="566"/>
        <v>-59</v>
      </c>
      <c r="DR168" s="3" t="e">
        <f t="shared" ca="1" si="567"/>
        <v>#NUM!</v>
      </c>
      <c r="DS168" s="3">
        <f t="shared" si="568"/>
        <v>-5.9</v>
      </c>
      <c r="DT168" s="3">
        <f t="shared" si="591"/>
        <v>0</v>
      </c>
      <c r="DU168" s="3">
        <f t="shared" si="592"/>
        <v>59</v>
      </c>
      <c r="DV168" s="3">
        <f t="shared" si="569"/>
        <v>7</v>
      </c>
      <c r="DW168" s="3">
        <f t="shared" si="570"/>
        <v>-39</v>
      </c>
      <c r="DX168" s="3" t="e">
        <f t="shared" ca="1" si="571"/>
        <v>#NUM!</v>
      </c>
      <c r="DY168" s="3" t="e">
        <f t="shared" ca="1" si="572"/>
        <v>#NUM!</v>
      </c>
      <c r="DZ168" s="3" t="e">
        <f t="shared" ca="1" si="573"/>
        <v>#NUM!</v>
      </c>
      <c r="EA168" s="3" t="e">
        <f t="shared" ca="1" si="574"/>
        <v>#NUM!</v>
      </c>
      <c r="EB168" s="3" t="e">
        <f t="shared" ca="1" si="575"/>
        <v>#NUM!</v>
      </c>
      <c r="EC168" s="3" t="e">
        <f t="shared" ca="1" si="576"/>
        <v>#NUM!</v>
      </c>
      <c r="ED168" s="63">
        <f t="shared" si="593"/>
        <v>-32</v>
      </c>
      <c r="EE168" s="59">
        <f t="shared" si="577"/>
        <v>1.3991</v>
      </c>
      <c r="EF168" s="59">
        <f t="shared" si="578"/>
        <v>1.4598</v>
      </c>
      <c r="EG168" s="59">
        <f t="shared" si="579"/>
        <v>0.25</v>
      </c>
      <c r="EH168" s="59">
        <f t="shared" si="580"/>
        <v>1.4598</v>
      </c>
      <c r="EI168" s="59">
        <f t="shared" si="581"/>
        <v>0.28199999999999997</v>
      </c>
      <c r="EJ168" s="59">
        <f t="shared" si="582"/>
        <v>0.29909999999999998</v>
      </c>
      <c r="EK168" s="63" t="e">
        <f t="shared" ca="1" si="594"/>
        <v>#NUM!</v>
      </c>
      <c r="EL168" s="3" t="str">
        <f>RTD("tos.rtd",,EL$43,"."&amp;$B$134&amp;$AS$82&amp;"C"&amp;$A168)</f>
        <v>139.91%</v>
      </c>
      <c r="EM168" s="3" t="str">
        <f>RTD("tos.rtd",,EM$43,"."&amp;$B$134&amp;$AS$82&amp;"P"&amp;$A168)</f>
        <v>145.98%</v>
      </c>
      <c r="EN168" s="3" t="str">
        <f>RTD("tos.rtd",,EN$2,"."&amp;$C$134&amp;$AU$82&amp;"C"&amp;$A168)</f>
        <v>--</v>
      </c>
      <c r="EO168" s="3" t="str">
        <f>RTD("tos.rtd",,EO$2,"."&amp;$C$134&amp;$AU$82&amp;"P"&amp;$A168)</f>
        <v>145.98%</v>
      </c>
      <c r="EP168" s="3" t="str">
        <f>RTD("tos.rtd",,EP$2,"."&amp;$D$134&amp;$AW$82&amp;"C"&amp;$A168)</f>
        <v>28.20%</v>
      </c>
      <c r="EQ168" s="3" t="str">
        <f>RTD("tos.rtd",,EQ$2,"."&amp;$D$134&amp;$AW$82&amp;"P"&amp;$A168)</f>
        <v>29.91%</v>
      </c>
      <c r="ES168" s="63" t="str">
        <f t="shared" si="583"/>
        <v>19775,-32.00</v>
      </c>
      <c r="ET168" s="63" t="str">
        <f t="shared" ca="1" si="584"/>
        <v>19775,00.00</v>
      </c>
      <c r="EU168" s="68">
        <v>563.80999999999995</v>
      </c>
      <c r="EV168" s="68" t="s">
        <v>1363</v>
      </c>
      <c r="EW168" s="68">
        <v>486.66</v>
      </c>
      <c r="EX168" s="68" t="s">
        <v>1364</v>
      </c>
      <c r="EY168" s="68">
        <v>5631.28</v>
      </c>
      <c r="EZ168" s="68" t="s">
        <v>1365</v>
      </c>
      <c r="FA168" s="68">
        <v>19867.973000000002</v>
      </c>
      <c r="FB168" s="68" t="s">
        <v>1366</v>
      </c>
      <c r="FC168" s="68" t="s">
        <v>1367</v>
      </c>
      <c r="FD168" s="68" t="s">
        <v>1368</v>
      </c>
      <c r="FE168" s="68" t="s">
        <v>1369</v>
      </c>
      <c r="FF168" s="68" t="s">
        <v>1370</v>
      </c>
    </row>
    <row r="169" spans="1:162" ht="11.1" customHeight="1" thickBot="1" x14ac:dyDescent="0.25">
      <c r="A169" s="2">
        <f t="shared" si="595"/>
        <v>19750</v>
      </c>
      <c r="B169" s="3">
        <f t="shared" si="641"/>
        <v>10</v>
      </c>
      <c r="C169" s="3">
        <f t="shared" si="642"/>
        <v>27</v>
      </c>
      <c r="D169" s="3">
        <f t="shared" si="643"/>
        <v>86</v>
      </c>
      <c r="E169" s="3">
        <f t="shared" si="644"/>
        <v>123</v>
      </c>
      <c r="F169" s="4">
        <f t="shared" si="645"/>
        <v>20137.687337539777</v>
      </c>
      <c r="G169" s="5">
        <f t="shared" si="646"/>
        <v>488.08313895970321</v>
      </c>
      <c r="AM169" s="1">
        <v>-2</v>
      </c>
      <c r="AN169" s="1">
        <v>-85</v>
      </c>
      <c r="AO169" s="1">
        <v>19750</v>
      </c>
      <c r="AP169" s="1">
        <v>3</v>
      </c>
      <c r="AQ169" s="1">
        <v>-510</v>
      </c>
      <c r="AS169" s="54">
        <f>IF(RTD("tos.rtd",,AS$83,"."&amp;$B$134&amp;$AS$82&amp;"C"&amp;$A169)="N/A",0,RTD("tos.rtd",,AS$83,"."&amp;$B$134&amp;$AS$82&amp;"C"&amp;$A169))</f>
        <v>3</v>
      </c>
      <c r="AT169" s="3">
        <f>-IF(RTD("tos.rtd",,AT$83,"."&amp;$B$134&amp;$AS$82&amp;"P"&amp;$A169)="N/A",0,RTD("tos.rtd",,AT$83,"."&amp;$B$134&amp;$AS$82&amp;"P"&amp;$A169))</f>
        <v>-7</v>
      </c>
      <c r="AU169" s="54">
        <f>IF(RTD("tos.rtd",,AU$2,"."&amp;$C$134&amp;$AU$134&amp;"C"&amp;$A169)="N/A",0,RTD("tos.rtd",,AU$2,"."&amp;$C$134&amp;$AU$134&amp;"C"&amp;$A169))</f>
        <v>12</v>
      </c>
      <c r="AV169" s="3">
        <f>-IF(RTD("tos.rtd",,AV$2,"."&amp;$C$134&amp;$AU$134&amp;"P"&amp;$A169)="N/A",0,RTD("tos.rtd",,AV$2,"."&amp;$C$134&amp;$AU$134&amp;"P"&amp;$A169))</f>
        <v>-15</v>
      </c>
      <c r="AW169" s="54">
        <f>IF(RTD("tos.rtd",,AW$2,"."&amp;$D$134&amp;$AW$134&amp;"C"&amp;$A169)="N/A",0,RTD("tos.rtd",,AW$2,"."&amp;$D$134&amp;$AW$134&amp;"C"&amp;$A169))</f>
        <v>71</v>
      </c>
      <c r="AX169" s="3">
        <f>-IF(RTD("tos.rtd",,AX$2,"."&amp;$D$134&amp;$AW$134&amp;"P"&amp;$A169)="N/A",0,RTD("tos.rtd",,AX$2,"."&amp;$D$134&amp;$AW$134&amp;"P"&amp;$A169))</f>
        <v>-15</v>
      </c>
      <c r="AY169" s="76">
        <f t="shared" si="647"/>
        <v>49</v>
      </c>
      <c r="AZ169" s="8">
        <f t="shared" si="548"/>
        <v>19750</v>
      </c>
      <c r="BA169" s="54">
        <f>IF(RTD("tos.rtd",,BA$43,"."&amp;$B$134&amp;$AS$82&amp;"C"&amp;$A169)="N/A",0,RTD("tos.rtd",,BA$43,"."&amp;$B$134&amp;$AS$82&amp;"C"&amp;$A169))</f>
        <v>0</v>
      </c>
      <c r="BB169" s="3">
        <f>-IF(RTD("tos.rtd",,BB$43,"."&amp;$B$134&amp;$AS$82&amp;"P"&amp;$A169)="N/A",0,RTD("tos.rtd",,BB$43,"."&amp;$B$134&amp;$AS$82&amp;"P"&amp;$A169))</f>
        <v>0</v>
      </c>
      <c r="BC169" s="54">
        <f>IF(RTD("tos.rtd",,BC$2,"."&amp;$C$134&amp;$AU$82&amp;"C"&amp;$A169)="N/A",0,RTD("tos.rtd",,BC$2,"."&amp;$C$134&amp;$AU$82&amp;"C"&amp;$A169))</f>
        <v>1</v>
      </c>
      <c r="BD169" s="3">
        <f>-IF(RTD("tos.rtd",,BD$2,"."&amp;$C$134&amp;$AU$82&amp;"P"&amp;$A169)="N/A",0,RTD("tos.rtd",,BD$2,"."&amp;$C$134&amp;$AU$82&amp;"P"&amp;$A169))</f>
        <v>-290</v>
      </c>
      <c r="BE169" s="54">
        <f>IF(RTD("tos.rtd",,BE$2,"."&amp;$D$134&amp;$AW$82&amp;"C"&amp;$A169)="N/A",0,RTD("tos.rtd",,BE$2,"."&amp;$D$134&amp;$AW$82&amp;"C"&amp;$A169))</f>
        <v>0</v>
      </c>
      <c r="BF169" s="3">
        <f>-IF(RTD("tos.rtd",,BF$2,"."&amp;$D$134&amp;$AW$82&amp;"P"&amp;$A169)="N/A",0,RTD("tos.rtd",,BF$2,"."&amp;$D$134&amp;$AW$82&amp;"P"&amp;$A169))</f>
        <v>-13</v>
      </c>
      <c r="BG169" s="3">
        <f ca="1">+Hoja2!Y170</f>
        <v>-4</v>
      </c>
      <c r="BH169" s="7">
        <f t="shared" ca="1" si="549"/>
        <v>-306</v>
      </c>
      <c r="BI169" s="32" t="str">
        <f t="shared" ca="1" si="609"/>
        <v/>
      </c>
      <c r="BJ169" s="3" t="e">
        <f ca="1">IF($BP$1=1,DX169,IF(RTD("tos.rtd",,BJ$43,"."&amp;$B$134&amp;$AS$82&amp;"C"&amp;$A169)="N/A",0,RTD("tos.rtd",,BJ$43,"."&amp;$B$134&amp;$AS$82&amp;"C"&amp;$A169)))</f>
        <v>#NUM!</v>
      </c>
      <c r="BK169" s="3" t="e">
        <f ca="1">IF($BP$1=1,DY169,-IF(RTD("tos.rtd",,BK$43,"."&amp;$B$134&amp;$AS$82&amp;"P"&amp;$A169)="N/A",0,RTD("tos.rtd",,BK$43,"."&amp;$B$134&amp;$AS$82&amp;"P"&amp;$A169)))</f>
        <v>#NUM!</v>
      </c>
      <c r="BL169" s="3" t="e">
        <f ca="1">IF($BP$1=1,DZ169,IF(RTD("tos.rtd",,BL$2,"."&amp;$C$134&amp;$AU$82&amp;"C"&amp;$A169)="N/A",0,RTD("tos.rtd",,BL$2,"."&amp;$C$134&amp;$AU$82&amp;"C"&amp;$A169)))</f>
        <v>#NUM!</v>
      </c>
      <c r="BM169" s="3" t="e">
        <f ca="1">IF($BP$1=1,EA169,-IF(RTD("tos.rtd",,BM$2,"."&amp;$C$134&amp;$AU$82&amp;"P"&amp;$A169)="N/A",0,RTD("tos.rtd",,BM$2,"."&amp;$C$134&amp;$AU$82&amp;"P"&amp;$A169)))</f>
        <v>#NUM!</v>
      </c>
      <c r="BN169" s="3" t="e">
        <f ca="1">IF($BP$1=1,EB169,IF(RTD("tos.rtd",,BN$2,"."&amp;$D$134&amp;$AW$82&amp;"C"&amp;$A169)="N/A",0,RTD("tos.rtd",,BN$2,"."&amp;$D$134&amp;$AW$82&amp;"C"&amp;$A169)))</f>
        <v>#NUM!</v>
      </c>
      <c r="BO169" s="3" t="e">
        <f ca="1">IF($BP$1=1,EC169,-IF(RTD("tos.rtd",,BO$2,"."&amp;$D$134&amp;$AW$82&amp;"P"&amp;$A169)="N/A",0,RTD("tos.rtd",,BO$2,"."&amp;$D$134&amp;$AW$82&amp;"P"&amp;$A169)))</f>
        <v>#NUM!</v>
      </c>
      <c r="BQ169" s="3" t="e">
        <f t="shared" ca="1" si="648"/>
        <v>#NUM!</v>
      </c>
      <c r="BR169" s="3" t="e">
        <f t="shared" ca="1" si="550"/>
        <v>#NUM!</v>
      </c>
      <c r="BS169" s="3" t="e">
        <f t="shared" ca="1" si="649"/>
        <v>#NUM!</v>
      </c>
      <c r="BT169" s="3" t="e">
        <f t="shared" ca="1" si="551"/>
        <v>#NUM!</v>
      </c>
      <c r="BU169" s="3" t="e">
        <f t="shared" ca="1" si="650"/>
        <v>#NUM!</v>
      </c>
      <c r="BV169" s="3" t="e">
        <f t="shared" ca="1" si="551"/>
        <v>#NUM!</v>
      </c>
      <c r="BX169" s="3" t="e">
        <f t="shared" ca="1" si="585"/>
        <v>#NUM!</v>
      </c>
      <c r="BY169" s="3" t="e">
        <f t="shared" ca="1" si="586"/>
        <v>#NUM!</v>
      </c>
      <c r="BZ169" s="3" t="e">
        <f t="shared" ca="1" si="587"/>
        <v>#NUM!</v>
      </c>
      <c r="CA169" s="3" t="e">
        <f t="shared" ca="1" si="586"/>
        <v>#NUM!</v>
      </c>
      <c r="CB169" s="3" t="e">
        <f t="shared" ca="1" si="588"/>
        <v>#NUM!</v>
      </c>
      <c r="CC169" s="3" t="e">
        <f t="shared" ca="1" si="586"/>
        <v>#NUM!</v>
      </c>
      <c r="CD169" s="3">
        <f>IF(RTD("tos.rtd",,CD$43,"."&amp;$B$134&amp;$AS$82&amp;"C"&amp;$A169)="N/A",0,RTD("tos.rtd",,CD$43,"."&amp;$B$134&amp;$AS$82&amp;"C"&amp;$A169))</f>
        <v>0.9</v>
      </c>
      <c r="CE169" s="3">
        <f>-IF(RTD("tos.rtd",,CE$43,"."&amp;$B$134&amp;$AS$82&amp;"P"&amp;$A169)="N/A",0,RTD("tos.rtd",,CE$43,"."&amp;$B$134&amp;$AS$82&amp;"P"&amp;$A169))</f>
        <v>0.03</v>
      </c>
      <c r="CF169" s="3">
        <f>IF(RTD("tos.rtd",,CF$2,"."&amp;$C$134&amp;$AU$82&amp;"C"&amp;$A169)="N/A",0,RTD("tos.rtd",,CF$2,"."&amp;$C$134&amp;$AU$82&amp;"C"&amp;$A169))</f>
        <v>1</v>
      </c>
      <c r="CG169" s="3">
        <f>-IF(RTD("tos.rtd",,CG$2,"."&amp;$C$134&amp;$AU$82&amp;"P"&amp;$A169)="N/A",0,RTD("tos.rtd",,CG$2,"."&amp;$C$134&amp;$AU$82&amp;"P"&amp;$A169))</f>
        <v>7.0000000000000007E-2</v>
      </c>
      <c r="CH169" s="3">
        <f>IF(RTD("tos.rtd",,CH$2,"."&amp;$D$134&amp;$AW$82&amp;"C"&amp;$A169)="N/A",0,RTD("tos.rtd",,CH$2,"."&amp;$D$134&amp;$AW$82&amp;"C"&amp;$A169))</f>
        <v>0.7</v>
      </c>
      <c r="CI169" s="3">
        <f>-IF(RTD("tos.rtd",,CI$2,"."&amp;$D$134&amp;$AW$82&amp;"P"&amp;$A169)="N/A",0,RTD("tos.rtd",,CI$2,"."&amp;$D$134&amp;$AW$82&amp;"P"&amp;$A169))</f>
        <v>0.31</v>
      </c>
      <c r="CK169" s="3">
        <f t="shared" si="651"/>
        <v>249</v>
      </c>
      <c r="CL169" s="3"/>
      <c r="CM169" s="3">
        <f t="shared" si="652"/>
        <v>1095</v>
      </c>
      <c r="CN169" s="3"/>
      <c r="CO169" s="3">
        <f t="shared" si="653"/>
        <v>4505</v>
      </c>
      <c r="CP169" s="3">
        <f t="shared" si="542"/>
        <v>5849</v>
      </c>
      <c r="CQ169" s="3">
        <f t="shared" si="552"/>
        <v>0</v>
      </c>
      <c r="CR169" s="3"/>
      <c r="CS169" s="3">
        <f t="shared" si="553"/>
        <v>-289</v>
      </c>
      <c r="CT169" s="3"/>
      <c r="CU169" s="3">
        <f t="shared" si="554"/>
        <v>-13</v>
      </c>
      <c r="CV169" s="3"/>
      <c r="CW169" s="3" t="e">
        <f t="shared" ca="1" si="555"/>
        <v>#NUM!</v>
      </c>
      <c r="CY169" s="3" t="e">
        <f t="shared" ca="1" si="556"/>
        <v>#NUM!</v>
      </c>
      <c r="CZ169" s="70" t="e">
        <f t="shared" ca="1" si="589"/>
        <v>#NUM!</v>
      </c>
      <c r="DA169" s="3">
        <f>IF(RTD("tos.rtd",,DA$43,"."&amp;$B$134&amp;$AS$82&amp;"C"&amp;$A169)="N/A",0,RTD("tos.rtd",,DA$43,"."&amp;$B$134&amp;$AS$82&amp;"C"&amp;$A169))</f>
        <v>253.3</v>
      </c>
      <c r="DB169" s="3">
        <f>IF(RTD("tos.rtd",,DB$43,"."&amp;$B$134&amp;$AS$82&amp;"P"&amp;$A169)="N/A",0,RTD("tos.rtd",,DB$43,"."&amp;$B$134&amp;$AS$82&amp;"P"&amp;$A169))</f>
        <v>0.15</v>
      </c>
      <c r="DC169" s="3">
        <f>IF(RTD("tos.rtd",,DC$43,"."&amp;$B$134&amp;$AS$82&amp;"C"&amp;$A169)="N/A",0,RTD("tos.rtd",,DC$43,"."&amp;$B$134&amp;$AS$82&amp;"C"&amp;$A169))</f>
        <v>344</v>
      </c>
      <c r="DD169" s="3">
        <f>IF(RTD("tos.rtd",,DD$43,"."&amp;$B$134&amp;$AS$82&amp;"P"&amp;$A169)="N/A",0,RTD("tos.rtd",,DD$43,"."&amp;$B$134&amp;$AS$82&amp;"P"&amp;$A169))</f>
        <v>4.3</v>
      </c>
      <c r="DE169" s="3">
        <f>IF(RTD("tos.rtd",,DE$43,"."&amp;$B$134&amp;$AS$82&amp;"C"&amp;$A169)="N/A",0,RTD("tos.rtd",,DE$43,"."&amp;$B$134&amp;$AS$82&amp;"C"&amp;$A169))</f>
        <v>302.89999999999998</v>
      </c>
      <c r="DF169" s="3">
        <f>IF(RTD("tos.rtd",,DF$43,"."&amp;$B$134&amp;$AS$82&amp;"P"&amp;$A169)="N/A",0,RTD("tos.rtd",,DF$43,"."&amp;$B$134&amp;$AS$82&amp;"P"&amp;$A169))</f>
        <v>0</v>
      </c>
      <c r="DG169" s="86">
        <f t="shared" si="590"/>
        <v>-311.44900000000052</v>
      </c>
      <c r="DH169" s="3">
        <f t="shared" si="557"/>
        <v>3.6204379562043751</v>
      </c>
      <c r="DI169" s="3">
        <f t="shared" si="558"/>
        <v>17.790697674418606</v>
      </c>
      <c r="DJ169" s="3">
        <f t="shared" si="559"/>
        <v>3</v>
      </c>
      <c r="DK169" s="3">
        <f t="shared" si="560"/>
        <v>-510</v>
      </c>
      <c r="DL169" s="3">
        <f t="shared" si="561"/>
        <v>21.411135630622979</v>
      </c>
      <c r="DM169" s="3">
        <f t="shared" si="562"/>
        <v>-507</v>
      </c>
      <c r="DN169" s="64" t="str">
        <f t="shared" si="563"/>
        <v>UNKNOWN</v>
      </c>
      <c r="DO169" s="64" t="str">
        <f t="shared" si="564"/>
        <v>UNKNOWN</v>
      </c>
      <c r="DP169" s="3">
        <f t="shared" si="565"/>
        <v>919.72553895773103</v>
      </c>
      <c r="DQ169" s="3">
        <f t="shared" si="566"/>
        <v>683.40000000000009</v>
      </c>
      <c r="DR169" s="3" t="e">
        <f t="shared" ca="1" si="567"/>
        <v>#NUM!</v>
      </c>
      <c r="DS169" s="3">
        <f t="shared" si="568"/>
        <v>-12.599999999999998</v>
      </c>
      <c r="DT169" s="3">
        <f t="shared" si="591"/>
        <v>-3</v>
      </c>
      <c r="DU169" s="3">
        <f t="shared" si="592"/>
        <v>510</v>
      </c>
      <c r="DV169" s="3">
        <f t="shared" si="569"/>
        <v>-2</v>
      </c>
      <c r="DW169" s="3">
        <f t="shared" si="570"/>
        <v>-85</v>
      </c>
      <c r="DX169" s="3" t="e">
        <f t="shared" ref="DX169:DX189" ca="1" si="654">(EXP(-POWER((LN($A$136/$A169)+($EC$1+POWER($EE169,2)/2)*($EM$1/$DY$1))/($EE169*SQRT($EM$1/$DY$1)),2)/2)/SQRT(2*PI())/($A$136*$EE169*SQRT($EM$1/$DY$1)))</f>
        <v>#NUM!</v>
      </c>
      <c r="DY169" s="3" t="e">
        <f t="shared" ref="DY169:DY189" ca="1" si="655">-(EXP(-POWER((LN($A$136/$A169)+($EC$1+POWER($EF169,2)/2)*($EM$1/$DY$1))/($EF169*SQRT($EM$1/$DY$1)),2)/2)/SQRT(2*PI())/($A$136*$EF169*SQRT($EM$1/$DY$1)))</f>
        <v>#NUM!</v>
      </c>
      <c r="DZ169" s="3" t="e">
        <f t="shared" ref="DZ169:DZ189" ca="1" si="656">(EXP(-POWER((LN($A$136/$A169)+($EC$1+POWER($EG169,2)/2)*($EO$1/$DY$1))/($EG169*SQRT($EO$1/$DY$1)),2)/2)/SQRT(2*PI())/($A$136*$EG169*SQRT($EO$1/$DY$1)))</f>
        <v>#NUM!</v>
      </c>
      <c r="EA169" s="3" t="e">
        <f t="shared" ref="EA169:EA189" ca="1" si="657">-(EXP(-POWER((LN($A$136/$A169)+($EC$1+POWER($EH169,2)/2)*($EO$1/$DY$1))/($EH169*SQRT($EO$1/$DY$1)),2)/2)/SQRT(2*PI())/($A$136*$EH169*SQRT($EO$1/$DY$1)))</f>
        <v>#NUM!</v>
      </c>
      <c r="EB169" s="3" t="e">
        <f t="shared" ref="EB169:EB189" ca="1" si="658">(EXP(-POWER((LN($A$136/$A169)+($EC$1+POWER($EI169,2)/2)*($EO$1/$DY$1))/($EI169*SQRT($EO$1/$DY$1)),2)/2)/SQRT(2*PI())/($A$136*$EI169*SQRT($EO$1/$DY$1)))</f>
        <v>#NUM!</v>
      </c>
      <c r="EC169" s="3" t="e">
        <f t="shared" ref="EC169:EC189" ca="1" si="659">-(EXP(-POWER((LN($A$136/$A169)+($EC$1+POWER($EJ169,2)/2)*($EO$1/$DY$1))/($EJ169*SQRT($EO$1/$DY$1)),2)/2)/SQRT(2*PI())/($A$136*$EJ169*SQRT($EO$1/$DY$1)))</f>
        <v>#NUM!</v>
      </c>
      <c r="ED169" s="63">
        <f t="shared" si="593"/>
        <v>-87</v>
      </c>
      <c r="EE169" s="59">
        <f t="shared" si="577"/>
        <v>1.6335</v>
      </c>
      <c r="EF169" s="59">
        <f t="shared" si="578"/>
        <v>1.1231</v>
      </c>
      <c r="EG169" s="59">
        <f t="shared" si="579"/>
        <v>0.25</v>
      </c>
      <c r="EH169" s="59">
        <f t="shared" si="580"/>
        <v>1.4023000000000001</v>
      </c>
      <c r="EI169" s="59">
        <f t="shared" si="581"/>
        <v>0.28129999999999999</v>
      </c>
      <c r="EJ169" s="59">
        <f t="shared" si="582"/>
        <v>0.29980000000000001</v>
      </c>
      <c r="EK169" s="63" t="e">
        <f t="shared" ca="1" si="594"/>
        <v>#NUM!</v>
      </c>
      <c r="EL169" s="3" t="str">
        <f>RTD("tos.rtd",,EL$43,"."&amp;$B$134&amp;$AS$82&amp;"C"&amp;$A169)</f>
        <v>163.35%</v>
      </c>
      <c r="EM169" s="3" t="str">
        <f>RTD("tos.rtd",,EM$43,"."&amp;$B$134&amp;$AS$82&amp;"P"&amp;$A169)</f>
        <v>112.31%</v>
      </c>
      <c r="EN169" s="3" t="str">
        <f>RTD("tos.rtd",,EN$2,"."&amp;$C$134&amp;$AU$82&amp;"C"&amp;$A169)</f>
        <v>--</v>
      </c>
      <c r="EO169" s="3" t="str">
        <f>RTD("tos.rtd",,EO$2,"."&amp;$C$134&amp;$AU$82&amp;"P"&amp;$A169)</f>
        <v>140.23%</v>
      </c>
      <c r="EP169" s="3" t="str">
        <f>RTD("tos.rtd",,EP$2,"."&amp;$D$134&amp;$AW$82&amp;"C"&amp;$A169)</f>
        <v>28.13%</v>
      </c>
      <c r="EQ169" s="3" t="str">
        <f>RTD("tos.rtd",,EQ$2,"."&amp;$D$134&amp;$AW$82&amp;"P"&amp;$A169)</f>
        <v>29.98%</v>
      </c>
      <c r="ES169" s="63" t="str">
        <f t="shared" si="583"/>
        <v>19750,-87.00</v>
      </c>
      <c r="ET169" s="63" t="str">
        <f t="shared" ca="1" si="584"/>
        <v>19750,00.00</v>
      </c>
      <c r="EU169" s="68">
        <v>563.79999999999995</v>
      </c>
      <c r="EV169" s="68" t="s">
        <v>1371</v>
      </c>
      <c r="EW169" s="68">
        <v>486.6</v>
      </c>
      <c r="EX169" s="68" t="s">
        <v>1372</v>
      </c>
      <c r="EY169" s="68">
        <v>5631.28</v>
      </c>
      <c r="EZ169" s="68" t="s">
        <v>1373</v>
      </c>
      <c r="FA169" s="68">
        <v>19867.973000000002</v>
      </c>
      <c r="FB169" s="68" t="s">
        <v>1374</v>
      </c>
      <c r="FC169" s="68" t="s">
        <v>1375</v>
      </c>
      <c r="FD169" s="68" t="s">
        <v>1376</v>
      </c>
      <c r="FE169" s="68" t="s">
        <v>1377</v>
      </c>
      <c r="FF169" s="68" t="s">
        <v>1378</v>
      </c>
    </row>
    <row r="170" spans="1:162" ht="11.1" customHeight="1" thickBot="1" x14ac:dyDescent="0.25">
      <c r="A170" s="2">
        <f t="shared" si="595"/>
        <v>19725</v>
      </c>
      <c r="B170" s="3">
        <f t="shared" si="641"/>
        <v>6</v>
      </c>
      <c r="C170" s="3">
        <f t="shared" si="642"/>
        <v>18</v>
      </c>
      <c r="D170" s="3">
        <f t="shared" si="643"/>
        <v>70</v>
      </c>
      <c r="E170" s="3">
        <f t="shared" si="644"/>
        <v>94</v>
      </c>
      <c r="F170" s="4">
        <f t="shared" si="645"/>
        <v>20112.196594074536</v>
      </c>
      <c r="G170" s="5">
        <f t="shared" si="646"/>
        <v>487.46531220152639</v>
      </c>
      <c r="AM170" s="1">
        <v>-6</v>
      </c>
      <c r="AN170" s="1">
        <v>-27</v>
      </c>
      <c r="AO170" s="1">
        <v>19725</v>
      </c>
      <c r="AP170" s="1">
        <v>0</v>
      </c>
      <c r="AQ170" s="1">
        <v>-91</v>
      </c>
      <c r="AS170" s="54">
        <f>IF(RTD("tos.rtd",,AS$83,"."&amp;$B$134&amp;$AS$82&amp;"C"&amp;$A170)="N/A",0,RTD("tos.rtd",,AS$83,"."&amp;$B$134&amp;$AS$82&amp;"C"&amp;$A170))</f>
        <v>2</v>
      </c>
      <c r="AT170" s="3">
        <f>-IF(RTD("tos.rtd",,AT$83,"."&amp;$B$134&amp;$AS$82&amp;"P"&amp;$A170)="N/A",0,RTD("tos.rtd",,AT$83,"."&amp;$B$134&amp;$AS$82&amp;"P"&amp;$A170))</f>
        <v>-4</v>
      </c>
      <c r="AU170" s="54">
        <f>IF(RTD("tos.rtd",,AU$2,"."&amp;$C$134&amp;$AU$134&amp;"C"&amp;$A170)="N/A",0,RTD("tos.rtd",,AU$2,"."&amp;$C$134&amp;$AU$134&amp;"C"&amp;$A170))</f>
        <v>9</v>
      </c>
      <c r="AV170" s="3">
        <f>-IF(RTD("tos.rtd",,AV$2,"."&amp;$C$134&amp;$AU$134&amp;"P"&amp;$A170)="N/A",0,RTD("tos.rtd",,AV$2,"."&amp;$C$134&amp;$AU$134&amp;"P"&amp;$A170))</f>
        <v>-9</v>
      </c>
      <c r="AW170" s="54">
        <f>IF(RTD("tos.rtd",,AW$2,"."&amp;$D$134&amp;$AW$134&amp;"C"&amp;$A170)="N/A",0,RTD("tos.rtd",,AW$2,"."&amp;$D$134&amp;$AW$134&amp;"C"&amp;$A170))</f>
        <v>43</v>
      </c>
      <c r="AX170" s="3">
        <f>-IF(RTD("tos.rtd",,AX$2,"."&amp;$D$134&amp;$AW$134&amp;"P"&amp;$A170)="N/A",0,RTD("tos.rtd",,AX$2,"."&amp;$D$134&amp;$AW$134&amp;"P"&amp;$A170))</f>
        <v>-27</v>
      </c>
      <c r="AY170" s="76">
        <f t="shared" si="647"/>
        <v>14</v>
      </c>
      <c r="AZ170" s="8">
        <f t="shared" si="548"/>
        <v>19725</v>
      </c>
      <c r="BA170" s="54">
        <f>IF(RTD("tos.rtd",,BA$43,"."&amp;$B$134&amp;$AS$82&amp;"C"&amp;$A170)="N/A",0,RTD("tos.rtd",,BA$43,"."&amp;$B$134&amp;$AS$82&amp;"C"&amp;$A170))</f>
        <v>0</v>
      </c>
      <c r="BB170" s="3">
        <f>-IF(RTD("tos.rtd",,BB$43,"."&amp;$B$134&amp;$AS$82&amp;"P"&amp;$A170)="N/A",0,RTD("tos.rtd",,BB$43,"."&amp;$B$134&amp;$AS$82&amp;"P"&amp;$A170))</f>
        <v>0</v>
      </c>
      <c r="BC170" s="54">
        <f>IF(RTD("tos.rtd",,BC$2,"."&amp;$C$134&amp;$AU$82&amp;"C"&amp;$A170)="N/A",0,RTD("tos.rtd",,BC$2,"."&amp;$C$134&amp;$AU$82&amp;"C"&amp;$A170))</f>
        <v>0</v>
      </c>
      <c r="BD170" s="3">
        <f>-IF(RTD("tos.rtd",,BD$2,"."&amp;$C$134&amp;$AU$82&amp;"P"&amp;$A170)="N/A",0,RTD("tos.rtd",,BD$2,"."&amp;$C$134&amp;$AU$82&amp;"P"&amp;$A170))</f>
        <v>-41</v>
      </c>
      <c r="BE170" s="54">
        <f>IF(RTD("tos.rtd",,BE$2,"."&amp;$D$134&amp;$AW$82&amp;"C"&amp;$A170)="N/A",0,RTD("tos.rtd",,BE$2,"."&amp;$D$134&amp;$AW$82&amp;"C"&amp;$A170))</f>
        <v>0</v>
      </c>
      <c r="BF170" s="3">
        <f>-IF(RTD("tos.rtd",,BF$2,"."&amp;$D$134&amp;$AW$82&amp;"P"&amp;$A170)="N/A",0,RTD("tos.rtd",,BF$2,"."&amp;$D$134&amp;$AW$82&amp;"P"&amp;$A170))</f>
        <v>-2</v>
      </c>
      <c r="BG170" s="3">
        <f ca="1">+Hoja2!Y171</f>
        <v>0</v>
      </c>
      <c r="BH170" s="7">
        <f t="shared" ca="1" si="549"/>
        <v>-43</v>
      </c>
      <c r="BI170" s="32" t="str">
        <f t="shared" ca="1" si="609"/>
        <v/>
      </c>
      <c r="BJ170" s="3" t="e">
        <f ca="1">IF($BP$1=1,DX170,IF(RTD("tos.rtd",,BJ$43,"."&amp;$B$134&amp;$AS$82&amp;"C"&amp;$A170)="N/A",0,RTD("tos.rtd",,BJ$43,"."&amp;$B$134&amp;$AS$82&amp;"C"&amp;$A170)))</f>
        <v>#NUM!</v>
      </c>
      <c r="BK170" s="3" t="e">
        <f ca="1">IF($BP$1=1,DY170,-IF(RTD("tos.rtd",,BK$43,"."&amp;$B$134&amp;$AS$82&amp;"P"&amp;$A170)="N/A",0,RTD("tos.rtd",,BK$43,"."&amp;$B$134&amp;$AS$82&amp;"P"&amp;$A170)))</f>
        <v>#NUM!</v>
      </c>
      <c r="BL170" s="3" t="e">
        <f ca="1">IF($BP$1=1,DZ170,IF(RTD("tos.rtd",,BL$2,"."&amp;$C$134&amp;$AU$82&amp;"C"&amp;$A170)="N/A",0,RTD("tos.rtd",,BL$2,"."&amp;$C$134&amp;$AU$82&amp;"C"&amp;$A170)))</f>
        <v>#NUM!</v>
      </c>
      <c r="BM170" s="3" t="e">
        <f ca="1">IF($BP$1=1,EA170,-IF(RTD("tos.rtd",,BM$2,"."&amp;$C$134&amp;$AU$82&amp;"P"&amp;$A170)="N/A",0,RTD("tos.rtd",,BM$2,"."&amp;$C$134&amp;$AU$82&amp;"P"&amp;$A170)))</f>
        <v>#NUM!</v>
      </c>
      <c r="BN170" s="3" t="e">
        <f ca="1">IF($BP$1=1,EB170,IF(RTD("tos.rtd",,BN$2,"."&amp;$D$134&amp;$AW$82&amp;"C"&amp;$A170)="N/A",0,RTD("tos.rtd",,BN$2,"."&amp;$D$134&amp;$AW$82&amp;"C"&amp;$A170)))</f>
        <v>#NUM!</v>
      </c>
      <c r="BO170" s="3" t="e">
        <f ca="1">IF($BP$1=1,EC170,-IF(RTD("tos.rtd",,BO$2,"."&amp;$D$134&amp;$AW$82&amp;"P"&amp;$A170)="N/A",0,RTD("tos.rtd",,BO$2,"."&amp;$D$134&amp;$AW$82&amp;"P"&amp;$A170)))</f>
        <v>#NUM!</v>
      </c>
      <c r="BQ170" s="3" t="e">
        <f t="shared" ca="1" si="648"/>
        <v>#NUM!</v>
      </c>
      <c r="BR170" s="3" t="e">
        <f t="shared" ca="1" si="550"/>
        <v>#NUM!</v>
      </c>
      <c r="BS170" s="3" t="e">
        <f t="shared" ca="1" si="649"/>
        <v>#NUM!</v>
      </c>
      <c r="BT170" s="3" t="e">
        <f t="shared" ca="1" si="551"/>
        <v>#NUM!</v>
      </c>
      <c r="BU170" s="3" t="e">
        <f t="shared" ca="1" si="650"/>
        <v>#NUM!</v>
      </c>
      <c r="BV170" s="3" t="e">
        <f t="shared" ca="1" si="551"/>
        <v>#NUM!</v>
      </c>
      <c r="BX170" s="3" t="e">
        <f t="shared" ca="1" si="585"/>
        <v>#NUM!</v>
      </c>
      <c r="BY170" s="3" t="e">
        <f t="shared" ca="1" si="586"/>
        <v>#NUM!</v>
      </c>
      <c r="BZ170" s="3" t="e">
        <f t="shared" ca="1" si="587"/>
        <v>#NUM!</v>
      </c>
      <c r="CA170" s="3" t="e">
        <f t="shared" ca="1" si="586"/>
        <v>#NUM!</v>
      </c>
      <c r="CB170" s="3" t="e">
        <f t="shared" ca="1" si="588"/>
        <v>#NUM!</v>
      </c>
      <c r="CC170" s="3" t="e">
        <f t="shared" ca="1" si="586"/>
        <v>#NUM!</v>
      </c>
      <c r="CD170" s="3">
        <f>IF(RTD("tos.rtd",,CD$43,"."&amp;$B$134&amp;$AS$82&amp;"C"&amp;$A170)="N/A",0,RTD("tos.rtd",,CD$43,"."&amp;$B$134&amp;$AS$82&amp;"C"&amp;$A170))</f>
        <v>0.92</v>
      </c>
      <c r="CE170" s="3">
        <f>-IF(RTD("tos.rtd",,CE$43,"."&amp;$B$134&amp;$AS$82&amp;"P"&amp;$A170)="N/A",0,RTD("tos.rtd",,CE$43,"."&amp;$B$134&amp;$AS$82&amp;"P"&amp;$A170))</f>
        <v>0.09</v>
      </c>
      <c r="CF170" s="3">
        <f>IF(RTD("tos.rtd",,CF$2,"."&amp;$C$134&amp;$AU$82&amp;"C"&amp;$A170)="N/A",0,RTD("tos.rtd",,CF$2,"."&amp;$C$134&amp;$AU$82&amp;"C"&amp;$A170))</f>
        <v>1</v>
      </c>
      <c r="CG170" s="3">
        <f>-IF(RTD("tos.rtd",,CG$2,"."&amp;$C$134&amp;$AU$82&amp;"P"&amp;$A170)="N/A",0,RTD("tos.rtd",,CG$2,"."&amp;$C$134&amp;$AU$82&amp;"P"&amp;$A170))</f>
        <v>0.09</v>
      </c>
      <c r="CH170" s="3">
        <f>IF(RTD("tos.rtd",,CH$2,"."&amp;$D$134&amp;$AW$82&amp;"C"&amp;$A170)="N/A",0,RTD("tos.rtd",,CH$2,"."&amp;$D$134&amp;$AW$82&amp;"C"&amp;$A170))</f>
        <v>0.72</v>
      </c>
      <c r="CI170" s="3">
        <f>-IF(RTD("tos.rtd",,CI$2,"."&amp;$D$134&amp;$AW$82&amp;"P"&amp;$A170)="N/A",0,RTD("tos.rtd",,CI$2,"."&amp;$D$134&amp;$AW$82&amp;"P"&amp;$A170))</f>
        <v>0.3</v>
      </c>
      <c r="CK170" s="3">
        <f t="shared" si="651"/>
        <v>148</v>
      </c>
      <c r="CL170" s="3"/>
      <c r="CM170" s="3">
        <f t="shared" si="652"/>
        <v>819</v>
      </c>
      <c r="CN170" s="3"/>
      <c r="CO170" s="3">
        <f t="shared" si="653"/>
        <v>2285.9999999999995</v>
      </c>
      <c r="CP170" s="3">
        <f t="shared" si="542"/>
        <v>3252.9999999999995</v>
      </c>
      <c r="CQ170" s="3">
        <f t="shared" si="552"/>
        <v>0</v>
      </c>
      <c r="CR170" s="3"/>
      <c r="CS170" s="3">
        <f t="shared" si="553"/>
        <v>-41</v>
      </c>
      <c r="CT170" s="3"/>
      <c r="CU170" s="3">
        <f t="shared" si="554"/>
        <v>-2</v>
      </c>
      <c r="CV170" s="3"/>
      <c r="CW170" s="3" t="e">
        <f t="shared" ca="1" si="555"/>
        <v>#NUM!</v>
      </c>
      <c r="CY170" s="3" t="e">
        <f t="shared" ca="1" si="556"/>
        <v>#NUM!</v>
      </c>
      <c r="CZ170" s="70" t="e">
        <f t="shared" ca="1" si="589"/>
        <v>#NUM!</v>
      </c>
      <c r="DA170" s="3">
        <f>IF(RTD("tos.rtd",,DA$43,"."&amp;$B$134&amp;$AS$82&amp;"C"&amp;$A170)="N/A",0,RTD("tos.rtd",,DA$43,"."&amp;$B$134&amp;$AS$82&amp;"C"&amp;$A170))</f>
        <v>218.1</v>
      </c>
      <c r="DB170" s="3">
        <f>IF(RTD("tos.rtd",,DB$43,"."&amp;$B$134&amp;$AS$82&amp;"P"&amp;$A170)="N/A",0,RTD("tos.rtd",,DB$43,"."&amp;$B$134&amp;$AS$82&amp;"P"&amp;$A170))</f>
        <v>0.05</v>
      </c>
      <c r="DC170" s="3">
        <f>IF(RTD("tos.rtd",,DC$43,"."&amp;$B$134&amp;$AS$82&amp;"C"&amp;$A170)="N/A",0,RTD("tos.rtd",,DC$43,"."&amp;$B$134&amp;$AS$82&amp;"C"&amp;$A170))</f>
        <v>369.8</v>
      </c>
      <c r="DD170" s="3">
        <f>IF(RTD("tos.rtd",,DD$43,"."&amp;$B$134&amp;$AS$82&amp;"P"&amp;$A170)="N/A",0,RTD("tos.rtd",,DD$43,"."&amp;$B$134&amp;$AS$82&amp;"P"&amp;$A170))</f>
        <v>19.8</v>
      </c>
      <c r="DE170" s="3">
        <f>IF(RTD("tos.rtd",,DE$43,"."&amp;$B$134&amp;$AS$82&amp;"C"&amp;$A170)="N/A",0,RTD("tos.rtd",,DE$43,"."&amp;$B$134&amp;$AS$82&amp;"C"&amp;$A170))</f>
        <v>320</v>
      </c>
      <c r="DF170" s="3">
        <f>IF(RTD("tos.rtd",,DF$43,"."&amp;$B$134&amp;$AS$82&amp;"P"&amp;$A170)="N/A",0,RTD("tos.rtd",,DF$43,"."&amp;$B$134&amp;$AS$82&amp;"P"&amp;$A170))</f>
        <v>0</v>
      </c>
      <c r="DG170" s="86">
        <f t="shared" si="590"/>
        <v>-336.44900000000052</v>
      </c>
      <c r="DH170" s="3">
        <f t="shared" si="557"/>
        <v>0</v>
      </c>
      <c r="DI170" s="3">
        <f t="shared" si="558"/>
        <v>0.22979797979797981</v>
      </c>
      <c r="DJ170" s="3">
        <f t="shared" si="559"/>
        <v>0</v>
      </c>
      <c r="DK170" s="3">
        <f t="shared" si="560"/>
        <v>-91</v>
      </c>
      <c r="DL170" s="3">
        <f t="shared" si="561"/>
        <v>0.22979797979797981</v>
      </c>
      <c r="DM170" s="3">
        <f t="shared" si="562"/>
        <v>-91</v>
      </c>
      <c r="DN170" s="64" t="str">
        <f t="shared" si="563"/>
        <v>UNKNOWN</v>
      </c>
      <c r="DO170" s="64" t="str">
        <f t="shared" si="564"/>
        <v>UNKNOWN</v>
      </c>
      <c r="DP170" s="3">
        <f t="shared" si="565"/>
        <v>1.1489898989898991E-2</v>
      </c>
      <c r="DQ170" s="3">
        <f t="shared" si="566"/>
        <v>-4.55</v>
      </c>
      <c r="DR170" s="3" t="e">
        <f t="shared" ca="1" si="567"/>
        <v>#NUM!</v>
      </c>
      <c r="DS170" s="3">
        <f t="shared" si="568"/>
        <v>-8.19</v>
      </c>
      <c r="DT170" s="3">
        <f t="shared" si="591"/>
        <v>0</v>
      </c>
      <c r="DU170" s="3">
        <f t="shared" si="592"/>
        <v>91</v>
      </c>
      <c r="DV170" s="3">
        <f t="shared" si="569"/>
        <v>-6</v>
      </c>
      <c r="DW170" s="3">
        <f t="shared" si="570"/>
        <v>-27</v>
      </c>
      <c r="DX170" s="3" t="e">
        <f t="shared" ca="1" si="654"/>
        <v>#NUM!</v>
      </c>
      <c r="DY170" s="3" t="e">
        <f t="shared" ca="1" si="655"/>
        <v>#NUM!</v>
      </c>
      <c r="DZ170" s="3" t="e">
        <f t="shared" ca="1" si="656"/>
        <v>#NUM!</v>
      </c>
      <c r="EA170" s="3" t="e">
        <f t="shared" ca="1" si="657"/>
        <v>#NUM!</v>
      </c>
      <c r="EB170" s="3" t="e">
        <f t="shared" ca="1" si="658"/>
        <v>#NUM!</v>
      </c>
      <c r="EC170" s="3" t="e">
        <f t="shared" ca="1" si="659"/>
        <v>#NUM!</v>
      </c>
      <c r="ED170" s="63">
        <f t="shared" si="593"/>
        <v>-33</v>
      </c>
      <c r="EE170" s="59">
        <f t="shared" si="577"/>
        <v>1.5812999999999999</v>
      </c>
      <c r="EF170" s="59">
        <f t="shared" si="578"/>
        <v>1.6468</v>
      </c>
      <c r="EG170" s="59">
        <f t="shared" si="579"/>
        <v>0.25</v>
      </c>
      <c r="EH170" s="59">
        <f t="shared" si="580"/>
        <v>1.6468</v>
      </c>
      <c r="EI170" s="59">
        <f t="shared" si="581"/>
        <v>0.28239999999999998</v>
      </c>
      <c r="EJ170" s="59">
        <f t="shared" si="582"/>
        <v>0.30030000000000001</v>
      </c>
      <c r="EK170" s="63" t="e">
        <f t="shared" ca="1" si="594"/>
        <v>#NUM!</v>
      </c>
      <c r="EL170" s="3" t="str">
        <f>RTD("tos.rtd",,EL$43,"."&amp;$B$134&amp;$AS$82&amp;"C"&amp;$A170)</f>
        <v>158.13%</v>
      </c>
      <c r="EM170" s="3" t="str">
        <f>RTD("tos.rtd",,EM$43,"."&amp;$B$134&amp;$AS$82&amp;"P"&amp;$A170)</f>
        <v>164.68%</v>
      </c>
      <c r="EN170" s="3" t="str">
        <f>RTD("tos.rtd",,EN$2,"."&amp;$C$134&amp;$AU$82&amp;"C"&amp;$A170)</f>
        <v>--</v>
      </c>
      <c r="EO170" s="3" t="str">
        <f>RTD("tos.rtd",,EO$2,"."&amp;$C$134&amp;$AU$82&amp;"P"&amp;$A170)</f>
        <v>164.68%</v>
      </c>
      <c r="EP170" s="3" t="str">
        <f>RTD("tos.rtd",,EP$2,"."&amp;$D$134&amp;$AW$82&amp;"C"&amp;$A170)</f>
        <v>28.24%</v>
      </c>
      <c r="EQ170" s="3" t="str">
        <f>RTD("tos.rtd",,EQ$2,"."&amp;$D$134&amp;$AW$82&amp;"P"&amp;$A170)</f>
        <v>30.03%</v>
      </c>
      <c r="ES170" s="63" t="str">
        <f t="shared" si="583"/>
        <v>19725,-33.00</v>
      </c>
      <c r="ET170" s="63" t="str">
        <f t="shared" ca="1" si="584"/>
        <v>19725,00.00</v>
      </c>
      <c r="EU170" s="68">
        <v>563.86</v>
      </c>
      <c r="EV170" s="68" t="s">
        <v>1379</v>
      </c>
      <c r="EW170" s="68">
        <v>486.61</v>
      </c>
      <c r="EX170" s="68" t="s">
        <v>1380</v>
      </c>
      <c r="EY170" s="68">
        <v>5631.28</v>
      </c>
      <c r="EZ170" s="68" t="s">
        <v>1381</v>
      </c>
      <c r="FA170" s="68">
        <v>19867.973000000002</v>
      </c>
      <c r="FB170" s="68" t="s">
        <v>1382</v>
      </c>
      <c r="FC170" s="68" t="s">
        <v>1383</v>
      </c>
      <c r="FD170" s="68" t="s">
        <v>1384</v>
      </c>
      <c r="FE170" s="68" t="s">
        <v>1385</v>
      </c>
      <c r="FF170" s="68" t="s">
        <v>1386</v>
      </c>
    </row>
    <row r="171" spans="1:162" ht="11.1" customHeight="1" thickBot="1" x14ac:dyDescent="0.25">
      <c r="A171" s="2">
        <f t="shared" si="595"/>
        <v>19700</v>
      </c>
      <c r="B171" s="3">
        <f t="shared" si="641"/>
        <v>40</v>
      </c>
      <c r="C171" s="3">
        <f t="shared" si="642"/>
        <v>26</v>
      </c>
      <c r="D171" s="3">
        <f t="shared" si="643"/>
        <v>85</v>
      </c>
      <c r="E171" s="3">
        <f t="shared" si="644"/>
        <v>151</v>
      </c>
      <c r="F171" s="4">
        <f t="shared" si="645"/>
        <v>20086.705850609294</v>
      </c>
      <c r="G171" s="5">
        <f t="shared" si="646"/>
        <v>486.84748544334951</v>
      </c>
      <c r="AM171" s="1">
        <v>8</v>
      </c>
      <c r="AN171" s="1">
        <v>-20</v>
      </c>
      <c r="AO171" s="1">
        <v>19700</v>
      </c>
      <c r="AP171" s="1">
        <v>14</v>
      </c>
      <c r="AQ171" s="1">
        <v>-267</v>
      </c>
      <c r="AS171" s="54">
        <f>IF(RTD("tos.rtd",,AS$83,"."&amp;$B$134&amp;$AS$82&amp;"C"&amp;$A171)="N/A",0,RTD("tos.rtd",,AS$83,"."&amp;$B$134&amp;$AS$82&amp;"C"&amp;$A171))</f>
        <v>2</v>
      </c>
      <c r="AT171" s="3">
        <f>-IF(RTD("tos.rtd",,AT$83,"."&amp;$B$134&amp;$AS$82&amp;"P"&amp;$A171)="N/A",0,RTD("tos.rtd",,AT$83,"."&amp;$B$134&amp;$AS$82&amp;"P"&amp;$A171))</f>
        <v>-38</v>
      </c>
      <c r="AU171" s="54">
        <f>IF(RTD("tos.rtd",,AU$2,"."&amp;$C$134&amp;$AU$134&amp;"C"&amp;$A171)="N/A",0,RTD("tos.rtd",,AU$2,"."&amp;$C$134&amp;$AU$134&amp;"C"&amp;$A171))</f>
        <v>6</v>
      </c>
      <c r="AV171" s="3">
        <f>-IF(RTD("tos.rtd",,AV$2,"."&amp;$C$134&amp;$AU$134&amp;"P"&amp;$A171)="N/A",0,RTD("tos.rtd",,AV$2,"."&amp;$C$134&amp;$AU$134&amp;"P"&amp;$A171))</f>
        <v>-20</v>
      </c>
      <c r="AW171" s="54">
        <f>IF(RTD("tos.rtd",,AW$2,"."&amp;$D$134&amp;$AW$134&amp;"C"&amp;$A171)="N/A",0,RTD("tos.rtd",,AW$2,"."&amp;$D$134&amp;$AW$134&amp;"C"&amp;$A171))</f>
        <v>37</v>
      </c>
      <c r="AX171" s="3">
        <f>-IF(RTD("tos.rtd",,AX$2,"."&amp;$D$134&amp;$AW$134&amp;"P"&amp;$A171)="N/A",0,RTD("tos.rtd",,AX$2,"."&amp;$D$134&amp;$AW$134&amp;"P"&amp;$A171))</f>
        <v>-48</v>
      </c>
      <c r="AY171" s="76">
        <f t="shared" si="647"/>
        <v>-61</v>
      </c>
      <c r="AZ171" s="8">
        <f t="shared" si="548"/>
        <v>19700</v>
      </c>
      <c r="BA171" s="54">
        <f>IF(RTD("tos.rtd",,BA$43,"."&amp;$B$134&amp;$AS$82&amp;"C"&amp;$A171)="N/A",0,RTD("tos.rtd",,BA$43,"."&amp;$B$134&amp;$AS$82&amp;"C"&amp;$A171))</f>
        <v>0</v>
      </c>
      <c r="BB171" s="3">
        <f>-IF(RTD("tos.rtd",,BB$43,"."&amp;$B$134&amp;$AS$82&amp;"P"&amp;$A171)="N/A",0,RTD("tos.rtd",,BB$43,"."&amp;$B$134&amp;$AS$82&amp;"P"&amp;$A171))</f>
        <v>0</v>
      </c>
      <c r="BC171" s="54">
        <f>IF(RTD("tos.rtd",,BC$2,"."&amp;$C$134&amp;$AU$82&amp;"C"&amp;$A171)="N/A",0,RTD("tos.rtd",,BC$2,"."&amp;$C$134&amp;$AU$82&amp;"C"&amp;$A171))</f>
        <v>5</v>
      </c>
      <c r="BD171" s="3">
        <f>-IF(RTD("tos.rtd",,BD$2,"."&amp;$C$134&amp;$AU$82&amp;"P"&amp;$A171)="N/A",0,RTD("tos.rtd",,BD$2,"."&amp;$C$134&amp;$AU$82&amp;"P"&amp;$A171))</f>
        <v>-312</v>
      </c>
      <c r="BE171" s="54">
        <f>IF(RTD("tos.rtd",,BE$2,"."&amp;$D$134&amp;$AW$82&amp;"C"&amp;$A171)="N/A",0,RTD("tos.rtd",,BE$2,"."&amp;$D$134&amp;$AW$82&amp;"C"&amp;$A171))</f>
        <v>1</v>
      </c>
      <c r="BF171" s="3">
        <f>-IF(RTD("tos.rtd",,BF$2,"."&amp;$D$134&amp;$AW$82&amp;"P"&amp;$A171)="N/A",0,RTD("tos.rtd",,BF$2,"."&amp;$D$134&amp;$AW$82&amp;"P"&amp;$A171))</f>
        <v>-8</v>
      </c>
      <c r="BG171" s="3">
        <f ca="1">+Hoja2!Y172</f>
        <v>-1</v>
      </c>
      <c r="BH171" s="7">
        <f t="shared" ca="1" si="549"/>
        <v>-315</v>
      </c>
      <c r="BI171" s="32" t="str">
        <f t="shared" ca="1" si="609"/>
        <v/>
      </c>
      <c r="BJ171" s="3" t="e">
        <f ca="1">IF($BP$1=1,DX171,IF(RTD("tos.rtd",,BJ$43,"."&amp;$B$134&amp;$AS$82&amp;"C"&amp;$A171)="N/A",0,RTD("tos.rtd",,BJ$43,"."&amp;$B$134&amp;$AS$82&amp;"C"&amp;$A171)))</f>
        <v>#NUM!</v>
      </c>
      <c r="BK171" s="3" t="e">
        <f ca="1">IF($BP$1=1,DY171,-IF(RTD("tos.rtd",,BK$43,"."&amp;$B$134&amp;$AS$82&amp;"P"&amp;$A171)="N/A",0,RTD("tos.rtd",,BK$43,"."&amp;$B$134&amp;$AS$82&amp;"P"&amp;$A171)))</f>
        <v>#NUM!</v>
      </c>
      <c r="BL171" s="3" t="e">
        <f ca="1">IF($BP$1=1,DZ171,IF(RTD("tos.rtd",,BL$2,"."&amp;$C$134&amp;$AU$82&amp;"C"&amp;$A171)="N/A",0,RTD("tos.rtd",,BL$2,"."&amp;$C$134&amp;$AU$82&amp;"C"&amp;$A171)))</f>
        <v>#NUM!</v>
      </c>
      <c r="BM171" s="3" t="e">
        <f ca="1">IF($BP$1=1,EA171,-IF(RTD("tos.rtd",,BM$2,"."&amp;$C$134&amp;$AU$82&amp;"P"&amp;$A171)="N/A",0,RTD("tos.rtd",,BM$2,"."&amp;$C$134&amp;$AU$82&amp;"P"&amp;$A171)))</f>
        <v>#NUM!</v>
      </c>
      <c r="BN171" s="3" t="e">
        <f ca="1">IF($BP$1=1,EB171,IF(RTD("tos.rtd",,BN$2,"."&amp;$D$134&amp;$AW$82&amp;"C"&amp;$A171)="N/A",0,RTD("tos.rtd",,BN$2,"."&amp;$D$134&amp;$AW$82&amp;"C"&amp;$A171)))</f>
        <v>#NUM!</v>
      </c>
      <c r="BO171" s="3" t="e">
        <f ca="1">IF($BP$1=1,EC171,-IF(RTD("tos.rtd",,BO$2,"."&amp;$D$134&amp;$AW$82&amp;"P"&amp;$A171)="N/A",0,RTD("tos.rtd",,BO$2,"."&amp;$D$134&amp;$AW$82&amp;"P"&amp;$A171)))</f>
        <v>#NUM!</v>
      </c>
      <c r="BQ171" s="3" t="e">
        <f t="shared" ca="1" si="648"/>
        <v>#NUM!</v>
      </c>
      <c r="BR171" s="3" t="e">
        <f t="shared" ca="1" si="550"/>
        <v>#NUM!</v>
      </c>
      <c r="BS171" s="3" t="e">
        <f t="shared" ca="1" si="649"/>
        <v>#NUM!</v>
      </c>
      <c r="BT171" s="3" t="e">
        <f t="shared" ca="1" si="551"/>
        <v>#NUM!</v>
      </c>
      <c r="BU171" s="3" t="e">
        <f t="shared" ca="1" si="650"/>
        <v>#NUM!</v>
      </c>
      <c r="BV171" s="3" t="e">
        <f t="shared" ca="1" si="551"/>
        <v>#NUM!</v>
      </c>
      <c r="BX171" s="3" t="e">
        <f t="shared" ca="1" si="585"/>
        <v>#NUM!</v>
      </c>
      <c r="BY171" s="3" t="e">
        <f t="shared" ca="1" si="586"/>
        <v>#NUM!</v>
      </c>
      <c r="BZ171" s="3" t="e">
        <f t="shared" ca="1" si="587"/>
        <v>#NUM!</v>
      </c>
      <c r="CA171" s="3" t="e">
        <f t="shared" ca="1" si="586"/>
        <v>#NUM!</v>
      </c>
      <c r="CB171" s="3" t="e">
        <f t="shared" ca="1" si="588"/>
        <v>#NUM!</v>
      </c>
      <c r="CC171" s="3" t="e">
        <f t="shared" ca="1" si="586"/>
        <v>#NUM!</v>
      </c>
      <c r="CD171" s="3">
        <f>IF(RTD("tos.rtd",,CD$43,"."&amp;$B$134&amp;$AS$82&amp;"C"&amp;$A171)="N/A",0,RTD("tos.rtd",,CD$43,"."&amp;$B$134&amp;$AS$82&amp;"C"&amp;$A171))</f>
        <v>0.93</v>
      </c>
      <c r="CE171" s="3">
        <f>-IF(RTD("tos.rtd",,CE$43,"."&amp;$B$134&amp;$AS$82&amp;"P"&amp;$A171)="N/A",0,RTD("tos.rtd",,CE$43,"."&amp;$B$134&amp;$AS$82&amp;"P"&amp;$A171))</f>
        <v>0.05</v>
      </c>
      <c r="CF171" s="3">
        <f>IF(RTD("tos.rtd",,CF$2,"."&amp;$C$134&amp;$AU$82&amp;"C"&amp;$A171)="N/A",0,RTD("tos.rtd",,CF$2,"."&amp;$C$134&amp;$AU$82&amp;"C"&amp;$A171))</f>
        <v>1</v>
      </c>
      <c r="CG171" s="3">
        <f>-IF(RTD("tos.rtd",,CG$2,"."&amp;$C$134&amp;$AU$82&amp;"P"&amp;$A171)="N/A",0,RTD("tos.rtd",,CG$2,"."&amp;$C$134&amp;$AU$82&amp;"P"&amp;$A171))</f>
        <v>0.03</v>
      </c>
      <c r="CH171" s="3">
        <f>IF(RTD("tos.rtd",,CH$2,"."&amp;$D$134&amp;$AW$82&amp;"C"&amp;$A171)="N/A",0,RTD("tos.rtd",,CH$2,"."&amp;$D$134&amp;$AW$82&amp;"C"&amp;$A171))</f>
        <v>0.73</v>
      </c>
      <c r="CI171" s="3">
        <f>-IF(RTD("tos.rtd",,CI$2,"."&amp;$D$134&amp;$AW$82&amp;"P"&amp;$A171)="N/A",0,RTD("tos.rtd",,CI$2,"."&amp;$D$134&amp;$AW$82&amp;"P"&amp;$A171))</f>
        <v>0.28000000000000003</v>
      </c>
      <c r="CK171" s="3">
        <f t="shared" si="651"/>
        <v>-4</v>
      </c>
      <c r="CL171" s="3"/>
      <c r="CM171" s="3">
        <f t="shared" si="652"/>
        <v>540</v>
      </c>
      <c r="CN171" s="3"/>
      <c r="CO171" s="3">
        <f t="shared" si="653"/>
        <v>1356.9999999999998</v>
      </c>
      <c r="CP171" s="3">
        <f t="shared" si="542"/>
        <v>1892.9999999999998</v>
      </c>
      <c r="CQ171" s="3">
        <f t="shared" si="552"/>
        <v>0</v>
      </c>
      <c r="CR171" s="3"/>
      <c r="CS171" s="3">
        <f t="shared" si="553"/>
        <v>-307</v>
      </c>
      <c r="CT171" s="3"/>
      <c r="CU171" s="3">
        <f t="shared" si="554"/>
        <v>-7</v>
      </c>
      <c r="CV171" s="3"/>
      <c r="CW171" s="3" t="e">
        <f t="shared" ca="1" si="555"/>
        <v>#NUM!</v>
      </c>
      <c r="CY171" s="3" t="e">
        <f t="shared" ca="1" si="556"/>
        <v>#NUM!</v>
      </c>
      <c r="CZ171" s="70" t="e">
        <f t="shared" ca="1" si="589"/>
        <v>#NUM!</v>
      </c>
      <c r="DA171" s="3">
        <f>IF(RTD("tos.rtd",,DA$43,"."&amp;$B$134&amp;$AS$82&amp;"C"&amp;$A171)="N/A",0,RTD("tos.rtd",,DA$43,"."&amp;$B$134&amp;$AS$82&amp;"C"&amp;$A171))</f>
        <v>527.65</v>
      </c>
      <c r="DB171" s="3">
        <f>IF(RTD("tos.rtd",,DB$43,"."&amp;$B$134&amp;$AS$82&amp;"P"&amp;$A171)="N/A",0,RTD("tos.rtd",,DB$43,"."&amp;$B$134&amp;$AS$82&amp;"P"&amp;$A171))</f>
        <v>0.2</v>
      </c>
      <c r="DC171" s="3">
        <f>IF(RTD("tos.rtd",,DC$43,"."&amp;$B$134&amp;$AS$82&amp;"C"&amp;$A171)="N/A",0,RTD("tos.rtd",,DC$43,"."&amp;$B$134&amp;$AS$82&amp;"C"&amp;$A171))</f>
        <v>394</v>
      </c>
      <c r="DD171" s="3">
        <f>IF(RTD("tos.rtd",,DD$43,"."&amp;$B$134&amp;$AS$82&amp;"P"&amp;$A171)="N/A",0,RTD("tos.rtd",,DD$43,"."&amp;$B$134&amp;$AS$82&amp;"P"&amp;$A171))</f>
        <v>10</v>
      </c>
      <c r="DE171" s="3">
        <f>IF(RTD("tos.rtd",,DE$43,"."&amp;$B$134&amp;$AS$82&amp;"C"&amp;$A171)="N/A",0,RTD("tos.rtd",,DE$43,"."&amp;$B$134&amp;$AS$82&amp;"C"&amp;$A171))</f>
        <v>346</v>
      </c>
      <c r="DF171" s="3">
        <f>IF(RTD("tos.rtd",,DF$43,"."&amp;$B$134&amp;$AS$82&amp;"P"&amp;$A171)="N/A",0,RTD("tos.rtd",,DF$43,"."&amp;$B$134&amp;$AS$82&amp;"P"&amp;$A171))</f>
        <v>0</v>
      </c>
      <c r="DG171" s="86">
        <f t="shared" si="590"/>
        <v>-361.44900000000052</v>
      </c>
      <c r="DH171" s="3">
        <f t="shared" si="557"/>
        <v>-52.981249999999989</v>
      </c>
      <c r="DI171" s="3">
        <f t="shared" si="558"/>
        <v>5.34</v>
      </c>
      <c r="DJ171" s="3">
        <f t="shared" si="559"/>
        <v>-14</v>
      </c>
      <c r="DK171" s="3">
        <f t="shared" si="560"/>
        <v>-267</v>
      </c>
      <c r="DL171" s="3">
        <f t="shared" si="561"/>
        <v>-47.641249999999985</v>
      </c>
      <c r="DM171" s="3">
        <f t="shared" si="562"/>
        <v>-281</v>
      </c>
      <c r="DN171" s="64" t="str">
        <f t="shared" si="563"/>
        <v>UNKNOWN</v>
      </c>
      <c r="DO171" s="64" t="str">
        <f t="shared" si="564"/>
        <v>UNKNOWN</v>
      </c>
      <c r="DP171" s="3">
        <f t="shared" si="565"/>
        <v>-27954.488562499995</v>
      </c>
      <c r="DQ171" s="3">
        <f t="shared" si="566"/>
        <v>-7440.4999999999991</v>
      </c>
      <c r="DR171" s="3" t="e">
        <f t="shared" ca="1" si="567"/>
        <v>#NUM!</v>
      </c>
      <c r="DS171" s="3">
        <f t="shared" si="568"/>
        <v>-26.370000000000005</v>
      </c>
      <c r="DT171" s="3">
        <f t="shared" si="591"/>
        <v>-14</v>
      </c>
      <c r="DU171" s="3">
        <f t="shared" si="592"/>
        <v>267</v>
      </c>
      <c r="DV171" s="3">
        <f t="shared" si="569"/>
        <v>8</v>
      </c>
      <c r="DW171" s="3">
        <f t="shared" si="570"/>
        <v>-20</v>
      </c>
      <c r="DX171" s="3" t="e">
        <f t="shared" ca="1" si="654"/>
        <v>#NUM!</v>
      </c>
      <c r="DY171" s="3" t="e">
        <f t="shared" ca="1" si="655"/>
        <v>#NUM!</v>
      </c>
      <c r="DZ171" s="3" t="e">
        <f t="shared" ca="1" si="656"/>
        <v>#NUM!</v>
      </c>
      <c r="EA171" s="3" t="e">
        <f t="shared" ca="1" si="657"/>
        <v>#NUM!</v>
      </c>
      <c r="EB171" s="3" t="e">
        <f t="shared" ca="1" si="658"/>
        <v>#NUM!</v>
      </c>
      <c r="EC171" s="3" t="e">
        <f t="shared" ca="1" si="659"/>
        <v>#NUM!</v>
      </c>
      <c r="ED171" s="63">
        <f t="shared" si="593"/>
        <v>-12</v>
      </c>
      <c r="EE171" s="59">
        <f t="shared" si="577"/>
        <v>1.6756</v>
      </c>
      <c r="EF171" s="59">
        <f t="shared" si="578"/>
        <v>1.4895</v>
      </c>
      <c r="EG171" s="59">
        <f t="shared" si="579"/>
        <v>0.25</v>
      </c>
      <c r="EH171" s="59">
        <f t="shared" si="580"/>
        <v>1.2962</v>
      </c>
      <c r="EI171" s="59">
        <f t="shared" si="581"/>
        <v>0.28699999999999998</v>
      </c>
      <c r="EJ171" s="59">
        <f t="shared" si="582"/>
        <v>0.30099999999999999</v>
      </c>
      <c r="EK171" s="63" t="e">
        <f t="shared" ca="1" si="594"/>
        <v>#NUM!</v>
      </c>
      <c r="EL171" s="3" t="str">
        <f>RTD("tos.rtd",,EL$43,"."&amp;$B$134&amp;$AS$82&amp;"C"&amp;$A171)</f>
        <v>167.56%</v>
      </c>
      <c r="EM171" s="3" t="str">
        <f>RTD("tos.rtd",,EM$43,"."&amp;$B$134&amp;$AS$82&amp;"P"&amp;$A171)</f>
        <v>148.95%</v>
      </c>
      <c r="EN171" s="3" t="str">
        <f>RTD("tos.rtd",,EN$2,"."&amp;$C$134&amp;$AU$82&amp;"C"&amp;$A171)</f>
        <v>--</v>
      </c>
      <c r="EO171" s="3" t="str">
        <f>RTD("tos.rtd",,EO$2,"."&amp;$C$134&amp;$AU$82&amp;"P"&amp;$A171)</f>
        <v>129.62%</v>
      </c>
      <c r="EP171" s="3" t="str">
        <f>RTD("tos.rtd",,EP$2,"."&amp;$D$134&amp;$AW$82&amp;"C"&amp;$A171)</f>
        <v>28.70%</v>
      </c>
      <c r="EQ171" s="3" t="str">
        <f>RTD("tos.rtd",,EQ$2,"."&amp;$D$134&amp;$AW$82&amp;"P"&amp;$A171)</f>
        <v>30.10%</v>
      </c>
      <c r="ES171" s="63" t="str">
        <f t="shared" si="583"/>
        <v>19700,-12.00</v>
      </c>
      <c r="ET171" s="63" t="str">
        <f t="shared" ca="1" si="584"/>
        <v>19700,00.00</v>
      </c>
      <c r="EU171" s="68">
        <v>563.85</v>
      </c>
      <c r="EV171" s="68" t="s">
        <v>1387</v>
      </c>
      <c r="EW171" s="68">
        <v>486.6</v>
      </c>
      <c r="EX171" s="68" t="s">
        <v>1388</v>
      </c>
      <c r="EY171" s="68">
        <v>5631.28</v>
      </c>
      <c r="EZ171" s="68" t="s">
        <v>1389</v>
      </c>
      <c r="FA171" s="68">
        <v>19867.973000000002</v>
      </c>
      <c r="FB171" s="68" t="s">
        <v>1390</v>
      </c>
      <c r="FC171" s="68" t="s">
        <v>1391</v>
      </c>
      <c r="FD171" s="68" t="s">
        <v>1392</v>
      </c>
      <c r="FE171" s="68" t="s">
        <v>1393</v>
      </c>
      <c r="FF171" s="68" t="s">
        <v>1394</v>
      </c>
    </row>
    <row r="172" spans="1:162" ht="11.1" customHeight="1" thickBot="1" x14ac:dyDescent="0.25">
      <c r="A172" s="2">
        <f t="shared" si="595"/>
        <v>19675</v>
      </c>
      <c r="B172" s="3">
        <f t="shared" si="641"/>
        <v>18</v>
      </c>
      <c r="C172" s="3">
        <f t="shared" si="642"/>
        <v>12</v>
      </c>
      <c r="D172" s="3">
        <f t="shared" si="643"/>
        <v>20</v>
      </c>
      <c r="E172" s="3">
        <f t="shared" si="644"/>
        <v>50</v>
      </c>
      <c r="F172" s="4">
        <f t="shared" si="645"/>
        <v>20061.215107144057</v>
      </c>
      <c r="G172" s="5">
        <f t="shared" si="646"/>
        <v>486.22965868517269</v>
      </c>
      <c r="AM172" s="1">
        <v>0</v>
      </c>
      <c r="AN172" s="1">
        <v>18</v>
      </c>
      <c r="AO172" s="1">
        <v>19675</v>
      </c>
      <c r="AP172" s="1">
        <v>0</v>
      </c>
      <c r="AQ172" s="1">
        <v>-91</v>
      </c>
      <c r="AS172" s="54">
        <f>IF(RTD("tos.rtd",,AS$83,"."&amp;$B$134&amp;$AS$82&amp;"C"&amp;$A172)="N/A",0,RTD("tos.rtd",,AS$83,"."&amp;$B$134&amp;$AS$82&amp;"C"&amp;$A172))</f>
        <v>0</v>
      </c>
      <c r="AT172" s="3">
        <f>-IF(RTD("tos.rtd",,AT$83,"."&amp;$B$134&amp;$AS$82&amp;"P"&amp;$A172)="N/A",0,RTD("tos.rtd",,AT$83,"."&amp;$B$134&amp;$AS$82&amp;"P"&amp;$A172))</f>
        <v>-18</v>
      </c>
      <c r="AU172" s="54">
        <f>IF(RTD("tos.rtd",,AU$2,"."&amp;$C$134&amp;$AU$134&amp;"C"&amp;$A172)="N/A",0,RTD("tos.rtd",,AU$2,"."&amp;$C$134&amp;$AU$134&amp;"C"&amp;$A172))</f>
        <v>5</v>
      </c>
      <c r="AV172" s="3">
        <f>-IF(RTD("tos.rtd",,AV$2,"."&amp;$C$134&amp;$AU$134&amp;"P"&amp;$A172)="N/A",0,RTD("tos.rtd",,AV$2,"."&amp;$C$134&amp;$AU$134&amp;"P"&amp;$A172))</f>
        <v>-7</v>
      </c>
      <c r="AW172" s="54">
        <f>IF(RTD("tos.rtd",,AW$2,"."&amp;$D$134&amp;$AW$134&amp;"C"&amp;$A172)="N/A",0,RTD("tos.rtd",,AW$2,"."&amp;$D$134&amp;$AW$134&amp;"C"&amp;$A172))</f>
        <v>8</v>
      </c>
      <c r="AX172" s="3">
        <f>-IF(RTD("tos.rtd",,AX$2,"."&amp;$D$134&amp;$AW$134&amp;"P"&amp;$A172)="N/A",0,RTD("tos.rtd",,AX$2,"."&amp;$D$134&amp;$AW$134&amp;"P"&amp;$A172))</f>
        <v>-12</v>
      </c>
      <c r="AY172" s="76">
        <f t="shared" si="647"/>
        <v>-24</v>
      </c>
      <c r="AZ172" s="8">
        <f t="shared" si="548"/>
        <v>19675</v>
      </c>
      <c r="BA172" s="54">
        <f>IF(RTD("tos.rtd",,BA$43,"."&amp;$B$134&amp;$AS$82&amp;"C"&amp;$A172)="N/A",0,RTD("tos.rtd",,BA$43,"."&amp;$B$134&amp;$AS$82&amp;"C"&amp;$A172))</f>
        <v>0</v>
      </c>
      <c r="BB172" s="3">
        <f>-IF(RTD("tos.rtd",,BB$43,"."&amp;$B$134&amp;$AS$82&amp;"P"&amp;$A172)="N/A",0,RTD("tos.rtd",,BB$43,"."&amp;$B$134&amp;$AS$82&amp;"P"&amp;$A172))</f>
        <v>0</v>
      </c>
      <c r="BC172" s="54">
        <f>IF(RTD("tos.rtd",,BC$2,"."&amp;$C$134&amp;$AU$82&amp;"C"&amp;$A172)="N/A",0,RTD("tos.rtd",,BC$2,"."&amp;$C$134&amp;$AU$82&amp;"C"&amp;$A172))</f>
        <v>2</v>
      </c>
      <c r="BD172" s="3">
        <f>-IF(RTD("tos.rtd",,BD$2,"."&amp;$C$134&amp;$AU$82&amp;"P"&amp;$A172)="N/A",0,RTD("tos.rtd",,BD$2,"."&amp;$C$134&amp;$AU$82&amp;"P"&amp;$A172))</f>
        <v>-42</v>
      </c>
      <c r="BE172" s="54">
        <f>IF(RTD("tos.rtd",,BE$2,"."&amp;$D$134&amp;$AW$82&amp;"C"&amp;$A172)="N/A",0,RTD("tos.rtd",,BE$2,"."&amp;$D$134&amp;$AW$82&amp;"C"&amp;$A172))</f>
        <v>1</v>
      </c>
      <c r="BF172" s="3">
        <f>-IF(RTD("tos.rtd",,BF$2,"."&amp;$D$134&amp;$AW$82&amp;"P"&amp;$A172)="N/A",0,RTD("tos.rtd",,BF$2,"."&amp;$D$134&amp;$AW$82&amp;"P"&amp;$A172))</f>
        <v>-4</v>
      </c>
      <c r="BG172" s="3">
        <f ca="1">+Hoja2!Y173</f>
        <v>-4</v>
      </c>
      <c r="BH172" s="7">
        <f t="shared" ca="1" si="549"/>
        <v>-47</v>
      </c>
      <c r="BI172" s="32" t="str">
        <f t="shared" ca="1" si="609"/>
        <v/>
      </c>
      <c r="BJ172" s="3" t="e">
        <f ca="1">IF($BP$1=1,DX172,IF(RTD("tos.rtd",,BJ$43,"."&amp;$B$134&amp;$AS$82&amp;"C"&amp;$A172)="N/A",0,RTD("tos.rtd",,BJ$43,"."&amp;$B$134&amp;$AS$82&amp;"C"&amp;$A172)))</f>
        <v>#NUM!</v>
      </c>
      <c r="BK172" s="3" t="e">
        <f ca="1">IF($BP$1=1,DY172,-IF(RTD("tos.rtd",,BK$43,"."&amp;$B$134&amp;$AS$82&amp;"P"&amp;$A172)="N/A",0,RTD("tos.rtd",,BK$43,"."&amp;$B$134&amp;$AS$82&amp;"P"&amp;$A172)))</f>
        <v>#NUM!</v>
      </c>
      <c r="BL172" s="3" t="e">
        <f ca="1">IF($BP$1=1,DZ172,IF(RTD("tos.rtd",,BL$2,"."&amp;$C$134&amp;$AU$82&amp;"C"&amp;$A172)="N/A",0,RTD("tos.rtd",,BL$2,"."&amp;$C$134&amp;$AU$82&amp;"C"&amp;$A172)))</f>
        <v>#NUM!</v>
      </c>
      <c r="BM172" s="3" t="e">
        <f ca="1">IF($BP$1=1,EA172,-IF(RTD("tos.rtd",,BM$2,"."&amp;$C$134&amp;$AU$82&amp;"P"&amp;$A172)="N/A",0,RTD("tos.rtd",,BM$2,"."&amp;$C$134&amp;$AU$82&amp;"P"&amp;$A172)))</f>
        <v>#NUM!</v>
      </c>
      <c r="BN172" s="3" t="e">
        <f ca="1">IF($BP$1=1,EB172,IF(RTD("tos.rtd",,BN$2,"."&amp;$D$134&amp;$AW$82&amp;"C"&amp;$A172)="N/A",0,RTD("tos.rtd",,BN$2,"."&amp;$D$134&amp;$AW$82&amp;"C"&amp;$A172)))</f>
        <v>#NUM!</v>
      </c>
      <c r="BO172" s="3" t="e">
        <f ca="1">IF($BP$1=1,EC172,-IF(RTD("tos.rtd",,BO$2,"."&amp;$D$134&amp;$AW$82&amp;"P"&amp;$A172)="N/A",0,RTD("tos.rtd",,BO$2,"."&amp;$D$134&amp;$AW$82&amp;"P"&amp;$A172)))</f>
        <v>#NUM!</v>
      </c>
      <c r="BQ172" s="3" t="e">
        <f t="shared" ca="1" si="648"/>
        <v>#NUM!</v>
      </c>
      <c r="BR172" s="3" t="e">
        <f t="shared" ca="1" si="550"/>
        <v>#NUM!</v>
      </c>
      <c r="BS172" s="3" t="e">
        <f t="shared" ca="1" si="649"/>
        <v>#NUM!</v>
      </c>
      <c r="BT172" s="3" t="e">
        <f t="shared" ca="1" si="551"/>
        <v>#NUM!</v>
      </c>
      <c r="BU172" s="3" t="e">
        <f t="shared" ca="1" si="650"/>
        <v>#NUM!</v>
      </c>
      <c r="BV172" s="3" t="e">
        <f t="shared" ca="1" si="551"/>
        <v>#NUM!</v>
      </c>
      <c r="BX172" s="3" t="e">
        <f t="shared" ca="1" si="585"/>
        <v>#NUM!</v>
      </c>
      <c r="BY172" s="3" t="e">
        <f t="shared" ca="1" si="586"/>
        <v>#NUM!</v>
      </c>
      <c r="BZ172" s="3" t="e">
        <f t="shared" ca="1" si="587"/>
        <v>#NUM!</v>
      </c>
      <c r="CA172" s="3" t="e">
        <f t="shared" ca="1" si="586"/>
        <v>#NUM!</v>
      </c>
      <c r="CB172" s="3" t="e">
        <f t="shared" ca="1" si="588"/>
        <v>#NUM!</v>
      </c>
      <c r="CC172" s="3" t="e">
        <f t="shared" ca="1" si="586"/>
        <v>#NUM!</v>
      </c>
      <c r="CD172" s="3">
        <f>IF(RTD("tos.rtd",,CD$43,"."&amp;$B$134&amp;$AS$82&amp;"C"&amp;$A172)="N/A",0,RTD("tos.rtd",,CD$43,"."&amp;$B$134&amp;$AS$82&amp;"C"&amp;$A172))</f>
        <v>0.93</v>
      </c>
      <c r="CE172" s="3">
        <f>-IF(RTD("tos.rtd",,CE$43,"."&amp;$B$134&amp;$AS$82&amp;"P"&amp;$A172)="N/A",0,RTD("tos.rtd",,CE$43,"."&amp;$B$134&amp;$AS$82&amp;"P"&amp;$A172))</f>
        <v>0.08</v>
      </c>
      <c r="CF172" s="3">
        <f>IF(RTD("tos.rtd",,CF$2,"."&amp;$C$134&amp;$AU$82&amp;"C"&amp;$A172)="N/A",0,RTD("tos.rtd",,CF$2,"."&amp;$C$134&amp;$AU$82&amp;"C"&amp;$A172))</f>
        <v>1</v>
      </c>
      <c r="CG172" s="3">
        <f>-IF(RTD("tos.rtd",,CG$2,"."&amp;$C$134&amp;$AU$82&amp;"P"&amp;$A172)="N/A",0,RTD("tos.rtd",,CG$2,"."&amp;$C$134&amp;$AU$82&amp;"P"&amp;$A172))</f>
        <v>0.08</v>
      </c>
      <c r="CH172" s="3">
        <f>IF(RTD("tos.rtd",,CH$2,"."&amp;$D$134&amp;$AW$82&amp;"C"&amp;$A172)="N/A",0,RTD("tos.rtd",,CH$2,"."&amp;$D$134&amp;$AW$82&amp;"C"&amp;$A172))</f>
        <v>0.74</v>
      </c>
      <c r="CI172" s="3">
        <f>-IF(RTD("tos.rtd",,CI$2,"."&amp;$D$134&amp;$AW$82&amp;"P"&amp;$A172)="N/A",0,RTD("tos.rtd",,CI$2,"."&amp;$D$134&amp;$AW$82&amp;"P"&amp;$A172))</f>
        <v>0.27</v>
      </c>
      <c r="CK172" s="3">
        <f t="shared" si="651"/>
        <v>-144</v>
      </c>
      <c r="CL172" s="3"/>
      <c r="CM172" s="3">
        <f t="shared" si="652"/>
        <v>444</v>
      </c>
      <c r="CN172" s="3"/>
      <c r="CO172" s="3">
        <f t="shared" si="653"/>
        <v>268</v>
      </c>
      <c r="CP172" s="3">
        <f t="shared" si="542"/>
        <v>568</v>
      </c>
      <c r="CQ172" s="3">
        <f t="shared" si="552"/>
        <v>0</v>
      </c>
      <c r="CR172" s="3"/>
      <c r="CS172" s="3">
        <f t="shared" si="553"/>
        <v>-40</v>
      </c>
      <c r="CT172" s="3"/>
      <c r="CU172" s="3">
        <f t="shared" si="554"/>
        <v>-3</v>
      </c>
      <c r="CV172" s="3"/>
      <c r="CW172" s="3" t="e">
        <f t="shared" ca="1" si="555"/>
        <v>#NUM!</v>
      </c>
      <c r="CY172" s="3" t="e">
        <f t="shared" ca="1" si="556"/>
        <v>#NUM!</v>
      </c>
      <c r="CZ172" s="70" t="e">
        <f t="shared" ca="1" si="589"/>
        <v>#NUM!</v>
      </c>
      <c r="DA172" s="3">
        <f>IF(RTD("tos.rtd",,DA$43,"."&amp;$B$134&amp;$AS$82&amp;"C"&amp;$A172)="N/A",0,RTD("tos.rtd",,DA$43,"."&amp;$B$134&amp;$AS$82&amp;"C"&amp;$A172))</f>
        <v>0</v>
      </c>
      <c r="DB172" s="3">
        <f>IF(RTD("tos.rtd",,DB$43,"."&amp;$B$134&amp;$AS$82&amp;"P"&amp;$A172)="N/A",0,RTD("tos.rtd",,DB$43,"."&amp;$B$134&amp;$AS$82&amp;"P"&amp;$A172))</f>
        <v>0.05</v>
      </c>
      <c r="DC172" s="3">
        <f>IF(RTD("tos.rtd",,DC$43,"."&amp;$B$134&amp;$AS$82&amp;"C"&amp;$A172)="N/A",0,RTD("tos.rtd",,DC$43,"."&amp;$B$134&amp;$AS$82&amp;"C"&amp;$A172))</f>
        <v>419.8</v>
      </c>
      <c r="DD172" s="3">
        <f>IF(RTD("tos.rtd",,DD$43,"."&amp;$B$134&amp;$AS$82&amp;"P"&amp;$A172)="N/A",0,RTD("tos.rtd",,DD$43,"."&amp;$B$134&amp;$AS$82&amp;"P"&amp;$A172))</f>
        <v>19.8</v>
      </c>
      <c r="DE172" s="3">
        <f>IF(RTD("tos.rtd",,DE$43,"."&amp;$B$134&amp;$AS$82&amp;"C"&amp;$A172)="N/A",0,RTD("tos.rtd",,DE$43,"."&amp;$B$134&amp;$AS$82&amp;"C"&amp;$A172))</f>
        <v>370</v>
      </c>
      <c r="DF172" s="3">
        <f>IF(RTD("tos.rtd",,DF$43,"."&amp;$B$134&amp;$AS$82&amp;"P"&amp;$A172)="N/A",0,RTD("tos.rtd",,DF$43,"."&amp;$B$134&amp;$AS$82&amp;"P"&amp;$A172))</f>
        <v>0</v>
      </c>
      <c r="DG172" s="86">
        <f t="shared" si="590"/>
        <v>-386.44900000000052</v>
      </c>
      <c r="DH172" s="3">
        <f t="shared" si="557"/>
        <v>0</v>
      </c>
      <c r="DI172" s="3">
        <f t="shared" si="558"/>
        <v>0.22979797979797981</v>
      </c>
      <c r="DJ172" s="3">
        <f t="shared" si="559"/>
        <v>0</v>
      </c>
      <c r="DK172" s="3">
        <f t="shared" si="560"/>
        <v>-91</v>
      </c>
      <c r="DL172" s="3">
        <f t="shared" si="561"/>
        <v>0.22979797979797981</v>
      </c>
      <c r="DM172" s="3">
        <f t="shared" si="562"/>
        <v>-91</v>
      </c>
      <c r="DN172" s="64" t="str">
        <f t="shared" si="563"/>
        <v>UNKNOWN</v>
      </c>
      <c r="DO172" s="64" t="str">
        <f t="shared" si="564"/>
        <v>UNKNOWN</v>
      </c>
      <c r="DP172" s="3">
        <f t="shared" si="565"/>
        <v>1.1489898989898991E-2</v>
      </c>
      <c r="DQ172" s="3">
        <f t="shared" si="566"/>
        <v>-4.55</v>
      </c>
      <c r="DR172" s="3" t="e">
        <f t="shared" ca="1" si="567"/>
        <v>#NUM!</v>
      </c>
      <c r="DS172" s="3">
        <f t="shared" si="568"/>
        <v>-7.28</v>
      </c>
      <c r="DT172" s="3">
        <f t="shared" si="591"/>
        <v>0</v>
      </c>
      <c r="DU172" s="3">
        <f t="shared" si="592"/>
        <v>91</v>
      </c>
      <c r="DV172" s="3">
        <f t="shared" si="569"/>
        <v>0</v>
      </c>
      <c r="DW172" s="3">
        <f t="shared" si="570"/>
        <v>18</v>
      </c>
      <c r="DX172" s="3" t="e">
        <f t="shared" ca="1" si="654"/>
        <v>#NUM!</v>
      </c>
      <c r="DY172" s="3" t="e">
        <f t="shared" ca="1" si="655"/>
        <v>#NUM!</v>
      </c>
      <c r="DZ172" s="3" t="e">
        <f t="shared" ca="1" si="656"/>
        <v>#NUM!</v>
      </c>
      <c r="EA172" s="3" t="e">
        <f t="shared" ca="1" si="657"/>
        <v>#NUM!</v>
      </c>
      <c r="EB172" s="3" t="e">
        <f t="shared" ca="1" si="658"/>
        <v>#NUM!</v>
      </c>
      <c r="EC172" s="3" t="e">
        <f t="shared" ca="1" si="659"/>
        <v>#NUM!</v>
      </c>
      <c r="ED172" s="63">
        <f t="shared" si="593"/>
        <v>18</v>
      </c>
      <c r="EE172" s="59">
        <f t="shared" si="577"/>
        <v>1.7598</v>
      </c>
      <c r="EF172" s="59">
        <f t="shared" si="578"/>
        <v>1.8299000000000001</v>
      </c>
      <c r="EG172" s="59">
        <f t="shared" si="579"/>
        <v>0.25</v>
      </c>
      <c r="EH172" s="59">
        <f t="shared" si="580"/>
        <v>1.8299000000000001</v>
      </c>
      <c r="EI172" s="59">
        <f t="shared" si="581"/>
        <v>0.2843</v>
      </c>
      <c r="EJ172" s="59">
        <f t="shared" si="582"/>
        <v>0.3019</v>
      </c>
      <c r="EK172" s="63" t="e">
        <f t="shared" ca="1" si="594"/>
        <v>#NUM!</v>
      </c>
      <c r="EL172" s="3" t="str">
        <f>RTD("tos.rtd",,EL$43,"."&amp;$B$134&amp;$AS$82&amp;"C"&amp;$A172)</f>
        <v>175.98%</v>
      </c>
      <c r="EM172" s="3" t="str">
        <f>RTD("tos.rtd",,EM$43,"."&amp;$B$134&amp;$AS$82&amp;"P"&amp;$A172)</f>
        <v>182.99%</v>
      </c>
      <c r="EN172" s="3" t="str">
        <f>RTD("tos.rtd",,EN$2,"."&amp;$C$134&amp;$AU$82&amp;"C"&amp;$A172)</f>
        <v>--</v>
      </c>
      <c r="EO172" s="3" t="str">
        <f>RTD("tos.rtd",,EO$2,"."&amp;$C$134&amp;$AU$82&amp;"P"&amp;$A172)</f>
        <v>182.99%</v>
      </c>
      <c r="EP172" s="3" t="str">
        <f>RTD("tos.rtd",,EP$2,"."&amp;$D$134&amp;$AW$82&amp;"C"&amp;$A172)</f>
        <v>28.43%</v>
      </c>
      <c r="EQ172" s="3" t="str">
        <f>RTD("tos.rtd",,EQ$2,"."&amp;$D$134&amp;$AW$82&amp;"P"&amp;$A172)</f>
        <v>30.19%</v>
      </c>
      <c r="ES172" s="63" t="str">
        <f t="shared" si="583"/>
        <v>19675,18.00</v>
      </c>
      <c r="ET172" s="63" t="str">
        <f t="shared" ca="1" si="584"/>
        <v>19675,00.00</v>
      </c>
      <c r="EU172" s="68">
        <v>563.83000000000004</v>
      </c>
      <c r="EV172" s="68" t="s">
        <v>1395</v>
      </c>
      <c r="EW172" s="68">
        <v>486.69</v>
      </c>
      <c r="EX172" s="68" t="s">
        <v>1396</v>
      </c>
      <c r="EY172" s="68">
        <v>5631.28</v>
      </c>
      <c r="EZ172" s="68" t="s">
        <v>1397</v>
      </c>
      <c r="FA172" s="68">
        <v>19867.973000000002</v>
      </c>
      <c r="FB172" s="68" t="s">
        <v>1398</v>
      </c>
      <c r="FC172" s="68" t="s">
        <v>1399</v>
      </c>
      <c r="FD172" s="68" t="s">
        <v>1400</v>
      </c>
      <c r="FE172" s="68" t="s">
        <v>1401</v>
      </c>
      <c r="FF172" s="68" t="s">
        <v>1402</v>
      </c>
    </row>
    <row r="173" spans="1:162" ht="11.1" customHeight="1" thickBot="1" x14ac:dyDescent="0.25">
      <c r="A173" s="2">
        <f t="shared" si="595"/>
        <v>19650</v>
      </c>
      <c r="B173" s="3">
        <f t="shared" si="641"/>
        <v>9</v>
      </c>
      <c r="C173" s="3">
        <f t="shared" si="642"/>
        <v>119</v>
      </c>
      <c r="D173" s="3">
        <f t="shared" si="643"/>
        <v>31</v>
      </c>
      <c r="E173" s="3">
        <f t="shared" si="644"/>
        <v>159</v>
      </c>
      <c r="F173" s="4">
        <f t="shared" si="645"/>
        <v>20035.724363678815</v>
      </c>
      <c r="G173" s="5">
        <f t="shared" si="646"/>
        <v>485.61183192699588</v>
      </c>
      <c r="AM173" s="1">
        <v>-1</v>
      </c>
      <c r="AN173" s="1">
        <v>-269</v>
      </c>
      <c r="AO173" s="1">
        <v>19650</v>
      </c>
      <c r="AP173" s="1">
        <v>5</v>
      </c>
      <c r="AQ173" s="1">
        <v>-348</v>
      </c>
      <c r="AS173" s="54">
        <f>IF(RTD("tos.rtd",,AS$83,"."&amp;$B$134&amp;$AS$82&amp;"C"&amp;$A173)="N/A",0,RTD("tos.rtd",,AS$83,"."&amp;$B$134&amp;$AS$82&amp;"C"&amp;$A173))</f>
        <v>4</v>
      </c>
      <c r="AT173" s="3">
        <f>-IF(RTD("tos.rtd",,AT$83,"."&amp;$B$134&amp;$AS$82&amp;"P"&amp;$A173)="N/A",0,RTD("tos.rtd",,AT$83,"."&amp;$B$134&amp;$AS$82&amp;"P"&amp;$A173))</f>
        <v>-5</v>
      </c>
      <c r="AU173" s="54">
        <f>IF(RTD("tos.rtd",,AU$2,"."&amp;$C$134&amp;$AU$134&amp;"C"&amp;$A173)="N/A",0,RTD("tos.rtd",,AU$2,"."&amp;$C$134&amp;$AU$134&amp;"C"&amp;$A173))</f>
        <v>95</v>
      </c>
      <c r="AV173" s="3">
        <f>-IF(RTD("tos.rtd",,AV$2,"."&amp;$C$134&amp;$AU$134&amp;"P"&amp;$A173)="N/A",0,RTD("tos.rtd",,AV$2,"."&amp;$C$134&amp;$AU$134&amp;"P"&amp;$A173))</f>
        <v>-24</v>
      </c>
      <c r="AW173" s="54">
        <f>IF(RTD("tos.rtd",,AW$2,"."&amp;$D$134&amp;$AW$134&amp;"C"&amp;$A173)="N/A",0,RTD("tos.rtd",,AW$2,"."&amp;$D$134&amp;$AW$134&amp;"C"&amp;$A173))</f>
        <v>10</v>
      </c>
      <c r="AX173" s="3">
        <f>-IF(RTD("tos.rtd",,AX$2,"."&amp;$D$134&amp;$AW$134&amp;"P"&amp;$A173)="N/A",0,RTD("tos.rtd",,AX$2,"."&amp;$D$134&amp;$AW$134&amp;"P"&amp;$A173))</f>
        <v>-21</v>
      </c>
      <c r="AY173" s="76">
        <f t="shared" si="647"/>
        <v>59</v>
      </c>
      <c r="AZ173" s="8">
        <f t="shared" si="548"/>
        <v>19650</v>
      </c>
      <c r="BA173" s="54">
        <f>IF(RTD("tos.rtd",,BA$43,"."&amp;$B$134&amp;$AS$82&amp;"C"&amp;$A173)="N/A",0,RTD("tos.rtd",,BA$43,"."&amp;$B$134&amp;$AS$82&amp;"C"&amp;$A173))</f>
        <v>0</v>
      </c>
      <c r="BB173" s="3">
        <f>-IF(RTD("tos.rtd",,BB$43,"."&amp;$B$134&amp;$AS$82&amp;"P"&amp;$A173)="N/A",0,RTD("tos.rtd",,BB$43,"."&amp;$B$134&amp;$AS$82&amp;"P"&amp;$A173))</f>
        <v>0</v>
      </c>
      <c r="BC173" s="54">
        <f>IF(RTD("tos.rtd",,BC$2,"."&amp;$C$134&amp;$AU$82&amp;"C"&amp;$A173)="N/A",0,RTD("tos.rtd",,BC$2,"."&amp;$C$134&amp;$AU$82&amp;"C"&amp;$A173))</f>
        <v>22</v>
      </c>
      <c r="BD173" s="3">
        <f>-IF(RTD("tos.rtd",,BD$2,"."&amp;$C$134&amp;$AU$82&amp;"P"&amp;$A173)="N/A",0,RTD("tos.rtd",,BD$2,"."&amp;$C$134&amp;$AU$82&amp;"P"&amp;$A173))</f>
        <v>-678</v>
      </c>
      <c r="BE173" s="54">
        <f>IF(RTD("tos.rtd",,BE$2,"."&amp;$D$134&amp;$AW$82&amp;"C"&amp;$A173)="N/A",0,RTD("tos.rtd",,BE$2,"."&amp;$D$134&amp;$AW$82&amp;"C"&amp;$A173))</f>
        <v>0</v>
      </c>
      <c r="BF173" s="3">
        <f>-IF(RTD("tos.rtd",,BF$2,"."&amp;$D$134&amp;$AW$82&amp;"P"&amp;$A173)="N/A",0,RTD("tos.rtd",,BF$2,"."&amp;$D$134&amp;$AW$82&amp;"P"&amp;$A173))</f>
        <v>-3</v>
      </c>
      <c r="BG173" s="3">
        <f ca="1">+Hoja2!Y174</f>
        <v>0</v>
      </c>
      <c r="BH173" s="7">
        <f t="shared" ca="1" si="549"/>
        <v>-659</v>
      </c>
      <c r="BI173" s="32" t="str">
        <f t="shared" ca="1" si="609"/>
        <v/>
      </c>
      <c r="BJ173" s="3" t="e">
        <f ca="1">IF($BP$1=1,DX173,IF(RTD("tos.rtd",,BJ$43,"."&amp;$B$134&amp;$AS$82&amp;"C"&amp;$A173)="N/A",0,RTD("tos.rtd",,BJ$43,"."&amp;$B$134&amp;$AS$82&amp;"C"&amp;$A173)))</f>
        <v>#NUM!</v>
      </c>
      <c r="BK173" s="3" t="e">
        <f ca="1">IF($BP$1=1,DY173,-IF(RTD("tos.rtd",,BK$43,"."&amp;$B$134&amp;$AS$82&amp;"P"&amp;$A173)="N/A",0,RTD("tos.rtd",,BK$43,"."&amp;$B$134&amp;$AS$82&amp;"P"&amp;$A173)))</f>
        <v>#NUM!</v>
      </c>
      <c r="BL173" s="3" t="e">
        <f ca="1">IF($BP$1=1,DZ173,IF(RTD("tos.rtd",,BL$2,"."&amp;$C$134&amp;$AU$82&amp;"C"&amp;$A173)="N/A",0,RTD("tos.rtd",,BL$2,"."&amp;$C$134&amp;$AU$82&amp;"C"&amp;$A173)))</f>
        <v>#NUM!</v>
      </c>
      <c r="BM173" s="3" t="e">
        <f ca="1">IF($BP$1=1,EA173,-IF(RTD("tos.rtd",,BM$2,"."&amp;$C$134&amp;$AU$82&amp;"P"&amp;$A173)="N/A",0,RTD("tos.rtd",,BM$2,"."&amp;$C$134&amp;$AU$82&amp;"P"&amp;$A173)))</f>
        <v>#NUM!</v>
      </c>
      <c r="BN173" s="3" t="e">
        <f ca="1">IF($BP$1=1,EB173,IF(RTD("tos.rtd",,BN$2,"."&amp;$D$134&amp;$AW$82&amp;"C"&amp;$A173)="N/A",0,RTD("tos.rtd",,BN$2,"."&amp;$D$134&amp;$AW$82&amp;"C"&amp;$A173)))</f>
        <v>#NUM!</v>
      </c>
      <c r="BO173" s="3" t="e">
        <f ca="1">IF($BP$1=1,EC173,-IF(RTD("tos.rtd",,BO$2,"."&amp;$D$134&amp;$AW$82&amp;"P"&amp;$A173)="N/A",0,RTD("tos.rtd",,BO$2,"."&amp;$D$134&amp;$AW$82&amp;"P"&amp;$A173)))</f>
        <v>#NUM!</v>
      </c>
      <c r="BQ173" s="3" t="e">
        <f t="shared" ca="1" si="648"/>
        <v>#NUM!</v>
      </c>
      <c r="BR173" s="3" t="e">
        <f t="shared" ca="1" si="550"/>
        <v>#NUM!</v>
      </c>
      <c r="BS173" s="3" t="e">
        <f t="shared" ca="1" si="649"/>
        <v>#NUM!</v>
      </c>
      <c r="BT173" s="3" t="e">
        <f t="shared" ca="1" si="551"/>
        <v>#NUM!</v>
      </c>
      <c r="BU173" s="3" t="e">
        <f t="shared" ca="1" si="650"/>
        <v>#NUM!</v>
      </c>
      <c r="BV173" s="3" t="e">
        <f t="shared" ca="1" si="551"/>
        <v>#NUM!</v>
      </c>
      <c r="BX173" s="3" t="e">
        <f t="shared" ca="1" si="585"/>
        <v>#NUM!</v>
      </c>
      <c r="BY173" s="3" t="e">
        <f t="shared" ca="1" si="586"/>
        <v>#NUM!</v>
      </c>
      <c r="BZ173" s="3" t="e">
        <f t="shared" ca="1" si="587"/>
        <v>#NUM!</v>
      </c>
      <c r="CA173" s="3" t="e">
        <f t="shared" ca="1" si="586"/>
        <v>#NUM!</v>
      </c>
      <c r="CB173" s="3" t="e">
        <f t="shared" ca="1" si="588"/>
        <v>#NUM!</v>
      </c>
      <c r="CC173" s="3" t="e">
        <f t="shared" ca="1" si="586"/>
        <v>#NUM!</v>
      </c>
      <c r="CD173" s="3">
        <f>IF(RTD("tos.rtd",,CD$43,"."&amp;$B$134&amp;$AS$82&amp;"C"&amp;$A173)="N/A",0,RTD("tos.rtd",,CD$43,"."&amp;$B$134&amp;$AS$82&amp;"C"&amp;$A173))</f>
        <v>0.93</v>
      </c>
      <c r="CE173" s="3">
        <f>-IF(RTD("tos.rtd",,CE$43,"."&amp;$B$134&amp;$AS$82&amp;"P"&amp;$A173)="N/A",0,RTD("tos.rtd",,CE$43,"."&amp;$B$134&amp;$AS$82&amp;"P"&amp;$A173))</f>
        <v>0.08</v>
      </c>
      <c r="CF173" s="3">
        <f>IF(RTD("tos.rtd",,CF$2,"."&amp;$C$134&amp;$AU$82&amp;"C"&amp;$A173)="N/A",0,RTD("tos.rtd",,CF$2,"."&amp;$C$134&amp;$AU$82&amp;"C"&amp;$A173))</f>
        <v>1</v>
      </c>
      <c r="CG173" s="3">
        <f>-IF(RTD("tos.rtd",,CG$2,"."&amp;$C$134&amp;$AU$82&amp;"P"&amp;$A173)="N/A",0,RTD("tos.rtd",,CG$2,"."&amp;$C$134&amp;$AU$82&amp;"P"&amp;$A173))</f>
        <v>0.08</v>
      </c>
      <c r="CH173" s="3">
        <f>IF(RTD("tos.rtd",,CH$2,"."&amp;$D$134&amp;$AW$82&amp;"C"&amp;$A173)="N/A",0,RTD("tos.rtd",,CH$2,"."&amp;$D$134&amp;$AW$82&amp;"C"&amp;$A173))</f>
        <v>0.75</v>
      </c>
      <c r="CI173" s="3">
        <f>-IF(RTD("tos.rtd",,CI$2,"."&amp;$D$134&amp;$AW$82&amp;"P"&amp;$A173)="N/A",0,RTD("tos.rtd",,CI$2,"."&amp;$D$134&amp;$AW$82&amp;"P"&amp;$A173))</f>
        <v>0.26</v>
      </c>
      <c r="CK173" s="3">
        <f t="shared" si="651"/>
        <v>332</v>
      </c>
      <c r="CL173" s="3"/>
      <c r="CM173" s="3">
        <f t="shared" si="652"/>
        <v>9308</v>
      </c>
      <c r="CN173" s="3"/>
      <c r="CO173" s="3">
        <f t="shared" si="653"/>
        <v>204</v>
      </c>
      <c r="CP173" s="3">
        <f t="shared" si="542"/>
        <v>9844</v>
      </c>
      <c r="CQ173" s="3">
        <f t="shared" si="552"/>
        <v>0</v>
      </c>
      <c r="CR173" s="3"/>
      <c r="CS173" s="3">
        <f t="shared" si="553"/>
        <v>-656</v>
      </c>
      <c r="CT173" s="3"/>
      <c r="CU173" s="3">
        <f t="shared" si="554"/>
        <v>-3</v>
      </c>
      <c r="CV173" s="3"/>
      <c r="CW173" s="3" t="e">
        <f t="shared" ca="1" si="555"/>
        <v>#NUM!</v>
      </c>
      <c r="CY173" s="3" t="e">
        <f t="shared" ca="1" si="556"/>
        <v>#NUM!</v>
      </c>
      <c r="CZ173" s="70" t="e">
        <f t="shared" ca="1" si="589"/>
        <v>#NUM!</v>
      </c>
      <c r="DA173" s="3">
        <f>IF(RTD("tos.rtd",,DA$43,"."&amp;$B$134&amp;$AS$82&amp;"C"&amp;$A173)="N/A",0,RTD("tos.rtd",,DA$43,"."&amp;$B$134&amp;$AS$82&amp;"C"&amp;$A173))</f>
        <v>596.70000000000005</v>
      </c>
      <c r="DB173" s="3">
        <f>IF(RTD("tos.rtd",,DB$43,"."&amp;$B$134&amp;$AS$82&amp;"P"&amp;$A173)="N/A",0,RTD("tos.rtd",,DB$43,"."&amp;$B$134&amp;$AS$82&amp;"P"&amp;$A173))</f>
        <v>0.2</v>
      </c>
      <c r="DC173" s="3">
        <f>IF(RTD("tos.rtd",,DC$43,"."&amp;$B$134&amp;$AS$82&amp;"C"&amp;$A173)="N/A",0,RTD("tos.rtd",,DC$43,"."&amp;$B$134&amp;$AS$82&amp;"C"&amp;$A173))</f>
        <v>444</v>
      </c>
      <c r="DD173" s="3">
        <f>IF(RTD("tos.rtd",,DD$43,"."&amp;$B$134&amp;$AS$82&amp;"P"&amp;$A173)="N/A",0,RTD("tos.rtd",,DD$43,"."&amp;$B$134&amp;$AS$82&amp;"P"&amp;$A173))</f>
        <v>19.8</v>
      </c>
      <c r="DE173" s="3">
        <f>IF(RTD("tos.rtd",,DE$43,"."&amp;$B$134&amp;$AS$82&amp;"C"&amp;$A173)="N/A",0,RTD("tos.rtd",,DE$43,"."&amp;$B$134&amp;$AS$82&amp;"C"&amp;$A173))</f>
        <v>396</v>
      </c>
      <c r="DF173" s="3">
        <f>IF(RTD("tos.rtd",,DF$43,"."&amp;$B$134&amp;$AS$82&amp;"P"&amp;$A173)="N/A",0,RTD("tos.rtd",,DF$43,"."&amp;$B$134&amp;$AS$82&amp;"P"&amp;$A173))</f>
        <v>0</v>
      </c>
      <c r="DG173" s="86">
        <f t="shared" si="590"/>
        <v>-411.44900000000052</v>
      </c>
      <c r="DH173" s="3">
        <f t="shared" si="557"/>
        <v>-20.906250000000007</v>
      </c>
      <c r="DI173" s="3">
        <f t="shared" si="558"/>
        <v>3.5151515151515156</v>
      </c>
      <c r="DJ173" s="3">
        <f t="shared" si="559"/>
        <v>-5</v>
      </c>
      <c r="DK173" s="3">
        <f t="shared" si="560"/>
        <v>-348</v>
      </c>
      <c r="DL173" s="3">
        <f t="shared" si="561"/>
        <v>-17.391098484848492</v>
      </c>
      <c r="DM173" s="3">
        <f t="shared" si="562"/>
        <v>-353</v>
      </c>
      <c r="DN173" s="64" t="str">
        <f t="shared" si="563"/>
        <v>UNKNOWN</v>
      </c>
      <c r="DO173" s="64" t="str">
        <f t="shared" si="564"/>
        <v>UNKNOWN</v>
      </c>
      <c r="DP173" s="3">
        <f t="shared" si="565"/>
        <v>-12474.056344696975</v>
      </c>
      <c r="DQ173" s="3">
        <f t="shared" si="566"/>
        <v>-3053.1</v>
      </c>
      <c r="DR173" s="3" t="e">
        <f t="shared" ca="1" si="567"/>
        <v>#NUM!</v>
      </c>
      <c r="DS173" s="3">
        <f t="shared" si="568"/>
        <v>-32.49</v>
      </c>
      <c r="DT173" s="3">
        <f t="shared" si="591"/>
        <v>-5</v>
      </c>
      <c r="DU173" s="3">
        <f t="shared" si="592"/>
        <v>348</v>
      </c>
      <c r="DV173" s="3">
        <f t="shared" si="569"/>
        <v>-1</v>
      </c>
      <c r="DW173" s="3">
        <f t="shared" si="570"/>
        <v>-269</v>
      </c>
      <c r="DX173" s="3" t="e">
        <f t="shared" ca="1" si="654"/>
        <v>#NUM!</v>
      </c>
      <c r="DY173" s="3" t="e">
        <f t="shared" ca="1" si="655"/>
        <v>#NUM!</v>
      </c>
      <c r="DZ173" s="3" t="e">
        <f t="shared" ca="1" si="656"/>
        <v>#NUM!</v>
      </c>
      <c r="EA173" s="3" t="e">
        <f t="shared" ca="1" si="657"/>
        <v>#NUM!</v>
      </c>
      <c r="EB173" s="3" t="e">
        <f t="shared" ca="1" si="658"/>
        <v>#NUM!</v>
      </c>
      <c r="EC173" s="3" t="e">
        <f t="shared" ca="1" si="659"/>
        <v>#NUM!</v>
      </c>
      <c r="ED173" s="63">
        <f t="shared" si="593"/>
        <v>-270</v>
      </c>
      <c r="EE173" s="59">
        <f t="shared" si="577"/>
        <v>1.8529</v>
      </c>
      <c r="EF173" s="59">
        <f t="shared" si="578"/>
        <v>1.9201999999999999</v>
      </c>
      <c r="EG173" s="59">
        <f t="shared" si="579"/>
        <v>0.25</v>
      </c>
      <c r="EH173" s="59">
        <f t="shared" si="580"/>
        <v>1.9201999999999999</v>
      </c>
      <c r="EI173" s="59">
        <f t="shared" si="581"/>
        <v>0.28539999999999999</v>
      </c>
      <c r="EJ173" s="59">
        <f t="shared" si="582"/>
        <v>0.30230000000000001</v>
      </c>
      <c r="EK173" s="63" t="e">
        <f t="shared" ca="1" si="594"/>
        <v>#NUM!</v>
      </c>
      <c r="EL173" s="3" t="str">
        <f>RTD("tos.rtd",,EL$43,"."&amp;$B$134&amp;$AS$82&amp;"C"&amp;$A173)</f>
        <v>185.29%</v>
      </c>
      <c r="EM173" s="3" t="str">
        <f>RTD("tos.rtd",,EM$43,"."&amp;$B$134&amp;$AS$82&amp;"P"&amp;$A173)</f>
        <v>192.02%</v>
      </c>
      <c r="EN173" s="3" t="str">
        <f>RTD("tos.rtd",,EN$2,"."&amp;$C$134&amp;$AU$82&amp;"C"&amp;$A173)</f>
        <v>--</v>
      </c>
      <c r="EO173" s="3" t="str">
        <f>RTD("tos.rtd",,EO$2,"."&amp;$C$134&amp;$AU$82&amp;"P"&amp;$A173)</f>
        <v>192.02%</v>
      </c>
      <c r="EP173" s="3" t="str">
        <f>RTD("tos.rtd",,EP$2,"."&amp;$D$134&amp;$AW$82&amp;"C"&amp;$A173)</f>
        <v>28.54%</v>
      </c>
      <c r="EQ173" s="3" t="str">
        <f>RTD("tos.rtd",,EQ$2,"."&amp;$D$134&amp;$AW$82&amp;"P"&amp;$A173)</f>
        <v>30.23%</v>
      </c>
      <c r="ES173" s="63" t="str">
        <f t="shared" si="583"/>
        <v>19650,-270.00</v>
      </c>
      <c r="ET173" s="63" t="str">
        <f t="shared" ca="1" si="584"/>
        <v>19650,00.00</v>
      </c>
      <c r="EU173" s="68">
        <v>563.91</v>
      </c>
      <c r="EV173" s="68" t="s">
        <v>1403</v>
      </c>
      <c r="EW173" s="68">
        <v>486.72</v>
      </c>
      <c r="EX173" s="68" t="s">
        <v>1404</v>
      </c>
      <c r="EY173" s="68">
        <v>5631.28</v>
      </c>
      <c r="EZ173" s="68" t="s">
        <v>1405</v>
      </c>
      <c r="FA173" s="68">
        <v>19867.973000000002</v>
      </c>
      <c r="FB173" s="68" t="s">
        <v>1406</v>
      </c>
      <c r="FC173" s="68" t="s">
        <v>1407</v>
      </c>
      <c r="FD173" s="68" t="s">
        <v>1408</v>
      </c>
      <c r="FE173" s="68" t="s">
        <v>1409</v>
      </c>
      <c r="FF173" s="68" t="s">
        <v>1410</v>
      </c>
    </row>
    <row r="174" spans="1:162" ht="11.1" customHeight="1" thickBot="1" x14ac:dyDescent="0.25">
      <c r="A174" s="2">
        <f t="shared" si="595"/>
        <v>19625</v>
      </c>
      <c r="B174" s="3">
        <f t="shared" si="641"/>
        <v>2</v>
      </c>
      <c r="C174" s="3">
        <f t="shared" si="642"/>
        <v>8</v>
      </c>
      <c r="D174" s="3">
        <f t="shared" si="643"/>
        <v>36</v>
      </c>
      <c r="E174" s="3">
        <f t="shared" si="644"/>
        <v>46</v>
      </c>
      <c r="F174" s="4">
        <f t="shared" si="645"/>
        <v>20010.233620213574</v>
      </c>
      <c r="G174" s="5">
        <f t="shared" si="646"/>
        <v>484.994005168819</v>
      </c>
      <c r="AM174" s="1">
        <v>3</v>
      </c>
      <c r="AN174" s="1">
        <v>15</v>
      </c>
      <c r="AO174" s="1">
        <v>19625</v>
      </c>
      <c r="AP174" s="1">
        <v>5</v>
      </c>
      <c r="AQ174" s="1">
        <v>-53</v>
      </c>
      <c r="AS174" s="54">
        <f>IF(RTD("tos.rtd",,AS$83,"."&amp;$B$134&amp;$AS$82&amp;"C"&amp;$A174)="N/A",0,RTD("tos.rtd",,AS$83,"."&amp;$B$134&amp;$AS$82&amp;"C"&amp;$A174))</f>
        <v>0</v>
      </c>
      <c r="AT174" s="3">
        <f>-IF(RTD("tos.rtd",,AT$83,"."&amp;$B$134&amp;$AS$82&amp;"P"&amp;$A174)="N/A",0,RTD("tos.rtd",,AT$83,"."&amp;$B$134&amp;$AS$82&amp;"P"&amp;$A174))</f>
        <v>-2</v>
      </c>
      <c r="AU174" s="54">
        <f>IF(RTD("tos.rtd",,AU$2,"."&amp;$C$134&amp;$AU$134&amp;"C"&amp;$A174)="N/A",0,RTD("tos.rtd",,AU$2,"."&amp;$C$134&amp;$AU$134&amp;"C"&amp;$A174))</f>
        <v>4</v>
      </c>
      <c r="AV174" s="3">
        <f>-IF(RTD("tos.rtd",,AV$2,"."&amp;$C$134&amp;$AU$134&amp;"P"&amp;$A174)="N/A",0,RTD("tos.rtd",,AV$2,"."&amp;$C$134&amp;$AU$134&amp;"P"&amp;$A174))</f>
        <v>-4</v>
      </c>
      <c r="AW174" s="54">
        <f>IF(RTD("tos.rtd",,AW$2,"."&amp;$D$134&amp;$AW$134&amp;"C"&amp;$A174)="N/A",0,RTD("tos.rtd",,AW$2,"."&amp;$D$134&amp;$AW$134&amp;"C"&amp;$A174))</f>
        <v>28</v>
      </c>
      <c r="AX174" s="3">
        <f>-IF(RTD("tos.rtd",,AX$2,"."&amp;$D$134&amp;$AW$134&amp;"P"&amp;$A174)="N/A",0,RTD("tos.rtd",,AX$2,"."&amp;$D$134&amp;$AW$134&amp;"P"&amp;$A174))</f>
        <v>-8</v>
      </c>
      <c r="AY174" s="76">
        <f t="shared" si="647"/>
        <v>18</v>
      </c>
      <c r="AZ174" s="8">
        <f t="shared" si="548"/>
        <v>19625</v>
      </c>
      <c r="BA174" s="54">
        <f>IF(RTD("tos.rtd",,BA$43,"."&amp;$B$134&amp;$AS$82&amp;"C"&amp;$A174)="N/A",0,RTD("tos.rtd",,BA$43,"."&amp;$B$134&amp;$AS$82&amp;"C"&amp;$A174))</f>
        <v>0</v>
      </c>
      <c r="BB174" s="3">
        <f>-IF(RTD("tos.rtd",,BB$43,"."&amp;$B$134&amp;$AS$82&amp;"P"&amp;$A174)="N/A",0,RTD("tos.rtd",,BB$43,"."&amp;$B$134&amp;$AS$82&amp;"P"&amp;$A174))</f>
        <v>0</v>
      </c>
      <c r="BC174" s="54">
        <f>IF(RTD("tos.rtd",,BC$2,"."&amp;$C$134&amp;$AU$82&amp;"C"&amp;$A174)="N/A",0,RTD("tos.rtd",,BC$2,"."&amp;$C$134&amp;$AU$82&amp;"C"&amp;$A174))</f>
        <v>0</v>
      </c>
      <c r="BD174" s="3">
        <f>-IF(RTD("tos.rtd",,BD$2,"."&amp;$C$134&amp;$AU$82&amp;"P"&amp;$A174)="N/A",0,RTD("tos.rtd",,BD$2,"."&amp;$C$134&amp;$AU$82&amp;"P"&amp;$A174))</f>
        <v>-48</v>
      </c>
      <c r="BE174" s="54">
        <f>IF(RTD("tos.rtd",,BE$2,"."&amp;$D$134&amp;$AW$82&amp;"C"&amp;$A174)="N/A",0,RTD("tos.rtd",,BE$2,"."&amp;$D$134&amp;$AW$82&amp;"C"&amp;$A174))</f>
        <v>0</v>
      </c>
      <c r="BF174" s="3">
        <f>-IF(RTD("tos.rtd",,BF$2,"."&amp;$D$134&amp;$AW$82&amp;"P"&amp;$A174)="N/A",0,RTD("tos.rtd",,BF$2,"."&amp;$D$134&amp;$AW$82&amp;"P"&amp;$A174))</f>
        <v>-4</v>
      </c>
      <c r="BG174" s="3">
        <f ca="1">+Hoja2!Y175</f>
        <v>9</v>
      </c>
      <c r="BH174" s="7">
        <f t="shared" ca="1" si="549"/>
        <v>-43</v>
      </c>
      <c r="BI174" s="32" t="str">
        <f t="shared" ca="1" si="609"/>
        <v/>
      </c>
      <c r="BJ174" s="3" t="e">
        <f ca="1">IF($BP$1=1,DX174,IF(RTD("tos.rtd",,BJ$43,"."&amp;$B$134&amp;$AS$82&amp;"C"&amp;$A174)="N/A",0,RTD("tos.rtd",,BJ$43,"."&amp;$B$134&amp;$AS$82&amp;"C"&amp;$A174)))</f>
        <v>#NUM!</v>
      </c>
      <c r="BK174" s="3" t="e">
        <f ca="1">IF($BP$1=1,DY174,-IF(RTD("tos.rtd",,BK$43,"."&amp;$B$134&amp;$AS$82&amp;"P"&amp;$A174)="N/A",0,RTD("tos.rtd",,BK$43,"."&amp;$B$134&amp;$AS$82&amp;"P"&amp;$A174)))</f>
        <v>#NUM!</v>
      </c>
      <c r="BL174" s="3" t="e">
        <f ca="1">IF($BP$1=1,DZ174,IF(RTD("tos.rtd",,BL$2,"."&amp;$C$134&amp;$AU$82&amp;"C"&amp;$A174)="N/A",0,RTD("tos.rtd",,BL$2,"."&amp;$C$134&amp;$AU$82&amp;"C"&amp;$A174)))</f>
        <v>#NUM!</v>
      </c>
      <c r="BM174" s="3" t="e">
        <f ca="1">IF($BP$1=1,EA174,-IF(RTD("tos.rtd",,BM$2,"."&amp;$C$134&amp;$AU$82&amp;"P"&amp;$A174)="N/A",0,RTD("tos.rtd",,BM$2,"."&amp;$C$134&amp;$AU$82&amp;"P"&amp;$A174)))</f>
        <v>#NUM!</v>
      </c>
      <c r="BN174" s="3" t="e">
        <f ca="1">IF($BP$1=1,EB174,IF(RTD("tos.rtd",,BN$2,"."&amp;$D$134&amp;$AW$82&amp;"C"&amp;$A174)="N/A",0,RTD("tos.rtd",,BN$2,"."&amp;$D$134&amp;$AW$82&amp;"C"&amp;$A174)))</f>
        <v>#NUM!</v>
      </c>
      <c r="BO174" s="3" t="e">
        <f ca="1">IF($BP$1=1,EC174,-IF(RTD("tos.rtd",,BO$2,"."&amp;$D$134&amp;$AW$82&amp;"P"&amp;$A174)="N/A",0,RTD("tos.rtd",,BO$2,"."&amp;$D$134&amp;$AW$82&amp;"P"&amp;$A174)))</f>
        <v>#NUM!</v>
      </c>
      <c r="BQ174" s="3" t="e">
        <f t="shared" ca="1" si="648"/>
        <v>#NUM!</v>
      </c>
      <c r="BR174" s="3" t="e">
        <f t="shared" ca="1" si="550"/>
        <v>#NUM!</v>
      </c>
      <c r="BS174" s="3" t="e">
        <f t="shared" ca="1" si="649"/>
        <v>#NUM!</v>
      </c>
      <c r="BT174" s="3" t="e">
        <f t="shared" ca="1" si="551"/>
        <v>#NUM!</v>
      </c>
      <c r="BU174" s="3" t="e">
        <f t="shared" ca="1" si="650"/>
        <v>#NUM!</v>
      </c>
      <c r="BV174" s="3" t="e">
        <f t="shared" ca="1" si="551"/>
        <v>#NUM!</v>
      </c>
      <c r="BX174" s="3" t="e">
        <f t="shared" ca="1" si="585"/>
        <v>#NUM!</v>
      </c>
      <c r="BY174" s="3" t="e">
        <f t="shared" ca="1" si="586"/>
        <v>#NUM!</v>
      </c>
      <c r="BZ174" s="3" t="e">
        <f t="shared" ca="1" si="587"/>
        <v>#NUM!</v>
      </c>
      <c r="CA174" s="3" t="e">
        <f t="shared" ca="1" si="586"/>
        <v>#NUM!</v>
      </c>
      <c r="CB174" s="3" t="e">
        <f t="shared" ca="1" si="588"/>
        <v>#NUM!</v>
      </c>
      <c r="CC174" s="3" t="e">
        <f t="shared" ca="1" si="586"/>
        <v>#NUM!</v>
      </c>
      <c r="CD174" s="3">
        <f>IF(RTD("tos.rtd",,CD$43,"."&amp;$B$134&amp;$AS$82&amp;"C"&amp;$A174)="N/A",0,RTD("tos.rtd",,CD$43,"."&amp;$B$134&amp;$AS$82&amp;"C"&amp;$A174))</f>
        <v>0.93</v>
      </c>
      <c r="CE174" s="3">
        <f>-IF(RTD("tos.rtd",,CE$43,"."&amp;$B$134&amp;$AS$82&amp;"P"&amp;$A174)="N/A",0,RTD("tos.rtd",,CE$43,"."&amp;$B$134&amp;$AS$82&amp;"P"&amp;$A174))</f>
        <v>7.0000000000000007E-2</v>
      </c>
      <c r="CF174" s="3">
        <f>IF(RTD("tos.rtd",,CF$2,"."&amp;$C$134&amp;$AU$82&amp;"C"&amp;$A174)="N/A",0,RTD("tos.rtd",,CF$2,"."&amp;$C$134&amp;$AU$82&amp;"C"&amp;$A174))</f>
        <v>1</v>
      </c>
      <c r="CG174" s="3">
        <f>-IF(RTD("tos.rtd",,CG$2,"."&amp;$C$134&amp;$AU$82&amp;"P"&amp;$A174)="N/A",0,RTD("tos.rtd",,CG$2,"."&amp;$C$134&amp;$AU$82&amp;"P"&amp;$A174))</f>
        <v>7.0000000000000007E-2</v>
      </c>
      <c r="CH174" s="3">
        <f>IF(RTD("tos.rtd",,CH$2,"."&amp;$D$134&amp;$AW$82&amp;"C"&amp;$A174)="N/A",0,RTD("tos.rtd",,CH$2,"."&amp;$D$134&amp;$AW$82&amp;"C"&amp;$A174))</f>
        <v>0.77</v>
      </c>
      <c r="CI174" s="3">
        <f>-IF(RTD("tos.rtd",,CI$2,"."&amp;$D$134&amp;$AW$82&amp;"P"&amp;$A174)="N/A",0,RTD("tos.rtd",,CI$2,"."&amp;$D$134&amp;$AW$82&amp;"P"&amp;$A174))</f>
        <v>0.25</v>
      </c>
      <c r="CK174" s="3">
        <f t="shared" si="651"/>
        <v>-14.000000000000002</v>
      </c>
      <c r="CL174" s="3"/>
      <c r="CM174" s="3">
        <f t="shared" si="652"/>
        <v>372</v>
      </c>
      <c r="CN174" s="3"/>
      <c r="CO174" s="3">
        <f t="shared" si="653"/>
        <v>1956</v>
      </c>
      <c r="CP174" s="3">
        <f t="shared" si="542"/>
        <v>2314</v>
      </c>
      <c r="CQ174" s="3">
        <f t="shared" si="552"/>
        <v>0</v>
      </c>
      <c r="CR174" s="3"/>
      <c r="CS174" s="3">
        <f t="shared" si="553"/>
        <v>-48</v>
      </c>
      <c r="CT174" s="3"/>
      <c r="CU174" s="3">
        <f t="shared" si="554"/>
        <v>-4</v>
      </c>
      <c r="CV174" s="3"/>
      <c r="CW174" s="3" t="e">
        <f t="shared" ca="1" si="555"/>
        <v>#NUM!</v>
      </c>
      <c r="CY174" s="3" t="e">
        <f t="shared" ca="1" si="556"/>
        <v>#NUM!</v>
      </c>
      <c r="CZ174" s="70" t="e">
        <f t="shared" ca="1" si="589"/>
        <v>#NUM!</v>
      </c>
      <c r="DA174" s="3">
        <f>IF(RTD("tos.rtd",,DA$43,"."&amp;$B$134&amp;$AS$82&amp;"C"&amp;$A174)="N/A",0,RTD("tos.rtd",,DA$43,"."&amp;$B$134&amp;$AS$82&amp;"C"&amp;$A174))</f>
        <v>373.9</v>
      </c>
      <c r="DB174" s="3">
        <f>IF(RTD("tos.rtd",,DB$43,"."&amp;$B$134&amp;$AS$82&amp;"P"&amp;$A174)="N/A",0,RTD("tos.rtd",,DB$43,"."&amp;$B$134&amp;$AS$82&amp;"P"&amp;$A174))</f>
        <v>0.18</v>
      </c>
      <c r="DC174" s="3">
        <f>IF(RTD("tos.rtd",,DC$43,"."&amp;$B$134&amp;$AS$82&amp;"C"&amp;$A174)="N/A",0,RTD("tos.rtd",,DC$43,"."&amp;$B$134&amp;$AS$82&amp;"C"&amp;$A174))</f>
        <v>484</v>
      </c>
      <c r="DD174" s="3">
        <f>IF(RTD("tos.rtd",,DD$43,"."&amp;$B$134&amp;$AS$82&amp;"P"&amp;$A174)="N/A",0,RTD("tos.rtd",,DD$43,"."&amp;$B$134&amp;$AS$82&amp;"P"&amp;$A174))</f>
        <v>19.8</v>
      </c>
      <c r="DE174" s="3">
        <f>IF(RTD("tos.rtd",,DE$43,"."&amp;$B$134&amp;$AS$82&amp;"C"&amp;$A174)="N/A",0,RTD("tos.rtd",,DE$43,"."&amp;$B$134&amp;$AS$82&amp;"C"&amp;$A174))</f>
        <v>408.4</v>
      </c>
      <c r="DF174" s="3">
        <f>IF(RTD("tos.rtd",,DF$43,"."&amp;$B$134&amp;$AS$82&amp;"P"&amp;$A174)="N/A",0,RTD("tos.rtd",,DF$43,"."&amp;$B$134&amp;$AS$82&amp;"P"&amp;$A174))</f>
        <v>0</v>
      </c>
      <c r="DG174" s="86">
        <f t="shared" si="590"/>
        <v>-436.44900000000052</v>
      </c>
      <c r="DH174" s="3">
        <f t="shared" si="557"/>
        <v>2.2817460317460312</v>
      </c>
      <c r="DI174" s="3">
        <f t="shared" si="558"/>
        <v>0.48181818181818181</v>
      </c>
      <c r="DJ174" s="3">
        <f t="shared" si="559"/>
        <v>5</v>
      </c>
      <c r="DK174" s="3">
        <f t="shared" si="560"/>
        <v>-53</v>
      </c>
      <c r="DL174" s="3">
        <f t="shared" si="561"/>
        <v>2.7635642135642131</v>
      </c>
      <c r="DM174" s="3">
        <f t="shared" si="562"/>
        <v>-48</v>
      </c>
      <c r="DN174" s="64" t="str">
        <f t="shared" si="563"/>
        <v>UNKNOWN</v>
      </c>
      <c r="DO174" s="64" t="str">
        <f t="shared" si="564"/>
        <v>UNKNOWN</v>
      </c>
      <c r="DP174" s="3">
        <f t="shared" si="565"/>
        <v>853.2315685425682</v>
      </c>
      <c r="DQ174" s="3">
        <f t="shared" si="566"/>
        <v>1859.96</v>
      </c>
      <c r="DR174" s="3" t="e">
        <f t="shared" ca="1" si="567"/>
        <v>#NUM!</v>
      </c>
      <c r="DS174" s="3">
        <f t="shared" si="568"/>
        <v>0.94</v>
      </c>
      <c r="DT174" s="3">
        <f t="shared" si="591"/>
        <v>-5</v>
      </c>
      <c r="DU174" s="3">
        <f t="shared" si="592"/>
        <v>53</v>
      </c>
      <c r="DV174" s="3">
        <f t="shared" si="569"/>
        <v>3</v>
      </c>
      <c r="DW174" s="3">
        <f t="shared" si="570"/>
        <v>15</v>
      </c>
      <c r="DX174" s="3" t="e">
        <f t="shared" ca="1" si="654"/>
        <v>#NUM!</v>
      </c>
      <c r="DY174" s="3" t="e">
        <f t="shared" ca="1" si="655"/>
        <v>#NUM!</v>
      </c>
      <c r="DZ174" s="3" t="e">
        <f t="shared" ca="1" si="656"/>
        <v>#NUM!</v>
      </c>
      <c r="EA174" s="3" t="e">
        <f t="shared" ca="1" si="657"/>
        <v>#NUM!</v>
      </c>
      <c r="EB174" s="3" t="e">
        <f t="shared" ca="1" si="658"/>
        <v>#NUM!</v>
      </c>
      <c r="EC174" s="3" t="e">
        <f t="shared" ca="1" si="659"/>
        <v>#NUM!</v>
      </c>
      <c r="ED174" s="63">
        <f t="shared" si="593"/>
        <v>18</v>
      </c>
      <c r="EE174" s="59">
        <f t="shared" si="577"/>
        <v>2.0003000000000002</v>
      </c>
      <c r="EF174" s="59">
        <f t="shared" si="578"/>
        <v>2.0099</v>
      </c>
      <c r="EG174" s="59">
        <f t="shared" si="579"/>
        <v>0.25</v>
      </c>
      <c r="EH174" s="59">
        <f t="shared" si="580"/>
        <v>2.0099</v>
      </c>
      <c r="EI174" s="59">
        <f t="shared" si="581"/>
        <v>0.2853</v>
      </c>
      <c r="EJ174" s="59">
        <f t="shared" si="582"/>
        <v>0.30309999999999998</v>
      </c>
      <c r="EK174" s="63" t="e">
        <f t="shared" ca="1" si="594"/>
        <v>#NUM!</v>
      </c>
      <c r="EL174" s="3" t="str">
        <f>RTD("tos.rtd",,EL$43,"."&amp;$B$134&amp;$AS$82&amp;"C"&amp;$A174)</f>
        <v>200.03%</v>
      </c>
      <c r="EM174" s="3" t="str">
        <f>RTD("tos.rtd",,EM$43,"."&amp;$B$134&amp;$AS$82&amp;"P"&amp;$A174)</f>
        <v>200.99%</v>
      </c>
      <c r="EN174" s="3" t="str">
        <f>RTD("tos.rtd",,EN$2,"."&amp;$C$134&amp;$AU$82&amp;"C"&amp;$A174)</f>
        <v>--</v>
      </c>
      <c r="EO174" s="3" t="str">
        <f>RTD("tos.rtd",,EO$2,"."&amp;$C$134&amp;$AU$82&amp;"P"&amp;$A174)</f>
        <v>200.99%</v>
      </c>
      <c r="EP174" s="3" t="str">
        <f>RTD("tos.rtd",,EP$2,"."&amp;$D$134&amp;$AW$82&amp;"C"&amp;$A174)</f>
        <v>28.53%</v>
      </c>
      <c r="EQ174" s="3" t="str">
        <f>RTD("tos.rtd",,EQ$2,"."&amp;$D$134&amp;$AW$82&amp;"P"&amp;$A174)</f>
        <v>30.31%</v>
      </c>
      <c r="ES174" s="63" t="str">
        <f t="shared" si="583"/>
        <v>19625,18.00</v>
      </c>
      <c r="ET174" s="63" t="str">
        <f t="shared" ca="1" si="584"/>
        <v>19625,00.00</v>
      </c>
      <c r="EU174" s="68">
        <v>563.88</v>
      </c>
      <c r="EV174" s="68" t="s">
        <v>1411</v>
      </c>
      <c r="EW174" s="68">
        <v>486.55</v>
      </c>
      <c r="EX174" s="68" t="s">
        <v>1412</v>
      </c>
      <c r="EY174" s="68">
        <v>5631.28</v>
      </c>
      <c r="EZ174" s="68" t="s">
        <v>1413</v>
      </c>
      <c r="FA174" s="68">
        <v>19867.973000000002</v>
      </c>
      <c r="FB174" s="68" t="s">
        <v>1414</v>
      </c>
      <c r="FC174" s="68" t="s">
        <v>1415</v>
      </c>
      <c r="FD174" s="68" t="s">
        <v>1416</v>
      </c>
      <c r="FE174" s="68" t="s">
        <v>1417</v>
      </c>
      <c r="FF174" s="68" t="s">
        <v>1418</v>
      </c>
    </row>
    <row r="175" spans="1:162" ht="11.1" customHeight="1" thickBot="1" x14ac:dyDescent="0.25">
      <c r="A175" s="2">
        <f t="shared" si="595"/>
        <v>19600</v>
      </c>
      <c r="B175" s="3">
        <f t="shared" si="641"/>
        <v>97</v>
      </c>
      <c r="C175" s="3">
        <f t="shared" si="642"/>
        <v>33</v>
      </c>
      <c r="D175" s="3">
        <f t="shared" si="643"/>
        <v>113</v>
      </c>
      <c r="E175" s="3">
        <f t="shared" si="644"/>
        <v>243</v>
      </c>
      <c r="F175" s="4">
        <f t="shared" si="645"/>
        <v>19984.742876748336</v>
      </c>
      <c r="G175" s="5">
        <f t="shared" si="646"/>
        <v>484.37617841064218</v>
      </c>
      <c r="AM175" s="1">
        <v>-2</v>
      </c>
      <c r="AN175" s="1">
        <v>-161</v>
      </c>
      <c r="AO175" s="1">
        <v>19600</v>
      </c>
      <c r="AP175" s="1">
        <v>4</v>
      </c>
      <c r="AQ175" s="1">
        <v>-695</v>
      </c>
      <c r="AS175" s="54">
        <f>IF(RTD("tos.rtd",,AS$83,"."&amp;$B$134&amp;$AS$82&amp;"C"&amp;$A175)="N/A",0,RTD("tos.rtd",,AS$83,"."&amp;$B$134&amp;$AS$82&amp;"C"&amp;$A175))</f>
        <v>12</v>
      </c>
      <c r="AT175" s="3">
        <f>-IF(RTD("tos.rtd",,AT$83,"."&amp;$B$134&amp;$AS$82&amp;"P"&amp;$A175)="N/A",0,RTD("tos.rtd",,AT$83,"."&amp;$B$134&amp;$AS$82&amp;"P"&amp;$A175))</f>
        <v>-85</v>
      </c>
      <c r="AU175" s="54">
        <f>IF(RTD("tos.rtd",,AU$2,"."&amp;$C$134&amp;$AU$134&amp;"C"&amp;$A175)="N/A",0,RTD("tos.rtd",,AU$2,"."&amp;$C$134&amp;$AU$134&amp;"C"&amp;$A175))</f>
        <v>11</v>
      </c>
      <c r="AV175" s="3">
        <f>-IF(RTD("tos.rtd",,AV$2,"."&amp;$C$134&amp;$AU$134&amp;"P"&amp;$A175)="N/A",0,RTD("tos.rtd",,AV$2,"."&amp;$C$134&amp;$AU$134&amp;"P"&amp;$A175))</f>
        <v>-22</v>
      </c>
      <c r="AW175" s="54">
        <f>IF(RTD("tos.rtd",,AW$2,"."&amp;$D$134&amp;$AW$134&amp;"C"&amp;$A175)="N/A",0,RTD("tos.rtd",,AW$2,"."&amp;$D$134&amp;$AW$134&amp;"C"&amp;$A175))</f>
        <v>58</v>
      </c>
      <c r="AX175" s="3">
        <f>-IF(RTD("tos.rtd",,AX$2,"."&amp;$D$134&amp;$AW$134&amp;"P"&amp;$A175)="N/A",0,RTD("tos.rtd",,AX$2,"."&amp;$D$134&amp;$AW$134&amp;"P"&amp;$A175))</f>
        <v>-55</v>
      </c>
      <c r="AY175" s="76">
        <f t="shared" si="647"/>
        <v>-81</v>
      </c>
      <c r="AZ175" s="8">
        <f t="shared" si="548"/>
        <v>19600</v>
      </c>
      <c r="BA175" s="54">
        <f>IF(RTD("tos.rtd",,BA$43,"."&amp;$B$134&amp;$AS$82&amp;"C"&amp;$A175)="N/A",0,RTD("tos.rtd",,BA$43,"."&amp;$B$134&amp;$AS$82&amp;"C"&amp;$A175))</f>
        <v>0</v>
      </c>
      <c r="BB175" s="3">
        <f>-IF(RTD("tos.rtd",,BB$43,"."&amp;$B$134&amp;$AS$82&amp;"P"&amp;$A175)="N/A",0,RTD("tos.rtd",,BB$43,"."&amp;$B$134&amp;$AS$82&amp;"P"&amp;$A175))</f>
        <v>0</v>
      </c>
      <c r="BC175" s="54">
        <f>IF(RTD("tos.rtd",,BC$2,"."&amp;$C$134&amp;$AU$82&amp;"C"&amp;$A175)="N/A",0,RTD("tos.rtd",,BC$2,"."&amp;$C$134&amp;$AU$82&amp;"C"&amp;$A175))</f>
        <v>1</v>
      </c>
      <c r="BD175" s="3">
        <f>-IF(RTD("tos.rtd",,BD$2,"."&amp;$C$134&amp;$AU$82&amp;"P"&amp;$A175)="N/A",0,RTD("tos.rtd",,BD$2,"."&amp;$C$134&amp;$AU$82&amp;"P"&amp;$A175))</f>
        <v>-562</v>
      </c>
      <c r="BE175" s="54">
        <f>IF(RTD("tos.rtd",,BE$2,"."&amp;$D$134&amp;$AW$82&amp;"C"&amp;$A175)="N/A",0,RTD("tos.rtd",,BE$2,"."&amp;$D$134&amp;$AW$82&amp;"C"&amp;$A175))</f>
        <v>0</v>
      </c>
      <c r="BF175" s="3">
        <f>-IF(RTD("tos.rtd",,BF$2,"."&amp;$D$134&amp;$AW$82&amp;"P"&amp;$A175)="N/A",0,RTD("tos.rtd",,BF$2,"."&amp;$D$134&amp;$AW$82&amp;"P"&amp;$A175))</f>
        <v>-26</v>
      </c>
      <c r="BG175" s="3">
        <f ca="1">+Hoja2!Y176</f>
        <v>-7</v>
      </c>
      <c r="BH175" s="7">
        <f t="shared" ca="1" si="549"/>
        <v>-594</v>
      </c>
      <c r="BI175" s="32" t="str">
        <f t="shared" ca="1" si="609"/>
        <v/>
      </c>
      <c r="BJ175" s="3" t="e">
        <f ca="1">IF($BP$1=1,DX175,IF(RTD("tos.rtd",,BJ$43,"."&amp;$B$134&amp;$AS$82&amp;"C"&amp;$A175)="N/A",0,RTD("tos.rtd",,BJ$43,"."&amp;$B$134&amp;$AS$82&amp;"C"&amp;$A175)))</f>
        <v>#NUM!</v>
      </c>
      <c r="BK175" s="3" t="e">
        <f ca="1">IF($BP$1=1,DY175,-IF(RTD("tos.rtd",,BK$43,"."&amp;$B$134&amp;$AS$82&amp;"P"&amp;$A175)="N/A",0,RTD("tos.rtd",,BK$43,"."&amp;$B$134&amp;$AS$82&amp;"P"&amp;$A175)))</f>
        <v>#NUM!</v>
      </c>
      <c r="BL175" s="3" t="e">
        <f ca="1">IF($BP$1=1,DZ175,IF(RTD("tos.rtd",,BL$2,"."&amp;$C$134&amp;$AU$82&amp;"C"&amp;$A175)="N/A",0,RTD("tos.rtd",,BL$2,"."&amp;$C$134&amp;$AU$82&amp;"C"&amp;$A175)))</f>
        <v>#NUM!</v>
      </c>
      <c r="BM175" s="3" t="e">
        <f ca="1">IF($BP$1=1,EA175,-IF(RTD("tos.rtd",,BM$2,"."&amp;$C$134&amp;$AU$82&amp;"P"&amp;$A175)="N/A",0,RTD("tos.rtd",,BM$2,"."&amp;$C$134&amp;$AU$82&amp;"P"&amp;$A175)))</f>
        <v>#NUM!</v>
      </c>
      <c r="BN175" s="3" t="e">
        <f ca="1">IF($BP$1=1,EB175,IF(RTD("tos.rtd",,BN$2,"."&amp;$D$134&amp;$AW$82&amp;"C"&amp;$A175)="N/A",0,RTD("tos.rtd",,BN$2,"."&amp;$D$134&amp;$AW$82&amp;"C"&amp;$A175)))</f>
        <v>#NUM!</v>
      </c>
      <c r="BO175" s="3" t="e">
        <f ca="1">IF($BP$1=1,EC175,-IF(RTD("tos.rtd",,BO$2,"."&amp;$D$134&amp;$AW$82&amp;"P"&amp;$A175)="N/A",0,RTD("tos.rtd",,BO$2,"."&amp;$D$134&amp;$AW$82&amp;"P"&amp;$A175)))</f>
        <v>#NUM!</v>
      </c>
      <c r="BQ175" s="3" t="e">
        <f t="shared" ca="1" si="648"/>
        <v>#NUM!</v>
      </c>
      <c r="BR175" s="3" t="e">
        <f t="shared" ca="1" si="550"/>
        <v>#NUM!</v>
      </c>
      <c r="BS175" s="3" t="e">
        <f t="shared" ca="1" si="649"/>
        <v>#NUM!</v>
      </c>
      <c r="BT175" s="3" t="e">
        <f t="shared" ca="1" si="551"/>
        <v>#NUM!</v>
      </c>
      <c r="BU175" s="3" t="e">
        <f t="shared" ca="1" si="650"/>
        <v>#NUM!</v>
      </c>
      <c r="BV175" s="3" t="e">
        <f t="shared" ca="1" si="551"/>
        <v>#NUM!</v>
      </c>
      <c r="BX175" s="3" t="e">
        <f t="shared" ca="1" si="585"/>
        <v>#NUM!</v>
      </c>
      <c r="BY175" s="3" t="e">
        <f t="shared" ca="1" si="586"/>
        <v>#NUM!</v>
      </c>
      <c r="BZ175" s="3" t="e">
        <f t="shared" ca="1" si="587"/>
        <v>#NUM!</v>
      </c>
      <c r="CA175" s="3" t="e">
        <f t="shared" ca="1" si="586"/>
        <v>#NUM!</v>
      </c>
      <c r="CB175" s="3" t="e">
        <f t="shared" ca="1" si="588"/>
        <v>#NUM!</v>
      </c>
      <c r="CC175" s="3" t="e">
        <f t="shared" ca="1" si="586"/>
        <v>#NUM!</v>
      </c>
      <c r="CD175" s="3">
        <f>IF(RTD("tos.rtd",,CD$43,"."&amp;$B$134&amp;$AS$82&amp;"C"&amp;$A175)="N/A",0,RTD("tos.rtd",,CD$43,"."&amp;$B$134&amp;$AS$82&amp;"C"&amp;$A175))</f>
        <v>0.96</v>
      </c>
      <c r="CE175" s="3">
        <f>-IF(RTD("tos.rtd",,CE$43,"."&amp;$B$134&amp;$AS$82&amp;"P"&amp;$A175)="N/A",0,RTD("tos.rtd",,CE$43,"."&amp;$B$134&amp;$AS$82&amp;"P"&amp;$A175))</f>
        <v>7.0000000000000007E-2</v>
      </c>
      <c r="CF175" s="3">
        <f>IF(RTD("tos.rtd",,CF$2,"."&amp;$C$134&amp;$AU$82&amp;"C"&amp;$A175)="N/A",0,RTD("tos.rtd",,CF$2,"."&amp;$C$134&amp;$AU$82&amp;"C"&amp;$A175))</f>
        <v>0.97</v>
      </c>
      <c r="CG175" s="3">
        <f>-IF(RTD("tos.rtd",,CG$2,"."&amp;$C$134&amp;$AU$82&amp;"P"&amp;$A175)="N/A",0,RTD("tos.rtd",,CG$2,"."&amp;$C$134&amp;$AU$82&amp;"P"&amp;$A175))</f>
        <v>0</v>
      </c>
      <c r="CH175" s="3">
        <f>IF(RTD("tos.rtd",,CH$2,"."&amp;$D$134&amp;$AW$82&amp;"C"&amp;$A175)="N/A",0,RTD("tos.rtd",,CH$2,"."&amp;$D$134&amp;$AW$82&amp;"C"&amp;$A175))</f>
        <v>0.78</v>
      </c>
      <c r="CI175" s="3">
        <f>-IF(RTD("tos.rtd",,CI$2,"."&amp;$D$134&amp;$AW$82&amp;"P"&amp;$A175)="N/A",0,RTD("tos.rtd",,CI$2,"."&amp;$D$134&amp;$AW$82&amp;"P"&amp;$A175))</f>
        <v>0.24</v>
      </c>
      <c r="CK175" s="3">
        <f t="shared" si="651"/>
        <v>557</v>
      </c>
      <c r="CL175" s="3"/>
      <c r="CM175" s="3">
        <f t="shared" si="652"/>
        <v>1067</v>
      </c>
      <c r="CN175" s="3"/>
      <c r="CO175" s="3">
        <f t="shared" si="653"/>
        <v>3204</v>
      </c>
      <c r="CP175" s="3">
        <f t="shared" si="542"/>
        <v>4828</v>
      </c>
      <c r="CQ175" s="3">
        <f t="shared" si="552"/>
        <v>0</v>
      </c>
      <c r="CR175" s="3"/>
      <c r="CS175" s="3">
        <f t="shared" si="553"/>
        <v>-561</v>
      </c>
      <c r="CT175" s="3"/>
      <c r="CU175" s="3">
        <f t="shared" si="554"/>
        <v>-26</v>
      </c>
      <c r="CV175" s="3"/>
      <c r="CW175" s="3" t="e">
        <f t="shared" ca="1" si="555"/>
        <v>#NUM!</v>
      </c>
      <c r="CY175" s="3" t="e">
        <f t="shared" ca="1" si="556"/>
        <v>#NUM!</v>
      </c>
      <c r="CZ175" s="70" t="e">
        <f t="shared" ca="1" si="589"/>
        <v>#NUM!</v>
      </c>
      <c r="DA175" s="3">
        <f>IF(RTD("tos.rtd",,DA$43,"."&amp;$B$134&amp;$AS$82&amp;"C"&amp;$A175)="N/A",0,RTD("tos.rtd",,DA$43,"."&amp;$B$134&amp;$AS$82&amp;"C"&amp;$A175))</f>
        <v>595.63</v>
      </c>
      <c r="DB175" s="3">
        <f>IF(RTD("tos.rtd",,DB$43,"."&amp;$B$134&amp;$AS$82&amp;"P"&amp;$A175)="N/A",0,RTD("tos.rtd",,DB$43,"."&amp;$B$134&amp;$AS$82&amp;"P"&amp;$A175))</f>
        <v>0.15</v>
      </c>
      <c r="DC175" s="3">
        <f>IF(RTD("tos.rtd",,DC$43,"."&amp;$B$134&amp;$AS$82&amp;"C"&amp;$A175)="N/A",0,RTD("tos.rtd",,DC$43,"."&amp;$B$134&amp;$AS$82&amp;"C"&amp;$A175))</f>
        <v>501.1</v>
      </c>
      <c r="DD175" s="3">
        <f>IF(RTD("tos.rtd",,DD$43,"."&amp;$B$134&amp;$AS$82&amp;"P"&amp;$A175)="N/A",0,RTD("tos.rtd",,DD$43,"."&amp;$B$134&amp;$AS$82&amp;"P"&amp;$A175))</f>
        <v>19.8</v>
      </c>
      <c r="DE175" s="3">
        <f>IF(RTD("tos.rtd",,DE$43,"."&amp;$B$134&amp;$AS$82&amp;"C"&amp;$A175)="N/A",0,RTD("tos.rtd",,DE$43,"."&amp;$B$134&amp;$AS$82&amp;"C"&amp;$A175))</f>
        <v>430</v>
      </c>
      <c r="DF175" s="3">
        <f>IF(RTD("tos.rtd",,DF$43,"."&amp;$B$134&amp;$AS$82&amp;"P"&amp;$A175)="N/A",0,RTD("tos.rtd",,DF$43,"."&amp;$B$134&amp;$AS$82&amp;"P"&amp;$A175))</f>
        <v>0</v>
      </c>
      <c r="DG175" s="86">
        <f t="shared" si="590"/>
        <v>-461.44900000000052</v>
      </c>
      <c r="DH175" s="3">
        <f t="shared" si="557"/>
        <v>-9.3181434599156088</v>
      </c>
      <c r="DI175" s="3">
        <f t="shared" si="558"/>
        <v>5.2651515151515147</v>
      </c>
      <c r="DJ175" s="3">
        <f t="shared" si="559"/>
        <v>-4</v>
      </c>
      <c r="DK175" s="3">
        <f t="shared" si="560"/>
        <v>-695</v>
      </c>
      <c r="DL175" s="3">
        <f t="shared" si="561"/>
        <v>-4.0529919447640941</v>
      </c>
      <c r="DM175" s="3">
        <f t="shared" si="562"/>
        <v>-699</v>
      </c>
      <c r="DN175" s="64" t="str">
        <f t="shared" si="563"/>
        <v>UNKNOWN</v>
      </c>
      <c r="DO175" s="64" t="str">
        <f t="shared" si="564"/>
        <v>UNKNOWN</v>
      </c>
      <c r="DP175" s="3">
        <f t="shared" si="565"/>
        <v>-5549.3760163022607</v>
      </c>
      <c r="DQ175" s="3">
        <f t="shared" si="566"/>
        <v>-2486.77</v>
      </c>
      <c r="DR175" s="3" t="e">
        <f t="shared" ca="1" si="567"/>
        <v>#NUM!</v>
      </c>
      <c r="DS175" s="3">
        <f t="shared" si="568"/>
        <v>-52.490000000000009</v>
      </c>
      <c r="DT175" s="3">
        <f t="shared" si="591"/>
        <v>-4</v>
      </c>
      <c r="DU175" s="3">
        <f t="shared" si="592"/>
        <v>695</v>
      </c>
      <c r="DV175" s="3">
        <f t="shared" si="569"/>
        <v>-2</v>
      </c>
      <c r="DW175" s="3">
        <f t="shared" si="570"/>
        <v>-161</v>
      </c>
      <c r="DX175" s="3" t="e">
        <f t="shared" ca="1" si="654"/>
        <v>#NUM!</v>
      </c>
      <c r="DY175" s="3" t="e">
        <f t="shared" ca="1" si="655"/>
        <v>#NUM!</v>
      </c>
      <c r="DZ175" s="3" t="e">
        <f t="shared" ca="1" si="656"/>
        <v>#NUM!</v>
      </c>
      <c r="EA175" s="3" t="e">
        <f t="shared" ca="1" si="657"/>
        <v>#NUM!</v>
      </c>
      <c r="EB175" s="3" t="e">
        <f t="shared" ca="1" si="658"/>
        <v>#NUM!</v>
      </c>
      <c r="EC175" s="3" t="e">
        <f t="shared" ca="1" si="659"/>
        <v>#NUM!</v>
      </c>
      <c r="ED175" s="63">
        <f t="shared" si="593"/>
        <v>-163</v>
      </c>
      <c r="EE175" s="59">
        <f t="shared" si="577"/>
        <v>1.744</v>
      </c>
      <c r="EF175" s="59">
        <f t="shared" si="578"/>
        <v>2.0988000000000002</v>
      </c>
      <c r="EG175" s="59">
        <f t="shared" si="579"/>
        <v>1.6624000000000001</v>
      </c>
      <c r="EH175" s="59">
        <f t="shared" si="580"/>
        <v>1.1529</v>
      </c>
      <c r="EI175" s="59">
        <f t="shared" si="581"/>
        <v>0.28539999999999999</v>
      </c>
      <c r="EJ175" s="59">
        <f t="shared" si="582"/>
        <v>0.30349999999999999</v>
      </c>
      <c r="EK175" s="63" t="e">
        <f t="shared" ca="1" si="594"/>
        <v>#NUM!</v>
      </c>
      <c r="EL175" s="3" t="str">
        <f>RTD("tos.rtd",,EL$43,"."&amp;$B$134&amp;$AS$82&amp;"C"&amp;$A175)</f>
        <v>174.40%</v>
      </c>
      <c r="EM175" s="3" t="str">
        <f>RTD("tos.rtd",,EM$43,"."&amp;$B$134&amp;$AS$82&amp;"P"&amp;$A175)</f>
        <v>209.88%</v>
      </c>
      <c r="EN175" s="3" t="str">
        <f>RTD("tos.rtd",,EN$2,"."&amp;$C$134&amp;$AU$82&amp;"C"&amp;$A175)</f>
        <v>166.24%</v>
      </c>
      <c r="EO175" s="3" t="str">
        <f>RTD("tos.rtd",,EO$2,"."&amp;$C$134&amp;$AU$82&amp;"P"&amp;$A175)</f>
        <v>115.29%</v>
      </c>
      <c r="EP175" s="3" t="str">
        <f>RTD("tos.rtd",,EP$2,"."&amp;$D$134&amp;$AW$82&amp;"C"&amp;$A175)</f>
        <v>28.54%</v>
      </c>
      <c r="EQ175" s="3" t="str">
        <f>RTD("tos.rtd",,EQ$2,"."&amp;$D$134&amp;$AW$82&amp;"P"&amp;$A175)</f>
        <v>30.35%</v>
      </c>
      <c r="ES175" s="63" t="str">
        <f t="shared" si="583"/>
        <v>19600,-163.00</v>
      </c>
      <c r="ET175" s="63" t="str">
        <f t="shared" ca="1" si="584"/>
        <v>19600,00.00</v>
      </c>
      <c r="EU175" s="68">
        <v>563.88</v>
      </c>
      <c r="EV175" s="68" t="s">
        <v>1419</v>
      </c>
      <c r="EW175" s="68">
        <v>486.61</v>
      </c>
      <c r="EX175" s="68" t="s">
        <v>1420</v>
      </c>
      <c r="EY175" s="68">
        <v>5631.28</v>
      </c>
      <c r="EZ175" s="68" t="s">
        <v>1421</v>
      </c>
      <c r="FA175" s="68">
        <v>19867.973000000002</v>
      </c>
      <c r="FB175" s="68" t="s">
        <v>1422</v>
      </c>
      <c r="FC175" s="68" t="s">
        <v>1423</v>
      </c>
      <c r="FD175" s="68" t="s">
        <v>1424</v>
      </c>
      <c r="FE175" s="68" t="s">
        <v>1425</v>
      </c>
      <c r="FF175" s="68" t="s">
        <v>1426</v>
      </c>
    </row>
    <row r="176" spans="1:162" ht="11.1" customHeight="1" thickBot="1" x14ac:dyDescent="0.25">
      <c r="A176" s="2">
        <f t="shared" si="595"/>
        <v>19575</v>
      </c>
      <c r="B176" s="3">
        <f t="shared" si="631"/>
        <v>8</v>
      </c>
      <c r="C176" s="3">
        <f t="shared" si="632"/>
        <v>22</v>
      </c>
      <c r="D176" s="3">
        <f t="shared" si="633"/>
        <v>24</v>
      </c>
      <c r="E176" s="3">
        <f t="shared" si="634"/>
        <v>54</v>
      </c>
      <c r="F176" s="4">
        <f t="shared" si="635"/>
        <v>19959.252133283095</v>
      </c>
      <c r="G176" s="5">
        <f t="shared" si="636"/>
        <v>483.75835165246531</v>
      </c>
      <c r="AM176" s="1">
        <v>-1</v>
      </c>
      <c r="AN176" s="1">
        <v>-31</v>
      </c>
      <c r="AO176" s="1">
        <v>19575</v>
      </c>
      <c r="AP176" s="1">
        <v>1</v>
      </c>
      <c r="AQ176" s="1">
        <v>-37</v>
      </c>
      <c r="AS176" s="54">
        <f>IF(RTD("tos.rtd",,AS$83,"."&amp;$B$134&amp;$AS$82&amp;"C"&amp;$A176)="N/A",0,RTD("tos.rtd",,AS$83,"."&amp;$B$134&amp;$AS$82&amp;"C"&amp;$A176))</f>
        <v>1</v>
      </c>
      <c r="AT176" s="3">
        <f>-IF(RTD("tos.rtd",,AT$83,"."&amp;$B$134&amp;$AS$82&amp;"P"&amp;$A176)="N/A",0,RTD("tos.rtd",,AT$83,"."&amp;$B$134&amp;$AS$82&amp;"P"&amp;$A176))</f>
        <v>-7</v>
      </c>
      <c r="AU176" s="54">
        <f>IF(RTD("tos.rtd",,AU$2,"."&amp;$C$134&amp;$AU$134&amp;"C"&amp;$A176)="N/A",0,RTD("tos.rtd",,AU$2,"."&amp;$C$134&amp;$AU$134&amp;"C"&amp;$A176))</f>
        <v>16</v>
      </c>
      <c r="AV176" s="3">
        <f>-IF(RTD("tos.rtd",,AV$2,"."&amp;$C$134&amp;$AU$134&amp;"P"&amp;$A176)="N/A",0,RTD("tos.rtd",,AV$2,"."&amp;$C$134&amp;$AU$134&amp;"P"&amp;$A176))</f>
        <v>-6</v>
      </c>
      <c r="AW176" s="54">
        <f>IF(RTD("tos.rtd",,AW$2,"."&amp;$D$134&amp;$AW$134&amp;"C"&amp;$A176)="N/A",0,RTD("tos.rtd",,AW$2,"."&amp;$D$134&amp;$AW$134&amp;"C"&amp;$A176))</f>
        <v>16</v>
      </c>
      <c r="AX176" s="3">
        <f>-IF(RTD("tos.rtd",,AX$2,"."&amp;$D$134&amp;$AW$134&amp;"P"&amp;$A176)="N/A",0,RTD("tos.rtd",,AX$2,"."&amp;$D$134&amp;$AW$134&amp;"P"&amp;$A176))</f>
        <v>-8</v>
      </c>
      <c r="AY176" s="76">
        <f t="shared" si="637"/>
        <v>12</v>
      </c>
      <c r="AZ176" s="8">
        <f t="shared" si="548"/>
        <v>19575</v>
      </c>
      <c r="BA176" s="54">
        <f>IF(RTD("tos.rtd",,BA$43,"."&amp;$B$134&amp;$AS$82&amp;"C"&amp;$A176)="N/A",0,RTD("tos.rtd",,BA$43,"."&amp;$B$134&amp;$AS$82&amp;"C"&amp;$A176))</f>
        <v>0</v>
      </c>
      <c r="BB176" s="3">
        <f>-IF(RTD("tos.rtd",,BB$43,"."&amp;$B$134&amp;$AS$82&amp;"P"&amp;$A176)="N/A",0,RTD("tos.rtd",,BB$43,"."&amp;$B$134&amp;$AS$82&amp;"P"&amp;$A176))</f>
        <v>0</v>
      </c>
      <c r="BC176" s="54">
        <f>IF(RTD("tos.rtd",,BC$2,"."&amp;$C$134&amp;$AU$82&amp;"C"&amp;$A176)="N/A",0,RTD("tos.rtd",,BC$2,"."&amp;$C$134&amp;$AU$82&amp;"C"&amp;$A176))</f>
        <v>9</v>
      </c>
      <c r="BD176" s="3">
        <f>-IF(RTD("tos.rtd",,BD$2,"."&amp;$C$134&amp;$AU$82&amp;"P"&amp;$A176)="N/A",0,RTD("tos.rtd",,BD$2,"."&amp;$C$134&amp;$AU$82&amp;"P"&amp;$A176))</f>
        <v>-50</v>
      </c>
      <c r="BE176" s="54">
        <f>IF(RTD("tos.rtd",,BE$2,"."&amp;$D$134&amp;$AW$82&amp;"C"&amp;$A176)="N/A",0,RTD("tos.rtd",,BE$2,"."&amp;$D$134&amp;$AW$82&amp;"C"&amp;$A176))</f>
        <v>0</v>
      </c>
      <c r="BF176" s="3">
        <f>-IF(RTD("tos.rtd",,BF$2,"."&amp;$D$134&amp;$AW$82&amp;"P"&amp;$A176)="N/A",0,RTD("tos.rtd",,BF$2,"."&amp;$D$134&amp;$AW$82&amp;"P"&amp;$A176))</f>
        <v>-1</v>
      </c>
      <c r="BG176" s="3">
        <f ca="1">+Hoja2!Y177</f>
        <v>-1</v>
      </c>
      <c r="BH176" s="7">
        <f t="shared" ca="1" si="549"/>
        <v>-43</v>
      </c>
      <c r="BI176" s="32" t="str">
        <f t="shared" ca="1" si="609"/>
        <v/>
      </c>
      <c r="BJ176" s="3" t="e">
        <f ca="1">IF($BP$1=1,DX176,IF(RTD("tos.rtd",,BJ$43,"."&amp;$B$134&amp;$AS$82&amp;"C"&amp;$A176)="N/A",0,RTD("tos.rtd",,BJ$43,"."&amp;$B$134&amp;$AS$82&amp;"C"&amp;$A176)))</f>
        <v>#NUM!</v>
      </c>
      <c r="BK176" s="3" t="e">
        <f ca="1">IF($BP$1=1,DY176,-IF(RTD("tos.rtd",,BK$43,"."&amp;$B$134&amp;$AS$82&amp;"P"&amp;$A176)="N/A",0,RTD("tos.rtd",,BK$43,"."&amp;$B$134&amp;$AS$82&amp;"P"&amp;$A176)))</f>
        <v>#NUM!</v>
      </c>
      <c r="BL176" s="3" t="e">
        <f ca="1">IF($BP$1=1,DZ176,IF(RTD("tos.rtd",,BL$2,"."&amp;$C$134&amp;$AU$82&amp;"C"&amp;$A176)="N/A",0,RTD("tos.rtd",,BL$2,"."&amp;$C$134&amp;$AU$82&amp;"C"&amp;$A176)))</f>
        <v>#NUM!</v>
      </c>
      <c r="BM176" s="3" t="e">
        <f ca="1">IF($BP$1=1,EA176,-IF(RTD("tos.rtd",,BM$2,"."&amp;$C$134&amp;$AU$82&amp;"P"&amp;$A176)="N/A",0,RTD("tos.rtd",,BM$2,"."&amp;$C$134&amp;$AU$82&amp;"P"&amp;$A176)))</f>
        <v>#NUM!</v>
      </c>
      <c r="BN176" s="3" t="e">
        <f ca="1">IF($BP$1=1,EB176,IF(RTD("tos.rtd",,BN$2,"."&amp;$D$134&amp;$AW$82&amp;"C"&amp;$A176)="N/A",0,RTD("tos.rtd",,BN$2,"."&amp;$D$134&amp;$AW$82&amp;"C"&amp;$A176)))</f>
        <v>#NUM!</v>
      </c>
      <c r="BO176" s="3" t="e">
        <f ca="1">IF($BP$1=1,EC176,-IF(RTD("tos.rtd",,BO$2,"."&amp;$D$134&amp;$AW$82&amp;"P"&amp;$A176)="N/A",0,RTD("tos.rtd",,BO$2,"."&amp;$D$134&amp;$AW$82&amp;"P"&amp;$A176)))</f>
        <v>#NUM!</v>
      </c>
      <c r="BQ176" s="3" t="e">
        <f t="shared" ca="1" si="638"/>
        <v>#NUM!</v>
      </c>
      <c r="BR176" s="3" t="e">
        <f t="shared" ca="1" si="550"/>
        <v>#NUM!</v>
      </c>
      <c r="BS176" s="3" t="e">
        <f t="shared" ca="1" si="639"/>
        <v>#NUM!</v>
      </c>
      <c r="BT176" s="3" t="e">
        <f t="shared" ca="1" si="551"/>
        <v>#NUM!</v>
      </c>
      <c r="BU176" s="3" t="e">
        <f t="shared" ca="1" si="640"/>
        <v>#NUM!</v>
      </c>
      <c r="BV176" s="3" t="e">
        <f t="shared" ca="1" si="551"/>
        <v>#NUM!</v>
      </c>
      <c r="BX176" s="3" t="e">
        <f t="shared" ca="1" si="585"/>
        <v>#NUM!</v>
      </c>
      <c r="BY176" s="3" t="e">
        <f t="shared" ca="1" si="586"/>
        <v>#NUM!</v>
      </c>
      <c r="BZ176" s="3" t="e">
        <f t="shared" ca="1" si="587"/>
        <v>#NUM!</v>
      </c>
      <c r="CA176" s="3" t="e">
        <f t="shared" ca="1" si="586"/>
        <v>#NUM!</v>
      </c>
      <c r="CB176" s="3" t="e">
        <f t="shared" ca="1" si="588"/>
        <v>#NUM!</v>
      </c>
      <c r="CC176" s="3" t="e">
        <f t="shared" ca="1" si="586"/>
        <v>#NUM!</v>
      </c>
      <c r="CD176" s="3">
        <f>IF(RTD("tos.rtd",,CD$43,"."&amp;$B$134&amp;$AS$82&amp;"C"&amp;$A176)="N/A",0,RTD("tos.rtd",,CD$43,"."&amp;$B$134&amp;$AS$82&amp;"C"&amp;$A176))</f>
        <v>0.96</v>
      </c>
      <c r="CE176" s="3">
        <f>-IF(RTD("tos.rtd",,CE$43,"."&amp;$B$134&amp;$AS$82&amp;"P"&amp;$A176)="N/A",0,RTD("tos.rtd",,CE$43,"."&amp;$B$134&amp;$AS$82&amp;"P"&amp;$A176))</f>
        <v>7.0000000000000007E-2</v>
      </c>
      <c r="CF176" s="3">
        <f>IF(RTD("tos.rtd",,CF$2,"."&amp;$C$134&amp;$AU$82&amp;"C"&amp;$A176)="N/A",0,RTD("tos.rtd",,CF$2,"."&amp;$C$134&amp;$AU$82&amp;"C"&amp;$A176))</f>
        <v>1</v>
      </c>
      <c r="CG176" s="3">
        <f>-IF(RTD("tos.rtd",,CG$2,"."&amp;$C$134&amp;$AU$82&amp;"P"&amp;$A176)="N/A",0,RTD("tos.rtd",,CG$2,"."&amp;$C$134&amp;$AU$82&amp;"P"&amp;$A176))</f>
        <v>7.0000000000000007E-2</v>
      </c>
      <c r="CH176" s="3">
        <f>IF(RTD("tos.rtd",,CH$2,"."&amp;$D$134&amp;$AW$82&amp;"C"&amp;$A176)="N/A",0,RTD("tos.rtd",,CH$2,"."&amp;$D$134&amp;$AW$82&amp;"C"&amp;$A176))</f>
        <v>0.79</v>
      </c>
      <c r="CI176" s="3">
        <f>-IF(RTD("tos.rtd",,CI$2,"."&amp;$D$134&amp;$AW$82&amp;"P"&amp;$A176)="N/A",0,RTD("tos.rtd",,CI$2,"."&amp;$D$134&amp;$AW$82&amp;"P"&amp;$A176))</f>
        <v>0.22</v>
      </c>
      <c r="CK176" s="3">
        <f t="shared" ref="CK176:CK189" si="660">+AS176*CD176*100+AT176*CE176*100</f>
        <v>46.999999999999993</v>
      </c>
      <c r="CL176" s="3"/>
      <c r="CM176" s="3">
        <f t="shared" ref="CM176:CM189" si="661">+AU176*CF176*100+AV176*CG176*100</f>
        <v>1558</v>
      </c>
      <c r="CN176" s="3"/>
      <c r="CO176" s="3">
        <f t="shared" ref="CO176:CO189" si="662">+AW176*CH176*100+AX176*CI176*100</f>
        <v>1088</v>
      </c>
      <c r="CP176" s="3">
        <f t="shared" si="542"/>
        <v>2693</v>
      </c>
      <c r="CQ176" s="3">
        <f t="shared" si="552"/>
        <v>0</v>
      </c>
      <c r="CR176" s="3"/>
      <c r="CS176" s="3">
        <f t="shared" si="553"/>
        <v>-41</v>
      </c>
      <c r="CT176" s="3"/>
      <c r="CU176" s="3">
        <f t="shared" si="554"/>
        <v>-1</v>
      </c>
      <c r="CV176" s="3"/>
      <c r="CW176" s="3" t="e">
        <f t="shared" ca="1" si="555"/>
        <v>#NUM!</v>
      </c>
      <c r="CY176" s="3" t="e">
        <f t="shared" ca="1" si="556"/>
        <v>#NUM!</v>
      </c>
      <c r="CZ176" s="70" t="e">
        <f t="shared" ca="1" si="589"/>
        <v>#NUM!</v>
      </c>
      <c r="DA176" s="3">
        <f>IF(RTD("tos.rtd",,DA$43,"."&amp;$B$134&amp;$AS$82&amp;"C"&amp;$A176)="N/A",0,RTD("tos.rtd",,DA$43,"."&amp;$B$134&amp;$AS$82&amp;"C"&amp;$A176))</f>
        <v>598.65</v>
      </c>
      <c r="DB176" s="3">
        <f>IF(RTD("tos.rtd",,DB$43,"."&amp;$B$134&amp;$AS$82&amp;"P"&amp;$A176)="N/A",0,RTD("tos.rtd",,DB$43,"."&amp;$B$134&amp;$AS$82&amp;"P"&amp;$A176))</f>
        <v>0.25</v>
      </c>
      <c r="DC176" s="3">
        <f>IF(RTD("tos.rtd",,DC$43,"."&amp;$B$134&amp;$AS$82&amp;"C"&amp;$A176)="N/A",0,RTD("tos.rtd",,DC$43,"."&amp;$B$134&amp;$AS$82&amp;"C"&amp;$A176))</f>
        <v>526.1</v>
      </c>
      <c r="DD176" s="3">
        <f>IF(RTD("tos.rtd",,DD$43,"."&amp;$B$134&amp;$AS$82&amp;"P"&amp;$A176)="N/A",0,RTD("tos.rtd",,DD$43,"."&amp;$B$134&amp;$AS$82&amp;"P"&amp;$A176))</f>
        <v>19.8</v>
      </c>
      <c r="DE176" s="3">
        <f>IF(RTD("tos.rtd",,DE$43,"."&amp;$B$134&amp;$AS$82&amp;"C"&amp;$A176)="N/A",0,RTD("tos.rtd",,DE$43,"."&amp;$B$134&amp;$AS$82&amp;"C"&amp;$A176))</f>
        <v>456</v>
      </c>
      <c r="DF176" s="3">
        <f>IF(RTD("tos.rtd",,DF$43,"."&amp;$B$134&amp;$AS$82&amp;"P"&amp;$A176)="N/A",0,RTD("tos.rtd",,DF$43,"."&amp;$B$134&amp;$AS$82&amp;"P"&amp;$A176))</f>
        <v>0</v>
      </c>
      <c r="DG176" s="86">
        <f t="shared" si="590"/>
        <v>-486.44900000000052</v>
      </c>
      <c r="DH176" s="3">
        <f t="shared" si="557"/>
        <v>-2.034950071326675</v>
      </c>
      <c r="DI176" s="3">
        <f t="shared" si="558"/>
        <v>0.46717171717171718</v>
      </c>
      <c r="DJ176" s="3">
        <f t="shared" si="559"/>
        <v>-1</v>
      </c>
      <c r="DK176" s="3">
        <f t="shared" si="560"/>
        <v>-37</v>
      </c>
      <c r="DL176" s="3">
        <f t="shared" si="561"/>
        <v>-1.5677783541549579</v>
      </c>
      <c r="DM176" s="3">
        <f t="shared" si="562"/>
        <v>-38</v>
      </c>
      <c r="DN176" s="64" t="str">
        <f t="shared" si="563"/>
        <v>UNKNOWN</v>
      </c>
      <c r="DO176" s="64" t="str">
        <f t="shared" si="564"/>
        <v>UNKNOWN</v>
      </c>
      <c r="DP176" s="3">
        <f t="shared" si="565"/>
        <v>-1218.1060672704211</v>
      </c>
      <c r="DQ176" s="3">
        <f t="shared" si="566"/>
        <v>-607.9</v>
      </c>
      <c r="DR176" s="3" t="e">
        <f t="shared" ca="1" si="567"/>
        <v>#NUM!</v>
      </c>
      <c r="DS176" s="3">
        <f t="shared" si="568"/>
        <v>-3.5500000000000003</v>
      </c>
      <c r="DT176" s="3">
        <f t="shared" si="591"/>
        <v>-1</v>
      </c>
      <c r="DU176" s="3">
        <f t="shared" si="592"/>
        <v>37</v>
      </c>
      <c r="DV176" s="3">
        <f t="shared" si="569"/>
        <v>-1</v>
      </c>
      <c r="DW176" s="3">
        <f t="shared" si="570"/>
        <v>-31</v>
      </c>
      <c r="DX176" s="3" t="e">
        <f t="shared" ca="1" si="654"/>
        <v>#NUM!</v>
      </c>
      <c r="DY176" s="3" t="e">
        <f t="shared" ca="1" si="655"/>
        <v>#NUM!</v>
      </c>
      <c r="DZ176" s="3" t="e">
        <f t="shared" ca="1" si="656"/>
        <v>#NUM!</v>
      </c>
      <c r="EA176" s="3" t="e">
        <f t="shared" ca="1" si="657"/>
        <v>#NUM!</v>
      </c>
      <c r="EB176" s="3" t="e">
        <f t="shared" ca="1" si="658"/>
        <v>#NUM!</v>
      </c>
      <c r="EC176" s="3" t="e">
        <f t="shared" ca="1" si="659"/>
        <v>#NUM!</v>
      </c>
      <c r="ED176" s="63">
        <f t="shared" si="593"/>
        <v>-32</v>
      </c>
      <c r="EE176" s="59">
        <f t="shared" si="577"/>
        <v>1.8616999999999999</v>
      </c>
      <c r="EF176" s="59">
        <f t="shared" si="578"/>
        <v>2.1871999999999998</v>
      </c>
      <c r="EG176" s="59">
        <f t="shared" si="579"/>
        <v>0.25</v>
      </c>
      <c r="EH176" s="59">
        <f t="shared" si="580"/>
        <v>2.1871999999999998</v>
      </c>
      <c r="EI176" s="59">
        <f t="shared" si="581"/>
        <v>0.28549999999999998</v>
      </c>
      <c r="EJ176" s="59">
        <f t="shared" si="582"/>
        <v>0.3044</v>
      </c>
      <c r="EK176" s="63" t="e">
        <f t="shared" ca="1" si="594"/>
        <v>#NUM!</v>
      </c>
      <c r="EL176" s="3" t="str">
        <f>RTD("tos.rtd",,EL$43,"."&amp;$B$134&amp;$AS$82&amp;"C"&amp;$A176)</f>
        <v>186.17%</v>
      </c>
      <c r="EM176" s="3" t="str">
        <f>RTD("tos.rtd",,EM$43,"."&amp;$B$134&amp;$AS$82&amp;"P"&amp;$A176)</f>
        <v>218.72%</v>
      </c>
      <c r="EN176" s="3" t="str">
        <f>RTD("tos.rtd",,EN$2,"."&amp;$C$134&amp;$AU$82&amp;"C"&amp;$A176)</f>
        <v>--</v>
      </c>
      <c r="EO176" s="3" t="str">
        <f>RTD("tos.rtd",,EO$2,"."&amp;$C$134&amp;$AU$82&amp;"P"&amp;$A176)</f>
        <v>218.72%</v>
      </c>
      <c r="EP176" s="3" t="str">
        <f>RTD("tos.rtd",,EP$2,"."&amp;$D$134&amp;$AW$82&amp;"C"&amp;$A176)</f>
        <v>28.55%</v>
      </c>
      <c r="EQ176" s="3" t="str">
        <f>RTD("tos.rtd",,EQ$2,"."&amp;$D$134&amp;$AW$82&amp;"P"&amp;$A176)</f>
        <v>30.44%</v>
      </c>
      <c r="ES176" s="63" t="str">
        <f t="shared" si="583"/>
        <v>19575,-32.00</v>
      </c>
      <c r="ET176" s="63" t="str">
        <f t="shared" ca="1" si="584"/>
        <v>19575,00.00</v>
      </c>
      <c r="EU176" s="68">
        <v>563.88</v>
      </c>
      <c r="EV176" s="68" t="s">
        <v>1427</v>
      </c>
      <c r="EW176" s="68">
        <v>486.55</v>
      </c>
      <c r="EX176" s="68" t="s">
        <v>1428</v>
      </c>
      <c r="EY176" s="68">
        <v>5631.28</v>
      </c>
      <c r="EZ176" s="68" t="s">
        <v>1429</v>
      </c>
      <c r="FA176" s="68">
        <v>19867.973000000002</v>
      </c>
      <c r="FB176" s="68" t="s">
        <v>1430</v>
      </c>
      <c r="FC176" s="68" t="s">
        <v>1431</v>
      </c>
      <c r="FD176" s="68" t="s">
        <v>1432</v>
      </c>
      <c r="FE176" s="68" t="s">
        <v>1433</v>
      </c>
      <c r="FF176" s="68" t="s">
        <v>1434</v>
      </c>
    </row>
    <row r="177" spans="1:162" ht="11.1" customHeight="1" thickBot="1" x14ac:dyDescent="0.25">
      <c r="A177" s="2">
        <f t="shared" si="595"/>
        <v>19550</v>
      </c>
      <c r="B177" s="3">
        <f t="shared" si="631"/>
        <v>11</v>
      </c>
      <c r="C177" s="3">
        <f t="shared" si="632"/>
        <v>17</v>
      </c>
      <c r="D177" s="3">
        <f t="shared" si="633"/>
        <v>72</v>
      </c>
      <c r="E177" s="3">
        <f t="shared" si="634"/>
        <v>100</v>
      </c>
      <c r="F177" s="4">
        <f t="shared" si="635"/>
        <v>19933.761389817853</v>
      </c>
      <c r="G177" s="5">
        <f t="shared" si="636"/>
        <v>483.14052489428849</v>
      </c>
      <c r="AM177" s="1">
        <v>2</v>
      </c>
      <c r="AN177" s="1">
        <v>-28</v>
      </c>
      <c r="AO177" s="1">
        <v>19550</v>
      </c>
      <c r="AP177" s="1">
        <v>0</v>
      </c>
      <c r="AQ177" s="1">
        <v>-86</v>
      </c>
      <c r="AS177" s="54">
        <f>IF(RTD("tos.rtd",,AS$83,"."&amp;$B$134&amp;$AS$82&amp;"C"&amp;$A177)="N/A",0,RTD("tos.rtd",,AS$83,"."&amp;$B$134&amp;$AS$82&amp;"C"&amp;$A177))</f>
        <v>0</v>
      </c>
      <c r="AT177" s="3">
        <f>-IF(RTD("tos.rtd",,AT$83,"."&amp;$B$134&amp;$AS$82&amp;"P"&amp;$A177)="N/A",0,RTD("tos.rtd",,AT$83,"."&amp;$B$134&amp;$AS$82&amp;"P"&amp;$A177))</f>
        <v>-11</v>
      </c>
      <c r="AU177" s="54">
        <f>IF(RTD("tos.rtd",,AU$2,"."&amp;$C$134&amp;$AU$134&amp;"C"&amp;$A177)="N/A",0,RTD("tos.rtd",,AU$2,"."&amp;$C$134&amp;$AU$134&amp;"C"&amp;$A177))</f>
        <v>5</v>
      </c>
      <c r="AV177" s="3">
        <f>-IF(RTD("tos.rtd",,AV$2,"."&amp;$C$134&amp;$AU$134&amp;"P"&amp;$A177)="N/A",0,RTD("tos.rtd",,AV$2,"."&amp;$C$134&amp;$AU$134&amp;"P"&amp;$A177))</f>
        <v>-12</v>
      </c>
      <c r="AW177" s="54">
        <f>IF(RTD("tos.rtd",,AW$2,"."&amp;$D$134&amp;$AW$134&amp;"C"&amp;$A177)="N/A",0,RTD("tos.rtd",,AW$2,"."&amp;$D$134&amp;$AW$134&amp;"C"&amp;$A177))</f>
        <v>31</v>
      </c>
      <c r="AX177" s="3">
        <f>-IF(RTD("tos.rtd",,AX$2,"."&amp;$D$134&amp;$AW$134&amp;"P"&amp;$A177)="N/A",0,RTD("tos.rtd",,AX$2,"."&amp;$D$134&amp;$AW$134&amp;"P"&amp;$A177))</f>
        <v>-41</v>
      </c>
      <c r="AY177" s="76">
        <f t="shared" si="637"/>
        <v>-28</v>
      </c>
      <c r="AZ177" s="8">
        <f t="shared" si="548"/>
        <v>19550</v>
      </c>
      <c r="BA177" s="54">
        <f>IF(RTD("tos.rtd",,BA$43,"."&amp;$B$134&amp;$AS$82&amp;"C"&amp;$A177)="N/A",0,RTD("tos.rtd",,BA$43,"."&amp;$B$134&amp;$AS$82&amp;"C"&amp;$A177))</f>
        <v>0</v>
      </c>
      <c r="BB177" s="3">
        <f>-IF(RTD("tos.rtd",,BB$43,"."&amp;$B$134&amp;$AS$82&amp;"P"&amp;$A177)="N/A",0,RTD("tos.rtd",,BB$43,"."&amp;$B$134&amp;$AS$82&amp;"P"&amp;$A177))</f>
        <v>0</v>
      </c>
      <c r="BC177" s="54">
        <f>IF(RTD("tos.rtd",,BC$2,"."&amp;$C$134&amp;$AU$82&amp;"C"&amp;$A177)="N/A",0,RTD("tos.rtd",,BC$2,"."&amp;$C$134&amp;$AU$82&amp;"C"&amp;$A177))</f>
        <v>0</v>
      </c>
      <c r="BD177" s="3">
        <f>-IF(RTD("tos.rtd",,BD$2,"."&amp;$C$134&amp;$AU$82&amp;"P"&amp;$A177)="N/A",0,RTD("tos.rtd",,BD$2,"."&amp;$C$134&amp;$AU$82&amp;"P"&amp;$A177))</f>
        <v>-51</v>
      </c>
      <c r="BE177" s="54">
        <f>IF(RTD("tos.rtd",,BE$2,"."&amp;$D$134&amp;$AW$82&amp;"C"&amp;$A177)="N/A",0,RTD("tos.rtd",,BE$2,"."&amp;$D$134&amp;$AW$82&amp;"C"&amp;$A177))</f>
        <v>0</v>
      </c>
      <c r="BF177" s="3">
        <f>-IF(RTD("tos.rtd",,BF$2,"."&amp;$D$134&amp;$AW$82&amp;"P"&amp;$A177)="N/A",0,RTD("tos.rtd",,BF$2,"."&amp;$D$134&amp;$AW$82&amp;"P"&amp;$A177))</f>
        <v>-15</v>
      </c>
      <c r="BG177" s="3">
        <f ca="1">+Hoja2!Y178</f>
        <v>-3</v>
      </c>
      <c r="BH177" s="7">
        <f t="shared" ca="1" si="549"/>
        <v>-69</v>
      </c>
      <c r="BI177" s="32" t="str">
        <f t="shared" ca="1" si="609"/>
        <v/>
      </c>
      <c r="BJ177" s="3" t="e">
        <f ca="1">IF($BP$1=1,DX177,IF(RTD("tos.rtd",,BJ$43,"."&amp;$B$134&amp;$AS$82&amp;"C"&amp;$A177)="N/A",0,RTD("tos.rtd",,BJ$43,"."&amp;$B$134&amp;$AS$82&amp;"C"&amp;$A177)))</f>
        <v>#NUM!</v>
      </c>
      <c r="BK177" s="3" t="e">
        <f ca="1">IF($BP$1=1,DY177,-IF(RTD("tos.rtd",,BK$43,"."&amp;$B$134&amp;$AS$82&amp;"P"&amp;$A177)="N/A",0,RTD("tos.rtd",,BK$43,"."&amp;$B$134&amp;$AS$82&amp;"P"&amp;$A177)))</f>
        <v>#NUM!</v>
      </c>
      <c r="BL177" s="3" t="e">
        <f ca="1">IF($BP$1=1,DZ177,IF(RTD("tos.rtd",,BL$2,"."&amp;$C$134&amp;$AU$82&amp;"C"&amp;$A177)="N/A",0,RTD("tos.rtd",,BL$2,"."&amp;$C$134&amp;$AU$82&amp;"C"&amp;$A177)))</f>
        <v>#NUM!</v>
      </c>
      <c r="BM177" s="3" t="e">
        <f ca="1">IF($BP$1=1,EA177,-IF(RTD("tos.rtd",,BM$2,"."&amp;$C$134&amp;$AU$82&amp;"P"&amp;$A177)="N/A",0,RTD("tos.rtd",,BM$2,"."&amp;$C$134&amp;$AU$82&amp;"P"&amp;$A177)))</f>
        <v>#NUM!</v>
      </c>
      <c r="BN177" s="3" t="e">
        <f ca="1">IF($BP$1=1,EB177,IF(RTD("tos.rtd",,BN$2,"."&amp;$D$134&amp;$AW$82&amp;"C"&amp;$A177)="N/A",0,RTD("tos.rtd",,BN$2,"."&amp;$D$134&amp;$AW$82&amp;"C"&amp;$A177)))</f>
        <v>#NUM!</v>
      </c>
      <c r="BO177" s="3" t="e">
        <f ca="1">IF($BP$1=1,EC177,-IF(RTD("tos.rtd",,BO$2,"."&amp;$D$134&amp;$AW$82&amp;"P"&amp;$A177)="N/A",0,RTD("tos.rtd",,BO$2,"."&amp;$D$134&amp;$AW$82&amp;"P"&amp;$A177)))</f>
        <v>#NUM!</v>
      </c>
      <c r="BQ177" s="3" t="e">
        <f t="shared" ca="1" si="638"/>
        <v>#NUM!</v>
      </c>
      <c r="BR177" s="3" t="e">
        <f t="shared" ca="1" si="550"/>
        <v>#NUM!</v>
      </c>
      <c r="BS177" s="3" t="e">
        <f t="shared" ca="1" si="639"/>
        <v>#NUM!</v>
      </c>
      <c r="BT177" s="3" t="e">
        <f t="shared" ca="1" si="551"/>
        <v>#NUM!</v>
      </c>
      <c r="BU177" s="3" t="e">
        <f t="shared" ca="1" si="640"/>
        <v>#NUM!</v>
      </c>
      <c r="BV177" s="3" t="e">
        <f t="shared" ca="1" si="551"/>
        <v>#NUM!</v>
      </c>
      <c r="BX177" s="3" t="e">
        <f t="shared" ca="1" si="585"/>
        <v>#NUM!</v>
      </c>
      <c r="BY177" s="3" t="e">
        <f t="shared" ca="1" si="586"/>
        <v>#NUM!</v>
      </c>
      <c r="BZ177" s="3" t="e">
        <f t="shared" ca="1" si="587"/>
        <v>#NUM!</v>
      </c>
      <c r="CA177" s="3" t="e">
        <f t="shared" ca="1" si="586"/>
        <v>#NUM!</v>
      </c>
      <c r="CB177" s="3" t="e">
        <f t="shared" ca="1" si="588"/>
        <v>#NUM!</v>
      </c>
      <c r="CC177" s="3" t="e">
        <f t="shared" ca="1" si="586"/>
        <v>#NUM!</v>
      </c>
      <c r="CD177" s="3">
        <f>IF(RTD("tos.rtd",,CD$43,"."&amp;$B$134&amp;$AS$82&amp;"C"&amp;$A177)="N/A",0,RTD("tos.rtd",,CD$43,"."&amp;$B$134&amp;$AS$82&amp;"C"&amp;$A177))</f>
        <v>0.94</v>
      </c>
      <c r="CE177" s="3">
        <f>-IF(RTD("tos.rtd",,CE$43,"."&amp;$B$134&amp;$AS$82&amp;"P"&amp;$A177)="N/A",0,RTD("tos.rtd",,CE$43,"."&amp;$B$134&amp;$AS$82&amp;"P"&amp;$A177))</f>
        <v>7.0000000000000007E-2</v>
      </c>
      <c r="CF177" s="3">
        <f>IF(RTD("tos.rtd",,CF$2,"."&amp;$C$134&amp;$AU$82&amp;"C"&amp;$A177)="N/A",0,RTD("tos.rtd",,CF$2,"."&amp;$C$134&amp;$AU$82&amp;"C"&amp;$A177))</f>
        <v>0.97</v>
      </c>
      <c r="CG177" s="3">
        <f>-IF(RTD("tos.rtd",,CG$2,"."&amp;$C$134&amp;$AU$82&amp;"P"&amp;$A177)="N/A",0,RTD("tos.rtd",,CG$2,"."&amp;$C$134&amp;$AU$82&amp;"P"&amp;$A177))</f>
        <v>0.04</v>
      </c>
      <c r="CH177" s="3">
        <f>IF(RTD("tos.rtd",,CH$2,"."&amp;$D$134&amp;$AW$82&amp;"C"&amp;$A177)="N/A",0,RTD("tos.rtd",,CH$2,"."&amp;$D$134&amp;$AW$82&amp;"C"&amp;$A177))</f>
        <v>0.8</v>
      </c>
      <c r="CI177" s="3">
        <f>-IF(RTD("tos.rtd",,CI$2,"."&amp;$D$134&amp;$AW$82&amp;"P"&amp;$A177)="N/A",0,RTD("tos.rtd",,CI$2,"."&amp;$D$134&amp;$AW$82&amp;"P"&amp;$A177))</f>
        <v>0.21</v>
      </c>
      <c r="CK177" s="3">
        <f t="shared" si="660"/>
        <v>-77</v>
      </c>
      <c r="CL177" s="3"/>
      <c r="CM177" s="3">
        <f t="shared" si="661"/>
        <v>436.99999999999994</v>
      </c>
      <c r="CN177" s="3"/>
      <c r="CO177" s="3">
        <f t="shared" si="662"/>
        <v>1619</v>
      </c>
      <c r="CP177" s="3">
        <f t="shared" si="542"/>
        <v>1979</v>
      </c>
      <c r="CQ177" s="3">
        <f t="shared" si="552"/>
        <v>0</v>
      </c>
      <c r="CR177" s="3"/>
      <c r="CS177" s="3">
        <f t="shared" si="553"/>
        <v>-51</v>
      </c>
      <c r="CT177" s="3"/>
      <c r="CU177" s="3">
        <f t="shared" si="554"/>
        <v>-15</v>
      </c>
      <c r="CV177" s="3"/>
      <c r="CW177" s="3" t="e">
        <f t="shared" ca="1" si="555"/>
        <v>#NUM!</v>
      </c>
      <c r="CY177" s="3" t="e">
        <f t="shared" ca="1" si="556"/>
        <v>#NUM!</v>
      </c>
      <c r="CZ177" s="70" t="e">
        <f t="shared" ca="1" si="589"/>
        <v>#NUM!</v>
      </c>
      <c r="DA177" s="3">
        <f>IF(RTD("tos.rtd",,DA$43,"."&amp;$B$134&amp;$AS$82&amp;"C"&amp;$A177)="N/A",0,RTD("tos.rtd",,DA$43,"."&amp;$B$134&amp;$AS$82&amp;"C"&amp;$A177))</f>
        <v>0</v>
      </c>
      <c r="DB177" s="3">
        <f>IF(RTD("tos.rtd",,DB$43,"."&amp;$B$134&amp;$AS$82&amp;"P"&amp;$A177)="N/A",0,RTD("tos.rtd",,DB$43,"."&amp;$B$134&amp;$AS$82&amp;"P"&amp;$A177))</f>
        <v>0.43</v>
      </c>
      <c r="DC177" s="3">
        <f>IF(RTD("tos.rtd",,DC$43,"."&amp;$B$134&amp;$AS$82&amp;"C"&amp;$A177)="N/A",0,RTD("tos.rtd",,DC$43,"."&amp;$B$134&amp;$AS$82&amp;"C"&amp;$A177))</f>
        <v>560</v>
      </c>
      <c r="DD177" s="3">
        <f>IF(RTD("tos.rtd",,DD$43,"."&amp;$B$134&amp;$AS$82&amp;"P"&amp;$A177)="N/A",0,RTD("tos.rtd",,DD$43,"."&amp;$B$134&amp;$AS$82&amp;"P"&amp;$A177))</f>
        <v>20.399999999999999</v>
      </c>
      <c r="DE177" s="3">
        <f>IF(RTD("tos.rtd",,DE$43,"."&amp;$B$134&amp;$AS$82&amp;"C"&amp;$A177)="N/A",0,RTD("tos.rtd",,DE$43,"."&amp;$B$134&amp;$AS$82&amp;"C"&amp;$A177))</f>
        <v>480</v>
      </c>
      <c r="DF177" s="3">
        <f>IF(RTD("tos.rtd",,DF$43,"."&amp;$B$134&amp;$AS$82&amp;"P"&amp;$A177)="N/A",0,RTD("tos.rtd",,DF$43,"."&amp;$B$134&amp;$AS$82&amp;"P"&amp;$A177))</f>
        <v>0</v>
      </c>
      <c r="DG177" s="86">
        <f t="shared" si="590"/>
        <v>-511.44900000000052</v>
      </c>
      <c r="DH177" s="3">
        <f t="shared" si="557"/>
        <v>0</v>
      </c>
      <c r="DI177" s="3">
        <f t="shared" si="558"/>
        <v>1.8127450980392159</v>
      </c>
      <c r="DJ177" s="3">
        <f t="shared" si="559"/>
        <v>0</v>
      </c>
      <c r="DK177" s="3">
        <f t="shared" si="560"/>
        <v>-86</v>
      </c>
      <c r="DL177" s="3">
        <f t="shared" si="561"/>
        <v>1.8127450980392159</v>
      </c>
      <c r="DM177" s="3">
        <f t="shared" si="562"/>
        <v>-86</v>
      </c>
      <c r="DN177" s="64" t="str">
        <f t="shared" si="563"/>
        <v>UNKNOWN</v>
      </c>
      <c r="DO177" s="64" t="str">
        <f t="shared" si="564"/>
        <v>UNKNOWN</v>
      </c>
      <c r="DP177" s="3">
        <f t="shared" si="565"/>
        <v>0.77948039215686282</v>
      </c>
      <c r="DQ177" s="3">
        <f t="shared" si="566"/>
        <v>-36.979999999999997</v>
      </c>
      <c r="DR177" s="3" t="e">
        <f t="shared" ca="1" si="567"/>
        <v>#NUM!</v>
      </c>
      <c r="DS177" s="3">
        <f t="shared" si="568"/>
        <v>-6.0200000000000005</v>
      </c>
      <c r="DT177" s="3">
        <f t="shared" si="591"/>
        <v>0</v>
      </c>
      <c r="DU177" s="3">
        <f t="shared" si="592"/>
        <v>86</v>
      </c>
      <c r="DV177" s="3">
        <f t="shared" si="569"/>
        <v>2</v>
      </c>
      <c r="DW177" s="3">
        <f t="shared" si="570"/>
        <v>-28</v>
      </c>
      <c r="DX177" s="3" t="e">
        <f t="shared" ca="1" si="654"/>
        <v>#NUM!</v>
      </c>
      <c r="DY177" s="3" t="e">
        <f t="shared" ca="1" si="655"/>
        <v>#NUM!</v>
      </c>
      <c r="DZ177" s="3" t="e">
        <f t="shared" ca="1" si="656"/>
        <v>#NUM!</v>
      </c>
      <c r="EA177" s="3" t="e">
        <f t="shared" ca="1" si="657"/>
        <v>#NUM!</v>
      </c>
      <c r="EB177" s="3" t="e">
        <f t="shared" ca="1" si="658"/>
        <v>#NUM!</v>
      </c>
      <c r="EC177" s="3" t="e">
        <f t="shared" ca="1" si="659"/>
        <v>#NUM!</v>
      </c>
      <c r="ED177" s="63">
        <f t="shared" si="593"/>
        <v>-26</v>
      </c>
      <c r="EE177" s="59">
        <f t="shared" si="577"/>
        <v>2.1996000000000002</v>
      </c>
      <c r="EF177" s="59">
        <f t="shared" si="578"/>
        <v>2.2905000000000002</v>
      </c>
      <c r="EG177" s="59">
        <f t="shared" si="579"/>
        <v>1.8125</v>
      </c>
      <c r="EH177" s="59">
        <f t="shared" si="580"/>
        <v>1.9636</v>
      </c>
      <c r="EI177" s="59">
        <f t="shared" si="581"/>
        <v>0.28560000000000002</v>
      </c>
      <c r="EJ177" s="59">
        <f t="shared" si="582"/>
        <v>0.30470000000000003</v>
      </c>
      <c r="EK177" s="63" t="e">
        <f t="shared" ca="1" si="594"/>
        <v>#NUM!</v>
      </c>
      <c r="EL177" s="3" t="str">
        <f>RTD("tos.rtd",,EL$43,"."&amp;$B$134&amp;$AS$82&amp;"C"&amp;$A177)</f>
        <v>219.96%</v>
      </c>
      <c r="EM177" s="3" t="str">
        <f>RTD("tos.rtd",,EM$43,"."&amp;$B$134&amp;$AS$82&amp;"P"&amp;$A177)</f>
        <v>229.05%</v>
      </c>
      <c r="EN177" s="3" t="str">
        <f>RTD("tos.rtd",,EN$2,"."&amp;$C$134&amp;$AU$82&amp;"C"&amp;$A177)</f>
        <v>181.25%</v>
      </c>
      <c r="EO177" s="3" t="str">
        <f>RTD("tos.rtd",,EO$2,"."&amp;$C$134&amp;$AU$82&amp;"P"&amp;$A177)</f>
        <v>196.36%</v>
      </c>
      <c r="EP177" s="3" t="str">
        <f>RTD("tos.rtd",,EP$2,"."&amp;$D$134&amp;$AW$82&amp;"C"&amp;$A177)</f>
        <v>28.56%</v>
      </c>
      <c r="EQ177" s="3" t="str">
        <f>RTD("tos.rtd",,EQ$2,"."&amp;$D$134&amp;$AW$82&amp;"P"&amp;$A177)</f>
        <v>30.47%</v>
      </c>
      <c r="ES177" s="63" t="str">
        <f t="shared" si="583"/>
        <v>19550,-26.00</v>
      </c>
      <c r="ET177" s="63" t="str">
        <f t="shared" ca="1" si="584"/>
        <v>19550,00.00</v>
      </c>
      <c r="EU177" s="68">
        <v>563.88</v>
      </c>
      <c r="EV177" s="68" t="s">
        <v>1435</v>
      </c>
      <c r="EW177" s="68">
        <v>486.62</v>
      </c>
      <c r="EX177" s="68" t="s">
        <v>1436</v>
      </c>
      <c r="EY177" s="68">
        <v>5631.28</v>
      </c>
      <c r="EZ177" s="68" t="s">
        <v>1437</v>
      </c>
      <c r="FA177" s="68">
        <v>19867.973000000002</v>
      </c>
      <c r="FB177" s="68" t="s">
        <v>1438</v>
      </c>
      <c r="FC177" s="68" t="s">
        <v>1439</v>
      </c>
      <c r="FD177" s="68" t="s">
        <v>1440</v>
      </c>
      <c r="FE177" s="68" t="s">
        <v>1441</v>
      </c>
      <c r="FF177" s="68" t="s">
        <v>1442</v>
      </c>
    </row>
    <row r="178" spans="1:162" ht="11.1" customHeight="1" thickBot="1" x14ac:dyDescent="0.25">
      <c r="A178" s="2">
        <f t="shared" si="595"/>
        <v>19525</v>
      </c>
      <c r="B178" s="3">
        <f t="shared" si="631"/>
        <v>3</v>
      </c>
      <c r="C178" s="3">
        <f t="shared" si="632"/>
        <v>10</v>
      </c>
      <c r="D178" s="3">
        <f t="shared" si="633"/>
        <v>25</v>
      </c>
      <c r="E178" s="3">
        <f t="shared" si="634"/>
        <v>38</v>
      </c>
      <c r="F178" s="4">
        <f t="shared" si="635"/>
        <v>19908.270646352616</v>
      </c>
      <c r="G178" s="5">
        <f t="shared" si="636"/>
        <v>482.52269813611167</v>
      </c>
      <c r="AM178" s="1">
        <v>0</v>
      </c>
      <c r="AN178" s="1">
        <v>-31</v>
      </c>
      <c r="AO178" s="1">
        <v>19525</v>
      </c>
      <c r="AP178" s="1">
        <v>0</v>
      </c>
      <c r="AQ178" s="1">
        <v>-17</v>
      </c>
      <c r="AS178" s="54">
        <f>IF(RTD("tos.rtd",,AS$83,"."&amp;$B$134&amp;$AS$82&amp;"C"&amp;$A178)="N/A",0,RTD("tos.rtd",,AS$83,"."&amp;$B$134&amp;$AS$82&amp;"C"&amp;$A178))</f>
        <v>0</v>
      </c>
      <c r="AT178" s="3">
        <f>-IF(RTD("tos.rtd",,AT$83,"."&amp;$B$134&amp;$AS$82&amp;"P"&amp;$A178)="N/A",0,RTD("tos.rtd",,AT$83,"."&amp;$B$134&amp;$AS$82&amp;"P"&amp;$A178))</f>
        <v>-3</v>
      </c>
      <c r="AU178" s="54">
        <f>IF(RTD("tos.rtd",,AU$2,"."&amp;$C$134&amp;$AU$134&amp;"C"&amp;$A178)="N/A",0,RTD("tos.rtd",,AU$2,"."&amp;$C$134&amp;$AU$134&amp;"C"&amp;$A178))</f>
        <v>4</v>
      </c>
      <c r="AV178" s="3">
        <f>-IF(RTD("tos.rtd",,AV$2,"."&amp;$C$134&amp;$AU$134&amp;"P"&amp;$A178)="N/A",0,RTD("tos.rtd",,AV$2,"."&amp;$C$134&amp;$AU$134&amp;"P"&amp;$A178))</f>
        <v>-6</v>
      </c>
      <c r="AW178" s="54">
        <f>IF(RTD("tos.rtd",,AW$2,"."&amp;$D$134&amp;$AW$134&amp;"C"&amp;$A178)="N/A",0,RTD("tos.rtd",,AW$2,"."&amp;$D$134&amp;$AW$134&amp;"C"&amp;$A178))</f>
        <v>22</v>
      </c>
      <c r="AX178" s="3">
        <f>-IF(RTD("tos.rtd",,AX$2,"."&amp;$D$134&amp;$AW$134&amp;"P"&amp;$A178)="N/A",0,RTD("tos.rtd",,AX$2,"."&amp;$D$134&amp;$AW$134&amp;"P"&amp;$A178))</f>
        <v>-3</v>
      </c>
      <c r="AY178" s="76">
        <f t="shared" si="637"/>
        <v>14</v>
      </c>
      <c r="AZ178" s="8">
        <f t="shared" si="548"/>
        <v>19525</v>
      </c>
      <c r="BA178" s="54">
        <f>IF(RTD("tos.rtd",,BA$43,"."&amp;$B$134&amp;$AS$82&amp;"C"&amp;$A178)="N/A",0,RTD("tos.rtd",,BA$43,"."&amp;$B$134&amp;$AS$82&amp;"C"&amp;$A178))</f>
        <v>0</v>
      </c>
      <c r="BB178" s="3">
        <f>-IF(RTD("tos.rtd",,BB$43,"."&amp;$B$134&amp;$AS$82&amp;"P"&amp;$A178)="N/A",0,RTD("tos.rtd",,BB$43,"."&amp;$B$134&amp;$AS$82&amp;"P"&amp;$A178))</f>
        <v>0</v>
      </c>
      <c r="BC178" s="54">
        <f>IF(RTD("tos.rtd",,BC$2,"."&amp;$C$134&amp;$AU$82&amp;"C"&amp;$A178)="N/A",0,RTD("tos.rtd",,BC$2,"."&amp;$C$134&amp;$AU$82&amp;"C"&amp;$A178))</f>
        <v>0</v>
      </c>
      <c r="BD178" s="3">
        <f>-IF(RTD("tos.rtd",,BD$2,"."&amp;$C$134&amp;$AU$82&amp;"P"&amp;$A178)="N/A",0,RTD("tos.rtd",,BD$2,"."&amp;$C$134&amp;$AU$82&amp;"P"&amp;$A178))</f>
        <v>-32</v>
      </c>
      <c r="BE178" s="54">
        <f>IF(RTD("tos.rtd",,BE$2,"."&amp;$D$134&amp;$AW$82&amp;"C"&amp;$A178)="N/A",0,RTD("tos.rtd",,BE$2,"."&amp;$D$134&amp;$AW$82&amp;"C"&amp;$A178))</f>
        <v>0</v>
      </c>
      <c r="BF178" s="3">
        <f>-IF(RTD("tos.rtd",,BF$2,"."&amp;$D$134&amp;$AW$82&amp;"P"&amp;$A178)="N/A",0,RTD("tos.rtd",,BF$2,"."&amp;$D$134&amp;$AW$82&amp;"P"&amp;$A178))</f>
        <v>-14</v>
      </c>
      <c r="BG178" s="3">
        <f ca="1">+Hoja2!Y179</f>
        <v>-3</v>
      </c>
      <c r="BH178" s="7">
        <f t="shared" ca="1" si="549"/>
        <v>-49</v>
      </c>
      <c r="BI178" s="32" t="str">
        <f t="shared" ca="1" si="609"/>
        <v/>
      </c>
      <c r="BJ178" s="3" t="e">
        <f ca="1">IF($BP$1=1,DX178,IF(RTD("tos.rtd",,BJ$43,"."&amp;$B$134&amp;$AS$82&amp;"C"&amp;$A178)="N/A",0,RTD("tos.rtd",,BJ$43,"."&amp;$B$134&amp;$AS$82&amp;"C"&amp;$A178)))</f>
        <v>#NUM!</v>
      </c>
      <c r="BK178" s="3" t="e">
        <f ca="1">IF($BP$1=1,DY178,-IF(RTD("tos.rtd",,BK$43,"."&amp;$B$134&amp;$AS$82&amp;"P"&amp;$A178)="N/A",0,RTD("tos.rtd",,BK$43,"."&amp;$B$134&amp;$AS$82&amp;"P"&amp;$A178)))</f>
        <v>#NUM!</v>
      </c>
      <c r="BL178" s="3" t="e">
        <f ca="1">IF($BP$1=1,DZ178,IF(RTD("tos.rtd",,BL$2,"."&amp;$C$134&amp;$AU$82&amp;"C"&amp;$A178)="N/A",0,RTD("tos.rtd",,BL$2,"."&amp;$C$134&amp;$AU$82&amp;"C"&amp;$A178)))</f>
        <v>#NUM!</v>
      </c>
      <c r="BM178" s="3" t="e">
        <f ca="1">IF($BP$1=1,EA178,-IF(RTD("tos.rtd",,BM$2,"."&amp;$C$134&amp;$AU$82&amp;"P"&amp;$A178)="N/A",0,RTD("tos.rtd",,BM$2,"."&amp;$C$134&amp;$AU$82&amp;"P"&amp;$A178)))</f>
        <v>#NUM!</v>
      </c>
      <c r="BN178" s="3" t="e">
        <f ca="1">IF($BP$1=1,EB178,IF(RTD("tos.rtd",,BN$2,"."&amp;$D$134&amp;$AW$82&amp;"C"&amp;$A178)="N/A",0,RTD("tos.rtd",,BN$2,"."&amp;$D$134&amp;$AW$82&amp;"C"&amp;$A178)))</f>
        <v>#NUM!</v>
      </c>
      <c r="BO178" s="3" t="e">
        <f ca="1">IF($BP$1=1,EC178,-IF(RTD("tos.rtd",,BO$2,"."&amp;$D$134&amp;$AW$82&amp;"P"&amp;$A178)="N/A",0,RTD("tos.rtd",,BO$2,"."&amp;$D$134&amp;$AW$82&amp;"P"&amp;$A178)))</f>
        <v>#NUM!</v>
      </c>
      <c r="BQ178" s="3" t="e">
        <f t="shared" ca="1" si="638"/>
        <v>#NUM!</v>
      </c>
      <c r="BR178" s="3" t="e">
        <f t="shared" ca="1" si="550"/>
        <v>#NUM!</v>
      </c>
      <c r="BS178" s="3" t="e">
        <f t="shared" ca="1" si="639"/>
        <v>#NUM!</v>
      </c>
      <c r="BT178" s="3" t="e">
        <f t="shared" ca="1" si="551"/>
        <v>#NUM!</v>
      </c>
      <c r="BU178" s="3" t="e">
        <f t="shared" ca="1" si="640"/>
        <v>#NUM!</v>
      </c>
      <c r="BV178" s="3" t="e">
        <f t="shared" ca="1" si="551"/>
        <v>#NUM!</v>
      </c>
      <c r="BX178" s="3" t="e">
        <f t="shared" ca="1" si="585"/>
        <v>#NUM!</v>
      </c>
      <c r="BY178" s="3" t="e">
        <f t="shared" ca="1" si="586"/>
        <v>#NUM!</v>
      </c>
      <c r="BZ178" s="3" t="e">
        <f t="shared" ca="1" si="587"/>
        <v>#NUM!</v>
      </c>
      <c r="CA178" s="3" t="e">
        <f t="shared" ca="1" si="586"/>
        <v>#NUM!</v>
      </c>
      <c r="CB178" s="3" t="e">
        <f t="shared" ca="1" si="588"/>
        <v>#NUM!</v>
      </c>
      <c r="CC178" s="3" t="e">
        <f t="shared" ca="1" si="586"/>
        <v>#NUM!</v>
      </c>
      <c r="CD178" s="3">
        <f>IF(RTD("tos.rtd",,CD$43,"."&amp;$B$134&amp;$AS$82&amp;"C"&amp;$A178)="N/A",0,RTD("tos.rtd",,CD$43,"."&amp;$B$134&amp;$AS$82&amp;"C"&amp;$A178))</f>
        <v>0.94</v>
      </c>
      <c r="CE178" s="3">
        <f>-IF(RTD("tos.rtd",,CE$43,"."&amp;$B$134&amp;$AS$82&amp;"P"&amp;$A178)="N/A",0,RTD("tos.rtd",,CE$43,"."&amp;$B$134&amp;$AS$82&amp;"P"&amp;$A178))</f>
        <v>0.06</v>
      </c>
      <c r="CF178" s="3">
        <f>IF(RTD("tos.rtd",,CF$2,"."&amp;$C$134&amp;$AU$82&amp;"C"&amp;$A178)="N/A",0,RTD("tos.rtd",,CF$2,"."&amp;$C$134&amp;$AU$82&amp;"C"&amp;$A178))</f>
        <v>1</v>
      </c>
      <c r="CG178" s="3">
        <f>-IF(RTD("tos.rtd",,CG$2,"."&amp;$C$134&amp;$AU$82&amp;"P"&amp;$A178)="N/A",0,RTD("tos.rtd",,CG$2,"."&amp;$C$134&amp;$AU$82&amp;"P"&amp;$A178))</f>
        <v>0.01</v>
      </c>
      <c r="CH178" s="3">
        <f>IF(RTD("tos.rtd",,CH$2,"."&amp;$D$134&amp;$AW$82&amp;"C"&amp;$A178)="N/A",0,RTD("tos.rtd",,CH$2,"."&amp;$D$134&amp;$AW$82&amp;"C"&amp;$A178))</f>
        <v>0.81</v>
      </c>
      <c r="CI178" s="3">
        <f>-IF(RTD("tos.rtd",,CI$2,"."&amp;$D$134&amp;$AW$82&amp;"P"&amp;$A178)="N/A",0,RTD("tos.rtd",,CI$2,"."&amp;$D$134&amp;$AW$82&amp;"P"&amp;$A178))</f>
        <v>0.2</v>
      </c>
      <c r="CK178" s="3">
        <f t="shared" si="660"/>
        <v>-18</v>
      </c>
      <c r="CL178" s="3"/>
      <c r="CM178" s="3">
        <f t="shared" si="661"/>
        <v>394</v>
      </c>
      <c r="CN178" s="3"/>
      <c r="CO178" s="3">
        <f t="shared" si="662"/>
        <v>1722</v>
      </c>
      <c r="CP178" s="3">
        <f t="shared" si="542"/>
        <v>2098</v>
      </c>
      <c r="CQ178" s="3">
        <f t="shared" si="552"/>
        <v>0</v>
      </c>
      <c r="CR178" s="3"/>
      <c r="CS178" s="3">
        <f t="shared" si="553"/>
        <v>-32</v>
      </c>
      <c r="CT178" s="3"/>
      <c r="CU178" s="3">
        <f t="shared" si="554"/>
        <v>-14</v>
      </c>
      <c r="CV178" s="3"/>
      <c r="CW178" s="3" t="e">
        <f t="shared" ca="1" si="555"/>
        <v>#NUM!</v>
      </c>
      <c r="CY178" s="3" t="e">
        <f t="shared" ca="1" si="556"/>
        <v>#NUM!</v>
      </c>
      <c r="CZ178" s="70" t="e">
        <f t="shared" ca="1" si="589"/>
        <v>#NUM!</v>
      </c>
      <c r="DA178" s="3">
        <f>IF(RTD("tos.rtd",,DA$43,"."&amp;$B$134&amp;$AS$82&amp;"C"&amp;$A178)="N/A",0,RTD("tos.rtd",,DA$43,"."&amp;$B$134&amp;$AS$82&amp;"C"&amp;$A178))</f>
        <v>0</v>
      </c>
      <c r="DB178" s="3">
        <f>IF(RTD("tos.rtd",,DB$43,"."&amp;$B$134&amp;$AS$82&amp;"P"&amp;$A178)="N/A",0,RTD("tos.rtd",,DB$43,"."&amp;$B$134&amp;$AS$82&amp;"P"&amp;$A178))</f>
        <v>0.85</v>
      </c>
      <c r="DC178" s="3">
        <f>IF(RTD("tos.rtd",,DC$43,"."&amp;$B$134&amp;$AS$82&amp;"C"&amp;$A178)="N/A",0,RTD("tos.rtd",,DC$43,"."&amp;$B$134&amp;$AS$82&amp;"C"&amp;$A178))</f>
        <v>584</v>
      </c>
      <c r="DD178" s="3">
        <f>IF(RTD("tos.rtd",,DD$43,"."&amp;$B$134&amp;$AS$82&amp;"P"&amp;$A178)="N/A",0,RTD("tos.rtd",,DD$43,"."&amp;$B$134&amp;$AS$82&amp;"P"&amp;$A178))</f>
        <v>20</v>
      </c>
      <c r="DE178" s="3">
        <f>IF(RTD("tos.rtd",,DE$43,"."&amp;$B$134&amp;$AS$82&amp;"C"&amp;$A178)="N/A",0,RTD("tos.rtd",,DE$43,"."&amp;$B$134&amp;$AS$82&amp;"C"&amp;$A178))</f>
        <v>506</v>
      </c>
      <c r="DF178" s="3">
        <f>IF(RTD("tos.rtd",,DF$43,"."&amp;$B$134&amp;$AS$82&amp;"P"&amp;$A178)="N/A",0,RTD("tos.rtd",,DF$43,"."&amp;$B$134&amp;$AS$82&amp;"P"&amp;$A178))</f>
        <v>0</v>
      </c>
      <c r="DG178" s="86">
        <f t="shared" si="590"/>
        <v>-536.44900000000052</v>
      </c>
      <c r="DH178" s="3">
        <f t="shared" si="557"/>
        <v>0</v>
      </c>
      <c r="DI178" s="3">
        <f t="shared" si="558"/>
        <v>0.72249999999999992</v>
      </c>
      <c r="DJ178" s="3">
        <f t="shared" si="559"/>
        <v>0</v>
      </c>
      <c r="DK178" s="3">
        <f t="shared" si="560"/>
        <v>-17</v>
      </c>
      <c r="DL178" s="3">
        <f t="shared" si="561"/>
        <v>0.72249999999999992</v>
      </c>
      <c r="DM178" s="3">
        <f t="shared" si="562"/>
        <v>-17</v>
      </c>
      <c r="DN178" s="64" t="str">
        <f t="shared" si="563"/>
        <v>UNKNOWN</v>
      </c>
      <c r="DO178" s="64" t="str">
        <f t="shared" si="564"/>
        <v>UNKNOWN</v>
      </c>
      <c r="DP178" s="3">
        <f t="shared" si="565"/>
        <v>0.61412499999999992</v>
      </c>
      <c r="DQ178" s="3">
        <f t="shared" si="566"/>
        <v>-14.45</v>
      </c>
      <c r="DR178" s="3" t="e">
        <f t="shared" ca="1" si="567"/>
        <v>#NUM!</v>
      </c>
      <c r="DS178" s="3">
        <f t="shared" si="568"/>
        <v>-1.02</v>
      </c>
      <c r="DT178" s="3">
        <f t="shared" si="591"/>
        <v>0</v>
      </c>
      <c r="DU178" s="3">
        <f t="shared" si="592"/>
        <v>17</v>
      </c>
      <c r="DV178" s="3">
        <f t="shared" si="569"/>
        <v>0</v>
      </c>
      <c r="DW178" s="3">
        <f t="shared" si="570"/>
        <v>-31</v>
      </c>
      <c r="DX178" s="3" t="e">
        <f t="shared" ca="1" si="654"/>
        <v>#NUM!</v>
      </c>
      <c r="DY178" s="3" t="e">
        <f t="shared" ca="1" si="655"/>
        <v>#NUM!</v>
      </c>
      <c r="DZ178" s="3" t="e">
        <f t="shared" ca="1" si="656"/>
        <v>#NUM!</v>
      </c>
      <c r="EA178" s="3" t="e">
        <f t="shared" ca="1" si="657"/>
        <v>#NUM!</v>
      </c>
      <c r="EB178" s="3" t="e">
        <f t="shared" ca="1" si="658"/>
        <v>#NUM!</v>
      </c>
      <c r="EC178" s="3" t="e">
        <f t="shared" ca="1" si="659"/>
        <v>#NUM!</v>
      </c>
      <c r="ED178" s="63">
        <f t="shared" si="593"/>
        <v>-31</v>
      </c>
      <c r="EE178" s="59">
        <f t="shared" si="577"/>
        <v>2.2848999999999999</v>
      </c>
      <c r="EF178" s="59">
        <f t="shared" si="578"/>
        <v>2.3675999999999999</v>
      </c>
      <c r="EG178" s="59">
        <f t="shared" si="579"/>
        <v>0.25</v>
      </c>
      <c r="EH178" s="59">
        <f t="shared" si="580"/>
        <v>1.5768</v>
      </c>
      <c r="EI178" s="59">
        <f t="shared" si="581"/>
        <v>0.28589999999999999</v>
      </c>
      <c r="EJ178" s="59">
        <f t="shared" si="582"/>
        <v>0.30549999999999999</v>
      </c>
      <c r="EK178" s="63" t="e">
        <f t="shared" ca="1" si="594"/>
        <v>#NUM!</v>
      </c>
      <c r="EL178" s="3" t="str">
        <f>RTD("tos.rtd",,EL$43,"."&amp;$B$134&amp;$AS$82&amp;"C"&amp;$A178)</f>
        <v>228.49%</v>
      </c>
      <c r="EM178" s="3" t="str">
        <f>RTD("tos.rtd",,EM$43,"."&amp;$B$134&amp;$AS$82&amp;"P"&amp;$A178)</f>
        <v>236.76%</v>
      </c>
      <c r="EN178" s="3" t="str">
        <f>RTD("tos.rtd",,EN$2,"."&amp;$C$134&amp;$AU$82&amp;"C"&amp;$A178)</f>
        <v>--</v>
      </c>
      <c r="EO178" s="3" t="str">
        <f>RTD("tos.rtd",,EO$2,"."&amp;$C$134&amp;$AU$82&amp;"P"&amp;$A178)</f>
        <v>157.68%</v>
      </c>
      <c r="EP178" s="3" t="str">
        <f>RTD("tos.rtd",,EP$2,"."&amp;$D$134&amp;$AW$82&amp;"C"&amp;$A178)</f>
        <v>28.59%</v>
      </c>
      <c r="EQ178" s="3" t="str">
        <f>RTD("tos.rtd",,EQ$2,"."&amp;$D$134&amp;$AW$82&amp;"P"&amp;$A178)</f>
        <v>30.55%</v>
      </c>
      <c r="ES178" s="63" t="str">
        <f t="shared" si="583"/>
        <v>19525,-31.00</v>
      </c>
      <c r="ET178" s="63" t="str">
        <f t="shared" ca="1" si="584"/>
        <v>19525,00.00</v>
      </c>
      <c r="EU178" s="68">
        <v>563.85</v>
      </c>
      <c r="EV178" s="68" t="s">
        <v>1443</v>
      </c>
      <c r="EW178" s="68">
        <v>486.65</v>
      </c>
      <c r="EX178" s="68" t="s">
        <v>1444</v>
      </c>
      <c r="EY178" s="68">
        <v>5631.28</v>
      </c>
      <c r="EZ178" s="68" t="s">
        <v>1445</v>
      </c>
      <c r="FA178" s="68">
        <v>19867.973000000002</v>
      </c>
      <c r="FB178" s="68" t="s">
        <v>1446</v>
      </c>
      <c r="FC178" s="68" t="s">
        <v>1447</v>
      </c>
      <c r="FD178" s="68" t="s">
        <v>1448</v>
      </c>
      <c r="FE178" s="68" t="s">
        <v>1449</v>
      </c>
      <c r="FF178" s="68" t="s">
        <v>1450</v>
      </c>
    </row>
    <row r="179" spans="1:162" ht="11.1" customHeight="1" thickBot="1" x14ac:dyDescent="0.25">
      <c r="A179" s="2">
        <f t="shared" si="595"/>
        <v>19500</v>
      </c>
      <c r="B179" s="3">
        <f t="shared" si="631"/>
        <v>25</v>
      </c>
      <c r="C179" s="3">
        <f t="shared" si="632"/>
        <v>52</v>
      </c>
      <c r="D179" s="3">
        <f t="shared" si="633"/>
        <v>178</v>
      </c>
      <c r="E179" s="3">
        <f t="shared" si="634"/>
        <v>255</v>
      </c>
      <c r="F179" s="4">
        <f t="shared" si="635"/>
        <v>19882.779902887374</v>
      </c>
      <c r="G179" s="5">
        <f t="shared" si="636"/>
        <v>481.9048713779348</v>
      </c>
      <c r="AM179" s="1">
        <v>-6</v>
      </c>
      <c r="AN179" s="1">
        <v>909</v>
      </c>
      <c r="AO179" s="1">
        <v>19500</v>
      </c>
      <c r="AP179" s="1">
        <v>1</v>
      </c>
      <c r="AQ179" s="1">
        <v>-232</v>
      </c>
      <c r="AS179" s="54">
        <f>IF(RTD("tos.rtd",,AS$83,"."&amp;$B$134&amp;$AS$82&amp;"C"&amp;$A179)="N/A",0,RTD("tos.rtd",,AS$83,"."&amp;$B$134&amp;$AS$82&amp;"C"&amp;$A179))</f>
        <v>14</v>
      </c>
      <c r="AT179" s="3">
        <f>-IF(RTD("tos.rtd",,AT$83,"."&amp;$B$134&amp;$AS$82&amp;"P"&amp;$A179)="N/A",0,RTD("tos.rtd",,AT$83,"."&amp;$B$134&amp;$AS$82&amp;"P"&amp;$A179))</f>
        <v>-11</v>
      </c>
      <c r="AU179" s="54">
        <f>IF(RTD("tos.rtd",,AU$2,"."&amp;$C$134&amp;$AU$134&amp;"C"&amp;$A179)="N/A",0,RTD("tos.rtd",,AU$2,"."&amp;$C$134&amp;$AU$134&amp;"C"&amp;$A179))</f>
        <v>15</v>
      </c>
      <c r="AV179" s="3">
        <f>-IF(RTD("tos.rtd",,AV$2,"."&amp;$C$134&amp;$AU$134&amp;"P"&amp;$A179)="N/A",0,RTD("tos.rtd",,AV$2,"."&amp;$C$134&amp;$AU$134&amp;"P"&amp;$A179))</f>
        <v>-37</v>
      </c>
      <c r="AW179" s="54">
        <f>IF(RTD("tos.rtd",,AW$2,"."&amp;$D$134&amp;$AW$134&amp;"C"&amp;$A179)="N/A",0,RTD("tos.rtd",,AW$2,"."&amp;$D$134&amp;$AW$134&amp;"C"&amp;$A179))</f>
        <v>81</v>
      </c>
      <c r="AX179" s="3">
        <f>-IF(RTD("tos.rtd",,AX$2,"."&amp;$D$134&amp;$AW$134&amp;"P"&amp;$A179)="N/A",0,RTD("tos.rtd",,AX$2,"."&amp;$D$134&amp;$AW$134&amp;"P"&amp;$A179))</f>
        <v>-97</v>
      </c>
      <c r="AY179" s="76">
        <f t="shared" si="637"/>
        <v>-35</v>
      </c>
      <c r="AZ179" s="8">
        <f t="shared" si="548"/>
        <v>19500</v>
      </c>
      <c r="BA179" s="54">
        <f>IF(RTD("tos.rtd",,BA$43,"."&amp;$B$134&amp;$AS$82&amp;"C"&amp;$A179)="N/A",0,RTD("tos.rtd",,BA$43,"."&amp;$B$134&amp;$AS$82&amp;"C"&amp;$A179))</f>
        <v>0</v>
      </c>
      <c r="BB179" s="3">
        <f>-IF(RTD("tos.rtd",,BB$43,"."&amp;$B$134&amp;$AS$82&amp;"P"&amp;$A179)="N/A",0,RTD("tos.rtd",,BB$43,"."&amp;$B$134&amp;$AS$82&amp;"P"&amp;$A179))</f>
        <v>0</v>
      </c>
      <c r="BC179" s="54">
        <f>IF(RTD("tos.rtd",,BC$2,"."&amp;$C$134&amp;$AU$82&amp;"C"&amp;$A179)="N/A",0,RTD("tos.rtd",,BC$2,"."&amp;$C$134&amp;$AU$82&amp;"C"&amp;$A179))</f>
        <v>9</v>
      </c>
      <c r="BD179" s="3">
        <f>-IF(RTD("tos.rtd",,BD$2,"."&amp;$C$134&amp;$AU$82&amp;"P"&amp;$A179)="N/A",0,RTD("tos.rtd",,BD$2,"."&amp;$C$134&amp;$AU$82&amp;"P"&amp;$A179))</f>
        <v>-178</v>
      </c>
      <c r="BE179" s="54">
        <f>IF(RTD("tos.rtd",,BE$2,"."&amp;$D$134&amp;$AW$82&amp;"C"&amp;$A179)="N/A",0,RTD("tos.rtd",,BE$2,"."&amp;$D$134&amp;$AW$82&amp;"C"&amp;$A179))</f>
        <v>0</v>
      </c>
      <c r="BF179" s="3">
        <f>-IF(RTD("tos.rtd",,BF$2,"."&amp;$D$134&amp;$AW$82&amp;"P"&amp;$A179)="N/A",0,RTD("tos.rtd",,BF$2,"."&amp;$D$134&amp;$AW$82&amp;"P"&amp;$A179))</f>
        <v>-13</v>
      </c>
      <c r="BG179" s="3">
        <f ca="1">+Hoja2!Y180</f>
        <v>-19</v>
      </c>
      <c r="BH179" s="7">
        <f t="shared" ca="1" si="549"/>
        <v>-201</v>
      </c>
      <c r="BI179" s="32" t="str">
        <f t="shared" ca="1" si="609"/>
        <v/>
      </c>
      <c r="BJ179" s="3" t="e">
        <f ca="1">IF($BP$1=1,DX179,IF(RTD("tos.rtd",,BJ$43,"."&amp;$B$134&amp;$AS$82&amp;"C"&amp;$A179)="N/A",0,RTD("tos.rtd",,BJ$43,"."&amp;$B$134&amp;$AS$82&amp;"C"&amp;$A179)))</f>
        <v>#NUM!</v>
      </c>
      <c r="BK179" s="3" t="e">
        <f ca="1">IF($BP$1=1,DY179,-IF(RTD("tos.rtd",,BK$43,"."&amp;$B$134&amp;$AS$82&amp;"P"&amp;$A179)="N/A",0,RTD("tos.rtd",,BK$43,"."&amp;$B$134&amp;$AS$82&amp;"P"&amp;$A179)))</f>
        <v>#NUM!</v>
      </c>
      <c r="BL179" s="3" t="e">
        <f ca="1">IF($BP$1=1,DZ179,IF(RTD("tos.rtd",,BL$2,"."&amp;$C$134&amp;$AU$82&amp;"C"&amp;$A179)="N/A",0,RTD("tos.rtd",,BL$2,"."&amp;$C$134&amp;$AU$82&amp;"C"&amp;$A179)))</f>
        <v>#NUM!</v>
      </c>
      <c r="BM179" s="3" t="e">
        <f ca="1">IF($BP$1=1,EA179,-IF(RTD("tos.rtd",,BM$2,"."&amp;$C$134&amp;$AU$82&amp;"P"&amp;$A179)="N/A",0,RTD("tos.rtd",,BM$2,"."&amp;$C$134&amp;$AU$82&amp;"P"&amp;$A179)))</f>
        <v>#NUM!</v>
      </c>
      <c r="BN179" s="3" t="e">
        <f ca="1">IF($BP$1=1,EB179,IF(RTD("tos.rtd",,BN$2,"."&amp;$D$134&amp;$AW$82&amp;"C"&amp;$A179)="N/A",0,RTD("tos.rtd",,BN$2,"."&amp;$D$134&amp;$AW$82&amp;"C"&amp;$A179)))</f>
        <v>#NUM!</v>
      </c>
      <c r="BO179" s="3" t="e">
        <f ca="1">IF($BP$1=1,EC179,-IF(RTD("tos.rtd",,BO$2,"."&amp;$D$134&amp;$AW$82&amp;"P"&amp;$A179)="N/A",0,RTD("tos.rtd",,BO$2,"."&amp;$D$134&amp;$AW$82&amp;"P"&amp;$A179)))</f>
        <v>#NUM!</v>
      </c>
      <c r="BQ179" s="3" t="e">
        <f t="shared" ca="1" si="638"/>
        <v>#NUM!</v>
      </c>
      <c r="BR179" s="3" t="e">
        <f t="shared" ca="1" si="550"/>
        <v>#NUM!</v>
      </c>
      <c r="BS179" s="3" t="e">
        <f t="shared" ca="1" si="639"/>
        <v>#NUM!</v>
      </c>
      <c r="BT179" s="3" t="e">
        <f t="shared" ca="1" si="551"/>
        <v>#NUM!</v>
      </c>
      <c r="BU179" s="3" t="e">
        <f t="shared" ca="1" si="640"/>
        <v>#NUM!</v>
      </c>
      <c r="BV179" s="3" t="e">
        <f t="shared" ca="1" si="551"/>
        <v>#NUM!</v>
      </c>
      <c r="BX179" s="3" t="e">
        <f t="shared" ca="1" si="585"/>
        <v>#NUM!</v>
      </c>
      <c r="BY179" s="3" t="e">
        <f t="shared" ca="1" si="586"/>
        <v>#NUM!</v>
      </c>
      <c r="BZ179" s="3" t="e">
        <f t="shared" ca="1" si="587"/>
        <v>#NUM!</v>
      </c>
      <c r="CA179" s="3" t="e">
        <f t="shared" ca="1" si="586"/>
        <v>#NUM!</v>
      </c>
      <c r="CB179" s="3" t="e">
        <f t="shared" ca="1" si="588"/>
        <v>#NUM!</v>
      </c>
      <c r="CC179" s="3" t="e">
        <f t="shared" ca="1" si="586"/>
        <v>#NUM!</v>
      </c>
      <c r="CD179" s="3">
        <f>IF(RTD("tos.rtd",,CD$43,"."&amp;$B$134&amp;$AS$82&amp;"C"&amp;$A179)="N/A",0,RTD("tos.rtd",,CD$43,"."&amp;$B$134&amp;$AS$82&amp;"C"&amp;$A179))</f>
        <v>0.94</v>
      </c>
      <c r="CE179" s="3">
        <f>-IF(RTD("tos.rtd",,CE$43,"."&amp;$B$134&amp;$AS$82&amp;"P"&amp;$A179)="N/A",0,RTD("tos.rtd",,CE$43,"."&amp;$B$134&amp;$AS$82&amp;"P"&amp;$A179))</f>
        <v>0.02</v>
      </c>
      <c r="CF179" s="3">
        <f>IF(RTD("tos.rtd",,CF$2,"."&amp;$C$134&amp;$AU$82&amp;"C"&amp;$A179)="N/A",0,RTD("tos.rtd",,CF$2,"."&amp;$C$134&amp;$AU$82&amp;"C"&amp;$A179))</f>
        <v>0.97</v>
      </c>
      <c r="CG179" s="3">
        <f>-IF(RTD("tos.rtd",,CG$2,"."&amp;$C$134&amp;$AU$82&amp;"P"&amp;$A179)="N/A",0,RTD("tos.rtd",,CG$2,"."&amp;$C$134&amp;$AU$82&amp;"P"&amp;$A179))</f>
        <v>0.01</v>
      </c>
      <c r="CH179" s="3">
        <f>IF(RTD("tos.rtd",,CH$2,"."&amp;$D$134&amp;$AW$82&amp;"C"&amp;$A179)="N/A",0,RTD("tos.rtd",,CH$2,"."&amp;$D$134&amp;$AW$82&amp;"C"&amp;$A179))</f>
        <v>0.82</v>
      </c>
      <c r="CI179" s="3">
        <f>-IF(RTD("tos.rtd",,CI$2,"."&amp;$D$134&amp;$AW$82&amp;"P"&amp;$A179)="N/A",0,RTD("tos.rtd",,CI$2,"."&amp;$D$134&amp;$AW$82&amp;"P"&amp;$A179))</f>
        <v>0.19</v>
      </c>
      <c r="CK179" s="3">
        <f t="shared" si="660"/>
        <v>1294</v>
      </c>
      <c r="CL179" s="3"/>
      <c r="CM179" s="3">
        <f t="shared" si="661"/>
        <v>1418</v>
      </c>
      <c r="CN179" s="3"/>
      <c r="CO179" s="3">
        <f t="shared" si="662"/>
        <v>4799</v>
      </c>
      <c r="CP179" s="3">
        <f t="shared" si="542"/>
        <v>7511</v>
      </c>
      <c r="CQ179" s="3">
        <f t="shared" si="552"/>
        <v>0</v>
      </c>
      <c r="CR179" s="3"/>
      <c r="CS179" s="3">
        <f t="shared" si="553"/>
        <v>-169</v>
      </c>
      <c r="CT179" s="3"/>
      <c r="CU179" s="3">
        <f t="shared" si="554"/>
        <v>-13</v>
      </c>
      <c r="CV179" s="3"/>
      <c r="CW179" s="3" t="e">
        <f t="shared" ca="1" si="555"/>
        <v>#NUM!</v>
      </c>
      <c r="CY179" s="3" t="e">
        <f t="shared" ca="1" si="556"/>
        <v>#NUM!</v>
      </c>
      <c r="CZ179" s="70" t="e">
        <f t="shared" ca="1" si="589"/>
        <v>#NUM!</v>
      </c>
      <c r="DA179" s="3">
        <f>IF(RTD("tos.rtd",,DA$43,"."&amp;$B$134&amp;$AS$82&amp;"C"&amp;$A179)="N/A",0,RTD("tos.rtd",,DA$43,"."&amp;$B$134&amp;$AS$82&amp;"C"&amp;$A179))</f>
        <v>679.1</v>
      </c>
      <c r="DB179" s="3">
        <f>IF(RTD("tos.rtd",,DB$43,"."&amp;$B$134&amp;$AS$82&amp;"P"&amp;$A179)="N/A",0,RTD("tos.rtd",,DB$43,"."&amp;$B$134&amp;$AS$82&amp;"P"&amp;$A179))</f>
        <v>0.13</v>
      </c>
      <c r="DC179" s="3">
        <f>IF(RTD("tos.rtd",,DC$43,"."&amp;$B$134&amp;$AS$82&amp;"C"&amp;$A179)="N/A",0,RTD("tos.rtd",,DC$43,"."&amp;$B$134&amp;$AS$82&amp;"C"&amp;$A179))</f>
        <v>610</v>
      </c>
      <c r="DD179" s="3">
        <f>IF(RTD("tos.rtd",,DD$43,"."&amp;$B$134&amp;$AS$82&amp;"P"&amp;$A179)="N/A",0,RTD("tos.rtd",,DD$43,"."&amp;$B$134&amp;$AS$82&amp;"P"&amp;$A179))</f>
        <v>5</v>
      </c>
      <c r="DE179" s="3">
        <f>IF(RTD("tos.rtd",,DE$43,"."&amp;$B$134&amp;$AS$82&amp;"C"&amp;$A179)="N/A",0,RTD("tos.rtd",,DE$43,"."&amp;$B$134&amp;$AS$82&amp;"C"&amp;$A179))</f>
        <v>530</v>
      </c>
      <c r="DF179" s="3">
        <f>IF(RTD("tos.rtd",,DF$43,"."&amp;$B$134&amp;$AS$82&amp;"P"&amp;$A179)="N/A",0,RTD("tos.rtd",,DF$43,"."&amp;$B$134&amp;$AS$82&amp;"P"&amp;$A179))</f>
        <v>0</v>
      </c>
      <c r="DG179" s="86">
        <f t="shared" si="590"/>
        <v>-561.44900000000052</v>
      </c>
      <c r="DH179" s="3">
        <f t="shared" si="557"/>
        <v>-1.8637500000000002</v>
      </c>
      <c r="DI179" s="3">
        <f t="shared" si="558"/>
        <v>6.0320000000000009</v>
      </c>
      <c r="DJ179" s="3">
        <f t="shared" si="559"/>
        <v>-1</v>
      </c>
      <c r="DK179" s="3">
        <f t="shared" si="560"/>
        <v>-232</v>
      </c>
      <c r="DL179" s="3">
        <f t="shared" si="561"/>
        <v>4.1682500000000005</v>
      </c>
      <c r="DM179" s="3">
        <f t="shared" si="562"/>
        <v>-233</v>
      </c>
      <c r="DN179" s="64" t="str">
        <f t="shared" si="563"/>
        <v>UNKNOWN</v>
      </c>
      <c r="DO179" s="64" t="str">
        <f t="shared" si="564"/>
        <v>UNKNOWN</v>
      </c>
      <c r="DP179" s="3">
        <f t="shared" si="565"/>
        <v>-1264.8884650000002</v>
      </c>
      <c r="DQ179" s="3">
        <f t="shared" si="566"/>
        <v>-709.26</v>
      </c>
      <c r="DR179" s="3" t="e">
        <f t="shared" ca="1" si="567"/>
        <v>#NUM!</v>
      </c>
      <c r="DS179" s="3">
        <f t="shared" si="568"/>
        <v>-5.58</v>
      </c>
      <c r="DT179" s="3">
        <f t="shared" si="591"/>
        <v>-1</v>
      </c>
      <c r="DU179" s="3">
        <f t="shared" si="592"/>
        <v>232</v>
      </c>
      <c r="DV179" s="3">
        <f t="shared" si="569"/>
        <v>-6</v>
      </c>
      <c r="DW179" s="3">
        <f t="shared" si="570"/>
        <v>909</v>
      </c>
      <c r="DX179" s="3" t="e">
        <f t="shared" ca="1" si="654"/>
        <v>#NUM!</v>
      </c>
      <c r="DY179" s="3" t="e">
        <f t="shared" ca="1" si="655"/>
        <v>#NUM!</v>
      </c>
      <c r="DZ179" s="3" t="e">
        <f t="shared" ca="1" si="656"/>
        <v>#NUM!</v>
      </c>
      <c r="EA179" s="3" t="e">
        <f t="shared" ca="1" si="657"/>
        <v>#NUM!</v>
      </c>
      <c r="EB179" s="3" t="e">
        <f t="shared" ca="1" si="658"/>
        <v>#NUM!</v>
      </c>
      <c r="EC179" s="3" t="e">
        <f t="shared" ca="1" si="659"/>
        <v>#NUM!</v>
      </c>
      <c r="ED179" s="63">
        <f t="shared" si="593"/>
        <v>903</v>
      </c>
      <c r="EE179" s="59">
        <f t="shared" si="577"/>
        <v>2.3698000000000001</v>
      </c>
      <c r="EF179" s="59">
        <f t="shared" si="578"/>
        <v>1.8935999999999999</v>
      </c>
      <c r="EG179" s="59">
        <f t="shared" si="579"/>
        <v>1.9340999999999999</v>
      </c>
      <c r="EH179" s="59">
        <f t="shared" si="580"/>
        <v>1.6356999999999999</v>
      </c>
      <c r="EI179" s="59">
        <f t="shared" si="581"/>
        <v>0.28589999999999999</v>
      </c>
      <c r="EJ179" s="59">
        <f t="shared" si="582"/>
        <v>0.30630000000000002</v>
      </c>
      <c r="EK179" s="63" t="e">
        <f t="shared" ca="1" si="594"/>
        <v>#NUM!</v>
      </c>
      <c r="EL179" s="3" t="str">
        <f>RTD("tos.rtd",,EL$43,"."&amp;$B$134&amp;$AS$82&amp;"C"&amp;$A179)</f>
        <v>236.98%</v>
      </c>
      <c r="EM179" s="3" t="str">
        <f>RTD("tos.rtd",,EM$43,"."&amp;$B$134&amp;$AS$82&amp;"P"&amp;$A179)</f>
        <v>189.36%</v>
      </c>
      <c r="EN179" s="3" t="str">
        <f>RTD("tos.rtd",,EN$2,"."&amp;$C$134&amp;$AU$82&amp;"C"&amp;$A179)</f>
        <v>193.41%</v>
      </c>
      <c r="EO179" s="3" t="str">
        <f>RTD("tos.rtd",,EO$2,"."&amp;$C$134&amp;$AU$82&amp;"P"&amp;$A179)</f>
        <v>163.57%</v>
      </c>
      <c r="EP179" s="3" t="str">
        <f>RTD("tos.rtd",,EP$2,"."&amp;$D$134&amp;$AW$82&amp;"C"&amp;$A179)</f>
        <v>28.59%</v>
      </c>
      <c r="EQ179" s="3" t="str">
        <f>RTD("tos.rtd",,EQ$2,"."&amp;$D$134&amp;$AW$82&amp;"P"&amp;$A179)</f>
        <v>30.63%</v>
      </c>
      <c r="ES179" s="63" t="str">
        <f t="shared" si="583"/>
        <v>19500,903.00</v>
      </c>
      <c r="ET179" s="63" t="str">
        <f t="shared" ca="1" si="584"/>
        <v>19500,00.00</v>
      </c>
      <c r="EU179" s="68">
        <v>563.78</v>
      </c>
      <c r="EV179" s="68" t="s">
        <v>1451</v>
      </c>
      <c r="EW179" s="68">
        <v>486.5</v>
      </c>
      <c r="EX179" s="68" t="s">
        <v>1452</v>
      </c>
      <c r="EY179" s="68">
        <v>5631.28</v>
      </c>
      <c r="EZ179" s="68" t="s">
        <v>1453</v>
      </c>
      <c r="FA179" s="68">
        <v>19867.973000000002</v>
      </c>
      <c r="FB179" s="68" t="s">
        <v>1454</v>
      </c>
      <c r="FC179" s="68" t="s">
        <v>1455</v>
      </c>
      <c r="FD179" s="68" t="s">
        <v>1456</v>
      </c>
      <c r="FE179" s="68" t="s">
        <v>1457</v>
      </c>
      <c r="FF179" s="68" t="s">
        <v>1458</v>
      </c>
    </row>
    <row r="180" spans="1:162" ht="11.1" customHeight="1" thickBot="1" x14ac:dyDescent="0.25">
      <c r="A180" s="2">
        <f t="shared" si="595"/>
        <v>19475</v>
      </c>
      <c r="B180" s="3">
        <f t="shared" si="631"/>
        <v>11</v>
      </c>
      <c r="C180" s="3">
        <f t="shared" si="632"/>
        <v>11</v>
      </c>
      <c r="D180" s="3">
        <f t="shared" si="633"/>
        <v>291</v>
      </c>
      <c r="E180" s="3">
        <f t="shared" si="634"/>
        <v>313</v>
      </c>
      <c r="F180" s="4">
        <f t="shared" si="635"/>
        <v>19857.289159422133</v>
      </c>
      <c r="G180" s="5">
        <f t="shared" si="636"/>
        <v>481.28704461975798</v>
      </c>
      <c r="AM180" s="1">
        <v>0</v>
      </c>
      <c r="AN180" s="1">
        <v>-46</v>
      </c>
      <c r="AO180" s="1">
        <v>19475</v>
      </c>
      <c r="AP180" s="1">
        <v>0</v>
      </c>
      <c r="AQ180" s="1">
        <v>-50</v>
      </c>
      <c r="AS180" s="54">
        <f>IF(RTD("tos.rtd",,AS$83,"."&amp;$B$134&amp;$AS$82&amp;"C"&amp;$A180)="N/A",0,RTD("tos.rtd",,AS$83,"."&amp;$B$134&amp;$AS$82&amp;"C"&amp;$A180))</f>
        <v>0</v>
      </c>
      <c r="AT180" s="3">
        <f>-IF(RTD("tos.rtd",,AT$83,"."&amp;$B$134&amp;$AS$82&amp;"P"&amp;$A180)="N/A",0,RTD("tos.rtd",,AT$83,"."&amp;$B$134&amp;$AS$82&amp;"P"&amp;$A180))</f>
        <v>-11</v>
      </c>
      <c r="AU180" s="54">
        <f>IF(RTD("tos.rtd",,AU$2,"."&amp;$C$134&amp;$AU$134&amp;"C"&amp;$A180)="N/A",0,RTD("tos.rtd",,AU$2,"."&amp;$C$134&amp;$AU$134&amp;"C"&amp;$A180))</f>
        <v>1</v>
      </c>
      <c r="AV180" s="3">
        <f>-IF(RTD("tos.rtd",,AV$2,"."&amp;$C$134&amp;$AU$134&amp;"P"&amp;$A180)="N/A",0,RTD("tos.rtd",,AV$2,"."&amp;$C$134&amp;$AU$134&amp;"P"&amp;$A180))</f>
        <v>-10</v>
      </c>
      <c r="AW180" s="54">
        <f>IF(RTD("tos.rtd",,AW$2,"."&amp;$D$134&amp;$AW$134&amp;"C"&amp;$A180)="N/A",0,RTD("tos.rtd",,AW$2,"."&amp;$D$134&amp;$AW$134&amp;"C"&amp;$A180))</f>
        <v>257</v>
      </c>
      <c r="AX180" s="3">
        <f>-IF(RTD("tos.rtd",,AX$2,"."&amp;$D$134&amp;$AW$134&amp;"P"&amp;$A180)="N/A",0,RTD("tos.rtd",,AX$2,"."&amp;$D$134&amp;$AW$134&amp;"P"&amp;$A180))</f>
        <v>-34</v>
      </c>
      <c r="AY180" s="76">
        <f t="shared" si="637"/>
        <v>203</v>
      </c>
      <c r="AZ180" s="8">
        <f t="shared" si="548"/>
        <v>19475</v>
      </c>
      <c r="BA180" s="54">
        <f>IF(RTD("tos.rtd",,BA$43,"."&amp;$B$134&amp;$AS$82&amp;"C"&amp;$A180)="N/A",0,RTD("tos.rtd",,BA$43,"."&amp;$B$134&amp;$AS$82&amp;"C"&amp;$A180))</f>
        <v>0</v>
      </c>
      <c r="BB180" s="3">
        <f>-IF(RTD("tos.rtd",,BB$43,"."&amp;$B$134&amp;$AS$82&amp;"P"&amp;$A180)="N/A",0,RTD("tos.rtd",,BB$43,"."&amp;$B$134&amp;$AS$82&amp;"P"&amp;$A180))</f>
        <v>0</v>
      </c>
      <c r="BC180" s="54">
        <f>IF(RTD("tos.rtd",,BC$2,"."&amp;$C$134&amp;$AU$82&amp;"C"&amp;$A180)="N/A",0,RTD("tos.rtd",,BC$2,"."&amp;$C$134&amp;$AU$82&amp;"C"&amp;$A180))</f>
        <v>0</v>
      </c>
      <c r="BD180" s="3">
        <f>-IF(RTD("tos.rtd",,BD$2,"."&amp;$C$134&amp;$AU$82&amp;"P"&amp;$A180)="N/A",0,RTD("tos.rtd",,BD$2,"."&amp;$C$134&amp;$AU$82&amp;"P"&amp;$A180))</f>
        <v>-5</v>
      </c>
      <c r="BE180" s="54">
        <f>IF(RTD("tos.rtd",,BE$2,"."&amp;$D$134&amp;$AW$82&amp;"C"&amp;$A180)="N/A",0,RTD("tos.rtd",,BE$2,"."&amp;$D$134&amp;$AW$82&amp;"C"&amp;$A180))</f>
        <v>0</v>
      </c>
      <c r="BF180" s="3">
        <f>-IF(RTD("tos.rtd",,BF$2,"."&amp;$D$134&amp;$AW$82&amp;"P"&amp;$A180)="N/A",0,RTD("tos.rtd",,BF$2,"."&amp;$D$134&amp;$AW$82&amp;"P"&amp;$A180))</f>
        <v>-6</v>
      </c>
      <c r="BG180" s="3">
        <f ca="1">+Hoja2!Y181</f>
        <v>-7</v>
      </c>
      <c r="BH180" s="7">
        <f t="shared" ca="1" si="549"/>
        <v>-18</v>
      </c>
      <c r="BI180" s="32" t="str">
        <f t="shared" ca="1" si="609"/>
        <v/>
      </c>
      <c r="BJ180" s="3" t="e">
        <f ca="1">IF($BP$1=1,DX180,IF(RTD("tos.rtd",,BJ$43,"."&amp;$B$134&amp;$AS$82&amp;"C"&amp;$A180)="N/A",0,RTD("tos.rtd",,BJ$43,"."&amp;$B$134&amp;$AS$82&amp;"C"&amp;$A180)))</f>
        <v>#NUM!</v>
      </c>
      <c r="BK180" s="3" t="e">
        <f ca="1">IF($BP$1=1,DY180,-IF(RTD("tos.rtd",,BK$43,"."&amp;$B$134&amp;$AS$82&amp;"P"&amp;$A180)="N/A",0,RTD("tos.rtd",,BK$43,"."&amp;$B$134&amp;$AS$82&amp;"P"&amp;$A180)))</f>
        <v>#NUM!</v>
      </c>
      <c r="BL180" s="3" t="e">
        <f ca="1">IF($BP$1=1,DZ180,IF(RTD("tos.rtd",,BL$2,"."&amp;$C$134&amp;$AU$82&amp;"C"&amp;$A180)="N/A",0,RTD("tos.rtd",,BL$2,"."&amp;$C$134&amp;$AU$82&amp;"C"&amp;$A180)))</f>
        <v>#NUM!</v>
      </c>
      <c r="BM180" s="3" t="e">
        <f ca="1">IF($BP$1=1,EA180,-IF(RTD("tos.rtd",,BM$2,"."&amp;$C$134&amp;$AU$82&amp;"P"&amp;$A180)="N/A",0,RTD("tos.rtd",,BM$2,"."&amp;$C$134&amp;$AU$82&amp;"P"&amp;$A180)))</f>
        <v>#NUM!</v>
      </c>
      <c r="BN180" s="3" t="e">
        <f ca="1">IF($BP$1=1,EB180,IF(RTD("tos.rtd",,BN$2,"."&amp;$D$134&amp;$AW$82&amp;"C"&amp;$A180)="N/A",0,RTD("tos.rtd",,BN$2,"."&amp;$D$134&amp;$AW$82&amp;"C"&amp;$A180)))</f>
        <v>#NUM!</v>
      </c>
      <c r="BO180" s="3" t="e">
        <f ca="1">IF($BP$1=1,EC180,-IF(RTD("tos.rtd",,BO$2,"."&amp;$D$134&amp;$AW$82&amp;"P"&amp;$A180)="N/A",0,RTD("tos.rtd",,BO$2,"."&amp;$D$134&amp;$AW$82&amp;"P"&amp;$A180)))</f>
        <v>#NUM!</v>
      </c>
      <c r="BQ180" s="3" t="e">
        <f t="shared" ca="1" si="638"/>
        <v>#NUM!</v>
      </c>
      <c r="BR180" s="3" t="e">
        <f t="shared" ca="1" si="550"/>
        <v>#NUM!</v>
      </c>
      <c r="BS180" s="3" t="e">
        <f t="shared" ca="1" si="639"/>
        <v>#NUM!</v>
      </c>
      <c r="BT180" s="3" t="e">
        <f t="shared" ca="1" si="551"/>
        <v>#NUM!</v>
      </c>
      <c r="BU180" s="3" t="e">
        <f t="shared" ca="1" si="640"/>
        <v>#NUM!</v>
      </c>
      <c r="BV180" s="3" t="e">
        <f t="shared" ca="1" si="551"/>
        <v>#NUM!</v>
      </c>
      <c r="BX180" s="3" t="e">
        <f t="shared" ca="1" si="585"/>
        <v>#NUM!</v>
      </c>
      <c r="BY180" s="3" t="e">
        <f t="shared" ca="1" si="586"/>
        <v>#NUM!</v>
      </c>
      <c r="BZ180" s="3" t="e">
        <f t="shared" ca="1" si="587"/>
        <v>#NUM!</v>
      </c>
      <c r="CA180" s="3" t="e">
        <f t="shared" ca="1" si="586"/>
        <v>#NUM!</v>
      </c>
      <c r="CB180" s="3" t="e">
        <f t="shared" ca="1" si="588"/>
        <v>#NUM!</v>
      </c>
      <c r="CC180" s="3" t="e">
        <f t="shared" ca="1" si="586"/>
        <v>#NUM!</v>
      </c>
      <c r="CD180" s="3">
        <f>IF(RTD("tos.rtd",,CD$43,"."&amp;$B$134&amp;$AS$82&amp;"C"&amp;$A180)="N/A",0,RTD("tos.rtd",,CD$43,"."&amp;$B$134&amp;$AS$82&amp;"C"&amp;$A180))</f>
        <v>0.95</v>
      </c>
      <c r="CE180" s="3">
        <f>-IF(RTD("tos.rtd",,CE$43,"."&amp;$B$134&amp;$AS$82&amp;"P"&amp;$A180)="N/A",0,RTD("tos.rtd",,CE$43,"."&amp;$B$134&amp;$AS$82&amp;"P"&amp;$A180))</f>
        <v>0</v>
      </c>
      <c r="CF180" s="3">
        <f>IF(RTD("tos.rtd",,CF$2,"."&amp;$C$134&amp;$AU$82&amp;"C"&amp;$A180)="N/A",0,RTD("tos.rtd",,CF$2,"."&amp;$C$134&amp;$AU$82&amp;"C"&amp;$A180))</f>
        <v>0.98</v>
      </c>
      <c r="CG180" s="3">
        <f>-IF(RTD("tos.rtd",,CG$2,"."&amp;$C$134&amp;$AU$82&amp;"P"&amp;$A180)="N/A",0,RTD("tos.rtd",,CG$2,"."&amp;$C$134&amp;$AU$82&amp;"P"&amp;$A180))</f>
        <v>0.06</v>
      </c>
      <c r="CH180" s="3">
        <f>IF(RTD("tos.rtd",,CH$2,"."&amp;$D$134&amp;$AW$82&amp;"C"&amp;$A180)="N/A",0,RTD("tos.rtd",,CH$2,"."&amp;$D$134&amp;$AW$82&amp;"C"&amp;$A180))</f>
        <v>0.83</v>
      </c>
      <c r="CI180" s="3">
        <f>-IF(RTD("tos.rtd",,CI$2,"."&amp;$D$134&amp;$AW$82&amp;"P"&amp;$A180)="N/A",0,RTD("tos.rtd",,CI$2,"."&amp;$D$134&amp;$AW$82&amp;"P"&amp;$A180))</f>
        <v>0.18</v>
      </c>
      <c r="CK180" s="3">
        <f t="shared" si="660"/>
        <v>0</v>
      </c>
      <c r="CL180" s="3"/>
      <c r="CM180" s="3">
        <f t="shared" si="661"/>
        <v>38</v>
      </c>
      <c r="CN180" s="3"/>
      <c r="CO180" s="3">
        <f t="shared" si="662"/>
        <v>20719</v>
      </c>
      <c r="CP180" s="3">
        <f t="shared" si="542"/>
        <v>20757</v>
      </c>
      <c r="CQ180" s="3">
        <f t="shared" si="552"/>
        <v>0</v>
      </c>
      <c r="CR180" s="3"/>
      <c r="CS180" s="3">
        <f t="shared" si="553"/>
        <v>-5</v>
      </c>
      <c r="CT180" s="3"/>
      <c r="CU180" s="3">
        <f t="shared" si="554"/>
        <v>-6</v>
      </c>
      <c r="CV180" s="3"/>
      <c r="CW180" s="3" t="e">
        <f t="shared" ca="1" si="555"/>
        <v>#NUM!</v>
      </c>
      <c r="CY180" s="3" t="e">
        <f t="shared" ca="1" si="556"/>
        <v>#NUM!</v>
      </c>
      <c r="CZ180" s="70" t="e">
        <f t="shared" ca="1" si="589"/>
        <v>#NUM!</v>
      </c>
      <c r="DA180" s="3">
        <f>IF(RTD("tos.rtd",,DA$43,"."&amp;$B$134&amp;$AS$82&amp;"C"&amp;$A180)="N/A",0,RTD("tos.rtd",,DA$43,"."&amp;$B$134&amp;$AS$82&amp;"C"&amp;$A180))</f>
        <v>0</v>
      </c>
      <c r="DB180" s="3">
        <f>IF(RTD("tos.rtd",,DB$43,"."&amp;$B$134&amp;$AS$82&amp;"P"&amp;$A180)="N/A",0,RTD("tos.rtd",,DB$43,"."&amp;$B$134&amp;$AS$82&amp;"P"&amp;$A180))</f>
        <v>0.05</v>
      </c>
      <c r="DC180" s="3">
        <f>IF(RTD("tos.rtd",,DC$43,"."&amp;$B$134&amp;$AS$82&amp;"C"&amp;$A180)="N/A",0,RTD("tos.rtd",,DC$43,"."&amp;$B$134&amp;$AS$82&amp;"C"&amp;$A180))</f>
        <v>634</v>
      </c>
      <c r="DD180" s="3">
        <f>IF(RTD("tos.rtd",,DD$43,"."&amp;$B$134&amp;$AS$82&amp;"P"&amp;$A180)="N/A",0,RTD("tos.rtd",,DD$43,"."&amp;$B$134&amp;$AS$82&amp;"P"&amp;$A180))</f>
        <v>0.05</v>
      </c>
      <c r="DE180" s="3">
        <f>IF(RTD("tos.rtd",,DE$43,"."&amp;$B$134&amp;$AS$82&amp;"C"&amp;$A180)="N/A",0,RTD("tos.rtd",,DE$43,"."&amp;$B$134&amp;$AS$82&amp;"C"&amp;$A180))</f>
        <v>556</v>
      </c>
      <c r="DF180" s="3">
        <f>IF(RTD("tos.rtd",,DF$43,"."&amp;$B$134&amp;$AS$82&amp;"P"&amp;$A180)="N/A",0,RTD("tos.rtd",,DF$43,"."&amp;$B$134&amp;$AS$82&amp;"P"&amp;$A180))</f>
        <v>0</v>
      </c>
      <c r="DG180" s="86">
        <f t="shared" si="590"/>
        <v>-586.44900000000052</v>
      </c>
      <c r="DH180" s="3">
        <f t="shared" si="557"/>
        <v>0</v>
      </c>
      <c r="DI180" s="3">
        <f t="shared" si="558"/>
        <v>50</v>
      </c>
      <c r="DJ180" s="3">
        <f t="shared" si="559"/>
        <v>0</v>
      </c>
      <c r="DK180" s="3">
        <f t="shared" si="560"/>
        <v>50</v>
      </c>
      <c r="DL180" s="3">
        <f t="shared" si="561"/>
        <v>50</v>
      </c>
      <c r="DM180" s="3">
        <f t="shared" si="562"/>
        <v>50</v>
      </c>
      <c r="DN180" s="64" t="str">
        <f t="shared" si="563"/>
        <v>UNKNOWN</v>
      </c>
      <c r="DO180" s="64" t="str">
        <f t="shared" si="564"/>
        <v>UNKNOWN</v>
      </c>
      <c r="DP180" s="3">
        <f t="shared" si="565"/>
        <v>2.5</v>
      </c>
      <c r="DQ180" s="3">
        <f t="shared" si="566"/>
        <v>2.5</v>
      </c>
      <c r="DR180" s="3" t="e">
        <f t="shared" ca="1" si="567"/>
        <v>#NUM!</v>
      </c>
      <c r="DS180" s="3">
        <f t="shared" si="568"/>
        <v>0</v>
      </c>
      <c r="DT180" s="3">
        <f t="shared" si="591"/>
        <v>0</v>
      </c>
      <c r="DU180" s="3">
        <f t="shared" si="592"/>
        <v>50</v>
      </c>
      <c r="DV180" s="3">
        <f t="shared" si="569"/>
        <v>0</v>
      </c>
      <c r="DW180" s="3">
        <f t="shared" si="570"/>
        <v>-46</v>
      </c>
      <c r="DX180" s="3" t="e">
        <f t="shared" ca="1" si="654"/>
        <v>#NUM!</v>
      </c>
      <c r="DY180" s="3" t="e">
        <f t="shared" ca="1" si="655"/>
        <v>#NUM!</v>
      </c>
      <c r="DZ180" s="3" t="e">
        <f t="shared" ca="1" si="656"/>
        <v>#NUM!</v>
      </c>
      <c r="EA180" s="3" t="e">
        <f t="shared" ca="1" si="657"/>
        <v>#NUM!</v>
      </c>
      <c r="EB180" s="3" t="e">
        <f t="shared" ca="1" si="658"/>
        <v>#NUM!</v>
      </c>
      <c r="EC180" s="3" t="e">
        <f t="shared" ca="1" si="659"/>
        <v>#NUM!</v>
      </c>
      <c r="ED180" s="63">
        <f t="shared" si="593"/>
        <v>-46</v>
      </c>
      <c r="EE180" s="59">
        <f t="shared" si="577"/>
        <v>2.4542999999999999</v>
      </c>
      <c r="EF180" s="59">
        <f t="shared" si="578"/>
        <v>1.1998</v>
      </c>
      <c r="EG180" s="59">
        <f t="shared" si="579"/>
        <v>1.9468000000000001</v>
      </c>
      <c r="EH180" s="59">
        <f t="shared" si="580"/>
        <v>2.5354999999999999</v>
      </c>
      <c r="EI180" s="59">
        <f t="shared" si="581"/>
        <v>0.2858</v>
      </c>
      <c r="EJ180" s="59">
        <f t="shared" si="582"/>
        <v>0.30669999999999997</v>
      </c>
      <c r="EK180" s="63" t="e">
        <f t="shared" ca="1" si="594"/>
        <v>#NUM!</v>
      </c>
      <c r="EL180" s="3" t="str">
        <f>RTD("tos.rtd",,EL$43,"."&amp;$B$134&amp;$AS$82&amp;"C"&amp;$A180)</f>
        <v>245.43%</v>
      </c>
      <c r="EM180" s="3" t="str">
        <f>RTD("tos.rtd",,EM$43,"."&amp;$B$134&amp;$AS$82&amp;"P"&amp;$A180)</f>
        <v>119.98%</v>
      </c>
      <c r="EN180" s="3" t="str">
        <f>RTD("tos.rtd",,EN$2,"."&amp;$C$134&amp;$AU$82&amp;"C"&amp;$A180)</f>
        <v>194.68%</v>
      </c>
      <c r="EO180" s="3" t="str">
        <f>RTD("tos.rtd",,EO$2,"."&amp;$C$134&amp;$AU$82&amp;"P"&amp;$A180)</f>
        <v>253.55%</v>
      </c>
      <c r="EP180" s="3" t="str">
        <f>RTD("tos.rtd",,EP$2,"."&amp;$D$134&amp;$AW$82&amp;"C"&amp;$A180)</f>
        <v>28.58%</v>
      </c>
      <c r="EQ180" s="3" t="str">
        <f>RTD("tos.rtd",,EQ$2,"."&amp;$D$134&amp;$AW$82&amp;"P"&amp;$A180)</f>
        <v>30.67%</v>
      </c>
      <c r="ES180" s="63" t="str">
        <f t="shared" si="583"/>
        <v>19475,-46.00</v>
      </c>
      <c r="ET180" s="63" t="str">
        <f t="shared" ca="1" si="584"/>
        <v>19475,00.00</v>
      </c>
      <c r="EU180" s="68">
        <v>563.66</v>
      </c>
      <c r="EV180" s="68" t="s">
        <v>1459</v>
      </c>
      <c r="EW180" s="68">
        <v>486.42</v>
      </c>
      <c r="EX180" s="68" t="s">
        <v>1460</v>
      </c>
      <c r="EY180" s="68">
        <v>5631.28</v>
      </c>
      <c r="EZ180" s="68" t="s">
        <v>1461</v>
      </c>
      <c r="FA180" s="68">
        <v>19867.973000000002</v>
      </c>
      <c r="FB180" s="68" t="s">
        <v>1462</v>
      </c>
      <c r="FC180" s="68" t="s">
        <v>1463</v>
      </c>
      <c r="FD180" s="68" t="s">
        <v>1464</v>
      </c>
      <c r="FE180" s="68" t="s">
        <v>1465</v>
      </c>
      <c r="FF180" s="68" t="s">
        <v>1466</v>
      </c>
    </row>
    <row r="181" spans="1:162" ht="11.1" customHeight="1" thickBot="1" x14ac:dyDescent="0.25">
      <c r="A181" s="2">
        <f t="shared" si="595"/>
        <v>19450</v>
      </c>
      <c r="B181" s="3">
        <f t="shared" si="631"/>
        <v>26</v>
      </c>
      <c r="C181" s="3">
        <f t="shared" si="632"/>
        <v>26</v>
      </c>
      <c r="D181" s="3">
        <f t="shared" si="633"/>
        <v>40</v>
      </c>
      <c r="E181" s="3">
        <f t="shared" si="634"/>
        <v>92</v>
      </c>
      <c r="F181" s="4">
        <f t="shared" si="635"/>
        <v>19831.798415956895</v>
      </c>
      <c r="G181" s="5">
        <f t="shared" si="636"/>
        <v>480.66921786158116</v>
      </c>
      <c r="AM181" s="1">
        <v>0</v>
      </c>
      <c r="AN181" s="1">
        <v>388</v>
      </c>
      <c r="AO181" s="1">
        <v>19450</v>
      </c>
      <c r="AP181" s="1">
        <v>0</v>
      </c>
      <c r="AQ181" s="1">
        <v>-148</v>
      </c>
      <c r="AS181" s="54">
        <f>IF(RTD("tos.rtd",,AS$83,"."&amp;$B$134&amp;$AS$82&amp;"C"&amp;$A181)="N/A",0,RTD("tos.rtd",,AS$83,"."&amp;$B$134&amp;$AS$82&amp;"C"&amp;$A181))</f>
        <v>0</v>
      </c>
      <c r="AT181" s="3">
        <f>-IF(RTD("tos.rtd",,AT$83,"."&amp;$B$134&amp;$AS$82&amp;"P"&amp;$A181)="N/A",0,RTD("tos.rtd",,AT$83,"."&amp;$B$134&amp;$AS$82&amp;"P"&amp;$A181))</f>
        <v>-26</v>
      </c>
      <c r="AU181" s="54">
        <f>IF(RTD("tos.rtd",,AU$2,"."&amp;$C$134&amp;$AU$134&amp;"C"&amp;$A181)="N/A",0,RTD("tos.rtd",,AU$2,"."&amp;$C$134&amp;$AU$134&amp;"C"&amp;$A181))</f>
        <v>8</v>
      </c>
      <c r="AV181" s="3">
        <f>-IF(RTD("tos.rtd",,AV$2,"."&amp;$C$134&amp;$AU$134&amp;"P"&amp;$A181)="N/A",0,RTD("tos.rtd",,AV$2,"."&amp;$C$134&amp;$AU$134&amp;"P"&amp;$A181))</f>
        <v>-18</v>
      </c>
      <c r="AW181" s="54">
        <f>IF(RTD("tos.rtd",,AW$2,"."&amp;$D$134&amp;$AW$134&amp;"C"&amp;$A181)="N/A",0,RTD("tos.rtd",,AW$2,"."&amp;$D$134&amp;$AW$134&amp;"C"&amp;$A181))</f>
        <v>25</v>
      </c>
      <c r="AX181" s="3">
        <f>-IF(RTD("tos.rtd",,AX$2,"."&amp;$D$134&amp;$AW$134&amp;"P"&amp;$A181)="N/A",0,RTD("tos.rtd",,AX$2,"."&amp;$D$134&amp;$AW$134&amp;"P"&amp;$A181))</f>
        <v>-15</v>
      </c>
      <c r="AY181" s="76">
        <f t="shared" si="637"/>
        <v>-26</v>
      </c>
      <c r="AZ181" s="8">
        <f t="shared" si="548"/>
        <v>19450</v>
      </c>
      <c r="BA181" s="54">
        <f>IF(RTD("tos.rtd",,BA$43,"."&amp;$B$134&amp;$AS$82&amp;"C"&amp;$A181)="N/A",0,RTD("tos.rtd",,BA$43,"."&amp;$B$134&amp;$AS$82&amp;"C"&amp;$A181))</f>
        <v>0</v>
      </c>
      <c r="BB181" s="3">
        <f>-IF(RTD("tos.rtd",,BB$43,"."&amp;$B$134&amp;$AS$82&amp;"P"&amp;$A181)="N/A",0,RTD("tos.rtd",,BB$43,"."&amp;$B$134&amp;$AS$82&amp;"P"&amp;$A181))</f>
        <v>0</v>
      </c>
      <c r="BC181" s="54">
        <f>IF(RTD("tos.rtd",,BC$2,"."&amp;$C$134&amp;$AU$82&amp;"C"&amp;$A181)="N/A",0,RTD("tos.rtd",,BC$2,"."&amp;$C$134&amp;$AU$82&amp;"C"&amp;$A181))</f>
        <v>0</v>
      </c>
      <c r="BD181" s="3">
        <f>-IF(RTD("tos.rtd",,BD$2,"."&amp;$C$134&amp;$AU$82&amp;"P"&amp;$A181)="N/A",0,RTD("tos.rtd",,BD$2,"."&amp;$C$134&amp;$AU$82&amp;"P"&amp;$A181))</f>
        <v>-29</v>
      </c>
      <c r="BE181" s="54">
        <f>IF(RTD("tos.rtd",,BE$2,"."&amp;$D$134&amp;$AW$82&amp;"C"&amp;$A181)="N/A",0,RTD("tos.rtd",,BE$2,"."&amp;$D$134&amp;$AW$82&amp;"C"&amp;$A181))</f>
        <v>0</v>
      </c>
      <c r="BF181" s="3">
        <f>-IF(RTD("tos.rtd",,BF$2,"."&amp;$D$134&amp;$AW$82&amp;"P"&amp;$A181)="N/A",0,RTD("tos.rtd",,BF$2,"."&amp;$D$134&amp;$AW$82&amp;"P"&amp;$A181))</f>
        <v>-3</v>
      </c>
      <c r="BG181" s="3">
        <f ca="1">+Hoja2!Y182</f>
        <v>-7</v>
      </c>
      <c r="BH181" s="7">
        <f t="shared" ca="1" si="549"/>
        <v>-39</v>
      </c>
      <c r="BI181" s="32" t="str">
        <f t="shared" ca="1" si="609"/>
        <v/>
      </c>
      <c r="BJ181" s="3" t="e">
        <f ca="1">IF($BP$1=1,DX181,IF(RTD("tos.rtd",,BJ$43,"."&amp;$B$134&amp;$AS$82&amp;"C"&amp;$A181)="N/A",0,RTD("tos.rtd",,BJ$43,"."&amp;$B$134&amp;$AS$82&amp;"C"&amp;$A181)))</f>
        <v>#NUM!</v>
      </c>
      <c r="BK181" s="3" t="e">
        <f ca="1">IF($BP$1=1,DY181,-IF(RTD("tos.rtd",,BK$43,"."&amp;$B$134&amp;$AS$82&amp;"P"&amp;$A181)="N/A",0,RTD("tos.rtd",,BK$43,"."&amp;$B$134&amp;$AS$82&amp;"P"&amp;$A181)))</f>
        <v>#NUM!</v>
      </c>
      <c r="BL181" s="3" t="e">
        <f ca="1">IF($BP$1=1,DZ181,IF(RTD("tos.rtd",,BL$2,"."&amp;$C$134&amp;$AU$82&amp;"C"&amp;$A181)="N/A",0,RTD("tos.rtd",,BL$2,"."&amp;$C$134&amp;$AU$82&amp;"C"&amp;$A181)))</f>
        <v>#NUM!</v>
      </c>
      <c r="BM181" s="3" t="e">
        <f ca="1">IF($BP$1=1,EA181,-IF(RTD("tos.rtd",,BM$2,"."&amp;$C$134&amp;$AU$82&amp;"P"&amp;$A181)="N/A",0,RTD("tos.rtd",,BM$2,"."&amp;$C$134&amp;$AU$82&amp;"P"&amp;$A181)))</f>
        <v>#NUM!</v>
      </c>
      <c r="BN181" s="3" t="e">
        <f ca="1">IF($BP$1=1,EB181,IF(RTD("tos.rtd",,BN$2,"."&amp;$D$134&amp;$AW$82&amp;"C"&amp;$A181)="N/A",0,RTD("tos.rtd",,BN$2,"."&amp;$D$134&amp;$AW$82&amp;"C"&amp;$A181)))</f>
        <v>#NUM!</v>
      </c>
      <c r="BO181" s="3" t="e">
        <f ca="1">IF($BP$1=1,EC181,-IF(RTD("tos.rtd",,BO$2,"."&amp;$D$134&amp;$AW$82&amp;"P"&amp;$A181)="N/A",0,RTD("tos.rtd",,BO$2,"."&amp;$D$134&amp;$AW$82&amp;"P"&amp;$A181)))</f>
        <v>#NUM!</v>
      </c>
      <c r="BQ181" s="3" t="e">
        <f t="shared" ca="1" si="638"/>
        <v>#NUM!</v>
      </c>
      <c r="BR181" s="3" t="e">
        <f t="shared" ca="1" si="550"/>
        <v>#NUM!</v>
      </c>
      <c r="BS181" s="3" t="e">
        <f t="shared" ca="1" si="639"/>
        <v>#NUM!</v>
      </c>
      <c r="BT181" s="3" t="e">
        <f t="shared" ca="1" si="551"/>
        <v>#NUM!</v>
      </c>
      <c r="BU181" s="3" t="e">
        <f t="shared" ca="1" si="640"/>
        <v>#NUM!</v>
      </c>
      <c r="BV181" s="3" t="e">
        <f t="shared" ca="1" si="551"/>
        <v>#NUM!</v>
      </c>
      <c r="BX181" s="3" t="e">
        <f t="shared" ca="1" si="585"/>
        <v>#NUM!</v>
      </c>
      <c r="BY181" s="3" t="e">
        <f t="shared" ca="1" si="586"/>
        <v>#NUM!</v>
      </c>
      <c r="BZ181" s="3" t="e">
        <f t="shared" ca="1" si="587"/>
        <v>#NUM!</v>
      </c>
      <c r="CA181" s="3" t="e">
        <f t="shared" ca="1" si="586"/>
        <v>#NUM!</v>
      </c>
      <c r="CB181" s="3" t="e">
        <f t="shared" ca="1" si="588"/>
        <v>#NUM!</v>
      </c>
      <c r="CC181" s="3" t="e">
        <f t="shared" ca="1" si="586"/>
        <v>#NUM!</v>
      </c>
      <c r="CD181" s="3">
        <f>IF(RTD("tos.rtd",,CD$43,"."&amp;$B$134&amp;$AS$82&amp;"C"&amp;$A181)="N/A",0,RTD("tos.rtd",,CD$43,"."&amp;$B$134&amp;$AS$82&amp;"C"&amp;$A181))</f>
        <v>0.95</v>
      </c>
      <c r="CE181" s="3">
        <f>-IF(RTD("tos.rtd",,CE$43,"."&amp;$B$134&amp;$AS$82&amp;"P"&amp;$A181)="N/A",0,RTD("tos.rtd",,CE$43,"."&amp;$B$134&amp;$AS$82&amp;"P"&amp;$A181))</f>
        <v>0.06</v>
      </c>
      <c r="CF181" s="3">
        <f>IF(RTD("tos.rtd",,CF$2,"."&amp;$C$134&amp;$AU$82&amp;"C"&amp;$A181)="N/A",0,RTD("tos.rtd",,CF$2,"."&amp;$C$134&amp;$AU$82&amp;"C"&amp;$A181))</f>
        <v>0.98</v>
      </c>
      <c r="CG181" s="3">
        <f>-IF(RTD("tos.rtd",,CG$2,"."&amp;$C$134&amp;$AU$82&amp;"P"&amp;$A181)="N/A",0,RTD("tos.rtd",,CG$2,"."&amp;$C$134&amp;$AU$82&amp;"P"&amp;$A181))</f>
        <v>0.06</v>
      </c>
      <c r="CH181" s="3">
        <f>IF(RTD("tos.rtd",,CH$2,"."&amp;$D$134&amp;$AW$82&amp;"C"&amp;$A181)="N/A",0,RTD("tos.rtd",,CH$2,"."&amp;$D$134&amp;$AW$82&amp;"C"&amp;$A181))</f>
        <v>0.84</v>
      </c>
      <c r="CI181" s="3">
        <f>-IF(RTD("tos.rtd",,CI$2,"."&amp;$D$134&amp;$AW$82&amp;"P"&amp;$A181)="N/A",0,RTD("tos.rtd",,CI$2,"."&amp;$D$134&amp;$AW$82&amp;"P"&amp;$A181))</f>
        <v>0.17</v>
      </c>
      <c r="CK181" s="3">
        <f t="shared" si="660"/>
        <v>-156</v>
      </c>
      <c r="CL181" s="3"/>
      <c r="CM181" s="3">
        <f t="shared" si="661"/>
        <v>676</v>
      </c>
      <c r="CN181" s="3"/>
      <c r="CO181" s="3">
        <f t="shared" si="662"/>
        <v>1845</v>
      </c>
      <c r="CP181" s="3">
        <f t="shared" si="542"/>
        <v>2365</v>
      </c>
      <c r="CQ181" s="3">
        <f t="shared" si="552"/>
        <v>0</v>
      </c>
      <c r="CR181" s="3"/>
      <c r="CS181" s="3">
        <f t="shared" si="553"/>
        <v>-29</v>
      </c>
      <c r="CT181" s="3"/>
      <c r="CU181" s="3">
        <f t="shared" si="554"/>
        <v>-3</v>
      </c>
      <c r="CV181" s="3"/>
      <c r="CW181" s="3" t="e">
        <f t="shared" ca="1" si="555"/>
        <v>#NUM!</v>
      </c>
      <c r="CY181" s="3" t="e">
        <f t="shared" ca="1" si="556"/>
        <v>#NUM!</v>
      </c>
      <c r="CZ181" s="70" t="e">
        <f t="shared" ca="1" si="589"/>
        <v>#NUM!</v>
      </c>
      <c r="DA181" s="3">
        <f>IF(RTD("tos.rtd",,DA$43,"."&amp;$B$134&amp;$AS$82&amp;"C"&amp;$A181)="N/A",0,RTD("tos.rtd",,DA$43,"."&amp;$B$134&amp;$AS$82&amp;"C"&amp;$A181))</f>
        <v>0</v>
      </c>
      <c r="DB181" s="3">
        <f>IF(RTD("tos.rtd",,DB$43,"."&amp;$B$134&amp;$AS$82&amp;"P"&amp;$A181)="N/A",0,RTD("tos.rtd",,DB$43,"."&amp;$B$134&amp;$AS$82&amp;"P"&amp;$A181))</f>
        <v>0.21</v>
      </c>
      <c r="DC181" s="3">
        <f>IF(RTD("tos.rtd",,DC$43,"."&amp;$B$134&amp;$AS$82&amp;"C"&amp;$A181)="N/A",0,RTD("tos.rtd",,DC$43,"."&amp;$B$134&amp;$AS$82&amp;"C"&amp;$A181))</f>
        <v>660</v>
      </c>
      <c r="DD181" s="3">
        <f>IF(RTD("tos.rtd",,DD$43,"."&amp;$B$134&amp;$AS$82&amp;"P"&amp;$A181)="N/A",0,RTD("tos.rtd",,DD$43,"."&amp;$B$134&amp;$AS$82&amp;"P"&amp;$A181))</f>
        <v>20</v>
      </c>
      <c r="DE181" s="3">
        <f>IF(RTD("tos.rtd",,DE$43,"."&amp;$B$134&amp;$AS$82&amp;"C"&amp;$A181)="N/A",0,RTD("tos.rtd",,DE$43,"."&amp;$B$134&amp;$AS$82&amp;"C"&amp;$A181))</f>
        <v>580</v>
      </c>
      <c r="DF181" s="3">
        <f>IF(RTD("tos.rtd",,DF$43,"."&amp;$B$134&amp;$AS$82&amp;"P"&amp;$A181)="N/A",0,RTD("tos.rtd",,DF$43,"."&amp;$B$134&amp;$AS$82&amp;"P"&amp;$A181))</f>
        <v>0</v>
      </c>
      <c r="DG181" s="86">
        <f t="shared" si="590"/>
        <v>-611.44900000000052</v>
      </c>
      <c r="DH181" s="3">
        <f t="shared" si="557"/>
        <v>0</v>
      </c>
      <c r="DI181" s="3">
        <f t="shared" si="558"/>
        <v>1.5539999999999998</v>
      </c>
      <c r="DJ181" s="3">
        <f t="shared" si="559"/>
        <v>0</v>
      </c>
      <c r="DK181" s="3">
        <f t="shared" si="560"/>
        <v>-148</v>
      </c>
      <c r="DL181" s="3">
        <f t="shared" si="561"/>
        <v>1.5539999999999998</v>
      </c>
      <c r="DM181" s="3">
        <f t="shared" si="562"/>
        <v>-148</v>
      </c>
      <c r="DN181" s="64" t="str">
        <f t="shared" si="563"/>
        <v>UNKNOWN</v>
      </c>
      <c r="DO181" s="64" t="str">
        <f t="shared" si="564"/>
        <v>UNKNOWN</v>
      </c>
      <c r="DP181" s="3">
        <f t="shared" si="565"/>
        <v>0.32633999999999996</v>
      </c>
      <c r="DQ181" s="3">
        <f t="shared" si="566"/>
        <v>-31.08</v>
      </c>
      <c r="DR181" s="3" t="e">
        <f t="shared" ca="1" si="567"/>
        <v>#NUM!</v>
      </c>
      <c r="DS181" s="3">
        <f t="shared" si="568"/>
        <v>-8.879999999999999</v>
      </c>
      <c r="DT181" s="3">
        <f t="shared" si="591"/>
        <v>0</v>
      </c>
      <c r="DU181" s="3">
        <f t="shared" si="592"/>
        <v>148</v>
      </c>
      <c r="DV181" s="3">
        <f t="shared" si="569"/>
        <v>0</v>
      </c>
      <c r="DW181" s="3">
        <f t="shared" si="570"/>
        <v>388</v>
      </c>
      <c r="DX181" s="3" t="e">
        <f t="shared" ca="1" si="654"/>
        <v>#NUM!</v>
      </c>
      <c r="DY181" s="3" t="e">
        <f t="shared" ca="1" si="655"/>
        <v>#NUM!</v>
      </c>
      <c r="DZ181" s="3" t="e">
        <f t="shared" ca="1" si="656"/>
        <v>#NUM!</v>
      </c>
      <c r="EA181" s="3" t="e">
        <f t="shared" ca="1" si="657"/>
        <v>#NUM!</v>
      </c>
      <c r="EB181" s="3" t="e">
        <f t="shared" ca="1" si="658"/>
        <v>#NUM!</v>
      </c>
      <c r="EC181" s="3" t="e">
        <f t="shared" ca="1" si="659"/>
        <v>#NUM!</v>
      </c>
      <c r="ED181" s="63">
        <f t="shared" si="593"/>
        <v>388</v>
      </c>
      <c r="EE181" s="59">
        <f t="shared" si="577"/>
        <v>2.5384000000000002</v>
      </c>
      <c r="EF181" s="59">
        <f t="shared" si="578"/>
        <v>2.6272000000000002</v>
      </c>
      <c r="EG181" s="59">
        <f t="shared" si="579"/>
        <v>2.0800999999999998</v>
      </c>
      <c r="EH181" s="59">
        <f t="shared" si="580"/>
        <v>2.6215000000000002</v>
      </c>
      <c r="EI181" s="59">
        <f t="shared" si="581"/>
        <v>0.28560000000000002</v>
      </c>
      <c r="EJ181" s="59">
        <f t="shared" si="582"/>
        <v>0.30730000000000002</v>
      </c>
      <c r="EK181" s="63" t="e">
        <f t="shared" ca="1" si="594"/>
        <v>#NUM!</v>
      </c>
      <c r="EL181" s="3" t="str">
        <f>RTD("tos.rtd",,EL$43,"."&amp;$B$134&amp;$AS$82&amp;"C"&amp;$A181)</f>
        <v>253.84%</v>
      </c>
      <c r="EM181" s="3" t="str">
        <f>RTD("tos.rtd",,EM$43,"."&amp;$B$134&amp;$AS$82&amp;"P"&amp;$A181)</f>
        <v>262.72%</v>
      </c>
      <c r="EN181" s="3" t="str">
        <f>RTD("tos.rtd",,EN$2,"."&amp;$C$134&amp;$AU$82&amp;"C"&amp;$A181)</f>
        <v>208.01%</v>
      </c>
      <c r="EO181" s="3" t="str">
        <f>RTD("tos.rtd",,EO$2,"."&amp;$C$134&amp;$AU$82&amp;"P"&amp;$A181)</f>
        <v>262.15%</v>
      </c>
      <c r="EP181" s="3" t="str">
        <f>RTD("tos.rtd",,EP$2,"."&amp;$D$134&amp;$AW$82&amp;"C"&amp;$A181)</f>
        <v>28.56%</v>
      </c>
      <c r="EQ181" s="3" t="str">
        <f>RTD("tos.rtd",,EQ$2,"."&amp;$D$134&amp;$AW$82&amp;"P"&amp;$A181)</f>
        <v>30.73%</v>
      </c>
      <c r="ES181" s="63" t="str">
        <f t="shared" si="583"/>
        <v>19450,388.00</v>
      </c>
      <c r="ET181" s="63" t="str">
        <f t="shared" ca="1" si="584"/>
        <v>19450,00.00</v>
      </c>
      <c r="EU181" s="68">
        <v>563.66</v>
      </c>
      <c r="EV181" s="68" t="s">
        <v>1467</v>
      </c>
      <c r="EW181" s="68">
        <v>486.49</v>
      </c>
      <c r="EX181" s="68" t="s">
        <v>1468</v>
      </c>
      <c r="EY181" s="68">
        <v>5631.28</v>
      </c>
      <c r="EZ181" s="68" t="s">
        <v>1469</v>
      </c>
      <c r="FA181" s="68">
        <v>19867.973000000002</v>
      </c>
      <c r="FB181" s="68" t="s">
        <v>1470</v>
      </c>
      <c r="FC181" s="68" t="s">
        <v>1471</v>
      </c>
      <c r="FD181" s="68" t="s">
        <v>1472</v>
      </c>
      <c r="FE181" s="68" t="s">
        <v>1473</v>
      </c>
      <c r="FF181" s="68" t="s">
        <v>1474</v>
      </c>
    </row>
    <row r="182" spans="1:162" ht="11.1" customHeight="1" thickBot="1" x14ac:dyDescent="0.25">
      <c r="A182" s="2">
        <f t="shared" si="595"/>
        <v>19425</v>
      </c>
      <c r="B182" s="3">
        <f t="shared" si="628"/>
        <v>10</v>
      </c>
      <c r="C182" s="3">
        <f t="shared" si="629"/>
        <v>37</v>
      </c>
      <c r="D182" s="3">
        <f t="shared" si="630"/>
        <v>61</v>
      </c>
      <c r="E182" s="3">
        <f t="shared" ref="E182:E189" si="663">SUM(B182:D182)</f>
        <v>108</v>
      </c>
      <c r="F182" s="4">
        <f t="shared" si="623"/>
        <v>19806.307672491654</v>
      </c>
      <c r="G182" s="5">
        <f t="shared" ref="G182:G189" si="664">+$G$136/$A$136*A182</f>
        <v>480.05139110340428</v>
      </c>
      <c r="AM182" s="1">
        <v>-1</v>
      </c>
      <c r="AN182" s="1">
        <v>-30</v>
      </c>
      <c r="AO182" s="1">
        <v>19425</v>
      </c>
      <c r="AP182" s="1">
        <v>0</v>
      </c>
      <c r="AQ182" s="1">
        <v>-14</v>
      </c>
      <c r="AS182" s="54">
        <f>IF(RTD("tos.rtd",,AS$83,"."&amp;$B$134&amp;$AS$82&amp;"C"&amp;$A182)="N/A",0,RTD("tos.rtd",,AS$83,"."&amp;$B$134&amp;$AS$82&amp;"C"&amp;$A182))</f>
        <v>1</v>
      </c>
      <c r="AT182" s="3">
        <f>-IF(RTD("tos.rtd",,AT$83,"."&amp;$B$134&amp;$AS$82&amp;"P"&amp;$A182)="N/A",0,RTD("tos.rtd",,AT$83,"."&amp;$B$134&amp;$AS$82&amp;"P"&amp;$A182))</f>
        <v>-9</v>
      </c>
      <c r="AU182" s="54">
        <f>IF(RTD("tos.rtd",,AU$2,"."&amp;$C$134&amp;$AU$134&amp;"C"&amp;$A182)="N/A",0,RTD("tos.rtd",,AU$2,"."&amp;$C$134&amp;$AU$134&amp;"C"&amp;$A182))</f>
        <v>1</v>
      </c>
      <c r="AV182" s="3">
        <f>-IF(RTD("tos.rtd",,AV$2,"."&amp;$C$134&amp;$AU$134&amp;"P"&amp;$A182)="N/A",0,RTD("tos.rtd",,AV$2,"."&amp;$C$134&amp;$AU$134&amp;"P"&amp;$A182))</f>
        <v>-36</v>
      </c>
      <c r="AW182" s="54">
        <f>IF(RTD("tos.rtd",,AW$2,"."&amp;$D$134&amp;$AW$134&amp;"C"&amp;$A182)="N/A",0,RTD("tos.rtd",,AW$2,"."&amp;$D$134&amp;$AW$134&amp;"C"&amp;$A182))</f>
        <v>33</v>
      </c>
      <c r="AX182" s="3">
        <f>-IF(RTD("tos.rtd",,AX$2,"."&amp;$D$134&amp;$AW$134&amp;"P"&amp;$A182)="N/A",0,RTD("tos.rtd",,AX$2,"."&amp;$D$134&amp;$AW$134&amp;"P"&amp;$A182))</f>
        <v>-28</v>
      </c>
      <c r="AY182" s="76">
        <f t="shared" si="624"/>
        <v>-38</v>
      </c>
      <c r="AZ182" s="8">
        <f t="shared" si="548"/>
        <v>19425</v>
      </c>
      <c r="BA182" s="54">
        <f>IF(RTD("tos.rtd",,BA$43,"."&amp;$B$134&amp;$AS$82&amp;"C"&amp;$A182)="N/A",0,RTD("tos.rtd",,BA$43,"."&amp;$B$134&amp;$AS$82&amp;"C"&amp;$A182))</f>
        <v>0</v>
      </c>
      <c r="BB182" s="3">
        <f>-IF(RTD("tos.rtd",,BB$43,"."&amp;$B$134&amp;$AS$82&amp;"P"&amp;$A182)="N/A",0,RTD("tos.rtd",,BB$43,"."&amp;$B$134&amp;$AS$82&amp;"P"&amp;$A182))</f>
        <v>0</v>
      </c>
      <c r="BC182" s="54">
        <f>IF(RTD("tos.rtd",,BC$2,"."&amp;$C$134&amp;$AU$82&amp;"C"&amp;$A182)="N/A",0,RTD("tos.rtd",,BC$2,"."&amp;$C$134&amp;$AU$82&amp;"C"&amp;$A182))</f>
        <v>0</v>
      </c>
      <c r="BD182" s="3">
        <f>-IF(RTD("tos.rtd",,BD$2,"."&amp;$C$134&amp;$AU$82&amp;"P"&amp;$A182)="N/A",0,RTD("tos.rtd",,BD$2,"."&amp;$C$134&amp;$AU$82&amp;"P"&amp;$A182))</f>
        <v>-26</v>
      </c>
      <c r="BE182" s="54">
        <f>IF(RTD("tos.rtd",,BE$2,"."&amp;$D$134&amp;$AW$82&amp;"C"&amp;$A182)="N/A",0,RTD("tos.rtd",,BE$2,"."&amp;$D$134&amp;$AW$82&amp;"C"&amp;$A182))</f>
        <v>0</v>
      </c>
      <c r="BF182" s="3">
        <f>-IF(RTD("tos.rtd",,BF$2,"."&amp;$D$134&amp;$AW$82&amp;"P"&amp;$A182)="N/A",0,RTD("tos.rtd",,BF$2,"."&amp;$D$134&amp;$AW$82&amp;"P"&amp;$A182))</f>
        <v>-13</v>
      </c>
      <c r="BG182" s="3">
        <f ca="1">+Hoja2!Y183</f>
        <v>-11</v>
      </c>
      <c r="BH182" s="7">
        <f t="shared" ca="1" si="549"/>
        <v>-50</v>
      </c>
      <c r="BI182" s="32" t="str">
        <f t="shared" ca="1" si="609"/>
        <v/>
      </c>
      <c r="BJ182" s="3" t="e">
        <f ca="1">IF($BP$1=1,DX182,IF(RTD("tos.rtd",,BJ$43,"."&amp;$B$134&amp;$AS$82&amp;"C"&amp;$A182)="N/A",0,RTD("tos.rtd",,BJ$43,"."&amp;$B$134&amp;$AS$82&amp;"C"&amp;$A182)))</f>
        <v>#NUM!</v>
      </c>
      <c r="BK182" s="3" t="e">
        <f ca="1">IF($BP$1=1,DY182,-IF(RTD("tos.rtd",,BK$43,"."&amp;$B$134&amp;$AS$82&amp;"P"&amp;$A182)="N/A",0,RTD("tos.rtd",,BK$43,"."&amp;$B$134&amp;$AS$82&amp;"P"&amp;$A182)))</f>
        <v>#NUM!</v>
      </c>
      <c r="BL182" s="3" t="e">
        <f ca="1">IF($BP$1=1,DZ182,IF(RTD("tos.rtd",,BL$2,"."&amp;$C$134&amp;$AU$82&amp;"C"&amp;$A182)="N/A",0,RTD("tos.rtd",,BL$2,"."&amp;$C$134&amp;$AU$82&amp;"C"&amp;$A182)))</f>
        <v>#NUM!</v>
      </c>
      <c r="BM182" s="3" t="e">
        <f ca="1">IF($BP$1=1,EA182,-IF(RTD("tos.rtd",,BM$2,"."&amp;$C$134&amp;$AU$82&amp;"P"&amp;$A182)="N/A",0,RTD("tos.rtd",,BM$2,"."&amp;$C$134&amp;$AU$82&amp;"P"&amp;$A182)))</f>
        <v>#NUM!</v>
      </c>
      <c r="BN182" s="3" t="e">
        <f ca="1">IF($BP$1=1,EB182,IF(RTD("tos.rtd",,BN$2,"."&amp;$D$134&amp;$AW$82&amp;"C"&amp;$A182)="N/A",0,RTD("tos.rtd",,BN$2,"."&amp;$D$134&amp;$AW$82&amp;"C"&amp;$A182)))</f>
        <v>#NUM!</v>
      </c>
      <c r="BO182" s="3" t="e">
        <f ca="1">IF($BP$1=1,EC182,-IF(RTD("tos.rtd",,BO$2,"."&amp;$D$134&amp;$AW$82&amp;"P"&amp;$A182)="N/A",0,RTD("tos.rtd",,BO$2,"."&amp;$D$134&amp;$AW$82&amp;"P"&amp;$A182)))</f>
        <v>#NUM!</v>
      </c>
      <c r="BQ182" s="3" t="e">
        <f t="shared" ca="1" si="625"/>
        <v>#NUM!</v>
      </c>
      <c r="BR182" s="3" t="e">
        <f t="shared" ca="1" si="550"/>
        <v>#NUM!</v>
      </c>
      <c r="BS182" s="3" t="e">
        <f t="shared" ca="1" si="626"/>
        <v>#NUM!</v>
      </c>
      <c r="BT182" s="3" t="e">
        <f t="shared" ca="1" si="551"/>
        <v>#NUM!</v>
      </c>
      <c r="BU182" s="3" t="e">
        <f t="shared" ca="1" si="627"/>
        <v>#NUM!</v>
      </c>
      <c r="BV182" s="3" t="e">
        <f t="shared" ca="1" si="551"/>
        <v>#NUM!</v>
      </c>
      <c r="BX182" s="3" t="e">
        <f t="shared" ca="1" si="585"/>
        <v>#NUM!</v>
      </c>
      <c r="BY182" s="3" t="e">
        <f t="shared" ca="1" si="586"/>
        <v>#NUM!</v>
      </c>
      <c r="BZ182" s="3" t="e">
        <f t="shared" ca="1" si="587"/>
        <v>#NUM!</v>
      </c>
      <c r="CA182" s="3" t="e">
        <f t="shared" ca="1" si="586"/>
        <v>#NUM!</v>
      </c>
      <c r="CB182" s="3" t="e">
        <f t="shared" ca="1" si="588"/>
        <v>#NUM!</v>
      </c>
      <c r="CC182" s="3" t="e">
        <f t="shared" ca="1" si="586"/>
        <v>#NUM!</v>
      </c>
      <c r="CD182" s="3">
        <f>IF(RTD("tos.rtd",,CD$43,"."&amp;$B$134&amp;$AS$82&amp;"C"&amp;$A182)="N/A",0,RTD("tos.rtd",,CD$43,"."&amp;$B$134&amp;$AS$82&amp;"C"&amp;$A182))</f>
        <v>0.95</v>
      </c>
      <c r="CE182" s="3">
        <f>-IF(RTD("tos.rtd",,CE$43,"."&amp;$B$134&amp;$AS$82&amp;"P"&amp;$A182)="N/A",0,RTD("tos.rtd",,CE$43,"."&amp;$B$134&amp;$AS$82&amp;"P"&amp;$A182))</f>
        <v>0.06</v>
      </c>
      <c r="CF182" s="3">
        <f>IF(RTD("tos.rtd",,CF$2,"."&amp;$C$134&amp;$AU$82&amp;"C"&amp;$A182)="N/A",0,RTD("tos.rtd",,CF$2,"."&amp;$C$134&amp;$AU$82&amp;"C"&amp;$A182))</f>
        <v>0.98</v>
      </c>
      <c r="CG182" s="3">
        <f>-IF(RTD("tos.rtd",,CG$2,"."&amp;$C$134&amp;$AU$82&amp;"P"&amp;$A182)="N/A",0,RTD("tos.rtd",,CG$2,"."&amp;$C$134&amp;$AU$82&amp;"P"&amp;$A182))</f>
        <v>0.06</v>
      </c>
      <c r="CH182" s="3">
        <f>IF(RTD("tos.rtd",,CH$2,"."&amp;$D$134&amp;$AW$82&amp;"C"&amp;$A182)="N/A",0,RTD("tos.rtd",,CH$2,"."&amp;$D$134&amp;$AW$82&amp;"C"&amp;$A182))</f>
        <v>0.85</v>
      </c>
      <c r="CI182" s="3">
        <f>-IF(RTD("tos.rtd",,CI$2,"."&amp;$D$134&amp;$AW$82&amp;"P"&amp;$A182)="N/A",0,RTD("tos.rtd",,CI$2,"."&amp;$D$134&amp;$AW$82&amp;"P"&amp;$A182))</f>
        <v>0.17</v>
      </c>
      <c r="CK182" s="3">
        <f t="shared" si="660"/>
        <v>41</v>
      </c>
      <c r="CL182" s="3"/>
      <c r="CM182" s="3">
        <f t="shared" si="661"/>
        <v>-118</v>
      </c>
      <c r="CN182" s="3"/>
      <c r="CO182" s="3">
        <f t="shared" si="662"/>
        <v>2329</v>
      </c>
      <c r="CP182" s="3">
        <f t="shared" si="542"/>
        <v>2252</v>
      </c>
      <c r="CQ182" s="3">
        <f t="shared" si="552"/>
        <v>0</v>
      </c>
      <c r="CR182" s="3"/>
      <c r="CS182" s="3">
        <f t="shared" si="553"/>
        <v>-26</v>
      </c>
      <c r="CT182" s="3"/>
      <c r="CU182" s="3">
        <f t="shared" si="554"/>
        <v>-13</v>
      </c>
      <c r="CV182" s="3"/>
      <c r="CW182" s="3" t="e">
        <f t="shared" ca="1" si="555"/>
        <v>#NUM!</v>
      </c>
      <c r="CY182" s="3" t="e">
        <f t="shared" ca="1" si="556"/>
        <v>#NUM!</v>
      </c>
      <c r="CZ182" s="70" t="e">
        <f t="shared" ca="1" si="589"/>
        <v>#NUM!</v>
      </c>
      <c r="DA182" s="3">
        <f>IF(RTD("tos.rtd",,DA$43,"."&amp;$B$134&amp;$AS$82&amp;"C"&amp;$A182)="N/A",0,RTD("tos.rtd",,DA$43,"."&amp;$B$134&amp;$AS$82&amp;"C"&amp;$A182))</f>
        <v>660.83</v>
      </c>
      <c r="DB182" s="3">
        <f>IF(RTD("tos.rtd",,DB$43,"."&amp;$B$134&amp;$AS$82&amp;"P"&amp;$A182)="N/A",0,RTD("tos.rtd",,DB$43,"."&amp;$B$134&amp;$AS$82&amp;"P"&amp;$A182))</f>
        <v>1.94</v>
      </c>
      <c r="DC182" s="3">
        <f>IF(RTD("tos.rtd",,DC$43,"."&amp;$B$134&amp;$AS$82&amp;"C"&amp;$A182)="N/A",0,RTD("tos.rtd",,DC$43,"."&amp;$B$134&amp;$AS$82&amp;"C"&amp;$A182))</f>
        <v>684</v>
      </c>
      <c r="DD182" s="3">
        <f>IF(RTD("tos.rtd",,DD$43,"."&amp;$B$134&amp;$AS$82&amp;"P"&amp;$A182)="N/A",0,RTD("tos.rtd",,DD$43,"."&amp;$B$134&amp;$AS$82&amp;"P"&amp;$A182))</f>
        <v>20</v>
      </c>
      <c r="DE182" s="3">
        <f>IF(RTD("tos.rtd",,DE$43,"."&amp;$B$134&amp;$AS$82&amp;"C"&amp;$A182)="N/A",0,RTD("tos.rtd",,DE$43,"."&amp;$B$134&amp;$AS$82&amp;"C"&amp;$A182))</f>
        <v>606</v>
      </c>
      <c r="DF182" s="3">
        <f>IF(RTD("tos.rtd",,DF$43,"."&amp;$B$134&amp;$AS$82&amp;"P"&amp;$A182)="N/A",0,RTD("tos.rtd",,DF$43,"."&amp;$B$134&amp;$AS$82&amp;"P"&amp;$A182))</f>
        <v>0</v>
      </c>
      <c r="DG182" s="86">
        <f t="shared" si="590"/>
        <v>-636.44900000000052</v>
      </c>
      <c r="DH182" s="3">
        <f t="shared" si="557"/>
        <v>0</v>
      </c>
      <c r="DI182" s="3">
        <f t="shared" si="558"/>
        <v>1.3580000000000001</v>
      </c>
      <c r="DJ182" s="3">
        <f t="shared" si="559"/>
        <v>0</v>
      </c>
      <c r="DK182" s="3">
        <f t="shared" si="560"/>
        <v>-14</v>
      </c>
      <c r="DL182" s="3">
        <f t="shared" si="561"/>
        <v>1.3580000000000001</v>
      </c>
      <c r="DM182" s="3">
        <f t="shared" si="562"/>
        <v>-14</v>
      </c>
      <c r="DN182" s="64" t="str">
        <f t="shared" si="563"/>
        <v>UNKNOWN</v>
      </c>
      <c r="DO182" s="64" t="str">
        <f t="shared" si="564"/>
        <v>UNKNOWN</v>
      </c>
      <c r="DP182" s="3">
        <f t="shared" si="565"/>
        <v>2.6345200000000002</v>
      </c>
      <c r="DQ182" s="3">
        <f t="shared" si="566"/>
        <v>-27.16</v>
      </c>
      <c r="DR182" s="3" t="e">
        <f t="shared" ca="1" si="567"/>
        <v>#NUM!</v>
      </c>
      <c r="DS182" s="3">
        <f t="shared" si="568"/>
        <v>-0.84</v>
      </c>
      <c r="DT182" s="3">
        <f t="shared" si="591"/>
        <v>0</v>
      </c>
      <c r="DU182" s="3">
        <f t="shared" si="592"/>
        <v>14</v>
      </c>
      <c r="DV182" s="3">
        <f t="shared" si="569"/>
        <v>-1</v>
      </c>
      <c r="DW182" s="3">
        <f t="shared" si="570"/>
        <v>-30</v>
      </c>
      <c r="DX182" s="3" t="e">
        <f t="shared" ca="1" si="654"/>
        <v>#NUM!</v>
      </c>
      <c r="DY182" s="3" t="e">
        <f t="shared" ca="1" si="655"/>
        <v>#NUM!</v>
      </c>
      <c r="DZ182" s="3" t="e">
        <f t="shared" ca="1" si="656"/>
        <v>#NUM!</v>
      </c>
      <c r="EA182" s="3" t="e">
        <f t="shared" ca="1" si="657"/>
        <v>#NUM!</v>
      </c>
      <c r="EB182" s="3" t="e">
        <f t="shared" ca="1" si="658"/>
        <v>#NUM!</v>
      </c>
      <c r="EC182" s="3" t="e">
        <f t="shared" ca="1" si="659"/>
        <v>#NUM!</v>
      </c>
      <c r="ED182" s="63">
        <f t="shared" si="593"/>
        <v>-31</v>
      </c>
      <c r="EE182" s="59">
        <f t="shared" si="577"/>
        <v>2.6221000000000001</v>
      </c>
      <c r="EF182" s="59">
        <f t="shared" si="578"/>
        <v>2.7128999999999999</v>
      </c>
      <c r="EG182" s="59">
        <f t="shared" si="579"/>
        <v>2.089</v>
      </c>
      <c r="EH182" s="59">
        <f t="shared" si="580"/>
        <v>2.7069999999999999</v>
      </c>
      <c r="EI182" s="59">
        <f t="shared" si="581"/>
        <v>0.28539999999999999</v>
      </c>
      <c r="EJ182" s="59">
        <f t="shared" si="582"/>
        <v>0.30840000000000001</v>
      </c>
      <c r="EK182" s="63" t="e">
        <f t="shared" ca="1" si="594"/>
        <v>#NUM!</v>
      </c>
      <c r="EL182" s="3" t="str">
        <f>RTD("tos.rtd",,EL$43,"."&amp;$B$134&amp;$AS$82&amp;"C"&amp;$A182)</f>
        <v>262.21%</v>
      </c>
      <c r="EM182" s="3" t="str">
        <f>RTD("tos.rtd",,EM$43,"."&amp;$B$134&amp;$AS$82&amp;"P"&amp;$A182)</f>
        <v>271.29%</v>
      </c>
      <c r="EN182" s="3" t="str">
        <f>RTD("tos.rtd",,EN$2,"."&amp;$C$134&amp;$AU$82&amp;"C"&amp;$A182)</f>
        <v>208.90%</v>
      </c>
      <c r="EO182" s="3" t="str">
        <f>RTD("tos.rtd",,EO$2,"."&amp;$C$134&amp;$AU$82&amp;"P"&amp;$A182)</f>
        <v>270.70%</v>
      </c>
      <c r="EP182" s="3" t="str">
        <f>RTD("tos.rtd",,EP$2,"."&amp;$D$134&amp;$AW$82&amp;"C"&amp;$A182)</f>
        <v>28.54%</v>
      </c>
      <c r="EQ182" s="3" t="str">
        <f>RTD("tos.rtd",,EQ$2,"."&amp;$D$134&amp;$AW$82&amp;"P"&amp;$A182)</f>
        <v>30.84%</v>
      </c>
      <c r="ES182" s="63" t="str">
        <f t="shared" si="583"/>
        <v>19425,-31.00</v>
      </c>
      <c r="ET182" s="63" t="str">
        <f t="shared" ca="1" si="584"/>
        <v>19425,00.00</v>
      </c>
      <c r="EU182" s="68">
        <v>563.62</v>
      </c>
      <c r="EV182" s="68" t="s">
        <v>1475</v>
      </c>
      <c r="EW182" s="68">
        <v>486.46</v>
      </c>
      <c r="EX182" s="68" t="s">
        <v>1476</v>
      </c>
      <c r="EY182" s="68">
        <v>5631.28</v>
      </c>
      <c r="EZ182" s="68" t="s">
        <v>1477</v>
      </c>
      <c r="FA182" s="68">
        <v>19867.973000000002</v>
      </c>
      <c r="FB182" s="68" t="s">
        <v>1478</v>
      </c>
      <c r="FC182" s="68" t="s">
        <v>1479</v>
      </c>
      <c r="FD182" s="68" t="s">
        <v>1480</v>
      </c>
      <c r="FE182" s="68" t="s">
        <v>1481</v>
      </c>
      <c r="FF182" s="68" t="s">
        <v>1482</v>
      </c>
    </row>
    <row r="183" spans="1:162" ht="11.1" customHeight="1" thickBot="1" x14ac:dyDescent="0.25">
      <c r="A183" s="2">
        <f t="shared" si="595"/>
        <v>19400</v>
      </c>
      <c r="B183" s="3">
        <f t="shared" si="628"/>
        <v>32</v>
      </c>
      <c r="C183" s="3">
        <f t="shared" si="629"/>
        <v>49</v>
      </c>
      <c r="D183" s="3">
        <f t="shared" si="630"/>
        <v>95</v>
      </c>
      <c r="E183" s="3">
        <f t="shared" si="663"/>
        <v>176</v>
      </c>
      <c r="F183" s="4">
        <f t="shared" si="623"/>
        <v>19780.816929026412</v>
      </c>
      <c r="G183" s="5">
        <f t="shared" si="664"/>
        <v>479.43356434522747</v>
      </c>
      <c r="AM183" s="1">
        <v>-8</v>
      </c>
      <c r="AN183" s="1">
        <v>-509</v>
      </c>
      <c r="AO183" s="1">
        <v>19400</v>
      </c>
      <c r="AP183" s="1">
        <v>1</v>
      </c>
      <c r="AQ183" s="1">
        <v>-168</v>
      </c>
      <c r="AS183" s="54">
        <f>IF(RTD("tos.rtd",,AS$83,"."&amp;$B$134&amp;$AS$82&amp;"C"&amp;$A183)="N/A",0,RTD("tos.rtd",,AS$83,"."&amp;$B$134&amp;$AS$82&amp;"C"&amp;$A183))</f>
        <v>16</v>
      </c>
      <c r="AT183" s="3">
        <f>-IF(RTD("tos.rtd",,AT$83,"."&amp;$B$134&amp;$AS$82&amp;"P"&amp;$A183)="N/A",0,RTD("tos.rtd",,AT$83,"."&amp;$B$134&amp;$AS$82&amp;"P"&amp;$A183))</f>
        <v>-16</v>
      </c>
      <c r="AU183" s="54">
        <f>IF(RTD("tos.rtd",,AU$2,"."&amp;$C$134&amp;$AU$134&amp;"C"&amp;$A183)="N/A",0,RTD("tos.rtd",,AU$2,"."&amp;$C$134&amp;$AU$134&amp;"C"&amp;$A183))</f>
        <v>9</v>
      </c>
      <c r="AV183" s="3">
        <f>-IF(RTD("tos.rtd",,AV$2,"."&amp;$C$134&amp;$AU$134&amp;"P"&amp;$A183)="N/A",0,RTD("tos.rtd",,AV$2,"."&amp;$C$134&amp;$AU$134&amp;"P"&amp;$A183))</f>
        <v>-40</v>
      </c>
      <c r="AW183" s="54">
        <f>IF(RTD("tos.rtd",,AW$2,"."&amp;$D$134&amp;$AW$134&amp;"C"&amp;$A183)="N/A",0,RTD("tos.rtd",,AW$2,"."&amp;$D$134&amp;$AW$134&amp;"C"&amp;$A183))</f>
        <v>41</v>
      </c>
      <c r="AX183" s="3">
        <f>-IF(RTD("tos.rtd",,AX$2,"."&amp;$D$134&amp;$AW$134&amp;"P"&amp;$A183)="N/A",0,RTD("tos.rtd",,AX$2,"."&amp;$D$134&amp;$AW$134&amp;"P"&amp;$A183))</f>
        <v>-54</v>
      </c>
      <c r="AY183" s="76">
        <f t="shared" si="624"/>
        <v>-44</v>
      </c>
      <c r="AZ183" s="8">
        <f t="shared" si="548"/>
        <v>19400</v>
      </c>
      <c r="BA183" s="54">
        <f>IF(RTD("tos.rtd",,BA$43,"."&amp;$B$134&amp;$AS$82&amp;"C"&amp;$A183)="N/A",0,RTD("tos.rtd",,BA$43,"."&amp;$B$134&amp;$AS$82&amp;"C"&amp;$A183))</f>
        <v>0</v>
      </c>
      <c r="BB183" s="3">
        <f>-IF(RTD("tos.rtd",,BB$43,"."&amp;$B$134&amp;$AS$82&amp;"P"&amp;$A183)="N/A",0,RTD("tos.rtd",,BB$43,"."&amp;$B$134&amp;$AS$82&amp;"P"&amp;$A183))</f>
        <v>0</v>
      </c>
      <c r="BC183" s="54">
        <f>IF(RTD("tos.rtd",,BC$2,"."&amp;$C$134&amp;$AU$82&amp;"C"&amp;$A183)="N/A",0,RTD("tos.rtd",,BC$2,"."&amp;$C$134&amp;$AU$82&amp;"C"&amp;$A183))</f>
        <v>0</v>
      </c>
      <c r="BD183" s="3">
        <f>-IF(RTD("tos.rtd",,BD$2,"."&amp;$C$134&amp;$AU$82&amp;"P"&amp;$A183)="N/A",0,RTD("tos.rtd",,BD$2,"."&amp;$C$134&amp;$AU$82&amp;"P"&amp;$A183))</f>
        <v>-142</v>
      </c>
      <c r="BE183" s="54">
        <f>IF(RTD("tos.rtd",,BE$2,"."&amp;$D$134&amp;$AW$82&amp;"C"&amp;$A183)="N/A",0,RTD("tos.rtd",,BE$2,"."&amp;$D$134&amp;$AW$82&amp;"C"&amp;$A183))</f>
        <v>0</v>
      </c>
      <c r="BF183" s="3">
        <f>-IF(RTD("tos.rtd",,BF$2,"."&amp;$D$134&amp;$AW$82&amp;"P"&amp;$A183)="N/A",0,RTD("tos.rtd",,BF$2,"."&amp;$D$134&amp;$AW$82&amp;"P"&amp;$A183))</f>
        <v>-9</v>
      </c>
      <c r="BG183" s="3">
        <f ca="1">+Hoja2!Y184</f>
        <v>-8</v>
      </c>
      <c r="BH183" s="7">
        <f t="shared" ca="1" si="549"/>
        <v>-159</v>
      </c>
      <c r="BI183" s="32" t="str">
        <f t="shared" ca="1" si="609"/>
        <v/>
      </c>
      <c r="BJ183" s="3" t="e">
        <f ca="1">IF($BP$1=1,DX183,IF(RTD("tos.rtd",,BJ$43,"."&amp;$B$134&amp;$AS$82&amp;"C"&amp;$A183)="N/A",0,RTD("tos.rtd",,BJ$43,"."&amp;$B$134&amp;$AS$82&amp;"C"&amp;$A183)))</f>
        <v>#NUM!</v>
      </c>
      <c r="BK183" s="3" t="e">
        <f ca="1">IF($BP$1=1,DY183,-IF(RTD("tos.rtd",,BK$43,"."&amp;$B$134&amp;$AS$82&amp;"P"&amp;$A183)="N/A",0,RTD("tos.rtd",,BK$43,"."&amp;$B$134&amp;$AS$82&amp;"P"&amp;$A183)))</f>
        <v>#NUM!</v>
      </c>
      <c r="BL183" s="3" t="e">
        <f ca="1">IF($BP$1=1,DZ183,IF(RTD("tos.rtd",,BL$2,"."&amp;$C$134&amp;$AU$82&amp;"C"&amp;$A183)="N/A",0,RTD("tos.rtd",,BL$2,"."&amp;$C$134&amp;$AU$82&amp;"C"&amp;$A183)))</f>
        <v>#NUM!</v>
      </c>
      <c r="BM183" s="3" t="e">
        <f ca="1">IF($BP$1=1,EA183,-IF(RTD("tos.rtd",,BM$2,"."&amp;$C$134&amp;$AU$82&amp;"P"&amp;$A183)="N/A",0,RTD("tos.rtd",,BM$2,"."&amp;$C$134&amp;$AU$82&amp;"P"&amp;$A183)))</f>
        <v>#NUM!</v>
      </c>
      <c r="BN183" s="3" t="e">
        <f ca="1">IF($BP$1=1,EB183,IF(RTD("tos.rtd",,BN$2,"."&amp;$D$134&amp;$AW$82&amp;"C"&amp;$A183)="N/A",0,RTD("tos.rtd",,BN$2,"."&amp;$D$134&amp;$AW$82&amp;"C"&amp;$A183)))</f>
        <v>#NUM!</v>
      </c>
      <c r="BO183" s="3" t="e">
        <f ca="1">IF($BP$1=1,EC183,-IF(RTD("tos.rtd",,BO$2,"."&amp;$D$134&amp;$AW$82&amp;"P"&amp;$A183)="N/A",0,RTD("tos.rtd",,BO$2,"."&amp;$D$134&amp;$AW$82&amp;"P"&amp;$A183)))</f>
        <v>#NUM!</v>
      </c>
      <c r="BQ183" s="3" t="e">
        <f t="shared" ca="1" si="625"/>
        <v>#NUM!</v>
      </c>
      <c r="BR183" s="3" t="e">
        <f t="shared" ca="1" si="550"/>
        <v>#NUM!</v>
      </c>
      <c r="BS183" s="3" t="e">
        <f t="shared" ca="1" si="626"/>
        <v>#NUM!</v>
      </c>
      <c r="BT183" s="3" t="e">
        <f t="shared" ca="1" si="551"/>
        <v>#NUM!</v>
      </c>
      <c r="BU183" s="3" t="e">
        <f t="shared" ca="1" si="627"/>
        <v>#NUM!</v>
      </c>
      <c r="BV183" s="3" t="e">
        <f t="shared" ca="1" si="551"/>
        <v>#NUM!</v>
      </c>
      <c r="BX183" s="3" t="e">
        <f t="shared" ca="1" si="585"/>
        <v>#NUM!</v>
      </c>
      <c r="BY183" s="3" t="e">
        <f t="shared" ca="1" si="586"/>
        <v>#NUM!</v>
      </c>
      <c r="BZ183" s="3" t="e">
        <f t="shared" ca="1" si="587"/>
        <v>#NUM!</v>
      </c>
      <c r="CA183" s="3" t="e">
        <f t="shared" ca="1" si="586"/>
        <v>#NUM!</v>
      </c>
      <c r="CB183" s="3" t="e">
        <f t="shared" ca="1" si="588"/>
        <v>#NUM!</v>
      </c>
      <c r="CC183" s="3" t="e">
        <f t="shared" ca="1" si="586"/>
        <v>#NUM!</v>
      </c>
      <c r="CD183" s="3">
        <f>IF(RTD("tos.rtd",,CD$43,"."&amp;$B$134&amp;$AS$82&amp;"C"&amp;$A183)="N/A",0,RTD("tos.rtd",,CD$43,"."&amp;$B$134&amp;$AS$82&amp;"C"&amp;$A183))</f>
        <v>0.95</v>
      </c>
      <c r="CE183" s="3">
        <f>-IF(RTD("tos.rtd",,CE$43,"."&amp;$B$134&amp;$AS$82&amp;"P"&amp;$A183)="N/A",0,RTD("tos.rtd",,CE$43,"."&amp;$B$134&amp;$AS$82&amp;"P"&amp;$A183))</f>
        <v>0</v>
      </c>
      <c r="CF183" s="3">
        <f>IF(RTD("tos.rtd",,CF$2,"."&amp;$C$134&amp;$AU$82&amp;"C"&amp;$A183)="N/A",0,RTD("tos.rtd",,CF$2,"."&amp;$C$134&amp;$AU$82&amp;"C"&amp;$A183))</f>
        <v>1</v>
      </c>
      <c r="CG183" s="3">
        <f>-IF(RTD("tos.rtd",,CG$2,"."&amp;$C$134&amp;$AU$82&amp;"P"&amp;$A183)="N/A",0,RTD("tos.rtd",,CG$2,"."&amp;$C$134&amp;$AU$82&amp;"P"&amp;$A183))</f>
        <v>0.05</v>
      </c>
      <c r="CH183" s="3">
        <f>IF(RTD("tos.rtd",,CH$2,"."&amp;$D$134&amp;$AW$82&amp;"C"&amp;$A183)="N/A",0,RTD("tos.rtd",,CH$2,"."&amp;$D$134&amp;$AW$82&amp;"C"&amp;$A183))</f>
        <v>0.86</v>
      </c>
      <c r="CI183" s="3">
        <f>-IF(RTD("tos.rtd",,CI$2,"."&amp;$D$134&amp;$AW$82&amp;"P"&amp;$A183)="N/A",0,RTD("tos.rtd",,CI$2,"."&amp;$D$134&amp;$AW$82&amp;"P"&amp;$A183))</f>
        <v>0.16</v>
      </c>
      <c r="CK183" s="3">
        <f t="shared" si="660"/>
        <v>1520</v>
      </c>
      <c r="CL183" s="3"/>
      <c r="CM183" s="3">
        <f t="shared" si="661"/>
        <v>700</v>
      </c>
      <c r="CN183" s="3"/>
      <c r="CO183" s="3">
        <f t="shared" si="662"/>
        <v>2662</v>
      </c>
      <c r="CP183" s="3">
        <f t="shared" si="542"/>
        <v>4882</v>
      </c>
      <c r="CQ183" s="3">
        <f t="shared" si="552"/>
        <v>0</v>
      </c>
      <c r="CR183" s="3"/>
      <c r="CS183" s="3">
        <f t="shared" si="553"/>
        <v>-142</v>
      </c>
      <c r="CT183" s="3"/>
      <c r="CU183" s="3">
        <f t="shared" si="554"/>
        <v>-9</v>
      </c>
      <c r="CV183" s="3"/>
      <c r="CW183" s="3" t="e">
        <f t="shared" ca="1" si="555"/>
        <v>#NUM!</v>
      </c>
      <c r="CY183" s="3" t="e">
        <f t="shared" ca="1" si="556"/>
        <v>#NUM!</v>
      </c>
      <c r="CZ183" s="70" t="e">
        <f t="shared" ca="1" si="589"/>
        <v>#NUM!</v>
      </c>
      <c r="DA183" s="3">
        <f>IF(RTD("tos.rtd",,DA$43,"."&amp;$B$134&amp;$AS$82&amp;"C"&amp;$A183)="N/A",0,RTD("tos.rtd",,DA$43,"."&amp;$B$134&amp;$AS$82&amp;"C"&amp;$A183))</f>
        <v>621.95000000000005</v>
      </c>
      <c r="DB183" s="3">
        <f>IF(RTD("tos.rtd",,DB$43,"."&amp;$B$134&amp;$AS$82&amp;"P"&amp;$A183)="N/A",0,RTD("tos.rtd",,DB$43,"."&amp;$B$134&amp;$AS$82&amp;"P"&amp;$A183))</f>
        <v>0.25</v>
      </c>
      <c r="DC183" s="3">
        <f>IF(RTD("tos.rtd",,DC$43,"."&amp;$B$134&amp;$AS$82&amp;"C"&amp;$A183)="N/A",0,RTD("tos.rtd",,DC$43,"."&amp;$B$134&amp;$AS$82&amp;"C"&amp;$A183))</f>
        <v>710</v>
      </c>
      <c r="DD183" s="3">
        <f>IF(RTD("tos.rtd",,DD$43,"."&amp;$B$134&amp;$AS$82&amp;"P"&amp;$A183)="N/A",0,RTD("tos.rtd",,DD$43,"."&amp;$B$134&amp;$AS$82&amp;"P"&amp;$A183))</f>
        <v>0.05</v>
      </c>
      <c r="DE183" s="3">
        <f>IF(RTD("tos.rtd",,DE$43,"."&amp;$B$134&amp;$AS$82&amp;"C"&amp;$A183)="N/A",0,RTD("tos.rtd",,DE$43,"."&amp;$B$134&amp;$AS$82&amp;"C"&amp;$A183))</f>
        <v>630</v>
      </c>
      <c r="DF183" s="3">
        <f>IF(RTD("tos.rtd",,DF$43,"."&amp;$B$134&amp;$AS$82&amp;"P"&amp;$A183)="N/A",0,RTD("tos.rtd",,DF$43,"."&amp;$B$134&amp;$AS$82&amp;"P"&amp;$A183))</f>
        <v>0</v>
      </c>
      <c r="DG183" s="86">
        <f t="shared" si="590"/>
        <v>-661.44900000000052</v>
      </c>
      <c r="DH183" s="3">
        <f t="shared" si="557"/>
        <v>0.10062499999999944</v>
      </c>
      <c r="DI183" s="3">
        <f t="shared" si="558"/>
        <v>840</v>
      </c>
      <c r="DJ183" s="3">
        <f t="shared" si="559"/>
        <v>1</v>
      </c>
      <c r="DK183" s="3">
        <f t="shared" si="560"/>
        <v>168</v>
      </c>
      <c r="DL183" s="3">
        <f t="shared" si="561"/>
        <v>840.10062500000004</v>
      </c>
      <c r="DM183" s="3">
        <f t="shared" si="562"/>
        <v>169</v>
      </c>
      <c r="DN183" s="64" t="str">
        <f t="shared" si="563"/>
        <v>UNKNOWN</v>
      </c>
      <c r="DO183" s="64" t="str">
        <f t="shared" si="564"/>
        <v>UNKNOWN</v>
      </c>
      <c r="DP183" s="3">
        <f t="shared" si="565"/>
        <v>272.58371874999966</v>
      </c>
      <c r="DQ183" s="3">
        <f t="shared" si="566"/>
        <v>663.95</v>
      </c>
      <c r="DR183" s="3" t="e">
        <f t="shared" ca="1" si="567"/>
        <v>#NUM!</v>
      </c>
      <c r="DS183" s="3">
        <f t="shared" si="568"/>
        <v>0.95</v>
      </c>
      <c r="DT183" s="3">
        <f t="shared" si="591"/>
        <v>-1</v>
      </c>
      <c r="DU183" s="3">
        <f t="shared" si="592"/>
        <v>168</v>
      </c>
      <c r="DV183" s="3">
        <f t="shared" si="569"/>
        <v>-8</v>
      </c>
      <c r="DW183" s="3">
        <f t="shared" si="570"/>
        <v>-509</v>
      </c>
      <c r="DX183" s="3" t="e">
        <f t="shared" ca="1" si="654"/>
        <v>#NUM!</v>
      </c>
      <c r="DY183" s="3" t="e">
        <f t="shared" ca="1" si="655"/>
        <v>#NUM!</v>
      </c>
      <c r="DZ183" s="3" t="e">
        <f t="shared" ca="1" si="656"/>
        <v>#NUM!</v>
      </c>
      <c r="EA183" s="3" t="e">
        <f t="shared" ca="1" si="657"/>
        <v>#NUM!</v>
      </c>
      <c r="EB183" s="3" t="e">
        <f t="shared" ca="1" si="658"/>
        <v>#NUM!</v>
      </c>
      <c r="EC183" s="3" t="e">
        <f t="shared" ca="1" si="659"/>
        <v>#NUM!</v>
      </c>
      <c r="ED183" s="63">
        <f t="shared" si="593"/>
        <v>-517</v>
      </c>
      <c r="EE183" s="59">
        <f t="shared" si="577"/>
        <v>2.7054999999999998</v>
      </c>
      <c r="EF183" s="59">
        <f t="shared" si="578"/>
        <v>1.3438000000000001</v>
      </c>
      <c r="EG183" s="59">
        <f t="shared" si="579"/>
        <v>0.25</v>
      </c>
      <c r="EH183" s="59">
        <f t="shared" si="580"/>
        <v>2.7921999999999998</v>
      </c>
      <c r="EI183" s="59">
        <f t="shared" si="581"/>
        <v>0.28499999999999998</v>
      </c>
      <c r="EJ183" s="59">
        <f t="shared" si="582"/>
        <v>0.30859999999999999</v>
      </c>
      <c r="EK183" s="63" t="e">
        <f t="shared" ca="1" si="594"/>
        <v>#NUM!</v>
      </c>
      <c r="EL183" s="3" t="str">
        <f>RTD("tos.rtd",,EL$43,"."&amp;$B$134&amp;$AS$82&amp;"C"&amp;$A183)</f>
        <v>270.55%</v>
      </c>
      <c r="EM183" s="3" t="str">
        <f>RTD("tos.rtd",,EM$43,"."&amp;$B$134&amp;$AS$82&amp;"P"&amp;$A183)</f>
        <v>134.38%</v>
      </c>
      <c r="EN183" s="3" t="str">
        <f>RTD("tos.rtd",,EN$2,"."&amp;$C$134&amp;$AU$82&amp;"C"&amp;$A183)</f>
        <v>--</v>
      </c>
      <c r="EO183" s="3" t="str">
        <f>RTD("tos.rtd",,EO$2,"."&amp;$C$134&amp;$AU$82&amp;"P"&amp;$A183)</f>
        <v>279.22%</v>
      </c>
      <c r="EP183" s="3" t="str">
        <f>RTD("tos.rtd",,EP$2,"."&amp;$D$134&amp;$AW$82&amp;"C"&amp;$A183)</f>
        <v>28.50%</v>
      </c>
      <c r="EQ183" s="3" t="str">
        <f>RTD("tos.rtd",,EQ$2,"."&amp;$D$134&amp;$AW$82&amp;"P"&amp;$A183)</f>
        <v>30.86%</v>
      </c>
      <c r="ES183" s="63" t="str">
        <f t="shared" si="583"/>
        <v>19400,-517.00</v>
      </c>
      <c r="ET183" s="63" t="str">
        <f t="shared" ca="1" si="584"/>
        <v>19400,00.00</v>
      </c>
      <c r="EU183" s="68">
        <v>563.58000000000004</v>
      </c>
      <c r="EV183" s="68" t="s">
        <v>1483</v>
      </c>
      <c r="EW183" s="68">
        <v>486.43</v>
      </c>
      <c r="EX183" s="68" t="s">
        <v>1484</v>
      </c>
      <c r="EY183" s="68">
        <v>5631.28</v>
      </c>
      <c r="EZ183" s="68" t="s">
        <v>1485</v>
      </c>
      <c r="FA183" s="68">
        <v>19867.973000000002</v>
      </c>
      <c r="FB183" s="68" t="s">
        <v>1486</v>
      </c>
      <c r="FC183" s="68" t="s">
        <v>1487</v>
      </c>
      <c r="FD183" s="68" t="s">
        <v>1488</v>
      </c>
      <c r="FE183" s="68" t="s">
        <v>1489</v>
      </c>
      <c r="FF183" s="68" t="s">
        <v>1490</v>
      </c>
    </row>
    <row r="184" spans="1:162" ht="11.1" customHeight="1" thickBot="1" x14ac:dyDescent="0.25">
      <c r="A184" s="2">
        <f t="shared" si="595"/>
        <v>19375</v>
      </c>
      <c r="B184" s="3">
        <f t="shared" si="628"/>
        <v>5</v>
      </c>
      <c r="C184" s="3">
        <f t="shared" si="629"/>
        <v>26</v>
      </c>
      <c r="D184" s="3">
        <f t="shared" si="630"/>
        <v>30</v>
      </c>
      <c r="E184" s="3">
        <f t="shared" si="663"/>
        <v>61</v>
      </c>
      <c r="F184" s="4">
        <f t="shared" si="623"/>
        <v>19755.326185561174</v>
      </c>
      <c r="G184" s="5">
        <f t="shared" si="664"/>
        <v>478.81573758705059</v>
      </c>
      <c r="AM184" s="1">
        <v>0</v>
      </c>
      <c r="AN184" s="1">
        <v>-7</v>
      </c>
      <c r="AO184" s="1">
        <v>19375</v>
      </c>
      <c r="AP184" s="1">
        <v>0</v>
      </c>
      <c r="AQ184" s="1">
        <v>-40</v>
      </c>
      <c r="AS184" s="54">
        <f>IF(RTD("tos.rtd",,AS$83,"."&amp;$B$134&amp;$AS$82&amp;"C"&amp;$A184)="N/A",0,RTD("tos.rtd",,AS$83,"."&amp;$B$134&amp;$AS$82&amp;"C"&amp;$A184))</f>
        <v>0</v>
      </c>
      <c r="AT184" s="3">
        <f>-IF(RTD("tos.rtd",,AT$83,"."&amp;$B$134&amp;$AS$82&amp;"P"&amp;$A184)="N/A",0,RTD("tos.rtd",,AT$83,"."&amp;$B$134&amp;$AS$82&amp;"P"&amp;$A184))</f>
        <v>-5</v>
      </c>
      <c r="AU184" s="54">
        <f>IF(RTD("tos.rtd",,AU$2,"."&amp;$C$134&amp;$AU$134&amp;"C"&amp;$A184)="N/A",0,RTD("tos.rtd",,AU$2,"."&amp;$C$134&amp;$AU$134&amp;"C"&amp;$A184))</f>
        <v>0</v>
      </c>
      <c r="AV184" s="3">
        <f>-IF(RTD("tos.rtd",,AV$2,"."&amp;$C$134&amp;$AU$134&amp;"P"&amp;$A184)="N/A",0,RTD("tos.rtd",,AV$2,"."&amp;$C$134&amp;$AU$134&amp;"P"&amp;$A184))</f>
        <v>-26</v>
      </c>
      <c r="AW184" s="54">
        <f>IF(RTD("tos.rtd",,AW$2,"."&amp;$D$134&amp;$AW$134&amp;"C"&amp;$A184)="N/A",0,RTD("tos.rtd",,AW$2,"."&amp;$D$134&amp;$AW$134&amp;"C"&amp;$A184))</f>
        <v>18</v>
      </c>
      <c r="AX184" s="3">
        <f>-IF(RTD("tos.rtd",,AX$2,"."&amp;$D$134&amp;$AW$134&amp;"P"&amp;$A184)="N/A",0,RTD("tos.rtd",,AX$2,"."&amp;$D$134&amp;$AW$134&amp;"P"&amp;$A184))</f>
        <v>-12</v>
      </c>
      <c r="AY184" s="76">
        <f t="shared" si="624"/>
        <v>-25</v>
      </c>
      <c r="AZ184" s="8">
        <f t="shared" si="548"/>
        <v>19375</v>
      </c>
      <c r="BA184" s="54">
        <f>IF(RTD("tos.rtd",,BA$43,"."&amp;$B$134&amp;$AS$82&amp;"C"&amp;$A184)="N/A",0,RTD("tos.rtd",,BA$43,"."&amp;$B$134&amp;$AS$82&amp;"C"&amp;$A184))</f>
        <v>0</v>
      </c>
      <c r="BB184" s="3">
        <f>-IF(RTD("tos.rtd",,BB$43,"."&amp;$B$134&amp;$AS$82&amp;"P"&amp;$A184)="N/A",0,RTD("tos.rtd",,BB$43,"."&amp;$B$134&amp;$AS$82&amp;"P"&amp;$A184))</f>
        <v>0</v>
      </c>
      <c r="BC184" s="54">
        <f>IF(RTD("tos.rtd",,BC$2,"."&amp;$C$134&amp;$AU$82&amp;"C"&amp;$A184)="N/A",0,RTD("tos.rtd",,BC$2,"."&amp;$C$134&amp;$AU$82&amp;"C"&amp;$A184))</f>
        <v>0</v>
      </c>
      <c r="BD184" s="3">
        <f>-IF(RTD("tos.rtd",,BD$2,"."&amp;$C$134&amp;$AU$82&amp;"P"&amp;$A184)="N/A",0,RTD("tos.rtd",,BD$2,"."&amp;$C$134&amp;$AU$82&amp;"P"&amp;$A184))</f>
        <v>-1</v>
      </c>
      <c r="BE184" s="54">
        <f>IF(RTD("tos.rtd",,BE$2,"."&amp;$D$134&amp;$AW$82&amp;"C"&amp;$A184)="N/A",0,RTD("tos.rtd",,BE$2,"."&amp;$D$134&amp;$AW$82&amp;"C"&amp;$A184))</f>
        <v>0</v>
      </c>
      <c r="BF184" s="3">
        <f>-IF(RTD("tos.rtd",,BF$2,"."&amp;$D$134&amp;$AW$82&amp;"P"&amp;$A184)="N/A",0,RTD("tos.rtd",,BF$2,"."&amp;$D$134&amp;$AW$82&amp;"P"&amp;$A184))</f>
        <v>-16</v>
      </c>
      <c r="BG184" s="3">
        <f ca="1">+Hoja2!Y185</f>
        <v>0</v>
      </c>
      <c r="BH184" s="7">
        <f t="shared" ca="1" si="549"/>
        <v>-17</v>
      </c>
      <c r="BI184" s="32" t="str">
        <f t="shared" ca="1" si="609"/>
        <v/>
      </c>
      <c r="BJ184" s="3" t="e">
        <f ca="1">IF($BP$1=1,DX184,IF(RTD("tos.rtd",,BJ$43,"."&amp;$B$134&amp;$AS$82&amp;"C"&amp;$A184)="N/A",0,RTD("tos.rtd",,BJ$43,"."&amp;$B$134&amp;$AS$82&amp;"C"&amp;$A184)))</f>
        <v>#NUM!</v>
      </c>
      <c r="BK184" s="3" t="e">
        <f ca="1">IF($BP$1=1,DY184,-IF(RTD("tos.rtd",,BK$43,"."&amp;$B$134&amp;$AS$82&amp;"P"&amp;$A184)="N/A",0,RTD("tos.rtd",,BK$43,"."&amp;$B$134&amp;$AS$82&amp;"P"&amp;$A184)))</f>
        <v>#NUM!</v>
      </c>
      <c r="BL184" s="3" t="e">
        <f ca="1">IF($BP$1=1,DZ184,IF(RTD("tos.rtd",,BL$2,"."&amp;$C$134&amp;$AU$82&amp;"C"&amp;$A184)="N/A",0,RTD("tos.rtd",,BL$2,"."&amp;$C$134&amp;$AU$82&amp;"C"&amp;$A184)))</f>
        <v>#NUM!</v>
      </c>
      <c r="BM184" s="3" t="e">
        <f ca="1">IF($BP$1=1,EA184,-IF(RTD("tos.rtd",,BM$2,"."&amp;$C$134&amp;$AU$82&amp;"P"&amp;$A184)="N/A",0,RTD("tos.rtd",,BM$2,"."&amp;$C$134&amp;$AU$82&amp;"P"&amp;$A184)))</f>
        <v>#NUM!</v>
      </c>
      <c r="BN184" s="3" t="e">
        <f ca="1">IF($BP$1=1,EB184,IF(RTD("tos.rtd",,BN$2,"."&amp;$D$134&amp;$AW$82&amp;"C"&amp;$A184)="N/A",0,RTD("tos.rtd",,BN$2,"."&amp;$D$134&amp;$AW$82&amp;"C"&amp;$A184)))</f>
        <v>#NUM!</v>
      </c>
      <c r="BO184" s="3" t="e">
        <f ca="1">IF($BP$1=1,EC184,-IF(RTD("tos.rtd",,BO$2,"."&amp;$D$134&amp;$AW$82&amp;"P"&amp;$A184)="N/A",0,RTD("tos.rtd",,BO$2,"."&amp;$D$134&amp;$AW$82&amp;"P"&amp;$A184)))</f>
        <v>#NUM!</v>
      </c>
      <c r="BQ184" s="3" t="e">
        <f t="shared" ca="1" si="625"/>
        <v>#NUM!</v>
      </c>
      <c r="BR184" s="3" t="e">
        <f t="shared" ca="1" si="550"/>
        <v>#NUM!</v>
      </c>
      <c r="BS184" s="3" t="e">
        <f t="shared" ca="1" si="626"/>
        <v>#NUM!</v>
      </c>
      <c r="BT184" s="3" t="e">
        <f t="shared" ca="1" si="551"/>
        <v>#NUM!</v>
      </c>
      <c r="BU184" s="3" t="e">
        <f t="shared" ca="1" si="627"/>
        <v>#NUM!</v>
      </c>
      <c r="BV184" s="3" t="e">
        <f t="shared" ca="1" si="551"/>
        <v>#NUM!</v>
      </c>
      <c r="BX184" s="3" t="e">
        <f t="shared" ca="1" si="585"/>
        <v>#NUM!</v>
      </c>
      <c r="BY184" s="3" t="e">
        <f t="shared" ca="1" si="586"/>
        <v>#NUM!</v>
      </c>
      <c r="BZ184" s="3" t="e">
        <f t="shared" ca="1" si="587"/>
        <v>#NUM!</v>
      </c>
      <c r="CA184" s="3" t="e">
        <f t="shared" ca="1" si="586"/>
        <v>#NUM!</v>
      </c>
      <c r="CB184" s="3" t="e">
        <f t="shared" ca="1" si="588"/>
        <v>#NUM!</v>
      </c>
      <c r="CC184" s="3" t="e">
        <f t="shared" ca="1" si="586"/>
        <v>#NUM!</v>
      </c>
      <c r="CD184" s="3">
        <f>IF(RTD("tos.rtd",,CD$43,"."&amp;$B$134&amp;$AS$82&amp;"C"&amp;$A184)="N/A",0,RTD("tos.rtd",,CD$43,"."&amp;$B$134&amp;$AS$82&amp;"C"&amp;$A184))</f>
        <v>0.95</v>
      </c>
      <c r="CE184" s="3">
        <f>-IF(RTD("tos.rtd",,CE$43,"."&amp;$B$134&amp;$AS$82&amp;"P"&amp;$A184)="N/A",0,RTD("tos.rtd",,CE$43,"."&amp;$B$134&amp;$AS$82&amp;"P"&amp;$A184))</f>
        <v>0.05</v>
      </c>
      <c r="CF184" s="3">
        <f>IF(RTD("tos.rtd",,CF$2,"."&amp;$C$134&amp;$AU$82&amp;"C"&amp;$A184)="N/A",0,RTD("tos.rtd",,CF$2,"."&amp;$C$134&amp;$AU$82&amp;"C"&amp;$A184))</f>
        <v>1</v>
      </c>
      <c r="CG184" s="3">
        <f>-IF(RTD("tos.rtd",,CG$2,"."&amp;$C$134&amp;$AU$82&amp;"P"&amp;$A184)="N/A",0,RTD("tos.rtd",,CG$2,"."&amp;$C$134&amp;$AU$82&amp;"P"&amp;$A184))</f>
        <v>0.05</v>
      </c>
      <c r="CH184" s="3">
        <f>IF(RTD("tos.rtd",,CH$2,"."&amp;$D$134&amp;$AW$82&amp;"C"&amp;$A184)="N/A",0,RTD("tos.rtd",,CH$2,"."&amp;$D$134&amp;$AW$82&amp;"C"&amp;$A184))</f>
        <v>0.87</v>
      </c>
      <c r="CI184" s="3">
        <f>-IF(RTD("tos.rtd",,CI$2,"."&amp;$D$134&amp;$AW$82&amp;"P"&amp;$A184)="N/A",0,RTD("tos.rtd",,CI$2,"."&amp;$D$134&amp;$AW$82&amp;"P"&amp;$A184))</f>
        <v>0.15</v>
      </c>
      <c r="CK184" s="3">
        <f t="shared" si="660"/>
        <v>-25</v>
      </c>
      <c r="CL184" s="3"/>
      <c r="CM184" s="3">
        <f t="shared" si="661"/>
        <v>-130</v>
      </c>
      <c r="CN184" s="3"/>
      <c r="CO184" s="3">
        <f t="shared" si="662"/>
        <v>1386</v>
      </c>
      <c r="CP184" s="3">
        <f t="shared" si="542"/>
        <v>1231</v>
      </c>
      <c r="CQ184" s="3">
        <f t="shared" si="552"/>
        <v>0</v>
      </c>
      <c r="CR184" s="3"/>
      <c r="CS184" s="3">
        <f t="shared" si="553"/>
        <v>-1</v>
      </c>
      <c r="CT184" s="3"/>
      <c r="CU184" s="3">
        <f t="shared" si="554"/>
        <v>-16</v>
      </c>
      <c r="CV184" s="3"/>
      <c r="CW184" s="3" t="e">
        <f t="shared" ca="1" si="555"/>
        <v>#NUM!</v>
      </c>
      <c r="CY184" s="3" t="e">
        <f t="shared" ca="1" si="556"/>
        <v>#NUM!</v>
      </c>
      <c r="CZ184" s="70" t="e">
        <f t="shared" ca="1" si="589"/>
        <v>#NUM!</v>
      </c>
      <c r="DA184" s="3">
        <f>IF(RTD("tos.rtd",,DA$43,"."&amp;$B$134&amp;$AS$82&amp;"C"&amp;$A184)="N/A",0,RTD("tos.rtd",,DA$43,"."&amp;$B$134&amp;$AS$82&amp;"C"&amp;$A184))</f>
        <v>0</v>
      </c>
      <c r="DB184" s="3">
        <f>IF(RTD("tos.rtd",,DB$43,"."&amp;$B$134&amp;$AS$82&amp;"P"&amp;$A184)="N/A",0,RTD("tos.rtd",,DB$43,"."&amp;$B$134&amp;$AS$82&amp;"P"&amp;$A184))</f>
        <v>0.26</v>
      </c>
      <c r="DC184" s="3">
        <f>IF(RTD("tos.rtd",,DC$43,"."&amp;$B$134&amp;$AS$82&amp;"C"&amp;$A184)="N/A",0,RTD("tos.rtd",,DC$43,"."&amp;$B$134&amp;$AS$82&amp;"C"&amp;$A184))</f>
        <v>734</v>
      </c>
      <c r="DD184" s="3">
        <f>IF(RTD("tos.rtd",,DD$43,"."&amp;$B$134&amp;$AS$82&amp;"P"&amp;$A184)="N/A",0,RTD("tos.rtd",,DD$43,"."&amp;$B$134&amp;$AS$82&amp;"P"&amp;$A184))</f>
        <v>19.8</v>
      </c>
      <c r="DE184" s="3">
        <f>IF(RTD("tos.rtd",,DE$43,"."&amp;$B$134&amp;$AS$82&amp;"C"&amp;$A184)="N/A",0,RTD("tos.rtd",,DE$43,"."&amp;$B$134&amp;$AS$82&amp;"C"&amp;$A184))</f>
        <v>656</v>
      </c>
      <c r="DF184" s="3">
        <f>IF(RTD("tos.rtd",,DF$43,"."&amp;$B$134&amp;$AS$82&amp;"P"&amp;$A184)="N/A",0,RTD("tos.rtd",,DF$43,"."&amp;$B$134&amp;$AS$82&amp;"P"&amp;$A184))</f>
        <v>0</v>
      </c>
      <c r="DG184" s="86">
        <f t="shared" si="590"/>
        <v>-686.44900000000052</v>
      </c>
      <c r="DH184" s="3">
        <f t="shared" si="557"/>
        <v>0</v>
      </c>
      <c r="DI184" s="3">
        <f t="shared" si="558"/>
        <v>0.52525252525252519</v>
      </c>
      <c r="DJ184" s="3">
        <f t="shared" si="559"/>
        <v>0</v>
      </c>
      <c r="DK184" s="3">
        <f t="shared" si="560"/>
        <v>-40</v>
      </c>
      <c r="DL184" s="3">
        <f t="shared" si="561"/>
        <v>0.52525252525252519</v>
      </c>
      <c r="DM184" s="3">
        <f t="shared" si="562"/>
        <v>-40</v>
      </c>
      <c r="DN184" s="64" t="str">
        <f t="shared" si="563"/>
        <v>UNKNOWN</v>
      </c>
      <c r="DO184" s="64" t="str">
        <f t="shared" si="564"/>
        <v>UNKNOWN</v>
      </c>
      <c r="DP184" s="3">
        <f t="shared" si="565"/>
        <v>0.13656565656565656</v>
      </c>
      <c r="DQ184" s="3">
        <f t="shared" si="566"/>
        <v>-10.4</v>
      </c>
      <c r="DR184" s="3" t="e">
        <f t="shared" ca="1" si="567"/>
        <v>#NUM!</v>
      </c>
      <c r="DS184" s="3">
        <f t="shared" si="568"/>
        <v>-2</v>
      </c>
      <c r="DT184" s="3">
        <f t="shared" si="591"/>
        <v>0</v>
      </c>
      <c r="DU184" s="3">
        <f t="shared" si="592"/>
        <v>40</v>
      </c>
      <c r="DV184" s="3">
        <f t="shared" si="569"/>
        <v>0</v>
      </c>
      <c r="DW184" s="3">
        <f t="shared" si="570"/>
        <v>-7</v>
      </c>
      <c r="DX184" s="3" t="e">
        <f t="shared" ca="1" si="654"/>
        <v>#NUM!</v>
      </c>
      <c r="DY184" s="3" t="e">
        <f t="shared" ca="1" si="655"/>
        <v>#NUM!</v>
      </c>
      <c r="DZ184" s="3" t="e">
        <f t="shared" ca="1" si="656"/>
        <v>#NUM!</v>
      </c>
      <c r="EA184" s="3" t="e">
        <f t="shared" ca="1" si="657"/>
        <v>#NUM!</v>
      </c>
      <c r="EB184" s="3" t="e">
        <f t="shared" ca="1" si="658"/>
        <v>#NUM!</v>
      </c>
      <c r="EC184" s="3" t="e">
        <f t="shared" ca="1" si="659"/>
        <v>#NUM!</v>
      </c>
      <c r="ED184" s="63">
        <f t="shared" si="593"/>
        <v>-7</v>
      </c>
      <c r="EE184" s="59">
        <f t="shared" si="577"/>
        <v>2.7886000000000002</v>
      </c>
      <c r="EF184" s="59">
        <f t="shared" si="578"/>
        <v>2.8771</v>
      </c>
      <c r="EG184" s="59">
        <f t="shared" si="579"/>
        <v>0.25</v>
      </c>
      <c r="EH184" s="59">
        <f t="shared" si="580"/>
        <v>2.8771</v>
      </c>
      <c r="EI184" s="59">
        <f t="shared" si="581"/>
        <v>0.28449999999999998</v>
      </c>
      <c r="EJ184" s="59">
        <f t="shared" si="582"/>
        <v>0.30919999999999997</v>
      </c>
      <c r="EK184" s="63" t="e">
        <f t="shared" ca="1" si="594"/>
        <v>#NUM!</v>
      </c>
      <c r="EL184" s="3" t="str">
        <f>RTD("tos.rtd",,EL$43,"."&amp;$B$134&amp;$AS$82&amp;"C"&amp;$A184)</f>
        <v>278.86%</v>
      </c>
      <c r="EM184" s="3" t="str">
        <f>RTD("tos.rtd",,EM$43,"."&amp;$B$134&amp;$AS$82&amp;"P"&amp;$A184)</f>
        <v>287.71%</v>
      </c>
      <c r="EN184" s="3" t="str">
        <f>RTD("tos.rtd",,EN$2,"."&amp;$C$134&amp;$AU$82&amp;"C"&amp;$A184)</f>
        <v>--</v>
      </c>
      <c r="EO184" s="3" t="str">
        <f>RTD("tos.rtd",,EO$2,"."&amp;$C$134&amp;$AU$82&amp;"P"&amp;$A184)</f>
        <v>287.71%</v>
      </c>
      <c r="EP184" s="3" t="str">
        <f>RTD("tos.rtd",,EP$2,"."&amp;$D$134&amp;$AW$82&amp;"C"&amp;$A184)</f>
        <v>28.45%</v>
      </c>
      <c r="EQ184" s="3" t="str">
        <f>RTD("tos.rtd",,EQ$2,"."&amp;$D$134&amp;$AW$82&amp;"P"&amp;$A184)</f>
        <v>30.92%</v>
      </c>
      <c r="ES184" s="63" t="str">
        <f t="shared" si="583"/>
        <v>19375,-07.00</v>
      </c>
      <c r="ET184" s="63" t="str">
        <f t="shared" ca="1" si="584"/>
        <v>19375,00.00</v>
      </c>
      <c r="EU184" s="68">
        <v>563.5</v>
      </c>
      <c r="EV184" s="68" t="s">
        <v>1491</v>
      </c>
      <c r="EW184" s="68">
        <v>486.22</v>
      </c>
      <c r="EX184" s="68" t="s">
        <v>1492</v>
      </c>
      <c r="EY184" s="68">
        <v>5631.28</v>
      </c>
      <c r="EZ184" s="68" t="s">
        <v>1493</v>
      </c>
      <c r="FA184" s="68">
        <v>19867.973000000002</v>
      </c>
      <c r="FB184" s="68" t="s">
        <v>1494</v>
      </c>
      <c r="FC184" s="68" t="s">
        <v>1495</v>
      </c>
      <c r="FD184" s="68" t="s">
        <v>1496</v>
      </c>
      <c r="FE184" s="68" t="s">
        <v>1497</v>
      </c>
      <c r="FF184" s="68" t="s">
        <v>1498</v>
      </c>
    </row>
    <row r="185" spans="1:162" ht="11.1" customHeight="1" thickBot="1" x14ac:dyDescent="0.25">
      <c r="A185" s="2">
        <f t="shared" si="595"/>
        <v>19350</v>
      </c>
      <c r="B185" s="3">
        <f t="shared" si="628"/>
        <v>7</v>
      </c>
      <c r="C185" s="3">
        <f t="shared" si="629"/>
        <v>49</v>
      </c>
      <c r="D185" s="3">
        <f t="shared" si="630"/>
        <v>47</v>
      </c>
      <c r="E185" s="3">
        <f t="shared" si="663"/>
        <v>103</v>
      </c>
      <c r="F185" s="4">
        <f t="shared" si="623"/>
        <v>19729.835442095933</v>
      </c>
      <c r="G185" s="5">
        <f t="shared" si="664"/>
        <v>478.19791082887377</v>
      </c>
      <c r="AM185" s="1">
        <v>0</v>
      </c>
      <c r="AN185" s="1">
        <v>30</v>
      </c>
      <c r="AO185" s="1">
        <v>19350</v>
      </c>
      <c r="AP185" s="1">
        <v>0</v>
      </c>
      <c r="AQ185" s="1">
        <v>-65</v>
      </c>
      <c r="AS185" s="54">
        <f>IF(RTD("tos.rtd",,AS$83,"."&amp;$B$134&amp;$AS$82&amp;"C"&amp;$A185)="N/A",0,RTD("tos.rtd",,AS$83,"."&amp;$B$134&amp;$AS$82&amp;"C"&amp;$A185))</f>
        <v>1</v>
      </c>
      <c r="AT185" s="3">
        <f>-IF(RTD("tos.rtd",,AT$83,"."&amp;$B$134&amp;$AS$82&amp;"P"&amp;$A185)="N/A",0,RTD("tos.rtd",,AT$83,"."&amp;$B$134&amp;$AS$82&amp;"P"&amp;$A185))</f>
        <v>-6</v>
      </c>
      <c r="AU185" s="54">
        <f>IF(RTD("tos.rtd",,AU$2,"."&amp;$C$134&amp;$AU$134&amp;"C"&amp;$A185)="N/A",0,RTD("tos.rtd",,AU$2,"."&amp;$C$134&amp;$AU$134&amp;"C"&amp;$A185))</f>
        <v>4</v>
      </c>
      <c r="AV185" s="3">
        <f>-IF(RTD("tos.rtd",,AV$2,"."&amp;$C$134&amp;$AU$134&amp;"P"&amp;$A185)="N/A",0,RTD("tos.rtd",,AV$2,"."&amp;$C$134&amp;$AU$134&amp;"P"&amp;$A185))</f>
        <v>-45</v>
      </c>
      <c r="AW185" s="54">
        <f>IF(RTD("tos.rtd",,AW$2,"."&amp;$D$134&amp;$AW$134&amp;"C"&amp;$A185)="N/A",0,RTD("tos.rtd",,AW$2,"."&amp;$D$134&amp;$AW$134&amp;"C"&amp;$A185))</f>
        <v>31</v>
      </c>
      <c r="AX185" s="3">
        <f>-IF(RTD("tos.rtd",,AX$2,"."&amp;$D$134&amp;$AW$134&amp;"P"&amp;$A185)="N/A",0,RTD("tos.rtd",,AX$2,"."&amp;$D$134&amp;$AW$134&amp;"P"&amp;$A185))</f>
        <v>-16</v>
      </c>
      <c r="AY185" s="76">
        <f t="shared" si="624"/>
        <v>-31</v>
      </c>
      <c r="AZ185" s="8">
        <f t="shared" si="548"/>
        <v>19350</v>
      </c>
      <c r="BA185" s="54">
        <f>IF(RTD("tos.rtd",,BA$43,"."&amp;$B$134&amp;$AS$82&amp;"C"&amp;$A185)="N/A",0,RTD("tos.rtd",,BA$43,"."&amp;$B$134&amp;$AS$82&amp;"C"&amp;$A185))</f>
        <v>0</v>
      </c>
      <c r="BB185" s="3">
        <f>-IF(RTD("tos.rtd",,BB$43,"."&amp;$B$134&amp;$AS$82&amp;"P"&amp;$A185)="N/A",0,RTD("tos.rtd",,BB$43,"."&amp;$B$134&amp;$AS$82&amp;"P"&amp;$A185))</f>
        <v>0</v>
      </c>
      <c r="BC185" s="54">
        <f>IF(RTD("tos.rtd",,BC$2,"."&amp;$C$134&amp;$AU$82&amp;"C"&amp;$A185)="N/A",0,RTD("tos.rtd",,BC$2,"."&amp;$C$134&amp;$AU$82&amp;"C"&amp;$A185))</f>
        <v>0</v>
      </c>
      <c r="BD185" s="3">
        <f>-IF(RTD("tos.rtd",,BD$2,"."&amp;$C$134&amp;$AU$82&amp;"P"&amp;$A185)="N/A",0,RTD("tos.rtd",,BD$2,"."&amp;$C$134&amp;$AU$82&amp;"P"&amp;$A185))</f>
        <v>-402</v>
      </c>
      <c r="BE185" s="54">
        <f>IF(RTD("tos.rtd",,BE$2,"."&amp;$D$134&amp;$AW$82&amp;"C"&amp;$A185)="N/A",0,RTD("tos.rtd",,BE$2,"."&amp;$D$134&amp;$AW$82&amp;"C"&amp;$A185))</f>
        <v>0</v>
      </c>
      <c r="BF185" s="3">
        <f>-IF(RTD("tos.rtd",,BF$2,"."&amp;$D$134&amp;$AW$82&amp;"P"&amp;$A185)="N/A",0,RTD("tos.rtd",,BF$2,"."&amp;$D$134&amp;$AW$82&amp;"P"&amp;$A185))</f>
        <v>-30</v>
      </c>
      <c r="BG185" s="3">
        <f ca="1">+Hoja2!Y186</f>
        <v>-4</v>
      </c>
      <c r="BH185" s="7">
        <f t="shared" ca="1" si="549"/>
        <v>-436</v>
      </c>
      <c r="BI185" s="32" t="str">
        <f t="shared" ca="1" si="609"/>
        <v/>
      </c>
      <c r="BJ185" s="3" t="e">
        <f ca="1">IF($BP$1=1,DX185,IF(RTD("tos.rtd",,BJ$43,"."&amp;$B$134&amp;$AS$82&amp;"C"&amp;$A185)="N/A",0,RTD("tos.rtd",,BJ$43,"."&amp;$B$134&amp;$AS$82&amp;"C"&amp;$A185)))</f>
        <v>#NUM!</v>
      </c>
      <c r="BK185" s="3" t="e">
        <f ca="1">IF($BP$1=1,DY185,-IF(RTD("tos.rtd",,BK$43,"."&amp;$B$134&amp;$AS$82&amp;"P"&amp;$A185)="N/A",0,RTD("tos.rtd",,BK$43,"."&amp;$B$134&amp;$AS$82&amp;"P"&amp;$A185)))</f>
        <v>#NUM!</v>
      </c>
      <c r="BL185" s="3" t="e">
        <f ca="1">IF($BP$1=1,DZ185,IF(RTD("tos.rtd",,BL$2,"."&amp;$C$134&amp;$AU$82&amp;"C"&amp;$A185)="N/A",0,RTD("tos.rtd",,BL$2,"."&amp;$C$134&amp;$AU$82&amp;"C"&amp;$A185)))</f>
        <v>#NUM!</v>
      </c>
      <c r="BM185" s="3" t="e">
        <f ca="1">IF($BP$1=1,EA185,-IF(RTD("tos.rtd",,BM$2,"."&amp;$C$134&amp;$AU$82&amp;"P"&amp;$A185)="N/A",0,RTD("tos.rtd",,BM$2,"."&amp;$C$134&amp;$AU$82&amp;"P"&amp;$A185)))</f>
        <v>#NUM!</v>
      </c>
      <c r="BN185" s="3" t="e">
        <f ca="1">IF($BP$1=1,EB185,IF(RTD("tos.rtd",,BN$2,"."&amp;$D$134&amp;$AW$82&amp;"C"&amp;$A185)="N/A",0,RTD("tos.rtd",,BN$2,"."&amp;$D$134&amp;$AW$82&amp;"C"&amp;$A185)))</f>
        <v>#NUM!</v>
      </c>
      <c r="BO185" s="3" t="e">
        <f ca="1">IF($BP$1=1,EC185,-IF(RTD("tos.rtd",,BO$2,"."&amp;$D$134&amp;$AW$82&amp;"P"&amp;$A185)="N/A",0,RTD("tos.rtd",,BO$2,"."&amp;$D$134&amp;$AW$82&amp;"P"&amp;$A185)))</f>
        <v>#NUM!</v>
      </c>
      <c r="BQ185" s="3" t="e">
        <f t="shared" ca="1" si="625"/>
        <v>#NUM!</v>
      </c>
      <c r="BR185" s="3" t="e">
        <f t="shared" ca="1" si="550"/>
        <v>#NUM!</v>
      </c>
      <c r="BS185" s="3" t="e">
        <f t="shared" ca="1" si="626"/>
        <v>#NUM!</v>
      </c>
      <c r="BT185" s="3" t="e">
        <f t="shared" ca="1" si="551"/>
        <v>#NUM!</v>
      </c>
      <c r="BU185" s="3" t="e">
        <f t="shared" ca="1" si="627"/>
        <v>#NUM!</v>
      </c>
      <c r="BV185" s="3" t="e">
        <f t="shared" ca="1" si="551"/>
        <v>#NUM!</v>
      </c>
      <c r="BX185" s="3" t="e">
        <f t="shared" ca="1" si="585"/>
        <v>#NUM!</v>
      </c>
      <c r="BY185" s="3" t="e">
        <f t="shared" ca="1" si="586"/>
        <v>#NUM!</v>
      </c>
      <c r="BZ185" s="3" t="e">
        <f t="shared" ca="1" si="587"/>
        <v>#NUM!</v>
      </c>
      <c r="CA185" s="3" t="e">
        <f t="shared" ca="1" si="586"/>
        <v>#NUM!</v>
      </c>
      <c r="CB185" s="3" t="e">
        <f t="shared" ca="1" si="588"/>
        <v>#NUM!</v>
      </c>
      <c r="CC185" s="3" t="e">
        <f t="shared" ca="1" si="586"/>
        <v>#NUM!</v>
      </c>
      <c r="CD185" s="3">
        <f>IF(RTD("tos.rtd",,CD$43,"."&amp;$B$134&amp;$AS$82&amp;"C"&amp;$A185)="N/A",0,RTD("tos.rtd",,CD$43,"."&amp;$B$134&amp;$AS$82&amp;"C"&amp;$A185))</f>
        <v>0.95</v>
      </c>
      <c r="CE185" s="3">
        <f>-IF(RTD("tos.rtd",,CE$43,"."&amp;$B$134&amp;$AS$82&amp;"P"&amp;$A185)="N/A",0,RTD("tos.rtd",,CE$43,"."&amp;$B$134&amp;$AS$82&amp;"P"&amp;$A185))</f>
        <v>0</v>
      </c>
      <c r="CF185" s="3">
        <f>IF(RTD("tos.rtd",,CF$2,"."&amp;$C$134&amp;$AU$82&amp;"C"&amp;$A185)="N/A",0,RTD("tos.rtd",,CF$2,"."&amp;$C$134&amp;$AU$82&amp;"C"&amp;$A185))</f>
        <v>1</v>
      </c>
      <c r="CG185" s="3">
        <f>-IF(RTD("tos.rtd",,CG$2,"."&amp;$C$134&amp;$AU$82&amp;"P"&amp;$A185)="N/A",0,RTD("tos.rtd",,CG$2,"."&amp;$C$134&amp;$AU$82&amp;"P"&amp;$A185))</f>
        <v>0</v>
      </c>
      <c r="CH185" s="3">
        <f>IF(RTD("tos.rtd",,CH$2,"."&amp;$D$134&amp;$AW$82&amp;"C"&amp;$A185)="N/A",0,RTD("tos.rtd",,CH$2,"."&amp;$D$134&amp;$AW$82&amp;"C"&amp;$A185))</f>
        <v>0.88</v>
      </c>
      <c r="CI185" s="3">
        <f>-IF(RTD("tos.rtd",,CI$2,"."&amp;$D$134&amp;$AW$82&amp;"P"&amp;$A185)="N/A",0,RTD("tos.rtd",,CI$2,"."&amp;$D$134&amp;$AW$82&amp;"P"&amp;$A185))</f>
        <v>0.14000000000000001</v>
      </c>
      <c r="CK185" s="3">
        <f t="shared" si="660"/>
        <v>95</v>
      </c>
      <c r="CL185" s="3"/>
      <c r="CM185" s="3">
        <f t="shared" si="661"/>
        <v>400</v>
      </c>
      <c r="CN185" s="3"/>
      <c r="CO185" s="3">
        <f t="shared" si="662"/>
        <v>2504</v>
      </c>
      <c r="CP185" s="3">
        <f t="shared" si="542"/>
        <v>2999</v>
      </c>
      <c r="CQ185" s="3">
        <f t="shared" si="552"/>
        <v>0</v>
      </c>
      <c r="CR185" s="3"/>
      <c r="CS185" s="3">
        <f t="shared" si="553"/>
        <v>-402</v>
      </c>
      <c r="CT185" s="3"/>
      <c r="CU185" s="3">
        <f t="shared" si="554"/>
        <v>-30</v>
      </c>
      <c r="CV185" s="3"/>
      <c r="CW185" s="3" t="e">
        <f t="shared" ca="1" si="555"/>
        <v>#NUM!</v>
      </c>
      <c r="CY185" s="3" t="e">
        <f t="shared" ca="1" si="556"/>
        <v>#NUM!</v>
      </c>
      <c r="CZ185" s="70" t="e">
        <f t="shared" ca="1" si="589"/>
        <v>#NUM!</v>
      </c>
      <c r="DA185" s="3">
        <f>IF(RTD("tos.rtd",,DA$43,"."&amp;$B$134&amp;$AS$82&amp;"C"&amp;$A185)="N/A",0,RTD("tos.rtd",,DA$43,"."&amp;$B$134&amp;$AS$82&amp;"C"&amp;$A185))</f>
        <v>361.95</v>
      </c>
      <c r="DB185" s="3">
        <f>IF(RTD("tos.rtd",,DB$43,"."&amp;$B$134&amp;$AS$82&amp;"P"&amp;$A185)="N/A",0,RTD("tos.rtd",,DB$43,"."&amp;$B$134&amp;$AS$82&amp;"P"&amp;$A185))</f>
        <v>0.45</v>
      </c>
      <c r="DC185" s="3">
        <f>IF(RTD("tos.rtd",,DC$43,"."&amp;$B$134&amp;$AS$82&amp;"C"&amp;$A185)="N/A",0,RTD("tos.rtd",,DC$43,"."&amp;$B$134&amp;$AS$82&amp;"C"&amp;$A185))</f>
        <v>760</v>
      </c>
      <c r="DD185" s="3">
        <f>IF(RTD("tos.rtd",,DD$43,"."&amp;$B$134&amp;$AS$82&amp;"P"&amp;$A185)="N/A",0,RTD("tos.rtd",,DD$43,"."&amp;$B$134&amp;$AS$82&amp;"P"&amp;$A185))</f>
        <v>0.3</v>
      </c>
      <c r="DE185" s="3">
        <f>IF(RTD("tos.rtd",,DE$43,"."&amp;$B$134&amp;$AS$82&amp;"C"&amp;$A185)="N/A",0,RTD("tos.rtd",,DE$43,"."&amp;$B$134&amp;$AS$82&amp;"C"&amp;$A185))</f>
        <v>680</v>
      </c>
      <c r="DF185" s="3">
        <f>IF(RTD("tos.rtd",,DF$43,"."&amp;$B$134&amp;$AS$82&amp;"P"&amp;$A185)="N/A",0,RTD("tos.rtd",,DF$43,"."&amp;$B$134&amp;$AS$82&amp;"P"&amp;$A185))</f>
        <v>0</v>
      </c>
      <c r="DG185" s="86">
        <f t="shared" si="590"/>
        <v>-711.44900000000052</v>
      </c>
      <c r="DH185" s="3">
        <f t="shared" si="557"/>
        <v>0</v>
      </c>
      <c r="DI185" s="3">
        <f t="shared" si="558"/>
        <v>97.5</v>
      </c>
      <c r="DJ185" s="3">
        <f t="shared" si="559"/>
        <v>0</v>
      </c>
      <c r="DK185" s="3">
        <f t="shared" si="560"/>
        <v>65</v>
      </c>
      <c r="DL185" s="3">
        <f t="shared" si="561"/>
        <v>97.5</v>
      </c>
      <c r="DM185" s="3">
        <f t="shared" si="562"/>
        <v>65</v>
      </c>
      <c r="DN185" s="64" t="str">
        <f t="shared" si="563"/>
        <v>UNKNOWN</v>
      </c>
      <c r="DO185" s="64" t="str">
        <f t="shared" si="564"/>
        <v>UNKNOWN</v>
      </c>
      <c r="DP185" s="3">
        <f t="shared" si="565"/>
        <v>43.875</v>
      </c>
      <c r="DQ185" s="3">
        <f t="shared" si="566"/>
        <v>29.25</v>
      </c>
      <c r="DR185" s="3" t="e">
        <f t="shared" ca="1" si="567"/>
        <v>#NUM!</v>
      </c>
      <c r="DS185" s="3">
        <f t="shared" si="568"/>
        <v>0</v>
      </c>
      <c r="DT185" s="3">
        <f t="shared" si="591"/>
        <v>0</v>
      </c>
      <c r="DU185" s="3">
        <f t="shared" si="592"/>
        <v>65</v>
      </c>
      <c r="DV185" s="3">
        <f t="shared" si="569"/>
        <v>0</v>
      </c>
      <c r="DW185" s="3">
        <f t="shared" si="570"/>
        <v>30</v>
      </c>
      <c r="DX185" s="3" t="e">
        <f t="shared" ca="1" si="654"/>
        <v>#NUM!</v>
      </c>
      <c r="DY185" s="3" t="e">
        <f t="shared" ca="1" si="655"/>
        <v>#NUM!</v>
      </c>
      <c r="DZ185" s="3" t="e">
        <f t="shared" ca="1" si="656"/>
        <v>#NUM!</v>
      </c>
      <c r="EA185" s="3" t="e">
        <f t="shared" ca="1" si="657"/>
        <v>#NUM!</v>
      </c>
      <c r="EB185" s="3" t="e">
        <f t="shared" ca="1" si="658"/>
        <v>#NUM!</v>
      </c>
      <c r="EC185" s="3" t="e">
        <f t="shared" ca="1" si="659"/>
        <v>#NUM!</v>
      </c>
      <c r="ED185" s="63">
        <f t="shared" si="593"/>
        <v>30</v>
      </c>
      <c r="EE185" s="59">
        <f t="shared" si="577"/>
        <v>2.8713000000000002</v>
      </c>
      <c r="EF185" s="59">
        <f t="shared" si="578"/>
        <v>1.6671</v>
      </c>
      <c r="EG185" s="59">
        <f t="shared" si="579"/>
        <v>0.25</v>
      </c>
      <c r="EH185" s="59">
        <f t="shared" si="580"/>
        <v>1.6395999999999999</v>
      </c>
      <c r="EI185" s="59">
        <f t="shared" si="581"/>
        <v>0.28420000000000001</v>
      </c>
      <c r="EJ185" s="59">
        <f t="shared" si="582"/>
        <v>0.30990000000000001</v>
      </c>
      <c r="EK185" s="63" t="e">
        <f t="shared" ca="1" si="594"/>
        <v>#NUM!</v>
      </c>
      <c r="EL185" s="3" t="str">
        <f>RTD("tos.rtd",,EL$43,"."&amp;$B$134&amp;$AS$82&amp;"C"&amp;$A185)</f>
        <v>287.13%</v>
      </c>
      <c r="EM185" s="3" t="str">
        <f>RTD("tos.rtd",,EM$43,"."&amp;$B$134&amp;$AS$82&amp;"P"&amp;$A185)</f>
        <v>166.71%</v>
      </c>
      <c r="EN185" s="3" t="str">
        <f>RTD("tos.rtd",,EN$2,"."&amp;$C$134&amp;$AU$82&amp;"C"&amp;$A185)</f>
        <v>--</v>
      </c>
      <c r="EO185" s="3" t="str">
        <f>RTD("tos.rtd",,EO$2,"."&amp;$C$134&amp;$AU$82&amp;"P"&amp;$A185)</f>
        <v>163.96%</v>
      </c>
      <c r="EP185" s="3" t="str">
        <f>RTD("tos.rtd",,EP$2,"."&amp;$D$134&amp;$AW$82&amp;"C"&amp;$A185)</f>
        <v>28.42%</v>
      </c>
      <c r="EQ185" s="3" t="str">
        <f>RTD("tos.rtd",,EQ$2,"."&amp;$D$134&amp;$AW$82&amp;"P"&amp;$A185)</f>
        <v>30.99%</v>
      </c>
      <c r="ES185" s="63" t="str">
        <f t="shared" si="583"/>
        <v>19350,30.00</v>
      </c>
      <c r="ET185" s="63" t="str">
        <f t="shared" ca="1" si="584"/>
        <v>19350,00.00</v>
      </c>
      <c r="EU185" s="68">
        <v>563.38</v>
      </c>
      <c r="EV185" s="68" t="s">
        <v>1499</v>
      </c>
      <c r="EW185" s="68">
        <v>486.12</v>
      </c>
      <c r="EX185" s="68" t="s">
        <v>1500</v>
      </c>
      <c r="EY185" s="68">
        <v>5631.28</v>
      </c>
      <c r="EZ185" s="68" t="s">
        <v>1501</v>
      </c>
      <c r="FA185" s="68">
        <v>19867.973000000002</v>
      </c>
      <c r="FB185" s="68" t="s">
        <v>1502</v>
      </c>
      <c r="FC185" s="68" t="s">
        <v>1503</v>
      </c>
      <c r="FD185" s="68" t="s">
        <v>1504</v>
      </c>
      <c r="FE185" s="68" t="s">
        <v>1505</v>
      </c>
      <c r="FF185" s="68" t="s">
        <v>1506</v>
      </c>
    </row>
    <row r="186" spans="1:162" ht="11.1" customHeight="1" thickBot="1" x14ac:dyDescent="0.25">
      <c r="A186" s="2">
        <f t="shared" si="595"/>
        <v>19325</v>
      </c>
      <c r="B186" s="3">
        <f t="shared" si="628"/>
        <v>9</v>
      </c>
      <c r="C186" s="3">
        <f t="shared" si="629"/>
        <v>33</v>
      </c>
      <c r="D186" s="3">
        <f t="shared" si="630"/>
        <v>54</v>
      </c>
      <c r="E186" s="3">
        <f t="shared" si="663"/>
        <v>96</v>
      </c>
      <c r="F186" s="4">
        <f t="shared" si="623"/>
        <v>19704.344698630692</v>
      </c>
      <c r="G186" s="5">
        <f t="shared" si="664"/>
        <v>477.58008407069696</v>
      </c>
      <c r="AM186" s="1">
        <v>-1</v>
      </c>
      <c r="AN186" s="1">
        <v>-9</v>
      </c>
      <c r="AO186" s="1">
        <v>19325</v>
      </c>
      <c r="AP186" s="1">
        <v>0</v>
      </c>
      <c r="AQ186" s="1">
        <v>-12</v>
      </c>
      <c r="AS186" s="54">
        <f>IF(RTD("tos.rtd",,AS$83,"."&amp;$B$134&amp;$AS$82&amp;"C"&amp;$A186)="N/A",0,RTD("tos.rtd",,AS$83,"."&amp;$B$134&amp;$AS$82&amp;"C"&amp;$A186))</f>
        <v>2</v>
      </c>
      <c r="AT186" s="3">
        <f>-IF(RTD("tos.rtd",,AT$83,"."&amp;$B$134&amp;$AS$82&amp;"P"&amp;$A186)="N/A",0,RTD("tos.rtd",,AT$83,"."&amp;$B$134&amp;$AS$82&amp;"P"&amp;$A186))</f>
        <v>-7</v>
      </c>
      <c r="AU186" s="54">
        <f>IF(RTD("tos.rtd",,AU$2,"."&amp;$C$134&amp;$AU$134&amp;"C"&amp;$A186)="N/A",0,RTD("tos.rtd",,AU$2,"."&amp;$C$134&amp;$AU$134&amp;"C"&amp;$A186))</f>
        <v>1</v>
      </c>
      <c r="AV186" s="3">
        <f>-IF(RTD("tos.rtd",,AV$2,"."&amp;$C$134&amp;$AU$134&amp;"P"&amp;$A186)="N/A",0,RTD("tos.rtd",,AV$2,"."&amp;$C$134&amp;$AU$134&amp;"P"&amp;$A186))</f>
        <v>-32</v>
      </c>
      <c r="AW186" s="54">
        <f>IF(RTD("tos.rtd",,AW$2,"."&amp;$D$134&amp;$AW$134&amp;"C"&amp;$A186)="N/A",0,RTD("tos.rtd",,AW$2,"."&amp;$D$134&amp;$AW$134&amp;"C"&amp;$A186))</f>
        <v>30</v>
      </c>
      <c r="AX186" s="3">
        <f>-IF(RTD("tos.rtd",,AX$2,"."&amp;$D$134&amp;$AW$134&amp;"P"&amp;$A186)="N/A",0,RTD("tos.rtd",,AX$2,"."&amp;$D$134&amp;$AW$134&amp;"P"&amp;$A186))</f>
        <v>-24</v>
      </c>
      <c r="AY186" s="76">
        <f t="shared" si="624"/>
        <v>-30</v>
      </c>
      <c r="AZ186" s="8">
        <f t="shared" si="548"/>
        <v>19325</v>
      </c>
      <c r="BA186" s="54">
        <f>IF(RTD("tos.rtd",,BA$43,"."&amp;$B$134&amp;$AS$82&amp;"C"&amp;$A186)="N/A",0,RTD("tos.rtd",,BA$43,"."&amp;$B$134&amp;$AS$82&amp;"C"&amp;$A186))</f>
        <v>0</v>
      </c>
      <c r="BB186" s="3">
        <f>-IF(RTD("tos.rtd",,BB$43,"."&amp;$B$134&amp;$AS$82&amp;"P"&amp;$A186)="N/A",0,RTD("tos.rtd",,BB$43,"."&amp;$B$134&amp;$AS$82&amp;"P"&amp;$A186))</f>
        <v>0</v>
      </c>
      <c r="BC186" s="54">
        <f>IF(RTD("tos.rtd",,BC$2,"."&amp;$C$134&amp;$AU$82&amp;"C"&amp;$A186)="N/A",0,RTD("tos.rtd",,BC$2,"."&amp;$C$134&amp;$AU$82&amp;"C"&amp;$A186))</f>
        <v>0</v>
      </c>
      <c r="BD186" s="3">
        <f>-IF(RTD("tos.rtd",,BD$2,"."&amp;$C$134&amp;$AU$82&amp;"P"&amp;$A186)="N/A",0,RTD("tos.rtd",,BD$2,"."&amp;$C$134&amp;$AU$82&amp;"P"&amp;$A186))</f>
        <v>-1</v>
      </c>
      <c r="BE186" s="54">
        <f>IF(RTD("tos.rtd",,BE$2,"."&amp;$D$134&amp;$AW$82&amp;"C"&amp;$A186)="N/A",0,RTD("tos.rtd",,BE$2,"."&amp;$D$134&amp;$AW$82&amp;"C"&amp;$A186))</f>
        <v>0</v>
      </c>
      <c r="BF186" s="3">
        <f>-IF(RTD("tos.rtd",,BF$2,"."&amp;$D$134&amp;$AW$82&amp;"P"&amp;$A186)="N/A",0,RTD("tos.rtd",,BF$2,"."&amp;$D$134&amp;$AW$82&amp;"P"&amp;$A186))</f>
        <v>-36</v>
      </c>
      <c r="BG186" s="3">
        <f ca="1">+Hoja2!Y187</f>
        <v>0</v>
      </c>
      <c r="BH186" s="7">
        <f t="shared" ca="1" si="549"/>
        <v>-37</v>
      </c>
      <c r="BI186" s="32" t="str">
        <f t="shared" ca="1" si="609"/>
        <v/>
      </c>
      <c r="BJ186" s="3" t="e">
        <f ca="1">IF($BP$1=1,DX186,IF(RTD("tos.rtd",,BJ$43,"."&amp;$B$134&amp;$AS$82&amp;"C"&amp;$A186)="N/A",0,RTD("tos.rtd",,BJ$43,"."&amp;$B$134&amp;$AS$82&amp;"C"&amp;$A186)))</f>
        <v>#NUM!</v>
      </c>
      <c r="BK186" s="3" t="e">
        <f ca="1">IF($BP$1=1,DY186,-IF(RTD("tos.rtd",,BK$43,"."&amp;$B$134&amp;$AS$82&amp;"P"&amp;$A186)="N/A",0,RTD("tos.rtd",,BK$43,"."&amp;$B$134&amp;$AS$82&amp;"P"&amp;$A186)))</f>
        <v>#NUM!</v>
      </c>
      <c r="BL186" s="3" t="e">
        <f ca="1">IF($BP$1=1,DZ186,IF(RTD("tos.rtd",,BL$2,"."&amp;$C$134&amp;$AU$82&amp;"C"&amp;$A186)="N/A",0,RTD("tos.rtd",,BL$2,"."&amp;$C$134&amp;$AU$82&amp;"C"&amp;$A186)))</f>
        <v>#NUM!</v>
      </c>
      <c r="BM186" s="3" t="e">
        <f ca="1">IF($BP$1=1,EA186,-IF(RTD("tos.rtd",,BM$2,"."&amp;$C$134&amp;$AU$82&amp;"P"&amp;$A186)="N/A",0,RTD("tos.rtd",,BM$2,"."&amp;$C$134&amp;$AU$82&amp;"P"&amp;$A186)))</f>
        <v>#NUM!</v>
      </c>
      <c r="BN186" s="3" t="e">
        <f ca="1">IF($BP$1=1,EB186,IF(RTD("tos.rtd",,BN$2,"."&amp;$D$134&amp;$AW$82&amp;"C"&amp;$A186)="N/A",0,RTD("tos.rtd",,BN$2,"."&amp;$D$134&amp;$AW$82&amp;"C"&amp;$A186)))</f>
        <v>#NUM!</v>
      </c>
      <c r="BO186" s="3" t="e">
        <f ca="1">IF($BP$1=1,EC186,-IF(RTD("tos.rtd",,BO$2,"."&amp;$D$134&amp;$AW$82&amp;"P"&amp;$A186)="N/A",0,RTD("tos.rtd",,BO$2,"."&amp;$D$134&amp;$AW$82&amp;"P"&amp;$A186)))</f>
        <v>#NUM!</v>
      </c>
      <c r="BQ186" s="3" t="e">
        <f t="shared" ca="1" si="625"/>
        <v>#NUM!</v>
      </c>
      <c r="BR186" s="3" t="e">
        <f t="shared" ca="1" si="550"/>
        <v>#NUM!</v>
      </c>
      <c r="BS186" s="3" t="e">
        <f t="shared" ca="1" si="626"/>
        <v>#NUM!</v>
      </c>
      <c r="BT186" s="3" t="e">
        <f t="shared" ca="1" si="551"/>
        <v>#NUM!</v>
      </c>
      <c r="BU186" s="3" t="e">
        <f t="shared" ca="1" si="627"/>
        <v>#NUM!</v>
      </c>
      <c r="BV186" s="3" t="e">
        <f t="shared" ca="1" si="551"/>
        <v>#NUM!</v>
      </c>
      <c r="BX186" s="3" t="e">
        <f t="shared" ca="1" si="585"/>
        <v>#NUM!</v>
      </c>
      <c r="BY186" s="3" t="e">
        <f t="shared" ca="1" si="586"/>
        <v>#NUM!</v>
      </c>
      <c r="BZ186" s="3" t="e">
        <f t="shared" ca="1" si="587"/>
        <v>#NUM!</v>
      </c>
      <c r="CA186" s="3" t="e">
        <f t="shared" ca="1" si="586"/>
        <v>#NUM!</v>
      </c>
      <c r="CB186" s="3" t="e">
        <f t="shared" ca="1" si="588"/>
        <v>#NUM!</v>
      </c>
      <c r="CC186" s="3" t="e">
        <f t="shared" ca="1" si="586"/>
        <v>#NUM!</v>
      </c>
      <c r="CD186" s="3">
        <f>IF(RTD("tos.rtd",,CD$43,"."&amp;$B$134&amp;$AS$82&amp;"C"&amp;$A186)="N/A",0,RTD("tos.rtd",,CD$43,"."&amp;$B$134&amp;$AS$82&amp;"C"&amp;$A186))</f>
        <v>0.95</v>
      </c>
      <c r="CE186" s="3">
        <f>-IF(RTD("tos.rtd",,CE$43,"."&amp;$B$134&amp;$AS$82&amp;"P"&amp;$A186)="N/A",0,RTD("tos.rtd",,CE$43,"."&amp;$B$134&amp;$AS$82&amp;"P"&amp;$A186))</f>
        <v>0.05</v>
      </c>
      <c r="CF186" s="3">
        <f>IF(RTD("tos.rtd",,CF$2,"."&amp;$C$134&amp;$AU$82&amp;"C"&amp;$A186)="N/A",0,RTD("tos.rtd",,CF$2,"."&amp;$C$134&amp;$AU$82&amp;"C"&amp;$A186))</f>
        <v>1</v>
      </c>
      <c r="CG186" s="3">
        <f>-IF(RTD("tos.rtd",,CG$2,"."&amp;$C$134&amp;$AU$82&amp;"P"&amp;$A186)="N/A",0,RTD("tos.rtd",,CG$2,"."&amp;$C$134&amp;$AU$82&amp;"P"&amp;$A186))</f>
        <v>0.05</v>
      </c>
      <c r="CH186" s="3">
        <f>IF(RTD("tos.rtd",,CH$2,"."&amp;$D$134&amp;$AW$82&amp;"C"&amp;$A186)="N/A",0,RTD("tos.rtd",,CH$2,"."&amp;$D$134&amp;$AW$82&amp;"C"&amp;$A186))</f>
        <v>0.89</v>
      </c>
      <c r="CI186" s="3">
        <f>-IF(RTD("tos.rtd",,CI$2,"."&amp;$D$134&amp;$AW$82&amp;"P"&amp;$A186)="N/A",0,RTD("tos.rtd",,CI$2,"."&amp;$D$134&amp;$AW$82&amp;"P"&amp;$A186))</f>
        <v>0.13</v>
      </c>
      <c r="CK186" s="3">
        <f t="shared" si="660"/>
        <v>155</v>
      </c>
      <c r="CL186" s="3"/>
      <c r="CM186" s="3">
        <f t="shared" si="661"/>
        <v>-60</v>
      </c>
      <c r="CN186" s="3"/>
      <c r="CO186" s="3">
        <f t="shared" si="662"/>
        <v>2358</v>
      </c>
      <c r="CP186" s="3">
        <f t="shared" si="542"/>
        <v>2453</v>
      </c>
      <c r="CQ186" s="3">
        <f t="shared" si="552"/>
        <v>0</v>
      </c>
      <c r="CR186" s="3"/>
      <c r="CS186" s="3">
        <f t="shared" si="553"/>
        <v>-1</v>
      </c>
      <c r="CT186" s="3"/>
      <c r="CU186" s="3">
        <f t="shared" si="554"/>
        <v>-36</v>
      </c>
      <c r="CV186" s="3"/>
      <c r="CW186" s="3" t="e">
        <f t="shared" ca="1" si="555"/>
        <v>#NUM!</v>
      </c>
      <c r="CY186" s="3" t="e">
        <f t="shared" ca="1" si="556"/>
        <v>#NUM!</v>
      </c>
      <c r="CZ186" s="70" t="e">
        <f t="shared" ca="1" si="589"/>
        <v>#NUM!</v>
      </c>
      <c r="DA186" s="3">
        <f>IF(RTD("tos.rtd",,DA$43,"."&amp;$B$134&amp;$AS$82&amp;"C"&amp;$A186)="N/A",0,RTD("tos.rtd",,DA$43,"."&amp;$B$134&amp;$AS$82&amp;"C"&amp;$A186))</f>
        <v>727.5</v>
      </c>
      <c r="DB186" s="3">
        <f>IF(RTD("tos.rtd",,DB$43,"."&amp;$B$134&amp;$AS$82&amp;"P"&amp;$A186)="N/A",0,RTD("tos.rtd",,DB$43,"."&amp;$B$134&amp;$AS$82&amp;"P"&amp;$A186))</f>
        <v>1.25</v>
      </c>
      <c r="DC186" s="3">
        <f>IF(RTD("tos.rtd",,DC$43,"."&amp;$B$134&amp;$AS$82&amp;"C"&amp;$A186)="N/A",0,RTD("tos.rtd",,DC$43,"."&amp;$B$134&amp;$AS$82&amp;"C"&amp;$A186))</f>
        <v>784</v>
      </c>
      <c r="DD186" s="3">
        <f>IF(RTD("tos.rtd",,DD$43,"."&amp;$B$134&amp;$AS$82&amp;"P"&amp;$A186)="N/A",0,RTD("tos.rtd",,DD$43,"."&amp;$B$134&amp;$AS$82&amp;"P"&amp;$A186))</f>
        <v>19.8</v>
      </c>
      <c r="DE186" s="3">
        <f>IF(RTD("tos.rtd",,DE$43,"."&amp;$B$134&amp;$AS$82&amp;"C"&amp;$A186)="N/A",0,RTD("tos.rtd",,DE$43,"."&amp;$B$134&amp;$AS$82&amp;"C"&amp;$A186))</f>
        <v>706</v>
      </c>
      <c r="DF186" s="3">
        <f>IF(RTD("tos.rtd",,DF$43,"."&amp;$B$134&amp;$AS$82&amp;"P"&amp;$A186)="N/A",0,RTD("tos.rtd",,DF$43,"."&amp;$B$134&amp;$AS$82&amp;"P"&amp;$A186))</f>
        <v>0</v>
      </c>
      <c r="DG186" s="86">
        <f t="shared" si="590"/>
        <v>-736.44900000000052</v>
      </c>
      <c r="DH186" s="3">
        <f t="shared" si="557"/>
        <v>0</v>
      </c>
      <c r="DI186" s="3">
        <f t="shared" si="558"/>
        <v>0.75757575757575757</v>
      </c>
      <c r="DJ186" s="3">
        <f t="shared" si="559"/>
        <v>0</v>
      </c>
      <c r="DK186" s="3">
        <f t="shared" si="560"/>
        <v>-12</v>
      </c>
      <c r="DL186" s="3">
        <f t="shared" si="561"/>
        <v>0.75757575757575757</v>
      </c>
      <c r="DM186" s="3">
        <f t="shared" si="562"/>
        <v>-12</v>
      </c>
      <c r="DN186" s="64" t="str">
        <f t="shared" si="563"/>
        <v>UNKNOWN</v>
      </c>
      <c r="DO186" s="64" t="str">
        <f t="shared" si="564"/>
        <v>UNKNOWN</v>
      </c>
      <c r="DP186" s="3">
        <f t="shared" si="565"/>
        <v>0.94696969696969702</v>
      </c>
      <c r="DQ186" s="3">
        <f t="shared" si="566"/>
        <v>-15</v>
      </c>
      <c r="DR186" s="3" t="e">
        <f t="shared" ca="1" si="567"/>
        <v>#NUM!</v>
      </c>
      <c r="DS186" s="3">
        <f t="shared" si="568"/>
        <v>-0.60000000000000009</v>
      </c>
      <c r="DT186" s="3">
        <f t="shared" si="591"/>
        <v>0</v>
      </c>
      <c r="DU186" s="3">
        <f t="shared" si="592"/>
        <v>12</v>
      </c>
      <c r="DV186" s="3">
        <f t="shared" si="569"/>
        <v>-1</v>
      </c>
      <c r="DW186" s="3">
        <f t="shared" si="570"/>
        <v>-9</v>
      </c>
      <c r="DX186" s="3" t="e">
        <f t="shared" ca="1" si="654"/>
        <v>#NUM!</v>
      </c>
      <c r="DY186" s="3" t="e">
        <f t="shared" ca="1" si="655"/>
        <v>#NUM!</v>
      </c>
      <c r="DZ186" s="3" t="e">
        <f t="shared" ca="1" si="656"/>
        <v>#NUM!</v>
      </c>
      <c r="EA186" s="3" t="e">
        <f t="shared" ca="1" si="657"/>
        <v>#NUM!</v>
      </c>
      <c r="EB186" s="3" t="e">
        <f t="shared" ca="1" si="658"/>
        <v>#NUM!</v>
      </c>
      <c r="EC186" s="3" t="e">
        <f t="shared" ca="1" si="659"/>
        <v>#NUM!</v>
      </c>
      <c r="ED186" s="63">
        <f t="shared" si="593"/>
        <v>-10</v>
      </c>
      <c r="EE186" s="59">
        <f t="shared" si="577"/>
        <v>2.9538000000000002</v>
      </c>
      <c r="EF186" s="59">
        <f t="shared" si="578"/>
        <v>3.0459000000000001</v>
      </c>
      <c r="EG186" s="59">
        <f t="shared" si="579"/>
        <v>0.25</v>
      </c>
      <c r="EH186" s="59">
        <f t="shared" si="580"/>
        <v>3.0459000000000001</v>
      </c>
      <c r="EI186" s="59">
        <f t="shared" si="581"/>
        <v>0.2838</v>
      </c>
      <c r="EJ186" s="59">
        <f t="shared" si="582"/>
        <v>0.31119999999999998</v>
      </c>
      <c r="EK186" s="63" t="e">
        <f t="shared" ca="1" si="594"/>
        <v>#NUM!</v>
      </c>
      <c r="EL186" s="3" t="str">
        <f>RTD("tos.rtd",,EL$43,"."&amp;$B$134&amp;$AS$82&amp;"C"&amp;$A186)</f>
        <v>295.38%</v>
      </c>
      <c r="EM186" s="3" t="str">
        <f>RTD("tos.rtd",,EM$43,"."&amp;$B$134&amp;$AS$82&amp;"P"&amp;$A186)</f>
        <v>304.59%</v>
      </c>
      <c r="EN186" s="3" t="str">
        <f>RTD("tos.rtd",,EN$2,"."&amp;$C$134&amp;$AU$82&amp;"C"&amp;$A186)</f>
        <v>--</v>
      </c>
      <c r="EO186" s="3" t="str">
        <f>RTD("tos.rtd",,EO$2,"."&amp;$C$134&amp;$AU$82&amp;"P"&amp;$A186)</f>
        <v>304.59%</v>
      </c>
      <c r="EP186" s="3" t="str">
        <f>RTD("tos.rtd",,EP$2,"."&amp;$D$134&amp;$AW$82&amp;"C"&amp;$A186)</f>
        <v>28.38%</v>
      </c>
      <c r="EQ186" s="3" t="str">
        <f>RTD("tos.rtd",,EQ$2,"."&amp;$D$134&amp;$AW$82&amp;"P"&amp;$A186)</f>
        <v>31.12%</v>
      </c>
      <c r="ES186" s="63" t="str">
        <f t="shared" si="583"/>
        <v>19325,-10.00</v>
      </c>
      <c r="ET186" s="63" t="str">
        <f t="shared" ca="1" si="584"/>
        <v>19325,00.00</v>
      </c>
      <c r="EU186" s="68">
        <v>563.30999999999995</v>
      </c>
      <c r="EV186" s="68" t="s">
        <v>1507</v>
      </c>
      <c r="EW186" s="68">
        <v>486.03</v>
      </c>
      <c r="EX186" s="68" t="s">
        <v>1508</v>
      </c>
      <c r="EY186" s="68">
        <v>5631.28</v>
      </c>
      <c r="EZ186" s="68" t="s">
        <v>1509</v>
      </c>
      <c r="FA186" s="68">
        <v>19867.973000000002</v>
      </c>
      <c r="FB186" s="68" t="s">
        <v>1510</v>
      </c>
      <c r="FC186" s="68" t="s">
        <v>1511</v>
      </c>
      <c r="FD186" s="68" t="s">
        <v>1512</v>
      </c>
      <c r="FE186" s="68" t="s">
        <v>1513</v>
      </c>
      <c r="FF186" s="68" t="s">
        <v>1514</v>
      </c>
    </row>
    <row r="187" spans="1:162" ht="11.1" customHeight="1" thickBot="1" x14ac:dyDescent="0.25">
      <c r="A187" s="2">
        <f t="shared" si="595"/>
        <v>19300</v>
      </c>
      <c r="B187" s="3">
        <f t="shared" si="628"/>
        <v>23</v>
      </c>
      <c r="C187" s="3">
        <f t="shared" si="629"/>
        <v>67</v>
      </c>
      <c r="D187" s="3">
        <f t="shared" si="630"/>
        <v>84</v>
      </c>
      <c r="E187" s="3">
        <f t="shared" si="663"/>
        <v>174</v>
      </c>
      <c r="F187" s="4">
        <f t="shared" si="623"/>
        <v>19678.853955165454</v>
      </c>
      <c r="G187" s="5">
        <f t="shared" si="664"/>
        <v>476.96225731252008</v>
      </c>
      <c r="AM187" s="1">
        <v>0</v>
      </c>
      <c r="AN187" s="1">
        <v>-570</v>
      </c>
      <c r="AO187" s="1">
        <v>19300</v>
      </c>
      <c r="AP187" s="1">
        <v>5</v>
      </c>
      <c r="AQ187" s="1">
        <v>-434</v>
      </c>
      <c r="AS187" s="54">
        <f>IF(RTD("tos.rtd",,AS$83,"."&amp;$B$134&amp;$AS$82&amp;"C"&amp;$A187)="N/A",0,RTD("tos.rtd",,AS$83,"."&amp;$B$134&amp;$AS$82&amp;"C"&amp;$A187))</f>
        <v>11</v>
      </c>
      <c r="AT187" s="3">
        <f>-IF(RTD("tos.rtd",,AT$83,"."&amp;$B$134&amp;$AS$82&amp;"P"&amp;$A187)="N/A",0,RTD("tos.rtd",,AT$83,"."&amp;$B$134&amp;$AS$82&amp;"P"&amp;$A187))</f>
        <v>-12</v>
      </c>
      <c r="AU187" s="54">
        <f>IF(RTD("tos.rtd",,AU$2,"."&amp;$C$134&amp;$AU$134&amp;"C"&amp;$A187)="N/A",0,RTD("tos.rtd",,AU$2,"."&amp;$C$134&amp;$AU$134&amp;"C"&amp;$A187))</f>
        <v>4</v>
      </c>
      <c r="AV187" s="3">
        <f>-IF(RTD("tos.rtd",,AV$2,"."&amp;$C$134&amp;$AU$134&amp;"P"&amp;$A187)="N/A",0,RTD("tos.rtd",,AV$2,"."&amp;$C$134&amp;$AU$134&amp;"P"&amp;$A187))</f>
        <v>-63</v>
      </c>
      <c r="AW187" s="54">
        <f>IF(RTD("tos.rtd",,AW$2,"."&amp;$D$134&amp;$AW$134&amp;"C"&amp;$A187)="N/A",0,RTD("tos.rtd",,AW$2,"."&amp;$D$134&amp;$AW$134&amp;"C"&amp;$A187))</f>
        <v>69</v>
      </c>
      <c r="AX187" s="3">
        <f>-IF(RTD("tos.rtd",,AX$2,"."&amp;$D$134&amp;$AW$134&amp;"P"&amp;$A187)="N/A",0,RTD("tos.rtd",,AX$2,"."&amp;$D$134&amp;$AW$134&amp;"P"&amp;$A187))</f>
        <v>-15</v>
      </c>
      <c r="AY187" s="76">
        <f t="shared" si="624"/>
        <v>-6</v>
      </c>
      <c r="AZ187" s="8">
        <f t="shared" si="548"/>
        <v>19300</v>
      </c>
      <c r="BA187" s="54">
        <f>IF(RTD("tos.rtd",,BA$43,"."&amp;$B$134&amp;$AS$82&amp;"C"&amp;$A187)="N/A",0,RTD("tos.rtd",,BA$43,"."&amp;$B$134&amp;$AS$82&amp;"C"&amp;$A187))</f>
        <v>0</v>
      </c>
      <c r="BB187" s="3">
        <f>-IF(RTD("tos.rtd",,BB$43,"."&amp;$B$134&amp;$AS$82&amp;"P"&amp;$A187)="N/A",0,RTD("tos.rtd",,BB$43,"."&amp;$B$134&amp;$AS$82&amp;"P"&amp;$A187))</f>
        <v>0</v>
      </c>
      <c r="BC187" s="54">
        <f>IF(RTD("tos.rtd",,BC$2,"."&amp;$C$134&amp;$AU$82&amp;"C"&amp;$A187)="N/A",0,RTD("tos.rtd",,BC$2,"."&amp;$C$134&amp;$AU$82&amp;"C"&amp;$A187))</f>
        <v>0</v>
      </c>
      <c r="BD187" s="3">
        <f>-IF(RTD("tos.rtd",,BD$2,"."&amp;$C$134&amp;$AU$82&amp;"P"&amp;$A187)="N/A",0,RTD("tos.rtd",,BD$2,"."&amp;$C$134&amp;$AU$82&amp;"P"&amp;$A187))</f>
        <v>-214</v>
      </c>
      <c r="BE187" s="54">
        <f>IF(RTD("tos.rtd",,BE$2,"."&amp;$D$134&amp;$AW$82&amp;"C"&amp;$A187)="N/A",0,RTD("tos.rtd",,BE$2,"."&amp;$D$134&amp;$AW$82&amp;"C"&amp;$A187))</f>
        <v>0</v>
      </c>
      <c r="BF187" s="3">
        <f>-IF(RTD("tos.rtd",,BF$2,"."&amp;$D$134&amp;$AW$82&amp;"P"&amp;$A187)="N/A",0,RTD("tos.rtd",,BF$2,"."&amp;$D$134&amp;$AW$82&amp;"P"&amp;$A187))</f>
        <v>-31</v>
      </c>
      <c r="BG187" s="3">
        <f ca="1">+Hoja2!Y188</f>
        <v>-6</v>
      </c>
      <c r="BH187" s="7">
        <f t="shared" ca="1" si="549"/>
        <v>-251</v>
      </c>
      <c r="BI187" s="32" t="str">
        <f t="shared" ca="1" si="609"/>
        <v/>
      </c>
      <c r="BJ187" s="3" t="e">
        <f ca="1">IF($BP$1=1,DX187,IF(RTD("tos.rtd",,BJ$43,"."&amp;$B$134&amp;$AS$82&amp;"C"&amp;$A187)="N/A",0,RTD("tos.rtd",,BJ$43,"."&amp;$B$134&amp;$AS$82&amp;"C"&amp;$A187)))</f>
        <v>#NUM!</v>
      </c>
      <c r="BK187" s="3" t="e">
        <f ca="1">IF($BP$1=1,DY187,-IF(RTD("tos.rtd",,BK$43,"."&amp;$B$134&amp;$AS$82&amp;"P"&amp;$A187)="N/A",0,RTD("tos.rtd",,BK$43,"."&amp;$B$134&amp;$AS$82&amp;"P"&amp;$A187)))</f>
        <v>#NUM!</v>
      </c>
      <c r="BL187" s="3" t="e">
        <f ca="1">IF($BP$1=1,DZ187,IF(RTD("tos.rtd",,BL$2,"."&amp;$C$134&amp;$AU$82&amp;"C"&amp;$A187)="N/A",0,RTD("tos.rtd",,BL$2,"."&amp;$C$134&amp;$AU$82&amp;"C"&amp;$A187)))</f>
        <v>#NUM!</v>
      </c>
      <c r="BM187" s="3" t="e">
        <f ca="1">IF($BP$1=1,EA187,-IF(RTD("tos.rtd",,BM$2,"."&amp;$C$134&amp;$AU$82&amp;"P"&amp;$A187)="N/A",0,RTD("tos.rtd",,BM$2,"."&amp;$C$134&amp;$AU$82&amp;"P"&amp;$A187)))</f>
        <v>#NUM!</v>
      </c>
      <c r="BN187" s="3" t="e">
        <f ca="1">IF($BP$1=1,EB187,IF(RTD("tos.rtd",,BN$2,"."&amp;$D$134&amp;$AW$82&amp;"C"&amp;$A187)="N/A",0,RTD("tos.rtd",,BN$2,"."&amp;$D$134&amp;$AW$82&amp;"C"&amp;$A187)))</f>
        <v>#NUM!</v>
      </c>
      <c r="BO187" s="3" t="e">
        <f ca="1">IF($BP$1=1,EC187,-IF(RTD("tos.rtd",,BO$2,"."&amp;$D$134&amp;$AW$82&amp;"P"&amp;$A187)="N/A",0,RTD("tos.rtd",,BO$2,"."&amp;$D$134&amp;$AW$82&amp;"P"&amp;$A187)))</f>
        <v>#NUM!</v>
      </c>
      <c r="BQ187" s="3" t="e">
        <f t="shared" ca="1" si="625"/>
        <v>#NUM!</v>
      </c>
      <c r="BR187" s="3" t="e">
        <f t="shared" ca="1" si="550"/>
        <v>#NUM!</v>
      </c>
      <c r="BS187" s="3" t="e">
        <f t="shared" ca="1" si="626"/>
        <v>#NUM!</v>
      </c>
      <c r="BT187" s="3" t="e">
        <f t="shared" ca="1" si="551"/>
        <v>#NUM!</v>
      </c>
      <c r="BU187" s="3" t="e">
        <f t="shared" ca="1" si="627"/>
        <v>#NUM!</v>
      </c>
      <c r="BV187" s="3" t="e">
        <f t="shared" ca="1" si="551"/>
        <v>#NUM!</v>
      </c>
      <c r="BX187" s="3" t="e">
        <f t="shared" ca="1" si="585"/>
        <v>#NUM!</v>
      </c>
      <c r="BY187" s="3" t="e">
        <f t="shared" ca="1" si="586"/>
        <v>#NUM!</v>
      </c>
      <c r="BZ187" s="3" t="e">
        <f t="shared" ca="1" si="587"/>
        <v>#NUM!</v>
      </c>
      <c r="CA187" s="3" t="e">
        <f t="shared" ca="1" si="586"/>
        <v>#NUM!</v>
      </c>
      <c r="CB187" s="3" t="e">
        <f t="shared" ca="1" si="588"/>
        <v>#NUM!</v>
      </c>
      <c r="CC187" s="3" t="e">
        <f t="shared" ca="1" si="586"/>
        <v>#NUM!</v>
      </c>
      <c r="CD187" s="3">
        <f>IF(RTD("tos.rtd",,CD$43,"."&amp;$B$134&amp;$AS$82&amp;"C"&amp;$A187)="N/A",0,RTD("tos.rtd",,CD$43,"."&amp;$B$134&amp;$AS$82&amp;"C"&amp;$A187))</f>
        <v>0.96</v>
      </c>
      <c r="CE187" s="3">
        <f>-IF(RTD("tos.rtd",,CE$43,"."&amp;$B$134&amp;$AS$82&amp;"P"&amp;$A187)="N/A",0,RTD("tos.rtd",,CE$43,"."&amp;$B$134&amp;$AS$82&amp;"P"&amp;$A187))</f>
        <v>0.05</v>
      </c>
      <c r="CF187" s="3">
        <f>IF(RTD("tos.rtd",,CF$2,"."&amp;$C$134&amp;$AU$82&amp;"C"&amp;$A187)="N/A",0,RTD("tos.rtd",,CF$2,"."&amp;$C$134&amp;$AU$82&amp;"C"&amp;$A187))</f>
        <v>1</v>
      </c>
      <c r="CG187" s="3">
        <f>-IF(RTD("tos.rtd",,CG$2,"."&amp;$C$134&amp;$AU$82&amp;"P"&amp;$A187)="N/A",0,RTD("tos.rtd",,CG$2,"."&amp;$C$134&amp;$AU$82&amp;"P"&amp;$A187))</f>
        <v>0</v>
      </c>
      <c r="CH187" s="3">
        <f>IF(RTD("tos.rtd",,CH$2,"."&amp;$D$134&amp;$AW$82&amp;"C"&amp;$A187)="N/A",0,RTD("tos.rtd",,CH$2,"."&amp;$D$134&amp;$AW$82&amp;"C"&amp;$A187))</f>
        <v>0.9</v>
      </c>
      <c r="CI187" s="3">
        <f>-IF(RTD("tos.rtd",,CI$2,"."&amp;$D$134&amp;$AW$82&amp;"P"&amp;$A187)="N/A",0,RTD("tos.rtd",,CI$2,"."&amp;$D$134&amp;$AW$82&amp;"P"&amp;$A187))</f>
        <v>0.13</v>
      </c>
      <c r="CK187" s="3">
        <f t="shared" si="660"/>
        <v>995.99999999999977</v>
      </c>
      <c r="CL187" s="3"/>
      <c r="CM187" s="3">
        <f t="shared" si="661"/>
        <v>400</v>
      </c>
      <c r="CN187" s="3"/>
      <c r="CO187" s="3">
        <f t="shared" si="662"/>
        <v>6015</v>
      </c>
      <c r="CP187" s="3">
        <f t="shared" si="542"/>
        <v>7411</v>
      </c>
      <c r="CQ187" s="3">
        <f t="shared" si="552"/>
        <v>0</v>
      </c>
      <c r="CR187" s="3"/>
      <c r="CS187" s="3">
        <f t="shared" si="553"/>
        <v>-214</v>
      </c>
      <c r="CT187" s="3"/>
      <c r="CU187" s="3">
        <f t="shared" si="554"/>
        <v>-31</v>
      </c>
      <c r="CV187" s="3"/>
      <c r="CW187" s="3" t="e">
        <f t="shared" ca="1" si="555"/>
        <v>#NUM!</v>
      </c>
      <c r="CY187" s="3" t="e">
        <f t="shared" ca="1" si="556"/>
        <v>#NUM!</v>
      </c>
      <c r="CZ187" s="70" t="e">
        <f t="shared" ca="1" si="589"/>
        <v>#NUM!</v>
      </c>
      <c r="DA187" s="3">
        <f>IF(RTD("tos.rtd",,DA$43,"."&amp;$B$134&amp;$AS$82&amp;"C"&amp;$A187)="N/A",0,RTD("tos.rtd",,DA$43,"."&amp;$B$134&amp;$AS$82&amp;"C"&amp;$A187))</f>
        <v>894.45</v>
      </c>
      <c r="DB187" s="3">
        <f>IF(RTD("tos.rtd",,DB$43,"."&amp;$B$134&amp;$AS$82&amp;"P"&amp;$A187)="N/A",0,RTD("tos.rtd",,DB$43,"."&amp;$B$134&amp;$AS$82&amp;"P"&amp;$A187))</f>
        <v>0.25</v>
      </c>
      <c r="DC187" s="3">
        <f>IF(RTD("tos.rtd",,DC$43,"."&amp;$B$134&amp;$AS$82&amp;"C"&amp;$A187)="N/A",0,RTD("tos.rtd",,DC$43,"."&amp;$B$134&amp;$AS$82&amp;"C"&amp;$A187))</f>
        <v>810</v>
      </c>
      <c r="DD187" s="3">
        <f>IF(RTD("tos.rtd",,DD$43,"."&amp;$B$134&amp;$AS$82&amp;"P"&amp;$A187)="N/A",0,RTD("tos.rtd",,DD$43,"."&amp;$B$134&amp;$AS$82&amp;"P"&amp;$A187))</f>
        <v>19.8</v>
      </c>
      <c r="DE187" s="3">
        <f>IF(RTD("tos.rtd",,DE$43,"."&amp;$B$134&amp;$AS$82&amp;"C"&amp;$A187)="N/A",0,RTD("tos.rtd",,DE$43,"."&amp;$B$134&amp;$AS$82&amp;"C"&amp;$A187))</f>
        <v>730</v>
      </c>
      <c r="DF187" s="3">
        <f>IF(RTD("tos.rtd",,DF$43,"."&amp;$B$134&amp;$AS$82&amp;"P"&amp;$A187)="N/A",0,RTD("tos.rtd",,DF$43,"."&amp;$B$134&amp;$AS$82&amp;"P"&amp;$A187))</f>
        <v>0</v>
      </c>
      <c r="DG187" s="86">
        <f t="shared" si="590"/>
        <v>-761.44900000000052</v>
      </c>
      <c r="DH187" s="3">
        <f t="shared" si="557"/>
        <v>-10.278125000000003</v>
      </c>
      <c r="DI187" s="3">
        <f t="shared" si="558"/>
        <v>5.4797979797979801</v>
      </c>
      <c r="DJ187" s="3">
        <f t="shared" si="559"/>
        <v>-5</v>
      </c>
      <c r="DK187" s="3">
        <f t="shared" si="560"/>
        <v>-434</v>
      </c>
      <c r="DL187" s="3">
        <f t="shared" si="561"/>
        <v>-4.7983270202020227</v>
      </c>
      <c r="DM187" s="3">
        <f t="shared" si="562"/>
        <v>-439</v>
      </c>
      <c r="DN187" s="64" t="str">
        <f t="shared" si="563"/>
        <v>UNKNOWN</v>
      </c>
      <c r="DO187" s="64" t="str">
        <f t="shared" si="564"/>
        <v>UNKNOWN</v>
      </c>
      <c r="DP187" s="3">
        <f t="shared" si="565"/>
        <v>-9191.8989567550543</v>
      </c>
      <c r="DQ187" s="3">
        <f t="shared" si="566"/>
        <v>-4580.75</v>
      </c>
      <c r="DR187" s="3" t="e">
        <f t="shared" ca="1" si="567"/>
        <v>#NUM!</v>
      </c>
      <c r="DS187" s="3">
        <f t="shared" si="568"/>
        <v>-26.500000000000004</v>
      </c>
      <c r="DT187" s="3">
        <f t="shared" si="591"/>
        <v>-5</v>
      </c>
      <c r="DU187" s="3">
        <f t="shared" si="592"/>
        <v>434</v>
      </c>
      <c r="DV187" s="3">
        <f t="shared" si="569"/>
        <v>0</v>
      </c>
      <c r="DW187" s="3">
        <f t="shared" si="570"/>
        <v>-570</v>
      </c>
      <c r="DX187" s="3" t="e">
        <f t="shared" ca="1" si="654"/>
        <v>#NUM!</v>
      </c>
      <c r="DY187" s="3" t="e">
        <f t="shared" ca="1" si="655"/>
        <v>#NUM!</v>
      </c>
      <c r="DZ187" s="3" t="e">
        <f t="shared" ca="1" si="656"/>
        <v>#NUM!</v>
      </c>
      <c r="EA187" s="3" t="e">
        <f t="shared" ca="1" si="657"/>
        <v>#NUM!</v>
      </c>
      <c r="EB187" s="3" t="e">
        <f t="shared" ca="1" si="658"/>
        <v>#NUM!</v>
      </c>
      <c r="EC187" s="3" t="e">
        <f t="shared" ca="1" si="659"/>
        <v>#NUM!</v>
      </c>
      <c r="ED187" s="63">
        <f t="shared" si="593"/>
        <v>-570</v>
      </c>
      <c r="EE187" s="59">
        <f t="shared" si="577"/>
        <v>3.036</v>
      </c>
      <c r="EF187" s="59">
        <f t="shared" si="578"/>
        <v>3.1299000000000001</v>
      </c>
      <c r="EG187" s="59">
        <f t="shared" si="579"/>
        <v>0.25</v>
      </c>
      <c r="EH187" s="59">
        <f t="shared" si="580"/>
        <v>1.5350999999999999</v>
      </c>
      <c r="EI187" s="59">
        <f t="shared" si="581"/>
        <v>0.28310000000000002</v>
      </c>
      <c r="EJ187" s="59">
        <f t="shared" si="582"/>
        <v>0.31190000000000001</v>
      </c>
      <c r="EK187" s="63" t="e">
        <f t="shared" ca="1" si="594"/>
        <v>#NUM!</v>
      </c>
      <c r="EL187" s="3" t="str">
        <f>RTD("tos.rtd",,EL$43,"."&amp;$B$134&amp;$AS$82&amp;"C"&amp;$A187)</f>
        <v>303.60%</v>
      </c>
      <c r="EM187" s="3" t="str">
        <f>RTD("tos.rtd",,EM$43,"."&amp;$B$134&amp;$AS$82&amp;"P"&amp;$A187)</f>
        <v>312.99%</v>
      </c>
      <c r="EN187" s="3" t="str">
        <f>RTD("tos.rtd",,EN$2,"."&amp;$C$134&amp;$AU$82&amp;"C"&amp;$A187)</f>
        <v>--</v>
      </c>
      <c r="EO187" s="3" t="str">
        <f>RTD("tos.rtd",,EO$2,"."&amp;$C$134&amp;$AU$82&amp;"P"&amp;$A187)</f>
        <v>153.51%</v>
      </c>
      <c r="EP187" s="3" t="str">
        <f>RTD("tos.rtd",,EP$2,"."&amp;$D$134&amp;$AW$82&amp;"C"&amp;$A187)</f>
        <v>28.31%</v>
      </c>
      <c r="EQ187" s="3" t="str">
        <f>RTD("tos.rtd",,EQ$2,"."&amp;$D$134&amp;$AW$82&amp;"P"&amp;$A187)</f>
        <v>31.19%</v>
      </c>
      <c r="ES187" s="63" t="str">
        <f t="shared" si="583"/>
        <v>19300,-570.00</v>
      </c>
      <c r="ET187" s="63" t="str">
        <f t="shared" ca="1" si="584"/>
        <v>19300,00.00</v>
      </c>
      <c r="EU187" s="68">
        <v>563.58000000000004</v>
      </c>
      <c r="EV187" s="68" t="s">
        <v>1515</v>
      </c>
      <c r="EW187" s="68">
        <v>486.18</v>
      </c>
      <c r="EX187" s="68" t="s">
        <v>1516</v>
      </c>
      <c r="EY187" s="68">
        <v>5631.28</v>
      </c>
      <c r="EZ187" s="68" t="s">
        <v>1517</v>
      </c>
      <c r="FA187" s="68">
        <v>19867.973000000002</v>
      </c>
      <c r="FB187" s="68" t="s">
        <v>1518</v>
      </c>
      <c r="FC187" s="68" t="s">
        <v>1519</v>
      </c>
      <c r="FD187" s="68" t="s">
        <v>1520</v>
      </c>
      <c r="FE187" s="68" t="s">
        <v>1521</v>
      </c>
      <c r="FF187" s="68" t="s">
        <v>1522</v>
      </c>
    </row>
    <row r="188" spans="1:162" ht="11.1" customHeight="1" thickBot="1" x14ac:dyDescent="0.25">
      <c r="A188" s="2">
        <f t="shared" si="595"/>
        <v>19275</v>
      </c>
      <c r="B188" s="3">
        <f t="shared" si="628"/>
        <v>13</v>
      </c>
      <c r="C188" s="3">
        <f t="shared" si="629"/>
        <v>17</v>
      </c>
      <c r="D188" s="3">
        <f t="shared" si="630"/>
        <v>16</v>
      </c>
      <c r="E188" s="3">
        <f t="shared" si="663"/>
        <v>46</v>
      </c>
      <c r="F188" s="11">
        <f t="shared" si="623"/>
        <v>19653.363211700213</v>
      </c>
      <c r="G188" s="5">
        <f t="shared" si="664"/>
        <v>476.34443055434326</v>
      </c>
      <c r="AM188" s="1">
        <v>0</v>
      </c>
      <c r="AN188" s="1">
        <v>47</v>
      </c>
      <c r="AO188" s="1">
        <v>19275</v>
      </c>
      <c r="AP188" s="1">
        <v>0</v>
      </c>
      <c r="AQ188" s="1">
        <v>-22</v>
      </c>
      <c r="AS188" s="54">
        <f>IF(RTD("tos.rtd",,AS$83,"."&amp;$B$134&amp;$AS$82&amp;"C"&amp;$A188)="N/A",0,RTD("tos.rtd",,AS$83,"."&amp;$B$134&amp;$AS$82&amp;"C"&amp;$A188))</f>
        <v>0</v>
      </c>
      <c r="AT188" s="3">
        <f>-IF(RTD("tos.rtd",,AT$83,"."&amp;$B$134&amp;$AS$82&amp;"P"&amp;$A188)="N/A",0,RTD("tos.rtd",,AT$83,"."&amp;$B$134&amp;$AS$82&amp;"P"&amp;$A188))</f>
        <v>-13</v>
      </c>
      <c r="AU188" s="54">
        <f>IF(RTD("tos.rtd",,AU$2,"."&amp;$C$134&amp;$AU$134&amp;"C"&amp;$A188)="N/A",0,RTD("tos.rtd",,AU$2,"."&amp;$C$134&amp;$AU$134&amp;"C"&amp;$A188))</f>
        <v>7</v>
      </c>
      <c r="AV188" s="3">
        <f>-IF(RTD("tos.rtd",,AV$2,"."&amp;$C$134&amp;$AU$134&amp;"P"&amp;$A188)="N/A",0,RTD("tos.rtd",,AV$2,"."&amp;$C$134&amp;$AU$134&amp;"P"&amp;$A188))</f>
        <v>-10</v>
      </c>
      <c r="AW188" s="54">
        <f>IF(RTD("tos.rtd",,AW$2,"."&amp;$D$134&amp;$AW$134&amp;"C"&amp;$A188)="N/A",0,RTD("tos.rtd",,AW$2,"."&amp;$D$134&amp;$AW$134&amp;"C"&amp;$A188))</f>
        <v>10</v>
      </c>
      <c r="AX188" s="3">
        <f>-IF(RTD("tos.rtd",,AX$2,"."&amp;$D$134&amp;$AW$134&amp;"P"&amp;$A188)="N/A",0,RTD("tos.rtd",,AX$2,"."&amp;$D$134&amp;$AW$134&amp;"P"&amp;$A188))</f>
        <v>-6</v>
      </c>
      <c r="AY188" s="76">
        <f t="shared" si="624"/>
        <v>-12</v>
      </c>
      <c r="AZ188" s="8">
        <f t="shared" si="548"/>
        <v>19275</v>
      </c>
      <c r="BA188" s="54">
        <f>IF(RTD("tos.rtd",,BA$43,"."&amp;$B$134&amp;$AS$82&amp;"C"&amp;$A188)="N/A",0,RTD("tos.rtd",,BA$43,"."&amp;$B$134&amp;$AS$82&amp;"C"&amp;$A188))</f>
        <v>0</v>
      </c>
      <c r="BB188" s="3">
        <f>-IF(RTD("tos.rtd",,BB$43,"."&amp;$B$134&amp;$AS$82&amp;"P"&amp;$A188)="N/A",0,RTD("tos.rtd",,BB$43,"."&amp;$B$134&amp;$AS$82&amp;"P"&amp;$A188))</f>
        <v>0</v>
      </c>
      <c r="BC188" s="54">
        <f>IF(RTD("tos.rtd",,BC$2,"."&amp;$C$134&amp;$AU$82&amp;"C"&amp;$A188)="N/A",0,RTD("tos.rtd",,BC$2,"."&amp;$C$134&amp;$AU$82&amp;"C"&amp;$A188))</f>
        <v>0</v>
      </c>
      <c r="BD188" s="3">
        <f>-IF(RTD("tos.rtd",,BD$2,"."&amp;$C$134&amp;$AU$82&amp;"P"&amp;$A188)="N/A",0,RTD("tos.rtd",,BD$2,"."&amp;$C$134&amp;$AU$82&amp;"P"&amp;$A188))</f>
        <v>-1</v>
      </c>
      <c r="BE188" s="54">
        <f>IF(RTD("tos.rtd",,BE$2,"."&amp;$D$134&amp;$AW$82&amp;"C"&amp;$A188)="N/A",0,RTD("tos.rtd",,BE$2,"."&amp;$D$134&amp;$AW$82&amp;"C"&amp;$A188))</f>
        <v>0</v>
      </c>
      <c r="BF188" s="3">
        <f>-IF(RTD("tos.rtd",,BF$2,"."&amp;$D$134&amp;$AW$82&amp;"P"&amp;$A188)="N/A",0,RTD("tos.rtd",,BF$2,"."&amp;$D$134&amp;$AW$82&amp;"P"&amp;$A188))</f>
        <v>-42</v>
      </c>
      <c r="BG188" s="3">
        <f ca="1">+Hoja2!Y189</f>
        <v>0</v>
      </c>
      <c r="BH188" s="7">
        <f t="shared" ca="1" si="549"/>
        <v>-43</v>
      </c>
      <c r="BI188" s="32" t="str">
        <f t="shared" ca="1" si="609"/>
        <v/>
      </c>
      <c r="BJ188" s="3" t="e">
        <f ca="1">IF($BP$1=1,DX188,IF(RTD("tos.rtd",,BJ$43,"."&amp;$B$134&amp;$AS$82&amp;"C"&amp;$A188)="N/A",0,RTD("tos.rtd",,BJ$43,"."&amp;$B$134&amp;$AS$82&amp;"C"&amp;$A188)))</f>
        <v>#NUM!</v>
      </c>
      <c r="BK188" s="3" t="e">
        <f ca="1">IF($BP$1=1,DY188,-IF(RTD("tos.rtd",,BK$43,"."&amp;$B$134&amp;$AS$82&amp;"P"&amp;$A188)="N/A",0,RTD("tos.rtd",,BK$43,"."&amp;$B$134&amp;$AS$82&amp;"P"&amp;$A188)))</f>
        <v>#NUM!</v>
      </c>
      <c r="BL188" s="3" t="e">
        <f ca="1">IF($BP$1=1,DZ188,IF(RTD("tos.rtd",,BL$2,"."&amp;$C$134&amp;$AU$82&amp;"C"&amp;$A188)="N/A",0,RTD("tos.rtd",,BL$2,"."&amp;$C$134&amp;$AU$82&amp;"C"&amp;$A188)))</f>
        <v>#NUM!</v>
      </c>
      <c r="BM188" s="3" t="e">
        <f ca="1">IF($BP$1=1,EA188,-IF(RTD("tos.rtd",,BM$2,"."&amp;$C$134&amp;$AU$82&amp;"P"&amp;$A188)="N/A",0,RTD("tos.rtd",,BM$2,"."&amp;$C$134&amp;$AU$82&amp;"P"&amp;$A188)))</f>
        <v>#NUM!</v>
      </c>
      <c r="BN188" s="3" t="e">
        <f ca="1">IF($BP$1=1,EB188,IF(RTD("tos.rtd",,BN$2,"."&amp;$D$134&amp;$AW$82&amp;"C"&amp;$A188)="N/A",0,RTD("tos.rtd",,BN$2,"."&amp;$D$134&amp;$AW$82&amp;"C"&amp;$A188)))</f>
        <v>#NUM!</v>
      </c>
      <c r="BO188" s="3" t="e">
        <f ca="1">IF($BP$1=1,EC188,-IF(RTD("tos.rtd",,BO$2,"."&amp;$D$134&amp;$AW$82&amp;"P"&amp;$A188)="N/A",0,RTD("tos.rtd",,BO$2,"."&amp;$D$134&amp;$AW$82&amp;"P"&amp;$A188)))</f>
        <v>#NUM!</v>
      </c>
      <c r="BQ188" s="3" t="e">
        <f t="shared" ca="1" si="625"/>
        <v>#NUM!</v>
      </c>
      <c r="BR188" s="3" t="e">
        <f t="shared" ca="1" si="550"/>
        <v>#NUM!</v>
      </c>
      <c r="BS188" s="3" t="e">
        <f t="shared" ca="1" si="626"/>
        <v>#NUM!</v>
      </c>
      <c r="BT188" s="3" t="e">
        <f t="shared" ca="1" si="551"/>
        <v>#NUM!</v>
      </c>
      <c r="BU188" s="3" t="e">
        <f t="shared" ca="1" si="627"/>
        <v>#NUM!</v>
      </c>
      <c r="BV188" s="3" t="e">
        <f t="shared" ca="1" si="551"/>
        <v>#NUM!</v>
      </c>
      <c r="BX188" s="3" t="e">
        <f t="shared" ca="1" si="585"/>
        <v>#NUM!</v>
      </c>
      <c r="BY188" s="3" t="e">
        <f t="shared" ca="1" si="586"/>
        <v>#NUM!</v>
      </c>
      <c r="BZ188" s="3" t="e">
        <f t="shared" ca="1" si="587"/>
        <v>#NUM!</v>
      </c>
      <c r="CA188" s="3" t="e">
        <f t="shared" ca="1" si="586"/>
        <v>#NUM!</v>
      </c>
      <c r="CB188" s="3" t="e">
        <f t="shared" ca="1" si="588"/>
        <v>#NUM!</v>
      </c>
      <c r="CC188" s="3" t="e">
        <f t="shared" ca="1" si="586"/>
        <v>#NUM!</v>
      </c>
      <c r="CD188" s="3">
        <f>IF(RTD("tos.rtd",,CD$43,"."&amp;$B$134&amp;$AS$82&amp;"C"&amp;$A188)="N/A",0,RTD("tos.rtd",,CD$43,"."&amp;$B$134&amp;$AS$82&amp;"C"&amp;$A188))</f>
        <v>0.96</v>
      </c>
      <c r="CE188" s="3">
        <f>-IF(RTD("tos.rtd",,CE$43,"."&amp;$B$134&amp;$AS$82&amp;"P"&amp;$A188)="N/A",0,RTD("tos.rtd",,CE$43,"."&amp;$B$134&amp;$AS$82&amp;"P"&amp;$A188))</f>
        <v>0.05</v>
      </c>
      <c r="CF188" s="3">
        <f>IF(RTD("tos.rtd",,CF$2,"."&amp;$C$134&amp;$AU$82&amp;"C"&amp;$A188)="N/A",0,RTD("tos.rtd",,CF$2,"."&amp;$C$134&amp;$AU$82&amp;"C"&amp;$A188))</f>
        <v>1</v>
      </c>
      <c r="CG188" s="3">
        <f>-IF(RTD("tos.rtd",,CG$2,"."&amp;$C$134&amp;$AU$82&amp;"P"&amp;$A188)="N/A",0,RTD("tos.rtd",,CG$2,"."&amp;$C$134&amp;$AU$82&amp;"P"&amp;$A188))</f>
        <v>0</v>
      </c>
      <c r="CH188" s="3">
        <f>IF(RTD("tos.rtd",,CH$2,"."&amp;$D$134&amp;$AW$82&amp;"C"&amp;$A188)="N/A",0,RTD("tos.rtd",,CH$2,"."&amp;$D$134&amp;$AW$82&amp;"C"&amp;$A188))</f>
        <v>0.9</v>
      </c>
      <c r="CI188" s="3">
        <f>-IF(RTD("tos.rtd",,CI$2,"."&amp;$D$134&amp;$AW$82&amp;"P"&amp;$A188)="N/A",0,RTD("tos.rtd",,CI$2,"."&amp;$D$134&amp;$AW$82&amp;"P"&amp;$A188))</f>
        <v>0.12</v>
      </c>
      <c r="CK188" s="3">
        <f t="shared" si="660"/>
        <v>-65</v>
      </c>
      <c r="CL188" s="3"/>
      <c r="CM188" s="3">
        <f t="shared" si="661"/>
        <v>700</v>
      </c>
      <c r="CN188" s="3"/>
      <c r="CO188" s="3">
        <f t="shared" si="662"/>
        <v>828</v>
      </c>
      <c r="CP188" s="3">
        <f t="shared" si="542"/>
        <v>1463</v>
      </c>
      <c r="CQ188" s="3">
        <f t="shared" si="552"/>
        <v>0</v>
      </c>
      <c r="CR188" s="3"/>
      <c r="CS188" s="3">
        <f t="shared" si="553"/>
        <v>-1</v>
      </c>
      <c r="CT188" s="3"/>
      <c r="CU188" s="3">
        <f t="shared" si="554"/>
        <v>-42</v>
      </c>
      <c r="CV188" s="3"/>
      <c r="CW188" s="3" t="e">
        <f t="shared" ca="1" si="555"/>
        <v>#NUM!</v>
      </c>
      <c r="CY188" s="3" t="e">
        <f t="shared" ca="1" si="556"/>
        <v>#NUM!</v>
      </c>
      <c r="CZ188" s="70" t="e">
        <f t="shared" ca="1" si="589"/>
        <v>#NUM!</v>
      </c>
      <c r="DA188" s="3">
        <f>IF(RTD("tos.rtd",,DA$43,"."&amp;$B$134&amp;$AS$82&amp;"C"&amp;$A188)="N/A",0,RTD("tos.rtd",,DA$43,"."&amp;$B$134&amp;$AS$82&amp;"C"&amp;$A188))</f>
        <v>0</v>
      </c>
      <c r="DB188" s="3">
        <f>IF(RTD("tos.rtd",,DB$43,"."&amp;$B$134&amp;$AS$82&amp;"P"&amp;$A188)="N/A",0,RTD("tos.rtd",,DB$43,"."&amp;$B$134&amp;$AS$82&amp;"P"&amp;$A188))</f>
        <v>0.22</v>
      </c>
      <c r="DC188" s="3">
        <f>IF(RTD("tos.rtd",,DC$43,"."&amp;$B$134&amp;$AS$82&amp;"C"&amp;$A188)="N/A",0,RTD("tos.rtd",,DC$43,"."&amp;$B$134&amp;$AS$82&amp;"C"&amp;$A188))</f>
        <v>834</v>
      </c>
      <c r="DD188" s="3">
        <f>IF(RTD("tos.rtd",,DD$43,"."&amp;$B$134&amp;$AS$82&amp;"P"&amp;$A188)="N/A",0,RTD("tos.rtd",,DD$43,"."&amp;$B$134&amp;$AS$82&amp;"P"&amp;$A188))</f>
        <v>19.8</v>
      </c>
      <c r="DE188" s="3">
        <f>IF(RTD("tos.rtd",,DE$43,"."&amp;$B$134&amp;$AS$82&amp;"C"&amp;$A188)="N/A",0,RTD("tos.rtd",,DE$43,"."&amp;$B$134&amp;$AS$82&amp;"C"&amp;$A188))</f>
        <v>756</v>
      </c>
      <c r="DF188" s="3">
        <f>IF(RTD("tos.rtd",,DF$43,"."&amp;$B$134&amp;$AS$82&amp;"P"&amp;$A188)="N/A",0,RTD("tos.rtd",,DF$43,"."&amp;$B$134&amp;$AS$82&amp;"P"&amp;$A188))</f>
        <v>0</v>
      </c>
      <c r="DG188" s="86">
        <f t="shared" si="590"/>
        <v>-786.44900000000052</v>
      </c>
      <c r="DH188" s="3">
        <f t="shared" si="557"/>
        <v>0</v>
      </c>
      <c r="DI188" s="3">
        <f t="shared" si="558"/>
        <v>0.24444444444444446</v>
      </c>
      <c r="DJ188" s="3">
        <f t="shared" si="559"/>
        <v>0</v>
      </c>
      <c r="DK188" s="3">
        <f t="shared" si="560"/>
        <v>-22</v>
      </c>
      <c r="DL188" s="3">
        <f t="shared" si="561"/>
        <v>0.24444444444444446</v>
      </c>
      <c r="DM188" s="3">
        <f t="shared" si="562"/>
        <v>-22</v>
      </c>
      <c r="DN188" s="64" t="str">
        <f t="shared" si="563"/>
        <v>UNKNOWN</v>
      </c>
      <c r="DO188" s="64" t="str">
        <f t="shared" si="564"/>
        <v>UNKNOWN</v>
      </c>
      <c r="DP188" s="3">
        <f t="shared" si="565"/>
        <v>5.3777777777777785E-2</v>
      </c>
      <c r="DQ188" s="3">
        <f t="shared" si="566"/>
        <v>-4.84</v>
      </c>
      <c r="DR188" s="3" t="e">
        <f t="shared" ca="1" si="567"/>
        <v>#NUM!</v>
      </c>
      <c r="DS188" s="3">
        <f t="shared" si="568"/>
        <v>-1.1000000000000001</v>
      </c>
      <c r="DT188" s="3">
        <f t="shared" si="591"/>
        <v>0</v>
      </c>
      <c r="DU188" s="3">
        <f t="shared" si="592"/>
        <v>22</v>
      </c>
      <c r="DV188" s="3">
        <f t="shared" si="569"/>
        <v>0</v>
      </c>
      <c r="DW188" s="3">
        <f t="shared" si="570"/>
        <v>47</v>
      </c>
      <c r="DX188" s="3" t="e">
        <f t="shared" ca="1" si="654"/>
        <v>#NUM!</v>
      </c>
      <c r="DY188" s="3" t="e">
        <f t="shared" ca="1" si="655"/>
        <v>#NUM!</v>
      </c>
      <c r="DZ188" s="3" t="e">
        <f t="shared" ca="1" si="656"/>
        <v>#NUM!</v>
      </c>
      <c r="EA188" s="3" t="e">
        <f t="shared" ca="1" si="657"/>
        <v>#NUM!</v>
      </c>
      <c r="EB188" s="3" t="e">
        <f t="shared" ca="1" si="658"/>
        <v>#NUM!</v>
      </c>
      <c r="EC188" s="3" t="e">
        <f t="shared" ca="1" si="659"/>
        <v>#NUM!</v>
      </c>
      <c r="ED188" s="63">
        <f t="shared" si="593"/>
        <v>47</v>
      </c>
      <c r="EE188" s="59">
        <f t="shared" si="577"/>
        <v>3.1179999999999999</v>
      </c>
      <c r="EF188" s="59">
        <f t="shared" si="578"/>
        <v>3.2136</v>
      </c>
      <c r="EG188" s="59">
        <f t="shared" si="579"/>
        <v>0.25</v>
      </c>
      <c r="EH188" s="59">
        <f t="shared" si="580"/>
        <v>1.5829</v>
      </c>
      <c r="EI188" s="59">
        <f t="shared" si="581"/>
        <v>0.28239999999999998</v>
      </c>
      <c r="EJ188" s="59">
        <f t="shared" si="582"/>
        <v>0.31269999999999998</v>
      </c>
      <c r="EK188" s="63" t="e">
        <f t="shared" ca="1" si="594"/>
        <v>#NUM!</v>
      </c>
      <c r="EL188" s="3" t="str">
        <f>RTD("tos.rtd",,EL$43,"."&amp;$B$134&amp;$AS$82&amp;"C"&amp;$A188)</f>
        <v>311.80%</v>
      </c>
      <c r="EM188" s="3" t="str">
        <f>RTD("tos.rtd",,EM$43,"."&amp;$B$134&amp;$AS$82&amp;"P"&amp;$A188)</f>
        <v>321.36%</v>
      </c>
      <c r="EN188" s="3" t="str">
        <f>RTD("tos.rtd",,EN$2,"."&amp;$C$134&amp;$AU$82&amp;"C"&amp;$A188)</f>
        <v>--</v>
      </c>
      <c r="EO188" s="3" t="str">
        <f>RTD("tos.rtd",,EO$2,"."&amp;$C$134&amp;$AU$82&amp;"P"&amp;$A188)</f>
        <v>158.29%</v>
      </c>
      <c r="EP188" s="3" t="str">
        <f>RTD("tos.rtd",,EP$2,"."&amp;$D$134&amp;$AW$82&amp;"C"&amp;$A188)</f>
        <v>28.24%</v>
      </c>
      <c r="EQ188" s="3" t="str">
        <f>RTD("tos.rtd",,EQ$2,"."&amp;$D$134&amp;$AW$82&amp;"P"&amp;$A188)</f>
        <v>31.27%</v>
      </c>
      <c r="ES188" s="63" t="str">
        <f t="shared" si="583"/>
        <v>19275,47.00</v>
      </c>
      <c r="ET188" s="63" t="str">
        <f t="shared" ca="1" si="584"/>
        <v>19275,00.00</v>
      </c>
      <c r="EU188" s="68">
        <v>563.59</v>
      </c>
      <c r="EV188" s="68" t="s">
        <v>1523</v>
      </c>
      <c r="EW188" s="68">
        <v>486.3</v>
      </c>
      <c r="EX188" s="68" t="s">
        <v>1524</v>
      </c>
      <c r="EY188" s="68">
        <v>5631.28</v>
      </c>
      <c r="EZ188" s="68" t="s">
        <v>1525</v>
      </c>
      <c r="FA188" s="68">
        <v>19867.973000000002</v>
      </c>
      <c r="FB188" s="68" t="s">
        <v>1526</v>
      </c>
      <c r="FC188" s="68" t="s">
        <v>1527</v>
      </c>
      <c r="FD188" s="68" t="s">
        <v>1528</v>
      </c>
      <c r="FE188" s="68" t="s">
        <v>1529</v>
      </c>
      <c r="FF188" s="68" t="s">
        <v>1530</v>
      </c>
    </row>
    <row r="189" spans="1:162" ht="11.1" customHeight="1" thickBot="1" x14ac:dyDescent="0.25">
      <c r="A189" s="2">
        <f t="shared" si="595"/>
        <v>19250</v>
      </c>
      <c r="B189" s="3">
        <f t="shared" si="628"/>
        <v>6</v>
      </c>
      <c r="C189" s="3">
        <f t="shared" si="629"/>
        <v>38</v>
      </c>
      <c r="D189" s="3">
        <f t="shared" si="630"/>
        <v>28</v>
      </c>
      <c r="E189" s="3">
        <f t="shared" si="663"/>
        <v>72</v>
      </c>
      <c r="F189" s="11">
        <f t="shared" si="623"/>
        <v>19627.872468234971</v>
      </c>
      <c r="G189" s="5">
        <f t="shared" si="664"/>
        <v>475.72660379616644</v>
      </c>
      <c r="AM189" s="1">
        <v>0</v>
      </c>
      <c r="AN189" s="1">
        <v>-12</v>
      </c>
      <c r="AO189" s="1">
        <v>19250</v>
      </c>
      <c r="AP189" s="1">
        <v>0</v>
      </c>
      <c r="AQ189" s="1">
        <v>-19</v>
      </c>
      <c r="AS189" s="56">
        <f>IF(RTD("tos.rtd",,AS$83,"."&amp;$B$134&amp;$AS$82&amp;"C"&amp;$A189)="N/A",0,RTD("tos.rtd",,AS$83,"."&amp;$B$134&amp;$AS$82&amp;"C"&amp;$A189))</f>
        <v>0</v>
      </c>
      <c r="AT189" s="35">
        <f>-IF(RTD("tos.rtd",,AT$83,"."&amp;$B$134&amp;$AS$82&amp;"P"&amp;$A189)="N/A",0,RTD("tos.rtd",,AT$83,"."&amp;$B$134&amp;$AS$82&amp;"P"&amp;$A189))</f>
        <v>-6</v>
      </c>
      <c r="AU189" s="16">
        <f>IF(RTD("tos.rtd",,AU$2,"."&amp;$C$134&amp;$AU$134&amp;"C"&amp;$A189)="N/A",0,RTD("tos.rtd",,AU$2,"."&amp;$C$134&amp;$AU$134&amp;"C"&amp;$A189))</f>
        <v>2</v>
      </c>
      <c r="AV189" s="16">
        <f>-IF(RTD("tos.rtd",,AV$2,"."&amp;$C$134&amp;$AU$134&amp;"P"&amp;$A189)="N/A",0,RTD("tos.rtd",,AV$2,"."&amp;$C$134&amp;$AU$134&amp;"P"&amp;$A189))</f>
        <v>-36</v>
      </c>
      <c r="AW189" s="56">
        <f>IF(RTD("tos.rtd",,AW$2,"."&amp;$D$134&amp;$AW$134&amp;"C"&amp;$A189)="N/A",0,RTD("tos.rtd",,AW$2,"."&amp;$D$134&amp;$AW$134&amp;"C"&amp;$A189))</f>
        <v>21</v>
      </c>
      <c r="AX189" s="35">
        <f>-IF(RTD("tos.rtd",,AX$2,"."&amp;$D$134&amp;$AW$134&amp;"P"&amp;$A189)="N/A",0,RTD("tos.rtd",,AX$2,"."&amp;$D$134&amp;$AW$134&amp;"P"&amp;$A189))</f>
        <v>-7</v>
      </c>
      <c r="AY189" s="77">
        <f t="shared" si="624"/>
        <v>-26</v>
      </c>
      <c r="AZ189" s="8">
        <f t="shared" si="548"/>
        <v>19250</v>
      </c>
      <c r="BA189" s="56">
        <f>IF(RTD("tos.rtd",,BA$43,"."&amp;$B$134&amp;$AS$82&amp;"C"&amp;$A189)="N/A",0,RTD("tos.rtd",,BA$43,"."&amp;$B$134&amp;$AS$82&amp;"C"&amp;$A189))</f>
        <v>0</v>
      </c>
      <c r="BB189" s="35">
        <f>-IF(RTD("tos.rtd",,BB$43,"."&amp;$B$134&amp;$AS$82&amp;"P"&amp;$A189)="N/A",0,RTD("tos.rtd",,BB$43,"."&amp;$B$134&amp;$AS$82&amp;"P"&amp;$A189))</f>
        <v>0</v>
      </c>
      <c r="BC189" s="16">
        <f>IF(RTD("tos.rtd",,BC$2,"."&amp;$C$134&amp;$AU$82&amp;"C"&amp;$A189)="N/A",0,RTD("tos.rtd",,BC$2,"."&amp;$C$134&amp;$AU$82&amp;"C"&amp;$A189))</f>
        <v>0</v>
      </c>
      <c r="BD189" s="16">
        <f>-IF(RTD("tos.rtd",,BD$2,"."&amp;$C$134&amp;$AU$82&amp;"P"&amp;$A189)="N/A",0,RTD("tos.rtd",,BD$2,"."&amp;$C$134&amp;$AU$82&amp;"P"&amp;$A189))</f>
        <v>-8</v>
      </c>
      <c r="BE189" s="56">
        <f>IF(RTD("tos.rtd",,BE$2,"."&amp;$D$134&amp;$AW$82&amp;"C"&amp;$A189)="N/A",0,RTD("tos.rtd",,BE$2,"."&amp;$D$134&amp;$AW$82&amp;"C"&amp;$A189))</f>
        <v>0</v>
      </c>
      <c r="BF189" s="35">
        <f>-IF(RTD("tos.rtd",,BF$2,"."&amp;$D$134&amp;$AW$82&amp;"P"&amp;$A189)="N/A",0,RTD("tos.rtd",,BF$2,"."&amp;$D$134&amp;$AW$82&amp;"P"&amp;$A189))</f>
        <v>-23</v>
      </c>
      <c r="BG189" s="35">
        <f ca="1">+Hoja2!Y190</f>
        <v>1</v>
      </c>
      <c r="BH189" s="36">
        <f t="shared" ca="1" si="549"/>
        <v>-30</v>
      </c>
      <c r="BI189" s="32" t="str">
        <f t="shared" ca="1" si="609"/>
        <v/>
      </c>
      <c r="BJ189" s="3" t="e">
        <f ca="1">IF($BP$1=1,DX189,IF(RTD("tos.rtd",,BJ$43,"."&amp;$B$134&amp;$AS$82&amp;"C"&amp;$A189)="N/A",0,RTD("tos.rtd",,BJ$43,"."&amp;$B$134&amp;$AS$82&amp;"C"&amp;$A189)))</f>
        <v>#NUM!</v>
      </c>
      <c r="BK189" s="3" t="e">
        <f ca="1">IF($BP$1=1,DY189,-IF(RTD("tos.rtd",,BK$43,"."&amp;$B$134&amp;$AS$82&amp;"P"&amp;$A189)="N/A",0,RTD("tos.rtd",,BK$43,"."&amp;$B$134&amp;$AS$82&amp;"P"&amp;$A189)))</f>
        <v>#NUM!</v>
      </c>
      <c r="BL189" s="83" t="e">
        <f ca="1">IF($BP$1=1,DZ189,IF(RTD("tos.rtd",,BL$2,"."&amp;$C$134&amp;$AU$82&amp;"C"&amp;$A189)="N/A",0,RTD("tos.rtd",,BL$2,"."&amp;$C$134&amp;$AU$82&amp;"C"&amp;$A189)))</f>
        <v>#NUM!</v>
      </c>
      <c r="BM189" s="83" t="e">
        <f ca="1">IF($BP$1=1,EA189,-IF(RTD("tos.rtd",,BM$2,"."&amp;$C$134&amp;$AU$82&amp;"P"&amp;$A189)="N/A",0,RTD("tos.rtd",,BM$2,"."&amp;$C$134&amp;$AU$82&amp;"P"&amp;$A189)))</f>
        <v>#NUM!</v>
      </c>
      <c r="BN189" s="3" t="e">
        <f ca="1">IF($BP$1=1,EB189,IF(RTD("tos.rtd",,BN$2,"."&amp;$D$134&amp;$AW$82&amp;"C"&amp;$A189)="N/A",0,RTD("tos.rtd",,BN$2,"."&amp;$D$134&amp;$AW$82&amp;"C"&amp;$A189)))</f>
        <v>#NUM!</v>
      </c>
      <c r="BO189" s="3" t="e">
        <f ca="1">IF($BP$1=1,EC189,-IF(RTD("tos.rtd",,BO$2,"."&amp;$D$134&amp;$AW$82&amp;"P"&amp;$A189)="N/A",0,RTD("tos.rtd",,BO$2,"."&amp;$D$134&amp;$AW$82&amp;"P"&amp;$A189)))</f>
        <v>#NUM!</v>
      </c>
      <c r="BQ189" s="3" t="e">
        <f t="shared" ca="1" si="625"/>
        <v>#NUM!</v>
      </c>
      <c r="BR189" s="3"/>
      <c r="BS189" s="83" t="e">
        <f t="shared" ca="1" si="626"/>
        <v>#NUM!</v>
      </c>
      <c r="BT189" s="83"/>
      <c r="BU189" s="3" t="e">
        <f t="shared" ca="1" si="627"/>
        <v>#NUM!</v>
      </c>
      <c r="BV189" s="3" t="e">
        <f t="shared" ref="BV189" ca="1" si="665">IF(AND(BU189&lt;0,BU188&gt;0), "Cruce -", IF(AND(BU189&gt;0,BU188&lt;0),"Cruce +", ""))</f>
        <v>#NUM!</v>
      </c>
      <c r="BX189" s="3" t="e">
        <f t="shared" ca="1" si="585"/>
        <v>#NUM!</v>
      </c>
      <c r="BY189" s="3" t="e">
        <f t="shared" ca="1" si="586"/>
        <v>#NUM!</v>
      </c>
      <c r="BZ189" s="83" t="e">
        <f t="shared" ca="1" si="587"/>
        <v>#NUM!</v>
      </c>
      <c r="CA189" s="83" t="e">
        <f t="shared" ca="1" si="586"/>
        <v>#NUM!</v>
      </c>
      <c r="CB189" s="3" t="e">
        <f t="shared" ca="1" si="588"/>
        <v>#NUM!</v>
      </c>
      <c r="CC189" s="3" t="e">
        <f t="shared" ca="1" si="586"/>
        <v>#NUM!</v>
      </c>
      <c r="CD189" s="3">
        <f>IF(RTD("tos.rtd",,CD$43,"."&amp;$B$134&amp;$AS$82&amp;"C"&amp;$A189)="N/A",0,RTD("tos.rtd",,CD$43,"."&amp;$B$134&amp;$AS$82&amp;"C"&amp;$A189))</f>
        <v>0.96</v>
      </c>
      <c r="CE189" s="3">
        <f>-IF(RTD("tos.rtd",,CE$43,"."&amp;$B$134&amp;$AS$82&amp;"P"&amp;$A189)="N/A",0,RTD("tos.rtd",,CE$43,"."&amp;$B$134&amp;$AS$82&amp;"P"&amp;$A189))</f>
        <v>0.01</v>
      </c>
      <c r="CF189" s="83">
        <f>IF(RTD("tos.rtd",,CF$2,"."&amp;$C$134&amp;$AU$82&amp;"C"&amp;$A189)="N/A",0,RTD("tos.rtd",,CF$2,"."&amp;$C$134&amp;$AU$82&amp;"C"&amp;$A189))</f>
        <v>1</v>
      </c>
      <c r="CG189" s="83">
        <f>-IF(RTD("tos.rtd",,CG$2,"."&amp;$C$134&amp;$AU$82&amp;"P"&amp;$A189)="N/A",0,RTD("tos.rtd",,CG$2,"."&amp;$C$134&amp;$AU$82&amp;"P"&amp;$A189))</f>
        <v>0</v>
      </c>
      <c r="CH189" s="3">
        <f>IF(RTD("tos.rtd",,CH$2,"."&amp;$D$134&amp;$AW$82&amp;"C"&amp;$A189)="N/A",0,RTD("tos.rtd",,CH$2,"."&amp;$D$134&amp;$AW$82&amp;"C"&amp;$A189))</f>
        <v>0.9</v>
      </c>
      <c r="CI189" s="3">
        <f>-IF(RTD("tos.rtd",,CI$2,"."&amp;$D$134&amp;$AW$82&amp;"P"&amp;$A189)="N/A",0,RTD("tos.rtd",,CI$2,"."&amp;$D$134&amp;$AW$82&amp;"P"&amp;$A189))</f>
        <v>0.11</v>
      </c>
      <c r="CK189" s="3">
        <f t="shared" si="660"/>
        <v>-6</v>
      </c>
      <c r="CL189" s="3"/>
      <c r="CM189" s="83">
        <f t="shared" si="661"/>
        <v>200</v>
      </c>
      <c r="CN189" s="83"/>
      <c r="CO189" s="3">
        <f t="shared" si="662"/>
        <v>1813.0000000000002</v>
      </c>
      <c r="CP189" s="3">
        <f t="shared" si="542"/>
        <v>2007.0000000000002</v>
      </c>
      <c r="CQ189" s="3">
        <f t="shared" si="552"/>
        <v>0</v>
      </c>
      <c r="CR189" s="3"/>
      <c r="CS189" s="83">
        <f t="shared" si="553"/>
        <v>-8</v>
      </c>
      <c r="CT189" s="83"/>
      <c r="CU189" s="3">
        <f t="shared" si="554"/>
        <v>-23</v>
      </c>
      <c r="CV189" s="3"/>
      <c r="CW189" s="3" t="e">
        <f t="shared" ca="1" si="555"/>
        <v>#NUM!</v>
      </c>
      <c r="CY189" s="3" t="e">
        <f t="shared" ca="1" si="556"/>
        <v>#NUM!</v>
      </c>
      <c r="CZ189" s="70" t="e">
        <f t="shared" ca="1" si="589"/>
        <v>#NUM!</v>
      </c>
      <c r="DA189" s="3">
        <f>IF(RTD("tos.rtd",,DA$43,"."&amp;$B$134&amp;$AS$82&amp;"C"&amp;$A189)="N/A",0,RTD("tos.rtd",,DA$43,"."&amp;$B$134&amp;$AS$82&amp;"C"&amp;$A189))</f>
        <v>789.46</v>
      </c>
      <c r="DB189" s="3">
        <f>IF(RTD("tos.rtd",,DB$43,"."&amp;$B$134&amp;$AS$82&amp;"P"&amp;$A189)="N/A",0,RTD("tos.rtd",,DB$43,"."&amp;$B$134&amp;$AS$82&amp;"P"&amp;$A189))</f>
        <v>0.05</v>
      </c>
      <c r="DC189" s="3">
        <f>IF(RTD("tos.rtd",,DC$43,"."&amp;$B$134&amp;$AS$82&amp;"C"&amp;$A189)="N/A",0,RTD("tos.rtd",,DC$43,"."&amp;$B$134&amp;$AS$82&amp;"C"&amp;$A189))</f>
        <v>860</v>
      </c>
      <c r="DD189" s="3">
        <f>IF(RTD("tos.rtd",,DD$43,"."&amp;$B$134&amp;$AS$82&amp;"P"&amp;$A189)="N/A",0,RTD("tos.rtd",,DD$43,"."&amp;$B$134&amp;$AS$82&amp;"P"&amp;$A189))</f>
        <v>2</v>
      </c>
      <c r="DE189" s="3">
        <f>IF(RTD("tos.rtd",,DE$43,"."&amp;$B$134&amp;$AS$82&amp;"C"&amp;$A189)="N/A",0,RTD("tos.rtd",,DE$43,"."&amp;$B$134&amp;$AS$82&amp;"C"&amp;$A189))</f>
        <v>780</v>
      </c>
      <c r="DF189" s="3">
        <f>IF(RTD("tos.rtd",,DF$43,"."&amp;$B$134&amp;$AS$82&amp;"P"&amp;$A189)="N/A",0,RTD("tos.rtd",,DF$43,"."&amp;$B$134&amp;$AS$82&amp;"P"&amp;$A189))</f>
        <v>0</v>
      </c>
      <c r="DG189" s="86">
        <f t="shared" si="590"/>
        <v>-811.44900000000052</v>
      </c>
      <c r="DH189" s="3">
        <f t="shared" si="557"/>
        <v>0</v>
      </c>
      <c r="DI189" s="3">
        <f t="shared" si="558"/>
        <v>0.47500000000000003</v>
      </c>
      <c r="DJ189" s="3">
        <f t="shared" ref="DJ189" si="666">IF(DA189&gt;=(DE189+(DC189-DE189)*0.6),(BA189-AP189),IF(DA189&lt;=(DE189+(DC189-DE189)*0.4),-(BA189-AP189),0))</f>
        <v>0</v>
      </c>
      <c r="DK189" s="3">
        <f t="shared" ref="DK189" si="667">IF(DB189&lt;=(DF189+(DD189-DF189)*0.4),-(BB189-AQ189),IF(DB189&gt;=(DF189+(DD189-DF189)*0.6),(BB189-AQ189),0))</f>
        <v>-19</v>
      </c>
      <c r="DL189" s="3">
        <f t="shared" si="561"/>
        <v>0.47500000000000003</v>
      </c>
      <c r="DM189" s="3">
        <f t="shared" si="562"/>
        <v>-19</v>
      </c>
      <c r="DN189" s="64" t="str">
        <f t="shared" si="563"/>
        <v>UNKNOWN</v>
      </c>
      <c r="DO189" s="64" t="str">
        <f t="shared" si="564"/>
        <v>UNKNOWN</v>
      </c>
      <c r="DP189" s="3">
        <f t="shared" si="565"/>
        <v>2.3750000000000004E-2</v>
      </c>
      <c r="DQ189" s="3">
        <f t="shared" si="566"/>
        <v>-0.95000000000000007</v>
      </c>
      <c r="DR189" s="83" t="e">
        <f t="shared" ca="1" si="567"/>
        <v>#NUM!</v>
      </c>
      <c r="DS189" s="83">
        <f t="shared" si="568"/>
        <v>-0.19</v>
      </c>
      <c r="DT189" s="3">
        <f t="shared" si="591"/>
        <v>0</v>
      </c>
      <c r="DU189" s="3">
        <f t="shared" si="592"/>
        <v>19</v>
      </c>
      <c r="DV189" s="3">
        <f t="shared" si="569"/>
        <v>0</v>
      </c>
      <c r="DW189" s="3">
        <f t="shared" si="570"/>
        <v>-12</v>
      </c>
      <c r="DX189" s="3" t="e">
        <f t="shared" ca="1" si="654"/>
        <v>#NUM!</v>
      </c>
      <c r="DY189" s="3" t="e">
        <f t="shared" ca="1" si="655"/>
        <v>#NUM!</v>
      </c>
      <c r="DZ189" s="83" t="e">
        <f t="shared" ca="1" si="656"/>
        <v>#NUM!</v>
      </c>
      <c r="EA189" s="83" t="e">
        <f t="shared" ca="1" si="657"/>
        <v>#NUM!</v>
      </c>
      <c r="EB189" s="3" t="e">
        <f t="shared" ca="1" si="658"/>
        <v>#NUM!</v>
      </c>
      <c r="EC189" s="3" t="e">
        <f t="shared" ca="1" si="659"/>
        <v>#NUM!</v>
      </c>
      <c r="ED189" s="63">
        <f t="shared" si="593"/>
        <v>-12</v>
      </c>
      <c r="EE189" s="59">
        <f t="shared" si="577"/>
        <v>3.1997</v>
      </c>
      <c r="EF189" s="59">
        <f t="shared" si="578"/>
        <v>2.3014000000000001</v>
      </c>
      <c r="EG189" s="84">
        <f t="shared" si="579"/>
        <v>0.25</v>
      </c>
      <c r="EH189" s="84">
        <f t="shared" si="580"/>
        <v>1.6306</v>
      </c>
      <c r="EI189" s="59">
        <f t="shared" si="581"/>
        <v>0.2913</v>
      </c>
      <c r="EJ189" s="59">
        <f t="shared" si="582"/>
        <v>0.3135</v>
      </c>
      <c r="EK189" s="63" t="e">
        <f t="shared" ca="1" si="594"/>
        <v>#NUM!</v>
      </c>
      <c r="EL189" s="3" t="str">
        <f>RTD("tos.rtd",,EL$43,"."&amp;$B$134&amp;$AS$82&amp;"C"&amp;$A189)</f>
        <v>319.97%</v>
      </c>
      <c r="EM189" s="3" t="str">
        <f>RTD("tos.rtd",,EM$43,"."&amp;$B$134&amp;$AS$82&amp;"P"&amp;$A189)</f>
        <v>230.14%</v>
      </c>
      <c r="EN189" s="83" t="str">
        <f>RTD("tos.rtd",,EN$2,"."&amp;$C$134&amp;$AU$82&amp;"C"&amp;$A189)</f>
        <v>--</v>
      </c>
      <c r="EO189" s="83" t="str">
        <f>RTD("tos.rtd",,EO$2,"."&amp;$C$134&amp;$AU$82&amp;"P"&amp;$A189)</f>
        <v>163.06%</v>
      </c>
      <c r="EP189" s="3" t="str">
        <f>RTD("tos.rtd",,EP$2,"."&amp;$D$134&amp;$AW$82&amp;"C"&amp;$A189)</f>
        <v>29.13%</v>
      </c>
      <c r="EQ189" s="3" t="str">
        <f>RTD("tos.rtd",,EQ$2,"."&amp;$D$134&amp;$AW$82&amp;"P"&amp;$A189)</f>
        <v>31.35%</v>
      </c>
      <c r="ES189" s="63" t="str">
        <f t="shared" si="583"/>
        <v>19250,-12.00</v>
      </c>
      <c r="ET189" s="63" t="str">
        <f t="shared" ca="1" si="584"/>
        <v>19250,00.00</v>
      </c>
      <c r="EU189" s="68">
        <v>563.61</v>
      </c>
      <c r="EV189" s="68" t="s">
        <v>1531</v>
      </c>
      <c r="EW189" s="68">
        <v>486.29</v>
      </c>
      <c r="EX189" s="68" t="s">
        <v>1532</v>
      </c>
      <c r="EY189" s="68">
        <v>5631.28</v>
      </c>
      <c r="EZ189" s="68" t="s">
        <v>1533</v>
      </c>
      <c r="FA189" s="68">
        <v>19867.973000000002</v>
      </c>
      <c r="FB189" s="68" t="s">
        <v>1534</v>
      </c>
      <c r="FC189" s="68" t="s">
        <v>1535</v>
      </c>
      <c r="FD189" s="68" t="s">
        <v>1536</v>
      </c>
      <c r="FE189" s="68" t="s">
        <v>1537</v>
      </c>
      <c r="FF189" s="68" t="s">
        <v>1538</v>
      </c>
    </row>
    <row r="190" spans="1:162" ht="13.5" thickBot="1" x14ac:dyDescent="0.25">
      <c r="A190" s="56"/>
      <c r="C190" s="35"/>
      <c r="D190" s="35"/>
      <c r="E190" s="35"/>
      <c r="F190" s="57"/>
      <c r="BH190" s="1">
        <f ca="1">MIN(BH137:BH189)</f>
        <v>-2763</v>
      </c>
      <c r="BI190" s="1">
        <f ca="1">IFERROR(IF(MIN(BH137:BH189)&lt;&gt;0,INDEX(A137:A189,MATCH(MIN(BH137:BH189),BH137:BH189,0)),""),"")</f>
        <v>19800</v>
      </c>
      <c r="BP190" s="64" t="e">
        <f ca="1">INDEX(BQ190:BU190,MATCH(MAX(BQ136:BU136),BQ136:BU136,0))</f>
        <v>#NUM!</v>
      </c>
      <c r="BQ190" s="1" t="e">
        <f ca="1">IF(AND(BQ136&gt;0,ABS(MAX(BQ137:BQ189))&gt;ABS(MIN(BQ137:BQ189))),IF(MAX(BQ137:BQ189)&lt;&gt;0,INDEX($A137:$A189,MATCH(MAX(BQ137:BQ189),BQ137:BQ189,0)),""),"")</f>
        <v>#NUM!</v>
      </c>
      <c r="BS190" s="1" t="e">
        <f ca="1">IF(AND(BS136&gt;0,ABS(MAX(BS137:BS189))&gt;ABS(MIN(BS137:BS189))),IF(MAX(BS137:BS189)&lt;&gt;0,INDEX($A137:$A189,MATCH(MAX(BS137:BS189),BS137:BS189,0)),""),"")</f>
        <v>#NUM!</v>
      </c>
      <c r="BU190" s="1" t="e">
        <f ca="1">IF(AND(BU136&gt;0,ABS(MAX(BU137:BU189))&gt;ABS(MIN(BU137:BU189))),IF(MAX(BU137:BU189)&lt;&gt;0,INDEX($A137:$A189,MATCH(MAX(BU137:BU189),BU137:BU189,0)),""),"")</f>
        <v>#NUM!</v>
      </c>
      <c r="BW190" s="64" t="e">
        <f ca="1">INDEX(BX190:CB190,MATCH(MAX(BX136:CB136),BX136:CB136,0))</f>
        <v>#NUM!</v>
      </c>
      <c r="BX190" s="1" t="e">
        <f ca="1">IF(AND(BX136&gt;0,ABS(MAX(BX137:BX189))&gt;ABS(MIN(BX137:BX189))),IF(MAX(BX137:BX189)&lt;&gt;0,INDEX($A137:$A189,MATCH(MAX(BX137:BX189),BX137:BX189,0)),""),"")</f>
        <v>#NUM!</v>
      </c>
      <c r="BY190" s="1" t="e">
        <f ca="1">INDEX($A$137:$A$189,MATCH("Cruce -",BY137:BY189,)+1)</f>
        <v>#N/A</v>
      </c>
      <c r="BZ190" s="1" t="e">
        <f ca="1">IF(AND(BZ136&gt;0,ABS(MAX(BZ137:BZ189))&gt;ABS(MIN(BZ137:BZ189))),IF(MAX(BZ137:BZ189)&lt;&gt;0,INDEX($A137:$A189,MATCH(MAX(BZ137:BZ189),BZ137:BZ189,0)),""),"")</f>
        <v>#NUM!</v>
      </c>
      <c r="CB190" s="1" t="e">
        <f ca="1">IF(AND(CB136&gt;0,ABS(MAX(CB137:CB189))&gt;ABS(MIN(CB137:CB189))),IF(MAX(CB137:CB189)&lt;&gt;0,INDEX($A137:$A189,MATCH(MAX(CB137:CB189),CB137:CB189,0)),""),"")</f>
        <v>#NUM!</v>
      </c>
      <c r="CJ190" s="64">
        <f>INDEX(CK190:CO190,MATCH(MAX(CK136:CO136),CK136:CO136,0))</f>
        <v>19475</v>
      </c>
      <c r="CK190" s="1">
        <f>IF(AND(CK136&gt;0,ABS(MAX(CK137:CK189))&gt;ABS(MIN(CK137:CK189))),IF(MAX(CK137:CK189)&lt;&gt;0,INDEX($A137:$A189,MATCH(MAX(CK137:CK189),CK137:CK189,0)),""),"")</f>
        <v>19900</v>
      </c>
      <c r="CM190" s="1">
        <f>IF(AND(CM136&gt;0,ABS(MAX(CM137:CM189))&gt;ABS(MIN(CM137:CM189))),IF(MAX(CM137:CM189)&lt;&gt;0,INDEX($A137:$A189,MATCH(MAX(CM137:CM189),CM137:CM189,0)),""),"")</f>
        <v>19650</v>
      </c>
      <c r="CO190" s="1">
        <f>IF(AND(CO136&gt;0,ABS(MAX(CO137:CO189))&gt;ABS(MIN(CO137:CO189))),IF(MAX(CO137:CO189)&lt;&gt;0,INDEX($A137:$A189,MATCH(MAX(CO137:CO189),CO137:CO189,0)),""),"")</f>
        <v>19475</v>
      </c>
      <c r="CP190" s="1">
        <f>IF(ABS(MAX(CP137:CP189))&gt;ABS(MIN(CP137:CP189)),IF(MAX(CP137:CP189)&lt;&gt;0,INDEX($A137:$A189,MATCH(MAX(CP137:CP189),CP137:CP189,0)),""),"")</f>
        <v>19475</v>
      </c>
      <c r="CW190" s="1" t="e">
        <f ca="1">IF(AND(CW136&gt;0,ABS(MAX(CW137:CW189))&gt;ABS(MIN(CW137:CW189))),IF(MAX(CW137:CW189)&lt;&gt;0,INDEX($A137:$A189,MATCH(MAX(CW137:CW189),CW137:CW189,0)),""),"")</f>
        <v>#NUM!</v>
      </c>
      <c r="CY190" s="1" t="e">
        <f ca="1">IF(AND(CY136&gt;0,ABS(MAX(CY137:CY189))&gt;ABS(MIN(CY137:CY189))),IF(MAX(CY137:CY189)&lt;&gt;0,INDEX($A137:$A189,MATCH(MAX(CY137:CY189),CY137:CY189,0)),""),"")</f>
        <v>#NUM!</v>
      </c>
      <c r="DH190" s="1" t="str">
        <f t="shared" ref="DH190:DM190" si="668">IF(AND(DH136&gt;0,ABS(MAX(DH137:DH189))&gt;ABS(MIN(DH137:DH189))),IF(MAX(DH137:DH189)&lt;&gt;0,INDEX($A137:$A189,MATCH(MAX(DH137:DH189),DH137:DH189,0)),""),"")</f>
        <v/>
      </c>
      <c r="DI190" s="1">
        <f t="shared" si="668"/>
        <v>19950</v>
      </c>
      <c r="DJ190" s="89" t="str">
        <f>IF(AND(ABS(MAX(DJ137:DJ189))&gt;$DG$135,ABS(INDEX($DG$137:$DG$189,MATCH(MAX(DJ137:DJ189),DJ137:DJ189,0)))&lt;25,1),IF(MAX(DJ137:DJ189)&lt;&gt;0,INDEX($A137:$A189,MATCH(MAX(DJ137:DJ189),DJ137:DJ189,0)),""),"")</f>
        <v/>
      </c>
      <c r="DK190" s="89" t="str">
        <f>IF(AND(ABS(MAX(DK137:DK189))&gt;$DG$135,ABS(INDEX($DG$137:$DG$189,MATCH(MAX(DK137:DK189),DK137:DK189,0)))&lt;25,1),IF(MAX(DK137:DK189)&lt;&gt;0,INDEX($A137:$A189,MATCH(MAX(DK137:DK189),DK137:DK189,0)),""),"")</f>
        <v/>
      </c>
      <c r="DL190" s="1" t="str">
        <f t="shared" si="668"/>
        <v/>
      </c>
      <c r="DM190" s="1">
        <f t="shared" si="668"/>
        <v>20400</v>
      </c>
      <c r="DN190" s="64" t="str">
        <f>DJ190&amp;","&amp;DJ191&amp;","&amp;DK190&amp;","&amp;DK191</f>
        <v>,,,</v>
      </c>
      <c r="DP190" s="1" t="str">
        <f>IF(AND(DP136&gt;0,ABS(MAX(DP137:DP189))&gt;ABS(MIN(DP137:DP189))),IF(MAX(DP137:DP189)&lt;&gt;0,INDEX($A137:$A189,MATCH(MAX(DP137:DP189),DP137:DP189,0)),""),"")</f>
        <v/>
      </c>
      <c r="DQ190" s="1" t="str">
        <f>IF(AND(DQ136&gt;0,ABS(MAX(DQ137:DQ189))&gt;ABS(MIN(DQ137:DQ189))),IF(MAX(DQ137:DQ189)&lt;&gt;0,INDEX($A137:$A189,MATCH(MAX(DQ137:DQ189),DQ137:DQ189,0)),""),"")</f>
        <v/>
      </c>
      <c r="DR190" s="1" t="e">
        <f ca="1">IF(AND(DR136&gt;0,ABS(MAX(DR137:DR189))&gt;ABS(MIN(DR137:DR189))),IF(MAX(DR137:DR189)&lt;&gt;0,INDEX($A137:$A189,MATCH(MAX(DR137:DR189),DR137:DR189,0)),""),"")</f>
        <v>#NUM!</v>
      </c>
      <c r="ED190" s="103">
        <f>IFERROR(IF(MAX(ED137:ED189)&lt;&gt;0,INDEX($A137:$A189,MATCH(MAX(ED137:ED189),ED137:ED189,0)),""),"")</f>
        <v>19500</v>
      </c>
      <c r="EU190" s="68">
        <v>563.71</v>
      </c>
      <c r="EV190" s="68" t="s">
        <v>1539</v>
      </c>
      <c r="EW190" s="68">
        <v>486.39</v>
      </c>
      <c r="EX190" s="68" t="s">
        <v>1540</v>
      </c>
      <c r="EY190" s="68">
        <v>5631.28</v>
      </c>
      <c r="EZ190" s="68" t="s">
        <v>1541</v>
      </c>
      <c r="FA190" s="68">
        <v>19867.973000000002</v>
      </c>
      <c r="FB190" s="68" t="s">
        <v>1542</v>
      </c>
      <c r="FC190" s="68" t="s">
        <v>1543</v>
      </c>
      <c r="FD190" s="68" t="s">
        <v>1544</v>
      </c>
      <c r="FE190" s="68" t="s">
        <v>1545</v>
      </c>
      <c r="FF190" s="68" t="s">
        <v>1546</v>
      </c>
    </row>
    <row r="191" spans="1:162" x14ac:dyDescent="0.2">
      <c r="BP191" s="64" t="e">
        <f ca="1">INDEX(BQ191:BU191,MATCH(MIN(BQ136:BU136),BQ136:BU136,0))</f>
        <v>#NUM!</v>
      </c>
      <c r="BQ191" s="1" t="e">
        <f ca="1">IF(AND(BQ136&lt;0,ABS(MIN(BQ137:BQ189))&gt;ABS(MAX(BQ137:BQ189))),IF(MIN(BQ137:BQ189)&lt;&gt;0,INDEX($A137:$A189,MATCH(MIN(BQ137:BQ189),BQ137:BQ189,0)),""),"")</f>
        <v>#NUM!</v>
      </c>
      <c r="BS191" s="1" t="e">
        <f ca="1">IF(AND(BS136&lt;0,ABS(MIN(BS137:BS189))&gt;ABS(MAX(BS137:BS189))),IF(MIN(BS137:BS189)&lt;&gt;0,INDEX($A137:$A189,MATCH(MIN(BS137:BS189),BS137:BS189,0)),""),"")</f>
        <v>#NUM!</v>
      </c>
      <c r="BU191" s="1" t="e">
        <f ca="1">IF(AND(BU136&lt;0,ABS(MIN(BU137:BU189))&gt;ABS(MAX(BU137:BU189))),IF(MIN(BU137:BU189)&lt;&gt;0,INDEX($A137:$A189,MATCH(MIN(BU137:BU189),BU137:BU189,0)),""),"")</f>
        <v>#NUM!</v>
      </c>
      <c r="BW191" s="64" t="e">
        <f ca="1">INDEX(BX191:CB191,MATCH(MIN(BX136:CB136),BX136:CB136,0))</f>
        <v>#NUM!</v>
      </c>
      <c r="BX191" s="1" t="e">
        <f ca="1">IF(AND(BX136&lt;0,ABS(MIN(BX137:BX189))&gt;ABS(MAX(BX137:BX189))),IF(MIN(BX137:BX189)&lt;&gt;0,INDEX($A137:$A189,MATCH(MIN(BX137:BX189),BX137:BX189,0)),""),"")</f>
        <v>#NUM!</v>
      </c>
      <c r="BY191" s="1" t="e">
        <f ca="1">INDEX($A$137:$A$189,MATCH("Cruce -",BY137:BY189,)-1)</f>
        <v>#N/A</v>
      </c>
      <c r="BZ191" s="1" t="e">
        <f ca="1">IF(AND(BZ136&lt;0,ABS(MIN(BZ137:BZ189))&gt;ABS(MAX(BZ137:BZ189))),IF(MIN(BZ137:BZ189)&lt;&gt;0,INDEX($A137:$A189,MATCH(MIN(BZ137:BZ189),BZ137:BZ189,0)),""),"")</f>
        <v>#NUM!</v>
      </c>
      <c r="CB191" s="1" t="e">
        <f ca="1">IF(AND(CB136&lt;0,ABS(MIN(CB137:CB189))&gt;ABS(MAX(CB137:CB189))),IF(MIN(CB137:CB189)&lt;&gt;0,INDEX($A137:$A189,MATCH(MIN(CB137:CB189),CB137:CB189,0)),""),"")</f>
        <v>#NUM!</v>
      </c>
      <c r="CJ191" s="64" t="str">
        <f>INDEX(CK191:CO191,MATCH(MIN(CK136:CO136),CK136:CO136,0))</f>
        <v/>
      </c>
      <c r="CK191" s="1" t="str">
        <f>IF(AND(CK136&lt;0,ABS(MIN(CK137:CK189))&gt;ABS(MAX(CK137:CK189))),IF(MIN(CK137:CK189)&lt;&gt;0,INDEX($A137:$A189,MATCH(MIN(CK137:CK189),CK137:CK189,0)),""),"")</f>
        <v/>
      </c>
      <c r="CM191" s="1" t="str">
        <f>IF(AND(CM136&lt;0,ABS(MIN(CM137:CM189))&gt;ABS(MAX(CM137:CM189))),IF(MIN(CM137:CM189)&lt;&gt;0,INDEX($A137:$A189,MATCH(MIN(CM137:CM189),CM137:CM189,0)),""),"")</f>
        <v/>
      </c>
      <c r="CO191" s="1" t="str">
        <f>IF(AND(CO136&lt;0,ABS(MIN(CO137:CO189))&gt;ABS(MAX(CO137:CO189))),IF(MIN(CO137:CO189)&lt;&gt;0,INDEX($A137:$A189,MATCH(MIN(CO137:CO189),CO137:CO189,0)),""),"")</f>
        <v/>
      </c>
      <c r="CP191" s="1" t="str">
        <f>IF(ABS(MIN(CP137:CP189))&gt;ABS(MAX(CP137:CP189)),IF(MIN(CP137:CP189)&lt;&gt;0,INDEX($A137:$A189,MATCH(MIN(CP137:CP189),CP137:CP189,0)),""),"")</f>
        <v/>
      </c>
      <c r="CW191" s="1" t="e">
        <f ca="1">IF(AND(CW136&lt;0,ABS(MIN(CW137:CW189))&gt;ABS(MAX(CW137:CW189))),IF(MIN(CW137:CW189)&lt;&gt;0,INDEX($A137:$A189,MATCH(MIN(CW137:CW189),CW137:CW189,0)),""),"")</f>
        <v>#NUM!</v>
      </c>
      <c r="CY191" s="1" t="e">
        <f ca="1">IF(AND(CY136&lt;0,ABS(MIN(CY137:CY189))&gt;ABS(MAX(CY137:CY189))),IF(MIN(CY137:CY189)&lt;&gt;0,INDEX($A137:$A189,MATCH(MIN(CY137:CY189),CY137:CY189,0)),""),"")</f>
        <v>#NUM!</v>
      </c>
      <c r="DH191" s="1">
        <f t="shared" ref="DH191:DM191" si="669">IF(AND(DH136&lt;0,ABS(MIN(DH137:DH189))&gt;ABS(MAX(DH137:DH189))),IF(MIN(DH137:DH189)&lt;&gt;0,INDEX($A137:$A189,MATCH(MIN(DH137:DH189),DH137:DH189,0)),""),"")</f>
        <v>20000</v>
      </c>
      <c r="DI191" s="1" t="str">
        <f t="shared" si="669"/>
        <v/>
      </c>
      <c r="DJ191" s="89" t="str">
        <f>IF(AND(ABS(MIN(DJ137:DJ189))&gt;$DG$135,ABS(INDEX($DG$137:$DG$189,MATCH(MIN(DJ137:DJ189),DJ137:DJ189,0)))&lt;25,1),IF(MIN(DJ137:DJ189)&lt;&gt;0,INDEX($A137:$A189,MATCH(MIN(DJ137:DJ189),DJ137:DJ189,0)),""),"")</f>
        <v/>
      </c>
      <c r="DK191" s="89" t="str">
        <f>IF(AND(ABS(MIN(DK137:DK189))&gt;$DG$135,ABS(INDEX($DG$137:$DG$189,MATCH(MIN(DK137:DK189),DK137:DK189,0)))&lt;25,1),IF(MIN(DK137:DK189)&lt;&gt;0,INDEX($A137:$A189,MATCH(MIN(DK137:DK189),DK137:DK189,0)),""),"")</f>
        <v/>
      </c>
      <c r="DL191" s="1" t="str">
        <f t="shared" si="669"/>
        <v/>
      </c>
      <c r="DM191" s="1" t="str">
        <f t="shared" si="669"/>
        <v/>
      </c>
      <c r="DN191" s="64" t="str">
        <f ca="1">BI134&amp;","&amp;BI190&amp;","&amp;ED190&amp;","&amp;ED191</f>
        <v>20200,19800,19500,20500</v>
      </c>
      <c r="DP191" s="1">
        <f>IF(AND(DP136&lt;0,ABS(MIN(DP137:DP189))&gt;ABS(MAX(DP137:DP189))),IF(MIN(DP137:DP189)&lt;&gt;0,INDEX($A137:$A189,MATCH(MIN(DP137:DP189),DP137:DP189,0)),""),"")</f>
        <v>20000</v>
      </c>
      <c r="DQ191" s="1">
        <f>IF(AND(DQ136&lt;0,ABS(MIN(DQ137:DQ189))&gt;ABS(MAX(DQ137:DQ189))),IF(MIN(DQ137:DQ189)&lt;&gt;0,INDEX($A137:$A189,MATCH(MIN(DQ137:DQ189),DQ137:DQ189,0)),""),"")</f>
        <v>20200</v>
      </c>
      <c r="DR191" s="1" t="e">
        <f ca="1">IF(AND(DR136&lt;0,ABS(MIN(DR137:DR189))&gt;ABS(MAX(DR137:DR189))),IF(MIN(DR137:DR189)&lt;&gt;0,INDEX($A137:$A189,MATCH(MIN(DR137:DR189),DR137:DR189,0)),""),"")</f>
        <v>#NUM!</v>
      </c>
      <c r="ED191" s="103">
        <f>IFERROR(IF(MIN(ED137:ED189)&lt;&gt;0,INDEX($A137:$A189,MATCH(MIN(ED137:ED189),ED137:ED189,0)),""),"")</f>
        <v>20500</v>
      </c>
      <c r="EU191" s="68">
        <v>563.66</v>
      </c>
      <c r="EV191" s="68" t="s">
        <v>1547</v>
      </c>
      <c r="EW191" s="68">
        <v>486.47</v>
      </c>
      <c r="EX191" s="68" t="s">
        <v>1548</v>
      </c>
      <c r="EY191" s="68">
        <v>5631.28</v>
      </c>
      <c r="EZ191" s="68" t="s">
        <v>1549</v>
      </c>
      <c r="FA191" s="68">
        <v>19867.973000000002</v>
      </c>
      <c r="FB191" s="68" t="s">
        <v>1550</v>
      </c>
      <c r="FC191" s="68" t="s">
        <v>1551</v>
      </c>
      <c r="FD191" s="68" t="s">
        <v>1552</v>
      </c>
      <c r="FE191" s="68" t="s">
        <v>1553</v>
      </c>
      <c r="FF191" s="68" t="s">
        <v>1554</v>
      </c>
    </row>
    <row r="192" spans="1:162" x14ac:dyDescent="0.2">
      <c r="ET192" s="64">
        <v>250410</v>
      </c>
      <c r="EU192" s="68">
        <v>563.70000000000005</v>
      </c>
      <c r="EV192" s="68" t="s">
        <v>1555</v>
      </c>
      <c r="EW192" s="68">
        <v>486.49</v>
      </c>
      <c r="EX192" s="68" t="s">
        <v>1556</v>
      </c>
      <c r="EY192" s="68">
        <v>5631.28</v>
      </c>
      <c r="EZ192" s="68" t="s">
        <v>1557</v>
      </c>
      <c r="FA192" s="68">
        <v>19867.973000000002</v>
      </c>
      <c r="FB192" s="68" t="s">
        <v>1558</v>
      </c>
      <c r="FC192" s="68" t="s">
        <v>1559</v>
      </c>
      <c r="FD192" s="68" t="s">
        <v>1560</v>
      </c>
      <c r="FE192" s="68" t="s">
        <v>1561</v>
      </c>
      <c r="FF192" s="68" t="s">
        <v>1562</v>
      </c>
    </row>
    <row r="193" spans="151:162" x14ac:dyDescent="0.2">
      <c r="EU193" s="67">
        <v>563.80999999999995</v>
      </c>
      <c r="EV193" s="67" t="s">
        <v>1563</v>
      </c>
      <c r="EW193" s="67">
        <v>486.61</v>
      </c>
      <c r="EX193" s="67" t="s">
        <v>1564</v>
      </c>
      <c r="EY193" s="67">
        <v>5631.28</v>
      </c>
      <c r="EZ193" s="67" t="s">
        <v>1565</v>
      </c>
      <c r="FA193" s="67">
        <v>19867.973000000002</v>
      </c>
      <c r="FB193" s="67" t="s">
        <v>1566</v>
      </c>
      <c r="FC193" s="67" t="s">
        <v>1567</v>
      </c>
      <c r="FD193" s="67" t="s">
        <v>1568</v>
      </c>
      <c r="FE193" s="68" t="s">
        <v>1569</v>
      </c>
      <c r="FF193" s="68" t="s">
        <v>1570</v>
      </c>
    </row>
    <row r="194" spans="151:162" x14ac:dyDescent="0.2">
      <c r="EU194" s="67">
        <v>563.71</v>
      </c>
      <c r="EV194" s="67" t="s">
        <v>1571</v>
      </c>
      <c r="EW194" s="67">
        <v>486.49</v>
      </c>
      <c r="EX194" s="67" t="s">
        <v>1572</v>
      </c>
      <c r="EY194" s="67">
        <v>5631.28</v>
      </c>
      <c r="EZ194" s="67" t="s">
        <v>1573</v>
      </c>
      <c r="FA194" s="67">
        <v>19867.973000000002</v>
      </c>
      <c r="FB194" s="67" t="s">
        <v>1574</v>
      </c>
      <c r="FC194" s="67" t="s">
        <v>1575</v>
      </c>
      <c r="FD194" s="67" t="s">
        <v>1576</v>
      </c>
      <c r="FE194" s="68" t="s">
        <v>1577</v>
      </c>
      <c r="FF194" s="68" t="s">
        <v>1578</v>
      </c>
    </row>
    <row r="195" spans="151:162" x14ac:dyDescent="0.2">
      <c r="EU195" s="67">
        <v>563.66999999999996</v>
      </c>
      <c r="EV195" s="67" t="s">
        <v>1579</v>
      </c>
      <c r="EW195" s="67">
        <v>486.45</v>
      </c>
      <c r="EX195" s="67" t="s">
        <v>1580</v>
      </c>
      <c r="EY195" s="67">
        <v>5631.28</v>
      </c>
      <c r="EZ195" s="67" t="s">
        <v>1581</v>
      </c>
      <c r="FA195" s="67">
        <v>19867.973000000002</v>
      </c>
      <c r="FB195" s="67" t="s">
        <v>1582</v>
      </c>
      <c r="FC195" s="67" t="s">
        <v>1583</v>
      </c>
      <c r="FD195" s="67" t="s">
        <v>1584</v>
      </c>
      <c r="FE195" s="68" t="s">
        <v>1585</v>
      </c>
      <c r="FF195" s="68" t="s">
        <v>1586</v>
      </c>
    </row>
    <row r="196" spans="151:162" x14ac:dyDescent="0.2">
      <c r="EU196" s="67">
        <v>563.61</v>
      </c>
      <c r="EV196" s="67" t="s">
        <v>1587</v>
      </c>
      <c r="EW196" s="67">
        <v>486.33</v>
      </c>
      <c r="EX196" s="67" t="s">
        <v>1588</v>
      </c>
      <c r="EY196" s="67">
        <v>5631.28</v>
      </c>
      <c r="EZ196" s="67" t="s">
        <v>1589</v>
      </c>
      <c r="FA196" s="67">
        <v>19867.973000000002</v>
      </c>
      <c r="FB196" s="67" t="s">
        <v>1590</v>
      </c>
      <c r="FC196" s="67" t="s">
        <v>1591</v>
      </c>
      <c r="FD196" s="67" t="s">
        <v>1592</v>
      </c>
      <c r="FE196" s="68" t="s">
        <v>1593</v>
      </c>
      <c r="FF196" s="68" t="s">
        <v>1594</v>
      </c>
    </row>
    <row r="197" spans="151:162" x14ac:dyDescent="0.2">
      <c r="EU197" s="67">
        <v>563.69000000000005</v>
      </c>
      <c r="EV197" s="67" t="s">
        <v>1595</v>
      </c>
      <c r="EW197" s="67">
        <v>486.5</v>
      </c>
      <c r="EX197" s="67" t="s">
        <v>1596</v>
      </c>
      <c r="EY197" s="67">
        <v>5631.28</v>
      </c>
      <c r="EZ197" s="67" t="s">
        <v>1597</v>
      </c>
      <c r="FA197" s="67">
        <v>19867.973000000002</v>
      </c>
      <c r="FB197" s="67" t="s">
        <v>1598</v>
      </c>
      <c r="FC197" s="67" t="s">
        <v>1599</v>
      </c>
      <c r="FD197" s="67" t="s">
        <v>1600</v>
      </c>
      <c r="FE197" s="68" t="s">
        <v>1601</v>
      </c>
      <c r="FF197" s="68" t="s">
        <v>1602</v>
      </c>
    </row>
    <row r="198" spans="151:162" x14ac:dyDescent="0.2">
      <c r="EU198" s="67">
        <v>563.66</v>
      </c>
      <c r="EV198" s="67" t="s">
        <v>1603</v>
      </c>
      <c r="EW198" s="67">
        <v>486.43</v>
      </c>
      <c r="EX198" s="67" t="s">
        <v>1604</v>
      </c>
      <c r="EY198" s="67">
        <v>5631.28</v>
      </c>
      <c r="EZ198" s="67" t="s">
        <v>1605</v>
      </c>
      <c r="FA198" s="67">
        <v>19867.973000000002</v>
      </c>
      <c r="FB198" s="67" t="s">
        <v>1606</v>
      </c>
      <c r="FC198" s="67" t="s">
        <v>1607</v>
      </c>
      <c r="FD198" s="67" t="s">
        <v>1608</v>
      </c>
      <c r="FE198" s="68" t="s">
        <v>1609</v>
      </c>
      <c r="FF198" s="68" t="s">
        <v>1610</v>
      </c>
    </row>
    <row r="199" spans="151:162" x14ac:dyDescent="0.2">
      <c r="EU199" s="67">
        <v>563.71</v>
      </c>
      <c r="EV199" s="67" t="s">
        <v>1611</v>
      </c>
      <c r="EW199" s="67">
        <v>486.42</v>
      </c>
      <c r="EX199" s="67" t="s">
        <v>1612</v>
      </c>
      <c r="EY199" s="67">
        <v>5631.28</v>
      </c>
      <c r="EZ199" s="67" t="s">
        <v>1613</v>
      </c>
      <c r="FA199" s="67">
        <v>19867.973000000002</v>
      </c>
      <c r="FB199" s="67" t="s">
        <v>1614</v>
      </c>
      <c r="FC199" s="67" t="s">
        <v>1615</v>
      </c>
      <c r="FD199" s="67" t="s">
        <v>1616</v>
      </c>
      <c r="FE199" s="68" t="s">
        <v>1617</v>
      </c>
      <c r="FF199" s="68" t="s">
        <v>1618</v>
      </c>
    </row>
    <row r="200" spans="151:162" x14ac:dyDescent="0.2">
      <c r="EU200" s="67">
        <v>563.69000000000005</v>
      </c>
      <c r="EV200" s="67" t="s">
        <v>1619</v>
      </c>
      <c r="EW200" s="67">
        <v>486.38</v>
      </c>
      <c r="EX200" s="67" t="s">
        <v>1620</v>
      </c>
      <c r="EY200" s="67">
        <v>5631.28</v>
      </c>
      <c r="EZ200" s="67" t="s">
        <v>1621</v>
      </c>
      <c r="FA200" s="67">
        <v>19867.973000000002</v>
      </c>
      <c r="FB200" s="67" t="s">
        <v>1622</v>
      </c>
      <c r="FC200" s="67" t="s">
        <v>1623</v>
      </c>
      <c r="FD200" s="67" t="s">
        <v>1624</v>
      </c>
      <c r="FE200" s="68" t="s">
        <v>1625</v>
      </c>
      <c r="FF200" s="68" t="s">
        <v>1626</v>
      </c>
    </row>
    <row r="201" spans="151:162" x14ac:dyDescent="0.2">
      <c r="EU201" s="67">
        <v>563.65</v>
      </c>
      <c r="EV201" s="67" t="s">
        <v>1627</v>
      </c>
      <c r="EW201" s="67">
        <v>486.35</v>
      </c>
      <c r="EX201" s="67" t="s">
        <v>1628</v>
      </c>
      <c r="EY201" s="67">
        <v>5631.28</v>
      </c>
      <c r="EZ201" s="67" t="s">
        <v>1629</v>
      </c>
      <c r="FA201" s="67">
        <v>19867.973000000002</v>
      </c>
      <c r="FB201" s="67" t="s">
        <v>1630</v>
      </c>
      <c r="FC201" s="67" t="s">
        <v>1631</v>
      </c>
      <c r="FD201" s="67" t="s">
        <v>1632</v>
      </c>
      <c r="FE201" s="68" t="s">
        <v>1633</v>
      </c>
      <c r="FF201" s="68" t="s">
        <v>1634</v>
      </c>
    </row>
    <row r="202" spans="151:162" x14ac:dyDescent="0.2">
      <c r="EU202" s="67">
        <v>563.78</v>
      </c>
      <c r="EV202" s="67" t="s">
        <v>1635</v>
      </c>
      <c r="EW202" s="67">
        <v>486.48</v>
      </c>
      <c r="EX202" s="67" t="s">
        <v>1636</v>
      </c>
      <c r="EY202" s="67">
        <v>5631.28</v>
      </c>
      <c r="EZ202" s="67" t="s">
        <v>1637</v>
      </c>
      <c r="FA202" s="67">
        <v>19867.973000000002</v>
      </c>
      <c r="FB202" s="67" t="s">
        <v>1638</v>
      </c>
      <c r="FC202" s="67" t="s">
        <v>1639</v>
      </c>
      <c r="FD202" s="67" t="s">
        <v>1640</v>
      </c>
      <c r="FE202" s="68" t="s">
        <v>1641</v>
      </c>
      <c r="FF202" s="68" t="s">
        <v>1642</v>
      </c>
    </row>
    <row r="203" spans="151:162" x14ac:dyDescent="0.2">
      <c r="EU203" s="67">
        <v>563.87</v>
      </c>
      <c r="EV203" s="67" t="s">
        <v>1643</v>
      </c>
      <c r="EW203" s="67">
        <v>486.63</v>
      </c>
      <c r="EX203" s="67" t="s">
        <v>1644</v>
      </c>
      <c r="EY203" s="67">
        <v>5631.28</v>
      </c>
      <c r="EZ203" s="67" t="s">
        <v>1645</v>
      </c>
      <c r="FA203" s="67">
        <v>19867.973000000002</v>
      </c>
      <c r="FB203" s="67" t="s">
        <v>1646</v>
      </c>
      <c r="FC203" s="67" t="s">
        <v>1647</v>
      </c>
      <c r="FD203" s="67" t="s">
        <v>1648</v>
      </c>
      <c r="FE203" s="68" t="s">
        <v>1649</v>
      </c>
      <c r="FF203" s="68" t="s">
        <v>1650</v>
      </c>
    </row>
    <row r="204" spans="151:162" x14ac:dyDescent="0.2">
      <c r="EU204" s="67">
        <v>563.88</v>
      </c>
      <c r="EV204" s="67" t="s">
        <v>1651</v>
      </c>
      <c r="EW204" s="67">
        <v>486.59</v>
      </c>
      <c r="EX204" s="67" t="s">
        <v>1652</v>
      </c>
      <c r="EY204" s="67">
        <v>5631.28</v>
      </c>
      <c r="EZ204" s="67" t="s">
        <v>1653</v>
      </c>
      <c r="FA204" s="67">
        <v>19867.973000000002</v>
      </c>
      <c r="FB204" s="67" t="s">
        <v>1654</v>
      </c>
      <c r="FC204" s="67" t="s">
        <v>1655</v>
      </c>
      <c r="FD204" s="67" t="s">
        <v>1656</v>
      </c>
      <c r="FE204" s="68" t="s">
        <v>1657</v>
      </c>
      <c r="FF204" s="68" t="s">
        <v>1658</v>
      </c>
    </row>
    <row r="205" spans="151:162" x14ac:dyDescent="0.2">
      <c r="EU205" s="67">
        <v>563.80999999999995</v>
      </c>
      <c r="EV205" s="67" t="s">
        <v>1659</v>
      </c>
      <c r="EW205" s="67">
        <v>486.47</v>
      </c>
      <c r="EX205" s="67" t="s">
        <v>1660</v>
      </c>
      <c r="EY205" s="67">
        <v>5631.28</v>
      </c>
      <c r="EZ205" s="67" t="s">
        <v>1661</v>
      </c>
      <c r="FA205" s="67">
        <v>19867.973000000002</v>
      </c>
      <c r="FB205" s="67" t="s">
        <v>1662</v>
      </c>
      <c r="FC205" s="67" t="s">
        <v>1663</v>
      </c>
      <c r="FD205" s="67" t="s">
        <v>1664</v>
      </c>
      <c r="FE205" s="68" t="s">
        <v>1665</v>
      </c>
      <c r="FF205" s="68" t="s">
        <v>1666</v>
      </c>
    </row>
    <row r="206" spans="151:162" x14ac:dyDescent="0.2">
      <c r="EU206" s="67">
        <v>563.88</v>
      </c>
      <c r="EV206" s="67" t="s">
        <v>1667</v>
      </c>
      <c r="EW206" s="67">
        <v>486.54</v>
      </c>
      <c r="EX206" s="67" t="s">
        <v>1668</v>
      </c>
      <c r="EY206" s="67">
        <v>5631.28</v>
      </c>
      <c r="EZ206" s="67" t="s">
        <v>1669</v>
      </c>
      <c r="FA206" s="67">
        <v>19867.973000000002</v>
      </c>
      <c r="FB206" s="67" t="s">
        <v>1670</v>
      </c>
      <c r="FC206" s="67" t="s">
        <v>1671</v>
      </c>
      <c r="FD206" s="67" t="s">
        <v>1672</v>
      </c>
      <c r="FE206" s="68" t="s">
        <v>1673</v>
      </c>
      <c r="FF206" s="68" t="s">
        <v>1674</v>
      </c>
    </row>
    <row r="207" spans="151:162" x14ac:dyDescent="0.2">
      <c r="EU207" s="67">
        <v>563.91999999999996</v>
      </c>
      <c r="EV207" s="67" t="s">
        <v>1675</v>
      </c>
      <c r="EW207" s="67">
        <v>486.57</v>
      </c>
      <c r="EX207" s="67" t="s">
        <v>1676</v>
      </c>
      <c r="EY207" s="67">
        <v>5631.28</v>
      </c>
      <c r="EZ207" s="67" t="s">
        <v>1677</v>
      </c>
      <c r="FA207" s="67">
        <v>19867.973000000002</v>
      </c>
      <c r="FB207" s="67" t="s">
        <v>1678</v>
      </c>
      <c r="FC207" s="67" t="s">
        <v>1679</v>
      </c>
      <c r="FD207" s="67" t="s">
        <v>1680</v>
      </c>
      <c r="FE207" s="68" t="s">
        <v>1681</v>
      </c>
      <c r="FF207" s="68" t="s">
        <v>1682</v>
      </c>
    </row>
    <row r="208" spans="151:162" x14ac:dyDescent="0.2">
      <c r="EU208" s="67">
        <v>563.91999999999996</v>
      </c>
      <c r="EV208" s="67" t="s">
        <v>1683</v>
      </c>
      <c r="EW208" s="67">
        <v>486.51</v>
      </c>
      <c r="EX208" s="67" t="s">
        <v>1684</v>
      </c>
      <c r="EY208" s="67">
        <v>5631.28</v>
      </c>
      <c r="EZ208" s="67" t="s">
        <v>1685</v>
      </c>
      <c r="FA208" s="67">
        <v>19867.973000000002</v>
      </c>
      <c r="FB208" s="67" t="s">
        <v>1686</v>
      </c>
      <c r="FC208" s="67" t="s">
        <v>1687</v>
      </c>
      <c r="FD208" s="67" t="s">
        <v>1688</v>
      </c>
      <c r="FE208" s="68" t="s">
        <v>1689</v>
      </c>
      <c r="FF208" s="68" t="s">
        <v>1690</v>
      </c>
    </row>
    <row r="209" spans="151:162" x14ac:dyDescent="0.2">
      <c r="EU209" s="67">
        <v>563.95000000000005</v>
      </c>
      <c r="EV209" s="67" t="s">
        <v>1691</v>
      </c>
      <c r="EW209" s="67">
        <v>486.57</v>
      </c>
      <c r="EX209" s="67" t="s">
        <v>1692</v>
      </c>
      <c r="EY209" s="67">
        <v>5631.28</v>
      </c>
      <c r="EZ209" s="67" t="s">
        <v>1693</v>
      </c>
      <c r="FA209" s="67">
        <v>19867.973000000002</v>
      </c>
      <c r="FB209" s="67" t="s">
        <v>1694</v>
      </c>
      <c r="FC209" s="67" t="s">
        <v>1695</v>
      </c>
      <c r="FD209" s="67" t="s">
        <v>1696</v>
      </c>
      <c r="FE209" s="68" t="s">
        <v>1697</v>
      </c>
      <c r="FF209" s="68" t="s">
        <v>1698</v>
      </c>
    </row>
    <row r="210" spans="151:162" x14ac:dyDescent="0.2">
      <c r="EU210" s="67">
        <v>563.96</v>
      </c>
      <c r="EV210" s="67" t="s">
        <v>1699</v>
      </c>
      <c r="EW210" s="67">
        <v>486.68</v>
      </c>
      <c r="EX210" s="67" t="s">
        <v>1700</v>
      </c>
      <c r="EY210" s="67">
        <v>5631.28</v>
      </c>
      <c r="EZ210" s="67" t="s">
        <v>1701</v>
      </c>
      <c r="FA210" s="67">
        <v>19867.973000000002</v>
      </c>
      <c r="FB210" s="67" t="s">
        <v>1702</v>
      </c>
      <c r="FC210" s="67" t="s">
        <v>1703</v>
      </c>
      <c r="FD210" s="67" t="s">
        <v>1704</v>
      </c>
      <c r="FE210" s="68" t="s">
        <v>1705</v>
      </c>
      <c r="FF210" s="68" t="s">
        <v>1706</v>
      </c>
    </row>
    <row r="211" spans="151:162" x14ac:dyDescent="0.2">
      <c r="EU211" s="67">
        <v>563.91999999999996</v>
      </c>
      <c r="EV211" s="67" t="s">
        <v>1707</v>
      </c>
      <c r="EW211" s="67">
        <v>486.49</v>
      </c>
      <c r="EX211" s="67" t="s">
        <v>1708</v>
      </c>
      <c r="EY211" s="67">
        <v>5631.28</v>
      </c>
      <c r="EZ211" s="67" t="s">
        <v>1709</v>
      </c>
      <c r="FA211" s="67">
        <v>19867.973000000002</v>
      </c>
      <c r="FB211" s="67" t="s">
        <v>1710</v>
      </c>
      <c r="FC211" s="67" t="s">
        <v>1711</v>
      </c>
      <c r="FD211" s="67" t="s">
        <v>1712</v>
      </c>
      <c r="FE211" s="68" t="s">
        <v>1713</v>
      </c>
      <c r="FF211" s="68" t="s">
        <v>1714</v>
      </c>
    </row>
    <row r="212" spans="151:162" x14ac:dyDescent="0.2">
      <c r="EU212" s="67">
        <v>564.01</v>
      </c>
      <c r="EV212" s="67" t="s">
        <v>1715</v>
      </c>
      <c r="EW212" s="67">
        <v>486.64</v>
      </c>
      <c r="EX212" s="67" t="s">
        <v>1716</v>
      </c>
      <c r="EY212" s="67">
        <v>5631.28</v>
      </c>
      <c r="EZ212" s="67" t="s">
        <v>1717</v>
      </c>
      <c r="FA212" s="67">
        <v>19867.973000000002</v>
      </c>
      <c r="FB212" s="67" t="s">
        <v>1718</v>
      </c>
      <c r="FC212" s="67" t="s">
        <v>1719</v>
      </c>
      <c r="FD212" s="67" t="s">
        <v>1720</v>
      </c>
      <c r="FE212" s="68" t="s">
        <v>1721</v>
      </c>
      <c r="FF212" s="68" t="s">
        <v>1722</v>
      </c>
    </row>
    <row r="213" spans="151:162" x14ac:dyDescent="0.2">
      <c r="EU213" s="67">
        <v>563.91999999999996</v>
      </c>
      <c r="EV213" s="67" t="s">
        <v>1723</v>
      </c>
      <c r="EW213" s="67">
        <v>486.55</v>
      </c>
      <c r="EX213" s="67" t="s">
        <v>1724</v>
      </c>
      <c r="EY213" s="67">
        <v>5631.28</v>
      </c>
      <c r="EZ213" s="67" t="s">
        <v>1725</v>
      </c>
      <c r="FA213" s="67">
        <v>19867.973000000002</v>
      </c>
      <c r="FB213" s="67" t="s">
        <v>1726</v>
      </c>
      <c r="FC213" s="67" t="s">
        <v>1727</v>
      </c>
      <c r="FD213" s="67" t="s">
        <v>1728</v>
      </c>
      <c r="FE213" s="68" t="s">
        <v>1729</v>
      </c>
      <c r="FF213" s="68" t="s">
        <v>1730</v>
      </c>
    </row>
    <row r="214" spans="151:162" x14ac:dyDescent="0.2">
      <c r="EU214" s="67">
        <v>563.91999999999996</v>
      </c>
      <c r="EV214" s="67" t="s">
        <v>1731</v>
      </c>
      <c r="EW214" s="67">
        <v>486.56</v>
      </c>
      <c r="EX214" s="67" t="s">
        <v>1732</v>
      </c>
      <c r="EY214" s="67">
        <v>5631.28</v>
      </c>
      <c r="EZ214" s="67" t="s">
        <v>1733</v>
      </c>
      <c r="FA214" s="67">
        <v>19867.973000000002</v>
      </c>
      <c r="FB214" s="67" t="s">
        <v>1734</v>
      </c>
      <c r="FC214" s="67" t="s">
        <v>1735</v>
      </c>
      <c r="FD214" s="67" t="s">
        <v>1736</v>
      </c>
      <c r="FE214" s="68" t="s">
        <v>1737</v>
      </c>
      <c r="FF214" s="68" t="s">
        <v>1738</v>
      </c>
    </row>
    <row r="215" spans="151:162" x14ac:dyDescent="0.2">
      <c r="EU215" s="67">
        <v>563.91999999999996</v>
      </c>
      <c r="EV215" s="67" t="s">
        <v>1739</v>
      </c>
      <c r="EW215" s="67">
        <v>486.66</v>
      </c>
      <c r="EX215" s="67" t="s">
        <v>1740</v>
      </c>
      <c r="EY215" s="67">
        <v>5631.28</v>
      </c>
      <c r="EZ215" s="67" t="s">
        <v>1741</v>
      </c>
      <c r="FA215" s="67">
        <v>19867.973000000002</v>
      </c>
      <c r="FB215" s="67" t="s">
        <v>1742</v>
      </c>
      <c r="FC215" s="67" t="s">
        <v>1743</v>
      </c>
      <c r="FD215" s="67" t="s">
        <v>1744</v>
      </c>
      <c r="FE215" s="68" t="s">
        <v>1745</v>
      </c>
      <c r="FF215" s="68" t="s">
        <v>1746</v>
      </c>
    </row>
    <row r="216" spans="151:162" x14ac:dyDescent="0.2">
      <c r="EU216" s="67">
        <v>563.91999999999996</v>
      </c>
      <c r="EV216" s="67" t="s">
        <v>1747</v>
      </c>
      <c r="EW216" s="67">
        <v>486.63</v>
      </c>
      <c r="EX216" s="67" t="s">
        <v>1748</v>
      </c>
      <c r="EY216" s="67">
        <v>5631.28</v>
      </c>
      <c r="EZ216" s="67" t="s">
        <v>1749</v>
      </c>
      <c r="FA216" s="67">
        <v>19867.973000000002</v>
      </c>
      <c r="FB216" s="67" t="s">
        <v>1750</v>
      </c>
      <c r="FC216" s="67" t="s">
        <v>1751</v>
      </c>
      <c r="FD216" s="67" t="s">
        <v>1752</v>
      </c>
      <c r="FE216" s="68" t="s">
        <v>1753</v>
      </c>
      <c r="FF216" s="68" t="s">
        <v>1754</v>
      </c>
    </row>
    <row r="217" spans="151:162" x14ac:dyDescent="0.2">
      <c r="EU217" s="67">
        <v>564.07000000000005</v>
      </c>
      <c r="EV217" s="67" t="s">
        <v>1755</v>
      </c>
      <c r="EW217" s="67">
        <v>486.78</v>
      </c>
      <c r="EX217" s="67" t="s">
        <v>1756</v>
      </c>
      <c r="EY217" s="67">
        <v>5631.28</v>
      </c>
      <c r="EZ217" s="67" t="s">
        <v>1757</v>
      </c>
      <c r="FA217" s="67">
        <v>19867.973000000002</v>
      </c>
      <c r="FB217" s="67" t="s">
        <v>1758</v>
      </c>
      <c r="FC217" s="67" t="s">
        <v>1759</v>
      </c>
      <c r="FD217" s="67" t="s">
        <v>1760</v>
      </c>
      <c r="FE217" s="68" t="s">
        <v>1761</v>
      </c>
      <c r="FF217" s="68" t="s">
        <v>1762</v>
      </c>
    </row>
    <row r="218" spans="151:162" x14ac:dyDescent="0.2">
      <c r="EU218" s="67">
        <v>564.1</v>
      </c>
      <c r="EV218" s="67" t="s">
        <v>1763</v>
      </c>
      <c r="EW218" s="67">
        <v>486.83</v>
      </c>
      <c r="EX218" s="67" t="s">
        <v>1764</v>
      </c>
      <c r="EY218" s="67">
        <v>5631.28</v>
      </c>
      <c r="EZ218" s="67" t="s">
        <v>1765</v>
      </c>
      <c r="FA218" s="67">
        <v>19867.973000000002</v>
      </c>
      <c r="FB218" s="67" t="s">
        <v>1766</v>
      </c>
      <c r="FC218" s="67" t="s">
        <v>1767</v>
      </c>
      <c r="FD218" s="67" t="s">
        <v>1768</v>
      </c>
      <c r="FE218" s="68" t="s">
        <v>1769</v>
      </c>
      <c r="FF218" s="68" t="s">
        <v>1770</v>
      </c>
    </row>
    <row r="219" spans="151:162" x14ac:dyDescent="0.2">
      <c r="EU219" s="67">
        <v>564.32000000000005</v>
      </c>
      <c r="EV219" s="67" t="s">
        <v>1771</v>
      </c>
      <c r="EW219" s="67">
        <v>487.06</v>
      </c>
      <c r="EX219" s="67" t="s">
        <v>1772</v>
      </c>
      <c r="EY219" s="67">
        <v>5631.28</v>
      </c>
      <c r="EZ219" s="67" t="s">
        <v>1773</v>
      </c>
      <c r="FA219" s="67">
        <v>19867.973000000002</v>
      </c>
      <c r="FB219" s="67" t="s">
        <v>1774</v>
      </c>
      <c r="FC219" s="67" t="s">
        <v>1775</v>
      </c>
      <c r="FD219" s="67" t="s">
        <v>1776</v>
      </c>
      <c r="FE219" s="68" t="s">
        <v>1777</v>
      </c>
      <c r="FF219" s="68" t="s">
        <v>1778</v>
      </c>
    </row>
    <row r="220" spans="151:162" x14ac:dyDescent="0.2">
      <c r="EU220" s="67">
        <v>564.09</v>
      </c>
      <c r="EV220" s="67" t="s">
        <v>1779</v>
      </c>
      <c r="EW220" s="67">
        <v>486.83</v>
      </c>
      <c r="EX220" s="67" t="s">
        <v>1780</v>
      </c>
      <c r="EY220" s="67">
        <v>5631.28</v>
      </c>
      <c r="EZ220" s="67" t="s">
        <v>1781</v>
      </c>
      <c r="FA220" s="67">
        <v>19867.973000000002</v>
      </c>
      <c r="FB220" s="67" t="s">
        <v>1782</v>
      </c>
      <c r="FC220" s="67" t="s">
        <v>1783</v>
      </c>
      <c r="FD220" s="67" t="s">
        <v>1784</v>
      </c>
      <c r="FE220" s="68" t="s">
        <v>1785</v>
      </c>
      <c r="FF220" s="68" t="s">
        <v>1786</v>
      </c>
    </row>
    <row r="221" spans="151:162" x14ac:dyDescent="0.2">
      <c r="EU221" s="67">
        <v>564.12</v>
      </c>
      <c r="EV221" s="67" t="s">
        <v>1787</v>
      </c>
      <c r="EW221" s="67">
        <v>486.83</v>
      </c>
      <c r="EX221" s="67" t="s">
        <v>1788</v>
      </c>
      <c r="EY221" s="67">
        <v>5631.28</v>
      </c>
      <c r="EZ221" s="67" t="s">
        <v>1789</v>
      </c>
      <c r="FA221" s="67">
        <v>19867.973000000002</v>
      </c>
      <c r="FB221" s="67" t="s">
        <v>1790</v>
      </c>
      <c r="FC221" s="67" t="s">
        <v>1791</v>
      </c>
      <c r="FD221" s="67" t="s">
        <v>1792</v>
      </c>
      <c r="FE221" s="68" t="s">
        <v>1793</v>
      </c>
      <c r="FF221" s="68" t="s">
        <v>1794</v>
      </c>
    </row>
    <row r="222" spans="151:162" x14ac:dyDescent="0.2">
      <c r="EU222" s="67">
        <v>564.08000000000004</v>
      </c>
      <c r="EV222" s="67" t="s">
        <v>1795</v>
      </c>
      <c r="EW222" s="67">
        <v>486.77</v>
      </c>
      <c r="EX222" s="67" t="s">
        <v>1796</v>
      </c>
      <c r="EY222" s="67">
        <v>5631.28</v>
      </c>
      <c r="EZ222" s="67" t="s">
        <v>1797</v>
      </c>
      <c r="FA222" s="67">
        <v>19867.973000000002</v>
      </c>
      <c r="FB222" s="67" t="s">
        <v>1798</v>
      </c>
      <c r="FC222" s="67" t="s">
        <v>1799</v>
      </c>
      <c r="FD222" s="67" t="s">
        <v>1800</v>
      </c>
      <c r="FE222" s="68" t="s">
        <v>1801</v>
      </c>
      <c r="FF222" s="68" t="s">
        <v>1802</v>
      </c>
    </row>
    <row r="223" spans="151:162" x14ac:dyDescent="0.2">
      <c r="EU223" s="67">
        <v>564.16</v>
      </c>
      <c r="EV223" s="67" t="s">
        <v>1803</v>
      </c>
      <c r="EW223" s="67">
        <v>486.84</v>
      </c>
      <c r="EX223" s="67" t="s">
        <v>1804</v>
      </c>
      <c r="EY223" s="67">
        <v>5631.28</v>
      </c>
      <c r="EZ223" s="67" t="s">
        <v>1805</v>
      </c>
      <c r="FA223" s="67">
        <v>19867.973000000002</v>
      </c>
      <c r="FB223" s="67" t="s">
        <v>1806</v>
      </c>
      <c r="FC223" s="67" t="s">
        <v>1807</v>
      </c>
      <c r="FD223" s="67" t="s">
        <v>1808</v>
      </c>
      <c r="FE223" s="68" t="s">
        <v>1809</v>
      </c>
      <c r="FF223" s="68" t="s">
        <v>1810</v>
      </c>
    </row>
    <row r="224" spans="151:162" x14ac:dyDescent="0.2">
      <c r="EU224" s="67">
        <v>564.23</v>
      </c>
      <c r="EV224" s="67" t="s">
        <v>1811</v>
      </c>
      <c r="EW224" s="67">
        <v>486.9</v>
      </c>
      <c r="EX224" s="67" t="s">
        <v>1812</v>
      </c>
      <c r="EY224" s="67">
        <v>5631.28</v>
      </c>
      <c r="EZ224" s="67" t="s">
        <v>1813</v>
      </c>
      <c r="FA224" s="67">
        <v>19867.973000000002</v>
      </c>
      <c r="FB224" s="67" t="s">
        <v>1814</v>
      </c>
      <c r="FC224" s="67" t="s">
        <v>1815</v>
      </c>
      <c r="FD224" s="67" t="s">
        <v>1816</v>
      </c>
      <c r="FE224" s="68" t="s">
        <v>1817</v>
      </c>
      <c r="FF224" s="68" t="s">
        <v>1818</v>
      </c>
    </row>
    <row r="225" spans="151:162" x14ac:dyDescent="0.2">
      <c r="EU225" s="67">
        <v>564.33000000000004</v>
      </c>
      <c r="EV225" s="67" t="s">
        <v>1819</v>
      </c>
      <c r="EW225" s="67">
        <v>487.03</v>
      </c>
      <c r="EX225" s="67" t="s">
        <v>1820</v>
      </c>
      <c r="EY225" s="67">
        <v>5631.28</v>
      </c>
      <c r="EZ225" s="67" t="s">
        <v>1821</v>
      </c>
      <c r="FA225" s="67">
        <v>19867.973000000002</v>
      </c>
      <c r="FB225" s="67" t="s">
        <v>1822</v>
      </c>
      <c r="FC225" s="67" t="s">
        <v>1823</v>
      </c>
      <c r="FD225" s="67" t="s">
        <v>1824</v>
      </c>
      <c r="FE225" s="68" t="s">
        <v>1825</v>
      </c>
      <c r="FF225" s="68" t="s">
        <v>1826</v>
      </c>
    </row>
    <row r="226" spans="151:162" x14ac:dyDescent="0.2">
      <c r="EU226" s="67">
        <v>564.38</v>
      </c>
      <c r="EV226" s="67" t="s">
        <v>1827</v>
      </c>
      <c r="EW226" s="67">
        <v>487.04</v>
      </c>
      <c r="EX226" s="67" t="s">
        <v>1828</v>
      </c>
      <c r="EY226" s="67">
        <v>5631.28</v>
      </c>
      <c r="EZ226" s="67" t="s">
        <v>1829</v>
      </c>
      <c r="FA226" s="67">
        <v>19867.973000000002</v>
      </c>
      <c r="FB226" s="67" t="s">
        <v>1830</v>
      </c>
      <c r="FC226" s="67" t="s">
        <v>1831</v>
      </c>
      <c r="FD226" s="67" t="s">
        <v>1832</v>
      </c>
      <c r="FE226" s="68" t="s">
        <v>1833</v>
      </c>
      <c r="FF226" s="68" t="s">
        <v>1834</v>
      </c>
    </row>
    <row r="227" spans="151:162" x14ac:dyDescent="0.2">
      <c r="EU227" s="67">
        <v>564.55999999999995</v>
      </c>
      <c r="EV227" s="67" t="s">
        <v>1835</v>
      </c>
      <c r="EW227" s="67">
        <v>487.3</v>
      </c>
      <c r="EX227" s="67" t="s">
        <v>1836</v>
      </c>
      <c r="EY227" s="67">
        <v>5631.28</v>
      </c>
      <c r="EZ227" s="67" t="s">
        <v>1837</v>
      </c>
      <c r="FA227" s="67">
        <v>19867.973000000002</v>
      </c>
      <c r="FB227" s="67" t="s">
        <v>1838</v>
      </c>
      <c r="FC227" s="67" t="s">
        <v>1839</v>
      </c>
      <c r="FD227" s="67" t="s">
        <v>1840</v>
      </c>
      <c r="FE227" s="68" t="s">
        <v>1841</v>
      </c>
      <c r="FF227" s="68" t="s">
        <v>1842</v>
      </c>
    </row>
    <row r="228" spans="151:162" x14ac:dyDescent="0.2">
      <c r="EU228" s="67">
        <v>564.59</v>
      </c>
      <c r="EV228" s="67" t="s">
        <v>1843</v>
      </c>
      <c r="EW228" s="67">
        <v>487.3</v>
      </c>
      <c r="EX228" s="67" t="s">
        <v>1844</v>
      </c>
      <c r="EY228" s="67">
        <v>5631.28</v>
      </c>
      <c r="EZ228" s="67" t="s">
        <v>1845</v>
      </c>
      <c r="FA228" s="67">
        <v>19867.973000000002</v>
      </c>
      <c r="FB228" s="67" t="s">
        <v>1846</v>
      </c>
      <c r="FC228" s="67" t="s">
        <v>1847</v>
      </c>
      <c r="FD228" s="67" t="s">
        <v>1848</v>
      </c>
      <c r="FE228" s="68" t="s">
        <v>1849</v>
      </c>
      <c r="FF228" s="68" t="s">
        <v>1850</v>
      </c>
    </row>
    <row r="229" spans="151:162" x14ac:dyDescent="0.2">
      <c r="EU229" s="67">
        <v>564.38</v>
      </c>
      <c r="EV229" s="67" t="s">
        <v>1851</v>
      </c>
      <c r="EW229" s="67">
        <v>487.1</v>
      </c>
      <c r="EX229" s="67" t="s">
        <v>1852</v>
      </c>
      <c r="EY229" s="67">
        <v>5631.28</v>
      </c>
      <c r="EZ229" s="67" t="s">
        <v>1853</v>
      </c>
      <c r="FA229" s="67">
        <v>19867.973000000002</v>
      </c>
      <c r="FB229" s="67" t="s">
        <v>1854</v>
      </c>
      <c r="FC229" s="67" t="s">
        <v>1855</v>
      </c>
      <c r="FD229" s="67" t="s">
        <v>1856</v>
      </c>
      <c r="FE229" s="68" t="s">
        <v>1857</v>
      </c>
      <c r="FF229" s="68" t="s">
        <v>1858</v>
      </c>
    </row>
    <row r="230" spans="151:162" x14ac:dyDescent="0.2">
      <c r="EU230" s="67">
        <v>564.4</v>
      </c>
      <c r="EV230" s="67" t="s">
        <v>1859</v>
      </c>
      <c r="EW230" s="67">
        <v>487.05</v>
      </c>
      <c r="EX230" s="67" t="s">
        <v>1860</v>
      </c>
      <c r="EY230" s="67">
        <v>5631.28</v>
      </c>
      <c r="EZ230" s="67" t="s">
        <v>1861</v>
      </c>
      <c r="FA230" s="67">
        <v>19867.973000000002</v>
      </c>
      <c r="FB230" s="67" t="s">
        <v>1862</v>
      </c>
      <c r="FC230" s="67" t="s">
        <v>1863</v>
      </c>
      <c r="FD230" s="67" t="s">
        <v>1864</v>
      </c>
      <c r="FE230" s="68" t="s">
        <v>1865</v>
      </c>
      <c r="FF230" s="68" t="s">
        <v>1866</v>
      </c>
    </row>
    <row r="231" spans="151:162" x14ac:dyDescent="0.2">
      <c r="EU231" s="67">
        <v>564.38</v>
      </c>
      <c r="EV231" s="67" t="s">
        <v>1867</v>
      </c>
      <c r="EW231" s="67">
        <v>487.04</v>
      </c>
      <c r="EX231" s="67" t="s">
        <v>1868</v>
      </c>
      <c r="EY231" s="67">
        <v>5631.28</v>
      </c>
      <c r="EZ231" s="67" t="s">
        <v>1869</v>
      </c>
      <c r="FA231" s="67">
        <v>19867.973000000002</v>
      </c>
      <c r="FB231" s="67" t="s">
        <v>1870</v>
      </c>
      <c r="FC231" s="67" t="s">
        <v>1871</v>
      </c>
      <c r="FD231" s="67" t="s">
        <v>1872</v>
      </c>
      <c r="FE231" s="68" t="s">
        <v>1873</v>
      </c>
      <c r="FF231" s="68" t="s">
        <v>1874</v>
      </c>
    </row>
    <row r="232" spans="151:162" x14ac:dyDescent="0.2">
      <c r="EU232" s="67">
        <v>564.42999999999995</v>
      </c>
      <c r="EV232" s="67" t="s">
        <v>1875</v>
      </c>
      <c r="EW232" s="67">
        <v>487.06</v>
      </c>
      <c r="EX232" s="67" t="s">
        <v>1876</v>
      </c>
      <c r="EY232" s="67">
        <v>5631.28</v>
      </c>
      <c r="EZ232" s="67" t="s">
        <v>1877</v>
      </c>
      <c r="FA232" s="67">
        <v>19867.973000000002</v>
      </c>
      <c r="FB232" s="67" t="s">
        <v>1878</v>
      </c>
      <c r="FC232" s="67" t="s">
        <v>1879</v>
      </c>
      <c r="FD232" s="67" t="s">
        <v>1880</v>
      </c>
      <c r="FE232" s="68" t="s">
        <v>1881</v>
      </c>
      <c r="FF232" s="68" t="s">
        <v>1882</v>
      </c>
    </row>
    <row r="233" spans="151:162" x14ac:dyDescent="0.2">
      <c r="EU233" s="67">
        <v>564.4</v>
      </c>
      <c r="EV233" s="67" t="s">
        <v>1883</v>
      </c>
      <c r="EW233" s="67">
        <v>487</v>
      </c>
      <c r="EX233" s="67" t="s">
        <v>1884</v>
      </c>
      <c r="EY233" s="67">
        <v>5631.28</v>
      </c>
      <c r="EZ233" s="67" t="s">
        <v>1885</v>
      </c>
      <c r="FA233" s="67">
        <v>19867.973000000002</v>
      </c>
      <c r="FB233" s="67" t="s">
        <v>1886</v>
      </c>
      <c r="FC233" s="67" t="s">
        <v>1887</v>
      </c>
      <c r="FD233" s="67" t="s">
        <v>1888</v>
      </c>
      <c r="FE233" s="68" t="s">
        <v>1889</v>
      </c>
      <c r="FF233" s="68" t="s">
        <v>1890</v>
      </c>
    </row>
    <row r="234" spans="151:162" x14ac:dyDescent="0.2">
      <c r="EU234" s="67">
        <v>564.46</v>
      </c>
      <c r="EV234" s="67" t="s">
        <v>1891</v>
      </c>
      <c r="EW234" s="67">
        <v>487.05</v>
      </c>
      <c r="EX234" s="67" t="s">
        <v>1892</v>
      </c>
      <c r="EY234" s="67">
        <v>5631.28</v>
      </c>
      <c r="EZ234" s="67" t="s">
        <v>1893</v>
      </c>
      <c r="FA234" s="67">
        <v>19867.973000000002</v>
      </c>
      <c r="FB234" s="67" t="s">
        <v>1894</v>
      </c>
      <c r="FC234" s="67" t="s">
        <v>1895</v>
      </c>
      <c r="FD234" s="67" t="s">
        <v>1896</v>
      </c>
      <c r="FE234" s="68" t="s">
        <v>1897</v>
      </c>
      <c r="FF234" s="68" t="s">
        <v>1898</v>
      </c>
    </row>
    <row r="235" spans="151:162" x14ac:dyDescent="0.2">
      <c r="EU235" s="67">
        <v>564.45000000000005</v>
      </c>
      <c r="EV235" s="67" t="s">
        <v>1899</v>
      </c>
      <c r="EW235" s="67">
        <v>487</v>
      </c>
      <c r="EX235" s="67" t="s">
        <v>1900</v>
      </c>
      <c r="EY235" s="67">
        <v>5631.28</v>
      </c>
      <c r="EZ235" s="67" t="s">
        <v>1901</v>
      </c>
      <c r="FA235" s="67">
        <v>19867.973000000002</v>
      </c>
      <c r="FB235" s="67" t="s">
        <v>1902</v>
      </c>
      <c r="FC235" s="67" t="s">
        <v>1903</v>
      </c>
      <c r="FD235" s="67" t="s">
        <v>1904</v>
      </c>
      <c r="FE235" s="68" t="s">
        <v>1905</v>
      </c>
      <c r="FF235" s="68" t="s">
        <v>1906</v>
      </c>
    </row>
    <row r="236" spans="151:162" x14ac:dyDescent="0.2">
      <c r="EU236" s="67">
        <v>564.39</v>
      </c>
      <c r="EV236" s="67" t="s">
        <v>1907</v>
      </c>
      <c r="EW236" s="67">
        <v>487</v>
      </c>
      <c r="EX236" s="67" t="s">
        <v>1908</v>
      </c>
      <c r="EY236" s="67">
        <v>5631.28</v>
      </c>
      <c r="EZ236" s="67" t="s">
        <v>1909</v>
      </c>
      <c r="FA236" s="67">
        <v>19867.973000000002</v>
      </c>
      <c r="FB236" s="67" t="s">
        <v>1910</v>
      </c>
      <c r="FC236" s="67" t="s">
        <v>1911</v>
      </c>
      <c r="FD236" s="67" t="s">
        <v>1912</v>
      </c>
      <c r="FE236" s="68" t="s">
        <v>1913</v>
      </c>
      <c r="FF236" s="68" t="s">
        <v>1914</v>
      </c>
    </row>
    <row r="237" spans="151:162" x14ac:dyDescent="0.2">
      <c r="EU237" s="67">
        <v>564.35</v>
      </c>
      <c r="EV237" s="67" t="s">
        <v>1915</v>
      </c>
      <c r="EW237" s="67">
        <v>486.89</v>
      </c>
      <c r="EX237" s="67" t="s">
        <v>1916</v>
      </c>
      <c r="EY237" s="67">
        <v>5631.28</v>
      </c>
      <c r="EZ237" s="67" t="s">
        <v>1917</v>
      </c>
      <c r="FA237" s="67">
        <v>19867.973000000002</v>
      </c>
      <c r="FB237" s="67" t="s">
        <v>1918</v>
      </c>
      <c r="FC237" s="67" t="s">
        <v>1919</v>
      </c>
      <c r="FD237" s="67" t="s">
        <v>1920</v>
      </c>
      <c r="FE237" s="68" t="s">
        <v>1921</v>
      </c>
      <c r="FF237" s="68" t="s">
        <v>1922</v>
      </c>
    </row>
    <row r="238" spans="151:162" x14ac:dyDescent="0.2">
      <c r="EU238" s="67">
        <v>564.29999999999995</v>
      </c>
      <c r="EV238" s="67" t="s">
        <v>1923</v>
      </c>
      <c r="EW238" s="67">
        <v>486.85</v>
      </c>
      <c r="EX238" s="67" t="s">
        <v>1924</v>
      </c>
      <c r="EY238" s="67">
        <v>5631.28</v>
      </c>
      <c r="EZ238" s="67" t="s">
        <v>1925</v>
      </c>
      <c r="FA238" s="67">
        <v>19867.973000000002</v>
      </c>
      <c r="FB238" s="67" t="s">
        <v>1926</v>
      </c>
      <c r="FC238" s="67" t="s">
        <v>1927</v>
      </c>
      <c r="FD238" s="67" t="s">
        <v>1928</v>
      </c>
      <c r="FE238" s="68" t="s">
        <v>1929</v>
      </c>
      <c r="FF238" s="68" t="s">
        <v>1930</v>
      </c>
    </row>
    <row r="239" spans="151:162" x14ac:dyDescent="0.2">
      <c r="EU239" s="67">
        <v>564.33000000000004</v>
      </c>
      <c r="EV239" s="67" t="s">
        <v>1931</v>
      </c>
      <c r="EW239" s="67">
        <v>486.88</v>
      </c>
      <c r="EX239" s="67" t="s">
        <v>1932</v>
      </c>
      <c r="EY239" s="67">
        <v>5631.28</v>
      </c>
      <c r="EZ239" s="67" t="s">
        <v>1933</v>
      </c>
      <c r="FA239" s="67">
        <v>19867.973000000002</v>
      </c>
      <c r="FB239" s="67" t="s">
        <v>1934</v>
      </c>
      <c r="FC239" s="67" t="s">
        <v>1935</v>
      </c>
      <c r="FD239" s="67" t="s">
        <v>1936</v>
      </c>
      <c r="FE239" s="68" t="s">
        <v>1937</v>
      </c>
      <c r="FF239" s="68" t="s">
        <v>1938</v>
      </c>
    </row>
    <row r="240" spans="151:162" x14ac:dyDescent="0.2">
      <c r="EU240" s="67">
        <v>564.35</v>
      </c>
      <c r="EV240" s="67" t="s">
        <v>1939</v>
      </c>
      <c r="EW240" s="67">
        <v>486.89</v>
      </c>
      <c r="EX240" s="67" t="s">
        <v>1940</v>
      </c>
      <c r="EY240" s="67">
        <v>5631.28</v>
      </c>
      <c r="EZ240" s="67" t="s">
        <v>1941</v>
      </c>
      <c r="FA240" s="67">
        <v>19867.973000000002</v>
      </c>
      <c r="FB240" s="67" t="s">
        <v>1942</v>
      </c>
      <c r="FC240" s="67" t="s">
        <v>1943</v>
      </c>
      <c r="FD240" s="67" t="s">
        <v>1944</v>
      </c>
      <c r="FE240" s="68" t="s">
        <v>1945</v>
      </c>
      <c r="FF240" s="68" t="s">
        <v>1946</v>
      </c>
    </row>
    <row r="241" spans="151:162" x14ac:dyDescent="0.2">
      <c r="EU241" s="67">
        <v>564.45000000000005</v>
      </c>
      <c r="EV241" s="67" t="s">
        <v>1947</v>
      </c>
      <c r="EW241" s="67">
        <v>486.94</v>
      </c>
      <c r="EX241" s="67" t="s">
        <v>1948</v>
      </c>
      <c r="EY241" s="67">
        <v>5631.28</v>
      </c>
      <c r="EZ241" s="67" t="s">
        <v>1949</v>
      </c>
      <c r="FA241" s="67">
        <v>19867.973000000002</v>
      </c>
      <c r="FB241" s="67" t="s">
        <v>1950</v>
      </c>
      <c r="FC241" s="67" t="s">
        <v>1951</v>
      </c>
      <c r="FD241" s="67" t="s">
        <v>1952</v>
      </c>
      <c r="FE241" s="68" t="s">
        <v>1953</v>
      </c>
      <c r="FF241" s="68" t="s">
        <v>1954</v>
      </c>
    </row>
    <row r="242" spans="151:162" x14ac:dyDescent="0.2">
      <c r="EU242" s="67">
        <v>564.35</v>
      </c>
      <c r="EV242" s="67" t="s">
        <v>1955</v>
      </c>
      <c r="EW242" s="67">
        <v>486.93</v>
      </c>
      <c r="EX242" s="67" t="s">
        <v>1956</v>
      </c>
      <c r="EY242" s="67">
        <v>5631.28</v>
      </c>
      <c r="EZ242" s="67" t="s">
        <v>1957</v>
      </c>
      <c r="FA242" s="67">
        <v>19867.973000000002</v>
      </c>
      <c r="FB242" s="67" t="s">
        <v>1958</v>
      </c>
      <c r="FC242" s="67" t="s">
        <v>1959</v>
      </c>
      <c r="FD242" s="67" t="s">
        <v>1960</v>
      </c>
      <c r="FE242" s="68" t="s">
        <v>1961</v>
      </c>
      <c r="FF242" s="68" t="s">
        <v>1962</v>
      </c>
    </row>
    <row r="243" spans="151:162" x14ac:dyDescent="0.2">
      <c r="EU243" s="67">
        <v>564.45000000000005</v>
      </c>
      <c r="EV243" s="67" t="s">
        <v>1963</v>
      </c>
      <c r="EW243" s="67">
        <v>486.93</v>
      </c>
      <c r="EX243" s="67" t="s">
        <v>1964</v>
      </c>
      <c r="EY243" s="67">
        <v>5631.28</v>
      </c>
      <c r="EZ243" s="67" t="s">
        <v>1965</v>
      </c>
      <c r="FA243" s="67">
        <v>19867.973000000002</v>
      </c>
      <c r="FB243" s="67" t="s">
        <v>1966</v>
      </c>
      <c r="FC243" s="67" t="s">
        <v>1967</v>
      </c>
      <c r="FD243" s="67" t="s">
        <v>1968</v>
      </c>
      <c r="FE243" s="68" t="s">
        <v>1969</v>
      </c>
      <c r="FF243" s="68" t="s">
        <v>1970</v>
      </c>
    </row>
    <row r="244" spans="151:162" x14ac:dyDescent="0.2">
      <c r="EU244" s="67">
        <v>564.4</v>
      </c>
      <c r="EV244" s="67" t="s">
        <v>1971</v>
      </c>
      <c r="EW244" s="67">
        <v>486.93</v>
      </c>
      <c r="EX244" s="67" t="s">
        <v>1972</v>
      </c>
      <c r="EY244" s="67">
        <v>5631.28</v>
      </c>
      <c r="EZ244" s="67" t="s">
        <v>1973</v>
      </c>
      <c r="FA244" s="67">
        <v>19867.973000000002</v>
      </c>
      <c r="FB244" s="67" t="s">
        <v>1974</v>
      </c>
      <c r="FC244" s="67" t="s">
        <v>1975</v>
      </c>
      <c r="FD244" s="67" t="s">
        <v>1976</v>
      </c>
      <c r="FE244" s="68" t="s">
        <v>1977</v>
      </c>
      <c r="FF244" s="68" t="s">
        <v>1978</v>
      </c>
    </row>
    <row r="245" spans="151:162" x14ac:dyDescent="0.2">
      <c r="EU245" s="67">
        <v>564.4</v>
      </c>
      <c r="EV245" s="67" t="s">
        <v>1979</v>
      </c>
      <c r="EW245" s="67">
        <v>486.94</v>
      </c>
      <c r="EX245" s="67" t="s">
        <v>1980</v>
      </c>
      <c r="EY245" s="67">
        <v>5631.28</v>
      </c>
      <c r="EZ245" s="67" t="s">
        <v>1981</v>
      </c>
      <c r="FA245" s="67">
        <v>19867.973000000002</v>
      </c>
      <c r="FB245" s="67" t="s">
        <v>1982</v>
      </c>
      <c r="FC245" s="67" t="s">
        <v>1983</v>
      </c>
      <c r="FD245" s="67" t="s">
        <v>1984</v>
      </c>
      <c r="FE245" s="68" t="s">
        <v>1985</v>
      </c>
      <c r="FF245" s="68" t="s">
        <v>1986</v>
      </c>
    </row>
    <row r="246" spans="151:162" x14ac:dyDescent="0.2">
      <c r="EU246" s="67">
        <v>564.48</v>
      </c>
      <c r="EV246" s="67" t="s">
        <v>1987</v>
      </c>
      <c r="EW246" s="67">
        <v>486.98</v>
      </c>
      <c r="EX246" s="67" t="s">
        <v>1988</v>
      </c>
      <c r="EY246" s="67">
        <v>5631.28</v>
      </c>
      <c r="EZ246" s="67" t="s">
        <v>1989</v>
      </c>
      <c r="FA246" s="67">
        <v>19867.973000000002</v>
      </c>
      <c r="FB246" s="67" t="s">
        <v>1990</v>
      </c>
      <c r="FC246" s="67" t="s">
        <v>1991</v>
      </c>
      <c r="FD246" s="67" t="s">
        <v>1992</v>
      </c>
      <c r="FE246" s="68" t="s">
        <v>1993</v>
      </c>
      <c r="FF246" s="68" t="s">
        <v>1994</v>
      </c>
    </row>
    <row r="247" spans="151:162" x14ac:dyDescent="0.2">
      <c r="EU247" s="67">
        <v>564.41</v>
      </c>
      <c r="EV247" s="67" t="s">
        <v>1995</v>
      </c>
      <c r="EW247" s="67">
        <v>487.01</v>
      </c>
      <c r="EX247" s="67" t="s">
        <v>1996</v>
      </c>
      <c r="EY247" s="67">
        <v>5631.28</v>
      </c>
      <c r="EZ247" s="67" t="s">
        <v>1997</v>
      </c>
      <c r="FA247" s="67">
        <v>19867.973000000002</v>
      </c>
      <c r="FB247" s="67" t="s">
        <v>1998</v>
      </c>
      <c r="FC247" s="67" t="s">
        <v>1999</v>
      </c>
      <c r="FD247" s="67" t="s">
        <v>2000</v>
      </c>
      <c r="FE247" s="68" t="s">
        <v>2001</v>
      </c>
      <c r="FF247" s="68" t="s">
        <v>2002</v>
      </c>
    </row>
    <row r="248" spans="151:162" x14ac:dyDescent="0.2">
      <c r="EU248" s="67">
        <v>564.38</v>
      </c>
      <c r="EV248" s="67" t="s">
        <v>2003</v>
      </c>
      <c r="EW248" s="67">
        <v>486.97</v>
      </c>
      <c r="EX248" s="67" t="s">
        <v>2004</v>
      </c>
      <c r="EY248" s="67">
        <v>5631.28</v>
      </c>
      <c r="EZ248" s="67" t="s">
        <v>2005</v>
      </c>
      <c r="FA248" s="67">
        <v>19867.973000000002</v>
      </c>
      <c r="FB248" s="67" t="s">
        <v>2006</v>
      </c>
      <c r="FC248" s="67" t="s">
        <v>2007</v>
      </c>
      <c r="FD248" s="67" t="s">
        <v>2008</v>
      </c>
      <c r="FE248" s="68" t="s">
        <v>2009</v>
      </c>
      <c r="FF248" s="68" t="s">
        <v>2010</v>
      </c>
    </row>
    <row r="249" spans="151:162" x14ac:dyDescent="0.2">
      <c r="EU249" s="67">
        <v>564.38</v>
      </c>
      <c r="EV249" s="67" t="s">
        <v>2011</v>
      </c>
      <c r="EW249" s="67">
        <v>487.04</v>
      </c>
      <c r="EX249" s="67" t="s">
        <v>2012</v>
      </c>
      <c r="EY249" s="67">
        <v>5631.28</v>
      </c>
      <c r="EZ249" s="67" t="s">
        <v>2013</v>
      </c>
      <c r="FA249" s="67">
        <v>19867.973000000002</v>
      </c>
      <c r="FB249" s="67" t="s">
        <v>2014</v>
      </c>
      <c r="FC249" s="67" t="s">
        <v>2015</v>
      </c>
      <c r="FD249" s="67" t="s">
        <v>2016</v>
      </c>
      <c r="FE249" s="68" t="s">
        <v>2017</v>
      </c>
      <c r="FF249" s="68" t="s">
        <v>2018</v>
      </c>
    </row>
    <row r="250" spans="151:162" x14ac:dyDescent="0.2">
      <c r="EU250" s="67">
        <v>564.75</v>
      </c>
      <c r="EV250" s="67" t="s">
        <v>2019</v>
      </c>
      <c r="EW250" s="67">
        <v>487.29</v>
      </c>
      <c r="EX250" s="67" t="s">
        <v>2020</v>
      </c>
      <c r="EY250" s="67">
        <v>5631.28</v>
      </c>
      <c r="EZ250" s="67" t="s">
        <v>2021</v>
      </c>
      <c r="FA250" s="67">
        <v>19867.973000000002</v>
      </c>
      <c r="FB250" s="67" t="s">
        <v>2022</v>
      </c>
      <c r="FC250" s="67" t="s">
        <v>2023</v>
      </c>
      <c r="FD250" s="67" t="s">
        <v>2024</v>
      </c>
      <c r="FE250" s="68" t="s">
        <v>2025</v>
      </c>
      <c r="FF250" s="68" t="s">
        <v>2026</v>
      </c>
    </row>
    <row r="251" spans="151:162" x14ac:dyDescent="0.2">
      <c r="EU251" s="67">
        <v>564.6</v>
      </c>
      <c r="EV251" s="67" t="s">
        <v>2027</v>
      </c>
      <c r="EW251" s="67">
        <v>487.26</v>
      </c>
      <c r="EX251" s="67" t="s">
        <v>2028</v>
      </c>
      <c r="EY251" s="67">
        <v>5631.28</v>
      </c>
      <c r="EZ251" s="67" t="s">
        <v>2029</v>
      </c>
      <c r="FA251" s="67">
        <v>19867.973000000002</v>
      </c>
      <c r="FB251" s="67" t="s">
        <v>2030</v>
      </c>
      <c r="FC251" s="67" t="s">
        <v>2031</v>
      </c>
      <c r="FD251" s="67" t="s">
        <v>2032</v>
      </c>
      <c r="FE251" s="68" t="s">
        <v>2033</v>
      </c>
      <c r="FF251" s="68" t="s">
        <v>2034</v>
      </c>
    </row>
    <row r="252" spans="151:162" x14ac:dyDescent="0.2">
      <c r="EU252" s="67">
        <v>564.65</v>
      </c>
      <c r="EV252" s="67" t="s">
        <v>2035</v>
      </c>
      <c r="EW252" s="67">
        <v>487.36</v>
      </c>
      <c r="EX252" s="67" t="s">
        <v>2036</v>
      </c>
      <c r="EY252" s="67">
        <v>5631.28</v>
      </c>
      <c r="EZ252" s="67" t="s">
        <v>2037</v>
      </c>
      <c r="FA252" s="67">
        <v>19867.973000000002</v>
      </c>
      <c r="FB252" s="67" t="s">
        <v>2038</v>
      </c>
      <c r="FC252" s="67" t="s">
        <v>2039</v>
      </c>
      <c r="FD252" s="67" t="s">
        <v>2040</v>
      </c>
      <c r="FE252" s="68" t="s">
        <v>2041</v>
      </c>
      <c r="FF252" s="68" t="s">
        <v>2042</v>
      </c>
    </row>
    <row r="253" spans="151:162" x14ac:dyDescent="0.2">
      <c r="EU253" s="67">
        <v>564.70000000000005</v>
      </c>
      <c r="EV253" s="67" t="s">
        <v>2043</v>
      </c>
      <c r="EW253" s="67">
        <v>487.36</v>
      </c>
      <c r="EX253" s="67" t="s">
        <v>2044</v>
      </c>
      <c r="EY253" s="67">
        <v>5631.28</v>
      </c>
      <c r="EZ253" s="67" t="s">
        <v>2045</v>
      </c>
      <c r="FA253" s="67">
        <v>19867.973000000002</v>
      </c>
      <c r="FB253" s="67" t="s">
        <v>2046</v>
      </c>
      <c r="FC253" s="67" t="s">
        <v>2047</v>
      </c>
      <c r="FD253" s="67" t="s">
        <v>2048</v>
      </c>
      <c r="FE253" s="68" t="s">
        <v>2049</v>
      </c>
      <c r="FF253" s="68" t="s">
        <v>2050</v>
      </c>
    </row>
    <row r="254" spans="151:162" x14ac:dyDescent="0.2">
      <c r="EU254" s="67">
        <v>564.78</v>
      </c>
      <c r="EV254" s="67" t="s">
        <v>2051</v>
      </c>
      <c r="EW254" s="67">
        <v>487.47</v>
      </c>
      <c r="EX254" s="67" t="s">
        <v>2052</v>
      </c>
      <c r="EY254" s="67">
        <v>5631.28</v>
      </c>
      <c r="EZ254" s="67" t="s">
        <v>2053</v>
      </c>
      <c r="FA254" s="67">
        <v>19867.973000000002</v>
      </c>
      <c r="FB254" s="67" t="s">
        <v>2054</v>
      </c>
      <c r="FC254" s="67" t="s">
        <v>2055</v>
      </c>
      <c r="FD254" s="67" t="s">
        <v>2056</v>
      </c>
      <c r="FE254" s="68" t="s">
        <v>2057</v>
      </c>
      <c r="FF254" s="68" t="s">
        <v>2058</v>
      </c>
    </row>
    <row r="255" spans="151:162" x14ac:dyDescent="0.2">
      <c r="EU255" s="67">
        <v>564.85</v>
      </c>
      <c r="EV255" s="67" t="s">
        <v>2059</v>
      </c>
      <c r="EW255" s="67">
        <v>487.43</v>
      </c>
      <c r="EX255" s="67" t="s">
        <v>2060</v>
      </c>
      <c r="EY255" s="67">
        <v>5631.28</v>
      </c>
      <c r="EZ255" s="67" t="s">
        <v>2061</v>
      </c>
      <c r="FA255" s="67">
        <v>19867.973000000002</v>
      </c>
      <c r="FB255" s="67" t="s">
        <v>2062</v>
      </c>
      <c r="FC255" s="67" t="s">
        <v>2063</v>
      </c>
      <c r="FD255" s="67" t="s">
        <v>2064</v>
      </c>
      <c r="FE255" s="68" t="s">
        <v>2065</v>
      </c>
      <c r="FF255" s="68" t="s">
        <v>2066</v>
      </c>
    </row>
    <row r="256" spans="151:162" x14ac:dyDescent="0.2">
      <c r="EU256" s="67">
        <v>564.83000000000004</v>
      </c>
      <c r="EV256" s="67" t="s">
        <v>2067</v>
      </c>
      <c r="EW256" s="67">
        <v>487.48</v>
      </c>
      <c r="EX256" s="67" t="s">
        <v>2068</v>
      </c>
      <c r="EY256" s="67">
        <v>5631.28</v>
      </c>
      <c r="EZ256" s="67" t="s">
        <v>2069</v>
      </c>
      <c r="FA256" s="67">
        <v>19867.973000000002</v>
      </c>
      <c r="FB256" s="67" t="s">
        <v>2070</v>
      </c>
      <c r="FC256" s="67" t="s">
        <v>2071</v>
      </c>
      <c r="FD256" s="67" t="s">
        <v>2072</v>
      </c>
      <c r="FE256" s="68" t="s">
        <v>2073</v>
      </c>
      <c r="FF256" s="68" t="s">
        <v>2074</v>
      </c>
    </row>
    <row r="257" spans="151:162" x14ac:dyDescent="0.2">
      <c r="EU257" s="67">
        <v>564.9</v>
      </c>
      <c r="EV257" s="67" t="s">
        <v>2075</v>
      </c>
      <c r="EW257" s="67">
        <v>487.65</v>
      </c>
      <c r="EX257" s="67" t="s">
        <v>2076</v>
      </c>
      <c r="EY257" s="67">
        <v>5631.28</v>
      </c>
      <c r="EZ257" s="67" t="s">
        <v>2077</v>
      </c>
      <c r="FA257" s="67">
        <v>19867.973000000002</v>
      </c>
      <c r="FB257" s="67" t="s">
        <v>2078</v>
      </c>
      <c r="FC257" s="67" t="s">
        <v>2079</v>
      </c>
      <c r="FD257" s="67" t="s">
        <v>2080</v>
      </c>
      <c r="FE257" s="68" t="s">
        <v>2081</v>
      </c>
      <c r="FF257" s="68" t="s">
        <v>2082</v>
      </c>
    </row>
    <row r="258" spans="151:162" x14ac:dyDescent="0.2">
      <c r="EU258" s="67">
        <v>564.85</v>
      </c>
      <c r="EV258" s="67" t="s">
        <v>2083</v>
      </c>
      <c r="EW258" s="67">
        <v>487.54</v>
      </c>
      <c r="EX258" s="67" t="s">
        <v>2084</v>
      </c>
      <c r="EY258" s="67">
        <v>5631.28</v>
      </c>
      <c r="EZ258" s="67" t="s">
        <v>2085</v>
      </c>
      <c r="FA258" s="67">
        <v>19867.973000000002</v>
      </c>
      <c r="FB258" s="67" t="s">
        <v>2086</v>
      </c>
      <c r="FC258" s="67" t="s">
        <v>2087</v>
      </c>
      <c r="FD258" s="67" t="s">
        <v>2088</v>
      </c>
      <c r="FE258" s="68" t="s">
        <v>2089</v>
      </c>
      <c r="FF258" s="68" t="s">
        <v>2090</v>
      </c>
    </row>
    <row r="259" spans="151:162" x14ac:dyDescent="0.2">
      <c r="EU259" s="67">
        <v>564.89</v>
      </c>
      <c r="EV259" s="67" t="s">
        <v>2091</v>
      </c>
      <c r="EW259" s="67">
        <v>487.59</v>
      </c>
      <c r="EX259" s="67" t="s">
        <v>2092</v>
      </c>
      <c r="EY259" s="67">
        <v>5631.28</v>
      </c>
      <c r="EZ259" s="67" t="s">
        <v>2093</v>
      </c>
      <c r="FA259" s="67">
        <v>19867.973000000002</v>
      </c>
      <c r="FB259" s="67" t="s">
        <v>2094</v>
      </c>
      <c r="FC259" s="67" t="s">
        <v>2095</v>
      </c>
      <c r="FD259" s="67" t="s">
        <v>2096</v>
      </c>
      <c r="FE259" s="68" t="s">
        <v>2097</v>
      </c>
      <c r="FF259" s="68" t="s">
        <v>2098</v>
      </c>
    </row>
    <row r="260" spans="151:162" x14ac:dyDescent="0.2">
      <c r="EU260" s="67">
        <v>564.97</v>
      </c>
      <c r="EV260" s="67" t="s">
        <v>2099</v>
      </c>
      <c r="EW260" s="67">
        <v>487.57</v>
      </c>
      <c r="EX260" s="67" t="s">
        <v>2100</v>
      </c>
      <c r="EY260" s="67">
        <v>5631.28</v>
      </c>
      <c r="EZ260" s="67" t="s">
        <v>2101</v>
      </c>
      <c r="FA260" s="67">
        <v>19867.973000000002</v>
      </c>
      <c r="FB260" s="67" t="s">
        <v>2102</v>
      </c>
      <c r="FC260" s="67" t="s">
        <v>2103</v>
      </c>
      <c r="FD260" s="67" t="s">
        <v>2104</v>
      </c>
      <c r="FE260" s="68" t="s">
        <v>2105</v>
      </c>
      <c r="FF260" s="68" t="s">
        <v>2106</v>
      </c>
    </row>
    <row r="261" spans="151:162" x14ac:dyDescent="0.2">
      <c r="EU261" s="67">
        <v>564.97</v>
      </c>
      <c r="EV261" s="67" t="s">
        <v>2107</v>
      </c>
      <c r="EW261" s="67">
        <v>487.6</v>
      </c>
      <c r="EX261" s="67" t="s">
        <v>2108</v>
      </c>
      <c r="EY261" s="67">
        <v>5631.28</v>
      </c>
      <c r="EZ261" s="67" t="s">
        <v>2109</v>
      </c>
      <c r="FA261" s="67">
        <v>19867.973000000002</v>
      </c>
      <c r="FB261" s="67" t="s">
        <v>2110</v>
      </c>
      <c r="FC261" s="67" t="s">
        <v>2111</v>
      </c>
      <c r="FD261" s="67" t="s">
        <v>2112</v>
      </c>
      <c r="FE261" s="68" t="s">
        <v>2113</v>
      </c>
      <c r="FF261" s="68" t="s">
        <v>2114</v>
      </c>
    </row>
    <row r="262" spans="151:162" x14ac:dyDescent="0.2">
      <c r="EU262" s="67">
        <v>565.03</v>
      </c>
      <c r="EV262" s="67" t="s">
        <v>2115</v>
      </c>
      <c r="EW262" s="67">
        <v>487.67</v>
      </c>
      <c r="EX262" s="67" t="s">
        <v>2116</v>
      </c>
      <c r="EY262" s="67">
        <v>5631.28</v>
      </c>
      <c r="EZ262" s="67" t="s">
        <v>2117</v>
      </c>
      <c r="FA262" s="67">
        <v>19867.973000000002</v>
      </c>
      <c r="FB262" s="67" t="s">
        <v>2118</v>
      </c>
      <c r="FC262" s="67" t="s">
        <v>2119</v>
      </c>
      <c r="FD262" s="67" t="s">
        <v>2120</v>
      </c>
      <c r="FE262" s="68" t="s">
        <v>2121</v>
      </c>
      <c r="FF262" s="68" t="s">
        <v>2122</v>
      </c>
    </row>
    <row r="263" spans="151:162" x14ac:dyDescent="0.2">
      <c r="EU263" s="67">
        <v>565.04</v>
      </c>
      <c r="EV263" s="67" t="s">
        <v>2123</v>
      </c>
      <c r="EW263" s="67">
        <v>487.77</v>
      </c>
      <c r="EX263" s="67" t="s">
        <v>2124</v>
      </c>
      <c r="EY263" s="67">
        <v>5631.28</v>
      </c>
      <c r="EZ263" s="67" t="s">
        <v>2125</v>
      </c>
      <c r="FA263" s="67">
        <v>19867.973000000002</v>
      </c>
      <c r="FB263" s="67" t="s">
        <v>2126</v>
      </c>
      <c r="FC263" s="67" t="s">
        <v>2127</v>
      </c>
      <c r="FD263" s="67" t="s">
        <v>2128</v>
      </c>
      <c r="FE263" s="68" t="s">
        <v>2129</v>
      </c>
      <c r="FF263" s="68" t="s">
        <v>2130</v>
      </c>
    </row>
    <row r="264" spans="151:162" x14ac:dyDescent="0.2">
      <c r="EU264" s="67">
        <v>565.09</v>
      </c>
      <c r="EV264" s="67" t="s">
        <v>2131</v>
      </c>
      <c r="EW264" s="67">
        <v>487.78</v>
      </c>
      <c r="EX264" s="67" t="s">
        <v>2132</v>
      </c>
      <c r="EY264" s="67">
        <v>5631.28</v>
      </c>
      <c r="EZ264" s="67" t="s">
        <v>2133</v>
      </c>
      <c r="FA264" s="67">
        <v>19867.973000000002</v>
      </c>
      <c r="FB264" s="67" t="s">
        <v>2134</v>
      </c>
      <c r="FC264" s="67" t="s">
        <v>2135</v>
      </c>
      <c r="FD264" s="67" t="s">
        <v>2136</v>
      </c>
      <c r="FE264" s="68" t="s">
        <v>2137</v>
      </c>
      <c r="FF264" s="68" t="s">
        <v>2138</v>
      </c>
    </row>
    <row r="265" spans="151:162" x14ac:dyDescent="0.2">
      <c r="EU265" s="67">
        <v>565.1</v>
      </c>
      <c r="EV265" s="67" t="s">
        <v>2139</v>
      </c>
      <c r="EW265" s="67">
        <v>487.76</v>
      </c>
      <c r="EX265" s="67" t="s">
        <v>2140</v>
      </c>
      <c r="EY265" s="67">
        <v>5631.28</v>
      </c>
      <c r="EZ265" s="67" t="s">
        <v>2141</v>
      </c>
      <c r="FA265" s="67">
        <v>19867.973000000002</v>
      </c>
      <c r="FB265" s="67" t="s">
        <v>2142</v>
      </c>
      <c r="FC265" s="67" t="s">
        <v>2143</v>
      </c>
      <c r="FD265" s="67" t="s">
        <v>2144</v>
      </c>
      <c r="FE265" s="68" t="s">
        <v>2145</v>
      </c>
      <c r="FF265" s="68" t="s">
        <v>2146</v>
      </c>
    </row>
    <row r="266" spans="151:162" x14ac:dyDescent="0.2">
      <c r="EU266" s="67">
        <v>565.21</v>
      </c>
      <c r="EV266" s="67" t="s">
        <v>2147</v>
      </c>
      <c r="EW266" s="67">
        <v>487.96</v>
      </c>
      <c r="EX266" s="67" t="s">
        <v>2148</v>
      </c>
      <c r="EY266" s="67">
        <v>5631.28</v>
      </c>
      <c r="EZ266" s="67" t="s">
        <v>2149</v>
      </c>
      <c r="FA266" s="67">
        <v>19867.973000000002</v>
      </c>
      <c r="FB266" s="67" t="s">
        <v>2150</v>
      </c>
      <c r="FC266" s="67" t="s">
        <v>2151</v>
      </c>
      <c r="FD266" s="67" t="s">
        <v>2152</v>
      </c>
      <c r="FE266" s="68" t="s">
        <v>2153</v>
      </c>
      <c r="FF266" s="68" t="s">
        <v>2154</v>
      </c>
    </row>
    <row r="267" spans="151:162" x14ac:dyDescent="0.2">
      <c r="EU267" s="67">
        <v>565.64</v>
      </c>
      <c r="EV267" s="67" t="s">
        <v>2155</v>
      </c>
      <c r="EW267" s="67">
        <v>488.24</v>
      </c>
      <c r="EX267" s="67" t="s">
        <v>2156</v>
      </c>
      <c r="EY267" s="67">
        <v>5631.28</v>
      </c>
      <c r="EZ267" s="67" t="s">
        <v>2157</v>
      </c>
      <c r="FA267" s="67">
        <v>19867.973000000002</v>
      </c>
      <c r="FB267" s="67" t="s">
        <v>2158</v>
      </c>
      <c r="FC267" s="67" t="s">
        <v>2159</v>
      </c>
      <c r="FD267" s="67" t="s">
        <v>2160</v>
      </c>
      <c r="FE267" s="68" t="s">
        <v>2161</v>
      </c>
      <c r="FF267" s="68" t="s">
        <v>2162</v>
      </c>
    </row>
    <row r="268" spans="151:162" x14ac:dyDescent="0.2">
      <c r="EU268" s="67">
        <v>565.76</v>
      </c>
      <c r="EV268" s="67" t="s">
        <v>2163</v>
      </c>
      <c r="EW268" s="67">
        <v>488.34</v>
      </c>
      <c r="EX268" s="67" t="s">
        <v>2164</v>
      </c>
      <c r="EY268" s="67">
        <v>5631.28</v>
      </c>
      <c r="EZ268" s="67" t="s">
        <v>2165</v>
      </c>
      <c r="FA268" s="67">
        <v>19867.973000000002</v>
      </c>
      <c r="FB268" s="67" t="s">
        <v>2166</v>
      </c>
      <c r="FC268" s="67" t="s">
        <v>2167</v>
      </c>
      <c r="FD268" s="67" t="s">
        <v>2168</v>
      </c>
      <c r="FE268" s="68" t="s">
        <v>2169</v>
      </c>
      <c r="FF268" s="68" t="s">
        <v>2170</v>
      </c>
    </row>
    <row r="269" spans="151:162" x14ac:dyDescent="0.2">
      <c r="EU269" s="67">
        <v>565.75</v>
      </c>
      <c r="EV269" s="67" t="s">
        <v>2171</v>
      </c>
      <c r="EW269" s="67">
        <v>488.35</v>
      </c>
      <c r="EX269" s="67" t="s">
        <v>2172</v>
      </c>
      <c r="EY269" s="67">
        <v>5631.28</v>
      </c>
      <c r="EZ269" s="67" t="s">
        <v>2173</v>
      </c>
      <c r="FA269" s="67">
        <v>19867.973000000002</v>
      </c>
      <c r="FB269" s="67" t="s">
        <v>2174</v>
      </c>
      <c r="FC269" s="67" t="s">
        <v>2175</v>
      </c>
      <c r="FD269" s="67" t="s">
        <v>2176</v>
      </c>
      <c r="FE269" s="68" t="s">
        <v>2177</v>
      </c>
      <c r="FF269" s="68" t="s">
        <v>2178</v>
      </c>
    </row>
    <row r="270" spans="151:162" x14ac:dyDescent="0.2">
      <c r="EU270" s="67">
        <v>565.66</v>
      </c>
      <c r="EV270" s="67" t="s">
        <v>2179</v>
      </c>
      <c r="EW270" s="67">
        <v>488.25</v>
      </c>
      <c r="EX270" s="67" t="s">
        <v>2180</v>
      </c>
      <c r="EY270" s="67">
        <v>5631.28</v>
      </c>
      <c r="EZ270" s="67" t="s">
        <v>2181</v>
      </c>
      <c r="FA270" s="67">
        <v>19867.973000000002</v>
      </c>
      <c r="FB270" s="67" t="s">
        <v>2182</v>
      </c>
      <c r="FC270" s="67" t="s">
        <v>2183</v>
      </c>
      <c r="FD270" s="67" t="s">
        <v>2184</v>
      </c>
      <c r="FE270" s="68" t="s">
        <v>2185</v>
      </c>
      <c r="FF270" s="68" t="s">
        <v>2186</v>
      </c>
    </row>
    <row r="271" spans="151:162" x14ac:dyDescent="0.2">
      <c r="EU271" s="67">
        <v>565.54</v>
      </c>
      <c r="EV271" s="67" t="s">
        <v>2187</v>
      </c>
      <c r="EW271" s="67">
        <v>488.26</v>
      </c>
      <c r="EX271" s="67" t="s">
        <v>2188</v>
      </c>
      <c r="EY271" s="67">
        <v>5631.28</v>
      </c>
      <c r="EZ271" s="67" t="s">
        <v>2189</v>
      </c>
      <c r="FA271" s="67">
        <v>19867.973000000002</v>
      </c>
      <c r="FB271" s="67" t="s">
        <v>2190</v>
      </c>
      <c r="FC271" s="67" t="s">
        <v>2191</v>
      </c>
      <c r="FD271" s="67" t="s">
        <v>2192</v>
      </c>
      <c r="FE271" s="68" t="s">
        <v>2193</v>
      </c>
      <c r="FF271" s="68" t="s">
        <v>2194</v>
      </c>
    </row>
    <row r="272" spans="151:162" x14ac:dyDescent="0.2">
      <c r="EU272" s="67">
        <v>565.55999999999995</v>
      </c>
      <c r="EV272" s="67" t="s">
        <v>2195</v>
      </c>
      <c r="EW272" s="67">
        <v>488.26</v>
      </c>
      <c r="EX272" s="67" t="s">
        <v>2196</v>
      </c>
      <c r="EY272" s="67">
        <v>5631.28</v>
      </c>
      <c r="EZ272" s="67" t="s">
        <v>2197</v>
      </c>
      <c r="FA272" s="67">
        <v>19867.973000000002</v>
      </c>
      <c r="FB272" s="67" t="s">
        <v>2198</v>
      </c>
      <c r="FC272" s="67" t="s">
        <v>2199</v>
      </c>
      <c r="FD272" s="67" t="s">
        <v>2200</v>
      </c>
      <c r="FE272" s="68" t="s">
        <v>2201</v>
      </c>
      <c r="FF272" s="68" t="s">
        <v>2202</v>
      </c>
    </row>
    <row r="273" spans="151:162" x14ac:dyDescent="0.2">
      <c r="EU273" s="67">
        <v>565.57000000000005</v>
      </c>
      <c r="EV273" s="67" t="s">
        <v>2203</v>
      </c>
      <c r="EW273" s="67">
        <v>488.25</v>
      </c>
      <c r="EX273" s="67" t="s">
        <v>2204</v>
      </c>
      <c r="EY273" s="67">
        <v>5631.28</v>
      </c>
      <c r="EZ273" s="67" t="s">
        <v>2205</v>
      </c>
      <c r="FA273" s="67">
        <v>19867.973000000002</v>
      </c>
      <c r="FB273" s="67" t="s">
        <v>2206</v>
      </c>
      <c r="FC273" s="67" t="s">
        <v>2207</v>
      </c>
      <c r="FD273" s="67" t="s">
        <v>2208</v>
      </c>
      <c r="FE273" s="68" t="s">
        <v>2209</v>
      </c>
      <c r="FF273" s="68" t="s">
        <v>2210</v>
      </c>
    </row>
    <row r="274" spans="151:162" x14ac:dyDescent="0.2">
      <c r="EU274" s="67">
        <v>565.57000000000005</v>
      </c>
      <c r="EV274" s="67" t="s">
        <v>2211</v>
      </c>
      <c r="EW274" s="67">
        <v>488.18</v>
      </c>
      <c r="EX274" s="67" t="s">
        <v>2212</v>
      </c>
      <c r="EY274" s="67">
        <v>5631.28</v>
      </c>
      <c r="EZ274" s="67" t="s">
        <v>2213</v>
      </c>
      <c r="FA274" s="67">
        <v>19867.973000000002</v>
      </c>
      <c r="FB274" s="67" t="s">
        <v>2214</v>
      </c>
      <c r="FC274" s="67" t="s">
        <v>2215</v>
      </c>
      <c r="FD274" s="67" t="s">
        <v>2216</v>
      </c>
      <c r="FE274" s="68" t="s">
        <v>2217</v>
      </c>
      <c r="FF274" s="68" t="s">
        <v>2218</v>
      </c>
    </row>
    <row r="275" spans="151:162" x14ac:dyDescent="0.2">
      <c r="EU275" s="67">
        <v>565.57000000000005</v>
      </c>
      <c r="EV275" s="67" t="s">
        <v>2219</v>
      </c>
      <c r="EW275" s="67">
        <v>488.17</v>
      </c>
      <c r="EX275" s="67" t="s">
        <v>2220</v>
      </c>
      <c r="EY275" s="67">
        <v>5631.28</v>
      </c>
      <c r="EZ275" s="67" t="s">
        <v>2221</v>
      </c>
      <c r="FA275" s="67">
        <v>19867.973000000002</v>
      </c>
      <c r="FB275" s="67" t="s">
        <v>2222</v>
      </c>
      <c r="FC275" s="67" t="s">
        <v>2223</v>
      </c>
      <c r="FD275" s="67" t="s">
        <v>2224</v>
      </c>
      <c r="FE275" s="68" t="s">
        <v>2225</v>
      </c>
      <c r="FF275" s="68" t="s">
        <v>2226</v>
      </c>
    </row>
    <row r="276" spans="151:162" x14ac:dyDescent="0.2">
      <c r="EU276" s="67">
        <v>565.45000000000005</v>
      </c>
      <c r="EV276" s="67" t="s">
        <v>2227</v>
      </c>
      <c r="EW276" s="67">
        <v>488.06</v>
      </c>
      <c r="EX276" s="67" t="s">
        <v>2228</v>
      </c>
      <c r="EY276" s="67">
        <v>5631.28</v>
      </c>
      <c r="EZ276" s="67" t="s">
        <v>2229</v>
      </c>
      <c r="FA276" s="67">
        <v>19867.973000000002</v>
      </c>
      <c r="FB276" s="67" t="s">
        <v>2230</v>
      </c>
      <c r="FC276" s="67" t="s">
        <v>2231</v>
      </c>
      <c r="FD276" s="67" t="s">
        <v>2232</v>
      </c>
      <c r="FE276" s="68" t="s">
        <v>2233</v>
      </c>
      <c r="FF276" s="68" t="s">
        <v>2234</v>
      </c>
    </row>
    <row r="277" spans="151:162" x14ac:dyDescent="0.2">
      <c r="EU277" s="67">
        <v>565.61</v>
      </c>
      <c r="EV277" s="67" t="s">
        <v>2235</v>
      </c>
      <c r="EW277" s="67">
        <v>488.29</v>
      </c>
      <c r="EX277" s="67" t="s">
        <v>2236</v>
      </c>
      <c r="EY277" s="67">
        <v>5631.28</v>
      </c>
      <c r="EZ277" s="67" t="s">
        <v>2237</v>
      </c>
      <c r="FA277" s="67">
        <v>19867.973000000002</v>
      </c>
      <c r="FB277" s="67" t="s">
        <v>2238</v>
      </c>
      <c r="FC277" s="67" t="s">
        <v>2239</v>
      </c>
      <c r="FD277" s="67" t="s">
        <v>2240</v>
      </c>
      <c r="FE277" s="68" t="s">
        <v>2241</v>
      </c>
      <c r="FF277" s="68" t="s">
        <v>2242</v>
      </c>
    </row>
    <row r="278" spans="151:162" x14ac:dyDescent="0.2">
      <c r="EU278" s="67">
        <v>565.64</v>
      </c>
      <c r="EV278" s="67" t="s">
        <v>2243</v>
      </c>
      <c r="EW278" s="67">
        <v>488.35</v>
      </c>
      <c r="EX278" s="67" t="s">
        <v>2244</v>
      </c>
      <c r="EY278" s="67">
        <v>5631.28</v>
      </c>
      <c r="EZ278" s="67" t="s">
        <v>2245</v>
      </c>
      <c r="FA278" s="67">
        <v>19867.973000000002</v>
      </c>
      <c r="FB278" s="67" t="s">
        <v>2246</v>
      </c>
      <c r="FC278" s="67" t="s">
        <v>2247</v>
      </c>
      <c r="FD278" s="67" t="s">
        <v>2248</v>
      </c>
      <c r="FE278" s="68" t="s">
        <v>2249</v>
      </c>
      <c r="FF278" s="68" t="s">
        <v>2250</v>
      </c>
    </row>
    <row r="279" spans="151:162" x14ac:dyDescent="0.2">
      <c r="EU279" s="67">
        <v>565.66</v>
      </c>
      <c r="EV279" s="67" t="s">
        <v>2251</v>
      </c>
      <c r="EW279" s="67">
        <v>488.43</v>
      </c>
      <c r="EX279" s="67" t="s">
        <v>2252</v>
      </c>
      <c r="EY279" s="67">
        <v>5631.28</v>
      </c>
      <c r="EZ279" s="67" t="s">
        <v>2253</v>
      </c>
      <c r="FA279" s="67">
        <v>19867.973000000002</v>
      </c>
      <c r="FB279" s="67" t="s">
        <v>2254</v>
      </c>
      <c r="FC279" s="67" t="s">
        <v>2255</v>
      </c>
      <c r="FD279" s="67" t="s">
        <v>2256</v>
      </c>
      <c r="FE279" s="68" t="s">
        <v>2257</v>
      </c>
      <c r="FF279" s="68" t="s">
        <v>2258</v>
      </c>
    </row>
    <row r="280" spans="151:162" x14ac:dyDescent="0.2">
      <c r="EU280" s="67">
        <v>565.61</v>
      </c>
      <c r="EV280" s="67" t="s">
        <v>2259</v>
      </c>
      <c r="EW280" s="67">
        <v>488.3</v>
      </c>
      <c r="EX280" s="67" t="s">
        <v>2260</v>
      </c>
      <c r="EY280" s="67">
        <v>5631.28</v>
      </c>
      <c r="EZ280" s="67" t="s">
        <v>2261</v>
      </c>
      <c r="FA280" s="67">
        <v>19867.973000000002</v>
      </c>
      <c r="FB280" s="67" t="s">
        <v>2262</v>
      </c>
      <c r="FC280" s="67" t="s">
        <v>2263</v>
      </c>
      <c r="FD280" s="67" t="s">
        <v>2264</v>
      </c>
      <c r="FE280" s="68" t="s">
        <v>2265</v>
      </c>
      <c r="FF280" s="68" t="s">
        <v>2266</v>
      </c>
    </row>
    <row r="281" spans="151:162" x14ac:dyDescent="0.2">
      <c r="EU281" s="67">
        <v>565.62</v>
      </c>
      <c r="EV281" s="67" t="s">
        <v>2267</v>
      </c>
      <c r="EW281" s="67">
        <v>488.31</v>
      </c>
      <c r="EX281" s="67" t="s">
        <v>2268</v>
      </c>
      <c r="EY281" s="67">
        <v>5631.28</v>
      </c>
      <c r="EZ281" s="67" t="s">
        <v>2269</v>
      </c>
      <c r="FA281" s="67">
        <v>19867.973000000002</v>
      </c>
      <c r="FB281" s="67" t="s">
        <v>2270</v>
      </c>
      <c r="FC281" s="67" t="s">
        <v>2271</v>
      </c>
      <c r="FD281" s="67" t="s">
        <v>2272</v>
      </c>
      <c r="FE281" s="68" t="s">
        <v>2273</v>
      </c>
      <c r="FF281" s="68" t="s">
        <v>2274</v>
      </c>
    </row>
    <row r="282" spans="151:162" x14ac:dyDescent="0.2">
      <c r="EU282" s="67">
        <v>565.69000000000005</v>
      </c>
      <c r="EV282" s="67" t="s">
        <v>2275</v>
      </c>
      <c r="EW282" s="67">
        <v>488.38</v>
      </c>
      <c r="EX282" s="67" t="s">
        <v>2276</v>
      </c>
      <c r="EY282" s="67">
        <v>5631.28</v>
      </c>
      <c r="EZ282" s="67" t="s">
        <v>2277</v>
      </c>
      <c r="FA282" s="67">
        <v>19867.973000000002</v>
      </c>
      <c r="FB282" s="67" t="s">
        <v>2278</v>
      </c>
      <c r="FC282" s="67" t="s">
        <v>2279</v>
      </c>
      <c r="FD282" s="67" t="s">
        <v>2280</v>
      </c>
      <c r="FE282" s="68" t="s">
        <v>2281</v>
      </c>
      <c r="FF282" s="68" t="s">
        <v>2282</v>
      </c>
    </row>
    <row r="283" spans="151:162" x14ac:dyDescent="0.2">
      <c r="EU283" s="67">
        <v>565.67999999999995</v>
      </c>
      <c r="EV283" s="67" t="s">
        <v>2283</v>
      </c>
      <c r="EW283" s="67">
        <v>488.36</v>
      </c>
      <c r="EX283" s="67" t="s">
        <v>2284</v>
      </c>
      <c r="EY283" s="67">
        <v>5631.28</v>
      </c>
      <c r="EZ283" s="67" t="s">
        <v>2285</v>
      </c>
      <c r="FA283" s="67">
        <v>19867.973000000002</v>
      </c>
      <c r="FB283" s="67" t="s">
        <v>2286</v>
      </c>
      <c r="FC283" s="67" t="s">
        <v>2287</v>
      </c>
      <c r="FD283" s="67" t="s">
        <v>2288</v>
      </c>
      <c r="FE283" s="68" t="s">
        <v>2289</v>
      </c>
      <c r="FF283" s="68" t="s">
        <v>2290</v>
      </c>
    </row>
    <row r="284" spans="151:162" x14ac:dyDescent="0.2">
      <c r="EU284" s="67">
        <v>565.70000000000005</v>
      </c>
      <c r="EV284" s="67" t="s">
        <v>2291</v>
      </c>
      <c r="EW284" s="67">
        <v>488.32</v>
      </c>
      <c r="EX284" s="67" t="s">
        <v>2292</v>
      </c>
      <c r="EY284" s="67">
        <v>5631.28</v>
      </c>
      <c r="EZ284" s="67" t="s">
        <v>2293</v>
      </c>
      <c r="FA284" s="67">
        <v>19867.973000000002</v>
      </c>
      <c r="FB284" s="67" t="s">
        <v>2294</v>
      </c>
      <c r="FC284" s="67" t="s">
        <v>2295</v>
      </c>
      <c r="FD284" s="67" t="s">
        <v>2296</v>
      </c>
      <c r="FE284" s="68" t="s">
        <v>2297</v>
      </c>
      <c r="FF284" s="68" t="s">
        <v>2298</v>
      </c>
    </row>
    <row r="285" spans="151:162" x14ac:dyDescent="0.2">
      <c r="EU285" s="67">
        <v>565.61</v>
      </c>
      <c r="EV285" s="67" t="s">
        <v>2299</v>
      </c>
      <c r="EW285" s="67">
        <v>488.23</v>
      </c>
      <c r="EX285" s="67" t="s">
        <v>2300</v>
      </c>
      <c r="EY285" s="67">
        <v>5631.28</v>
      </c>
      <c r="EZ285" s="67" t="s">
        <v>2301</v>
      </c>
      <c r="FA285" s="67">
        <v>19867.973000000002</v>
      </c>
      <c r="FB285" s="67" t="s">
        <v>2302</v>
      </c>
      <c r="FC285" s="67" t="s">
        <v>2303</v>
      </c>
      <c r="FD285" s="67" t="s">
        <v>2304</v>
      </c>
      <c r="FE285" s="68" t="s">
        <v>2305</v>
      </c>
      <c r="FF285" s="68" t="s">
        <v>2306</v>
      </c>
    </row>
    <row r="286" spans="151:162" x14ac:dyDescent="0.2">
      <c r="EU286" s="67">
        <v>565.42999999999995</v>
      </c>
      <c r="EV286" s="67" t="s">
        <v>2307</v>
      </c>
      <c r="EW286" s="67">
        <v>488.12</v>
      </c>
      <c r="EX286" s="67" t="s">
        <v>2308</v>
      </c>
      <c r="EY286" s="67">
        <v>5631.28</v>
      </c>
      <c r="EZ286" s="67" t="s">
        <v>2309</v>
      </c>
      <c r="FA286" s="67">
        <v>19867.973000000002</v>
      </c>
      <c r="FB286" s="67" t="s">
        <v>2310</v>
      </c>
      <c r="FC286" s="67" t="s">
        <v>2311</v>
      </c>
      <c r="FD286" s="67" t="s">
        <v>2312</v>
      </c>
      <c r="FE286" s="68" t="s">
        <v>2313</v>
      </c>
      <c r="FF286" s="68" t="s">
        <v>2314</v>
      </c>
    </row>
    <row r="287" spans="151:162" x14ac:dyDescent="0.2">
      <c r="EU287" s="67">
        <v>565.5</v>
      </c>
      <c r="EV287" s="67" t="s">
        <v>2315</v>
      </c>
      <c r="EW287" s="67">
        <v>488.2</v>
      </c>
      <c r="EX287" s="67" t="s">
        <v>2316</v>
      </c>
      <c r="EY287" s="67">
        <v>5631.28</v>
      </c>
      <c r="EZ287" s="67" t="s">
        <v>2317</v>
      </c>
      <c r="FA287" s="67">
        <v>19867.973000000002</v>
      </c>
      <c r="FB287" s="67" t="s">
        <v>2318</v>
      </c>
      <c r="FC287" s="67" t="s">
        <v>2319</v>
      </c>
      <c r="FD287" s="67" t="s">
        <v>2320</v>
      </c>
      <c r="FE287" s="68" t="s">
        <v>2321</v>
      </c>
      <c r="FF287" s="68" t="s">
        <v>2322</v>
      </c>
    </row>
    <row r="288" spans="151:162" x14ac:dyDescent="0.2">
      <c r="EU288" s="67">
        <v>565.52</v>
      </c>
      <c r="EV288" s="67" t="s">
        <v>2323</v>
      </c>
      <c r="EW288" s="67">
        <v>488.27</v>
      </c>
      <c r="EX288" s="67" t="s">
        <v>2324</v>
      </c>
      <c r="EY288" s="67">
        <v>5631.28</v>
      </c>
      <c r="EZ288" s="67" t="s">
        <v>2325</v>
      </c>
      <c r="FA288" s="67">
        <v>19867.973000000002</v>
      </c>
      <c r="FB288" s="67" t="s">
        <v>2326</v>
      </c>
      <c r="FC288" s="67" t="s">
        <v>2327</v>
      </c>
      <c r="FD288" s="67" t="s">
        <v>2328</v>
      </c>
      <c r="FE288" s="68" t="s">
        <v>2329</v>
      </c>
      <c r="FF288" s="68" t="s">
        <v>2330</v>
      </c>
    </row>
    <row r="289" spans="151:162" x14ac:dyDescent="0.2">
      <c r="EU289" s="67">
        <v>565.6</v>
      </c>
      <c r="EV289" s="67" t="s">
        <v>2331</v>
      </c>
      <c r="EW289" s="67">
        <v>488.33</v>
      </c>
      <c r="EX289" s="67" t="s">
        <v>2332</v>
      </c>
      <c r="EY289" s="67">
        <v>5631.28</v>
      </c>
      <c r="EZ289" s="67" t="s">
        <v>2333</v>
      </c>
      <c r="FA289" s="67">
        <v>19867.973000000002</v>
      </c>
      <c r="FB289" s="67" t="s">
        <v>2334</v>
      </c>
      <c r="FC289" s="67" t="s">
        <v>2335</v>
      </c>
      <c r="FD289" s="67" t="s">
        <v>2336</v>
      </c>
      <c r="FE289" s="68" t="s">
        <v>2337</v>
      </c>
      <c r="FF289" s="68" t="s">
        <v>2338</v>
      </c>
    </row>
    <row r="290" spans="151:162" x14ac:dyDescent="0.2">
      <c r="EU290" s="67">
        <v>565.85</v>
      </c>
      <c r="EV290" s="67" t="s">
        <v>2339</v>
      </c>
      <c r="EW290" s="67">
        <v>488.47</v>
      </c>
      <c r="EX290" s="67" t="s">
        <v>2340</v>
      </c>
      <c r="EY290" s="67">
        <v>5631.28</v>
      </c>
      <c r="EZ290" s="67" t="s">
        <v>2341</v>
      </c>
      <c r="FA290" s="67">
        <v>19867.973000000002</v>
      </c>
      <c r="FB290" s="67" t="s">
        <v>2342</v>
      </c>
      <c r="FC290" s="67" t="s">
        <v>2343</v>
      </c>
      <c r="FD290" s="67" t="s">
        <v>2344</v>
      </c>
      <c r="FE290" s="68" t="s">
        <v>2345</v>
      </c>
      <c r="FF290" s="68" t="s">
        <v>2346</v>
      </c>
    </row>
    <row r="291" spans="151:162" x14ac:dyDescent="0.2">
      <c r="EU291" s="67">
        <v>565.83000000000004</v>
      </c>
      <c r="EV291" s="67" t="s">
        <v>2347</v>
      </c>
      <c r="EW291" s="67">
        <v>488.52</v>
      </c>
      <c r="EX291" s="67" t="s">
        <v>2348</v>
      </c>
      <c r="EY291" s="67">
        <v>5631.28</v>
      </c>
      <c r="EZ291" s="67" t="s">
        <v>2349</v>
      </c>
      <c r="FA291" s="67">
        <v>19867.973000000002</v>
      </c>
      <c r="FB291" s="67" t="s">
        <v>2350</v>
      </c>
      <c r="FC291" s="67" t="s">
        <v>2351</v>
      </c>
      <c r="FD291" s="67" t="s">
        <v>2352</v>
      </c>
      <c r="FE291" s="68" t="s">
        <v>2353</v>
      </c>
      <c r="FF291" s="68" t="s">
        <v>2354</v>
      </c>
    </row>
    <row r="292" spans="151:162" x14ac:dyDescent="0.2">
      <c r="EU292" s="67">
        <v>565.79</v>
      </c>
      <c r="EV292" s="67" t="s">
        <v>2355</v>
      </c>
      <c r="EW292" s="67">
        <v>488.4</v>
      </c>
      <c r="EX292" s="67" t="s">
        <v>2356</v>
      </c>
      <c r="EY292" s="67">
        <v>5631.28</v>
      </c>
      <c r="EZ292" s="67" t="s">
        <v>2357</v>
      </c>
      <c r="FA292" s="67">
        <v>19867.973000000002</v>
      </c>
      <c r="FB292" s="67" t="s">
        <v>2358</v>
      </c>
      <c r="FC292" s="67" t="s">
        <v>2359</v>
      </c>
      <c r="FD292" s="67" t="s">
        <v>2360</v>
      </c>
      <c r="FE292" s="68" t="s">
        <v>2361</v>
      </c>
      <c r="FF292" s="68" t="s">
        <v>2362</v>
      </c>
    </row>
    <row r="293" spans="151:162" x14ac:dyDescent="0.2">
      <c r="EU293" s="67">
        <v>565.9</v>
      </c>
      <c r="EV293" s="67" t="s">
        <v>2363</v>
      </c>
      <c r="EW293" s="67">
        <v>488.39</v>
      </c>
      <c r="EX293" s="67" t="s">
        <v>2364</v>
      </c>
      <c r="EY293" s="67">
        <v>5631.28</v>
      </c>
      <c r="EZ293" s="67" t="s">
        <v>2365</v>
      </c>
      <c r="FA293" s="67">
        <v>19867.973000000002</v>
      </c>
      <c r="FB293" s="67" t="s">
        <v>2366</v>
      </c>
      <c r="FC293" s="67" t="s">
        <v>2367</v>
      </c>
      <c r="FD293" s="67" t="s">
        <v>2368</v>
      </c>
      <c r="FE293" s="68" t="s">
        <v>2369</v>
      </c>
      <c r="FF293" s="68" t="s">
        <v>2370</v>
      </c>
    </row>
    <row r="294" spans="151:162" x14ac:dyDescent="0.2">
      <c r="EU294" s="67">
        <v>565.88</v>
      </c>
      <c r="EV294" s="67" t="s">
        <v>2371</v>
      </c>
      <c r="EW294" s="67">
        <v>488.47</v>
      </c>
      <c r="EX294" s="67" t="s">
        <v>2372</v>
      </c>
      <c r="EY294" s="67">
        <v>5631.28</v>
      </c>
      <c r="EZ294" s="67" t="s">
        <v>2373</v>
      </c>
      <c r="FA294" s="67">
        <v>19867.973000000002</v>
      </c>
      <c r="FB294" s="67" t="s">
        <v>2374</v>
      </c>
      <c r="FC294" s="67" t="s">
        <v>2375</v>
      </c>
      <c r="FD294" s="67" t="s">
        <v>2376</v>
      </c>
      <c r="FE294" s="68" t="s">
        <v>2377</v>
      </c>
      <c r="FF294" s="68" t="s">
        <v>2378</v>
      </c>
    </row>
    <row r="295" spans="151:162" x14ac:dyDescent="0.2">
      <c r="EU295" s="67">
        <v>565.91999999999996</v>
      </c>
      <c r="EV295" s="67" t="s">
        <v>2379</v>
      </c>
      <c r="EW295" s="67">
        <v>488.46</v>
      </c>
      <c r="EX295" s="67" t="s">
        <v>2380</v>
      </c>
      <c r="EY295" s="67">
        <v>5631.28</v>
      </c>
      <c r="EZ295" s="67" t="s">
        <v>2381</v>
      </c>
      <c r="FA295" s="67">
        <v>19867.973000000002</v>
      </c>
      <c r="FB295" s="67" t="s">
        <v>2382</v>
      </c>
      <c r="FC295" s="67" t="s">
        <v>2383</v>
      </c>
      <c r="FD295" s="67" t="s">
        <v>2384</v>
      </c>
      <c r="FE295" s="68" t="s">
        <v>2385</v>
      </c>
      <c r="FF295" s="68" t="s">
        <v>2386</v>
      </c>
    </row>
    <row r="296" spans="151:162" x14ac:dyDescent="0.2">
      <c r="EU296" s="67">
        <v>565.96</v>
      </c>
      <c r="EV296" s="67" t="s">
        <v>2387</v>
      </c>
      <c r="EW296" s="67">
        <v>488.6</v>
      </c>
      <c r="EX296" s="67" t="s">
        <v>2388</v>
      </c>
      <c r="EY296" s="67">
        <v>5631.28</v>
      </c>
      <c r="EZ296" s="67" t="s">
        <v>2389</v>
      </c>
      <c r="FA296" s="67">
        <v>19867.973000000002</v>
      </c>
      <c r="FB296" s="67" t="s">
        <v>2390</v>
      </c>
      <c r="FC296" s="67" t="s">
        <v>2391</v>
      </c>
      <c r="FD296" s="67" t="s">
        <v>2392</v>
      </c>
      <c r="FE296" s="68" t="s">
        <v>2393</v>
      </c>
      <c r="FF296" s="68" t="s">
        <v>2394</v>
      </c>
    </row>
    <row r="297" spans="151:162" x14ac:dyDescent="0.2">
      <c r="EU297" s="67">
        <v>565.96</v>
      </c>
      <c r="EV297" s="67" t="s">
        <v>2395</v>
      </c>
      <c r="EW297" s="67">
        <v>488.57</v>
      </c>
      <c r="EX297" s="67" t="s">
        <v>2396</v>
      </c>
      <c r="EY297" s="67">
        <v>5631.28</v>
      </c>
      <c r="EZ297" s="67" t="s">
        <v>2397</v>
      </c>
      <c r="FA297" s="67">
        <v>19867.973000000002</v>
      </c>
      <c r="FB297" s="67" t="s">
        <v>2398</v>
      </c>
      <c r="FC297" s="67" t="s">
        <v>2399</v>
      </c>
      <c r="FD297" s="67" t="s">
        <v>2400</v>
      </c>
      <c r="FE297" s="68" t="s">
        <v>2401</v>
      </c>
      <c r="FF297" s="68" t="s">
        <v>2402</v>
      </c>
    </row>
    <row r="298" spans="151:162" x14ac:dyDescent="0.2">
      <c r="EU298" s="67">
        <v>565.91</v>
      </c>
      <c r="EV298" s="67" t="s">
        <v>2403</v>
      </c>
      <c r="EW298" s="67">
        <v>488.51</v>
      </c>
      <c r="EX298" s="67" t="s">
        <v>2404</v>
      </c>
      <c r="EY298" s="67">
        <v>5631.28</v>
      </c>
      <c r="EZ298" s="67" t="s">
        <v>2405</v>
      </c>
      <c r="FA298" s="67">
        <v>19867.973000000002</v>
      </c>
      <c r="FB298" s="67" t="s">
        <v>2406</v>
      </c>
      <c r="FC298" s="67" t="s">
        <v>2407</v>
      </c>
      <c r="FD298" s="67" t="s">
        <v>2408</v>
      </c>
      <c r="FE298" s="68" t="s">
        <v>2409</v>
      </c>
      <c r="FF298" s="68" t="s">
        <v>2410</v>
      </c>
    </row>
    <row r="299" spans="151:162" x14ac:dyDescent="0.2">
      <c r="EU299" s="67">
        <v>566.04</v>
      </c>
      <c r="EV299" s="67" t="s">
        <v>2411</v>
      </c>
      <c r="EW299" s="67">
        <v>488.66</v>
      </c>
      <c r="EX299" s="67" t="s">
        <v>2412</v>
      </c>
      <c r="EY299" s="67">
        <v>5631.28</v>
      </c>
      <c r="EZ299" s="67" t="s">
        <v>2413</v>
      </c>
      <c r="FA299" s="67">
        <v>19867.973000000002</v>
      </c>
      <c r="FB299" s="67" t="s">
        <v>2414</v>
      </c>
      <c r="FC299" s="67" t="s">
        <v>2415</v>
      </c>
      <c r="FD299" s="67" t="s">
        <v>2416</v>
      </c>
      <c r="FE299" s="68" t="s">
        <v>2417</v>
      </c>
      <c r="FF299" s="68" t="s">
        <v>2418</v>
      </c>
    </row>
    <row r="300" spans="151:162" x14ac:dyDescent="0.2">
      <c r="EU300" s="67">
        <v>566.02</v>
      </c>
      <c r="EV300" s="67" t="s">
        <v>2419</v>
      </c>
      <c r="EW300" s="67">
        <v>488.56</v>
      </c>
      <c r="EX300" s="67" t="s">
        <v>2420</v>
      </c>
      <c r="EY300" s="67">
        <v>5631.28</v>
      </c>
      <c r="EZ300" s="67" t="s">
        <v>2421</v>
      </c>
      <c r="FA300" s="67">
        <v>19867.973000000002</v>
      </c>
      <c r="FB300" s="67" t="s">
        <v>2422</v>
      </c>
      <c r="FC300" s="67" t="s">
        <v>2423</v>
      </c>
      <c r="FD300" s="67" t="s">
        <v>2424</v>
      </c>
      <c r="FE300" s="68" t="s">
        <v>2425</v>
      </c>
      <c r="FF300" s="68" t="s">
        <v>2426</v>
      </c>
    </row>
    <row r="301" spans="151:162" x14ac:dyDescent="0.2">
      <c r="EU301" s="67">
        <v>565.99</v>
      </c>
      <c r="EV301" s="67" t="s">
        <v>2427</v>
      </c>
      <c r="EW301" s="67">
        <v>488.58</v>
      </c>
      <c r="EX301" s="67" t="s">
        <v>2428</v>
      </c>
      <c r="EY301" s="67">
        <v>5631.28</v>
      </c>
      <c r="EZ301" s="67" t="s">
        <v>2429</v>
      </c>
      <c r="FA301" s="67">
        <v>19867.973000000002</v>
      </c>
      <c r="FB301" s="67" t="s">
        <v>2430</v>
      </c>
      <c r="FC301" s="67" t="s">
        <v>2431</v>
      </c>
      <c r="FD301" s="67" t="s">
        <v>2432</v>
      </c>
      <c r="FE301" s="68" t="s">
        <v>2433</v>
      </c>
      <c r="FF301" s="68" t="s">
        <v>2434</v>
      </c>
    </row>
    <row r="302" spans="151:162" x14ac:dyDescent="0.2">
      <c r="EU302" s="67">
        <v>565.99</v>
      </c>
      <c r="EV302" s="67" t="s">
        <v>2435</v>
      </c>
      <c r="EW302" s="67">
        <v>488.58</v>
      </c>
      <c r="EX302" s="67" t="s">
        <v>2436</v>
      </c>
      <c r="EY302" s="67">
        <v>5631.28</v>
      </c>
      <c r="EZ302" s="67" t="s">
        <v>2437</v>
      </c>
      <c r="FA302" s="67">
        <v>19867.973000000002</v>
      </c>
      <c r="FB302" s="67" t="s">
        <v>2438</v>
      </c>
      <c r="FC302" s="67" t="s">
        <v>2439</v>
      </c>
      <c r="FD302" s="67" t="s">
        <v>2440</v>
      </c>
      <c r="FE302" s="68" t="s">
        <v>2441</v>
      </c>
      <c r="FF302" s="68" t="s">
        <v>2442</v>
      </c>
    </row>
    <row r="303" spans="151:162" x14ac:dyDescent="0.2">
      <c r="EU303" s="67">
        <v>566.01</v>
      </c>
      <c r="EV303" s="67" t="s">
        <v>2443</v>
      </c>
      <c r="EW303" s="67">
        <v>488.57</v>
      </c>
      <c r="EX303" s="67" t="s">
        <v>2444</v>
      </c>
      <c r="EY303" s="67">
        <v>5631.28</v>
      </c>
      <c r="EZ303" s="67" t="s">
        <v>2445</v>
      </c>
      <c r="FA303" s="67">
        <v>19867.973000000002</v>
      </c>
      <c r="FB303" s="67" t="s">
        <v>2446</v>
      </c>
      <c r="FC303" s="67" t="s">
        <v>2447</v>
      </c>
      <c r="FD303" s="67" t="s">
        <v>2448</v>
      </c>
      <c r="FE303" s="68" t="s">
        <v>2449</v>
      </c>
      <c r="FF303" s="68" t="s">
        <v>2450</v>
      </c>
    </row>
    <row r="304" spans="151:162" x14ac:dyDescent="0.2">
      <c r="EU304" s="67">
        <v>566</v>
      </c>
      <c r="EV304" s="67" t="s">
        <v>2451</v>
      </c>
      <c r="EW304" s="67">
        <v>488.51</v>
      </c>
      <c r="EX304" s="67" t="s">
        <v>2452</v>
      </c>
      <c r="EY304" s="67">
        <v>5631.28</v>
      </c>
      <c r="EZ304" s="67" t="s">
        <v>2453</v>
      </c>
      <c r="FA304" s="67">
        <v>19867.973000000002</v>
      </c>
      <c r="FB304" s="67" t="s">
        <v>2454</v>
      </c>
      <c r="FC304" s="67" t="s">
        <v>2455</v>
      </c>
      <c r="FD304" s="67" t="s">
        <v>2456</v>
      </c>
      <c r="FE304" s="68" t="s">
        <v>2457</v>
      </c>
      <c r="FF304" s="68" t="s">
        <v>2458</v>
      </c>
    </row>
    <row r="305" spans="151:162" x14ac:dyDescent="0.2">
      <c r="EU305" s="67">
        <v>565.96</v>
      </c>
      <c r="EV305" s="67" t="s">
        <v>2459</v>
      </c>
      <c r="EW305" s="67">
        <v>488.44</v>
      </c>
      <c r="EX305" s="67" t="s">
        <v>2460</v>
      </c>
      <c r="EY305" s="67">
        <v>5631.28</v>
      </c>
      <c r="EZ305" s="67" t="s">
        <v>2461</v>
      </c>
      <c r="FA305" s="67">
        <v>19867.973000000002</v>
      </c>
      <c r="FB305" s="67" t="s">
        <v>2462</v>
      </c>
      <c r="FC305" s="67" t="s">
        <v>2463</v>
      </c>
      <c r="FD305" s="67" t="s">
        <v>2464</v>
      </c>
      <c r="FE305" s="68" t="s">
        <v>2465</v>
      </c>
      <c r="FF305" s="68" t="s">
        <v>2466</v>
      </c>
    </row>
    <row r="306" spans="151:162" x14ac:dyDescent="0.2">
      <c r="EU306" s="67">
        <v>565.83000000000004</v>
      </c>
      <c r="EV306" s="67" t="s">
        <v>2467</v>
      </c>
      <c r="EW306" s="67">
        <v>488.39</v>
      </c>
      <c r="EX306" s="67" t="s">
        <v>2468</v>
      </c>
      <c r="EY306" s="67">
        <v>5631.28</v>
      </c>
      <c r="EZ306" s="67" t="s">
        <v>2469</v>
      </c>
      <c r="FA306" s="67">
        <v>19867.973000000002</v>
      </c>
      <c r="FB306" s="67" t="s">
        <v>2470</v>
      </c>
      <c r="FC306" s="67" t="s">
        <v>2471</v>
      </c>
      <c r="FD306" s="67" t="s">
        <v>2472</v>
      </c>
      <c r="FE306" s="68" t="s">
        <v>2473</v>
      </c>
      <c r="FF306" s="68" t="s">
        <v>2474</v>
      </c>
    </row>
    <row r="307" spans="151:162" x14ac:dyDescent="0.2">
      <c r="EU307" s="67">
        <v>565.85</v>
      </c>
      <c r="EV307" s="67" t="s">
        <v>2475</v>
      </c>
      <c r="EW307" s="67">
        <v>488.37</v>
      </c>
      <c r="EX307" s="67" t="s">
        <v>2476</v>
      </c>
      <c r="EY307" s="67">
        <v>5631.28</v>
      </c>
      <c r="EZ307" s="67" t="s">
        <v>2477</v>
      </c>
      <c r="FA307" s="67">
        <v>19867.973000000002</v>
      </c>
      <c r="FB307" s="67" t="s">
        <v>2478</v>
      </c>
      <c r="FC307" s="67" t="s">
        <v>2479</v>
      </c>
      <c r="FD307" s="67" t="s">
        <v>2480</v>
      </c>
      <c r="FE307" s="68" t="s">
        <v>2481</v>
      </c>
      <c r="FF307" s="68" t="s">
        <v>2482</v>
      </c>
    </row>
    <row r="308" spans="151:162" x14ac:dyDescent="0.2">
      <c r="EU308" s="67">
        <v>565.86</v>
      </c>
      <c r="EV308" s="67" t="s">
        <v>2483</v>
      </c>
      <c r="EW308" s="67">
        <v>488.43</v>
      </c>
      <c r="EX308" s="67" t="s">
        <v>2484</v>
      </c>
      <c r="EY308" s="67">
        <v>5631.28</v>
      </c>
      <c r="EZ308" s="67" t="s">
        <v>2485</v>
      </c>
      <c r="FA308" s="67">
        <v>19867.973000000002</v>
      </c>
      <c r="FB308" s="67" t="s">
        <v>2486</v>
      </c>
      <c r="FC308" s="67" t="s">
        <v>2487</v>
      </c>
      <c r="FD308" s="67" t="s">
        <v>2488</v>
      </c>
      <c r="FE308" s="68" t="s">
        <v>2489</v>
      </c>
      <c r="FF308" s="68" t="s">
        <v>2490</v>
      </c>
    </row>
    <row r="309" spans="151:162" x14ac:dyDescent="0.2">
      <c r="EU309" s="67">
        <v>565.88</v>
      </c>
      <c r="EV309" s="67" t="s">
        <v>2491</v>
      </c>
      <c r="EW309" s="67">
        <v>488.49</v>
      </c>
      <c r="EX309" s="67" t="s">
        <v>2492</v>
      </c>
      <c r="EY309" s="67">
        <v>5631.28</v>
      </c>
      <c r="EZ309" s="67" t="s">
        <v>2493</v>
      </c>
      <c r="FA309" s="67">
        <v>19867.973000000002</v>
      </c>
      <c r="FB309" s="67" t="s">
        <v>2494</v>
      </c>
      <c r="FC309" s="67" t="s">
        <v>2495</v>
      </c>
      <c r="FD309" s="67" t="s">
        <v>2496</v>
      </c>
      <c r="FE309" s="68" t="s">
        <v>2497</v>
      </c>
      <c r="FF309" s="68" t="s">
        <v>2498</v>
      </c>
    </row>
    <row r="310" spans="151:162" x14ac:dyDescent="0.2">
      <c r="EU310" s="67">
        <v>565.9</v>
      </c>
      <c r="EV310" s="67" t="s">
        <v>2499</v>
      </c>
      <c r="EW310" s="67">
        <v>488.5</v>
      </c>
      <c r="EX310" s="67" t="s">
        <v>2500</v>
      </c>
      <c r="EY310" s="67">
        <v>5631.28</v>
      </c>
      <c r="EZ310" s="67" t="s">
        <v>2501</v>
      </c>
      <c r="FA310" s="67">
        <v>19867.973000000002</v>
      </c>
      <c r="FB310" s="67" t="s">
        <v>2502</v>
      </c>
      <c r="FC310" s="67" t="s">
        <v>2503</v>
      </c>
      <c r="FD310" s="67" t="s">
        <v>2504</v>
      </c>
      <c r="FE310" s="68" t="s">
        <v>2505</v>
      </c>
      <c r="FF310" s="68" t="s">
        <v>2506</v>
      </c>
    </row>
    <row r="311" spans="151:162" x14ac:dyDescent="0.2">
      <c r="EU311" s="67">
        <v>565.91999999999996</v>
      </c>
      <c r="EV311" s="67" t="s">
        <v>2507</v>
      </c>
      <c r="EW311" s="67">
        <v>488.6</v>
      </c>
      <c r="EX311" s="67" t="s">
        <v>2508</v>
      </c>
      <c r="EY311" s="67">
        <v>5631.28</v>
      </c>
      <c r="EZ311" s="67" t="s">
        <v>2509</v>
      </c>
      <c r="FA311" s="67">
        <v>19867.973000000002</v>
      </c>
      <c r="FB311" s="67" t="s">
        <v>2510</v>
      </c>
      <c r="FC311" s="67" t="s">
        <v>2511</v>
      </c>
      <c r="FD311" s="67" t="s">
        <v>2512</v>
      </c>
      <c r="FE311" s="68" t="s">
        <v>2513</v>
      </c>
      <c r="FF311" s="68" t="s">
        <v>2514</v>
      </c>
    </row>
    <row r="312" spans="151:162" x14ac:dyDescent="0.2">
      <c r="EU312" s="67">
        <v>566.02</v>
      </c>
      <c r="EV312" s="67" t="s">
        <v>2515</v>
      </c>
      <c r="EW312" s="67">
        <v>488.66</v>
      </c>
      <c r="EX312" s="67" t="s">
        <v>2516</v>
      </c>
      <c r="EY312" s="67">
        <v>5631.28</v>
      </c>
      <c r="EZ312" s="67" t="s">
        <v>2517</v>
      </c>
      <c r="FA312" s="67">
        <v>19867.973000000002</v>
      </c>
      <c r="FB312" s="67" t="s">
        <v>2518</v>
      </c>
      <c r="FC312" s="67" t="s">
        <v>2519</v>
      </c>
      <c r="FD312" s="67" t="s">
        <v>2520</v>
      </c>
      <c r="FE312" s="68" t="s">
        <v>2521</v>
      </c>
      <c r="FF312" s="68" t="s">
        <v>2522</v>
      </c>
    </row>
    <row r="313" spans="151:162" x14ac:dyDescent="0.2">
      <c r="EU313" s="67">
        <v>566.11</v>
      </c>
      <c r="EV313" s="67" t="s">
        <v>2523</v>
      </c>
      <c r="EW313" s="67">
        <v>488.74</v>
      </c>
      <c r="EX313" s="67" t="s">
        <v>2524</v>
      </c>
      <c r="EY313" s="67">
        <v>5631.28</v>
      </c>
      <c r="EZ313" s="67" t="s">
        <v>2525</v>
      </c>
      <c r="FA313" s="67">
        <v>19867.973000000002</v>
      </c>
      <c r="FB313" s="67" t="s">
        <v>2526</v>
      </c>
      <c r="FC313" s="67" t="s">
        <v>2527</v>
      </c>
      <c r="FD313" s="67" t="s">
        <v>2528</v>
      </c>
      <c r="FE313" s="68" t="s">
        <v>2529</v>
      </c>
      <c r="FF313" s="68" t="s">
        <v>2530</v>
      </c>
    </row>
    <row r="314" spans="151:162" x14ac:dyDescent="0.2">
      <c r="EU314" s="67">
        <v>566.17999999999995</v>
      </c>
      <c r="EV314" s="67" t="s">
        <v>2531</v>
      </c>
      <c r="EW314" s="67">
        <v>488.94</v>
      </c>
      <c r="EX314" s="67" t="s">
        <v>2532</v>
      </c>
      <c r="EY314" s="67">
        <v>5631.28</v>
      </c>
      <c r="EZ314" s="67" t="s">
        <v>2533</v>
      </c>
      <c r="FA314" s="67">
        <v>19867.973000000002</v>
      </c>
      <c r="FB314" s="67" t="s">
        <v>2534</v>
      </c>
      <c r="FC314" s="67" t="s">
        <v>2535</v>
      </c>
      <c r="FD314" s="67" t="s">
        <v>2536</v>
      </c>
      <c r="FE314" s="68" t="s">
        <v>2537</v>
      </c>
      <c r="FF314" s="68" t="s">
        <v>2538</v>
      </c>
    </row>
    <row r="315" spans="151:162" x14ac:dyDescent="0.2">
      <c r="EU315" s="67">
        <v>566.16999999999996</v>
      </c>
      <c r="EV315" s="67" t="s">
        <v>2539</v>
      </c>
      <c r="EW315" s="67">
        <v>488.93</v>
      </c>
      <c r="EX315" s="67" t="s">
        <v>2540</v>
      </c>
      <c r="EY315" s="67">
        <v>5631.28</v>
      </c>
      <c r="EZ315" s="67" t="s">
        <v>2541</v>
      </c>
      <c r="FA315" s="67">
        <v>19867.973000000002</v>
      </c>
      <c r="FB315" s="67" t="s">
        <v>2542</v>
      </c>
      <c r="FC315" s="67" t="s">
        <v>2543</v>
      </c>
      <c r="FD315" s="67" t="s">
        <v>2544</v>
      </c>
      <c r="FE315" s="68" t="s">
        <v>2545</v>
      </c>
      <c r="FF315" s="68" t="s">
        <v>2546</v>
      </c>
    </row>
    <row r="316" spans="151:162" x14ac:dyDescent="0.2">
      <c r="EU316" s="67">
        <v>566.19000000000005</v>
      </c>
      <c r="EV316" s="67" t="s">
        <v>2547</v>
      </c>
      <c r="EW316" s="67">
        <v>488.97</v>
      </c>
      <c r="EX316" s="67" t="s">
        <v>2548</v>
      </c>
      <c r="EY316" s="67">
        <v>5631.28</v>
      </c>
      <c r="EZ316" s="67" t="s">
        <v>2549</v>
      </c>
      <c r="FA316" s="67">
        <v>19867.973000000002</v>
      </c>
      <c r="FB316" s="67" t="s">
        <v>2550</v>
      </c>
      <c r="FC316" s="67" t="s">
        <v>2551</v>
      </c>
      <c r="FD316" s="67" t="s">
        <v>2552</v>
      </c>
      <c r="FE316" s="68" t="s">
        <v>2553</v>
      </c>
      <c r="FF316" s="68" t="s">
        <v>2554</v>
      </c>
    </row>
    <row r="317" spans="151:162" x14ac:dyDescent="0.2">
      <c r="EU317" s="67">
        <v>566.16999999999996</v>
      </c>
      <c r="EV317" s="67" t="s">
        <v>2555</v>
      </c>
      <c r="EW317" s="67">
        <v>488.91</v>
      </c>
      <c r="EX317" s="67" t="s">
        <v>2556</v>
      </c>
      <c r="EY317" s="67">
        <v>5631.28</v>
      </c>
      <c r="EZ317" s="67" t="s">
        <v>2557</v>
      </c>
      <c r="FA317" s="67">
        <v>19867.973000000002</v>
      </c>
      <c r="FB317" s="67" t="s">
        <v>2558</v>
      </c>
      <c r="FC317" s="67" t="s">
        <v>2559</v>
      </c>
      <c r="FD317" s="67" t="s">
        <v>2560</v>
      </c>
      <c r="FE317" s="68" t="s">
        <v>2561</v>
      </c>
      <c r="FF317" s="68" t="s">
        <v>2562</v>
      </c>
    </row>
    <row r="318" spans="151:162" x14ac:dyDescent="0.2">
      <c r="EU318" s="67">
        <v>566.13</v>
      </c>
      <c r="EV318" s="67" t="s">
        <v>2563</v>
      </c>
      <c r="EW318" s="67">
        <v>488.9</v>
      </c>
      <c r="EX318" s="67" t="s">
        <v>2564</v>
      </c>
      <c r="EY318" s="67">
        <v>5631.28</v>
      </c>
      <c r="EZ318" s="67" t="s">
        <v>2565</v>
      </c>
      <c r="FA318" s="67">
        <v>19867.973000000002</v>
      </c>
      <c r="FB318" s="67" t="s">
        <v>2566</v>
      </c>
      <c r="FC318" s="67" t="s">
        <v>2567</v>
      </c>
      <c r="FD318" s="67" t="s">
        <v>2568</v>
      </c>
      <c r="FE318" s="68" t="s">
        <v>2569</v>
      </c>
      <c r="FF318" s="68" t="s">
        <v>2570</v>
      </c>
    </row>
    <row r="319" spans="151:162" x14ac:dyDescent="0.2">
      <c r="EU319" s="67">
        <v>566.11</v>
      </c>
      <c r="EV319" s="67" t="s">
        <v>2571</v>
      </c>
      <c r="EW319" s="67">
        <v>488.9</v>
      </c>
      <c r="EX319" s="67" t="s">
        <v>2572</v>
      </c>
      <c r="EY319" s="67">
        <v>5631.28</v>
      </c>
      <c r="EZ319" s="67" t="s">
        <v>2573</v>
      </c>
      <c r="FA319" s="67">
        <v>19867.973000000002</v>
      </c>
      <c r="FB319" s="67" t="s">
        <v>2574</v>
      </c>
      <c r="FC319" s="67" t="s">
        <v>2575</v>
      </c>
      <c r="FD319" s="67" t="s">
        <v>2576</v>
      </c>
      <c r="FE319" s="68" t="s">
        <v>2577</v>
      </c>
      <c r="FF319" s="68" t="s">
        <v>2578</v>
      </c>
    </row>
    <row r="320" spans="151:162" x14ac:dyDescent="0.2">
      <c r="EU320" s="67">
        <v>566.19000000000005</v>
      </c>
      <c r="EV320" s="67" t="s">
        <v>2579</v>
      </c>
      <c r="EW320" s="67">
        <v>488.96</v>
      </c>
      <c r="EX320" s="67" t="s">
        <v>2580</v>
      </c>
      <c r="EY320" s="67">
        <v>5631.28</v>
      </c>
      <c r="EZ320" s="67" t="s">
        <v>2581</v>
      </c>
      <c r="FA320" s="67">
        <v>19867.973000000002</v>
      </c>
      <c r="FB320" s="67" t="s">
        <v>2582</v>
      </c>
      <c r="FC320" s="67" t="s">
        <v>2583</v>
      </c>
      <c r="FD320" s="67" t="s">
        <v>2584</v>
      </c>
      <c r="FE320" s="68" t="s">
        <v>2585</v>
      </c>
      <c r="FF320" s="68" t="s">
        <v>2586</v>
      </c>
    </row>
    <row r="321" spans="151:162" x14ac:dyDescent="0.2">
      <c r="EU321" s="67">
        <v>566.24</v>
      </c>
      <c r="EV321" s="67" t="s">
        <v>2587</v>
      </c>
      <c r="EW321" s="67">
        <v>489.12</v>
      </c>
      <c r="EX321" s="67" t="s">
        <v>2588</v>
      </c>
      <c r="EY321" s="67">
        <v>5631.28</v>
      </c>
      <c r="EZ321" s="67" t="s">
        <v>2589</v>
      </c>
      <c r="FA321" s="67">
        <v>19867.973000000002</v>
      </c>
      <c r="FB321" s="67" t="s">
        <v>2590</v>
      </c>
      <c r="FC321" s="67" t="s">
        <v>2591</v>
      </c>
      <c r="FD321" s="67" t="s">
        <v>2592</v>
      </c>
      <c r="FE321" s="68" t="s">
        <v>2593</v>
      </c>
      <c r="FF321" s="68" t="s">
        <v>2594</v>
      </c>
    </row>
    <row r="322" spans="151:162" x14ac:dyDescent="0.2">
      <c r="EU322" s="67">
        <v>566.22</v>
      </c>
      <c r="EV322" s="67" t="s">
        <v>2595</v>
      </c>
      <c r="EW322" s="67">
        <v>489.11</v>
      </c>
      <c r="EX322" s="67" t="s">
        <v>2596</v>
      </c>
      <c r="EY322" s="67">
        <v>5631.28</v>
      </c>
      <c r="EZ322" s="67" t="s">
        <v>2597</v>
      </c>
      <c r="FA322" s="67">
        <v>19867.973000000002</v>
      </c>
      <c r="FB322" s="67" t="s">
        <v>2598</v>
      </c>
      <c r="FC322" s="67" t="s">
        <v>2599</v>
      </c>
      <c r="FD322" s="67" t="s">
        <v>2600</v>
      </c>
      <c r="FE322" s="68" t="s">
        <v>2601</v>
      </c>
      <c r="FF322" s="68" t="s">
        <v>2602</v>
      </c>
    </row>
    <row r="323" spans="151:162" x14ac:dyDescent="0.2">
      <c r="EU323" s="67">
        <v>566.26</v>
      </c>
      <c r="EV323" s="67" t="s">
        <v>2603</v>
      </c>
      <c r="EW323" s="67">
        <v>489.15</v>
      </c>
      <c r="EX323" s="67" t="s">
        <v>2604</v>
      </c>
      <c r="EY323" s="67">
        <v>5631.28</v>
      </c>
      <c r="EZ323" s="67" t="s">
        <v>2605</v>
      </c>
      <c r="FA323" s="67">
        <v>19867.973000000002</v>
      </c>
      <c r="FB323" s="67" t="s">
        <v>2606</v>
      </c>
      <c r="FC323" s="67" t="s">
        <v>2607</v>
      </c>
      <c r="FD323" s="67" t="s">
        <v>2608</v>
      </c>
      <c r="FE323" s="68" t="s">
        <v>2609</v>
      </c>
      <c r="FF323" s="68" t="s">
        <v>2610</v>
      </c>
    </row>
    <row r="324" spans="151:162" x14ac:dyDescent="0.2">
      <c r="EU324" s="67">
        <v>566.29999999999995</v>
      </c>
      <c r="EV324" s="67" t="s">
        <v>2611</v>
      </c>
      <c r="EW324" s="67">
        <v>489.16</v>
      </c>
      <c r="EX324" s="67" t="s">
        <v>2612</v>
      </c>
      <c r="EY324" s="67">
        <v>5631.28</v>
      </c>
      <c r="EZ324" s="67" t="s">
        <v>2613</v>
      </c>
      <c r="FA324" s="67">
        <v>19867.973000000002</v>
      </c>
      <c r="FB324" s="67" t="s">
        <v>2614</v>
      </c>
      <c r="FC324" s="67" t="s">
        <v>2615</v>
      </c>
      <c r="FD324" s="67" t="s">
        <v>2616</v>
      </c>
      <c r="FE324" s="68" t="s">
        <v>2617</v>
      </c>
      <c r="FF324" s="68" t="s">
        <v>2618</v>
      </c>
    </row>
    <row r="325" spans="151:162" x14ac:dyDescent="0.2">
      <c r="EU325" s="67">
        <v>566.08000000000004</v>
      </c>
      <c r="EV325" s="67" t="s">
        <v>2619</v>
      </c>
      <c r="EW325" s="67">
        <v>488.9</v>
      </c>
      <c r="EX325" s="67" t="s">
        <v>2620</v>
      </c>
      <c r="EY325" s="67">
        <v>5631.28</v>
      </c>
      <c r="EZ325" s="67" t="s">
        <v>2621</v>
      </c>
      <c r="FA325" s="67">
        <v>19867.973000000002</v>
      </c>
      <c r="FB325" s="67" t="s">
        <v>2622</v>
      </c>
      <c r="FC325" s="67" t="s">
        <v>2623</v>
      </c>
      <c r="FD325" s="67" t="s">
        <v>2624</v>
      </c>
      <c r="FE325" s="68" t="s">
        <v>2625</v>
      </c>
      <c r="FF325" s="68" t="s">
        <v>2626</v>
      </c>
    </row>
    <row r="326" spans="151:162" x14ac:dyDescent="0.2">
      <c r="EU326" s="67">
        <v>566.16999999999996</v>
      </c>
      <c r="EV326" s="67" t="s">
        <v>2627</v>
      </c>
      <c r="EW326" s="67">
        <v>488.94</v>
      </c>
      <c r="EX326" s="67" t="s">
        <v>2628</v>
      </c>
      <c r="EY326" s="67">
        <v>5631.28</v>
      </c>
      <c r="EZ326" s="67" t="s">
        <v>2629</v>
      </c>
      <c r="FA326" s="67">
        <v>19867.973000000002</v>
      </c>
      <c r="FB326" s="67" t="s">
        <v>2630</v>
      </c>
      <c r="FC326" s="67" t="s">
        <v>2631</v>
      </c>
      <c r="FD326" s="67" t="s">
        <v>2632</v>
      </c>
      <c r="FE326" s="68" t="s">
        <v>2633</v>
      </c>
      <c r="FF326" s="68" t="s">
        <v>2634</v>
      </c>
    </row>
    <row r="327" spans="151:162" x14ac:dyDescent="0.2">
      <c r="EU327" s="67">
        <v>565.96</v>
      </c>
      <c r="EV327" s="67" t="s">
        <v>2635</v>
      </c>
      <c r="EW327" s="67">
        <v>488.82</v>
      </c>
      <c r="EX327" s="67" t="s">
        <v>2636</v>
      </c>
      <c r="EY327" s="67">
        <v>5631.28</v>
      </c>
      <c r="EZ327" s="67" t="s">
        <v>2637</v>
      </c>
      <c r="FA327" s="67">
        <v>19867.973000000002</v>
      </c>
      <c r="FB327" s="67" t="s">
        <v>2638</v>
      </c>
      <c r="FC327" s="67" t="s">
        <v>2639</v>
      </c>
      <c r="FD327" s="67" t="s">
        <v>2640</v>
      </c>
      <c r="FE327" s="68" t="s">
        <v>2641</v>
      </c>
      <c r="FF327" s="68" t="s">
        <v>2642</v>
      </c>
    </row>
    <row r="328" spans="151:162" x14ac:dyDescent="0.2">
      <c r="EU328" s="67">
        <v>565.91999999999996</v>
      </c>
      <c r="EV328" s="67" t="s">
        <v>2643</v>
      </c>
      <c r="EW328" s="67">
        <v>488.81</v>
      </c>
      <c r="EX328" s="67" t="s">
        <v>2644</v>
      </c>
      <c r="EY328" s="67">
        <v>5631.28</v>
      </c>
      <c r="EZ328" s="67" t="s">
        <v>2645</v>
      </c>
      <c r="FA328" s="67">
        <v>19867.973000000002</v>
      </c>
      <c r="FB328" s="67" t="s">
        <v>2646</v>
      </c>
      <c r="FC328" s="67" t="s">
        <v>2647</v>
      </c>
      <c r="FD328" s="67" t="s">
        <v>2648</v>
      </c>
      <c r="FE328" s="68" t="s">
        <v>2649</v>
      </c>
      <c r="FF328" s="68" t="s">
        <v>2650</v>
      </c>
    </row>
    <row r="329" spans="151:162" x14ac:dyDescent="0.2">
      <c r="EU329" s="67">
        <v>565.91999999999996</v>
      </c>
      <c r="EV329" s="67" t="s">
        <v>2651</v>
      </c>
      <c r="EW329" s="67">
        <v>488.81</v>
      </c>
      <c r="EX329" s="67" t="s">
        <v>2652</v>
      </c>
      <c r="EY329" s="67">
        <v>5631.28</v>
      </c>
      <c r="EZ329" s="67" t="s">
        <v>2653</v>
      </c>
      <c r="FA329" s="67">
        <v>19867.973000000002</v>
      </c>
      <c r="FB329" s="67" t="s">
        <v>2654</v>
      </c>
      <c r="FC329" s="67" t="s">
        <v>2655</v>
      </c>
      <c r="FD329" s="67" t="s">
        <v>2656</v>
      </c>
      <c r="FE329" s="68" t="s">
        <v>2657</v>
      </c>
      <c r="FF329" s="68" t="s">
        <v>2658</v>
      </c>
    </row>
    <row r="330" spans="151:162" x14ac:dyDescent="0.2">
      <c r="EU330" s="67">
        <v>565.79</v>
      </c>
      <c r="EV330" s="67" t="s">
        <v>2659</v>
      </c>
      <c r="EW330" s="67">
        <v>488.64</v>
      </c>
      <c r="EX330" s="67" t="s">
        <v>2660</v>
      </c>
      <c r="EY330" s="67">
        <v>5631.28</v>
      </c>
      <c r="EZ330" s="67" t="s">
        <v>2661</v>
      </c>
      <c r="FA330" s="67">
        <v>19867.973000000002</v>
      </c>
      <c r="FB330" s="67" t="s">
        <v>2662</v>
      </c>
      <c r="FC330" s="67" t="s">
        <v>2663</v>
      </c>
      <c r="FD330" s="67" t="s">
        <v>2664</v>
      </c>
      <c r="FE330" s="68" t="s">
        <v>2665</v>
      </c>
      <c r="FF330" s="68" t="s">
        <v>2666</v>
      </c>
    </row>
    <row r="331" spans="151:162" x14ac:dyDescent="0.2">
      <c r="EU331" s="67">
        <v>565.88</v>
      </c>
      <c r="EV331" s="67" t="s">
        <v>2667</v>
      </c>
      <c r="EW331" s="67">
        <v>488.75</v>
      </c>
      <c r="EX331" s="67" t="s">
        <v>2668</v>
      </c>
      <c r="EY331" s="67">
        <v>5631.28</v>
      </c>
      <c r="EZ331" s="67" t="s">
        <v>2669</v>
      </c>
      <c r="FA331" s="67">
        <v>19867.973000000002</v>
      </c>
      <c r="FB331" s="67" t="s">
        <v>2670</v>
      </c>
      <c r="FC331" s="67" t="s">
        <v>2671</v>
      </c>
      <c r="FD331" s="67" t="s">
        <v>2672</v>
      </c>
      <c r="FE331" s="68" t="s">
        <v>2673</v>
      </c>
      <c r="FF331" s="68" t="s">
        <v>2674</v>
      </c>
    </row>
    <row r="332" spans="151:162" x14ac:dyDescent="0.2">
      <c r="EU332" s="67">
        <v>565.91</v>
      </c>
      <c r="EV332" s="67" t="s">
        <v>2675</v>
      </c>
      <c r="EW332" s="67">
        <v>488.79</v>
      </c>
      <c r="EX332" s="67" t="s">
        <v>2676</v>
      </c>
      <c r="EY332" s="67">
        <v>5631.28</v>
      </c>
      <c r="EZ332" s="67" t="s">
        <v>2677</v>
      </c>
      <c r="FA332" s="67">
        <v>19867.973000000002</v>
      </c>
      <c r="FB332" s="67" t="s">
        <v>2678</v>
      </c>
      <c r="FC332" s="67" t="s">
        <v>2679</v>
      </c>
      <c r="FD332" s="67" t="s">
        <v>2680</v>
      </c>
      <c r="FE332" s="68" t="s">
        <v>2681</v>
      </c>
      <c r="FF332" s="68" t="s">
        <v>2682</v>
      </c>
    </row>
    <row r="333" spans="151:162" x14ac:dyDescent="0.2">
      <c r="EU333" s="67">
        <v>565.88</v>
      </c>
      <c r="EV333" s="67" t="s">
        <v>2683</v>
      </c>
      <c r="EW333" s="67">
        <v>488.75</v>
      </c>
      <c r="EX333" s="67" t="s">
        <v>2684</v>
      </c>
      <c r="EY333" s="67">
        <v>5631.28</v>
      </c>
      <c r="EZ333" s="67" t="s">
        <v>2685</v>
      </c>
      <c r="FA333" s="67">
        <v>19867.973000000002</v>
      </c>
      <c r="FB333" s="67" t="s">
        <v>2686</v>
      </c>
      <c r="FC333" s="67" t="s">
        <v>2687</v>
      </c>
      <c r="FD333" s="67" t="s">
        <v>2688</v>
      </c>
      <c r="FE333" s="68" t="s">
        <v>2689</v>
      </c>
      <c r="FF333" s="68" t="s">
        <v>2690</v>
      </c>
    </row>
    <row r="334" spans="151:162" x14ac:dyDescent="0.2">
      <c r="EU334" s="67">
        <v>565.9</v>
      </c>
      <c r="EV334" s="67" t="s">
        <v>2691</v>
      </c>
      <c r="EW334" s="67">
        <v>488.74</v>
      </c>
      <c r="EX334" s="67" t="s">
        <v>2692</v>
      </c>
      <c r="EY334" s="67">
        <v>5631.28</v>
      </c>
      <c r="EZ334" s="67" t="s">
        <v>2693</v>
      </c>
      <c r="FA334" s="67">
        <v>19867.973000000002</v>
      </c>
      <c r="FB334" s="67" t="s">
        <v>2694</v>
      </c>
      <c r="FC334" s="67" t="s">
        <v>2695</v>
      </c>
      <c r="FD334" s="67" t="s">
        <v>2696</v>
      </c>
      <c r="FE334" s="68" t="s">
        <v>2697</v>
      </c>
      <c r="FF334" s="68" t="s">
        <v>2698</v>
      </c>
    </row>
    <row r="335" spans="151:162" x14ac:dyDescent="0.2">
      <c r="EU335" s="67">
        <v>565.91</v>
      </c>
      <c r="EV335" s="67" t="s">
        <v>2699</v>
      </c>
      <c r="EW335" s="67">
        <v>488.8</v>
      </c>
      <c r="EX335" s="67" t="s">
        <v>2700</v>
      </c>
      <c r="EY335" s="67">
        <v>5631.28</v>
      </c>
      <c r="EZ335" s="67" t="s">
        <v>2701</v>
      </c>
      <c r="FA335" s="67">
        <v>19867.973000000002</v>
      </c>
      <c r="FB335" s="67" t="s">
        <v>2702</v>
      </c>
      <c r="FC335" s="67" t="s">
        <v>2703</v>
      </c>
      <c r="FD335" s="67" t="s">
        <v>2704</v>
      </c>
      <c r="FE335" s="68" t="s">
        <v>2705</v>
      </c>
      <c r="FF335" s="68" t="s">
        <v>2706</v>
      </c>
    </row>
    <row r="336" spans="151:162" x14ac:dyDescent="0.2">
      <c r="EU336" s="67">
        <v>565.91</v>
      </c>
      <c r="EV336" s="67" t="s">
        <v>2707</v>
      </c>
      <c r="EW336" s="67">
        <v>488.8</v>
      </c>
      <c r="EX336" s="67" t="s">
        <v>2708</v>
      </c>
      <c r="EY336" s="67">
        <v>5631.28</v>
      </c>
      <c r="EZ336" s="67" t="s">
        <v>2709</v>
      </c>
      <c r="FA336" s="67">
        <v>19867.973000000002</v>
      </c>
      <c r="FB336" s="67" t="s">
        <v>2710</v>
      </c>
      <c r="FC336" s="67" t="s">
        <v>2711</v>
      </c>
      <c r="FD336" s="67" t="s">
        <v>2712</v>
      </c>
      <c r="FE336" s="68" t="s">
        <v>2713</v>
      </c>
      <c r="FF336" s="68" t="s">
        <v>2714</v>
      </c>
    </row>
    <row r="337" spans="151:162" x14ac:dyDescent="0.2">
      <c r="EU337" s="67">
        <v>565.96</v>
      </c>
      <c r="EV337" s="67" t="s">
        <v>2715</v>
      </c>
      <c r="EW337" s="67">
        <v>488.82</v>
      </c>
      <c r="EX337" s="67" t="s">
        <v>2716</v>
      </c>
      <c r="EY337" s="67">
        <v>5631.28</v>
      </c>
      <c r="EZ337" s="67" t="s">
        <v>2717</v>
      </c>
      <c r="FA337" s="67">
        <v>19867.973000000002</v>
      </c>
      <c r="FB337" s="67" t="s">
        <v>2718</v>
      </c>
      <c r="FC337" s="67" t="s">
        <v>2719</v>
      </c>
      <c r="FD337" s="67" t="s">
        <v>2720</v>
      </c>
      <c r="FE337" s="68" t="s">
        <v>2721</v>
      </c>
      <c r="FF337" s="68" t="s">
        <v>2722</v>
      </c>
    </row>
    <row r="338" spans="151:162" x14ac:dyDescent="0.2">
      <c r="EU338" s="67">
        <v>566.01</v>
      </c>
      <c r="EV338" s="67" t="s">
        <v>2723</v>
      </c>
      <c r="EW338" s="67">
        <v>488.91</v>
      </c>
      <c r="EX338" s="67" t="s">
        <v>2724</v>
      </c>
      <c r="EY338" s="67">
        <v>5631.28</v>
      </c>
      <c r="EZ338" s="67" t="s">
        <v>2725</v>
      </c>
      <c r="FA338" s="67">
        <v>19867.973000000002</v>
      </c>
      <c r="FB338" s="67" t="s">
        <v>2726</v>
      </c>
      <c r="FC338" s="67" t="s">
        <v>2727</v>
      </c>
      <c r="FD338" s="67" t="s">
        <v>2728</v>
      </c>
      <c r="FE338" s="68" t="s">
        <v>2729</v>
      </c>
      <c r="FF338" s="68" t="s">
        <v>2730</v>
      </c>
    </row>
    <row r="339" spans="151:162" x14ac:dyDescent="0.2">
      <c r="EU339" s="67">
        <v>566.02</v>
      </c>
      <c r="EV339" s="67" t="s">
        <v>2731</v>
      </c>
      <c r="EW339" s="67">
        <v>488.97</v>
      </c>
      <c r="EX339" s="67" t="s">
        <v>2732</v>
      </c>
      <c r="EY339" s="67">
        <v>5631.28</v>
      </c>
      <c r="EZ339" s="67" t="s">
        <v>2733</v>
      </c>
      <c r="FA339" s="67">
        <v>19867.973000000002</v>
      </c>
      <c r="FB339" s="67" t="s">
        <v>2734</v>
      </c>
      <c r="FC339" s="67" t="s">
        <v>2735</v>
      </c>
      <c r="FD339" s="67" t="s">
        <v>2736</v>
      </c>
      <c r="FE339" s="68" t="s">
        <v>2737</v>
      </c>
      <c r="FF339" s="68" t="s">
        <v>2738</v>
      </c>
    </row>
    <row r="340" spans="151:162" x14ac:dyDescent="0.2">
      <c r="EU340" s="67">
        <v>566.02</v>
      </c>
      <c r="EV340" s="67" t="s">
        <v>2739</v>
      </c>
      <c r="EW340" s="67">
        <v>488.97</v>
      </c>
      <c r="EX340" s="67" t="s">
        <v>2740</v>
      </c>
      <c r="EY340" s="67">
        <v>5631.28</v>
      </c>
      <c r="EZ340" s="67" t="s">
        <v>2741</v>
      </c>
      <c r="FA340" s="67">
        <v>19867.973000000002</v>
      </c>
      <c r="FB340" s="67" t="s">
        <v>2742</v>
      </c>
      <c r="FC340" s="67" t="s">
        <v>2743</v>
      </c>
      <c r="FD340" s="67" t="s">
        <v>2744</v>
      </c>
      <c r="FE340" s="68" t="s">
        <v>2745</v>
      </c>
      <c r="FF340" s="68" t="s">
        <v>2746</v>
      </c>
    </row>
    <row r="341" spans="151:162" x14ac:dyDescent="0.2">
      <c r="EU341" s="67">
        <v>566.07000000000005</v>
      </c>
      <c r="EV341" s="67" t="s">
        <v>2747</v>
      </c>
      <c r="EW341" s="67">
        <v>489.01</v>
      </c>
      <c r="EX341" s="67" t="s">
        <v>2748</v>
      </c>
      <c r="EY341" s="67">
        <v>5631.28</v>
      </c>
      <c r="EZ341" s="67" t="s">
        <v>2749</v>
      </c>
      <c r="FA341" s="67">
        <v>19867.973000000002</v>
      </c>
      <c r="FB341" s="67" t="s">
        <v>2750</v>
      </c>
      <c r="FC341" s="67" t="s">
        <v>2751</v>
      </c>
      <c r="FD341" s="67" t="s">
        <v>2752</v>
      </c>
      <c r="FE341" s="68" t="s">
        <v>2753</v>
      </c>
      <c r="FF341" s="68" t="s">
        <v>2754</v>
      </c>
    </row>
    <row r="342" spans="151:162" x14ac:dyDescent="0.2">
      <c r="EU342" s="67">
        <v>566.07000000000005</v>
      </c>
      <c r="EV342" s="67" t="s">
        <v>2755</v>
      </c>
      <c r="EW342" s="67">
        <v>488.97</v>
      </c>
      <c r="EX342" s="67" t="s">
        <v>2756</v>
      </c>
      <c r="EY342" s="67">
        <v>5631.28</v>
      </c>
      <c r="EZ342" s="67" t="s">
        <v>2757</v>
      </c>
      <c r="FA342" s="67">
        <v>19867.973000000002</v>
      </c>
      <c r="FB342" s="67" t="s">
        <v>2758</v>
      </c>
      <c r="FC342" s="67" t="s">
        <v>2759</v>
      </c>
      <c r="FD342" s="67" t="s">
        <v>2760</v>
      </c>
      <c r="FE342" s="68" t="s">
        <v>2761</v>
      </c>
      <c r="FF342" s="68" t="s">
        <v>2762</v>
      </c>
    </row>
    <row r="343" spans="151:162" x14ac:dyDescent="0.2">
      <c r="EU343" s="67">
        <v>566.13</v>
      </c>
      <c r="EV343" s="67" t="s">
        <v>2763</v>
      </c>
      <c r="EW343" s="67">
        <v>489.05</v>
      </c>
      <c r="EX343" s="67" t="s">
        <v>2764</v>
      </c>
      <c r="EY343" s="67">
        <v>5631.28</v>
      </c>
      <c r="EZ343" s="67" t="s">
        <v>2765</v>
      </c>
      <c r="FA343" s="67">
        <v>19867.973000000002</v>
      </c>
      <c r="FB343" s="67" t="s">
        <v>2766</v>
      </c>
      <c r="FC343" s="67" t="s">
        <v>2767</v>
      </c>
      <c r="FD343" s="67" t="s">
        <v>2768</v>
      </c>
      <c r="FE343" s="68" t="s">
        <v>2769</v>
      </c>
      <c r="FF343" s="68" t="s">
        <v>2770</v>
      </c>
    </row>
    <row r="344" spans="151:162" x14ac:dyDescent="0.2">
      <c r="EU344" s="67">
        <v>566.26</v>
      </c>
      <c r="EV344" s="67" t="s">
        <v>2771</v>
      </c>
      <c r="EW344" s="67">
        <v>489.2</v>
      </c>
      <c r="EX344" s="67" t="s">
        <v>2772</v>
      </c>
      <c r="EY344" s="67">
        <v>5631.28</v>
      </c>
      <c r="EZ344" s="67" t="s">
        <v>2773</v>
      </c>
      <c r="FA344" s="67">
        <v>19867.973000000002</v>
      </c>
      <c r="FB344" s="67" t="s">
        <v>2774</v>
      </c>
      <c r="FC344" s="67" t="s">
        <v>2775</v>
      </c>
      <c r="FD344" s="67" t="s">
        <v>2776</v>
      </c>
      <c r="FE344" s="68" t="s">
        <v>2777</v>
      </c>
      <c r="FF344" s="68" t="s">
        <v>2778</v>
      </c>
    </row>
    <row r="345" spans="151:162" x14ac:dyDescent="0.2">
      <c r="EU345" s="67">
        <v>566.21</v>
      </c>
      <c r="EV345" s="67" t="s">
        <v>2779</v>
      </c>
      <c r="EW345" s="67">
        <v>489.15</v>
      </c>
      <c r="EX345" s="67" t="s">
        <v>2780</v>
      </c>
      <c r="EY345" s="67">
        <v>5631.28</v>
      </c>
      <c r="EZ345" s="67" t="s">
        <v>2781</v>
      </c>
      <c r="FA345" s="67">
        <v>19867.973000000002</v>
      </c>
      <c r="FB345" s="67" t="s">
        <v>2782</v>
      </c>
      <c r="FC345" s="67" t="s">
        <v>2783</v>
      </c>
      <c r="FD345" s="67" t="s">
        <v>2784</v>
      </c>
      <c r="FE345" s="68" t="s">
        <v>2785</v>
      </c>
      <c r="FF345" s="68" t="s">
        <v>2786</v>
      </c>
    </row>
    <row r="346" spans="151:162" x14ac:dyDescent="0.2">
      <c r="EU346" s="67">
        <v>566.23</v>
      </c>
      <c r="EV346" s="67" t="s">
        <v>2787</v>
      </c>
      <c r="EW346" s="67">
        <v>489.2</v>
      </c>
      <c r="EX346" s="67" t="s">
        <v>2788</v>
      </c>
      <c r="EY346" s="67">
        <v>5631.28</v>
      </c>
      <c r="EZ346" s="67" t="s">
        <v>2789</v>
      </c>
      <c r="FA346" s="67">
        <v>19867.973000000002</v>
      </c>
      <c r="FB346" s="67" t="s">
        <v>2790</v>
      </c>
      <c r="FC346" s="67" t="s">
        <v>2791</v>
      </c>
      <c r="FD346" s="67" t="s">
        <v>2792</v>
      </c>
      <c r="FE346" s="68" t="s">
        <v>2793</v>
      </c>
      <c r="FF346" s="68" t="s">
        <v>2794</v>
      </c>
    </row>
    <row r="347" spans="151:162" x14ac:dyDescent="0.2">
      <c r="EU347" s="67">
        <v>566.29</v>
      </c>
      <c r="EV347" s="67" t="s">
        <v>2795</v>
      </c>
      <c r="EW347" s="67">
        <v>489.19</v>
      </c>
      <c r="EX347" s="67" t="s">
        <v>2796</v>
      </c>
      <c r="EY347" s="67">
        <v>5631.28</v>
      </c>
      <c r="EZ347" s="67" t="s">
        <v>2797</v>
      </c>
      <c r="FA347" s="67">
        <v>19867.973000000002</v>
      </c>
      <c r="FB347" s="67" t="s">
        <v>2798</v>
      </c>
      <c r="FC347" s="67" t="s">
        <v>2799</v>
      </c>
      <c r="FD347" s="67" t="s">
        <v>2800</v>
      </c>
      <c r="FE347" s="68" t="s">
        <v>2801</v>
      </c>
      <c r="FF347" s="68" t="s">
        <v>2802</v>
      </c>
    </row>
    <row r="348" spans="151:162" x14ac:dyDescent="0.2">
      <c r="EU348" s="67">
        <v>566.28</v>
      </c>
      <c r="EV348" s="67" t="s">
        <v>2803</v>
      </c>
      <c r="EW348" s="67">
        <v>489.18</v>
      </c>
      <c r="EX348" s="67" t="s">
        <v>2804</v>
      </c>
      <c r="EY348" s="67">
        <v>5631.28</v>
      </c>
      <c r="EZ348" s="67" t="s">
        <v>2805</v>
      </c>
      <c r="FA348" s="67">
        <v>19867.973000000002</v>
      </c>
      <c r="FB348" s="67" t="s">
        <v>2806</v>
      </c>
      <c r="FC348" s="67" t="s">
        <v>2807</v>
      </c>
      <c r="FD348" s="67" t="s">
        <v>2808</v>
      </c>
      <c r="FE348" s="68" t="s">
        <v>2809</v>
      </c>
      <c r="FF348" s="68" t="s">
        <v>2810</v>
      </c>
    </row>
    <row r="349" spans="151:162" x14ac:dyDescent="0.2">
      <c r="EU349" s="67">
        <v>566.28</v>
      </c>
      <c r="EV349" s="67" t="s">
        <v>2811</v>
      </c>
      <c r="EW349" s="67">
        <v>489.17</v>
      </c>
      <c r="EX349" s="67" t="s">
        <v>2812</v>
      </c>
      <c r="EY349" s="67">
        <v>5631.28</v>
      </c>
      <c r="EZ349" s="67" t="s">
        <v>2813</v>
      </c>
      <c r="FA349" s="67">
        <v>19867.973000000002</v>
      </c>
      <c r="FB349" s="67" t="s">
        <v>2814</v>
      </c>
      <c r="FC349" s="67" t="s">
        <v>2815</v>
      </c>
      <c r="FD349" s="67" t="s">
        <v>2816</v>
      </c>
      <c r="FE349" s="68" t="s">
        <v>2817</v>
      </c>
      <c r="FF349" s="68" t="s">
        <v>2818</v>
      </c>
    </row>
    <row r="350" spans="151:162" x14ac:dyDescent="0.2">
      <c r="EU350" s="67">
        <v>566.29</v>
      </c>
      <c r="EV350" s="67" t="s">
        <v>2819</v>
      </c>
      <c r="EW350" s="67">
        <v>489.17</v>
      </c>
      <c r="EX350" s="67" t="s">
        <v>2820</v>
      </c>
      <c r="EY350" s="67">
        <v>5631.28</v>
      </c>
      <c r="EZ350" s="67" t="s">
        <v>2821</v>
      </c>
      <c r="FA350" s="67">
        <v>19867.973000000002</v>
      </c>
      <c r="FB350" s="67" t="s">
        <v>2822</v>
      </c>
      <c r="FC350" s="67" t="s">
        <v>2823</v>
      </c>
      <c r="FD350" s="67" t="s">
        <v>2824</v>
      </c>
      <c r="FE350" s="68" t="s">
        <v>2825</v>
      </c>
      <c r="FF350" s="68" t="s">
        <v>2826</v>
      </c>
    </row>
    <row r="351" spans="151:162" x14ac:dyDescent="0.2">
      <c r="EU351" s="67">
        <v>566.29999999999995</v>
      </c>
      <c r="EV351" s="67" t="s">
        <v>2827</v>
      </c>
      <c r="EW351" s="67">
        <v>489.17</v>
      </c>
      <c r="EX351" s="67" t="s">
        <v>2828</v>
      </c>
      <c r="EY351" s="67">
        <v>5631.28</v>
      </c>
      <c r="EZ351" s="67" t="s">
        <v>2829</v>
      </c>
      <c r="FA351" s="67">
        <v>19867.973000000002</v>
      </c>
      <c r="FB351" s="67" t="s">
        <v>2830</v>
      </c>
      <c r="FC351" s="67" t="s">
        <v>2831</v>
      </c>
      <c r="FD351" s="67" t="s">
        <v>2832</v>
      </c>
      <c r="FE351" s="68" t="s">
        <v>2833</v>
      </c>
      <c r="FF351" s="68" t="s">
        <v>2834</v>
      </c>
    </row>
    <row r="352" spans="151:162" x14ac:dyDescent="0.2">
      <c r="EU352" s="67">
        <v>566.29999999999995</v>
      </c>
      <c r="EV352" s="67" t="s">
        <v>2835</v>
      </c>
      <c r="EW352" s="67">
        <v>489.07</v>
      </c>
      <c r="EX352" s="67" t="s">
        <v>2836</v>
      </c>
      <c r="EY352" s="67">
        <v>5631.28</v>
      </c>
      <c r="EZ352" s="67" t="s">
        <v>2837</v>
      </c>
      <c r="FA352" s="67">
        <v>19867.973000000002</v>
      </c>
      <c r="FB352" s="67" t="s">
        <v>2838</v>
      </c>
      <c r="FC352" s="67" t="s">
        <v>2839</v>
      </c>
      <c r="FD352" s="67" t="s">
        <v>2840</v>
      </c>
      <c r="FE352" s="68" t="s">
        <v>2841</v>
      </c>
      <c r="FF352" s="68" t="s">
        <v>2842</v>
      </c>
    </row>
    <row r="353" spans="151:162" x14ac:dyDescent="0.2">
      <c r="EU353" s="67">
        <v>566.29999999999995</v>
      </c>
      <c r="EV353" s="67" t="s">
        <v>2843</v>
      </c>
      <c r="EW353" s="67">
        <v>489.14</v>
      </c>
      <c r="EX353" s="67" t="s">
        <v>2844</v>
      </c>
      <c r="EY353" s="67">
        <v>5631.28</v>
      </c>
      <c r="EZ353" s="67" t="s">
        <v>2845</v>
      </c>
      <c r="FA353" s="67">
        <v>19867.973000000002</v>
      </c>
      <c r="FB353" s="67" t="s">
        <v>2846</v>
      </c>
      <c r="FC353" s="67" t="s">
        <v>2847</v>
      </c>
      <c r="FD353" s="67" t="s">
        <v>2848</v>
      </c>
      <c r="FE353" s="68" t="s">
        <v>2849</v>
      </c>
      <c r="FF353" s="68" t="s">
        <v>2850</v>
      </c>
    </row>
    <row r="354" spans="151:162" x14ac:dyDescent="0.2">
      <c r="EU354" s="67">
        <v>566.22</v>
      </c>
      <c r="EV354" s="67" t="s">
        <v>2851</v>
      </c>
      <c r="EW354" s="67">
        <v>489.2</v>
      </c>
      <c r="EX354" s="67" t="s">
        <v>2852</v>
      </c>
      <c r="EY354" s="67">
        <v>5631.28</v>
      </c>
      <c r="EZ354" s="67" t="s">
        <v>2853</v>
      </c>
      <c r="FA354" s="67">
        <v>19867.973000000002</v>
      </c>
      <c r="FB354" s="67" t="s">
        <v>2854</v>
      </c>
      <c r="FC354" s="67" t="s">
        <v>2855</v>
      </c>
      <c r="FD354" s="67" t="s">
        <v>2856</v>
      </c>
      <c r="FE354" s="68" t="s">
        <v>2857</v>
      </c>
      <c r="FF354" s="68" t="s">
        <v>2858</v>
      </c>
    </row>
    <row r="355" spans="151:162" x14ac:dyDescent="0.2">
      <c r="EU355" s="67">
        <v>566.28</v>
      </c>
      <c r="EV355" s="67" t="s">
        <v>2859</v>
      </c>
      <c r="EW355" s="67">
        <v>489.24</v>
      </c>
      <c r="EX355" s="67" t="s">
        <v>2860</v>
      </c>
      <c r="EY355" s="67">
        <v>5631.28</v>
      </c>
      <c r="EZ355" s="67" t="s">
        <v>2861</v>
      </c>
      <c r="FA355" s="67">
        <v>19867.973000000002</v>
      </c>
      <c r="FB355" s="67" t="s">
        <v>2862</v>
      </c>
      <c r="FC355" s="67" t="s">
        <v>2863</v>
      </c>
      <c r="FD355" s="67" t="s">
        <v>2864</v>
      </c>
      <c r="FE355" s="68" t="s">
        <v>2865</v>
      </c>
      <c r="FF355" s="68" t="s">
        <v>2866</v>
      </c>
    </row>
    <row r="356" spans="151:162" x14ac:dyDescent="0.2">
      <c r="EU356" s="67">
        <v>566.22</v>
      </c>
      <c r="EV356" s="67" t="s">
        <v>2867</v>
      </c>
      <c r="EW356" s="67">
        <v>489.22</v>
      </c>
      <c r="EX356" s="67" t="s">
        <v>2868</v>
      </c>
      <c r="EY356" s="67">
        <v>5631.28</v>
      </c>
      <c r="EZ356" s="67" t="s">
        <v>2869</v>
      </c>
      <c r="FA356" s="67">
        <v>19867.973000000002</v>
      </c>
      <c r="FB356" s="67" t="s">
        <v>2870</v>
      </c>
      <c r="FC356" s="67" t="s">
        <v>2871</v>
      </c>
      <c r="FD356" s="67" t="s">
        <v>2872</v>
      </c>
      <c r="FE356" s="68" t="s">
        <v>2873</v>
      </c>
      <c r="FF356" s="68" t="s">
        <v>2874</v>
      </c>
    </row>
    <row r="357" spans="151:162" x14ac:dyDescent="0.2">
      <c r="EU357" s="67">
        <v>566.15</v>
      </c>
      <c r="EV357" s="67" t="s">
        <v>2875</v>
      </c>
      <c r="EW357" s="67">
        <v>489.05</v>
      </c>
      <c r="EX357" s="67" t="s">
        <v>2876</v>
      </c>
      <c r="EY357" s="67">
        <v>5631.28</v>
      </c>
      <c r="EZ357" s="67" t="s">
        <v>2877</v>
      </c>
      <c r="FA357" s="67">
        <v>19867.973000000002</v>
      </c>
      <c r="FB357" s="67" t="s">
        <v>2878</v>
      </c>
      <c r="FC357" s="67" t="s">
        <v>2879</v>
      </c>
      <c r="FD357" s="67" t="s">
        <v>2880</v>
      </c>
      <c r="FE357" s="68" t="s">
        <v>2881</v>
      </c>
      <c r="FF357" s="68" t="s">
        <v>2882</v>
      </c>
    </row>
    <row r="358" spans="151:162" x14ac:dyDescent="0.2">
      <c r="EU358" s="67">
        <v>566.17999999999995</v>
      </c>
      <c r="EV358" s="67" t="s">
        <v>2883</v>
      </c>
      <c r="EW358" s="67">
        <v>489.07</v>
      </c>
      <c r="EX358" s="67" t="s">
        <v>2884</v>
      </c>
      <c r="EY358" s="67">
        <v>5631.28</v>
      </c>
      <c r="EZ358" s="67" t="s">
        <v>2885</v>
      </c>
      <c r="FA358" s="67">
        <v>19867.973000000002</v>
      </c>
      <c r="FB358" s="67" t="s">
        <v>2886</v>
      </c>
      <c r="FC358" s="67" t="s">
        <v>2887</v>
      </c>
      <c r="FD358" s="67" t="s">
        <v>2888</v>
      </c>
      <c r="FE358" s="68" t="s">
        <v>2889</v>
      </c>
      <c r="FF358" s="68" t="s">
        <v>2890</v>
      </c>
    </row>
    <row r="359" spans="151:162" x14ac:dyDescent="0.2">
      <c r="EU359" s="67">
        <v>566.23</v>
      </c>
      <c r="EV359" s="67" t="s">
        <v>2891</v>
      </c>
      <c r="EW359" s="67">
        <v>489.2</v>
      </c>
      <c r="EX359" s="67" t="s">
        <v>2892</v>
      </c>
      <c r="EY359" s="67">
        <v>5631.28</v>
      </c>
      <c r="EZ359" s="67" t="s">
        <v>2893</v>
      </c>
      <c r="FA359" s="67">
        <v>19867.973000000002</v>
      </c>
      <c r="FB359" s="67" t="s">
        <v>2894</v>
      </c>
      <c r="FC359" s="67" t="s">
        <v>2895</v>
      </c>
      <c r="FD359" s="67" t="s">
        <v>2896</v>
      </c>
      <c r="FE359" s="68" t="s">
        <v>2897</v>
      </c>
      <c r="FF359" s="68" t="s">
        <v>2898</v>
      </c>
    </row>
    <row r="360" spans="151:162" x14ac:dyDescent="0.2">
      <c r="EU360" s="67">
        <v>566.28</v>
      </c>
      <c r="EV360" s="67" t="s">
        <v>2899</v>
      </c>
      <c r="EW360" s="67">
        <v>489.3</v>
      </c>
      <c r="EX360" s="67" t="s">
        <v>2900</v>
      </c>
      <c r="EY360" s="67">
        <v>5631.28</v>
      </c>
      <c r="EZ360" s="67" t="s">
        <v>2901</v>
      </c>
      <c r="FA360" s="67">
        <v>19867.973000000002</v>
      </c>
      <c r="FB360" s="67" t="s">
        <v>2902</v>
      </c>
      <c r="FC360" s="67" t="s">
        <v>2903</v>
      </c>
      <c r="FD360" s="67" t="s">
        <v>2904</v>
      </c>
      <c r="FE360" s="68" t="s">
        <v>2905</v>
      </c>
      <c r="FF360" s="68" t="s">
        <v>2906</v>
      </c>
    </row>
    <row r="361" spans="151:162" x14ac:dyDescent="0.2">
      <c r="EU361" s="67">
        <v>566.20000000000005</v>
      </c>
      <c r="EV361" s="67" t="s">
        <v>2907</v>
      </c>
      <c r="EW361" s="67">
        <v>489.18</v>
      </c>
      <c r="EX361" s="67" t="s">
        <v>2908</v>
      </c>
      <c r="EY361" s="67">
        <v>5631.28</v>
      </c>
      <c r="EZ361" s="67" t="s">
        <v>2909</v>
      </c>
      <c r="FA361" s="67">
        <v>19867.973000000002</v>
      </c>
      <c r="FB361" s="67" t="s">
        <v>2910</v>
      </c>
      <c r="FC361" s="67" t="s">
        <v>2911</v>
      </c>
      <c r="FD361" s="67" t="s">
        <v>2912</v>
      </c>
      <c r="FE361" s="68" t="s">
        <v>2913</v>
      </c>
      <c r="FF361" s="68" t="s">
        <v>2914</v>
      </c>
    </row>
    <row r="362" spans="151:162" x14ac:dyDescent="0.2">
      <c r="EU362" s="67">
        <v>566.21</v>
      </c>
      <c r="EV362" s="67" t="s">
        <v>2915</v>
      </c>
      <c r="EW362" s="67">
        <v>489.14</v>
      </c>
      <c r="EX362" s="67" t="s">
        <v>2916</v>
      </c>
      <c r="EY362" s="67">
        <v>5631.28</v>
      </c>
      <c r="EZ362" s="67" t="s">
        <v>2917</v>
      </c>
      <c r="FA362" s="67">
        <v>19867.973000000002</v>
      </c>
      <c r="FB362" s="67" t="s">
        <v>2918</v>
      </c>
      <c r="FC362" s="67" t="s">
        <v>2919</v>
      </c>
      <c r="FD362" s="67" t="s">
        <v>2920</v>
      </c>
      <c r="FE362" s="68" t="s">
        <v>2921</v>
      </c>
      <c r="FF362" s="68" t="s">
        <v>2922</v>
      </c>
    </row>
    <row r="363" spans="151:162" x14ac:dyDescent="0.2">
      <c r="EU363" s="67">
        <v>566.16</v>
      </c>
      <c r="EV363" s="67" t="s">
        <v>2923</v>
      </c>
      <c r="EW363" s="67">
        <v>488.99</v>
      </c>
      <c r="EX363" s="67" t="s">
        <v>2924</v>
      </c>
      <c r="EY363" s="67">
        <v>5631.28</v>
      </c>
      <c r="EZ363" s="67" t="s">
        <v>2925</v>
      </c>
      <c r="FA363" s="67">
        <v>19867.973000000002</v>
      </c>
      <c r="FB363" s="67" t="s">
        <v>2926</v>
      </c>
      <c r="FC363" s="67" t="s">
        <v>2927</v>
      </c>
      <c r="FD363" s="67" t="s">
        <v>2928</v>
      </c>
      <c r="FE363" s="68" t="s">
        <v>2929</v>
      </c>
      <c r="FF363" s="68" t="s">
        <v>2930</v>
      </c>
    </row>
    <row r="364" spans="151:162" x14ac:dyDescent="0.2">
      <c r="EU364" s="67">
        <v>566.13</v>
      </c>
      <c r="EV364" s="67" t="s">
        <v>2931</v>
      </c>
      <c r="EW364" s="67">
        <v>489.08</v>
      </c>
      <c r="EX364" s="67" t="s">
        <v>2932</v>
      </c>
      <c r="EY364" s="67">
        <v>5631.28</v>
      </c>
      <c r="EZ364" s="67" t="s">
        <v>2933</v>
      </c>
      <c r="FA364" s="67">
        <v>19867.973000000002</v>
      </c>
      <c r="FB364" s="67" t="s">
        <v>2934</v>
      </c>
      <c r="FC364" s="67" t="s">
        <v>2935</v>
      </c>
      <c r="FD364" s="67" t="s">
        <v>2936</v>
      </c>
      <c r="FE364" s="68" t="s">
        <v>2937</v>
      </c>
      <c r="FF364" s="68" t="s">
        <v>2938</v>
      </c>
    </row>
    <row r="365" spans="151:162" x14ac:dyDescent="0.2">
      <c r="EU365" s="67">
        <v>566.02</v>
      </c>
      <c r="EV365" s="67" t="s">
        <v>2939</v>
      </c>
      <c r="EW365" s="67">
        <v>489.01</v>
      </c>
      <c r="EX365" s="67" t="s">
        <v>2940</v>
      </c>
      <c r="EY365" s="67">
        <v>5631.28</v>
      </c>
      <c r="EZ365" s="67" t="s">
        <v>2941</v>
      </c>
      <c r="FA365" s="67">
        <v>19867.973000000002</v>
      </c>
      <c r="FB365" s="67" t="s">
        <v>2942</v>
      </c>
      <c r="FC365" s="67" t="s">
        <v>2943</v>
      </c>
      <c r="FD365" s="67" t="s">
        <v>2944</v>
      </c>
      <c r="FE365" s="68" t="s">
        <v>2945</v>
      </c>
      <c r="FF365" s="68" t="s">
        <v>2946</v>
      </c>
    </row>
    <row r="366" spans="151:162" x14ac:dyDescent="0.2">
      <c r="EU366" s="67">
        <v>566.02</v>
      </c>
      <c r="EV366" s="67" t="s">
        <v>2947</v>
      </c>
      <c r="EW366" s="67">
        <v>489</v>
      </c>
      <c r="EX366" s="67" t="s">
        <v>2948</v>
      </c>
      <c r="EY366" s="67">
        <v>5631.28</v>
      </c>
      <c r="EZ366" s="67" t="s">
        <v>2949</v>
      </c>
      <c r="FA366" s="67">
        <v>19867.973000000002</v>
      </c>
      <c r="FB366" s="67" t="s">
        <v>2950</v>
      </c>
      <c r="FC366" s="67" t="s">
        <v>2951</v>
      </c>
      <c r="FD366" s="67" t="s">
        <v>2952</v>
      </c>
      <c r="FE366" s="68" t="s">
        <v>2953</v>
      </c>
      <c r="FF366" s="68" t="s">
        <v>2954</v>
      </c>
    </row>
    <row r="367" spans="151:162" x14ac:dyDescent="0.2">
      <c r="EU367" s="67">
        <v>566.11</v>
      </c>
      <c r="EV367" s="67" t="s">
        <v>2955</v>
      </c>
      <c r="EW367" s="67">
        <v>489.11</v>
      </c>
      <c r="EX367" s="67" t="s">
        <v>2956</v>
      </c>
      <c r="EY367" s="67">
        <v>5631.28</v>
      </c>
      <c r="EZ367" s="67" t="s">
        <v>2957</v>
      </c>
      <c r="FA367" s="67">
        <v>19867.973000000002</v>
      </c>
      <c r="FB367" s="67" t="s">
        <v>2958</v>
      </c>
      <c r="FC367" s="67" t="s">
        <v>2959</v>
      </c>
      <c r="FD367" s="67" t="s">
        <v>2960</v>
      </c>
      <c r="FE367" s="68" t="s">
        <v>2961</v>
      </c>
      <c r="FF367" s="68" t="s">
        <v>2962</v>
      </c>
    </row>
    <row r="368" spans="151:162" x14ac:dyDescent="0.2">
      <c r="EU368" s="67">
        <v>566.16</v>
      </c>
      <c r="EV368" s="67" t="s">
        <v>2963</v>
      </c>
      <c r="EW368" s="67">
        <v>489.08</v>
      </c>
      <c r="EX368" s="67" t="s">
        <v>2964</v>
      </c>
      <c r="EY368" s="67">
        <v>5631.28</v>
      </c>
      <c r="EZ368" s="67" t="s">
        <v>2965</v>
      </c>
      <c r="FA368" s="67">
        <v>19867.973000000002</v>
      </c>
      <c r="FB368" s="67" t="s">
        <v>2966</v>
      </c>
      <c r="FC368" s="67" t="s">
        <v>2967</v>
      </c>
      <c r="FD368" s="67" t="s">
        <v>2968</v>
      </c>
      <c r="FE368" s="68" t="s">
        <v>2969</v>
      </c>
      <c r="FF368" s="68" t="s">
        <v>2970</v>
      </c>
    </row>
    <row r="369" spans="151:162" x14ac:dyDescent="0.2">
      <c r="EU369" s="67">
        <v>566.04999999999995</v>
      </c>
      <c r="EV369" s="67" t="s">
        <v>2971</v>
      </c>
      <c r="EW369" s="67">
        <v>489.07</v>
      </c>
      <c r="EX369" s="67" t="s">
        <v>2972</v>
      </c>
      <c r="EY369" s="67">
        <v>5631.28</v>
      </c>
      <c r="EZ369" s="67" t="s">
        <v>2973</v>
      </c>
      <c r="FA369" s="67">
        <v>19867.973000000002</v>
      </c>
      <c r="FB369" s="67" t="s">
        <v>2974</v>
      </c>
      <c r="FC369" s="67" t="s">
        <v>2975</v>
      </c>
      <c r="FD369" s="67" t="s">
        <v>2976</v>
      </c>
      <c r="FE369" s="68" t="s">
        <v>2977</v>
      </c>
      <c r="FF369" s="68" t="s">
        <v>2978</v>
      </c>
    </row>
    <row r="370" spans="151:162" x14ac:dyDescent="0.2">
      <c r="EU370" s="67">
        <v>566.09</v>
      </c>
      <c r="EV370" s="67" t="s">
        <v>2979</v>
      </c>
      <c r="EW370" s="67">
        <v>489.07</v>
      </c>
      <c r="EX370" s="67" t="s">
        <v>2980</v>
      </c>
      <c r="EY370" s="67">
        <v>5631.28</v>
      </c>
      <c r="EZ370" s="67" t="s">
        <v>2981</v>
      </c>
      <c r="FA370" s="67">
        <v>19867.973000000002</v>
      </c>
      <c r="FB370" s="67" t="s">
        <v>2982</v>
      </c>
      <c r="FC370" s="67" t="s">
        <v>2983</v>
      </c>
      <c r="FD370" s="67" t="s">
        <v>2984</v>
      </c>
      <c r="FE370" s="68" t="s">
        <v>2985</v>
      </c>
      <c r="FF370" s="68" t="s">
        <v>2986</v>
      </c>
    </row>
    <row r="371" spans="151:162" x14ac:dyDescent="0.2">
      <c r="EU371" s="67">
        <v>566.11</v>
      </c>
      <c r="EV371" s="67" t="s">
        <v>2987</v>
      </c>
      <c r="EW371" s="67">
        <v>489.07</v>
      </c>
      <c r="EX371" s="67" t="s">
        <v>2988</v>
      </c>
      <c r="EY371" s="67">
        <v>5631.28</v>
      </c>
      <c r="EZ371" s="67" t="s">
        <v>2989</v>
      </c>
      <c r="FA371" s="67">
        <v>19867.973000000002</v>
      </c>
      <c r="FB371" s="67" t="s">
        <v>2990</v>
      </c>
      <c r="FC371" s="67" t="s">
        <v>2991</v>
      </c>
      <c r="FD371" s="67" t="s">
        <v>2992</v>
      </c>
      <c r="FE371" s="68" t="s">
        <v>2993</v>
      </c>
      <c r="FF371" s="68" t="s">
        <v>2994</v>
      </c>
    </row>
    <row r="372" spans="151:162" x14ac:dyDescent="0.2">
      <c r="EU372" s="67">
        <v>566.13</v>
      </c>
      <c r="EV372" s="67" t="s">
        <v>2995</v>
      </c>
      <c r="EW372" s="67">
        <v>489.12</v>
      </c>
      <c r="EX372" s="67" t="s">
        <v>2996</v>
      </c>
      <c r="EY372" s="67">
        <v>5631.28</v>
      </c>
      <c r="EZ372" s="67" t="s">
        <v>2997</v>
      </c>
      <c r="FA372" s="67">
        <v>19867.973000000002</v>
      </c>
      <c r="FB372" s="67" t="s">
        <v>2998</v>
      </c>
      <c r="FC372" s="67" t="s">
        <v>2999</v>
      </c>
      <c r="FD372" s="67" t="s">
        <v>3000</v>
      </c>
      <c r="FE372" s="68" t="s">
        <v>3001</v>
      </c>
      <c r="FF372" s="68" t="s">
        <v>3002</v>
      </c>
    </row>
    <row r="373" spans="151:162" x14ac:dyDescent="0.2">
      <c r="EU373" s="67">
        <v>566.26</v>
      </c>
      <c r="EV373" s="67" t="s">
        <v>3003</v>
      </c>
      <c r="EW373" s="67">
        <v>489.17</v>
      </c>
      <c r="EX373" s="67" t="s">
        <v>3004</v>
      </c>
      <c r="EY373" s="67">
        <v>5631.28</v>
      </c>
      <c r="EZ373" s="67" t="s">
        <v>3005</v>
      </c>
      <c r="FA373" s="67">
        <v>19867.973000000002</v>
      </c>
      <c r="FB373" s="67" t="s">
        <v>3006</v>
      </c>
      <c r="FC373" s="67" t="s">
        <v>3007</v>
      </c>
      <c r="FD373" s="67" t="s">
        <v>3008</v>
      </c>
      <c r="FE373" s="68" t="s">
        <v>3009</v>
      </c>
      <c r="FF373" s="68" t="s">
        <v>3010</v>
      </c>
    </row>
    <row r="374" spans="151:162" x14ac:dyDescent="0.2">
      <c r="EU374" s="67">
        <v>566.17999999999995</v>
      </c>
      <c r="EV374" s="67" t="s">
        <v>3011</v>
      </c>
      <c r="EW374" s="67">
        <v>489.18</v>
      </c>
      <c r="EX374" s="67" t="s">
        <v>3012</v>
      </c>
      <c r="EY374" s="67">
        <v>5631.28</v>
      </c>
      <c r="EZ374" s="67" t="s">
        <v>3013</v>
      </c>
      <c r="FA374" s="67">
        <v>19867.973000000002</v>
      </c>
      <c r="FB374" s="67" t="s">
        <v>3014</v>
      </c>
      <c r="FC374" s="67" t="s">
        <v>3015</v>
      </c>
      <c r="FD374" s="67" t="s">
        <v>3016</v>
      </c>
      <c r="FE374" s="68" t="s">
        <v>3017</v>
      </c>
      <c r="FF374" s="68" t="s">
        <v>3018</v>
      </c>
    </row>
    <row r="375" spans="151:162" x14ac:dyDescent="0.2">
      <c r="EU375" s="67">
        <v>566.17999999999995</v>
      </c>
      <c r="EV375" s="67" t="s">
        <v>3019</v>
      </c>
      <c r="EW375" s="67">
        <v>489.11</v>
      </c>
      <c r="EX375" s="67" t="s">
        <v>3020</v>
      </c>
      <c r="EY375" s="67">
        <v>5631.28</v>
      </c>
      <c r="EZ375" s="67" t="s">
        <v>3021</v>
      </c>
      <c r="FA375" s="67">
        <v>19867.973000000002</v>
      </c>
      <c r="FB375" s="67" t="s">
        <v>3022</v>
      </c>
      <c r="FC375" s="67" t="s">
        <v>3023</v>
      </c>
      <c r="FD375" s="67" t="s">
        <v>3024</v>
      </c>
      <c r="FE375" s="68" t="s">
        <v>3025</v>
      </c>
      <c r="FF375" s="68" t="s">
        <v>3026</v>
      </c>
    </row>
    <row r="376" spans="151:162" x14ac:dyDescent="0.2">
      <c r="EU376" s="67">
        <v>566</v>
      </c>
      <c r="EV376" s="67" t="s">
        <v>3027</v>
      </c>
      <c r="EW376" s="67">
        <v>488.93</v>
      </c>
      <c r="EX376" s="67" t="s">
        <v>3028</v>
      </c>
      <c r="EY376" s="67">
        <v>5631.28</v>
      </c>
      <c r="EZ376" s="67" t="s">
        <v>3029</v>
      </c>
      <c r="FA376" s="67">
        <v>19867.973000000002</v>
      </c>
      <c r="FB376" s="67" t="s">
        <v>3030</v>
      </c>
      <c r="FC376" s="67" t="s">
        <v>3031</v>
      </c>
      <c r="FD376" s="67" t="s">
        <v>3032</v>
      </c>
      <c r="FE376" s="68" t="s">
        <v>3033</v>
      </c>
      <c r="FF376" s="68" t="s">
        <v>3034</v>
      </c>
    </row>
    <row r="377" spans="151:162" x14ac:dyDescent="0.2">
      <c r="EU377" s="67">
        <v>566.03</v>
      </c>
      <c r="EV377" s="67" t="s">
        <v>3035</v>
      </c>
      <c r="EW377" s="67">
        <v>488.93</v>
      </c>
      <c r="EX377" s="67" t="s">
        <v>3036</v>
      </c>
      <c r="EY377" s="67">
        <v>5631.28</v>
      </c>
      <c r="EZ377" s="67" t="s">
        <v>3037</v>
      </c>
      <c r="FA377" s="67">
        <v>19867.973000000002</v>
      </c>
      <c r="FB377" s="67" t="s">
        <v>3038</v>
      </c>
      <c r="FC377" s="67" t="s">
        <v>3039</v>
      </c>
      <c r="FD377" s="67" t="s">
        <v>3040</v>
      </c>
      <c r="FE377" s="68" t="s">
        <v>3041</v>
      </c>
      <c r="FF377" s="68" t="s">
        <v>3042</v>
      </c>
    </row>
    <row r="378" spans="151:162" x14ac:dyDescent="0.2">
      <c r="EU378" s="67">
        <v>566.05999999999995</v>
      </c>
      <c r="EV378" s="67" t="s">
        <v>3043</v>
      </c>
      <c r="EW378" s="67">
        <v>488.96</v>
      </c>
      <c r="EX378" s="67" t="s">
        <v>3044</v>
      </c>
      <c r="EY378" s="67">
        <v>5631.28</v>
      </c>
      <c r="EZ378" s="67" t="s">
        <v>3045</v>
      </c>
      <c r="FA378" s="67">
        <v>19867.973000000002</v>
      </c>
      <c r="FB378" s="67" t="s">
        <v>3046</v>
      </c>
      <c r="FC378" s="67" t="s">
        <v>3047</v>
      </c>
      <c r="FD378" s="67" t="s">
        <v>3048</v>
      </c>
      <c r="FE378" s="68" t="s">
        <v>3049</v>
      </c>
      <c r="FF378" s="68" t="s">
        <v>3050</v>
      </c>
    </row>
    <row r="379" spans="151:162" x14ac:dyDescent="0.2">
      <c r="EU379" s="67">
        <v>566.01</v>
      </c>
      <c r="EV379" s="67" t="s">
        <v>3051</v>
      </c>
      <c r="EW379" s="67">
        <v>488.84</v>
      </c>
      <c r="EX379" s="67" t="s">
        <v>3052</v>
      </c>
      <c r="EY379" s="67">
        <v>5631.28</v>
      </c>
      <c r="EZ379" s="67" t="s">
        <v>3053</v>
      </c>
      <c r="FA379" s="67">
        <v>19867.973000000002</v>
      </c>
      <c r="FB379" s="67" t="s">
        <v>3054</v>
      </c>
      <c r="FC379" s="67" t="s">
        <v>3055</v>
      </c>
      <c r="FD379" s="67" t="s">
        <v>3056</v>
      </c>
      <c r="FE379" s="68" t="s">
        <v>3057</v>
      </c>
      <c r="FF379" s="68" t="s">
        <v>3058</v>
      </c>
    </row>
    <row r="380" spans="151:162" x14ac:dyDescent="0.2">
      <c r="EU380" s="67">
        <v>566.05999999999995</v>
      </c>
      <c r="EV380" s="67" t="s">
        <v>3059</v>
      </c>
      <c r="EW380" s="67">
        <v>488.95</v>
      </c>
      <c r="EX380" s="67" t="s">
        <v>3060</v>
      </c>
      <c r="EY380" s="67">
        <v>5631.28</v>
      </c>
      <c r="EZ380" s="67" t="s">
        <v>3061</v>
      </c>
      <c r="FA380" s="67">
        <v>19867.973000000002</v>
      </c>
      <c r="FB380" s="67" t="s">
        <v>3062</v>
      </c>
      <c r="FC380" s="67" t="s">
        <v>3063</v>
      </c>
      <c r="FD380" s="67" t="s">
        <v>3064</v>
      </c>
      <c r="FE380" s="68" t="s">
        <v>3065</v>
      </c>
      <c r="FF380" s="68" t="s">
        <v>3066</v>
      </c>
    </row>
    <row r="381" spans="151:162" x14ac:dyDescent="0.2">
      <c r="EU381" s="67">
        <v>566.05999999999995</v>
      </c>
      <c r="EV381" s="67" t="s">
        <v>3067</v>
      </c>
      <c r="EW381" s="67">
        <v>488.95</v>
      </c>
      <c r="EX381" s="67" t="s">
        <v>3068</v>
      </c>
      <c r="EY381" s="67">
        <v>5631.28</v>
      </c>
      <c r="EZ381" s="67" t="s">
        <v>3069</v>
      </c>
      <c r="FA381" s="67">
        <v>19867.973000000002</v>
      </c>
      <c r="FB381" s="67" t="s">
        <v>3070</v>
      </c>
      <c r="FC381" s="67" t="s">
        <v>3071</v>
      </c>
      <c r="FD381" s="67" t="s">
        <v>3072</v>
      </c>
      <c r="FE381" s="68" t="s">
        <v>3073</v>
      </c>
      <c r="FF381" s="68" t="s">
        <v>3074</v>
      </c>
    </row>
    <row r="382" spans="151:162" x14ac:dyDescent="0.2">
      <c r="EU382" s="67">
        <v>566.02</v>
      </c>
      <c r="EV382" s="67" t="s">
        <v>3075</v>
      </c>
      <c r="EW382" s="67">
        <v>488.78</v>
      </c>
      <c r="EX382" s="67" t="s">
        <v>3076</v>
      </c>
      <c r="EY382" s="67">
        <v>5631.28</v>
      </c>
      <c r="EZ382" s="67" t="s">
        <v>3077</v>
      </c>
      <c r="FA382" s="67">
        <v>19867.973000000002</v>
      </c>
      <c r="FB382" s="67" t="s">
        <v>3078</v>
      </c>
      <c r="FC382" s="67" t="s">
        <v>3079</v>
      </c>
      <c r="FD382" s="67" t="s">
        <v>3080</v>
      </c>
      <c r="FE382" s="68" t="s">
        <v>3081</v>
      </c>
      <c r="FF382" s="68" t="s">
        <v>3082</v>
      </c>
    </row>
    <row r="383" spans="151:162" x14ac:dyDescent="0.2">
      <c r="EU383" s="67">
        <v>566.03</v>
      </c>
      <c r="EV383" s="67" t="s">
        <v>3083</v>
      </c>
      <c r="EW383" s="67">
        <v>488.88</v>
      </c>
      <c r="EX383" s="67" t="s">
        <v>3084</v>
      </c>
      <c r="EY383" s="67">
        <v>5631.28</v>
      </c>
      <c r="EZ383" s="67" t="s">
        <v>3085</v>
      </c>
      <c r="FA383" s="67">
        <v>19867.973000000002</v>
      </c>
      <c r="FB383" s="67" t="s">
        <v>3086</v>
      </c>
      <c r="FC383" s="67" t="s">
        <v>3087</v>
      </c>
      <c r="FD383" s="67" t="s">
        <v>3088</v>
      </c>
      <c r="FE383" s="68" t="s">
        <v>3089</v>
      </c>
      <c r="FF383" s="68" t="s">
        <v>3090</v>
      </c>
    </row>
    <row r="384" spans="151:162" x14ac:dyDescent="0.2">
      <c r="EU384" s="67">
        <v>566.02</v>
      </c>
      <c r="EV384" s="67" t="s">
        <v>3091</v>
      </c>
      <c r="EW384" s="67">
        <v>488.84</v>
      </c>
      <c r="EX384" s="67" t="s">
        <v>3092</v>
      </c>
      <c r="EY384" s="67">
        <v>5631.28</v>
      </c>
      <c r="EZ384" s="67" t="s">
        <v>3093</v>
      </c>
      <c r="FA384" s="67">
        <v>19867.973000000002</v>
      </c>
      <c r="FB384" s="67" t="s">
        <v>3094</v>
      </c>
      <c r="FC384" s="67" t="s">
        <v>3095</v>
      </c>
      <c r="FD384" s="67" t="s">
        <v>3096</v>
      </c>
      <c r="FE384" s="68" t="s">
        <v>3097</v>
      </c>
      <c r="FF384" s="68" t="s">
        <v>3098</v>
      </c>
    </row>
    <row r="385" spans="151:162" x14ac:dyDescent="0.2">
      <c r="EU385" s="67">
        <v>566.02</v>
      </c>
      <c r="EV385" s="67" t="s">
        <v>3099</v>
      </c>
      <c r="EW385" s="67">
        <v>488.87</v>
      </c>
      <c r="EX385" s="67" t="s">
        <v>3100</v>
      </c>
      <c r="EY385" s="67">
        <v>5631.28</v>
      </c>
      <c r="EZ385" s="67" t="s">
        <v>3101</v>
      </c>
      <c r="FA385" s="67">
        <v>19867.973000000002</v>
      </c>
      <c r="FB385" s="67" t="s">
        <v>3102</v>
      </c>
      <c r="FC385" s="67" t="s">
        <v>3103</v>
      </c>
      <c r="FD385" s="67" t="s">
        <v>3104</v>
      </c>
      <c r="FE385" s="68" t="s">
        <v>3105</v>
      </c>
      <c r="FF385" s="68" t="s">
        <v>3106</v>
      </c>
    </row>
    <row r="386" spans="151:162" x14ac:dyDescent="0.2">
      <c r="EU386" s="67">
        <v>565.91</v>
      </c>
      <c r="EV386" s="67" t="s">
        <v>3107</v>
      </c>
      <c r="EW386" s="67">
        <v>488.78</v>
      </c>
      <c r="EX386" s="67" t="s">
        <v>3108</v>
      </c>
      <c r="EY386" s="67">
        <v>5631.28</v>
      </c>
      <c r="EZ386" s="67" t="s">
        <v>3109</v>
      </c>
      <c r="FA386" s="67">
        <v>19867.973000000002</v>
      </c>
      <c r="FB386" s="67" t="s">
        <v>3110</v>
      </c>
      <c r="FC386" s="67" t="s">
        <v>3111</v>
      </c>
      <c r="FD386" s="67" t="s">
        <v>3112</v>
      </c>
      <c r="FE386" s="68" t="s">
        <v>3113</v>
      </c>
      <c r="FF386" s="68" t="s">
        <v>3114</v>
      </c>
    </row>
    <row r="387" spans="151:162" x14ac:dyDescent="0.2">
      <c r="EU387" s="67">
        <v>565.96</v>
      </c>
      <c r="EV387" s="67" t="s">
        <v>3115</v>
      </c>
      <c r="EW387" s="67">
        <v>488.86</v>
      </c>
      <c r="EX387" s="67" t="s">
        <v>3116</v>
      </c>
      <c r="EY387" s="67">
        <v>5631.28</v>
      </c>
      <c r="EZ387" s="67" t="s">
        <v>3117</v>
      </c>
      <c r="FA387" s="67">
        <v>19867.973000000002</v>
      </c>
      <c r="FB387" s="67" t="s">
        <v>3118</v>
      </c>
      <c r="FC387" s="67" t="s">
        <v>3119</v>
      </c>
      <c r="FD387" s="67" t="s">
        <v>3120</v>
      </c>
      <c r="FE387" s="68" t="s">
        <v>3121</v>
      </c>
      <c r="FF387" s="68" t="s">
        <v>3122</v>
      </c>
    </row>
    <row r="388" spans="151:162" x14ac:dyDescent="0.2">
      <c r="EU388" s="67">
        <v>565.91999999999996</v>
      </c>
      <c r="EV388" s="67" t="s">
        <v>3123</v>
      </c>
      <c r="EW388" s="67">
        <v>488.81</v>
      </c>
      <c r="EX388" s="67" t="s">
        <v>3124</v>
      </c>
      <c r="EY388" s="67">
        <v>5631.28</v>
      </c>
      <c r="EZ388" s="67" t="s">
        <v>3125</v>
      </c>
      <c r="FA388" s="67">
        <v>19867.973000000002</v>
      </c>
      <c r="FB388" s="67" t="s">
        <v>3126</v>
      </c>
      <c r="FC388" s="67" t="s">
        <v>3127</v>
      </c>
      <c r="FD388" s="67" t="s">
        <v>3128</v>
      </c>
      <c r="FE388" s="68" t="s">
        <v>3129</v>
      </c>
      <c r="FF388" s="68" t="s">
        <v>3130</v>
      </c>
    </row>
    <row r="389" spans="151:162" x14ac:dyDescent="0.2">
      <c r="EU389" s="67">
        <v>565.86</v>
      </c>
      <c r="EV389" s="67" t="s">
        <v>3131</v>
      </c>
      <c r="EW389" s="67">
        <v>488.79</v>
      </c>
      <c r="EX389" s="67" t="s">
        <v>3132</v>
      </c>
      <c r="EY389" s="67">
        <v>5631.28</v>
      </c>
      <c r="EZ389" s="67" t="s">
        <v>3133</v>
      </c>
      <c r="FA389" s="67">
        <v>19867.973000000002</v>
      </c>
      <c r="FB389" s="67" t="s">
        <v>3134</v>
      </c>
      <c r="FC389" s="67" t="s">
        <v>3135</v>
      </c>
      <c r="FD389" s="67" t="s">
        <v>3136</v>
      </c>
      <c r="FE389" s="68" t="s">
        <v>3137</v>
      </c>
      <c r="FF389" s="68" t="s">
        <v>3138</v>
      </c>
    </row>
    <row r="390" spans="151:162" x14ac:dyDescent="0.2">
      <c r="EU390" s="67">
        <v>565.88</v>
      </c>
      <c r="EV390" s="67" t="s">
        <v>3139</v>
      </c>
      <c r="EW390" s="67">
        <v>488.74</v>
      </c>
      <c r="EX390" s="67" t="s">
        <v>3140</v>
      </c>
      <c r="EY390" s="67">
        <v>5631.28</v>
      </c>
      <c r="EZ390" s="67" t="s">
        <v>3141</v>
      </c>
      <c r="FA390" s="67">
        <v>19867.973000000002</v>
      </c>
      <c r="FB390" s="67" t="s">
        <v>3142</v>
      </c>
      <c r="FC390" s="67" t="s">
        <v>3143</v>
      </c>
      <c r="FD390" s="67" t="s">
        <v>3144</v>
      </c>
      <c r="FE390" s="68" t="s">
        <v>3145</v>
      </c>
      <c r="FF390" s="68" t="s">
        <v>3146</v>
      </c>
    </row>
    <row r="391" spans="151:162" x14ac:dyDescent="0.2">
      <c r="EU391" s="67">
        <v>566.02</v>
      </c>
      <c r="EV391" s="67" t="s">
        <v>3147</v>
      </c>
      <c r="EW391" s="67">
        <v>488.75</v>
      </c>
      <c r="EX391" s="67" t="s">
        <v>3148</v>
      </c>
      <c r="EY391" s="67">
        <v>5631.28</v>
      </c>
      <c r="EZ391" s="67" t="s">
        <v>3149</v>
      </c>
      <c r="FA391" s="67">
        <v>19867.973000000002</v>
      </c>
      <c r="FB391" s="67" t="s">
        <v>3150</v>
      </c>
      <c r="FC391" s="67" t="s">
        <v>3151</v>
      </c>
      <c r="FD391" s="67" t="s">
        <v>3152</v>
      </c>
      <c r="FE391" s="68" t="s">
        <v>3153</v>
      </c>
      <c r="FF391" s="68" t="s">
        <v>3154</v>
      </c>
    </row>
    <row r="392" spans="151:162" x14ac:dyDescent="0.2">
      <c r="EU392" s="67">
        <v>566.11</v>
      </c>
      <c r="EV392" s="67" t="s">
        <v>3155</v>
      </c>
      <c r="EW392" s="67">
        <v>488.92</v>
      </c>
      <c r="EX392" s="67" t="s">
        <v>3156</v>
      </c>
      <c r="EY392" s="67">
        <v>5631.28</v>
      </c>
      <c r="EZ392" s="67" t="s">
        <v>3157</v>
      </c>
      <c r="FA392" s="67">
        <v>19867.973000000002</v>
      </c>
      <c r="FB392" s="67" t="s">
        <v>3158</v>
      </c>
      <c r="FC392" s="67" t="s">
        <v>3159</v>
      </c>
      <c r="FD392" s="67" t="s">
        <v>3160</v>
      </c>
      <c r="FE392" s="68" t="s">
        <v>3161</v>
      </c>
      <c r="FF392" s="68" t="s">
        <v>3162</v>
      </c>
    </row>
    <row r="393" spans="151:162" x14ac:dyDescent="0.2">
      <c r="EU393" s="67">
        <v>566.03</v>
      </c>
      <c r="EV393" s="67" t="s">
        <v>3163</v>
      </c>
      <c r="EW393" s="67">
        <v>488.92</v>
      </c>
      <c r="EX393" s="67" t="s">
        <v>3164</v>
      </c>
      <c r="EY393" s="67">
        <v>5631.28</v>
      </c>
      <c r="EZ393" s="67" t="s">
        <v>3165</v>
      </c>
      <c r="FA393" s="67">
        <v>19867.973000000002</v>
      </c>
      <c r="FB393" s="67" t="s">
        <v>3166</v>
      </c>
      <c r="FC393" s="67" t="s">
        <v>3167</v>
      </c>
      <c r="FD393" s="67" t="s">
        <v>3168</v>
      </c>
      <c r="FE393" s="68" t="s">
        <v>3169</v>
      </c>
      <c r="FF393" s="68" t="s">
        <v>3170</v>
      </c>
    </row>
    <row r="394" spans="151:162" x14ac:dyDescent="0.2">
      <c r="EU394" s="67">
        <v>566.01</v>
      </c>
      <c r="EV394" s="67" t="s">
        <v>3171</v>
      </c>
      <c r="EW394" s="67">
        <v>488.92</v>
      </c>
      <c r="EX394" s="67" t="s">
        <v>3172</v>
      </c>
      <c r="EY394" s="67">
        <v>5631.28</v>
      </c>
      <c r="EZ394" s="67" t="s">
        <v>3173</v>
      </c>
      <c r="FA394" s="67">
        <v>19867.973000000002</v>
      </c>
      <c r="FB394" s="67" t="s">
        <v>3174</v>
      </c>
      <c r="FC394" s="67" t="s">
        <v>3175</v>
      </c>
      <c r="FD394" s="67" t="s">
        <v>3176</v>
      </c>
      <c r="FE394" s="68" t="s">
        <v>3177</v>
      </c>
      <c r="FF394" s="68" t="s">
        <v>3178</v>
      </c>
    </row>
    <row r="395" spans="151:162" x14ac:dyDescent="0.2">
      <c r="EU395" s="67">
        <v>565.59</v>
      </c>
      <c r="EV395" s="67" t="s">
        <v>3179</v>
      </c>
      <c r="EW395" s="67">
        <v>488.44</v>
      </c>
      <c r="EX395" s="67" t="s">
        <v>3180</v>
      </c>
      <c r="EY395" s="67">
        <v>5631.28</v>
      </c>
      <c r="EZ395" s="67" t="s">
        <v>3181</v>
      </c>
      <c r="FA395" s="67">
        <v>19867.973000000002</v>
      </c>
      <c r="FB395" s="67" t="s">
        <v>3182</v>
      </c>
      <c r="FC395" s="67" t="s">
        <v>3183</v>
      </c>
      <c r="FD395" s="67" t="s">
        <v>3184</v>
      </c>
      <c r="FE395" s="68" t="s">
        <v>3185</v>
      </c>
      <c r="FF395" s="68" t="s">
        <v>3186</v>
      </c>
    </row>
    <row r="396" spans="151:162" x14ac:dyDescent="0.2">
      <c r="EU396" s="67">
        <v>565.65</v>
      </c>
      <c r="EV396" s="67" t="s">
        <v>3187</v>
      </c>
      <c r="EW396" s="67">
        <v>488.46</v>
      </c>
      <c r="EX396" s="67" t="s">
        <v>3188</v>
      </c>
      <c r="EY396" s="67">
        <v>5631.28</v>
      </c>
      <c r="EZ396" s="67" t="s">
        <v>3189</v>
      </c>
      <c r="FA396" s="67">
        <v>19867.973000000002</v>
      </c>
      <c r="FB396" s="67" t="s">
        <v>3190</v>
      </c>
      <c r="FC396" s="67" t="s">
        <v>3191</v>
      </c>
      <c r="FD396" s="67" t="s">
        <v>3192</v>
      </c>
      <c r="FE396" s="68" t="s">
        <v>3193</v>
      </c>
      <c r="FF396" s="68" t="s">
        <v>3194</v>
      </c>
    </row>
    <row r="397" spans="151:162" x14ac:dyDescent="0.2">
      <c r="EU397" s="67">
        <v>565.69000000000005</v>
      </c>
      <c r="EV397" s="67" t="s">
        <v>3195</v>
      </c>
      <c r="EW397" s="67">
        <v>488.53</v>
      </c>
      <c r="EX397" s="67" t="s">
        <v>3196</v>
      </c>
      <c r="EY397" s="67">
        <v>5631.28</v>
      </c>
      <c r="EZ397" s="67" t="s">
        <v>3197</v>
      </c>
      <c r="FA397" s="67">
        <v>19867.973000000002</v>
      </c>
      <c r="FB397" s="67" t="s">
        <v>3198</v>
      </c>
      <c r="FC397" s="67" t="s">
        <v>3199</v>
      </c>
      <c r="FD397" s="67" t="s">
        <v>3200</v>
      </c>
      <c r="FE397" s="68" t="s">
        <v>3201</v>
      </c>
      <c r="FF397" s="68" t="s">
        <v>3202</v>
      </c>
    </row>
    <row r="398" spans="151:162" x14ac:dyDescent="0.2">
      <c r="EU398" s="67">
        <v>565.66999999999996</v>
      </c>
      <c r="EV398" s="67" t="s">
        <v>3203</v>
      </c>
      <c r="EW398" s="67">
        <v>488.52</v>
      </c>
      <c r="EX398" s="67" t="s">
        <v>3204</v>
      </c>
      <c r="EY398" s="67">
        <v>5631.28</v>
      </c>
      <c r="EZ398" s="67" t="s">
        <v>3205</v>
      </c>
      <c r="FA398" s="67">
        <v>19867.973000000002</v>
      </c>
      <c r="FB398" s="67" t="s">
        <v>3206</v>
      </c>
      <c r="FC398" s="67" t="s">
        <v>3207</v>
      </c>
      <c r="FD398" s="67" t="s">
        <v>3208</v>
      </c>
      <c r="FE398" s="68" t="s">
        <v>3209</v>
      </c>
      <c r="FF398" s="68" t="s">
        <v>3210</v>
      </c>
    </row>
    <row r="399" spans="151:162" x14ac:dyDescent="0.2">
      <c r="EU399" s="67">
        <v>565.64</v>
      </c>
      <c r="EV399" s="67" t="s">
        <v>3211</v>
      </c>
      <c r="EW399" s="67">
        <v>488.46</v>
      </c>
      <c r="EX399" s="67" t="s">
        <v>3212</v>
      </c>
      <c r="EY399" s="67">
        <v>5631.28</v>
      </c>
      <c r="EZ399" s="67" t="s">
        <v>3213</v>
      </c>
      <c r="FA399" s="67">
        <v>19867.973000000002</v>
      </c>
      <c r="FB399" s="67" t="s">
        <v>3214</v>
      </c>
      <c r="FC399" s="67" t="s">
        <v>3215</v>
      </c>
      <c r="FD399" s="67" t="s">
        <v>3216</v>
      </c>
      <c r="FE399" s="68" t="s">
        <v>3217</v>
      </c>
      <c r="FF399" s="68" t="s">
        <v>3218</v>
      </c>
    </row>
    <row r="400" spans="151:162" x14ac:dyDescent="0.2">
      <c r="EU400" s="67">
        <v>565.59</v>
      </c>
      <c r="EV400" s="67" t="s">
        <v>3219</v>
      </c>
      <c r="EW400" s="67">
        <v>488.4</v>
      </c>
      <c r="EX400" s="67" t="s">
        <v>3220</v>
      </c>
      <c r="EY400" s="67">
        <v>5631.28</v>
      </c>
      <c r="EZ400" s="67" t="s">
        <v>3221</v>
      </c>
      <c r="FA400" s="67">
        <v>19867.973000000002</v>
      </c>
      <c r="FB400" s="67" t="s">
        <v>3222</v>
      </c>
      <c r="FC400" s="67" t="s">
        <v>3223</v>
      </c>
      <c r="FD400" s="67" t="s">
        <v>3224</v>
      </c>
      <c r="FE400" s="68" t="s">
        <v>3225</v>
      </c>
      <c r="FF400" s="68" t="s">
        <v>3226</v>
      </c>
    </row>
    <row r="401" spans="151:162" x14ac:dyDescent="0.2">
      <c r="EU401" s="67">
        <v>565.61</v>
      </c>
      <c r="EV401" s="67" t="s">
        <v>3227</v>
      </c>
      <c r="EW401" s="67">
        <v>488.41</v>
      </c>
      <c r="EX401" s="67" t="s">
        <v>3228</v>
      </c>
      <c r="EY401" s="67">
        <v>5631.28</v>
      </c>
      <c r="EZ401" s="67" t="s">
        <v>3229</v>
      </c>
      <c r="FA401" s="67">
        <v>19867.973000000002</v>
      </c>
      <c r="FB401" s="67" t="s">
        <v>3230</v>
      </c>
      <c r="FC401" s="67" t="s">
        <v>3231</v>
      </c>
      <c r="FD401" s="67" t="s">
        <v>3232</v>
      </c>
      <c r="FE401" s="68" t="s">
        <v>3233</v>
      </c>
      <c r="FF401" s="68" t="s">
        <v>3234</v>
      </c>
    </row>
    <row r="402" spans="151:162" x14ac:dyDescent="0.2">
      <c r="EU402" s="67">
        <v>565.61</v>
      </c>
      <c r="EV402" s="67" t="s">
        <v>3235</v>
      </c>
      <c r="EW402" s="67">
        <v>488.44</v>
      </c>
      <c r="EX402" s="67" t="s">
        <v>3236</v>
      </c>
      <c r="EY402" s="67">
        <v>5631.28</v>
      </c>
      <c r="EZ402" s="67" t="s">
        <v>3237</v>
      </c>
      <c r="FA402" s="67">
        <v>19867.973000000002</v>
      </c>
      <c r="FB402" s="67" t="s">
        <v>3238</v>
      </c>
      <c r="FC402" s="67" t="s">
        <v>3239</v>
      </c>
      <c r="FD402" s="67" t="s">
        <v>3240</v>
      </c>
      <c r="FE402" s="68" t="s">
        <v>3241</v>
      </c>
      <c r="FF402" s="68" t="s">
        <v>3242</v>
      </c>
    </row>
    <row r="403" spans="151:162" x14ac:dyDescent="0.2">
      <c r="EU403" s="67">
        <v>565.66</v>
      </c>
      <c r="EV403" s="67" t="s">
        <v>3243</v>
      </c>
      <c r="EW403" s="67">
        <v>488.48</v>
      </c>
      <c r="EX403" s="67" t="s">
        <v>3244</v>
      </c>
      <c r="EY403" s="67">
        <v>5631.28</v>
      </c>
      <c r="EZ403" s="67" t="s">
        <v>3245</v>
      </c>
      <c r="FA403" s="67">
        <v>19867.973000000002</v>
      </c>
      <c r="FB403" s="67" t="s">
        <v>3246</v>
      </c>
      <c r="FC403" s="67" t="s">
        <v>3247</v>
      </c>
      <c r="FD403" s="67" t="s">
        <v>3248</v>
      </c>
      <c r="FE403" s="68" t="s">
        <v>3249</v>
      </c>
      <c r="FF403" s="68" t="s">
        <v>3250</v>
      </c>
    </row>
    <row r="404" spans="151:162" x14ac:dyDescent="0.2">
      <c r="EU404" s="67">
        <v>565.66999999999996</v>
      </c>
      <c r="EV404" s="67" t="s">
        <v>3251</v>
      </c>
      <c r="EW404" s="67">
        <v>488.48</v>
      </c>
      <c r="EX404" s="67" t="s">
        <v>3252</v>
      </c>
      <c r="EY404" s="67">
        <v>5631.28</v>
      </c>
      <c r="EZ404" s="67" t="s">
        <v>3253</v>
      </c>
      <c r="FA404" s="67">
        <v>19867.973000000002</v>
      </c>
      <c r="FB404" s="67" t="s">
        <v>3254</v>
      </c>
      <c r="FC404" s="67" t="s">
        <v>3255</v>
      </c>
      <c r="FD404" s="67" t="s">
        <v>3256</v>
      </c>
      <c r="FE404" s="68" t="s">
        <v>3257</v>
      </c>
      <c r="FF404" s="68" t="s">
        <v>3258</v>
      </c>
    </row>
    <row r="405" spans="151:162" x14ac:dyDescent="0.2">
      <c r="EU405" s="67">
        <v>565.61</v>
      </c>
      <c r="EV405" s="67" t="s">
        <v>3259</v>
      </c>
      <c r="EW405" s="67">
        <v>488.43</v>
      </c>
      <c r="EX405" s="67" t="s">
        <v>3260</v>
      </c>
      <c r="EY405" s="67">
        <v>5631.28</v>
      </c>
      <c r="EZ405" s="67" t="s">
        <v>3261</v>
      </c>
      <c r="FA405" s="67">
        <v>19867.973000000002</v>
      </c>
      <c r="FB405" s="67" t="s">
        <v>3262</v>
      </c>
      <c r="FC405" s="67" t="s">
        <v>3263</v>
      </c>
      <c r="FD405" s="67" t="s">
        <v>3264</v>
      </c>
      <c r="FE405" s="68" t="s">
        <v>3265</v>
      </c>
      <c r="FF405" s="68" t="s">
        <v>3266</v>
      </c>
    </row>
    <row r="406" spans="151:162" x14ac:dyDescent="0.2">
      <c r="EU406" s="67">
        <v>565.55999999999995</v>
      </c>
      <c r="EV406" s="67" t="s">
        <v>3267</v>
      </c>
      <c r="EW406" s="67">
        <v>488.4</v>
      </c>
      <c r="EX406" s="67" t="s">
        <v>3268</v>
      </c>
      <c r="EY406" s="67">
        <v>5631.28</v>
      </c>
      <c r="EZ406" s="67" t="s">
        <v>3269</v>
      </c>
      <c r="FA406" s="67">
        <v>19867.973000000002</v>
      </c>
      <c r="FB406" s="67" t="s">
        <v>3270</v>
      </c>
      <c r="FC406" s="67" t="s">
        <v>3271</v>
      </c>
      <c r="FD406" s="67" t="s">
        <v>3272</v>
      </c>
      <c r="FE406" s="68" t="s">
        <v>3273</v>
      </c>
      <c r="FF406" s="68" t="s">
        <v>3274</v>
      </c>
    </row>
    <row r="407" spans="151:162" x14ac:dyDescent="0.2">
      <c r="EU407" s="67">
        <v>565.59</v>
      </c>
      <c r="EV407" s="67" t="s">
        <v>3275</v>
      </c>
      <c r="EW407" s="67">
        <v>488.4</v>
      </c>
      <c r="EX407" s="67" t="s">
        <v>3276</v>
      </c>
      <c r="EY407" s="67">
        <v>5631.28</v>
      </c>
      <c r="EZ407" s="67" t="s">
        <v>3277</v>
      </c>
      <c r="FA407" s="67">
        <v>19867.973000000002</v>
      </c>
      <c r="FB407" s="67" t="s">
        <v>3278</v>
      </c>
      <c r="FC407" s="67" t="s">
        <v>3279</v>
      </c>
      <c r="FD407" s="67" t="s">
        <v>3280</v>
      </c>
      <c r="FE407" s="68" t="s">
        <v>3281</v>
      </c>
      <c r="FF407" s="68" t="s">
        <v>3282</v>
      </c>
    </row>
    <row r="408" spans="151:162" x14ac:dyDescent="0.2">
      <c r="EU408" s="67">
        <v>565.54</v>
      </c>
      <c r="EV408" s="67" t="s">
        <v>3283</v>
      </c>
      <c r="EW408" s="67">
        <v>488.4</v>
      </c>
      <c r="EX408" s="67" t="s">
        <v>3284</v>
      </c>
      <c r="EY408" s="67">
        <v>5631.28</v>
      </c>
      <c r="EZ408" s="67" t="s">
        <v>3285</v>
      </c>
      <c r="FA408" s="67">
        <v>19867.973000000002</v>
      </c>
      <c r="FB408" s="67" t="s">
        <v>3286</v>
      </c>
      <c r="FC408" s="67" t="s">
        <v>3287</v>
      </c>
      <c r="FD408" s="67" t="s">
        <v>3288</v>
      </c>
      <c r="FE408" s="68" t="s">
        <v>3289</v>
      </c>
      <c r="FF408" s="68" t="s">
        <v>3290</v>
      </c>
    </row>
    <row r="409" spans="151:162" x14ac:dyDescent="0.2">
      <c r="EU409" s="67">
        <v>565.59</v>
      </c>
      <c r="EV409" s="67" t="s">
        <v>3291</v>
      </c>
      <c r="EW409" s="67">
        <v>488.41</v>
      </c>
      <c r="EX409" s="67" t="s">
        <v>3292</v>
      </c>
      <c r="EY409" s="67">
        <v>5631.28</v>
      </c>
      <c r="EZ409" s="67" t="s">
        <v>3293</v>
      </c>
      <c r="FA409" s="67">
        <v>19867.973000000002</v>
      </c>
      <c r="FB409" s="67" t="s">
        <v>3294</v>
      </c>
      <c r="FC409" s="67" t="s">
        <v>3295</v>
      </c>
      <c r="FD409" s="67" t="s">
        <v>3296</v>
      </c>
      <c r="FE409" s="68" t="s">
        <v>3297</v>
      </c>
      <c r="FF409" s="68" t="s">
        <v>3298</v>
      </c>
    </row>
    <row r="410" spans="151:162" x14ac:dyDescent="0.2">
      <c r="EU410" s="67">
        <v>565.61</v>
      </c>
      <c r="EV410" s="67" t="s">
        <v>3299</v>
      </c>
      <c r="EW410" s="67">
        <v>488.5</v>
      </c>
      <c r="EX410" s="67" t="s">
        <v>3300</v>
      </c>
      <c r="EY410" s="67">
        <v>5631.28</v>
      </c>
      <c r="EZ410" s="67" t="s">
        <v>3301</v>
      </c>
      <c r="FA410" s="67">
        <v>19867.973000000002</v>
      </c>
      <c r="FB410" s="67" t="s">
        <v>3302</v>
      </c>
      <c r="FC410" s="67" t="s">
        <v>3303</v>
      </c>
      <c r="FD410" s="67" t="s">
        <v>3304</v>
      </c>
      <c r="FE410" s="68" t="s">
        <v>3305</v>
      </c>
      <c r="FF410" s="68" t="s">
        <v>3306</v>
      </c>
    </row>
    <row r="411" spans="151:162" x14ac:dyDescent="0.2">
      <c r="EU411" s="67">
        <v>565.61</v>
      </c>
      <c r="EV411" s="67" t="s">
        <v>3307</v>
      </c>
      <c r="EW411" s="67">
        <v>488.41</v>
      </c>
      <c r="EX411" s="67" t="s">
        <v>3308</v>
      </c>
      <c r="EY411" s="67">
        <v>5631.28</v>
      </c>
      <c r="EZ411" s="67" t="s">
        <v>3309</v>
      </c>
      <c r="FA411" s="67">
        <v>19867.973000000002</v>
      </c>
      <c r="FB411" s="67" t="s">
        <v>3310</v>
      </c>
      <c r="FC411" s="67" t="s">
        <v>3311</v>
      </c>
      <c r="FD411" s="67" t="s">
        <v>3312</v>
      </c>
      <c r="FE411" s="68" t="s">
        <v>3313</v>
      </c>
      <c r="FF411" s="68" t="s">
        <v>3314</v>
      </c>
    </row>
    <row r="412" spans="151:162" x14ac:dyDescent="0.2">
      <c r="EU412" s="67">
        <v>565.64</v>
      </c>
      <c r="EV412" s="67" t="s">
        <v>3315</v>
      </c>
      <c r="EW412" s="67">
        <v>488.41</v>
      </c>
      <c r="EX412" s="67" t="s">
        <v>3316</v>
      </c>
      <c r="EY412" s="67">
        <v>5631.28</v>
      </c>
      <c r="EZ412" s="67" t="s">
        <v>3317</v>
      </c>
      <c r="FA412" s="67">
        <v>19867.973000000002</v>
      </c>
      <c r="FB412" s="67" t="s">
        <v>3318</v>
      </c>
      <c r="FC412" s="67" t="s">
        <v>3319</v>
      </c>
      <c r="FD412" s="67" t="s">
        <v>3320</v>
      </c>
      <c r="FE412" s="68" t="s">
        <v>3321</v>
      </c>
      <c r="FF412" s="68" t="s">
        <v>3322</v>
      </c>
    </row>
    <row r="413" spans="151:162" x14ac:dyDescent="0.2">
      <c r="EU413" s="67">
        <v>565.69000000000005</v>
      </c>
      <c r="EV413" s="67" t="s">
        <v>3323</v>
      </c>
      <c r="EW413" s="67">
        <v>488.47</v>
      </c>
      <c r="EX413" s="67" t="s">
        <v>3324</v>
      </c>
      <c r="EY413" s="67">
        <v>5631.28</v>
      </c>
      <c r="EZ413" s="67" t="s">
        <v>3325</v>
      </c>
      <c r="FA413" s="67">
        <v>19867.973000000002</v>
      </c>
      <c r="FB413" s="67" t="s">
        <v>3326</v>
      </c>
      <c r="FC413" s="67" t="s">
        <v>3327</v>
      </c>
      <c r="FD413" s="67" t="s">
        <v>3328</v>
      </c>
      <c r="FE413" s="68" t="s">
        <v>3329</v>
      </c>
      <c r="FF413" s="68" t="s">
        <v>3330</v>
      </c>
    </row>
    <row r="414" spans="151:162" x14ac:dyDescent="0.2">
      <c r="EU414" s="67">
        <v>565.61</v>
      </c>
      <c r="EV414" s="67" t="s">
        <v>3331</v>
      </c>
      <c r="EW414" s="67">
        <v>488.41</v>
      </c>
      <c r="EX414" s="67" t="s">
        <v>3332</v>
      </c>
      <c r="EY414" s="67">
        <v>5631.28</v>
      </c>
      <c r="EZ414" s="67" t="s">
        <v>3333</v>
      </c>
      <c r="FA414" s="67">
        <v>19867.973000000002</v>
      </c>
      <c r="FB414" s="67" t="s">
        <v>3334</v>
      </c>
      <c r="FC414" s="67" t="s">
        <v>3335</v>
      </c>
      <c r="FD414" s="67" t="s">
        <v>3336</v>
      </c>
      <c r="FE414" s="68" t="s">
        <v>3337</v>
      </c>
      <c r="FF414" s="68" t="s">
        <v>3338</v>
      </c>
    </row>
    <row r="415" spans="151:162" x14ac:dyDescent="0.2">
      <c r="EU415" s="67">
        <v>565.64</v>
      </c>
      <c r="EV415" s="67" t="s">
        <v>3339</v>
      </c>
      <c r="EW415" s="67">
        <v>488.41</v>
      </c>
      <c r="EX415" s="67" t="s">
        <v>3340</v>
      </c>
      <c r="EY415" s="67">
        <v>5631.28</v>
      </c>
      <c r="EZ415" s="67" t="s">
        <v>3341</v>
      </c>
      <c r="FA415" s="67">
        <v>19867.973000000002</v>
      </c>
      <c r="FB415" s="67" t="s">
        <v>3342</v>
      </c>
      <c r="FC415" s="67" t="s">
        <v>3343</v>
      </c>
      <c r="FD415" s="67" t="s">
        <v>3344</v>
      </c>
      <c r="FE415" s="68" t="s">
        <v>3345</v>
      </c>
      <c r="FF415" s="68" t="s">
        <v>3346</v>
      </c>
    </row>
    <row r="416" spans="151:162" x14ac:dyDescent="0.2">
      <c r="EU416" s="67">
        <v>565.46</v>
      </c>
      <c r="EV416" s="67" t="s">
        <v>3347</v>
      </c>
      <c r="EW416" s="67">
        <v>488.32</v>
      </c>
      <c r="EX416" s="67" t="s">
        <v>3348</v>
      </c>
      <c r="EY416" s="67">
        <v>5631.28</v>
      </c>
      <c r="EZ416" s="67" t="s">
        <v>3349</v>
      </c>
      <c r="FA416" s="67">
        <v>19867.973000000002</v>
      </c>
      <c r="FB416" s="67" t="s">
        <v>3350</v>
      </c>
      <c r="FC416" s="67" t="s">
        <v>3351</v>
      </c>
      <c r="FD416" s="67" t="s">
        <v>3352</v>
      </c>
      <c r="FE416" s="68" t="s">
        <v>3353</v>
      </c>
      <c r="FF416" s="68" t="s">
        <v>3354</v>
      </c>
    </row>
    <row r="417" spans="151:162" x14ac:dyDescent="0.2">
      <c r="EU417" s="67">
        <v>565.51</v>
      </c>
      <c r="EV417" s="67" t="s">
        <v>3355</v>
      </c>
      <c r="EW417" s="67">
        <v>488.26</v>
      </c>
      <c r="EX417" s="67" t="s">
        <v>3356</v>
      </c>
      <c r="EY417" s="67">
        <v>5631.28</v>
      </c>
      <c r="EZ417" s="67" t="s">
        <v>3357</v>
      </c>
      <c r="FA417" s="67">
        <v>19867.973000000002</v>
      </c>
      <c r="FB417" s="67" t="s">
        <v>3358</v>
      </c>
      <c r="FC417" s="67" t="s">
        <v>3359</v>
      </c>
      <c r="FD417" s="67" t="s">
        <v>3360</v>
      </c>
      <c r="FE417" s="68" t="s">
        <v>3361</v>
      </c>
      <c r="FF417" s="68" t="s">
        <v>3362</v>
      </c>
    </row>
    <row r="418" spans="151:162" x14ac:dyDescent="0.2">
      <c r="EU418" s="67">
        <v>565.51</v>
      </c>
      <c r="EV418" s="67" t="s">
        <v>3363</v>
      </c>
      <c r="EW418" s="67">
        <v>488.34</v>
      </c>
      <c r="EX418" s="67" t="s">
        <v>3364</v>
      </c>
      <c r="EY418" s="67">
        <v>5631.28</v>
      </c>
      <c r="EZ418" s="67" t="s">
        <v>3365</v>
      </c>
      <c r="FA418" s="67">
        <v>19867.973000000002</v>
      </c>
      <c r="FB418" s="67" t="s">
        <v>3366</v>
      </c>
      <c r="FC418" s="67" t="s">
        <v>3367</v>
      </c>
      <c r="FD418" s="67" t="s">
        <v>3368</v>
      </c>
      <c r="FE418" s="68" t="s">
        <v>3369</v>
      </c>
      <c r="FF418" s="68" t="s">
        <v>3370</v>
      </c>
    </row>
    <row r="419" spans="151:162" x14ac:dyDescent="0.2">
      <c r="EU419" s="67">
        <v>565.44000000000005</v>
      </c>
      <c r="EV419" s="67" t="s">
        <v>3371</v>
      </c>
      <c r="EW419" s="67">
        <v>488.24</v>
      </c>
      <c r="EX419" s="67" t="s">
        <v>3372</v>
      </c>
      <c r="EY419" s="67">
        <v>5631.28</v>
      </c>
      <c r="EZ419" s="67" t="s">
        <v>3373</v>
      </c>
      <c r="FA419" s="67">
        <v>19867.973000000002</v>
      </c>
      <c r="FB419" s="67" t="s">
        <v>3374</v>
      </c>
      <c r="FC419" s="67" t="s">
        <v>3375</v>
      </c>
      <c r="FD419" s="67" t="s">
        <v>3376</v>
      </c>
      <c r="FE419" s="68" t="s">
        <v>3377</v>
      </c>
      <c r="FF419" s="68" t="s">
        <v>3378</v>
      </c>
    </row>
    <row r="420" spans="151:162" x14ac:dyDescent="0.2">
      <c r="EU420" s="67">
        <v>565.46</v>
      </c>
      <c r="EV420" s="67" t="s">
        <v>3379</v>
      </c>
      <c r="EW420" s="67">
        <v>488.28</v>
      </c>
      <c r="EX420" s="67" t="s">
        <v>3380</v>
      </c>
      <c r="EY420" s="67">
        <v>5631.28</v>
      </c>
      <c r="EZ420" s="67" t="s">
        <v>3381</v>
      </c>
      <c r="FA420" s="67">
        <v>19867.973000000002</v>
      </c>
      <c r="FB420" s="67" t="s">
        <v>3382</v>
      </c>
      <c r="FC420" s="67" t="s">
        <v>3383</v>
      </c>
      <c r="FD420" s="67" t="s">
        <v>3384</v>
      </c>
      <c r="FE420" s="68" t="s">
        <v>3385</v>
      </c>
      <c r="FF420" s="68" t="s">
        <v>3386</v>
      </c>
    </row>
    <row r="421" spans="151:162" x14ac:dyDescent="0.2">
      <c r="EU421" s="67">
        <v>565.49</v>
      </c>
      <c r="EV421" s="67" t="s">
        <v>3387</v>
      </c>
      <c r="EW421" s="67">
        <v>488.35</v>
      </c>
      <c r="EX421" s="67" t="s">
        <v>3388</v>
      </c>
      <c r="EY421" s="67">
        <v>5631.28</v>
      </c>
      <c r="EZ421" s="67" t="s">
        <v>3389</v>
      </c>
      <c r="FA421" s="67">
        <v>19867.973000000002</v>
      </c>
      <c r="FB421" s="67" t="s">
        <v>3390</v>
      </c>
      <c r="FC421" s="67" t="s">
        <v>3391</v>
      </c>
      <c r="FD421" s="67" t="s">
        <v>3392</v>
      </c>
      <c r="FE421" s="68" t="s">
        <v>3393</v>
      </c>
      <c r="FF421" s="68" t="s">
        <v>3394</v>
      </c>
    </row>
    <row r="422" spans="151:162" x14ac:dyDescent="0.2">
      <c r="EU422" s="67">
        <v>565.32000000000005</v>
      </c>
      <c r="EV422" s="67" t="s">
        <v>3395</v>
      </c>
      <c r="EW422" s="67">
        <v>488.21</v>
      </c>
      <c r="EX422" s="67" t="s">
        <v>3396</v>
      </c>
      <c r="EY422" s="67">
        <v>5631.28</v>
      </c>
      <c r="EZ422" s="67" t="s">
        <v>3397</v>
      </c>
      <c r="FA422" s="67">
        <v>19867.973000000002</v>
      </c>
      <c r="FB422" s="67" t="s">
        <v>3398</v>
      </c>
      <c r="FC422" s="67" t="s">
        <v>3399</v>
      </c>
      <c r="FD422" s="67" t="s">
        <v>3400</v>
      </c>
      <c r="FE422" s="68" t="s">
        <v>3401</v>
      </c>
      <c r="FF422" s="68" t="s">
        <v>3402</v>
      </c>
    </row>
    <row r="423" spans="151:162" x14ac:dyDescent="0.2">
      <c r="EU423" s="67">
        <v>565.29</v>
      </c>
      <c r="EV423" s="67" t="s">
        <v>3403</v>
      </c>
      <c r="EW423" s="67">
        <v>488.19</v>
      </c>
      <c r="EX423" s="67" t="s">
        <v>3404</v>
      </c>
      <c r="EY423" s="67">
        <v>5631.28</v>
      </c>
      <c r="EZ423" s="67" t="s">
        <v>3405</v>
      </c>
      <c r="FA423" s="67">
        <v>19867.973000000002</v>
      </c>
      <c r="FB423" s="67" t="s">
        <v>3406</v>
      </c>
      <c r="FC423" s="67" t="s">
        <v>3407</v>
      </c>
      <c r="FD423" s="67" t="s">
        <v>3408</v>
      </c>
      <c r="FE423" s="68" t="s">
        <v>3409</v>
      </c>
      <c r="FF423" s="68" t="s">
        <v>3410</v>
      </c>
    </row>
    <row r="424" spans="151:162" x14ac:dyDescent="0.2">
      <c r="EU424" s="67">
        <v>565.34</v>
      </c>
      <c r="EV424" s="67" t="s">
        <v>3411</v>
      </c>
      <c r="EW424" s="67">
        <v>488.3</v>
      </c>
      <c r="EX424" s="67" t="s">
        <v>3412</v>
      </c>
      <c r="EY424" s="67">
        <v>5631.28</v>
      </c>
      <c r="EZ424" s="67" t="s">
        <v>3413</v>
      </c>
      <c r="FA424" s="67">
        <v>19867.973000000002</v>
      </c>
      <c r="FB424" s="67" t="s">
        <v>3414</v>
      </c>
      <c r="FC424" s="67" t="s">
        <v>3415</v>
      </c>
      <c r="FD424" s="67" t="s">
        <v>3416</v>
      </c>
      <c r="FE424" s="68" t="s">
        <v>3417</v>
      </c>
      <c r="FF424" s="68" t="s">
        <v>3418</v>
      </c>
    </row>
    <row r="425" spans="151:162" x14ac:dyDescent="0.2">
      <c r="EU425" s="67">
        <v>565.26</v>
      </c>
      <c r="EV425" s="67" t="s">
        <v>3419</v>
      </c>
      <c r="EW425" s="67">
        <v>488.12</v>
      </c>
      <c r="EX425" s="67" t="s">
        <v>3420</v>
      </c>
      <c r="EY425" s="67">
        <v>5631.28</v>
      </c>
      <c r="EZ425" s="67" t="s">
        <v>3421</v>
      </c>
      <c r="FA425" s="67">
        <v>19867.973000000002</v>
      </c>
      <c r="FB425" s="67" t="s">
        <v>3422</v>
      </c>
      <c r="FC425" s="67" t="s">
        <v>3423</v>
      </c>
      <c r="FD425" s="67" t="s">
        <v>3424</v>
      </c>
      <c r="FE425" s="68" t="s">
        <v>3425</v>
      </c>
      <c r="FF425" s="68" t="s">
        <v>3426</v>
      </c>
    </row>
    <row r="426" spans="151:162" x14ac:dyDescent="0.2">
      <c r="EU426" s="67">
        <v>565.26</v>
      </c>
      <c r="EV426" s="67" t="s">
        <v>3427</v>
      </c>
      <c r="EW426" s="67">
        <v>488.13</v>
      </c>
      <c r="EX426" s="67" t="s">
        <v>3428</v>
      </c>
      <c r="EY426" s="67">
        <v>5631.28</v>
      </c>
      <c r="EZ426" s="67" t="s">
        <v>3429</v>
      </c>
      <c r="FA426" s="67">
        <v>19867.973000000002</v>
      </c>
      <c r="FB426" s="67" t="s">
        <v>3430</v>
      </c>
      <c r="FC426" s="67" t="s">
        <v>3431</v>
      </c>
      <c r="FD426" s="67" t="s">
        <v>3432</v>
      </c>
      <c r="FE426" s="68" t="s">
        <v>3433</v>
      </c>
      <c r="FF426" s="68" t="s">
        <v>3434</v>
      </c>
    </row>
    <row r="427" spans="151:162" x14ac:dyDescent="0.2">
      <c r="EU427" s="67">
        <v>565.26</v>
      </c>
      <c r="EV427" s="67" t="s">
        <v>3435</v>
      </c>
      <c r="EW427" s="67">
        <v>488.14</v>
      </c>
      <c r="EX427" s="67" t="s">
        <v>3436</v>
      </c>
      <c r="EY427" s="67">
        <v>5631.28</v>
      </c>
      <c r="EZ427" s="67" t="s">
        <v>3437</v>
      </c>
      <c r="FA427" s="67">
        <v>19867.973000000002</v>
      </c>
      <c r="FB427" s="67" t="s">
        <v>3438</v>
      </c>
      <c r="FC427" s="67" t="s">
        <v>3439</v>
      </c>
      <c r="FD427" s="67" t="s">
        <v>3440</v>
      </c>
      <c r="FE427" s="68" t="s">
        <v>3441</v>
      </c>
      <c r="FF427" s="68" t="s">
        <v>3442</v>
      </c>
    </row>
    <row r="428" spans="151:162" x14ac:dyDescent="0.2">
      <c r="EU428" s="67">
        <v>565.15</v>
      </c>
      <c r="EV428" s="67" t="s">
        <v>3443</v>
      </c>
      <c r="EW428" s="67">
        <v>488.1</v>
      </c>
      <c r="EX428" s="67" t="s">
        <v>3444</v>
      </c>
      <c r="EY428" s="67">
        <v>5631.28</v>
      </c>
      <c r="EZ428" s="67" t="s">
        <v>3445</v>
      </c>
      <c r="FA428" s="67">
        <v>19867.973000000002</v>
      </c>
      <c r="FB428" s="67" t="s">
        <v>3446</v>
      </c>
      <c r="FC428" s="67" t="s">
        <v>3447</v>
      </c>
      <c r="FD428" s="67" t="s">
        <v>3448</v>
      </c>
      <c r="FE428" s="68" t="s">
        <v>3449</v>
      </c>
      <c r="FF428" s="68" t="s">
        <v>3450</v>
      </c>
    </row>
    <row r="429" spans="151:162" x14ac:dyDescent="0.2">
      <c r="EU429" s="67">
        <v>565.25</v>
      </c>
      <c r="EV429" s="67" t="s">
        <v>3451</v>
      </c>
      <c r="EW429" s="67">
        <v>488.27</v>
      </c>
      <c r="EX429" s="67" t="s">
        <v>3452</v>
      </c>
      <c r="EY429" s="67">
        <v>5631.28</v>
      </c>
      <c r="EZ429" s="67" t="s">
        <v>3453</v>
      </c>
      <c r="FA429" s="67">
        <v>19867.973000000002</v>
      </c>
      <c r="FB429" s="67" t="s">
        <v>3454</v>
      </c>
      <c r="FC429" s="67" t="s">
        <v>3455</v>
      </c>
      <c r="FD429" s="67" t="s">
        <v>3456</v>
      </c>
      <c r="FE429" s="68" t="s">
        <v>3457</v>
      </c>
      <c r="FF429" s="68" t="s">
        <v>3458</v>
      </c>
    </row>
    <row r="430" spans="151:162" x14ac:dyDescent="0.2">
      <c r="EU430" s="67">
        <v>565.22</v>
      </c>
      <c r="EV430" s="67" t="s">
        <v>3459</v>
      </c>
      <c r="EW430" s="67">
        <v>488.17</v>
      </c>
      <c r="EX430" s="67" t="s">
        <v>3460</v>
      </c>
      <c r="EY430" s="67">
        <v>5631.28</v>
      </c>
      <c r="EZ430" s="67" t="s">
        <v>3461</v>
      </c>
      <c r="FA430" s="67">
        <v>19867.973000000002</v>
      </c>
      <c r="FB430" s="67" t="s">
        <v>3462</v>
      </c>
      <c r="FC430" s="67" t="s">
        <v>3463</v>
      </c>
      <c r="FD430" s="67" t="s">
        <v>3464</v>
      </c>
      <c r="FE430" s="68" t="s">
        <v>3465</v>
      </c>
      <c r="FF430" s="68" t="s">
        <v>3466</v>
      </c>
    </row>
    <row r="431" spans="151:162" x14ac:dyDescent="0.2">
      <c r="EU431" s="67">
        <v>565.17999999999995</v>
      </c>
      <c r="EV431" s="67" t="s">
        <v>3467</v>
      </c>
      <c r="EW431" s="67">
        <v>488.15</v>
      </c>
      <c r="EX431" s="67" t="s">
        <v>3468</v>
      </c>
      <c r="EY431" s="67">
        <v>5631.28</v>
      </c>
      <c r="EZ431" s="67" t="s">
        <v>3469</v>
      </c>
      <c r="FA431" s="67">
        <v>19867.973000000002</v>
      </c>
      <c r="FB431" s="67" t="s">
        <v>3470</v>
      </c>
      <c r="FC431" s="67" t="s">
        <v>3471</v>
      </c>
      <c r="FD431" s="67" t="s">
        <v>3472</v>
      </c>
      <c r="FE431" s="68" t="s">
        <v>3473</v>
      </c>
      <c r="FF431" s="68" t="s">
        <v>3474</v>
      </c>
    </row>
    <row r="432" spans="151:162" x14ac:dyDescent="0.2">
      <c r="EU432" s="67">
        <v>565.19000000000005</v>
      </c>
      <c r="EV432" s="67" t="s">
        <v>3475</v>
      </c>
      <c r="EW432" s="67">
        <v>488.18</v>
      </c>
      <c r="EX432" s="67" t="s">
        <v>3476</v>
      </c>
      <c r="EY432" s="67">
        <v>5631.28</v>
      </c>
      <c r="EZ432" s="67" t="s">
        <v>3477</v>
      </c>
      <c r="FA432" s="67">
        <v>19867.973000000002</v>
      </c>
      <c r="FB432" s="67" t="s">
        <v>3478</v>
      </c>
      <c r="FC432" s="67" t="s">
        <v>3479</v>
      </c>
      <c r="FD432" s="67" t="s">
        <v>3480</v>
      </c>
      <c r="FE432" s="68" t="s">
        <v>3481</v>
      </c>
      <c r="FF432" s="68" t="s">
        <v>3482</v>
      </c>
    </row>
    <row r="433" spans="151:162" x14ac:dyDescent="0.2">
      <c r="EU433" s="67">
        <v>565.15</v>
      </c>
      <c r="EV433" s="67" t="s">
        <v>3483</v>
      </c>
      <c r="EW433" s="67">
        <v>488.13</v>
      </c>
      <c r="EX433" s="67" t="s">
        <v>3484</v>
      </c>
      <c r="EY433" s="67">
        <v>5631.28</v>
      </c>
      <c r="EZ433" s="67" t="s">
        <v>3485</v>
      </c>
      <c r="FA433" s="67">
        <v>19867.973000000002</v>
      </c>
      <c r="FB433" s="67" t="s">
        <v>3486</v>
      </c>
      <c r="FC433" s="67" t="s">
        <v>3487</v>
      </c>
      <c r="FD433" s="67" t="s">
        <v>3488</v>
      </c>
      <c r="FE433" s="68" t="s">
        <v>3489</v>
      </c>
      <c r="FF433" s="68" t="s">
        <v>3490</v>
      </c>
    </row>
    <row r="434" spans="151:162" x14ac:dyDescent="0.2">
      <c r="EU434" s="67">
        <v>565.15</v>
      </c>
      <c r="EV434" s="67" t="s">
        <v>3491</v>
      </c>
      <c r="EW434" s="67">
        <v>488.17</v>
      </c>
      <c r="EX434" s="67" t="s">
        <v>3492</v>
      </c>
      <c r="EY434" s="67">
        <v>5631.28</v>
      </c>
      <c r="EZ434" s="67" t="s">
        <v>3493</v>
      </c>
      <c r="FA434" s="67">
        <v>19867.973000000002</v>
      </c>
      <c r="FB434" s="67" t="s">
        <v>3494</v>
      </c>
      <c r="FC434" s="67" t="s">
        <v>3495</v>
      </c>
      <c r="FD434" s="67" t="s">
        <v>3496</v>
      </c>
      <c r="FE434" s="68" t="s">
        <v>3497</v>
      </c>
      <c r="FF434" s="68" t="s">
        <v>3498</v>
      </c>
    </row>
    <row r="435" spans="151:162" x14ac:dyDescent="0.2">
      <c r="EU435" s="67">
        <v>565.16</v>
      </c>
      <c r="EV435" s="67" t="s">
        <v>3499</v>
      </c>
      <c r="EW435" s="67">
        <v>488.13</v>
      </c>
      <c r="EX435" s="67" t="s">
        <v>3500</v>
      </c>
      <c r="EY435" s="67">
        <v>5631.28</v>
      </c>
      <c r="EZ435" s="67" t="s">
        <v>3501</v>
      </c>
      <c r="FA435" s="67">
        <v>19867.973000000002</v>
      </c>
      <c r="FB435" s="67" t="s">
        <v>3502</v>
      </c>
      <c r="FC435" s="67" t="s">
        <v>3503</v>
      </c>
      <c r="FD435" s="67" t="s">
        <v>3504</v>
      </c>
      <c r="FE435" s="68" t="s">
        <v>3505</v>
      </c>
      <c r="FF435" s="68" t="s">
        <v>3506</v>
      </c>
    </row>
    <row r="436" spans="151:162" x14ac:dyDescent="0.2">
      <c r="EU436" s="67">
        <v>565.15</v>
      </c>
      <c r="EV436" s="67" t="s">
        <v>3507</v>
      </c>
      <c r="EW436" s="67">
        <v>488.13</v>
      </c>
      <c r="EX436" s="67" t="s">
        <v>3508</v>
      </c>
      <c r="EY436" s="67">
        <v>5631.28</v>
      </c>
      <c r="EZ436" s="67" t="s">
        <v>3509</v>
      </c>
      <c r="FA436" s="67">
        <v>19867.973000000002</v>
      </c>
      <c r="FB436" s="67" t="s">
        <v>3510</v>
      </c>
      <c r="FC436" s="67" t="s">
        <v>3511</v>
      </c>
      <c r="FD436" s="67" t="s">
        <v>3512</v>
      </c>
      <c r="FE436" s="68" t="s">
        <v>3513</v>
      </c>
      <c r="FF436" s="68" t="s">
        <v>3514</v>
      </c>
    </row>
    <row r="437" spans="151:162" x14ac:dyDescent="0.2">
      <c r="EU437" s="67">
        <v>565.02</v>
      </c>
      <c r="EV437" s="67" t="s">
        <v>3515</v>
      </c>
      <c r="EW437" s="67">
        <v>488.05</v>
      </c>
      <c r="EX437" s="67" t="s">
        <v>3516</v>
      </c>
      <c r="EY437" s="67">
        <v>5631.28</v>
      </c>
      <c r="EZ437" s="67" t="s">
        <v>3517</v>
      </c>
      <c r="FA437" s="67">
        <v>19867.973000000002</v>
      </c>
      <c r="FB437" s="67" t="s">
        <v>3518</v>
      </c>
      <c r="FC437" s="67" t="s">
        <v>3519</v>
      </c>
      <c r="FD437" s="67" t="s">
        <v>3520</v>
      </c>
      <c r="FE437" s="68" t="s">
        <v>3521</v>
      </c>
      <c r="FF437" s="68" t="s">
        <v>3522</v>
      </c>
    </row>
    <row r="438" spans="151:162" x14ac:dyDescent="0.2">
      <c r="EU438" s="67">
        <v>565.13</v>
      </c>
      <c r="EV438" s="67" t="s">
        <v>3523</v>
      </c>
      <c r="EW438" s="67">
        <v>488.17</v>
      </c>
      <c r="EX438" s="67" t="s">
        <v>3524</v>
      </c>
      <c r="EY438" s="67">
        <v>5631.28</v>
      </c>
      <c r="EZ438" s="67" t="s">
        <v>3525</v>
      </c>
      <c r="FA438" s="67">
        <v>19867.973000000002</v>
      </c>
      <c r="FB438" s="67" t="s">
        <v>3526</v>
      </c>
      <c r="FC438" s="67" t="s">
        <v>3527</v>
      </c>
      <c r="FD438" s="67" t="s">
        <v>3528</v>
      </c>
      <c r="FE438" s="68" t="s">
        <v>3529</v>
      </c>
      <c r="FF438" s="68" t="s">
        <v>3530</v>
      </c>
    </row>
    <row r="439" spans="151:162" x14ac:dyDescent="0.2">
      <c r="EU439" s="67">
        <v>565.14</v>
      </c>
      <c r="EV439" s="67" t="s">
        <v>3531</v>
      </c>
      <c r="EW439" s="67">
        <v>488.13</v>
      </c>
      <c r="EX439" s="67" t="s">
        <v>3532</v>
      </c>
      <c r="EY439" s="67">
        <v>5631.28</v>
      </c>
      <c r="EZ439" s="67" t="s">
        <v>3533</v>
      </c>
      <c r="FA439" s="67">
        <v>19867.973000000002</v>
      </c>
      <c r="FB439" s="67" t="s">
        <v>3534</v>
      </c>
      <c r="FC439" s="67" t="s">
        <v>3535</v>
      </c>
      <c r="FD439" s="67" t="s">
        <v>3536</v>
      </c>
      <c r="FE439" s="68" t="s">
        <v>3537</v>
      </c>
      <c r="FF439" s="68" t="s">
        <v>3538</v>
      </c>
    </row>
    <row r="440" spans="151:162" x14ac:dyDescent="0.2">
      <c r="EU440" s="67">
        <v>565.02</v>
      </c>
      <c r="EV440" s="67" t="s">
        <v>3539</v>
      </c>
      <c r="EW440" s="67">
        <v>488.04</v>
      </c>
      <c r="EX440" s="67" t="s">
        <v>3540</v>
      </c>
      <c r="EY440" s="67">
        <v>5631.28</v>
      </c>
      <c r="EZ440" s="67" t="s">
        <v>3541</v>
      </c>
      <c r="FA440" s="67">
        <v>19867.973000000002</v>
      </c>
      <c r="FB440" s="67" t="s">
        <v>3542</v>
      </c>
      <c r="FC440" s="67" t="s">
        <v>3543</v>
      </c>
      <c r="FD440" s="67" t="s">
        <v>3544</v>
      </c>
      <c r="FE440" s="68" t="s">
        <v>3545</v>
      </c>
      <c r="FF440" s="68" t="s">
        <v>3546</v>
      </c>
    </row>
    <row r="441" spans="151:162" x14ac:dyDescent="0.2">
      <c r="EU441" s="67">
        <v>565.01</v>
      </c>
      <c r="EV441" s="67" t="s">
        <v>3547</v>
      </c>
      <c r="EW441" s="67">
        <v>488</v>
      </c>
      <c r="EX441" s="67" t="s">
        <v>3548</v>
      </c>
      <c r="EY441" s="67">
        <v>5631.28</v>
      </c>
      <c r="EZ441" s="67" t="s">
        <v>3549</v>
      </c>
      <c r="FA441" s="67">
        <v>19867.973000000002</v>
      </c>
      <c r="FB441" s="67" t="s">
        <v>3550</v>
      </c>
      <c r="FC441" s="67" t="s">
        <v>3551</v>
      </c>
      <c r="FD441" s="67" t="s">
        <v>3552</v>
      </c>
      <c r="FE441" s="68" t="s">
        <v>3553</v>
      </c>
      <c r="FF441" s="68" t="s">
        <v>3554</v>
      </c>
    </row>
    <row r="442" spans="151:162" x14ac:dyDescent="0.2">
      <c r="EU442" s="67">
        <v>564.97</v>
      </c>
      <c r="EV442" s="67" t="s">
        <v>3555</v>
      </c>
      <c r="EW442" s="67">
        <v>487.99</v>
      </c>
      <c r="EX442" s="67" t="s">
        <v>3556</v>
      </c>
      <c r="EY442" s="67">
        <v>5631.28</v>
      </c>
      <c r="EZ442" s="67" t="s">
        <v>3557</v>
      </c>
      <c r="FA442" s="67">
        <v>19867.973000000002</v>
      </c>
      <c r="FB442" s="67" t="s">
        <v>3558</v>
      </c>
      <c r="FC442" s="67" t="s">
        <v>3559</v>
      </c>
      <c r="FD442" s="67" t="s">
        <v>3560</v>
      </c>
      <c r="FE442" s="68" t="s">
        <v>3561</v>
      </c>
      <c r="FF442" s="68" t="s">
        <v>3562</v>
      </c>
    </row>
    <row r="443" spans="151:162" x14ac:dyDescent="0.2">
      <c r="EU443" s="67">
        <v>565.02</v>
      </c>
      <c r="EV443" s="67" t="s">
        <v>3563</v>
      </c>
      <c r="EW443" s="67">
        <v>488.08</v>
      </c>
      <c r="EX443" s="67" t="s">
        <v>3564</v>
      </c>
      <c r="EY443" s="67">
        <v>5631.28</v>
      </c>
      <c r="EZ443" s="67" t="s">
        <v>3565</v>
      </c>
      <c r="FA443" s="67">
        <v>19867.973000000002</v>
      </c>
      <c r="FB443" s="67" t="s">
        <v>3566</v>
      </c>
      <c r="FC443" s="67" t="s">
        <v>3567</v>
      </c>
      <c r="FD443" s="67" t="s">
        <v>3568</v>
      </c>
      <c r="FE443" s="68" t="s">
        <v>3569</v>
      </c>
      <c r="FF443" s="68" t="s">
        <v>3570</v>
      </c>
    </row>
    <row r="444" spans="151:162" x14ac:dyDescent="0.2">
      <c r="EU444" s="67">
        <v>565.04999999999995</v>
      </c>
      <c r="EV444" s="67" t="s">
        <v>3571</v>
      </c>
      <c r="EW444" s="67">
        <v>488.06</v>
      </c>
      <c r="EX444" s="67" t="s">
        <v>3572</v>
      </c>
      <c r="EY444" s="67">
        <v>5631.28</v>
      </c>
      <c r="EZ444" s="67" t="s">
        <v>3573</v>
      </c>
      <c r="FA444" s="67">
        <v>19867.973000000002</v>
      </c>
      <c r="FB444" s="67" t="s">
        <v>3574</v>
      </c>
      <c r="FC444" s="67" t="s">
        <v>3575</v>
      </c>
      <c r="FD444" s="67" t="s">
        <v>3576</v>
      </c>
      <c r="FE444" s="68" t="s">
        <v>3577</v>
      </c>
      <c r="FF444" s="68" t="s">
        <v>3578</v>
      </c>
    </row>
    <row r="445" spans="151:162" x14ac:dyDescent="0.2">
      <c r="EU445" s="67">
        <v>564.87</v>
      </c>
      <c r="EV445" s="67" t="s">
        <v>3579</v>
      </c>
      <c r="EW445" s="67">
        <v>487.88</v>
      </c>
      <c r="EX445" s="67" t="s">
        <v>3580</v>
      </c>
      <c r="EY445" s="67">
        <v>5631.28</v>
      </c>
      <c r="EZ445" s="67" t="s">
        <v>3581</v>
      </c>
      <c r="FA445" s="67">
        <v>19867.973000000002</v>
      </c>
      <c r="FB445" s="67" t="s">
        <v>3582</v>
      </c>
      <c r="FC445" s="67" t="s">
        <v>3583</v>
      </c>
      <c r="FD445" s="67" t="s">
        <v>3584</v>
      </c>
      <c r="FE445" s="68" t="s">
        <v>3585</v>
      </c>
      <c r="FF445" s="68" t="s">
        <v>3586</v>
      </c>
    </row>
    <row r="446" spans="151:162" x14ac:dyDescent="0.2">
      <c r="EU446" s="67">
        <v>564.99</v>
      </c>
      <c r="EV446" s="67" t="s">
        <v>3587</v>
      </c>
      <c r="EW446" s="67">
        <v>488.05</v>
      </c>
      <c r="EX446" s="67" t="s">
        <v>3588</v>
      </c>
      <c r="EY446" s="67">
        <v>5631.28</v>
      </c>
      <c r="EZ446" s="67" t="s">
        <v>3589</v>
      </c>
      <c r="FA446" s="67">
        <v>19867.973000000002</v>
      </c>
      <c r="FB446" s="67" t="s">
        <v>3590</v>
      </c>
      <c r="FC446" s="67" t="s">
        <v>3591</v>
      </c>
      <c r="FD446" s="67" t="s">
        <v>3592</v>
      </c>
      <c r="FE446" s="68" t="s">
        <v>3593</v>
      </c>
      <c r="FF446" s="68" t="s">
        <v>3594</v>
      </c>
    </row>
    <row r="447" spans="151:162" x14ac:dyDescent="0.2">
      <c r="EU447" s="67">
        <v>565.07000000000005</v>
      </c>
      <c r="EV447" s="67" t="s">
        <v>3595</v>
      </c>
      <c r="EW447" s="67">
        <v>488.09</v>
      </c>
      <c r="EX447" s="67" t="s">
        <v>3596</v>
      </c>
      <c r="EY447" s="67">
        <v>5631.28</v>
      </c>
      <c r="EZ447" s="67" t="s">
        <v>3597</v>
      </c>
      <c r="FA447" s="67">
        <v>19867.973000000002</v>
      </c>
      <c r="FB447" s="67" t="s">
        <v>3598</v>
      </c>
      <c r="FC447" s="67" t="s">
        <v>3599</v>
      </c>
      <c r="FD447" s="67" t="s">
        <v>3600</v>
      </c>
      <c r="FE447" s="68" t="s">
        <v>3601</v>
      </c>
      <c r="FF447" s="68" t="s">
        <v>3602</v>
      </c>
    </row>
    <row r="448" spans="151:162" x14ac:dyDescent="0.2">
      <c r="EU448" s="67">
        <v>565.03</v>
      </c>
      <c r="EV448" s="67" t="s">
        <v>3603</v>
      </c>
      <c r="EW448" s="67">
        <v>488.12</v>
      </c>
      <c r="EX448" s="67" t="s">
        <v>3604</v>
      </c>
      <c r="EY448" s="67">
        <v>5631.28</v>
      </c>
      <c r="EZ448" s="67" t="s">
        <v>3605</v>
      </c>
      <c r="FA448" s="67">
        <v>19867.973000000002</v>
      </c>
      <c r="FB448" s="67" t="s">
        <v>3606</v>
      </c>
      <c r="FC448" s="67" t="s">
        <v>3607</v>
      </c>
      <c r="FD448" s="67" t="s">
        <v>3608</v>
      </c>
      <c r="FE448" s="68" t="s">
        <v>3609</v>
      </c>
      <c r="FF448" s="68" t="s">
        <v>3610</v>
      </c>
    </row>
    <row r="449" spans="151:162" x14ac:dyDescent="0.2">
      <c r="EU449" s="67">
        <v>565.07000000000005</v>
      </c>
      <c r="EV449" s="67" t="s">
        <v>3611</v>
      </c>
      <c r="EW449" s="67">
        <v>488.13</v>
      </c>
      <c r="EX449" s="67" t="s">
        <v>3612</v>
      </c>
      <c r="EY449" s="67">
        <v>5631.28</v>
      </c>
      <c r="EZ449" s="67" t="s">
        <v>3613</v>
      </c>
      <c r="FA449" s="67">
        <v>19867.973000000002</v>
      </c>
      <c r="FB449" s="67" t="s">
        <v>3614</v>
      </c>
      <c r="FC449" s="67" t="s">
        <v>3615</v>
      </c>
      <c r="FD449" s="67" t="s">
        <v>3616</v>
      </c>
      <c r="FE449" s="68" t="s">
        <v>3617</v>
      </c>
      <c r="FF449" s="68" t="s">
        <v>3618</v>
      </c>
    </row>
    <row r="450" spans="151:162" x14ac:dyDescent="0.2">
      <c r="EU450" s="67">
        <v>565.09</v>
      </c>
      <c r="EV450" s="67" t="s">
        <v>3619</v>
      </c>
      <c r="EW450" s="67">
        <v>488.15</v>
      </c>
      <c r="EX450" s="67" t="s">
        <v>3620</v>
      </c>
      <c r="EY450" s="67">
        <v>5631.28</v>
      </c>
      <c r="EZ450" s="67" t="s">
        <v>3621</v>
      </c>
      <c r="FA450" s="67">
        <v>19867.973000000002</v>
      </c>
      <c r="FB450" s="67" t="s">
        <v>3622</v>
      </c>
      <c r="FC450" s="67" t="s">
        <v>3623</v>
      </c>
      <c r="FD450" s="67" t="s">
        <v>3624</v>
      </c>
      <c r="FE450" s="68" t="s">
        <v>3625</v>
      </c>
      <c r="FF450" s="68" t="s">
        <v>3626</v>
      </c>
    </row>
    <row r="451" spans="151:162" x14ac:dyDescent="0.2">
      <c r="EU451" s="67">
        <v>565.04999999999995</v>
      </c>
      <c r="EV451" s="67" t="s">
        <v>3627</v>
      </c>
      <c r="EW451" s="67">
        <v>488.14</v>
      </c>
      <c r="EX451" s="67" t="s">
        <v>3628</v>
      </c>
      <c r="EY451" s="67">
        <v>5631.28</v>
      </c>
      <c r="EZ451" s="67" t="s">
        <v>3629</v>
      </c>
      <c r="FA451" s="67">
        <v>19867.973000000002</v>
      </c>
      <c r="FB451" s="67" t="s">
        <v>3630</v>
      </c>
      <c r="FC451" s="67" t="s">
        <v>3631</v>
      </c>
      <c r="FD451" s="67" t="s">
        <v>3632</v>
      </c>
      <c r="FE451" s="68" t="s">
        <v>3633</v>
      </c>
      <c r="FF451" s="68" t="s">
        <v>3634</v>
      </c>
    </row>
    <row r="452" spans="151:162" x14ac:dyDescent="0.2">
      <c r="EU452" s="67">
        <v>565.1</v>
      </c>
      <c r="EV452" s="67" t="s">
        <v>3635</v>
      </c>
      <c r="EW452" s="67">
        <v>488.21</v>
      </c>
      <c r="EX452" s="67" t="s">
        <v>3636</v>
      </c>
      <c r="EY452" s="67">
        <v>5631.28</v>
      </c>
      <c r="EZ452" s="67" t="s">
        <v>3637</v>
      </c>
      <c r="FA452" s="67">
        <v>19867.973000000002</v>
      </c>
      <c r="FB452" s="67" t="s">
        <v>3638</v>
      </c>
      <c r="FC452" s="67" t="s">
        <v>3639</v>
      </c>
      <c r="FD452" s="67" t="s">
        <v>3640</v>
      </c>
      <c r="FE452" s="68" t="s">
        <v>3641</v>
      </c>
      <c r="FF452" s="68" t="s">
        <v>3642</v>
      </c>
    </row>
    <row r="453" spans="151:162" x14ac:dyDescent="0.2">
      <c r="EU453" s="67">
        <v>565.02</v>
      </c>
      <c r="EV453" s="67" t="s">
        <v>3643</v>
      </c>
      <c r="EW453" s="67">
        <v>488.13</v>
      </c>
      <c r="EX453" s="67" t="s">
        <v>3644</v>
      </c>
      <c r="EY453" s="67">
        <v>5631.28</v>
      </c>
      <c r="EZ453" s="67" t="s">
        <v>3645</v>
      </c>
      <c r="FA453" s="67">
        <v>19867.973000000002</v>
      </c>
      <c r="FB453" s="67" t="s">
        <v>3646</v>
      </c>
      <c r="FC453" s="67" t="s">
        <v>3647</v>
      </c>
      <c r="FD453" s="67" t="s">
        <v>3648</v>
      </c>
      <c r="FE453" s="68" t="s">
        <v>3649</v>
      </c>
      <c r="FF453" s="68" t="s">
        <v>3650</v>
      </c>
    </row>
    <row r="454" spans="151:162" x14ac:dyDescent="0.2">
      <c r="EU454" s="67">
        <v>564.84</v>
      </c>
      <c r="EV454" s="67" t="s">
        <v>3651</v>
      </c>
      <c r="EW454" s="67">
        <v>487.89</v>
      </c>
      <c r="EX454" s="67" t="s">
        <v>3652</v>
      </c>
      <c r="EY454" s="67">
        <v>5631.28</v>
      </c>
      <c r="EZ454" s="67" t="s">
        <v>3653</v>
      </c>
      <c r="FA454" s="67">
        <v>19867.973000000002</v>
      </c>
      <c r="FB454" s="67" t="s">
        <v>3654</v>
      </c>
      <c r="FC454" s="67" t="s">
        <v>3655</v>
      </c>
      <c r="FD454" s="67" t="s">
        <v>3656</v>
      </c>
      <c r="FE454" s="68" t="s">
        <v>3657</v>
      </c>
      <c r="FF454" s="68" t="s">
        <v>3658</v>
      </c>
    </row>
    <row r="455" spans="151:162" x14ac:dyDescent="0.2">
      <c r="EU455" s="67">
        <v>564.91999999999996</v>
      </c>
      <c r="EV455" s="67" t="s">
        <v>3659</v>
      </c>
      <c r="EW455" s="67">
        <v>487.93</v>
      </c>
      <c r="EX455" s="67" t="s">
        <v>3660</v>
      </c>
      <c r="EY455" s="67">
        <v>5631.28</v>
      </c>
      <c r="EZ455" s="67" t="s">
        <v>3661</v>
      </c>
      <c r="FA455" s="67">
        <v>19867.973000000002</v>
      </c>
      <c r="FB455" s="67" t="s">
        <v>3662</v>
      </c>
      <c r="FC455" s="67" t="s">
        <v>3663</v>
      </c>
      <c r="FD455" s="67" t="s">
        <v>3664</v>
      </c>
      <c r="FE455" s="68" t="s">
        <v>3665</v>
      </c>
      <c r="FF455" s="68" t="s">
        <v>3666</v>
      </c>
    </row>
    <row r="456" spans="151:162" x14ac:dyDescent="0.2">
      <c r="EU456" s="67">
        <v>564.77</v>
      </c>
      <c r="EV456" s="67" t="s">
        <v>3667</v>
      </c>
      <c r="EW456" s="67">
        <v>487.8</v>
      </c>
      <c r="EX456" s="67" t="s">
        <v>3668</v>
      </c>
      <c r="EY456" s="67">
        <v>5631.28</v>
      </c>
      <c r="EZ456" s="67" t="s">
        <v>3669</v>
      </c>
      <c r="FA456" s="67">
        <v>19867.973000000002</v>
      </c>
      <c r="FB456" s="67" t="s">
        <v>3670</v>
      </c>
      <c r="FC456" s="67" t="s">
        <v>3671</v>
      </c>
      <c r="FD456" s="67" t="s">
        <v>3672</v>
      </c>
      <c r="FE456" s="68" t="s">
        <v>3673</v>
      </c>
      <c r="FF456" s="68" t="s">
        <v>3674</v>
      </c>
    </row>
    <row r="457" spans="151:162" x14ac:dyDescent="0.2">
      <c r="EU457" s="67">
        <v>564.66999999999996</v>
      </c>
      <c r="EV457" s="67" t="s">
        <v>3675</v>
      </c>
      <c r="EW457" s="67">
        <v>487.64</v>
      </c>
      <c r="EX457" s="67" t="s">
        <v>3676</v>
      </c>
      <c r="EY457" s="67">
        <v>5631.28</v>
      </c>
      <c r="EZ457" s="67" t="s">
        <v>3677</v>
      </c>
      <c r="FA457" s="67">
        <v>19867.973000000002</v>
      </c>
      <c r="FB457" s="67" t="s">
        <v>3678</v>
      </c>
      <c r="FC457" s="67" t="s">
        <v>3679</v>
      </c>
      <c r="FD457" s="67" t="s">
        <v>3680</v>
      </c>
      <c r="FE457" s="68" t="s">
        <v>3681</v>
      </c>
      <c r="FF457" s="68" t="s">
        <v>3682</v>
      </c>
    </row>
    <row r="458" spans="151:162" x14ac:dyDescent="0.2">
      <c r="EU458" s="67">
        <v>564.66999999999996</v>
      </c>
      <c r="EV458" s="67" t="s">
        <v>3683</v>
      </c>
      <c r="EW458" s="67">
        <v>487.6</v>
      </c>
      <c r="EX458" s="67" t="s">
        <v>3684</v>
      </c>
      <c r="EY458" s="67">
        <v>5631.28</v>
      </c>
      <c r="EZ458" s="67" t="s">
        <v>3685</v>
      </c>
      <c r="FA458" s="67">
        <v>19867.973000000002</v>
      </c>
      <c r="FB458" s="67" t="s">
        <v>3686</v>
      </c>
      <c r="FC458" s="67" t="s">
        <v>3687</v>
      </c>
      <c r="FD458" s="67" t="s">
        <v>3688</v>
      </c>
      <c r="FE458" s="68" t="s">
        <v>3689</v>
      </c>
      <c r="FF458" s="68" t="s">
        <v>3690</v>
      </c>
    </row>
    <row r="459" spans="151:162" x14ac:dyDescent="0.2">
      <c r="EU459" s="67">
        <v>564.72</v>
      </c>
      <c r="EV459" s="67" t="s">
        <v>3691</v>
      </c>
      <c r="EW459" s="67">
        <v>487.6</v>
      </c>
      <c r="EX459" s="67" t="s">
        <v>3692</v>
      </c>
      <c r="EY459" s="67">
        <v>5631.28</v>
      </c>
      <c r="EZ459" s="67" t="s">
        <v>3693</v>
      </c>
      <c r="FA459" s="67">
        <v>19867.973000000002</v>
      </c>
      <c r="FB459" s="67" t="s">
        <v>3694</v>
      </c>
      <c r="FC459" s="67" t="s">
        <v>3695</v>
      </c>
      <c r="FD459" s="67" t="s">
        <v>3696</v>
      </c>
      <c r="FE459" s="68" t="s">
        <v>3697</v>
      </c>
      <c r="FF459" s="68" t="s">
        <v>3698</v>
      </c>
    </row>
    <row r="460" spans="151:162" x14ac:dyDescent="0.2">
      <c r="EU460" s="67">
        <v>564.73</v>
      </c>
      <c r="EV460" s="67" t="s">
        <v>3699</v>
      </c>
      <c r="EW460" s="67">
        <v>487.72</v>
      </c>
      <c r="EX460" s="67" t="s">
        <v>3700</v>
      </c>
      <c r="EY460" s="67">
        <v>5631.28</v>
      </c>
      <c r="EZ460" s="67" t="s">
        <v>3701</v>
      </c>
      <c r="FA460" s="67">
        <v>19867.973000000002</v>
      </c>
      <c r="FB460" s="67" t="s">
        <v>3702</v>
      </c>
      <c r="FC460" s="67" t="s">
        <v>3703</v>
      </c>
      <c r="FD460" s="67" t="s">
        <v>3704</v>
      </c>
      <c r="FE460" s="68" t="s">
        <v>3705</v>
      </c>
      <c r="FF460" s="68" t="s">
        <v>3706</v>
      </c>
    </row>
    <row r="461" spans="151:162" x14ac:dyDescent="0.2">
      <c r="EU461" s="67">
        <v>564.75</v>
      </c>
      <c r="EV461" s="67" t="s">
        <v>3707</v>
      </c>
      <c r="EW461" s="67">
        <v>487.79</v>
      </c>
      <c r="EX461" s="67" t="s">
        <v>3708</v>
      </c>
      <c r="EY461" s="67">
        <v>5631.28</v>
      </c>
      <c r="EZ461" s="67" t="s">
        <v>3709</v>
      </c>
      <c r="FA461" s="67">
        <v>19867.973000000002</v>
      </c>
      <c r="FB461" s="67" t="s">
        <v>3710</v>
      </c>
      <c r="FC461" s="67" t="s">
        <v>3711</v>
      </c>
      <c r="FD461" s="67" t="s">
        <v>3712</v>
      </c>
      <c r="FE461" s="68" t="s">
        <v>3713</v>
      </c>
      <c r="FF461" s="68" t="s">
        <v>3714</v>
      </c>
    </row>
    <row r="462" spans="151:162" x14ac:dyDescent="0.2">
      <c r="EU462" s="67">
        <v>564.87</v>
      </c>
      <c r="EV462" s="67" t="s">
        <v>3715</v>
      </c>
      <c r="EW462" s="67">
        <v>487.96</v>
      </c>
      <c r="EX462" s="67" t="s">
        <v>3716</v>
      </c>
      <c r="EY462" s="67">
        <v>5631.28</v>
      </c>
      <c r="EZ462" s="67" t="s">
        <v>3717</v>
      </c>
      <c r="FA462" s="67">
        <v>19867.973000000002</v>
      </c>
      <c r="FB462" s="67" t="s">
        <v>3718</v>
      </c>
      <c r="FC462" s="67" t="s">
        <v>3719</v>
      </c>
      <c r="FD462" s="67" t="s">
        <v>3720</v>
      </c>
      <c r="FE462" s="68" t="s">
        <v>3721</v>
      </c>
      <c r="FF462" s="68" t="s">
        <v>3722</v>
      </c>
    </row>
    <row r="463" spans="151:162" x14ac:dyDescent="0.2">
      <c r="EU463" s="67">
        <v>564.94000000000005</v>
      </c>
      <c r="EV463" s="67" t="s">
        <v>3723</v>
      </c>
      <c r="EW463" s="67">
        <v>488.06</v>
      </c>
      <c r="EX463" s="67" t="s">
        <v>3724</v>
      </c>
      <c r="EY463" s="67">
        <v>5631.28</v>
      </c>
      <c r="EZ463" s="67" t="s">
        <v>3725</v>
      </c>
      <c r="FA463" s="67">
        <v>19867.973000000002</v>
      </c>
      <c r="FB463" s="67" t="s">
        <v>3726</v>
      </c>
      <c r="FC463" s="67" t="s">
        <v>3727</v>
      </c>
      <c r="FD463" s="67" t="s">
        <v>3728</v>
      </c>
      <c r="FE463" s="68" t="s">
        <v>3729</v>
      </c>
      <c r="FF463" s="68" t="s">
        <v>3730</v>
      </c>
    </row>
    <row r="464" spans="151:162" x14ac:dyDescent="0.2">
      <c r="EU464" s="67">
        <v>565.17999999999995</v>
      </c>
      <c r="EV464" s="67" t="s">
        <v>3731</v>
      </c>
      <c r="EW464" s="67">
        <v>488.28</v>
      </c>
      <c r="EX464" s="67" t="s">
        <v>3732</v>
      </c>
      <c r="EY464" s="67">
        <v>5631.28</v>
      </c>
      <c r="EZ464" s="67" t="s">
        <v>3733</v>
      </c>
      <c r="FA464" s="67">
        <v>19867.973000000002</v>
      </c>
      <c r="FB464" s="67" t="s">
        <v>3734</v>
      </c>
      <c r="FC464" s="67" t="s">
        <v>3735</v>
      </c>
      <c r="FD464" s="67" t="s">
        <v>3736</v>
      </c>
      <c r="FE464" s="68" t="s">
        <v>3737</v>
      </c>
      <c r="FF464" s="68" t="s">
        <v>3738</v>
      </c>
    </row>
    <row r="465" spans="151:162" x14ac:dyDescent="0.2">
      <c r="EU465" s="67">
        <v>565.22</v>
      </c>
      <c r="EV465" s="67" t="s">
        <v>3739</v>
      </c>
      <c r="EW465" s="67">
        <v>488.3</v>
      </c>
      <c r="EX465" s="67" t="s">
        <v>3740</v>
      </c>
      <c r="EY465" s="67">
        <v>5631.28</v>
      </c>
      <c r="EZ465" s="67" t="s">
        <v>3741</v>
      </c>
      <c r="FA465" s="67">
        <v>19867.973000000002</v>
      </c>
      <c r="FB465" s="67" t="s">
        <v>3742</v>
      </c>
      <c r="FC465" s="67" t="s">
        <v>3743</v>
      </c>
      <c r="FD465" s="67" t="s">
        <v>3744</v>
      </c>
      <c r="FE465" s="68" t="s">
        <v>3745</v>
      </c>
      <c r="FF465" s="68" t="s">
        <v>3746</v>
      </c>
    </row>
    <row r="466" spans="151:162" x14ac:dyDescent="0.2">
      <c r="EU466" s="67">
        <v>565.22</v>
      </c>
      <c r="EV466" s="67" t="s">
        <v>3747</v>
      </c>
      <c r="EW466" s="67">
        <v>488.25</v>
      </c>
      <c r="EX466" s="67" t="s">
        <v>3748</v>
      </c>
      <c r="EY466" s="67">
        <v>5631.28</v>
      </c>
      <c r="EZ466" s="67" t="s">
        <v>3749</v>
      </c>
      <c r="FA466" s="67">
        <v>19867.973000000002</v>
      </c>
      <c r="FB466" s="67" t="s">
        <v>3750</v>
      </c>
      <c r="FC466" s="67" t="s">
        <v>3751</v>
      </c>
      <c r="FD466" s="67" t="s">
        <v>3752</v>
      </c>
      <c r="FE466" s="68" t="s">
        <v>3753</v>
      </c>
      <c r="FF466" s="68" t="s">
        <v>3754</v>
      </c>
    </row>
    <row r="467" spans="151:162" x14ac:dyDescent="0.2">
      <c r="EU467" s="67">
        <v>565.24</v>
      </c>
      <c r="EV467" s="67" t="s">
        <v>3755</v>
      </c>
      <c r="EW467" s="67">
        <v>488.23</v>
      </c>
      <c r="EX467" s="67" t="s">
        <v>3756</v>
      </c>
      <c r="EY467" s="67">
        <v>5631.28</v>
      </c>
      <c r="EZ467" s="67" t="s">
        <v>3757</v>
      </c>
      <c r="FA467" s="67">
        <v>19867.973000000002</v>
      </c>
      <c r="FB467" s="67" t="s">
        <v>3758</v>
      </c>
      <c r="FC467" s="67" t="s">
        <v>3759</v>
      </c>
      <c r="FD467" s="67" t="s">
        <v>3760</v>
      </c>
      <c r="FE467" s="68" t="s">
        <v>3761</v>
      </c>
      <c r="FF467" s="68" t="s">
        <v>3762</v>
      </c>
    </row>
    <row r="468" spans="151:162" x14ac:dyDescent="0.2">
      <c r="EU468" s="67">
        <v>565.23</v>
      </c>
      <c r="EV468" s="67" t="s">
        <v>3763</v>
      </c>
      <c r="EW468" s="67">
        <v>488.19</v>
      </c>
      <c r="EX468" s="67" t="s">
        <v>3764</v>
      </c>
      <c r="EY468" s="67">
        <v>5631.28</v>
      </c>
      <c r="EZ468" s="67" t="s">
        <v>3765</v>
      </c>
      <c r="FA468" s="67">
        <v>19867.973000000002</v>
      </c>
      <c r="FB468" s="67" t="s">
        <v>3766</v>
      </c>
      <c r="FC468" s="67" t="s">
        <v>3767</v>
      </c>
      <c r="FD468" s="67" t="s">
        <v>3768</v>
      </c>
      <c r="FE468" s="68" t="s">
        <v>3769</v>
      </c>
      <c r="FF468" s="68" t="s">
        <v>3770</v>
      </c>
    </row>
    <row r="469" spans="151:162" x14ac:dyDescent="0.2">
      <c r="EU469" s="67">
        <v>565.20000000000005</v>
      </c>
      <c r="EV469" s="67" t="s">
        <v>3771</v>
      </c>
      <c r="EW469" s="67">
        <v>488.11</v>
      </c>
      <c r="EX469" s="67" t="s">
        <v>3772</v>
      </c>
      <c r="EY469" s="67">
        <v>5631.28</v>
      </c>
      <c r="EZ469" s="67" t="s">
        <v>3773</v>
      </c>
      <c r="FA469" s="67">
        <v>19867.973000000002</v>
      </c>
      <c r="FB469" s="67" t="s">
        <v>3774</v>
      </c>
      <c r="FC469" s="67" t="s">
        <v>3775</v>
      </c>
      <c r="FD469" s="67" t="s">
        <v>3776</v>
      </c>
      <c r="FE469" s="68" t="s">
        <v>3777</v>
      </c>
      <c r="FF469" s="68" t="s">
        <v>3778</v>
      </c>
    </row>
    <row r="470" spans="151:162" x14ac:dyDescent="0.2">
      <c r="EU470" s="67">
        <v>565.27</v>
      </c>
      <c r="EV470" s="67" t="s">
        <v>3779</v>
      </c>
      <c r="EW470" s="67">
        <v>488.15</v>
      </c>
      <c r="EX470" s="67" t="s">
        <v>3780</v>
      </c>
      <c r="EY470" s="67">
        <v>5631.28</v>
      </c>
      <c r="EZ470" s="67" t="s">
        <v>3781</v>
      </c>
      <c r="FA470" s="67">
        <v>19867.973000000002</v>
      </c>
      <c r="FB470" s="67" t="s">
        <v>3782</v>
      </c>
      <c r="FC470" s="67" t="s">
        <v>3783</v>
      </c>
      <c r="FD470" s="67" t="s">
        <v>3784</v>
      </c>
      <c r="FE470" s="68" t="s">
        <v>3785</v>
      </c>
      <c r="FF470" s="68" t="s">
        <v>3786</v>
      </c>
    </row>
    <row r="471" spans="151:162" x14ac:dyDescent="0.2">
      <c r="EU471" s="67">
        <v>565.27</v>
      </c>
      <c r="EV471" s="67" t="s">
        <v>3787</v>
      </c>
      <c r="EW471" s="67">
        <v>488.19</v>
      </c>
      <c r="EX471" s="67" t="s">
        <v>3788</v>
      </c>
      <c r="EY471" s="67">
        <v>5631.28</v>
      </c>
      <c r="EZ471" s="67" t="s">
        <v>3789</v>
      </c>
      <c r="FA471" s="67">
        <v>19867.973000000002</v>
      </c>
      <c r="FB471" s="67" t="s">
        <v>3790</v>
      </c>
      <c r="FC471" s="67" t="s">
        <v>3791</v>
      </c>
      <c r="FD471" s="67" t="s">
        <v>3792</v>
      </c>
      <c r="FE471" s="68" t="s">
        <v>3793</v>
      </c>
      <c r="FF471" s="68" t="s">
        <v>3794</v>
      </c>
    </row>
    <row r="472" spans="151:162" x14ac:dyDescent="0.2">
      <c r="EU472" s="67">
        <v>565.25</v>
      </c>
      <c r="EV472" s="67" t="s">
        <v>3795</v>
      </c>
      <c r="EW472" s="67">
        <v>488.26</v>
      </c>
      <c r="EX472" s="67" t="s">
        <v>3796</v>
      </c>
      <c r="EY472" s="67">
        <v>5631.28</v>
      </c>
      <c r="EZ472" s="67" t="s">
        <v>3797</v>
      </c>
      <c r="FA472" s="67">
        <v>19867.973000000002</v>
      </c>
      <c r="FB472" s="67" t="s">
        <v>3798</v>
      </c>
      <c r="FC472" s="67" t="s">
        <v>3799</v>
      </c>
      <c r="FD472" s="67" t="s">
        <v>3800</v>
      </c>
      <c r="FE472" s="68" t="s">
        <v>3801</v>
      </c>
      <c r="FF472" s="68" t="s">
        <v>3802</v>
      </c>
    </row>
    <row r="473" spans="151:162" x14ac:dyDescent="0.2">
      <c r="EU473" s="67">
        <v>565.41999999999996</v>
      </c>
      <c r="EV473" s="67" t="s">
        <v>3803</v>
      </c>
      <c r="EW473" s="67">
        <v>488.28</v>
      </c>
      <c r="EX473" s="67" t="s">
        <v>3804</v>
      </c>
      <c r="EY473" s="67">
        <v>5631.28</v>
      </c>
      <c r="EZ473" s="67" t="s">
        <v>3805</v>
      </c>
      <c r="FA473" s="67">
        <v>19867.973000000002</v>
      </c>
      <c r="FB473" s="67" t="s">
        <v>3806</v>
      </c>
      <c r="FC473" s="67" t="s">
        <v>3807</v>
      </c>
      <c r="FD473" s="67" t="s">
        <v>3808</v>
      </c>
      <c r="FE473" s="68" t="s">
        <v>3809</v>
      </c>
      <c r="FF473" s="68" t="s">
        <v>3810</v>
      </c>
    </row>
    <row r="474" spans="151:162" x14ac:dyDescent="0.2">
      <c r="EU474" s="67">
        <v>565.48</v>
      </c>
      <c r="EV474" s="67" t="s">
        <v>3811</v>
      </c>
      <c r="EW474" s="67">
        <v>488.32</v>
      </c>
      <c r="EX474" s="67" t="s">
        <v>3812</v>
      </c>
      <c r="EY474" s="67">
        <v>5631.28</v>
      </c>
      <c r="EZ474" s="67" t="s">
        <v>3813</v>
      </c>
      <c r="FA474" s="67">
        <v>19867.973000000002</v>
      </c>
      <c r="FB474" s="67" t="s">
        <v>3814</v>
      </c>
      <c r="FC474" s="67" t="s">
        <v>3815</v>
      </c>
      <c r="FD474" s="67" t="s">
        <v>3816</v>
      </c>
      <c r="FE474" s="68" t="s">
        <v>3817</v>
      </c>
      <c r="FF474" s="68" t="s">
        <v>3818</v>
      </c>
    </row>
    <row r="475" spans="151:162" x14ac:dyDescent="0.2">
      <c r="EU475" s="67">
        <v>565.32000000000005</v>
      </c>
      <c r="EV475" s="67" t="s">
        <v>3819</v>
      </c>
      <c r="EW475" s="67">
        <v>488.29</v>
      </c>
      <c r="EX475" s="67" t="s">
        <v>3820</v>
      </c>
      <c r="EY475" s="67">
        <v>5631.28</v>
      </c>
      <c r="EZ475" s="67" t="s">
        <v>3821</v>
      </c>
      <c r="FA475" s="67">
        <v>19867.973000000002</v>
      </c>
      <c r="FB475" s="67" t="s">
        <v>3822</v>
      </c>
      <c r="FC475" s="67" t="s">
        <v>3823</v>
      </c>
      <c r="FD475" s="67" t="s">
        <v>3824</v>
      </c>
      <c r="FE475" s="68" t="s">
        <v>3825</v>
      </c>
      <c r="FF475" s="68" t="s">
        <v>3826</v>
      </c>
    </row>
    <row r="476" spans="151:162" x14ac:dyDescent="0.2">
      <c r="EU476" s="67">
        <v>565.46</v>
      </c>
      <c r="EV476" s="67" t="s">
        <v>3827</v>
      </c>
      <c r="EW476" s="67">
        <v>488.29</v>
      </c>
      <c r="EX476" s="67" t="s">
        <v>3828</v>
      </c>
      <c r="EY476" s="67">
        <v>5631.28</v>
      </c>
      <c r="EZ476" s="67" t="s">
        <v>3829</v>
      </c>
      <c r="FA476" s="67">
        <v>19867.973000000002</v>
      </c>
      <c r="FB476" s="67" t="s">
        <v>3830</v>
      </c>
      <c r="FC476" s="67" t="s">
        <v>3831</v>
      </c>
      <c r="FD476" s="67" t="s">
        <v>3832</v>
      </c>
      <c r="FE476" s="68" t="s">
        <v>3833</v>
      </c>
      <c r="FF476" s="68" t="s">
        <v>3834</v>
      </c>
    </row>
    <row r="477" spans="151:162" x14ac:dyDescent="0.2">
      <c r="EU477" s="67">
        <v>565.35</v>
      </c>
      <c r="EV477" s="67" t="s">
        <v>3835</v>
      </c>
      <c r="EW477" s="67">
        <v>488.19</v>
      </c>
      <c r="EX477" s="67" t="s">
        <v>3836</v>
      </c>
      <c r="EY477" s="67">
        <v>5631.28</v>
      </c>
      <c r="EZ477" s="67" t="s">
        <v>3837</v>
      </c>
      <c r="FA477" s="67">
        <v>19867.973000000002</v>
      </c>
      <c r="FB477" s="67" t="s">
        <v>3838</v>
      </c>
      <c r="FC477" s="67" t="s">
        <v>3839</v>
      </c>
      <c r="FD477" s="67" t="s">
        <v>3840</v>
      </c>
      <c r="FE477" s="68" t="s">
        <v>3841</v>
      </c>
      <c r="FF477" s="68" t="s">
        <v>3842</v>
      </c>
    </row>
    <row r="478" spans="151:162" x14ac:dyDescent="0.2">
      <c r="EU478" s="67">
        <v>565.39</v>
      </c>
      <c r="EV478" s="67" t="s">
        <v>3843</v>
      </c>
      <c r="EW478" s="67">
        <v>488.34</v>
      </c>
      <c r="EX478" s="67" t="s">
        <v>3844</v>
      </c>
      <c r="EY478" s="67">
        <v>5631.28</v>
      </c>
      <c r="EZ478" s="67" t="s">
        <v>3845</v>
      </c>
      <c r="FA478" s="67">
        <v>19867.973000000002</v>
      </c>
      <c r="FB478" s="67" t="s">
        <v>3846</v>
      </c>
      <c r="FC478" s="67" t="s">
        <v>3847</v>
      </c>
      <c r="FD478" s="67" t="s">
        <v>3848</v>
      </c>
      <c r="FE478" s="68" t="s">
        <v>3849</v>
      </c>
      <c r="FF478" s="68" t="s">
        <v>3850</v>
      </c>
    </row>
    <row r="479" spans="151:162" x14ac:dyDescent="0.2">
      <c r="EU479" s="67">
        <v>565.39</v>
      </c>
      <c r="EV479" s="67" t="s">
        <v>3851</v>
      </c>
      <c r="EW479" s="67">
        <v>488.31</v>
      </c>
      <c r="EX479" s="67" t="s">
        <v>3852</v>
      </c>
      <c r="EY479" s="67">
        <v>5631.28</v>
      </c>
      <c r="EZ479" s="67" t="s">
        <v>3853</v>
      </c>
      <c r="FA479" s="67">
        <v>19867.973000000002</v>
      </c>
      <c r="FB479" s="67" t="s">
        <v>3854</v>
      </c>
      <c r="FC479" s="67" t="s">
        <v>3855</v>
      </c>
      <c r="FD479" s="67" t="s">
        <v>3856</v>
      </c>
      <c r="FE479" s="68" t="s">
        <v>3857</v>
      </c>
      <c r="FF479" s="68" t="s">
        <v>3858</v>
      </c>
    </row>
    <row r="480" spans="151:162" x14ac:dyDescent="0.2">
      <c r="EU480" s="67">
        <v>565.17999999999995</v>
      </c>
      <c r="EV480" s="67" t="s">
        <v>3859</v>
      </c>
      <c r="EW480" s="67">
        <v>488.14</v>
      </c>
      <c r="EX480" s="67" t="s">
        <v>3860</v>
      </c>
      <c r="EY480" s="67">
        <v>5631.28</v>
      </c>
      <c r="EZ480" s="67" t="s">
        <v>3861</v>
      </c>
      <c r="FA480" s="67">
        <v>19867.973000000002</v>
      </c>
      <c r="FB480" s="67" t="s">
        <v>3862</v>
      </c>
      <c r="FC480" s="67" t="s">
        <v>3863</v>
      </c>
      <c r="FD480" s="67" t="s">
        <v>3864</v>
      </c>
      <c r="FE480" s="68" t="s">
        <v>3865</v>
      </c>
      <c r="FF480" s="68" t="s">
        <v>3866</v>
      </c>
    </row>
    <row r="481" spans="151:162" x14ac:dyDescent="0.2">
      <c r="EU481" s="67">
        <v>565.08000000000004</v>
      </c>
      <c r="EV481" s="67" t="s">
        <v>3867</v>
      </c>
      <c r="EW481" s="67">
        <v>488.08</v>
      </c>
      <c r="EX481" s="67" t="s">
        <v>3868</v>
      </c>
      <c r="EY481" s="67">
        <v>5631.28</v>
      </c>
      <c r="EZ481" s="67" t="s">
        <v>3869</v>
      </c>
      <c r="FA481" s="67">
        <v>19867.973000000002</v>
      </c>
      <c r="FB481" s="67" t="s">
        <v>3870</v>
      </c>
      <c r="FC481" s="67" t="s">
        <v>3871</v>
      </c>
      <c r="FD481" s="67" t="s">
        <v>3872</v>
      </c>
      <c r="FE481" s="68" t="s">
        <v>3873</v>
      </c>
      <c r="FF481" s="68" t="s">
        <v>3874</v>
      </c>
    </row>
    <row r="482" spans="151:162" x14ac:dyDescent="0.2">
      <c r="EU482" s="67">
        <v>564.88</v>
      </c>
      <c r="EV482" s="67" t="s">
        <v>3875</v>
      </c>
      <c r="EW482" s="67">
        <v>487.87</v>
      </c>
      <c r="EX482" s="67" t="s">
        <v>3876</v>
      </c>
      <c r="EY482" s="67">
        <v>5631.28</v>
      </c>
      <c r="EZ482" s="67" t="s">
        <v>3877</v>
      </c>
      <c r="FA482" s="67">
        <v>19867.973000000002</v>
      </c>
      <c r="FB482" s="67" t="s">
        <v>3878</v>
      </c>
      <c r="FC482" s="67" t="s">
        <v>3879</v>
      </c>
      <c r="FD482" s="67" t="s">
        <v>3880</v>
      </c>
      <c r="FE482" s="68" t="s">
        <v>3881</v>
      </c>
      <c r="FF482" s="68" t="s">
        <v>3882</v>
      </c>
    </row>
    <row r="483" spans="151:162" x14ac:dyDescent="0.2">
      <c r="EU483" s="67">
        <v>565.22</v>
      </c>
      <c r="EV483" s="67" t="s">
        <v>3883</v>
      </c>
      <c r="EW483" s="67">
        <v>488.29</v>
      </c>
      <c r="EX483" s="67" t="s">
        <v>3884</v>
      </c>
      <c r="EY483" s="67">
        <v>5631.28</v>
      </c>
      <c r="EZ483" s="67" t="s">
        <v>3885</v>
      </c>
      <c r="FA483" s="67">
        <v>19867.973000000002</v>
      </c>
      <c r="FB483" s="67" t="s">
        <v>3886</v>
      </c>
      <c r="FC483" s="67" t="s">
        <v>3887</v>
      </c>
      <c r="FD483" s="67" t="s">
        <v>3888</v>
      </c>
      <c r="FE483" s="68" t="s">
        <v>3889</v>
      </c>
      <c r="FF483" s="68" t="s">
        <v>3890</v>
      </c>
    </row>
    <row r="484" spans="151:162" x14ac:dyDescent="0.2">
      <c r="EU484" s="67">
        <v>565.35</v>
      </c>
      <c r="EV484" s="67" t="s">
        <v>3891</v>
      </c>
      <c r="EW484" s="67">
        <v>488.36</v>
      </c>
      <c r="EX484" s="67" t="s">
        <v>3892</v>
      </c>
      <c r="EY484" s="67">
        <v>5631.28</v>
      </c>
      <c r="EZ484" s="67" t="s">
        <v>3893</v>
      </c>
      <c r="FA484" s="67">
        <v>19867.973000000002</v>
      </c>
      <c r="FB484" s="67" t="s">
        <v>3894</v>
      </c>
      <c r="FC484" s="67" t="s">
        <v>3895</v>
      </c>
      <c r="FD484" s="67" t="s">
        <v>3896</v>
      </c>
      <c r="FE484" s="68" t="s">
        <v>3897</v>
      </c>
      <c r="FF484" s="68" t="s">
        <v>3898</v>
      </c>
    </row>
    <row r="485" spans="151:162" x14ac:dyDescent="0.2">
      <c r="EU485" s="67">
        <v>565.24</v>
      </c>
      <c r="EV485" s="67" t="s">
        <v>3899</v>
      </c>
      <c r="EW485" s="67">
        <v>488.3</v>
      </c>
      <c r="EX485" s="67" t="s">
        <v>3900</v>
      </c>
      <c r="EY485" s="67">
        <v>5631.28</v>
      </c>
      <c r="EZ485" s="67" t="s">
        <v>3901</v>
      </c>
      <c r="FA485" s="67">
        <v>19867.973000000002</v>
      </c>
      <c r="FB485" s="67" t="s">
        <v>3902</v>
      </c>
      <c r="FC485" s="67" t="s">
        <v>3903</v>
      </c>
      <c r="FD485" s="67" t="s">
        <v>3904</v>
      </c>
      <c r="FE485" s="68" t="s">
        <v>3905</v>
      </c>
      <c r="FF485" s="68" t="s">
        <v>3906</v>
      </c>
    </row>
    <row r="486" spans="151:162" x14ac:dyDescent="0.2">
      <c r="EU486" s="67">
        <v>565.5</v>
      </c>
      <c r="EV486" s="67" t="s">
        <v>3907</v>
      </c>
      <c r="EW486" s="67">
        <v>488.46</v>
      </c>
      <c r="EX486" s="67" t="s">
        <v>3908</v>
      </c>
      <c r="EY486" s="67">
        <v>5631.28</v>
      </c>
      <c r="EZ486" s="67" t="s">
        <v>3909</v>
      </c>
      <c r="FA486" s="67">
        <v>19867.973000000002</v>
      </c>
      <c r="FB486" s="67" t="s">
        <v>3910</v>
      </c>
      <c r="FC486" s="67" t="s">
        <v>3911</v>
      </c>
      <c r="FD486" s="67" t="s">
        <v>3912</v>
      </c>
      <c r="FE486" s="68" t="s">
        <v>3913</v>
      </c>
      <c r="FF486" s="68" t="s">
        <v>3914</v>
      </c>
    </row>
    <row r="487" spans="151:162" x14ac:dyDescent="0.2">
      <c r="EU487" s="67">
        <v>565.54999999999995</v>
      </c>
      <c r="EV487" s="67" t="s">
        <v>3915</v>
      </c>
      <c r="EW487" s="67">
        <v>488.49</v>
      </c>
      <c r="EX487" s="67" t="s">
        <v>3916</v>
      </c>
      <c r="EY487" s="67">
        <v>5631.28</v>
      </c>
      <c r="EZ487" s="67" t="s">
        <v>3917</v>
      </c>
      <c r="FA487" s="67">
        <v>19867.973000000002</v>
      </c>
      <c r="FB487" s="67" t="s">
        <v>3918</v>
      </c>
      <c r="FC487" s="67" t="s">
        <v>3919</v>
      </c>
      <c r="FD487" s="67" t="s">
        <v>3920</v>
      </c>
      <c r="FE487" s="68" t="s">
        <v>3921</v>
      </c>
      <c r="FF487" s="68" t="s">
        <v>3922</v>
      </c>
    </row>
    <row r="488" spans="151:162" x14ac:dyDescent="0.2">
      <c r="EU488" s="67">
        <v>565.55999999999995</v>
      </c>
      <c r="EV488" s="67" t="s">
        <v>3923</v>
      </c>
      <c r="EW488" s="67">
        <v>488.56</v>
      </c>
      <c r="EX488" s="67" t="s">
        <v>3924</v>
      </c>
      <c r="EY488" s="67">
        <v>5631.28</v>
      </c>
      <c r="EZ488" s="67" t="s">
        <v>3925</v>
      </c>
      <c r="FA488" s="67">
        <v>19867.973000000002</v>
      </c>
      <c r="FB488" s="67" t="s">
        <v>3926</v>
      </c>
      <c r="FC488" s="67" t="s">
        <v>3927</v>
      </c>
      <c r="FD488" s="67" t="s">
        <v>3928</v>
      </c>
      <c r="FE488" s="68" t="s">
        <v>3929</v>
      </c>
      <c r="FF488" s="68" t="s">
        <v>3930</v>
      </c>
    </row>
    <row r="489" spans="151:162" x14ac:dyDescent="0.2">
      <c r="EU489" s="67">
        <v>565.76</v>
      </c>
      <c r="EV489" s="67" t="s">
        <v>3931</v>
      </c>
      <c r="EW489" s="67">
        <v>488.79</v>
      </c>
      <c r="EX489" s="67" t="s">
        <v>3932</v>
      </c>
      <c r="EY489" s="67">
        <v>5631.28</v>
      </c>
      <c r="EZ489" s="67" t="s">
        <v>3933</v>
      </c>
      <c r="FA489" s="67">
        <v>19867.973000000002</v>
      </c>
      <c r="FB489" s="67" t="s">
        <v>3934</v>
      </c>
      <c r="FC489" s="67" t="s">
        <v>3935</v>
      </c>
      <c r="FD489" s="67" t="s">
        <v>3936</v>
      </c>
      <c r="FE489" s="68" t="s">
        <v>3937</v>
      </c>
      <c r="FF489" s="68" t="s">
        <v>3938</v>
      </c>
    </row>
    <row r="490" spans="151:162" x14ac:dyDescent="0.2">
      <c r="EU490" s="67">
        <v>565.63</v>
      </c>
      <c r="EV490" s="67" t="s">
        <v>3939</v>
      </c>
      <c r="EW490" s="67">
        <v>488.67</v>
      </c>
      <c r="EX490" s="67" t="s">
        <v>3940</v>
      </c>
      <c r="EY490" s="67">
        <v>5631.28</v>
      </c>
      <c r="EZ490" s="67" t="s">
        <v>3941</v>
      </c>
      <c r="FA490" s="67">
        <v>19867.973000000002</v>
      </c>
      <c r="FB490" s="67" t="s">
        <v>3942</v>
      </c>
      <c r="FC490" s="67" t="s">
        <v>3943</v>
      </c>
      <c r="FD490" s="67" t="s">
        <v>3944</v>
      </c>
      <c r="FE490" s="68" t="s">
        <v>3945</v>
      </c>
      <c r="FF490" s="68" t="s">
        <v>3946</v>
      </c>
    </row>
    <row r="491" spans="151:162" x14ac:dyDescent="0.2">
      <c r="EU491" s="67">
        <v>565.58000000000004</v>
      </c>
      <c r="EV491" s="67" t="s">
        <v>3947</v>
      </c>
      <c r="EW491" s="67">
        <v>488.6</v>
      </c>
      <c r="EX491" s="67" t="s">
        <v>3948</v>
      </c>
      <c r="EY491" s="67">
        <v>5631.28</v>
      </c>
      <c r="EZ491" s="67" t="s">
        <v>3949</v>
      </c>
      <c r="FA491" s="67">
        <v>19867.973000000002</v>
      </c>
      <c r="FB491" s="67" t="s">
        <v>3950</v>
      </c>
      <c r="FC491" s="67" t="s">
        <v>3951</v>
      </c>
      <c r="FD491" s="67" t="s">
        <v>3952</v>
      </c>
      <c r="FE491" s="68" t="s">
        <v>3953</v>
      </c>
      <c r="FF491" s="68" t="s">
        <v>3954</v>
      </c>
    </row>
    <row r="492" spans="151:162" x14ac:dyDescent="0.2">
      <c r="EU492" s="67">
        <v>565.80999999999995</v>
      </c>
      <c r="EV492" s="67" t="s">
        <v>3955</v>
      </c>
      <c r="EW492" s="67">
        <v>488.78</v>
      </c>
      <c r="EX492" s="67" t="s">
        <v>3956</v>
      </c>
      <c r="EY492" s="67">
        <v>5631.28</v>
      </c>
      <c r="EZ492" s="67" t="s">
        <v>3957</v>
      </c>
      <c r="FA492" s="67">
        <v>19867.973000000002</v>
      </c>
      <c r="FB492" s="67" t="s">
        <v>3958</v>
      </c>
      <c r="FC492" s="67" t="s">
        <v>3959</v>
      </c>
      <c r="FD492" s="67" t="s">
        <v>3960</v>
      </c>
      <c r="FE492" s="68" t="s">
        <v>3961</v>
      </c>
      <c r="FF492" s="68" t="s">
        <v>3962</v>
      </c>
    </row>
    <row r="493" spans="151:162" x14ac:dyDescent="0.2">
      <c r="EU493" s="67">
        <v>565.71</v>
      </c>
      <c r="EV493" s="67" t="s">
        <v>3963</v>
      </c>
      <c r="EW493" s="67">
        <v>488.64</v>
      </c>
      <c r="EX493" s="67" t="s">
        <v>3964</v>
      </c>
      <c r="EY493" s="67">
        <v>5631.28</v>
      </c>
      <c r="EZ493" s="67" t="s">
        <v>3965</v>
      </c>
      <c r="FA493" s="67">
        <v>19867.973000000002</v>
      </c>
      <c r="FB493" s="67" t="s">
        <v>3966</v>
      </c>
      <c r="FC493" s="67" t="s">
        <v>3967</v>
      </c>
      <c r="FD493" s="67" t="s">
        <v>3968</v>
      </c>
      <c r="FE493" s="68" t="s">
        <v>3969</v>
      </c>
      <c r="FF493" s="68" t="s">
        <v>3970</v>
      </c>
    </row>
    <row r="494" spans="151:162" x14ac:dyDescent="0.2">
      <c r="EU494" s="67">
        <v>565.74</v>
      </c>
      <c r="EV494" s="67" t="s">
        <v>3971</v>
      </c>
      <c r="EW494" s="67">
        <v>488.72</v>
      </c>
      <c r="EX494" s="67" t="s">
        <v>3972</v>
      </c>
      <c r="EY494" s="67">
        <v>5631.28</v>
      </c>
      <c r="EZ494" s="67" t="s">
        <v>3973</v>
      </c>
      <c r="FA494" s="67">
        <v>19867.973000000002</v>
      </c>
      <c r="FB494" s="67" t="s">
        <v>3974</v>
      </c>
      <c r="FC494" s="67" t="s">
        <v>3975</v>
      </c>
      <c r="FD494" s="67" t="s">
        <v>3976</v>
      </c>
      <c r="FE494" s="68" t="s">
        <v>3977</v>
      </c>
      <c r="FF494" s="68" t="s">
        <v>3978</v>
      </c>
    </row>
    <row r="495" spans="151:162" x14ac:dyDescent="0.2">
      <c r="EU495" s="67">
        <v>565.79999999999995</v>
      </c>
      <c r="EV495" s="67" t="s">
        <v>3979</v>
      </c>
      <c r="EW495" s="67">
        <v>488.76</v>
      </c>
      <c r="EX495" s="67" t="s">
        <v>3980</v>
      </c>
      <c r="EY495" s="67">
        <v>5631.28</v>
      </c>
      <c r="EZ495" s="67" t="s">
        <v>3981</v>
      </c>
      <c r="FA495" s="67">
        <v>19867.973000000002</v>
      </c>
      <c r="FB495" s="67" t="s">
        <v>3982</v>
      </c>
      <c r="FC495" s="67" t="s">
        <v>3983</v>
      </c>
      <c r="FD495" s="67" t="s">
        <v>3984</v>
      </c>
      <c r="FE495" s="68" t="s">
        <v>3985</v>
      </c>
      <c r="FF495" s="68" t="s">
        <v>3986</v>
      </c>
    </row>
    <row r="496" spans="151:162" x14ac:dyDescent="0.2">
      <c r="EU496" s="67">
        <v>565.70000000000005</v>
      </c>
      <c r="EV496" s="67" t="s">
        <v>3987</v>
      </c>
      <c r="EW496" s="67">
        <v>488.65</v>
      </c>
      <c r="EX496" s="67" t="s">
        <v>3988</v>
      </c>
      <c r="EY496" s="67">
        <v>5631.28</v>
      </c>
      <c r="EZ496" s="67" t="s">
        <v>3989</v>
      </c>
      <c r="FA496" s="67">
        <v>19867.973000000002</v>
      </c>
      <c r="FB496" s="67" t="s">
        <v>3990</v>
      </c>
      <c r="FC496" s="67" t="s">
        <v>3991</v>
      </c>
      <c r="FD496" s="67" t="s">
        <v>3992</v>
      </c>
      <c r="FE496" s="68" t="s">
        <v>3993</v>
      </c>
      <c r="FF496" s="68" t="s">
        <v>3994</v>
      </c>
    </row>
    <row r="497" spans="151:162" x14ac:dyDescent="0.2">
      <c r="EU497" s="67">
        <v>565.70000000000005</v>
      </c>
      <c r="EV497" s="67" t="s">
        <v>3995</v>
      </c>
      <c r="EW497" s="67">
        <v>488.75</v>
      </c>
      <c r="EX497" s="67" t="s">
        <v>3996</v>
      </c>
      <c r="EY497" s="67">
        <v>5631.28</v>
      </c>
      <c r="EZ497" s="67" t="s">
        <v>3997</v>
      </c>
      <c r="FA497" s="67">
        <v>19867.973000000002</v>
      </c>
      <c r="FB497" s="67" t="s">
        <v>3998</v>
      </c>
      <c r="FC497" s="67" t="s">
        <v>3999</v>
      </c>
      <c r="FD497" s="67" t="s">
        <v>4000</v>
      </c>
      <c r="FE497" s="68" t="s">
        <v>4001</v>
      </c>
      <c r="FF497" s="68" t="s">
        <v>4002</v>
      </c>
    </row>
    <row r="498" spans="151:162" x14ac:dyDescent="0.2">
      <c r="EU498" s="67">
        <v>565.79</v>
      </c>
      <c r="EV498" s="67" t="s">
        <v>4003</v>
      </c>
      <c r="EW498" s="67">
        <v>488.81</v>
      </c>
      <c r="EX498" s="67" t="s">
        <v>4004</v>
      </c>
      <c r="EY498" s="67">
        <v>5631.28</v>
      </c>
      <c r="EZ498" s="67" t="s">
        <v>4005</v>
      </c>
      <c r="FA498" s="67">
        <v>19867.973000000002</v>
      </c>
      <c r="FB498" s="67" t="s">
        <v>4006</v>
      </c>
      <c r="FC498" s="67" t="s">
        <v>4007</v>
      </c>
      <c r="FD498" s="67" t="s">
        <v>4008</v>
      </c>
      <c r="FE498" s="68" t="s">
        <v>4009</v>
      </c>
      <c r="FF498" s="68" t="s">
        <v>4010</v>
      </c>
    </row>
    <row r="499" spans="151:162" x14ac:dyDescent="0.2">
      <c r="EU499" s="67">
        <v>565.73</v>
      </c>
      <c r="EV499" s="67" t="s">
        <v>4011</v>
      </c>
      <c r="EW499" s="67">
        <v>488.8</v>
      </c>
      <c r="EX499" s="67" t="s">
        <v>4012</v>
      </c>
      <c r="EY499" s="67">
        <v>5631.28</v>
      </c>
      <c r="EZ499" s="67" t="s">
        <v>4013</v>
      </c>
      <c r="FA499" s="67">
        <v>19867.973000000002</v>
      </c>
      <c r="FB499" s="67" t="s">
        <v>4014</v>
      </c>
      <c r="FC499" s="67" t="s">
        <v>4015</v>
      </c>
      <c r="FD499" s="67" t="s">
        <v>4016</v>
      </c>
      <c r="FE499" s="68" t="s">
        <v>4017</v>
      </c>
      <c r="FF499" s="68" t="s">
        <v>4018</v>
      </c>
    </row>
    <row r="500" spans="151:162" x14ac:dyDescent="0.2">
      <c r="EU500" s="67">
        <v>565.76</v>
      </c>
      <c r="EV500" s="67" t="s">
        <v>4019</v>
      </c>
      <c r="EW500" s="67">
        <v>488.82</v>
      </c>
      <c r="EX500" s="67" t="s">
        <v>4020</v>
      </c>
      <c r="EY500" s="67">
        <v>5631.28</v>
      </c>
      <c r="EZ500" s="67" t="s">
        <v>4021</v>
      </c>
      <c r="FA500" s="67">
        <v>19867.973000000002</v>
      </c>
      <c r="FB500" s="67" t="s">
        <v>4022</v>
      </c>
      <c r="FC500" s="67" t="s">
        <v>4023</v>
      </c>
      <c r="FD500" s="67" t="s">
        <v>4024</v>
      </c>
      <c r="FE500" s="68" t="s">
        <v>4025</v>
      </c>
      <c r="FF500" s="68" t="s">
        <v>4026</v>
      </c>
    </row>
    <row r="501" spans="151:162" x14ac:dyDescent="0.2">
      <c r="EU501" s="67">
        <v>565.94000000000005</v>
      </c>
      <c r="EV501" s="67" t="s">
        <v>4027</v>
      </c>
      <c r="EW501" s="67">
        <v>489.03</v>
      </c>
      <c r="EX501" s="67" t="s">
        <v>4028</v>
      </c>
      <c r="EY501" s="67">
        <v>5631.28</v>
      </c>
      <c r="EZ501" s="67" t="s">
        <v>4029</v>
      </c>
      <c r="FA501" s="67">
        <v>19867.973000000002</v>
      </c>
      <c r="FB501" s="67" t="s">
        <v>4030</v>
      </c>
      <c r="FC501" s="67" t="s">
        <v>4031</v>
      </c>
      <c r="FD501" s="67" t="s">
        <v>4032</v>
      </c>
      <c r="FE501" s="68" t="s">
        <v>4033</v>
      </c>
      <c r="FF501" s="68" t="s">
        <v>4034</v>
      </c>
    </row>
    <row r="502" spans="151:162" x14ac:dyDescent="0.2">
      <c r="EU502" s="67">
        <v>565.85</v>
      </c>
      <c r="EV502" s="67" t="s">
        <v>4035</v>
      </c>
      <c r="EW502" s="67">
        <v>488.91</v>
      </c>
      <c r="EX502" s="67" t="s">
        <v>4036</v>
      </c>
      <c r="EY502" s="67">
        <v>5631.28</v>
      </c>
      <c r="EZ502" s="67" t="s">
        <v>4037</v>
      </c>
      <c r="FA502" s="67">
        <v>19867.973000000002</v>
      </c>
      <c r="FB502" s="67" t="s">
        <v>4038</v>
      </c>
      <c r="FC502" s="67" t="s">
        <v>4039</v>
      </c>
      <c r="FD502" s="67" t="s">
        <v>4040</v>
      </c>
      <c r="FE502" s="68" t="s">
        <v>4041</v>
      </c>
      <c r="FF502" s="68" t="s">
        <v>4042</v>
      </c>
    </row>
    <row r="503" spans="151:162" x14ac:dyDescent="0.2">
      <c r="EU503" s="67">
        <v>565.85</v>
      </c>
      <c r="EV503" s="67" t="s">
        <v>4043</v>
      </c>
      <c r="EW503" s="67">
        <v>488.85</v>
      </c>
      <c r="EX503" s="67" t="s">
        <v>4044</v>
      </c>
      <c r="EY503" s="67">
        <v>5631.28</v>
      </c>
      <c r="EZ503" s="67" t="s">
        <v>4045</v>
      </c>
      <c r="FA503" s="67">
        <v>19867.973000000002</v>
      </c>
      <c r="FB503" s="67" t="s">
        <v>4046</v>
      </c>
      <c r="FC503" s="67" t="s">
        <v>4047</v>
      </c>
      <c r="FD503" s="67" t="s">
        <v>4048</v>
      </c>
      <c r="FE503" s="68" t="s">
        <v>4049</v>
      </c>
      <c r="FF503" s="68" t="s">
        <v>4050</v>
      </c>
    </row>
    <row r="504" spans="151:162" x14ac:dyDescent="0.2">
      <c r="EU504" s="67">
        <v>565.98</v>
      </c>
      <c r="EV504" s="67" t="s">
        <v>4051</v>
      </c>
      <c r="EW504" s="67">
        <v>489.07</v>
      </c>
      <c r="EX504" s="67" t="s">
        <v>4052</v>
      </c>
      <c r="EY504" s="67">
        <v>5631.28</v>
      </c>
      <c r="EZ504" s="67" t="s">
        <v>4053</v>
      </c>
      <c r="FA504" s="67">
        <v>19867.973000000002</v>
      </c>
      <c r="FB504" s="67" t="s">
        <v>4054</v>
      </c>
      <c r="FC504" s="67" t="s">
        <v>4055</v>
      </c>
      <c r="FD504" s="67" t="s">
        <v>4056</v>
      </c>
      <c r="FE504" s="68" t="s">
        <v>4057</v>
      </c>
      <c r="FF504" s="68" t="s">
        <v>4058</v>
      </c>
    </row>
    <row r="505" spans="151:162" x14ac:dyDescent="0.2">
      <c r="EU505" s="67">
        <v>566.02</v>
      </c>
      <c r="EV505" s="67" t="s">
        <v>4059</v>
      </c>
      <c r="EW505" s="67">
        <v>489.03</v>
      </c>
      <c r="EX505" s="67" t="s">
        <v>4060</v>
      </c>
      <c r="EY505" s="67">
        <v>5631.28</v>
      </c>
      <c r="EZ505" s="67" t="s">
        <v>4061</v>
      </c>
      <c r="FA505" s="67">
        <v>19867.973000000002</v>
      </c>
      <c r="FB505" s="67" t="s">
        <v>4062</v>
      </c>
      <c r="FC505" s="67" t="s">
        <v>4063</v>
      </c>
      <c r="FD505" s="67" t="s">
        <v>4064</v>
      </c>
      <c r="FE505" s="68" t="s">
        <v>4065</v>
      </c>
      <c r="FF505" s="68" t="s">
        <v>4066</v>
      </c>
    </row>
    <row r="506" spans="151:162" x14ac:dyDescent="0.2">
      <c r="EU506" s="67">
        <v>565.88</v>
      </c>
      <c r="EV506" s="67" t="s">
        <v>4067</v>
      </c>
      <c r="EW506" s="67">
        <v>488.87</v>
      </c>
      <c r="EX506" s="67" t="s">
        <v>4068</v>
      </c>
      <c r="EY506" s="67">
        <v>5631.28</v>
      </c>
      <c r="EZ506" s="67" t="s">
        <v>4069</v>
      </c>
      <c r="FA506" s="67">
        <v>19867.973000000002</v>
      </c>
      <c r="FB506" s="67" t="s">
        <v>4070</v>
      </c>
      <c r="FC506" s="67" t="s">
        <v>4071</v>
      </c>
      <c r="FD506" s="67" t="s">
        <v>4072</v>
      </c>
      <c r="FE506" s="68" t="s">
        <v>4073</v>
      </c>
      <c r="FF506" s="68" t="s">
        <v>4074</v>
      </c>
    </row>
    <row r="507" spans="151:162" x14ac:dyDescent="0.2">
      <c r="EU507" s="67">
        <v>565.95000000000005</v>
      </c>
      <c r="EV507" s="67" t="s">
        <v>4075</v>
      </c>
      <c r="EW507" s="67">
        <v>488.91</v>
      </c>
      <c r="EX507" s="67" t="s">
        <v>4076</v>
      </c>
      <c r="EY507" s="67">
        <v>5631.28</v>
      </c>
      <c r="EZ507" s="67" t="s">
        <v>4077</v>
      </c>
      <c r="FA507" s="67">
        <v>19867.973000000002</v>
      </c>
      <c r="FB507" s="67" t="s">
        <v>4078</v>
      </c>
      <c r="FC507" s="67" t="s">
        <v>4079</v>
      </c>
      <c r="FD507" s="67" t="s">
        <v>4080</v>
      </c>
      <c r="FE507" s="68" t="s">
        <v>4081</v>
      </c>
      <c r="FF507" s="68" t="s">
        <v>4082</v>
      </c>
    </row>
    <row r="508" spans="151:162" x14ac:dyDescent="0.2">
      <c r="EU508" s="67">
        <v>566.02</v>
      </c>
      <c r="EV508" s="67" t="s">
        <v>4083</v>
      </c>
      <c r="EW508" s="67">
        <v>489.03</v>
      </c>
      <c r="EX508" s="67" t="s">
        <v>4084</v>
      </c>
      <c r="EY508" s="67">
        <v>5631.28</v>
      </c>
      <c r="EZ508" s="67" t="s">
        <v>4085</v>
      </c>
      <c r="FA508" s="67">
        <v>19867.973000000002</v>
      </c>
      <c r="FB508" s="67" t="s">
        <v>4086</v>
      </c>
      <c r="FC508" s="67" t="s">
        <v>4087</v>
      </c>
      <c r="FD508" s="67" t="s">
        <v>4088</v>
      </c>
      <c r="FE508" s="68" t="s">
        <v>4089</v>
      </c>
      <c r="FF508" s="68" t="s">
        <v>4090</v>
      </c>
    </row>
    <row r="509" spans="151:162" x14ac:dyDescent="0.2">
      <c r="EU509" s="67">
        <v>566.11</v>
      </c>
      <c r="EV509" s="67" t="s">
        <v>4091</v>
      </c>
      <c r="EW509" s="67">
        <v>489.07</v>
      </c>
      <c r="EX509" s="67" t="s">
        <v>4092</v>
      </c>
      <c r="EY509" s="67">
        <v>5631.28</v>
      </c>
      <c r="EZ509" s="67" t="s">
        <v>4093</v>
      </c>
      <c r="FA509" s="67">
        <v>19867.973000000002</v>
      </c>
      <c r="FB509" s="67" t="s">
        <v>4094</v>
      </c>
      <c r="FC509" s="67" t="s">
        <v>4095</v>
      </c>
      <c r="FD509" s="67" t="s">
        <v>4096</v>
      </c>
      <c r="FE509" s="68" t="s">
        <v>4097</v>
      </c>
      <c r="FF509" s="68" t="s">
        <v>4098</v>
      </c>
    </row>
    <row r="510" spans="151:162" x14ac:dyDescent="0.2">
      <c r="EU510" s="67">
        <v>565.94000000000005</v>
      </c>
      <c r="EV510" s="67" t="s">
        <v>4099</v>
      </c>
      <c r="EW510" s="67">
        <v>488.87</v>
      </c>
      <c r="EX510" s="67" t="s">
        <v>4100</v>
      </c>
      <c r="EY510" s="67">
        <v>5631.28</v>
      </c>
      <c r="EZ510" s="67" t="s">
        <v>4101</v>
      </c>
      <c r="FA510" s="67">
        <v>19867.973000000002</v>
      </c>
      <c r="FB510" s="67" t="s">
        <v>4102</v>
      </c>
      <c r="FC510" s="67" t="s">
        <v>4103</v>
      </c>
      <c r="FD510" s="67" t="s">
        <v>4104</v>
      </c>
      <c r="FE510" s="68" t="s">
        <v>4105</v>
      </c>
      <c r="FF510" s="68" t="s">
        <v>4106</v>
      </c>
    </row>
    <row r="511" spans="151:162" x14ac:dyDescent="0.2">
      <c r="EU511" s="67">
        <v>566.03</v>
      </c>
      <c r="EV511" s="67" t="s">
        <v>4107</v>
      </c>
      <c r="EW511" s="67">
        <v>488.88</v>
      </c>
      <c r="EX511" s="67" t="s">
        <v>4108</v>
      </c>
      <c r="EY511" s="67">
        <v>5631.28</v>
      </c>
      <c r="EZ511" s="67" t="s">
        <v>4109</v>
      </c>
      <c r="FA511" s="67">
        <v>19867.973000000002</v>
      </c>
      <c r="FB511" s="67" t="s">
        <v>4110</v>
      </c>
      <c r="FC511" s="67" t="s">
        <v>4111</v>
      </c>
      <c r="FD511" s="67" t="s">
        <v>4112</v>
      </c>
      <c r="FE511" s="68" t="s">
        <v>4113</v>
      </c>
      <c r="FF511" s="68" t="s">
        <v>4114</v>
      </c>
    </row>
    <row r="512" spans="151:162" x14ac:dyDescent="0.2">
      <c r="EU512" s="67">
        <v>565.86</v>
      </c>
      <c r="EV512" s="67" t="s">
        <v>4115</v>
      </c>
      <c r="EW512" s="67">
        <v>488.8</v>
      </c>
      <c r="EX512" s="67" t="s">
        <v>4116</v>
      </c>
      <c r="EY512" s="67">
        <v>5631.28</v>
      </c>
      <c r="EZ512" s="67" t="s">
        <v>4117</v>
      </c>
      <c r="FA512" s="67">
        <v>19867.973000000002</v>
      </c>
      <c r="FB512" s="67" t="s">
        <v>4118</v>
      </c>
      <c r="FC512" s="67" t="s">
        <v>4119</v>
      </c>
      <c r="FD512" s="67" t="s">
        <v>4120</v>
      </c>
      <c r="FE512" s="68" t="s">
        <v>4121</v>
      </c>
      <c r="FF512" s="68" t="s">
        <v>4122</v>
      </c>
    </row>
    <row r="513" spans="151:162" x14ac:dyDescent="0.2">
      <c r="EU513" s="67">
        <v>565.80999999999995</v>
      </c>
      <c r="EV513" s="67" t="s">
        <v>4123</v>
      </c>
      <c r="EW513" s="67">
        <v>488.69</v>
      </c>
      <c r="EX513" s="67" t="s">
        <v>4124</v>
      </c>
      <c r="EY513" s="67">
        <v>5631.28</v>
      </c>
      <c r="EZ513" s="67" t="s">
        <v>4125</v>
      </c>
      <c r="FA513" s="67">
        <v>19867.973000000002</v>
      </c>
      <c r="FB513" s="67" t="s">
        <v>4126</v>
      </c>
      <c r="FC513" s="67" t="s">
        <v>4127</v>
      </c>
      <c r="FD513" s="67" t="s">
        <v>4128</v>
      </c>
      <c r="FE513" s="68" t="s">
        <v>4129</v>
      </c>
      <c r="FF513" s="68" t="s">
        <v>4130</v>
      </c>
    </row>
    <row r="514" spans="151:162" x14ac:dyDescent="0.2">
      <c r="EU514" s="67">
        <v>565.74</v>
      </c>
      <c r="EV514" s="67" t="s">
        <v>4131</v>
      </c>
      <c r="EW514" s="67">
        <v>488.66</v>
      </c>
      <c r="EX514" s="67" t="s">
        <v>4132</v>
      </c>
      <c r="EY514" s="67">
        <v>5631.28</v>
      </c>
      <c r="EZ514" s="67" t="s">
        <v>4133</v>
      </c>
      <c r="FA514" s="67">
        <v>19867.973000000002</v>
      </c>
      <c r="FB514" s="67" t="s">
        <v>4134</v>
      </c>
      <c r="FC514" s="67" t="s">
        <v>4135</v>
      </c>
      <c r="FD514" s="67" t="s">
        <v>4136</v>
      </c>
      <c r="FE514" s="68" t="s">
        <v>4137</v>
      </c>
      <c r="FF514" s="68" t="s">
        <v>4138</v>
      </c>
    </row>
    <row r="515" spans="151:162" x14ac:dyDescent="0.2">
      <c r="EU515" s="67">
        <v>565.79</v>
      </c>
      <c r="EV515" s="67" t="s">
        <v>4139</v>
      </c>
      <c r="EW515" s="67">
        <v>488.67</v>
      </c>
      <c r="EX515" s="67" t="s">
        <v>4140</v>
      </c>
      <c r="EY515" s="67">
        <v>5631.28</v>
      </c>
      <c r="EZ515" s="67" t="s">
        <v>4141</v>
      </c>
      <c r="FA515" s="67">
        <v>19867.973000000002</v>
      </c>
      <c r="FB515" s="67" t="s">
        <v>4142</v>
      </c>
      <c r="FC515" s="67" t="s">
        <v>4143</v>
      </c>
      <c r="FD515" s="67" t="s">
        <v>4144</v>
      </c>
      <c r="FE515" s="68" t="s">
        <v>4145</v>
      </c>
      <c r="FF515" s="68" t="s">
        <v>4146</v>
      </c>
    </row>
    <row r="516" spans="151:162" x14ac:dyDescent="0.2">
      <c r="EU516" s="67">
        <v>565.75</v>
      </c>
      <c r="EV516" s="67" t="s">
        <v>4147</v>
      </c>
      <c r="EW516" s="67">
        <v>488.62</v>
      </c>
      <c r="EX516" s="67" t="s">
        <v>4148</v>
      </c>
      <c r="EY516" s="67">
        <v>5631.28</v>
      </c>
      <c r="EZ516" s="67" t="s">
        <v>4149</v>
      </c>
      <c r="FA516" s="67">
        <v>19867.973000000002</v>
      </c>
      <c r="FB516" s="67" t="s">
        <v>4150</v>
      </c>
      <c r="FC516" s="67" t="s">
        <v>4151</v>
      </c>
      <c r="FD516" s="67" t="s">
        <v>4152</v>
      </c>
      <c r="FE516" s="68" t="s">
        <v>4153</v>
      </c>
      <c r="FF516" s="68" t="s">
        <v>4154</v>
      </c>
    </row>
    <row r="517" spans="151:162" x14ac:dyDescent="0.2">
      <c r="EU517" s="67">
        <v>565.70000000000005</v>
      </c>
      <c r="EV517" s="67" t="s">
        <v>4155</v>
      </c>
      <c r="EW517" s="67">
        <v>488.52</v>
      </c>
      <c r="EX517" s="67" t="s">
        <v>4156</v>
      </c>
      <c r="EY517" s="67">
        <v>5631.28</v>
      </c>
      <c r="EZ517" s="67" t="s">
        <v>4157</v>
      </c>
      <c r="FA517" s="67">
        <v>19867.973000000002</v>
      </c>
      <c r="FB517" s="67" t="s">
        <v>4158</v>
      </c>
      <c r="FC517" s="67" t="s">
        <v>4159</v>
      </c>
      <c r="FD517" s="67" t="s">
        <v>4160</v>
      </c>
      <c r="FE517" s="68" t="s">
        <v>4161</v>
      </c>
      <c r="FF517" s="68" t="s">
        <v>4162</v>
      </c>
    </row>
    <row r="518" spans="151:162" x14ac:dyDescent="0.2">
      <c r="EU518" s="67">
        <v>565.70000000000005</v>
      </c>
      <c r="EV518" s="67" t="s">
        <v>4163</v>
      </c>
      <c r="EW518" s="67">
        <v>488.56</v>
      </c>
      <c r="EX518" s="67" t="s">
        <v>4164</v>
      </c>
      <c r="EY518" s="67">
        <v>5631.28</v>
      </c>
      <c r="EZ518" s="67" t="s">
        <v>4165</v>
      </c>
      <c r="FA518" s="67">
        <v>19867.973000000002</v>
      </c>
      <c r="FB518" s="67" t="s">
        <v>4166</v>
      </c>
      <c r="FC518" s="67" t="s">
        <v>4167</v>
      </c>
      <c r="FD518" s="67" t="s">
        <v>4168</v>
      </c>
      <c r="FE518" s="68" t="s">
        <v>4169</v>
      </c>
      <c r="FF518" s="68" t="s">
        <v>4170</v>
      </c>
    </row>
    <row r="519" spans="151:162" x14ac:dyDescent="0.2">
      <c r="EU519" s="67">
        <v>565.71</v>
      </c>
      <c r="EV519" s="67" t="s">
        <v>4171</v>
      </c>
      <c r="EW519" s="67">
        <v>488.62</v>
      </c>
      <c r="EX519" s="67" t="s">
        <v>4172</v>
      </c>
      <c r="EY519" s="67">
        <v>5631.28</v>
      </c>
      <c r="EZ519" s="67" t="s">
        <v>4173</v>
      </c>
      <c r="FA519" s="67">
        <v>19867.973000000002</v>
      </c>
      <c r="FB519" s="67" t="s">
        <v>4174</v>
      </c>
      <c r="FC519" s="67" t="s">
        <v>4175</v>
      </c>
      <c r="FD519" s="67" t="s">
        <v>4176</v>
      </c>
      <c r="FE519" s="68" t="s">
        <v>4177</v>
      </c>
      <c r="FF519" s="68" t="s">
        <v>4178</v>
      </c>
    </row>
    <row r="520" spans="151:162" x14ac:dyDescent="0.2">
      <c r="EU520" s="67">
        <v>565.79999999999995</v>
      </c>
      <c r="EV520" s="67" t="s">
        <v>4179</v>
      </c>
      <c r="EW520" s="67">
        <v>488.71</v>
      </c>
      <c r="EX520" s="67" t="s">
        <v>4180</v>
      </c>
      <c r="EY520" s="67">
        <v>5631.28</v>
      </c>
      <c r="EZ520" s="67" t="s">
        <v>4181</v>
      </c>
      <c r="FA520" s="67">
        <v>19867.973000000002</v>
      </c>
      <c r="FB520" s="67" t="s">
        <v>4182</v>
      </c>
      <c r="FC520" s="67" t="s">
        <v>4183</v>
      </c>
      <c r="FD520" s="67" t="s">
        <v>4184</v>
      </c>
      <c r="FE520" s="68" t="s">
        <v>4185</v>
      </c>
      <c r="FF520" s="68" t="s">
        <v>4186</v>
      </c>
    </row>
    <row r="521" spans="151:162" x14ac:dyDescent="0.2">
      <c r="EU521" s="67">
        <v>565.91</v>
      </c>
      <c r="EV521" s="67" t="s">
        <v>4187</v>
      </c>
      <c r="EW521" s="67">
        <v>488.84</v>
      </c>
      <c r="EX521" s="67" t="s">
        <v>4188</v>
      </c>
      <c r="EY521" s="67">
        <v>5631.28</v>
      </c>
      <c r="EZ521" s="67" t="s">
        <v>4189</v>
      </c>
      <c r="FA521" s="67">
        <v>19867.973000000002</v>
      </c>
      <c r="FB521" s="67" t="s">
        <v>4190</v>
      </c>
      <c r="FC521" s="67" t="s">
        <v>4191</v>
      </c>
      <c r="FD521" s="67" t="s">
        <v>4192</v>
      </c>
      <c r="FE521" s="68" t="s">
        <v>4193</v>
      </c>
      <c r="FF521" s="68" t="s">
        <v>4194</v>
      </c>
    </row>
    <row r="522" spans="151:162" x14ac:dyDescent="0.2">
      <c r="EU522" s="67">
        <v>566.11</v>
      </c>
      <c r="EV522" s="67" t="s">
        <v>4195</v>
      </c>
      <c r="EW522" s="67">
        <v>489.03</v>
      </c>
      <c r="EX522" s="67" t="s">
        <v>4196</v>
      </c>
      <c r="EY522" s="67">
        <v>5631.28</v>
      </c>
      <c r="EZ522" s="67" t="s">
        <v>4197</v>
      </c>
      <c r="FA522" s="67">
        <v>19867.973000000002</v>
      </c>
      <c r="FB522" s="67" t="s">
        <v>4198</v>
      </c>
      <c r="FC522" s="67" t="s">
        <v>4199</v>
      </c>
      <c r="FD522" s="67" t="s">
        <v>4200</v>
      </c>
      <c r="FE522" s="68" t="s">
        <v>4201</v>
      </c>
      <c r="FF522" s="68" t="s">
        <v>4202</v>
      </c>
    </row>
    <row r="523" spans="151:162" x14ac:dyDescent="0.2">
      <c r="EU523" s="67">
        <v>565.97</v>
      </c>
      <c r="EV523" s="67" t="s">
        <v>4203</v>
      </c>
      <c r="EW523" s="67">
        <v>488.93</v>
      </c>
      <c r="EX523" s="67" t="s">
        <v>4204</v>
      </c>
      <c r="EY523" s="67">
        <v>5631.28</v>
      </c>
      <c r="EZ523" s="67" t="s">
        <v>4205</v>
      </c>
      <c r="FA523" s="67">
        <v>19867.973000000002</v>
      </c>
      <c r="FB523" s="67" t="s">
        <v>4206</v>
      </c>
      <c r="FC523" s="67" t="s">
        <v>4207</v>
      </c>
      <c r="FD523" s="67" t="s">
        <v>4208</v>
      </c>
      <c r="FE523" s="68" t="s">
        <v>4209</v>
      </c>
      <c r="FF523" s="68" t="s">
        <v>4210</v>
      </c>
    </row>
    <row r="524" spans="151:162" x14ac:dyDescent="0.2">
      <c r="EU524" s="67">
        <v>565.83000000000004</v>
      </c>
      <c r="EV524" s="67" t="s">
        <v>4211</v>
      </c>
      <c r="EW524" s="67">
        <v>488.79</v>
      </c>
      <c r="EX524" s="67" t="s">
        <v>4212</v>
      </c>
      <c r="EY524" s="67">
        <v>5631.28</v>
      </c>
      <c r="EZ524" s="67" t="s">
        <v>4213</v>
      </c>
      <c r="FA524" s="67">
        <v>19867.973000000002</v>
      </c>
      <c r="FB524" s="67" t="s">
        <v>4214</v>
      </c>
      <c r="FC524" s="67" t="s">
        <v>4215</v>
      </c>
      <c r="FD524" s="67" t="s">
        <v>4216</v>
      </c>
      <c r="FE524" s="68" t="s">
        <v>4217</v>
      </c>
      <c r="FF524" s="68" t="s">
        <v>4218</v>
      </c>
    </row>
    <row r="525" spans="151:162" x14ac:dyDescent="0.2">
      <c r="EU525" s="67">
        <v>565.87</v>
      </c>
      <c r="EV525" s="67" t="s">
        <v>4219</v>
      </c>
      <c r="EW525" s="67">
        <v>488.87</v>
      </c>
      <c r="EX525" s="67" t="s">
        <v>4220</v>
      </c>
      <c r="EY525" s="67">
        <v>5631.28</v>
      </c>
      <c r="EZ525" s="67" t="s">
        <v>4221</v>
      </c>
      <c r="FA525" s="67">
        <v>19867.973000000002</v>
      </c>
      <c r="FB525" s="67" t="s">
        <v>4222</v>
      </c>
      <c r="FC525" s="67" t="s">
        <v>4223</v>
      </c>
      <c r="FD525" s="67" t="s">
        <v>4224</v>
      </c>
      <c r="FE525" s="68" t="s">
        <v>4225</v>
      </c>
      <c r="FF525" s="68" t="s">
        <v>4226</v>
      </c>
    </row>
    <row r="526" spans="151:162" x14ac:dyDescent="0.2">
      <c r="EU526" s="67">
        <v>565.82000000000005</v>
      </c>
      <c r="EV526" s="67" t="s">
        <v>4227</v>
      </c>
      <c r="EW526" s="67">
        <v>488.89</v>
      </c>
      <c r="EX526" s="67" t="s">
        <v>4228</v>
      </c>
      <c r="EY526" s="67">
        <v>5631.28</v>
      </c>
      <c r="EZ526" s="67" t="s">
        <v>4229</v>
      </c>
      <c r="FA526" s="67">
        <v>19867.973000000002</v>
      </c>
      <c r="FB526" s="67" t="s">
        <v>4230</v>
      </c>
      <c r="FC526" s="67" t="s">
        <v>4231</v>
      </c>
      <c r="FD526" s="67" t="s">
        <v>4232</v>
      </c>
      <c r="FE526" s="68" t="s">
        <v>4233</v>
      </c>
      <c r="FF526" s="68" t="s">
        <v>4234</v>
      </c>
    </row>
    <row r="527" spans="151:162" x14ac:dyDescent="0.2">
      <c r="EU527" s="67">
        <v>565.84</v>
      </c>
      <c r="EV527" s="67" t="s">
        <v>4235</v>
      </c>
      <c r="EW527" s="67">
        <v>488.89</v>
      </c>
      <c r="EX527" s="67" t="s">
        <v>4236</v>
      </c>
      <c r="EY527" s="67">
        <v>5631.28</v>
      </c>
      <c r="EZ527" s="67" t="s">
        <v>4237</v>
      </c>
      <c r="FA527" s="67">
        <v>19867.973000000002</v>
      </c>
      <c r="FB527" s="67" t="s">
        <v>4238</v>
      </c>
      <c r="FC527" s="67" t="s">
        <v>4239</v>
      </c>
      <c r="FD527" s="67" t="s">
        <v>4240</v>
      </c>
      <c r="FE527" s="68" t="s">
        <v>4241</v>
      </c>
      <c r="FF527" s="68" t="s">
        <v>4242</v>
      </c>
    </row>
    <row r="528" spans="151:162" x14ac:dyDescent="0.2">
      <c r="EU528" s="67">
        <v>565.70000000000005</v>
      </c>
      <c r="EV528" s="67" t="s">
        <v>4243</v>
      </c>
      <c r="EW528" s="67">
        <v>488.71</v>
      </c>
      <c r="EX528" s="67" t="s">
        <v>4244</v>
      </c>
      <c r="EY528" s="67">
        <v>5631.28</v>
      </c>
      <c r="EZ528" s="67" t="s">
        <v>4245</v>
      </c>
      <c r="FA528" s="67">
        <v>19867.973000000002</v>
      </c>
      <c r="FB528" s="67" t="s">
        <v>4246</v>
      </c>
      <c r="FC528" s="67" t="s">
        <v>4247</v>
      </c>
      <c r="FD528" s="67" t="s">
        <v>4248</v>
      </c>
      <c r="FE528" s="68" t="s">
        <v>4249</v>
      </c>
      <c r="FF528" s="68" t="s">
        <v>4250</v>
      </c>
    </row>
    <row r="529" spans="151:162" x14ac:dyDescent="0.2">
      <c r="EU529" s="67">
        <v>565.55999999999995</v>
      </c>
      <c r="EV529" s="67" t="s">
        <v>4251</v>
      </c>
      <c r="EW529" s="67">
        <v>488.61</v>
      </c>
      <c r="EX529" s="67" t="s">
        <v>4252</v>
      </c>
      <c r="EY529" s="67">
        <v>5631.28</v>
      </c>
      <c r="EZ529" s="67" t="s">
        <v>4253</v>
      </c>
      <c r="FA529" s="67">
        <v>19867.973000000002</v>
      </c>
      <c r="FB529" s="67" t="s">
        <v>4254</v>
      </c>
      <c r="FC529" s="67" t="s">
        <v>4255</v>
      </c>
      <c r="FD529" s="67" t="s">
        <v>4256</v>
      </c>
      <c r="FE529" s="68" t="s">
        <v>4257</v>
      </c>
      <c r="FF529" s="68" t="s">
        <v>4258</v>
      </c>
    </row>
    <row r="530" spans="151:162" x14ac:dyDescent="0.2">
      <c r="EU530" s="67">
        <v>565.54999999999995</v>
      </c>
      <c r="EV530" s="67" t="s">
        <v>4259</v>
      </c>
      <c r="EW530" s="67">
        <v>488.61</v>
      </c>
      <c r="EX530" s="67" t="s">
        <v>4260</v>
      </c>
      <c r="EY530" s="67">
        <v>5631.28</v>
      </c>
      <c r="EZ530" s="67" t="s">
        <v>4261</v>
      </c>
      <c r="FA530" s="67">
        <v>19867.973000000002</v>
      </c>
      <c r="FB530" s="67" t="s">
        <v>4262</v>
      </c>
      <c r="FC530" s="67" t="s">
        <v>4263</v>
      </c>
      <c r="FD530" s="67" t="s">
        <v>4264</v>
      </c>
      <c r="FE530" s="68" t="s">
        <v>4265</v>
      </c>
      <c r="FF530" s="68" t="s">
        <v>4266</v>
      </c>
    </row>
    <row r="531" spans="151:162" x14ac:dyDescent="0.2">
      <c r="EU531" s="67">
        <v>565.52</v>
      </c>
      <c r="EV531" s="67" t="s">
        <v>4267</v>
      </c>
      <c r="EW531" s="67">
        <v>488.65</v>
      </c>
      <c r="EX531" s="67" t="s">
        <v>4268</v>
      </c>
      <c r="EY531" s="67">
        <v>5631.28</v>
      </c>
      <c r="EZ531" s="67" t="s">
        <v>4269</v>
      </c>
      <c r="FA531" s="67">
        <v>19867.973000000002</v>
      </c>
      <c r="FB531" s="67" t="s">
        <v>4270</v>
      </c>
      <c r="FC531" s="67" t="s">
        <v>4271</v>
      </c>
      <c r="FD531" s="67" t="s">
        <v>4272</v>
      </c>
      <c r="FE531" s="68" t="s">
        <v>4273</v>
      </c>
      <c r="FF531" s="68" t="s">
        <v>4274</v>
      </c>
    </row>
    <row r="532" spans="151:162" x14ac:dyDescent="0.2">
      <c r="EU532" s="67">
        <v>565.42999999999995</v>
      </c>
      <c r="EV532" s="67" t="s">
        <v>4275</v>
      </c>
      <c r="EW532" s="67">
        <v>488.6</v>
      </c>
      <c r="EX532" s="67" t="s">
        <v>4276</v>
      </c>
      <c r="EY532" s="67">
        <v>5631.28</v>
      </c>
      <c r="EZ532" s="67" t="s">
        <v>4277</v>
      </c>
      <c r="FA532" s="67">
        <v>19867.973000000002</v>
      </c>
      <c r="FB532" s="67" t="s">
        <v>4278</v>
      </c>
      <c r="FC532" s="67" t="s">
        <v>4279</v>
      </c>
      <c r="FD532" s="67" t="s">
        <v>4280</v>
      </c>
      <c r="FE532" s="68" t="s">
        <v>4281</v>
      </c>
      <c r="FF532" s="68" t="s">
        <v>4282</v>
      </c>
    </row>
    <row r="533" spans="151:162" x14ac:dyDescent="0.2">
      <c r="EU533" s="67">
        <v>565.41</v>
      </c>
      <c r="EV533" s="67" t="s">
        <v>4283</v>
      </c>
      <c r="EW533" s="67">
        <v>488.6</v>
      </c>
      <c r="EX533" s="67" t="s">
        <v>4284</v>
      </c>
      <c r="EY533" s="67">
        <v>5631.28</v>
      </c>
      <c r="EZ533" s="67" t="s">
        <v>4285</v>
      </c>
      <c r="FA533" s="67">
        <v>19867.973000000002</v>
      </c>
      <c r="FB533" s="67" t="s">
        <v>4286</v>
      </c>
      <c r="FC533" s="67" t="s">
        <v>4287</v>
      </c>
      <c r="FD533" s="67" t="s">
        <v>4288</v>
      </c>
      <c r="FE533" s="68" t="s">
        <v>4289</v>
      </c>
      <c r="FF533" s="68" t="s">
        <v>4290</v>
      </c>
    </row>
    <row r="534" spans="151:162" x14ac:dyDescent="0.2">
      <c r="EU534" s="67">
        <v>565.37</v>
      </c>
      <c r="EV534" s="67" t="s">
        <v>4291</v>
      </c>
      <c r="EW534" s="67">
        <v>488.5</v>
      </c>
      <c r="EX534" s="67" t="s">
        <v>4292</v>
      </c>
      <c r="EY534" s="67">
        <v>5631.28</v>
      </c>
      <c r="EZ534" s="67" t="s">
        <v>4293</v>
      </c>
      <c r="FA534" s="67">
        <v>19867.973000000002</v>
      </c>
      <c r="FB534" s="67" t="s">
        <v>4294</v>
      </c>
      <c r="FC534" s="67" t="s">
        <v>4295</v>
      </c>
      <c r="FD534" s="67" t="s">
        <v>4296</v>
      </c>
      <c r="FE534" s="68" t="s">
        <v>4297</v>
      </c>
      <c r="FF534" s="68" t="s">
        <v>4298</v>
      </c>
    </row>
    <row r="535" spans="151:162" x14ac:dyDescent="0.2">
      <c r="EU535" s="67">
        <v>565.48</v>
      </c>
      <c r="EV535" s="67" t="s">
        <v>4299</v>
      </c>
      <c r="EW535" s="67">
        <v>488.66</v>
      </c>
      <c r="EX535" s="67" t="s">
        <v>4300</v>
      </c>
      <c r="EY535" s="67">
        <v>5631.28</v>
      </c>
      <c r="EZ535" s="67" t="s">
        <v>4301</v>
      </c>
      <c r="FA535" s="67">
        <v>19867.973000000002</v>
      </c>
      <c r="FB535" s="67" t="s">
        <v>4302</v>
      </c>
      <c r="FC535" s="67" t="s">
        <v>4303</v>
      </c>
      <c r="FD535" s="67" t="s">
        <v>4304</v>
      </c>
      <c r="FE535" s="68" t="s">
        <v>4305</v>
      </c>
      <c r="FF535" s="68" t="s">
        <v>4306</v>
      </c>
    </row>
    <row r="536" spans="151:162" x14ac:dyDescent="0.2">
      <c r="EU536" s="67">
        <v>565.53</v>
      </c>
      <c r="EV536" s="67" t="s">
        <v>4307</v>
      </c>
      <c r="EW536" s="67">
        <v>488.72</v>
      </c>
      <c r="EX536" s="67" t="s">
        <v>4308</v>
      </c>
      <c r="EY536" s="67">
        <v>5631.28</v>
      </c>
      <c r="EZ536" s="67" t="s">
        <v>4309</v>
      </c>
      <c r="FA536" s="67">
        <v>19867.973000000002</v>
      </c>
      <c r="FB536" s="67" t="s">
        <v>4310</v>
      </c>
      <c r="FC536" s="67" t="s">
        <v>4311</v>
      </c>
      <c r="FD536" s="67" t="s">
        <v>4312</v>
      </c>
      <c r="FE536" s="68" t="s">
        <v>4313</v>
      </c>
      <c r="FF536" s="68" t="s">
        <v>4314</v>
      </c>
    </row>
    <row r="537" spans="151:162" x14ac:dyDescent="0.2">
      <c r="EU537" s="67">
        <v>565.5</v>
      </c>
      <c r="EV537" s="67" t="s">
        <v>4315</v>
      </c>
      <c r="EW537" s="67">
        <v>488.7</v>
      </c>
      <c r="EX537" s="67" t="s">
        <v>4316</v>
      </c>
      <c r="EY537" s="67">
        <v>5631.28</v>
      </c>
      <c r="EZ537" s="67" t="s">
        <v>4317</v>
      </c>
      <c r="FA537" s="67">
        <v>19867.973000000002</v>
      </c>
      <c r="FB537" s="67" t="s">
        <v>4318</v>
      </c>
      <c r="FC537" s="67" t="s">
        <v>4319</v>
      </c>
      <c r="FD537" s="67" t="s">
        <v>4320</v>
      </c>
      <c r="FE537" s="68" t="s">
        <v>4321</v>
      </c>
      <c r="FF537" s="68" t="s">
        <v>4322</v>
      </c>
    </row>
    <row r="538" spans="151:162" x14ac:dyDescent="0.2">
      <c r="EU538" s="67">
        <v>565.53</v>
      </c>
      <c r="EV538" s="67" t="s">
        <v>4323</v>
      </c>
      <c r="EW538" s="67">
        <v>488.77</v>
      </c>
      <c r="EX538" s="67" t="s">
        <v>4324</v>
      </c>
      <c r="EY538" s="67">
        <v>5631.28</v>
      </c>
      <c r="EZ538" s="67" t="s">
        <v>4325</v>
      </c>
      <c r="FA538" s="67">
        <v>19867.973000000002</v>
      </c>
      <c r="FB538" s="67" t="s">
        <v>4326</v>
      </c>
      <c r="FC538" s="67" t="s">
        <v>4327</v>
      </c>
      <c r="FD538" s="67" t="s">
        <v>4328</v>
      </c>
      <c r="FE538" s="68" t="s">
        <v>4329</v>
      </c>
      <c r="FF538" s="68" t="s">
        <v>4330</v>
      </c>
    </row>
    <row r="539" spans="151:162" x14ac:dyDescent="0.2">
      <c r="EU539" s="67">
        <v>565.59</v>
      </c>
      <c r="EV539" s="67" t="s">
        <v>4331</v>
      </c>
      <c r="EW539" s="67">
        <v>488.76</v>
      </c>
      <c r="EX539" s="67" t="s">
        <v>4332</v>
      </c>
      <c r="EY539" s="67">
        <v>5631.28</v>
      </c>
      <c r="EZ539" s="67" t="s">
        <v>4333</v>
      </c>
      <c r="FA539" s="67">
        <v>19867.973000000002</v>
      </c>
      <c r="FB539" s="67" t="s">
        <v>4334</v>
      </c>
      <c r="FC539" s="67" t="s">
        <v>4335</v>
      </c>
      <c r="FD539" s="67" t="s">
        <v>4336</v>
      </c>
      <c r="FE539" s="68" t="s">
        <v>4337</v>
      </c>
      <c r="FF539" s="68" t="s">
        <v>4338</v>
      </c>
    </row>
    <row r="540" spans="151:162" x14ac:dyDescent="0.2">
      <c r="EU540" s="67">
        <v>565.5</v>
      </c>
      <c r="EV540" s="67" t="s">
        <v>4339</v>
      </c>
      <c r="EW540" s="67">
        <v>488.78</v>
      </c>
      <c r="EX540" s="67" t="s">
        <v>4340</v>
      </c>
      <c r="EY540" s="67">
        <v>5631.28</v>
      </c>
      <c r="EZ540" s="67" t="s">
        <v>4341</v>
      </c>
      <c r="FA540" s="67">
        <v>19867.973000000002</v>
      </c>
      <c r="FB540" s="67" t="s">
        <v>4342</v>
      </c>
      <c r="FC540" s="67" t="s">
        <v>4343</v>
      </c>
      <c r="FD540" s="67" t="s">
        <v>4344</v>
      </c>
      <c r="FE540" s="68" t="s">
        <v>4345</v>
      </c>
      <c r="FF540" s="68" t="s">
        <v>4346</v>
      </c>
    </row>
    <row r="541" spans="151:162" x14ac:dyDescent="0.2">
      <c r="EU541" s="67">
        <v>565.41</v>
      </c>
      <c r="EV541" s="67" t="s">
        <v>4347</v>
      </c>
      <c r="EW541" s="67">
        <v>488.54</v>
      </c>
      <c r="EX541" s="67" t="s">
        <v>4348</v>
      </c>
      <c r="EY541" s="67">
        <v>5631.28</v>
      </c>
      <c r="EZ541" s="67" t="s">
        <v>4349</v>
      </c>
      <c r="FA541" s="67">
        <v>19867.973000000002</v>
      </c>
      <c r="FB541" s="67" t="s">
        <v>4350</v>
      </c>
      <c r="FC541" s="67" t="s">
        <v>4351</v>
      </c>
      <c r="FD541" s="67" t="s">
        <v>4352</v>
      </c>
      <c r="FE541" s="68" t="s">
        <v>4353</v>
      </c>
      <c r="FF541" s="68" t="s">
        <v>4354</v>
      </c>
    </row>
    <row r="542" spans="151:162" x14ac:dyDescent="0.2">
      <c r="EU542" s="67">
        <v>565.46</v>
      </c>
      <c r="EV542" s="67" t="s">
        <v>4355</v>
      </c>
      <c r="EW542" s="67">
        <v>488.51</v>
      </c>
      <c r="EX542" s="67" t="s">
        <v>4356</v>
      </c>
      <c r="EY542" s="67">
        <v>5631.28</v>
      </c>
      <c r="EZ542" s="67" t="s">
        <v>4357</v>
      </c>
      <c r="FA542" s="67">
        <v>19867.973000000002</v>
      </c>
      <c r="FB542" s="67" t="s">
        <v>4358</v>
      </c>
      <c r="FC542" s="67" t="s">
        <v>4359</v>
      </c>
      <c r="FD542" s="67" t="s">
        <v>4360</v>
      </c>
      <c r="FE542" s="68" t="s">
        <v>4361</v>
      </c>
      <c r="FF542" s="68" t="s">
        <v>4362</v>
      </c>
    </row>
    <row r="543" spans="151:162" x14ac:dyDescent="0.2">
      <c r="EU543" s="67">
        <v>565.55999999999995</v>
      </c>
      <c r="EV543" s="67" t="s">
        <v>4363</v>
      </c>
      <c r="EW543" s="67">
        <v>488.66</v>
      </c>
      <c r="EX543" s="67" t="s">
        <v>4364</v>
      </c>
      <c r="EY543" s="67">
        <v>5631.28</v>
      </c>
      <c r="EZ543" s="67" t="s">
        <v>4365</v>
      </c>
      <c r="FA543" s="67">
        <v>19867.973000000002</v>
      </c>
      <c r="FB543" s="67" t="s">
        <v>4366</v>
      </c>
      <c r="FC543" s="67" t="s">
        <v>4367</v>
      </c>
      <c r="FD543" s="67" t="s">
        <v>4368</v>
      </c>
      <c r="FE543" s="68" t="s">
        <v>4369</v>
      </c>
      <c r="FF543" s="68" t="s">
        <v>4370</v>
      </c>
    </row>
    <row r="544" spans="151:162" x14ac:dyDescent="0.2">
      <c r="EU544" s="67">
        <v>565.54</v>
      </c>
      <c r="EV544" s="67" t="s">
        <v>4371</v>
      </c>
      <c r="EW544" s="67">
        <v>488.7</v>
      </c>
      <c r="EX544" s="67" t="s">
        <v>4372</v>
      </c>
      <c r="EY544" s="67">
        <v>5631.28</v>
      </c>
      <c r="EZ544" s="67" t="s">
        <v>4373</v>
      </c>
      <c r="FA544" s="67">
        <v>19867.973000000002</v>
      </c>
      <c r="FB544" s="67" t="s">
        <v>4374</v>
      </c>
      <c r="FC544" s="67" t="s">
        <v>4375</v>
      </c>
      <c r="FD544" s="67" t="s">
        <v>4376</v>
      </c>
      <c r="FE544" s="68" t="s">
        <v>4377</v>
      </c>
      <c r="FF544" s="68" t="s">
        <v>4378</v>
      </c>
    </row>
    <row r="545" spans="151:162" x14ac:dyDescent="0.2">
      <c r="EU545" s="67">
        <v>565.63</v>
      </c>
      <c r="EV545" s="67" t="s">
        <v>4379</v>
      </c>
      <c r="EW545" s="67">
        <v>488.74</v>
      </c>
      <c r="EX545" s="67" t="s">
        <v>4380</v>
      </c>
      <c r="EY545" s="67">
        <v>5631.28</v>
      </c>
      <c r="EZ545" s="67" t="s">
        <v>4381</v>
      </c>
      <c r="FA545" s="67">
        <v>19867.973000000002</v>
      </c>
      <c r="FB545" s="67" t="s">
        <v>4382</v>
      </c>
      <c r="FC545" s="67" t="s">
        <v>4383</v>
      </c>
      <c r="FD545" s="67" t="s">
        <v>4384</v>
      </c>
      <c r="FE545" s="68" t="s">
        <v>4385</v>
      </c>
      <c r="FF545" s="68" t="s">
        <v>4386</v>
      </c>
    </row>
    <row r="546" spans="151:162" x14ac:dyDescent="0.2">
      <c r="EU546" s="67">
        <v>565.41999999999996</v>
      </c>
      <c r="EV546" s="67" t="s">
        <v>4387</v>
      </c>
      <c r="EW546" s="67">
        <v>488.5</v>
      </c>
      <c r="EX546" s="67" t="s">
        <v>4388</v>
      </c>
      <c r="EY546" s="67">
        <v>5631.28</v>
      </c>
      <c r="EZ546" s="67" t="s">
        <v>4389</v>
      </c>
      <c r="FA546" s="67">
        <v>19867.973000000002</v>
      </c>
      <c r="FB546" s="67" t="s">
        <v>4390</v>
      </c>
      <c r="FC546" s="67" t="s">
        <v>4391</v>
      </c>
      <c r="FD546" s="67" t="s">
        <v>4392</v>
      </c>
      <c r="FE546" s="68" t="s">
        <v>4393</v>
      </c>
      <c r="FF546" s="68" t="s">
        <v>4394</v>
      </c>
    </row>
    <row r="547" spans="151:162" x14ac:dyDescent="0.2">
      <c r="EU547" s="67">
        <v>565.29</v>
      </c>
      <c r="EV547" s="67" t="s">
        <v>4395</v>
      </c>
      <c r="EW547" s="67">
        <v>488.33</v>
      </c>
      <c r="EX547" s="67" t="s">
        <v>4396</v>
      </c>
      <c r="EY547" s="67">
        <v>5631.28</v>
      </c>
      <c r="EZ547" s="67" t="s">
        <v>4397</v>
      </c>
      <c r="FA547" s="67">
        <v>19867.973000000002</v>
      </c>
      <c r="FB547" s="67" t="s">
        <v>4398</v>
      </c>
      <c r="FC547" s="67" t="s">
        <v>4399</v>
      </c>
      <c r="FD547" s="67" t="s">
        <v>4400</v>
      </c>
      <c r="FE547" s="68" t="s">
        <v>4401</v>
      </c>
      <c r="FF547" s="68" t="s">
        <v>4402</v>
      </c>
    </row>
    <row r="548" spans="151:162" x14ac:dyDescent="0.2">
      <c r="EU548" s="67">
        <v>565.29</v>
      </c>
      <c r="EV548" s="67" t="s">
        <v>4403</v>
      </c>
      <c r="EW548" s="67">
        <v>488.33</v>
      </c>
      <c r="EX548" s="67" t="s">
        <v>4404</v>
      </c>
      <c r="EY548" s="67">
        <v>5631.28</v>
      </c>
      <c r="EZ548" s="67" t="s">
        <v>4405</v>
      </c>
      <c r="FA548" s="67">
        <v>19867.973000000002</v>
      </c>
      <c r="FB548" s="67" t="s">
        <v>4406</v>
      </c>
      <c r="FC548" s="67" t="s">
        <v>4407</v>
      </c>
      <c r="FD548" s="67" t="s">
        <v>4408</v>
      </c>
      <c r="FE548" s="68" t="s">
        <v>4409</v>
      </c>
      <c r="FF548" s="68" t="s">
        <v>4410</v>
      </c>
    </row>
    <row r="549" spans="151:162" x14ac:dyDescent="0.2">
      <c r="EU549" s="67">
        <v>565.36</v>
      </c>
      <c r="EV549" s="67" t="s">
        <v>4411</v>
      </c>
      <c r="EW549" s="67">
        <v>488.37</v>
      </c>
      <c r="EX549" s="67" t="s">
        <v>4412</v>
      </c>
      <c r="EY549" s="67">
        <v>5631.28</v>
      </c>
      <c r="EZ549" s="67" t="s">
        <v>4413</v>
      </c>
      <c r="FA549" s="67">
        <v>19867.973000000002</v>
      </c>
      <c r="FB549" s="67" t="s">
        <v>4414</v>
      </c>
      <c r="FC549" s="67" t="s">
        <v>4415</v>
      </c>
      <c r="FD549" s="67" t="s">
        <v>4416</v>
      </c>
      <c r="FE549" s="68" t="s">
        <v>4417</v>
      </c>
      <c r="FF549" s="68" t="s">
        <v>4418</v>
      </c>
    </row>
    <row r="550" spans="151:162" x14ac:dyDescent="0.2">
      <c r="EU550" s="67">
        <v>565.41999999999996</v>
      </c>
      <c r="EV550" s="67" t="s">
        <v>4419</v>
      </c>
      <c r="EW550" s="67">
        <v>488.47</v>
      </c>
      <c r="EX550" s="67" t="s">
        <v>4420</v>
      </c>
      <c r="EY550" s="67">
        <v>5631.28</v>
      </c>
      <c r="EZ550" s="67" t="s">
        <v>4421</v>
      </c>
      <c r="FA550" s="67">
        <v>19867.973000000002</v>
      </c>
      <c r="FB550" s="67" t="s">
        <v>4422</v>
      </c>
      <c r="FC550" s="67" t="s">
        <v>4423</v>
      </c>
      <c r="FD550" s="67" t="s">
        <v>4424</v>
      </c>
      <c r="FE550" s="68" t="s">
        <v>4425</v>
      </c>
      <c r="FF550" s="68" t="s">
        <v>4426</v>
      </c>
    </row>
    <row r="551" spans="151:162" x14ac:dyDescent="0.2">
      <c r="EU551" s="67">
        <v>565.65</v>
      </c>
      <c r="EV551" s="67" t="s">
        <v>4427</v>
      </c>
      <c r="EW551" s="67">
        <v>488.64</v>
      </c>
      <c r="EX551" s="67" t="s">
        <v>4428</v>
      </c>
      <c r="EY551" s="67">
        <v>5631.28</v>
      </c>
      <c r="EZ551" s="67" t="s">
        <v>4429</v>
      </c>
      <c r="FA551" s="67">
        <v>19867.973000000002</v>
      </c>
      <c r="FB551" s="67" t="s">
        <v>4430</v>
      </c>
      <c r="FC551" s="67" t="s">
        <v>4431</v>
      </c>
      <c r="FD551" s="67" t="s">
        <v>4432</v>
      </c>
      <c r="FE551" s="68" t="s">
        <v>4433</v>
      </c>
      <c r="FF551" s="68" t="s">
        <v>4434</v>
      </c>
    </row>
    <row r="552" spans="151:162" x14ac:dyDescent="0.2">
      <c r="EU552" s="67">
        <v>565.62</v>
      </c>
      <c r="EV552" s="67" t="s">
        <v>4435</v>
      </c>
      <c r="EW552" s="67">
        <v>488.72</v>
      </c>
      <c r="EX552" s="67" t="s">
        <v>4436</v>
      </c>
      <c r="EY552" s="67">
        <v>5631.28</v>
      </c>
      <c r="EZ552" s="67" t="s">
        <v>4437</v>
      </c>
      <c r="FA552" s="67">
        <v>19867.973000000002</v>
      </c>
      <c r="FB552" s="67" t="s">
        <v>4438</v>
      </c>
      <c r="FC552" s="67" t="s">
        <v>4439</v>
      </c>
      <c r="FD552" s="67" t="s">
        <v>4440</v>
      </c>
      <c r="FE552" s="68" t="s">
        <v>4441</v>
      </c>
      <c r="FF552" s="68" t="s">
        <v>4442</v>
      </c>
    </row>
    <row r="553" spans="151:162" x14ac:dyDescent="0.2">
      <c r="EU553" s="67">
        <v>565.66999999999996</v>
      </c>
      <c r="EV553" s="67" t="s">
        <v>4443</v>
      </c>
      <c r="EW553" s="67">
        <v>488.85</v>
      </c>
      <c r="EX553" s="67" t="s">
        <v>4444</v>
      </c>
      <c r="EY553" s="67">
        <v>5631.28</v>
      </c>
      <c r="EZ553" s="67" t="s">
        <v>4445</v>
      </c>
      <c r="FA553" s="67">
        <v>19867.973000000002</v>
      </c>
      <c r="FB553" s="67" t="s">
        <v>4446</v>
      </c>
      <c r="FC553" s="67" t="s">
        <v>4447</v>
      </c>
      <c r="FD553" s="67" t="s">
        <v>4448</v>
      </c>
      <c r="FE553" s="68" t="s">
        <v>4449</v>
      </c>
      <c r="FF553" s="68" t="s">
        <v>4450</v>
      </c>
    </row>
    <row r="554" spans="151:162" x14ac:dyDescent="0.2">
      <c r="EU554" s="67">
        <v>565.79999999999995</v>
      </c>
      <c r="EV554" s="67" t="s">
        <v>4451</v>
      </c>
      <c r="EW554" s="67">
        <v>488.9</v>
      </c>
      <c r="EX554" s="67" t="s">
        <v>4452</v>
      </c>
      <c r="EY554" s="67">
        <v>5631.28</v>
      </c>
      <c r="EZ554" s="67" t="s">
        <v>4453</v>
      </c>
      <c r="FA554" s="67">
        <v>19867.973000000002</v>
      </c>
      <c r="FB554" s="67" t="s">
        <v>4454</v>
      </c>
      <c r="FC554" s="67" t="s">
        <v>4455</v>
      </c>
      <c r="FD554" s="67" t="s">
        <v>4456</v>
      </c>
      <c r="FE554" s="68" t="s">
        <v>4457</v>
      </c>
      <c r="FF554" s="68" t="s">
        <v>4458</v>
      </c>
    </row>
    <row r="555" spans="151:162" x14ac:dyDescent="0.2">
      <c r="EU555" s="67">
        <v>565.79</v>
      </c>
      <c r="EV555" s="67" t="s">
        <v>4459</v>
      </c>
      <c r="EW555" s="67">
        <v>488.89</v>
      </c>
      <c r="EX555" s="67" t="s">
        <v>4460</v>
      </c>
      <c r="EY555" s="67">
        <v>5631.28</v>
      </c>
      <c r="EZ555" s="67" t="s">
        <v>4461</v>
      </c>
      <c r="FA555" s="67">
        <v>19867.973000000002</v>
      </c>
      <c r="FB555" s="67" t="s">
        <v>4462</v>
      </c>
      <c r="FC555" s="67" t="s">
        <v>4463</v>
      </c>
      <c r="FD555" s="67" t="s">
        <v>4464</v>
      </c>
      <c r="FE555" s="68" t="s">
        <v>4465</v>
      </c>
      <c r="FF555" s="68" t="s">
        <v>4466</v>
      </c>
    </row>
    <row r="556" spans="151:162" x14ac:dyDescent="0.2">
      <c r="EU556" s="67">
        <v>565.96</v>
      </c>
      <c r="EV556" s="67" t="s">
        <v>4467</v>
      </c>
      <c r="EW556" s="67">
        <v>488.97</v>
      </c>
      <c r="EX556" s="67" t="s">
        <v>4468</v>
      </c>
      <c r="EY556" s="67">
        <v>5631.28</v>
      </c>
      <c r="EZ556" s="67" t="s">
        <v>4469</v>
      </c>
      <c r="FA556" s="67">
        <v>19867.973000000002</v>
      </c>
      <c r="FB556" s="67" t="s">
        <v>4470</v>
      </c>
      <c r="FC556" s="67" t="s">
        <v>4471</v>
      </c>
      <c r="FD556" s="67" t="s">
        <v>4472</v>
      </c>
      <c r="FE556" s="68" t="s">
        <v>4473</v>
      </c>
      <c r="FF556" s="68" t="s">
        <v>4474</v>
      </c>
    </row>
    <row r="557" spans="151:162" x14ac:dyDescent="0.2">
      <c r="EU557" s="67">
        <v>566.11</v>
      </c>
      <c r="EV557" s="67" t="s">
        <v>4475</v>
      </c>
      <c r="EW557" s="67">
        <v>489.25</v>
      </c>
      <c r="EX557" s="67" t="s">
        <v>4476</v>
      </c>
      <c r="EY557" s="67">
        <v>5631.28</v>
      </c>
      <c r="EZ557" s="67" t="s">
        <v>4477</v>
      </c>
      <c r="FA557" s="67">
        <v>19867.973000000002</v>
      </c>
      <c r="FB557" s="67" t="s">
        <v>4478</v>
      </c>
      <c r="FC557" s="67" t="s">
        <v>4479</v>
      </c>
      <c r="FD557" s="67" t="s">
        <v>4480</v>
      </c>
      <c r="FE557" s="68" t="s">
        <v>4481</v>
      </c>
      <c r="FF557" s="68" t="s">
        <v>4482</v>
      </c>
    </row>
    <row r="558" spans="151:162" x14ac:dyDescent="0.2">
      <c r="EU558" s="67">
        <v>566.14</v>
      </c>
      <c r="EV558" s="67" t="s">
        <v>4483</v>
      </c>
      <c r="EW558" s="67">
        <v>489.27</v>
      </c>
      <c r="EX558" s="67" t="s">
        <v>4484</v>
      </c>
      <c r="EY558" s="67">
        <v>5631.28</v>
      </c>
      <c r="EZ558" s="67" t="s">
        <v>4485</v>
      </c>
      <c r="FA558" s="67">
        <v>19867.973000000002</v>
      </c>
      <c r="FB558" s="67" t="s">
        <v>4486</v>
      </c>
      <c r="FC558" s="67" t="s">
        <v>4487</v>
      </c>
      <c r="FD558" s="67" t="s">
        <v>4488</v>
      </c>
      <c r="FE558" s="68" t="s">
        <v>4489</v>
      </c>
      <c r="FF558" s="68" t="s">
        <v>4490</v>
      </c>
    </row>
    <row r="559" spans="151:162" x14ac:dyDescent="0.2">
      <c r="EU559" s="67">
        <v>566.20000000000005</v>
      </c>
      <c r="EV559" s="67" t="s">
        <v>4491</v>
      </c>
      <c r="EW559" s="67">
        <v>489.36</v>
      </c>
      <c r="EX559" s="67" t="s">
        <v>4492</v>
      </c>
      <c r="EY559" s="67">
        <v>5631.28</v>
      </c>
      <c r="EZ559" s="67" t="s">
        <v>4493</v>
      </c>
      <c r="FA559" s="67">
        <v>19867.973000000002</v>
      </c>
      <c r="FB559" s="67" t="s">
        <v>4494</v>
      </c>
      <c r="FC559" s="67" t="s">
        <v>4495</v>
      </c>
      <c r="FD559" s="67" t="s">
        <v>4496</v>
      </c>
      <c r="FE559" s="68" t="s">
        <v>4497</v>
      </c>
      <c r="FF559" s="68" t="s">
        <v>4498</v>
      </c>
    </row>
    <row r="560" spans="151:162" x14ac:dyDescent="0.2">
      <c r="EU560" s="67">
        <v>566.41</v>
      </c>
      <c r="EV560" s="67" t="s">
        <v>4499</v>
      </c>
      <c r="EW560" s="67">
        <v>489.65</v>
      </c>
      <c r="EX560" s="67" t="s">
        <v>4500</v>
      </c>
      <c r="EY560" s="67">
        <v>5631.28</v>
      </c>
      <c r="EZ560" s="67" t="s">
        <v>4501</v>
      </c>
      <c r="FA560" s="67">
        <v>19867.973000000002</v>
      </c>
      <c r="FB560" s="67" t="s">
        <v>4502</v>
      </c>
      <c r="FC560" s="67" t="s">
        <v>4503</v>
      </c>
      <c r="FD560" s="67" t="s">
        <v>4504</v>
      </c>
      <c r="FE560" s="68" t="s">
        <v>4505</v>
      </c>
      <c r="FF560" s="68" t="s">
        <v>4506</v>
      </c>
    </row>
    <row r="561" spans="151:162" x14ac:dyDescent="0.2">
      <c r="EU561" s="67">
        <v>566.42999999999995</v>
      </c>
      <c r="EV561" s="67" t="s">
        <v>4507</v>
      </c>
      <c r="EW561" s="67">
        <v>489.65</v>
      </c>
      <c r="EX561" s="67" t="s">
        <v>4508</v>
      </c>
      <c r="EY561" s="67">
        <v>5631.28</v>
      </c>
      <c r="EZ561" s="67" t="s">
        <v>4509</v>
      </c>
      <c r="FA561" s="67">
        <v>19867.973000000002</v>
      </c>
      <c r="FB561" s="67" t="s">
        <v>4510</v>
      </c>
      <c r="FC561" s="67" t="s">
        <v>4511</v>
      </c>
      <c r="FD561" s="67" t="s">
        <v>4512</v>
      </c>
      <c r="FE561" s="68" t="s">
        <v>4513</v>
      </c>
      <c r="FF561" s="68" t="s">
        <v>4514</v>
      </c>
    </row>
    <row r="562" spans="151:162" x14ac:dyDescent="0.2">
      <c r="EU562" s="67">
        <v>566.08000000000004</v>
      </c>
      <c r="EV562" s="67" t="s">
        <v>4515</v>
      </c>
      <c r="EW562" s="67">
        <v>489.25</v>
      </c>
      <c r="EX562" s="67" t="s">
        <v>4516</v>
      </c>
      <c r="EY562" s="67">
        <v>5631.28</v>
      </c>
      <c r="EZ562" s="67" t="s">
        <v>4517</v>
      </c>
      <c r="FA562" s="67">
        <v>19867.973000000002</v>
      </c>
      <c r="FB562" s="67" t="s">
        <v>4518</v>
      </c>
      <c r="FC562" s="67" t="s">
        <v>4519</v>
      </c>
      <c r="FD562" s="67" t="s">
        <v>4520</v>
      </c>
      <c r="FE562" s="68" t="s">
        <v>4521</v>
      </c>
      <c r="FF562" s="68" t="s">
        <v>4522</v>
      </c>
    </row>
    <row r="563" spans="151:162" x14ac:dyDescent="0.2">
      <c r="EU563" s="67">
        <v>566.19000000000005</v>
      </c>
      <c r="EV563" s="67" t="s">
        <v>4523</v>
      </c>
      <c r="EW563" s="67">
        <v>489.32</v>
      </c>
      <c r="EX563" s="67" t="s">
        <v>4524</v>
      </c>
      <c r="EY563" s="67">
        <v>5631.28</v>
      </c>
      <c r="EZ563" s="67" t="s">
        <v>4525</v>
      </c>
      <c r="FA563" s="67">
        <v>19867.973000000002</v>
      </c>
      <c r="FB563" s="67" t="s">
        <v>4526</v>
      </c>
      <c r="FC563" s="67" t="s">
        <v>4527</v>
      </c>
      <c r="FD563" s="67" t="s">
        <v>4528</v>
      </c>
      <c r="FE563" s="68" t="s">
        <v>4529</v>
      </c>
      <c r="FF563" s="68" t="s">
        <v>4530</v>
      </c>
    </row>
    <row r="564" spans="151:162" x14ac:dyDescent="0.2">
      <c r="EU564" s="67">
        <v>566.22</v>
      </c>
      <c r="EV564" s="67" t="s">
        <v>4531</v>
      </c>
      <c r="EW564" s="67">
        <v>489.33</v>
      </c>
      <c r="EX564" s="67" t="s">
        <v>4532</v>
      </c>
      <c r="EY564" s="67">
        <v>5631.28</v>
      </c>
      <c r="EZ564" s="67" t="s">
        <v>4533</v>
      </c>
      <c r="FA564" s="67">
        <v>19867.973000000002</v>
      </c>
      <c r="FB564" s="67" t="s">
        <v>4534</v>
      </c>
      <c r="FC564" s="67" t="s">
        <v>4535</v>
      </c>
      <c r="FD564" s="67" t="s">
        <v>4536</v>
      </c>
      <c r="FE564" s="68" t="s">
        <v>4537</v>
      </c>
      <c r="FF564" s="68" t="s">
        <v>4538</v>
      </c>
    </row>
    <row r="565" spans="151:162" x14ac:dyDescent="0.2">
      <c r="EU565" s="67">
        <v>566.25</v>
      </c>
      <c r="EV565" s="67" t="s">
        <v>4539</v>
      </c>
      <c r="EW565" s="67">
        <v>489.35</v>
      </c>
      <c r="EX565" s="67" t="s">
        <v>4540</v>
      </c>
      <c r="EY565" s="67">
        <v>5631.28</v>
      </c>
      <c r="EZ565" s="67" t="s">
        <v>4541</v>
      </c>
      <c r="FA565" s="67">
        <v>19867.973000000002</v>
      </c>
      <c r="FB565" s="67" t="s">
        <v>4542</v>
      </c>
      <c r="FC565" s="67" t="s">
        <v>4543</v>
      </c>
      <c r="FD565" s="67" t="s">
        <v>4544</v>
      </c>
      <c r="FE565" s="68" t="s">
        <v>4545</v>
      </c>
      <c r="FF565" s="68" t="s">
        <v>4546</v>
      </c>
    </row>
    <row r="566" spans="151:162" x14ac:dyDescent="0.2">
      <c r="EU566" s="67">
        <v>566.26</v>
      </c>
      <c r="EV566" s="67" t="s">
        <v>4547</v>
      </c>
      <c r="EW566" s="67">
        <v>489.38</v>
      </c>
      <c r="EX566" s="67" t="s">
        <v>4548</v>
      </c>
      <c r="EY566" s="67">
        <v>5631.28</v>
      </c>
      <c r="EZ566" s="67" t="s">
        <v>4549</v>
      </c>
      <c r="FA566" s="67">
        <v>19867.973000000002</v>
      </c>
      <c r="FB566" s="67" t="s">
        <v>4550</v>
      </c>
      <c r="FC566" s="67" t="s">
        <v>4551</v>
      </c>
      <c r="FD566" s="67" t="s">
        <v>4552</v>
      </c>
      <c r="FE566" s="68" t="s">
        <v>4553</v>
      </c>
      <c r="FF566" s="68" t="s">
        <v>4554</v>
      </c>
    </row>
    <row r="567" spans="151:162" x14ac:dyDescent="0.2">
      <c r="EU567" s="67">
        <v>566.33000000000004</v>
      </c>
      <c r="EV567" s="67" t="s">
        <v>4555</v>
      </c>
      <c r="EW567" s="67">
        <v>489.52</v>
      </c>
      <c r="EX567" s="67" t="s">
        <v>4556</v>
      </c>
      <c r="EY567" s="67">
        <v>5631.28</v>
      </c>
      <c r="EZ567" s="67" t="s">
        <v>4557</v>
      </c>
      <c r="FA567" s="67">
        <v>19867.973000000002</v>
      </c>
      <c r="FB567" s="67" t="s">
        <v>4558</v>
      </c>
      <c r="FC567" s="67" t="s">
        <v>4559</v>
      </c>
      <c r="FD567" s="67" t="s">
        <v>4560</v>
      </c>
      <c r="FE567" s="68" t="s">
        <v>4561</v>
      </c>
      <c r="FF567" s="68" t="s">
        <v>4562</v>
      </c>
    </row>
    <row r="568" spans="151:162" x14ac:dyDescent="0.2">
      <c r="EU568" s="67">
        <v>566.37</v>
      </c>
      <c r="EV568" s="67" t="s">
        <v>4563</v>
      </c>
      <c r="EW568" s="67">
        <v>489.58</v>
      </c>
      <c r="EX568" s="67" t="s">
        <v>4564</v>
      </c>
      <c r="EY568" s="67">
        <v>5631.28</v>
      </c>
      <c r="EZ568" s="67" t="s">
        <v>4565</v>
      </c>
      <c r="FA568" s="67">
        <v>19867.973000000002</v>
      </c>
      <c r="FB568" s="67" t="s">
        <v>4566</v>
      </c>
      <c r="FC568" s="67" t="s">
        <v>4567</v>
      </c>
      <c r="FD568" s="67" t="s">
        <v>4568</v>
      </c>
      <c r="FE568" s="68" t="s">
        <v>4569</v>
      </c>
      <c r="FF568" s="68" t="s">
        <v>4570</v>
      </c>
    </row>
    <row r="569" spans="151:162" x14ac:dyDescent="0.2">
      <c r="EU569" s="67">
        <v>566.34</v>
      </c>
      <c r="EV569" s="67" t="s">
        <v>4571</v>
      </c>
      <c r="EW569" s="67">
        <v>489.49</v>
      </c>
      <c r="EX569" s="67" t="s">
        <v>4572</v>
      </c>
      <c r="EY569" s="67">
        <v>5631.28</v>
      </c>
      <c r="EZ569" s="67" t="s">
        <v>4573</v>
      </c>
      <c r="FA569" s="67">
        <v>19867.973000000002</v>
      </c>
      <c r="FB569" s="67" t="s">
        <v>4574</v>
      </c>
      <c r="FC569" s="67" t="s">
        <v>4575</v>
      </c>
      <c r="FD569" s="67" t="s">
        <v>4576</v>
      </c>
      <c r="FE569" s="68" t="s">
        <v>4577</v>
      </c>
      <c r="FF569" s="68" t="s">
        <v>4578</v>
      </c>
    </row>
    <row r="570" spans="151:162" x14ac:dyDescent="0.2">
      <c r="EU570" s="67">
        <v>566.45000000000005</v>
      </c>
      <c r="EV570" s="67" t="s">
        <v>4579</v>
      </c>
      <c r="EW570" s="67">
        <v>489.65</v>
      </c>
      <c r="EX570" s="67" t="s">
        <v>4580</v>
      </c>
      <c r="EY570" s="67">
        <v>5631.28</v>
      </c>
      <c r="EZ570" s="67" t="s">
        <v>4581</v>
      </c>
      <c r="FA570" s="67">
        <v>19867.973000000002</v>
      </c>
      <c r="FB570" s="67" t="s">
        <v>4582</v>
      </c>
      <c r="FC570" s="67" t="s">
        <v>4583</v>
      </c>
      <c r="FD570" s="67" t="s">
        <v>4584</v>
      </c>
      <c r="FE570" s="68" t="s">
        <v>4585</v>
      </c>
      <c r="FF570" s="68" t="s">
        <v>4586</v>
      </c>
    </row>
    <row r="571" spans="151:162" x14ac:dyDescent="0.2">
      <c r="EU571" s="67">
        <v>566.46</v>
      </c>
      <c r="EV571" s="67" t="s">
        <v>4587</v>
      </c>
      <c r="EW571" s="67">
        <v>489.59</v>
      </c>
      <c r="EX571" s="67" t="s">
        <v>4588</v>
      </c>
      <c r="EY571" s="67">
        <v>5631.28</v>
      </c>
      <c r="EZ571" s="67" t="s">
        <v>4589</v>
      </c>
      <c r="FA571" s="67">
        <v>19867.973000000002</v>
      </c>
      <c r="FB571" s="67" t="s">
        <v>4590</v>
      </c>
      <c r="FC571" s="67" t="s">
        <v>4591</v>
      </c>
      <c r="FD571" s="67" t="s">
        <v>4592</v>
      </c>
      <c r="FE571" s="68" t="s">
        <v>4593</v>
      </c>
      <c r="FF571" s="68" t="s">
        <v>4594</v>
      </c>
    </row>
    <row r="572" spans="151:162" x14ac:dyDescent="0.2">
      <c r="EU572" s="67">
        <v>566.46</v>
      </c>
      <c r="EV572" s="67" t="s">
        <v>4595</v>
      </c>
      <c r="EW572" s="67">
        <v>489.56</v>
      </c>
      <c r="EX572" s="67" t="s">
        <v>4596</v>
      </c>
      <c r="EY572" s="67">
        <v>5631.28</v>
      </c>
      <c r="EZ572" s="67" t="s">
        <v>4597</v>
      </c>
      <c r="FA572" s="67">
        <v>19867.973000000002</v>
      </c>
      <c r="FB572" s="67" t="s">
        <v>4598</v>
      </c>
      <c r="FC572" s="67" t="s">
        <v>4599</v>
      </c>
      <c r="FD572" s="67" t="s">
        <v>4600</v>
      </c>
      <c r="FE572" s="68" t="s">
        <v>4601</v>
      </c>
      <c r="FF572" s="68" t="s">
        <v>4602</v>
      </c>
    </row>
    <row r="573" spans="151:162" x14ac:dyDescent="0.2">
      <c r="EU573" s="67">
        <v>566.42999999999995</v>
      </c>
      <c r="EV573" s="67" t="s">
        <v>4603</v>
      </c>
      <c r="EW573" s="67">
        <v>489.56</v>
      </c>
      <c r="EX573" s="67" t="s">
        <v>4604</v>
      </c>
      <c r="EY573" s="67">
        <v>5631.28</v>
      </c>
      <c r="EZ573" s="67" t="s">
        <v>4605</v>
      </c>
      <c r="FA573" s="67">
        <v>19867.973000000002</v>
      </c>
      <c r="FB573" s="67" t="s">
        <v>4606</v>
      </c>
      <c r="FC573" s="67" t="s">
        <v>4607</v>
      </c>
      <c r="FD573" s="67" t="s">
        <v>4608</v>
      </c>
      <c r="FE573" s="68" t="s">
        <v>4609</v>
      </c>
      <c r="FF573" s="68" t="s">
        <v>4610</v>
      </c>
    </row>
    <row r="574" spans="151:162" x14ac:dyDescent="0.2">
      <c r="EU574" s="67">
        <v>566.41</v>
      </c>
      <c r="EV574" s="67" t="s">
        <v>4611</v>
      </c>
      <c r="EW574" s="67">
        <v>489.5</v>
      </c>
      <c r="EX574" s="67" t="s">
        <v>4612</v>
      </c>
      <c r="EY574" s="67">
        <v>5631.28</v>
      </c>
      <c r="EZ574" s="67" t="s">
        <v>4613</v>
      </c>
      <c r="FA574" s="67">
        <v>19867.973000000002</v>
      </c>
      <c r="FB574" s="67" t="s">
        <v>4614</v>
      </c>
      <c r="FC574" s="67" t="s">
        <v>4615</v>
      </c>
      <c r="FD574" s="67" t="s">
        <v>4616</v>
      </c>
      <c r="FE574" s="68" t="s">
        <v>4617</v>
      </c>
      <c r="FF574" s="68" t="s">
        <v>4618</v>
      </c>
    </row>
    <row r="575" spans="151:162" x14ac:dyDescent="0.2">
      <c r="EU575" s="67">
        <v>566.41</v>
      </c>
      <c r="EV575" s="67" t="s">
        <v>4619</v>
      </c>
      <c r="EW575" s="67">
        <v>489.5</v>
      </c>
      <c r="EX575" s="67" t="s">
        <v>4620</v>
      </c>
      <c r="EY575" s="67">
        <v>5631.28</v>
      </c>
      <c r="EZ575" s="67" t="s">
        <v>4621</v>
      </c>
      <c r="FA575" s="67">
        <v>19867.973000000002</v>
      </c>
      <c r="FB575" s="67" t="s">
        <v>4622</v>
      </c>
      <c r="FC575" s="67" t="s">
        <v>4623</v>
      </c>
      <c r="FD575" s="67" t="s">
        <v>4624</v>
      </c>
      <c r="FE575" s="68" t="s">
        <v>4625</v>
      </c>
      <c r="FF575" s="68" t="s">
        <v>4626</v>
      </c>
    </row>
    <row r="576" spans="151:162" x14ac:dyDescent="0.2">
      <c r="EU576" s="67">
        <v>566.41</v>
      </c>
      <c r="EV576" s="67" t="s">
        <v>4627</v>
      </c>
      <c r="EW576" s="67">
        <v>489.5</v>
      </c>
      <c r="EX576" s="67" t="s">
        <v>4628</v>
      </c>
      <c r="EY576" s="67">
        <v>5631.28</v>
      </c>
      <c r="EZ576" s="67" t="s">
        <v>4629</v>
      </c>
      <c r="FA576" s="67">
        <v>19867.973000000002</v>
      </c>
      <c r="FB576" s="67" t="s">
        <v>4630</v>
      </c>
      <c r="FC576" s="67" t="s">
        <v>4631</v>
      </c>
      <c r="FD576" s="67" t="s">
        <v>4632</v>
      </c>
      <c r="FE576" s="68" t="s">
        <v>4633</v>
      </c>
      <c r="FF576" s="68" t="s">
        <v>4634</v>
      </c>
    </row>
    <row r="577" spans="151:162" x14ac:dyDescent="0.2">
      <c r="EU577" s="67">
        <v>566.44000000000005</v>
      </c>
      <c r="EV577" s="67" t="s">
        <v>4635</v>
      </c>
      <c r="EW577" s="67">
        <v>489.62</v>
      </c>
      <c r="EX577" s="67" t="s">
        <v>4636</v>
      </c>
      <c r="EY577" s="67">
        <v>5631.28</v>
      </c>
      <c r="EZ577" s="67" t="s">
        <v>4637</v>
      </c>
      <c r="FA577" s="67">
        <v>19867.973000000002</v>
      </c>
      <c r="FB577" s="67" t="s">
        <v>4638</v>
      </c>
      <c r="FC577" s="67" t="s">
        <v>4639</v>
      </c>
      <c r="FD577" s="67" t="s">
        <v>4640</v>
      </c>
      <c r="FE577" s="68" t="s">
        <v>4641</v>
      </c>
      <c r="FF577" s="68" t="s">
        <v>4642</v>
      </c>
    </row>
    <row r="578" spans="151:162" x14ac:dyDescent="0.2">
      <c r="EU578" s="67">
        <v>566.42999999999995</v>
      </c>
      <c r="EV578" s="67" t="s">
        <v>4643</v>
      </c>
      <c r="EW578" s="67">
        <v>489.61</v>
      </c>
      <c r="EX578" s="67" t="s">
        <v>4644</v>
      </c>
      <c r="EY578" s="67">
        <v>5631.28</v>
      </c>
      <c r="EZ578" s="67" t="s">
        <v>4645</v>
      </c>
      <c r="FA578" s="67">
        <v>19867.973000000002</v>
      </c>
      <c r="FB578" s="67" t="s">
        <v>4646</v>
      </c>
      <c r="FC578" s="67" t="s">
        <v>4647</v>
      </c>
      <c r="FD578" s="67" t="s">
        <v>4648</v>
      </c>
      <c r="FE578" s="68" t="s">
        <v>4649</v>
      </c>
      <c r="FF578" s="68" t="s">
        <v>4650</v>
      </c>
    </row>
    <row r="579" spans="151:162" x14ac:dyDescent="0.2">
      <c r="EU579" s="67">
        <v>566.49</v>
      </c>
      <c r="EV579" s="67" t="s">
        <v>4651</v>
      </c>
      <c r="EW579" s="67">
        <v>489.74</v>
      </c>
      <c r="EX579" s="67" t="s">
        <v>4652</v>
      </c>
      <c r="EY579" s="67">
        <v>5631.28</v>
      </c>
      <c r="EZ579" s="67" t="s">
        <v>4653</v>
      </c>
      <c r="FA579" s="67">
        <v>19867.973000000002</v>
      </c>
      <c r="FB579" s="67" t="s">
        <v>4654</v>
      </c>
      <c r="FC579" s="67" t="s">
        <v>4655</v>
      </c>
      <c r="FD579" s="67" t="s">
        <v>4656</v>
      </c>
      <c r="FE579" s="68" t="s">
        <v>4657</v>
      </c>
      <c r="FF579" s="68" t="s">
        <v>4658</v>
      </c>
    </row>
    <row r="580" spans="151:162" x14ac:dyDescent="0.2">
      <c r="EU580" s="67">
        <v>566.5</v>
      </c>
      <c r="EV580" s="67" t="s">
        <v>4659</v>
      </c>
      <c r="EW580" s="67">
        <v>489.69</v>
      </c>
      <c r="EX580" s="67" t="s">
        <v>4660</v>
      </c>
      <c r="EY580" s="67">
        <v>5631.28</v>
      </c>
      <c r="EZ580" s="67" t="s">
        <v>4661</v>
      </c>
      <c r="FA580" s="67">
        <v>19867.973000000002</v>
      </c>
      <c r="FB580" s="67" t="s">
        <v>4662</v>
      </c>
      <c r="FC580" s="67" t="s">
        <v>4663</v>
      </c>
      <c r="FD580" s="67" t="s">
        <v>4664</v>
      </c>
      <c r="FE580" s="68" t="s">
        <v>4665</v>
      </c>
      <c r="FF580" s="68" t="s">
        <v>4666</v>
      </c>
    </row>
    <row r="581" spans="151:162" x14ac:dyDescent="0.2">
      <c r="EU581" s="67">
        <v>566.54</v>
      </c>
      <c r="EV581" s="67" t="s">
        <v>4667</v>
      </c>
      <c r="EW581" s="67">
        <v>489.76</v>
      </c>
      <c r="EX581" s="67" t="s">
        <v>4668</v>
      </c>
      <c r="EY581" s="67">
        <v>5631.28</v>
      </c>
      <c r="EZ581" s="67" t="s">
        <v>4669</v>
      </c>
      <c r="FA581" s="67">
        <v>19867.973000000002</v>
      </c>
      <c r="FB581" s="67" t="s">
        <v>4670</v>
      </c>
      <c r="FC581" s="67" t="s">
        <v>4671</v>
      </c>
      <c r="FD581" s="67" t="s">
        <v>4672</v>
      </c>
      <c r="FE581" s="68" t="s">
        <v>4673</v>
      </c>
      <c r="FF581" s="68" t="s">
        <v>4674</v>
      </c>
    </row>
    <row r="582" spans="151:162" x14ac:dyDescent="0.2">
      <c r="EU582" s="67">
        <v>566.61</v>
      </c>
      <c r="EV582" s="67" t="s">
        <v>4675</v>
      </c>
      <c r="EW582" s="67">
        <v>489.83</v>
      </c>
      <c r="EX582" s="67" t="s">
        <v>4676</v>
      </c>
      <c r="EY582" s="67">
        <v>5631.28</v>
      </c>
      <c r="EZ582" s="67" t="s">
        <v>4677</v>
      </c>
      <c r="FA582" s="67">
        <v>19867.973000000002</v>
      </c>
      <c r="FB582" s="67" t="s">
        <v>4678</v>
      </c>
      <c r="FC582" s="67" t="s">
        <v>4679</v>
      </c>
      <c r="FD582" s="67" t="s">
        <v>4680</v>
      </c>
      <c r="FE582" s="68" t="s">
        <v>4681</v>
      </c>
      <c r="FF582" s="68" t="s">
        <v>4682</v>
      </c>
    </row>
    <row r="583" spans="151:162" x14ac:dyDescent="0.2">
      <c r="EU583" s="67">
        <v>566.54</v>
      </c>
      <c r="EV583" s="67" t="s">
        <v>4683</v>
      </c>
      <c r="EW583" s="67">
        <v>489.79</v>
      </c>
      <c r="EX583" s="67" t="s">
        <v>4684</v>
      </c>
      <c r="EY583" s="67">
        <v>5631.28</v>
      </c>
      <c r="EZ583" s="67" t="s">
        <v>4685</v>
      </c>
      <c r="FA583" s="67">
        <v>19867.973000000002</v>
      </c>
      <c r="FB583" s="67" t="s">
        <v>4686</v>
      </c>
      <c r="FC583" s="67" t="s">
        <v>4687</v>
      </c>
      <c r="FD583" s="67" t="s">
        <v>4688</v>
      </c>
      <c r="FE583" s="68" t="s">
        <v>4689</v>
      </c>
      <c r="FF583" s="68" t="s">
        <v>4690</v>
      </c>
    </row>
    <row r="584" spans="151:162" x14ac:dyDescent="0.2">
      <c r="EU584" s="67">
        <v>566.6</v>
      </c>
      <c r="EV584" s="67" t="s">
        <v>4691</v>
      </c>
      <c r="EW584" s="67">
        <v>489.79</v>
      </c>
      <c r="EX584" s="67" t="s">
        <v>4692</v>
      </c>
      <c r="EY584" s="67">
        <v>5631.28</v>
      </c>
      <c r="EZ584" s="67" t="s">
        <v>4693</v>
      </c>
      <c r="FA584" s="67">
        <v>19867.973000000002</v>
      </c>
      <c r="FB584" s="67" t="s">
        <v>4694</v>
      </c>
      <c r="FC584" s="67" t="s">
        <v>4695</v>
      </c>
      <c r="FD584" s="67" t="s">
        <v>4696</v>
      </c>
      <c r="FE584" s="68" t="s">
        <v>4697</v>
      </c>
      <c r="FF584" s="68" t="s">
        <v>4698</v>
      </c>
    </row>
    <row r="585" spans="151:162" x14ac:dyDescent="0.2">
      <c r="EU585" s="67">
        <v>566.6</v>
      </c>
      <c r="EV585" s="67" t="s">
        <v>4699</v>
      </c>
      <c r="EW585" s="67">
        <v>489.78</v>
      </c>
      <c r="EX585" s="67" t="s">
        <v>4700</v>
      </c>
      <c r="EY585" s="67">
        <v>5631.28</v>
      </c>
      <c r="EZ585" s="67" t="s">
        <v>4701</v>
      </c>
      <c r="FA585" s="67">
        <v>19867.973000000002</v>
      </c>
      <c r="FB585" s="67" t="s">
        <v>4702</v>
      </c>
      <c r="FC585" s="67" t="s">
        <v>4703</v>
      </c>
      <c r="FD585" s="67" t="s">
        <v>4704</v>
      </c>
      <c r="FE585" s="68" t="s">
        <v>4705</v>
      </c>
      <c r="FF585" s="68" t="s">
        <v>4706</v>
      </c>
    </row>
    <row r="586" spans="151:162" x14ac:dyDescent="0.2">
      <c r="EU586" s="67">
        <v>566.64</v>
      </c>
      <c r="EV586" s="67" t="s">
        <v>4707</v>
      </c>
      <c r="EW586" s="67">
        <v>489.78</v>
      </c>
      <c r="EX586" s="67" t="s">
        <v>4708</v>
      </c>
      <c r="EY586" s="67">
        <v>5631.28</v>
      </c>
      <c r="EZ586" s="67" t="s">
        <v>4709</v>
      </c>
      <c r="FA586" s="67">
        <v>19867.973000000002</v>
      </c>
      <c r="FB586" s="67" t="s">
        <v>4710</v>
      </c>
      <c r="FC586" s="67" t="s">
        <v>4711</v>
      </c>
      <c r="FD586" s="67" t="s">
        <v>4712</v>
      </c>
      <c r="FE586" s="68" t="s">
        <v>4713</v>
      </c>
      <c r="FF586" s="68" t="s">
        <v>4714</v>
      </c>
    </row>
    <row r="587" spans="151:162" x14ac:dyDescent="0.2">
      <c r="EU587" s="67">
        <v>566.69000000000005</v>
      </c>
      <c r="EV587" s="67" t="s">
        <v>4715</v>
      </c>
      <c r="EW587" s="67">
        <v>489.86</v>
      </c>
      <c r="EX587" s="67" t="s">
        <v>4716</v>
      </c>
      <c r="EY587" s="67">
        <v>5631.28</v>
      </c>
      <c r="EZ587" s="67" t="s">
        <v>4717</v>
      </c>
      <c r="FA587" s="67">
        <v>19867.973000000002</v>
      </c>
      <c r="FB587" s="67" t="s">
        <v>4718</v>
      </c>
      <c r="FC587" s="67" t="s">
        <v>4719</v>
      </c>
      <c r="FD587" s="67" t="s">
        <v>4720</v>
      </c>
      <c r="FE587" s="68" t="s">
        <v>4721</v>
      </c>
      <c r="FF587" s="68" t="s">
        <v>4722</v>
      </c>
    </row>
    <row r="588" spans="151:162" x14ac:dyDescent="0.2">
      <c r="EU588" s="67">
        <v>566.72</v>
      </c>
      <c r="EV588" s="67" t="s">
        <v>4723</v>
      </c>
      <c r="EW588" s="67">
        <v>489.86</v>
      </c>
      <c r="EX588" s="67" t="s">
        <v>4724</v>
      </c>
      <c r="EY588" s="67">
        <v>5631.28</v>
      </c>
      <c r="EZ588" s="67" t="s">
        <v>4725</v>
      </c>
      <c r="FA588" s="67">
        <v>19867.973000000002</v>
      </c>
      <c r="FB588" s="67" t="s">
        <v>4726</v>
      </c>
      <c r="FC588" s="67" t="s">
        <v>4727</v>
      </c>
      <c r="FD588" s="67" t="s">
        <v>4728</v>
      </c>
      <c r="FE588" s="68" t="s">
        <v>4729</v>
      </c>
      <c r="FF588" s="68" t="s">
        <v>4730</v>
      </c>
    </row>
    <row r="589" spans="151:162" x14ac:dyDescent="0.2">
      <c r="EU589" s="67">
        <v>566.79</v>
      </c>
      <c r="EV589" s="67" t="s">
        <v>4731</v>
      </c>
      <c r="EW589" s="67">
        <v>489.91</v>
      </c>
      <c r="EX589" s="67" t="s">
        <v>4732</v>
      </c>
      <c r="EY589" s="67">
        <v>5631.28</v>
      </c>
      <c r="EZ589" s="67" t="s">
        <v>4733</v>
      </c>
      <c r="FA589" s="67">
        <v>19867.973000000002</v>
      </c>
      <c r="FB589" s="67" t="s">
        <v>4734</v>
      </c>
      <c r="FC589" s="67" t="s">
        <v>4735</v>
      </c>
      <c r="FD589" s="67" t="s">
        <v>4736</v>
      </c>
      <c r="FE589" s="68" t="s">
        <v>4737</v>
      </c>
      <c r="FF589" s="68" t="s">
        <v>4738</v>
      </c>
    </row>
    <row r="590" spans="151:162" x14ac:dyDescent="0.2">
      <c r="EU590" s="67">
        <v>566.80999999999995</v>
      </c>
      <c r="EV590" s="67" t="s">
        <v>4739</v>
      </c>
      <c r="EW590" s="67">
        <v>489.93</v>
      </c>
      <c r="EX590" s="67" t="s">
        <v>4740</v>
      </c>
      <c r="EY590" s="67">
        <v>5631.28</v>
      </c>
      <c r="EZ590" s="67" t="s">
        <v>4741</v>
      </c>
      <c r="FA590" s="67">
        <v>19867.973000000002</v>
      </c>
      <c r="FB590" s="67" t="s">
        <v>4742</v>
      </c>
      <c r="FC590" s="67" t="s">
        <v>4743</v>
      </c>
      <c r="FD590" s="67" t="s">
        <v>4744</v>
      </c>
      <c r="FE590" s="68" t="s">
        <v>4745</v>
      </c>
      <c r="FF590" s="68" t="s">
        <v>4746</v>
      </c>
    </row>
    <row r="591" spans="151:162" x14ac:dyDescent="0.2">
      <c r="EU591" s="67">
        <v>566.94000000000005</v>
      </c>
      <c r="EV591" s="67" t="s">
        <v>4747</v>
      </c>
      <c r="EW591" s="67">
        <v>490.08</v>
      </c>
      <c r="EX591" s="67" t="s">
        <v>4748</v>
      </c>
      <c r="EY591" s="67">
        <v>5631.28</v>
      </c>
      <c r="EZ591" s="67" t="s">
        <v>4749</v>
      </c>
      <c r="FA591" s="67">
        <v>19867.973000000002</v>
      </c>
      <c r="FB591" s="67" t="s">
        <v>4750</v>
      </c>
      <c r="FC591" s="67" t="s">
        <v>4751</v>
      </c>
      <c r="FD591" s="67" t="s">
        <v>4752</v>
      </c>
      <c r="FE591" s="68" t="s">
        <v>4753</v>
      </c>
      <c r="FF591" s="68" t="s">
        <v>4754</v>
      </c>
    </row>
    <row r="592" spans="151:162" x14ac:dyDescent="0.2">
      <c r="EU592" s="67">
        <v>566.92999999999995</v>
      </c>
      <c r="EV592" s="67" t="s">
        <v>4755</v>
      </c>
      <c r="EW592" s="67">
        <v>490.04</v>
      </c>
      <c r="EX592" s="67" t="s">
        <v>4756</v>
      </c>
      <c r="EY592" s="67">
        <v>5631.28</v>
      </c>
      <c r="EZ592" s="67" t="s">
        <v>4757</v>
      </c>
      <c r="FA592" s="67">
        <v>19867.973000000002</v>
      </c>
      <c r="FB592" s="67" t="s">
        <v>4758</v>
      </c>
      <c r="FC592" s="67" t="s">
        <v>4759</v>
      </c>
      <c r="FD592" s="67" t="s">
        <v>4760</v>
      </c>
      <c r="FE592" s="68" t="s">
        <v>4761</v>
      </c>
      <c r="FF592" s="68" t="s">
        <v>4762</v>
      </c>
    </row>
    <row r="593" spans="151:162" x14ac:dyDescent="0.2">
      <c r="EU593" s="67">
        <v>566.85</v>
      </c>
      <c r="EV593" s="67" t="s">
        <v>4763</v>
      </c>
      <c r="EW593" s="67">
        <v>489.89</v>
      </c>
      <c r="EX593" s="67" t="s">
        <v>4764</v>
      </c>
      <c r="EY593" s="67">
        <v>5631.28</v>
      </c>
      <c r="EZ593" s="67" t="s">
        <v>4765</v>
      </c>
      <c r="FA593" s="67">
        <v>19867.973000000002</v>
      </c>
      <c r="FB593" s="67" t="s">
        <v>4766</v>
      </c>
      <c r="FC593" s="67" t="s">
        <v>4767</v>
      </c>
      <c r="FD593" s="67" t="s">
        <v>4768</v>
      </c>
      <c r="FE593" s="68" t="s">
        <v>4769</v>
      </c>
      <c r="FF593" s="68" t="s">
        <v>4770</v>
      </c>
    </row>
    <row r="594" spans="151:162" x14ac:dyDescent="0.2">
      <c r="EU594" s="67">
        <v>566.85</v>
      </c>
      <c r="EV594" s="67" t="s">
        <v>4771</v>
      </c>
      <c r="EW594" s="67">
        <v>489.98</v>
      </c>
      <c r="EX594" s="67" t="s">
        <v>4772</v>
      </c>
      <c r="EY594" s="67">
        <v>5631.28</v>
      </c>
      <c r="EZ594" s="67" t="s">
        <v>4773</v>
      </c>
      <c r="FA594" s="67">
        <v>19867.973000000002</v>
      </c>
      <c r="FB594" s="67" t="s">
        <v>4774</v>
      </c>
      <c r="FC594" s="67" t="s">
        <v>4775</v>
      </c>
      <c r="FD594" s="67" t="s">
        <v>4776</v>
      </c>
      <c r="FE594" s="68" t="s">
        <v>4777</v>
      </c>
      <c r="FF594" s="68" t="s">
        <v>4778</v>
      </c>
    </row>
    <row r="595" spans="151:162" x14ac:dyDescent="0.2">
      <c r="EU595" s="67">
        <v>566.84</v>
      </c>
      <c r="EV595" s="67" t="s">
        <v>4779</v>
      </c>
      <c r="EW595" s="67">
        <v>490</v>
      </c>
      <c r="EX595" s="67" t="s">
        <v>4780</v>
      </c>
      <c r="EY595" s="67">
        <v>5631.28</v>
      </c>
      <c r="EZ595" s="67" t="s">
        <v>4781</v>
      </c>
      <c r="FA595" s="67">
        <v>19867.973000000002</v>
      </c>
      <c r="FB595" s="67" t="s">
        <v>4782</v>
      </c>
      <c r="FC595" s="67" t="s">
        <v>4783</v>
      </c>
      <c r="FD595" s="67" t="s">
        <v>4784</v>
      </c>
      <c r="FE595" s="68" t="s">
        <v>4785</v>
      </c>
      <c r="FF595" s="68" t="s">
        <v>4786</v>
      </c>
    </row>
    <row r="596" spans="151:162" x14ac:dyDescent="0.2">
      <c r="EU596" s="67">
        <v>566.80999999999995</v>
      </c>
      <c r="EV596" s="67" t="s">
        <v>4787</v>
      </c>
      <c r="EW596" s="67">
        <v>489.91</v>
      </c>
      <c r="EX596" s="67" t="s">
        <v>4788</v>
      </c>
      <c r="EY596" s="67">
        <v>5631.28</v>
      </c>
      <c r="EZ596" s="67" t="s">
        <v>4789</v>
      </c>
      <c r="FA596" s="67">
        <v>19867.973000000002</v>
      </c>
      <c r="FB596" s="67" t="s">
        <v>4790</v>
      </c>
      <c r="FC596" s="67" t="s">
        <v>4791</v>
      </c>
      <c r="FD596" s="67" t="s">
        <v>4792</v>
      </c>
      <c r="FE596" s="68" t="s">
        <v>4793</v>
      </c>
      <c r="FF596" s="68" t="s">
        <v>4794</v>
      </c>
    </row>
    <row r="597" spans="151:162" x14ac:dyDescent="0.2">
      <c r="EU597" s="67">
        <v>566.9</v>
      </c>
      <c r="EV597" s="67" t="s">
        <v>4795</v>
      </c>
      <c r="EW597" s="67">
        <v>490.03</v>
      </c>
      <c r="EX597" s="67" t="s">
        <v>4796</v>
      </c>
      <c r="EY597" s="67">
        <v>5631.28</v>
      </c>
      <c r="EZ597" s="67" t="s">
        <v>4797</v>
      </c>
      <c r="FA597" s="67">
        <v>19867.973000000002</v>
      </c>
      <c r="FB597" s="67" t="s">
        <v>4798</v>
      </c>
      <c r="FC597" s="67" t="s">
        <v>4799</v>
      </c>
      <c r="FD597" s="67" t="s">
        <v>4800</v>
      </c>
      <c r="FE597" s="68" t="s">
        <v>4801</v>
      </c>
      <c r="FF597" s="68" t="s">
        <v>4802</v>
      </c>
    </row>
    <row r="598" spans="151:162" x14ac:dyDescent="0.2">
      <c r="EU598" s="67">
        <v>566.92999999999995</v>
      </c>
      <c r="EV598" s="67" t="s">
        <v>4803</v>
      </c>
      <c r="EW598" s="67">
        <v>490.05</v>
      </c>
      <c r="EX598" s="67" t="s">
        <v>4804</v>
      </c>
      <c r="EY598" s="67">
        <v>5631.28</v>
      </c>
      <c r="EZ598" s="67" t="s">
        <v>4805</v>
      </c>
      <c r="FA598" s="67">
        <v>19867.973000000002</v>
      </c>
      <c r="FB598" s="67" t="s">
        <v>4806</v>
      </c>
      <c r="FC598" s="67" t="s">
        <v>4807</v>
      </c>
      <c r="FD598" s="67" t="s">
        <v>4808</v>
      </c>
      <c r="FE598" s="68" t="s">
        <v>4809</v>
      </c>
      <c r="FF598" s="68" t="s">
        <v>4810</v>
      </c>
    </row>
    <row r="599" spans="151:162" x14ac:dyDescent="0.2">
      <c r="EU599" s="67">
        <v>566.96</v>
      </c>
      <c r="EV599" s="67" t="s">
        <v>4811</v>
      </c>
      <c r="EW599" s="67">
        <v>490.09</v>
      </c>
      <c r="EX599" s="67" t="s">
        <v>4812</v>
      </c>
      <c r="EY599" s="67">
        <v>5631.28</v>
      </c>
      <c r="EZ599" s="67" t="s">
        <v>4813</v>
      </c>
      <c r="FA599" s="67">
        <v>19867.973000000002</v>
      </c>
      <c r="FB599" s="67" t="s">
        <v>4814</v>
      </c>
      <c r="FC599" s="67" t="s">
        <v>4815</v>
      </c>
      <c r="FD599" s="67" t="s">
        <v>4816</v>
      </c>
      <c r="FE599" s="68" t="s">
        <v>4817</v>
      </c>
      <c r="FF599" s="68" t="s">
        <v>4818</v>
      </c>
    </row>
    <row r="600" spans="151:162" x14ac:dyDescent="0.2">
      <c r="EU600" s="67">
        <v>566.9</v>
      </c>
      <c r="EV600" s="67" t="s">
        <v>4819</v>
      </c>
      <c r="EW600" s="67">
        <v>489.96</v>
      </c>
      <c r="EX600" s="67" t="s">
        <v>4820</v>
      </c>
      <c r="EY600" s="67">
        <v>5631.28</v>
      </c>
      <c r="EZ600" s="67" t="s">
        <v>4821</v>
      </c>
      <c r="FA600" s="67">
        <v>19867.973000000002</v>
      </c>
      <c r="FB600" s="67" t="s">
        <v>4822</v>
      </c>
      <c r="FC600" s="67" t="s">
        <v>4823</v>
      </c>
      <c r="FD600" s="67" t="s">
        <v>4824</v>
      </c>
      <c r="FE600" s="68" t="s">
        <v>4825</v>
      </c>
      <c r="FF600" s="68" t="s">
        <v>4826</v>
      </c>
    </row>
    <row r="601" spans="151:162" x14ac:dyDescent="0.2">
      <c r="EU601" s="67">
        <v>566.98</v>
      </c>
      <c r="EV601" s="67" t="s">
        <v>4827</v>
      </c>
      <c r="EW601" s="67">
        <v>490.05</v>
      </c>
      <c r="EX601" s="67" t="s">
        <v>4828</v>
      </c>
      <c r="EY601" s="67">
        <v>5631.28</v>
      </c>
      <c r="EZ601" s="67" t="s">
        <v>4829</v>
      </c>
      <c r="FA601" s="67">
        <v>19867.973000000002</v>
      </c>
      <c r="FB601" s="67" t="s">
        <v>4830</v>
      </c>
      <c r="FC601" s="67" t="s">
        <v>4831</v>
      </c>
      <c r="FD601" s="67" t="s">
        <v>4832</v>
      </c>
      <c r="FE601" s="68" t="s">
        <v>4833</v>
      </c>
      <c r="FF601" s="68" t="s">
        <v>4834</v>
      </c>
    </row>
    <row r="602" spans="151:162" x14ac:dyDescent="0.2">
      <c r="EU602" s="67">
        <v>566.98</v>
      </c>
      <c r="EV602" s="67" t="s">
        <v>4835</v>
      </c>
      <c r="EW602" s="67">
        <v>490.06</v>
      </c>
      <c r="EX602" s="67" t="s">
        <v>4836</v>
      </c>
      <c r="EY602" s="67">
        <v>5631.28</v>
      </c>
      <c r="EZ602" s="67" t="s">
        <v>4837</v>
      </c>
      <c r="FA602" s="67">
        <v>19867.973000000002</v>
      </c>
      <c r="FB602" s="67" t="s">
        <v>4838</v>
      </c>
      <c r="FC602" s="67" t="s">
        <v>4839</v>
      </c>
      <c r="FD602" s="67" t="s">
        <v>4840</v>
      </c>
      <c r="FE602" s="68" t="s">
        <v>4841</v>
      </c>
      <c r="FF602" s="68" t="s">
        <v>4842</v>
      </c>
    </row>
    <row r="603" spans="151:162" x14ac:dyDescent="0.2">
      <c r="EU603" s="67">
        <v>566.96</v>
      </c>
      <c r="EV603" s="67" t="s">
        <v>4843</v>
      </c>
      <c r="EW603" s="67">
        <v>490.07</v>
      </c>
      <c r="EX603" s="67" t="s">
        <v>4844</v>
      </c>
      <c r="EY603" s="67">
        <v>5631.28</v>
      </c>
      <c r="EZ603" s="67" t="s">
        <v>4845</v>
      </c>
      <c r="FA603" s="67">
        <v>19867.973000000002</v>
      </c>
      <c r="FB603" s="67" t="s">
        <v>4846</v>
      </c>
      <c r="FC603" s="67" t="s">
        <v>4847</v>
      </c>
      <c r="FD603" s="67" t="s">
        <v>4848</v>
      </c>
      <c r="FE603" s="68" t="s">
        <v>4849</v>
      </c>
      <c r="FF603" s="68" t="s">
        <v>4850</v>
      </c>
    </row>
    <row r="604" spans="151:162" x14ac:dyDescent="0.2">
      <c r="EU604" s="67">
        <v>566.88</v>
      </c>
      <c r="EV604" s="67" t="s">
        <v>4851</v>
      </c>
      <c r="EW604" s="67">
        <v>490</v>
      </c>
      <c r="EX604" s="67" t="s">
        <v>4852</v>
      </c>
      <c r="EY604" s="67">
        <v>5631.28</v>
      </c>
      <c r="EZ604" s="67" t="s">
        <v>4853</v>
      </c>
      <c r="FA604" s="67">
        <v>19867.973000000002</v>
      </c>
      <c r="FB604" s="67" t="s">
        <v>4854</v>
      </c>
      <c r="FC604" s="67" t="s">
        <v>4855</v>
      </c>
      <c r="FD604" s="67" t="s">
        <v>4856</v>
      </c>
      <c r="FE604" s="68" t="s">
        <v>4857</v>
      </c>
      <c r="FF604" s="68" t="s">
        <v>4858</v>
      </c>
    </row>
    <row r="605" spans="151:162" x14ac:dyDescent="0.2">
      <c r="EU605" s="67">
        <v>566.86</v>
      </c>
      <c r="EV605" s="67" t="s">
        <v>4859</v>
      </c>
      <c r="EW605" s="67">
        <v>489.94</v>
      </c>
      <c r="EX605" s="67" t="s">
        <v>4860</v>
      </c>
      <c r="EY605" s="67">
        <v>5631.28</v>
      </c>
      <c r="EZ605" s="67" t="s">
        <v>4861</v>
      </c>
      <c r="FA605" s="67">
        <v>19867.973000000002</v>
      </c>
      <c r="FB605" s="67" t="s">
        <v>4862</v>
      </c>
      <c r="FC605" s="67" t="s">
        <v>4863</v>
      </c>
      <c r="FD605" s="67" t="s">
        <v>4864</v>
      </c>
      <c r="FE605" s="68" t="s">
        <v>4865</v>
      </c>
      <c r="FF605" s="68" t="s">
        <v>4866</v>
      </c>
    </row>
    <row r="606" spans="151:162" x14ac:dyDescent="0.2">
      <c r="EU606" s="67">
        <v>566.82000000000005</v>
      </c>
      <c r="EV606" s="67" t="s">
        <v>4867</v>
      </c>
      <c r="EW606" s="67">
        <v>489.88</v>
      </c>
      <c r="EX606" s="67" t="s">
        <v>4868</v>
      </c>
      <c r="EY606" s="67">
        <v>5631.28</v>
      </c>
      <c r="EZ606" s="67" t="s">
        <v>4869</v>
      </c>
      <c r="FA606" s="67">
        <v>19867.973000000002</v>
      </c>
      <c r="FB606" s="67" t="s">
        <v>4870</v>
      </c>
      <c r="FC606" s="67" t="s">
        <v>4871</v>
      </c>
      <c r="FD606" s="67" t="s">
        <v>4872</v>
      </c>
      <c r="FE606" s="68" t="s">
        <v>4873</v>
      </c>
      <c r="FF606" s="68" t="s">
        <v>4874</v>
      </c>
    </row>
    <row r="607" spans="151:162" x14ac:dyDescent="0.2">
      <c r="EU607" s="67">
        <v>566.80999999999995</v>
      </c>
      <c r="EV607" s="67" t="s">
        <v>4875</v>
      </c>
      <c r="EW607" s="67">
        <v>489.87</v>
      </c>
      <c r="EX607" s="67" t="s">
        <v>4876</v>
      </c>
      <c r="EY607" s="67">
        <v>5631.28</v>
      </c>
      <c r="EZ607" s="67" t="s">
        <v>4877</v>
      </c>
      <c r="FA607" s="67">
        <v>19867.973000000002</v>
      </c>
      <c r="FB607" s="67" t="s">
        <v>4878</v>
      </c>
      <c r="FC607" s="67" t="s">
        <v>4879</v>
      </c>
      <c r="FD607" s="67" t="s">
        <v>4880</v>
      </c>
      <c r="FE607" s="68" t="s">
        <v>4881</v>
      </c>
      <c r="FF607" s="68" t="s">
        <v>4882</v>
      </c>
    </row>
    <row r="608" spans="151:162" x14ac:dyDescent="0.2">
      <c r="EU608" s="67">
        <v>566.79</v>
      </c>
      <c r="EV608" s="67" t="s">
        <v>4883</v>
      </c>
      <c r="EW608" s="67">
        <v>489.85</v>
      </c>
      <c r="EX608" s="67" t="s">
        <v>4884</v>
      </c>
      <c r="EY608" s="67">
        <v>5631.28</v>
      </c>
      <c r="EZ608" s="67" t="s">
        <v>4885</v>
      </c>
      <c r="FA608" s="67">
        <v>19867.973000000002</v>
      </c>
      <c r="FB608" s="67" t="s">
        <v>4886</v>
      </c>
      <c r="FC608" s="67" t="s">
        <v>4887</v>
      </c>
      <c r="FD608" s="67" t="s">
        <v>4888</v>
      </c>
      <c r="FE608" s="68" t="s">
        <v>4889</v>
      </c>
      <c r="FF608" s="68" t="s">
        <v>4890</v>
      </c>
    </row>
    <row r="609" spans="151:162" x14ac:dyDescent="0.2">
      <c r="EU609" s="67">
        <v>566.78</v>
      </c>
      <c r="EV609" s="67" t="s">
        <v>4891</v>
      </c>
      <c r="EW609" s="67">
        <v>489.84</v>
      </c>
      <c r="EX609" s="67" t="s">
        <v>4892</v>
      </c>
      <c r="EY609" s="67">
        <v>5631.28</v>
      </c>
      <c r="EZ609" s="67" t="s">
        <v>4893</v>
      </c>
      <c r="FA609" s="67">
        <v>19867.973000000002</v>
      </c>
      <c r="FB609" s="67" t="s">
        <v>4894</v>
      </c>
      <c r="FC609" s="67" t="s">
        <v>4895</v>
      </c>
      <c r="FD609" s="67" t="s">
        <v>4896</v>
      </c>
      <c r="FE609" s="68" t="s">
        <v>4897</v>
      </c>
      <c r="FF609" s="68" t="s">
        <v>4898</v>
      </c>
    </row>
    <row r="610" spans="151:162" x14ac:dyDescent="0.2">
      <c r="EU610" s="67">
        <v>566.82000000000005</v>
      </c>
      <c r="EV610" s="67" t="s">
        <v>4899</v>
      </c>
      <c r="EW610" s="67">
        <v>489.88</v>
      </c>
      <c r="EX610" s="67" t="s">
        <v>4900</v>
      </c>
      <c r="EY610" s="67">
        <v>5631.28</v>
      </c>
      <c r="EZ610" s="67" t="s">
        <v>4901</v>
      </c>
      <c r="FA610" s="67">
        <v>19867.973000000002</v>
      </c>
      <c r="FB610" s="67" t="s">
        <v>4902</v>
      </c>
      <c r="FC610" s="67" t="s">
        <v>4903</v>
      </c>
      <c r="FD610" s="67" t="s">
        <v>4904</v>
      </c>
      <c r="FE610" s="68" t="s">
        <v>4905</v>
      </c>
      <c r="FF610" s="68" t="s">
        <v>4906</v>
      </c>
    </row>
    <row r="611" spans="151:162" x14ac:dyDescent="0.2">
      <c r="EU611" s="67">
        <v>566.78</v>
      </c>
      <c r="EV611" s="67" t="s">
        <v>4907</v>
      </c>
      <c r="EW611" s="67">
        <v>489.81</v>
      </c>
      <c r="EX611" s="67" t="s">
        <v>4908</v>
      </c>
      <c r="EY611" s="67">
        <v>5631.28</v>
      </c>
      <c r="EZ611" s="67" t="s">
        <v>4909</v>
      </c>
      <c r="FA611" s="67">
        <v>19867.973000000002</v>
      </c>
      <c r="FB611" s="67" t="s">
        <v>4910</v>
      </c>
      <c r="FC611" s="67" t="s">
        <v>4911</v>
      </c>
      <c r="FD611" s="67" t="s">
        <v>4912</v>
      </c>
      <c r="FE611" s="68" t="s">
        <v>4913</v>
      </c>
      <c r="FF611" s="68" t="s">
        <v>4914</v>
      </c>
    </row>
    <row r="612" spans="151:162" x14ac:dyDescent="0.2">
      <c r="EU612" s="67">
        <v>566.77</v>
      </c>
      <c r="EV612" s="67" t="s">
        <v>4915</v>
      </c>
      <c r="EW612" s="67">
        <v>489.85</v>
      </c>
      <c r="EX612" s="67" t="s">
        <v>4916</v>
      </c>
      <c r="EY612" s="67">
        <v>5631.28</v>
      </c>
      <c r="EZ612" s="67" t="s">
        <v>4917</v>
      </c>
      <c r="FA612" s="67">
        <v>19867.973000000002</v>
      </c>
      <c r="FB612" s="67" t="s">
        <v>4918</v>
      </c>
      <c r="FC612" s="67" t="s">
        <v>4919</v>
      </c>
      <c r="FD612" s="67" t="s">
        <v>4920</v>
      </c>
      <c r="FE612" s="68" t="s">
        <v>4921</v>
      </c>
      <c r="FF612" s="68" t="s">
        <v>4922</v>
      </c>
    </row>
    <row r="613" spans="151:162" x14ac:dyDescent="0.2">
      <c r="EU613" s="67">
        <v>566.84</v>
      </c>
      <c r="EV613" s="67" t="s">
        <v>4923</v>
      </c>
      <c r="EW613" s="67">
        <v>489.94</v>
      </c>
      <c r="EX613" s="67" t="s">
        <v>4924</v>
      </c>
      <c r="EY613" s="67">
        <v>5631.28</v>
      </c>
      <c r="EZ613" s="67" t="s">
        <v>4925</v>
      </c>
      <c r="FA613" s="67">
        <v>19867.973000000002</v>
      </c>
      <c r="FB613" s="67" t="s">
        <v>4926</v>
      </c>
      <c r="FC613" s="67" t="s">
        <v>4927</v>
      </c>
      <c r="FD613" s="67" t="s">
        <v>4928</v>
      </c>
      <c r="FE613" s="68" t="s">
        <v>4929</v>
      </c>
      <c r="FF613" s="68" t="s">
        <v>4930</v>
      </c>
    </row>
    <row r="614" spans="151:162" x14ac:dyDescent="0.2">
      <c r="EU614" s="67">
        <v>566.77</v>
      </c>
      <c r="EV614" s="67" t="s">
        <v>4931</v>
      </c>
      <c r="EW614" s="67">
        <v>489.84</v>
      </c>
      <c r="EX614" s="67" t="s">
        <v>4932</v>
      </c>
      <c r="EY614" s="67">
        <v>5631.28</v>
      </c>
      <c r="EZ614" s="67" t="s">
        <v>4933</v>
      </c>
      <c r="FA614" s="67">
        <v>19867.973000000002</v>
      </c>
      <c r="FB614" s="67" t="s">
        <v>4934</v>
      </c>
      <c r="FC614" s="67" t="s">
        <v>4935</v>
      </c>
      <c r="FD614" s="67" t="s">
        <v>4936</v>
      </c>
      <c r="FE614" s="68" t="s">
        <v>4937</v>
      </c>
      <c r="FF614" s="68" t="s">
        <v>4938</v>
      </c>
    </row>
    <row r="615" spans="151:162" x14ac:dyDescent="0.2">
      <c r="EU615" s="67">
        <v>566.76</v>
      </c>
      <c r="EV615" s="67" t="s">
        <v>4939</v>
      </c>
      <c r="EW615" s="67">
        <v>489.81</v>
      </c>
      <c r="EX615" s="67" t="s">
        <v>4940</v>
      </c>
      <c r="EY615" s="67">
        <v>5631.28</v>
      </c>
      <c r="EZ615" s="67" t="s">
        <v>4941</v>
      </c>
      <c r="FA615" s="67">
        <v>19867.973000000002</v>
      </c>
      <c r="FB615" s="67" t="s">
        <v>4942</v>
      </c>
      <c r="FC615" s="67" t="s">
        <v>4943</v>
      </c>
      <c r="FD615" s="67" t="s">
        <v>4944</v>
      </c>
      <c r="FE615" s="68" t="s">
        <v>4945</v>
      </c>
      <c r="FF615" s="68" t="s">
        <v>4946</v>
      </c>
    </row>
    <row r="616" spans="151:162" x14ac:dyDescent="0.2">
      <c r="EU616" s="67">
        <v>566.72</v>
      </c>
      <c r="EV616" s="67" t="s">
        <v>4947</v>
      </c>
      <c r="EW616" s="67">
        <v>489.8</v>
      </c>
      <c r="EX616" s="67" t="s">
        <v>4948</v>
      </c>
      <c r="EY616" s="67">
        <v>5631.28</v>
      </c>
      <c r="EZ616" s="67" t="s">
        <v>4949</v>
      </c>
      <c r="FA616" s="67">
        <v>19867.973000000002</v>
      </c>
      <c r="FB616" s="67" t="s">
        <v>4950</v>
      </c>
      <c r="FC616" s="67" t="s">
        <v>4951</v>
      </c>
      <c r="FD616" s="67" t="s">
        <v>4952</v>
      </c>
      <c r="FE616" s="68" t="s">
        <v>4953</v>
      </c>
      <c r="FF616" s="68" t="s">
        <v>4954</v>
      </c>
    </row>
    <row r="617" spans="151:162" x14ac:dyDescent="0.2">
      <c r="EU617" s="67">
        <v>566.74</v>
      </c>
      <c r="EV617" s="67" t="s">
        <v>4955</v>
      </c>
      <c r="EW617" s="67">
        <v>489.81</v>
      </c>
      <c r="EX617" s="67" t="s">
        <v>4956</v>
      </c>
      <c r="EY617" s="67">
        <v>5631.28</v>
      </c>
      <c r="EZ617" s="67" t="s">
        <v>4957</v>
      </c>
      <c r="FA617" s="67">
        <v>19867.973000000002</v>
      </c>
      <c r="FB617" s="67" t="s">
        <v>4958</v>
      </c>
      <c r="FC617" s="67" t="s">
        <v>4959</v>
      </c>
      <c r="FD617" s="67" t="s">
        <v>4960</v>
      </c>
      <c r="FE617" s="68" t="s">
        <v>4961</v>
      </c>
      <c r="FF617" s="68" t="s">
        <v>4962</v>
      </c>
    </row>
    <row r="618" spans="151:162" x14ac:dyDescent="0.2">
      <c r="EU618" s="67">
        <v>566.75</v>
      </c>
      <c r="EV618" s="67" t="s">
        <v>4963</v>
      </c>
      <c r="EW618" s="67">
        <v>489.83</v>
      </c>
      <c r="EX618" s="67" t="s">
        <v>4964</v>
      </c>
      <c r="EY618" s="67">
        <v>5631.28</v>
      </c>
      <c r="EZ618" s="67" t="s">
        <v>4965</v>
      </c>
      <c r="FA618" s="67">
        <v>19867.973000000002</v>
      </c>
      <c r="FB618" s="67" t="s">
        <v>4966</v>
      </c>
      <c r="FC618" s="67" t="s">
        <v>4967</v>
      </c>
      <c r="FD618" s="67" t="s">
        <v>4968</v>
      </c>
      <c r="FE618" s="68" t="s">
        <v>4969</v>
      </c>
      <c r="FF618" s="68" t="s">
        <v>4970</v>
      </c>
    </row>
    <row r="619" spans="151:162" x14ac:dyDescent="0.2">
      <c r="EU619" s="67">
        <v>566.94000000000005</v>
      </c>
      <c r="EV619" s="67" t="s">
        <v>4971</v>
      </c>
      <c r="EW619" s="67">
        <v>490.08</v>
      </c>
      <c r="EX619" s="67" t="s">
        <v>4972</v>
      </c>
      <c r="EY619" s="67">
        <v>5631.28</v>
      </c>
      <c r="EZ619" s="67" t="s">
        <v>4973</v>
      </c>
      <c r="FA619" s="67">
        <v>19867.973000000002</v>
      </c>
      <c r="FB619" s="67" t="s">
        <v>4974</v>
      </c>
      <c r="FC619" s="67" t="s">
        <v>4975</v>
      </c>
      <c r="FD619" s="67" t="s">
        <v>4976</v>
      </c>
      <c r="FE619" s="68" t="s">
        <v>4977</v>
      </c>
      <c r="FF619" s="68" t="s">
        <v>4978</v>
      </c>
    </row>
    <row r="620" spans="151:162" x14ac:dyDescent="0.2">
      <c r="EU620" s="67">
        <v>566.95000000000005</v>
      </c>
      <c r="EV620" s="67" t="s">
        <v>4979</v>
      </c>
      <c r="EW620" s="67">
        <v>490.09</v>
      </c>
      <c r="EX620" s="67" t="s">
        <v>4980</v>
      </c>
      <c r="EY620" s="67">
        <v>5631.28</v>
      </c>
      <c r="EZ620" s="67" t="s">
        <v>4981</v>
      </c>
      <c r="FA620" s="67">
        <v>19867.973000000002</v>
      </c>
      <c r="FB620" s="67" t="s">
        <v>4982</v>
      </c>
      <c r="FC620" s="67" t="s">
        <v>4983</v>
      </c>
      <c r="FD620" s="67" t="s">
        <v>4984</v>
      </c>
      <c r="FE620" s="68" t="s">
        <v>4985</v>
      </c>
      <c r="FF620" s="68" t="s">
        <v>4986</v>
      </c>
    </row>
    <row r="621" spans="151:162" x14ac:dyDescent="0.2">
      <c r="EU621" s="67">
        <v>566.89</v>
      </c>
      <c r="EV621" s="67" t="s">
        <v>4987</v>
      </c>
      <c r="EW621" s="67">
        <v>490.02</v>
      </c>
      <c r="EX621" s="67" t="s">
        <v>4988</v>
      </c>
      <c r="EY621" s="67">
        <v>5631.28</v>
      </c>
      <c r="EZ621" s="67" t="s">
        <v>4989</v>
      </c>
      <c r="FA621" s="67">
        <v>19867.973000000002</v>
      </c>
      <c r="FB621" s="67" t="s">
        <v>4990</v>
      </c>
      <c r="FC621" s="67" t="s">
        <v>4991</v>
      </c>
      <c r="FD621" s="67" t="s">
        <v>4992</v>
      </c>
      <c r="FE621" s="68" t="s">
        <v>4993</v>
      </c>
      <c r="FF621" s="68" t="s">
        <v>4994</v>
      </c>
    </row>
    <row r="622" spans="151:162" x14ac:dyDescent="0.2">
      <c r="EU622" s="67">
        <v>566.96</v>
      </c>
      <c r="EV622" s="67" t="s">
        <v>4995</v>
      </c>
      <c r="EW622" s="67">
        <v>490.07</v>
      </c>
      <c r="EX622" s="67" t="s">
        <v>4996</v>
      </c>
      <c r="EY622" s="67">
        <v>5631.28</v>
      </c>
      <c r="EZ622" s="67" t="s">
        <v>4997</v>
      </c>
      <c r="FA622" s="67">
        <v>19867.973000000002</v>
      </c>
      <c r="FB622" s="67" t="s">
        <v>4998</v>
      </c>
      <c r="FC622" s="67" t="s">
        <v>4999</v>
      </c>
      <c r="FD622" s="67" t="s">
        <v>5000</v>
      </c>
      <c r="FE622" s="68" t="s">
        <v>5001</v>
      </c>
      <c r="FF622" s="68" t="s">
        <v>5002</v>
      </c>
    </row>
    <row r="623" spans="151:162" x14ac:dyDescent="0.2">
      <c r="EU623" s="67">
        <v>567.04</v>
      </c>
      <c r="EV623" s="67" t="s">
        <v>5003</v>
      </c>
      <c r="EW623" s="67">
        <v>490.23</v>
      </c>
      <c r="EX623" s="67" t="s">
        <v>5004</v>
      </c>
      <c r="EY623" s="67">
        <v>5631.28</v>
      </c>
      <c r="EZ623" s="67" t="s">
        <v>5005</v>
      </c>
      <c r="FA623" s="67">
        <v>19867.973000000002</v>
      </c>
      <c r="FB623" s="67" t="s">
        <v>5006</v>
      </c>
      <c r="FC623" s="67" t="s">
        <v>5007</v>
      </c>
      <c r="FD623" s="67" t="s">
        <v>5008</v>
      </c>
      <c r="FE623" s="68" t="s">
        <v>5009</v>
      </c>
      <c r="FF623" s="68" t="s">
        <v>5010</v>
      </c>
    </row>
    <row r="624" spans="151:162" x14ac:dyDescent="0.2">
      <c r="EU624" s="67">
        <v>567.04</v>
      </c>
      <c r="EV624" s="67" t="s">
        <v>5011</v>
      </c>
      <c r="EW624" s="67">
        <v>490.24</v>
      </c>
      <c r="EX624" s="67" t="s">
        <v>5012</v>
      </c>
      <c r="EY624" s="67">
        <v>5631.28</v>
      </c>
      <c r="EZ624" s="67" t="s">
        <v>5013</v>
      </c>
      <c r="FA624" s="67">
        <v>19867.973000000002</v>
      </c>
      <c r="FB624" s="67" t="s">
        <v>5014</v>
      </c>
      <c r="FC624" s="67" t="s">
        <v>5015</v>
      </c>
      <c r="FD624" s="67" t="s">
        <v>5016</v>
      </c>
      <c r="FE624" s="68" t="s">
        <v>5017</v>
      </c>
      <c r="FF624" s="68" t="s">
        <v>5018</v>
      </c>
    </row>
    <row r="625" spans="151:162" x14ac:dyDescent="0.2">
      <c r="EU625" s="67">
        <v>567.17999999999995</v>
      </c>
      <c r="EV625" s="67" t="s">
        <v>5019</v>
      </c>
      <c r="EW625" s="67">
        <v>490.3</v>
      </c>
      <c r="EX625" s="67" t="s">
        <v>5020</v>
      </c>
      <c r="EY625" s="67">
        <v>5631.28</v>
      </c>
      <c r="EZ625" s="67" t="s">
        <v>5021</v>
      </c>
      <c r="FA625" s="67">
        <v>19867.973000000002</v>
      </c>
      <c r="FB625" s="67" t="s">
        <v>5022</v>
      </c>
      <c r="FC625" s="67" t="s">
        <v>5023</v>
      </c>
      <c r="FD625" s="67" t="s">
        <v>5024</v>
      </c>
      <c r="FE625" s="68" t="s">
        <v>5025</v>
      </c>
      <c r="FF625" s="68" t="s">
        <v>5026</v>
      </c>
    </row>
    <row r="626" spans="151:162" x14ac:dyDescent="0.2">
      <c r="EU626" s="67">
        <v>567.19000000000005</v>
      </c>
      <c r="EV626" s="67" t="s">
        <v>5027</v>
      </c>
      <c r="EW626" s="67">
        <v>490.3</v>
      </c>
      <c r="EX626" s="67" t="s">
        <v>5028</v>
      </c>
      <c r="EY626" s="67">
        <v>5631.28</v>
      </c>
      <c r="EZ626" s="67" t="s">
        <v>5029</v>
      </c>
      <c r="FA626" s="67">
        <v>19867.973000000002</v>
      </c>
      <c r="FB626" s="67" t="s">
        <v>5030</v>
      </c>
      <c r="FC626" s="67" t="s">
        <v>5031</v>
      </c>
      <c r="FD626" s="67" t="s">
        <v>5032</v>
      </c>
      <c r="FE626" s="68" t="s">
        <v>5033</v>
      </c>
      <c r="FF626" s="68" t="s">
        <v>5034</v>
      </c>
    </row>
    <row r="627" spans="151:162" x14ac:dyDescent="0.2">
      <c r="EU627" s="67">
        <v>567.20000000000005</v>
      </c>
      <c r="EV627" s="67" t="s">
        <v>5035</v>
      </c>
      <c r="EW627" s="67">
        <v>490.25</v>
      </c>
      <c r="EX627" s="67" t="s">
        <v>5036</v>
      </c>
      <c r="EY627" s="67">
        <v>5631.28</v>
      </c>
      <c r="EZ627" s="67" t="s">
        <v>5037</v>
      </c>
      <c r="FA627" s="67">
        <v>19867.973000000002</v>
      </c>
      <c r="FB627" s="67" t="s">
        <v>5038</v>
      </c>
      <c r="FC627" s="67" t="s">
        <v>5039</v>
      </c>
      <c r="FD627" s="67" t="s">
        <v>5040</v>
      </c>
      <c r="FE627" s="68" t="s">
        <v>5041</v>
      </c>
      <c r="FF627" s="68" t="s">
        <v>5042</v>
      </c>
    </row>
    <row r="628" spans="151:162" x14ac:dyDescent="0.2">
      <c r="EU628" s="67">
        <v>567.17999999999995</v>
      </c>
      <c r="EV628" s="67" t="s">
        <v>5043</v>
      </c>
      <c r="EW628" s="67">
        <v>490.31</v>
      </c>
      <c r="EX628" s="67" t="s">
        <v>5044</v>
      </c>
      <c r="EY628" s="67">
        <v>5631.28</v>
      </c>
      <c r="EZ628" s="67" t="s">
        <v>5045</v>
      </c>
      <c r="FA628" s="67">
        <v>19867.973000000002</v>
      </c>
      <c r="FB628" s="67" t="s">
        <v>5046</v>
      </c>
      <c r="FC628" s="67" t="s">
        <v>5047</v>
      </c>
      <c r="FD628" s="67" t="s">
        <v>5048</v>
      </c>
      <c r="FE628" s="68" t="s">
        <v>5049</v>
      </c>
      <c r="FF628" s="68" t="s">
        <v>5050</v>
      </c>
    </row>
    <row r="629" spans="151:162" x14ac:dyDescent="0.2">
      <c r="EU629" s="67">
        <v>567.25</v>
      </c>
      <c r="EV629" s="67" t="s">
        <v>5051</v>
      </c>
      <c r="EW629" s="67">
        <v>490.39</v>
      </c>
      <c r="EX629" s="67" t="s">
        <v>5052</v>
      </c>
      <c r="EY629" s="67">
        <v>5631.28</v>
      </c>
      <c r="EZ629" s="67" t="s">
        <v>5053</v>
      </c>
      <c r="FA629" s="67">
        <v>19867.973000000002</v>
      </c>
      <c r="FB629" s="67" t="s">
        <v>5054</v>
      </c>
      <c r="FC629" s="67" t="s">
        <v>5055</v>
      </c>
      <c r="FD629" s="67" t="s">
        <v>5056</v>
      </c>
      <c r="FE629" s="68" t="s">
        <v>5057</v>
      </c>
      <c r="FF629" s="68" t="s">
        <v>5058</v>
      </c>
    </row>
    <row r="630" spans="151:162" x14ac:dyDescent="0.2">
      <c r="EU630" s="67">
        <v>567.32000000000005</v>
      </c>
      <c r="EV630" s="67" t="s">
        <v>5059</v>
      </c>
      <c r="EW630" s="67">
        <v>490.44</v>
      </c>
      <c r="EX630" s="67" t="s">
        <v>5060</v>
      </c>
      <c r="EY630" s="67">
        <v>5631.28</v>
      </c>
      <c r="EZ630" s="67" t="s">
        <v>5061</v>
      </c>
      <c r="FA630" s="67">
        <v>19867.973000000002</v>
      </c>
      <c r="FB630" s="67" t="s">
        <v>5062</v>
      </c>
      <c r="FC630" s="67" t="s">
        <v>5063</v>
      </c>
      <c r="FD630" s="67" t="s">
        <v>5064</v>
      </c>
      <c r="FE630" s="68" t="s">
        <v>5065</v>
      </c>
      <c r="FF630" s="68" t="s">
        <v>5066</v>
      </c>
    </row>
    <row r="631" spans="151:162" x14ac:dyDescent="0.2">
      <c r="EU631" s="67">
        <v>567.24</v>
      </c>
      <c r="EV631" s="67" t="s">
        <v>5067</v>
      </c>
      <c r="EW631" s="67">
        <v>490.38</v>
      </c>
      <c r="EX631" s="67" t="s">
        <v>5068</v>
      </c>
      <c r="EY631" s="67">
        <v>5631.28</v>
      </c>
      <c r="EZ631" s="67" t="s">
        <v>5069</v>
      </c>
      <c r="FA631" s="67">
        <v>19867.973000000002</v>
      </c>
      <c r="FB631" s="67" t="s">
        <v>5070</v>
      </c>
      <c r="FC631" s="67" t="s">
        <v>5071</v>
      </c>
      <c r="FD631" s="67" t="s">
        <v>5072</v>
      </c>
      <c r="FE631" s="68" t="s">
        <v>5073</v>
      </c>
      <c r="FF631" s="68" t="s">
        <v>5074</v>
      </c>
    </row>
    <row r="632" spans="151:162" x14ac:dyDescent="0.2">
      <c r="EU632" s="67">
        <v>567.21</v>
      </c>
      <c r="EV632" s="67" t="s">
        <v>5075</v>
      </c>
      <c r="EW632" s="67">
        <v>490.33</v>
      </c>
      <c r="EX632" s="67" t="s">
        <v>5076</v>
      </c>
      <c r="EY632" s="67">
        <v>5631.28</v>
      </c>
      <c r="EZ632" s="67" t="s">
        <v>5077</v>
      </c>
      <c r="FA632" s="67">
        <v>19867.973000000002</v>
      </c>
      <c r="FB632" s="67" t="s">
        <v>5078</v>
      </c>
      <c r="FC632" s="67" t="s">
        <v>5079</v>
      </c>
      <c r="FD632" s="67" t="s">
        <v>5080</v>
      </c>
      <c r="FE632" s="68" t="s">
        <v>5081</v>
      </c>
      <c r="FF632" s="68" t="s">
        <v>5082</v>
      </c>
    </row>
    <row r="633" spans="151:162" x14ac:dyDescent="0.2">
      <c r="EU633" s="67">
        <v>567.26</v>
      </c>
      <c r="EV633" s="67" t="s">
        <v>5083</v>
      </c>
      <c r="EW633" s="67">
        <v>490.4</v>
      </c>
      <c r="EX633" s="67" t="s">
        <v>5084</v>
      </c>
      <c r="EY633" s="67">
        <v>5631.28</v>
      </c>
      <c r="EZ633" s="67" t="s">
        <v>5085</v>
      </c>
      <c r="FA633" s="67">
        <v>19867.973000000002</v>
      </c>
      <c r="FB633" s="67" t="s">
        <v>5086</v>
      </c>
      <c r="FC633" s="67" t="s">
        <v>5087</v>
      </c>
      <c r="FD633" s="67" t="s">
        <v>5088</v>
      </c>
      <c r="FE633" s="68" t="s">
        <v>5089</v>
      </c>
      <c r="FF633" s="68" t="s">
        <v>5090</v>
      </c>
    </row>
    <row r="634" spans="151:162" x14ac:dyDescent="0.2">
      <c r="EU634" s="67">
        <v>567.17999999999995</v>
      </c>
      <c r="EV634" s="67" t="s">
        <v>5091</v>
      </c>
      <c r="EW634" s="67">
        <v>490.31</v>
      </c>
      <c r="EX634" s="67" t="s">
        <v>5092</v>
      </c>
      <c r="EY634" s="67">
        <v>5631.28</v>
      </c>
      <c r="EZ634" s="67" t="s">
        <v>5093</v>
      </c>
      <c r="FA634" s="67">
        <v>19867.973000000002</v>
      </c>
      <c r="FB634" s="67" t="s">
        <v>5094</v>
      </c>
      <c r="FC634" s="67" t="s">
        <v>5095</v>
      </c>
      <c r="FD634" s="67" t="s">
        <v>5096</v>
      </c>
      <c r="FE634" s="68" t="s">
        <v>5097</v>
      </c>
      <c r="FF634" s="68" t="s">
        <v>5098</v>
      </c>
    </row>
    <row r="635" spans="151:162" x14ac:dyDescent="0.2">
      <c r="EU635" s="67">
        <v>567.29</v>
      </c>
      <c r="EV635" s="67" t="s">
        <v>5099</v>
      </c>
      <c r="EW635" s="67">
        <v>490.41</v>
      </c>
      <c r="EX635" s="67" t="s">
        <v>5100</v>
      </c>
      <c r="EY635" s="67">
        <v>5631.28</v>
      </c>
      <c r="EZ635" s="67" t="s">
        <v>5101</v>
      </c>
      <c r="FA635" s="67">
        <v>19867.973000000002</v>
      </c>
      <c r="FB635" s="67" t="s">
        <v>5102</v>
      </c>
      <c r="FC635" s="67" t="s">
        <v>5103</v>
      </c>
      <c r="FD635" s="67" t="s">
        <v>5104</v>
      </c>
      <c r="FE635" s="68" t="s">
        <v>5105</v>
      </c>
      <c r="FF635" s="68" t="s">
        <v>5106</v>
      </c>
    </row>
    <row r="636" spans="151:162" x14ac:dyDescent="0.2">
      <c r="EU636" s="67">
        <v>567.34</v>
      </c>
      <c r="EV636" s="67" t="s">
        <v>5107</v>
      </c>
      <c r="EW636" s="67">
        <v>490.46</v>
      </c>
      <c r="EX636" s="67" t="s">
        <v>5108</v>
      </c>
      <c r="EY636" s="67">
        <v>5631.28</v>
      </c>
      <c r="EZ636" s="67" t="s">
        <v>5109</v>
      </c>
      <c r="FA636" s="67">
        <v>19867.973000000002</v>
      </c>
      <c r="FB636" s="67" t="s">
        <v>5110</v>
      </c>
      <c r="FC636" s="67" t="s">
        <v>5111</v>
      </c>
      <c r="FD636" s="67" t="s">
        <v>5112</v>
      </c>
      <c r="FE636" s="68" t="s">
        <v>5113</v>
      </c>
      <c r="FF636" s="68" t="s">
        <v>5114</v>
      </c>
    </row>
    <row r="637" spans="151:162" x14ac:dyDescent="0.2">
      <c r="EU637" s="67">
        <v>567.37</v>
      </c>
      <c r="EV637" s="67" t="s">
        <v>5115</v>
      </c>
      <c r="EW637" s="67">
        <v>490.45</v>
      </c>
      <c r="EX637" s="67" t="s">
        <v>5116</v>
      </c>
      <c r="EY637" s="67">
        <v>5631.28</v>
      </c>
      <c r="EZ637" s="67" t="s">
        <v>5117</v>
      </c>
      <c r="FA637" s="67">
        <v>19867.973000000002</v>
      </c>
      <c r="FB637" s="67" t="s">
        <v>5118</v>
      </c>
      <c r="FC637" s="67" t="s">
        <v>5119</v>
      </c>
      <c r="FD637" s="67" t="s">
        <v>5120</v>
      </c>
      <c r="FE637" s="68" t="s">
        <v>5121</v>
      </c>
      <c r="FF637" s="68" t="s">
        <v>5122</v>
      </c>
    </row>
    <row r="638" spans="151:162" x14ac:dyDescent="0.2">
      <c r="EU638" s="67">
        <v>567.45000000000005</v>
      </c>
      <c r="EV638" s="67" t="s">
        <v>5123</v>
      </c>
      <c r="EW638" s="67">
        <v>490.56</v>
      </c>
      <c r="EX638" s="67" t="s">
        <v>5124</v>
      </c>
      <c r="EY638" s="67">
        <v>5631.28</v>
      </c>
      <c r="EZ638" s="67" t="s">
        <v>5125</v>
      </c>
      <c r="FA638" s="67">
        <v>19867.973000000002</v>
      </c>
      <c r="FB638" s="67" t="s">
        <v>5126</v>
      </c>
      <c r="FC638" s="67" t="s">
        <v>5127</v>
      </c>
      <c r="FD638" s="67" t="s">
        <v>5128</v>
      </c>
      <c r="FE638" s="68" t="s">
        <v>5129</v>
      </c>
      <c r="FF638" s="68" t="s">
        <v>5130</v>
      </c>
    </row>
    <row r="639" spans="151:162" x14ac:dyDescent="0.2">
      <c r="EU639" s="67">
        <v>567.45000000000005</v>
      </c>
      <c r="EV639" s="67" t="s">
        <v>5131</v>
      </c>
      <c r="EW639" s="67">
        <v>490.59</v>
      </c>
      <c r="EX639" s="67" t="s">
        <v>5132</v>
      </c>
      <c r="EY639" s="67">
        <v>5631.28</v>
      </c>
      <c r="EZ639" s="67" t="s">
        <v>5133</v>
      </c>
      <c r="FA639" s="67">
        <v>19867.973000000002</v>
      </c>
      <c r="FB639" s="67" t="s">
        <v>5134</v>
      </c>
      <c r="FC639" s="67" t="s">
        <v>5135</v>
      </c>
      <c r="FD639" s="67" t="s">
        <v>5136</v>
      </c>
      <c r="FE639" s="68" t="s">
        <v>5137</v>
      </c>
      <c r="FF639" s="68" t="s">
        <v>5138</v>
      </c>
    </row>
    <row r="640" spans="151:162" x14ac:dyDescent="0.2">
      <c r="EU640" s="67">
        <v>567.48</v>
      </c>
      <c r="EV640" s="67" t="s">
        <v>5139</v>
      </c>
      <c r="EW640" s="67">
        <v>490.64</v>
      </c>
      <c r="EX640" s="67" t="s">
        <v>5140</v>
      </c>
      <c r="EY640" s="67">
        <v>5631.28</v>
      </c>
      <c r="EZ640" s="67" t="s">
        <v>5141</v>
      </c>
      <c r="FA640" s="67">
        <v>19867.973000000002</v>
      </c>
      <c r="FB640" s="67" t="s">
        <v>5142</v>
      </c>
      <c r="FC640" s="67" t="s">
        <v>5143</v>
      </c>
      <c r="FD640" s="67" t="s">
        <v>5144</v>
      </c>
      <c r="FE640" s="68" t="s">
        <v>5145</v>
      </c>
      <c r="FF640" s="68" t="s">
        <v>5146</v>
      </c>
    </row>
    <row r="641" spans="151:162" x14ac:dyDescent="0.2">
      <c r="EU641" s="67">
        <v>567.54999999999995</v>
      </c>
      <c r="EV641" s="67" t="s">
        <v>5147</v>
      </c>
      <c r="EW641" s="67">
        <v>490.68</v>
      </c>
      <c r="EX641" s="67" t="s">
        <v>5148</v>
      </c>
      <c r="EY641" s="67">
        <v>5631.28</v>
      </c>
      <c r="EZ641" s="67" t="s">
        <v>5149</v>
      </c>
      <c r="FA641" s="67">
        <v>19867.973000000002</v>
      </c>
      <c r="FB641" s="67" t="s">
        <v>5150</v>
      </c>
      <c r="FC641" s="67" t="s">
        <v>5151</v>
      </c>
      <c r="FD641" s="67" t="s">
        <v>5152</v>
      </c>
      <c r="FE641" s="68" t="s">
        <v>5153</v>
      </c>
      <c r="FF641" s="68" t="s">
        <v>5154</v>
      </c>
    </row>
    <row r="642" spans="151:162" x14ac:dyDescent="0.2">
      <c r="EU642" s="67">
        <v>567.64</v>
      </c>
      <c r="EV642" s="67" t="s">
        <v>5155</v>
      </c>
      <c r="EW642" s="67">
        <v>490.71</v>
      </c>
      <c r="EX642" s="67" t="s">
        <v>5156</v>
      </c>
      <c r="EY642" s="67">
        <v>5631.28</v>
      </c>
      <c r="EZ642" s="67" t="s">
        <v>5157</v>
      </c>
      <c r="FA642" s="67">
        <v>19867.973000000002</v>
      </c>
      <c r="FB642" s="67" t="s">
        <v>5158</v>
      </c>
      <c r="FC642" s="67" t="s">
        <v>5159</v>
      </c>
      <c r="FD642" s="67" t="s">
        <v>5160</v>
      </c>
      <c r="FE642" s="68" t="s">
        <v>5161</v>
      </c>
      <c r="FF642" s="68" t="s">
        <v>5162</v>
      </c>
    </row>
    <row r="643" spans="151:162" x14ac:dyDescent="0.2">
      <c r="EU643" s="67">
        <v>567.61</v>
      </c>
      <c r="EV643" s="67" t="s">
        <v>5163</v>
      </c>
      <c r="EW643" s="67">
        <v>490.68</v>
      </c>
      <c r="EX643" s="67" t="s">
        <v>5164</v>
      </c>
      <c r="EY643" s="67">
        <v>5631.28</v>
      </c>
      <c r="EZ643" s="67" t="s">
        <v>5165</v>
      </c>
      <c r="FA643" s="67">
        <v>19867.973000000002</v>
      </c>
      <c r="FB643" s="67" t="s">
        <v>5166</v>
      </c>
      <c r="FC643" s="67" t="s">
        <v>5167</v>
      </c>
      <c r="FD643" s="67" t="s">
        <v>5168</v>
      </c>
      <c r="FE643" s="68" t="s">
        <v>5169</v>
      </c>
      <c r="FF643" s="68" t="s">
        <v>5170</v>
      </c>
    </row>
    <row r="644" spans="151:162" x14ac:dyDescent="0.2">
      <c r="EU644" s="67">
        <v>567.59</v>
      </c>
      <c r="EV644" s="67" t="s">
        <v>5171</v>
      </c>
      <c r="EW644" s="67">
        <v>490.67</v>
      </c>
      <c r="EX644" s="67" t="s">
        <v>5172</v>
      </c>
      <c r="EY644" s="67">
        <v>5631.28</v>
      </c>
      <c r="EZ644" s="67" t="s">
        <v>5173</v>
      </c>
      <c r="FA644" s="67">
        <v>19867.973000000002</v>
      </c>
      <c r="FB644" s="67" t="s">
        <v>5174</v>
      </c>
      <c r="FC644" s="67" t="s">
        <v>5175</v>
      </c>
      <c r="FD644" s="67" t="s">
        <v>5176</v>
      </c>
      <c r="FE644" s="68" t="s">
        <v>5177</v>
      </c>
      <c r="FF644" s="68" t="s">
        <v>5178</v>
      </c>
    </row>
    <row r="645" spans="151:162" x14ac:dyDescent="0.2">
      <c r="EU645" s="67">
        <v>567.64</v>
      </c>
      <c r="EV645" s="67" t="s">
        <v>5179</v>
      </c>
      <c r="EW645" s="67">
        <v>490.66</v>
      </c>
      <c r="EX645" s="67" t="s">
        <v>5180</v>
      </c>
      <c r="EY645" s="67">
        <v>5631.28</v>
      </c>
      <c r="EZ645" s="67" t="s">
        <v>5181</v>
      </c>
      <c r="FA645" s="67">
        <v>19867.973000000002</v>
      </c>
      <c r="FB645" s="67" t="s">
        <v>5182</v>
      </c>
      <c r="FC645" s="67" t="s">
        <v>5183</v>
      </c>
      <c r="FD645" s="67" t="s">
        <v>5184</v>
      </c>
      <c r="FE645" s="68" t="s">
        <v>5185</v>
      </c>
      <c r="FF645" s="68" t="s">
        <v>5186</v>
      </c>
    </row>
    <row r="646" spans="151:162" x14ac:dyDescent="0.2">
      <c r="EU646" s="67">
        <v>567.54</v>
      </c>
      <c r="EV646" s="67" t="s">
        <v>5187</v>
      </c>
      <c r="EW646" s="67">
        <v>490.6</v>
      </c>
      <c r="EX646" s="67" t="s">
        <v>5188</v>
      </c>
      <c r="EY646" s="67">
        <v>5631.28</v>
      </c>
      <c r="EZ646" s="67" t="s">
        <v>5189</v>
      </c>
      <c r="FA646" s="67">
        <v>19867.973000000002</v>
      </c>
      <c r="FB646" s="67" t="s">
        <v>5190</v>
      </c>
      <c r="FC646" s="67" t="s">
        <v>5191</v>
      </c>
      <c r="FD646" s="67" t="s">
        <v>5192</v>
      </c>
      <c r="FE646" s="68" t="s">
        <v>5193</v>
      </c>
      <c r="FF646" s="68" t="s">
        <v>5194</v>
      </c>
    </row>
    <row r="647" spans="151:162" x14ac:dyDescent="0.2">
      <c r="EU647" s="67">
        <v>567.65</v>
      </c>
      <c r="EV647" s="67" t="s">
        <v>5195</v>
      </c>
      <c r="EW647" s="67">
        <v>490.67</v>
      </c>
      <c r="EX647" s="67" t="s">
        <v>5196</v>
      </c>
      <c r="EY647" s="67">
        <v>5631.28</v>
      </c>
      <c r="EZ647" s="67" t="s">
        <v>5197</v>
      </c>
      <c r="FA647" s="67">
        <v>19867.973000000002</v>
      </c>
      <c r="FB647" s="67" t="s">
        <v>5198</v>
      </c>
      <c r="FC647" s="67" t="s">
        <v>5199</v>
      </c>
      <c r="FD647" s="67" t="s">
        <v>5200</v>
      </c>
      <c r="FE647" s="68" t="s">
        <v>5201</v>
      </c>
      <c r="FF647" s="68" t="s">
        <v>5202</v>
      </c>
    </row>
    <row r="648" spans="151:162" x14ac:dyDescent="0.2">
      <c r="EU648" s="67">
        <v>567.67999999999995</v>
      </c>
      <c r="EV648" s="67" t="s">
        <v>5203</v>
      </c>
      <c r="EW648" s="67">
        <v>490.74</v>
      </c>
      <c r="EX648" s="67" t="s">
        <v>5204</v>
      </c>
      <c r="EY648" s="67">
        <v>5631.28</v>
      </c>
      <c r="EZ648" s="67" t="s">
        <v>5205</v>
      </c>
      <c r="FA648" s="67">
        <v>19867.973000000002</v>
      </c>
      <c r="FB648" s="67" t="s">
        <v>5206</v>
      </c>
      <c r="FC648" s="67" t="s">
        <v>5207</v>
      </c>
      <c r="FD648" s="67" t="s">
        <v>5208</v>
      </c>
      <c r="FE648" s="68" t="s">
        <v>5209</v>
      </c>
      <c r="FF648" s="68" t="s">
        <v>5210</v>
      </c>
    </row>
    <row r="649" spans="151:162" x14ac:dyDescent="0.2">
      <c r="EU649" s="67">
        <v>567.76</v>
      </c>
      <c r="EV649" s="67" t="s">
        <v>5211</v>
      </c>
      <c r="EW649" s="67">
        <v>490.82</v>
      </c>
      <c r="EX649" s="67" t="s">
        <v>5212</v>
      </c>
      <c r="EY649" s="67">
        <v>5631.28</v>
      </c>
      <c r="EZ649" s="67" t="s">
        <v>5213</v>
      </c>
      <c r="FA649" s="67">
        <v>19867.973000000002</v>
      </c>
      <c r="FB649" s="67" t="s">
        <v>5214</v>
      </c>
      <c r="FC649" s="67" t="s">
        <v>5215</v>
      </c>
      <c r="FD649" s="67" t="s">
        <v>5216</v>
      </c>
      <c r="FE649" s="68" t="s">
        <v>5217</v>
      </c>
      <c r="FF649" s="68" t="s">
        <v>5218</v>
      </c>
    </row>
    <row r="650" spans="151:162" x14ac:dyDescent="0.2">
      <c r="EU650" s="67">
        <v>567.76</v>
      </c>
      <c r="EV650" s="67" t="s">
        <v>5219</v>
      </c>
      <c r="EW650" s="67">
        <v>490.8</v>
      </c>
      <c r="EX650" s="67" t="s">
        <v>5220</v>
      </c>
      <c r="EY650" s="67">
        <v>5631.28</v>
      </c>
      <c r="EZ650" s="67" t="s">
        <v>5221</v>
      </c>
      <c r="FA650" s="67">
        <v>19867.973000000002</v>
      </c>
      <c r="FB650" s="67" t="s">
        <v>5222</v>
      </c>
      <c r="FC650" s="67" t="s">
        <v>5223</v>
      </c>
      <c r="FD650" s="67" t="s">
        <v>5224</v>
      </c>
      <c r="FE650" s="68" t="s">
        <v>5225</v>
      </c>
      <c r="FF650" s="68" t="s">
        <v>5226</v>
      </c>
    </row>
    <row r="651" spans="151:162" x14ac:dyDescent="0.2">
      <c r="EU651" s="67">
        <v>567.73</v>
      </c>
      <c r="EV651" s="67" t="s">
        <v>5227</v>
      </c>
      <c r="EW651" s="67">
        <v>490.75</v>
      </c>
      <c r="EX651" s="67" t="s">
        <v>5228</v>
      </c>
      <c r="EY651" s="67">
        <v>5631.28</v>
      </c>
      <c r="EZ651" s="67" t="s">
        <v>5229</v>
      </c>
      <c r="FA651" s="67">
        <v>19867.973000000002</v>
      </c>
      <c r="FB651" s="67" t="s">
        <v>5230</v>
      </c>
      <c r="FC651" s="67" t="s">
        <v>5231</v>
      </c>
      <c r="FD651" s="67" t="s">
        <v>5232</v>
      </c>
      <c r="FE651" s="68" t="s">
        <v>5233</v>
      </c>
      <c r="FF651" s="68" t="s">
        <v>5234</v>
      </c>
    </row>
    <row r="652" spans="151:162" x14ac:dyDescent="0.2">
      <c r="EU652" s="67">
        <v>567.59</v>
      </c>
      <c r="EV652" s="67" t="s">
        <v>5235</v>
      </c>
      <c r="EW652" s="67">
        <v>490.63</v>
      </c>
      <c r="EX652" s="67" t="s">
        <v>5236</v>
      </c>
      <c r="EY652" s="67">
        <v>5631.28</v>
      </c>
      <c r="EZ652" s="67" t="s">
        <v>5237</v>
      </c>
      <c r="FA652" s="67">
        <v>19867.973000000002</v>
      </c>
      <c r="FB652" s="67" t="s">
        <v>5238</v>
      </c>
      <c r="FC652" s="67" t="s">
        <v>5239</v>
      </c>
      <c r="FD652" s="67" t="s">
        <v>5240</v>
      </c>
      <c r="FE652" s="68" t="s">
        <v>5241</v>
      </c>
      <c r="FF652" s="68" t="s">
        <v>5242</v>
      </c>
    </row>
    <row r="653" spans="151:162" x14ac:dyDescent="0.2">
      <c r="EU653" s="67">
        <v>567.55999999999995</v>
      </c>
      <c r="EV653" s="67" t="s">
        <v>5243</v>
      </c>
      <c r="EW653" s="67">
        <v>490.58</v>
      </c>
      <c r="EX653" s="67" t="s">
        <v>5244</v>
      </c>
      <c r="EY653" s="67">
        <v>5631.28</v>
      </c>
      <c r="EZ653" s="67" t="s">
        <v>5245</v>
      </c>
      <c r="FA653" s="67">
        <v>19867.973000000002</v>
      </c>
      <c r="FB653" s="67" t="s">
        <v>5246</v>
      </c>
      <c r="FC653" s="67" t="s">
        <v>5247</v>
      </c>
      <c r="FD653" s="67" t="s">
        <v>5248</v>
      </c>
      <c r="FE653" s="68" t="s">
        <v>5249</v>
      </c>
      <c r="FF653" s="68" t="s">
        <v>5250</v>
      </c>
    </row>
    <row r="654" spans="151:162" x14ac:dyDescent="0.2">
      <c r="EU654" s="67">
        <v>567.58000000000004</v>
      </c>
      <c r="EV654" s="67" t="s">
        <v>5251</v>
      </c>
      <c r="EW654" s="67">
        <v>490.58</v>
      </c>
      <c r="EX654" s="67" t="s">
        <v>5252</v>
      </c>
      <c r="EY654" s="67">
        <v>5631.28</v>
      </c>
      <c r="EZ654" s="67" t="s">
        <v>5253</v>
      </c>
      <c r="FA654" s="67">
        <v>19867.973000000002</v>
      </c>
      <c r="FB654" s="67" t="s">
        <v>5254</v>
      </c>
      <c r="FC654" s="67" t="s">
        <v>5255</v>
      </c>
      <c r="FD654" s="67" t="s">
        <v>5256</v>
      </c>
      <c r="FE654" s="68" t="s">
        <v>5257</v>
      </c>
      <c r="FF654" s="68" t="s">
        <v>5258</v>
      </c>
    </row>
    <row r="655" spans="151:162" x14ac:dyDescent="0.2">
      <c r="EU655" s="67">
        <v>567.46</v>
      </c>
      <c r="EV655" s="67" t="s">
        <v>5259</v>
      </c>
      <c r="EW655" s="67">
        <v>490.5</v>
      </c>
      <c r="EX655" s="67" t="s">
        <v>5260</v>
      </c>
      <c r="EY655" s="67">
        <v>5631.28</v>
      </c>
      <c r="EZ655" s="67" t="s">
        <v>5261</v>
      </c>
      <c r="FA655" s="67">
        <v>19867.973000000002</v>
      </c>
      <c r="FB655" s="67" t="s">
        <v>5262</v>
      </c>
      <c r="FC655" s="67" t="s">
        <v>5263</v>
      </c>
      <c r="FD655" s="67" t="s">
        <v>5264</v>
      </c>
      <c r="FE655" s="68" t="s">
        <v>5265</v>
      </c>
      <c r="FF655" s="68" t="s">
        <v>5266</v>
      </c>
    </row>
    <row r="656" spans="151:162" x14ac:dyDescent="0.2">
      <c r="EU656" s="67">
        <v>567.49</v>
      </c>
      <c r="EV656" s="67" t="s">
        <v>5267</v>
      </c>
      <c r="EW656" s="67">
        <v>490.5</v>
      </c>
      <c r="EX656" s="67" t="s">
        <v>5268</v>
      </c>
      <c r="EY656" s="67">
        <v>5631.28</v>
      </c>
      <c r="EZ656" s="67" t="s">
        <v>5269</v>
      </c>
      <c r="FA656" s="67">
        <v>19867.973000000002</v>
      </c>
      <c r="FB656" s="67" t="s">
        <v>5270</v>
      </c>
      <c r="FC656" s="67" t="s">
        <v>5271</v>
      </c>
      <c r="FD656" s="67" t="s">
        <v>5272</v>
      </c>
      <c r="FE656" s="68" t="s">
        <v>5273</v>
      </c>
      <c r="FF656" s="68" t="s">
        <v>5274</v>
      </c>
    </row>
    <row r="657" spans="151:162" x14ac:dyDescent="0.2">
      <c r="EU657" s="67">
        <v>567.48</v>
      </c>
      <c r="EV657" s="67" t="s">
        <v>5275</v>
      </c>
      <c r="EW657" s="67">
        <v>490.5</v>
      </c>
      <c r="EX657" s="67" t="s">
        <v>5276</v>
      </c>
      <c r="EY657" s="67">
        <v>5631.28</v>
      </c>
      <c r="EZ657" s="67" t="s">
        <v>5277</v>
      </c>
      <c r="FA657" s="67">
        <v>19867.973000000002</v>
      </c>
      <c r="FB657" s="67" t="s">
        <v>5278</v>
      </c>
      <c r="FC657" s="67" t="s">
        <v>5279</v>
      </c>
      <c r="FD657" s="67" t="s">
        <v>5280</v>
      </c>
      <c r="FE657" s="68" t="s">
        <v>5281</v>
      </c>
      <c r="FF657" s="68" t="s">
        <v>5282</v>
      </c>
    </row>
    <row r="658" spans="151:162" x14ac:dyDescent="0.2">
      <c r="EU658" s="67">
        <v>567.48</v>
      </c>
      <c r="EV658" s="67" t="s">
        <v>5283</v>
      </c>
      <c r="EW658" s="67">
        <v>490.49</v>
      </c>
      <c r="EX658" s="67" t="s">
        <v>5284</v>
      </c>
      <c r="EY658" s="67">
        <v>5631.28</v>
      </c>
      <c r="EZ658" s="67" t="s">
        <v>5285</v>
      </c>
      <c r="FA658" s="67">
        <v>19867.973000000002</v>
      </c>
      <c r="FB658" s="67" t="s">
        <v>5286</v>
      </c>
      <c r="FC658" s="67" t="s">
        <v>5287</v>
      </c>
      <c r="FD658" s="67" t="s">
        <v>5288</v>
      </c>
      <c r="FE658" s="68" t="s">
        <v>5289</v>
      </c>
      <c r="FF658" s="68" t="s">
        <v>5290</v>
      </c>
    </row>
    <row r="659" spans="151:162" x14ac:dyDescent="0.2">
      <c r="EU659" s="67">
        <v>567.32000000000005</v>
      </c>
      <c r="EV659" s="67" t="s">
        <v>5291</v>
      </c>
      <c r="EW659" s="67">
        <v>490.38</v>
      </c>
      <c r="EX659" s="67" t="s">
        <v>5292</v>
      </c>
      <c r="EY659" s="67">
        <v>5631.28</v>
      </c>
      <c r="EZ659" s="67" t="s">
        <v>5293</v>
      </c>
      <c r="FA659" s="67">
        <v>19867.973000000002</v>
      </c>
      <c r="FB659" s="67" t="s">
        <v>5294</v>
      </c>
      <c r="FC659" s="67" t="s">
        <v>5295</v>
      </c>
      <c r="FD659" s="67" t="s">
        <v>5296</v>
      </c>
      <c r="FE659" s="68" t="s">
        <v>5297</v>
      </c>
      <c r="FF659" s="68" t="s">
        <v>5298</v>
      </c>
    </row>
    <row r="660" spans="151:162" x14ac:dyDescent="0.2">
      <c r="EU660" s="67">
        <v>567.27</v>
      </c>
      <c r="EV660" s="67" t="s">
        <v>5299</v>
      </c>
      <c r="EW660" s="67">
        <v>490.34</v>
      </c>
      <c r="EX660" s="67" t="s">
        <v>5300</v>
      </c>
      <c r="EY660" s="67">
        <v>5631.28</v>
      </c>
      <c r="EZ660" s="67" t="s">
        <v>5301</v>
      </c>
      <c r="FA660" s="67">
        <v>19867.973000000002</v>
      </c>
      <c r="FB660" s="67" t="s">
        <v>5302</v>
      </c>
      <c r="FC660" s="67" t="s">
        <v>5303</v>
      </c>
      <c r="FD660" s="67" t="s">
        <v>5304</v>
      </c>
      <c r="FE660" s="68" t="s">
        <v>5305</v>
      </c>
      <c r="FF660" s="68" t="s">
        <v>5306</v>
      </c>
    </row>
    <row r="661" spans="151:162" x14ac:dyDescent="0.2">
      <c r="EU661" s="67">
        <v>567.29999999999995</v>
      </c>
      <c r="EV661" s="67" t="s">
        <v>5307</v>
      </c>
      <c r="EW661" s="67">
        <v>490.34</v>
      </c>
      <c r="EX661" s="67" t="s">
        <v>5308</v>
      </c>
      <c r="EY661" s="67">
        <v>5631.28</v>
      </c>
      <c r="EZ661" s="67" t="s">
        <v>5309</v>
      </c>
      <c r="FA661" s="67">
        <v>19867.973000000002</v>
      </c>
      <c r="FB661" s="67" t="s">
        <v>5310</v>
      </c>
      <c r="FC661" s="67" t="s">
        <v>5311</v>
      </c>
      <c r="FD661" s="67" t="s">
        <v>5312</v>
      </c>
      <c r="FE661" s="68" t="s">
        <v>5313</v>
      </c>
      <c r="FF661" s="68" t="s">
        <v>5314</v>
      </c>
    </row>
    <row r="662" spans="151:162" x14ac:dyDescent="0.2">
      <c r="EU662" s="67">
        <v>567.27</v>
      </c>
      <c r="EV662" s="67" t="s">
        <v>5315</v>
      </c>
      <c r="EW662" s="67">
        <v>490.32</v>
      </c>
      <c r="EX662" s="67" t="s">
        <v>5316</v>
      </c>
      <c r="EY662" s="67">
        <v>5631.28</v>
      </c>
      <c r="EZ662" s="67" t="s">
        <v>5317</v>
      </c>
      <c r="FA662" s="67">
        <v>19867.973000000002</v>
      </c>
      <c r="FB662" s="67" t="s">
        <v>5318</v>
      </c>
      <c r="FC662" s="67" t="s">
        <v>5319</v>
      </c>
      <c r="FD662" s="67" t="s">
        <v>5320</v>
      </c>
      <c r="FE662" s="68" t="s">
        <v>5321</v>
      </c>
      <c r="FF662" s="68" t="s">
        <v>5322</v>
      </c>
    </row>
    <row r="663" spans="151:162" x14ac:dyDescent="0.2">
      <c r="EU663" s="67">
        <v>567.35</v>
      </c>
      <c r="EV663" s="67" t="s">
        <v>5323</v>
      </c>
      <c r="EW663" s="67">
        <v>490.43</v>
      </c>
      <c r="EX663" s="67" t="s">
        <v>5324</v>
      </c>
      <c r="EY663" s="67">
        <v>5631.28</v>
      </c>
      <c r="EZ663" s="67" t="s">
        <v>5325</v>
      </c>
      <c r="FA663" s="67">
        <v>19867.973000000002</v>
      </c>
      <c r="FB663" s="67" t="s">
        <v>5326</v>
      </c>
      <c r="FC663" s="67" t="s">
        <v>5327</v>
      </c>
      <c r="FD663" s="67" t="s">
        <v>5328</v>
      </c>
      <c r="FE663" s="68" t="s">
        <v>5329</v>
      </c>
      <c r="FF663" s="68" t="s">
        <v>5330</v>
      </c>
    </row>
    <row r="664" spans="151:162" x14ac:dyDescent="0.2">
      <c r="EU664" s="67">
        <v>567.41</v>
      </c>
      <c r="EV664" s="67" t="s">
        <v>5331</v>
      </c>
      <c r="EW664" s="67">
        <v>490.48</v>
      </c>
      <c r="EX664" s="67" t="s">
        <v>5332</v>
      </c>
      <c r="EY664" s="67">
        <v>5631.28</v>
      </c>
      <c r="EZ664" s="67" t="s">
        <v>5333</v>
      </c>
      <c r="FA664" s="67">
        <v>19867.973000000002</v>
      </c>
      <c r="FB664" s="67" t="s">
        <v>5334</v>
      </c>
      <c r="FC664" s="67" t="s">
        <v>5335</v>
      </c>
      <c r="FD664" s="67" t="s">
        <v>5336</v>
      </c>
      <c r="FE664" s="68" t="s">
        <v>5337</v>
      </c>
      <c r="FF664" s="68" t="s">
        <v>5338</v>
      </c>
    </row>
    <row r="665" spans="151:162" x14ac:dyDescent="0.2">
      <c r="EU665" s="67">
        <v>567.4</v>
      </c>
      <c r="EV665" s="67" t="s">
        <v>5339</v>
      </c>
      <c r="EW665" s="67">
        <v>490.49</v>
      </c>
      <c r="EX665" s="67" t="s">
        <v>5340</v>
      </c>
      <c r="EY665" s="67">
        <v>5631.28</v>
      </c>
      <c r="EZ665" s="67" t="s">
        <v>5341</v>
      </c>
      <c r="FA665" s="67">
        <v>19867.973000000002</v>
      </c>
      <c r="FB665" s="67" t="s">
        <v>5342</v>
      </c>
      <c r="FC665" s="67" t="s">
        <v>5343</v>
      </c>
      <c r="FD665" s="67" t="s">
        <v>5344</v>
      </c>
      <c r="FE665" s="68" t="s">
        <v>5345</v>
      </c>
      <c r="FF665" s="68" t="s">
        <v>5346</v>
      </c>
    </row>
    <row r="666" spans="151:162" x14ac:dyDescent="0.2">
      <c r="EU666" s="67">
        <v>567.48</v>
      </c>
      <c r="EV666" s="67" t="s">
        <v>5347</v>
      </c>
      <c r="EW666" s="67">
        <v>490.56</v>
      </c>
      <c r="EX666" s="67" t="s">
        <v>5348</v>
      </c>
      <c r="EY666" s="67">
        <v>5631.28</v>
      </c>
      <c r="EZ666" s="67" t="s">
        <v>5349</v>
      </c>
      <c r="FA666" s="67">
        <v>19867.973000000002</v>
      </c>
      <c r="FB666" s="67" t="s">
        <v>5350</v>
      </c>
      <c r="FC666" s="67" t="s">
        <v>5351</v>
      </c>
      <c r="FD666" s="67" t="s">
        <v>5352</v>
      </c>
      <c r="FE666" s="68" t="s">
        <v>5353</v>
      </c>
      <c r="FF666" s="68" t="s">
        <v>5354</v>
      </c>
    </row>
    <row r="667" spans="151:162" x14ac:dyDescent="0.2">
      <c r="EU667" s="67">
        <v>567.47</v>
      </c>
      <c r="EV667" s="67" t="s">
        <v>5355</v>
      </c>
      <c r="EW667" s="67">
        <v>490.57</v>
      </c>
      <c r="EX667" s="67" t="s">
        <v>5356</v>
      </c>
      <c r="EY667" s="67">
        <v>5631.28</v>
      </c>
      <c r="EZ667" s="67" t="s">
        <v>5357</v>
      </c>
      <c r="FA667" s="67">
        <v>19867.973000000002</v>
      </c>
      <c r="FB667" s="67" t="s">
        <v>5358</v>
      </c>
      <c r="FC667" s="67" t="s">
        <v>5359</v>
      </c>
      <c r="FD667" s="67" t="s">
        <v>5360</v>
      </c>
      <c r="FE667" s="68" t="s">
        <v>5361</v>
      </c>
      <c r="FF667" s="68" t="s">
        <v>5362</v>
      </c>
    </row>
    <row r="668" spans="151:162" x14ac:dyDescent="0.2">
      <c r="EU668" s="67">
        <v>567.29</v>
      </c>
      <c r="EV668" s="67" t="s">
        <v>5363</v>
      </c>
      <c r="EW668" s="67">
        <v>490.36</v>
      </c>
      <c r="EX668" s="67" t="s">
        <v>5364</v>
      </c>
      <c r="EY668" s="67">
        <v>5631.28</v>
      </c>
      <c r="EZ668" s="67" t="s">
        <v>5365</v>
      </c>
      <c r="FA668" s="67">
        <v>19867.973000000002</v>
      </c>
      <c r="FB668" s="67" t="s">
        <v>5366</v>
      </c>
      <c r="FC668" s="67" t="s">
        <v>5367</v>
      </c>
      <c r="FD668" s="67" t="s">
        <v>5368</v>
      </c>
      <c r="FE668" s="68" t="s">
        <v>5369</v>
      </c>
      <c r="FF668" s="68" t="s">
        <v>5370</v>
      </c>
    </row>
    <row r="669" spans="151:162" x14ac:dyDescent="0.2">
      <c r="EU669" s="67">
        <v>567.27</v>
      </c>
      <c r="EV669" s="67" t="s">
        <v>5371</v>
      </c>
      <c r="EW669" s="67">
        <v>490.34</v>
      </c>
      <c r="EX669" s="67" t="s">
        <v>5372</v>
      </c>
      <c r="EY669" s="67">
        <v>5631.28</v>
      </c>
      <c r="EZ669" s="67" t="s">
        <v>5373</v>
      </c>
      <c r="FA669" s="67">
        <v>19867.973000000002</v>
      </c>
      <c r="FB669" s="67" t="s">
        <v>5374</v>
      </c>
      <c r="FC669" s="67" t="s">
        <v>5375</v>
      </c>
      <c r="FD669" s="67" t="s">
        <v>5376</v>
      </c>
      <c r="FE669" s="68" t="s">
        <v>5377</v>
      </c>
      <c r="FF669" s="68" t="s">
        <v>5378</v>
      </c>
    </row>
    <row r="670" spans="151:162" x14ac:dyDescent="0.2">
      <c r="EU670" s="67">
        <v>567.28</v>
      </c>
      <c r="EV670" s="67" t="s">
        <v>5379</v>
      </c>
      <c r="EW670" s="67">
        <v>490.32</v>
      </c>
      <c r="EX670" s="67" t="s">
        <v>5380</v>
      </c>
      <c r="EY670" s="67">
        <v>5631.28</v>
      </c>
      <c r="EZ670" s="67" t="s">
        <v>5381</v>
      </c>
      <c r="FA670" s="67">
        <v>19867.973000000002</v>
      </c>
      <c r="FB670" s="67" t="s">
        <v>5382</v>
      </c>
      <c r="FC670" s="67" t="s">
        <v>5383</v>
      </c>
      <c r="FD670" s="67" t="s">
        <v>5384</v>
      </c>
      <c r="FE670" s="68" t="s">
        <v>5385</v>
      </c>
      <c r="FF670" s="68" t="s">
        <v>5386</v>
      </c>
    </row>
    <row r="671" spans="151:162" x14ac:dyDescent="0.2">
      <c r="EU671" s="67">
        <v>567.34</v>
      </c>
      <c r="EV671" s="67" t="s">
        <v>5387</v>
      </c>
      <c r="EW671" s="67">
        <v>490.39</v>
      </c>
      <c r="EX671" s="67" t="s">
        <v>5388</v>
      </c>
      <c r="EY671" s="67">
        <v>5631.28</v>
      </c>
      <c r="EZ671" s="67" t="s">
        <v>5389</v>
      </c>
      <c r="FA671" s="67">
        <v>19867.973000000002</v>
      </c>
      <c r="FB671" s="67" t="s">
        <v>5390</v>
      </c>
      <c r="FC671" s="67" t="s">
        <v>5391</v>
      </c>
      <c r="FD671" s="67" t="s">
        <v>5392</v>
      </c>
      <c r="FE671" s="68" t="s">
        <v>5393</v>
      </c>
      <c r="FF671" s="68" t="s">
        <v>5394</v>
      </c>
    </row>
    <row r="672" spans="151:162" x14ac:dyDescent="0.2">
      <c r="EU672" s="67">
        <v>567.5</v>
      </c>
      <c r="EV672" s="67" t="s">
        <v>5395</v>
      </c>
      <c r="EW672" s="67">
        <v>490.58</v>
      </c>
      <c r="EX672" s="67" t="s">
        <v>5396</v>
      </c>
      <c r="EY672" s="67">
        <v>5631.28</v>
      </c>
      <c r="EZ672" s="67" t="s">
        <v>5397</v>
      </c>
      <c r="FA672" s="67">
        <v>19867.973000000002</v>
      </c>
      <c r="FB672" s="67" t="s">
        <v>5398</v>
      </c>
      <c r="FC672" s="67" t="s">
        <v>5399</v>
      </c>
      <c r="FD672" s="67" t="s">
        <v>5400</v>
      </c>
      <c r="FE672" s="68" t="s">
        <v>5401</v>
      </c>
      <c r="FF672" s="68" t="s">
        <v>5402</v>
      </c>
    </row>
    <row r="673" spans="151:162" x14ac:dyDescent="0.2">
      <c r="EU673" s="67">
        <v>567.45000000000005</v>
      </c>
      <c r="EV673" s="67" t="s">
        <v>5403</v>
      </c>
      <c r="EW673" s="67">
        <v>490.52</v>
      </c>
      <c r="EX673" s="67" t="s">
        <v>5404</v>
      </c>
      <c r="EY673" s="67">
        <v>5631.28</v>
      </c>
      <c r="EZ673" s="67" t="s">
        <v>5405</v>
      </c>
      <c r="FA673" s="67">
        <v>19867.973000000002</v>
      </c>
      <c r="FB673" s="67" t="s">
        <v>5406</v>
      </c>
      <c r="FC673" s="67" t="s">
        <v>5407</v>
      </c>
      <c r="FD673" s="67" t="s">
        <v>5408</v>
      </c>
      <c r="FE673" s="68" t="s">
        <v>5409</v>
      </c>
      <c r="FF673" s="68" t="s">
        <v>5410</v>
      </c>
    </row>
    <row r="674" spans="151:162" x14ac:dyDescent="0.2">
      <c r="EU674" s="67">
        <v>567.37</v>
      </c>
      <c r="EV674" s="67" t="s">
        <v>5411</v>
      </c>
      <c r="EW674" s="67">
        <v>490.45</v>
      </c>
      <c r="EX674" s="67" t="s">
        <v>5412</v>
      </c>
      <c r="EY674" s="67">
        <v>5631.28</v>
      </c>
      <c r="EZ674" s="67" t="s">
        <v>5413</v>
      </c>
      <c r="FA674" s="67">
        <v>19867.973000000002</v>
      </c>
      <c r="FB674" s="67" t="s">
        <v>5414</v>
      </c>
      <c r="FC674" s="67" t="s">
        <v>5415</v>
      </c>
      <c r="FD674" s="67" t="s">
        <v>5416</v>
      </c>
      <c r="FE674" s="68" t="s">
        <v>5417</v>
      </c>
      <c r="FF674" s="68" t="s">
        <v>5418</v>
      </c>
    </row>
    <row r="675" spans="151:162" x14ac:dyDescent="0.2">
      <c r="EU675" s="67">
        <v>567.38</v>
      </c>
      <c r="EV675" s="67" t="s">
        <v>5419</v>
      </c>
      <c r="EW675" s="67">
        <v>490.46</v>
      </c>
      <c r="EX675" s="67" t="s">
        <v>5420</v>
      </c>
      <c r="EY675" s="67">
        <v>5631.28</v>
      </c>
      <c r="EZ675" s="67" t="s">
        <v>5421</v>
      </c>
      <c r="FA675" s="67">
        <v>19867.973000000002</v>
      </c>
      <c r="FB675" s="67" t="s">
        <v>5422</v>
      </c>
      <c r="FC675" s="67" t="s">
        <v>5423</v>
      </c>
      <c r="FD675" s="67" t="s">
        <v>5424</v>
      </c>
      <c r="FE675" s="68" t="s">
        <v>5425</v>
      </c>
      <c r="FF675" s="68" t="s">
        <v>5426</v>
      </c>
    </row>
    <row r="676" spans="151:162" x14ac:dyDescent="0.2">
      <c r="EU676" s="67">
        <v>567.51</v>
      </c>
      <c r="EV676" s="67" t="s">
        <v>5427</v>
      </c>
      <c r="EW676" s="67">
        <v>490.61</v>
      </c>
      <c r="EX676" s="67" t="s">
        <v>5428</v>
      </c>
      <c r="EY676" s="67">
        <v>5631.28</v>
      </c>
      <c r="EZ676" s="67" t="s">
        <v>5429</v>
      </c>
      <c r="FA676" s="67">
        <v>19867.973000000002</v>
      </c>
      <c r="FB676" s="67" t="s">
        <v>5430</v>
      </c>
      <c r="FC676" s="67" t="s">
        <v>5431</v>
      </c>
      <c r="FD676" s="67" t="s">
        <v>5432</v>
      </c>
      <c r="FE676" s="68" t="s">
        <v>5433</v>
      </c>
      <c r="FF676" s="68" t="s">
        <v>5434</v>
      </c>
    </row>
    <row r="677" spans="151:162" x14ac:dyDescent="0.2">
      <c r="EU677" s="67">
        <v>567.53</v>
      </c>
      <c r="EV677" s="67" t="s">
        <v>5435</v>
      </c>
      <c r="EW677" s="67">
        <v>490.65</v>
      </c>
      <c r="EX677" s="67" t="s">
        <v>5436</v>
      </c>
      <c r="EY677" s="67">
        <v>5631.28</v>
      </c>
      <c r="EZ677" s="67" t="s">
        <v>5437</v>
      </c>
      <c r="FA677" s="67">
        <v>19867.973000000002</v>
      </c>
      <c r="FB677" s="67" t="s">
        <v>5438</v>
      </c>
      <c r="FC677" s="67" t="s">
        <v>5439</v>
      </c>
      <c r="FD677" s="67" t="s">
        <v>5440</v>
      </c>
      <c r="FE677" s="68" t="s">
        <v>5441</v>
      </c>
      <c r="FF677" s="68" t="s">
        <v>5442</v>
      </c>
    </row>
    <row r="678" spans="151:162" x14ac:dyDescent="0.2">
      <c r="EU678" s="67">
        <v>567.44000000000005</v>
      </c>
      <c r="EV678" s="67" t="s">
        <v>5443</v>
      </c>
      <c r="EW678" s="67">
        <v>490.53</v>
      </c>
      <c r="EX678" s="67" t="s">
        <v>5444</v>
      </c>
      <c r="EY678" s="67">
        <v>5631.28</v>
      </c>
      <c r="EZ678" s="67" t="s">
        <v>5445</v>
      </c>
      <c r="FA678" s="67">
        <v>19867.973000000002</v>
      </c>
      <c r="FB678" s="67" t="s">
        <v>5446</v>
      </c>
      <c r="FC678" s="67" t="s">
        <v>5447</v>
      </c>
      <c r="FD678" s="67" t="s">
        <v>5448</v>
      </c>
      <c r="FE678" s="68" t="s">
        <v>5449</v>
      </c>
      <c r="FF678" s="68" t="s">
        <v>5450</v>
      </c>
    </row>
    <row r="679" spans="151:162" x14ac:dyDescent="0.2">
      <c r="EU679" s="67">
        <v>567.41</v>
      </c>
      <c r="EV679" s="67" t="s">
        <v>5451</v>
      </c>
      <c r="EW679" s="67">
        <v>490.5</v>
      </c>
      <c r="EX679" s="67" t="s">
        <v>5452</v>
      </c>
      <c r="EY679" s="67">
        <v>5631.28</v>
      </c>
      <c r="EZ679" s="67" t="s">
        <v>5453</v>
      </c>
      <c r="FA679" s="67">
        <v>19867.973000000002</v>
      </c>
      <c r="FB679" s="67" t="s">
        <v>5454</v>
      </c>
      <c r="FC679" s="67" t="s">
        <v>5455</v>
      </c>
      <c r="FD679" s="67" t="s">
        <v>5456</v>
      </c>
      <c r="FE679" s="68" t="s">
        <v>5457</v>
      </c>
      <c r="FF679" s="68" t="s">
        <v>5458</v>
      </c>
    </row>
    <row r="680" spans="151:162" x14ac:dyDescent="0.2">
      <c r="EU680" s="67">
        <v>567.4</v>
      </c>
      <c r="EV680" s="67" t="s">
        <v>5459</v>
      </c>
      <c r="EW680" s="67">
        <v>490.46</v>
      </c>
      <c r="EX680" s="67" t="s">
        <v>5460</v>
      </c>
      <c r="EY680" s="67">
        <v>5631.28</v>
      </c>
      <c r="EZ680" s="67" t="s">
        <v>5461</v>
      </c>
      <c r="FA680" s="67">
        <v>19867.973000000002</v>
      </c>
      <c r="FB680" s="67" t="s">
        <v>5462</v>
      </c>
      <c r="FC680" s="67" t="s">
        <v>5463</v>
      </c>
      <c r="FD680" s="67" t="s">
        <v>5464</v>
      </c>
      <c r="FE680" s="68" t="s">
        <v>5465</v>
      </c>
      <c r="FF680" s="68" t="s">
        <v>5466</v>
      </c>
    </row>
    <row r="681" spans="151:162" x14ac:dyDescent="0.2">
      <c r="EU681" s="67">
        <v>567.4</v>
      </c>
      <c r="EV681" s="67" t="s">
        <v>5467</v>
      </c>
      <c r="EW681" s="67">
        <v>490.5</v>
      </c>
      <c r="EX681" s="67" t="s">
        <v>5468</v>
      </c>
      <c r="EY681" s="67">
        <v>5631.28</v>
      </c>
      <c r="EZ681" s="67" t="s">
        <v>5469</v>
      </c>
      <c r="FA681" s="67">
        <v>19867.973000000002</v>
      </c>
      <c r="FB681" s="67" t="s">
        <v>5470</v>
      </c>
      <c r="FC681" s="67" t="s">
        <v>5471</v>
      </c>
      <c r="FD681" s="67" t="s">
        <v>5472</v>
      </c>
      <c r="FE681" s="68" t="s">
        <v>5473</v>
      </c>
      <c r="FF681" s="68" t="s">
        <v>5474</v>
      </c>
    </row>
    <row r="682" spans="151:162" x14ac:dyDescent="0.2">
      <c r="EU682" s="67">
        <v>567.42999999999995</v>
      </c>
      <c r="EV682" s="67" t="s">
        <v>5475</v>
      </c>
      <c r="EW682" s="67">
        <v>490.47</v>
      </c>
      <c r="EX682" s="67" t="s">
        <v>5476</v>
      </c>
      <c r="EY682" s="67">
        <v>5631.28</v>
      </c>
      <c r="EZ682" s="67" t="s">
        <v>5477</v>
      </c>
      <c r="FA682" s="67">
        <v>19867.973000000002</v>
      </c>
      <c r="FB682" s="67" t="s">
        <v>5478</v>
      </c>
      <c r="FC682" s="67" t="s">
        <v>5479</v>
      </c>
      <c r="FD682" s="67" t="s">
        <v>5480</v>
      </c>
      <c r="FE682" s="68" t="s">
        <v>5481</v>
      </c>
      <c r="FF682" s="68" t="s">
        <v>5482</v>
      </c>
    </row>
    <row r="683" spans="151:162" x14ac:dyDescent="0.2">
      <c r="EU683" s="67">
        <v>567.44000000000005</v>
      </c>
      <c r="EV683" s="67" t="s">
        <v>5483</v>
      </c>
      <c r="EW683" s="67">
        <v>490.43</v>
      </c>
      <c r="EX683" s="67" t="s">
        <v>5484</v>
      </c>
      <c r="EY683" s="67">
        <v>5631.28</v>
      </c>
      <c r="EZ683" s="67" t="s">
        <v>5485</v>
      </c>
      <c r="FA683" s="67">
        <v>19867.973000000002</v>
      </c>
      <c r="FB683" s="67" t="s">
        <v>5486</v>
      </c>
      <c r="FC683" s="67" t="s">
        <v>5487</v>
      </c>
      <c r="FD683" s="67" t="s">
        <v>5488</v>
      </c>
      <c r="FE683" s="68" t="s">
        <v>5489</v>
      </c>
      <c r="FF683" s="68" t="s">
        <v>5490</v>
      </c>
    </row>
    <row r="684" spans="151:162" x14ac:dyDescent="0.2">
      <c r="EU684" s="67">
        <v>567.51</v>
      </c>
      <c r="EV684" s="67" t="s">
        <v>5491</v>
      </c>
      <c r="EW684" s="67">
        <v>490.44</v>
      </c>
      <c r="EX684" s="67" t="s">
        <v>5492</v>
      </c>
      <c r="EY684" s="67">
        <v>5631.28</v>
      </c>
      <c r="EZ684" s="67" t="s">
        <v>5493</v>
      </c>
      <c r="FA684" s="67">
        <v>19867.973000000002</v>
      </c>
      <c r="FB684" s="67" t="s">
        <v>5494</v>
      </c>
      <c r="FC684" s="67" t="s">
        <v>5495</v>
      </c>
      <c r="FD684" s="67" t="s">
        <v>5496</v>
      </c>
      <c r="FE684" s="68" t="s">
        <v>5497</v>
      </c>
      <c r="FF684" s="68" t="s">
        <v>5498</v>
      </c>
    </row>
    <row r="685" spans="151:162" x14ac:dyDescent="0.2">
      <c r="EU685" s="67">
        <v>567.55999999999995</v>
      </c>
      <c r="EV685" s="67" t="s">
        <v>5499</v>
      </c>
      <c r="EW685" s="67">
        <v>490.57</v>
      </c>
      <c r="EX685" s="67" t="s">
        <v>5500</v>
      </c>
      <c r="EY685" s="67">
        <v>5631.28</v>
      </c>
      <c r="EZ685" s="67" t="s">
        <v>5501</v>
      </c>
      <c r="FA685" s="67">
        <v>19867.973000000002</v>
      </c>
      <c r="FB685" s="67" t="s">
        <v>5502</v>
      </c>
      <c r="FC685" s="67" t="s">
        <v>5503</v>
      </c>
      <c r="FD685" s="67" t="s">
        <v>5504</v>
      </c>
      <c r="FE685" s="68" t="s">
        <v>5505</v>
      </c>
      <c r="FF685" s="68" t="s">
        <v>5506</v>
      </c>
    </row>
    <row r="686" spans="151:162" x14ac:dyDescent="0.2">
      <c r="EU686" s="67">
        <v>567.54</v>
      </c>
      <c r="EV686" s="67" t="s">
        <v>5507</v>
      </c>
      <c r="EW686" s="67">
        <v>490.53</v>
      </c>
      <c r="EX686" s="67" t="s">
        <v>5508</v>
      </c>
      <c r="EY686" s="67">
        <v>5631.28</v>
      </c>
      <c r="EZ686" s="67" t="s">
        <v>5509</v>
      </c>
      <c r="FA686" s="67">
        <v>19867.973000000002</v>
      </c>
      <c r="FB686" s="67" t="s">
        <v>5510</v>
      </c>
      <c r="FC686" s="67" t="s">
        <v>5511</v>
      </c>
      <c r="FD686" s="67" t="s">
        <v>5512</v>
      </c>
      <c r="FE686" s="68" t="s">
        <v>5513</v>
      </c>
      <c r="FF686" s="68" t="s">
        <v>5514</v>
      </c>
    </row>
    <row r="687" spans="151:162" x14ac:dyDescent="0.2">
      <c r="EU687" s="67">
        <v>567.52</v>
      </c>
      <c r="EV687" s="67" t="s">
        <v>5515</v>
      </c>
      <c r="EW687" s="67">
        <v>490.5</v>
      </c>
      <c r="EX687" s="67" t="s">
        <v>5516</v>
      </c>
      <c r="EY687" s="67">
        <v>5631.28</v>
      </c>
      <c r="EZ687" s="67" t="s">
        <v>5517</v>
      </c>
      <c r="FA687" s="67">
        <v>19867.973000000002</v>
      </c>
      <c r="FB687" s="67" t="s">
        <v>5518</v>
      </c>
      <c r="FC687" s="67" t="s">
        <v>5519</v>
      </c>
      <c r="FD687" s="67" t="s">
        <v>5520</v>
      </c>
      <c r="FE687" s="68" t="s">
        <v>5521</v>
      </c>
      <c r="FF687" s="68" t="s">
        <v>5522</v>
      </c>
    </row>
    <row r="688" spans="151:162" x14ac:dyDescent="0.2">
      <c r="EU688" s="67">
        <v>567.5</v>
      </c>
      <c r="EV688" s="67" t="s">
        <v>5523</v>
      </c>
      <c r="EW688" s="67">
        <v>490.4</v>
      </c>
      <c r="EX688" s="67" t="s">
        <v>5524</v>
      </c>
      <c r="EY688" s="67">
        <v>5631.28</v>
      </c>
      <c r="EZ688" s="67" t="s">
        <v>5525</v>
      </c>
      <c r="FA688" s="67">
        <v>19867.973000000002</v>
      </c>
      <c r="FB688" s="67" t="s">
        <v>5526</v>
      </c>
      <c r="FC688" s="67" t="s">
        <v>5527</v>
      </c>
      <c r="FD688" s="67" t="s">
        <v>5528</v>
      </c>
      <c r="FE688" s="68" t="s">
        <v>5529</v>
      </c>
      <c r="FF688" s="68" t="s">
        <v>5530</v>
      </c>
    </row>
    <row r="689" spans="151:162" x14ac:dyDescent="0.2">
      <c r="EU689" s="67">
        <v>567.5</v>
      </c>
      <c r="EV689" s="67" t="s">
        <v>5531</v>
      </c>
      <c r="EW689" s="67">
        <v>490.42</v>
      </c>
      <c r="EX689" s="67" t="s">
        <v>5532</v>
      </c>
      <c r="EY689" s="67">
        <v>5631.28</v>
      </c>
      <c r="EZ689" s="67" t="s">
        <v>5533</v>
      </c>
      <c r="FA689" s="67">
        <v>19867.973000000002</v>
      </c>
      <c r="FB689" s="67" t="s">
        <v>5534</v>
      </c>
      <c r="FC689" s="67" t="s">
        <v>5535</v>
      </c>
      <c r="FD689" s="67" t="s">
        <v>5536</v>
      </c>
      <c r="FE689" s="68" t="s">
        <v>5537</v>
      </c>
      <c r="FF689" s="68" t="s">
        <v>5538</v>
      </c>
    </row>
    <row r="690" spans="151:162" x14ac:dyDescent="0.2">
      <c r="EU690" s="67">
        <v>567.41999999999996</v>
      </c>
      <c r="EV690" s="67" t="s">
        <v>5539</v>
      </c>
      <c r="EW690" s="67">
        <v>490.33</v>
      </c>
      <c r="EX690" s="67" t="s">
        <v>5540</v>
      </c>
      <c r="EY690" s="67">
        <v>5631.28</v>
      </c>
      <c r="EZ690" s="67" t="s">
        <v>5541</v>
      </c>
      <c r="FA690" s="67">
        <v>19867.973000000002</v>
      </c>
      <c r="FB690" s="67" t="s">
        <v>5542</v>
      </c>
      <c r="FC690" s="67" t="s">
        <v>5543</v>
      </c>
      <c r="FD690" s="67" t="s">
        <v>5544</v>
      </c>
      <c r="FE690" s="68" t="s">
        <v>5545</v>
      </c>
      <c r="FF690" s="68" t="s">
        <v>5546</v>
      </c>
    </row>
    <row r="691" spans="151:162" x14ac:dyDescent="0.2">
      <c r="EU691" s="67">
        <v>567.4</v>
      </c>
      <c r="EV691" s="67" t="s">
        <v>5547</v>
      </c>
      <c r="EW691" s="67">
        <v>490.3</v>
      </c>
      <c r="EX691" s="67" t="s">
        <v>5548</v>
      </c>
      <c r="EY691" s="67">
        <v>5631.28</v>
      </c>
      <c r="EZ691" s="67" t="s">
        <v>5549</v>
      </c>
      <c r="FA691" s="67">
        <v>19867.973000000002</v>
      </c>
      <c r="FB691" s="67" t="s">
        <v>5550</v>
      </c>
      <c r="FC691" s="67" t="s">
        <v>5551</v>
      </c>
      <c r="FD691" s="67" t="s">
        <v>5552</v>
      </c>
      <c r="FE691" s="68" t="s">
        <v>5553</v>
      </c>
      <c r="FF691" s="68" t="s">
        <v>5554</v>
      </c>
    </row>
    <row r="692" spans="151:162" x14ac:dyDescent="0.2">
      <c r="EU692" s="67">
        <v>567.41999999999996</v>
      </c>
      <c r="EV692" s="67" t="s">
        <v>5555</v>
      </c>
      <c r="EW692" s="67">
        <v>490.3</v>
      </c>
      <c r="EX692" s="67" t="s">
        <v>5556</v>
      </c>
      <c r="EY692" s="67">
        <v>5631.28</v>
      </c>
      <c r="EZ692" s="67" t="s">
        <v>5557</v>
      </c>
      <c r="FA692" s="67">
        <v>19867.973000000002</v>
      </c>
      <c r="FB692" s="67" t="s">
        <v>5558</v>
      </c>
      <c r="FC692" s="67" t="s">
        <v>5559</v>
      </c>
      <c r="FD692" s="67" t="s">
        <v>5560</v>
      </c>
      <c r="FE692" s="68" t="s">
        <v>5561</v>
      </c>
      <c r="FF692" s="68" t="s">
        <v>5562</v>
      </c>
    </row>
    <row r="693" spans="151:162" x14ac:dyDescent="0.2">
      <c r="EU693" s="67">
        <v>567.26</v>
      </c>
      <c r="EV693" s="67" t="s">
        <v>5563</v>
      </c>
      <c r="EW693" s="67">
        <v>490.17</v>
      </c>
      <c r="EX693" s="67" t="s">
        <v>5564</v>
      </c>
      <c r="EY693" s="67">
        <v>5631.28</v>
      </c>
      <c r="EZ693" s="67" t="s">
        <v>5565</v>
      </c>
      <c r="FA693" s="67">
        <v>19867.973000000002</v>
      </c>
      <c r="FB693" s="67" t="s">
        <v>5566</v>
      </c>
      <c r="FC693" s="67" t="s">
        <v>5567</v>
      </c>
      <c r="FD693" s="67" t="s">
        <v>5568</v>
      </c>
      <c r="FE693" s="68" t="s">
        <v>5569</v>
      </c>
      <c r="FF693" s="68" t="s">
        <v>5570</v>
      </c>
    </row>
    <row r="694" spans="151:162" x14ac:dyDescent="0.2">
      <c r="EU694" s="67">
        <v>567.29999999999995</v>
      </c>
      <c r="EV694" s="67" t="s">
        <v>5571</v>
      </c>
      <c r="EW694" s="67">
        <v>490.2</v>
      </c>
      <c r="EX694" s="67" t="s">
        <v>5572</v>
      </c>
      <c r="EY694" s="67">
        <v>5631.28</v>
      </c>
      <c r="EZ694" s="67" t="s">
        <v>5573</v>
      </c>
      <c r="FA694" s="67">
        <v>19867.973000000002</v>
      </c>
      <c r="FB694" s="67" t="s">
        <v>5574</v>
      </c>
      <c r="FC694" s="67" t="s">
        <v>5575</v>
      </c>
      <c r="FD694" s="67" t="s">
        <v>5576</v>
      </c>
      <c r="FE694" s="68" t="s">
        <v>5577</v>
      </c>
      <c r="FF694" s="68" t="s">
        <v>5578</v>
      </c>
    </row>
    <row r="695" spans="151:162" x14ac:dyDescent="0.2">
      <c r="EU695" s="67">
        <v>567.19000000000005</v>
      </c>
      <c r="EV695" s="67" t="s">
        <v>5579</v>
      </c>
      <c r="EW695" s="67">
        <v>490.08</v>
      </c>
      <c r="EX695" s="67" t="s">
        <v>5580</v>
      </c>
      <c r="EY695" s="67">
        <v>5631.28</v>
      </c>
      <c r="EZ695" s="67" t="s">
        <v>5581</v>
      </c>
      <c r="FA695" s="67">
        <v>19867.973000000002</v>
      </c>
      <c r="FB695" s="67" t="s">
        <v>5582</v>
      </c>
      <c r="FC695" s="67" t="s">
        <v>5583</v>
      </c>
      <c r="FD695" s="67" t="s">
        <v>5584</v>
      </c>
      <c r="FE695" s="68" t="s">
        <v>5585</v>
      </c>
      <c r="FF695" s="68" t="s">
        <v>5586</v>
      </c>
    </row>
    <row r="696" spans="151:162" x14ac:dyDescent="0.2">
      <c r="EU696" s="67">
        <v>567.29999999999995</v>
      </c>
      <c r="EV696" s="67" t="s">
        <v>5587</v>
      </c>
      <c r="EW696" s="67">
        <v>490.27</v>
      </c>
      <c r="EX696" s="67" t="s">
        <v>5588</v>
      </c>
      <c r="EY696" s="67">
        <v>5631.28</v>
      </c>
      <c r="EZ696" s="67" t="s">
        <v>5589</v>
      </c>
      <c r="FA696" s="67">
        <v>19867.973000000002</v>
      </c>
      <c r="FB696" s="67" t="s">
        <v>5590</v>
      </c>
      <c r="FC696" s="67" t="s">
        <v>5591</v>
      </c>
      <c r="FD696" s="67" t="s">
        <v>5592</v>
      </c>
      <c r="FE696" s="68" t="s">
        <v>5593</v>
      </c>
      <c r="FF696" s="68" t="s">
        <v>5594</v>
      </c>
    </row>
    <row r="697" spans="151:162" x14ac:dyDescent="0.2">
      <c r="EU697" s="67">
        <v>567.36</v>
      </c>
      <c r="EV697" s="67" t="s">
        <v>5595</v>
      </c>
      <c r="EW697" s="67">
        <v>490.34</v>
      </c>
      <c r="EX697" s="67" t="s">
        <v>5596</v>
      </c>
      <c r="EY697" s="67">
        <v>5631.28</v>
      </c>
      <c r="EZ697" s="67" t="s">
        <v>5597</v>
      </c>
      <c r="FA697" s="67">
        <v>19867.973000000002</v>
      </c>
      <c r="FB697" s="67" t="s">
        <v>5598</v>
      </c>
      <c r="FC697" s="67" t="s">
        <v>5599</v>
      </c>
      <c r="FD697" s="67" t="s">
        <v>5600</v>
      </c>
      <c r="FE697" s="68" t="s">
        <v>5601</v>
      </c>
      <c r="FF697" s="68" t="s">
        <v>5602</v>
      </c>
    </row>
    <row r="698" spans="151:162" x14ac:dyDescent="0.2">
      <c r="EU698" s="67">
        <v>567.4</v>
      </c>
      <c r="EV698" s="67" t="s">
        <v>5603</v>
      </c>
      <c r="EW698" s="67">
        <v>490.33</v>
      </c>
      <c r="EX698" s="67" t="s">
        <v>5604</v>
      </c>
      <c r="EY698" s="67">
        <v>5631.28</v>
      </c>
      <c r="EZ698" s="67" t="s">
        <v>5605</v>
      </c>
      <c r="FA698" s="67">
        <v>19867.973000000002</v>
      </c>
      <c r="FB698" s="67" t="s">
        <v>5606</v>
      </c>
      <c r="FC698" s="67" t="s">
        <v>5607</v>
      </c>
      <c r="FD698" s="67" t="s">
        <v>5608</v>
      </c>
      <c r="FE698" s="68" t="s">
        <v>5609</v>
      </c>
      <c r="FF698" s="68" t="s">
        <v>5610</v>
      </c>
    </row>
    <row r="699" spans="151:162" x14ac:dyDescent="0.2">
      <c r="EU699" s="67">
        <v>567.35</v>
      </c>
      <c r="EV699" s="67" t="s">
        <v>5611</v>
      </c>
      <c r="EW699" s="67">
        <v>490.27</v>
      </c>
      <c r="EX699" s="67" t="s">
        <v>5612</v>
      </c>
      <c r="EY699" s="67">
        <v>5631.28</v>
      </c>
      <c r="EZ699" s="67" t="s">
        <v>5613</v>
      </c>
      <c r="FA699" s="67">
        <v>19867.973000000002</v>
      </c>
      <c r="FB699" s="67" t="s">
        <v>5614</v>
      </c>
      <c r="FC699" s="67" t="s">
        <v>5615</v>
      </c>
      <c r="FD699" s="67" t="s">
        <v>5616</v>
      </c>
      <c r="FE699" s="68" t="s">
        <v>5617</v>
      </c>
      <c r="FF699" s="68" t="s">
        <v>5618</v>
      </c>
    </row>
    <row r="700" spans="151:162" x14ac:dyDescent="0.2">
      <c r="EU700" s="67">
        <v>567.29999999999995</v>
      </c>
      <c r="EV700" s="67" t="s">
        <v>5619</v>
      </c>
      <c r="EW700" s="67">
        <v>490.19</v>
      </c>
      <c r="EX700" s="67" t="s">
        <v>5620</v>
      </c>
      <c r="EY700" s="67">
        <v>5631.28</v>
      </c>
      <c r="EZ700" s="67" t="s">
        <v>5621</v>
      </c>
      <c r="FA700" s="67">
        <v>19867.973000000002</v>
      </c>
      <c r="FB700" s="67" t="s">
        <v>5622</v>
      </c>
      <c r="FC700" s="67" t="s">
        <v>5623</v>
      </c>
      <c r="FD700" s="67" t="s">
        <v>5624</v>
      </c>
      <c r="FE700" s="68" t="s">
        <v>5625</v>
      </c>
      <c r="FF700" s="68" t="s">
        <v>5626</v>
      </c>
    </row>
    <row r="701" spans="151:162" x14ac:dyDescent="0.2">
      <c r="EU701" s="67">
        <v>567.4</v>
      </c>
      <c r="EV701" s="67" t="s">
        <v>5627</v>
      </c>
      <c r="EW701" s="67">
        <v>490.27</v>
      </c>
      <c r="EX701" s="67" t="s">
        <v>5628</v>
      </c>
      <c r="EY701" s="67">
        <v>5631.28</v>
      </c>
      <c r="EZ701" s="67" t="s">
        <v>5629</v>
      </c>
      <c r="FA701" s="67">
        <v>19867.973000000002</v>
      </c>
      <c r="FB701" s="67" t="s">
        <v>5630</v>
      </c>
      <c r="FC701" s="67" t="s">
        <v>5631</v>
      </c>
      <c r="FD701" s="67" t="s">
        <v>5632</v>
      </c>
      <c r="FE701" s="68" t="s">
        <v>5633</v>
      </c>
      <c r="FF701" s="68" t="s">
        <v>5634</v>
      </c>
    </row>
    <row r="702" spans="151:162" x14ac:dyDescent="0.2">
      <c r="EU702" s="67">
        <v>567.39</v>
      </c>
      <c r="EV702" s="67" t="s">
        <v>5635</v>
      </c>
      <c r="EW702" s="67">
        <v>490.24</v>
      </c>
      <c r="EX702" s="67" t="s">
        <v>5636</v>
      </c>
      <c r="EY702" s="67">
        <v>5631.28</v>
      </c>
      <c r="EZ702" s="67" t="s">
        <v>5637</v>
      </c>
      <c r="FA702" s="67">
        <v>19867.973000000002</v>
      </c>
      <c r="FB702" s="67" t="s">
        <v>5638</v>
      </c>
      <c r="FC702" s="67" t="s">
        <v>5639</v>
      </c>
      <c r="FD702" s="67" t="s">
        <v>5640</v>
      </c>
      <c r="FE702" s="68" t="s">
        <v>5641</v>
      </c>
      <c r="FF702" s="68" t="s">
        <v>5642</v>
      </c>
    </row>
    <row r="703" spans="151:162" x14ac:dyDescent="0.2">
      <c r="EU703" s="67">
        <v>567.37</v>
      </c>
      <c r="EV703" s="67" t="s">
        <v>5643</v>
      </c>
      <c r="EW703" s="67">
        <v>490.15</v>
      </c>
      <c r="EX703" s="67" t="s">
        <v>5644</v>
      </c>
      <c r="EY703" s="67">
        <v>5631.28</v>
      </c>
      <c r="EZ703" s="67" t="s">
        <v>5645</v>
      </c>
      <c r="FA703" s="67">
        <v>19867.973000000002</v>
      </c>
      <c r="FB703" s="67" t="s">
        <v>5646</v>
      </c>
      <c r="FC703" s="67" t="s">
        <v>5647</v>
      </c>
      <c r="FD703" s="67" t="s">
        <v>5648</v>
      </c>
      <c r="FE703" s="68" t="s">
        <v>5649</v>
      </c>
      <c r="FF703" s="68" t="s">
        <v>5650</v>
      </c>
    </row>
    <row r="704" spans="151:162" x14ac:dyDescent="0.2">
      <c r="EU704" s="67">
        <v>567.39</v>
      </c>
      <c r="EV704" s="67" t="s">
        <v>5651</v>
      </c>
      <c r="EW704" s="67">
        <v>490.18</v>
      </c>
      <c r="EX704" s="67" t="s">
        <v>5652</v>
      </c>
      <c r="EY704" s="67">
        <v>5631.28</v>
      </c>
      <c r="EZ704" s="67" t="s">
        <v>5653</v>
      </c>
      <c r="FA704" s="67">
        <v>19867.973000000002</v>
      </c>
      <c r="FB704" s="67" t="s">
        <v>5654</v>
      </c>
      <c r="FC704" s="67" t="s">
        <v>5655</v>
      </c>
      <c r="FD704" s="67" t="s">
        <v>5656</v>
      </c>
      <c r="FE704" s="68" t="s">
        <v>5657</v>
      </c>
      <c r="FF704" s="68" t="s">
        <v>5658</v>
      </c>
    </row>
    <row r="705" spans="151:162" x14ac:dyDescent="0.2">
      <c r="EU705" s="67">
        <v>567.41</v>
      </c>
      <c r="EV705" s="67" t="s">
        <v>5659</v>
      </c>
      <c r="EW705" s="67">
        <v>490.19</v>
      </c>
      <c r="EX705" s="67" t="s">
        <v>5660</v>
      </c>
      <c r="EY705" s="67">
        <v>5631.28</v>
      </c>
      <c r="EZ705" s="67" t="s">
        <v>5661</v>
      </c>
      <c r="FA705" s="67">
        <v>19867.973000000002</v>
      </c>
      <c r="FB705" s="67" t="s">
        <v>5662</v>
      </c>
      <c r="FC705" s="67" t="s">
        <v>5663</v>
      </c>
      <c r="FD705" s="67" t="s">
        <v>5664</v>
      </c>
      <c r="FE705" s="68" t="s">
        <v>5665</v>
      </c>
      <c r="FF705" s="68" t="s">
        <v>5666</v>
      </c>
    </row>
    <row r="706" spans="151:162" x14ac:dyDescent="0.2">
      <c r="EU706" s="67">
        <v>567.59</v>
      </c>
      <c r="EV706" s="67" t="s">
        <v>5667</v>
      </c>
      <c r="EW706" s="67">
        <v>490.41</v>
      </c>
      <c r="EX706" s="67" t="s">
        <v>5668</v>
      </c>
      <c r="EY706" s="67">
        <v>5631.28</v>
      </c>
      <c r="EZ706" s="67" t="s">
        <v>5669</v>
      </c>
      <c r="FA706" s="67">
        <v>19867.973000000002</v>
      </c>
      <c r="FB706" s="67" t="s">
        <v>5670</v>
      </c>
      <c r="FC706" s="67" t="s">
        <v>5671</v>
      </c>
      <c r="FD706" s="67" t="s">
        <v>5672</v>
      </c>
      <c r="FE706" s="68" t="s">
        <v>5673</v>
      </c>
      <c r="FF706" s="68" t="s">
        <v>5674</v>
      </c>
    </row>
    <row r="707" spans="151:162" x14ac:dyDescent="0.2">
      <c r="EU707" s="67">
        <v>567.59</v>
      </c>
      <c r="EV707" s="67" t="s">
        <v>5675</v>
      </c>
      <c r="EW707" s="67">
        <v>490.4</v>
      </c>
      <c r="EX707" s="67" t="s">
        <v>5676</v>
      </c>
      <c r="EY707" s="67">
        <v>5631.28</v>
      </c>
      <c r="EZ707" s="67" t="s">
        <v>5677</v>
      </c>
      <c r="FA707" s="67">
        <v>19867.973000000002</v>
      </c>
      <c r="FB707" s="67" t="s">
        <v>5678</v>
      </c>
      <c r="FC707" s="67" t="s">
        <v>5679</v>
      </c>
      <c r="FD707" s="67" t="s">
        <v>5680</v>
      </c>
      <c r="FE707" s="68" t="s">
        <v>5681</v>
      </c>
      <c r="FF707" s="68" t="s">
        <v>5682</v>
      </c>
    </row>
    <row r="708" spans="151:162" x14ac:dyDescent="0.2">
      <c r="EU708" s="67">
        <v>567.65</v>
      </c>
      <c r="EV708" s="67" t="s">
        <v>5683</v>
      </c>
      <c r="EW708" s="67">
        <v>490.49</v>
      </c>
      <c r="EX708" s="67" t="s">
        <v>5684</v>
      </c>
      <c r="EY708" s="67">
        <v>5631.28</v>
      </c>
      <c r="EZ708" s="67" t="s">
        <v>5685</v>
      </c>
      <c r="FA708" s="67">
        <v>19867.973000000002</v>
      </c>
      <c r="FB708" s="67" t="s">
        <v>5686</v>
      </c>
      <c r="FC708" s="67" t="s">
        <v>5687</v>
      </c>
      <c r="FD708" s="67" t="s">
        <v>5688</v>
      </c>
      <c r="FE708" s="68" t="s">
        <v>5689</v>
      </c>
      <c r="FF708" s="68" t="s">
        <v>5690</v>
      </c>
    </row>
    <row r="709" spans="151:162" x14ac:dyDescent="0.2">
      <c r="EU709" s="67">
        <v>567.65</v>
      </c>
      <c r="EV709" s="67" t="s">
        <v>5691</v>
      </c>
      <c r="EW709" s="67">
        <v>490.47</v>
      </c>
      <c r="EX709" s="67" t="s">
        <v>5692</v>
      </c>
      <c r="EY709" s="67">
        <v>5631.28</v>
      </c>
      <c r="EZ709" s="67" t="s">
        <v>5693</v>
      </c>
      <c r="FA709" s="67">
        <v>19867.973000000002</v>
      </c>
      <c r="FB709" s="67" t="s">
        <v>5694</v>
      </c>
      <c r="FC709" s="67" t="s">
        <v>5695</v>
      </c>
      <c r="FD709" s="67" t="s">
        <v>5696</v>
      </c>
      <c r="FE709" s="68" t="s">
        <v>5697</v>
      </c>
      <c r="FF709" s="68" t="s">
        <v>5698</v>
      </c>
    </row>
    <row r="710" spans="151:162" x14ac:dyDescent="0.2">
      <c r="EU710" s="67">
        <v>567.64</v>
      </c>
      <c r="EV710" s="67" t="s">
        <v>5699</v>
      </c>
      <c r="EW710" s="67">
        <v>490.5</v>
      </c>
      <c r="EX710" s="67" t="s">
        <v>5700</v>
      </c>
      <c r="EY710" s="67">
        <v>5631.28</v>
      </c>
      <c r="EZ710" s="67" t="s">
        <v>5701</v>
      </c>
      <c r="FA710" s="67">
        <v>19867.973000000002</v>
      </c>
      <c r="FB710" s="67" t="s">
        <v>5702</v>
      </c>
      <c r="FC710" s="67" t="s">
        <v>5703</v>
      </c>
      <c r="FD710" s="67" t="s">
        <v>5704</v>
      </c>
      <c r="FE710" s="68" t="s">
        <v>5705</v>
      </c>
      <c r="FF710" s="68" t="s">
        <v>5706</v>
      </c>
    </row>
    <row r="711" spans="151:162" x14ac:dyDescent="0.2">
      <c r="EU711" s="67">
        <v>567.64</v>
      </c>
      <c r="EV711" s="67" t="s">
        <v>5707</v>
      </c>
      <c r="EW711" s="67">
        <v>490.5</v>
      </c>
      <c r="EX711" s="67" t="s">
        <v>5708</v>
      </c>
      <c r="EY711" s="67">
        <v>5631.28</v>
      </c>
      <c r="EZ711" s="67" t="s">
        <v>5709</v>
      </c>
      <c r="FA711" s="67">
        <v>19867.973000000002</v>
      </c>
      <c r="FB711" s="67" t="s">
        <v>5710</v>
      </c>
      <c r="FC711" s="67" t="s">
        <v>5711</v>
      </c>
      <c r="FD711" s="67" t="s">
        <v>5712</v>
      </c>
      <c r="FE711" s="68" t="s">
        <v>5713</v>
      </c>
      <c r="FF711" s="68" t="s">
        <v>5714</v>
      </c>
    </row>
    <row r="712" spans="151:162" x14ac:dyDescent="0.2">
      <c r="EU712" s="67">
        <v>567.83000000000004</v>
      </c>
      <c r="EV712" s="67" t="s">
        <v>5715</v>
      </c>
      <c r="EW712" s="67">
        <v>490.53</v>
      </c>
      <c r="EX712" s="67" t="s">
        <v>5716</v>
      </c>
      <c r="EY712" s="67">
        <v>5631.28</v>
      </c>
      <c r="EZ712" s="67" t="s">
        <v>5717</v>
      </c>
      <c r="FA712" s="67">
        <v>19867.973000000002</v>
      </c>
      <c r="FB712" s="67" t="s">
        <v>5718</v>
      </c>
      <c r="FC712" s="67" t="s">
        <v>5719</v>
      </c>
      <c r="FD712" s="67" t="s">
        <v>5720</v>
      </c>
      <c r="FE712" s="68" t="s">
        <v>5721</v>
      </c>
      <c r="FF712" s="68" t="s">
        <v>5722</v>
      </c>
    </row>
    <row r="713" spans="151:162" x14ac:dyDescent="0.2">
      <c r="EU713" s="67">
        <v>567.86</v>
      </c>
      <c r="EV713" s="67" t="s">
        <v>5723</v>
      </c>
      <c r="EW713" s="67">
        <v>490.68</v>
      </c>
      <c r="EX713" s="67" t="s">
        <v>5724</v>
      </c>
      <c r="EY713" s="67">
        <v>5631.28</v>
      </c>
      <c r="EZ713" s="67" t="s">
        <v>5725</v>
      </c>
      <c r="FA713" s="67">
        <v>19867.973000000002</v>
      </c>
      <c r="FB713" s="67" t="s">
        <v>5726</v>
      </c>
      <c r="FC713" s="67" t="s">
        <v>5727</v>
      </c>
      <c r="FD713" s="67" t="s">
        <v>5728</v>
      </c>
      <c r="FE713" s="68" t="s">
        <v>5729</v>
      </c>
      <c r="FF713" s="68" t="s">
        <v>5730</v>
      </c>
    </row>
    <row r="714" spans="151:162" x14ac:dyDescent="0.2">
      <c r="EU714" s="67">
        <v>567.88</v>
      </c>
      <c r="EV714" s="67" t="s">
        <v>5731</v>
      </c>
      <c r="EW714" s="67">
        <v>490.67</v>
      </c>
      <c r="EX714" s="67" t="s">
        <v>5732</v>
      </c>
      <c r="EY714" s="67">
        <v>5631.28</v>
      </c>
      <c r="EZ714" s="67" t="s">
        <v>5733</v>
      </c>
      <c r="FA714" s="67">
        <v>19867.973000000002</v>
      </c>
      <c r="FB714" s="67" t="s">
        <v>5734</v>
      </c>
      <c r="FC714" s="67" t="s">
        <v>5735</v>
      </c>
      <c r="FD714" s="67" t="s">
        <v>5736</v>
      </c>
      <c r="FE714" s="68" t="s">
        <v>5737</v>
      </c>
      <c r="FF714" s="68" t="s">
        <v>5738</v>
      </c>
    </row>
    <row r="715" spans="151:162" x14ac:dyDescent="0.2">
      <c r="EU715" s="67">
        <v>567.78</v>
      </c>
      <c r="EV715" s="67" t="s">
        <v>5739</v>
      </c>
      <c r="EW715" s="67">
        <v>490.57</v>
      </c>
      <c r="EX715" s="67" t="s">
        <v>5740</v>
      </c>
      <c r="EY715" s="67">
        <v>5631.28</v>
      </c>
      <c r="EZ715" s="67" t="s">
        <v>5741</v>
      </c>
      <c r="FA715" s="67">
        <v>19867.973000000002</v>
      </c>
      <c r="FB715" s="67" t="s">
        <v>5742</v>
      </c>
      <c r="FC715" s="67" t="s">
        <v>5743</v>
      </c>
      <c r="FD715" s="67" t="s">
        <v>5744</v>
      </c>
      <c r="FE715" s="68" t="s">
        <v>5745</v>
      </c>
      <c r="FF715" s="68" t="s">
        <v>5746</v>
      </c>
    </row>
    <row r="716" spans="151:162" x14ac:dyDescent="0.2">
      <c r="EU716" s="67">
        <v>567.79</v>
      </c>
      <c r="EV716" s="67" t="s">
        <v>5747</v>
      </c>
      <c r="EW716" s="67">
        <v>490.56</v>
      </c>
      <c r="EX716" s="67" t="s">
        <v>5748</v>
      </c>
      <c r="EY716" s="67">
        <v>5631.28</v>
      </c>
      <c r="EZ716" s="67" t="s">
        <v>5749</v>
      </c>
      <c r="FA716" s="67">
        <v>19867.973000000002</v>
      </c>
      <c r="FB716" s="67" t="s">
        <v>5750</v>
      </c>
      <c r="FC716" s="67" t="s">
        <v>5751</v>
      </c>
      <c r="FD716" s="67" t="s">
        <v>5752</v>
      </c>
      <c r="FE716" s="68" t="s">
        <v>5753</v>
      </c>
      <c r="FF716" s="68" t="s">
        <v>5754</v>
      </c>
    </row>
    <row r="717" spans="151:162" x14ac:dyDescent="0.2">
      <c r="EU717" s="67">
        <v>567.82000000000005</v>
      </c>
      <c r="EV717" s="67" t="s">
        <v>5755</v>
      </c>
      <c r="EW717" s="67">
        <v>490.48</v>
      </c>
      <c r="EX717" s="67" t="s">
        <v>5756</v>
      </c>
      <c r="EY717" s="67">
        <v>5631.28</v>
      </c>
      <c r="EZ717" s="67" t="s">
        <v>5757</v>
      </c>
      <c r="FA717" s="67">
        <v>19867.973000000002</v>
      </c>
      <c r="FB717" s="67" t="s">
        <v>5758</v>
      </c>
      <c r="FC717" s="67" t="s">
        <v>5759</v>
      </c>
      <c r="FD717" s="67" t="s">
        <v>5760</v>
      </c>
      <c r="FE717" s="68" t="s">
        <v>5761</v>
      </c>
      <c r="FF717" s="68" t="s">
        <v>5762</v>
      </c>
    </row>
    <row r="718" spans="151:162" x14ac:dyDescent="0.2">
      <c r="EU718" s="67">
        <v>567.79</v>
      </c>
      <c r="EV718" s="67" t="s">
        <v>5763</v>
      </c>
      <c r="EW718" s="67">
        <v>490.53</v>
      </c>
      <c r="EX718" s="67" t="s">
        <v>5764</v>
      </c>
      <c r="EY718" s="67">
        <v>5631.28</v>
      </c>
      <c r="EZ718" s="67" t="s">
        <v>5765</v>
      </c>
      <c r="FA718" s="67">
        <v>19867.973000000002</v>
      </c>
      <c r="FB718" s="67" t="s">
        <v>5766</v>
      </c>
      <c r="FC718" s="67" t="s">
        <v>5767</v>
      </c>
      <c r="FD718" s="67" t="s">
        <v>5768</v>
      </c>
      <c r="FE718" s="68" t="s">
        <v>5769</v>
      </c>
      <c r="FF718" s="68" t="s">
        <v>5770</v>
      </c>
    </row>
    <row r="719" spans="151:162" x14ac:dyDescent="0.2">
      <c r="EU719" s="67">
        <v>567.88</v>
      </c>
      <c r="EV719" s="67" t="s">
        <v>5771</v>
      </c>
      <c r="EW719" s="67">
        <v>490.63</v>
      </c>
      <c r="EX719" s="67" t="s">
        <v>5772</v>
      </c>
      <c r="EY719" s="67">
        <v>5631.28</v>
      </c>
      <c r="EZ719" s="67" t="s">
        <v>5773</v>
      </c>
      <c r="FA719" s="67">
        <v>19867.973000000002</v>
      </c>
      <c r="FB719" s="67" t="s">
        <v>5774</v>
      </c>
      <c r="FC719" s="67" t="s">
        <v>5775</v>
      </c>
      <c r="FD719" s="67" t="s">
        <v>5776</v>
      </c>
      <c r="FE719" s="68" t="s">
        <v>5777</v>
      </c>
      <c r="FF719" s="68" t="s">
        <v>5778</v>
      </c>
    </row>
    <row r="720" spans="151:162" x14ac:dyDescent="0.2">
      <c r="EU720" s="67">
        <v>567.55999999999995</v>
      </c>
      <c r="EV720" s="67" t="s">
        <v>5779</v>
      </c>
      <c r="EW720" s="67">
        <v>490.23</v>
      </c>
      <c r="EX720" s="67" t="s">
        <v>5780</v>
      </c>
      <c r="EY720" s="67">
        <v>5631.28</v>
      </c>
      <c r="EZ720" s="67" t="s">
        <v>5781</v>
      </c>
      <c r="FA720" s="67">
        <v>19867.973000000002</v>
      </c>
      <c r="FB720" s="67" t="s">
        <v>5782</v>
      </c>
      <c r="FC720" s="67" t="s">
        <v>5783</v>
      </c>
      <c r="FD720" s="67" t="s">
        <v>5784</v>
      </c>
      <c r="FE720" s="68" t="s">
        <v>5785</v>
      </c>
      <c r="FF720" s="68" t="s">
        <v>5786</v>
      </c>
    </row>
    <row r="721" spans="151:162" x14ac:dyDescent="0.2">
      <c r="EU721" s="67">
        <v>567.55999999999995</v>
      </c>
      <c r="EV721" s="67" t="s">
        <v>5787</v>
      </c>
      <c r="EW721" s="67">
        <v>490.31</v>
      </c>
      <c r="EX721" s="67" t="s">
        <v>5788</v>
      </c>
      <c r="EY721" s="67">
        <v>5631.28</v>
      </c>
      <c r="EZ721" s="67" t="s">
        <v>5789</v>
      </c>
      <c r="FA721" s="67">
        <v>19867.973000000002</v>
      </c>
      <c r="FB721" s="67" t="s">
        <v>5790</v>
      </c>
      <c r="FC721" s="67" t="s">
        <v>5791</v>
      </c>
      <c r="FD721" s="67" t="s">
        <v>5792</v>
      </c>
      <c r="FE721" s="68" t="s">
        <v>5793</v>
      </c>
      <c r="FF721" s="68" t="s">
        <v>5794</v>
      </c>
    </row>
    <row r="722" spans="151:162" x14ac:dyDescent="0.2">
      <c r="EU722" s="67">
        <v>567.59</v>
      </c>
      <c r="EV722" s="67" t="s">
        <v>5795</v>
      </c>
      <c r="EW722" s="67">
        <v>490.27</v>
      </c>
      <c r="EX722" s="67" t="s">
        <v>5796</v>
      </c>
      <c r="EY722" s="67">
        <v>5631.28</v>
      </c>
      <c r="EZ722" s="67" t="s">
        <v>5797</v>
      </c>
      <c r="FA722" s="67">
        <v>19867.973000000002</v>
      </c>
      <c r="FB722" s="67" t="s">
        <v>5798</v>
      </c>
      <c r="FC722" s="67" t="s">
        <v>5799</v>
      </c>
      <c r="FD722" s="67" t="s">
        <v>5800</v>
      </c>
      <c r="FE722" s="68" t="s">
        <v>5801</v>
      </c>
      <c r="FF722" s="68" t="s">
        <v>5802</v>
      </c>
    </row>
    <row r="723" spans="151:162" x14ac:dyDescent="0.2">
      <c r="EU723" s="67">
        <v>567.66999999999996</v>
      </c>
      <c r="EV723" s="67" t="s">
        <v>5803</v>
      </c>
      <c r="EW723" s="67">
        <v>490.36</v>
      </c>
      <c r="EX723" s="67" t="s">
        <v>5804</v>
      </c>
      <c r="EY723" s="67">
        <v>5631.28</v>
      </c>
      <c r="EZ723" s="67" t="s">
        <v>5805</v>
      </c>
      <c r="FA723" s="67">
        <v>19867.973000000002</v>
      </c>
      <c r="FB723" s="67" t="s">
        <v>5806</v>
      </c>
      <c r="FC723" s="67" t="s">
        <v>5807</v>
      </c>
      <c r="FD723" s="67" t="s">
        <v>5808</v>
      </c>
      <c r="FE723" s="68" t="s">
        <v>5809</v>
      </c>
      <c r="FF723" s="68" t="s">
        <v>5810</v>
      </c>
    </row>
    <row r="724" spans="151:162" x14ac:dyDescent="0.2">
      <c r="EU724" s="67">
        <v>567.54</v>
      </c>
      <c r="EV724" s="67" t="s">
        <v>5811</v>
      </c>
      <c r="EW724" s="67">
        <v>490.25</v>
      </c>
      <c r="EX724" s="67" t="s">
        <v>5812</v>
      </c>
      <c r="EY724" s="67">
        <v>5631.28</v>
      </c>
      <c r="EZ724" s="67" t="s">
        <v>5813</v>
      </c>
      <c r="FA724" s="67">
        <v>19867.973000000002</v>
      </c>
      <c r="FB724" s="67" t="s">
        <v>5814</v>
      </c>
      <c r="FC724" s="67" t="s">
        <v>5815</v>
      </c>
      <c r="FD724" s="67" t="s">
        <v>5816</v>
      </c>
      <c r="FE724" s="68" t="s">
        <v>5817</v>
      </c>
      <c r="FF724" s="68" t="s">
        <v>5818</v>
      </c>
    </row>
    <row r="725" spans="151:162" x14ac:dyDescent="0.2">
      <c r="EU725" s="67">
        <v>567.47</v>
      </c>
      <c r="EV725" s="67" t="s">
        <v>5819</v>
      </c>
      <c r="EW725" s="67">
        <v>490.13</v>
      </c>
      <c r="EX725" s="67" t="s">
        <v>5820</v>
      </c>
      <c r="EY725" s="67">
        <v>5631.28</v>
      </c>
      <c r="EZ725" s="67" t="s">
        <v>5821</v>
      </c>
      <c r="FA725" s="67">
        <v>19867.973000000002</v>
      </c>
      <c r="FB725" s="67" t="s">
        <v>5822</v>
      </c>
      <c r="FC725" s="67" t="s">
        <v>5823</v>
      </c>
      <c r="FD725" s="67" t="s">
        <v>5824</v>
      </c>
      <c r="FE725" s="68" t="s">
        <v>5825</v>
      </c>
      <c r="FF725" s="68" t="s">
        <v>5826</v>
      </c>
    </row>
    <row r="726" spans="151:162" x14ac:dyDescent="0.2">
      <c r="EU726" s="67">
        <v>567.47</v>
      </c>
      <c r="EV726" s="67" t="s">
        <v>5827</v>
      </c>
      <c r="EW726" s="67">
        <v>490.03</v>
      </c>
      <c r="EX726" s="67" t="s">
        <v>5828</v>
      </c>
      <c r="EY726" s="67">
        <v>5631.28</v>
      </c>
      <c r="EZ726" s="67" t="s">
        <v>5829</v>
      </c>
      <c r="FA726" s="67">
        <v>19867.973000000002</v>
      </c>
      <c r="FB726" s="67" t="s">
        <v>5830</v>
      </c>
      <c r="FC726" s="67" t="s">
        <v>5831</v>
      </c>
      <c r="FD726" s="67" t="s">
        <v>5832</v>
      </c>
      <c r="FE726" s="68" t="s">
        <v>5833</v>
      </c>
      <c r="FF726" s="68" t="s">
        <v>5834</v>
      </c>
    </row>
    <row r="727" spans="151:162" x14ac:dyDescent="0.2">
      <c r="EU727" s="67">
        <v>567.25</v>
      </c>
      <c r="EV727" s="67" t="s">
        <v>5835</v>
      </c>
      <c r="EW727" s="67">
        <v>489.95</v>
      </c>
      <c r="EX727" s="67" t="s">
        <v>5836</v>
      </c>
      <c r="EY727" s="67">
        <v>5631.28</v>
      </c>
      <c r="EZ727" s="67" t="s">
        <v>5837</v>
      </c>
      <c r="FA727" s="67">
        <v>19867.973000000002</v>
      </c>
      <c r="FB727" s="67" t="s">
        <v>5838</v>
      </c>
      <c r="FC727" s="67" t="s">
        <v>5839</v>
      </c>
      <c r="FD727" s="67" t="s">
        <v>5840</v>
      </c>
      <c r="FE727" s="68" t="s">
        <v>5841</v>
      </c>
      <c r="FF727" s="68" t="s">
        <v>5842</v>
      </c>
    </row>
    <row r="728" spans="151:162" x14ac:dyDescent="0.2">
      <c r="EU728" s="67">
        <v>567.30999999999995</v>
      </c>
      <c r="EV728" s="67" t="s">
        <v>5843</v>
      </c>
      <c r="EW728" s="67">
        <v>490.01</v>
      </c>
      <c r="EX728" s="67" t="s">
        <v>5844</v>
      </c>
      <c r="EY728" s="67">
        <v>5631.28</v>
      </c>
      <c r="EZ728" s="67" t="s">
        <v>5845</v>
      </c>
      <c r="FA728" s="67">
        <v>19867.973000000002</v>
      </c>
      <c r="FB728" s="67" t="s">
        <v>5846</v>
      </c>
      <c r="FC728" s="67" t="s">
        <v>5847</v>
      </c>
      <c r="FD728" s="67" t="s">
        <v>5848</v>
      </c>
      <c r="FE728" s="68" t="s">
        <v>5849</v>
      </c>
      <c r="FF728" s="68" t="s">
        <v>5850</v>
      </c>
    </row>
    <row r="729" spans="151:162" x14ac:dyDescent="0.2">
      <c r="EU729" s="67">
        <v>567.24</v>
      </c>
      <c r="EV729" s="67" t="s">
        <v>5851</v>
      </c>
      <c r="EW729" s="67">
        <v>489.96</v>
      </c>
      <c r="EX729" s="67" t="s">
        <v>5852</v>
      </c>
      <c r="EY729" s="67">
        <v>5631.28</v>
      </c>
      <c r="EZ729" s="67" t="s">
        <v>5853</v>
      </c>
      <c r="FA729" s="67">
        <v>19867.973000000002</v>
      </c>
      <c r="FB729" s="67" t="s">
        <v>5854</v>
      </c>
      <c r="FC729" s="67" t="s">
        <v>5855</v>
      </c>
      <c r="FD729" s="67" t="s">
        <v>5856</v>
      </c>
      <c r="FE729" s="68" t="s">
        <v>5857</v>
      </c>
      <c r="FF729" s="68" t="s">
        <v>5858</v>
      </c>
    </row>
    <row r="730" spans="151:162" x14ac:dyDescent="0.2">
      <c r="EU730" s="67">
        <v>567.16999999999996</v>
      </c>
      <c r="EV730" s="67" t="s">
        <v>5851</v>
      </c>
      <c r="EW730" s="67">
        <v>489.92</v>
      </c>
      <c r="EX730" s="67" t="s">
        <v>5852</v>
      </c>
      <c r="EY730" s="67">
        <v>5631.28</v>
      </c>
      <c r="EZ730" s="67" t="s">
        <v>5853</v>
      </c>
      <c r="FA730" s="67">
        <v>19867.973000000002</v>
      </c>
      <c r="FB730" s="67" t="s">
        <v>5854</v>
      </c>
      <c r="FC730" s="67" t="s">
        <v>5859</v>
      </c>
      <c r="FD730" s="67" t="s">
        <v>5860</v>
      </c>
      <c r="FE730" s="68" t="s">
        <v>5861</v>
      </c>
      <c r="FF730" s="68" t="s">
        <v>5862</v>
      </c>
    </row>
    <row r="731" spans="151:162" x14ac:dyDescent="0.2">
      <c r="EU731" s="67">
        <v>567.12</v>
      </c>
      <c r="EV731" s="67" t="s">
        <v>5863</v>
      </c>
      <c r="EW731" s="67">
        <v>489.91</v>
      </c>
      <c r="EX731" s="67" t="s">
        <v>5864</v>
      </c>
      <c r="EY731" s="67">
        <v>5631.28</v>
      </c>
      <c r="EZ731" s="67" t="s">
        <v>5865</v>
      </c>
      <c r="FA731" s="67">
        <v>19867.973000000002</v>
      </c>
      <c r="FB731" s="67" t="s">
        <v>5866</v>
      </c>
      <c r="FC731" s="67" t="s">
        <v>5867</v>
      </c>
      <c r="FD731" s="67" t="s">
        <v>5868</v>
      </c>
      <c r="FE731" s="68" t="s">
        <v>5869</v>
      </c>
      <c r="FF731" s="68" t="s">
        <v>5870</v>
      </c>
    </row>
    <row r="732" spans="151:162" x14ac:dyDescent="0.2">
      <c r="EU732" s="67">
        <v>567.12</v>
      </c>
      <c r="EV732" s="67" t="s">
        <v>5871</v>
      </c>
      <c r="EW732" s="67">
        <v>489.94</v>
      </c>
      <c r="EX732" s="67" t="s">
        <v>5872</v>
      </c>
      <c r="EY732" s="67">
        <v>5631.28</v>
      </c>
      <c r="EZ732" s="67" t="s">
        <v>5873</v>
      </c>
      <c r="FA732" s="67">
        <v>19867.973000000002</v>
      </c>
      <c r="FB732" s="67" t="s">
        <v>5874</v>
      </c>
      <c r="FC732" s="67" t="s">
        <v>5875</v>
      </c>
      <c r="FD732" s="67" t="s">
        <v>5876</v>
      </c>
      <c r="FE732" s="68" t="s">
        <v>5877</v>
      </c>
      <c r="FF732" s="68" t="s">
        <v>5878</v>
      </c>
    </row>
    <row r="733" spans="151:162" x14ac:dyDescent="0.2">
      <c r="EU733" s="67">
        <v>567.09</v>
      </c>
      <c r="EV733" s="67" t="s">
        <v>5879</v>
      </c>
      <c r="EW733" s="67">
        <v>489.88</v>
      </c>
      <c r="EX733" s="67" t="s">
        <v>5880</v>
      </c>
      <c r="EY733" s="67">
        <v>5631.28</v>
      </c>
      <c r="EZ733" s="67" t="s">
        <v>5881</v>
      </c>
      <c r="FA733" s="67">
        <v>19867.973000000002</v>
      </c>
      <c r="FB733" s="67" t="s">
        <v>5882</v>
      </c>
      <c r="FC733" s="67" t="s">
        <v>5883</v>
      </c>
      <c r="FD733" s="67" t="s">
        <v>5884</v>
      </c>
      <c r="FE733" s="68" t="s">
        <v>5885</v>
      </c>
      <c r="FF733" s="68" t="s">
        <v>5886</v>
      </c>
    </row>
    <row r="734" spans="151:162" x14ac:dyDescent="0.2">
      <c r="EU734" s="67">
        <v>567.15</v>
      </c>
      <c r="EV734" s="67" t="s">
        <v>5887</v>
      </c>
      <c r="EW734" s="67">
        <v>489.95</v>
      </c>
      <c r="EX734" s="67" t="s">
        <v>5888</v>
      </c>
      <c r="EY734" s="67">
        <v>5631.28</v>
      </c>
      <c r="EZ734" s="67" t="s">
        <v>5889</v>
      </c>
      <c r="FA734" s="67">
        <v>19867.973000000002</v>
      </c>
      <c r="FB734" s="67" t="s">
        <v>5890</v>
      </c>
      <c r="FC734" s="67" t="s">
        <v>5891</v>
      </c>
      <c r="FD734" s="67" t="s">
        <v>5892</v>
      </c>
      <c r="FE734" s="68" t="s">
        <v>5893</v>
      </c>
      <c r="FF734" s="68" t="s">
        <v>5894</v>
      </c>
    </row>
    <row r="735" spans="151:162" x14ac:dyDescent="0.2">
      <c r="EU735" s="67">
        <v>567.16</v>
      </c>
      <c r="EV735" s="67" t="s">
        <v>5895</v>
      </c>
      <c r="EW735" s="67">
        <v>489.97</v>
      </c>
      <c r="EX735" s="67" t="s">
        <v>5896</v>
      </c>
      <c r="EY735" s="67">
        <v>5631.28</v>
      </c>
      <c r="EZ735" s="67" t="s">
        <v>5897</v>
      </c>
      <c r="FA735" s="67">
        <v>19867.973000000002</v>
      </c>
      <c r="FB735" s="67" t="s">
        <v>5898</v>
      </c>
      <c r="FC735" s="67" t="s">
        <v>5899</v>
      </c>
      <c r="FD735" s="67" t="s">
        <v>5900</v>
      </c>
      <c r="FE735" s="68" t="s">
        <v>5901</v>
      </c>
      <c r="FF735" s="68" t="s">
        <v>5902</v>
      </c>
    </row>
    <row r="736" spans="151:162" x14ac:dyDescent="0.2">
      <c r="EU736" s="67">
        <v>567.11</v>
      </c>
      <c r="EV736" s="67" t="s">
        <v>5903</v>
      </c>
      <c r="EW736" s="67">
        <v>489.9</v>
      </c>
      <c r="EX736" s="67" t="s">
        <v>5904</v>
      </c>
      <c r="EY736" s="67">
        <v>5631.28</v>
      </c>
      <c r="EZ736" s="67" t="s">
        <v>5905</v>
      </c>
      <c r="FA736" s="67">
        <v>19867.973000000002</v>
      </c>
      <c r="FB736" s="67" t="s">
        <v>5906</v>
      </c>
      <c r="FC736" s="67" t="s">
        <v>5907</v>
      </c>
      <c r="FD736" s="67" t="s">
        <v>5908</v>
      </c>
      <c r="FE736" s="68" t="s">
        <v>5909</v>
      </c>
      <c r="FF736" s="68" t="s">
        <v>5910</v>
      </c>
    </row>
    <row r="737" spans="151:162" x14ac:dyDescent="0.2">
      <c r="EU737" s="67">
        <v>567.04999999999995</v>
      </c>
      <c r="EV737" s="67" t="s">
        <v>5911</v>
      </c>
      <c r="EW737" s="67">
        <v>489.88</v>
      </c>
      <c r="EX737" s="67" t="s">
        <v>5912</v>
      </c>
      <c r="EY737" s="67">
        <v>5631.28</v>
      </c>
      <c r="EZ737" s="67" t="s">
        <v>5913</v>
      </c>
      <c r="FA737" s="67">
        <v>19867.973000000002</v>
      </c>
      <c r="FB737" s="67" t="s">
        <v>5914</v>
      </c>
      <c r="FC737" s="67" t="s">
        <v>5915</v>
      </c>
      <c r="FD737" s="67" t="s">
        <v>5916</v>
      </c>
      <c r="FE737" s="68" t="s">
        <v>5917</v>
      </c>
      <c r="FF737" s="68" t="s">
        <v>5918</v>
      </c>
    </row>
    <row r="738" spans="151:162" x14ac:dyDescent="0.2">
      <c r="EU738" s="67">
        <v>566.74</v>
      </c>
      <c r="EV738" s="67" t="s">
        <v>5919</v>
      </c>
      <c r="EW738" s="67">
        <v>489.65</v>
      </c>
      <c r="EX738" s="67" t="s">
        <v>5920</v>
      </c>
      <c r="EY738" s="67">
        <v>5631.28</v>
      </c>
      <c r="EZ738" s="67" t="s">
        <v>5921</v>
      </c>
      <c r="FA738" s="67">
        <v>19867.973000000002</v>
      </c>
      <c r="FB738" s="67" t="s">
        <v>5922</v>
      </c>
      <c r="FC738" s="67" t="s">
        <v>5923</v>
      </c>
      <c r="FD738" s="67" t="s">
        <v>5924</v>
      </c>
      <c r="FE738" s="68" t="s">
        <v>5925</v>
      </c>
      <c r="FF738" s="68" t="s">
        <v>5926</v>
      </c>
    </row>
    <row r="739" spans="151:162" x14ac:dyDescent="0.2">
      <c r="EU739" s="67">
        <v>566.82000000000005</v>
      </c>
      <c r="EV739" s="67" t="s">
        <v>5927</v>
      </c>
      <c r="EW739" s="67">
        <v>489.77</v>
      </c>
      <c r="EX739" s="67" t="s">
        <v>5928</v>
      </c>
      <c r="EY739" s="67">
        <v>5631.28</v>
      </c>
      <c r="EZ739" s="67" t="s">
        <v>5929</v>
      </c>
      <c r="FA739" s="67">
        <v>19867.973000000002</v>
      </c>
      <c r="FB739" s="67" t="s">
        <v>5930</v>
      </c>
      <c r="FC739" s="67" t="s">
        <v>5931</v>
      </c>
      <c r="FD739" s="67" t="s">
        <v>5932</v>
      </c>
      <c r="FE739" s="68" t="s">
        <v>5933</v>
      </c>
      <c r="FF739" s="68" t="s">
        <v>5934</v>
      </c>
    </row>
    <row r="740" spans="151:162" x14ac:dyDescent="0.2">
      <c r="EU740" s="67">
        <v>566.79999999999995</v>
      </c>
      <c r="EV740" s="67" t="s">
        <v>5935</v>
      </c>
      <c r="EW740" s="67">
        <v>489.76</v>
      </c>
      <c r="EX740" s="67" t="s">
        <v>5936</v>
      </c>
      <c r="EY740" s="67">
        <v>5631.28</v>
      </c>
      <c r="EZ740" s="67" t="s">
        <v>5937</v>
      </c>
      <c r="FA740" s="67">
        <v>19867.973000000002</v>
      </c>
      <c r="FB740" s="67" t="s">
        <v>5938</v>
      </c>
      <c r="FC740" s="67" t="s">
        <v>5939</v>
      </c>
      <c r="FD740" s="67" t="s">
        <v>5940</v>
      </c>
      <c r="FE740" s="68" t="s">
        <v>5941</v>
      </c>
      <c r="FF740" s="68" t="s">
        <v>5942</v>
      </c>
    </row>
    <row r="741" spans="151:162" x14ac:dyDescent="0.2">
      <c r="EU741" s="67">
        <v>566.84</v>
      </c>
      <c r="EV741" s="67" t="s">
        <v>5943</v>
      </c>
      <c r="EW741" s="67">
        <v>489.82</v>
      </c>
      <c r="EX741" s="67" t="s">
        <v>5944</v>
      </c>
      <c r="EY741" s="67">
        <v>5631.28</v>
      </c>
      <c r="EZ741" s="67" t="s">
        <v>5945</v>
      </c>
      <c r="FA741" s="67">
        <v>19867.973000000002</v>
      </c>
      <c r="FB741" s="67" t="s">
        <v>5946</v>
      </c>
      <c r="FC741" s="67" t="s">
        <v>5947</v>
      </c>
      <c r="FD741" s="67" t="s">
        <v>5948</v>
      </c>
      <c r="FE741" s="68" t="s">
        <v>5949</v>
      </c>
      <c r="FF741" s="68" t="s">
        <v>5950</v>
      </c>
    </row>
    <row r="742" spans="151:162" x14ac:dyDescent="0.2">
      <c r="EU742" s="67">
        <v>566.80999999999995</v>
      </c>
      <c r="EV742" s="67" t="s">
        <v>5951</v>
      </c>
      <c r="EW742" s="67">
        <v>489.82</v>
      </c>
      <c r="EX742" s="67" t="s">
        <v>5952</v>
      </c>
      <c r="EY742" s="67">
        <v>5631.28</v>
      </c>
      <c r="EZ742" s="67" t="s">
        <v>5953</v>
      </c>
      <c r="FA742" s="67">
        <v>19867.973000000002</v>
      </c>
      <c r="FB742" s="67" t="s">
        <v>5954</v>
      </c>
      <c r="FC742" s="67" t="s">
        <v>5955</v>
      </c>
      <c r="FD742" s="67" t="s">
        <v>5956</v>
      </c>
      <c r="FE742" s="68" t="s">
        <v>5957</v>
      </c>
      <c r="FF742" s="68" t="s">
        <v>5958</v>
      </c>
    </row>
    <row r="743" spans="151:162" x14ac:dyDescent="0.2">
      <c r="EU743" s="67">
        <v>566.65</v>
      </c>
      <c r="EV743" s="67" t="s">
        <v>5959</v>
      </c>
      <c r="EW743" s="67">
        <v>489.61</v>
      </c>
      <c r="EX743" s="67" t="s">
        <v>5960</v>
      </c>
      <c r="EY743" s="67">
        <v>5631.28</v>
      </c>
      <c r="EZ743" s="67" t="s">
        <v>5961</v>
      </c>
      <c r="FA743" s="67">
        <v>19867.973000000002</v>
      </c>
      <c r="FB743" s="67" t="s">
        <v>5962</v>
      </c>
      <c r="FC743" s="67" t="s">
        <v>5963</v>
      </c>
      <c r="FD743" s="67" t="s">
        <v>5964</v>
      </c>
      <c r="FE743" s="68" t="s">
        <v>5965</v>
      </c>
      <c r="FF743" s="68" t="s">
        <v>5966</v>
      </c>
    </row>
    <row r="744" spans="151:162" x14ac:dyDescent="0.2">
      <c r="EU744" s="67">
        <v>566.73</v>
      </c>
      <c r="EV744" s="67" t="s">
        <v>5967</v>
      </c>
      <c r="EW744" s="67">
        <v>489.71</v>
      </c>
      <c r="EX744" s="67" t="s">
        <v>5968</v>
      </c>
      <c r="EY744" s="67">
        <v>5631.28</v>
      </c>
      <c r="EZ744" s="67" t="s">
        <v>5969</v>
      </c>
      <c r="FA744" s="67">
        <v>19867.973000000002</v>
      </c>
      <c r="FB744" s="67" t="s">
        <v>5970</v>
      </c>
      <c r="FC744" s="67" t="s">
        <v>5971</v>
      </c>
      <c r="FD744" s="67" t="s">
        <v>5972</v>
      </c>
      <c r="FE744" s="68" t="s">
        <v>5973</v>
      </c>
      <c r="FF744" s="68" t="s">
        <v>5974</v>
      </c>
    </row>
    <row r="745" spans="151:162" x14ac:dyDescent="0.2">
      <c r="EU745" s="67">
        <v>566.77</v>
      </c>
      <c r="EV745" s="67" t="s">
        <v>5975</v>
      </c>
      <c r="EW745" s="67">
        <v>489.76</v>
      </c>
      <c r="EX745" s="67" t="s">
        <v>5976</v>
      </c>
      <c r="EY745" s="67">
        <v>5631.28</v>
      </c>
      <c r="EZ745" s="67" t="s">
        <v>5977</v>
      </c>
      <c r="FA745" s="67">
        <v>19867.973000000002</v>
      </c>
      <c r="FB745" s="67" t="s">
        <v>5978</v>
      </c>
      <c r="FC745" s="67" t="s">
        <v>5979</v>
      </c>
      <c r="FD745" s="67" t="s">
        <v>5980</v>
      </c>
      <c r="FE745" s="68" t="s">
        <v>5981</v>
      </c>
      <c r="FF745" s="68" t="s">
        <v>5982</v>
      </c>
    </row>
    <row r="746" spans="151:162" x14ac:dyDescent="0.2">
      <c r="EU746" s="67">
        <v>566.78</v>
      </c>
      <c r="EV746" s="67" t="s">
        <v>5983</v>
      </c>
      <c r="EW746" s="67">
        <v>489.8</v>
      </c>
      <c r="EX746" s="67" t="s">
        <v>5984</v>
      </c>
      <c r="EY746" s="67">
        <v>5631.28</v>
      </c>
      <c r="EZ746" s="67" t="s">
        <v>5985</v>
      </c>
      <c r="FA746" s="67">
        <v>19867.973000000002</v>
      </c>
      <c r="FB746" s="67" t="s">
        <v>5986</v>
      </c>
      <c r="FC746" s="67" t="s">
        <v>5987</v>
      </c>
      <c r="FD746" s="67" t="s">
        <v>5988</v>
      </c>
      <c r="FE746" s="68" t="s">
        <v>5989</v>
      </c>
      <c r="FF746" s="68" t="s">
        <v>5990</v>
      </c>
    </row>
    <row r="747" spans="151:162" x14ac:dyDescent="0.2">
      <c r="EU747" s="67">
        <v>566.79</v>
      </c>
      <c r="EV747" s="67" t="s">
        <v>5991</v>
      </c>
      <c r="EW747" s="67">
        <v>489.8</v>
      </c>
      <c r="EX747" s="67" t="s">
        <v>5992</v>
      </c>
      <c r="EY747" s="67">
        <v>5631.28</v>
      </c>
      <c r="EZ747" s="67" t="s">
        <v>5993</v>
      </c>
      <c r="FA747" s="67">
        <v>19867.973000000002</v>
      </c>
      <c r="FB747" s="67" t="s">
        <v>5994</v>
      </c>
      <c r="FC747" s="67" t="s">
        <v>5995</v>
      </c>
      <c r="FD747" s="67" t="s">
        <v>5996</v>
      </c>
      <c r="FE747" s="68" t="s">
        <v>5997</v>
      </c>
      <c r="FF747" s="68" t="s">
        <v>5998</v>
      </c>
    </row>
    <row r="748" spans="151:162" x14ac:dyDescent="0.2">
      <c r="EU748" s="67">
        <v>566.62</v>
      </c>
      <c r="EV748" s="67" t="s">
        <v>5999</v>
      </c>
      <c r="EW748" s="67">
        <v>489.63</v>
      </c>
      <c r="EX748" s="67" t="s">
        <v>6000</v>
      </c>
      <c r="EY748" s="67">
        <v>5631.28</v>
      </c>
      <c r="EZ748" s="67" t="s">
        <v>6001</v>
      </c>
      <c r="FA748" s="67">
        <v>19867.973000000002</v>
      </c>
      <c r="FB748" s="67" t="s">
        <v>6002</v>
      </c>
      <c r="FC748" s="67" t="s">
        <v>6003</v>
      </c>
      <c r="FD748" s="67" t="s">
        <v>6004</v>
      </c>
      <c r="FE748" s="68" t="s">
        <v>6005</v>
      </c>
      <c r="FF748" s="68" t="s">
        <v>6006</v>
      </c>
    </row>
    <row r="749" spans="151:162" x14ac:dyDescent="0.2">
      <c r="EU749" s="67">
        <v>566.41999999999996</v>
      </c>
      <c r="EV749" s="67" t="s">
        <v>6007</v>
      </c>
      <c r="EW749" s="67">
        <v>489.45</v>
      </c>
      <c r="EX749" s="67" t="s">
        <v>6008</v>
      </c>
      <c r="EY749" s="67">
        <v>5631.28</v>
      </c>
      <c r="EZ749" s="67" t="s">
        <v>6009</v>
      </c>
      <c r="FA749" s="67">
        <v>19867.973000000002</v>
      </c>
      <c r="FB749" s="67" t="s">
        <v>6010</v>
      </c>
      <c r="FC749" s="67" t="s">
        <v>6011</v>
      </c>
      <c r="FD749" s="67" t="s">
        <v>6012</v>
      </c>
      <c r="FE749" s="68" t="s">
        <v>6013</v>
      </c>
      <c r="FF749" s="68" t="s">
        <v>6014</v>
      </c>
    </row>
    <row r="750" spans="151:162" x14ac:dyDescent="0.2">
      <c r="EU750" s="67">
        <v>566.4</v>
      </c>
      <c r="EV750" s="67" t="s">
        <v>6015</v>
      </c>
      <c r="EW750" s="67">
        <v>489.41</v>
      </c>
      <c r="EX750" s="67" t="s">
        <v>6016</v>
      </c>
      <c r="EY750" s="67">
        <v>5631.28</v>
      </c>
      <c r="EZ750" s="67" t="s">
        <v>6017</v>
      </c>
      <c r="FA750" s="67">
        <v>19867.973000000002</v>
      </c>
      <c r="FB750" s="67" t="s">
        <v>6018</v>
      </c>
      <c r="FC750" s="67" t="s">
        <v>6019</v>
      </c>
      <c r="FD750" s="67" t="s">
        <v>6020</v>
      </c>
      <c r="FE750" s="68" t="s">
        <v>6021</v>
      </c>
      <c r="FF750" s="68" t="s">
        <v>6022</v>
      </c>
    </row>
    <row r="751" spans="151:162" x14ac:dyDescent="0.2">
      <c r="EU751" s="67">
        <v>566.54</v>
      </c>
      <c r="EV751" s="67" t="s">
        <v>6023</v>
      </c>
      <c r="EW751" s="67">
        <v>489.59</v>
      </c>
      <c r="EX751" s="67" t="s">
        <v>6024</v>
      </c>
      <c r="EY751" s="67">
        <v>5631.28</v>
      </c>
      <c r="EZ751" s="67" t="s">
        <v>6025</v>
      </c>
      <c r="FA751" s="67">
        <v>19867.973000000002</v>
      </c>
      <c r="FB751" s="67" t="s">
        <v>6026</v>
      </c>
      <c r="FC751" s="67" t="s">
        <v>6027</v>
      </c>
      <c r="FD751" s="67" t="s">
        <v>6028</v>
      </c>
      <c r="FE751" s="68" t="s">
        <v>6029</v>
      </c>
      <c r="FF751" s="68" t="s">
        <v>6030</v>
      </c>
    </row>
    <row r="752" spans="151:162" x14ac:dyDescent="0.2">
      <c r="EU752" s="67">
        <v>566.49</v>
      </c>
      <c r="EV752" s="67" t="s">
        <v>6031</v>
      </c>
      <c r="EW752" s="67">
        <v>489.56</v>
      </c>
      <c r="EX752" s="67" t="s">
        <v>6032</v>
      </c>
      <c r="EY752" s="67">
        <v>5631.28</v>
      </c>
      <c r="EZ752" s="67" t="s">
        <v>6033</v>
      </c>
      <c r="FA752" s="67">
        <v>19867.973000000002</v>
      </c>
      <c r="FB752" s="67" t="s">
        <v>6034</v>
      </c>
      <c r="FC752" s="67" t="s">
        <v>6035</v>
      </c>
      <c r="FD752" s="67" t="s">
        <v>6036</v>
      </c>
      <c r="FE752" s="68" t="s">
        <v>6037</v>
      </c>
      <c r="FF752" s="68" t="s">
        <v>6038</v>
      </c>
    </row>
    <row r="753" spans="151:162" x14ac:dyDescent="0.2">
      <c r="EU753" s="67">
        <v>566.6</v>
      </c>
      <c r="EV753" s="67" t="s">
        <v>6039</v>
      </c>
      <c r="EW753" s="67">
        <v>489.67</v>
      </c>
      <c r="EX753" s="67" t="s">
        <v>6040</v>
      </c>
      <c r="EY753" s="67">
        <v>5631.28</v>
      </c>
      <c r="EZ753" s="67" t="s">
        <v>6041</v>
      </c>
      <c r="FA753" s="67">
        <v>19867.973000000002</v>
      </c>
      <c r="FB753" s="67" t="s">
        <v>6042</v>
      </c>
      <c r="FC753" s="67" t="s">
        <v>6043</v>
      </c>
      <c r="FD753" s="67" t="s">
        <v>6044</v>
      </c>
      <c r="FE753" s="68" t="s">
        <v>6045</v>
      </c>
      <c r="FF753" s="68" t="s">
        <v>6046</v>
      </c>
    </row>
    <row r="754" spans="151:162" x14ac:dyDescent="0.2">
      <c r="EU754" s="67">
        <v>566.66</v>
      </c>
      <c r="EV754" s="67" t="s">
        <v>6047</v>
      </c>
      <c r="EW754" s="67">
        <v>489.72</v>
      </c>
      <c r="EX754" s="67" t="s">
        <v>6048</v>
      </c>
      <c r="EY754" s="67">
        <v>5631.28</v>
      </c>
      <c r="EZ754" s="67" t="s">
        <v>6049</v>
      </c>
      <c r="FA754" s="67">
        <v>19867.973000000002</v>
      </c>
      <c r="FB754" s="67" t="s">
        <v>6050</v>
      </c>
      <c r="FC754" s="67" t="s">
        <v>6051</v>
      </c>
      <c r="FD754" s="67" t="s">
        <v>6052</v>
      </c>
      <c r="FE754" s="68" t="s">
        <v>6053</v>
      </c>
      <c r="FF754" s="68" t="s">
        <v>6054</v>
      </c>
    </row>
    <row r="755" spans="151:162" x14ac:dyDescent="0.2">
      <c r="EU755" s="67">
        <v>566.69000000000005</v>
      </c>
      <c r="EV755" s="67" t="s">
        <v>6055</v>
      </c>
      <c r="EW755" s="67">
        <v>489.72</v>
      </c>
      <c r="EX755" s="67" t="s">
        <v>6056</v>
      </c>
      <c r="EY755" s="67">
        <v>5631.28</v>
      </c>
      <c r="EZ755" s="67" t="s">
        <v>6057</v>
      </c>
      <c r="FA755" s="67">
        <v>19867.973000000002</v>
      </c>
      <c r="FB755" s="67" t="s">
        <v>6058</v>
      </c>
      <c r="FC755" s="67" t="s">
        <v>6059</v>
      </c>
      <c r="FD755" s="67" t="s">
        <v>6060</v>
      </c>
      <c r="FE755" s="68" t="s">
        <v>6061</v>
      </c>
      <c r="FF755" s="68" t="s">
        <v>6062</v>
      </c>
    </row>
    <row r="756" spans="151:162" x14ac:dyDescent="0.2">
      <c r="EU756" s="67">
        <v>566.51</v>
      </c>
      <c r="EV756" s="67" t="s">
        <v>6063</v>
      </c>
      <c r="EW756" s="67">
        <v>489.63</v>
      </c>
      <c r="EX756" s="67" t="s">
        <v>6064</v>
      </c>
      <c r="EY756" s="67">
        <v>5631.28</v>
      </c>
      <c r="EZ756" s="67" t="s">
        <v>6065</v>
      </c>
      <c r="FA756" s="67">
        <v>19867.973000000002</v>
      </c>
      <c r="FB756" s="67" t="s">
        <v>6066</v>
      </c>
      <c r="FC756" s="67" t="s">
        <v>6067</v>
      </c>
      <c r="FD756" s="67" t="s">
        <v>6068</v>
      </c>
      <c r="FE756" s="68" t="s">
        <v>6069</v>
      </c>
      <c r="FF756" s="68" t="s">
        <v>6070</v>
      </c>
    </row>
    <row r="757" spans="151:162" x14ac:dyDescent="0.2">
      <c r="EU757" s="67">
        <v>566.6</v>
      </c>
      <c r="EV757" s="67" t="s">
        <v>6071</v>
      </c>
      <c r="EW757" s="67">
        <v>489.65</v>
      </c>
      <c r="EX757" s="67" t="s">
        <v>6072</v>
      </c>
      <c r="EY757" s="67">
        <v>5631.28</v>
      </c>
      <c r="EZ757" s="67" t="s">
        <v>6073</v>
      </c>
      <c r="FA757" s="67">
        <v>19867.973000000002</v>
      </c>
      <c r="FB757" s="67" t="s">
        <v>6074</v>
      </c>
      <c r="FC757" s="67" t="s">
        <v>6075</v>
      </c>
      <c r="FD757" s="67" t="s">
        <v>6076</v>
      </c>
      <c r="FE757" s="68" t="s">
        <v>6077</v>
      </c>
      <c r="FF757" s="68" t="s">
        <v>6078</v>
      </c>
    </row>
    <row r="758" spans="151:162" x14ac:dyDescent="0.2">
      <c r="EU758" s="67">
        <v>566.64</v>
      </c>
      <c r="EV758" s="67" t="s">
        <v>6079</v>
      </c>
      <c r="EW758" s="67">
        <v>489.7</v>
      </c>
      <c r="EX758" s="67" t="s">
        <v>6080</v>
      </c>
      <c r="EY758" s="67">
        <v>5631.28</v>
      </c>
      <c r="EZ758" s="67" t="s">
        <v>6081</v>
      </c>
      <c r="FA758" s="67">
        <v>19867.973000000002</v>
      </c>
      <c r="FB758" s="67" t="s">
        <v>6082</v>
      </c>
      <c r="FC758" s="67" t="s">
        <v>6083</v>
      </c>
      <c r="FD758" s="67" t="s">
        <v>6084</v>
      </c>
      <c r="FE758" s="68" t="s">
        <v>6085</v>
      </c>
      <c r="FF758" s="68" t="s">
        <v>6086</v>
      </c>
    </row>
    <row r="759" spans="151:162" x14ac:dyDescent="0.2">
      <c r="EU759" s="67">
        <v>566.64</v>
      </c>
      <c r="EV759" s="67" t="s">
        <v>6087</v>
      </c>
      <c r="EW759" s="67">
        <v>489.69</v>
      </c>
      <c r="EX759" s="67" t="s">
        <v>6088</v>
      </c>
      <c r="EY759" s="67">
        <v>5631.28</v>
      </c>
      <c r="EZ759" s="67" t="s">
        <v>6089</v>
      </c>
      <c r="FA759" s="67">
        <v>19867.973000000002</v>
      </c>
      <c r="FB759" s="67" t="s">
        <v>6090</v>
      </c>
      <c r="FC759" s="67" t="s">
        <v>6091</v>
      </c>
      <c r="FD759" s="67" t="s">
        <v>6092</v>
      </c>
      <c r="FE759" s="68" t="s">
        <v>6093</v>
      </c>
      <c r="FF759" s="68" t="s">
        <v>6094</v>
      </c>
    </row>
    <row r="760" spans="151:162" x14ac:dyDescent="0.2">
      <c r="EU760" s="67">
        <v>566.6</v>
      </c>
      <c r="EV760" s="67" t="s">
        <v>6095</v>
      </c>
      <c r="EW760" s="67">
        <v>489.68</v>
      </c>
      <c r="EX760" s="67" t="s">
        <v>6096</v>
      </c>
      <c r="EY760" s="67">
        <v>5631.28</v>
      </c>
      <c r="EZ760" s="67" t="s">
        <v>6097</v>
      </c>
      <c r="FA760" s="67">
        <v>19867.973000000002</v>
      </c>
      <c r="FB760" s="67" t="s">
        <v>6098</v>
      </c>
      <c r="FC760" s="67" t="s">
        <v>6099</v>
      </c>
      <c r="FD760" s="67" t="s">
        <v>6100</v>
      </c>
      <c r="FE760" s="68" t="s">
        <v>6101</v>
      </c>
      <c r="FF760" s="68" t="s">
        <v>6102</v>
      </c>
    </row>
    <row r="761" spans="151:162" x14ac:dyDescent="0.2">
      <c r="EU761" s="67">
        <v>566.5</v>
      </c>
      <c r="EV761" s="67" t="s">
        <v>6103</v>
      </c>
      <c r="EW761" s="67">
        <v>489.6</v>
      </c>
      <c r="EX761" s="67" t="s">
        <v>6104</v>
      </c>
      <c r="EY761" s="67">
        <v>5631.28</v>
      </c>
      <c r="EZ761" s="67" t="s">
        <v>6105</v>
      </c>
      <c r="FA761" s="67">
        <v>19867.973000000002</v>
      </c>
      <c r="FB761" s="67" t="s">
        <v>6106</v>
      </c>
      <c r="FC761" s="67" t="s">
        <v>6107</v>
      </c>
      <c r="FD761" s="67" t="s">
        <v>6108</v>
      </c>
      <c r="FE761" s="68" t="s">
        <v>6109</v>
      </c>
      <c r="FF761" s="68" t="s">
        <v>6110</v>
      </c>
    </row>
    <row r="762" spans="151:162" x14ac:dyDescent="0.2">
      <c r="EU762" s="67">
        <v>566.51</v>
      </c>
      <c r="EV762" s="67" t="s">
        <v>6111</v>
      </c>
      <c r="EW762" s="67">
        <v>489.64</v>
      </c>
      <c r="EX762" s="67" t="s">
        <v>6112</v>
      </c>
      <c r="EY762" s="67">
        <v>5631.28</v>
      </c>
      <c r="EZ762" s="67" t="s">
        <v>6113</v>
      </c>
      <c r="FA762" s="67">
        <v>19867.973000000002</v>
      </c>
      <c r="FB762" s="67" t="s">
        <v>6114</v>
      </c>
      <c r="FC762" s="67" t="s">
        <v>6115</v>
      </c>
      <c r="FD762" s="67" t="s">
        <v>6116</v>
      </c>
      <c r="FE762" s="68" t="s">
        <v>6117</v>
      </c>
      <c r="FF762" s="68" t="s">
        <v>6118</v>
      </c>
    </row>
    <row r="763" spans="151:162" x14ac:dyDescent="0.2">
      <c r="EU763" s="67">
        <v>566.32000000000005</v>
      </c>
      <c r="EV763" s="67" t="s">
        <v>6119</v>
      </c>
      <c r="EW763" s="67">
        <v>489.49</v>
      </c>
      <c r="EX763" s="67" t="s">
        <v>6120</v>
      </c>
      <c r="EY763" s="67">
        <v>5631.28</v>
      </c>
      <c r="EZ763" s="67" t="s">
        <v>6121</v>
      </c>
      <c r="FA763" s="67">
        <v>19867.973000000002</v>
      </c>
      <c r="FB763" s="67" t="s">
        <v>6122</v>
      </c>
      <c r="FC763" s="67" t="s">
        <v>6123</v>
      </c>
      <c r="FD763" s="67" t="s">
        <v>6124</v>
      </c>
      <c r="FE763" s="68" t="s">
        <v>6125</v>
      </c>
      <c r="FF763" s="68" t="s">
        <v>6126</v>
      </c>
    </row>
    <row r="764" spans="151:162" x14ac:dyDescent="0.2">
      <c r="EU764" s="67">
        <v>566.6</v>
      </c>
      <c r="EV764" s="67" t="s">
        <v>6127</v>
      </c>
      <c r="EW764" s="67">
        <v>489.75</v>
      </c>
      <c r="EX764" s="67" t="s">
        <v>6128</v>
      </c>
      <c r="EY764" s="67">
        <v>5631.28</v>
      </c>
      <c r="EZ764" s="67" t="s">
        <v>6129</v>
      </c>
      <c r="FA764" s="67">
        <v>19867.973000000002</v>
      </c>
      <c r="FB764" s="67" t="s">
        <v>6130</v>
      </c>
      <c r="FC764" s="67" t="s">
        <v>6131</v>
      </c>
      <c r="FD764" s="67" t="s">
        <v>6132</v>
      </c>
      <c r="FE764" s="68" t="s">
        <v>6133</v>
      </c>
      <c r="FF764" s="68" t="s">
        <v>6134</v>
      </c>
    </row>
    <row r="765" spans="151:162" x14ac:dyDescent="0.2">
      <c r="EU765" s="67">
        <v>566.78</v>
      </c>
      <c r="EV765" s="67" t="s">
        <v>6135</v>
      </c>
      <c r="EW765" s="67">
        <v>489.94</v>
      </c>
      <c r="EX765" s="67" t="s">
        <v>6136</v>
      </c>
      <c r="EY765" s="67">
        <v>5631.28</v>
      </c>
      <c r="EZ765" s="67" t="s">
        <v>6137</v>
      </c>
      <c r="FA765" s="67">
        <v>19867.973000000002</v>
      </c>
      <c r="FB765" s="67" t="s">
        <v>6138</v>
      </c>
      <c r="FC765" s="67" t="s">
        <v>6139</v>
      </c>
      <c r="FD765" s="67" t="s">
        <v>6140</v>
      </c>
      <c r="FE765" s="68" t="s">
        <v>6141</v>
      </c>
      <c r="FF765" s="68" t="s">
        <v>6142</v>
      </c>
    </row>
    <row r="766" spans="151:162" x14ac:dyDescent="0.2">
      <c r="EU766" s="67">
        <v>566.77</v>
      </c>
      <c r="EV766" s="67" t="s">
        <v>6143</v>
      </c>
      <c r="EW766" s="67">
        <v>489.96</v>
      </c>
      <c r="EX766" s="67" t="s">
        <v>6144</v>
      </c>
      <c r="EY766" s="67">
        <v>5631.28</v>
      </c>
      <c r="EZ766" s="67" t="s">
        <v>6145</v>
      </c>
      <c r="FA766" s="67">
        <v>19867.973000000002</v>
      </c>
      <c r="FB766" s="67" t="s">
        <v>6146</v>
      </c>
      <c r="FC766" s="67" t="s">
        <v>6147</v>
      </c>
      <c r="FD766" s="67" t="s">
        <v>6148</v>
      </c>
      <c r="FE766" s="68" t="s">
        <v>6149</v>
      </c>
      <c r="FF766" s="68" t="s">
        <v>6150</v>
      </c>
    </row>
    <row r="767" spans="151:162" x14ac:dyDescent="0.2">
      <c r="EU767" s="67">
        <v>566.79999999999995</v>
      </c>
      <c r="EV767" s="67" t="s">
        <v>6151</v>
      </c>
      <c r="EW767" s="67">
        <v>489.98</v>
      </c>
      <c r="EX767" s="67" t="s">
        <v>6152</v>
      </c>
      <c r="EY767" s="67">
        <v>5631.28</v>
      </c>
      <c r="EZ767" s="67" t="s">
        <v>6153</v>
      </c>
      <c r="FA767" s="67">
        <v>19867.973000000002</v>
      </c>
      <c r="FB767" s="67" t="s">
        <v>6154</v>
      </c>
      <c r="FC767" s="67" t="s">
        <v>6155</v>
      </c>
      <c r="FD767" s="67" t="s">
        <v>6156</v>
      </c>
      <c r="FE767" s="68" t="s">
        <v>6157</v>
      </c>
      <c r="FF767" s="68" t="s">
        <v>6158</v>
      </c>
    </row>
    <row r="768" spans="151:162" x14ac:dyDescent="0.2">
      <c r="EU768" s="67">
        <v>566.65</v>
      </c>
      <c r="EV768" s="67" t="s">
        <v>6159</v>
      </c>
      <c r="EW768" s="67">
        <v>489.82</v>
      </c>
      <c r="EX768" s="67" t="s">
        <v>6160</v>
      </c>
      <c r="EY768" s="67">
        <v>5631.28</v>
      </c>
      <c r="EZ768" s="67" t="s">
        <v>6161</v>
      </c>
      <c r="FA768" s="67">
        <v>19867.973000000002</v>
      </c>
      <c r="FB768" s="67" t="s">
        <v>6162</v>
      </c>
      <c r="FC768" s="67" t="s">
        <v>6163</v>
      </c>
      <c r="FD768" s="67" t="s">
        <v>6164</v>
      </c>
      <c r="FE768" s="68" t="s">
        <v>6165</v>
      </c>
      <c r="FF768" s="68" t="s">
        <v>6166</v>
      </c>
    </row>
    <row r="769" spans="151:162" x14ac:dyDescent="0.2">
      <c r="EU769" s="67">
        <v>566.20000000000005</v>
      </c>
      <c r="EV769" s="67" t="s">
        <v>6167</v>
      </c>
      <c r="EW769" s="67">
        <v>489.4</v>
      </c>
      <c r="EX769" s="67" t="s">
        <v>6168</v>
      </c>
      <c r="EY769" s="67">
        <v>5631.28</v>
      </c>
      <c r="EZ769" s="67" t="s">
        <v>6169</v>
      </c>
      <c r="FA769" s="67">
        <v>19867.973000000002</v>
      </c>
      <c r="FB769" s="67" t="s">
        <v>6170</v>
      </c>
      <c r="FC769" s="67" t="s">
        <v>6171</v>
      </c>
      <c r="FD769" s="67" t="s">
        <v>6172</v>
      </c>
      <c r="FE769" s="68" t="s">
        <v>6173</v>
      </c>
      <c r="FF769" s="68" t="s">
        <v>6174</v>
      </c>
    </row>
    <row r="770" spans="151:162" x14ac:dyDescent="0.2">
      <c r="EU770" s="67">
        <v>566</v>
      </c>
      <c r="EV770" s="67" t="s">
        <v>6175</v>
      </c>
      <c r="EW770" s="67">
        <v>489.19</v>
      </c>
      <c r="EX770" s="67" t="s">
        <v>6176</v>
      </c>
      <c r="EY770" s="67">
        <v>5631.28</v>
      </c>
      <c r="EZ770" s="67" t="s">
        <v>6177</v>
      </c>
      <c r="FA770" s="67">
        <v>19867.973000000002</v>
      </c>
      <c r="FB770" s="67" t="s">
        <v>6178</v>
      </c>
      <c r="FC770" s="67" t="s">
        <v>6179</v>
      </c>
      <c r="FD770" s="67" t="s">
        <v>6180</v>
      </c>
      <c r="FE770" s="68" t="s">
        <v>6181</v>
      </c>
      <c r="FF770" s="68" t="s">
        <v>6182</v>
      </c>
    </row>
    <row r="771" spans="151:162" x14ac:dyDescent="0.2">
      <c r="EU771" s="67">
        <v>565.33000000000004</v>
      </c>
      <c r="EV771" s="67" t="s">
        <v>6183</v>
      </c>
      <c r="EW771" s="67">
        <v>488.54</v>
      </c>
      <c r="EX771" s="67" t="s">
        <v>6184</v>
      </c>
      <c r="EY771" s="67">
        <v>5631.28</v>
      </c>
      <c r="EZ771" s="67" t="s">
        <v>6185</v>
      </c>
      <c r="FA771" s="67">
        <v>19867.973000000002</v>
      </c>
      <c r="FB771" s="67" t="s">
        <v>6186</v>
      </c>
      <c r="FC771" s="67" t="s">
        <v>6187</v>
      </c>
      <c r="FD771" s="67" t="s">
        <v>6188</v>
      </c>
      <c r="FE771" s="68" t="s">
        <v>6189</v>
      </c>
      <c r="FF771" s="68" t="s">
        <v>6190</v>
      </c>
    </row>
    <row r="772" spans="151:162" x14ac:dyDescent="0.2">
      <c r="EU772" s="67">
        <v>565.36</v>
      </c>
      <c r="EV772" s="67" t="s">
        <v>6191</v>
      </c>
      <c r="EW772" s="67">
        <v>488.69</v>
      </c>
      <c r="EX772" s="67" t="s">
        <v>6192</v>
      </c>
      <c r="EY772" s="67">
        <v>5631.28</v>
      </c>
      <c r="EZ772" s="67" t="s">
        <v>6193</v>
      </c>
      <c r="FA772" s="67">
        <v>19867.973000000002</v>
      </c>
      <c r="FB772" s="67" t="s">
        <v>6194</v>
      </c>
      <c r="FC772" s="67" t="s">
        <v>6195</v>
      </c>
      <c r="FD772" s="67" t="s">
        <v>6196</v>
      </c>
      <c r="FE772" s="68" t="s">
        <v>6197</v>
      </c>
      <c r="FF772" s="68" t="s">
        <v>6198</v>
      </c>
    </row>
    <row r="773" spans="151:162" x14ac:dyDescent="0.2">
      <c r="EU773" s="67">
        <v>564.69000000000005</v>
      </c>
      <c r="EV773" s="67" t="s">
        <v>6199</v>
      </c>
      <c r="EW773" s="67">
        <v>488.11</v>
      </c>
      <c r="EX773" s="67" t="s">
        <v>6200</v>
      </c>
      <c r="EY773" s="67">
        <v>5631.28</v>
      </c>
      <c r="EZ773" s="67" t="s">
        <v>6201</v>
      </c>
      <c r="FA773" s="67">
        <v>19867.973000000002</v>
      </c>
      <c r="FB773" s="67" t="s">
        <v>6202</v>
      </c>
      <c r="FC773" s="67" t="s">
        <v>6203</v>
      </c>
      <c r="FD773" s="67" t="s">
        <v>6204</v>
      </c>
      <c r="FE773" s="68" t="s">
        <v>6205</v>
      </c>
      <c r="FF773" s="68" t="s">
        <v>6206</v>
      </c>
    </row>
    <row r="774" spans="151:162" x14ac:dyDescent="0.2">
      <c r="EU774" s="67">
        <v>564.86</v>
      </c>
      <c r="EV774" s="67" t="s">
        <v>6207</v>
      </c>
      <c r="EW774" s="67">
        <v>488.25</v>
      </c>
      <c r="EX774" s="67" t="s">
        <v>6208</v>
      </c>
      <c r="EY774" s="67">
        <v>5631.28</v>
      </c>
      <c r="EZ774" s="67" t="s">
        <v>6209</v>
      </c>
      <c r="FA774" s="67">
        <v>19867.973000000002</v>
      </c>
      <c r="FB774" s="67" t="s">
        <v>6210</v>
      </c>
      <c r="FC774" s="67" t="s">
        <v>6211</v>
      </c>
      <c r="FD774" s="67" t="s">
        <v>6212</v>
      </c>
      <c r="FE774" s="68" t="s">
        <v>6213</v>
      </c>
      <c r="FF774" s="68" t="s">
        <v>6214</v>
      </c>
    </row>
    <row r="775" spans="151:162" x14ac:dyDescent="0.2">
      <c r="EU775" s="67">
        <v>565.17999999999995</v>
      </c>
      <c r="EV775" s="67" t="s">
        <v>6215</v>
      </c>
      <c r="EW775" s="67">
        <v>488.51</v>
      </c>
      <c r="EX775" s="67" t="s">
        <v>6216</v>
      </c>
      <c r="EY775" s="67">
        <v>5631.28</v>
      </c>
      <c r="EZ775" s="67" t="s">
        <v>6217</v>
      </c>
      <c r="FA775" s="67">
        <v>19867.973000000002</v>
      </c>
      <c r="FB775" s="67" t="s">
        <v>6218</v>
      </c>
      <c r="FC775" s="67" t="s">
        <v>6219</v>
      </c>
      <c r="FD775" s="67" t="s">
        <v>6220</v>
      </c>
      <c r="FE775" s="68" t="s">
        <v>6221</v>
      </c>
      <c r="FF775" s="68" t="s">
        <v>6222</v>
      </c>
    </row>
    <row r="776" spans="151:162" x14ac:dyDescent="0.2">
      <c r="EU776" s="67">
        <v>565.05999999999995</v>
      </c>
      <c r="EV776" s="67" t="s">
        <v>6223</v>
      </c>
      <c r="EW776" s="67">
        <v>488.46</v>
      </c>
      <c r="EX776" s="67" t="s">
        <v>6224</v>
      </c>
      <c r="EY776" s="67">
        <v>5631.28</v>
      </c>
      <c r="EZ776" s="67" t="s">
        <v>6225</v>
      </c>
      <c r="FA776" s="67">
        <v>19867.973000000002</v>
      </c>
      <c r="FB776" s="67" t="s">
        <v>6226</v>
      </c>
      <c r="FC776" s="67" t="s">
        <v>6227</v>
      </c>
      <c r="FD776" s="67" t="s">
        <v>6228</v>
      </c>
      <c r="FE776" s="68" t="s">
        <v>6229</v>
      </c>
      <c r="FF776" s="68" t="s">
        <v>6230</v>
      </c>
    </row>
    <row r="777" spans="151:162" x14ac:dyDescent="0.2">
      <c r="EU777" s="67">
        <v>564.67999999999995</v>
      </c>
      <c r="EV777" s="67" t="s">
        <v>6231</v>
      </c>
      <c r="EW777" s="67">
        <v>487.97</v>
      </c>
      <c r="EX777" s="67" t="s">
        <v>6232</v>
      </c>
      <c r="EY777" s="67">
        <v>5631.28</v>
      </c>
      <c r="EZ777" s="67" t="s">
        <v>6233</v>
      </c>
      <c r="FA777" s="67">
        <v>19867.973000000002</v>
      </c>
      <c r="FB777" s="67" t="s">
        <v>6234</v>
      </c>
      <c r="FC777" s="67" t="s">
        <v>6235</v>
      </c>
      <c r="FD777" s="67" t="s">
        <v>6236</v>
      </c>
      <c r="FE777" s="68" t="s">
        <v>6237</v>
      </c>
      <c r="FF777" s="68" t="s">
        <v>6238</v>
      </c>
    </row>
    <row r="778" spans="151:162" x14ac:dyDescent="0.2">
      <c r="EU778" s="67">
        <v>564.91999999999996</v>
      </c>
      <c r="EV778" s="67" t="s">
        <v>6239</v>
      </c>
      <c r="EW778" s="67">
        <v>488.15</v>
      </c>
      <c r="EX778" s="67" t="s">
        <v>6240</v>
      </c>
      <c r="EY778" s="67">
        <v>5631.28</v>
      </c>
      <c r="EZ778" s="67" t="s">
        <v>6241</v>
      </c>
      <c r="FA778" s="67">
        <v>19867.973000000002</v>
      </c>
      <c r="FB778" s="67" t="s">
        <v>6242</v>
      </c>
      <c r="FC778" s="67" t="s">
        <v>6243</v>
      </c>
      <c r="FD778" s="67" t="s">
        <v>6244</v>
      </c>
      <c r="FE778" s="68" t="s">
        <v>6245</v>
      </c>
      <c r="FF778" s="68" t="s">
        <v>6246</v>
      </c>
    </row>
    <row r="779" spans="151:162" x14ac:dyDescent="0.2">
      <c r="EU779" s="67">
        <v>565.35</v>
      </c>
      <c r="EV779" s="67" t="s">
        <v>6247</v>
      </c>
      <c r="EW779" s="67">
        <v>488.63</v>
      </c>
      <c r="EX779" s="67" t="s">
        <v>6248</v>
      </c>
      <c r="EY779" s="67">
        <v>5631.28</v>
      </c>
      <c r="EZ779" s="67" t="s">
        <v>6249</v>
      </c>
      <c r="FA779" s="67">
        <v>19867.973000000002</v>
      </c>
      <c r="FB779" s="67" t="s">
        <v>6250</v>
      </c>
      <c r="FC779" s="67" t="s">
        <v>6251</v>
      </c>
      <c r="FD779" s="67" t="s">
        <v>6252</v>
      </c>
      <c r="FE779" s="68" t="s">
        <v>6253</v>
      </c>
      <c r="FF779" s="68" t="s">
        <v>6254</v>
      </c>
    </row>
    <row r="780" spans="151:162" x14ac:dyDescent="0.2">
      <c r="EU780" s="67">
        <v>565.59</v>
      </c>
      <c r="EV780" s="67" t="s">
        <v>6255</v>
      </c>
      <c r="EW780" s="67">
        <v>488.78</v>
      </c>
      <c r="EX780" s="67" t="s">
        <v>6256</v>
      </c>
      <c r="EY780" s="67">
        <v>5631.28</v>
      </c>
      <c r="EZ780" s="67" t="s">
        <v>6257</v>
      </c>
      <c r="FA780" s="67">
        <v>19867.973000000002</v>
      </c>
      <c r="FB780" s="67" t="s">
        <v>6258</v>
      </c>
      <c r="FC780" s="67" t="s">
        <v>6259</v>
      </c>
      <c r="FD780" s="67" t="s">
        <v>6260</v>
      </c>
      <c r="FE780" s="68" t="s">
        <v>6261</v>
      </c>
      <c r="FF780" s="68" t="s">
        <v>6262</v>
      </c>
    </row>
    <row r="781" spans="151:162" x14ac:dyDescent="0.2">
      <c r="EU781" s="67">
        <v>565.75</v>
      </c>
      <c r="EV781" s="67" t="s">
        <v>6263</v>
      </c>
      <c r="EW781" s="67">
        <v>488.9</v>
      </c>
      <c r="EX781" s="67" t="s">
        <v>6264</v>
      </c>
      <c r="EY781" s="67">
        <v>5631.28</v>
      </c>
      <c r="EZ781" s="67" t="s">
        <v>6265</v>
      </c>
      <c r="FA781" s="67">
        <v>19867.973000000002</v>
      </c>
      <c r="FB781" s="67" t="s">
        <v>6266</v>
      </c>
      <c r="FC781" s="67" t="s">
        <v>6267</v>
      </c>
      <c r="FD781" s="67" t="s">
        <v>6268</v>
      </c>
      <c r="FE781" s="68" t="s">
        <v>6269</v>
      </c>
      <c r="FF781" s="68" t="s">
        <v>6270</v>
      </c>
    </row>
    <row r="782" spans="151:162" x14ac:dyDescent="0.2">
      <c r="EU782" s="67">
        <v>565.82000000000005</v>
      </c>
      <c r="EV782" s="67" t="s">
        <v>6271</v>
      </c>
      <c r="EW782" s="67">
        <v>488.96</v>
      </c>
      <c r="EX782" s="67" t="s">
        <v>6272</v>
      </c>
      <c r="EY782" s="67">
        <v>5631.28</v>
      </c>
      <c r="EZ782" s="67" t="s">
        <v>6273</v>
      </c>
      <c r="FA782" s="67">
        <v>19867.973000000002</v>
      </c>
      <c r="FB782" s="67" t="s">
        <v>6274</v>
      </c>
      <c r="FC782" s="67" t="s">
        <v>6275</v>
      </c>
      <c r="FD782" s="67" t="s">
        <v>6276</v>
      </c>
      <c r="FE782" s="68" t="s">
        <v>6277</v>
      </c>
      <c r="FF782" s="68" t="s">
        <v>6278</v>
      </c>
    </row>
    <row r="783" spans="151:162" x14ac:dyDescent="0.2">
      <c r="EU783" s="67">
        <v>566.07000000000005</v>
      </c>
      <c r="EV783" s="67" t="s">
        <v>6279</v>
      </c>
      <c r="EW783" s="67">
        <v>489.25</v>
      </c>
      <c r="EX783" s="67" t="s">
        <v>6280</v>
      </c>
      <c r="EY783" s="67">
        <v>5631.28</v>
      </c>
      <c r="EZ783" s="67" t="s">
        <v>6281</v>
      </c>
      <c r="FA783" s="67">
        <v>19867.973000000002</v>
      </c>
      <c r="FB783" s="67" t="s">
        <v>6282</v>
      </c>
      <c r="FC783" s="67" t="s">
        <v>6283</v>
      </c>
      <c r="FD783" s="67" t="s">
        <v>6284</v>
      </c>
      <c r="FE783" s="68" t="s">
        <v>6285</v>
      </c>
      <c r="FF783" s="68" t="s">
        <v>6286</v>
      </c>
    </row>
    <row r="784" spans="151:162" x14ac:dyDescent="0.2">
      <c r="EU784" s="67">
        <v>566.26</v>
      </c>
      <c r="EV784" s="67" t="s">
        <v>6287</v>
      </c>
      <c r="EW784" s="67">
        <v>489.36</v>
      </c>
      <c r="EX784" s="67" t="s">
        <v>6288</v>
      </c>
      <c r="EY784" s="67">
        <v>5631.28</v>
      </c>
      <c r="EZ784" s="67" t="s">
        <v>6289</v>
      </c>
      <c r="FA784" s="67">
        <v>19867.973000000002</v>
      </c>
      <c r="FB784" s="67" t="s">
        <v>6290</v>
      </c>
      <c r="FC784" s="67" t="s">
        <v>6291</v>
      </c>
      <c r="FD784" s="67" t="s">
        <v>6292</v>
      </c>
      <c r="FE784" s="68" t="s">
        <v>6293</v>
      </c>
      <c r="FF784" s="68" t="s">
        <v>6294</v>
      </c>
    </row>
    <row r="785" spans="151:162" x14ac:dyDescent="0.2">
      <c r="EU785" s="67">
        <v>566.16</v>
      </c>
      <c r="EV785" s="67" t="s">
        <v>6295</v>
      </c>
      <c r="EW785" s="67">
        <v>489.22</v>
      </c>
      <c r="EX785" s="67" t="s">
        <v>6296</v>
      </c>
      <c r="EY785" s="67">
        <v>5631.28</v>
      </c>
      <c r="EZ785" s="67" t="s">
        <v>6297</v>
      </c>
      <c r="FA785" s="67">
        <v>19867.973000000002</v>
      </c>
      <c r="FB785" s="67" t="s">
        <v>6298</v>
      </c>
      <c r="FC785" s="67" t="s">
        <v>6299</v>
      </c>
      <c r="FD785" s="67" t="s">
        <v>6300</v>
      </c>
      <c r="FE785" s="68" t="s">
        <v>6301</v>
      </c>
      <c r="FF785" s="68" t="s">
        <v>6302</v>
      </c>
    </row>
    <row r="786" spans="151:162" x14ac:dyDescent="0.2">
      <c r="EU786" s="67">
        <v>565.99</v>
      </c>
      <c r="EV786" s="67" t="s">
        <v>6303</v>
      </c>
      <c r="EW786" s="67">
        <v>489.16</v>
      </c>
      <c r="EX786" s="67" t="s">
        <v>6304</v>
      </c>
      <c r="EY786" s="67">
        <v>5631.28</v>
      </c>
      <c r="EZ786" s="67" t="s">
        <v>6305</v>
      </c>
      <c r="FA786" s="67">
        <v>19867.973000000002</v>
      </c>
      <c r="FB786" s="67" t="s">
        <v>6306</v>
      </c>
      <c r="FC786" s="67" t="s">
        <v>6307</v>
      </c>
      <c r="FD786" s="67" t="s">
        <v>6308</v>
      </c>
      <c r="FE786" s="68" t="s">
        <v>6309</v>
      </c>
      <c r="FF786" s="68" t="s">
        <v>6310</v>
      </c>
    </row>
    <row r="787" spans="151:162" x14ac:dyDescent="0.2">
      <c r="EU787" s="67">
        <v>565.75</v>
      </c>
      <c r="EV787" s="67" t="s">
        <v>6311</v>
      </c>
      <c r="EW787" s="67">
        <v>488.93</v>
      </c>
      <c r="EX787" s="67" t="s">
        <v>6312</v>
      </c>
      <c r="EY787" s="67">
        <v>5631.28</v>
      </c>
      <c r="EZ787" s="67" t="s">
        <v>6313</v>
      </c>
      <c r="FA787" s="67">
        <v>19867.973000000002</v>
      </c>
      <c r="FB787" s="67" t="s">
        <v>6314</v>
      </c>
      <c r="FC787" s="67" t="s">
        <v>6315</v>
      </c>
      <c r="FD787" s="67" t="s">
        <v>6316</v>
      </c>
      <c r="FE787" s="68" t="s">
        <v>6317</v>
      </c>
      <c r="FF787" s="68" t="s">
        <v>6318</v>
      </c>
    </row>
    <row r="788" spans="151:162" x14ac:dyDescent="0.2">
      <c r="EU788" s="67">
        <v>565.77</v>
      </c>
      <c r="EV788" s="67" t="s">
        <v>6319</v>
      </c>
      <c r="EW788" s="67">
        <v>488.98</v>
      </c>
      <c r="EX788" s="67" t="s">
        <v>6320</v>
      </c>
      <c r="EY788" s="67">
        <v>5631.28</v>
      </c>
      <c r="EZ788" s="67" t="s">
        <v>6321</v>
      </c>
      <c r="FA788" s="67">
        <v>19867.973000000002</v>
      </c>
      <c r="FB788" s="67" t="s">
        <v>6322</v>
      </c>
      <c r="FC788" s="67" t="s">
        <v>6323</v>
      </c>
      <c r="FD788" s="67" t="s">
        <v>6324</v>
      </c>
      <c r="FE788" s="68" t="s">
        <v>6325</v>
      </c>
      <c r="FF788" s="68" t="s">
        <v>6326</v>
      </c>
    </row>
    <row r="789" spans="151:162" x14ac:dyDescent="0.2">
      <c r="EU789" s="67">
        <v>565.75</v>
      </c>
      <c r="EV789" s="67" t="s">
        <v>6327</v>
      </c>
      <c r="EW789" s="67">
        <v>488.99</v>
      </c>
      <c r="EX789" s="67" t="s">
        <v>6328</v>
      </c>
      <c r="EY789" s="67">
        <v>5631.28</v>
      </c>
      <c r="EZ789" s="67" t="s">
        <v>6329</v>
      </c>
      <c r="FA789" s="67">
        <v>19867.973000000002</v>
      </c>
      <c r="FB789" s="67" t="s">
        <v>6330</v>
      </c>
      <c r="FC789" s="67" t="s">
        <v>6331</v>
      </c>
      <c r="FD789" s="67" t="s">
        <v>6332</v>
      </c>
      <c r="FE789" s="68" t="s">
        <v>6333</v>
      </c>
      <c r="FF789" s="68" t="s">
        <v>6334</v>
      </c>
    </row>
    <row r="790" spans="151:162" x14ac:dyDescent="0.2">
      <c r="EU790" s="67">
        <v>565.74</v>
      </c>
      <c r="EV790" s="67" t="s">
        <v>6335</v>
      </c>
      <c r="EW790" s="67">
        <v>488.89</v>
      </c>
      <c r="EX790" s="67" t="s">
        <v>6336</v>
      </c>
      <c r="EY790" s="67">
        <v>5631.28</v>
      </c>
      <c r="EZ790" s="67" t="s">
        <v>6337</v>
      </c>
      <c r="FA790" s="67">
        <v>19867.973000000002</v>
      </c>
      <c r="FB790" s="67" t="s">
        <v>6338</v>
      </c>
      <c r="FC790" s="67" t="s">
        <v>6339</v>
      </c>
      <c r="FD790" s="67" t="s">
        <v>6340</v>
      </c>
      <c r="FE790" s="68" t="s">
        <v>6341</v>
      </c>
      <c r="FF790" s="68" t="s">
        <v>6342</v>
      </c>
    </row>
    <row r="791" spans="151:162" x14ac:dyDescent="0.2">
      <c r="EU791" s="67">
        <v>565.76</v>
      </c>
      <c r="EV791" s="67" t="s">
        <v>6343</v>
      </c>
      <c r="EW791" s="67">
        <v>488.93</v>
      </c>
      <c r="EX791" s="67" t="s">
        <v>6344</v>
      </c>
      <c r="EY791" s="67">
        <v>5631.28</v>
      </c>
      <c r="EZ791" s="67" t="s">
        <v>6345</v>
      </c>
      <c r="FA791" s="67">
        <v>19867.973000000002</v>
      </c>
      <c r="FB791" s="67" t="s">
        <v>6346</v>
      </c>
      <c r="FC791" s="67" t="s">
        <v>6347</v>
      </c>
      <c r="FD791" s="67" t="s">
        <v>6348</v>
      </c>
      <c r="FE791" s="68" t="s">
        <v>6349</v>
      </c>
      <c r="FF791" s="68" t="s">
        <v>6350</v>
      </c>
    </row>
    <row r="792" spans="151:162" x14ac:dyDescent="0.2">
      <c r="EU792" s="67">
        <v>565.65</v>
      </c>
      <c r="EV792" s="67" t="s">
        <v>6351</v>
      </c>
      <c r="EW792" s="67">
        <v>488.82</v>
      </c>
      <c r="EX792" s="67" t="s">
        <v>6352</v>
      </c>
      <c r="EY792" s="67">
        <v>5631.28</v>
      </c>
      <c r="EZ792" s="67" t="s">
        <v>6353</v>
      </c>
      <c r="FA792" s="67">
        <v>19867.973000000002</v>
      </c>
      <c r="FB792" s="67" t="s">
        <v>6354</v>
      </c>
      <c r="FC792" s="67" t="s">
        <v>6355</v>
      </c>
      <c r="FD792" s="67" t="s">
        <v>6356</v>
      </c>
      <c r="FE792" s="68" t="s">
        <v>6357</v>
      </c>
      <c r="FF792" s="68" t="s">
        <v>6358</v>
      </c>
    </row>
    <row r="793" spans="151:162" x14ac:dyDescent="0.2">
      <c r="EU793" s="67">
        <v>565.65</v>
      </c>
      <c r="EV793" s="67" t="s">
        <v>6359</v>
      </c>
      <c r="EW793" s="67">
        <v>488.77</v>
      </c>
      <c r="EX793" s="67" t="s">
        <v>6360</v>
      </c>
      <c r="EY793" s="67">
        <v>5631.28</v>
      </c>
      <c r="EZ793" s="67" t="s">
        <v>6361</v>
      </c>
      <c r="FA793" s="67">
        <v>19867.973000000002</v>
      </c>
      <c r="FB793" s="67" t="s">
        <v>6362</v>
      </c>
      <c r="FC793" s="67" t="s">
        <v>6363</v>
      </c>
      <c r="FD793" s="67" t="s">
        <v>6364</v>
      </c>
      <c r="FE793" s="68" t="s">
        <v>6365</v>
      </c>
      <c r="FF793" s="68" t="s">
        <v>6366</v>
      </c>
    </row>
    <row r="794" spans="151:162" x14ac:dyDescent="0.2">
      <c r="EU794" s="67">
        <v>565.74</v>
      </c>
      <c r="EV794" s="67" t="s">
        <v>6367</v>
      </c>
      <c r="EW794" s="67">
        <v>488.89</v>
      </c>
      <c r="EX794" s="67" t="s">
        <v>6368</v>
      </c>
      <c r="EY794" s="67">
        <v>5631.28</v>
      </c>
      <c r="EZ794" s="67" t="s">
        <v>6369</v>
      </c>
      <c r="FA794" s="67">
        <v>19867.973000000002</v>
      </c>
      <c r="FB794" s="67" t="s">
        <v>6370</v>
      </c>
      <c r="FC794" s="67" t="s">
        <v>6371</v>
      </c>
      <c r="FD794" s="67" t="s">
        <v>6372</v>
      </c>
      <c r="FE794" s="68" t="s">
        <v>6373</v>
      </c>
      <c r="FF794" s="68" t="s">
        <v>6374</v>
      </c>
    </row>
    <row r="795" spans="151:162" x14ac:dyDescent="0.2">
      <c r="EU795" s="67">
        <v>565.59</v>
      </c>
      <c r="EV795" s="67" t="s">
        <v>6375</v>
      </c>
      <c r="EW795" s="67">
        <v>488.75</v>
      </c>
      <c r="EX795" s="67" t="s">
        <v>6376</v>
      </c>
      <c r="EY795" s="67">
        <v>5631.28</v>
      </c>
      <c r="EZ795" s="67" t="s">
        <v>6377</v>
      </c>
      <c r="FA795" s="67">
        <v>19867.973000000002</v>
      </c>
      <c r="FB795" s="67" t="s">
        <v>6378</v>
      </c>
      <c r="FC795" s="67" t="s">
        <v>6379</v>
      </c>
      <c r="FD795" s="67" t="s">
        <v>6380</v>
      </c>
      <c r="FE795" s="68" t="s">
        <v>6381</v>
      </c>
      <c r="FF795" s="68" t="s">
        <v>6382</v>
      </c>
    </row>
    <row r="796" spans="151:162" x14ac:dyDescent="0.2">
      <c r="EU796" s="67">
        <v>565.69000000000005</v>
      </c>
      <c r="EV796" s="67" t="s">
        <v>6383</v>
      </c>
      <c r="EW796" s="67">
        <v>488.84</v>
      </c>
      <c r="EX796" s="67" t="s">
        <v>6384</v>
      </c>
      <c r="EY796" s="67">
        <v>5631.28</v>
      </c>
      <c r="EZ796" s="67" t="s">
        <v>6385</v>
      </c>
      <c r="FA796" s="67">
        <v>19867.973000000002</v>
      </c>
      <c r="FB796" s="67" t="s">
        <v>6386</v>
      </c>
      <c r="FC796" s="67" t="s">
        <v>6387</v>
      </c>
      <c r="FD796" s="67" t="s">
        <v>6388</v>
      </c>
      <c r="FE796" s="68" t="s">
        <v>6389</v>
      </c>
      <c r="FF796" s="68" t="s">
        <v>6390</v>
      </c>
    </row>
    <row r="797" spans="151:162" x14ac:dyDescent="0.2">
      <c r="EU797" s="67">
        <v>565.6</v>
      </c>
      <c r="EV797" s="67" t="s">
        <v>6391</v>
      </c>
      <c r="EW797" s="67">
        <v>488.76</v>
      </c>
      <c r="EX797" s="67" t="s">
        <v>6392</v>
      </c>
      <c r="EY797" s="67">
        <v>5631.28</v>
      </c>
      <c r="EZ797" s="67" t="s">
        <v>6393</v>
      </c>
      <c r="FA797" s="67">
        <v>19867.973000000002</v>
      </c>
      <c r="FB797" s="67" t="s">
        <v>6394</v>
      </c>
      <c r="FC797" s="67" t="s">
        <v>6395</v>
      </c>
      <c r="FD797" s="67" t="s">
        <v>6396</v>
      </c>
      <c r="FE797" s="68" t="s">
        <v>6397</v>
      </c>
      <c r="FF797" s="68" t="s">
        <v>6398</v>
      </c>
    </row>
    <row r="798" spans="151:162" x14ac:dyDescent="0.2">
      <c r="EU798" s="67">
        <v>565.55999999999995</v>
      </c>
      <c r="EV798" s="67" t="s">
        <v>6399</v>
      </c>
      <c r="EW798" s="67">
        <v>488.74</v>
      </c>
      <c r="EX798" s="67" t="s">
        <v>6400</v>
      </c>
      <c r="EY798" s="67">
        <v>5631.28</v>
      </c>
      <c r="EZ798" s="67" t="s">
        <v>6401</v>
      </c>
      <c r="FA798" s="67">
        <v>19867.973000000002</v>
      </c>
      <c r="FB798" s="67" t="s">
        <v>6402</v>
      </c>
      <c r="FC798" s="67" t="s">
        <v>6403</v>
      </c>
      <c r="FD798" s="67" t="s">
        <v>6404</v>
      </c>
      <c r="FE798" s="68" t="s">
        <v>6405</v>
      </c>
      <c r="FF798" s="68" t="s">
        <v>6406</v>
      </c>
    </row>
    <row r="799" spans="151:162" x14ac:dyDescent="0.2">
      <c r="EU799" s="67">
        <v>565.46</v>
      </c>
      <c r="EV799" s="67" t="s">
        <v>6407</v>
      </c>
      <c r="EW799" s="67">
        <v>488.7</v>
      </c>
      <c r="EX799" s="67" t="s">
        <v>6408</v>
      </c>
      <c r="EY799" s="67">
        <v>5631.28</v>
      </c>
      <c r="EZ799" s="67" t="s">
        <v>6409</v>
      </c>
      <c r="FA799" s="67">
        <v>19867.973000000002</v>
      </c>
      <c r="FB799" s="67" t="s">
        <v>6410</v>
      </c>
      <c r="FC799" s="67" t="s">
        <v>6411</v>
      </c>
      <c r="FD799" s="67" t="s">
        <v>6412</v>
      </c>
      <c r="FE799" s="68" t="s">
        <v>6413</v>
      </c>
      <c r="FF799" s="68" t="s">
        <v>6414</v>
      </c>
    </row>
    <row r="800" spans="151:162" x14ac:dyDescent="0.2">
      <c r="EU800" s="67">
        <v>565.29</v>
      </c>
      <c r="EV800" s="67" t="s">
        <v>6415</v>
      </c>
      <c r="EW800" s="67">
        <v>488.52</v>
      </c>
      <c r="EX800" s="67" t="s">
        <v>6416</v>
      </c>
      <c r="EY800" s="67">
        <v>5631.28</v>
      </c>
      <c r="EZ800" s="67" t="s">
        <v>6417</v>
      </c>
      <c r="FA800" s="67">
        <v>19867.973000000002</v>
      </c>
      <c r="FB800" s="67" t="s">
        <v>6418</v>
      </c>
      <c r="FC800" s="67" t="s">
        <v>6419</v>
      </c>
      <c r="FD800" s="67" t="s">
        <v>6420</v>
      </c>
      <c r="FE800" s="68" t="s">
        <v>6421</v>
      </c>
      <c r="FF800" s="68" t="s">
        <v>6422</v>
      </c>
    </row>
    <row r="801" spans="151:162" x14ac:dyDescent="0.2">
      <c r="EU801" s="67">
        <v>565.47</v>
      </c>
      <c r="EV801" s="67" t="s">
        <v>6423</v>
      </c>
      <c r="EW801" s="67">
        <v>488.73</v>
      </c>
      <c r="EX801" s="67" t="s">
        <v>6424</v>
      </c>
      <c r="EY801" s="67">
        <v>5631.28</v>
      </c>
      <c r="EZ801" s="67" t="s">
        <v>6425</v>
      </c>
      <c r="FA801" s="67">
        <v>19867.973000000002</v>
      </c>
      <c r="FB801" s="67" t="s">
        <v>6426</v>
      </c>
      <c r="FC801" s="67" t="s">
        <v>6427</v>
      </c>
      <c r="FD801" s="67" t="s">
        <v>6428</v>
      </c>
      <c r="FE801" s="68" t="s">
        <v>6429</v>
      </c>
      <c r="FF801" s="68" t="s">
        <v>6430</v>
      </c>
    </row>
    <row r="802" spans="151:162" x14ac:dyDescent="0.2">
      <c r="EU802" s="67">
        <v>565.45000000000005</v>
      </c>
      <c r="EV802" s="67" t="s">
        <v>6431</v>
      </c>
      <c r="EW802" s="67">
        <v>488.67</v>
      </c>
      <c r="EX802" s="67" t="s">
        <v>6432</v>
      </c>
      <c r="EY802" s="67">
        <v>5631.28</v>
      </c>
      <c r="EZ802" s="67" t="s">
        <v>6433</v>
      </c>
      <c r="FA802" s="67">
        <v>19867.973000000002</v>
      </c>
      <c r="FB802" s="67" t="s">
        <v>6434</v>
      </c>
      <c r="FC802" s="67" t="s">
        <v>6435</v>
      </c>
      <c r="FD802" s="67" t="s">
        <v>6436</v>
      </c>
      <c r="FE802" s="68" t="s">
        <v>6437</v>
      </c>
      <c r="FF802" s="68" t="s">
        <v>6438</v>
      </c>
    </row>
    <row r="803" spans="151:162" x14ac:dyDescent="0.2">
      <c r="EU803" s="67">
        <v>565.42999999999995</v>
      </c>
      <c r="EV803" s="67" t="s">
        <v>6439</v>
      </c>
      <c r="EW803" s="67">
        <v>488.64</v>
      </c>
      <c r="EX803" s="67" t="s">
        <v>6440</v>
      </c>
      <c r="EY803" s="67">
        <v>5631.28</v>
      </c>
      <c r="EZ803" s="67" t="s">
        <v>6441</v>
      </c>
      <c r="FA803" s="67">
        <v>19867.973000000002</v>
      </c>
      <c r="FB803" s="67" t="s">
        <v>6442</v>
      </c>
      <c r="FC803" s="67" t="s">
        <v>6443</v>
      </c>
      <c r="FD803" s="67" t="s">
        <v>6444</v>
      </c>
      <c r="FE803" s="68" t="s">
        <v>6445</v>
      </c>
      <c r="FF803" s="68" t="s">
        <v>6446</v>
      </c>
    </row>
    <row r="804" spans="151:162" x14ac:dyDescent="0.2">
      <c r="EU804" s="67">
        <v>565.29999999999995</v>
      </c>
      <c r="EV804" s="67" t="s">
        <v>6447</v>
      </c>
      <c r="EW804" s="67">
        <v>488.51</v>
      </c>
      <c r="EX804" s="67" t="s">
        <v>6448</v>
      </c>
      <c r="EY804" s="67">
        <v>5631.28</v>
      </c>
      <c r="EZ804" s="67" t="s">
        <v>6449</v>
      </c>
      <c r="FA804" s="67">
        <v>19867.973000000002</v>
      </c>
      <c r="FB804" s="67" t="s">
        <v>6450</v>
      </c>
      <c r="FC804" s="67" t="s">
        <v>6451</v>
      </c>
      <c r="FD804" s="67" t="s">
        <v>6452</v>
      </c>
      <c r="FE804" s="68" t="s">
        <v>6453</v>
      </c>
      <c r="FF804" s="68" t="s">
        <v>6454</v>
      </c>
    </row>
    <row r="805" spans="151:162" x14ac:dyDescent="0.2">
      <c r="EU805" s="67">
        <v>565.19000000000005</v>
      </c>
      <c r="EV805" s="67" t="s">
        <v>6455</v>
      </c>
      <c r="EW805" s="67">
        <v>488.41</v>
      </c>
      <c r="EX805" s="67" t="s">
        <v>6456</v>
      </c>
      <c r="EY805" s="67">
        <v>5631.28</v>
      </c>
      <c r="EZ805" s="67" t="s">
        <v>6457</v>
      </c>
      <c r="FA805" s="67">
        <v>19867.973000000002</v>
      </c>
      <c r="FB805" s="67" t="s">
        <v>6458</v>
      </c>
      <c r="FC805" s="67" t="s">
        <v>6459</v>
      </c>
      <c r="FD805" s="67" t="s">
        <v>6460</v>
      </c>
      <c r="FE805" s="68" t="s">
        <v>6461</v>
      </c>
      <c r="FF805" s="68" t="s">
        <v>6462</v>
      </c>
    </row>
    <row r="806" spans="151:162" x14ac:dyDescent="0.2">
      <c r="EU806" s="67">
        <v>565.27</v>
      </c>
      <c r="EV806" s="67" t="s">
        <v>6463</v>
      </c>
      <c r="EW806" s="67">
        <v>488.5</v>
      </c>
      <c r="EX806" s="67" t="s">
        <v>6464</v>
      </c>
      <c r="EY806" s="67">
        <v>5631.28</v>
      </c>
      <c r="EZ806" s="67" t="s">
        <v>6465</v>
      </c>
      <c r="FA806" s="67">
        <v>19867.973000000002</v>
      </c>
      <c r="FB806" s="67" t="s">
        <v>6466</v>
      </c>
      <c r="FC806" s="67" t="s">
        <v>6467</v>
      </c>
      <c r="FD806" s="67" t="s">
        <v>6468</v>
      </c>
      <c r="FE806" s="68" t="s">
        <v>6469</v>
      </c>
      <c r="FF806" s="68" t="s">
        <v>6470</v>
      </c>
    </row>
    <row r="807" spans="151:162" x14ac:dyDescent="0.2">
      <c r="EU807" s="67">
        <v>565.25</v>
      </c>
      <c r="EV807" s="67" t="s">
        <v>6471</v>
      </c>
      <c r="EW807" s="67">
        <v>488.55</v>
      </c>
      <c r="EX807" s="67" t="s">
        <v>6472</v>
      </c>
      <c r="EY807" s="67">
        <v>5631.28</v>
      </c>
      <c r="EZ807" s="67" t="s">
        <v>6473</v>
      </c>
      <c r="FA807" s="67">
        <v>19867.973000000002</v>
      </c>
      <c r="FB807" s="67" t="s">
        <v>6474</v>
      </c>
      <c r="FC807" s="67" t="s">
        <v>6475</v>
      </c>
      <c r="FD807" s="67" t="s">
        <v>6476</v>
      </c>
      <c r="FE807" s="68" t="s">
        <v>6477</v>
      </c>
      <c r="FF807" s="68" t="s">
        <v>6478</v>
      </c>
    </row>
    <row r="808" spans="151:162" x14ac:dyDescent="0.2">
      <c r="EU808" s="67">
        <v>565.26</v>
      </c>
      <c r="EV808" s="67" t="s">
        <v>6479</v>
      </c>
      <c r="EW808" s="67">
        <v>488.55</v>
      </c>
      <c r="EX808" s="67" t="s">
        <v>6480</v>
      </c>
      <c r="EY808" s="67">
        <v>5631.28</v>
      </c>
      <c r="EZ808" s="67" t="s">
        <v>6481</v>
      </c>
      <c r="FA808" s="67">
        <v>19867.973000000002</v>
      </c>
      <c r="FB808" s="67" t="s">
        <v>6482</v>
      </c>
      <c r="FC808" s="67" t="s">
        <v>6483</v>
      </c>
      <c r="FD808" s="67" t="s">
        <v>6484</v>
      </c>
      <c r="FE808" s="68" t="s">
        <v>6485</v>
      </c>
      <c r="FF808" s="68" t="s">
        <v>6486</v>
      </c>
    </row>
    <row r="809" spans="151:162" x14ac:dyDescent="0.2">
      <c r="EU809" s="67">
        <v>565.33000000000004</v>
      </c>
      <c r="EV809" s="67" t="s">
        <v>6487</v>
      </c>
      <c r="EW809" s="67">
        <v>488.56</v>
      </c>
      <c r="EX809" s="67" t="s">
        <v>6488</v>
      </c>
      <c r="EY809" s="67">
        <v>5631.28</v>
      </c>
      <c r="EZ809" s="67" t="s">
        <v>6489</v>
      </c>
      <c r="FA809" s="67">
        <v>19867.973000000002</v>
      </c>
      <c r="FB809" s="67" t="s">
        <v>6490</v>
      </c>
      <c r="FC809" s="67" t="s">
        <v>6491</v>
      </c>
      <c r="FD809" s="67" t="s">
        <v>6492</v>
      </c>
      <c r="FE809" s="68" t="s">
        <v>6493</v>
      </c>
      <c r="FF809" s="68" t="s">
        <v>6494</v>
      </c>
    </row>
    <row r="810" spans="151:162" x14ac:dyDescent="0.2">
      <c r="EU810" s="67">
        <v>565.26</v>
      </c>
      <c r="EV810" s="67" t="s">
        <v>6495</v>
      </c>
      <c r="EW810" s="67">
        <v>488.54</v>
      </c>
      <c r="EX810" s="67" t="s">
        <v>6496</v>
      </c>
      <c r="EY810" s="67">
        <v>5631.28</v>
      </c>
      <c r="EZ810" s="67" t="s">
        <v>6497</v>
      </c>
      <c r="FA810" s="67">
        <v>19867.973000000002</v>
      </c>
      <c r="FB810" s="67" t="s">
        <v>6498</v>
      </c>
      <c r="FC810" s="67" t="s">
        <v>6499</v>
      </c>
      <c r="FD810" s="67" t="s">
        <v>6500</v>
      </c>
      <c r="FE810" s="68" t="s">
        <v>6501</v>
      </c>
      <c r="FF810" s="68" t="s">
        <v>6502</v>
      </c>
    </row>
    <row r="811" spans="151:162" x14ac:dyDescent="0.2">
      <c r="EU811" s="67">
        <v>565.46</v>
      </c>
      <c r="EV811" s="67" t="s">
        <v>6503</v>
      </c>
      <c r="EW811" s="67">
        <v>488.76</v>
      </c>
      <c r="EX811" s="67" t="s">
        <v>6504</v>
      </c>
      <c r="EY811" s="67">
        <v>5631.28</v>
      </c>
      <c r="EZ811" s="67" t="s">
        <v>6505</v>
      </c>
      <c r="FA811" s="67">
        <v>19867.973000000002</v>
      </c>
      <c r="FB811" s="67" t="s">
        <v>6506</v>
      </c>
      <c r="FC811" s="67" t="s">
        <v>6507</v>
      </c>
      <c r="FD811" s="67" t="s">
        <v>6508</v>
      </c>
      <c r="FE811" s="68" t="s">
        <v>6509</v>
      </c>
      <c r="FF811" s="68" t="s">
        <v>6510</v>
      </c>
    </row>
    <row r="812" spans="151:162" x14ac:dyDescent="0.2">
      <c r="EU812" s="67">
        <v>565.39</v>
      </c>
      <c r="EV812" s="67" t="s">
        <v>6511</v>
      </c>
      <c r="EW812" s="67">
        <v>488.63</v>
      </c>
      <c r="EX812" s="67" t="s">
        <v>6512</v>
      </c>
      <c r="EY812" s="67">
        <v>5631.28</v>
      </c>
      <c r="EZ812" s="67" t="s">
        <v>6513</v>
      </c>
      <c r="FA812" s="67">
        <v>19867.973000000002</v>
      </c>
      <c r="FB812" s="67" t="s">
        <v>6514</v>
      </c>
      <c r="FC812" s="67" t="s">
        <v>6515</v>
      </c>
      <c r="FD812" s="67" t="s">
        <v>6516</v>
      </c>
      <c r="FE812" s="68" t="s">
        <v>6517</v>
      </c>
      <c r="FF812" s="68" t="s">
        <v>6518</v>
      </c>
    </row>
    <row r="813" spans="151:162" x14ac:dyDescent="0.2">
      <c r="EU813" s="67">
        <v>565.42999999999995</v>
      </c>
      <c r="EV813" s="67" t="s">
        <v>6519</v>
      </c>
      <c r="EW813" s="67">
        <v>488.69</v>
      </c>
      <c r="EX813" s="67" t="s">
        <v>6520</v>
      </c>
      <c r="EY813" s="67">
        <v>5631.28</v>
      </c>
      <c r="EZ813" s="67" t="s">
        <v>6521</v>
      </c>
      <c r="FA813" s="67">
        <v>19867.973000000002</v>
      </c>
      <c r="FB813" s="67" t="s">
        <v>6522</v>
      </c>
      <c r="FC813" s="67" t="s">
        <v>6523</v>
      </c>
      <c r="FD813" s="67" t="s">
        <v>6524</v>
      </c>
      <c r="FE813" s="68" t="s">
        <v>6525</v>
      </c>
      <c r="FF813" s="68" t="s">
        <v>6526</v>
      </c>
    </row>
    <row r="814" spans="151:162" x14ac:dyDescent="0.2">
      <c r="EU814" s="67">
        <v>565.66</v>
      </c>
      <c r="EV814" s="67" t="s">
        <v>6527</v>
      </c>
      <c r="EW814" s="67">
        <v>488.88</v>
      </c>
      <c r="EX814" s="67" t="s">
        <v>6528</v>
      </c>
      <c r="EY814" s="67">
        <v>5631.28</v>
      </c>
      <c r="EZ814" s="67" t="s">
        <v>6529</v>
      </c>
      <c r="FA814" s="67">
        <v>19867.973000000002</v>
      </c>
      <c r="FB814" s="67" t="s">
        <v>6530</v>
      </c>
      <c r="FC814" s="67" t="s">
        <v>6531</v>
      </c>
      <c r="FD814" s="67" t="s">
        <v>6532</v>
      </c>
      <c r="FE814" s="68" t="s">
        <v>6533</v>
      </c>
      <c r="FF814" s="68" t="s">
        <v>6534</v>
      </c>
    </row>
    <row r="815" spans="151:162" x14ac:dyDescent="0.2">
      <c r="EU815" s="67">
        <v>565.70000000000005</v>
      </c>
      <c r="EV815" s="67" t="s">
        <v>6535</v>
      </c>
      <c r="EW815" s="67">
        <v>488.82</v>
      </c>
      <c r="EX815" s="67" t="s">
        <v>6536</v>
      </c>
      <c r="EY815" s="67">
        <v>5631.28</v>
      </c>
      <c r="EZ815" s="67" t="s">
        <v>6537</v>
      </c>
      <c r="FA815" s="67">
        <v>19867.973000000002</v>
      </c>
      <c r="FB815" s="67" t="s">
        <v>6538</v>
      </c>
      <c r="FC815" s="67" t="s">
        <v>6539</v>
      </c>
      <c r="FD815" s="67" t="s">
        <v>6540</v>
      </c>
      <c r="FE815" s="68" t="s">
        <v>6541</v>
      </c>
      <c r="FF815" s="68" t="s">
        <v>6542</v>
      </c>
    </row>
    <row r="816" spans="151:162" x14ac:dyDescent="0.2">
      <c r="EU816" s="67">
        <v>565.69000000000005</v>
      </c>
      <c r="EV816" s="67" t="s">
        <v>6543</v>
      </c>
      <c r="EW816" s="67">
        <v>488.82</v>
      </c>
      <c r="EX816" s="67" t="s">
        <v>6544</v>
      </c>
      <c r="EY816" s="67">
        <v>5631.28</v>
      </c>
      <c r="EZ816" s="67" t="s">
        <v>6545</v>
      </c>
      <c r="FA816" s="67">
        <v>19867.973000000002</v>
      </c>
      <c r="FB816" s="67" t="s">
        <v>6546</v>
      </c>
      <c r="FC816" s="67" t="s">
        <v>6547</v>
      </c>
      <c r="FD816" s="67" t="s">
        <v>6548</v>
      </c>
      <c r="FE816" s="68" t="s">
        <v>6549</v>
      </c>
      <c r="FF816" s="68" t="s">
        <v>6550</v>
      </c>
    </row>
    <row r="817" spans="151:162" x14ac:dyDescent="0.2">
      <c r="EU817" s="67">
        <v>565.53</v>
      </c>
      <c r="EV817" s="67" t="s">
        <v>6551</v>
      </c>
      <c r="EW817" s="67">
        <v>488.64</v>
      </c>
      <c r="EX817" s="67" t="s">
        <v>6552</v>
      </c>
      <c r="EY817" s="67">
        <v>5631.28</v>
      </c>
      <c r="EZ817" s="67" t="s">
        <v>6553</v>
      </c>
      <c r="FA817" s="67">
        <v>19867.973000000002</v>
      </c>
      <c r="FB817" s="67" t="s">
        <v>6554</v>
      </c>
      <c r="FC817" s="67" t="s">
        <v>6555</v>
      </c>
      <c r="FD817" s="67" t="s">
        <v>6556</v>
      </c>
      <c r="FE817" s="68" t="s">
        <v>6557</v>
      </c>
      <c r="FF817" s="68" t="s">
        <v>6558</v>
      </c>
    </row>
    <row r="818" spans="151:162" x14ac:dyDescent="0.2">
      <c r="EU818" s="67">
        <v>565.54999999999995</v>
      </c>
      <c r="EV818" s="67" t="s">
        <v>6559</v>
      </c>
      <c r="EW818" s="67">
        <v>488.75</v>
      </c>
      <c r="EX818" s="67" t="s">
        <v>6560</v>
      </c>
      <c r="EY818" s="67">
        <v>5631.28</v>
      </c>
      <c r="EZ818" s="67" t="s">
        <v>6561</v>
      </c>
      <c r="FA818" s="67">
        <v>19867.973000000002</v>
      </c>
      <c r="FB818" s="67" t="s">
        <v>6562</v>
      </c>
      <c r="FC818" s="67" t="s">
        <v>6563</v>
      </c>
      <c r="FD818" s="67" t="s">
        <v>6564</v>
      </c>
      <c r="FE818" s="68" t="s">
        <v>6565</v>
      </c>
      <c r="FF818" s="68" t="s">
        <v>6566</v>
      </c>
    </row>
    <row r="819" spans="151:162" x14ac:dyDescent="0.2">
      <c r="EU819" s="67">
        <v>565.52</v>
      </c>
      <c r="EV819" s="67" t="s">
        <v>6567</v>
      </c>
      <c r="EW819" s="67">
        <v>488.65</v>
      </c>
      <c r="EX819" s="67" t="s">
        <v>6568</v>
      </c>
      <c r="EY819" s="67">
        <v>5631.28</v>
      </c>
      <c r="EZ819" s="67" t="s">
        <v>6569</v>
      </c>
      <c r="FA819" s="67">
        <v>19867.973000000002</v>
      </c>
      <c r="FB819" s="67" t="s">
        <v>6570</v>
      </c>
      <c r="FC819" s="67" t="s">
        <v>6571</v>
      </c>
      <c r="FD819" s="67" t="s">
        <v>6572</v>
      </c>
      <c r="FE819" s="68" t="s">
        <v>6573</v>
      </c>
      <c r="FF819" s="68" t="s">
        <v>6574</v>
      </c>
    </row>
    <row r="820" spans="151:162" x14ac:dyDescent="0.2">
      <c r="EU820" s="67">
        <v>565.29999999999995</v>
      </c>
      <c r="EV820" s="67" t="s">
        <v>6575</v>
      </c>
      <c r="EW820" s="67">
        <v>488.51</v>
      </c>
      <c r="EX820" s="67" t="s">
        <v>6576</v>
      </c>
      <c r="EY820" s="67">
        <v>5631.28</v>
      </c>
      <c r="EZ820" s="67" t="s">
        <v>6577</v>
      </c>
      <c r="FA820" s="67">
        <v>19867.973000000002</v>
      </c>
      <c r="FB820" s="67" t="s">
        <v>6578</v>
      </c>
      <c r="FC820" s="67" t="s">
        <v>6579</v>
      </c>
      <c r="FD820" s="67" t="s">
        <v>6580</v>
      </c>
      <c r="FE820" s="68" t="s">
        <v>6581</v>
      </c>
      <c r="FF820" s="68" t="s">
        <v>6582</v>
      </c>
    </row>
    <row r="821" spans="151:162" x14ac:dyDescent="0.2">
      <c r="EU821" s="67">
        <v>565.21</v>
      </c>
      <c r="EV821" s="67" t="s">
        <v>6583</v>
      </c>
      <c r="EW821" s="67">
        <v>488.46</v>
      </c>
      <c r="EX821" s="67" t="s">
        <v>6584</v>
      </c>
      <c r="EY821" s="67">
        <v>5631.28</v>
      </c>
      <c r="EZ821" s="67" t="s">
        <v>6585</v>
      </c>
      <c r="FA821" s="67">
        <v>19867.973000000002</v>
      </c>
      <c r="FB821" s="67" t="s">
        <v>6586</v>
      </c>
      <c r="FC821" s="67" t="s">
        <v>6587</v>
      </c>
      <c r="FD821" s="67" t="s">
        <v>6588</v>
      </c>
      <c r="FE821" s="68" t="s">
        <v>6589</v>
      </c>
      <c r="FF821" s="68" t="s">
        <v>6590</v>
      </c>
    </row>
    <row r="822" spans="151:162" x14ac:dyDescent="0.2">
      <c r="EU822" s="67">
        <v>565.21</v>
      </c>
      <c r="EV822" s="67" t="s">
        <v>6591</v>
      </c>
      <c r="EW822" s="67">
        <v>488.43</v>
      </c>
      <c r="EX822" s="67" t="s">
        <v>6592</v>
      </c>
      <c r="EY822" s="67">
        <v>5631.28</v>
      </c>
      <c r="EZ822" s="67" t="s">
        <v>6593</v>
      </c>
      <c r="FA822" s="67">
        <v>19867.973000000002</v>
      </c>
      <c r="FB822" s="67" t="s">
        <v>6594</v>
      </c>
      <c r="FC822" s="67" t="s">
        <v>6595</v>
      </c>
      <c r="FD822" s="67" t="s">
        <v>6596</v>
      </c>
      <c r="FE822" s="68" t="s">
        <v>6597</v>
      </c>
      <c r="FF822" s="68" t="s">
        <v>6598</v>
      </c>
    </row>
    <row r="823" spans="151:162" x14ac:dyDescent="0.2">
      <c r="EU823" s="67">
        <v>565.41</v>
      </c>
      <c r="EV823" s="67" t="s">
        <v>6599</v>
      </c>
      <c r="EW823" s="67">
        <v>488.58</v>
      </c>
      <c r="EX823" s="67" t="s">
        <v>6600</v>
      </c>
      <c r="EY823" s="67">
        <v>5668.57</v>
      </c>
      <c r="EZ823" s="67" t="s">
        <v>6601</v>
      </c>
      <c r="FA823" s="67">
        <v>19867.973000000002</v>
      </c>
      <c r="FB823" s="67" t="s">
        <v>6602</v>
      </c>
      <c r="FC823" s="67" t="s">
        <v>6603</v>
      </c>
      <c r="FD823" s="67" t="s">
        <v>6604</v>
      </c>
      <c r="FE823" s="68" t="s">
        <v>6605</v>
      </c>
      <c r="FF823" s="68" t="s">
        <v>6606</v>
      </c>
    </row>
    <row r="824" spans="151:162" x14ac:dyDescent="0.2">
      <c r="EU824" s="67">
        <v>565.5</v>
      </c>
      <c r="EV824" s="67" t="s">
        <v>6607</v>
      </c>
      <c r="EW824" s="67">
        <v>488.57</v>
      </c>
      <c r="EX824" s="67" t="s">
        <v>6608</v>
      </c>
      <c r="EY824" s="67">
        <v>5671.65</v>
      </c>
      <c r="EZ824" s="67" t="s">
        <v>6609</v>
      </c>
      <c r="FA824" s="67">
        <v>20076.794999999998</v>
      </c>
      <c r="FB824" s="67" t="s">
        <v>6610</v>
      </c>
      <c r="FC824" s="67" t="s">
        <v>6611</v>
      </c>
      <c r="FD824" s="67" t="s">
        <v>6612</v>
      </c>
      <c r="FE824" s="68" t="s">
        <v>6613</v>
      </c>
      <c r="FF824" s="68" t="s">
        <v>6614</v>
      </c>
    </row>
    <row r="825" spans="151:162" x14ac:dyDescent="0.2">
      <c r="EU825" s="67">
        <v>565.13</v>
      </c>
      <c r="EV825" s="67" t="s">
        <v>6615</v>
      </c>
      <c r="EW825" s="67">
        <v>488.11</v>
      </c>
      <c r="EX825" s="67" t="s">
        <v>6616</v>
      </c>
      <c r="EY825" s="67">
        <v>5669.27</v>
      </c>
      <c r="EZ825" s="67" t="s">
        <v>6617</v>
      </c>
      <c r="FA825" s="67">
        <v>20063.958999999999</v>
      </c>
      <c r="FB825" s="67" t="s">
        <v>6618</v>
      </c>
      <c r="FC825" s="67" t="s">
        <v>6619</v>
      </c>
      <c r="FD825" s="67" t="s">
        <v>6620</v>
      </c>
      <c r="FE825" s="68" t="s">
        <v>6621</v>
      </c>
      <c r="FF825" s="68" t="s">
        <v>6622</v>
      </c>
    </row>
    <row r="826" spans="151:162" x14ac:dyDescent="0.2">
      <c r="EU826" s="67">
        <v>564.81299999999999</v>
      </c>
      <c r="EV826" s="67" t="s">
        <v>6623</v>
      </c>
      <c r="EW826" s="67">
        <v>487.7</v>
      </c>
      <c r="EX826" s="67" t="s">
        <v>6624</v>
      </c>
      <c r="EY826" s="67">
        <v>5666.82</v>
      </c>
      <c r="EZ826" s="67" t="s">
        <v>6625</v>
      </c>
      <c r="FA826" s="67">
        <v>20052.478999999999</v>
      </c>
      <c r="FB826" s="67" t="s">
        <v>6626</v>
      </c>
      <c r="FC826" s="67" t="s">
        <v>6627</v>
      </c>
      <c r="FD826" s="67" t="s">
        <v>6628</v>
      </c>
      <c r="FE826" s="68" t="s">
        <v>6629</v>
      </c>
      <c r="FF826" s="68" t="s">
        <v>6630</v>
      </c>
    </row>
    <row r="827" spans="151:162" x14ac:dyDescent="0.2">
      <c r="EU827" s="67">
        <v>564.83000000000004</v>
      </c>
      <c r="EV827" s="67" t="s">
        <v>6631</v>
      </c>
      <c r="EW827" s="67">
        <v>487.61</v>
      </c>
      <c r="EX827" s="67" t="s">
        <v>6632</v>
      </c>
      <c r="EY827" s="67">
        <v>5664.95</v>
      </c>
      <c r="EZ827" s="67" t="s">
        <v>6633</v>
      </c>
      <c r="FA827" s="67">
        <v>20044.361000000001</v>
      </c>
      <c r="FB827" s="67" t="s">
        <v>6634</v>
      </c>
      <c r="FC827" s="67" t="s">
        <v>6635</v>
      </c>
      <c r="FD827" s="67" t="s">
        <v>6636</v>
      </c>
      <c r="FE827" s="68" t="s">
        <v>6637</v>
      </c>
      <c r="FF827" s="68" t="s">
        <v>6638</v>
      </c>
    </row>
    <row r="828" spans="151:162" x14ac:dyDescent="0.2">
      <c r="EU828" s="67">
        <v>564.89</v>
      </c>
      <c r="EV828" s="67" t="s">
        <v>6639</v>
      </c>
      <c r="EW828" s="67">
        <v>487.57100000000003</v>
      </c>
      <c r="EX828" s="67" t="s">
        <v>6640</v>
      </c>
      <c r="EY828" s="67">
        <v>5665.88</v>
      </c>
      <c r="EZ828" s="67" t="s">
        <v>6641</v>
      </c>
      <c r="FA828" s="67">
        <v>20040.219000000001</v>
      </c>
      <c r="FB828" s="67" t="s">
        <v>6642</v>
      </c>
      <c r="FC828" s="67" t="s">
        <v>6643</v>
      </c>
      <c r="FD828" s="67" t="s">
        <v>6644</v>
      </c>
      <c r="FE828" s="68" t="s">
        <v>6645</v>
      </c>
      <c r="FF828" s="68" t="s">
        <v>6646</v>
      </c>
    </row>
    <row r="829" spans="151:162" x14ac:dyDescent="0.2">
      <c r="EU829" s="67">
        <v>564.95000000000005</v>
      </c>
      <c r="EV829" s="67" t="s">
        <v>6647</v>
      </c>
      <c r="EW829" s="67">
        <v>487.69299999999998</v>
      </c>
      <c r="EX829" s="67" t="s">
        <v>6648</v>
      </c>
      <c r="EY829" s="67">
        <v>5667.06</v>
      </c>
      <c r="EZ829" s="67" t="s">
        <v>6649</v>
      </c>
      <c r="FA829" s="67">
        <v>20047.928</v>
      </c>
      <c r="FB829" s="67" t="s">
        <v>6650</v>
      </c>
      <c r="FC829" s="67" t="s">
        <v>6651</v>
      </c>
      <c r="FD829" s="67" t="s">
        <v>6652</v>
      </c>
      <c r="FE829" s="68" t="s">
        <v>6653</v>
      </c>
      <c r="FF829" s="68" t="s">
        <v>6654</v>
      </c>
    </row>
    <row r="830" spans="151:162" x14ac:dyDescent="0.2">
      <c r="EU830" s="67">
        <v>564.89</v>
      </c>
      <c r="EV830" s="67" t="s">
        <v>6655</v>
      </c>
      <c r="EW830" s="67">
        <v>487.78</v>
      </c>
      <c r="EX830" s="67" t="s">
        <v>6656</v>
      </c>
      <c r="EY830" s="67">
        <v>5666.8</v>
      </c>
      <c r="EZ830" s="67" t="s">
        <v>6657</v>
      </c>
      <c r="FA830" s="67">
        <v>20051.653999999999</v>
      </c>
      <c r="FB830" s="67" t="s">
        <v>6658</v>
      </c>
      <c r="FC830" s="67" t="s">
        <v>6659</v>
      </c>
      <c r="FD830" s="67" t="s">
        <v>6660</v>
      </c>
      <c r="FE830" s="68" t="s">
        <v>6661</v>
      </c>
      <c r="FF830" s="68" t="s">
        <v>6662</v>
      </c>
    </row>
    <row r="831" spans="151:162" x14ac:dyDescent="0.2">
      <c r="EU831" s="67">
        <v>564.91</v>
      </c>
      <c r="EV831" s="67" t="s">
        <v>6663</v>
      </c>
      <c r="EW831" s="67">
        <v>487.76</v>
      </c>
      <c r="EX831" s="67" t="s">
        <v>6664</v>
      </c>
      <c r="EY831" s="67">
        <v>5666.5</v>
      </c>
      <c r="EZ831" s="67" t="s">
        <v>6665</v>
      </c>
      <c r="FA831" s="67">
        <v>20051.999</v>
      </c>
      <c r="FB831" s="67" t="s">
        <v>6666</v>
      </c>
      <c r="FC831" s="67" t="s">
        <v>6667</v>
      </c>
      <c r="FD831" s="67" t="s">
        <v>6668</v>
      </c>
      <c r="FE831" s="68" t="s">
        <v>6669</v>
      </c>
      <c r="FF831" s="68" t="s">
        <v>6670</v>
      </c>
    </row>
    <row r="832" spans="151:162" x14ac:dyDescent="0.2">
      <c r="EU832" s="67">
        <v>564.44000000000005</v>
      </c>
      <c r="EV832" s="67" t="s">
        <v>6671</v>
      </c>
      <c r="EW832" s="67">
        <v>487.39</v>
      </c>
      <c r="EX832" s="67" t="s">
        <v>6672</v>
      </c>
      <c r="EY832" s="67">
        <v>5661.91</v>
      </c>
      <c r="EZ832" s="67" t="s">
        <v>6673</v>
      </c>
      <c r="FA832" s="67">
        <v>20035.438999999998</v>
      </c>
      <c r="FB832" s="67" t="s">
        <v>6674</v>
      </c>
      <c r="FC832" s="67" t="s">
        <v>6675</v>
      </c>
      <c r="FD832" s="67" t="s">
        <v>6676</v>
      </c>
      <c r="FE832" s="68" t="s">
        <v>6677</v>
      </c>
      <c r="FF832" s="68" t="s">
        <v>6678</v>
      </c>
    </row>
    <row r="833" spans="151:162" x14ac:dyDescent="0.2">
      <c r="EU833" s="67">
        <v>564.33000000000004</v>
      </c>
      <c r="EV833" s="67" t="s">
        <v>6679</v>
      </c>
      <c r="EW833" s="67">
        <v>487.09</v>
      </c>
      <c r="EX833" s="67" t="s">
        <v>6680</v>
      </c>
      <c r="EY833" s="67">
        <v>5660.43</v>
      </c>
      <c r="EZ833" s="67" t="s">
        <v>6681</v>
      </c>
      <c r="FA833" s="67">
        <v>20020.445</v>
      </c>
      <c r="FB833" s="67" t="s">
        <v>6682</v>
      </c>
      <c r="FC833" s="67" t="s">
        <v>6683</v>
      </c>
      <c r="FD833" s="67" t="s">
        <v>6684</v>
      </c>
      <c r="FE833" s="68" t="s">
        <v>6685</v>
      </c>
      <c r="FF833" s="68" t="s">
        <v>6686</v>
      </c>
    </row>
    <row r="834" spans="151:162" x14ac:dyDescent="0.2">
      <c r="EU834" s="67">
        <v>564.77</v>
      </c>
      <c r="EV834" s="67" t="s">
        <v>6687</v>
      </c>
      <c r="EW834" s="67">
        <v>487.52</v>
      </c>
      <c r="EX834" s="67" t="s">
        <v>6688</v>
      </c>
      <c r="EY834" s="67">
        <v>5665.29</v>
      </c>
      <c r="EZ834" s="67" t="s">
        <v>6689</v>
      </c>
      <c r="FA834" s="67">
        <v>20039.686000000002</v>
      </c>
      <c r="FB834" s="67" t="s">
        <v>6690</v>
      </c>
      <c r="FC834" s="67" t="s">
        <v>6691</v>
      </c>
      <c r="FD834" s="67" t="s">
        <v>6692</v>
      </c>
      <c r="FE834" s="68" t="s">
        <v>6693</v>
      </c>
      <c r="FF834" s="68" t="s">
        <v>6694</v>
      </c>
    </row>
    <row r="835" spans="151:162" x14ac:dyDescent="0.2">
      <c r="EU835" s="67">
        <v>564.91999999999996</v>
      </c>
      <c r="EV835" s="67" t="s">
        <v>6695</v>
      </c>
      <c r="EW835" s="67">
        <v>487.76</v>
      </c>
      <c r="EX835" s="67" t="s">
        <v>6696</v>
      </c>
      <c r="EY835" s="67">
        <v>5666.63</v>
      </c>
      <c r="EZ835" s="67" t="s">
        <v>6697</v>
      </c>
      <c r="FA835" s="67">
        <v>20049.032999999999</v>
      </c>
      <c r="FB835" s="67" t="s">
        <v>6698</v>
      </c>
      <c r="FC835" s="67" t="s">
        <v>6699</v>
      </c>
      <c r="FD835" s="67" t="s">
        <v>6700</v>
      </c>
      <c r="FE835" s="68" t="s">
        <v>6701</v>
      </c>
      <c r="FF835" s="68" t="s">
        <v>6702</v>
      </c>
    </row>
    <row r="836" spans="151:162" x14ac:dyDescent="0.2">
      <c r="EU836" s="67">
        <v>564.66</v>
      </c>
      <c r="EV836" s="67" t="s">
        <v>6703</v>
      </c>
      <c r="EW836" s="67">
        <v>487.48</v>
      </c>
      <c r="EX836" s="67" t="s">
        <v>6704</v>
      </c>
      <c r="EY836" s="67">
        <v>5664.56</v>
      </c>
      <c r="EZ836" s="67" t="s">
        <v>6705</v>
      </c>
      <c r="FA836" s="67">
        <v>20040.945</v>
      </c>
      <c r="FB836" s="67" t="s">
        <v>6706</v>
      </c>
      <c r="FC836" s="67" t="s">
        <v>6707</v>
      </c>
      <c r="FD836" s="67" t="s">
        <v>6708</v>
      </c>
      <c r="FE836" s="68" t="s">
        <v>6709</v>
      </c>
      <c r="FF836" s="68" t="s">
        <v>6710</v>
      </c>
    </row>
    <row r="837" spans="151:162" x14ac:dyDescent="0.2">
      <c r="EU837" s="67">
        <v>564.86</v>
      </c>
      <c r="EV837" s="67" t="s">
        <v>6711</v>
      </c>
      <c r="EW837" s="67">
        <v>487.66</v>
      </c>
      <c r="EX837" s="67" t="s">
        <v>6712</v>
      </c>
      <c r="EY837" s="67">
        <v>5666.59</v>
      </c>
      <c r="EZ837" s="67" t="s">
        <v>6713</v>
      </c>
      <c r="FA837" s="67">
        <v>20047.267</v>
      </c>
      <c r="FB837" s="67" t="s">
        <v>6714</v>
      </c>
      <c r="FC837" s="67" t="s">
        <v>6715</v>
      </c>
      <c r="FD837" s="67" t="s">
        <v>6716</v>
      </c>
      <c r="FE837" s="68" t="s">
        <v>6717</v>
      </c>
      <c r="FF837" s="68" t="s">
        <v>6718</v>
      </c>
    </row>
    <row r="838" spans="151:162" x14ac:dyDescent="0.2">
      <c r="EU838" s="67">
        <v>564.78</v>
      </c>
      <c r="EV838" s="67" t="s">
        <v>6719</v>
      </c>
      <c r="EW838" s="67">
        <v>487.55</v>
      </c>
      <c r="EX838" s="67" t="s">
        <v>6720</v>
      </c>
      <c r="EY838" s="67">
        <v>5665.23</v>
      </c>
      <c r="EZ838" s="67" t="s">
        <v>6721</v>
      </c>
      <c r="FA838" s="67">
        <v>20041.328000000001</v>
      </c>
      <c r="FB838" s="67" t="s">
        <v>6722</v>
      </c>
      <c r="FC838" s="67" t="s">
        <v>6723</v>
      </c>
      <c r="FD838" s="67" t="s">
        <v>6724</v>
      </c>
      <c r="FE838" s="68" t="s">
        <v>6725</v>
      </c>
      <c r="FF838" s="68" t="s">
        <v>6726</v>
      </c>
    </row>
    <row r="839" spans="151:162" x14ac:dyDescent="0.2">
      <c r="EU839" s="67">
        <v>564.58000000000004</v>
      </c>
      <c r="EV839" s="67" t="s">
        <v>6727</v>
      </c>
      <c r="EW839" s="67">
        <v>487.36</v>
      </c>
      <c r="EX839" s="67" t="s">
        <v>6728</v>
      </c>
      <c r="EY839" s="67">
        <v>5663.01</v>
      </c>
      <c r="EZ839" s="67" t="s">
        <v>6729</v>
      </c>
      <c r="FA839" s="67">
        <v>20033.317999999999</v>
      </c>
      <c r="FB839" s="67" t="s">
        <v>6730</v>
      </c>
      <c r="FC839" s="67" t="s">
        <v>6731</v>
      </c>
      <c r="FD839" s="67" t="s">
        <v>6732</v>
      </c>
      <c r="FE839" s="68" t="s">
        <v>6733</v>
      </c>
      <c r="FF839" s="68" t="s">
        <v>6734</v>
      </c>
    </row>
    <row r="840" spans="151:162" x14ac:dyDescent="0.2">
      <c r="EU840" s="67">
        <v>564.41999999999996</v>
      </c>
      <c r="EV840" s="67" t="s">
        <v>6735</v>
      </c>
      <c r="EW840" s="67">
        <v>487.3</v>
      </c>
      <c r="EX840" s="67" t="s">
        <v>6736</v>
      </c>
      <c r="EY840" s="67">
        <v>5662.66</v>
      </c>
      <c r="EZ840" s="67" t="s">
        <v>6737</v>
      </c>
      <c r="FA840" s="67">
        <v>20036.781999999999</v>
      </c>
      <c r="FB840" s="67" t="s">
        <v>6738</v>
      </c>
      <c r="FC840" s="67" t="s">
        <v>6739</v>
      </c>
      <c r="FD840" s="67" t="s">
        <v>6740</v>
      </c>
      <c r="FE840" s="68" t="s">
        <v>6741</v>
      </c>
      <c r="FF840" s="68" t="s">
        <v>6742</v>
      </c>
    </row>
    <row r="841" spans="151:162" x14ac:dyDescent="0.2">
      <c r="EU841" s="67">
        <v>564.33000000000004</v>
      </c>
      <c r="EV841" s="67" t="s">
        <v>6743</v>
      </c>
      <c r="EW841" s="67">
        <v>487.08</v>
      </c>
      <c r="EX841" s="67" t="s">
        <v>6744</v>
      </c>
      <c r="EY841" s="67">
        <v>5660.62</v>
      </c>
      <c r="EZ841" s="67" t="s">
        <v>6745</v>
      </c>
      <c r="FA841" s="67">
        <v>20022.594000000001</v>
      </c>
      <c r="FB841" s="67" t="s">
        <v>6746</v>
      </c>
      <c r="FC841" s="67" t="s">
        <v>6747</v>
      </c>
      <c r="FD841" s="67" t="s">
        <v>6748</v>
      </c>
      <c r="FE841" s="68" t="s">
        <v>6749</v>
      </c>
      <c r="FF841" s="68" t="s">
        <v>6750</v>
      </c>
    </row>
    <row r="842" spans="151:162" x14ac:dyDescent="0.2">
      <c r="EU842" s="67">
        <v>564.01</v>
      </c>
      <c r="EV842" s="67" t="s">
        <v>6751</v>
      </c>
      <c r="EW842" s="67">
        <v>486.5</v>
      </c>
      <c r="EX842" s="67" t="s">
        <v>6752</v>
      </c>
      <c r="EY842" s="67">
        <v>5656.72</v>
      </c>
      <c r="EZ842" s="67" t="s">
        <v>6753</v>
      </c>
      <c r="FA842" s="67">
        <v>19995.388999999999</v>
      </c>
      <c r="FB842" s="67" t="s">
        <v>6754</v>
      </c>
      <c r="FC842" s="67" t="s">
        <v>6755</v>
      </c>
      <c r="FD842" s="67" t="s">
        <v>6756</v>
      </c>
      <c r="FE842" s="68" t="s">
        <v>6757</v>
      </c>
      <c r="FF842" s="68" t="s">
        <v>6758</v>
      </c>
    </row>
    <row r="843" spans="151:162" x14ac:dyDescent="0.2">
      <c r="EU843" s="67">
        <v>563.84</v>
      </c>
      <c r="EV843" s="67" t="s">
        <v>6759</v>
      </c>
      <c r="EW843" s="67">
        <v>486.49</v>
      </c>
      <c r="EX843" s="67" t="s">
        <v>6760</v>
      </c>
      <c r="EY843" s="67">
        <v>5655.48</v>
      </c>
      <c r="EZ843" s="67" t="s">
        <v>6761</v>
      </c>
      <c r="FA843" s="67">
        <v>19994.824000000001</v>
      </c>
      <c r="FB843" s="67" t="s">
        <v>6762</v>
      </c>
      <c r="FC843" s="67" t="s">
        <v>6763</v>
      </c>
      <c r="FD843" s="67" t="s">
        <v>6764</v>
      </c>
      <c r="FE843" s="68" t="s">
        <v>6765</v>
      </c>
      <c r="FF843" s="68" t="s">
        <v>6766</v>
      </c>
    </row>
    <row r="844" spans="151:162" x14ac:dyDescent="0.2">
      <c r="EU844" s="67">
        <v>563.995</v>
      </c>
      <c r="EV844" s="67" t="s">
        <v>6767</v>
      </c>
      <c r="EW844" s="67">
        <v>486.54</v>
      </c>
      <c r="EX844" s="67" t="s">
        <v>6768</v>
      </c>
      <c r="EY844" s="67">
        <v>5656.41</v>
      </c>
      <c r="EZ844" s="67" t="s">
        <v>6769</v>
      </c>
      <c r="FA844" s="67">
        <v>19996.758000000002</v>
      </c>
      <c r="FB844" s="67" t="s">
        <v>6770</v>
      </c>
      <c r="FC844" s="67" t="s">
        <v>6771</v>
      </c>
      <c r="FD844" s="67" t="s">
        <v>6772</v>
      </c>
      <c r="FE844" s="68" t="s">
        <v>6773</v>
      </c>
      <c r="FF844" s="68" t="s">
        <v>6774</v>
      </c>
    </row>
    <row r="845" spans="151:162" x14ac:dyDescent="0.2">
      <c r="EU845" s="67">
        <v>564.08000000000004</v>
      </c>
      <c r="EV845" s="67" t="s">
        <v>6775</v>
      </c>
      <c r="EW845" s="67">
        <v>486.75400000000002</v>
      </c>
      <c r="EX845" s="67" t="s">
        <v>6776</v>
      </c>
      <c r="EY845" s="67">
        <v>5657.79</v>
      </c>
      <c r="EZ845" s="67" t="s">
        <v>6777</v>
      </c>
      <c r="FA845" s="67">
        <v>20010.618999999999</v>
      </c>
      <c r="FB845" s="67" t="s">
        <v>6778</v>
      </c>
      <c r="FC845" s="67" t="s">
        <v>6779</v>
      </c>
      <c r="FD845" s="67" t="s">
        <v>6780</v>
      </c>
      <c r="FE845" s="68" t="s">
        <v>6781</v>
      </c>
      <c r="FF845" s="68" t="s">
        <v>6782</v>
      </c>
    </row>
    <row r="846" spans="151:162" x14ac:dyDescent="0.2">
      <c r="EU846" s="67">
        <v>563.9</v>
      </c>
      <c r="EV846" s="67" t="s">
        <v>6783</v>
      </c>
      <c r="EW846" s="67">
        <v>486.64</v>
      </c>
      <c r="EX846" s="67" t="s">
        <v>6784</v>
      </c>
      <c r="EY846" s="67">
        <v>5655.89</v>
      </c>
      <c r="EZ846" s="67" t="s">
        <v>6785</v>
      </c>
      <c r="FA846" s="67">
        <v>20003.916000000001</v>
      </c>
      <c r="FB846" s="67" t="s">
        <v>6786</v>
      </c>
      <c r="FC846" s="67" t="s">
        <v>6787</v>
      </c>
      <c r="FD846" s="67" t="s">
        <v>6788</v>
      </c>
      <c r="FE846" s="68" t="s">
        <v>6789</v>
      </c>
      <c r="FF846" s="68" t="s">
        <v>6790</v>
      </c>
    </row>
    <row r="847" spans="151:162" x14ac:dyDescent="0.2">
      <c r="EU847" s="67">
        <v>563.89200000000005</v>
      </c>
      <c r="EV847" s="67" t="s">
        <v>6791</v>
      </c>
      <c r="EW847" s="67">
        <v>486.63</v>
      </c>
      <c r="EX847" s="67" t="s">
        <v>6792</v>
      </c>
      <c r="EY847" s="67">
        <v>5656.39</v>
      </c>
      <c r="EZ847" s="67" t="s">
        <v>6793</v>
      </c>
      <c r="FA847" s="67">
        <v>20006.072</v>
      </c>
      <c r="FB847" s="67" t="s">
        <v>6794</v>
      </c>
      <c r="FC847" s="67" t="s">
        <v>6795</v>
      </c>
      <c r="FD847" s="67" t="s">
        <v>6796</v>
      </c>
      <c r="FE847" s="68" t="s">
        <v>6797</v>
      </c>
      <c r="FF847" s="68" t="s">
        <v>6798</v>
      </c>
    </row>
    <row r="848" spans="151:162" x14ac:dyDescent="0.2">
      <c r="EU848" s="67">
        <v>563.85</v>
      </c>
      <c r="EV848" s="67" t="s">
        <v>6799</v>
      </c>
      <c r="EW848" s="67">
        <v>486.49</v>
      </c>
      <c r="EX848" s="67" t="s">
        <v>6800</v>
      </c>
      <c r="EY848" s="67">
        <v>5656.06</v>
      </c>
      <c r="EZ848" s="67" t="s">
        <v>6801</v>
      </c>
      <c r="FA848" s="67">
        <v>19999.955999999998</v>
      </c>
      <c r="FB848" s="67" t="s">
        <v>6802</v>
      </c>
      <c r="FC848" s="67" t="s">
        <v>6803</v>
      </c>
      <c r="FD848" s="67" t="s">
        <v>6804</v>
      </c>
      <c r="FE848" s="68" t="s">
        <v>6805</v>
      </c>
      <c r="FF848" s="68" t="s">
        <v>6806</v>
      </c>
    </row>
    <row r="849" spans="151:162" x14ac:dyDescent="0.2">
      <c r="EU849" s="67">
        <v>564.39</v>
      </c>
      <c r="EV849" s="67" t="s">
        <v>6807</v>
      </c>
      <c r="EW849" s="67">
        <v>487.1</v>
      </c>
      <c r="EX849" s="67" t="s">
        <v>6808</v>
      </c>
      <c r="EY849" s="67">
        <v>5660.85</v>
      </c>
      <c r="EZ849" s="67" t="s">
        <v>6809</v>
      </c>
      <c r="FA849" s="67">
        <v>20020.612000000001</v>
      </c>
      <c r="FB849" s="67" t="s">
        <v>6810</v>
      </c>
      <c r="FC849" s="67" t="s">
        <v>6811</v>
      </c>
      <c r="FD849" s="67" t="s">
        <v>6812</v>
      </c>
      <c r="FE849" s="68" t="s">
        <v>6813</v>
      </c>
      <c r="FF849" s="68" t="s">
        <v>6814</v>
      </c>
    </row>
    <row r="850" spans="151:162" x14ac:dyDescent="0.2">
      <c r="EU850" s="67">
        <v>564.46</v>
      </c>
      <c r="EV850" s="67" t="s">
        <v>6815</v>
      </c>
      <c r="EW850" s="67">
        <v>487.19</v>
      </c>
      <c r="EX850" s="67" t="s">
        <v>6816</v>
      </c>
      <c r="EY850" s="67">
        <v>5661.71</v>
      </c>
      <c r="EZ850" s="67" t="s">
        <v>6817</v>
      </c>
      <c r="FA850" s="67">
        <v>20025.024000000001</v>
      </c>
      <c r="FB850" s="67" t="s">
        <v>6818</v>
      </c>
      <c r="FC850" s="67" t="s">
        <v>6819</v>
      </c>
      <c r="FD850" s="67" t="s">
        <v>6820</v>
      </c>
      <c r="FE850" s="68" t="s">
        <v>6821</v>
      </c>
      <c r="FF850" s="68" t="s">
        <v>6822</v>
      </c>
    </row>
    <row r="851" spans="151:162" x14ac:dyDescent="0.2">
      <c r="EU851" s="67">
        <v>564.51</v>
      </c>
      <c r="EV851" s="67" t="s">
        <v>6823</v>
      </c>
      <c r="EW851" s="67">
        <v>487.18</v>
      </c>
      <c r="EX851" s="67" t="s">
        <v>6824</v>
      </c>
      <c r="EY851" s="67">
        <v>5662.73</v>
      </c>
      <c r="EZ851" s="67" t="s">
        <v>6825</v>
      </c>
      <c r="FA851" s="67">
        <v>20028.118999999999</v>
      </c>
      <c r="FB851" s="67" t="s">
        <v>6826</v>
      </c>
      <c r="FC851" s="67" t="s">
        <v>6827</v>
      </c>
      <c r="FD851" s="67" t="s">
        <v>6828</v>
      </c>
      <c r="FE851" s="68" t="s">
        <v>6829</v>
      </c>
      <c r="FF851" s="68" t="s">
        <v>6830</v>
      </c>
    </row>
    <row r="852" spans="151:162" x14ac:dyDescent="0.2">
      <c r="EU852" s="67">
        <v>564.12</v>
      </c>
      <c r="EV852" s="67" t="s">
        <v>6831</v>
      </c>
      <c r="EW852" s="67">
        <v>486.77</v>
      </c>
      <c r="EX852" s="67" t="s">
        <v>6832</v>
      </c>
      <c r="EY852" s="67">
        <v>5658.82</v>
      </c>
      <c r="EZ852" s="67" t="s">
        <v>6833</v>
      </c>
      <c r="FA852" s="67">
        <v>20009.351999999999</v>
      </c>
      <c r="FB852" s="67" t="s">
        <v>6834</v>
      </c>
      <c r="FC852" s="67" t="s">
        <v>6835</v>
      </c>
      <c r="FD852" s="67" t="s">
        <v>6836</v>
      </c>
      <c r="FE852" s="68" t="s">
        <v>6837</v>
      </c>
      <c r="FF852" s="68" t="s">
        <v>6838</v>
      </c>
    </row>
    <row r="853" spans="151:162" x14ac:dyDescent="0.2">
      <c r="EU853" s="67">
        <v>564.01900000000001</v>
      </c>
      <c r="EV853" s="67" t="s">
        <v>6839</v>
      </c>
      <c r="EW853" s="67">
        <v>486.61</v>
      </c>
      <c r="EX853" s="67" t="s">
        <v>6840</v>
      </c>
      <c r="EY853" s="67">
        <v>5657.72</v>
      </c>
      <c r="EZ853" s="67" t="s">
        <v>6841</v>
      </c>
      <c r="FA853" s="67">
        <v>20004.195</v>
      </c>
      <c r="FB853" s="67" t="s">
        <v>6842</v>
      </c>
      <c r="FC853" s="67" t="s">
        <v>6843</v>
      </c>
      <c r="FD853" s="67" t="s">
        <v>6844</v>
      </c>
      <c r="FE853" s="68" t="s">
        <v>6845</v>
      </c>
      <c r="FF853" s="68" t="s">
        <v>6846</v>
      </c>
    </row>
    <row r="854" spans="151:162" x14ac:dyDescent="0.2">
      <c r="EU854" s="67">
        <v>564.41499999999996</v>
      </c>
      <c r="EV854" s="67" t="s">
        <v>6847</v>
      </c>
      <c r="EW854" s="67">
        <v>487.16</v>
      </c>
      <c r="EX854" s="67" t="s">
        <v>6848</v>
      </c>
      <c r="EY854" s="67">
        <v>5662.14</v>
      </c>
      <c r="EZ854" s="67" t="s">
        <v>6849</v>
      </c>
      <c r="FA854" s="67">
        <v>20024.773000000001</v>
      </c>
      <c r="FB854" s="67" t="s">
        <v>6850</v>
      </c>
      <c r="FC854" s="67" t="s">
        <v>6851</v>
      </c>
      <c r="FD854" s="67" t="s">
        <v>6852</v>
      </c>
      <c r="FE854" s="68" t="s">
        <v>6853</v>
      </c>
      <c r="FF854" s="68" t="s">
        <v>6854</v>
      </c>
    </row>
    <row r="855" spans="151:162" x14ac:dyDescent="0.2">
      <c r="EU855" s="67">
        <v>564.55999999999995</v>
      </c>
      <c r="EV855" s="67" t="s">
        <v>6855</v>
      </c>
      <c r="EW855" s="67">
        <v>487.36</v>
      </c>
      <c r="EX855" s="67" t="s">
        <v>6856</v>
      </c>
      <c r="EY855" s="67">
        <v>5663.3</v>
      </c>
      <c r="EZ855" s="67" t="s">
        <v>6857</v>
      </c>
      <c r="FA855" s="67">
        <v>20033.138999999999</v>
      </c>
      <c r="FB855" s="67" t="s">
        <v>6858</v>
      </c>
      <c r="FC855" s="67" t="s">
        <v>6859</v>
      </c>
      <c r="FD855" s="67" t="s">
        <v>6860</v>
      </c>
      <c r="FE855" s="68" t="s">
        <v>6861</v>
      </c>
      <c r="FF855" s="68" t="s">
        <v>6862</v>
      </c>
    </row>
    <row r="856" spans="151:162" x14ac:dyDescent="0.2">
      <c r="EU856" s="67">
        <v>564.64</v>
      </c>
      <c r="EV856" s="67" t="s">
        <v>6863</v>
      </c>
      <c r="EW856" s="67">
        <v>487.45499999999998</v>
      </c>
      <c r="EX856" s="67" t="s">
        <v>6864</v>
      </c>
      <c r="EY856" s="67">
        <v>5664.02</v>
      </c>
      <c r="EZ856" s="67" t="s">
        <v>6865</v>
      </c>
      <c r="FA856" s="67">
        <v>20038.348000000002</v>
      </c>
      <c r="FB856" s="67" t="s">
        <v>6866</v>
      </c>
      <c r="FC856" s="67" t="s">
        <v>6867</v>
      </c>
      <c r="FD856" s="67" t="s">
        <v>6868</v>
      </c>
      <c r="FE856" s="68" t="s">
        <v>6869</v>
      </c>
      <c r="FF856" s="68" t="s">
        <v>6870</v>
      </c>
    </row>
    <row r="857" spans="151:162" x14ac:dyDescent="0.2">
      <c r="EU857" s="67">
        <v>564.63099999999997</v>
      </c>
      <c r="EV857" s="67" t="s">
        <v>6871</v>
      </c>
      <c r="EW857" s="67">
        <v>487.49</v>
      </c>
      <c r="EX857" s="67" t="s">
        <v>6872</v>
      </c>
      <c r="EY857" s="67">
        <v>5663.98</v>
      </c>
      <c r="EZ857" s="67" t="s">
        <v>6873</v>
      </c>
      <c r="FA857" s="67">
        <v>20039.227999999999</v>
      </c>
      <c r="FB857" s="67" t="s">
        <v>6874</v>
      </c>
      <c r="FC857" s="67" t="s">
        <v>6875</v>
      </c>
      <c r="FD857" s="67" t="s">
        <v>6876</v>
      </c>
      <c r="FE857" s="68" t="s">
        <v>6877</v>
      </c>
      <c r="FF857" s="68" t="s">
        <v>6878</v>
      </c>
    </row>
    <row r="858" spans="151:162" x14ac:dyDescent="0.2">
      <c r="EU858" s="67">
        <v>564.33000000000004</v>
      </c>
      <c r="EV858" s="67" t="s">
        <v>6879</v>
      </c>
      <c r="EW858" s="67">
        <v>487.03500000000003</v>
      </c>
      <c r="EX858" s="67" t="s">
        <v>6880</v>
      </c>
      <c r="EY858" s="67">
        <v>5660.89</v>
      </c>
      <c r="EZ858" s="67" t="s">
        <v>6881</v>
      </c>
      <c r="FA858" s="67">
        <v>20023.331999999999</v>
      </c>
      <c r="FB858" s="67" t="s">
        <v>6882</v>
      </c>
      <c r="FC858" s="67" t="s">
        <v>6883</v>
      </c>
      <c r="FD858" s="67" t="s">
        <v>6884</v>
      </c>
      <c r="FE858" s="68" t="s">
        <v>6885</v>
      </c>
      <c r="FF858" s="68" t="s">
        <v>6886</v>
      </c>
    </row>
    <row r="859" spans="151:162" x14ac:dyDescent="0.2">
      <c r="EU859" s="67">
        <v>564.22</v>
      </c>
      <c r="EV859" s="67" t="s">
        <v>6887</v>
      </c>
      <c r="EW859" s="67">
        <v>486.93</v>
      </c>
      <c r="EX859" s="67" t="s">
        <v>6888</v>
      </c>
      <c r="EY859" s="67">
        <v>5659.68</v>
      </c>
      <c r="EZ859" s="67" t="s">
        <v>6889</v>
      </c>
      <c r="FA859" s="67">
        <v>20016.161</v>
      </c>
      <c r="FB859" s="67" t="s">
        <v>6890</v>
      </c>
      <c r="FC859" s="67" t="s">
        <v>6891</v>
      </c>
      <c r="FD859" s="67" t="s">
        <v>6892</v>
      </c>
      <c r="FE859" s="68" t="s">
        <v>6893</v>
      </c>
      <c r="FF859" s="68" t="s">
        <v>6894</v>
      </c>
    </row>
    <row r="860" spans="151:162" x14ac:dyDescent="0.2">
      <c r="EU860" s="67">
        <v>563.91</v>
      </c>
      <c r="EV860" s="67" t="s">
        <v>6895</v>
      </c>
      <c r="EW860" s="67">
        <v>486.69</v>
      </c>
      <c r="EX860" s="67" t="s">
        <v>6896</v>
      </c>
      <c r="EY860" s="67">
        <v>5657.24</v>
      </c>
      <c r="EZ860" s="67" t="s">
        <v>6897</v>
      </c>
      <c r="FA860" s="67">
        <v>20009.743999999999</v>
      </c>
      <c r="FB860" s="67" t="s">
        <v>6898</v>
      </c>
      <c r="FC860" s="67" t="s">
        <v>6899</v>
      </c>
      <c r="FD860" s="67" t="s">
        <v>6900</v>
      </c>
      <c r="FE860" s="68" t="s">
        <v>6901</v>
      </c>
      <c r="FF860" s="68" t="s">
        <v>6902</v>
      </c>
    </row>
    <row r="861" spans="151:162" x14ac:dyDescent="0.2">
      <c r="EU861" s="67">
        <v>563.255</v>
      </c>
      <c r="EV861" s="67" t="s">
        <v>6903</v>
      </c>
      <c r="EW861" s="67">
        <v>486.03</v>
      </c>
      <c r="EX861" s="67" t="s">
        <v>6904</v>
      </c>
      <c r="EY861" s="67">
        <v>5650.61</v>
      </c>
      <c r="EZ861" s="67" t="s">
        <v>6905</v>
      </c>
      <c r="FA861" s="67">
        <v>19982.118999999999</v>
      </c>
      <c r="FB861" s="67" t="s">
        <v>6906</v>
      </c>
      <c r="FC861" s="67" t="s">
        <v>6907</v>
      </c>
      <c r="FD861" s="67" t="s">
        <v>6908</v>
      </c>
      <c r="FE861" s="68" t="s">
        <v>6909</v>
      </c>
      <c r="FF861" s="68" t="s">
        <v>6910</v>
      </c>
    </row>
    <row r="862" spans="151:162" x14ac:dyDescent="0.2">
      <c r="EU862" s="67">
        <v>563.40599999999995</v>
      </c>
      <c r="EV862" s="67" t="s">
        <v>6911</v>
      </c>
      <c r="EW862" s="67">
        <v>486.15</v>
      </c>
      <c r="EX862" s="67" t="s">
        <v>6912</v>
      </c>
      <c r="EY862" s="67">
        <v>5651.16</v>
      </c>
      <c r="EZ862" s="67" t="s">
        <v>6913</v>
      </c>
      <c r="FA862" s="67">
        <v>19982.41</v>
      </c>
      <c r="FB862" s="67" t="s">
        <v>6914</v>
      </c>
      <c r="FC862" s="67" t="s">
        <v>6915</v>
      </c>
      <c r="FD862" s="67" t="s">
        <v>6916</v>
      </c>
      <c r="FE862" s="68" t="s">
        <v>6917</v>
      </c>
      <c r="FF862" s="68" t="s">
        <v>6918</v>
      </c>
    </row>
    <row r="863" spans="151:162" x14ac:dyDescent="0.2">
      <c r="EU863" s="67">
        <v>563.23</v>
      </c>
      <c r="EV863" s="67" t="s">
        <v>6919</v>
      </c>
      <c r="EW863" s="67">
        <v>486.1</v>
      </c>
      <c r="EX863" s="67" t="s">
        <v>6920</v>
      </c>
      <c r="EY863" s="67">
        <v>5650.42</v>
      </c>
      <c r="EZ863" s="67" t="s">
        <v>6921</v>
      </c>
      <c r="FA863" s="67">
        <v>19983.722000000002</v>
      </c>
      <c r="FB863" s="67" t="s">
        <v>6922</v>
      </c>
      <c r="FC863" s="67" t="s">
        <v>6923</v>
      </c>
      <c r="FD863" s="67" t="s">
        <v>6924</v>
      </c>
      <c r="FE863" s="68" t="s">
        <v>6925</v>
      </c>
      <c r="FF863" s="68" t="s">
        <v>6926</v>
      </c>
    </row>
    <row r="864" spans="151:162" x14ac:dyDescent="0.2">
      <c r="EU864" s="67">
        <v>563.27</v>
      </c>
      <c r="EV864" s="67" t="s">
        <v>6927</v>
      </c>
      <c r="EW864" s="67">
        <v>486.23</v>
      </c>
      <c r="EX864" s="67" t="s">
        <v>6928</v>
      </c>
      <c r="EY864" s="67">
        <v>5650.67</v>
      </c>
      <c r="EZ864" s="67" t="s">
        <v>6929</v>
      </c>
      <c r="FA864" s="67">
        <v>19988.704000000002</v>
      </c>
      <c r="FB864" s="67" t="s">
        <v>6930</v>
      </c>
      <c r="FC864" s="67" t="s">
        <v>6931</v>
      </c>
      <c r="FD864" s="67" t="s">
        <v>6932</v>
      </c>
      <c r="FE864" s="68" t="s">
        <v>6933</v>
      </c>
      <c r="FF864" s="68" t="s">
        <v>6934</v>
      </c>
    </row>
    <row r="865" spans="151:162" x14ac:dyDescent="0.2">
      <c r="EU865" s="67">
        <v>562.45000000000005</v>
      </c>
      <c r="EV865" s="67" t="s">
        <v>6935</v>
      </c>
      <c r="EW865" s="67">
        <v>485.36</v>
      </c>
      <c r="EX865" s="67" t="s">
        <v>6936</v>
      </c>
      <c r="EY865" s="67">
        <v>5642.05</v>
      </c>
      <c r="EZ865" s="67" t="s">
        <v>6937</v>
      </c>
      <c r="FA865" s="67">
        <v>19954.409</v>
      </c>
      <c r="FB865" s="67" t="s">
        <v>6938</v>
      </c>
      <c r="FC865" s="67" t="s">
        <v>6939</v>
      </c>
      <c r="FD865" s="67" t="s">
        <v>6940</v>
      </c>
      <c r="FE865" s="68" t="s">
        <v>6941</v>
      </c>
      <c r="FF865" s="68" t="s">
        <v>6942</v>
      </c>
    </row>
    <row r="866" spans="151:162" x14ac:dyDescent="0.2">
      <c r="EU866" s="67">
        <v>562.75400000000002</v>
      </c>
      <c r="EV866" s="67" t="s">
        <v>6943</v>
      </c>
      <c r="EW866" s="67">
        <v>485.63499999999999</v>
      </c>
      <c r="EX866" s="67" t="s">
        <v>6944</v>
      </c>
      <c r="EY866" s="67">
        <v>5644.65</v>
      </c>
      <c r="EZ866" s="67" t="s">
        <v>6945</v>
      </c>
      <c r="FA866" s="67">
        <v>19963.063999999998</v>
      </c>
      <c r="FB866" s="67" t="s">
        <v>6946</v>
      </c>
      <c r="FC866" s="67" t="s">
        <v>6947</v>
      </c>
      <c r="FD866" s="67" t="s">
        <v>6948</v>
      </c>
      <c r="FE866" s="68" t="s">
        <v>6949</v>
      </c>
      <c r="FF866" s="68" t="s">
        <v>6950</v>
      </c>
    </row>
    <row r="867" spans="151:162" x14ac:dyDescent="0.2">
      <c r="EU867" s="67">
        <v>563.03599999999994</v>
      </c>
      <c r="EV867" s="67" t="s">
        <v>6951</v>
      </c>
      <c r="EW867" s="67">
        <v>485.9</v>
      </c>
      <c r="EX867" s="67" t="s">
        <v>6952</v>
      </c>
      <c r="EY867" s="67">
        <v>5647.46</v>
      </c>
      <c r="EZ867" s="67" t="s">
        <v>6953</v>
      </c>
      <c r="FA867" s="67">
        <v>19971.154999999999</v>
      </c>
      <c r="FB867" s="67" t="s">
        <v>6954</v>
      </c>
      <c r="FC867" s="67" t="s">
        <v>6955</v>
      </c>
      <c r="FD867" s="67" t="s">
        <v>6956</v>
      </c>
      <c r="FE867" s="68" t="s">
        <v>6957</v>
      </c>
      <c r="FF867" s="68" t="s">
        <v>6958</v>
      </c>
    </row>
    <row r="868" spans="151:162" x14ac:dyDescent="0.2">
      <c r="EU868" s="67">
        <v>562.86</v>
      </c>
      <c r="EV868" s="67" t="s">
        <v>6959</v>
      </c>
      <c r="EW868" s="67">
        <v>485.67500000000001</v>
      </c>
      <c r="EX868" s="67" t="s">
        <v>6960</v>
      </c>
      <c r="EY868" s="67">
        <v>5645.77</v>
      </c>
      <c r="EZ868" s="67" t="s">
        <v>6961</v>
      </c>
      <c r="FA868" s="67">
        <v>19964.205999999998</v>
      </c>
      <c r="FB868" s="67" t="s">
        <v>6962</v>
      </c>
      <c r="FC868" s="67" t="s">
        <v>6963</v>
      </c>
      <c r="FD868" s="67" t="s">
        <v>6964</v>
      </c>
      <c r="FE868" s="68" t="s">
        <v>6965</v>
      </c>
      <c r="FF868" s="68" t="s">
        <v>6966</v>
      </c>
    </row>
    <row r="869" spans="151:162" x14ac:dyDescent="0.2">
      <c r="EU869" s="67">
        <v>563.08000000000004</v>
      </c>
      <c r="EV869" s="67" t="s">
        <v>6967</v>
      </c>
      <c r="EW869" s="67">
        <v>485.78</v>
      </c>
      <c r="EX869" s="67" t="s">
        <v>6968</v>
      </c>
      <c r="EY869" s="67">
        <v>5647.62</v>
      </c>
      <c r="EZ869" s="67" t="s">
        <v>6969</v>
      </c>
      <c r="FA869" s="67">
        <v>19966.509999999998</v>
      </c>
      <c r="FB869" s="67" t="s">
        <v>6970</v>
      </c>
      <c r="FC869" s="67" t="s">
        <v>6971</v>
      </c>
      <c r="FD869" s="67" t="s">
        <v>6972</v>
      </c>
      <c r="FE869" s="68" t="s">
        <v>6973</v>
      </c>
      <c r="FF869" s="68" t="s">
        <v>6974</v>
      </c>
    </row>
    <row r="870" spans="151:162" x14ac:dyDescent="0.2">
      <c r="EU870" s="67">
        <v>563.27</v>
      </c>
      <c r="EV870" s="67" t="s">
        <v>6975</v>
      </c>
      <c r="EW870" s="67">
        <v>485.9</v>
      </c>
      <c r="EX870" s="67" t="s">
        <v>6976</v>
      </c>
      <c r="EY870" s="67">
        <v>5650.04</v>
      </c>
      <c r="EZ870" s="67" t="s">
        <v>6977</v>
      </c>
      <c r="FA870" s="67">
        <v>19971.953000000001</v>
      </c>
      <c r="FB870" s="67" t="s">
        <v>6978</v>
      </c>
      <c r="FC870" s="67" t="s">
        <v>6979</v>
      </c>
      <c r="FD870" s="67" t="s">
        <v>6980</v>
      </c>
      <c r="FE870" s="68" t="s">
        <v>6981</v>
      </c>
      <c r="FF870" s="68" t="s">
        <v>6982</v>
      </c>
    </row>
    <row r="871" spans="151:162" x14ac:dyDescent="0.2">
      <c r="EU871" s="67">
        <v>563.48800000000006</v>
      </c>
      <c r="EV871" s="67" t="s">
        <v>6983</v>
      </c>
      <c r="EW871" s="67">
        <v>486.18</v>
      </c>
      <c r="EX871" s="67" t="s">
        <v>6984</v>
      </c>
      <c r="EY871" s="67">
        <v>5652.22</v>
      </c>
      <c r="EZ871" s="67" t="s">
        <v>6985</v>
      </c>
      <c r="FA871" s="67">
        <v>19983.458999999999</v>
      </c>
      <c r="FB871" s="67" t="s">
        <v>6986</v>
      </c>
      <c r="FC871" s="67" t="s">
        <v>6987</v>
      </c>
      <c r="FD871" s="67" t="s">
        <v>6988</v>
      </c>
      <c r="FE871" s="68" t="s">
        <v>6989</v>
      </c>
      <c r="FF871" s="68" t="s">
        <v>6990</v>
      </c>
    </row>
    <row r="872" spans="151:162" x14ac:dyDescent="0.2">
      <c r="EU872" s="67">
        <v>563.24</v>
      </c>
      <c r="EV872" s="67" t="s">
        <v>6991</v>
      </c>
      <c r="EW872" s="67">
        <v>485.89</v>
      </c>
      <c r="EX872" s="67" t="s">
        <v>6992</v>
      </c>
      <c r="EY872" s="67">
        <v>5649.73</v>
      </c>
      <c r="EZ872" s="67" t="s">
        <v>6993</v>
      </c>
      <c r="FA872" s="67">
        <v>19974.933000000001</v>
      </c>
      <c r="FB872" s="67" t="s">
        <v>6994</v>
      </c>
      <c r="FC872" s="67" t="s">
        <v>6995</v>
      </c>
      <c r="FD872" s="67" t="s">
        <v>6996</v>
      </c>
      <c r="FE872" s="68" t="s">
        <v>6997</v>
      </c>
      <c r="FF872" s="68" t="s">
        <v>6998</v>
      </c>
    </row>
    <row r="873" spans="151:162" x14ac:dyDescent="0.2">
      <c r="EU873" s="67">
        <v>563.66</v>
      </c>
      <c r="EV873" s="67" t="s">
        <v>6999</v>
      </c>
      <c r="EW873" s="67">
        <v>486.19</v>
      </c>
      <c r="EX873" s="67" t="s">
        <v>7000</v>
      </c>
      <c r="EY873" s="67">
        <v>5653.41</v>
      </c>
      <c r="EZ873" s="67" t="s">
        <v>7001</v>
      </c>
      <c r="FA873" s="67">
        <v>19982.663</v>
      </c>
      <c r="FB873" s="67" t="s">
        <v>7002</v>
      </c>
      <c r="FC873" s="67" t="s">
        <v>7003</v>
      </c>
      <c r="FD873" s="67" t="s">
        <v>7004</v>
      </c>
      <c r="FE873" s="68" t="s">
        <v>7005</v>
      </c>
      <c r="FF873" s="68" t="s">
        <v>7006</v>
      </c>
    </row>
    <row r="874" spans="151:162" x14ac:dyDescent="0.2">
      <c r="EU874" s="67">
        <v>563.75</v>
      </c>
      <c r="EV874" s="67" t="s">
        <v>7007</v>
      </c>
      <c r="EW874" s="67">
        <v>486.22</v>
      </c>
      <c r="EX874" s="67" t="s">
        <v>7008</v>
      </c>
      <c r="EY874" s="67">
        <v>5654.21</v>
      </c>
      <c r="EZ874" s="67" t="s">
        <v>7009</v>
      </c>
      <c r="FA874" s="67">
        <v>19984.278999999999</v>
      </c>
      <c r="FB874" s="67" t="s">
        <v>7010</v>
      </c>
      <c r="FC874" s="67" t="s">
        <v>7011</v>
      </c>
      <c r="FD874" s="67" t="s">
        <v>7012</v>
      </c>
      <c r="FE874" s="68" t="s">
        <v>7013</v>
      </c>
      <c r="FF874" s="68" t="s">
        <v>7014</v>
      </c>
    </row>
    <row r="875" spans="151:162" x14ac:dyDescent="0.2">
      <c r="EU875" s="67">
        <v>563.875</v>
      </c>
      <c r="EV875" s="67" t="s">
        <v>7015</v>
      </c>
      <c r="EW875" s="67">
        <v>486.29</v>
      </c>
      <c r="EX875" s="67" t="s">
        <v>7016</v>
      </c>
      <c r="EY875" s="67">
        <v>5655.69</v>
      </c>
      <c r="EZ875" s="67" t="s">
        <v>7017</v>
      </c>
      <c r="FA875" s="67">
        <v>19990.481</v>
      </c>
      <c r="FB875" s="67" t="s">
        <v>7018</v>
      </c>
      <c r="FC875" s="67" t="s">
        <v>7019</v>
      </c>
      <c r="FD875" s="67" t="s">
        <v>7020</v>
      </c>
      <c r="FE875" s="68" t="s">
        <v>7021</v>
      </c>
      <c r="FF875" s="68" t="s">
        <v>7022</v>
      </c>
    </row>
    <row r="876" spans="151:162" x14ac:dyDescent="0.2">
      <c r="EU876" s="67">
        <v>563.64</v>
      </c>
      <c r="EV876" s="67" t="s">
        <v>7023</v>
      </c>
      <c r="EW876" s="67">
        <v>485.91</v>
      </c>
      <c r="EX876" s="67" t="s">
        <v>7024</v>
      </c>
      <c r="EY876" s="67">
        <v>5654.42</v>
      </c>
      <c r="EZ876" s="67" t="s">
        <v>7025</v>
      </c>
      <c r="FA876" s="67">
        <v>19977.455000000002</v>
      </c>
      <c r="FB876" s="67" t="s">
        <v>7026</v>
      </c>
      <c r="FC876" s="67" t="s">
        <v>7027</v>
      </c>
      <c r="FD876" s="67" t="s">
        <v>7028</v>
      </c>
      <c r="FE876" s="68" t="s">
        <v>7029</v>
      </c>
      <c r="FF876" s="68" t="s">
        <v>7030</v>
      </c>
    </row>
    <row r="877" spans="151:162" x14ac:dyDescent="0.2">
      <c r="EU877" s="67">
        <v>563.9</v>
      </c>
      <c r="EV877" s="67" t="s">
        <v>7031</v>
      </c>
      <c r="EW877" s="67">
        <v>486.29500000000002</v>
      </c>
      <c r="EX877" s="67" t="s">
        <v>7032</v>
      </c>
      <c r="EY877" s="67">
        <v>5656.18</v>
      </c>
      <c r="EZ877" s="67" t="s">
        <v>7033</v>
      </c>
      <c r="FA877" s="67">
        <v>19985.735000000001</v>
      </c>
      <c r="FB877" s="67" t="s">
        <v>7034</v>
      </c>
      <c r="FC877" s="67" t="s">
        <v>7035</v>
      </c>
      <c r="FD877" s="67" t="s">
        <v>7036</v>
      </c>
      <c r="FE877" s="68" t="s">
        <v>7037</v>
      </c>
      <c r="FF877" s="68" t="s">
        <v>7038</v>
      </c>
    </row>
    <row r="878" spans="151:162" x14ac:dyDescent="0.2">
      <c r="EU878" s="67">
        <v>564.19000000000005</v>
      </c>
      <c r="EV878" s="67" t="s">
        <v>7039</v>
      </c>
      <c r="EW878" s="67">
        <v>486.59</v>
      </c>
      <c r="EX878" s="67" t="s">
        <v>7040</v>
      </c>
      <c r="EY878" s="67">
        <v>5658.91</v>
      </c>
      <c r="EZ878" s="67" t="s">
        <v>7041</v>
      </c>
      <c r="FA878" s="67">
        <v>19997.874</v>
      </c>
      <c r="FB878" s="67" t="s">
        <v>7042</v>
      </c>
      <c r="FC878" s="67" t="s">
        <v>7043</v>
      </c>
      <c r="FD878" s="67" t="s">
        <v>7044</v>
      </c>
      <c r="FE878" s="68" t="s">
        <v>7045</v>
      </c>
      <c r="FF878" s="68" t="s">
        <v>7046</v>
      </c>
    </row>
    <row r="879" spans="151:162" x14ac:dyDescent="0.2">
      <c r="EU879" s="67">
        <v>564.24</v>
      </c>
      <c r="EV879" s="67" t="s">
        <v>7048</v>
      </c>
      <c r="EW879" s="67">
        <v>486.59</v>
      </c>
      <c r="EX879" s="67" t="s">
        <v>7049</v>
      </c>
      <c r="EY879" s="67">
        <v>5659.97</v>
      </c>
      <c r="EZ879" s="67" t="s">
        <v>7050</v>
      </c>
      <c r="FA879" s="67">
        <v>20000.084999999999</v>
      </c>
      <c r="FB879" s="67" t="s">
        <v>7051</v>
      </c>
      <c r="FC879" s="67" t="s">
        <v>7052</v>
      </c>
      <c r="FD879" s="67" t="s">
        <v>7053</v>
      </c>
      <c r="FE879" s="68" t="s">
        <v>7054</v>
      </c>
      <c r="FF879" s="68" t="s">
        <v>7055</v>
      </c>
    </row>
    <row r="880" spans="151:162" x14ac:dyDescent="0.2">
      <c r="EU880" s="67">
        <v>564.47</v>
      </c>
      <c r="EV880" s="67" t="s">
        <v>7056</v>
      </c>
      <c r="EW880" s="67">
        <v>486.79</v>
      </c>
      <c r="EX880" s="67" t="s">
        <v>7057</v>
      </c>
      <c r="EY880" s="67">
        <v>5661.69</v>
      </c>
      <c r="EZ880" s="67" t="s">
        <v>7058</v>
      </c>
      <c r="FA880" s="67">
        <v>20006.010999999999</v>
      </c>
      <c r="FB880" s="67" t="s">
        <v>7059</v>
      </c>
      <c r="FC880" s="67" t="s">
        <v>7060</v>
      </c>
      <c r="FD880" s="67" t="s">
        <v>7061</v>
      </c>
      <c r="FE880" s="68" t="s">
        <v>7062</v>
      </c>
      <c r="FF880" s="68" t="s">
        <v>7063</v>
      </c>
    </row>
    <row r="881" spans="151:162" x14ac:dyDescent="0.2">
      <c r="EU881" s="67">
        <v>564.21500000000003</v>
      </c>
      <c r="EV881" s="67" t="s">
        <v>7064</v>
      </c>
      <c r="EW881" s="67">
        <v>486.55</v>
      </c>
      <c r="EX881" s="67" t="s">
        <v>7065</v>
      </c>
      <c r="EY881" s="67">
        <v>5659.61</v>
      </c>
      <c r="EZ881" s="67" t="s">
        <v>7066</v>
      </c>
      <c r="FA881" s="67">
        <v>19998.084999999999</v>
      </c>
      <c r="FB881" s="67" t="s">
        <v>7067</v>
      </c>
      <c r="FC881" s="67" t="s">
        <v>7068</v>
      </c>
      <c r="FD881" s="67" t="s">
        <v>7069</v>
      </c>
      <c r="FE881" s="68" t="s">
        <v>7070</v>
      </c>
      <c r="FF881" s="68" t="s">
        <v>7071</v>
      </c>
    </row>
    <row r="882" spans="151:162" x14ac:dyDescent="0.2">
      <c r="EU882" s="67">
        <v>564.30999999999995</v>
      </c>
      <c r="EV882" s="67" t="s">
        <v>7072</v>
      </c>
      <c r="EW882" s="67">
        <v>486.7</v>
      </c>
      <c r="EX882" s="67" t="s">
        <v>7073</v>
      </c>
      <c r="EY882" s="67">
        <v>5660.96</v>
      </c>
      <c r="EZ882" s="67" t="s">
        <v>7074</v>
      </c>
      <c r="FA882" s="67">
        <v>20004.382000000001</v>
      </c>
      <c r="FB882" s="67" t="s">
        <v>7075</v>
      </c>
      <c r="FC882" s="67" t="s">
        <v>7076</v>
      </c>
      <c r="FD882" s="67" t="s">
        <v>7077</v>
      </c>
      <c r="FE882" s="68" t="s">
        <v>7078</v>
      </c>
      <c r="FF882" s="68" t="s">
        <v>7079</v>
      </c>
    </row>
    <row r="883" spans="151:162" x14ac:dyDescent="0.2">
      <c r="EU883" s="67">
        <v>564.47</v>
      </c>
      <c r="EV883" s="67" t="s">
        <v>7080</v>
      </c>
      <c r="EW883" s="67">
        <v>486.82</v>
      </c>
      <c r="EX883" s="67" t="s">
        <v>7081</v>
      </c>
      <c r="EY883" s="67">
        <v>5661.79</v>
      </c>
      <c r="EZ883" s="67" t="s">
        <v>7082</v>
      </c>
      <c r="FA883" s="67">
        <v>20009.475999999999</v>
      </c>
      <c r="FB883" s="67" t="s">
        <v>7083</v>
      </c>
      <c r="FC883" s="67" t="s">
        <v>7084</v>
      </c>
      <c r="FD883" s="67" t="s">
        <v>7085</v>
      </c>
      <c r="FE883" s="68" t="s">
        <v>7086</v>
      </c>
      <c r="FF883" s="68" t="s">
        <v>7087</v>
      </c>
    </row>
    <row r="884" spans="151:162" x14ac:dyDescent="0.2">
      <c r="EU884" s="67">
        <v>564.44000000000005</v>
      </c>
      <c r="EV884" s="67" t="s">
        <v>7088</v>
      </c>
      <c r="EW884" s="67">
        <v>486.8</v>
      </c>
      <c r="EX884" s="67" t="s">
        <v>7089</v>
      </c>
      <c r="EY884" s="67">
        <v>5661.48</v>
      </c>
      <c r="EZ884" s="67" t="s">
        <v>7090</v>
      </c>
      <c r="FA884" s="67">
        <v>20007.07</v>
      </c>
      <c r="FB884" s="67" t="s">
        <v>7091</v>
      </c>
      <c r="FC884" s="67" t="s">
        <v>7092</v>
      </c>
      <c r="FD884" s="67" t="s">
        <v>7093</v>
      </c>
      <c r="FE884" s="68" t="s">
        <v>7094</v>
      </c>
      <c r="FF884" s="68" t="s">
        <v>7095</v>
      </c>
    </row>
    <row r="885" spans="151:162" x14ac:dyDescent="0.2">
      <c r="EU885" s="67">
        <v>564.81500000000005</v>
      </c>
      <c r="EV885" s="67" t="s">
        <v>7096</v>
      </c>
      <c r="EW885" s="67">
        <v>487.08</v>
      </c>
      <c r="EX885" s="67" t="s">
        <v>7097</v>
      </c>
      <c r="EY885" s="67">
        <v>5665</v>
      </c>
      <c r="EZ885" s="67" t="s">
        <v>7098</v>
      </c>
      <c r="FA885" s="67">
        <v>20019.09</v>
      </c>
      <c r="FB885" s="67" t="s">
        <v>7099</v>
      </c>
      <c r="FC885" s="67" t="s">
        <v>7100</v>
      </c>
      <c r="FD885" s="67" t="s">
        <v>7101</v>
      </c>
      <c r="FE885" s="68" t="s">
        <v>7102</v>
      </c>
      <c r="FF885" s="68" t="s">
        <v>7103</v>
      </c>
    </row>
    <row r="886" spans="151:162" x14ac:dyDescent="0.2">
      <c r="EU886" s="67">
        <v>565</v>
      </c>
      <c r="EV886" s="67" t="s">
        <v>7104</v>
      </c>
      <c r="EW886" s="67">
        <v>487.23</v>
      </c>
      <c r="EX886" s="67" t="s">
        <v>7105</v>
      </c>
      <c r="EY886" s="67">
        <v>5666.84</v>
      </c>
      <c r="EZ886" s="67" t="s">
        <v>7106</v>
      </c>
      <c r="FA886" s="67">
        <v>20023.072</v>
      </c>
      <c r="FB886" s="67" t="s">
        <v>7107</v>
      </c>
      <c r="FC886" s="67" t="s">
        <v>7108</v>
      </c>
      <c r="FD886" s="67" t="s">
        <v>7109</v>
      </c>
      <c r="FE886" s="68" t="s">
        <v>7110</v>
      </c>
      <c r="FF886" s="68" t="s">
        <v>7111</v>
      </c>
    </row>
    <row r="887" spans="151:162" x14ac:dyDescent="0.2">
      <c r="EU887" s="67">
        <v>564.91</v>
      </c>
      <c r="EV887" s="67" t="s">
        <v>7112</v>
      </c>
      <c r="EW887" s="67">
        <v>487.23</v>
      </c>
      <c r="EX887" s="67" t="s">
        <v>7113</v>
      </c>
      <c r="EY887" s="67">
        <v>5667.09</v>
      </c>
      <c r="EZ887" s="67" t="s">
        <v>7114</v>
      </c>
      <c r="FA887" s="67">
        <v>20027.371999999999</v>
      </c>
      <c r="FB887" s="67" t="s">
        <v>7115</v>
      </c>
      <c r="FC887" s="67" t="s">
        <v>7116</v>
      </c>
      <c r="FD887" s="67" t="s">
        <v>7117</v>
      </c>
      <c r="FE887" s="68" t="s">
        <v>7118</v>
      </c>
      <c r="FF887" s="68" t="s">
        <v>7119</v>
      </c>
    </row>
    <row r="888" spans="151:162" x14ac:dyDescent="0.2">
      <c r="EU888" s="67">
        <v>564.63</v>
      </c>
      <c r="EV888" s="67" t="s">
        <v>7120</v>
      </c>
      <c r="EW888" s="67">
        <v>486.91</v>
      </c>
      <c r="EX888" s="67" t="s">
        <v>7121</v>
      </c>
      <c r="EY888" s="67">
        <v>5663.7</v>
      </c>
      <c r="EZ888" s="67" t="s">
        <v>7122</v>
      </c>
      <c r="FA888" s="67">
        <v>20015.776999999998</v>
      </c>
      <c r="FB888" s="67" t="s">
        <v>7123</v>
      </c>
      <c r="FC888" s="67" t="s">
        <v>7124</v>
      </c>
      <c r="FD888" s="67" t="s">
        <v>7125</v>
      </c>
      <c r="FE888" s="68" t="s">
        <v>7126</v>
      </c>
      <c r="FF888" s="68" t="s">
        <v>7127</v>
      </c>
    </row>
    <row r="889" spans="151:162" x14ac:dyDescent="0.2">
      <c r="EU889" s="67">
        <v>564.19000000000005</v>
      </c>
      <c r="EV889" s="67" t="s">
        <v>7128</v>
      </c>
      <c r="EW889" s="67">
        <v>486.49</v>
      </c>
      <c r="EX889" s="67" t="s">
        <v>7129</v>
      </c>
      <c r="EY889" s="67">
        <v>5659.57</v>
      </c>
      <c r="EZ889" s="67" t="s">
        <v>7130</v>
      </c>
      <c r="FA889" s="67">
        <v>19997.819</v>
      </c>
      <c r="FB889" s="67" t="s">
        <v>7131</v>
      </c>
      <c r="FC889" s="67" t="s">
        <v>7132</v>
      </c>
      <c r="FD889" s="67" t="s">
        <v>7133</v>
      </c>
      <c r="FE889" s="68" t="s">
        <v>7134</v>
      </c>
      <c r="FF889" s="68" t="s">
        <v>7135</v>
      </c>
    </row>
    <row r="890" spans="151:162" x14ac:dyDescent="0.2">
      <c r="EU890" s="67">
        <v>564.07000000000005</v>
      </c>
      <c r="EV890" s="67" t="s">
        <v>7136</v>
      </c>
      <c r="EW890" s="67">
        <v>486.505</v>
      </c>
      <c r="EX890" s="67" t="s">
        <v>7137</v>
      </c>
      <c r="EY890" s="67">
        <v>5657.7</v>
      </c>
      <c r="EZ890" s="67" t="s">
        <v>7138</v>
      </c>
      <c r="FA890" s="67">
        <v>19993.702000000001</v>
      </c>
      <c r="FB890" s="67" t="s">
        <v>7139</v>
      </c>
      <c r="FC890" s="67" t="s">
        <v>7140</v>
      </c>
      <c r="FD890" s="67" t="s">
        <v>7141</v>
      </c>
      <c r="FE890" s="68" t="s">
        <v>7142</v>
      </c>
      <c r="FF890" s="68" t="s">
        <v>7143</v>
      </c>
    </row>
    <row r="891" spans="151:162" x14ac:dyDescent="0.2">
      <c r="EU891" s="67">
        <v>563.94000000000005</v>
      </c>
      <c r="EV891" s="67" t="s">
        <v>7144</v>
      </c>
      <c r="EW891" s="67">
        <v>486.38</v>
      </c>
      <c r="EX891" s="67" t="s">
        <v>7145</v>
      </c>
      <c r="EY891" s="67">
        <v>5656.5</v>
      </c>
      <c r="EZ891" s="67" t="s">
        <v>7146</v>
      </c>
      <c r="FA891" s="67">
        <v>19989.585999999999</v>
      </c>
      <c r="FB891" s="67" t="s">
        <v>7147</v>
      </c>
      <c r="FC891" s="67" t="s">
        <v>7148</v>
      </c>
      <c r="FD891" s="67" t="s">
        <v>7149</v>
      </c>
      <c r="FE891" s="68" t="s">
        <v>7150</v>
      </c>
      <c r="FF891" s="68" t="s">
        <v>7151</v>
      </c>
    </row>
    <row r="892" spans="151:162" x14ac:dyDescent="0.2">
      <c r="EU892" s="67">
        <v>563.76</v>
      </c>
      <c r="EV892" s="67" t="s">
        <v>7152</v>
      </c>
      <c r="EW892" s="67">
        <v>486.22399999999999</v>
      </c>
      <c r="EX892" s="67" t="s">
        <v>7153</v>
      </c>
      <c r="EY892" s="67">
        <v>5655.49</v>
      </c>
      <c r="EZ892" s="67" t="s">
        <v>7154</v>
      </c>
      <c r="FA892" s="67">
        <v>19987.376</v>
      </c>
      <c r="FB892" s="67" t="s">
        <v>7155</v>
      </c>
      <c r="FC892" s="67" t="s">
        <v>7156</v>
      </c>
      <c r="FD892" s="67" t="s">
        <v>7157</v>
      </c>
      <c r="FE892" s="68" t="s">
        <v>7158</v>
      </c>
      <c r="FF892" s="68" t="s">
        <v>7159</v>
      </c>
    </row>
    <row r="893" spans="151:162" x14ac:dyDescent="0.2">
      <c r="EU893" s="67">
        <v>563.92600000000004</v>
      </c>
      <c r="EV893" s="67" t="s">
        <v>7160</v>
      </c>
      <c r="EW893" s="67">
        <v>486.45</v>
      </c>
      <c r="EX893" s="67" t="s">
        <v>7161</v>
      </c>
      <c r="EY893" s="67">
        <v>5655.88</v>
      </c>
      <c r="EZ893" s="67" t="s">
        <v>7162</v>
      </c>
      <c r="FA893" s="67">
        <v>19991.888999999999</v>
      </c>
      <c r="FB893" s="67" t="s">
        <v>7163</v>
      </c>
      <c r="FC893" s="67" t="s">
        <v>7164</v>
      </c>
      <c r="FD893" s="67" t="s">
        <v>7165</v>
      </c>
      <c r="FE893" s="68" t="s">
        <v>7166</v>
      </c>
      <c r="FF893" s="68" t="s">
        <v>7167</v>
      </c>
    </row>
    <row r="894" spans="151:162" x14ac:dyDescent="0.2">
      <c r="EU894" s="67">
        <v>563.9</v>
      </c>
      <c r="EV894" s="67" t="s">
        <v>7168</v>
      </c>
      <c r="EW894" s="67">
        <v>486.39</v>
      </c>
      <c r="EX894" s="67" t="s">
        <v>7169</v>
      </c>
      <c r="EY894" s="67">
        <v>5656.4</v>
      </c>
      <c r="EZ894" s="67" t="s">
        <v>7170</v>
      </c>
      <c r="FA894" s="67">
        <v>19994.272000000001</v>
      </c>
      <c r="FB894" s="67" t="s">
        <v>7171</v>
      </c>
      <c r="FC894" s="67" t="s">
        <v>7172</v>
      </c>
      <c r="FD894" s="67" t="s">
        <v>7173</v>
      </c>
      <c r="FE894" s="68" t="s">
        <v>7174</v>
      </c>
      <c r="FF894" s="68" t="s">
        <v>7175</v>
      </c>
    </row>
    <row r="895" spans="151:162" x14ac:dyDescent="0.2">
      <c r="EU895" s="67">
        <v>563.78</v>
      </c>
      <c r="EV895" s="67" t="s">
        <v>7176</v>
      </c>
      <c r="EW895" s="67">
        <v>486.25</v>
      </c>
      <c r="EX895" s="67" t="s">
        <v>7177</v>
      </c>
      <c r="EY895" s="67">
        <v>5655.15</v>
      </c>
      <c r="EZ895" s="67" t="s">
        <v>7178</v>
      </c>
      <c r="FA895" s="67">
        <v>19985.004000000001</v>
      </c>
      <c r="FB895" s="67" t="s">
        <v>7179</v>
      </c>
      <c r="FC895" s="67" t="s">
        <v>7180</v>
      </c>
      <c r="FD895" s="67" t="s">
        <v>7181</v>
      </c>
      <c r="FE895" s="68" t="s">
        <v>7182</v>
      </c>
      <c r="FF895" s="68" t="s">
        <v>7183</v>
      </c>
    </row>
    <row r="896" spans="151:162" x14ac:dyDescent="0.2">
      <c r="EU896" s="67">
        <v>563.69000000000005</v>
      </c>
      <c r="EV896" s="67" t="s">
        <v>7184</v>
      </c>
      <c r="EW896" s="67">
        <v>486.05</v>
      </c>
      <c r="EX896" s="67" t="s">
        <v>7185</v>
      </c>
      <c r="EY896" s="67">
        <v>5653.79</v>
      </c>
      <c r="EZ896" s="67" t="s">
        <v>7186</v>
      </c>
      <c r="FA896" s="67">
        <v>19978.366999999998</v>
      </c>
      <c r="FB896" s="67" t="s">
        <v>7187</v>
      </c>
      <c r="FC896" s="67" t="s">
        <v>7188</v>
      </c>
      <c r="FD896" s="67" t="s">
        <v>7189</v>
      </c>
      <c r="FE896" s="68" t="s">
        <v>7190</v>
      </c>
      <c r="FF896" s="68" t="s">
        <v>7191</v>
      </c>
    </row>
    <row r="897" spans="151:162" x14ac:dyDescent="0.2">
      <c r="EU897" s="67">
        <v>563.86</v>
      </c>
      <c r="EV897" s="67" t="s">
        <v>7192</v>
      </c>
      <c r="EW897" s="67">
        <v>486.3</v>
      </c>
      <c r="EX897" s="67" t="s">
        <v>7193</v>
      </c>
      <c r="EY897" s="67">
        <v>5655.99</v>
      </c>
      <c r="EZ897" s="67" t="s">
        <v>7194</v>
      </c>
      <c r="FA897" s="67">
        <v>19987.167000000001</v>
      </c>
      <c r="FB897" s="67" t="s">
        <v>7195</v>
      </c>
      <c r="FC897" s="67" t="s">
        <v>7196</v>
      </c>
      <c r="FD897" s="67" t="s">
        <v>7197</v>
      </c>
      <c r="FE897" s="68" t="s">
        <v>7198</v>
      </c>
      <c r="FF897" s="68" t="s">
        <v>7199</v>
      </c>
    </row>
    <row r="898" spans="151:162" x14ac:dyDescent="0.2">
      <c r="EU898" s="67">
        <v>563.42999999999995</v>
      </c>
      <c r="EV898" s="67" t="s">
        <v>7200</v>
      </c>
      <c r="EW898" s="67">
        <v>485.81</v>
      </c>
      <c r="EX898" s="67" t="s">
        <v>7201</v>
      </c>
      <c r="EY898" s="67">
        <v>5652.06</v>
      </c>
      <c r="EZ898" s="67" t="s">
        <v>7202</v>
      </c>
      <c r="FA898" s="67">
        <v>19973.114000000001</v>
      </c>
      <c r="FB898" s="67" t="s">
        <v>7203</v>
      </c>
      <c r="FC898" s="67" t="s">
        <v>7204</v>
      </c>
      <c r="FD898" s="67" t="s">
        <v>7205</v>
      </c>
      <c r="FE898" s="68" t="s">
        <v>7206</v>
      </c>
      <c r="FF898" s="68" t="s">
        <v>7207</v>
      </c>
    </row>
    <row r="899" spans="151:162" x14ac:dyDescent="0.2">
      <c r="EU899" s="67">
        <v>563.66999999999996</v>
      </c>
      <c r="EV899" s="67" t="s">
        <v>7208</v>
      </c>
      <c r="EW899" s="67">
        <v>486.14</v>
      </c>
      <c r="EX899" s="67" t="s">
        <v>7209</v>
      </c>
      <c r="EY899" s="67">
        <v>5653.46</v>
      </c>
      <c r="EZ899" s="67" t="s">
        <v>7210</v>
      </c>
      <c r="FA899" s="67">
        <v>19982.834999999999</v>
      </c>
      <c r="FB899" s="67" t="s">
        <v>7211</v>
      </c>
      <c r="FC899" s="67" t="s">
        <v>7212</v>
      </c>
      <c r="FD899" s="67" t="s">
        <v>7213</v>
      </c>
      <c r="FE899" s="68" t="s">
        <v>7214</v>
      </c>
      <c r="FF899" s="68" t="s">
        <v>7215</v>
      </c>
    </row>
    <row r="900" spans="151:162" x14ac:dyDescent="0.2">
      <c r="EU900" s="67">
        <v>563.33000000000004</v>
      </c>
      <c r="EV900" s="67" t="s">
        <v>7216</v>
      </c>
      <c r="EW900" s="67">
        <v>485.68</v>
      </c>
      <c r="EX900" s="67" t="s">
        <v>7217</v>
      </c>
      <c r="EY900" s="67">
        <v>5650.51</v>
      </c>
      <c r="EZ900" s="67" t="s">
        <v>7218</v>
      </c>
      <c r="FA900" s="67">
        <v>19966.192999999999</v>
      </c>
      <c r="FB900" s="67" t="s">
        <v>7219</v>
      </c>
      <c r="FC900" s="67" t="s">
        <v>7220</v>
      </c>
      <c r="FD900" s="67" t="s">
        <v>7221</v>
      </c>
      <c r="FE900" s="68" t="s">
        <v>7222</v>
      </c>
      <c r="FF900" s="68" t="s">
        <v>7223</v>
      </c>
    </row>
    <row r="901" spans="151:162" x14ac:dyDescent="0.2">
      <c r="EU901" s="67">
        <v>563.26</v>
      </c>
      <c r="EV901" s="67" t="s">
        <v>7224</v>
      </c>
      <c r="EW901" s="67">
        <v>485.6</v>
      </c>
      <c r="EX901" s="67" t="s">
        <v>7225</v>
      </c>
      <c r="EY901" s="67">
        <v>5650.32</v>
      </c>
      <c r="EZ901" s="67" t="s">
        <v>7226</v>
      </c>
      <c r="FA901" s="67">
        <v>19964.21</v>
      </c>
      <c r="FB901" s="67" t="s">
        <v>7227</v>
      </c>
      <c r="FC901" s="67" t="s">
        <v>7228</v>
      </c>
      <c r="FD901" s="67" t="s">
        <v>7229</v>
      </c>
      <c r="FE901" s="68" t="s">
        <v>7230</v>
      </c>
      <c r="FF901" s="68" t="s">
        <v>7231</v>
      </c>
    </row>
    <row r="902" spans="151:162" x14ac:dyDescent="0.2">
      <c r="EU902" s="67">
        <v>563.41</v>
      </c>
      <c r="EV902" s="67" t="s">
        <v>7232</v>
      </c>
      <c r="EW902" s="67">
        <v>485.83</v>
      </c>
      <c r="EX902" s="67" t="s">
        <v>7233</v>
      </c>
      <c r="EY902" s="67">
        <v>5651.23</v>
      </c>
      <c r="EZ902" s="67" t="s">
        <v>7234</v>
      </c>
      <c r="FA902" s="67">
        <v>19970.002</v>
      </c>
      <c r="FB902" s="67" t="s">
        <v>7235</v>
      </c>
      <c r="FC902" s="67" t="s">
        <v>7236</v>
      </c>
      <c r="FD902" s="67" t="s">
        <v>7237</v>
      </c>
      <c r="FE902" s="68" t="s">
        <v>7238</v>
      </c>
      <c r="FF902" s="68" t="s">
        <v>7239</v>
      </c>
    </row>
    <row r="903" spans="151:162" x14ac:dyDescent="0.2">
      <c r="EU903" s="67">
        <v>563.66</v>
      </c>
      <c r="EV903" s="67" t="s">
        <v>7240</v>
      </c>
      <c r="EW903" s="67">
        <v>486.07</v>
      </c>
      <c r="EX903" s="67" t="s">
        <v>7241</v>
      </c>
      <c r="EY903" s="67">
        <v>5653.79</v>
      </c>
      <c r="EZ903" s="67" t="s">
        <v>7242</v>
      </c>
      <c r="FA903" s="67">
        <v>19979.467000000001</v>
      </c>
      <c r="FB903" s="67" t="s">
        <v>7243</v>
      </c>
      <c r="FC903" s="67" t="s">
        <v>7244</v>
      </c>
      <c r="FD903" s="67" t="s">
        <v>7245</v>
      </c>
      <c r="FE903" s="68" t="s">
        <v>7246</v>
      </c>
      <c r="FF903" s="68" t="s">
        <v>7247</v>
      </c>
    </row>
    <row r="904" spans="151:162" x14ac:dyDescent="0.2">
      <c r="EU904" s="67">
        <v>563.99</v>
      </c>
      <c r="EV904" s="67" t="s">
        <v>7248</v>
      </c>
      <c r="EW904" s="67">
        <v>486.44</v>
      </c>
      <c r="EX904" s="67" t="s">
        <v>7249</v>
      </c>
      <c r="EY904" s="67">
        <v>5657.56</v>
      </c>
      <c r="EZ904" s="67" t="s">
        <v>7250</v>
      </c>
      <c r="FA904" s="67">
        <v>19996.990000000002</v>
      </c>
      <c r="FB904" s="67" t="s">
        <v>7251</v>
      </c>
      <c r="FC904" s="67" t="s">
        <v>7252</v>
      </c>
      <c r="FD904" s="67" t="s">
        <v>7253</v>
      </c>
      <c r="FE904" s="68" t="s">
        <v>7254</v>
      </c>
      <c r="FF904" s="68" t="s">
        <v>7255</v>
      </c>
    </row>
    <row r="905" spans="151:162" x14ac:dyDescent="0.2">
      <c r="EU905" s="67">
        <v>563.99</v>
      </c>
      <c r="EV905" s="67" t="s">
        <v>7256</v>
      </c>
      <c r="EW905" s="67">
        <v>486.47</v>
      </c>
      <c r="EX905" s="67" t="s">
        <v>7257</v>
      </c>
      <c r="EY905" s="67">
        <v>5658.07</v>
      </c>
      <c r="EZ905" s="67" t="s">
        <v>7258</v>
      </c>
      <c r="FA905" s="67">
        <v>20000.091</v>
      </c>
      <c r="FB905" s="67" t="s">
        <v>7259</v>
      </c>
      <c r="FC905" s="67" t="s">
        <v>7260</v>
      </c>
      <c r="FD905" s="67" t="s">
        <v>7261</v>
      </c>
      <c r="FE905" s="68" t="s">
        <v>7262</v>
      </c>
      <c r="FF905" s="68" t="s">
        <v>7263</v>
      </c>
    </row>
    <row r="906" spans="151:162" x14ac:dyDescent="0.2">
      <c r="EU906" s="67">
        <v>562.47</v>
      </c>
      <c r="EV906" s="67" t="s">
        <v>7264</v>
      </c>
      <c r="EW906" s="67">
        <v>485.08</v>
      </c>
      <c r="EX906" s="67" t="s">
        <v>7265</v>
      </c>
      <c r="EY906" s="67">
        <v>5641.68</v>
      </c>
      <c r="EZ906" s="67" t="s">
        <v>7266</v>
      </c>
      <c r="FA906" s="67">
        <v>19937.958999999999</v>
      </c>
      <c r="FB906" s="67" t="s">
        <v>7267</v>
      </c>
      <c r="FC906" s="67" t="s">
        <v>7268</v>
      </c>
      <c r="FD906" s="67" t="s">
        <v>7269</v>
      </c>
      <c r="FE906" s="68" t="s">
        <v>7270</v>
      </c>
      <c r="FF906" s="68" t="s">
        <v>7271</v>
      </c>
    </row>
    <row r="907" spans="151:162" x14ac:dyDescent="0.2">
      <c r="EU907" s="67">
        <v>561.72500000000002</v>
      </c>
      <c r="EV907" s="67" t="s">
        <v>7272</v>
      </c>
      <c r="EW907" s="67">
        <v>484.22</v>
      </c>
      <c r="EX907" s="67" t="s">
        <v>7273</v>
      </c>
      <c r="EY907" s="67">
        <v>5636.54</v>
      </c>
      <c r="EZ907" s="67" t="s">
        <v>7274</v>
      </c>
      <c r="FA907" s="67">
        <v>19912.404999999999</v>
      </c>
      <c r="FB907" s="67" t="s">
        <v>7275</v>
      </c>
      <c r="FC907" s="67" t="s">
        <v>7276</v>
      </c>
      <c r="FD907" s="67" t="s">
        <v>7277</v>
      </c>
      <c r="FE907" s="68" t="s">
        <v>7278</v>
      </c>
      <c r="FF907" s="68" t="s">
        <v>7279</v>
      </c>
    </row>
    <row r="908" spans="151:162" x14ac:dyDescent="0.2">
      <c r="EU908" s="67">
        <v>562.56500000000005</v>
      </c>
      <c r="EV908" s="67" t="s">
        <v>7280</v>
      </c>
      <c r="EW908" s="67">
        <v>484.99</v>
      </c>
      <c r="EX908" s="67" t="s">
        <v>7281</v>
      </c>
      <c r="EY908" s="67">
        <v>5642.68</v>
      </c>
      <c r="EZ908" s="67" t="s">
        <v>7282</v>
      </c>
      <c r="FA908" s="67">
        <v>19936.796999999999</v>
      </c>
      <c r="FB908" s="67" t="s">
        <v>7283</v>
      </c>
      <c r="FC908" s="67" t="s">
        <v>7284</v>
      </c>
      <c r="FD908" s="67" t="s">
        <v>7285</v>
      </c>
      <c r="FE908" s="68" t="s">
        <v>7286</v>
      </c>
      <c r="FF908" s="68" t="s">
        <v>7287</v>
      </c>
    </row>
    <row r="909" spans="151:162" x14ac:dyDescent="0.2">
      <c r="EU909" s="67">
        <v>562.69000000000005</v>
      </c>
      <c r="EV909" s="67" t="s">
        <v>7288</v>
      </c>
      <c r="EW909" s="67">
        <v>485.18</v>
      </c>
      <c r="EX909" s="67" t="s">
        <v>7289</v>
      </c>
      <c r="EY909" s="67">
        <v>5644.83</v>
      </c>
      <c r="EZ909" s="67" t="s">
        <v>7290</v>
      </c>
      <c r="FA909" s="67">
        <v>19945.678</v>
      </c>
      <c r="FB909" s="67" t="s">
        <v>7291</v>
      </c>
      <c r="FC909" s="67" t="s">
        <v>7292</v>
      </c>
      <c r="FD909" s="67" t="s">
        <v>7293</v>
      </c>
      <c r="FE909" s="68" t="s">
        <v>7294</v>
      </c>
      <c r="FF909" s="68" t="s">
        <v>7295</v>
      </c>
    </row>
    <row r="910" spans="151:162" x14ac:dyDescent="0.2">
      <c r="EU910" s="67">
        <v>562.67999999999995</v>
      </c>
      <c r="EV910" s="67" t="s">
        <v>7296</v>
      </c>
      <c r="EW910" s="67">
        <v>485.17</v>
      </c>
      <c r="EX910" s="67" t="s">
        <v>7297</v>
      </c>
      <c r="EY910" s="67">
        <v>5643.9</v>
      </c>
      <c r="EZ910" s="67" t="s">
        <v>7298</v>
      </c>
      <c r="FA910" s="67">
        <v>19943.887999999999</v>
      </c>
      <c r="FB910" s="67" t="s">
        <v>7299</v>
      </c>
      <c r="FC910" s="67" t="s">
        <v>7300</v>
      </c>
      <c r="FD910" s="67" t="s">
        <v>7301</v>
      </c>
      <c r="FE910" s="68" t="s">
        <v>7302</v>
      </c>
      <c r="FF910" s="68" t="s">
        <v>7303</v>
      </c>
    </row>
    <row r="911" spans="151:162" x14ac:dyDescent="0.2">
      <c r="EU911" s="67">
        <v>562.44000000000005</v>
      </c>
      <c r="EV911" s="67" t="s">
        <v>7304</v>
      </c>
      <c r="EW911" s="67">
        <v>484.93</v>
      </c>
      <c r="EX911" s="67" t="s">
        <v>7305</v>
      </c>
      <c r="EY911" s="67">
        <v>5641.4</v>
      </c>
      <c r="EZ911" s="67" t="s">
        <v>7306</v>
      </c>
      <c r="FA911" s="67">
        <v>19930.977999999999</v>
      </c>
      <c r="FB911" s="67" t="s">
        <v>7307</v>
      </c>
      <c r="FC911" s="67" t="s">
        <v>7308</v>
      </c>
      <c r="FD911" s="67" t="s">
        <v>7309</v>
      </c>
      <c r="FE911" s="68" t="s">
        <v>7310</v>
      </c>
      <c r="FF911" s="68" t="s">
        <v>7311</v>
      </c>
    </row>
    <row r="912" spans="151:162" x14ac:dyDescent="0.2">
      <c r="EU912" s="67">
        <v>562.75</v>
      </c>
      <c r="EV912" s="67" t="s">
        <v>7312</v>
      </c>
      <c r="EW912" s="67">
        <v>485.23</v>
      </c>
      <c r="EX912" s="67" t="s">
        <v>7313</v>
      </c>
      <c r="EY912" s="67">
        <v>5643.5</v>
      </c>
      <c r="EZ912" s="67" t="s">
        <v>7314</v>
      </c>
      <c r="FA912" s="67">
        <v>19941.54</v>
      </c>
      <c r="FB912" s="67" t="s">
        <v>7315</v>
      </c>
      <c r="FC912" s="67" t="s">
        <v>7316</v>
      </c>
      <c r="FD912" s="67" t="s">
        <v>7317</v>
      </c>
      <c r="FE912" s="68" t="s">
        <v>7318</v>
      </c>
      <c r="FF912" s="68" t="s">
        <v>7319</v>
      </c>
    </row>
    <row r="913" spans="151:162" x14ac:dyDescent="0.2">
      <c r="EU913" s="67">
        <v>562.96</v>
      </c>
      <c r="EV913" s="67" t="s">
        <v>7320</v>
      </c>
      <c r="EW913" s="67">
        <v>485.36</v>
      </c>
      <c r="EX913" s="67" t="s">
        <v>7321</v>
      </c>
      <c r="EY913" s="67">
        <v>5646.25</v>
      </c>
      <c r="EZ913" s="67" t="s">
        <v>7322</v>
      </c>
      <c r="FA913" s="67">
        <v>19949.603999999999</v>
      </c>
      <c r="FB913" s="67" t="s">
        <v>7323</v>
      </c>
      <c r="FC913" s="67" t="s">
        <v>7324</v>
      </c>
      <c r="FD913" s="67" t="s">
        <v>7325</v>
      </c>
      <c r="FE913" s="68" t="s">
        <v>7326</v>
      </c>
      <c r="FF913" s="68" t="s">
        <v>7327</v>
      </c>
    </row>
    <row r="914" spans="151:162" x14ac:dyDescent="0.2">
      <c r="EU914" s="67">
        <v>562.54</v>
      </c>
      <c r="EV914" s="67" t="s">
        <v>7328</v>
      </c>
      <c r="EW914" s="67">
        <v>484.94</v>
      </c>
      <c r="EX914" s="67" t="s">
        <v>7329</v>
      </c>
      <c r="EY914" s="67">
        <v>5642.63</v>
      </c>
      <c r="EZ914" s="67" t="s">
        <v>7330</v>
      </c>
      <c r="FA914" s="67">
        <v>19933.456999999999</v>
      </c>
      <c r="FB914" s="67" t="s">
        <v>7331</v>
      </c>
      <c r="FC914" s="67" t="s">
        <v>7332</v>
      </c>
      <c r="FD914" s="67" t="s">
        <v>7333</v>
      </c>
      <c r="FE914" s="68" t="s">
        <v>7334</v>
      </c>
      <c r="FF914" s="68" t="s">
        <v>7335</v>
      </c>
    </row>
    <row r="915" spans="151:162" x14ac:dyDescent="0.2">
      <c r="EU915" s="67">
        <v>562.38</v>
      </c>
      <c r="EV915" s="67" t="s">
        <v>7336</v>
      </c>
      <c r="EW915" s="67">
        <v>484.71</v>
      </c>
      <c r="EX915" s="67" t="s">
        <v>7337</v>
      </c>
      <c r="EY915" s="67">
        <v>5640.91</v>
      </c>
      <c r="EZ915" s="67" t="s">
        <v>7338</v>
      </c>
      <c r="FA915" s="67">
        <v>19926.232</v>
      </c>
      <c r="FB915" s="67" t="s">
        <v>7339</v>
      </c>
      <c r="FC915" s="67" t="s">
        <v>7340</v>
      </c>
      <c r="FD915" s="67" t="s">
        <v>7341</v>
      </c>
      <c r="FE915" s="68" t="s">
        <v>7342</v>
      </c>
      <c r="FF915" s="68" t="s">
        <v>7343</v>
      </c>
    </row>
    <row r="916" spans="151:162" x14ac:dyDescent="0.2">
      <c r="EU916" s="67">
        <v>562.32299999999998</v>
      </c>
      <c r="EV916" s="67" t="s">
        <v>7344</v>
      </c>
      <c r="EW916" s="67">
        <v>484.71</v>
      </c>
      <c r="EX916" s="67" t="s">
        <v>7345</v>
      </c>
      <c r="EY916" s="67">
        <v>5640.46</v>
      </c>
      <c r="EZ916" s="67" t="s">
        <v>7346</v>
      </c>
      <c r="FA916" s="67">
        <v>19924.505000000001</v>
      </c>
      <c r="FB916" s="67" t="s">
        <v>7347</v>
      </c>
      <c r="FC916" s="67" t="s">
        <v>7348</v>
      </c>
      <c r="FD916" s="67" t="s">
        <v>7349</v>
      </c>
      <c r="FE916" s="68" t="s">
        <v>7350</v>
      </c>
      <c r="FF916" s="68" t="s">
        <v>7351</v>
      </c>
    </row>
    <row r="917" spans="151:162" x14ac:dyDescent="0.2">
      <c r="EU917" s="67">
        <v>562.94000000000005</v>
      </c>
      <c r="EV917" s="67" t="s">
        <v>7352</v>
      </c>
      <c r="EW917" s="67">
        <v>485.32</v>
      </c>
      <c r="EX917" s="67" t="s">
        <v>7353</v>
      </c>
      <c r="EY917" s="67">
        <v>5646.32</v>
      </c>
      <c r="EZ917" s="67" t="s">
        <v>7354</v>
      </c>
      <c r="FA917" s="67">
        <v>19946.135999999999</v>
      </c>
      <c r="FB917" s="67" t="s">
        <v>7355</v>
      </c>
      <c r="FC917" s="67" t="s">
        <v>7356</v>
      </c>
      <c r="FD917" s="67" t="s">
        <v>7357</v>
      </c>
      <c r="FE917" s="68" t="s">
        <v>7358</v>
      </c>
      <c r="FF917" s="68" t="s">
        <v>7359</v>
      </c>
    </row>
    <row r="918" spans="151:162" x14ac:dyDescent="0.2">
      <c r="EU918" s="67">
        <v>563.26</v>
      </c>
      <c r="EV918" s="67" t="s">
        <v>7360</v>
      </c>
      <c r="EW918" s="67">
        <v>485.59</v>
      </c>
      <c r="EX918" s="67" t="s">
        <v>7361</v>
      </c>
      <c r="EY918" s="67">
        <v>5649.4</v>
      </c>
      <c r="EZ918" s="67" t="s">
        <v>7362</v>
      </c>
      <c r="FA918" s="67">
        <v>19958.321</v>
      </c>
      <c r="FB918" s="67" t="s">
        <v>7363</v>
      </c>
      <c r="FC918" s="67" t="s">
        <v>7364</v>
      </c>
      <c r="FD918" s="67" t="s">
        <v>7365</v>
      </c>
      <c r="FE918" s="68" t="s">
        <v>7366</v>
      </c>
      <c r="FF918" s="68" t="s">
        <v>7367</v>
      </c>
    </row>
    <row r="919" spans="151:162" x14ac:dyDescent="0.2">
      <c r="EU919" s="67">
        <v>563.51</v>
      </c>
      <c r="EV919" s="67" t="s">
        <v>7368</v>
      </c>
      <c r="EW919" s="67">
        <v>485.85</v>
      </c>
      <c r="EX919" s="67" t="s">
        <v>7369</v>
      </c>
      <c r="EY919" s="67">
        <v>5652.12</v>
      </c>
      <c r="EZ919" s="67" t="s">
        <v>7370</v>
      </c>
      <c r="FA919" s="67">
        <v>19968.934000000001</v>
      </c>
      <c r="FB919" s="67" t="s">
        <v>7371</v>
      </c>
      <c r="FC919" s="67" t="s">
        <v>7372</v>
      </c>
      <c r="FD919" s="67" t="s">
        <v>7373</v>
      </c>
      <c r="FE919" s="68" t="s">
        <v>7374</v>
      </c>
      <c r="FF919" s="68" t="s">
        <v>7375</v>
      </c>
    </row>
    <row r="920" spans="151:162" x14ac:dyDescent="0.2">
      <c r="EU920" s="67">
        <v>563.74</v>
      </c>
      <c r="EV920" s="67" t="s">
        <v>7376</v>
      </c>
      <c r="EW920" s="67">
        <v>486.18</v>
      </c>
      <c r="EX920" s="67" t="s">
        <v>7377</v>
      </c>
      <c r="EY920" s="67">
        <v>5654.17</v>
      </c>
      <c r="EZ920" s="67" t="s">
        <v>7378</v>
      </c>
      <c r="FA920" s="67">
        <v>19979.091</v>
      </c>
      <c r="FB920" s="67" t="s">
        <v>7379</v>
      </c>
      <c r="FC920" s="67" t="s">
        <v>7380</v>
      </c>
      <c r="FD920" s="67" t="s">
        <v>7381</v>
      </c>
      <c r="FE920" s="68" t="s">
        <v>7382</v>
      </c>
      <c r="FF920" s="68" t="s">
        <v>7383</v>
      </c>
    </row>
    <row r="921" spans="151:162" x14ac:dyDescent="0.2">
      <c r="EU921" s="67">
        <v>563.73500000000001</v>
      </c>
      <c r="EV921" s="67" t="s">
        <v>7384</v>
      </c>
      <c r="EW921" s="67">
        <v>486.12</v>
      </c>
      <c r="EX921" s="67" t="s">
        <v>7385</v>
      </c>
      <c r="EY921" s="67">
        <v>5654.74</v>
      </c>
      <c r="EZ921" s="67" t="s">
        <v>7386</v>
      </c>
      <c r="FA921" s="67">
        <v>19981.16</v>
      </c>
      <c r="FB921" s="67" t="s">
        <v>7387</v>
      </c>
      <c r="FC921" s="67" t="s">
        <v>7388</v>
      </c>
      <c r="FD921" s="67" t="s">
        <v>7389</v>
      </c>
      <c r="FE921" s="68" t="s">
        <v>7390</v>
      </c>
      <c r="FF921" s="68" t="s">
        <v>7391</v>
      </c>
    </row>
    <row r="922" spans="151:162" x14ac:dyDescent="0.2">
      <c r="EU922" s="67">
        <v>563.94000000000005</v>
      </c>
      <c r="EV922" s="67" t="s">
        <v>7392</v>
      </c>
      <c r="EW922" s="67">
        <v>486.28</v>
      </c>
      <c r="EX922" s="67" t="s">
        <v>7393</v>
      </c>
      <c r="EY922" s="67">
        <v>5656.48</v>
      </c>
      <c r="EZ922" s="67" t="s">
        <v>7394</v>
      </c>
      <c r="FA922" s="67">
        <v>19987.404999999999</v>
      </c>
      <c r="FB922" s="67" t="s">
        <v>7395</v>
      </c>
      <c r="FC922" s="67" t="s">
        <v>7396</v>
      </c>
      <c r="FD922" s="67" t="s">
        <v>7397</v>
      </c>
      <c r="FE922" s="68" t="s">
        <v>7398</v>
      </c>
      <c r="FF922" s="68" t="s">
        <v>7399</v>
      </c>
    </row>
    <row r="923" spans="151:162" x14ac:dyDescent="0.2">
      <c r="EU923" s="67">
        <v>563.88</v>
      </c>
      <c r="EV923" s="67" t="s">
        <v>7400</v>
      </c>
      <c r="EW923" s="67">
        <v>486.23899999999998</v>
      </c>
      <c r="EX923" s="67" t="s">
        <v>7401</v>
      </c>
      <c r="EY923" s="67">
        <v>5656.25</v>
      </c>
      <c r="EZ923" s="67" t="s">
        <v>7402</v>
      </c>
      <c r="FA923" s="67">
        <v>19986.21</v>
      </c>
      <c r="FB923" s="67" t="s">
        <v>7403</v>
      </c>
      <c r="FC923" s="67" t="s">
        <v>7404</v>
      </c>
      <c r="FD923" s="67" t="s">
        <v>7405</v>
      </c>
      <c r="FE923" s="68" t="s">
        <v>7406</v>
      </c>
      <c r="FF923" s="68" t="s">
        <v>7407</v>
      </c>
    </row>
    <row r="924" spans="151:162" x14ac:dyDescent="0.2">
      <c r="EU924" s="67">
        <v>563.79</v>
      </c>
      <c r="EV924" s="67" t="s">
        <v>7408</v>
      </c>
      <c r="EW924" s="67">
        <v>486.16</v>
      </c>
      <c r="EX924" s="67" t="s">
        <v>7409</v>
      </c>
      <c r="EY924" s="67">
        <v>5654.82</v>
      </c>
      <c r="EZ924" s="67" t="s">
        <v>7410</v>
      </c>
      <c r="FA924" s="67">
        <v>19980.901999999998</v>
      </c>
      <c r="FB924" s="67" t="s">
        <v>7411</v>
      </c>
      <c r="FC924" s="67" t="s">
        <v>7412</v>
      </c>
      <c r="FD924" s="67" t="s">
        <v>7413</v>
      </c>
      <c r="FE924" s="68" t="s">
        <v>7414</v>
      </c>
      <c r="FF924" s="68" t="s">
        <v>7415</v>
      </c>
    </row>
    <row r="925" spans="151:162" x14ac:dyDescent="0.2">
      <c r="EU925" s="67">
        <v>564.26</v>
      </c>
      <c r="EV925" s="67" t="s">
        <v>7416</v>
      </c>
      <c r="EW925" s="67">
        <v>486.59399999999999</v>
      </c>
      <c r="EX925" s="67" t="s">
        <v>7417</v>
      </c>
      <c r="EY925" s="67">
        <v>5659.13</v>
      </c>
      <c r="EZ925" s="67" t="s">
        <v>7418</v>
      </c>
      <c r="FA925" s="67">
        <v>19997.606</v>
      </c>
      <c r="FB925" s="67" t="s">
        <v>7419</v>
      </c>
      <c r="FC925" s="67" t="s">
        <v>7420</v>
      </c>
      <c r="FD925" s="67" t="s">
        <v>7421</v>
      </c>
      <c r="FE925" s="68" t="s">
        <v>7422</v>
      </c>
      <c r="FF925" s="68" t="s">
        <v>7423</v>
      </c>
    </row>
    <row r="926" spans="151:162" x14ac:dyDescent="0.2">
      <c r="EU926" s="67">
        <v>564.28</v>
      </c>
      <c r="EV926" s="67" t="s">
        <v>7424</v>
      </c>
      <c r="EW926" s="67">
        <v>486.62</v>
      </c>
      <c r="EX926" s="67" t="s">
        <v>7425</v>
      </c>
      <c r="EY926" s="67">
        <v>5659.63</v>
      </c>
      <c r="EZ926" s="67" t="s">
        <v>7426</v>
      </c>
      <c r="FA926" s="67">
        <v>19999.882000000001</v>
      </c>
      <c r="FB926" s="67" t="s">
        <v>7427</v>
      </c>
      <c r="FC926" s="67" t="s">
        <v>7428</v>
      </c>
      <c r="FD926" s="67" t="s">
        <v>7429</v>
      </c>
      <c r="FE926" s="68" t="s">
        <v>7430</v>
      </c>
      <c r="FF926" s="68" t="s">
        <v>7431</v>
      </c>
    </row>
    <row r="927" spans="151:162" x14ac:dyDescent="0.2">
      <c r="EU927" s="67">
        <v>564.33000000000004</v>
      </c>
      <c r="EV927" s="67" t="s">
        <v>7432</v>
      </c>
      <c r="EW927" s="67">
        <v>486.71499999999997</v>
      </c>
      <c r="EX927" s="67" t="s">
        <v>7433</v>
      </c>
      <c r="EY927" s="67">
        <v>5660.18</v>
      </c>
      <c r="EZ927" s="67" t="s">
        <v>7434</v>
      </c>
      <c r="FA927" s="67">
        <v>20001.3</v>
      </c>
      <c r="FB927" s="67" t="s">
        <v>7435</v>
      </c>
      <c r="FC927" s="67" t="s">
        <v>7436</v>
      </c>
      <c r="FD927" s="67" t="s">
        <v>7437</v>
      </c>
      <c r="FE927" s="68" t="s">
        <v>7438</v>
      </c>
      <c r="FF927" s="68" t="s">
        <v>7439</v>
      </c>
    </row>
    <row r="928" spans="151:162" x14ac:dyDescent="0.2">
      <c r="EU928" s="67">
        <v>564.48</v>
      </c>
      <c r="EV928" s="67" t="s">
        <v>7440</v>
      </c>
      <c r="EW928" s="67">
        <v>486.81200000000001</v>
      </c>
      <c r="EX928" s="67" t="s">
        <v>7441</v>
      </c>
      <c r="EY928" s="67">
        <v>5661.55</v>
      </c>
      <c r="EZ928" s="67" t="s">
        <v>7442</v>
      </c>
      <c r="FA928" s="67">
        <v>20005.108</v>
      </c>
      <c r="FB928" s="67" t="s">
        <v>7443</v>
      </c>
      <c r="FC928" s="67" t="s">
        <v>7444</v>
      </c>
      <c r="FD928" s="67" t="s">
        <v>7445</v>
      </c>
      <c r="FE928" s="68" t="s">
        <v>7446</v>
      </c>
      <c r="FF928" s="68" t="s">
        <v>7447</v>
      </c>
    </row>
    <row r="929" spans="151:162" x14ac:dyDescent="0.2">
      <c r="EU929" s="67">
        <v>564.36</v>
      </c>
      <c r="EV929" s="67" t="s">
        <v>7448</v>
      </c>
      <c r="EW929" s="67">
        <v>486.72</v>
      </c>
      <c r="EX929" s="67" t="s">
        <v>7449</v>
      </c>
      <c r="EY929" s="67">
        <v>5660.57</v>
      </c>
      <c r="EZ929" s="67" t="s">
        <v>7450</v>
      </c>
      <c r="FA929" s="67">
        <v>20002.368999999999</v>
      </c>
      <c r="FB929" s="67" t="s">
        <v>7451</v>
      </c>
      <c r="FC929" s="67" t="s">
        <v>7452</v>
      </c>
      <c r="FD929" s="67" t="s">
        <v>7453</v>
      </c>
      <c r="FE929" s="68" t="s">
        <v>7454</v>
      </c>
      <c r="FF929" s="68" t="s">
        <v>7455</v>
      </c>
    </row>
    <row r="930" spans="151:162" x14ac:dyDescent="0.2">
      <c r="EU930" s="67">
        <v>564.6</v>
      </c>
      <c r="EV930" s="67" t="s">
        <v>7456</v>
      </c>
      <c r="EW930" s="67">
        <v>486.98</v>
      </c>
      <c r="EX930" s="67" t="s">
        <v>7457</v>
      </c>
      <c r="EY930" s="67">
        <v>5662.92</v>
      </c>
      <c r="EZ930" s="67" t="s">
        <v>7458</v>
      </c>
      <c r="FA930" s="67">
        <v>20014.631000000001</v>
      </c>
      <c r="FB930" s="67" t="s">
        <v>7459</v>
      </c>
      <c r="FC930" s="67" t="s">
        <v>7460</v>
      </c>
      <c r="FD930" s="67" t="s">
        <v>7461</v>
      </c>
      <c r="FE930" s="68" t="s">
        <v>7462</v>
      </c>
      <c r="FF930" s="68" t="s">
        <v>7463</v>
      </c>
    </row>
    <row r="931" spans="151:162" x14ac:dyDescent="0.2">
      <c r="EU931" s="67">
        <v>564.75</v>
      </c>
      <c r="EV931" s="67" t="s">
        <v>7464</v>
      </c>
      <c r="EW931" s="67">
        <v>487.1</v>
      </c>
      <c r="EX931" s="67" t="s">
        <v>7465</v>
      </c>
      <c r="EY931" s="67">
        <v>5663.81</v>
      </c>
      <c r="EZ931" s="67" t="s">
        <v>7466</v>
      </c>
      <c r="FA931" s="67">
        <v>20016.863000000001</v>
      </c>
      <c r="FB931" s="67" t="s">
        <v>7467</v>
      </c>
      <c r="FC931" s="67" t="s">
        <v>7468</v>
      </c>
      <c r="FD931" s="67" t="s">
        <v>7469</v>
      </c>
      <c r="FE931" s="68" t="s">
        <v>7470</v>
      </c>
      <c r="FF931" s="68" t="s">
        <v>7471</v>
      </c>
    </row>
    <row r="932" spans="151:162" x14ac:dyDescent="0.2">
      <c r="EU932" s="67">
        <v>564.82000000000005</v>
      </c>
      <c r="EV932" s="67" t="s">
        <v>7472</v>
      </c>
      <c r="EW932" s="67">
        <v>487.23</v>
      </c>
      <c r="EX932" s="67" t="s">
        <v>7473</v>
      </c>
      <c r="EY932" s="67">
        <v>5665.63</v>
      </c>
      <c r="EZ932" s="67" t="s">
        <v>7474</v>
      </c>
      <c r="FA932" s="67">
        <v>20027.705000000002</v>
      </c>
      <c r="FB932" s="67" t="s">
        <v>7475</v>
      </c>
      <c r="FC932" s="67" t="s">
        <v>7476</v>
      </c>
      <c r="FD932" s="67" t="s">
        <v>7477</v>
      </c>
      <c r="FE932" s="68" t="s">
        <v>7478</v>
      </c>
      <c r="FF932" s="68" t="s">
        <v>7479</v>
      </c>
    </row>
    <row r="933" spans="151:162" x14ac:dyDescent="0.2">
      <c r="EU933" s="67">
        <v>565.29999999999995</v>
      </c>
      <c r="EV933" s="67" t="s">
        <v>7480</v>
      </c>
      <c r="EW933" s="67">
        <v>487.64</v>
      </c>
      <c r="EX933" s="67" t="s">
        <v>7481</v>
      </c>
      <c r="EY933" s="67">
        <v>5669.78</v>
      </c>
      <c r="EZ933" s="67" t="s">
        <v>7482</v>
      </c>
      <c r="FA933" s="67">
        <v>20041.467000000001</v>
      </c>
      <c r="FB933" s="67" t="s">
        <v>7483</v>
      </c>
      <c r="FC933" s="67" t="s">
        <v>7484</v>
      </c>
      <c r="FD933" s="67" t="s">
        <v>7485</v>
      </c>
      <c r="FE933" s="68" t="s">
        <v>7486</v>
      </c>
      <c r="FF933" s="68" t="s">
        <v>7487</v>
      </c>
    </row>
    <row r="934" spans="151:162" x14ac:dyDescent="0.2">
      <c r="EU934" s="67">
        <v>565.51400000000001</v>
      </c>
      <c r="EV934" s="67" t="s">
        <v>7488</v>
      </c>
      <c r="EW934" s="67">
        <v>487.84</v>
      </c>
      <c r="EX934" s="67" t="s">
        <v>7489</v>
      </c>
      <c r="EY934" s="67">
        <v>5671.66</v>
      </c>
      <c r="EZ934" s="67" t="s">
        <v>7490</v>
      </c>
      <c r="FA934" s="67">
        <v>20049.155999999999</v>
      </c>
      <c r="FB934" s="67" t="s">
        <v>7491</v>
      </c>
      <c r="FC934" s="67" t="s">
        <v>7492</v>
      </c>
      <c r="FD934" s="67" t="s">
        <v>7493</v>
      </c>
      <c r="FE934" s="68" t="s">
        <v>7494</v>
      </c>
      <c r="FF934" s="68" t="s">
        <v>7495</v>
      </c>
    </row>
    <row r="935" spans="151:162" x14ac:dyDescent="0.2">
      <c r="EU935" s="67">
        <v>565.77</v>
      </c>
      <c r="EV935" s="67" t="s">
        <v>7496</v>
      </c>
      <c r="EW935" s="67">
        <v>488.09</v>
      </c>
      <c r="EX935" s="67" t="s">
        <v>7497</v>
      </c>
      <c r="EY935" s="67">
        <v>5674.43</v>
      </c>
      <c r="EZ935" s="67" t="s">
        <v>7498</v>
      </c>
      <c r="FA935" s="67">
        <v>20056.887999999999</v>
      </c>
      <c r="FB935" s="67" t="s">
        <v>7499</v>
      </c>
      <c r="FC935" s="67" t="s">
        <v>7500</v>
      </c>
      <c r="FD935" s="67" t="s">
        <v>7501</v>
      </c>
      <c r="FE935" s="68" t="s">
        <v>7502</v>
      </c>
      <c r="FF935" s="68" t="s">
        <v>7503</v>
      </c>
    </row>
    <row r="936" spans="151:162" x14ac:dyDescent="0.2">
      <c r="EU936" s="67">
        <v>566.07000000000005</v>
      </c>
      <c r="EV936" s="67" t="s">
        <v>7504</v>
      </c>
      <c r="EW936" s="67">
        <v>488.39</v>
      </c>
      <c r="EX936" s="67" t="s">
        <v>7505</v>
      </c>
      <c r="EY936" s="67">
        <v>5677.14</v>
      </c>
      <c r="EZ936" s="67" t="s">
        <v>7506</v>
      </c>
      <c r="FA936" s="67">
        <v>20071.235000000001</v>
      </c>
      <c r="FB936" s="67" t="s">
        <v>7507</v>
      </c>
      <c r="FC936" s="67" t="s">
        <v>7508</v>
      </c>
      <c r="FD936" s="67" t="s">
        <v>7509</v>
      </c>
      <c r="FE936" s="68" t="s">
        <v>7510</v>
      </c>
      <c r="FF936" s="68" t="s">
        <v>7511</v>
      </c>
    </row>
    <row r="937" spans="151:162" x14ac:dyDescent="0.2">
      <c r="EU937" s="67">
        <v>566.27499999999998</v>
      </c>
      <c r="EV937" s="67" t="s">
        <v>7512</v>
      </c>
      <c r="EW937" s="67">
        <v>488.52</v>
      </c>
      <c r="EX937" s="67" t="s">
        <v>7513</v>
      </c>
      <c r="EY937" s="67">
        <v>5679.74</v>
      </c>
      <c r="EZ937" s="67" t="s">
        <v>7514</v>
      </c>
      <c r="FA937" s="67">
        <v>20076.126</v>
      </c>
      <c r="FB937" s="67" t="s">
        <v>7515</v>
      </c>
      <c r="FC937" s="67" t="s">
        <v>7516</v>
      </c>
      <c r="FD937" s="67" t="s">
        <v>7517</v>
      </c>
      <c r="FE937" s="68" t="s">
        <v>7518</v>
      </c>
      <c r="FF937" s="68" t="s">
        <v>7519</v>
      </c>
    </row>
    <row r="938" spans="151:162" x14ac:dyDescent="0.2">
      <c r="EU938" s="67">
        <v>566.27</v>
      </c>
      <c r="EV938" s="67" t="s">
        <v>7520</v>
      </c>
      <c r="EW938" s="67">
        <v>488.55</v>
      </c>
      <c r="EX938" s="67" t="s">
        <v>7521</v>
      </c>
      <c r="EY938" s="67">
        <v>5679.79</v>
      </c>
      <c r="EZ938" s="67" t="s">
        <v>7522</v>
      </c>
      <c r="FA938" s="67">
        <v>20078.969000000001</v>
      </c>
      <c r="FB938" s="67" t="s">
        <v>7523</v>
      </c>
      <c r="FC938" s="67" t="s">
        <v>7524</v>
      </c>
      <c r="FD938" s="67" t="s">
        <v>7525</v>
      </c>
      <c r="FE938" s="68" t="s">
        <v>7526</v>
      </c>
      <c r="FF938" s="68" t="s">
        <v>7527</v>
      </c>
    </row>
    <row r="939" spans="151:162" x14ac:dyDescent="0.2">
      <c r="EU939" s="67">
        <v>566.55999999999995</v>
      </c>
      <c r="EV939" s="67" t="s">
        <v>7528</v>
      </c>
      <c r="EW939" s="67">
        <v>489.07</v>
      </c>
      <c r="EX939" s="67" t="s">
        <v>7529</v>
      </c>
      <c r="EY939" s="67">
        <v>5682.61</v>
      </c>
      <c r="EZ939" s="67" t="s">
        <v>7530</v>
      </c>
      <c r="FA939" s="67">
        <v>20096.695</v>
      </c>
      <c r="FB939" s="67" t="s">
        <v>7531</v>
      </c>
      <c r="FC939" s="67" t="s">
        <v>7532</v>
      </c>
      <c r="FD939" s="67" t="s">
        <v>7533</v>
      </c>
      <c r="FE939" s="68" t="s">
        <v>7534</v>
      </c>
      <c r="FF939" s="68" t="s">
        <v>7535</v>
      </c>
    </row>
    <row r="940" spans="151:162" x14ac:dyDescent="0.2">
      <c r="EU940" s="67">
        <v>566.76</v>
      </c>
      <c r="EV940" s="67" t="s">
        <v>7536</v>
      </c>
      <c r="EW940" s="67">
        <v>489.26</v>
      </c>
      <c r="EX940" s="67" t="s">
        <v>7537</v>
      </c>
      <c r="EY940" s="67">
        <v>5684.28</v>
      </c>
      <c r="EZ940" s="67" t="s">
        <v>7538</v>
      </c>
      <c r="FA940" s="67">
        <v>20105.254000000001</v>
      </c>
      <c r="FB940" s="67" t="s">
        <v>7539</v>
      </c>
      <c r="FC940" s="67" t="s">
        <v>7540</v>
      </c>
      <c r="FD940" s="67" t="s">
        <v>7541</v>
      </c>
      <c r="FE940" s="68" t="s">
        <v>7542</v>
      </c>
      <c r="FF940" s="68" t="s">
        <v>7543</v>
      </c>
    </row>
    <row r="941" spans="151:162" x14ac:dyDescent="0.2">
      <c r="EU941" s="67">
        <v>565.91</v>
      </c>
      <c r="EV941" s="67" t="s">
        <v>7544</v>
      </c>
      <c r="EW941" s="67">
        <v>488.5</v>
      </c>
      <c r="EX941" s="67" t="s">
        <v>7545</v>
      </c>
      <c r="EY941" s="67">
        <v>5675.44</v>
      </c>
      <c r="EZ941" s="67" t="s">
        <v>7546</v>
      </c>
      <c r="FA941" s="67">
        <v>20072.848000000002</v>
      </c>
      <c r="FB941" s="67" t="s">
        <v>7547</v>
      </c>
      <c r="FC941" s="67" t="s">
        <v>7548</v>
      </c>
      <c r="FD941" s="67" t="s">
        <v>7549</v>
      </c>
      <c r="FE941" s="68" t="s">
        <v>7550</v>
      </c>
      <c r="FF941" s="68" t="s">
        <v>7551</v>
      </c>
    </row>
    <row r="942" spans="151:162" x14ac:dyDescent="0.2">
      <c r="EU942" s="67">
        <v>565.82000000000005</v>
      </c>
      <c r="EV942" s="67" t="s">
        <v>7552</v>
      </c>
      <c r="EW942" s="67">
        <v>488.55500000000001</v>
      </c>
      <c r="EX942" s="67" t="s">
        <v>7553</v>
      </c>
      <c r="EY942" s="67">
        <v>5675.91</v>
      </c>
      <c r="EZ942" s="67" t="s">
        <v>7554</v>
      </c>
      <c r="FA942" s="67">
        <v>20080.760999999999</v>
      </c>
      <c r="FB942" s="67" t="s">
        <v>7555</v>
      </c>
      <c r="FC942" s="67" t="s">
        <v>7556</v>
      </c>
      <c r="FD942" s="67" t="s">
        <v>7557</v>
      </c>
      <c r="FE942" s="68" t="s">
        <v>7558</v>
      </c>
      <c r="FF942" s="68" t="s">
        <v>7559</v>
      </c>
    </row>
    <row r="943" spans="151:162" x14ac:dyDescent="0.2">
      <c r="EU943" s="67">
        <v>566.38</v>
      </c>
      <c r="EV943" s="67" t="s">
        <v>7560</v>
      </c>
      <c r="EW943" s="67">
        <v>489.09</v>
      </c>
      <c r="EX943" s="67" t="s">
        <v>7561</v>
      </c>
      <c r="EY943" s="67">
        <v>5680.59</v>
      </c>
      <c r="EZ943" s="67" t="s">
        <v>7562</v>
      </c>
      <c r="FA943" s="67">
        <v>20098.004000000001</v>
      </c>
      <c r="FB943" s="67" t="s">
        <v>7563</v>
      </c>
      <c r="FC943" s="67" t="s">
        <v>7564</v>
      </c>
      <c r="FD943" s="67" t="s">
        <v>7565</v>
      </c>
      <c r="FE943" s="68" t="s">
        <v>7566</v>
      </c>
      <c r="FF943" s="68" t="s">
        <v>7567</v>
      </c>
    </row>
    <row r="944" spans="151:162" x14ac:dyDescent="0.2">
      <c r="EU944" s="67">
        <v>566.52</v>
      </c>
      <c r="EV944" s="67" t="s">
        <v>7568</v>
      </c>
      <c r="EW944" s="67">
        <v>489.2</v>
      </c>
      <c r="EX944" s="67" t="s">
        <v>7569</v>
      </c>
      <c r="EY944" s="67">
        <v>5681.98</v>
      </c>
      <c r="EZ944" s="67" t="s">
        <v>7570</v>
      </c>
      <c r="FA944" s="67">
        <v>20104.939999999999</v>
      </c>
      <c r="FB944" s="67" t="s">
        <v>7571</v>
      </c>
      <c r="FC944" s="67" t="s">
        <v>7572</v>
      </c>
      <c r="FD944" s="67" t="s">
        <v>7573</v>
      </c>
      <c r="FE944" s="68" t="s">
        <v>7574</v>
      </c>
      <c r="FF944" s="68" t="s">
        <v>7575</v>
      </c>
    </row>
    <row r="945" spans="151:162" x14ac:dyDescent="0.2">
      <c r="EU945" s="67">
        <v>566.70500000000004</v>
      </c>
      <c r="EV945" s="67" t="s">
        <v>7576</v>
      </c>
      <c r="EW945" s="67">
        <v>489.36700000000002</v>
      </c>
      <c r="EX945" s="67" t="s">
        <v>7577</v>
      </c>
      <c r="EY945" s="67">
        <v>5683.62</v>
      </c>
      <c r="EZ945" s="67" t="s">
        <v>7578</v>
      </c>
      <c r="FA945" s="67">
        <v>20110.437000000002</v>
      </c>
      <c r="FB945" s="67" t="s">
        <v>7579</v>
      </c>
      <c r="FC945" s="67" t="s">
        <v>7580</v>
      </c>
      <c r="FD945" s="67" t="s">
        <v>7581</v>
      </c>
      <c r="FE945" s="68" t="s">
        <v>7582</v>
      </c>
      <c r="FF945" s="68" t="s">
        <v>7583</v>
      </c>
    </row>
    <row r="946" spans="151:162" x14ac:dyDescent="0.2">
      <c r="EU946" s="67">
        <v>566.83000000000004</v>
      </c>
      <c r="EV946" s="67" t="s">
        <v>7584</v>
      </c>
      <c r="EW946" s="67">
        <v>489.52</v>
      </c>
      <c r="EX946" s="67" t="s">
        <v>7585</v>
      </c>
      <c r="EY946" s="67">
        <v>5684.76</v>
      </c>
      <c r="EZ946" s="67" t="s">
        <v>7586</v>
      </c>
      <c r="FA946" s="67">
        <v>20116.558000000001</v>
      </c>
      <c r="FB946" s="67" t="s">
        <v>7587</v>
      </c>
      <c r="FC946" s="67" t="s">
        <v>7588</v>
      </c>
      <c r="FD946" s="67" t="s">
        <v>7589</v>
      </c>
      <c r="FE946" s="68" t="s">
        <v>7590</v>
      </c>
      <c r="FF946" s="68" t="s">
        <v>7591</v>
      </c>
    </row>
    <row r="947" spans="151:162" x14ac:dyDescent="0.2">
      <c r="EU947" s="67">
        <v>566.88</v>
      </c>
      <c r="EV947" s="67" t="s">
        <v>7592</v>
      </c>
      <c r="EW947" s="67">
        <v>489.52</v>
      </c>
      <c r="EX947" s="67" t="s">
        <v>7593</v>
      </c>
      <c r="EY947" s="67">
        <v>5685.31</v>
      </c>
      <c r="EZ947" s="67" t="s">
        <v>7594</v>
      </c>
      <c r="FA947" s="67">
        <v>20118.595000000001</v>
      </c>
      <c r="FB947" s="67" t="s">
        <v>7595</v>
      </c>
      <c r="FC947" s="67" t="s">
        <v>7596</v>
      </c>
      <c r="FD947" s="67" t="s">
        <v>7597</v>
      </c>
      <c r="FE947" s="68" t="s">
        <v>7598</v>
      </c>
      <c r="FF947" s="68" t="s">
        <v>7599</v>
      </c>
    </row>
    <row r="948" spans="151:162" x14ac:dyDescent="0.2">
      <c r="EU948" s="67">
        <v>566.79999999999995</v>
      </c>
      <c r="EV948" s="67" t="s">
        <v>7600</v>
      </c>
      <c r="EW948" s="67">
        <v>489.45</v>
      </c>
      <c r="EX948" s="67" t="s">
        <v>7601</v>
      </c>
      <c r="EY948" s="67">
        <v>5685.39</v>
      </c>
      <c r="EZ948" s="67" t="s">
        <v>7602</v>
      </c>
      <c r="FA948" s="67">
        <v>20118.007000000001</v>
      </c>
      <c r="FB948" s="67" t="s">
        <v>7603</v>
      </c>
      <c r="FC948" s="67" t="s">
        <v>7604</v>
      </c>
      <c r="FD948" s="67" t="s">
        <v>7605</v>
      </c>
      <c r="FE948" s="68" t="s">
        <v>7606</v>
      </c>
      <c r="FF948" s="68" t="s">
        <v>7607</v>
      </c>
    </row>
    <row r="949" spans="151:162" x14ac:dyDescent="0.2">
      <c r="EU949" s="67">
        <v>566.61</v>
      </c>
      <c r="EV949" s="67" t="s">
        <v>7608</v>
      </c>
      <c r="EW949" s="67">
        <v>489.20499999999998</v>
      </c>
      <c r="EX949" s="67" t="s">
        <v>7609</v>
      </c>
      <c r="EY949" s="67">
        <v>5683.63</v>
      </c>
      <c r="EZ949" s="67" t="s">
        <v>7610</v>
      </c>
      <c r="FA949" s="67">
        <v>20109.411</v>
      </c>
      <c r="FB949" s="67" t="s">
        <v>7611</v>
      </c>
      <c r="FC949" s="67" t="s">
        <v>7612</v>
      </c>
      <c r="FD949" s="67" t="s">
        <v>7613</v>
      </c>
      <c r="FE949" s="68" t="s">
        <v>7614</v>
      </c>
      <c r="FF949" s="68" t="s">
        <v>7615</v>
      </c>
    </row>
    <row r="950" spans="151:162" x14ac:dyDescent="0.2">
      <c r="EU950" s="67">
        <v>567.77</v>
      </c>
      <c r="EV950" s="67" t="s">
        <v>7616</v>
      </c>
      <c r="EW950" s="67">
        <v>490.27</v>
      </c>
      <c r="EX950" s="67" t="s">
        <v>7617</v>
      </c>
      <c r="EY950" s="67">
        <v>5693.71</v>
      </c>
      <c r="EZ950" s="67" t="s">
        <v>7618</v>
      </c>
      <c r="FA950" s="67">
        <v>20143.988000000001</v>
      </c>
      <c r="FB950" s="67" t="s">
        <v>7619</v>
      </c>
      <c r="FC950" s="67" t="s">
        <v>7620</v>
      </c>
      <c r="FD950" s="67" t="s">
        <v>7621</v>
      </c>
      <c r="FE950" s="68" t="s">
        <v>7622</v>
      </c>
      <c r="FF950" s="68" t="s">
        <v>7623</v>
      </c>
    </row>
    <row r="951" spans="151:162" x14ac:dyDescent="0.2">
      <c r="EU951" s="67">
        <v>567.83000000000004</v>
      </c>
      <c r="EV951" s="67" t="s">
        <v>7624</v>
      </c>
      <c r="EW951" s="67">
        <v>490.45</v>
      </c>
      <c r="EX951" s="67" t="s">
        <v>7625</v>
      </c>
      <c r="EY951" s="67">
        <v>5695.25</v>
      </c>
      <c r="EZ951" s="67" t="s">
        <v>7626</v>
      </c>
      <c r="FA951" s="67">
        <v>20153.846000000001</v>
      </c>
      <c r="FB951" s="67" t="s">
        <v>7627</v>
      </c>
      <c r="FC951" s="67" t="s">
        <v>7628</v>
      </c>
      <c r="FD951" s="67" t="s">
        <v>7629</v>
      </c>
      <c r="FE951" s="68" t="s">
        <v>7630</v>
      </c>
      <c r="FF951" s="68" t="s">
        <v>7631</v>
      </c>
    </row>
    <row r="952" spans="151:162" x14ac:dyDescent="0.2">
      <c r="EU952" s="67">
        <v>568.94000000000005</v>
      </c>
      <c r="EV952" s="67" t="s">
        <v>7632</v>
      </c>
      <c r="EW952" s="67">
        <v>491.49</v>
      </c>
      <c r="EX952" s="67" t="s">
        <v>7633</v>
      </c>
      <c r="EY952" s="67">
        <v>5706.37</v>
      </c>
      <c r="EZ952" s="67" t="s">
        <v>7634</v>
      </c>
      <c r="FA952" s="67">
        <v>20197.585999999999</v>
      </c>
      <c r="FB952" s="67" t="s">
        <v>7635</v>
      </c>
      <c r="FC952" s="67" t="s">
        <v>7636</v>
      </c>
      <c r="FD952" s="67" t="s">
        <v>7637</v>
      </c>
      <c r="FE952" s="68" t="s">
        <v>7638</v>
      </c>
      <c r="FF952" s="68" t="s">
        <v>7639</v>
      </c>
    </row>
    <row r="953" spans="151:162" x14ac:dyDescent="0.2">
      <c r="EU953" s="67">
        <v>568.82500000000005</v>
      </c>
      <c r="EV953" s="67" t="s">
        <v>7640</v>
      </c>
      <c r="EW953" s="67">
        <v>491.48</v>
      </c>
      <c r="EX953" s="67" t="s">
        <v>7641</v>
      </c>
      <c r="EY953" s="67">
        <v>5704.4</v>
      </c>
      <c r="EZ953" s="67" t="s">
        <v>7642</v>
      </c>
      <c r="FA953" s="67">
        <v>20194.634999999998</v>
      </c>
      <c r="FB953" s="67" t="s">
        <v>7643</v>
      </c>
      <c r="FC953" s="67" t="s">
        <v>7644</v>
      </c>
      <c r="FD953" s="67" t="s">
        <v>7645</v>
      </c>
      <c r="FE953" s="68" t="s">
        <v>7646</v>
      </c>
      <c r="FF953" s="68" t="s">
        <v>7647</v>
      </c>
    </row>
    <row r="954" spans="151:162" x14ac:dyDescent="0.2">
      <c r="EU954" s="67">
        <v>569.08000000000004</v>
      </c>
      <c r="EV954" s="67" t="s">
        <v>7648</v>
      </c>
      <c r="EW954" s="67">
        <v>491.59</v>
      </c>
      <c r="EX954" s="67" t="s">
        <v>7649</v>
      </c>
      <c r="EY954" s="67">
        <v>5708.43</v>
      </c>
      <c r="EZ954" s="67" t="s">
        <v>7650</v>
      </c>
      <c r="FA954" s="67">
        <v>20204.144</v>
      </c>
      <c r="FB954" s="67" t="s">
        <v>7651</v>
      </c>
      <c r="FC954" s="67" t="s">
        <v>7652</v>
      </c>
      <c r="FD954" s="67" t="s">
        <v>7653</v>
      </c>
      <c r="FE954" s="68" t="s">
        <v>7654</v>
      </c>
      <c r="FF954" s="68" t="s">
        <v>7655</v>
      </c>
    </row>
    <row r="955" spans="151:162" x14ac:dyDescent="0.2">
      <c r="EU955" s="67">
        <v>569.19500000000005</v>
      </c>
      <c r="EV955" s="67" t="s">
        <v>7656</v>
      </c>
      <c r="EW955" s="67">
        <v>491.76</v>
      </c>
      <c r="EX955" s="67" t="s">
        <v>7657</v>
      </c>
      <c r="EY955" s="67">
        <v>5709.19</v>
      </c>
      <c r="EZ955" s="67" t="s">
        <v>7658</v>
      </c>
      <c r="FA955" s="67">
        <v>20209.463</v>
      </c>
      <c r="FB955" s="67" t="s">
        <v>7659</v>
      </c>
      <c r="FC955" s="67" t="s">
        <v>7660</v>
      </c>
      <c r="FD955" s="67" t="s">
        <v>7661</v>
      </c>
      <c r="FE955" s="68" t="s">
        <v>7662</v>
      </c>
      <c r="FF955" s="68" t="s">
        <v>7663</v>
      </c>
    </row>
    <row r="956" spans="151:162" x14ac:dyDescent="0.2">
      <c r="EU956" s="67">
        <v>569.29999999999995</v>
      </c>
      <c r="EV956" s="67" t="s">
        <v>7664</v>
      </c>
      <c r="EW956" s="67">
        <v>491.91</v>
      </c>
      <c r="EX956" s="67" t="s">
        <v>7665</v>
      </c>
      <c r="EY956" s="67">
        <v>5711.29</v>
      </c>
      <c r="EZ956" s="67" t="s">
        <v>7666</v>
      </c>
      <c r="FA956" s="67">
        <v>20219.648000000001</v>
      </c>
      <c r="FB956" s="67" t="s">
        <v>7667</v>
      </c>
      <c r="FC956" s="67" t="s">
        <v>7668</v>
      </c>
      <c r="FD956" s="67" t="s">
        <v>7669</v>
      </c>
      <c r="FE956" s="68" t="s">
        <v>7670</v>
      </c>
      <c r="FF956" s="68" t="s">
        <v>7671</v>
      </c>
    </row>
    <row r="957" spans="151:162" x14ac:dyDescent="0.2">
      <c r="EU957" s="67">
        <v>569.17999999999995</v>
      </c>
      <c r="EV957" s="67" t="s">
        <v>7672</v>
      </c>
      <c r="EW957" s="67">
        <v>491.74</v>
      </c>
      <c r="EX957" s="67" t="s">
        <v>7673</v>
      </c>
      <c r="EY957" s="67">
        <v>5708.82</v>
      </c>
      <c r="EZ957" s="67" t="s">
        <v>7674</v>
      </c>
      <c r="FA957" s="67">
        <v>20208.853999999999</v>
      </c>
      <c r="FB957" s="67" t="s">
        <v>7675</v>
      </c>
      <c r="FC957" s="67" t="s">
        <v>7676</v>
      </c>
      <c r="FD957" s="67" t="s">
        <v>7677</v>
      </c>
      <c r="FE957" s="68" t="s">
        <v>7678</v>
      </c>
      <c r="FF957" s="68" t="s">
        <v>7679</v>
      </c>
    </row>
    <row r="958" spans="151:162" x14ac:dyDescent="0.2">
      <c r="EU958" s="67">
        <v>569.38</v>
      </c>
      <c r="EV958" s="67" t="s">
        <v>7680</v>
      </c>
      <c r="EW958" s="67">
        <v>491.9</v>
      </c>
      <c r="EX958" s="67" t="s">
        <v>7681</v>
      </c>
      <c r="EY958" s="67">
        <v>5711.32</v>
      </c>
      <c r="EZ958" s="67" t="s">
        <v>7682</v>
      </c>
      <c r="FA958" s="67">
        <v>20215.452000000001</v>
      </c>
      <c r="FB958" s="67" t="s">
        <v>7683</v>
      </c>
      <c r="FC958" s="67" t="s">
        <v>7684</v>
      </c>
      <c r="FD958" s="67" t="s">
        <v>7685</v>
      </c>
      <c r="FE958" s="68" t="s">
        <v>7686</v>
      </c>
      <c r="FF958" s="68" t="s">
        <v>7687</v>
      </c>
    </row>
    <row r="959" spans="151:162" x14ac:dyDescent="0.2">
      <c r="EU959" s="67">
        <v>569.30999999999995</v>
      </c>
      <c r="EV959" s="67" t="s">
        <v>7688</v>
      </c>
      <c r="EW959" s="67">
        <v>491.89</v>
      </c>
      <c r="EX959" s="67" t="s">
        <v>7689</v>
      </c>
      <c r="EY959" s="67">
        <v>5709.89</v>
      </c>
      <c r="EZ959" s="67" t="s">
        <v>7690</v>
      </c>
      <c r="FA959" s="67">
        <v>20213.313999999998</v>
      </c>
      <c r="FB959" s="67" t="s">
        <v>7691</v>
      </c>
      <c r="FC959" s="67" t="s">
        <v>7692</v>
      </c>
      <c r="FD959" s="67" t="s">
        <v>7693</v>
      </c>
      <c r="FE959" s="68" t="s">
        <v>7694</v>
      </c>
      <c r="FF959" s="68" t="s">
        <v>7695</v>
      </c>
    </row>
    <row r="960" spans="151:162" x14ac:dyDescent="0.2">
      <c r="EU960" s="67">
        <v>569.1</v>
      </c>
      <c r="EV960" s="67" t="s">
        <v>7696</v>
      </c>
      <c r="EW960" s="67">
        <v>491.74</v>
      </c>
      <c r="EX960" s="67" t="s">
        <v>7697</v>
      </c>
      <c r="EY960" s="67">
        <v>5708.85</v>
      </c>
      <c r="EZ960" s="67" t="s">
        <v>7698</v>
      </c>
      <c r="FA960" s="67">
        <v>20210.7</v>
      </c>
      <c r="FB960" s="67" t="s">
        <v>7699</v>
      </c>
      <c r="FC960" s="67" t="s">
        <v>7700</v>
      </c>
      <c r="FD960" s="67" t="s">
        <v>7701</v>
      </c>
      <c r="FE960" s="68" t="s">
        <v>7702</v>
      </c>
      <c r="FF960" s="68" t="s">
        <v>7703</v>
      </c>
    </row>
    <row r="961" spans="151:162" x14ac:dyDescent="0.2">
      <c r="EU961" s="67">
        <v>568.83000000000004</v>
      </c>
      <c r="EV961" s="67" t="s">
        <v>7704</v>
      </c>
      <c r="EW961" s="67">
        <v>491.42</v>
      </c>
      <c r="EX961" s="67" t="s">
        <v>7705</v>
      </c>
      <c r="EY961" s="67">
        <v>5705.48</v>
      </c>
      <c r="EZ961" s="67" t="s">
        <v>7706</v>
      </c>
      <c r="FA961" s="67">
        <v>20196.956999999999</v>
      </c>
      <c r="FB961" s="67" t="s">
        <v>7707</v>
      </c>
      <c r="FC961" s="67" t="s">
        <v>7708</v>
      </c>
      <c r="FD961" s="67" t="s">
        <v>7709</v>
      </c>
      <c r="FE961" s="68" t="s">
        <v>7710</v>
      </c>
      <c r="FF961" s="68" t="s">
        <v>7711</v>
      </c>
    </row>
    <row r="962" spans="151:162" x14ac:dyDescent="0.2">
      <c r="EU962" s="67">
        <v>568.41</v>
      </c>
      <c r="EV962" s="67" t="s">
        <v>7712</v>
      </c>
      <c r="EW962" s="67">
        <v>491.13499999999999</v>
      </c>
      <c r="EX962" s="67" t="s">
        <v>7713</v>
      </c>
      <c r="EY962" s="67">
        <v>5702.35</v>
      </c>
      <c r="EZ962" s="67" t="s">
        <v>7714</v>
      </c>
      <c r="FA962" s="67">
        <v>20188.536</v>
      </c>
      <c r="FB962" s="67" t="s">
        <v>7715</v>
      </c>
      <c r="FC962" s="67" t="s">
        <v>7716</v>
      </c>
      <c r="FD962" s="67" t="s">
        <v>7717</v>
      </c>
      <c r="FE962" s="68" t="s">
        <v>7718</v>
      </c>
      <c r="FF962" s="68" t="s">
        <v>7719</v>
      </c>
    </row>
    <row r="963" spans="151:162" x14ac:dyDescent="0.2">
      <c r="EU963" s="67">
        <v>568.55999999999995</v>
      </c>
      <c r="EV963" s="67" t="s">
        <v>7720</v>
      </c>
      <c r="EW963" s="67">
        <v>491.23</v>
      </c>
      <c r="EX963" s="67" t="s">
        <v>7721</v>
      </c>
      <c r="EY963" s="67">
        <v>5702.17</v>
      </c>
      <c r="EZ963" s="67" t="s">
        <v>7722</v>
      </c>
      <c r="FA963" s="67">
        <v>20186.863000000001</v>
      </c>
      <c r="FB963" s="67" t="s">
        <v>7723</v>
      </c>
      <c r="FC963" s="67" t="s">
        <v>7724</v>
      </c>
      <c r="FD963" s="67" t="s">
        <v>7725</v>
      </c>
      <c r="FE963" s="68" t="s">
        <v>7726</v>
      </c>
      <c r="FF963" s="68" t="s">
        <v>7727</v>
      </c>
    </row>
    <row r="964" spans="151:162" x14ac:dyDescent="0.2">
      <c r="EU964" s="67">
        <v>568.86</v>
      </c>
      <c r="EV964" s="67" t="s">
        <v>7728</v>
      </c>
      <c r="EW964" s="67">
        <v>491.48</v>
      </c>
      <c r="EX964" s="67" t="s">
        <v>7729</v>
      </c>
      <c r="EY964" s="67">
        <v>5705.41</v>
      </c>
      <c r="EZ964" s="67" t="s">
        <v>7730</v>
      </c>
      <c r="FA964" s="67">
        <v>20197.919999999998</v>
      </c>
      <c r="FB964" s="67" t="s">
        <v>7731</v>
      </c>
      <c r="FC964" s="67" t="s">
        <v>7732</v>
      </c>
      <c r="FD964" s="67" t="s">
        <v>7733</v>
      </c>
      <c r="FE964" s="68" t="s">
        <v>7734</v>
      </c>
      <c r="FF964" s="68" t="s">
        <v>7735</v>
      </c>
    </row>
    <row r="965" spans="151:162" x14ac:dyDescent="0.2">
      <c r="EU965" s="67">
        <v>568.41999999999996</v>
      </c>
      <c r="EV965" s="67" t="s">
        <v>7736</v>
      </c>
      <c r="EW965" s="67">
        <v>491.11</v>
      </c>
      <c r="EX965" s="67" t="s">
        <v>7737</v>
      </c>
      <c r="EY965" s="67">
        <v>5701.29</v>
      </c>
      <c r="EZ965" s="67" t="s">
        <v>7738</v>
      </c>
      <c r="FA965" s="67">
        <v>20183.411</v>
      </c>
      <c r="FB965" s="67" t="s">
        <v>7739</v>
      </c>
      <c r="FC965" s="67" t="s">
        <v>7740</v>
      </c>
      <c r="FD965" s="67" t="s">
        <v>7741</v>
      </c>
      <c r="FE965" s="68" t="s">
        <v>7742</v>
      </c>
      <c r="FF965" s="68" t="s">
        <v>7743</v>
      </c>
    </row>
    <row r="966" spans="151:162" x14ac:dyDescent="0.2">
      <c r="EU966" s="67">
        <v>568.47</v>
      </c>
      <c r="EV966" s="67" t="s">
        <v>7744</v>
      </c>
      <c r="EW966" s="67">
        <v>491.14</v>
      </c>
      <c r="EX966" s="67" t="s">
        <v>7745</v>
      </c>
      <c r="EY966" s="67">
        <v>5701.43</v>
      </c>
      <c r="EZ966" s="67" t="s">
        <v>7746</v>
      </c>
      <c r="FA966" s="67">
        <v>20181.893</v>
      </c>
      <c r="FB966" s="67" t="s">
        <v>7747</v>
      </c>
      <c r="FC966" s="67" t="s">
        <v>7748</v>
      </c>
      <c r="FD966" s="67" t="s">
        <v>7749</v>
      </c>
      <c r="FE966" s="68" t="s">
        <v>7750</v>
      </c>
      <c r="FF966" s="68" t="s">
        <v>7751</v>
      </c>
    </row>
    <row r="967" spans="151:162" x14ac:dyDescent="0.2">
      <c r="EU967" s="67">
        <v>568.38</v>
      </c>
      <c r="EV967" s="67" t="s">
        <v>7752</v>
      </c>
      <c r="EW967" s="67">
        <v>491.08</v>
      </c>
      <c r="EX967" s="67" t="s">
        <v>7753</v>
      </c>
      <c r="EY967" s="67">
        <v>5701.23</v>
      </c>
      <c r="EZ967" s="67" t="s">
        <v>7754</v>
      </c>
      <c r="FA967" s="67">
        <v>20185.578000000001</v>
      </c>
      <c r="FB967" s="67" t="s">
        <v>7755</v>
      </c>
      <c r="FC967" s="67" t="s">
        <v>7756</v>
      </c>
      <c r="FD967" s="67" t="s">
        <v>7757</v>
      </c>
      <c r="FE967" s="68" t="s">
        <v>7758</v>
      </c>
      <c r="FF967" s="68" t="s">
        <v>7759</v>
      </c>
    </row>
    <row r="968" spans="151:162" x14ac:dyDescent="0.2">
      <c r="EU968" s="67">
        <v>568.42999999999995</v>
      </c>
      <c r="EV968" s="67" t="s">
        <v>7760</v>
      </c>
      <c r="EW968" s="67">
        <v>491.13</v>
      </c>
      <c r="EX968" s="67" t="s">
        <v>7761</v>
      </c>
      <c r="EY968" s="67">
        <v>5701.2</v>
      </c>
      <c r="EZ968" s="67" t="s">
        <v>7762</v>
      </c>
      <c r="FA968" s="67">
        <v>20182.938999999998</v>
      </c>
      <c r="FB968" s="67" t="s">
        <v>7763</v>
      </c>
      <c r="FC968" s="67" t="s">
        <v>7764</v>
      </c>
      <c r="FD968" s="67" t="s">
        <v>7765</v>
      </c>
      <c r="FE968" s="68" t="s">
        <v>7766</v>
      </c>
      <c r="FF968" s="68" t="s">
        <v>7767</v>
      </c>
    </row>
    <row r="969" spans="151:162" x14ac:dyDescent="0.2">
      <c r="EU969" s="67">
        <v>568.42999999999995</v>
      </c>
      <c r="EV969" s="67" t="s">
        <v>7768</v>
      </c>
      <c r="EW969" s="67">
        <v>491.16</v>
      </c>
      <c r="EX969" s="67" t="s">
        <v>7769</v>
      </c>
      <c r="EY969" s="67">
        <v>5700.9</v>
      </c>
      <c r="EZ969" s="67" t="s">
        <v>7770</v>
      </c>
      <c r="FA969" s="67">
        <v>20182.064999999999</v>
      </c>
      <c r="FB969" s="67" t="s">
        <v>7771</v>
      </c>
      <c r="FC969" s="67" t="s">
        <v>7772</v>
      </c>
      <c r="FD969" s="67" t="s">
        <v>7773</v>
      </c>
      <c r="FE969" s="68" t="s">
        <v>7774</v>
      </c>
      <c r="FF969" s="68" t="s">
        <v>7775</v>
      </c>
    </row>
    <row r="970" spans="151:162" x14ac:dyDescent="0.2">
      <c r="EU970" s="67">
        <v>568.79999999999995</v>
      </c>
      <c r="EV970" s="67" t="s">
        <v>7776</v>
      </c>
      <c r="EW970" s="67">
        <v>491.48</v>
      </c>
      <c r="EX970" s="67" t="s">
        <v>7777</v>
      </c>
      <c r="EY970" s="67">
        <v>5704.93</v>
      </c>
      <c r="EZ970" s="67" t="s">
        <v>7778</v>
      </c>
      <c r="FA970" s="67">
        <v>20196.771000000001</v>
      </c>
      <c r="FB970" s="67" t="s">
        <v>7779</v>
      </c>
      <c r="FC970" s="67" t="s">
        <v>7780</v>
      </c>
      <c r="FD970" s="67" t="s">
        <v>7781</v>
      </c>
      <c r="FE970" s="68" t="s">
        <v>7782</v>
      </c>
      <c r="FF970" s="68" t="s">
        <v>7783</v>
      </c>
    </row>
    <row r="971" spans="151:162" x14ac:dyDescent="0.2">
      <c r="EU971" s="67">
        <v>568.66499999999996</v>
      </c>
      <c r="EV971" s="67" t="s">
        <v>7784</v>
      </c>
      <c r="EW971" s="67">
        <v>491.3</v>
      </c>
      <c r="EX971" s="67" t="s">
        <v>7785</v>
      </c>
      <c r="EY971" s="67">
        <v>5704.16</v>
      </c>
      <c r="EZ971" s="67" t="s">
        <v>7786</v>
      </c>
      <c r="FA971" s="67">
        <v>20194.589</v>
      </c>
      <c r="FB971" s="67" t="s">
        <v>7787</v>
      </c>
      <c r="FC971" s="67" t="s">
        <v>7788</v>
      </c>
      <c r="FD971" s="67" t="s">
        <v>7789</v>
      </c>
      <c r="FE971" s="68" t="s">
        <v>7790</v>
      </c>
      <c r="FF971" s="68" t="s">
        <v>7791</v>
      </c>
    </row>
    <row r="972" spans="151:162" x14ac:dyDescent="0.2">
      <c r="EU972" s="67">
        <v>568.54</v>
      </c>
      <c r="EV972" s="67" t="s">
        <v>7792</v>
      </c>
      <c r="EW972" s="67">
        <v>491.17</v>
      </c>
      <c r="EX972" s="67" t="s">
        <v>7793</v>
      </c>
      <c r="EY972" s="67">
        <v>5703.26</v>
      </c>
      <c r="EZ972" s="67" t="s">
        <v>7794</v>
      </c>
      <c r="FA972" s="67">
        <v>20189.388999999999</v>
      </c>
      <c r="FB972" s="67" t="s">
        <v>7795</v>
      </c>
      <c r="FC972" s="67" t="s">
        <v>7796</v>
      </c>
      <c r="FD972" s="67" t="s">
        <v>7797</v>
      </c>
      <c r="FE972" s="68" t="s">
        <v>7798</v>
      </c>
      <c r="FF972" s="68" t="s">
        <v>7799</v>
      </c>
    </row>
    <row r="973" spans="151:162" x14ac:dyDescent="0.2">
      <c r="EU973" s="67">
        <v>568.82000000000005</v>
      </c>
      <c r="EV973" s="67" t="s">
        <v>7800</v>
      </c>
      <c r="EW973" s="67">
        <v>491.5</v>
      </c>
      <c r="EX973" s="67" t="s">
        <v>7801</v>
      </c>
      <c r="EY973" s="67">
        <v>5705.19</v>
      </c>
      <c r="EZ973" s="67" t="s">
        <v>7802</v>
      </c>
      <c r="FA973" s="67">
        <v>20198.530999999999</v>
      </c>
      <c r="FB973" s="67" t="s">
        <v>7803</v>
      </c>
      <c r="FC973" s="67" t="s">
        <v>7804</v>
      </c>
      <c r="FD973" s="67" t="s">
        <v>7805</v>
      </c>
      <c r="FE973" s="68" t="s">
        <v>7806</v>
      </c>
      <c r="FF973" s="68" t="s">
        <v>7807</v>
      </c>
    </row>
    <row r="974" spans="151:162" x14ac:dyDescent="0.2">
      <c r="EU974" s="67">
        <v>568.87</v>
      </c>
      <c r="EV974" s="67" t="s">
        <v>7808</v>
      </c>
      <c r="EW974" s="67">
        <v>491.61</v>
      </c>
      <c r="EX974" s="67" t="s">
        <v>7809</v>
      </c>
      <c r="EY974" s="67">
        <v>5706.13</v>
      </c>
      <c r="EZ974" s="67" t="s">
        <v>7810</v>
      </c>
      <c r="FA974" s="67">
        <v>20203.324000000001</v>
      </c>
      <c r="FB974" s="67" t="s">
        <v>7811</v>
      </c>
      <c r="FC974" s="67" t="s">
        <v>7812</v>
      </c>
      <c r="FD974" s="67" t="s">
        <v>7813</v>
      </c>
      <c r="FE974" s="68" t="s">
        <v>7814</v>
      </c>
      <c r="FF974" s="68" t="s">
        <v>7815</v>
      </c>
    </row>
    <row r="975" spans="151:162" x14ac:dyDescent="0.2">
      <c r="EU975" s="67">
        <v>568.90200000000004</v>
      </c>
      <c r="EV975" s="67" t="s">
        <v>7816</v>
      </c>
      <c r="EW975" s="67">
        <v>491.6</v>
      </c>
      <c r="EX975" s="67" t="s">
        <v>7817</v>
      </c>
      <c r="EY975" s="67">
        <v>5706.64</v>
      </c>
      <c r="EZ975" s="67" t="s">
        <v>7818</v>
      </c>
      <c r="FA975" s="67">
        <v>20205.532999999999</v>
      </c>
      <c r="FB975" s="67" t="s">
        <v>7819</v>
      </c>
      <c r="FC975" s="67" t="s">
        <v>7820</v>
      </c>
      <c r="FD975" s="67" t="s">
        <v>7821</v>
      </c>
      <c r="FE975" s="68" t="s">
        <v>7822</v>
      </c>
      <c r="FF975" s="68" t="s">
        <v>7823</v>
      </c>
    </row>
    <row r="976" spans="151:162" x14ac:dyDescent="0.2">
      <c r="EU976" s="67">
        <v>569.02</v>
      </c>
      <c r="EV976" s="67" t="s">
        <v>7824</v>
      </c>
      <c r="EW976" s="67">
        <v>491.65</v>
      </c>
      <c r="EX976" s="67" t="s">
        <v>7825</v>
      </c>
      <c r="EY976" s="67">
        <v>5707.73</v>
      </c>
      <c r="EZ976" s="67" t="s">
        <v>7826</v>
      </c>
      <c r="FA976" s="67">
        <v>20207.535</v>
      </c>
      <c r="FB976" s="67" t="s">
        <v>7827</v>
      </c>
      <c r="FC976" s="67" t="s">
        <v>7828</v>
      </c>
      <c r="FD976" s="67" t="s">
        <v>7829</v>
      </c>
      <c r="FE976" s="68" t="s">
        <v>7830</v>
      </c>
      <c r="FF976" s="68" t="s">
        <v>7831</v>
      </c>
    </row>
    <row r="977" spans="151:162" x14ac:dyDescent="0.2">
      <c r="EU977" s="67">
        <v>568.99</v>
      </c>
      <c r="EV977" s="67" t="s">
        <v>7832</v>
      </c>
      <c r="EW977" s="67">
        <v>491.69</v>
      </c>
      <c r="EX977" s="67" t="s">
        <v>7833</v>
      </c>
      <c r="EY977" s="67">
        <v>5707.29</v>
      </c>
      <c r="EZ977" s="67" t="s">
        <v>7834</v>
      </c>
      <c r="FA977" s="67">
        <v>20207.43</v>
      </c>
      <c r="FB977" s="67" t="s">
        <v>7835</v>
      </c>
      <c r="FC977" s="67" t="s">
        <v>7836</v>
      </c>
      <c r="FD977" s="67" t="s">
        <v>7837</v>
      </c>
      <c r="FE977" s="68" t="s">
        <v>7838</v>
      </c>
      <c r="FF977" s="68" t="s">
        <v>7839</v>
      </c>
    </row>
    <row r="978" spans="151:162" x14ac:dyDescent="0.2">
      <c r="EU978" s="67">
        <v>569.16999999999996</v>
      </c>
      <c r="EV978" s="67" t="s">
        <v>7840</v>
      </c>
      <c r="EW978" s="67">
        <v>491.86</v>
      </c>
      <c r="EX978" s="67" t="s">
        <v>7841</v>
      </c>
      <c r="EY978" s="67">
        <v>5708.8</v>
      </c>
      <c r="EZ978" s="67" t="s">
        <v>7842</v>
      </c>
      <c r="FA978" s="67">
        <v>20214.276999999998</v>
      </c>
      <c r="FB978" s="67" t="s">
        <v>7843</v>
      </c>
      <c r="FC978" s="67" t="s">
        <v>7844</v>
      </c>
      <c r="FD978" s="67" t="s">
        <v>7845</v>
      </c>
      <c r="FE978" s="68" t="s">
        <v>7846</v>
      </c>
      <c r="FF978" s="68" t="s">
        <v>7847</v>
      </c>
    </row>
    <row r="979" spans="151:162" x14ac:dyDescent="0.2">
      <c r="EU979" s="67">
        <v>569.12</v>
      </c>
      <c r="EV979" s="67" t="s">
        <v>7848</v>
      </c>
      <c r="EW979" s="67">
        <v>491.83</v>
      </c>
      <c r="EX979" s="67" t="s">
        <v>7849</v>
      </c>
      <c r="EY979" s="67">
        <v>5708.74</v>
      </c>
      <c r="EZ979" s="67" t="s">
        <v>7850</v>
      </c>
      <c r="FA979" s="67">
        <v>20216.525000000001</v>
      </c>
      <c r="FB979" s="67" t="s">
        <v>7851</v>
      </c>
      <c r="FC979" s="67" t="s">
        <v>7852</v>
      </c>
      <c r="FD979" s="67" t="s">
        <v>7853</v>
      </c>
      <c r="FE979" s="68" t="s">
        <v>7854</v>
      </c>
      <c r="FF979" s="68" t="s">
        <v>7855</v>
      </c>
    </row>
    <row r="980" spans="151:162" x14ac:dyDescent="0.2">
      <c r="EU980" s="67">
        <v>568.99</v>
      </c>
      <c r="EV980" s="67" t="s">
        <v>7856</v>
      </c>
      <c r="EW980" s="67">
        <v>491.8</v>
      </c>
      <c r="EX980" s="67" t="s">
        <v>7857</v>
      </c>
      <c r="EY980" s="67">
        <v>5707.33</v>
      </c>
      <c r="EZ980" s="67" t="s">
        <v>7858</v>
      </c>
      <c r="FA980" s="67">
        <v>20212.449000000001</v>
      </c>
      <c r="FB980" s="67" t="s">
        <v>7859</v>
      </c>
      <c r="FC980" s="67" t="s">
        <v>7860</v>
      </c>
      <c r="FD980" s="67" t="s">
        <v>7861</v>
      </c>
      <c r="FE980" s="68" t="s">
        <v>7862</v>
      </c>
      <c r="FF980" s="68" t="s">
        <v>7863</v>
      </c>
    </row>
    <row r="981" spans="151:162" x14ac:dyDescent="0.2">
      <c r="EU981" s="67">
        <v>569.15</v>
      </c>
      <c r="EV981" s="67" t="s">
        <v>7864</v>
      </c>
      <c r="EW981" s="67">
        <v>491.91</v>
      </c>
      <c r="EX981" s="67" t="s">
        <v>7865</v>
      </c>
      <c r="EY981" s="67">
        <v>5708.31</v>
      </c>
      <c r="EZ981" s="67" t="s">
        <v>7866</v>
      </c>
      <c r="FA981" s="67">
        <v>20215.620999999999</v>
      </c>
      <c r="FB981" s="67" t="s">
        <v>7867</v>
      </c>
      <c r="FC981" s="67" t="s">
        <v>7868</v>
      </c>
      <c r="FD981" s="67" t="s">
        <v>7869</v>
      </c>
      <c r="FE981" s="68" t="s">
        <v>7870</v>
      </c>
      <c r="FF981" s="68" t="s">
        <v>7871</v>
      </c>
    </row>
    <row r="982" spans="151:162" x14ac:dyDescent="0.2">
      <c r="EU982" s="67">
        <v>569.11</v>
      </c>
      <c r="EV982" s="67" t="s">
        <v>7872</v>
      </c>
      <c r="EW982" s="67">
        <v>491.78</v>
      </c>
      <c r="EX982" s="67" t="s">
        <v>7873</v>
      </c>
      <c r="EY982" s="67">
        <v>5707.93</v>
      </c>
      <c r="EZ982" s="67" t="s">
        <v>7874</v>
      </c>
      <c r="FA982" s="67">
        <v>20209.726999999999</v>
      </c>
      <c r="FB982" s="67" t="s">
        <v>7875</v>
      </c>
      <c r="FC982" s="67" t="s">
        <v>7876</v>
      </c>
      <c r="FD982" s="67" t="s">
        <v>7877</v>
      </c>
      <c r="FE982" s="68" t="s">
        <v>7878</v>
      </c>
      <c r="FF982" s="68" t="s">
        <v>7879</v>
      </c>
    </row>
    <row r="983" spans="151:162" x14ac:dyDescent="0.2">
      <c r="EU983" s="67">
        <v>569.27499999999998</v>
      </c>
      <c r="EV983" s="67" t="s">
        <v>7880</v>
      </c>
      <c r="EW983" s="67">
        <v>491.94499999999999</v>
      </c>
      <c r="EX983" s="67" t="s">
        <v>7881</v>
      </c>
      <c r="EY983" s="67">
        <v>5709.87</v>
      </c>
      <c r="EZ983" s="67" t="s">
        <v>7882</v>
      </c>
      <c r="FA983" s="67">
        <v>20217.753000000001</v>
      </c>
      <c r="FB983" s="67" t="s">
        <v>7883</v>
      </c>
      <c r="FC983" s="67" t="s">
        <v>7884</v>
      </c>
      <c r="FD983" s="67" t="s">
        <v>7885</v>
      </c>
      <c r="FE983" s="68" t="s">
        <v>7886</v>
      </c>
      <c r="FF983" s="68" t="s">
        <v>7887</v>
      </c>
    </row>
    <row r="984" spans="151:162" x14ac:dyDescent="0.2">
      <c r="EU984" s="67">
        <v>569.30100000000004</v>
      </c>
      <c r="EV984" s="67" t="s">
        <v>7888</v>
      </c>
      <c r="EW984" s="67">
        <v>492.02</v>
      </c>
      <c r="EX984" s="67" t="s">
        <v>7889</v>
      </c>
      <c r="EY984" s="67">
        <v>5710.26</v>
      </c>
      <c r="EZ984" s="67" t="s">
        <v>7890</v>
      </c>
      <c r="FA984" s="67">
        <v>20221.66</v>
      </c>
      <c r="FB984" s="67" t="s">
        <v>7891</v>
      </c>
      <c r="FC984" s="67" t="s">
        <v>7892</v>
      </c>
      <c r="FD984" s="67" t="s">
        <v>7893</v>
      </c>
      <c r="FE984" s="68" t="s">
        <v>7894</v>
      </c>
      <c r="FF984" s="68" t="s">
        <v>7895</v>
      </c>
    </row>
    <row r="985" spans="151:162" x14ac:dyDescent="0.2">
      <c r="EU985" s="67">
        <v>569.64400000000001</v>
      </c>
      <c r="EV985" s="67" t="s">
        <v>7896</v>
      </c>
      <c r="EW985" s="67">
        <v>492.37</v>
      </c>
      <c r="EX985" s="67" t="s">
        <v>7897</v>
      </c>
      <c r="EY985" s="67">
        <v>5713.55</v>
      </c>
      <c r="EZ985" s="67" t="s">
        <v>7898</v>
      </c>
      <c r="FA985" s="67">
        <v>20233.886999999999</v>
      </c>
      <c r="FB985" s="67" t="s">
        <v>7899</v>
      </c>
      <c r="FC985" s="67" t="s">
        <v>7900</v>
      </c>
      <c r="FD985" s="67" t="s">
        <v>7901</v>
      </c>
      <c r="FE985" s="68" t="s">
        <v>7902</v>
      </c>
      <c r="FF985" s="68" t="s">
        <v>7903</v>
      </c>
    </row>
    <row r="986" spans="151:162" x14ac:dyDescent="0.2">
      <c r="EU986" s="67">
        <v>569.30499999999995</v>
      </c>
      <c r="EV986" s="67" t="s">
        <v>7904</v>
      </c>
      <c r="EW986" s="67">
        <v>492</v>
      </c>
      <c r="EX986" s="67" t="s">
        <v>7905</v>
      </c>
      <c r="EY986" s="67">
        <v>5711.06</v>
      </c>
      <c r="EZ986" s="67" t="s">
        <v>7906</v>
      </c>
      <c r="FA986" s="67">
        <v>20221.280999999999</v>
      </c>
      <c r="FB986" s="67" t="s">
        <v>7907</v>
      </c>
      <c r="FC986" s="67" t="s">
        <v>7908</v>
      </c>
      <c r="FD986" s="67" t="s">
        <v>7909</v>
      </c>
      <c r="FE986" s="68" t="s">
        <v>7910</v>
      </c>
      <c r="FF986" s="68" t="s">
        <v>7911</v>
      </c>
    </row>
    <row r="987" spans="151:162" x14ac:dyDescent="0.2">
      <c r="EU987" s="67">
        <v>569.39</v>
      </c>
      <c r="EV987" s="67" t="s">
        <v>7912</v>
      </c>
      <c r="EW987" s="67">
        <v>492.03</v>
      </c>
      <c r="EX987" s="67" t="s">
        <v>7913</v>
      </c>
      <c r="EY987" s="67">
        <v>5711.49</v>
      </c>
      <c r="EZ987" s="67" t="s">
        <v>7914</v>
      </c>
      <c r="FA987" s="67">
        <v>20221.86</v>
      </c>
      <c r="FB987" s="67" t="s">
        <v>7915</v>
      </c>
      <c r="FC987" s="67" t="s">
        <v>7916</v>
      </c>
      <c r="FD987" s="67" t="s">
        <v>7917</v>
      </c>
      <c r="FE987" s="68" t="s">
        <v>7918</v>
      </c>
      <c r="FF987" s="68" t="s">
        <v>7919</v>
      </c>
    </row>
    <row r="988" spans="151:162" x14ac:dyDescent="0.2">
      <c r="EU988" s="67">
        <v>569.48</v>
      </c>
      <c r="EV988" s="67" t="s">
        <v>7920</v>
      </c>
      <c r="EW988" s="67">
        <v>492.08</v>
      </c>
      <c r="EX988" s="67" t="s">
        <v>7921</v>
      </c>
      <c r="EY988" s="67">
        <v>5711.96</v>
      </c>
      <c r="EZ988" s="67" t="s">
        <v>7922</v>
      </c>
      <c r="FA988" s="67">
        <v>20225.022000000001</v>
      </c>
      <c r="FB988" s="67" t="s">
        <v>7923</v>
      </c>
      <c r="FC988" s="67" t="s">
        <v>7924</v>
      </c>
      <c r="FD988" s="67" t="s">
        <v>7925</v>
      </c>
      <c r="FE988" s="68" t="s">
        <v>7926</v>
      </c>
      <c r="FF988" s="68" t="s">
        <v>7927</v>
      </c>
    </row>
    <row r="989" spans="151:162" x14ac:dyDescent="0.2">
      <c r="EU989" s="67">
        <v>569.53</v>
      </c>
      <c r="EV989" s="67" t="s">
        <v>7928</v>
      </c>
      <c r="EW989" s="67">
        <v>492.09</v>
      </c>
      <c r="EX989" s="67" t="s">
        <v>7929</v>
      </c>
      <c r="EY989" s="67">
        <v>5713.2</v>
      </c>
      <c r="EZ989" s="67" t="s">
        <v>7930</v>
      </c>
      <c r="FA989" s="67">
        <v>20227.282999999999</v>
      </c>
      <c r="FB989" s="67" t="s">
        <v>7931</v>
      </c>
      <c r="FC989" s="67" t="s">
        <v>7932</v>
      </c>
      <c r="FD989" s="67" t="s">
        <v>7933</v>
      </c>
      <c r="FE989" s="68" t="s">
        <v>7934</v>
      </c>
      <c r="FF989" s="68" t="s">
        <v>7935</v>
      </c>
    </row>
    <row r="990" spans="151:162" x14ac:dyDescent="0.2">
      <c r="EU990" s="67">
        <v>569.27</v>
      </c>
      <c r="EV990" s="67" t="s">
        <v>7936</v>
      </c>
      <c r="EW990" s="67">
        <v>491.87</v>
      </c>
      <c r="EX990" s="67" t="s">
        <v>7937</v>
      </c>
      <c r="EY990" s="67">
        <v>5710.77</v>
      </c>
      <c r="EZ990" s="67" t="s">
        <v>7938</v>
      </c>
      <c r="FA990" s="67">
        <v>20216.268</v>
      </c>
      <c r="FB990" s="67" t="s">
        <v>7939</v>
      </c>
      <c r="FC990" s="67" t="s">
        <v>7940</v>
      </c>
      <c r="FD990" s="67" t="s">
        <v>7941</v>
      </c>
      <c r="FE990" s="68" t="s">
        <v>7942</v>
      </c>
      <c r="FF990" s="68" t="s">
        <v>7943</v>
      </c>
    </row>
    <row r="991" spans="151:162" x14ac:dyDescent="0.2">
      <c r="EU991" s="67">
        <v>569.03499999999997</v>
      </c>
      <c r="EV991" s="67" t="s">
        <v>7944</v>
      </c>
      <c r="EW991" s="67">
        <v>491.55</v>
      </c>
      <c r="EX991" s="67" t="s">
        <v>7945</v>
      </c>
      <c r="EY991" s="67">
        <v>5707.97</v>
      </c>
      <c r="EZ991" s="67" t="s">
        <v>7946</v>
      </c>
      <c r="FA991" s="67">
        <v>20203.692999999999</v>
      </c>
      <c r="FB991" s="67" t="s">
        <v>7947</v>
      </c>
      <c r="FC991" s="67" t="s">
        <v>7948</v>
      </c>
      <c r="FD991" s="67" t="s">
        <v>7949</v>
      </c>
      <c r="FE991" s="68" t="s">
        <v>7950</v>
      </c>
      <c r="FF991" s="68" t="s">
        <v>7951</v>
      </c>
    </row>
    <row r="992" spans="151:162" x14ac:dyDescent="0.2">
      <c r="EU992" s="67">
        <v>569.29</v>
      </c>
      <c r="EV992" s="67" t="s">
        <v>7952</v>
      </c>
      <c r="EW992" s="67">
        <v>491.86</v>
      </c>
      <c r="EX992" s="67" t="s">
        <v>7953</v>
      </c>
      <c r="EY992" s="67">
        <v>5710.19</v>
      </c>
      <c r="EZ992" s="67" t="s">
        <v>7954</v>
      </c>
      <c r="FA992" s="67">
        <v>20214.82</v>
      </c>
      <c r="FB992" s="67" t="s">
        <v>7955</v>
      </c>
      <c r="FC992" s="67" t="s">
        <v>7956</v>
      </c>
      <c r="FD992" s="67" t="s">
        <v>7957</v>
      </c>
      <c r="FE992" s="68" t="s">
        <v>7958</v>
      </c>
      <c r="FF992" s="68" t="s">
        <v>7959</v>
      </c>
    </row>
    <row r="993" spans="151:162" x14ac:dyDescent="0.2">
      <c r="EU993" s="67">
        <v>569.21500000000003</v>
      </c>
      <c r="EV993" s="67" t="s">
        <v>7960</v>
      </c>
      <c r="EW993" s="67">
        <v>491.77</v>
      </c>
      <c r="EX993" s="67" t="s">
        <v>7961</v>
      </c>
      <c r="EY993" s="67">
        <v>5709.71</v>
      </c>
      <c r="EZ993" s="67" t="s">
        <v>7962</v>
      </c>
      <c r="FA993" s="67">
        <v>20214.519</v>
      </c>
      <c r="FB993" s="67" t="s">
        <v>7963</v>
      </c>
      <c r="FC993" s="67" t="s">
        <v>7964</v>
      </c>
      <c r="FD993" s="67" t="s">
        <v>7965</v>
      </c>
      <c r="FE993" s="68" t="s">
        <v>7966</v>
      </c>
      <c r="FF993" s="68" t="s">
        <v>7967</v>
      </c>
    </row>
    <row r="994" spans="151:162" x14ac:dyDescent="0.2">
      <c r="EU994" s="67">
        <v>569.274</v>
      </c>
      <c r="EV994" s="67" t="s">
        <v>7968</v>
      </c>
      <c r="EW994" s="67">
        <v>491.87</v>
      </c>
      <c r="EX994" s="67" t="s">
        <v>7969</v>
      </c>
      <c r="EY994" s="67">
        <v>5709.91</v>
      </c>
      <c r="EZ994" s="67" t="s">
        <v>7970</v>
      </c>
      <c r="FA994" s="67">
        <v>20215.579000000002</v>
      </c>
      <c r="FB994" s="67" t="s">
        <v>7971</v>
      </c>
      <c r="FC994" s="67" t="s">
        <v>7972</v>
      </c>
      <c r="FD994" s="67" t="s">
        <v>7973</v>
      </c>
      <c r="FE994" s="68" t="s">
        <v>7974</v>
      </c>
      <c r="FF994" s="68" t="s">
        <v>7975</v>
      </c>
    </row>
    <row r="995" spans="151:162" x14ac:dyDescent="0.2">
      <c r="EU995" s="67">
        <v>568.88</v>
      </c>
      <c r="EV995" s="67" t="s">
        <v>7976</v>
      </c>
      <c r="EW995" s="67">
        <v>491.49</v>
      </c>
      <c r="EX995" s="67" t="s">
        <v>7977</v>
      </c>
      <c r="EY995" s="67">
        <v>5706.46</v>
      </c>
      <c r="EZ995" s="67" t="s">
        <v>7978</v>
      </c>
      <c r="FA995" s="67">
        <v>20202.7</v>
      </c>
      <c r="FB995" s="67" t="s">
        <v>7979</v>
      </c>
      <c r="FC995" s="67" t="s">
        <v>7980</v>
      </c>
      <c r="FD995" s="67" t="s">
        <v>7981</v>
      </c>
      <c r="FE995" s="68" t="s">
        <v>7982</v>
      </c>
      <c r="FF995" s="68" t="s">
        <v>7983</v>
      </c>
    </row>
    <row r="996" spans="151:162" x14ac:dyDescent="0.2">
      <c r="EU996" s="67">
        <v>568.86</v>
      </c>
      <c r="EV996" s="67" t="s">
        <v>7984</v>
      </c>
      <c r="EW996" s="67">
        <v>491.46</v>
      </c>
      <c r="EX996" s="67" t="s">
        <v>7985</v>
      </c>
      <c r="EY996" s="67">
        <v>5706.24</v>
      </c>
      <c r="EZ996" s="67" t="s">
        <v>7986</v>
      </c>
      <c r="FA996" s="67">
        <v>20201.830000000002</v>
      </c>
      <c r="FB996" s="67" t="s">
        <v>7987</v>
      </c>
      <c r="FC996" s="67" t="s">
        <v>7988</v>
      </c>
      <c r="FD996" s="67" t="s">
        <v>7989</v>
      </c>
      <c r="FE996" s="68" t="s">
        <v>7990</v>
      </c>
      <c r="FF996" s="68" t="s">
        <v>7991</v>
      </c>
    </row>
    <row r="997" spans="151:162" x14ac:dyDescent="0.2">
      <c r="EU997" s="67">
        <v>568.93100000000004</v>
      </c>
      <c r="EV997" s="67" t="s">
        <v>7992</v>
      </c>
      <c r="EW997" s="67">
        <v>491.57</v>
      </c>
      <c r="EX997" s="67" t="s">
        <v>7993</v>
      </c>
      <c r="EY997" s="67">
        <v>5706.32</v>
      </c>
      <c r="EZ997" s="67" t="s">
        <v>7994</v>
      </c>
      <c r="FA997" s="67">
        <v>20203.339</v>
      </c>
      <c r="FB997" s="67" t="s">
        <v>7995</v>
      </c>
      <c r="FC997" s="67" t="s">
        <v>7996</v>
      </c>
      <c r="FD997" s="67" t="s">
        <v>7997</v>
      </c>
      <c r="FE997" s="68" t="s">
        <v>7998</v>
      </c>
      <c r="FF997" s="68" t="s">
        <v>7999</v>
      </c>
    </row>
    <row r="998" spans="151:162" x14ac:dyDescent="0.2">
      <c r="EU998" s="67">
        <v>568.83000000000004</v>
      </c>
      <c r="EV998" s="67" t="s">
        <v>8000</v>
      </c>
      <c r="EW998" s="67">
        <v>491.4</v>
      </c>
      <c r="EX998" s="67" t="s">
        <v>8001</v>
      </c>
      <c r="EY998" s="67">
        <v>5704.84</v>
      </c>
      <c r="EZ998" s="67" t="s">
        <v>8002</v>
      </c>
      <c r="FA998" s="67">
        <v>20196.046999999999</v>
      </c>
      <c r="FB998" s="67" t="s">
        <v>8003</v>
      </c>
      <c r="FC998" s="67" t="s">
        <v>8004</v>
      </c>
      <c r="FD998" s="67" t="s">
        <v>8005</v>
      </c>
      <c r="FE998" s="68" t="s">
        <v>8006</v>
      </c>
      <c r="FF998" s="68" t="s">
        <v>8007</v>
      </c>
    </row>
    <row r="999" spans="151:162" x14ac:dyDescent="0.2">
      <c r="EU999" s="67">
        <v>568.84</v>
      </c>
      <c r="EV999" s="67" t="s">
        <v>8008</v>
      </c>
      <c r="EW999" s="67">
        <v>491.43</v>
      </c>
      <c r="EX999" s="67" t="s">
        <v>8009</v>
      </c>
      <c r="EY999" s="67">
        <v>5705.84</v>
      </c>
      <c r="EZ999" s="67" t="s">
        <v>8010</v>
      </c>
      <c r="FA999" s="67">
        <v>20198.481</v>
      </c>
      <c r="FB999" s="67" t="s">
        <v>8011</v>
      </c>
      <c r="FC999" s="67" t="s">
        <v>8012</v>
      </c>
      <c r="FD999" s="67" t="s">
        <v>8013</v>
      </c>
      <c r="FE999" s="68" t="s">
        <v>8014</v>
      </c>
      <c r="FF999" s="68" t="s">
        <v>8015</v>
      </c>
    </row>
    <row r="1000" spans="151:162" x14ac:dyDescent="0.2">
      <c r="EU1000" s="67">
        <v>568.9</v>
      </c>
      <c r="EV1000" s="67" t="s">
        <v>8016</v>
      </c>
      <c r="EW1000" s="67">
        <v>491.51</v>
      </c>
      <c r="EX1000" s="67" t="s">
        <v>8017</v>
      </c>
      <c r="EY1000" s="67">
        <v>5706.18</v>
      </c>
      <c r="EZ1000" s="67" t="s">
        <v>8018</v>
      </c>
      <c r="FA1000" s="67">
        <v>20200.065999999999</v>
      </c>
      <c r="FB1000" s="67" t="s">
        <v>8019</v>
      </c>
      <c r="FC1000" s="67" t="s">
        <v>8020</v>
      </c>
      <c r="FD1000" s="67" t="s">
        <v>8021</v>
      </c>
      <c r="FE1000" s="68" t="s">
        <v>8022</v>
      </c>
      <c r="FF1000" s="68" t="s">
        <v>8023</v>
      </c>
    </row>
    <row r="1001" spans="151:162" x14ac:dyDescent="0.2">
      <c r="EU1001" s="67">
        <v>568.91999999999996</v>
      </c>
      <c r="EV1001" s="67" t="s">
        <v>8024</v>
      </c>
      <c r="EW1001" s="67">
        <v>491.46</v>
      </c>
      <c r="EX1001" s="67" t="s">
        <v>8025</v>
      </c>
      <c r="EY1001" s="67">
        <v>5706.41</v>
      </c>
      <c r="EZ1001" s="67" t="s">
        <v>8026</v>
      </c>
      <c r="FA1001" s="67">
        <v>20200.75</v>
      </c>
      <c r="FB1001" s="67" t="s">
        <v>8027</v>
      </c>
      <c r="FC1001" s="67" t="s">
        <v>8028</v>
      </c>
      <c r="FD1001" s="67" t="s">
        <v>8029</v>
      </c>
      <c r="FE1001" s="68" t="s">
        <v>8030</v>
      </c>
      <c r="FF1001" s="68" t="s">
        <v>8031</v>
      </c>
    </row>
    <row r="1002" spans="151:162" x14ac:dyDescent="0.2">
      <c r="EU1002" s="67">
        <v>569.1</v>
      </c>
      <c r="EV1002" s="67" t="s">
        <v>8032</v>
      </c>
      <c r="EW1002" s="67">
        <v>491.63</v>
      </c>
      <c r="EX1002" s="67" t="s">
        <v>8033</v>
      </c>
      <c r="EY1002" s="67">
        <v>5708.32</v>
      </c>
      <c r="EZ1002" s="67" t="s">
        <v>8034</v>
      </c>
      <c r="FA1002" s="67">
        <v>20206.522000000001</v>
      </c>
      <c r="FB1002" s="67" t="s">
        <v>8035</v>
      </c>
      <c r="FC1002" s="67" t="s">
        <v>8036</v>
      </c>
      <c r="FD1002" s="67" t="s">
        <v>8037</v>
      </c>
      <c r="FE1002" s="68" t="s">
        <v>8038</v>
      </c>
      <c r="FF1002" s="68" t="s">
        <v>8039</v>
      </c>
    </row>
    <row r="1003" spans="151:162" x14ac:dyDescent="0.2">
      <c r="EU1003" s="67">
        <v>568.96</v>
      </c>
      <c r="EV1003" s="67" t="s">
        <v>8040</v>
      </c>
      <c r="EW1003" s="67">
        <v>491.51</v>
      </c>
      <c r="EX1003" s="67" t="s">
        <v>8041</v>
      </c>
      <c r="EY1003" s="67">
        <v>5707.37</v>
      </c>
      <c r="EZ1003" s="67" t="s">
        <v>8042</v>
      </c>
      <c r="FA1003" s="67">
        <v>20203.345000000001</v>
      </c>
      <c r="FB1003" s="67" t="s">
        <v>8043</v>
      </c>
      <c r="FC1003" s="67" t="s">
        <v>8044</v>
      </c>
      <c r="FD1003" s="67" t="s">
        <v>8045</v>
      </c>
      <c r="FE1003" s="68" t="s">
        <v>8046</v>
      </c>
      <c r="FF1003" s="68" t="s">
        <v>8047</v>
      </c>
    </row>
    <row r="1004" spans="151:162" x14ac:dyDescent="0.2">
      <c r="EU1004" s="67">
        <v>568.99</v>
      </c>
      <c r="EV1004" s="67" t="s">
        <v>8048</v>
      </c>
      <c r="EW1004" s="67">
        <v>491.5</v>
      </c>
      <c r="EX1004" s="67" t="s">
        <v>8049</v>
      </c>
      <c r="EY1004" s="67">
        <v>5707.31</v>
      </c>
      <c r="EZ1004" s="67" t="s">
        <v>8050</v>
      </c>
      <c r="FA1004" s="67">
        <v>20203.370999999999</v>
      </c>
      <c r="FB1004" s="67" t="s">
        <v>8051</v>
      </c>
      <c r="FC1004" s="67" t="s">
        <v>8052</v>
      </c>
      <c r="FD1004" s="67" t="s">
        <v>8053</v>
      </c>
      <c r="FE1004" s="68" t="s">
        <v>8054</v>
      </c>
      <c r="FF1004" s="68" t="s">
        <v>8055</v>
      </c>
    </row>
    <row r="1005" spans="151:162" x14ac:dyDescent="0.2">
      <c r="EU1005" s="67">
        <v>568.97</v>
      </c>
      <c r="EV1005" s="67" t="s">
        <v>8056</v>
      </c>
      <c r="EW1005" s="67">
        <v>491.5</v>
      </c>
      <c r="EX1005" s="67" t="s">
        <v>8057</v>
      </c>
      <c r="EY1005" s="67">
        <v>5706.94</v>
      </c>
      <c r="EZ1005" s="67" t="s">
        <v>8058</v>
      </c>
      <c r="FA1005" s="67">
        <v>20201.544000000002</v>
      </c>
      <c r="FB1005" s="67" t="s">
        <v>8059</v>
      </c>
      <c r="FC1005" s="67" t="s">
        <v>8060</v>
      </c>
      <c r="FD1005" s="67" t="s">
        <v>8061</v>
      </c>
      <c r="FE1005" s="68" t="s">
        <v>8062</v>
      </c>
      <c r="FF1005" s="68" t="s">
        <v>8063</v>
      </c>
    </row>
    <row r="1006" spans="151:162" x14ac:dyDescent="0.2">
      <c r="EU1006" s="67">
        <v>569.12</v>
      </c>
      <c r="EV1006" s="67" t="s">
        <v>8064</v>
      </c>
      <c r="EW1006" s="67">
        <v>491.74</v>
      </c>
      <c r="EX1006" s="67" t="s">
        <v>8065</v>
      </c>
      <c r="EY1006" s="67">
        <v>5708.39</v>
      </c>
      <c r="EZ1006" s="67" t="s">
        <v>8066</v>
      </c>
      <c r="FA1006" s="67">
        <v>20209.516</v>
      </c>
      <c r="FB1006" s="67" t="s">
        <v>8067</v>
      </c>
      <c r="FC1006" s="67" t="s">
        <v>8068</v>
      </c>
      <c r="FD1006" s="67" t="s">
        <v>8069</v>
      </c>
      <c r="FE1006" s="68" t="s">
        <v>8070</v>
      </c>
      <c r="FF1006" s="68" t="s">
        <v>8071</v>
      </c>
    </row>
    <row r="1007" spans="151:162" x14ac:dyDescent="0.2">
      <c r="EU1007" s="67">
        <v>569.41999999999996</v>
      </c>
      <c r="EV1007" s="67" t="s">
        <v>8072</v>
      </c>
      <c r="EW1007" s="67">
        <v>491.99</v>
      </c>
      <c r="EX1007" s="67" t="s">
        <v>8073</v>
      </c>
      <c r="EY1007" s="67">
        <v>5711.41</v>
      </c>
      <c r="EZ1007" s="67" t="s">
        <v>8074</v>
      </c>
      <c r="FA1007" s="67">
        <v>20219.769</v>
      </c>
      <c r="FB1007" s="67" t="s">
        <v>8075</v>
      </c>
      <c r="FC1007" s="67" t="s">
        <v>8076</v>
      </c>
      <c r="FD1007" s="67" t="s">
        <v>8077</v>
      </c>
      <c r="FE1007" s="68" t="s">
        <v>8078</v>
      </c>
      <c r="FF1007" s="68" t="s">
        <v>8079</v>
      </c>
    </row>
    <row r="1008" spans="151:162" x14ac:dyDescent="0.2">
      <c r="EU1008" s="67">
        <v>569.375</v>
      </c>
      <c r="EV1008" s="67" t="s">
        <v>8080</v>
      </c>
      <c r="EW1008" s="67">
        <v>491.92</v>
      </c>
      <c r="EX1008" s="67" t="s">
        <v>8081</v>
      </c>
      <c r="EY1008" s="67">
        <v>5710.79</v>
      </c>
      <c r="EZ1008" s="67" t="s">
        <v>8082</v>
      </c>
      <c r="FA1008" s="67">
        <v>20217.547999999999</v>
      </c>
      <c r="FB1008" s="67" t="s">
        <v>8083</v>
      </c>
      <c r="FC1008" s="67" t="s">
        <v>8084</v>
      </c>
      <c r="FD1008" s="67" t="s">
        <v>8085</v>
      </c>
      <c r="FE1008" s="68" t="s">
        <v>8086</v>
      </c>
      <c r="FF1008" s="68" t="s">
        <v>8087</v>
      </c>
    </row>
    <row r="1009" spans="151:162" x14ac:dyDescent="0.2">
      <c r="EU1009" s="67">
        <v>569.20000000000005</v>
      </c>
      <c r="EV1009" s="67" t="s">
        <v>8088</v>
      </c>
      <c r="EW1009" s="67">
        <v>491.78</v>
      </c>
      <c r="EX1009" s="67" t="s">
        <v>8089</v>
      </c>
      <c r="EY1009" s="67">
        <v>5709.42</v>
      </c>
      <c r="EZ1009" s="67" t="s">
        <v>8090</v>
      </c>
      <c r="FA1009" s="67">
        <v>20212.691999999999</v>
      </c>
      <c r="FB1009" s="67" t="s">
        <v>8091</v>
      </c>
      <c r="FC1009" s="67" t="s">
        <v>8092</v>
      </c>
      <c r="FD1009" s="67" t="s">
        <v>8093</v>
      </c>
      <c r="FE1009" s="68" t="s">
        <v>8094</v>
      </c>
      <c r="FF1009" s="68" t="s">
        <v>8095</v>
      </c>
    </row>
    <row r="1010" spans="151:162" x14ac:dyDescent="0.2">
      <c r="EU1010" s="67">
        <v>569.32500000000005</v>
      </c>
      <c r="EV1010" s="67" t="s">
        <v>8096</v>
      </c>
      <c r="EW1010" s="67">
        <v>491.91</v>
      </c>
      <c r="EX1010" s="67" t="s">
        <v>8097</v>
      </c>
      <c r="EY1010" s="67">
        <v>5710.45</v>
      </c>
      <c r="EZ1010" s="67" t="s">
        <v>8098</v>
      </c>
      <c r="FA1010" s="67">
        <v>20218.165000000001</v>
      </c>
      <c r="FB1010" s="67" t="s">
        <v>8099</v>
      </c>
      <c r="FC1010" s="67" t="s">
        <v>8100</v>
      </c>
      <c r="FD1010" s="67" t="s">
        <v>8101</v>
      </c>
      <c r="FE1010" s="68" t="s">
        <v>8102</v>
      </c>
      <c r="FF1010" s="68" t="s">
        <v>8103</v>
      </c>
    </row>
    <row r="1011" spans="151:162" x14ac:dyDescent="0.2">
      <c r="EU1011" s="67">
        <v>569.58000000000004</v>
      </c>
      <c r="EV1011" s="67" t="s">
        <v>8104</v>
      </c>
      <c r="EW1011" s="67">
        <v>492.13</v>
      </c>
      <c r="EX1011" s="67" t="s">
        <v>8105</v>
      </c>
      <c r="EY1011" s="67">
        <v>5712.62</v>
      </c>
      <c r="EZ1011" s="67" t="s">
        <v>8106</v>
      </c>
      <c r="FA1011" s="67">
        <v>20225.136999999999</v>
      </c>
      <c r="FB1011" s="67" t="s">
        <v>8107</v>
      </c>
      <c r="FC1011" s="67" t="s">
        <v>8108</v>
      </c>
      <c r="FD1011" s="67" t="s">
        <v>8109</v>
      </c>
      <c r="FE1011" s="68" t="s">
        <v>8110</v>
      </c>
      <c r="FF1011" s="68" t="s">
        <v>8111</v>
      </c>
    </row>
    <row r="1012" spans="151:162" x14ac:dyDescent="0.2">
      <c r="EU1012" s="67">
        <v>569.67999999999995</v>
      </c>
      <c r="EV1012" s="67" t="s">
        <v>8112</v>
      </c>
      <c r="EW1012" s="67">
        <v>492.255</v>
      </c>
      <c r="EX1012" s="67" t="s">
        <v>8113</v>
      </c>
      <c r="EY1012" s="67">
        <v>5714.21</v>
      </c>
      <c r="EZ1012" s="67" t="s">
        <v>8114</v>
      </c>
      <c r="FA1012" s="67">
        <v>20232.517</v>
      </c>
      <c r="FB1012" s="67" t="s">
        <v>8115</v>
      </c>
      <c r="FC1012" s="67" t="s">
        <v>8116</v>
      </c>
      <c r="FD1012" s="67" t="s">
        <v>8117</v>
      </c>
      <c r="FE1012" s="68" t="s">
        <v>8118</v>
      </c>
      <c r="FF1012" s="68" t="s">
        <v>8119</v>
      </c>
    </row>
    <row r="1013" spans="151:162" x14ac:dyDescent="0.2">
      <c r="EU1013" s="67">
        <v>569.65</v>
      </c>
      <c r="EV1013" s="67" t="s">
        <v>8120</v>
      </c>
      <c r="EW1013" s="67">
        <v>492.14</v>
      </c>
      <c r="EX1013" s="67" t="s">
        <v>8121</v>
      </c>
      <c r="EY1013" s="67">
        <v>5713.37</v>
      </c>
      <c r="EZ1013" s="67" t="s">
        <v>8122</v>
      </c>
      <c r="FA1013" s="67">
        <v>20225.411</v>
      </c>
      <c r="FB1013" s="67" t="s">
        <v>8123</v>
      </c>
      <c r="FC1013" s="67" t="s">
        <v>8124</v>
      </c>
      <c r="FD1013" s="67" t="s">
        <v>8125</v>
      </c>
      <c r="FE1013" s="68" t="s">
        <v>8126</v>
      </c>
      <c r="FF1013" s="68" t="s">
        <v>8127</v>
      </c>
    </row>
    <row r="1014" spans="151:162" x14ac:dyDescent="0.2">
      <c r="EU1014" s="67">
        <v>569.68499999999995</v>
      </c>
      <c r="EV1014" s="67" t="s">
        <v>8128</v>
      </c>
      <c r="EW1014" s="67">
        <v>492.16</v>
      </c>
      <c r="EX1014" s="67" t="s">
        <v>8129</v>
      </c>
      <c r="EY1014" s="67">
        <v>5713.88</v>
      </c>
      <c r="EZ1014" s="67" t="s">
        <v>8130</v>
      </c>
      <c r="FA1014" s="67">
        <v>20226.611000000001</v>
      </c>
      <c r="FB1014" s="67" t="s">
        <v>8131</v>
      </c>
      <c r="FC1014" s="67" t="s">
        <v>8132</v>
      </c>
      <c r="FD1014" s="67" t="s">
        <v>8133</v>
      </c>
      <c r="FE1014" s="68" t="s">
        <v>8134</v>
      </c>
      <c r="FF1014" s="68" t="s">
        <v>8135</v>
      </c>
    </row>
    <row r="1015" spans="151:162" x14ac:dyDescent="0.2">
      <c r="EU1015" s="67">
        <v>569.63</v>
      </c>
      <c r="EV1015" s="67" t="s">
        <v>8136</v>
      </c>
      <c r="EW1015" s="67">
        <v>492.12599999999998</v>
      </c>
      <c r="EX1015" s="67" t="s">
        <v>8137</v>
      </c>
      <c r="EY1015" s="67">
        <v>5713.64</v>
      </c>
      <c r="EZ1015" s="67" t="s">
        <v>8138</v>
      </c>
      <c r="FA1015" s="67">
        <v>20225.647000000001</v>
      </c>
      <c r="FB1015" s="67" t="s">
        <v>8139</v>
      </c>
      <c r="FC1015" s="67" t="s">
        <v>8140</v>
      </c>
      <c r="FD1015" s="67" t="s">
        <v>8141</v>
      </c>
      <c r="FE1015" s="68" t="s">
        <v>8142</v>
      </c>
      <c r="FF1015" s="68" t="s">
        <v>8143</v>
      </c>
    </row>
    <row r="1016" spans="151:162" x14ac:dyDescent="0.2">
      <c r="EU1016" s="67">
        <v>569.82000000000005</v>
      </c>
      <c r="EV1016" s="67" t="s">
        <v>8144</v>
      </c>
      <c r="EW1016" s="67">
        <v>492.3</v>
      </c>
      <c r="EX1016" s="67" t="s">
        <v>8145</v>
      </c>
      <c r="EY1016" s="67">
        <v>5715.57</v>
      </c>
      <c r="EZ1016" s="67" t="s">
        <v>8146</v>
      </c>
      <c r="FA1016" s="67">
        <v>20233.945</v>
      </c>
      <c r="FB1016" s="67" t="s">
        <v>8147</v>
      </c>
      <c r="FC1016" s="67" t="s">
        <v>8148</v>
      </c>
      <c r="FD1016" s="67" t="s">
        <v>8149</v>
      </c>
      <c r="FE1016" s="68" t="s">
        <v>8150</v>
      </c>
      <c r="FF1016" s="68" t="s">
        <v>8151</v>
      </c>
    </row>
    <row r="1017" spans="151:162" x14ac:dyDescent="0.2">
      <c r="EU1017" s="67">
        <v>570.01199999999994</v>
      </c>
      <c r="EV1017" s="67" t="s">
        <v>8152</v>
      </c>
      <c r="EW1017" s="67">
        <v>492.47500000000002</v>
      </c>
      <c r="EX1017" s="67" t="s">
        <v>8153</v>
      </c>
      <c r="EY1017" s="67">
        <v>5717.15</v>
      </c>
      <c r="EZ1017" s="67" t="s">
        <v>8154</v>
      </c>
      <c r="FA1017" s="67">
        <v>20240.734</v>
      </c>
      <c r="FB1017" s="67" t="s">
        <v>8155</v>
      </c>
      <c r="FC1017" s="67" t="s">
        <v>8156</v>
      </c>
      <c r="FD1017" s="67" t="s">
        <v>8157</v>
      </c>
      <c r="FE1017" s="68" t="s">
        <v>8158</v>
      </c>
      <c r="FF1017" s="68" t="s">
        <v>8159</v>
      </c>
    </row>
    <row r="1018" spans="151:162" x14ac:dyDescent="0.2">
      <c r="EU1018" s="67">
        <v>569.98900000000003</v>
      </c>
      <c r="EV1018" s="67" t="s">
        <v>8160</v>
      </c>
      <c r="EW1018" s="67">
        <v>492.39</v>
      </c>
      <c r="EX1018" s="67" t="s">
        <v>8161</v>
      </c>
      <c r="EY1018" s="67">
        <v>5716.94</v>
      </c>
      <c r="EZ1018" s="67" t="s">
        <v>8162</v>
      </c>
      <c r="FA1018" s="67">
        <v>20238.037</v>
      </c>
      <c r="FB1018" s="67" t="s">
        <v>8163</v>
      </c>
      <c r="FC1018" s="67" t="s">
        <v>8164</v>
      </c>
      <c r="FD1018" s="67" t="s">
        <v>8165</v>
      </c>
      <c r="FE1018" s="68" t="s">
        <v>8166</v>
      </c>
      <c r="FF1018" s="68" t="s">
        <v>8167</v>
      </c>
    </row>
    <row r="1019" spans="151:162" x14ac:dyDescent="0.2">
      <c r="EU1019" s="67">
        <v>570.25</v>
      </c>
      <c r="EV1019" s="67" t="s">
        <v>8168</v>
      </c>
      <c r="EW1019" s="67">
        <v>492.65</v>
      </c>
      <c r="EX1019" s="67" t="s">
        <v>8169</v>
      </c>
      <c r="EY1019" s="67">
        <v>5719.5</v>
      </c>
      <c r="EZ1019" s="67" t="s">
        <v>8170</v>
      </c>
      <c r="FA1019" s="67">
        <v>20247.697</v>
      </c>
      <c r="FB1019" s="67" t="s">
        <v>8171</v>
      </c>
      <c r="FC1019" s="67" t="s">
        <v>8172</v>
      </c>
      <c r="FD1019" s="67" t="s">
        <v>8173</v>
      </c>
      <c r="FE1019" s="68" t="s">
        <v>8174</v>
      </c>
      <c r="FF1019" s="68" t="s">
        <v>8175</v>
      </c>
    </row>
    <row r="1020" spans="151:162" x14ac:dyDescent="0.2">
      <c r="EU1020" s="67">
        <v>570.16999999999996</v>
      </c>
      <c r="EV1020" s="67" t="s">
        <v>8176</v>
      </c>
      <c r="EW1020" s="67">
        <v>492.56</v>
      </c>
      <c r="EX1020" s="67" t="s">
        <v>8177</v>
      </c>
      <c r="EY1020" s="67">
        <v>5719.22</v>
      </c>
      <c r="EZ1020" s="67" t="s">
        <v>8178</v>
      </c>
      <c r="FA1020" s="67">
        <v>20245.771000000001</v>
      </c>
      <c r="FB1020" s="67" t="s">
        <v>8179</v>
      </c>
      <c r="FC1020" s="67" t="s">
        <v>8180</v>
      </c>
      <c r="FD1020" s="67" t="s">
        <v>8181</v>
      </c>
      <c r="FE1020" s="68" t="s">
        <v>8182</v>
      </c>
      <c r="FF1020" s="68" t="s">
        <v>8183</v>
      </c>
    </row>
    <row r="1021" spans="151:162" x14ac:dyDescent="0.2">
      <c r="EU1021" s="67">
        <v>570.17999999999995</v>
      </c>
      <c r="EV1021" s="67" t="s">
        <v>8184</v>
      </c>
      <c r="EW1021" s="67">
        <v>492.59</v>
      </c>
      <c r="EX1021" s="67" t="s">
        <v>8185</v>
      </c>
      <c r="EY1021" s="67">
        <v>5718.88</v>
      </c>
      <c r="EZ1021" s="67" t="s">
        <v>8186</v>
      </c>
      <c r="FA1021" s="67">
        <v>20247.235000000001</v>
      </c>
      <c r="FB1021" s="67" t="s">
        <v>8187</v>
      </c>
      <c r="FC1021" s="67" t="s">
        <v>8188</v>
      </c>
      <c r="FD1021" s="67" t="s">
        <v>8189</v>
      </c>
      <c r="FE1021" s="68" t="s">
        <v>8190</v>
      </c>
      <c r="FF1021" s="68" t="s">
        <v>8191</v>
      </c>
    </row>
    <row r="1022" spans="151:162" x14ac:dyDescent="0.2">
      <c r="EU1022" s="67">
        <v>570.20000000000005</v>
      </c>
      <c r="EV1022" s="67" t="s">
        <v>8192</v>
      </c>
      <c r="EW1022" s="67">
        <v>492.61</v>
      </c>
      <c r="EX1022" s="67" t="s">
        <v>8193</v>
      </c>
      <c r="EY1022" s="67">
        <v>5719.47</v>
      </c>
      <c r="EZ1022" s="67" t="s">
        <v>8194</v>
      </c>
      <c r="FA1022" s="67">
        <v>20248.791000000001</v>
      </c>
      <c r="FB1022" s="67" t="s">
        <v>8195</v>
      </c>
      <c r="FC1022" s="67" t="s">
        <v>8196</v>
      </c>
      <c r="FD1022" s="67" t="s">
        <v>8197</v>
      </c>
      <c r="FE1022" s="68" t="s">
        <v>8198</v>
      </c>
      <c r="FF1022" s="68" t="s">
        <v>8199</v>
      </c>
    </row>
    <row r="1023" spans="151:162" x14ac:dyDescent="0.2">
      <c r="EU1023" s="67">
        <v>570.17499999999995</v>
      </c>
      <c r="EV1023" s="67" t="s">
        <v>8200</v>
      </c>
      <c r="EW1023" s="67">
        <v>492.57</v>
      </c>
      <c r="EX1023" s="67" t="s">
        <v>8201</v>
      </c>
      <c r="EY1023" s="67">
        <v>5719.02</v>
      </c>
      <c r="EZ1023" s="67" t="s">
        <v>8202</v>
      </c>
      <c r="FA1023" s="67">
        <v>20245.562000000002</v>
      </c>
      <c r="FB1023" s="67" t="s">
        <v>8203</v>
      </c>
      <c r="FC1023" s="67" t="s">
        <v>8204</v>
      </c>
      <c r="FD1023" s="67" t="s">
        <v>8205</v>
      </c>
      <c r="FE1023" s="68" t="s">
        <v>8206</v>
      </c>
      <c r="FF1023" s="68" t="s">
        <v>8207</v>
      </c>
    </row>
    <row r="1024" spans="151:162" x14ac:dyDescent="0.2">
      <c r="EU1024" s="67">
        <v>570.05999999999995</v>
      </c>
      <c r="EV1024" s="67" t="s">
        <v>8208</v>
      </c>
      <c r="EW1024" s="67">
        <v>492.46</v>
      </c>
      <c r="EX1024" s="67" t="s">
        <v>8209</v>
      </c>
      <c r="EY1024" s="67">
        <v>5718.01</v>
      </c>
      <c r="EZ1024" s="67" t="s">
        <v>8210</v>
      </c>
      <c r="FA1024" s="67">
        <v>20241.657999999999</v>
      </c>
      <c r="FB1024" s="67" t="s">
        <v>8211</v>
      </c>
      <c r="FC1024" s="67" t="s">
        <v>8212</v>
      </c>
      <c r="FD1024" s="67" t="s">
        <v>8213</v>
      </c>
      <c r="FE1024" s="68" t="s">
        <v>8214</v>
      </c>
      <c r="FF1024" s="68" t="s">
        <v>8215</v>
      </c>
    </row>
    <row r="1025" spans="151:162" x14ac:dyDescent="0.2">
      <c r="EU1025" s="67">
        <v>570.13</v>
      </c>
      <c r="EV1025" s="67" t="s">
        <v>8216</v>
      </c>
      <c r="EW1025" s="67">
        <v>492.51</v>
      </c>
      <c r="EX1025" s="67" t="s">
        <v>8217</v>
      </c>
      <c r="EY1025" s="67">
        <v>5718.25</v>
      </c>
      <c r="EZ1025" s="67" t="s">
        <v>8218</v>
      </c>
      <c r="FA1025" s="67">
        <v>20242.300999999999</v>
      </c>
      <c r="FB1025" s="67" t="s">
        <v>8219</v>
      </c>
      <c r="FC1025" s="67" t="s">
        <v>8220</v>
      </c>
      <c r="FD1025" s="67" t="s">
        <v>8221</v>
      </c>
      <c r="FE1025" s="68" t="s">
        <v>8222</v>
      </c>
      <c r="FF1025" s="68" t="s">
        <v>8223</v>
      </c>
    </row>
    <row r="1026" spans="151:162" x14ac:dyDescent="0.2">
      <c r="EU1026" s="67">
        <v>570.12</v>
      </c>
      <c r="EV1026" s="67" t="s">
        <v>8224</v>
      </c>
      <c r="EW1026" s="67">
        <v>492.55</v>
      </c>
      <c r="EX1026" s="67" t="s">
        <v>8225</v>
      </c>
      <c r="EY1026" s="67">
        <v>5718.57</v>
      </c>
      <c r="EZ1026" s="67" t="s">
        <v>8226</v>
      </c>
      <c r="FA1026" s="67">
        <v>20244.499</v>
      </c>
      <c r="FB1026" s="67" t="s">
        <v>8227</v>
      </c>
      <c r="FC1026" s="67" t="s">
        <v>8228</v>
      </c>
      <c r="FD1026" s="67" t="s">
        <v>8229</v>
      </c>
      <c r="FE1026" s="68" t="s">
        <v>8230</v>
      </c>
      <c r="FF1026" s="68" t="s">
        <v>8231</v>
      </c>
    </row>
    <row r="1027" spans="151:162" x14ac:dyDescent="0.2">
      <c r="EU1027" s="67">
        <v>570.09</v>
      </c>
      <c r="EV1027" s="67" t="s">
        <v>8232</v>
      </c>
      <c r="EW1027" s="67">
        <v>492.53100000000001</v>
      </c>
      <c r="EX1027" s="67" t="s">
        <v>8233</v>
      </c>
      <c r="EY1027" s="67">
        <v>5718.09</v>
      </c>
      <c r="EZ1027" s="67" t="s">
        <v>8234</v>
      </c>
      <c r="FA1027" s="67">
        <v>20244.006000000001</v>
      </c>
      <c r="FB1027" s="67" t="s">
        <v>8235</v>
      </c>
      <c r="FC1027" s="67" t="s">
        <v>8236</v>
      </c>
      <c r="FD1027" s="67" t="s">
        <v>8237</v>
      </c>
      <c r="FE1027" s="68" t="s">
        <v>8238</v>
      </c>
      <c r="FF1027" s="68" t="s">
        <v>8239</v>
      </c>
    </row>
    <row r="1028" spans="151:162" x14ac:dyDescent="0.2">
      <c r="EU1028" s="67">
        <v>570.02</v>
      </c>
      <c r="EV1028" s="67" t="s">
        <v>8240</v>
      </c>
      <c r="EW1028" s="67">
        <v>492.43</v>
      </c>
      <c r="EX1028" s="67" t="s">
        <v>8241</v>
      </c>
      <c r="EY1028" s="67">
        <v>5717.48</v>
      </c>
      <c r="EZ1028" s="67" t="s">
        <v>8242</v>
      </c>
      <c r="FA1028" s="67">
        <v>20240.003000000001</v>
      </c>
      <c r="FB1028" s="67" t="s">
        <v>8243</v>
      </c>
      <c r="FC1028" s="67" t="s">
        <v>8244</v>
      </c>
      <c r="FD1028" s="67" t="s">
        <v>8245</v>
      </c>
      <c r="FE1028" s="68" t="s">
        <v>8246</v>
      </c>
      <c r="FF1028" s="68" t="s">
        <v>8247</v>
      </c>
    </row>
    <row r="1029" spans="151:162" x14ac:dyDescent="0.2">
      <c r="EU1029" s="67">
        <v>569.86500000000001</v>
      </c>
      <c r="EV1029" s="67" t="s">
        <v>8248</v>
      </c>
      <c r="EW1029" s="67">
        <v>492.26</v>
      </c>
      <c r="EX1029" s="67" t="s">
        <v>8249</v>
      </c>
      <c r="EY1029" s="67">
        <v>5716.02</v>
      </c>
      <c r="EZ1029" s="67" t="s">
        <v>8250</v>
      </c>
      <c r="FA1029" s="67">
        <v>20232.681</v>
      </c>
      <c r="FB1029" s="67" t="s">
        <v>8251</v>
      </c>
      <c r="FC1029" s="67" t="s">
        <v>8252</v>
      </c>
      <c r="FD1029" s="67" t="s">
        <v>8253</v>
      </c>
      <c r="FE1029" s="68" t="s">
        <v>8254</v>
      </c>
      <c r="FF1029" s="68" t="s">
        <v>8255</v>
      </c>
    </row>
    <row r="1030" spans="151:162" x14ac:dyDescent="0.2">
      <c r="EU1030" s="67">
        <v>569.70000000000005</v>
      </c>
      <c r="EV1030" s="67" t="s">
        <v>8256</v>
      </c>
      <c r="EW1030" s="67">
        <v>492.16</v>
      </c>
      <c r="EX1030" s="67" t="s">
        <v>8257</v>
      </c>
      <c r="EY1030" s="67">
        <v>5714.73</v>
      </c>
      <c r="EZ1030" s="67" t="s">
        <v>8258</v>
      </c>
      <c r="FA1030" s="67">
        <v>20229.210999999999</v>
      </c>
      <c r="FB1030" s="67" t="s">
        <v>8259</v>
      </c>
      <c r="FC1030" s="67" t="s">
        <v>8260</v>
      </c>
      <c r="FD1030" s="67" t="s">
        <v>8261</v>
      </c>
      <c r="FE1030" s="68" t="s">
        <v>8262</v>
      </c>
      <c r="FF1030" s="68" t="s">
        <v>8263</v>
      </c>
    </row>
    <row r="1031" spans="151:162" x14ac:dyDescent="0.2">
      <c r="EU1031" s="67">
        <v>569.77</v>
      </c>
      <c r="EV1031" s="67" t="s">
        <v>8264</v>
      </c>
      <c r="EW1031" s="67">
        <v>492.17</v>
      </c>
      <c r="EX1031" s="67" t="s">
        <v>8265</v>
      </c>
      <c r="EY1031" s="67">
        <v>5714.94</v>
      </c>
      <c r="EZ1031" s="67" t="s">
        <v>8266</v>
      </c>
      <c r="FA1031" s="67">
        <v>20230.489000000001</v>
      </c>
      <c r="FB1031" s="67" t="s">
        <v>8267</v>
      </c>
      <c r="FC1031" s="67" t="s">
        <v>8268</v>
      </c>
      <c r="FD1031" s="67" t="s">
        <v>8269</v>
      </c>
      <c r="FE1031" s="68" t="s">
        <v>8270</v>
      </c>
      <c r="FF1031" s="68" t="s">
        <v>8271</v>
      </c>
    </row>
    <row r="1032" spans="151:162" x14ac:dyDescent="0.2">
      <c r="EU1032" s="67">
        <v>569.58000000000004</v>
      </c>
      <c r="EV1032" s="67" t="s">
        <v>8272</v>
      </c>
      <c r="EW1032" s="67">
        <v>492.05</v>
      </c>
      <c r="EX1032" s="67" t="s">
        <v>8273</v>
      </c>
      <c r="EY1032" s="67">
        <v>5713.86</v>
      </c>
      <c r="EZ1032" s="67" t="s">
        <v>8274</v>
      </c>
      <c r="FA1032" s="67">
        <v>20228.558000000001</v>
      </c>
      <c r="FB1032" s="67" t="s">
        <v>8275</v>
      </c>
      <c r="FC1032" s="67" t="s">
        <v>8276</v>
      </c>
      <c r="FD1032" s="67" t="s">
        <v>8277</v>
      </c>
      <c r="FE1032" s="68" t="s">
        <v>8278</v>
      </c>
      <c r="FF1032" s="68" t="s">
        <v>8279</v>
      </c>
    </row>
    <row r="1033" spans="151:162" x14ac:dyDescent="0.2">
      <c r="EU1033" s="67">
        <v>569.41999999999996</v>
      </c>
      <c r="EV1033" s="67" t="s">
        <v>8280</v>
      </c>
      <c r="EW1033" s="67">
        <v>491.89</v>
      </c>
      <c r="EX1033" s="67" t="s">
        <v>8281</v>
      </c>
      <c r="EY1033" s="67">
        <v>5711.77</v>
      </c>
      <c r="EZ1033" s="67" t="s">
        <v>8282</v>
      </c>
      <c r="FA1033" s="67">
        <v>20220.168000000001</v>
      </c>
      <c r="FB1033" s="67" t="s">
        <v>8283</v>
      </c>
      <c r="FC1033" s="67" t="s">
        <v>8284</v>
      </c>
      <c r="FD1033" s="67" t="s">
        <v>8285</v>
      </c>
      <c r="FE1033" s="68" t="s">
        <v>8286</v>
      </c>
      <c r="FF1033" s="68" t="s">
        <v>8287</v>
      </c>
    </row>
    <row r="1034" spans="151:162" x14ac:dyDescent="0.2">
      <c r="EU1034" s="67">
        <v>569.47</v>
      </c>
      <c r="EV1034" s="67" t="s">
        <v>8288</v>
      </c>
      <c r="EW1034" s="67">
        <v>492</v>
      </c>
      <c r="EX1034" s="67" t="s">
        <v>8289</v>
      </c>
      <c r="EY1034" s="67">
        <v>5712.31</v>
      </c>
      <c r="EZ1034" s="67" t="s">
        <v>8290</v>
      </c>
      <c r="FA1034" s="67">
        <v>20223.73</v>
      </c>
      <c r="FB1034" s="67" t="s">
        <v>8291</v>
      </c>
      <c r="FC1034" s="67" t="s">
        <v>8292</v>
      </c>
      <c r="FD1034" s="67" t="s">
        <v>8293</v>
      </c>
      <c r="FE1034" s="68" t="s">
        <v>8294</v>
      </c>
      <c r="FF1034" s="68" t="s">
        <v>8295</v>
      </c>
    </row>
    <row r="1035" spans="151:162" x14ac:dyDescent="0.2">
      <c r="EU1035" s="67">
        <v>569.78</v>
      </c>
      <c r="EV1035" s="67" t="s">
        <v>8296</v>
      </c>
      <c r="EW1035" s="67">
        <v>492.27600000000001</v>
      </c>
      <c r="EX1035" s="67" t="s">
        <v>8297</v>
      </c>
      <c r="EY1035" s="67">
        <v>5714.93</v>
      </c>
      <c r="EZ1035" s="67" t="s">
        <v>8298</v>
      </c>
      <c r="FA1035" s="67">
        <v>20232.705000000002</v>
      </c>
      <c r="FB1035" s="67" t="s">
        <v>8299</v>
      </c>
      <c r="FC1035" s="67" t="s">
        <v>8300</v>
      </c>
      <c r="FD1035" s="67" t="s">
        <v>8301</v>
      </c>
      <c r="FE1035" s="68" t="s">
        <v>8302</v>
      </c>
      <c r="FF1035" s="68" t="s">
        <v>8303</v>
      </c>
    </row>
    <row r="1036" spans="151:162" x14ac:dyDescent="0.2">
      <c r="EU1036" s="67">
        <v>569.58600000000001</v>
      </c>
      <c r="EV1036" s="67" t="s">
        <v>8304</v>
      </c>
      <c r="EW1036" s="67">
        <v>492.09</v>
      </c>
      <c r="EX1036" s="67" t="s">
        <v>8305</v>
      </c>
      <c r="EY1036" s="67">
        <v>5713.63</v>
      </c>
      <c r="EZ1036" s="67" t="s">
        <v>8306</v>
      </c>
      <c r="FA1036" s="67">
        <v>20228.886999999999</v>
      </c>
      <c r="FB1036" s="67" t="s">
        <v>8307</v>
      </c>
      <c r="FC1036" s="67" t="s">
        <v>8308</v>
      </c>
      <c r="FD1036" s="67" t="s">
        <v>8309</v>
      </c>
      <c r="FE1036" s="68" t="s">
        <v>8310</v>
      </c>
      <c r="FF1036" s="68" t="s">
        <v>8311</v>
      </c>
    </row>
    <row r="1037" spans="151:162" x14ac:dyDescent="0.2">
      <c r="EU1037" s="67">
        <v>569.39099999999996</v>
      </c>
      <c r="EV1037" s="67" t="s">
        <v>8312</v>
      </c>
      <c r="EW1037" s="67">
        <v>491.90499999999997</v>
      </c>
      <c r="EX1037" s="67" t="s">
        <v>8313</v>
      </c>
      <c r="EY1037" s="67">
        <v>5711.54</v>
      </c>
      <c r="EZ1037" s="67" t="s">
        <v>8314</v>
      </c>
      <c r="FA1037" s="67">
        <v>20220.59</v>
      </c>
      <c r="FB1037" s="67" t="s">
        <v>8315</v>
      </c>
      <c r="FC1037" s="67" t="s">
        <v>8316</v>
      </c>
      <c r="FD1037" s="67" t="s">
        <v>8317</v>
      </c>
      <c r="FE1037" s="68" t="s">
        <v>8318</v>
      </c>
      <c r="FF1037" s="68" t="s">
        <v>8319</v>
      </c>
    </row>
    <row r="1038" spans="151:162" x14ac:dyDescent="0.2">
      <c r="EU1038" s="67">
        <v>569.36</v>
      </c>
      <c r="EV1038" s="67" t="s">
        <v>8320</v>
      </c>
      <c r="EW1038" s="67">
        <v>491.87</v>
      </c>
      <c r="EX1038" s="67" t="s">
        <v>8321</v>
      </c>
      <c r="EY1038" s="67">
        <v>5710.95</v>
      </c>
      <c r="EZ1038" s="67" t="s">
        <v>8322</v>
      </c>
      <c r="FA1038" s="67">
        <v>20217.583999999999</v>
      </c>
      <c r="FB1038" s="67" t="s">
        <v>8323</v>
      </c>
      <c r="FC1038" s="67" t="s">
        <v>8324</v>
      </c>
      <c r="FD1038" s="67" t="s">
        <v>8325</v>
      </c>
      <c r="FE1038" s="68" t="s">
        <v>8326</v>
      </c>
      <c r="FF1038" s="68" t="s">
        <v>8327</v>
      </c>
    </row>
    <row r="1039" spans="151:162" x14ac:dyDescent="0.2">
      <c r="EU1039" s="67">
        <v>569.41</v>
      </c>
      <c r="EV1039" s="67" t="s">
        <v>8328</v>
      </c>
      <c r="EW1039" s="67">
        <v>491.91</v>
      </c>
      <c r="EX1039" s="67" t="s">
        <v>8329</v>
      </c>
      <c r="EY1039" s="67">
        <v>5711.24</v>
      </c>
      <c r="EZ1039" s="67" t="s">
        <v>8330</v>
      </c>
      <c r="FA1039" s="67">
        <v>20218.035</v>
      </c>
      <c r="FB1039" s="67" t="s">
        <v>8331</v>
      </c>
      <c r="FC1039" s="67" t="s">
        <v>8332</v>
      </c>
      <c r="FD1039" s="67" t="s">
        <v>8333</v>
      </c>
      <c r="FE1039" s="68" t="s">
        <v>8334</v>
      </c>
      <c r="FF1039" s="68" t="s">
        <v>8335</v>
      </c>
    </row>
    <row r="1040" spans="151:162" x14ac:dyDescent="0.2">
      <c r="EU1040" s="67">
        <v>569.22</v>
      </c>
      <c r="EV1040" s="67" t="s">
        <v>8336</v>
      </c>
      <c r="EW1040" s="67">
        <v>491.75</v>
      </c>
      <c r="EX1040" s="67" t="s">
        <v>8337</v>
      </c>
      <c r="EY1040" s="67">
        <v>5709.43</v>
      </c>
      <c r="EZ1040" s="67" t="s">
        <v>8338</v>
      </c>
      <c r="FA1040" s="67">
        <v>20211.427</v>
      </c>
      <c r="FB1040" s="67" t="s">
        <v>8339</v>
      </c>
      <c r="FC1040" s="67" t="s">
        <v>8340</v>
      </c>
      <c r="FD1040" s="67" t="s">
        <v>8341</v>
      </c>
      <c r="FE1040" s="68" t="s">
        <v>8342</v>
      </c>
      <c r="FF1040" s="68" t="s">
        <v>8343</v>
      </c>
    </row>
    <row r="1041" spans="151:162" x14ac:dyDescent="0.2">
      <c r="EU1041" s="67">
        <v>569.36</v>
      </c>
      <c r="EV1041" s="67" t="s">
        <v>8344</v>
      </c>
      <c r="EW1041" s="67">
        <v>491.9</v>
      </c>
      <c r="EX1041" s="67" t="s">
        <v>8345</v>
      </c>
      <c r="EY1041" s="67">
        <v>5710.57</v>
      </c>
      <c r="EZ1041" s="67" t="s">
        <v>8346</v>
      </c>
      <c r="FA1041" s="67">
        <v>20216.496999999999</v>
      </c>
      <c r="FB1041" s="67" t="s">
        <v>8347</v>
      </c>
      <c r="FC1041" s="67" t="s">
        <v>8348</v>
      </c>
      <c r="FD1041" s="67" t="s">
        <v>8349</v>
      </c>
      <c r="FE1041" s="68" t="s">
        <v>8350</v>
      </c>
      <c r="FF1041" s="68" t="s">
        <v>8351</v>
      </c>
    </row>
    <row r="1042" spans="151:162" x14ac:dyDescent="0.2">
      <c r="EU1042" s="67">
        <v>569.22</v>
      </c>
      <c r="EV1042" s="67" t="s">
        <v>8352</v>
      </c>
      <c r="EW1042" s="67">
        <v>491.72</v>
      </c>
      <c r="EX1042" s="67" t="s">
        <v>8353</v>
      </c>
      <c r="EY1042" s="67">
        <v>5709.13</v>
      </c>
      <c r="EZ1042" s="67" t="s">
        <v>8354</v>
      </c>
      <c r="FA1042" s="67">
        <v>20211.413</v>
      </c>
      <c r="FB1042" s="67" t="s">
        <v>8355</v>
      </c>
      <c r="FC1042" s="67" t="s">
        <v>8356</v>
      </c>
      <c r="FD1042" s="67" t="s">
        <v>8357</v>
      </c>
      <c r="FE1042" s="68" t="s">
        <v>8358</v>
      </c>
      <c r="FF1042" s="68" t="s">
        <v>8359</v>
      </c>
    </row>
    <row r="1043" spans="151:162" x14ac:dyDescent="0.2">
      <c r="EU1043" s="67">
        <v>569.20100000000002</v>
      </c>
      <c r="EV1043" s="67" t="s">
        <v>8360</v>
      </c>
      <c r="EW1043" s="67">
        <v>491.67</v>
      </c>
      <c r="EX1043" s="67" t="s">
        <v>8361</v>
      </c>
      <c r="EY1043" s="67">
        <v>5709.33</v>
      </c>
      <c r="EZ1043" s="67" t="s">
        <v>8362</v>
      </c>
      <c r="FA1043" s="67">
        <v>20210.257000000001</v>
      </c>
      <c r="FB1043" s="67" t="s">
        <v>8363</v>
      </c>
      <c r="FC1043" s="67" t="s">
        <v>8364</v>
      </c>
      <c r="FD1043" s="67" t="s">
        <v>8365</v>
      </c>
      <c r="FE1043" s="68" t="s">
        <v>8366</v>
      </c>
      <c r="FF1043" s="68" t="s">
        <v>8367</v>
      </c>
    </row>
    <row r="1044" spans="151:162" x14ac:dyDescent="0.2">
      <c r="EU1044" s="67">
        <v>569.09</v>
      </c>
      <c r="EV1044" s="67" t="s">
        <v>8368</v>
      </c>
      <c r="EW1044" s="67">
        <v>491.6</v>
      </c>
      <c r="EX1044" s="67" t="s">
        <v>8369</v>
      </c>
      <c r="EY1044" s="67">
        <v>5708.51</v>
      </c>
      <c r="EZ1044" s="67" t="s">
        <v>8370</v>
      </c>
      <c r="FA1044" s="67">
        <v>20207.357</v>
      </c>
      <c r="FB1044" s="67" t="s">
        <v>8371</v>
      </c>
      <c r="FC1044" s="67" t="s">
        <v>8372</v>
      </c>
      <c r="FD1044" s="67" t="s">
        <v>8373</v>
      </c>
      <c r="FE1044" s="68" t="s">
        <v>8374</v>
      </c>
      <c r="FF1044" s="68" t="s">
        <v>8375</v>
      </c>
    </row>
    <row r="1045" spans="151:162" x14ac:dyDescent="0.2">
      <c r="EU1045" s="67">
        <v>569.19000000000005</v>
      </c>
      <c r="EV1045" s="67" t="s">
        <v>8376</v>
      </c>
      <c r="EW1045" s="67">
        <v>491.745</v>
      </c>
      <c r="EX1045" s="67" t="s">
        <v>8377</v>
      </c>
      <c r="EY1045" s="67">
        <v>5709.4</v>
      </c>
      <c r="EZ1045" s="67" t="s">
        <v>8378</v>
      </c>
      <c r="FA1045" s="67">
        <v>20213.203000000001</v>
      </c>
      <c r="FB1045" s="67" t="s">
        <v>8379</v>
      </c>
      <c r="FC1045" s="67" t="s">
        <v>8380</v>
      </c>
      <c r="FD1045" s="67" t="s">
        <v>8381</v>
      </c>
      <c r="FE1045" s="68" t="s">
        <v>8382</v>
      </c>
      <c r="FF1045" s="68" t="s">
        <v>8383</v>
      </c>
    </row>
    <row r="1046" spans="151:162" x14ac:dyDescent="0.2">
      <c r="EU1046" s="67">
        <v>569.1</v>
      </c>
      <c r="EV1046" s="67" t="s">
        <v>8384</v>
      </c>
      <c r="EW1046" s="67">
        <v>491.65</v>
      </c>
      <c r="EX1046" s="67" t="s">
        <v>8385</v>
      </c>
      <c r="EY1046" s="67">
        <v>5708.63</v>
      </c>
      <c r="EZ1046" s="67" t="s">
        <v>8386</v>
      </c>
      <c r="FA1046" s="67">
        <v>20210.516</v>
      </c>
      <c r="FB1046" s="67" t="s">
        <v>8387</v>
      </c>
      <c r="FC1046" s="67" t="s">
        <v>8388</v>
      </c>
      <c r="FD1046" s="67" t="s">
        <v>8389</v>
      </c>
      <c r="FE1046" s="68" t="s">
        <v>8390</v>
      </c>
      <c r="FF1046" s="68" t="s">
        <v>8391</v>
      </c>
    </row>
    <row r="1047" spans="151:162" x14ac:dyDescent="0.2">
      <c r="EU1047" s="67">
        <v>569.22</v>
      </c>
      <c r="EV1047" s="67" t="s">
        <v>8392</v>
      </c>
      <c r="EW1047" s="67">
        <v>491.7</v>
      </c>
      <c r="EX1047" s="67" t="s">
        <v>8393</v>
      </c>
      <c r="EY1047" s="67">
        <v>5709.41</v>
      </c>
      <c r="EZ1047" s="67" t="s">
        <v>8394</v>
      </c>
      <c r="FA1047" s="67">
        <v>20211.448</v>
      </c>
      <c r="FB1047" s="67" t="s">
        <v>8395</v>
      </c>
      <c r="FC1047" s="67" t="s">
        <v>8396</v>
      </c>
      <c r="FD1047" s="67" t="s">
        <v>8397</v>
      </c>
      <c r="FE1047" s="68" t="s">
        <v>8398</v>
      </c>
      <c r="FF1047" s="68" t="s">
        <v>8399</v>
      </c>
    </row>
    <row r="1048" spans="151:162" x14ac:dyDescent="0.2">
      <c r="EU1048" s="67">
        <v>568.95000000000005</v>
      </c>
      <c r="EV1048" s="67" t="s">
        <v>8400</v>
      </c>
      <c r="EW1048" s="67">
        <v>491.46</v>
      </c>
      <c r="EX1048" s="67" t="s">
        <v>8401</v>
      </c>
      <c r="EY1048" s="67">
        <v>5707.67</v>
      </c>
      <c r="EZ1048" s="67" t="s">
        <v>8402</v>
      </c>
      <c r="FA1048" s="67">
        <v>20205.312999999998</v>
      </c>
      <c r="FB1048" s="67" t="s">
        <v>8403</v>
      </c>
      <c r="FC1048" s="67" t="s">
        <v>8404</v>
      </c>
      <c r="FD1048" s="67" t="s">
        <v>8405</v>
      </c>
      <c r="FE1048" s="68" t="s">
        <v>8406</v>
      </c>
      <c r="FF1048" s="68" t="s">
        <v>8407</v>
      </c>
    </row>
    <row r="1049" spans="151:162" x14ac:dyDescent="0.2">
      <c r="EU1049" s="67">
        <v>568.91</v>
      </c>
      <c r="EV1049" s="67" t="s">
        <v>8408</v>
      </c>
      <c r="EW1049" s="67">
        <v>491.44</v>
      </c>
      <c r="EX1049" s="67" t="s">
        <v>8409</v>
      </c>
      <c r="EY1049" s="67">
        <v>5706.68</v>
      </c>
      <c r="EZ1049" s="67" t="s">
        <v>8410</v>
      </c>
      <c r="FA1049" s="67">
        <v>20200.934000000001</v>
      </c>
      <c r="FB1049" s="67" t="s">
        <v>8411</v>
      </c>
      <c r="FC1049" s="67" t="s">
        <v>8412</v>
      </c>
      <c r="FD1049" s="67" t="s">
        <v>8413</v>
      </c>
      <c r="FE1049" s="68" t="s">
        <v>8414</v>
      </c>
      <c r="FF1049" s="68" t="s">
        <v>8415</v>
      </c>
    </row>
    <row r="1050" spans="151:162" x14ac:dyDescent="0.2">
      <c r="EU1050" s="67">
        <v>569.27</v>
      </c>
      <c r="EV1050" s="67" t="s">
        <v>8416</v>
      </c>
      <c r="EW1050" s="67">
        <v>491.79</v>
      </c>
      <c r="EX1050" s="67" t="s">
        <v>8417</v>
      </c>
      <c r="EY1050" s="67">
        <v>5709.74</v>
      </c>
      <c r="EZ1050" s="67" t="s">
        <v>8418</v>
      </c>
      <c r="FA1050" s="67">
        <v>20213.615000000002</v>
      </c>
      <c r="FB1050" s="67" t="s">
        <v>8419</v>
      </c>
      <c r="FC1050" s="67" t="s">
        <v>8420</v>
      </c>
      <c r="FD1050" s="67" t="s">
        <v>8421</v>
      </c>
      <c r="FE1050" s="68" t="s">
        <v>8422</v>
      </c>
      <c r="FF1050" s="68" t="s">
        <v>8423</v>
      </c>
    </row>
    <row r="1051" spans="151:162" x14ac:dyDescent="0.2">
      <c r="EU1051" s="67">
        <v>569.49</v>
      </c>
      <c r="EV1051" s="67" t="s">
        <v>8424</v>
      </c>
      <c r="EW1051" s="67">
        <v>491.98500000000001</v>
      </c>
      <c r="EX1051" s="67" t="s">
        <v>8425</v>
      </c>
      <c r="EY1051" s="67">
        <v>5712.08</v>
      </c>
      <c r="EZ1051" s="67" t="s">
        <v>8426</v>
      </c>
      <c r="FA1051" s="67">
        <v>20221.326000000001</v>
      </c>
      <c r="FB1051" s="67" t="s">
        <v>8427</v>
      </c>
      <c r="FC1051" s="67" t="s">
        <v>8428</v>
      </c>
      <c r="FD1051" s="67" t="s">
        <v>8429</v>
      </c>
      <c r="FE1051" s="68" t="s">
        <v>8430</v>
      </c>
      <c r="FF1051" s="68" t="s">
        <v>8431</v>
      </c>
    </row>
    <row r="1052" spans="151:162" x14ac:dyDescent="0.2">
      <c r="EU1052" s="67">
        <v>569.54</v>
      </c>
      <c r="EV1052" s="67" t="s">
        <v>8432</v>
      </c>
      <c r="EW1052" s="67">
        <v>492.01</v>
      </c>
      <c r="EX1052" s="67" t="s">
        <v>8433</v>
      </c>
      <c r="EY1052" s="67">
        <v>5712.55</v>
      </c>
      <c r="EZ1052" s="67" t="s">
        <v>8434</v>
      </c>
      <c r="FA1052" s="67">
        <v>20222.864000000001</v>
      </c>
      <c r="FB1052" s="67" t="s">
        <v>8435</v>
      </c>
      <c r="FC1052" s="67" t="s">
        <v>8436</v>
      </c>
      <c r="FD1052" s="67" t="s">
        <v>8437</v>
      </c>
      <c r="FE1052" s="68" t="s">
        <v>8438</v>
      </c>
      <c r="FF1052" s="68" t="s">
        <v>8439</v>
      </c>
    </row>
    <row r="1053" spans="151:162" x14ac:dyDescent="0.2">
      <c r="EU1053" s="67">
        <v>569.27</v>
      </c>
      <c r="EV1053" s="67" t="s">
        <v>8440</v>
      </c>
      <c r="EW1053" s="67">
        <v>491.8</v>
      </c>
      <c r="EX1053" s="67" t="s">
        <v>8441</v>
      </c>
      <c r="EY1053" s="67">
        <v>5710.03</v>
      </c>
      <c r="EZ1053" s="67" t="s">
        <v>8442</v>
      </c>
      <c r="FA1053" s="67">
        <v>20215.391</v>
      </c>
      <c r="FB1053" s="67" t="s">
        <v>8443</v>
      </c>
      <c r="FC1053" s="67" t="s">
        <v>8444</v>
      </c>
      <c r="FD1053" s="67" t="s">
        <v>8445</v>
      </c>
      <c r="FE1053" s="68" t="s">
        <v>8446</v>
      </c>
      <c r="FF1053" s="68" t="s">
        <v>8447</v>
      </c>
    </row>
    <row r="1054" spans="151:162" x14ac:dyDescent="0.2">
      <c r="EU1054" s="67">
        <v>569.38</v>
      </c>
      <c r="EV1054" s="67" t="s">
        <v>8448</v>
      </c>
      <c r="EW1054" s="67">
        <v>491.89</v>
      </c>
      <c r="EX1054" s="67" t="s">
        <v>8449</v>
      </c>
      <c r="EY1054" s="67">
        <v>5710.73</v>
      </c>
      <c r="EZ1054" s="67" t="s">
        <v>8450</v>
      </c>
      <c r="FA1054" s="67">
        <v>20218.855</v>
      </c>
      <c r="FB1054" s="67" t="s">
        <v>8451</v>
      </c>
      <c r="FC1054" s="67" t="s">
        <v>8452</v>
      </c>
      <c r="FD1054" s="67" t="s">
        <v>8453</v>
      </c>
      <c r="FE1054" s="68" t="s">
        <v>8454</v>
      </c>
      <c r="FF1054" s="68" t="s">
        <v>8455</v>
      </c>
    </row>
    <row r="1055" spans="151:162" x14ac:dyDescent="0.2">
      <c r="EU1055" s="67">
        <v>569.17999999999995</v>
      </c>
      <c r="EV1055" s="67" t="s">
        <v>8456</v>
      </c>
      <c r="EW1055" s="67">
        <v>491.745</v>
      </c>
      <c r="EX1055" s="67" t="s">
        <v>8457</v>
      </c>
      <c r="EY1055" s="67">
        <v>5709.55</v>
      </c>
      <c r="EZ1055" s="67" t="s">
        <v>8458</v>
      </c>
      <c r="FA1055" s="67">
        <v>20215.84</v>
      </c>
      <c r="FB1055" s="67" t="s">
        <v>8459</v>
      </c>
      <c r="FC1055" s="67" t="s">
        <v>8460</v>
      </c>
      <c r="FD1055" s="67" t="s">
        <v>8461</v>
      </c>
      <c r="FE1055" s="68" t="s">
        <v>8462</v>
      </c>
      <c r="FF1055" s="68" t="s">
        <v>8463</v>
      </c>
    </row>
    <row r="1056" spans="151:162" x14ac:dyDescent="0.2">
      <c r="EU1056" s="67">
        <v>569.4</v>
      </c>
      <c r="EV1056" s="67" t="s">
        <v>8464</v>
      </c>
      <c r="EW1056" s="67">
        <v>491.96</v>
      </c>
      <c r="EX1056" s="67" t="s">
        <v>8465</v>
      </c>
      <c r="EY1056" s="67">
        <v>5710.98</v>
      </c>
      <c r="EZ1056" s="67" t="s">
        <v>8466</v>
      </c>
      <c r="FA1056" s="67">
        <v>20221.698</v>
      </c>
      <c r="FB1056" s="67" t="s">
        <v>8467</v>
      </c>
      <c r="FC1056" s="67" t="s">
        <v>8468</v>
      </c>
      <c r="FD1056" s="67" t="s">
        <v>8469</v>
      </c>
      <c r="FE1056" s="68" t="s">
        <v>8470</v>
      </c>
      <c r="FF1056" s="68" t="s">
        <v>8471</v>
      </c>
    </row>
    <row r="1057" spans="151:162" x14ac:dyDescent="0.2">
      <c r="EU1057" s="67">
        <v>569.16</v>
      </c>
      <c r="EV1057" s="67" t="s">
        <v>8472</v>
      </c>
      <c r="EW1057" s="67">
        <v>491.8</v>
      </c>
      <c r="EX1057" s="67" t="s">
        <v>8473</v>
      </c>
      <c r="EY1057" s="67">
        <v>5709.21</v>
      </c>
      <c r="EZ1057" s="67" t="s">
        <v>8474</v>
      </c>
      <c r="FA1057" s="67">
        <v>20215.751</v>
      </c>
      <c r="FB1057" s="67" t="s">
        <v>8475</v>
      </c>
      <c r="FC1057" s="67" t="s">
        <v>8476</v>
      </c>
      <c r="FD1057" s="67" t="s">
        <v>8477</v>
      </c>
      <c r="FE1057" s="68" t="s">
        <v>8478</v>
      </c>
      <c r="FF1057" s="68" t="s">
        <v>8479</v>
      </c>
    </row>
    <row r="1058" spans="151:162" x14ac:dyDescent="0.2">
      <c r="EU1058" s="67">
        <v>569.16</v>
      </c>
      <c r="EV1058" s="67" t="s">
        <v>8480</v>
      </c>
      <c r="EW1058" s="67">
        <v>491.75</v>
      </c>
      <c r="EX1058" s="67" t="s">
        <v>8481</v>
      </c>
      <c r="EY1058" s="67">
        <v>5709.19</v>
      </c>
      <c r="EZ1058" s="67" t="s">
        <v>8482</v>
      </c>
      <c r="FA1058" s="67">
        <v>20213.433000000001</v>
      </c>
      <c r="FB1058" s="67" t="s">
        <v>8483</v>
      </c>
      <c r="FC1058" s="67" t="s">
        <v>8484</v>
      </c>
      <c r="FD1058" s="67" t="s">
        <v>8485</v>
      </c>
      <c r="FE1058" s="68" t="s">
        <v>8486</v>
      </c>
      <c r="FF1058" s="68" t="s">
        <v>8487</v>
      </c>
    </row>
    <row r="1059" spans="151:162" x14ac:dyDescent="0.2">
      <c r="EU1059" s="67">
        <v>569.28</v>
      </c>
      <c r="EV1059" s="67" t="s">
        <v>8488</v>
      </c>
      <c r="EW1059" s="67">
        <v>491.87</v>
      </c>
      <c r="EX1059" s="67" t="s">
        <v>8489</v>
      </c>
      <c r="EY1059" s="67">
        <v>5710.05</v>
      </c>
      <c r="EZ1059" s="67" t="s">
        <v>8490</v>
      </c>
      <c r="FA1059" s="67">
        <v>20218.816999999999</v>
      </c>
      <c r="FB1059" s="67" t="s">
        <v>8491</v>
      </c>
      <c r="FC1059" s="67" t="s">
        <v>8492</v>
      </c>
      <c r="FD1059" s="67" t="s">
        <v>8493</v>
      </c>
      <c r="FE1059" s="68" t="s">
        <v>8494</v>
      </c>
      <c r="FF1059" s="68" t="s">
        <v>8495</v>
      </c>
    </row>
    <row r="1060" spans="151:162" x14ac:dyDescent="0.2">
      <c r="EU1060" s="67">
        <v>569.34</v>
      </c>
      <c r="EV1060" s="67" t="s">
        <v>8496</v>
      </c>
      <c r="EW1060" s="67">
        <v>491.9</v>
      </c>
      <c r="EX1060" s="67" t="s">
        <v>8497</v>
      </c>
      <c r="EY1060" s="67">
        <v>5710.57</v>
      </c>
      <c r="EZ1060" s="67" t="s">
        <v>8498</v>
      </c>
      <c r="FA1060" s="67">
        <v>20219.39</v>
      </c>
      <c r="FB1060" s="67" t="s">
        <v>8499</v>
      </c>
      <c r="FC1060" s="67" t="s">
        <v>8500</v>
      </c>
      <c r="FD1060" s="67" t="s">
        <v>8501</v>
      </c>
      <c r="FE1060" s="68" t="s">
        <v>8502</v>
      </c>
      <c r="FF1060" s="68" t="s">
        <v>8503</v>
      </c>
    </row>
    <row r="1061" spans="151:162" x14ac:dyDescent="0.2">
      <c r="EU1061" s="67">
        <v>568.98</v>
      </c>
      <c r="EV1061" s="67" t="s">
        <v>8504</v>
      </c>
      <c r="EW1061" s="67">
        <v>491.57</v>
      </c>
      <c r="EX1061" s="67" t="s">
        <v>8505</v>
      </c>
      <c r="EY1061" s="67">
        <v>5706.88</v>
      </c>
      <c r="EZ1061" s="67" t="s">
        <v>8506</v>
      </c>
      <c r="FA1061" s="67">
        <v>20206.309000000001</v>
      </c>
      <c r="FB1061" s="67" t="s">
        <v>8507</v>
      </c>
      <c r="FC1061" s="67" t="s">
        <v>8508</v>
      </c>
      <c r="FD1061" s="67" t="s">
        <v>8509</v>
      </c>
      <c r="FE1061" s="68" t="s">
        <v>8510</v>
      </c>
      <c r="FF1061" s="68" t="s">
        <v>8511</v>
      </c>
    </row>
    <row r="1062" spans="151:162" x14ac:dyDescent="0.2">
      <c r="EU1062" s="67">
        <v>568.66</v>
      </c>
      <c r="EV1062" s="67" t="s">
        <v>8512</v>
      </c>
      <c r="EW1062" s="67">
        <v>491.27</v>
      </c>
      <c r="EX1062" s="67" t="s">
        <v>8513</v>
      </c>
      <c r="EY1062" s="67">
        <v>5704.08</v>
      </c>
      <c r="EZ1062" s="67" t="s">
        <v>8514</v>
      </c>
      <c r="FA1062" s="67">
        <v>20195.467000000001</v>
      </c>
      <c r="FB1062" s="67" t="s">
        <v>8515</v>
      </c>
      <c r="FC1062" s="67" t="s">
        <v>8516</v>
      </c>
      <c r="FD1062" s="67" t="s">
        <v>8517</v>
      </c>
      <c r="FE1062" s="68" t="s">
        <v>8518</v>
      </c>
      <c r="FF1062" s="68" t="s">
        <v>8519</v>
      </c>
    </row>
    <row r="1063" spans="151:162" x14ac:dyDescent="0.2">
      <c r="EU1063" s="67">
        <v>568.46</v>
      </c>
      <c r="EV1063" s="67" t="s">
        <v>8520</v>
      </c>
      <c r="EW1063" s="67">
        <v>491.08</v>
      </c>
      <c r="EX1063" s="67" t="s">
        <v>8521</v>
      </c>
      <c r="EY1063" s="67">
        <v>5702.33</v>
      </c>
      <c r="EZ1063" s="67" t="s">
        <v>8522</v>
      </c>
      <c r="FA1063" s="67">
        <v>20187.544999999998</v>
      </c>
      <c r="FB1063" s="67" t="s">
        <v>8523</v>
      </c>
      <c r="FC1063" s="67" t="s">
        <v>8524</v>
      </c>
      <c r="FD1063" s="67" t="s">
        <v>8525</v>
      </c>
      <c r="FE1063" s="68" t="s">
        <v>8526</v>
      </c>
      <c r="FF1063" s="68" t="s">
        <v>8527</v>
      </c>
    </row>
    <row r="1064" spans="151:162" x14ac:dyDescent="0.2">
      <c r="EU1064" s="67">
        <v>568.49</v>
      </c>
      <c r="EV1064" s="67" t="s">
        <v>8528</v>
      </c>
      <c r="EW1064" s="67">
        <v>491.09500000000003</v>
      </c>
      <c r="EX1064" s="67" t="s">
        <v>8529</v>
      </c>
      <c r="EY1064" s="67">
        <v>5702.32</v>
      </c>
      <c r="EZ1064" s="67" t="s">
        <v>8530</v>
      </c>
      <c r="FA1064" s="67">
        <v>20186.763999999999</v>
      </c>
      <c r="FB1064" s="67" t="s">
        <v>8531</v>
      </c>
      <c r="FC1064" s="67" t="s">
        <v>8532</v>
      </c>
      <c r="FD1064" s="67" t="s">
        <v>8533</v>
      </c>
      <c r="FE1064" s="68" t="s">
        <v>8534</v>
      </c>
      <c r="FF1064" s="68" t="s">
        <v>8535</v>
      </c>
    </row>
    <row r="1065" spans="151:162" x14ac:dyDescent="0.2">
      <c r="EU1065" s="67">
        <v>568.66999999999996</v>
      </c>
      <c r="EV1065" s="67" t="s">
        <v>8536</v>
      </c>
      <c r="EW1065" s="67">
        <v>491.26499999999999</v>
      </c>
      <c r="EX1065" s="67" t="s">
        <v>8537</v>
      </c>
      <c r="EY1065" s="67">
        <v>5704.06</v>
      </c>
      <c r="EZ1065" s="67" t="s">
        <v>8538</v>
      </c>
      <c r="FA1065" s="67">
        <v>20192.97</v>
      </c>
      <c r="FB1065" s="67" t="s">
        <v>8539</v>
      </c>
      <c r="FC1065" s="67" t="s">
        <v>8540</v>
      </c>
      <c r="FD1065" s="67" t="s">
        <v>8541</v>
      </c>
      <c r="FE1065" s="68" t="s">
        <v>8542</v>
      </c>
      <c r="FF1065" s="68" t="s">
        <v>8543</v>
      </c>
    </row>
    <row r="1066" spans="151:162" x14ac:dyDescent="0.2">
      <c r="EU1066" s="67">
        <v>568.84</v>
      </c>
      <c r="EV1066" s="67" t="s">
        <v>8544</v>
      </c>
      <c r="EW1066" s="67">
        <v>491.43</v>
      </c>
      <c r="EX1066" s="67" t="s">
        <v>8545</v>
      </c>
      <c r="EY1066" s="67">
        <v>5705.82</v>
      </c>
      <c r="EZ1066" s="67" t="s">
        <v>8546</v>
      </c>
      <c r="FA1066" s="67">
        <v>20197.272000000001</v>
      </c>
      <c r="FB1066" s="67" t="s">
        <v>8547</v>
      </c>
      <c r="FC1066" s="67" t="s">
        <v>8548</v>
      </c>
      <c r="FD1066" s="67" t="s">
        <v>8549</v>
      </c>
      <c r="FE1066" s="68" t="s">
        <v>8550</v>
      </c>
      <c r="FF1066" s="68" t="s">
        <v>8551</v>
      </c>
    </row>
    <row r="1067" spans="151:162" x14ac:dyDescent="0.2">
      <c r="EU1067" s="67">
        <v>568.78</v>
      </c>
      <c r="EV1067" s="67" t="s">
        <v>8552</v>
      </c>
      <c r="EW1067" s="67">
        <v>491.34</v>
      </c>
      <c r="EX1067" s="67" t="s">
        <v>8553</v>
      </c>
      <c r="EY1067" s="67">
        <v>5705.08</v>
      </c>
      <c r="EZ1067" s="67" t="s">
        <v>8554</v>
      </c>
      <c r="FA1067" s="67">
        <v>20193.814999999999</v>
      </c>
      <c r="FB1067" s="67" t="s">
        <v>8555</v>
      </c>
      <c r="FC1067" s="67" t="s">
        <v>8556</v>
      </c>
      <c r="FD1067" s="67" t="s">
        <v>8557</v>
      </c>
      <c r="FE1067" s="68" t="s">
        <v>8558</v>
      </c>
      <c r="FF1067" s="68" t="s">
        <v>8559</v>
      </c>
    </row>
    <row r="1068" spans="151:162" x14ac:dyDescent="0.2">
      <c r="EU1068" s="67">
        <v>568.62</v>
      </c>
      <c r="EV1068" s="67" t="s">
        <v>8560</v>
      </c>
      <c r="EW1068" s="67">
        <v>491.15</v>
      </c>
      <c r="EX1068" s="67" t="s">
        <v>8561</v>
      </c>
      <c r="EY1068" s="67">
        <v>5703.64</v>
      </c>
      <c r="EZ1068" s="67" t="s">
        <v>8562</v>
      </c>
      <c r="FA1068" s="67">
        <v>20186.991000000002</v>
      </c>
      <c r="FB1068" s="67" t="s">
        <v>8563</v>
      </c>
      <c r="FC1068" s="67" t="s">
        <v>8564</v>
      </c>
      <c r="FD1068" s="67" t="s">
        <v>8565</v>
      </c>
      <c r="FE1068" s="68" t="s">
        <v>8566</v>
      </c>
      <c r="FF1068" s="68" t="s">
        <v>8567</v>
      </c>
    </row>
    <row r="1069" spans="151:162" x14ac:dyDescent="0.2">
      <c r="EU1069" s="67">
        <v>568.55999999999995</v>
      </c>
      <c r="EV1069" s="67" t="s">
        <v>8568</v>
      </c>
      <c r="EW1069" s="67">
        <v>491.09</v>
      </c>
      <c r="EX1069" s="67" t="s">
        <v>8569</v>
      </c>
      <c r="EY1069" s="67">
        <v>5703.21</v>
      </c>
      <c r="EZ1069" s="67" t="s">
        <v>8570</v>
      </c>
      <c r="FA1069" s="67">
        <v>20186.396000000001</v>
      </c>
      <c r="FB1069" s="67" t="s">
        <v>8571</v>
      </c>
      <c r="FC1069" s="67" t="s">
        <v>8572</v>
      </c>
      <c r="FD1069" s="67" t="s">
        <v>8573</v>
      </c>
      <c r="FE1069" s="68" t="s">
        <v>8574</v>
      </c>
      <c r="FF1069" s="68" t="s">
        <v>8575</v>
      </c>
    </row>
    <row r="1070" spans="151:162" x14ac:dyDescent="0.2">
      <c r="EU1070" s="67">
        <v>568.64</v>
      </c>
      <c r="EV1070" s="67" t="s">
        <v>8576</v>
      </c>
      <c r="EW1070" s="67">
        <v>491.2</v>
      </c>
      <c r="EX1070" s="67" t="s">
        <v>8577</v>
      </c>
      <c r="EY1070" s="67">
        <v>5703.66</v>
      </c>
      <c r="EZ1070" s="67" t="s">
        <v>8578</v>
      </c>
      <c r="FA1070" s="67">
        <v>20189.047999999999</v>
      </c>
      <c r="FB1070" s="67" t="s">
        <v>8579</v>
      </c>
      <c r="FC1070" s="67" t="s">
        <v>8580</v>
      </c>
      <c r="FD1070" s="67" t="s">
        <v>8581</v>
      </c>
      <c r="FE1070" s="68" t="s">
        <v>8582</v>
      </c>
      <c r="FF1070" s="68" t="s">
        <v>8583</v>
      </c>
    </row>
    <row r="1071" spans="151:162" x14ac:dyDescent="0.2">
      <c r="EU1071" s="67">
        <v>568.78</v>
      </c>
      <c r="EV1071" s="67" t="s">
        <v>8584</v>
      </c>
      <c r="EW1071" s="67">
        <v>491.35</v>
      </c>
      <c r="EX1071" s="67" t="s">
        <v>8585</v>
      </c>
      <c r="EY1071" s="67">
        <v>5705.1</v>
      </c>
      <c r="EZ1071" s="67" t="s">
        <v>8586</v>
      </c>
      <c r="FA1071" s="67">
        <v>20195.438999999998</v>
      </c>
      <c r="FB1071" s="67" t="s">
        <v>8587</v>
      </c>
      <c r="FC1071" s="67" t="s">
        <v>8588</v>
      </c>
      <c r="FD1071" s="67" t="s">
        <v>8589</v>
      </c>
      <c r="FE1071" s="68" t="s">
        <v>8590</v>
      </c>
      <c r="FF1071" s="68" t="s">
        <v>8591</v>
      </c>
    </row>
    <row r="1072" spans="151:162" x14ac:dyDescent="0.2">
      <c r="EU1072" s="67">
        <v>568.70000000000005</v>
      </c>
      <c r="EV1072" s="67" t="s">
        <v>8592</v>
      </c>
      <c r="EW1072" s="67">
        <v>491.31</v>
      </c>
      <c r="EX1072" s="67" t="s">
        <v>8593</v>
      </c>
      <c r="EY1072" s="67">
        <v>5704.56</v>
      </c>
      <c r="EZ1072" s="67" t="s">
        <v>8594</v>
      </c>
      <c r="FA1072" s="67">
        <v>20194.974999999999</v>
      </c>
      <c r="FB1072" s="67" t="s">
        <v>8595</v>
      </c>
      <c r="FC1072" s="67" t="s">
        <v>8596</v>
      </c>
      <c r="FD1072" s="67" t="s">
        <v>8597</v>
      </c>
      <c r="FE1072" s="68" t="s">
        <v>8598</v>
      </c>
      <c r="FF1072" s="68" t="s">
        <v>8599</v>
      </c>
    </row>
    <row r="1073" spans="151:162" x14ac:dyDescent="0.2">
      <c r="EU1073" s="67">
        <v>568.61</v>
      </c>
      <c r="EV1073" s="67" t="s">
        <v>8600</v>
      </c>
      <c r="EW1073" s="67">
        <v>491.26</v>
      </c>
      <c r="EX1073" s="67" t="s">
        <v>8601</v>
      </c>
      <c r="EY1073" s="67">
        <v>5703.49</v>
      </c>
      <c r="EZ1073" s="67" t="s">
        <v>8602</v>
      </c>
      <c r="FA1073" s="67">
        <v>20192.060000000001</v>
      </c>
      <c r="FB1073" s="67" t="s">
        <v>8603</v>
      </c>
      <c r="FC1073" s="67" t="s">
        <v>8604</v>
      </c>
      <c r="FD1073" s="67" t="s">
        <v>8605</v>
      </c>
      <c r="FE1073" s="68" t="s">
        <v>8606</v>
      </c>
      <c r="FF1073" s="68" t="s">
        <v>8607</v>
      </c>
    </row>
    <row r="1074" spans="151:162" x14ac:dyDescent="0.2">
      <c r="EU1074" s="67">
        <v>568.38</v>
      </c>
      <c r="EV1074" s="67" t="s">
        <v>8608</v>
      </c>
      <c r="EW1074" s="67">
        <v>491.04</v>
      </c>
      <c r="EX1074" s="67" t="s">
        <v>8609</v>
      </c>
      <c r="EY1074" s="67">
        <v>5701.4</v>
      </c>
      <c r="EZ1074" s="67" t="s">
        <v>8610</v>
      </c>
      <c r="FA1074" s="67">
        <v>20184.758999999998</v>
      </c>
      <c r="FB1074" s="67" t="s">
        <v>8611</v>
      </c>
      <c r="FC1074" s="67" t="s">
        <v>8612</v>
      </c>
      <c r="FD1074" s="67" t="s">
        <v>8613</v>
      </c>
      <c r="FE1074" s="68" t="s">
        <v>8614</v>
      </c>
      <c r="FF1074" s="68" t="s">
        <v>8615</v>
      </c>
    </row>
    <row r="1075" spans="151:162" x14ac:dyDescent="0.2">
      <c r="EU1075" s="67">
        <v>568.44000000000005</v>
      </c>
      <c r="EV1075" s="67" t="s">
        <v>8616</v>
      </c>
      <c r="EW1075" s="67">
        <v>491.1</v>
      </c>
      <c r="EX1075" s="67" t="s">
        <v>8617</v>
      </c>
      <c r="EY1075" s="67">
        <v>5701.45</v>
      </c>
      <c r="EZ1075" s="67" t="s">
        <v>8618</v>
      </c>
      <c r="FA1075" s="67">
        <v>20185.167000000001</v>
      </c>
      <c r="FB1075" s="67" t="s">
        <v>8619</v>
      </c>
      <c r="FC1075" s="67" t="s">
        <v>8620</v>
      </c>
      <c r="FD1075" s="67" t="s">
        <v>8621</v>
      </c>
      <c r="FE1075" s="68" t="s">
        <v>8622</v>
      </c>
      <c r="FF1075" s="68" t="s">
        <v>8623</v>
      </c>
    </row>
    <row r="1076" spans="151:162" x14ac:dyDescent="0.2">
      <c r="EU1076" s="67">
        <v>568.34</v>
      </c>
      <c r="EV1076" s="67" t="s">
        <v>8624</v>
      </c>
      <c r="EW1076" s="67">
        <v>490.98</v>
      </c>
      <c r="EX1076" s="67" t="s">
        <v>8625</v>
      </c>
      <c r="EY1076" s="67">
        <v>5700.65</v>
      </c>
      <c r="EZ1076" s="67" t="s">
        <v>8626</v>
      </c>
      <c r="FA1076" s="67">
        <v>20181.708999999999</v>
      </c>
      <c r="FB1076" s="67" t="s">
        <v>8627</v>
      </c>
      <c r="FC1076" s="67" t="s">
        <v>8628</v>
      </c>
      <c r="FD1076" s="67" t="s">
        <v>8629</v>
      </c>
      <c r="FE1076" s="68" t="s">
        <v>8630</v>
      </c>
      <c r="FF1076" s="68" t="s">
        <v>8631</v>
      </c>
    </row>
    <row r="1077" spans="151:162" x14ac:dyDescent="0.2">
      <c r="EU1077" s="67">
        <v>568.58500000000004</v>
      </c>
      <c r="EV1077" s="67" t="s">
        <v>8632</v>
      </c>
      <c r="EW1077" s="67">
        <v>491.26</v>
      </c>
      <c r="EX1077" s="67" t="s">
        <v>8633</v>
      </c>
      <c r="EY1077" s="67">
        <v>5703.24</v>
      </c>
      <c r="EZ1077" s="67" t="s">
        <v>8634</v>
      </c>
      <c r="FA1077" s="67">
        <v>20193.198</v>
      </c>
      <c r="FB1077" s="67" t="s">
        <v>8635</v>
      </c>
      <c r="FC1077" s="67" t="s">
        <v>8636</v>
      </c>
      <c r="FD1077" s="67" t="s">
        <v>8637</v>
      </c>
      <c r="FE1077" s="68" t="s">
        <v>8638</v>
      </c>
      <c r="FF1077" s="68" t="s">
        <v>8639</v>
      </c>
    </row>
    <row r="1078" spans="151:162" x14ac:dyDescent="0.2">
      <c r="EU1078" s="67">
        <v>568.6</v>
      </c>
      <c r="EV1078" s="67" t="s">
        <v>8640</v>
      </c>
      <c r="EW1078" s="67">
        <v>491.29</v>
      </c>
      <c r="EX1078" s="67" t="s">
        <v>8641</v>
      </c>
      <c r="EY1078" s="67">
        <v>5703.1</v>
      </c>
      <c r="EZ1078" s="67" t="s">
        <v>8642</v>
      </c>
      <c r="FA1078" s="67">
        <v>20192.401000000002</v>
      </c>
      <c r="FB1078" s="67" t="s">
        <v>8643</v>
      </c>
      <c r="FC1078" s="67" t="s">
        <v>8644</v>
      </c>
      <c r="FD1078" s="67" t="s">
        <v>8645</v>
      </c>
      <c r="FE1078" s="68" t="s">
        <v>8646</v>
      </c>
      <c r="FF1078" s="68" t="s">
        <v>8647</v>
      </c>
    </row>
    <row r="1079" spans="151:162" x14ac:dyDescent="0.2">
      <c r="EU1079" s="67">
        <v>568.67999999999995</v>
      </c>
      <c r="EV1079" s="67" t="s">
        <v>8648</v>
      </c>
      <c r="EW1079" s="67">
        <v>491.45</v>
      </c>
      <c r="EX1079" s="67" t="s">
        <v>8649</v>
      </c>
      <c r="EY1079" s="67">
        <v>5703.97</v>
      </c>
      <c r="EZ1079" s="67" t="s">
        <v>8650</v>
      </c>
      <c r="FA1079" s="67">
        <v>20198.918000000001</v>
      </c>
      <c r="FB1079" s="67" t="s">
        <v>8651</v>
      </c>
      <c r="FC1079" s="67" t="s">
        <v>8652</v>
      </c>
      <c r="FD1079" s="67" t="s">
        <v>8653</v>
      </c>
      <c r="FE1079" s="68" t="s">
        <v>8654</v>
      </c>
      <c r="FF1079" s="68" t="s">
        <v>8655</v>
      </c>
    </row>
    <row r="1080" spans="151:162" x14ac:dyDescent="0.2">
      <c r="EU1080" s="67">
        <v>568.69000000000005</v>
      </c>
      <c r="EV1080" s="67" t="s">
        <v>8656</v>
      </c>
      <c r="EW1080" s="67">
        <v>491.48</v>
      </c>
      <c r="EX1080" s="67" t="s">
        <v>8657</v>
      </c>
      <c r="EY1080" s="67">
        <v>5704.42</v>
      </c>
      <c r="EZ1080" s="67" t="s">
        <v>8658</v>
      </c>
      <c r="FA1080" s="67">
        <v>20201.861000000001</v>
      </c>
      <c r="FB1080" s="67" t="s">
        <v>8659</v>
      </c>
      <c r="FC1080" s="67" t="s">
        <v>8660</v>
      </c>
      <c r="FD1080" s="67" t="s">
        <v>8661</v>
      </c>
      <c r="FE1080" s="68" t="s">
        <v>8662</v>
      </c>
      <c r="FF1080" s="68" t="s">
        <v>8663</v>
      </c>
    </row>
    <row r="1081" spans="151:162" x14ac:dyDescent="0.2">
      <c r="EU1081" s="67">
        <v>568.67999999999995</v>
      </c>
      <c r="EV1081" s="67" t="s">
        <v>8664</v>
      </c>
      <c r="EW1081" s="67">
        <v>491.48</v>
      </c>
      <c r="EX1081" s="67" t="s">
        <v>8665</v>
      </c>
      <c r="EY1081" s="67">
        <v>5704.42</v>
      </c>
      <c r="EZ1081" s="67" t="s">
        <v>8666</v>
      </c>
      <c r="FA1081" s="67">
        <v>20202.760999999999</v>
      </c>
      <c r="FB1081" s="67" t="s">
        <v>8667</v>
      </c>
      <c r="FC1081" s="67" t="s">
        <v>8668</v>
      </c>
      <c r="FD1081" s="67" t="s">
        <v>8669</v>
      </c>
      <c r="FE1081" s="68" t="s">
        <v>8670</v>
      </c>
      <c r="FF1081" s="68" t="s">
        <v>8671</v>
      </c>
    </row>
    <row r="1082" spans="151:162" x14ac:dyDescent="0.2">
      <c r="EU1082" s="67">
        <v>568.64</v>
      </c>
      <c r="EV1082" s="67" t="s">
        <v>8672</v>
      </c>
      <c r="EW1082" s="67">
        <v>491.48</v>
      </c>
      <c r="EX1082" s="67" t="s">
        <v>8673</v>
      </c>
      <c r="EY1082" s="67">
        <v>5704.8</v>
      </c>
      <c r="EZ1082" s="67" t="s">
        <v>8674</v>
      </c>
      <c r="FA1082" s="67">
        <v>20206.526000000002</v>
      </c>
      <c r="FB1082" s="67" t="s">
        <v>8675</v>
      </c>
      <c r="FC1082" s="67" t="s">
        <v>8676</v>
      </c>
      <c r="FD1082" s="67" t="s">
        <v>8677</v>
      </c>
      <c r="FE1082" s="68" t="s">
        <v>8678</v>
      </c>
      <c r="FF1082" s="68" t="s">
        <v>8679</v>
      </c>
    </row>
    <row r="1083" spans="151:162" x14ac:dyDescent="0.2">
      <c r="EU1083" s="67">
        <v>568.39</v>
      </c>
      <c r="EV1083" s="67" t="s">
        <v>8680</v>
      </c>
      <c r="EW1083" s="67">
        <v>491.29</v>
      </c>
      <c r="EX1083" s="67" t="s">
        <v>8681</v>
      </c>
      <c r="EY1083" s="67">
        <v>5701.44</v>
      </c>
      <c r="EZ1083" s="67" t="s">
        <v>8682</v>
      </c>
      <c r="FA1083" s="67">
        <v>20195.71</v>
      </c>
      <c r="FB1083" s="67" t="s">
        <v>8683</v>
      </c>
      <c r="FC1083" s="67" t="s">
        <v>8684</v>
      </c>
      <c r="FD1083" s="67" t="s">
        <v>8685</v>
      </c>
      <c r="FE1083" s="68" t="s">
        <v>8686</v>
      </c>
      <c r="FF1083" s="68" t="s">
        <v>8687</v>
      </c>
    </row>
    <row r="1084" spans="151:162" x14ac:dyDescent="0.2">
      <c r="EU1084" s="67">
        <v>568.09</v>
      </c>
      <c r="EV1084" s="67" t="s">
        <v>8688</v>
      </c>
      <c r="EW1084" s="67">
        <v>491.00799999999998</v>
      </c>
      <c r="EX1084" s="67" t="s">
        <v>8689</v>
      </c>
      <c r="EY1084" s="67">
        <v>5698.56</v>
      </c>
      <c r="EZ1084" s="67" t="s">
        <v>8690</v>
      </c>
      <c r="FA1084" s="67">
        <v>20185.002</v>
      </c>
      <c r="FB1084" s="67" t="s">
        <v>8691</v>
      </c>
      <c r="FC1084" s="67" t="s">
        <v>8692</v>
      </c>
      <c r="FD1084" s="67" t="s">
        <v>8693</v>
      </c>
      <c r="FE1084" s="68" t="s">
        <v>8694</v>
      </c>
      <c r="FF1084" s="68" t="s">
        <v>8695</v>
      </c>
    </row>
    <row r="1085" spans="151:162" x14ac:dyDescent="0.2">
      <c r="EU1085" s="67">
        <v>567.85</v>
      </c>
      <c r="EV1085" s="67" t="s">
        <v>8696</v>
      </c>
      <c r="EW1085" s="67">
        <v>490.82</v>
      </c>
      <c r="EX1085" s="67" t="s">
        <v>8697</v>
      </c>
      <c r="EY1085" s="67">
        <v>5696.34</v>
      </c>
      <c r="EZ1085" s="67" t="s">
        <v>8698</v>
      </c>
      <c r="FA1085" s="67">
        <v>20177.025000000001</v>
      </c>
      <c r="FB1085" s="67" t="s">
        <v>8699</v>
      </c>
      <c r="FC1085" s="67" t="s">
        <v>8700</v>
      </c>
      <c r="FD1085" s="67" t="s">
        <v>8701</v>
      </c>
      <c r="FE1085" s="68" t="s">
        <v>8702</v>
      </c>
      <c r="FF1085" s="68" t="s">
        <v>8703</v>
      </c>
    </row>
    <row r="1086" spans="151:162" x14ac:dyDescent="0.2">
      <c r="EU1086" s="67">
        <v>567.73</v>
      </c>
      <c r="EV1086" s="67" t="s">
        <v>8704</v>
      </c>
      <c r="EW1086" s="67">
        <v>490.62</v>
      </c>
      <c r="EX1086" s="67" t="s">
        <v>8705</v>
      </c>
      <c r="EY1086" s="67">
        <v>5695</v>
      </c>
      <c r="EZ1086" s="67" t="s">
        <v>8706</v>
      </c>
      <c r="FA1086" s="67">
        <v>20170.850999999999</v>
      </c>
      <c r="FB1086" s="67" t="s">
        <v>8707</v>
      </c>
      <c r="FC1086" s="67" t="s">
        <v>8708</v>
      </c>
      <c r="FD1086" s="67" t="s">
        <v>8709</v>
      </c>
      <c r="FE1086" s="68" t="s">
        <v>8710</v>
      </c>
      <c r="FF1086" s="68" t="s">
        <v>8711</v>
      </c>
    </row>
    <row r="1087" spans="151:162" x14ac:dyDescent="0.2">
      <c r="EU1087" s="67">
        <v>567.55399999999997</v>
      </c>
      <c r="EV1087" s="67" t="s">
        <v>8712</v>
      </c>
      <c r="EW1087" s="67">
        <v>490.48</v>
      </c>
      <c r="EX1087" s="67" t="s">
        <v>8713</v>
      </c>
      <c r="EY1087" s="67">
        <v>5693.5</v>
      </c>
      <c r="EZ1087" s="67" t="s">
        <v>8714</v>
      </c>
      <c r="FA1087" s="67">
        <v>20165.823</v>
      </c>
      <c r="FB1087" s="67" t="s">
        <v>8715</v>
      </c>
      <c r="FC1087" s="67" t="s">
        <v>8716</v>
      </c>
      <c r="FD1087" s="67" t="s">
        <v>8717</v>
      </c>
      <c r="FE1087" s="68" t="s">
        <v>8718</v>
      </c>
      <c r="FF1087" s="68" t="s">
        <v>8719</v>
      </c>
    </row>
    <row r="1088" spans="151:162" x14ac:dyDescent="0.2">
      <c r="EU1088" s="67">
        <v>567.92399999999998</v>
      </c>
      <c r="EV1088" s="67" t="s">
        <v>8720</v>
      </c>
      <c r="EW1088" s="67">
        <v>490.78</v>
      </c>
      <c r="EX1088" s="67" t="s">
        <v>8721</v>
      </c>
      <c r="EY1088" s="67">
        <v>5695.96</v>
      </c>
      <c r="EZ1088" s="67" t="s">
        <v>8722</v>
      </c>
      <c r="FA1088" s="67">
        <v>20171.355</v>
      </c>
      <c r="FB1088" s="67" t="s">
        <v>8723</v>
      </c>
      <c r="FC1088" s="67" t="s">
        <v>8724</v>
      </c>
      <c r="FD1088" s="67" t="s">
        <v>8725</v>
      </c>
      <c r="FE1088" s="68" t="s">
        <v>8726</v>
      </c>
      <c r="FF1088" s="68" t="s">
        <v>8727</v>
      </c>
    </row>
    <row r="1089" spans="151:162" x14ac:dyDescent="0.2">
      <c r="EU1089" s="67">
        <v>567.88</v>
      </c>
      <c r="EV1089" s="67" t="s">
        <v>8728</v>
      </c>
      <c r="EW1089" s="67">
        <v>490.7</v>
      </c>
      <c r="EX1089" s="67" t="s">
        <v>8729</v>
      </c>
      <c r="EY1089" s="67">
        <v>5696.08</v>
      </c>
      <c r="EZ1089" s="67" t="s">
        <v>8730</v>
      </c>
      <c r="FA1089" s="67">
        <v>20169.36</v>
      </c>
      <c r="FB1089" s="67" t="s">
        <v>8731</v>
      </c>
      <c r="FC1089" s="67" t="s">
        <v>8732</v>
      </c>
      <c r="FD1089" s="67" t="s">
        <v>8733</v>
      </c>
      <c r="FE1089" s="68" t="s">
        <v>8734</v>
      </c>
      <c r="FF1089" s="68" t="s">
        <v>8735</v>
      </c>
    </row>
    <row r="1090" spans="151:162" x14ac:dyDescent="0.2">
      <c r="EU1090" s="67">
        <v>567.6</v>
      </c>
      <c r="EV1090" s="67" t="s">
        <v>8736</v>
      </c>
      <c r="EW1090" s="67">
        <v>490.45</v>
      </c>
      <c r="EX1090" s="67" t="s">
        <v>8737</v>
      </c>
      <c r="EY1090" s="67">
        <v>5693.79</v>
      </c>
      <c r="EZ1090" s="67" t="s">
        <v>8738</v>
      </c>
      <c r="FA1090" s="67">
        <v>20161.626</v>
      </c>
      <c r="FB1090" s="67" t="s">
        <v>8739</v>
      </c>
      <c r="FC1090" s="67" t="s">
        <v>8740</v>
      </c>
      <c r="FD1090" s="67" t="s">
        <v>8741</v>
      </c>
      <c r="FE1090" s="68" t="s">
        <v>8742</v>
      </c>
      <c r="FF1090" s="68" t="s">
        <v>8743</v>
      </c>
    </row>
    <row r="1091" spans="151:162" x14ac:dyDescent="0.2">
      <c r="EU1091" s="67">
        <v>567.48500000000001</v>
      </c>
      <c r="EV1091" s="67" t="s">
        <v>8744</v>
      </c>
      <c r="EW1091" s="67">
        <v>490.29</v>
      </c>
      <c r="EX1091" s="67" t="s">
        <v>8745</v>
      </c>
      <c r="EY1091" s="67">
        <v>5692.45</v>
      </c>
      <c r="EZ1091" s="67" t="s">
        <v>8746</v>
      </c>
      <c r="FA1091" s="67">
        <v>20156.165000000001</v>
      </c>
      <c r="FB1091" s="67" t="s">
        <v>8747</v>
      </c>
      <c r="FC1091" s="67" t="s">
        <v>8748</v>
      </c>
      <c r="FD1091" s="67" t="s">
        <v>8749</v>
      </c>
      <c r="FE1091" s="68" t="s">
        <v>8750</v>
      </c>
      <c r="FF1091" s="68" t="s">
        <v>8751</v>
      </c>
    </row>
    <row r="1092" spans="151:162" x14ac:dyDescent="0.2">
      <c r="EU1092" s="67">
        <v>567.64</v>
      </c>
      <c r="EV1092" s="67" t="s">
        <v>8752</v>
      </c>
      <c r="EW1092" s="67">
        <v>490.43</v>
      </c>
      <c r="EX1092" s="67" t="s">
        <v>8753</v>
      </c>
      <c r="EY1092" s="67">
        <v>5693.6</v>
      </c>
      <c r="EZ1092" s="67" t="s">
        <v>8754</v>
      </c>
      <c r="FA1092" s="67">
        <v>20159.952000000001</v>
      </c>
      <c r="FB1092" s="67" t="s">
        <v>8755</v>
      </c>
      <c r="FC1092" s="67" t="s">
        <v>8756</v>
      </c>
      <c r="FD1092" s="67" t="s">
        <v>8757</v>
      </c>
      <c r="FE1092" s="68" t="s">
        <v>8758</v>
      </c>
      <c r="FF1092" s="68" t="s">
        <v>8759</v>
      </c>
    </row>
    <row r="1093" spans="151:162" x14ac:dyDescent="0.2">
      <c r="EU1093" s="67">
        <v>567.77</v>
      </c>
      <c r="EV1093" s="67" t="s">
        <v>8760</v>
      </c>
      <c r="EW1093" s="67">
        <v>490.56</v>
      </c>
      <c r="EX1093" s="67" t="s">
        <v>8761</v>
      </c>
      <c r="EY1093" s="67">
        <v>5694.89</v>
      </c>
      <c r="EZ1093" s="67" t="s">
        <v>8762</v>
      </c>
      <c r="FA1093" s="67">
        <v>20163.812000000002</v>
      </c>
      <c r="FB1093" s="67" t="s">
        <v>8763</v>
      </c>
      <c r="FC1093" s="67" t="s">
        <v>8764</v>
      </c>
      <c r="FD1093" s="67" t="s">
        <v>8765</v>
      </c>
      <c r="FE1093" s="68" t="s">
        <v>8766</v>
      </c>
      <c r="FF1093" s="68" t="s">
        <v>8767</v>
      </c>
    </row>
    <row r="1094" spans="151:162" x14ac:dyDescent="0.2">
      <c r="EU1094" s="67">
        <v>567.80799999999999</v>
      </c>
      <c r="EV1094" s="67" t="s">
        <v>8768</v>
      </c>
      <c r="EW1094" s="67">
        <v>490.59</v>
      </c>
      <c r="EX1094" s="67" t="s">
        <v>8769</v>
      </c>
      <c r="EY1094" s="67">
        <v>5695.12</v>
      </c>
      <c r="EZ1094" s="67" t="s">
        <v>8770</v>
      </c>
      <c r="FA1094" s="67">
        <v>20164.932000000001</v>
      </c>
      <c r="FB1094" s="67" t="s">
        <v>8771</v>
      </c>
      <c r="FC1094" s="67" t="s">
        <v>8772</v>
      </c>
      <c r="FD1094" s="67" t="s">
        <v>8773</v>
      </c>
      <c r="FE1094" s="68" t="s">
        <v>8774</v>
      </c>
      <c r="FF1094" s="68" t="s">
        <v>8775</v>
      </c>
    </row>
    <row r="1095" spans="151:162" x14ac:dyDescent="0.2">
      <c r="EU1095" s="67">
        <v>568.11</v>
      </c>
      <c r="EV1095" s="67" t="s">
        <v>8776</v>
      </c>
      <c r="EW1095" s="67">
        <v>490.93</v>
      </c>
      <c r="EX1095" s="67" t="s">
        <v>8777</v>
      </c>
      <c r="EY1095" s="67">
        <v>5697.63</v>
      </c>
      <c r="EZ1095" s="67" t="s">
        <v>8778</v>
      </c>
      <c r="FA1095" s="67">
        <v>20176.093000000001</v>
      </c>
      <c r="FB1095" s="67" t="s">
        <v>8779</v>
      </c>
      <c r="FC1095" s="67" t="s">
        <v>8780</v>
      </c>
      <c r="FD1095" s="67" t="s">
        <v>8781</v>
      </c>
      <c r="FE1095" s="68" t="s">
        <v>8782</v>
      </c>
      <c r="FF1095" s="68" t="s">
        <v>8783</v>
      </c>
    </row>
    <row r="1096" spans="151:162" x14ac:dyDescent="0.2">
      <c r="EU1096" s="67">
        <v>568.11</v>
      </c>
      <c r="EV1096" s="67" t="s">
        <v>8784</v>
      </c>
      <c r="EW1096" s="67">
        <v>490.94</v>
      </c>
      <c r="EX1096" s="67" t="s">
        <v>8785</v>
      </c>
      <c r="EY1096" s="67">
        <v>5698.05</v>
      </c>
      <c r="EZ1096" s="67" t="s">
        <v>8786</v>
      </c>
      <c r="FA1096" s="67">
        <v>20177.741999999998</v>
      </c>
      <c r="FB1096" s="67" t="s">
        <v>8787</v>
      </c>
      <c r="FC1096" s="67" t="s">
        <v>8788</v>
      </c>
      <c r="FD1096" s="67" t="s">
        <v>8789</v>
      </c>
      <c r="FE1096" s="68" t="s">
        <v>8790</v>
      </c>
      <c r="FF1096" s="68" t="s">
        <v>8791</v>
      </c>
    </row>
    <row r="1097" spans="151:162" x14ac:dyDescent="0.2">
      <c r="EU1097" s="67">
        <v>568.29999999999995</v>
      </c>
      <c r="EV1097" s="67" t="s">
        <v>8792</v>
      </c>
      <c r="EW1097" s="67">
        <v>491.125</v>
      </c>
      <c r="EX1097" s="67" t="s">
        <v>8793</v>
      </c>
      <c r="EY1097" s="67">
        <v>5700</v>
      </c>
      <c r="EZ1097" s="67" t="s">
        <v>8794</v>
      </c>
      <c r="FA1097" s="67">
        <v>20184.236000000001</v>
      </c>
      <c r="FB1097" s="67" t="s">
        <v>8795</v>
      </c>
      <c r="FC1097" s="67" t="s">
        <v>8796</v>
      </c>
      <c r="FD1097" s="67" t="s">
        <v>8797</v>
      </c>
      <c r="FE1097" s="68" t="s">
        <v>8798</v>
      </c>
      <c r="FF1097" s="68" t="s">
        <v>8799</v>
      </c>
    </row>
    <row r="1098" spans="151:162" x14ac:dyDescent="0.2">
      <c r="EU1098" s="67">
        <v>568.22</v>
      </c>
      <c r="EV1098" s="67" t="s">
        <v>8800</v>
      </c>
      <c r="EW1098" s="67">
        <v>490.97</v>
      </c>
      <c r="EX1098" s="67" t="s">
        <v>8801</v>
      </c>
      <c r="EY1098" s="67">
        <v>5699.62</v>
      </c>
      <c r="EZ1098" s="67" t="s">
        <v>8802</v>
      </c>
      <c r="FA1098" s="67">
        <v>20181.875</v>
      </c>
      <c r="FB1098" s="67" t="s">
        <v>8803</v>
      </c>
      <c r="FC1098" s="67" t="s">
        <v>8804</v>
      </c>
      <c r="FD1098" s="67" t="s">
        <v>8805</v>
      </c>
      <c r="FE1098" s="68" t="s">
        <v>8806</v>
      </c>
      <c r="FF1098" s="68" t="s">
        <v>8807</v>
      </c>
    </row>
    <row r="1099" spans="151:162" x14ac:dyDescent="0.2">
      <c r="EU1099" s="67">
        <v>568.28</v>
      </c>
      <c r="EV1099" s="67" t="s">
        <v>8808</v>
      </c>
      <c r="EW1099" s="67">
        <v>491.01</v>
      </c>
      <c r="EX1099" s="67" t="s">
        <v>8809</v>
      </c>
      <c r="EY1099" s="67">
        <v>5699.57</v>
      </c>
      <c r="EZ1099" s="67" t="s">
        <v>8810</v>
      </c>
      <c r="FA1099" s="67">
        <v>20179.616999999998</v>
      </c>
      <c r="FB1099" s="67" t="s">
        <v>8811</v>
      </c>
      <c r="FC1099" s="67" t="s">
        <v>8812</v>
      </c>
      <c r="FD1099" s="67" t="s">
        <v>8813</v>
      </c>
      <c r="FE1099" s="68" t="s">
        <v>8814</v>
      </c>
      <c r="FF1099" s="68" t="s">
        <v>8815</v>
      </c>
    </row>
    <row r="1100" spans="151:162" x14ac:dyDescent="0.2">
      <c r="EU1100" s="67">
        <v>568.23</v>
      </c>
      <c r="EV1100" s="67" t="s">
        <v>8816</v>
      </c>
      <c r="EW1100" s="67">
        <v>491.04</v>
      </c>
      <c r="EX1100" s="67" t="s">
        <v>8817</v>
      </c>
      <c r="EY1100" s="67">
        <v>5699.87</v>
      </c>
      <c r="EZ1100" s="67" t="s">
        <v>8818</v>
      </c>
      <c r="FA1100" s="67">
        <v>20183.044999999998</v>
      </c>
      <c r="FB1100" s="67" t="s">
        <v>8819</v>
      </c>
      <c r="FC1100" s="67" t="s">
        <v>8820</v>
      </c>
      <c r="FD1100" s="67" t="s">
        <v>8821</v>
      </c>
      <c r="FE1100" s="68" t="s">
        <v>8822</v>
      </c>
      <c r="FF1100" s="68" t="s">
        <v>8823</v>
      </c>
    </row>
    <row r="1101" spans="151:162" x14ac:dyDescent="0.2">
      <c r="EU1101" s="67">
        <v>568.38</v>
      </c>
      <c r="EV1101" s="67" t="s">
        <v>8824</v>
      </c>
      <c r="EW1101" s="67">
        <v>491.14</v>
      </c>
      <c r="EX1101" s="67" t="s">
        <v>8825</v>
      </c>
      <c r="EY1101" s="67">
        <v>5700.8</v>
      </c>
      <c r="EZ1101" s="67" t="s">
        <v>8826</v>
      </c>
      <c r="FA1101" s="67">
        <v>20186.392</v>
      </c>
      <c r="FB1101" s="67" t="s">
        <v>8827</v>
      </c>
      <c r="FC1101" s="67" t="s">
        <v>8828</v>
      </c>
      <c r="FD1101" s="67" t="s">
        <v>8829</v>
      </c>
      <c r="FE1101" s="68" t="s">
        <v>8830</v>
      </c>
      <c r="FF1101" s="68" t="s">
        <v>8831</v>
      </c>
    </row>
    <row r="1102" spans="151:162" x14ac:dyDescent="0.2">
      <c r="EU1102" s="67">
        <v>568.27</v>
      </c>
      <c r="EV1102" s="67" t="s">
        <v>8832</v>
      </c>
      <c r="EW1102" s="67">
        <v>491.03</v>
      </c>
      <c r="EX1102" s="67" t="s">
        <v>8833</v>
      </c>
      <c r="EY1102" s="67">
        <v>5699.73</v>
      </c>
      <c r="EZ1102" s="67" t="s">
        <v>8834</v>
      </c>
      <c r="FA1102" s="67">
        <v>20183.260999999999</v>
      </c>
      <c r="FB1102" s="67" t="s">
        <v>8835</v>
      </c>
      <c r="FC1102" s="67" t="s">
        <v>8836</v>
      </c>
      <c r="FD1102" s="67" t="s">
        <v>8837</v>
      </c>
      <c r="FE1102" s="68" t="s">
        <v>8838</v>
      </c>
      <c r="FF1102" s="68" t="s">
        <v>8839</v>
      </c>
    </row>
    <row r="1103" spans="151:162" x14ac:dyDescent="0.2">
      <c r="EU1103" s="67">
        <v>568.63</v>
      </c>
      <c r="EV1103" s="67" t="s">
        <v>8840</v>
      </c>
      <c r="EW1103" s="67">
        <v>491.35</v>
      </c>
      <c r="EX1103" s="67" t="s">
        <v>8841</v>
      </c>
      <c r="EY1103" s="67">
        <v>5703.31</v>
      </c>
      <c r="EZ1103" s="67" t="s">
        <v>8842</v>
      </c>
      <c r="FA1103" s="67">
        <v>20194.673999999999</v>
      </c>
      <c r="FB1103" s="67" t="s">
        <v>8843</v>
      </c>
      <c r="FC1103" s="67" t="s">
        <v>8844</v>
      </c>
      <c r="FD1103" s="67" t="s">
        <v>8845</v>
      </c>
      <c r="FE1103" s="68" t="s">
        <v>8846</v>
      </c>
      <c r="FF1103" s="68" t="s">
        <v>8847</v>
      </c>
    </row>
    <row r="1104" spans="151:162" x14ac:dyDescent="0.2">
      <c r="EU1104" s="67">
        <v>568.66</v>
      </c>
      <c r="EV1104" s="67" t="s">
        <v>8848</v>
      </c>
      <c r="EW1104" s="67">
        <v>491.36</v>
      </c>
      <c r="EX1104" s="67" t="s">
        <v>8849</v>
      </c>
      <c r="EY1104" s="67">
        <v>5703.33</v>
      </c>
      <c r="EZ1104" s="67" t="s">
        <v>8850</v>
      </c>
      <c r="FA1104" s="67">
        <v>20194.689999999999</v>
      </c>
      <c r="FB1104" s="67" t="s">
        <v>8851</v>
      </c>
      <c r="FC1104" s="67" t="s">
        <v>8852</v>
      </c>
      <c r="FD1104" s="67" t="s">
        <v>8853</v>
      </c>
      <c r="FE1104" s="68" t="s">
        <v>8854</v>
      </c>
      <c r="FF1104" s="68" t="s">
        <v>8855</v>
      </c>
    </row>
    <row r="1105" spans="151:162" x14ac:dyDescent="0.2">
      <c r="EU1105" s="67">
        <v>568.53</v>
      </c>
      <c r="EV1105" s="67" t="s">
        <v>8856</v>
      </c>
      <c r="EW1105" s="67">
        <v>491.3</v>
      </c>
      <c r="EX1105" s="67" t="s">
        <v>8857</v>
      </c>
      <c r="EY1105" s="67">
        <v>5702.94</v>
      </c>
      <c r="EZ1105" s="67" t="s">
        <v>8858</v>
      </c>
      <c r="FA1105" s="67">
        <v>20195.161</v>
      </c>
      <c r="FB1105" s="67" t="s">
        <v>8859</v>
      </c>
      <c r="FC1105" s="67" t="s">
        <v>8860</v>
      </c>
      <c r="FD1105" s="67" t="s">
        <v>8861</v>
      </c>
      <c r="FE1105" s="68" t="s">
        <v>8862</v>
      </c>
      <c r="FF1105" s="68" t="s">
        <v>8863</v>
      </c>
    </row>
    <row r="1106" spans="151:162" x14ac:dyDescent="0.2">
      <c r="EU1106" s="67">
        <v>568.44000000000005</v>
      </c>
      <c r="EV1106" s="67" t="s">
        <v>8864</v>
      </c>
      <c r="EW1106" s="67">
        <v>491.255</v>
      </c>
      <c r="EX1106" s="67" t="s">
        <v>8865</v>
      </c>
      <c r="EY1106" s="67">
        <v>5702.44</v>
      </c>
      <c r="EZ1106" s="67" t="s">
        <v>8866</v>
      </c>
      <c r="FA1106" s="67">
        <v>20194.636999999999</v>
      </c>
      <c r="FB1106" s="67" t="s">
        <v>8867</v>
      </c>
      <c r="FC1106" s="67" t="s">
        <v>8868</v>
      </c>
      <c r="FD1106" s="67" t="s">
        <v>8869</v>
      </c>
      <c r="FE1106" s="68" t="s">
        <v>8870</v>
      </c>
      <c r="FF1106" s="68" t="s">
        <v>8871</v>
      </c>
    </row>
    <row r="1107" spans="151:162" x14ac:dyDescent="0.2">
      <c r="EU1107" s="67">
        <v>568.61</v>
      </c>
      <c r="EV1107" s="67" t="s">
        <v>8872</v>
      </c>
      <c r="EW1107" s="67">
        <v>491.41</v>
      </c>
      <c r="EX1107" s="67" t="s">
        <v>8873</v>
      </c>
      <c r="EY1107" s="67">
        <v>5703.15</v>
      </c>
      <c r="EZ1107" s="67" t="s">
        <v>8874</v>
      </c>
      <c r="FA1107" s="67">
        <v>20196.782999999999</v>
      </c>
      <c r="FB1107" s="67" t="s">
        <v>8875</v>
      </c>
      <c r="FC1107" s="67" t="s">
        <v>8876</v>
      </c>
      <c r="FD1107" s="67" t="s">
        <v>8877</v>
      </c>
      <c r="FE1107" s="68" t="s">
        <v>8878</v>
      </c>
      <c r="FF1107" s="68" t="s">
        <v>8879</v>
      </c>
    </row>
    <row r="1108" spans="151:162" x14ac:dyDescent="0.2">
      <c r="EU1108" s="67">
        <v>568.66300000000001</v>
      </c>
      <c r="EV1108" s="67" t="s">
        <v>8880</v>
      </c>
      <c r="EW1108" s="67">
        <v>491.44499999999999</v>
      </c>
      <c r="EX1108" s="67" t="s">
        <v>8881</v>
      </c>
      <c r="EY1108" s="67">
        <v>5703.63</v>
      </c>
      <c r="EZ1108" s="67" t="s">
        <v>8882</v>
      </c>
      <c r="FA1108" s="67">
        <v>20198.47</v>
      </c>
      <c r="FB1108" s="67" t="s">
        <v>8883</v>
      </c>
      <c r="FC1108" s="67" t="s">
        <v>8884</v>
      </c>
      <c r="FD1108" s="67" t="s">
        <v>8885</v>
      </c>
      <c r="FE1108" s="68" t="s">
        <v>8886</v>
      </c>
      <c r="FF1108" s="68" t="s">
        <v>8887</v>
      </c>
    </row>
    <row r="1109" spans="151:162" x14ac:dyDescent="0.2">
      <c r="EU1109" s="67">
        <v>568.58000000000004</v>
      </c>
      <c r="EV1109" s="67" t="s">
        <v>8888</v>
      </c>
      <c r="EW1109" s="67">
        <v>491.43</v>
      </c>
      <c r="EX1109" s="67" t="s">
        <v>8889</v>
      </c>
      <c r="EY1109" s="67">
        <v>5703.03</v>
      </c>
      <c r="EZ1109" s="67" t="s">
        <v>8890</v>
      </c>
      <c r="FA1109" s="67">
        <v>20197.550999999999</v>
      </c>
      <c r="FB1109" s="67" t="s">
        <v>8891</v>
      </c>
      <c r="FC1109" s="67" t="s">
        <v>8892</v>
      </c>
      <c r="FD1109" s="67" t="s">
        <v>8893</v>
      </c>
      <c r="FE1109" s="68" t="s">
        <v>8894</v>
      </c>
      <c r="FF1109" s="68" t="s">
        <v>8895</v>
      </c>
    </row>
    <row r="1110" spans="151:162" x14ac:dyDescent="0.2">
      <c r="EU1110" s="67">
        <v>568.29</v>
      </c>
      <c r="EV1110" s="67" t="s">
        <v>8896</v>
      </c>
      <c r="EW1110" s="67">
        <v>491.19</v>
      </c>
      <c r="EX1110" s="67" t="s">
        <v>8897</v>
      </c>
      <c r="EY1110" s="67">
        <v>5700.69</v>
      </c>
      <c r="EZ1110" s="67" t="s">
        <v>8898</v>
      </c>
      <c r="FA1110" s="67">
        <v>20194.134999999998</v>
      </c>
      <c r="FB1110" s="67" t="s">
        <v>8899</v>
      </c>
      <c r="FC1110" s="67" t="s">
        <v>8900</v>
      </c>
      <c r="FD1110" s="67" t="s">
        <v>8901</v>
      </c>
      <c r="FE1110" s="68" t="s">
        <v>8902</v>
      </c>
      <c r="FF1110" s="68" t="s">
        <v>8903</v>
      </c>
    </row>
    <row r="1111" spans="151:162" x14ac:dyDescent="0.2">
      <c r="EU1111" s="67">
        <v>568.12</v>
      </c>
      <c r="EV1111" s="67" t="s">
        <v>8904</v>
      </c>
      <c r="EW1111" s="67">
        <v>491.04</v>
      </c>
      <c r="EX1111" s="67" t="s">
        <v>8905</v>
      </c>
      <c r="EY1111" s="67">
        <v>5697.73</v>
      </c>
      <c r="EZ1111" s="67" t="s">
        <v>8906</v>
      </c>
      <c r="FA1111" s="67">
        <v>20181.501</v>
      </c>
      <c r="FB1111" s="67" t="s">
        <v>8907</v>
      </c>
      <c r="FC1111" s="67" t="s">
        <v>8908</v>
      </c>
      <c r="FD1111" s="67" t="s">
        <v>8909</v>
      </c>
      <c r="FE1111" s="68" t="s">
        <v>8910</v>
      </c>
      <c r="FF1111" s="68" t="s">
        <v>8911</v>
      </c>
    </row>
    <row r="1112" spans="151:162" x14ac:dyDescent="0.2">
      <c r="EU1112" s="67">
        <v>568.34</v>
      </c>
      <c r="EV1112" s="67" t="s">
        <v>8912</v>
      </c>
      <c r="EW1112" s="67">
        <v>491.32</v>
      </c>
      <c r="EX1112" s="67" t="s">
        <v>8913</v>
      </c>
      <c r="EY1112" s="67">
        <v>5700.53</v>
      </c>
      <c r="EZ1112" s="67" t="s">
        <v>8914</v>
      </c>
      <c r="FA1112" s="67">
        <v>20193.578000000001</v>
      </c>
      <c r="FB1112" s="67" t="s">
        <v>8915</v>
      </c>
      <c r="FC1112" s="67" t="s">
        <v>8916</v>
      </c>
      <c r="FD1112" s="67" t="s">
        <v>8917</v>
      </c>
      <c r="FE1112" s="68" t="s">
        <v>8918</v>
      </c>
      <c r="FF1112" s="68" t="s">
        <v>8919</v>
      </c>
    </row>
    <row r="1113" spans="151:162" x14ac:dyDescent="0.2">
      <c r="EU1113" s="67">
        <v>568.11</v>
      </c>
      <c r="EV1113" s="67" t="s">
        <v>8920</v>
      </c>
      <c r="EW1113" s="67">
        <v>491.14</v>
      </c>
      <c r="EX1113" s="67" t="s">
        <v>8921</v>
      </c>
      <c r="EY1113" s="67">
        <v>5699.06</v>
      </c>
      <c r="EZ1113" s="67" t="s">
        <v>8922</v>
      </c>
      <c r="FA1113" s="67">
        <v>20190.223999999998</v>
      </c>
      <c r="FB1113" s="67" t="s">
        <v>8923</v>
      </c>
      <c r="FC1113" s="67" t="s">
        <v>8924</v>
      </c>
      <c r="FD1113" s="67" t="s">
        <v>8925</v>
      </c>
      <c r="FE1113" s="68" t="s">
        <v>8926</v>
      </c>
      <c r="FF1113" s="68" t="s">
        <v>8927</v>
      </c>
    </row>
    <row r="1114" spans="151:162" x14ac:dyDescent="0.2">
      <c r="EU1114" s="67">
        <v>568.16999999999996</v>
      </c>
      <c r="EV1114" s="67" t="s">
        <v>8928</v>
      </c>
      <c r="EW1114" s="67">
        <v>491.23500000000001</v>
      </c>
      <c r="EX1114" s="67" t="s">
        <v>8929</v>
      </c>
      <c r="EY1114" s="67">
        <v>5698.57</v>
      </c>
      <c r="EZ1114" s="67" t="s">
        <v>8930</v>
      </c>
      <c r="FA1114" s="67">
        <v>20189.36</v>
      </c>
      <c r="FB1114" s="67" t="s">
        <v>8931</v>
      </c>
      <c r="FC1114" s="67" t="s">
        <v>8932</v>
      </c>
      <c r="FD1114" s="67" t="s">
        <v>8933</v>
      </c>
      <c r="FE1114" s="68" t="s">
        <v>8934</v>
      </c>
      <c r="FF1114" s="68" t="s">
        <v>8935</v>
      </c>
    </row>
    <row r="1115" spans="151:162" x14ac:dyDescent="0.2">
      <c r="EU1115" s="67">
        <v>568.14</v>
      </c>
      <c r="EV1115" s="67" t="s">
        <v>8936</v>
      </c>
      <c r="EW1115" s="67">
        <v>491.19</v>
      </c>
      <c r="EX1115" s="67" t="s">
        <v>8937</v>
      </c>
      <c r="EY1115" s="67">
        <v>5698.63</v>
      </c>
      <c r="EZ1115" s="67" t="s">
        <v>8938</v>
      </c>
      <c r="FA1115" s="67">
        <v>20188.691999999999</v>
      </c>
      <c r="FB1115" s="67" t="s">
        <v>8939</v>
      </c>
      <c r="FC1115" s="67" t="s">
        <v>8940</v>
      </c>
      <c r="FD1115" s="67" t="s">
        <v>8941</v>
      </c>
      <c r="FE1115" s="68" t="s">
        <v>8942</v>
      </c>
      <c r="FF1115" s="68" t="s">
        <v>8943</v>
      </c>
    </row>
    <row r="1116" spans="151:162" x14ac:dyDescent="0.2">
      <c r="EU1116" s="67">
        <v>568.09</v>
      </c>
      <c r="EV1116" s="67" t="s">
        <v>8944</v>
      </c>
      <c r="EW1116" s="67">
        <v>491.1</v>
      </c>
      <c r="EX1116" s="67" t="s">
        <v>8945</v>
      </c>
      <c r="EY1116" s="67">
        <v>5697.82</v>
      </c>
      <c r="EZ1116" s="67" t="s">
        <v>8946</v>
      </c>
      <c r="FA1116" s="67">
        <v>20184.608</v>
      </c>
      <c r="FB1116" s="67" t="s">
        <v>8947</v>
      </c>
      <c r="FC1116" s="67" t="s">
        <v>8948</v>
      </c>
      <c r="FD1116" s="67" t="s">
        <v>8949</v>
      </c>
      <c r="FE1116" s="68" t="s">
        <v>8950</v>
      </c>
      <c r="FF1116" s="68" t="s">
        <v>8951</v>
      </c>
    </row>
    <row r="1117" spans="151:162" x14ac:dyDescent="0.2">
      <c r="EU1117" s="67">
        <v>568.21</v>
      </c>
      <c r="EV1117" s="67" t="s">
        <v>8952</v>
      </c>
      <c r="EW1117" s="67">
        <v>491.22</v>
      </c>
      <c r="EX1117" s="67" t="s">
        <v>8953</v>
      </c>
      <c r="EY1117" s="67">
        <v>5698.98</v>
      </c>
      <c r="EZ1117" s="67" t="s">
        <v>8954</v>
      </c>
      <c r="FA1117" s="67">
        <v>20187.728999999999</v>
      </c>
      <c r="FB1117" s="67" t="s">
        <v>8955</v>
      </c>
      <c r="FC1117" s="67" t="s">
        <v>8956</v>
      </c>
      <c r="FD1117" s="67" t="s">
        <v>8957</v>
      </c>
      <c r="FE1117" s="68" t="s">
        <v>8958</v>
      </c>
      <c r="FF1117" s="68" t="s">
        <v>8959</v>
      </c>
    </row>
    <row r="1118" spans="151:162" x14ac:dyDescent="0.2">
      <c r="EU1118" s="67">
        <v>568.29999999999995</v>
      </c>
      <c r="EV1118" s="67" t="s">
        <v>8960</v>
      </c>
      <c r="EW1118" s="67">
        <v>491.24099999999999</v>
      </c>
      <c r="EX1118" s="67" t="s">
        <v>8961</v>
      </c>
      <c r="EY1118" s="67">
        <v>5699.79</v>
      </c>
      <c r="EZ1118" s="67" t="s">
        <v>8962</v>
      </c>
      <c r="FA1118" s="67">
        <v>20189.664000000001</v>
      </c>
      <c r="FB1118" s="67" t="s">
        <v>8963</v>
      </c>
      <c r="FC1118" s="67" t="s">
        <v>8964</v>
      </c>
      <c r="FD1118" s="67" t="s">
        <v>8965</v>
      </c>
      <c r="FE1118" s="68" t="s">
        <v>8966</v>
      </c>
      <c r="FF1118" s="68" t="s">
        <v>8967</v>
      </c>
    </row>
    <row r="1119" spans="151:162" x14ac:dyDescent="0.2">
      <c r="EU1119" s="67">
        <v>568.58500000000004</v>
      </c>
      <c r="EV1119" s="67" t="s">
        <v>8968</v>
      </c>
      <c r="EW1119" s="67">
        <v>491.45</v>
      </c>
      <c r="EX1119" s="67" t="s">
        <v>8969</v>
      </c>
      <c r="EY1119" s="67">
        <v>5702.61</v>
      </c>
      <c r="EZ1119" s="67" t="s">
        <v>8970</v>
      </c>
      <c r="FA1119" s="67">
        <v>20197.919999999998</v>
      </c>
      <c r="FB1119" s="67" t="s">
        <v>8971</v>
      </c>
      <c r="FC1119" s="67" t="s">
        <v>8972</v>
      </c>
      <c r="FD1119" s="67" t="s">
        <v>8973</v>
      </c>
      <c r="FE1119" s="68" t="s">
        <v>8974</v>
      </c>
      <c r="FF1119" s="68" t="s">
        <v>8975</v>
      </c>
    </row>
    <row r="1120" spans="151:162" x14ac:dyDescent="0.2">
      <c r="EU1120" s="67">
        <v>568.82000000000005</v>
      </c>
      <c r="EV1120" s="67" t="s">
        <v>8976</v>
      </c>
      <c r="EW1120" s="67">
        <v>491.72</v>
      </c>
      <c r="EX1120" s="67" t="s">
        <v>8977</v>
      </c>
      <c r="EY1120" s="67">
        <v>5705.45</v>
      </c>
      <c r="EZ1120" s="67" t="s">
        <v>8978</v>
      </c>
      <c r="FA1120" s="67">
        <v>20209.059000000001</v>
      </c>
      <c r="FB1120" s="67" t="s">
        <v>8979</v>
      </c>
      <c r="FC1120" s="67" t="s">
        <v>8980</v>
      </c>
      <c r="FD1120" s="67" t="s">
        <v>8981</v>
      </c>
      <c r="FE1120" s="68" t="s">
        <v>8982</v>
      </c>
      <c r="FF1120" s="68" t="s">
        <v>8983</v>
      </c>
    </row>
    <row r="1121" spans="151:162" x14ac:dyDescent="0.2">
      <c r="EU1121" s="67">
        <v>568.89</v>
      </c>
      <c r="EV1121" s="67" t="s">
        <v>8984</v>
      </c>
      <c r="EW1121" s="67">
        <v>491.9</v>
      </c>
      <c r="EX1121" s="67" t="s">
        <v>8985</v>
      </c>
      <c r="EY1121" s="67">
        <v>5706.31</v>
      </c>
      <c r="EZ1121" s="67" t="s">
        <v>8986</v>
      </c>
      <c r="FA1121" s="67">
        <v>20217.204000000002</v>
      </c>
      <c r="FB1121" s="67" t="s">
        <v>8987</v>
      </c>
      <c r="FC1121" s="67" t="s">
        <v>8988</v>
      </c>
      <c r="FD1121" s="67" t="s">
        <v>8989</v>
      </c>
      <c r="FE1121" s="68" t="s">
        <v>8990</v>
      </c>
      <c r="FF1121" s="68" t="s">
        <v>8991</v>
      </c>
    </row>
    <row r="1122" spans="151:162" x14ac:dyDescent="0.2">
      <c r="EU1122" s="67">
        <v>568.94000000000005</v>
      </c>
      <c r="EV1122" s="67" t="s">
        <v>8992</v>
      </c>
      <c r="EW1122" s="67">
        <v>491.952</v>
      </c>
      <c r="EX1122" s="67" t="s">
        <v>8993</v>
      </c>
      <c r="EY1122" s="67">
        <v>5706.48</v>
      </c>
      <c r="EZ1122" s="67" t="s">
        <v>8994</v>
      </c>
      <c r="FA1122" s="67">
        <v>20219.405999999999</v>
      </c>
      <c r="FB1122" s="67" t="s">
        <v>8995</v>
      </c>
      <c r="FC1122" s="67" t="s">
        <v>8996</v>
      </c>
      <c r="FD1122" s="67" t="s">
        <v>8997</v>
      </c>
      <c r="FE1122" s="68" t="s">
        <v>8998</v>
      </c>
      <c r="FF1122" s="68" t="s">
        <v>8999</v>
      </c>
    </row>
    <row r="1123" spans="151:162" x14ac:dyDescent="0.2">
      <c r="EU1123" s="67">
        <v>568.97900000000004</v>
      </c>
      <c r="EV1123" s="67" t="s">
        <v>9000</v>
      </c>
      <c r="EW1123" s="67">
        <v>491.98700000000002</v>
      </c>
      <c r="EX1123" s="67" t="s">
        <v>9001</v>
      </c>
      <c r="EY1123" s="67">
        <v>5707.2</v>
      </c>
      <c r="EZ1123" s="67" t="s">
        <v>9002</v>
      </c>
      <c r="FA1123" s="67">
        <v>20221.875</v>
      </c>
      <c r="FB1123" s="67" t="s">
        <v>9003</v>
      </c>
      <c r="FC1123" s="67" t="s">
        <v>9004</v>
      </c>
      <c r="FD1123" s="67" t="s">
        <v>9005</v>
      </c>
      <c r="FE1123" s="68" t="s">
        <v>9006</v>
      </c>
      <c r="FF1123" s="68" t="s">
        <v>9007</v>
      </c>
    </row>
    <row r="1124" spans="151:162" x14ac:dyDescent="0.2">
      <c r="EU1124" s="67">
        <v>568.92999999999995</v>
      </c>
      <c r="EV1124" s="67" t="s">
        <v>9008</v>
      </c>
      <c r="EW1124" s="67">
        <v>491.98</v>
      </c>
      <c r="EX1124" s="67" t="s">
        <v>9009</v>
      </c>
      <c r="EY1124" s="67">
        <v>5706.73</v>
      </c>
      <c r="EZ1124" s="67" t="s">
        <v>9010</v>
      </c>
      <c r="FA1124" s="67">
        <v>20221.956999999999</v>
      </c>
      <c r="FB1124" s="67" t="s">
        <v>9011</v>
      </c>
      <c r="FC1124" s="67" t="s">
        <v>9012</v>
      </c>
      <c r="FD1124" s="67" t="s">
        <v>9013</v>
      </c>
      <c r="FE1124" s="68" t="s">
        <v>9014</v>
      </c>
      <c r="FF1124" s="68" t="s">
        <v>9015</v>
      </c>
    </row>
    <row r="1125" spans="151:162" x14ac:dyDescent="0.2">
      <c r="EU1125" s="67">
        <v>568.98</v>
      </c>
      <c r="EV1125" s="67" t="s">
        <v>9016</v>
      </c>
      <c r="EW1125" s="67">
        <v>492.04</v>
      </c>
      <c r="EX1125" s="67" t="s">
        <v>9017</v>
      </c>
      <c r="EY1125" s="67">
        <v>5706.91</v>
      </c>
      <c r="EZ1125" s="67" t="s">
        <v>9018</v>
      </c>
      <c r="FA1125" s="67">
        <v>20224.276999999998</v>
      </c>
      <c r="FB1125" s="67" t="s">
        <v>9019</v>
      </c>
      <c r="FC1125" s="67" t="s">
        <v>9020</v>
      </c>
      <c r="FD1125" s="67" t="s">
        <v>9021</v>
      </c>
      <c r="FE1125" s="68" t="s">
        <v>9022</v>
      </c>
      <c r="FF1125" s="68" t="s">
        <v>9023</v>
      </c>
    </row>
    <row r="1126" spans="151:162" x14ac:dyDescent="0.2">
      <c r="EU1126" s="67">
        <v>568.80999999999995</v>
      </c>
      <c r="EV1126" s="67" t="s">
        <v>9024</v>
      </c>
      <c r="EW1126" s="67">
        <v>491.92500000000001</v>
      </c>
      <c r="EX1126" s="67" t="s">
        <v>9025</v>
      </c>
      <c r="EY1126" s="67">
        <v>5705.64</v>
      </c>
      <c r="EZ1126" s="67" t="s">
        <v>9026</v>
      </c>
      <c r="FA1126" s="67">
        <v>20219.670999999998</v>
      </c>
      <c r="FB1126" s="67" t="s">
        <v>9027</v>
      </c>
      <c r="FC1126" s="67" t="s">
        <v>9028</v>
      </c>
      <c r="FD1126" s="67" t="s">
        <v>9029</v>
      </c>
      <c r="FE1126" s="68" t="s">
        <v>9030</v>
      </c>
      <c r="FF1126" s="68" t="s">
        <v>9031</v>
      </c>
    </row>
    <row r="1127" spans="151:162" x14ac:dyDescent="0.2">
      <c r="EU1127" s="67">
        <v>568.93499999999995</v>
      </c>
      <c r="EV1127" s="67" t="s">
        <v>9032</v>
      </c>
      <c r="EW1127" s="67">
        <v>492.06</v>
      </c>
      <c r="EX1127" s="67" t="s">
        <v>9033</v>
      </c>
      <c r="EY1127" s="67">
        <v>5706.39</v>
      </c>
      <c r="EZ1127" s="67" t="s">
        <v>9034</v>
      </c>
      <c r="FA1127" s="67">
        <v>20223.746999999999</v>
      </c>
      <c r="FB1127" s="67" t="s">
        <v>9035</v>
      </c>
      <c r="FC1127" s="67" t="s">
        <v>9036</v>
      </c>
      <c r="FD1127" s="67" t="s">
        <v>9037</v>
      </c>
      <c r="FE1127" s="68" t="s">
        <v>9038</v>
      </c>
      <c r="FF1127" s="68" t="s">
        <v>9039</v>
      </c>
    </row>
    <row r="1128" spans="151:162" x14ac:dyDescent="0.2">
      <c r="EU1128" s="67">
        <v>568.87</v>
      </c>
      <c r="EV1128" s="67" t="s">
        <v>9040</v>
      </c>
      <c r="EW1128" s="67">
        <v>492.005</v>
      </c>
      <c r="EX1128" s="67" t="s">
        <v>9041</v>
      </c>
      <c r="EY1128" s="67">
        <v>5705.84</v>
      </c>
      <c r="EZ1128" s="67" t="s">
        <v>9042</v>
      </c>
      <c r="FA1128" s="67">
        <v>20221.636999999999</v>
      </c>
      <c r="FB1128" s="67" t="s">
        <v>9043</v>
      </c>
      <c r="FC1128" s="67" t="s">
        <v>9044</v>
      </c>
      <c r="FD1128" s="67" t="s">
        <v>9045</v>
      </c>
      <c r="FE1128" s="68" t="s">
        <v>9046</v>
      </c>
      <c r="FF1128" s="68" t="s">
        <v>9047</v>
      </c>
    </row>
    <row r="1129" spans="151:162" x14ac:dyDescent="0.2">
      <c r="EU1129" s="67">
        <v>569.09</v>
      </c>
      <c r="EV1129" s="67" t="s">
        <v>9048</v>
      </c>
      <c r="EW1129" s="67">
        <v>492.2</v>
      </c>
      <c r="EX1129" s="67" t="s">
        <v>9049</v>
      </c>
      <c r="EY1129" s="67">
        <v>5707.72</v>
      </c>
      <c r="EZ1129" s="67" t="s">
        <v>9050</v>
      </c>
      <c r="FA1129" s="67">
        <v>20229.809000000001</v>
      </c>
      <c r="FB1129" s="67" t="s">
        <v>9051</v>
      </c>
      <c r="FC1129" s="67" t="s">
        <v>9052</v>
      </c>
      <c r="FD1129" s="67" t="s">
        <v>9053</v>
      </c>
      <c r="FE1129" s="68" t="s">
        <v>9054</v>
      </c>
      <c r="FF1129" s="68" t="s">
        <v>9055</v>
      </c>
    </row>
    <row r="1130" spans="151:162" x14ac:dyDescent="0.2">
      <c r="EU1130" s="67">
        <v>568.98599999999999</v>
      </c>
      <c r="EV1130" s="67" t="s">
        <v>9056</v>
      </c>
      <c r="EW1130" s="67">
        <v>492.09</v>
      </c>
      <c r="EX1130" s="67" t="s">
        <v>9057</v>
      </c>
      <c r="EY1130" s="67">
        <v>5706.9</v>
      </c>
      <c r="EZ1130" s="67" t="s">
        <v>9058</v>
      </c>
      <c r="FA1130" s="67">
        <v>20225.316999999999</v>
      </c>
      <c r="FB1130" s="67" t="s">
        <v>9059</v>
      </c>
      <c r="FC1130" s="67" t="s">
        <v>9060</v>
      </c>
      <c r="FD1130" s="67" t="s">
        <v>9061</v>
      </c>
      <c r="FE1130" s="68" t="s">
        <v>9062</v>
      </c>
      <c r="FF1130" s="68" t="s">
        <v>9063</v>
      </c>
    </row>
    <row r="1131" spans="151:162" x14ac:dyDescent="0.2">
      <c r="EU1131" s="67">
        <v>569.08000000000004</v>
      </c>
      <c r="EV1131" s="67" t="s">
        <v>9064</v>
      </c>
      <c r="EW1131" s="67">
        <v>492.17</v>
      </c>
      <c r="EX1131" s="67" t="s">
        <v>9065</v>
      </c>
      <c r="EY1131" s="67">
        <v>5707.79</v>
      </c>
      <c r="EZ1131" s="67" t="s">
        <v>9066</v>
      </c>
      <c r="FA1131" s="67">
        <v>20227.376</v>
      </c>
      <c r="FB1131" s="67" t="s">
        <v>9067</v>
      </c>
      <c r="FC1131" s="67" t="s">
        <v>9068</v>
      </c>
      <c r="FD1131" s="67" t="s">
        <v>9069</v>
      </c>
      <c r="FE1131" s="68" t="s">
        <v>9070</v>
      </c>
      <c r="FF1131" s="68" t="s">
        <v>9071</v>
      </c>
    </row>
    <row r="1132" spans="151:162" x14ac:dyDescent="0.2">
      <c r="EU1132" s="67">
        <v>569</v>
      </c>
      <c r="EV1132" s="67" t="s">
        <v>9072</v>
      </c>
      <c r="EW1132" s="67">
        <v>492.05</v>
      </c>
      <c r="EX1132" s="67" t="s">
        <v>9073</v>
      </c>
      <c r="EY1132" s="67">
        <v>5706.78</v>
      </c>
      <c r="EZ1132" s="67" t="s">
        <v>9074</v>
      </c>
      <c r="FA1132" s="67">
        <v>20222.993999999999</v>
      </c>
      <c r="FB1132" s="67" t="s">
        <v>9075</v>
      </c>
      <c r="FC1132" s="67" t="s">
        <v>9076</v>
      </c>
      <c r="FD1132" s="67" t="s">
        <v>9077</v>
      </c>
      <c r="FE1132" s="68" t="s">
        <v>9078</v>
      </c>
      <c r="FF1132" s="68" t="s">
        <v>9079</v>
      </c>
    </row>
    <row r="1133" spans="151:162" x14ac:dyDescent="0.2">
      <c r="EU1133" s="67">
        <v>569</v>
      </c>
      <c r="EV1133" s="67" t="s">
        <v>9080</v>
      </c>
      <c r="EW1133" s="67">
        <v>492.02</v>
      </c>
      <c r="EX1133" s="67" t="s">
        <v>9081</v>
      </c>
      <c r="EY1133" s="67">
        <v>5706.88</v>
      </c>
      <c r="EZ1133" s="67" t="s">
        <v>9082</v>
      </c>
      <c r="FA1133" s="67">
        <v>20221.429</v>
      </c>
      <c r="FB1133" s="67" t="s">
        <v>9083</v>
      </c>
      <c r="FC1133" s="67" t="s">
        <v>9084</v>
      </c>
      <c r="FD1133" s="67" t="s">
        <v>9085</v>
      </c>
      <c r="FE1133" s="68" t="s">
        <v>9086</v>
      </c>
      <c r="FF1133" s="68" t="s">
        <v>9087</v>
      </c>
    </row>
    <row r="1134" spans="151:162" x14ac:dyDescent="0.2">
      <c r="EU1134" s="67">
        <v>568.92999999999995</v>
      </c>
      <c r="EV1134" s="67" t="s">
        <v>9088</v>
      </c>
      <c r="EW1134" s="67">
        <v>491.95</v>
      </c>
      <c r="EX1134" s="67" t="s">
        <v>9089</v>
      </c>
      <c r="EY1134" s="67">
        <v>5706.31</v>
      </c>
      <c r="EZ1134" s="67" t="s">
        <v>9090</v>
      </c>
      <c r="FA1134" s="67">
        <v>20218.469000000001</v>
      </c>
      <c r="FB1134" s="67" t="s">
        <v>9091</v>
      </c>
      <c r="FC1134" s="67" t="s">
        <v>9092</v>
      </c>
      <c r="FD1134" s="67" t="s">
        <v>9093</v>
      </c>
      <c r="FE1134" s="68" t="s">
        <v>9094</v>
      </c>
      <c r="FF1134" s="68" t="s">
        <v>9095</v>
      </c>
    </row>
    <row r="1135" spans="151:162" x14ac:dyDescent="0.2">
      <c r="EU1135" s="67">
        <v>568.79</v>
      </c>
      <c r="EV1135" s="67" t="s">
        <v>9096</v>
      </c>
      <c r="EW1135" s="67">
        <v>491.81</v>
      </c>
      <c r="EX1135" s="67" t="s">
        <v>9097</v>
      </c>
      <c r="EY1135" s="67">
        <v>5705.12</v>
      </c>
      <c r="EZ1135" s="67" t="s">
        <v>9098</v>
      </c>
      <c r="FA1135" s="67">
        <v>20214.697</v>
      </c>
      <c r="FB1135" s="67" t="s">
        <v>9099</v>
      </c>
      <c r="FC1135" s="67" t="s">
        <v>9100</v>
      </c>
      <c r="FD1135" s="67" t="s">
        <v>9101</v>
      </c>
      <c r="FE1135" s="68" t="s">
        <v>9102</v>
      </c>
      <c r="FF1135" s="68" t="s">
        <v>9103</v>
      </c>
    </row>
    <row r="1136" spans="151:162" x14ac:dyDescent="0.2">
      <c r="EU1136" s="67">
        <v>568.87</v>
      </c>
      <c r="EV1136" s="67" t="s">
        <v>9104</v>
      </c>
      <c r="EW1136" s="67">
        <v>491.91</v>
      </c>
      <c r="EX1136" s="67" t="s">
        <v>9105</v>
      </c>
      <c r="EY1136" s="67">
        <v>5705.87</v>
      </c>
      <c r="EZ1136" s="67" t="s">
        <v>9106</v>
      </c>
      <c r="FA1136" s="67">
        <v>20218.677</v>
      </c>
      <c r="FB1136" s="67" t="s">
        <v>9107</v>
      </c>
      <c r="FC1136" s="67" t="s">
        <v>9108</v>
      </c>
      <c r="FD1136" s="67" t="s">
        <v>9109</v>
      </c>
      <c r="FE1136" s="68" t="s">
        <v>9110</v>
      </c>
      <c r="FF1136" s="68" t="s">
        <v>9111</v>
      </c>
    </row>
    <row r="1137" spans="151:162" x14ac:dyDescent="0.2">
      <c r="EU1137" s="67">
        <v>568.57000000000005</v>
      </c>
      <c r="EV1137" s="67" t="s">
        <v>9112</v>
      </c>
      <c r="EW1137" s="67">
        <v>491.66</v>
      </c>
      <c r="EX1137" s="67" t="s">
        <v>9113</v>
      </c>
      <c r="EY1137" s="67">
        <v>5702.9</v>
      </c>
      <c r="EZ1137" s="67" t="s">
        <v>9114</v>
      </c>
      <c r="FA1137" s="67">
        <v>20208.147000000001</v>
      </c>
      <c r="FB1137" s="67" t="s">
        <v>9115</v>
      </c>
      <c r="FC1137" s="67" t="s">
        <v>9116</v>
      </c>
      <c r="FD1137" s="67" t="s">
        <v>9117</v>
      </c>
      <c r="FE1137" s="68" t="s">
        <v>9118</v>
      </c>
      <c r="FF1137" s="68" t="s">
        <v>9119</v>
      </c>
    </row>
    <row r="1138" spans="151:162" x14ac:dyDescent="0.2">
      <c r="EU1138" s="67">
        <v>568.44000000000005</v>
      </c>
      <c r="EV1138" s="67" t="s">
        <v>9120</v>
      </c>
      <c r="EW1138" s="67">
        <v>491.53</v>
      </c>
      <c r="EX1138" s="67" t="s">
        <v>9121</v>
      </c>
      <c r="EY1138" s="67">
        <v>5701.4</v>
      </c>
      <c r="EZ1138" s="67" t="s">
        <v>9122</v>
      </c>
      <c r="FA1138" s="67">
        <v>20203.223999999998</v>
      </c>
      <c r="FB1138" s="67" t="s">
        <v>9123</v>
      </c>
      <c r="FC1138" s="67" t="s">
        <v>9124</v>
      </c>
      <c r="FD1138" s="67" t="s">
        <v>9125</v>
      </c>
      <c r="FE1138" s="68" t="s">
        <v>9126</v>
      </c>
      <c r="FF1138" s="68" t="s">
        <v>9127</v>
      </c>
    </row>
    <row r="1139" spans="151:162" x14ac:dyDescent="0.2">
      <c r="EU1139" s="67">
        <v>568.70500000000004</v>
      </c>
      <c r="EV1139" s="67" t="s">
        <v>9128</v>
      </c>
      <c r="EW1139" s="67">
        <v>491.76</v>
      </c>
      <c r="EX1139" s="67" t="s">
        <v>9129</v>
      </c>
      <c r="EY1139" s="67">
        <v>5703.79</v>
      </c>
      <c r="EZ1139" s="67" t="s">
        <v>9130</v>
      </c>
      <c r="FA1139" s="67">
        <v>20210.102999999999</v>
      </c>
      <c r="FB1139" s="67" t="s">
        <v>9131</v>
      </c>
      <c r="FC1139" s="67" t="s">
        <v>9132</v>
      </c>
      <c r="FD1139" s="67" t="s">
        <v>9133</v>
      </c>
      <c r="FE1139" s="68" t="s">
        <v>9134</v>
      </c>
      <c r="FF1139" s="68" t="s">
        <v>9135</v>
      </c>
    </row>
    <row r="1140" spans="151:162" x14ac:dyDescent="0.2">
      <c r="EU1140" s="67">
        <v>568.86</v>
      </c>
      <c r="EV1140" s="67" t="s">
        <v>9136</v>
      </c>
      <c r="EW1140" s="67">
        <v>491.91</v>
      </c>
      <c r="EX1140" s="67" t="s">
        <v>9137</v>
      </c>
      <c r="EY1140" s="67">
        <v>5705.22</v>
      </c>
      <c r="EZ1140" s="67" t="s">
        <v>9138</v>
      </c>
      <c r="FA1140" s="67">
        <v>20215.025000000001</v>
      </c>
      <c r="FB1140" s="67" t="s">
        <v>9139</v>
      </c>
      <c r="FC1140" s="67" t="s">
        <v>9140</v>
      </c>
      <c r="FD1140" s="67" t="s">
        <v>9141</v>
      </c>
      <c r="FE1140" s="68" t="s">
        <v>9142</v>
      </c>
      <c r="FF1140" s="68" t="s">
        <v>9143</v>
      </c>
    </row>
    <row r="1141" spans="151:162" x14ac:dyDescent="0.2">
      <c r="EU1141" s="67">
        <v>568.63</v>
      </c>
      <c r="EV1141" s="67" t="s">
        <v>9144</v>
      </c>
      <c r="EW1141" s="67">
        <v>491.7</v>
      </c>
      <c r="EX1141" s="67" t="s">
        <v>9145</v>
      </c>
      <c r="EY1141" s="67">
        <v>5703.46</v>
      </c>
      <c r="EZ1141" s="67" t="s">
        <v>9146</v>
      </c>
      <c r="FA1141" s="67">
        <v>20208.681</v>
      </c>
      <c r="FB1141" s="67" t="s">
        <v>9147</v>
      </c>
      <c r="FC1141" s="67" t="s">
        <v>9148</v>
      </c>
      <c r="FD1141" s="67" t="s">
        <v>9149</v>
      </c>
      <c r="FE1141" s="68" t="s">
        <v>9150</v>
      </c>
      <c r="FF1141" s="68" t="s">
        <v>9151</v>
      </c>
    </row>
    <row r="1142" spans="151:162" x14ac:dyDescent="0.2">
      <c r="EU1142" s="67">
        <v>568.55999999999995</v>
      </c>
      <c r="EV1142" s="67" t="s">
        <v>9152</v>
      </c>
      <c r="EW1142" s="67">
        <v>491.67</v>
      </c>
      <c r="EX1142" s="67" t="s">
        <v>9153</v>
      </c>
      <c r="EY1142" s="67">
        <v>5703.2</v>
      </c>
      <c r="EZ1142" s="67" t="s">
        <v>9154</v>
      </c>
      <c r="FA1142" s="67">
        <v>20210.221000000001</v>
      </c>
      <c r="FB1142" s="67" t="s">
        <v>9155</v>
      </c>
      <c r="FC1142" s="67" t="s">
        <v>9156</v>
      </c>
      <c r="FD1142" s="67" t="s">
        <v>9157</v>
      </c>
      <c r="FE1142" s="68" t="s">
        <v>9158</v>
      </c>
      <c r="FF1142" s="68" t="s">
        <v>9159</v>
      </c>
    </row>
    <row r="1143" spans="151:162" x14ac:dyDescent="0.2">
      <c r="EU1143" s="67">
        <v>568.36</v>
      </c>
      <c r="EV1143" s="67" t="s">
        <v>9160</v>
      </c>
      <c r="EW1143" s="67">
        <v>491.49</v>
      </c>
      <c r="EX1143" s="67" t="s">
        <v>9161</v>
      </c>
      <c r="EY1143" s="67">
        <v>5701.49</v>
      </c>
      <c r="EZ1143" s="67" t="s">
        <v>9162</v>
      </c>
      <c r="FA1143" s="67">
        <v>20204.278999999999</v>
      </c>
      <c r="FB1143" s="67" t="s">
        <v>9163</v>
      </c>
      <c r="FC1143" s="67" t="s">
        <v>9164</v>
      </c>
      <c r="FD1143" s="67" t="s">
        <v>9165</v>
      </c>
      <c r="FE1143" s="68" t="s">
        <v>9166</v>
      </c>
      <c r="FF1143" s="68" t="s">
        <v>9167</v>
      </c>
    </row>
    <row r="1144" spans="151:162" x14ac:dyDescent="0.2">
      <c r="EU1144" s="67">
        <v>568.5</v>
      </c>
      <c r="EV1144" s="67" t="s">
        <v>9168</v>
      </c>
      <c r="EW1144" s="67">
        <v>491.55</v>
      </c>
      <c r="EX1144" s="67" t="s">
        <v>9169</v>
      </c>
      <c r="EY1144" s="67">
        <v>5702.12</v>
      </c>
      <c r="EZ1144" s="67" t="s">
        <v>9170</v>
      </c>
      <c r="FA1144" s="67">
        <v>20203.815999999999</v>
      </c>
      <c r="FB1144" s="67" t="s">
        <v>9171</v>
      </c>
      <c r="FC1144" s="67" t="s">
        <v>9172</v>
      </c>
      <c r="FD1144" s="67" t="s">
        <v>9173</v>
      </c>
      <c r="FE1144" s="68" t="s">
        <v>9174</v>
      </c>
      <c r="FF1144" s="68" t="s">
        <v>9175</v>
      </c>
    </row>
    <row r="1145" spans="151:162" x14ac:dyDescent="0.2">
      <c r="EU1145" s="67">
        <v>568.39400000000001</v>
      </c>
      <c r="EV1145" s="67" t="s">
        <v>9176</v>
      </c>
      <c r="EW1145" s="67">
        <v>491.48</v>
      </c>
      <c r="EX1145" s="67" t="s">
        <v>9177</v>
      </c>
      <c r="EY1145" s="67">
        <v>5701</v>
      </c>
      <c r="EZ1145" s="67" t="s">
        <v>9178</v>
      </c>
      <c r="FA1145" s="67">
        <v>20200.777999999998</v>
      </c>
      <c r="FB1145" s="67" t="s">
        <v>9179</v>
      </c>
      <c r="FC1145" s="67" t="s">
        <v>9180</v>
      </c>
      <c r="FD1145" s="67" t="s">
        <v>9181</v>
      </c>
      <c r="FE1145" s="68" t="s">
        <v>9182</v>
      </c>
      <c r="FF1145" s="68" t="s">
        <v>9183</v>
      </c>
    </row>
    <row r="1146" spans="151:162" x14ac:dyDescent="0.2">
      <c r="EU1146" s="67">
        <v>568.35</v>
      </c>
      <c r="EV1146" s="67" t="s">
        <v>9184</v>
      </c>
      <c r="EW1146" s="67">
        <v>491.47</v>
      </c>
      <c r="EX1146" s="67" t="s">
        <v>9185</v>
      </c>
      <c r="EY1146" s="67">
        <v>5700.76</v>
      </c>
      <c r="EZ1146" s="67" t="s">
        <v>9186</v>
      </c>
      <c r="FA1146" s="67">
        <v>20200.162</v>
      </c>
      <c r="FB1146" s="67" t="s">
        <v>9187</v>
      </c>
      <c r="FC1146" s="67" t="s">
        <v>9188</v>
      </c>
      <c r="FD1146" s="67" t="s">
        <v>9189</v>
      </c>
      <c r="FE1146" s="68" t="s">
        <v>9190</v>
      </c>
      <c r="FF1146" s="68" t="s">
        <v>9191</v>
      </c>
    </row>
    <row r="1147" spans="151:162" x14ac:dyDescent="0.2">
      <c r="EU1147" s="67">
        <v>567.95000000000005</v>
      </c>
      <c r="EV1147" s="67" t="s">
        <v>9192</v>
      </c>
      <c r="EW1147" s="67">
        <v>491.11</v>
      </c>
      <c r="EX1147" s="67" t="s">
        <v>9193</v>
      </c>
      <c r="EY1147" s="67">
        <v>5696.98</v>
      </c>
      <c r="EZ1147" s="67" t="s">
        <v>9194</v>
      </c>
      <c r="FA1147" s="67">
        <v>20186.708999999999</v>
      </c>
      <c r="FB1147" s="67" t="s">
        <v>9195</v>
      </c>
      <c r="FC1147" s="67" t="s">
        <v>9196</v>
      </c>
      <c r="FD1147" s="67" t="s">
        <v>9197</v>
      </c>
      <c r="FE1147" s="68" t="s">
        <v>9198</v>
      </c>
      <c r="FF1147" s="68" t="s">
        <v>9199</v>
      </c>
    </row>
    <row r="1148" spans="151:162" x14ac:dyDescent="0.2">
      <c r="EU1148" s="67">
        <v>567.79999999999995</v>
      </c>
      <c r="EV1148" s="67" t="s">
        <v>9200</v>
      </c>
      <c r="EW1148" s="67">
        <v>491.01</v>
      </c>
      <c r="EX1148" s="67" t="s">
        <v>9201</v>
      </c>
      <c r="EY1148" s="67">
        <v>5695.85</v>
      </c>
      <c r="EZ1148" s="67" t="s">
        <v>9202</v>
      </c>
      <c r="FA1148" s="67">
        <v>20184.508000000002</v>
      </c>
      <c r="FB1148" s="67" t="s">
        <v>9203</v>
      </c>
      <c r="FC1148" s="67" t="s">
        <v>9204</v>
      </c>
      <c r="FD1148" s="67" t="s">
        <v>9205</v>
      </c>
      <c r="FE1148" s="68" t="s">
        <v>9206</v>
      </c>
      <c r="FF1148" s="68" t="s">
        <v>9207</v>
      </c>
    </row>
    <row r="1149" spans="151:162" x14ac:dyDescent="0.2">
      <c r="EU1149" s="67">
        <v>568.17999999999995</v>
      </c>
      <c r="EV1149" s="67" t="s">
        <v>9208</v>
      </c>
      <c r="EW1149" s="67">
        <v>491.43</v>
      </c>
      <c r="EX1149" s="67" t="s">
        <v>9209</v>
      </c>
      <c r="EY1149" s="67">
        <v>5698.25</v>
      </c>
      <c r="EZ1149" s="67" t="s">
        <v>9210</v>
      </c>
      <c r="FA1149" s="67">
        <v>20195.422999999999</v>
      </c>
      <c r="FB1149" s="67" t="s">
        <v>9211</v>
      </c>
      <c r="FC1149" s="67" t="s">
        <v>9212</v>
      </c>
      <c r="FD1149" s="67" t="s">
        <v>9213</v>
      </c>
      <c r="FE1149" s="68" t="s">
        <v>9214</v>
      </c>
      <c r="FF1149" s="68" t="s">
        <v>9215</v>
      </c>
    </row>
    <row r="1150" spans="151:162" x14ac:dyDescent="0.2">
      <c r="EU1150" s="67">
        <v>568.35</v>
      </c>
      <c r="EV1150" s="67" t="s">
        <v>9216</v>
      </c>
      <c r="EW1150" s="67">
        <v>491.62</v>
      </c>
      <c r="EX1150" s="67" t="s">
        <v>9217</v>
      </c>
      <c r="EY1150" s="67">
        <v>5700.53</v>
      </c>
      <c r="EZ1150" s="67" t="s">
        <v>9218</v>
      </c>
      <c r="FA1150" s="67">
        <v>20203.672999999999</v>
      </c>
      <c r="FB1150" s="67" t="s">
        <v>9219</v>
      </c>
      <c r="FC1150" s="67" t="s">
        <v>9220</v>
      </c>
      <c r="FD1150" s="67" t="s">
        <v>9221</v>
      </c>
      <c r="FE1150" s="68" t="s">
        <v>9222</v>
      </c>
      <c r="FF1150" s="68" t="s">
        <v>9223</v>
      </c>
    </row>
    <row r="1151" spans="151:162" x14ac:dyDescent="0.2">
      <c r="EU1151" s="67">
        <v>568.33000000000004</v>
      </c>
      <c r="EV1151" s="67" t="s">
        <v>9224</v>
      </c>
      <c r="EW1151" s="67">
        <v>491.6</v>
      </c>
      <c r="EX1151" s="67" t="s">
        <v>9225</v>
      </c>
      <c r="EY1151" s="67">
        <v>5700.06</v>
      </c>
      <c r="EZ1151" s="67" t="s">
        <v>9226</v>
      </c>
      <c r="FA1151" s="67">
        <v>20202.71</v>
      </c>
      <c r="FB1151" s="67" t="s">
        <v>9227</v>
      </c>
      <c r="FC1151" s="67" t="s">
        <v>9228</v>
      </c>
      <c r="FD1151" s="67" t="s">
        <v>9229</v>
      </c>
      <c r="FE1151" s="68" t="s">
        <v>9230</v>
      </c>
      <c r="FF1151" s="68" t="s">
        <v>9231</v>
      </c>
    </row>
    <row r="1152" spans="151:162" x14ac:dyDescent="0.2">
      <c r="EU1152" s="67">
        <v>568.07000000000005</v>
      </c>
      <c r="EV1152" s="67" t="s">
        <v>9232</v>
      </c>
      <c r="EW1152" s="67">
        <v>491.37</v>
      </c>
      <c r="EX1152" s="67" t="s">
        <v>9233</v>
      </c>
      <c r="EY1152" s="67">
        <v>5698.14</v>
      </c>
      <c r="EZ1152" s="67" t="s">
        <v>9234</v>
      </c>
      <c r="FA1152" s="67">
        <v>20196.29</v>
      </c>
      <c r="FB1152" s="67" t="s">
        <v>9235</v>
      </c>
      <c r="FC1152" s="67" t="s">
        <v>9236</v>
      </c>
      <c r="FD1152" s="67" t="s">
        <v>9237</v>
      </c>
      <c r="FE1152" s="68" t="s">
        <v>9238</v>
      </c>
      <c r="FF1152" s="68" t="s">
        <v>9239</v>
      </c>
    </row>
    <row r="1153" spans="151:162" x14ac:dyDescent="0.2">
      <c r="EU1153" s="67">
        <v>568.005</v>
      </c>
      <c r="EV1153" s="67" t="s">
        <v>9240</v>
      </c>
      <c r="EW1153" s="67">
        <v>491.41300000000001</v>
      </c>
      <c r="EX1153" s="67" t="s">
        <v>9241</v>
      </c>
      <c r="EY1153" s="67">
        <v>5697.33</v>
      </c>
      <c r="EZ1153" s="67" t="s">
        <v>9242</v>
      </c>
      <c r="FA1153" s="67">
        <v>20197.093000000001</v>
      </c>
      <c r="FB1153" s="67" t="s">
        <v>9243</v>
      </c>
      <c r="FC1153" s="67" t="s">
        <v>9244</v>
      </c>
      <c r="FD1153" s="67" t="s">
        <v>9245</v>
      </c>
      <c r="FE1153" s="68" t="s">
        <v>9246</v>
      </c>
      <c r="FF1153" s="68" t="s">
        <v>9247</v>
      </c>
    </row>
    <row r="1154" spans="151:162" x14ac:dyDescent="0.2">
      <c r="EU1154" s="67">
        <v>567.79999999999995</v>
      </c>
      <c r="EV1154" s="67" t="s">
        <v>9248</v>
      </c>
      <c r="EW1154" s="67">
        <v>491.15</v>
      </c>
      <c r="EX1154" s="67" t="s">
        <v>9249</v>
      </c>
      <c r="EY1154" s="67">
        <v>5695.05</v>
      </c>
      <c r="EZ1154" s="67" t="s">
        <v>9250</v>
      </c>
      <c r="FA1154" s="67">
        <v>20188.774000000001</v>
      </c>
      <c r="FB1154" s="67" t="s">
        <v>9251</v>
      </c>
      <c r="FC1154" s="67" t="s">
        <v>9252</v>
      </c>
      <c r="FD1154" s="67" t="s">
        <v>9253</v>
      </c>
      <c r="FE1154" s="68" t="s">
        <v>9254</v>
      </c>
      <c r="FF1154" s="68" t="s">
        <v>9255</v>
      </c>
    </row>
    <row r="1155" spans="151:162" x14ac:dyDescent="0.2">
      <c r="EU1155" s="67">
        <v>567.95000000000005</v>
      </c>
      <c r="EV1155" s="67" t="s">
        <v>9256</v>
      </c>
      <c r="EW1155" s="67">
        <v>491.28</v>
      </c>
      <c r="EX1155" s="67" t="s">
        <v>9257</v>
      </c>
      <c r="EY1155" s="67">
        <v>5696.62</v>
      </c>
      <c r="EZ1155" s="67" t="s">
        <v>9258</v>
      </c>
      <c r="FA1155" s="67">
        <v>20192.142</v>
      </c>
      <c r="FB1155" s="67" t="s">
        <v>9259</v>
      </c>
      <c r="FC1155" s="67" t="s">
        <v>9260</v>
      </c>
      <c r="FD1155" s="67" t="s">
        <v>9261</v>
      </c>
      <c r="FE1155" s="68" t="s">
        <v>9262</v>
      </c>
      <c r="FF1155" s="68" t="s">
        <v>9263</v>
      </c>
    </row>
    <row r="1156" spans="151:162" x14ac:dyDescent="0.2">
      <c r="EU1156" s="67">
        <v>567.76</v>
      </c>
      <c r="EV1156" s="67" t="s">
        <v>9264</v>
      </c>
      <c r="EW1156" s="67">
        <v>491.13</v>
      </c>
      <c r="EX1156" s="67" t="s">
        <v>9265</v>
      </c>
      <c r="EY1156" s="67">
        <v>5695.35</v>
      </c>
      <c r="EZ1156" s="67" t="s">
        <v>9266</v>
      </c>
      <c r="FA1156" s="67">
        <v>20187.338</v>
      </c>
      <c r="FB1156" s="67" t="s">
        <v>9267</v>
      </c>
      <c r="FC1156" s="67" t="s">
        <v>9268</v>
      </c>
      <c r="FD1156" s="67" t="s">
        <v>9269</v>
      </c>
      <c r="FE1156" s="68" t="s">
        <v>9270</v>
      </c>
      <c r="FF1156" s="68" t="s">
        <v>9271</v>
      </c>
    </row>
    <row r="1157" spans="151:162" x14ac:dyDescent="0.2">
      <c r="EU1157" s="67">
        <v>567.78</v>
      </c>
      <c r="EV1157" s="67" t="s">
        <v>9272</v>
      </c>
      <c r="EW1157" s="67">
        <v>491.21</v>
      </c>
      <c r="EX1157" s="67" t="s">
        <v>9273</v>
      </c>
      <c r="EY1157" s="67">
        <v>5695.36</v>
      </c>
      <c r="EZ1157" s="67" t="s">
        <v>9274</v>
      </c>
      <c r="FA1157" s="67">
        <v>20190.084999999999</v>
      </c>
      <c r="FB1157" s="67" t="s">
        <v>9275</v>
      </c>
      <c r="FC1157" s="67" t="s">
        <v>9276</v>
      </c>
      <c r="FD1157" s="67" t="s">
        <v>9277</v>
      </c>
      <c r="FE1157" s="68" t="s">
        <v>9278</v>
      </c>
      <c r="FF1157" s="68" t="s">
        <v>9279</v>
      </c>
    </row>
    <row r="1158" spans="151:162" x14ac:dyDescent="0.2">
      <c r="EU1158" s="67">
        <v>568.01</v>
      </c>
      <c r="EV1158" s="67" t="s">
        <v>9280</v>
      </c>
      <c r="EW1158" s="67">
        <v>491.39</v>
      </c>
      <c r="EX1158" s="67" t="s">
        <v>9281</v>
      </c>
      <c r="EY1158" s="67">
        <v>5697.12</v>
      </c>
      <c r="EZ1158" s="67" t="s">
        <v>9282</v>
      </c>
      <c r="FA1158" s="67">
        <v>20196.643</v>
      </c>
      <c r="FB1158" s="67" t="s">
        <v>9283</v>
      </c>
      <c r="FC1158" s="67" t="s">
        <v>9284</v>
      </c>
      <c r="FD1158" s="67" t="s">
        <v>9285</v>
      </c>
      <c r="FE1158" s="68" t="s">
        <v>9286</v>
      </c>
      <c r="FF1158" s="68" t="s">
        <v>9287</v>
      </c>
    </row>
    <row r="1159" spans="151:162" x14ac:dyDescent="0.2">
      <c r="EU1159" s="67">
        <v>567.87</v>
      </c>
      <c r="EV1159" s="67" t="s">
        <v>9288</v>
      </c>
      <c r="EW1159" s="67">
        <v>491.2</v>
      </c>
      <c r="EX1159" s="67" t="s">
        <v>9289</v>
      </c>
      <c r="EY1159" s="67">
        <v>5695.85</v>
      </c>
      <c r="EZ1159" s="67" t="s">
        <v>9290</v>
      </c>
      <c r="FA1159" s="67">
        <v>20189.420999999998</v>
      </c>
      <c r="FB1159" s="67" t="s">
        <v>9291</v>
      </c>
      <c r="FC1159" s="67" t="s">
        <v>9292</v>
      </c>
      <c r="FD1159" s="67" t="s">
        <v>9293</v>
      </c>
      <c r="FE1159" s="68" t="s">
        <v>9294</v>
      </c>
      <c r="FF1159" s="68" t="s">
        <v>9295</v>
      </c>
    </row>
    <row r="1160" spans="151:162" x14ac:dyDescent="0.2">
      <c r="EU1160" s="67">
        <v>567.78</v>
      </c>
      <c r="EV1160" s="67" t="s">
        <v>9296</v>
      </c>
      <c r="EW1160" s="67">
        <v>491.11</v>
      </c>
      <c r="EX1160" s="67" t="s">
        <v>9297</v>
      </c>
      <c r="EY1160" s="67">
        <v>5694.79</v>
      </c>
      <c r="EZ1160" s="67" t="s">
        <v>9298</v>
      </c>
      <c r="FA1160" s="67">
        <v>20184.045999999998</v>
      </c>
      <c r="FB1160" s="67" t="s">
        <v>9299</v>
      </c>
      <c r="FC1160" s="67" t="s">
        <v>9300</v>
      </c>
      <c r="FD1160" s="67" t="s">
        <v>9301</v>
      </c>
      <c r="FE1160" s="68" t="s">
        <v>9302</v>
      </c>
      <c r="FF1160" s="68" t="s">
        <v>9303</v>
      </c>
    </row>
    <row r="1161" spans="151:162" x14ac:dyDescent="0.2">
      <c r="EU1161" s="67">
        <v>568</v>
      </c>
      <c r="EV1161" s="67" t="s">
        <v>9304</v>
      </c>
      <c r="EW1161" s="67">
        <v>491.35</v>
      </c>
      <c r="EX1161" s="67" t="s">
        <v>9305</v>
      </c>
      <c r="EY1161" s="67">
        <v>5697.27</v>
      </c>
      <c r="EZ1161" s="67" t="s">
        <v>9306</v>
      </c>
      <c r="FA1161" s="67">
        <v>20193.768</v>
      </c>
      <c r="FB1161" s="67" t="s">
        <v>9307</v>
      </c>
      <c r="FC1161" s="67" t="s">
        <v>9308</v>
      </c>
      <c r="FD1161" s="67" t="s">
        <v>9309</v>
      </c>
      <c r="FE1161" s="68" t="s">
        <v>9310</v>
      </c>
      <c r="FF1161" s="68" t="s">
        <v>9311</v>
      </c>
    </row>
    <row r="1162" spans="151:162" x14ac:dyDescent="0.2">
      <c r="EU1162" s="67">
        <v>567.99</v>
      </c>
      <c r="EV1162" s="67" t="s">
        <v>9312</v>
      </c>
      <c r="EW1162" s="67">
        <v>491.33</v>
      </c>
      <c r="EX1162" s="67" t="s">
        <v>9313</v>
      </c>
      <c r="EY1162" s="67">
        <v>5696.91</v>
      </c>
      <c r="EZ1162" s="67" t="s">
        <v>9314</v>
      </c>
      <c r="FA1162" s="67">
        <v>20192.989000000001</v>
      </c>
      <c r="FB1162" s="67" t="s">
        <v>9315</v>
      </c>
      <c r="FC1162" s="67" t="s">
        <v>9316</v>
      </c>
      <c r="FD1162" s="67" t="s">
        <v>9317</v>
      </c>
      <c r="FE1162" s="68" t="s">
        <v>9318</v>
      </c>
      <c r="FF1162" s="68" t="s">
        <v>9319</v>
      </c>
    </row>
    <row r="1163" spans="151:162" x14ac:dyDescent="0.2">
      <c r="EU1163" s="67">
        <v>567.78700000000003</v>
      </c>
      <c r="EV1163" s="67" t="s">
        <v>9320</v>
      </c>
      <c r="EW1163" s="67">
        <v>491.08</v>
      </c>
      <c r="EX1163" s="67" t="s">
        <v>9321</v>
      </c>
      <c r="EY1163" s="67">
        <v>5695.04</v>
      </c>
      <c r="EZ1163" s="67" t="s">
        <v>9322</v>
      </c>
      <c r="FA1163" s="67">
        <v>20184.726999999999</v>
      </c>
      <c r="FB1163" s="67" t="s">
        <v>9323</v>
      </c>
      <c r="FC1163" s="67" t="s">
        <v>9324</v>
      </c>
      <c r="FD1163" s="67" t="s">
        <v>9325</v>
      </c>
      <c r="FE1163" s="68" t="s">
        <v>9326</v>
      </c>
      <c r="FF1163" s="68" t="s">
        <v>9327</v>
      </c>
    </row>
    <row r="1164" spans="151:162" x14ac:dyDescent="0.2">
      <c r="EU1164" s="67">
        <v>567.91</v>
      </c>
      <c r="EV1164" s="67" t="s">
        <v>9328</v>
      </c>
      <c r="EW1164" s="67">
        <v>491.2</v>
      </c>
      <c r="EX1164" s="67" t="s">
        <v>9329</v>
      </c>
      <c r="EY1164" s="67">
        <v>5696.58</v>
      </c>
      <c r="EZ1164" s="67" t="s">
        <v>9330</v>
      </c>
      <c r="FA1164" s="67">
        <v>20189.255000000001</v>
      </c>
      <c r="FB1164" s="67" t="s">
        <v>9331</v>
      </c>
      <c r="FC1164" s="67" t="s">
        <v>9332</v>
      </c>
      <c r="FD1164" s="67" t="s">
        <v>9333</v>
      </c>
      <c r="FE1164" s="68" t="s">
        <v>9334</v>
      </c>
      <c r="FF1164" s="68" t="s">
        <v>9335</v>
      </c>
    </row>
    <row r="1165" spans="151:162" x14ac:dyDescent="0.2">
      <c r="EU1165" s="67">
        <v>567.82500000000005</v>
      </c>
      <c r="EV1165" s="67" t="s">
        <v>9336</v>
      </c>
      <c r="EW1165" s="67">
        <v>491.2</v>
      </c>
      <c r="EX1165" s="67" t="s">
        <v>9337</v>
      </c>
      <c r="EY1165" s="67">
        <v>5695.56</v>
      </c>
      <c r="EZ1165" s="67" t="s">
        <v>9338</v>
      </c>
      <c r="FA1165" s="67">
        <v>20186.302</v>
      </c>
      <c r="FB1165" s="67" t="s">
        <v>9339</v>
      </c>
      <c r="FC1165" s="67" t="s">
        <v>9340</v>
      </c>
      <c r="FD1165" s="67" t="s">
        <v>9341</v>
      </c>
      <c r="FE1165" s="68" t="s">
        <v>9342</v>
      </c>
      <c r="FF1165" s="68" t="s">
        <v>9343</v>
      </c>
    </row>
    <row r="1166" spans="151:162" x14ac:dyDescent="0.2">
      <c r="EU1166" s="67">
        <v>568.94000000000005</v>
      </c>
      <c r="EV1166" s="67" t="s">
        <v>9344</v>
      </c>
      <c r="EW1166" s="67">
        <v>492.12</v>
      </c>
      <c r="EX1166" s="67" t="s">
        <v>9345</v>
      </c>
      <c r="EY1166" s="67">
        <v>5706.15</v>
      </c>
      <c r="EZ1166" s="67" t="s">
        <v>9346</v>
      </c>
      <c r="FA1166" s="67">
        <v>20224.571</v>
      </c>
      <c r="FB1166" s="67" t="s">
        <v>9347</v>
      </c>
      <c r="FC1166" s="67" t="s">
        <v>9348</v>
      </c>
      <c r="FD1166" s="67" t="s">
        <v>9349</v>
      </c>
      <c r="FE1166" s="68" t="s">
        <v>9350</v>
      </c>
      <c r="FF1166" s="68" t="s">
        <v>9351</v>
      </c>
    </row>
    <row r="1167" spans="151:162" x14ac:dyDescent="0.2">
      <c r="EU1167" s="67">
        <v>569.13</v>
      </c>
      <c r="EV1167" s="67" t="s">
        <v>9352</v>
      </c>
      <c r="EW1167" s="67">
        <v>492.31</v>
      </c>
      <c r="EX1167" s="67" t="s">
        <v>9353</v>
      </c>
      <c r="EY1167" s="67">
        <v>5708.85</v>
      </c>
      <c r="EZ1167" s="67" t="s">
        <v>9354</v>
      </c>
      <c r="FA1167" s="67">
        <v>20222.994999999999</v>
      </c>
      <c r="FB1167" s="67" t="s">
        <v>9355</v>
      </c>
      <c r="FC1167" s="67" t="s">
        <v>9356</v>
      </c>
      <c r="FD1167" s="67" t="s">
        <v>9357</v>
      </c>
      <c r="FE1167" s="68" t="s">
        <v>9358</v>
      </c>
      <c r="FF1167" s="68" t="s">
        <v>9359</v>
      </c>
    </row>
    <row r="1168" spans="151:162" x14ac:dyDescent="0.2">
      <c r="EU1168" s="67">
        <v>569.11</v>
      </c>
      <c r="EV1168" s="67" t="s">
        <v>9360</v>
      </c>
      <c r="EW1168" s="67">
        <v>492.27</v>
      </c>
      <c r="EX1168" s="67" t="s">
        <v>9361</v>
      </c>
      <c r="EY1168" s="67">
        <v>5708.08</v>
      </c>
      <c r="EZ1168" s="67" t="s">
        <v>9362</v>
      </c>
      <c r="FA1168" s="67">
        <v>20231.61</v>
      </c>
      <c r="FB1168" s="67" t="s">
        <v>9363</v>
      </c>
      <c r="FC1168" s="67" t="s">
        <v>9364</v>
      </c>
      <c r="FD1168" s="67" t="s">
        <v>9365</v>
      </c>
      <c r="FE1168" s="68" t="s">
        <v>9366</v>
      </c>
      <c r="FF1168" s="68" t="s">
        <v>9367</v>
      </c>
    </row>
    <row r="1169" spans="151:162" x14ac:dyDescent="0.2">
      <c r="EU1169" s="67">
        <v>568.94600000000003</v>
      </c>
      <c r="EV1169" s="67" t="s">
        <v>9368</v>
      </c>
      <c r="EW1169" s="67">
        <v>492.11</v>
      </c>
      <c r="EX1169" s="67" t="s">
        <v>9369</v>
      </c>
      <c r="EY1169" s="67">
        <v>5706.78</v>
      </c>
      <c r="EZ1169" s="67" t="s">
        <v>9370</v>
      </c>
      <c r="FA1169" s="67">
        <v>20227.496999999999</v>
      </c>
      <c r="FB1169" s="67" t="s">
        <v>9371</v>
      </c>
      <c r="FC1169" s="67" t="s">
        <v>9372</v>
      </c>
      <c r="FD1169" s="67" t="s">
        <v>9373</v>
      </c>
      <c r="FE1169" s="68" t="s">
        <v>9374</v>
      </c>
      <c r="FF1169" s="68" t="s">
        <v>9375</v>
      </c>
    </row>
    <row r="1170" spans="151:162" x14ac:dyDescent="0.2">
      <c r="EU1170" s="67">
        <v>568.92999999999995</v>
      </c>
      <c r="EV1170" s="67" t="s">
        <v>9376</v>
      </c>
      <c r="EW1170" s="67">
        <v>492.17</v>
      </c>
      <c r="EX1170" s="67" t="s">
        <v>9377</v>
      </c>
      <c r="EY1170" s="67">
        <v>5706.88</v>
      </c>
      <c r="EZ1170" s="67" t="s">
        <v>9378</v>
      </c>
      <c r="FA1170" s="67">
        <v>20228.292000000001</v>
      </c>
      <c r="FB1170" s="67" t="s">
        <v>9379</v>
      </c>
      <c r="FC1170" s="67" t="s">
        <v>9380</v>
      </c>
      <c r="FD1170" s="67" t="s">
        <v>9381</v>
      </c>
      <c r="FE1170" s="68" t="s">
        <v>9382</v>
      </c>
      <c r="FF1170" s="68" t="s">
        <v>9383</v>
      </c>
    </row>
    <row r="1171" spans="151:162" x14ac:dyDescent="0.2">
      <c r="EU1171" s="67">
        <v>569.13</v>
      </c>
      <c r="EV1171" s="67" t="s">
        <v>9384</v>
      </c>
      <c r="EW1171" s="67">
        <v>492.38</v>
      </c>
      <c r="EX1171" s="67" t="s">
        <v>9385</v>
      </c>
      <c r="EY1171" s="67">
        <v>5708.56</v>
      </c>
      <c r="EZ1171" s="67" t="s">
        <v>9386</v>
      </c>
      <c r="FA1171" s="67">
        <v>20236.833999999999</v>
      </c>
      <c r="FB1171" s="67" t="s">
        <v>9387</v>
      </c>
      <c r="FC1171" s="67" t="s">
        <v>9388</v>
      </c>
      <c r="FD1171" s="67" t="s">
        <v>9389</v>
      </c>
      <c r="FE1171" s="68" t="s">
        <v>9390</v>
      </c>
      <c r="FF1171" s="68" t="s">
        <v>9391</v>
      </c>
    </row>
    <row r="1172" spans="151:162" x14ac:dyDescent="0.2">
      <c r="EU1172" s="67">
        <v>569.05999999999995</v>
      </c>
      <c r="EV1172" s="67" t="s">
        <v>9392</v>
      </c>
      <c r="EW1172" s="67">
        <v>492.29</v>
      </c>
      <c r="EX1172" s="67" t="s">
        <v>9393</v>
      </c>
      <c r="EY1172" s="67">
        <v>5708.09</v>
      </c>
      <c r="EZ1172" s="67" t="s">
        <v>9394</v>
      </c>
      <c r="FA1172" s="67">
        <v>20234.663</v>
      </c>
      <c r="FB1172" s="67" t="s">
        <v>9395</v>
      </c>
      <c r="FC1172" s="67" t="s">
        <v>9396</v>
      </c>
      <c r="FD1172" s="67" t="s">
        <v>9397</v>
      </c>
      <c r="FE1172" s="68" t="s">
        <v>9398</v>
      </c>
      <c r="FF1172" s="68" t="s">
        <v>9399</v>
      </c>
    </row>
    <row r="1173" spans="151:162" x14ac:dyDescent="0.2">
      <c r="EU1173" s="67">
        <v>568.79</v>
      </c>
      <c r="EV1173" s="67" t="s">
        <v>9400</v>
      </c>
      <c r="EW1173" s="67">
        <v>492.05500000000001</v>
      </c>
      <c r="EX1173" s="67" t="s">
        <v>9401</v>
      </c>
      <c r="EY1173" s="67">
        <v>5705.19</v>
      </c>
      <c r="EZ1173" s="67" t="s">
        <v>9402</v>
      </c>
      <c r="FA1173" s="67">
        <v>20223.664000000001</v>
      </c>
      <c r="FB1173" s="67" t="s">
        <v>9403</v>
      </c>
      <c r="FC1173" s="67" t="s">
        <v>9404</v>
      </c>
      <c r="FD1173" s="67" t="s">
        <v>9405</v>
      </c>
      <c r="FE1173" s="68" t="s">
        <v>9406</v>
      </c>
      <c r="FF1173" s="68" t="s">
        <v>9407</v>
      </c>
    </row>
    <row r="1174" spans="151:162" x14ac:dyDescent="0.2">
      <c r="EU1174" s="67">
        <v>569.04499999999996</v>
      </c>
      <c r="EV1174" s="67" t="s">
        <v>9408</v>
      </c>
      <c r="EW1174" s="67">
        <v>492.28500000000003</v>
      </c>
      <c r="EX1174" s="67" t="s">
        <v>9409</v>
      </c>
      <c r="EY1174" s="67">
        <v>5707.45</v>
      </c>
      <c r="EZ1174" s="67" t="s">
        <v>9410</v>
      </c>
      <c r="FA1174" s="67">
        <v>20231.714</v>
      </c>
      <c r="FB1174" s="67" t="s">
        <v>9411</v>
      </c>
      <c r="FC1174" s="67" t="s">
        <v>9412</v>
      </c>
      <c r="FD1174" s="67" t="s">
        <v>9413</v>
      </c>
      <c r="FE1174" s="68" t="s">
        <v>9414</v>
      </c>
      <c r="FF1174" s="68" t="s">
        <v>9415</v>
      </c>
    </row>
    <row r="1175" spans="151:162" x14ac:dyDescent="0.2">
      <c r="EU1175" s="67">
        <v>569.04</v>
      </c>
      <c r="EV1175" s="67" t="s">
        <v>9416</v>
      </c>
      <c r="EW1175" s="67">
        <v>492.28</v>
      </c>
      <c r="EX1175" s="67" t="s">
        <v>9417</v>
      </c>
      <c r="EY1175" s="67">
        <v>5707.23</v>
      </c>
      <c r="EZ1175" s="67" t="s">
        <v>9418</v>
      </c>
      <c r="FA1175" s="67">
        <v>20232.012999999999</v>
      </c>
      <c r="FB1175" s="67" t="s">
        <v>9419</v>
      </c>
      <c r="FC1175" s="67" t="s">
        <v>9420</v>
      </c>
      <c r="FD1175" s="67" t="s">
        <v>9421</v>
      </c>
      <c r="FE1175" s="68" t="s">
        <v>9422</v>
      </c>
      <c r="FF1175" s="68" t="s">
        <v>9423</v>
      </c>
    </row>
    <row r="1176" spans="151:162" x14ac:dyDescent="0.2">
      <c r="EU1176" s="67">
        <v>569.1</v>
      </c>
      <c r="EV1176" s="67" t="s">
        <v>9424</v>
      </c>
      <c r="EW1176" s="67">
        <v>492.34</v>
      </c>
      <c r="EX1176" s="67" t="s">
        <v>9425</v>
      </c>
      <c r="EY1176" s="67">
        <v>5707.72</v>
      </c>
      <c r="EZ1176" s="67" t="s">
        <v>9426</v>
      </c>
      <c r="FA1176" s="67">
        <v>20234.210999999999</v>
      </c>
      <c r="FB1176" s="67" t="s">
        <v>9427</v>
      </c>
      <c r="FC1176" s="67" t="s">
        <v>9428</v>
      </c>
      <c r="FD1176" s="67" t="s">
        <v>9429</v>
      </c>
      <c r="FE1176" s="68" t="s">
        <v>9430</v>
      </c>
      <c r="FF1176" s="68" t="s">
        <v>9431</v>
      </c>
    </row>
    <row r="1177" spans="151:162" x14ac:dyDescent="0.2">
      <c r="EU1177" s="67">
        <v>568.91</v>
      </c>
      <c r="EV1177" s="67" t="s">
        <v>9432</v>
      </c>
      <c r="EW1177" s="67">
        <v>492.18</v>
      </c>
      <c r="EX1177" s="67" t="s">
        <v>9433</v>
      </c>
      <c r="EY1177" s="67">
        <v>5706.13</v>
      </c>
      <c r="EZ1177" s="67" t="s">
        <v>9434</v>
      </c>
      <c r="FA1177" s="67">
        <v>20228.662</v>
      </c>
      <c r="FB1177" s="67" t="s">
        <v>9435</v>
      </c>
      <c r="FC1177" s="67" t="s">
        <v>9436</v>
      </c>
      <c r="FD1177" s="67" t="s">
        <v>9437</v>
      </c>
      <c r="FE1177" s="68" t="s">
        <v>9438</v>
      </c>
      <c r="FF1177" s="68" t="s">
        <v>9439</v>
      </c>
    </row>
    <row r="1178" spans="151:162" x14ac:dyDescent="0.2">
      <c r="EU1178" s="67">
        <v>568.73</v>
      </c>
      <c r="EV1178" s="67" t="s">
        <v>9440</v>
      </c>
      <c r="EW1178" s="67">
        <v>492.03899999999999</v>
      </c>
      <c r="EX1178" s="67" t="s">
        <v>9441</v>
      </c>
      <c r="EY1178" s="67">
        <v>5704.44</v>
      </c>
      <c r="EZ1178" s="67" t="s">
        <v>9442</v>
      </c>
      <c r="FA1178" s="67">
        <v>20222.269</v>
      </c>
      <c r="FB1178" s="67" t="s">
        <v>9443</v>
      </c>
      <c r="FC1178" s="67" t="s">
        <v>9444</v>
      </c>
      <c r="FD1178" s="67" t="s">
        <v>9445</v>
      </c>
      <c r="FE1178" s="68" t="s">
        <v>9446</v>
      </c>
      <c r="FF1178" s="68" t="s">
        <v>9447</v>
      </c>
    </row>
    <row r="1179" spans="151:162" x14ac:dyDescent="0.2">
      <c r="EU1179" s="67">
        <v>568.54</v>
      </c>
      <c r="EV1179" s="67" t="s">
        <v>9448</v>
      </c>
      <c r="EW1179" s="67">
        <v>491.83</v>
      </c>
      <c r="EX1179" s="67" t="s">
        <v>9449</v>
      </c>
      <c r="EY1179" s="67">
        <v>5702.49</v>
      </c>
      <c r="EZ1179" s="67" t="s">
        <v>9450</v>
      </c>
      <c r="FA1179" s="67">
        <v>20214.244999999999</v>
      </c>
      <c r="FB1179" s="67" t="s">
        <v>9451</v>
      </c>
      <c r="FC1179" s="67" t="s">
        <v>9452</v>
      </c>
      <c r="FD1179" s="67" t="s">
        <v>9453</v>
      </c>
      <c r="FE1179" s="68" t="s">
        <v>9454</v>
      </c>
      <c r="FF1179" s="68" t="s">
        <v>9455</v>
      </c>
    </row>
    <row r="1180" spans="151:162" x14ac:dyDescent="0.2">
      <c r="EU1180" s="67">
        <v>568.65</v>
      </c>
      <c r="EV1180" s="67" t="s">
        <v>9456</v>
      </c>
      <c r="EW1180" s="67">
        <v>491.88</v>
      </c>
      <c r="EX1180" s="67" t="s">
        <v>9457</v>
      </c>
      <c r="EY1180" s="67">
        <v>5703.67</v>
      </c>
      <c r="EZ1180" s="67" t="s">
        <v>9458</v>
      </c>
      <c r="FA1180" s="67">
        <v>20216.241000000002</v>
      </c>
      <c r="FB1180" s="67" t="s">
        <v>9459</v>
      </c>
      <c r="FC1180" s="67" t="s">
        <v>9460</v>
      </c>
      <c r="FD1180" s="67" t="s">
        <v>9461</v>
      </c>
      <c r="FE1180" s="68" t="s">
        <v>9462</v>
      </c>
      <c r="FF1180" s="68" t="s">
        <v>9463</v>
      </c>
    </row>
    <row r="1181" spans="151:162" x14ac:dyDescent="0.2">
      <c r="EU1181" s="67">
        <v>568.1</v>
      </c>
      <c r="EV1181" s="67" t="s">
        <v>9464</v>
      </c>
      <c r="EW1181" s="67">
        <v>491.255</v>
      </c>
      <c r="EX1181" s="67" t="s">
        <v>9465</v>
      </c>
      <c r="EY1181" s="67">
        <v>5698.07</v>
      </c>
      <c r="EZ1181" s="67" t="s">
        <v>9466</v>
      </c>
      <c r="FA1181" s="67">
        <v>20193.969000000001</v>
      </c>
      <c r="FB1181" s="67" t="s">
        <v>9467</v>
      </c>
      <c r="FC1181" s="67" t="s">
        <v>9468</v>
      </c>
      <c r="FD1181" s="67" t="s">
        <v>9469</v>
      </c>
      <c r="FE1181" s="68" t="s">
        <v>9470</v>
      </c>
      <c r="FF1181" s="68" t="s">
        <v>9471</v>
      </c>
    </row>
    <row r="1182" spans="151:162" x14ac:dyDescent="0.2">
      <c r="EU1182" s="67">
        <v>568.27</v>
      </c>
      <c r="EV1182" s="67" t="s">
        <v>9472</v>
      </c>
      <c r="EW1182" s="67">
        <v>491.42</v>
      </c>
      <c r="EX1182" s="67" t="s">
        <v>9473</v>
      </c>
      <c r="EY1182" s="67">
        <v>5699.65</v>
      </c>
      <c r="EZ1182" s="67" t="s">
        <v>9474</v>
      </c>
      <c r="FA1182" s="67">
        <v>20197.973000000002</v>
      </c>
      <c r="FB1182" s="67" t="s">
        <v>9475</v>
      </c>
      <c r="FC1182" s="67" t="s">
        <v>9476</v>
      </c>
      <c r="FD1182" s="67" t="s">
        <v>9477</v>
      </c>
      <c r="FE1182" s="68" t="s">
        <v>9478</v>
      </c>
      <c r="FF1182" s="68" t="s">
        <v>9479</v>
      </c>
    </row>
    <row r="1183" spans="151:162" x14ac:dyDescent="0.2">
      <c r="EU1183" s="67">
        <v>568.12</v>
      </c>
      <c r="EV1183" s="67" t="s">
        <v>9480</v>
      </c>
      <c r="EW1183" s="67">
        <v>491.27</v>
      </c>
      <c r="EX1183" s="67" t="s">
        <v>9481</v>
      </c>
      <c r="EY1183" s="67">
        <v>5698.58</v>
      </c>
      <c r="EZ1183" s="67" t="s">
        <v>9482</v>
      </c>
      <c r="FA1183" s="67">
        <v>20193.026999999998</v>
      </c>
      <c r="FB1183" s="67" t="s">
        <v>9483</v>
      </c>
      <c r="FC1183" s="67" t="s">
        <v>9484</v>
      </c>
      <c r="FD1183" s="67" t="s">
        <v>9485</v>
      </c>
      <c r="FE1183" s="68" t="s">
        <v>9486</v>
      </c>
      <c r="FF1183" s="68" t="s">
        <v>9487</v>
      </c>
    </row>
    <row r="1184" spans="151:162" x14ac:dyDescent="0.2">
      <c r="EU1184" s="67">
        <v>568.08000000000004</v>
      </c>
      <c r="EV1184" s="67" t="s">
        <v>9488</v>
      </c>
      <c r="EW1184" s="67">
        <v>491.25</v>
      </c>
      <c r="EX1184" s="67" t="s">
        <v>9489</v>
      </c>
      <c r="EY1184" s="67">
        <v>5697.43</v>
      </c>
      <c r="EZ1184" s="67" t="s">
        <v>9490</v>
      </c>
      <c r="FA1184" s="67">
        <v>20190.169000000002</v>
      </c>
      <c r="FB1184" s="67" t="s">
        <v>9491</v>
      </c>
      <c r="FC1184" s="67" t="s">
        <v>9492</v>
      </c>
      <c r="FD1184" s="67" t="s">
        <v>9493</v>
      </c>
      <c r="FE1184" s="68" t="s">
        <v>9494</v>
      </c>
      <c r="FF1184" s="68" t="s">
        <v>9495</v>
      </c>
    </row>
    <row r="1185" spans="151:162" x14ac:dyDescent="0.2">
      <c r="EU1185" s="67">
        <v>567.83000000000004</v>
      </c>
      <c r="EV1185" s="67" t="s">
        <v>9496</v>
      </c>
      <c r="EW1185" s="67">
        <v>491.02</v>
      </c>
      <c r="EX1185" s="67" t="s">
        <v>9497</v>
      </c>
      <c r="EY1185" s="67">
        <v>5695.51</v>
      </c>
      <c r="EZ1185" s="67" t="s">
        <v>9498</v>
      </c>
      <c r="FA1185" s="67">
        <v>20181.010999999999</v>
      </c>
      <c r="FB1185" s="67" t="s">
        <v>9499</v>
      </c>
      <c r="FC1185" s="67" t="s">
        <v>9500</v>
      </c>
      <c r="FD1185" s="67" t="s">
        <v>9501</v>
      </c>
      <c r="FE1185" s="68" t="s">
        <v>9502</v>
      </c>
      <c r="FF1185" s="68" t="s">
        <v>9503</v>
      </c>
    </row>
    <row r="1186" spans="151:162" x14ac:dyDescent="0.2">
      <c r="EU1186" s="67">
        <v>567.96</v>
      </c>
      <c r="EV1186" s="67" t="s">
        <v>9504</v>
      </c>
      <c r="EW1186" s="67">
        <v>491.11</v>
      </c>
      <c r="EX1186" s="67" t="s">
        <v>9505</v>
      </c>
      <c r="EY1186" s="67">
        <v>5696.24</v>
      </c>
      <c r="EZ1186" s="67" t="s">
        <v>9506</v>
      </c>
      <c r="FA1186" s="67">
        <v>20183.5</v>
      </c>
      <c r="FB1186" s="67" t="s">
        <v>9507</v>
      </c>
      <c r="FC1186" s="67" t="s">
        <v>9508</v>
      </c>
      <c r="FD1186" s="67" t="s">
        <v>9509</v>
      </c>
      <c r="FE1186" s="68" t="s">
        <v>9510</v>
      </c>
      <c r="FF1186" s="68" t="s">
        <v>9511</v>
      </c>
    </row>
    <row r="1187" spans="151:162" x14ac:dyDescent="0.2">
      <c r="EU1187" s="67">
        <v>567.70000000000005</v>
      </c>
      <c r="EV1187" s="67" t="s">
        <v>9512</v>
      </c>
      <c r="EW1187" s="67">
        <v>490.87</v>
      </c>
      <c r="EX1187" s="67" t="s">
        <v>9513</v>
      </c>
      <c r="EY1187" s="67">
        <v>5694.3</v>
      </c>
      <c r="EZ1187" s="67" t="s">
        <v>9514</v>
      </c>
      <c r="FA1187" s="67">
        <v>20175.517</v>
      </c>
      <c r="FB1187" s="67" t="s">
        <v>9515</v>
      </c>
      <c r="FC1187" s="67" t="s">
        <v>9516</v>
      </c>
      <c r="FD1187" s="67" t="s">
        <v>9517</v>
      </c>
      <c r="FE1187" s="68" t="s">
        <v>9518</v>
      </c>
      <c r="FF1187" s="68" t="s">
        <v>9519</v>
      </c>
    </row>
    <row r="1188" spans="151:162" x14ac:dyDescent="0.2">
      <c r="EU1188" s="67">
        <v>567.65</v>
      </c>
      <c r="EV1188" s="67" t="s">
        <v>9520</v>
      </c>
      <c r="EW1188" s="67">
        <v>490.79</v>
      </c>
      <c r="EX1188" s="67" t="s">
        <v>9521</v>
      </c>
      <c r="EY1188" s="67">
        <v>5693.34</v>
      </c>
      <c r="EZ1188" s="67" t="s">
        <v>9522</v>
      </c>
      <c r="FA1188" s="67">
        <v>20170.668000000001</v>
      </c>
      <c r="FB1188" s="67" t="s">
        <v>9523</v>
      </c>
      <c r="FC1188" s="67" t="s">
        <v>9524</v>
      </c>
      <c r="FD1188" s="67" t="s">
        <v>9525</v>
      </c>
      <c r="FE1188" s="68" t="s">
        <v>9526</v>
      </c>
      <c r="FF1188" s="68" t="s">
        <v>9527</v>
      </c>
    </row>
    <row r="1189" spans="151:162" x14ac:dyDescent="0.2">
      <c r="EU1189" s="67">
        <v>567.6</v>
      </c>
      <c r="EV1189" s="67" t="s">
        <v>9528</v>
      </c>
      <c r="EW1189" s="67">
        <v>490.76499999999999</v>
      </c>
      <c r="EX1189" s="67" t="s">
        <v>9529</v>
      </c>
      <c r="EY1189" s="67">
        <v>5692.81</v>
      </c>
      <c r="EZ1189" s="67" t="s">
        <v>9530</v>
      </c>
      <c r="FA1189" s="67">
        <v>20167.697</v>
      </c>
      <c r="FB1189" s="67" t="s">
        <v>9531</v>
      </c>
      <c r="FC1189" s="67" t="s">
        <v>9532</v>
      </c>
      <c r="FD1189" s="67" t="s">
        <v>9533</v>
      </c>
      <c r="FE1189" s="68" t="s">
        <v>9534</v>
      </c>
      <c r="FF1189" s="68" t="s">
        <v>9535</v>
      </c>
    </row>
    <row r="1190" spans="151:162" x14ac:dyDescent="0.2">
      <c r="EU1190" s="67">
        <v>567.4</v>
      </c>
      <c r="EV1190" s="67" t="s">
        <v>9536</v>
      </c>
      <c r="EW1190" s="67">
        <v>490.51</v>
      </c>
      <c r="EX1190" s="67" t="s">
        <v>9537</v>
      </c>
      <c r="EY1190" s="67">
        <v>5691.04</v>
      </c>
      <c r="EZ1190" s="67" t="s">
        <v>9538</v>
      </c>
      <c r="FA1190" s="67">
        <v>20162.175999999999</v>
      </c>
      <c r="FB1190" s="67" t="s">
        <v>9539</v>
      </c>
      <c r="FC1190" s="67" t="s">
        <v>9540</v>
      </c>
      <c r="FD1190" s="67" t="s">
        <v>9541</v>
      </c>
      <c r="FE1190" s="68" t="s">
        <v>9542</v>
      </c>
      <c r="FF1190" s="68" t="s">
        <v>9543</v>
      </c>
    </row>
    <row r="1191" spans="151:162" x14ac:dyDescent="0.2">
      <c r="EU1191" s="67">
        <v>566.97</v>
      </c>
      <c r="EV1191" s="67" t="s">
        <v>9544</v>
      </c>
      <c r="EW1191" s="67">
        <v>490.19</v>
      </c>
      <c r="EX1191" s="67" t="s">
        <v>9545</v>
      </c>
      <c r="EY1191" s="67">
        <v>5686.31</v>
      </c>
      <c r="EZ1191" s="67" t="s">
        <v>9546</v>
      </c>
      <c r="FA1191" s="67">
        <v>20145.699000000001</v>
      </c>
      <c r="FB1191" s="67" t="s">
        <v>9547</v>
      </c>
      <c r="FC1191" s="67" t="s">
        <v>9548</v>
      </c>
      <c r="FD1191" s="67" t="s">
        <v>9549</v>
      </c>
      <c r="FE1191" s="68" t="s">
        <v>9550</v>
      </c>
      <c r="FF1191" s="68" t="s">
        <v>9551</v>
      </c>
    </row>
    <row r="1192" spans="151:162" x14ac:dyDescent="0.2">
      <c r="EU1192" s="67">
        <v>566.82000000000005</v>
      </c>
      <c r="EV1192" s="67" t="s">
        <v>9552</v>
      </c>
      <c r="EW1192" s="67">
        <v>490.09</v>
      </c>
      <c r="EX1192" s="67" t="s">
        <v>9553</v>
      </c>
      <c r="EY1192" s="67">
        <v>5685.11</v>
      </c>
      <c r="EZ1192" s="67" t="s">
        <v>9554</v>
      </c>
      <c r="FA1192" s="67">
        <v>20142.775000000001</v>
      </c>
      <c r="FB1192" s="67" t="s">
        <v>9555</v>
      </c>
      <c r="FC1192" s="67" t="s">
        <v>9556</v>
      </c>
      <c r="FD1192" s="67" t="s">
        <v>9557</v>
      </c>
      <c r="FE1192" s="68" t="s">
        <v>9558</v>
      </c>
      <c r="FF1192" s="68" t="s">
        <v>9559</v>
      </c>
    </row>
    <row r="1193" spans="151:162" x14ac:dyDescent="0.2">
      <c r="EU1193" s="67">
        <v>567.07000000000005</v>
      </c>
      <c r="EV1193" s="67" t="s">
        <v>9560</v>
      </c>
      <c r="EW1193" s="67">
        <v>490.36</v>
      </c>
      <c r="EX1193" s="67" t="s">
        <v>9561</v>
      </c>
      <c r="EY1193" s="67">
        <v>5687.14</v>
      </c>
      <c r="EZ1193" s="67" t="s">
        <v>9562</v>
      </c>
      <c r="FA1193" s="67">
        <v>20152.161</v>
      </c>
      <c r="FB1193" s="67" t="s">
        <v>9563</v>
      </c>
      <c r="FC1193" s="67" t="s">
        <v>9564</v>
      </c>
      <c r="FD1193" s="67" t="s">
        <v>9565</v>
      </c>
      <c r="FE1193" s="68" t="s">
        <v>9566</v>
      </c>
      <c r="FF1193" s="68" t="s">
        <v>9567</v>
      </c>
    </row>
    <row r="1194" spans="151:162" x14ac:dyDescent="0.2">
      <c r="EU1194" s="67">
        <v>566.82000000000005</v>
      </c>
      <c r="EV1194" s="67" t="s">
        <v>9568</v>
      </c>
      <c r="EW1194" s="67">
        <v>490.12</v>
      </c>
      <c r="EX1194" s="67" t="s">
        <v>9569</v>
      </c>
      <c r="EY1194" s="67">
        <v>5685.49</v>
      </c>
      <c r="EZ1194" s="67" t="s">
        <v>9570</v>
      </c>
      <c r="FA1194" s="67">
        <v>20145.646000000001</v>
      </c>
      <c r="FB1194" s="67" t="s">
        <v>9571</v>
      </c>
      <c r="FC1194" s="67" t="s">
        <v>9572</v>
      </c>
      <c r="FD1194" s="67" t="s">
        <v>9573</v>
      </c>
      <c r="FE1194" s="68" t="s">
        <v>9574</v>
      </c>
      <c r="FF1194" s="68" t="s">
        <v>9575</v>
      </c>
    </row>
    <row r="1195" spans="151:162" x14ac:dyDescent="0.2">
      <c r="EU1195" s="67">
        <v>566.02</v>
      </c>
      <c r="EV1195" s="67" t="s">
        <v>9576</v>
      </c>
      <c r="EW1195" s="67">
        <v>489.32799999999997</v>
      </c>
      <c r="EX1195" s="67" t="s">
        <v>9577</v>
      </c>
      <c r="EY1195" s="67">
        <v>5678.12</v>
      </c>
      <c r="EZ1195" s="67" t="s">
        <v>9578</v>
      </c>
      <c r="FA1195" s="67">
        <v>20117.626</v>
      </c>
      <c r="FB1195" s="67" t="s">
        <v>9579</v>
      </c>
      <c r="FC1195" s="67" t="s">
        <v>9580</v>
      </c>
      <c r="FD1195" s="67" t="s">
        <v>9581</v>
      </c>
      <c r="FE1195" s="68" t="s">
        <v>9582</v>
      </c>
      <c r="FF1195" s="68" t="s">
        <v>9583</v>
      </c>
    </row>
    <row r="1196" spans="151:162" x14ac:dyDescent="0.2">
      <c r="EU1196" s="67">
        <v>566</v>
      </c>
      <c r="EV1196" s="67" t="s">
        <v>9584</v>
      </c>
      <c r="EW1196" s="67">
        <v>489.19900000000001</v>
      </c>
      <c r="EX1196" s="67" t="s">
        <v>9585</v>
      </c>
      <c r="EY1196" s="67">
        <v>5675.87</v>
      </c>
      <c r="EZ1196" s="67" t="s">
        <v>9586</v>
      </c>
      <c r="FA1196" s="67">
        <v>20105.116999999998</v>
      </c>
      <c r="FB1196" s="67" t="s">
        <v>9587</v>
      </c>
      <c r="FC1196" s="67" t="s">
        <v>9588</v>
      </c>
      <c r="FD1196" s="67" t="s">
        <v>9589</v>
      </c>
      <c r="FE1196" s="68" t="s">
        <v>9590</v>
      </c>
      <c r="FF1196" s="68" t="s">
        <v>9591</v>
      </c>
    </row>
    <row r="1197" spans="151:162" x14ac:dyDescent="0.2">
      <c r="EU1197" s="67">
        <v>565.63</v>
      </c>
      <c r="EV1197" s="67" t="s">
        <v>9592</v>
      </c>
      <c r="EW1197" s="67">
        <v>488.95</v>
      </c>
      <c r="EX1197" s="67" t="s">
        <v>9593</v>
      </c>
      <c r="EY1197" s="67">
        <v>5672.58</v>
      </c>
      <c r="EZ1197" s="67" t="s">
        <v>9594</v>
      </c>
      <c r="FA1197" s="67">
        <v>20095.056</v>
      </c>
      <c r="FB1197" s="67" t="s">
        <v>9595</v>
      </c>
      <c r="FC1197" s="67" t="s">
        <v>9596</v>
      </c>
      <c r="FD1197" s="67" t="s">
        <v>9597</v>
      </c>
      <c r="FE1197" s="68" t="s">
        <v>9598</v>
      </c>
      <c r="FF1197" s="68" t="s">
        <v>9599</v>
      </c>
    </row>
    <row r="1198" spans="151:162" x14ac:dyDescent="0.2">
      <c r="EU1198" s="67">
        <v>565.66999999999996</v>
      </c>
      <c r="EV1198" s="67" t="s">
        <v>9600</v>
      </c>
      <c r="EW1198" s="67">
        <v>489.05</v>
      </c>
      <c r="EX1198" s="67" t="s">
        <v>9601</v>
      </c>
      <c r="EY1198" s="67">
        <v>5673.25</v>
      </c>
      <c r="EZ1198" s="67" t="s">
        <v>9602</v>
      </c>
      <c r="FA1198" s="67">
        <v>20098.544999999998</v>
      </c>
      <c r="FB1198" s="67" t="s">
        <v>9603</v>
      </c>
      <c r="FC1198" s="67" t="s">
        <v>9604</v>
      </c>
      <c r="FD1198" s="67" t="s">
        <v>9605</v>
      </c>
      <c r="FE1198" s="68" t="s">
        <v>9606</v>
      </c>
      <c r="FF1198" s="68" t="s">
        <v>9607</v>
      </c>
    </row>
    <row r="1199" spans="151:162" x14ac:dyDescent="0.2">
      <c r="EU1199" s="67">
        <v>565.73</v>
      </c>
      <c r="EV1199" s="67" t="s">
        <v>9608</v>
      </c>
      <c r="EW1199" s="67">
        <v>489.07</v>
      </c>
      <c r="EX1199" s="67" t="s">
        <v>9609</v>
      </c>
      <c r="EY1199" s="67">
        <v>5674.46</v>
      </c>
      <c r="EZ1199" s="67" t="s">
        <v>9610</v>
      </c>
      <c r="FA1199" s="67">
        <v>20101.616999999998</v>
      </c>
      <c r="FB1199" s="67" t="s">
        <v>9611</v>
      </c>
      <c r="FC1199" s="67" t="s">
        <v>9612</v>
      </c>
      <c r="FD1199" s="67" t="s">
        <v>9613</v>
      </c>
      <c r="FE1199" s="68" t="s">
        <v>9614</v>
      </c>
      <c r="FF1199" s="68" t="s">
        <v>9615</v>
      </c>
    </row>
    <row r="1200" spans="151:162" x14ac:dyDescent="0.2">
      <c r="EU1200" s="67">
        <v>564.85</v>
      </c>
      <c r="EV1200" s="67" t="s">
        <v>9616</v>
      </c>
      <c r="EW1200" s="67">
        <v>488.21</v>
      </c>
      <c r="EX1200" s="67" t="s">
        <v>9617</v>
      </c>
      <c r="EY1200" s="67">
        <v>5665.12</v>
      </c>
      <c r="EZ1200" s="67" t="s">
        <v>9618</v>
      </c>
      <c r="FA1200" s="67">
        <v>20064.736000000001</v>
      </c>
      <c r="FB1200" s="67" t="s">
        <v>9619</v>
      </c>
      <c r="FC1200" s="67" t="s">
        <v>9620</v>
      </c>
      <c r="FD1200" s="67" t="s">
        <v>9621</v>
      </c>
      <c r="FE1200" s="68" t="s">
        <v>9622</v>
      </c>
      <c r="FF1200" s="68" t="s">
        <v>9623</v>
      </c>
    </row>
    <row r="1201" spans="151:162" x14ac:dyDescent="0.2">
      <c r="EU1201" s="67">
        <v>564.79</v>
      </c>
      <c r="EV1201" s="67" t="s">
        <v>9624</v>
      </c>
      <c r="EW1201" s="67">
        <v>488.29</v>
      </c>
      <c r="EX1201" s="67" t="s">
        <v>9625</v>
      </c>
      <c r="EY1201" s="67">
        <v>5664.7</v>
      </c>
      <c r="EZ1201" s="67" t="s">
        <v>9626</v>
      </c>
      <c r="FA1201" s="67">
        <v>20067.721000000001</v>
      </c>
      <c r="FB1201" s="67" t="s">
        <v>9627</v>
      </c>
      <c r="FC1201" s="67" t="s">
        <v>9628</v>
      </c>
      <c r="FD1201" s="67" t="s">
        <v>9629</v>
      </c>
      <c r="FE1201" s="68" t="s">
        <v>9630</v>
      </c>
      <c r="FF1201" s="68" t="s">
        <v>9631</v>
      </c>
    </row>
    <row r="1202" spans="151:162" x14ac:dyDescent="0.2">
      <c r="EU1202" s="67">
        <v>564.87</v>
      </c>
      <c r="EV1202" s="67" t="s">
        <v>9632</v>
      </c>
      <c r="EW1202" s="67">
        <v>488.29</v>
      </c>
      <c r="EX1202" s="67" t="s">
        <v>9633</v>
      </c>
      <c r="EY1202" s="67">
        <v>5665.14</v>
      </c>
      <c r="EZ1202" s="67" t="s">
        <v>9634</v>
      </c>
      <c r="FA1202" s="67">
        <v>20068.025000000001</v>
      </c>
      <c r="FB1202" s="67" t="s">
        <v>9635</v>
      </c>
      <c r="FC1202" s="67" t="s">
        <v>9636</v>
      </c>
      <c r="FD1202" s="67" t="s">
        <v>9637</v>
      </c>
      <c r="FE1202" s="68" t="s">
        <v>9638</v>
      </c>
      <c r="FF1202" s="68" t="s">
        <v>9639</v>
      </c>
    </row>
    <row r="1203" spans="151:162" x14ac:dyDescent="0.2">
      <c r="EU1203" s="67">
        <v>564.94000000000005</v>
      </c>
      <c r="EV1203" s="67" t="s">
        <v>9640</v>
      </c>
      <c r="EW1203" s="67">
        <v>488.28500000000003</v>
      </c>
      <c r="EX1203" s="67" t="s">
        <v>9641</v>
      </c>
      <c r="EY1203" s="67">
        <v>5665.73</v>
      </c>
      <c r="EZ1203" s="67" t="s">
        <v>9642</v>
      </c>
      <c r="FA1203" s="67">
        <v>20068.677</v>
      </c>
      <c r="FB1203" s="67" t="s">
        <v>9643</v>
      </c>
      <c r="FC1203" s="67" t="s">
        <v>9644</v>
      </c>
      <c r="FD1203" s="67" t="s">
        <v>9645</v>
      </c>
      <c r="FE1203" s="68" t="s">
        <v>9646</v>
      </c>
      <c r="FF1203" s="68" t="s">
        <v>9647</v>
      </c>
    </row>
    <row r="1204" spans="151:162" x14ac:dyDescent="0.2">
      <c r="EU1204" s="67">
        <v>564.61</v>
      </c>
      <c r="EV1204" s="67" t="s">
        <v>9648</v>
      </c>
      <c r="EW1204" s="67">
        <v>488.11</v>
      </c>
      <c r="EX1204" s="67" t="s">
        <v>9649</v>
      </c>
      <c r="EY1204" s="67">
        <v>5663.11</v>
      </c>
      <c r="EZ1204" s="67" t="s">
        <v>9650</v>
      </c>
      <c r="FA1204" s="67">
        <v>20061.242999999999</v>
      </c>
      <c r="FB1204" s="67" t="s">
        <v>9651</v>
      </c>
      <c r="FC1204" s="67" t="s">
        <v>9652</v>
      </c>
      <c r="FD1204" s="67" t="s">
        <v>9653</v>
      </c>
      <c r="FE1204" s="68" t="s">
        <v>9654</v>
      </c>
      <c r="FF1204" s="68" t="s">
        <v>9655</v>
      </c>
    </row>
    <row r="1205" spans="151:162" x14ac:dyDescent="0.2">
      <c r="EU1205" s="67">
        <v>565.41999999999996</v>
      </c>
      <c r="EV1205" s="67" t="s">
        <v>9656</v>
      </c>
      <c r="EW1205" s="67">
        <v>488.6</v>
      </c>
      <c r="EX1205" s="67" t="s">
        <v>9657</v>
      </c>
      <c r="EY1205" s="67">
        <v>5664.12</v>
      </c>
      <c r="EZ1205" s="67" t="s">
        <v>9658</v>
      </c>
      <c r="FA1205" s="67">
        <v>20063.564999999999</v>
      </c>
      <c r="FB1205" s="67" t="s">
        <v>9659</v>
      </c>
      <c r="FC1205" s="67" t="s">
        <v>9660</v>
      </c>
      <c r="FD1205" s="67" t="s">
        <v>9661</v>
      </c>
      <c r="FE1205" s="68" t="s">
        <v>9662</v>
      </c>
      <c r="FF1205" s="68" t="s">
        <v>9663</v>
      </c>
    </row>
    <row r="1206" spans="151:162" x14ac:dyDescent="0.2">
      <c r="EU1206" s="67">
        <v>565.34</v>
      </c>
      <c r="EV1206" s="67" t="s">
        <v>9664</v>
      </c>
      <c r="EW1206" s="67">
        <v>488.64</v>
      </c>
      <c r="EX1206" s="67" t="s">
        <v>9665</v>
      </c>
      <c r="EY1206" s="67">
        <v>5663.94</v>
      </c>
      <c r="EZ1206" s="67" t="s">
        <v>9666</v>
      </c>
      <c r="FA1206" s="67">
        <v>20063.564999999999</v>
      </c>
      <c r="FB1206" s="67" t="s">
        <v>9667</v>
      </c>
      <c r="FC1206" s="67" t="s">
        <v>9668</v>
      </c>
      <c r="FD1206" s="67" t="s">
        <v>9669</v>
      </c>
      <c r="FE1206" s="68" t="s">
        <v>9670</v>
      </c>
      <c r="FF1206" s="68" t="s">
        <v>9671</v>
      </c>
    </row>
    <row r="1207" spans="151:162" x14ac:dyDescent="0.2">
      <c r="EU1207" s="67">
        <v>565.35</v>
      </c>
      <c r="EV1207" s="67" t="s">
        <v>9672</v>
      </c>
      <c r="EW1207" s="67">
        <v>488.65</v>
      </c>
      <c r="EX1207" s="67" t="s">
        <v>9673</v>
      </c>
      <c r="EY1207" s="67">
        <v>5663.94</v>
      </c>
      <c r="EZ1207" s="67" t="s">
        <v>9674</v>
      </c>
      <c r="FA1207" s="67">
        <v>20063.564999999999</v>
      </c>
      <c r="FB1207" s="67" t="s">
        <v>9675</v>
      </c>
      <c r="FC1207" s="67" t="s">
        <v>9676</v>
      </c>
      <c r="FD1207" s="67" t="s">
        <v>9677</v>
      </c>
      <c r="FE1207" s="68" t="s">
        <v>9678</v>
      </c>
      <c r="FF1207" s="68" t="s">
        <v>9679</v>
      </c>
    </row>
    <row r="1208" spans="151:162" x14ac:dyDescent="0.2">
      <c r="EU1208" s="67">
        <v>565.35</v>
      </c>
      <c r="EV1208" s="67" t="s">
        <v>9680</v>
      </c>
      <c r="EW1208" s="67">
        <v>488.66</v>
      </c>
      <c r="EX1208" s="67" t="s">
        <v>9681</v>
      </c>
      <c r="EY1208" s="67">
        <v>5663.94</v>
      </c>
      <c r="EZ1208" s="67" t="s">
        <v>9682</v>
      </c>
      <c r="FA1208" s="67">
        <v>20063.564999999999</v>
      </c>
      <c r="FB1208" s="67" t="s">
        <v>9683</v>
      </c>
      <c r="FC1208" s="67" t="s">
        <v>9684</v>
      </c>
      <c r="FD1208" s="67" t="s">
        <v>9685</v>
      </c>
      <c r="FE1208" s="68" t="s">
        <v>9686</v>
      </c>
      <c r="FF1208" s="68" t="s">
        <v>9687</v>
      </c>
    </row>
    <row r="1209" spans="151:162" x14ac:dyDescent="0.2">
      <c r="EU1209" s="67">
        <v>565.41</v>
      </c>
      <c r="EV1209" s="67" t="s">
        <v>9688</v>
      </c>
      <c r="EW1209" s="67">
        <v>488.68</v>
      </c>
      <c r="EX1209" s="67" t="s">
        <v>9689</v>
      </c>
      <c r="EY1209" s="67">
        <v>5663.94</v>
      </c>
      <c r="EZ1209" s="67" t="s">
        <v>9690</v>
      </c>
      <c r="FA1209" s="67">
        <v>20063.564999999999</v>
      </c>
      <c r="FB1209" s="67" t="s">
        <v>9691</v>
      </c>
      <c r="FC1209" s="67" t="s">
        <v>9692</v>
      </c>
      <c r="FD1209" s="67" t="s">
        <v>9693</v>
      </c>
      <c r="FE1209" s="68" t="s">
        <v>9694</v>
      </c>
      <c r="FF1209" s="68" t="s">
        <v>9695</v>
      </c>
    </row>
    <row r="1210" spans="151:162" x14ac:dyDescent="0.2">
      <c r="EU1210" s="67">
        <v>565.42999999999995</v>
      </c>
      <c r="EV1210" s="67" t="s">
        <v>9696</v>
      </c>
      <c r="EW1210" s="67">
        <v>488.72</v>
      </c>
      <c r="EX1210" s="67" t="s">
        <v>9697</v>
      </c>
      <c r="EY1210" s="67">
        <v>5663.94</v>
      </c>
      <c r="EZ1210" s="67" t="s">
        <v>9698</v>
      </c>
      <c r="FA1210" s="67">
        <v>20063.564999999999</v>
      </c>
      <c r="FB1210" s="67" t="s">
        <v>9699</v>
      </c>
      <c r="FC1210" s="67" t="s">
        <v>9700</v>
      </c>
      <c r="FD1210" s="67" t="s">
        <v>9701</v>
      </c>
      <c r="FE1210" s="68" t="s">
        <v>9702</v>
      </c>
      <c r="FF1210" s="68" t="s">
        <v>9703</v>
      </c>
    </row>
    <row r="1211" spans="151:162" x14ac:dyDescent="0.2">
      <c r="EU1211" s="67">
        <v>565.41</v>
      </c>
      <c r="EV1211" s="67" t="s">
        <v>9704</v>
      </c>
      <c r="EW1211" s="67">
        <v>488.69</v>
      </c>
      <c r="EX1211" s="67" t="s">
        <v>9705</v>
      </c>
      <c r="EY1211" s="67">
        <v>5663.94</v>
      </c>
      <c r="EZ1211" s="67" t="s">
        <v>9706</v>
      </c>
      <c r="FA1211" s="67">
        <v>20063.564999999999</v>
      </c>
      <c r="FB1211" s="67" t="s">
        <v>9707</v>
      </c>
      <c r="FC1211" s="67" t="s">
        <v>9708</v>
      </c>
      <c r="FD1211" s="67" t="s">
        <v>9709</v>
      </c>
      <c r="FE1211" s="68" t="s">
        <v>9710</v>
      </c>
      <c r="FF1211" s="68" t="s">
        <v>9711</v>
      </c>
    </row>
    <row r="1212" spans="151:162" x14ac:dyDescent="0.2">
      <c r="EU1212" s="67">
        <v>565.41999999999996</v>
      </c>
      <c r="EV1212" s="67" t="s">
        <v>9712</v>
      </c>
      <c r="EW1212" s="67">
        <v>488.69</v>
      </c>
      <c r="EX1212" s="67" t="s">
        <v>9713</v>
      </c>
      <c r="EY1212" s="67">
        <v>5663.94</v>
      </c>
      <c r="EZ1212" s="67" t="s">
        <v>9714</v>
      </c>
      <c r="FA1212" s="67">
        <v>20063.564999999999</v>
      </c>
      <c r="FB1212" s="67" t="s">
        <v>9715</v>
      </c>
      <c r="FC1212" s="67" t="s">
        <v>9716</v>
      </c>
      <c r="FD1212" s="67" t="s">
        <v>9717</v>
      </c>
      <c r="FE1212" s="68" t="s">
        <v>9718</v>
      </c>
      <c r="FF1212" s="68" t="s">
        <v>9719</v>
      </c>
    </row>
    <row r="1213" spans="151:162" x14ac:dyDescent="0.2">
      <c r="EU1213" s="67">
        <v>565.45000000000005</v>
      </c>
      <c r="EV1213" s="67" t="s">
        <v>9720</v>
      </c>
      <c r="EW1213" s="67">
        <v>488.69</v>
      </c>
      <c r="EX1213" s="67" t="s">
        <v>9721</v>
      </c>
      <c r="EY1213" s="67">
        <v>5663.94</v>
      </c>
      <c r="EZ1213" s="67" t="s">
        <v>9722</v>
      </c>
      <c r="FA1213" s="67">
        <v>20063.564999999999</v>
      </c>
      <c r="FB1213" s="67" t="s">
        <v>9723</v>
      </c>
      <c r="FC1213" s="67" t="s">
        <v>9724</v>
      </c>
      <c r="FD1213" s="67" t="s">
        <v>9725</v>
      </c>
      <c r="FE1213" s="68" t="s">
        <v>9726</v>
      </c>
      <c r="FF1213" s="68" t="s">
        <v>9727</v>
      </c>
    </row>
    <row r="1214" spans="151:162" x14ac:dyDescent="0.2">
      <c r="EU1214" s="67">
        <v>565.46</v>
      </c>
      <c r="EV1214" s="67" t="s">
        <v>9728</v>
      </c>
      <c r="EW1214" s="67">
        <v>488.69</v>
      </c>
      <c r="EX1214" s="67" t="s">
        <v>9729</v>
      </c>
      <c r="EY1214" s="67">
        <v>5663.94</v>
      </c>
      <c r="EZ1214" s="67" t="s">
        <v>9730</v>
      </c>
      <c r="FA1214" s="67">
        <v>20063.564999999999</v>
      </c>
      <c r="FB1214" s="67" t="s">
        <v>9731</v>
      </c>
      <c r="FC1214" s="67" t="s">
        <v>9732</v>
      </c>
      <c r="FD1214" s="67" t="s">
        <v>9733</v>
      </c>
      <c r="FE1214" s="68" t="s">
        <v>9734</v>
      </c>
      <c r="FF1214" s="68" t="s">
        <v>9735</v>
      </c>
    </row>
    <row r="1215" spans="151:162" x14ac:dyDescent="0.2">
      <c r="EU1215" s="67">
        <v>565.17999999999995</v>
      </c>
      <c r="EV1215" s="67" t="s">
        <v>9736</v>
      </c>
      <c r="EW1215" s="67">
        <v>488.33</v>
      </c>
      <c r="EX1215" s="67" t="s">
        <v>9737</v>
      </c>
      <c r="EY1215" s="67">
        <v>5663.94</v>
      </c>
      <c r="EZ1215" s="67" t="s">
        <v>9738</v>
      </c>
      <c r="FA1215" s="67">
        <v>20063.564999999999</v>
      </c>
      <c r="FB1215" s="67" t="s">
        <v>9739</v>
      </c>
      <c r="FC1215" s="67" t="s">
        <v>9740</v>
      </c>
      <c r="FD1215" s="67" t="s">
        <v>9741</v>
      </c>
      <c r="FE1215" s="68" t="s">
        <v>9742</v>
      </c>
      <c r="FF1215" s="68" t="s">
        <v>9743</v>
      </c>
    </row>
    <row r="1216" spans="151:162" x14ac:dyDescent="0.2">
      <c r="EU1216" s="67">
        <v>565.17999999999995</v>
      </c>
      <c r="EV1216" s="67" t="s">
        <v>9744</v>
      </c>
      <c r="EW1216" s="67">
        <v>488.35</v>
      </c>
      <c r="EX1216" s="67" t="s">
        <v>9745</v>
      </c>
      <c r="EY1216" s="67">
        <v>5663.94</v>
      </c>
      <c r="EZ1216" s="67" t="s">
        <v>9746</v>
      </c>
      <c r="FA1216" s="67">
        <v>20063.564999999999</v>
      </c>
      <c r="FB1216" s="67" t="s">
        <v>9747</v>
      </c>
      <c r="FC1216" s="67" t="s">
        <v>9748</v>
      </c>
      <c r="FD1216" s="67" t="s">
        <v>9749</v>
      </c>
      <c r="FE1216" s="68" t="s">
        <v>9750</v>
      </c>
      <c r="FF1216" s="68" t="s">
        <v>9751</v>
      </c>
    </row>
    <row r="1217" spans="151:162" x14ac:dyDescent="0.2">
      <c r="EU1217" s="67">
        <v>565.16</v>
      </c>
      <c r="EV1217" s="67" t="s">
        <v>9752</v>
      </c>
      <c r="EW1217" s="67">
        <v>488.32</v>
      </c>
      <c r="EX1217" s="67" t="s">
        <v>9753</v>
      </c>
      <c r="EY1217" s="67">
        <v>5663.94</v>
      </c>
      <c r="EZ1217" s="67" t="s">
        <v>9754</v>
      </c>
      <c r="FA1217" s="67">
        <v>20063.564999999999</v>
      </c>
      <c r="FB1217" s="67" t="s">
        <v>9755</v>
      </c>
      <c r="FC1217" s="67" t="s">
        <v>9756</v>
      </c>
      <c r="FD1217" s="67" t="s">
        <v>9757</v>
      </c>
      <c r="FE1217" s="68" t="s">
        <v>9758</v>
      </c>
      <c r="FF1217" s="68" t="s">
        <v>9759</v>
      </c>
    </row>
    <row r="1218" spans="151:162" x14ac:dyDescent="0.2">
      <c r="EU1218" s="67">
        <v>565.1</v>
      </c>
      <c r="EV1218" s="67" t="s">
        <v>9760</v>
      </c>
      <c r="EW1218" s="67">
        <v>488.29</v>
      </c>
      <c r="EX1218" s="67" t="s">
        <v>9761</v>
      </c>
      <c r="EY1218" s="67">
        <v>5663.94</v>
      </c>
      <c r="EZ1218" s="67" t="s">
        <v>9762</v>
      </c>
      <c r="FA1218" s="67">
        <v>20063.564999999999</v>
      </c>
      <c r="FB1218" s="67" t="s">
        <v>9763</v>
      </c>
      <c r="FC1218" s="67" t="s">
        <v>9764</v>
      </c>
      <c r="FD1218" s="67" t="s">
        <v>9765</v>
      </c>
      <c r="FE1218" s="68" t="s">
        <v>9766</v>
      </c>
      <c r="FF1218" s="68" t="s">
        <v>9767</v>
      </c>
    </row>
    <row r="1219" spans="151:162" x14ac:dyDescent="0.2">
      <c r="EU1219" s="67">
        <v>564.98</v>
      </c>
      <c r="EV1219" s="67" t="s">
        <v>9768</v>
      </c>
      <c r="EW1219" s="67">
        <v>488.17</v>
      </c>
      <c r="EX1219" s="67" t="s">
        <v>9769</v>
      </c>
      <c r="EY1219" s="67">
        <v>5663.94</v>
      </c>
      <c r="EZ1219" s="67" t="s">
        <v>9770</v>
      </c>
      <c r="FA1219" s="67">
        <v>20063.564999999999</v>
      </c>
      <c r="FB1219" s="67" t="s">
        <v>9771</v>
      </c>
      <c r="FC1219" s="67" t="s">
        <v>9772</v>
      </c>
      <c r="FD1219" s="67" t="s">
        <v>9773</v>
      </c>
      <c r="FE1219" s="68" t="s">
        <v>9774</v>
      </c>
      <c r="FF1219" s="68" t="s">
        <v>9775</v>
      </c>
    </row>
    <row r="1220" spans="151:162" x14ac:dyDescent="0.2">
      <c r="EU1220" s="67">
        <v>564.97</v>
      </c>
      <c r="EV1220" s="67" t="s">
        <v>9776</v>
      </c>
      <c r="EW1220" s="67">
        <v>488.2</v>
      </c>
      <c r="EX1220" s="67" t="s">
        <v>9777</v>
      </c>
      <c r="EY1220" s="67">
        <v>5663.94</v>
      </c>
      <c r="EZ1220" s="67" t="s">
        <v>9778</v>
      </c>
      <c r="FA1220" s="67">
        <v>20063.564999999999</v>
      </c>
      <c r="FB1220" s="67" t="s">
        <v>9779</v>
      </c>
      <c r="FC1220" s="67" t="s">
        <v>9780</v>
      </c>
      <c r="FD1220" s="67" t="s">
        <v>9781</v>
      </c>
      <c r="FE1220" s="68" t="s">
        <v>9782</v>
      </c>
      <c r="FF1220" s="68" t="s">
        <v>9783</v>
      </c>
    </row>
    <row r="1221" spans="151:162" x14ac:dyDescent="0.2">
      <c r="EU1221" s="67">
        <v>564.95000000000005</v>
      </c>
      <c r="EV1221" s="67" t="s">
        <v>9784</v>
      </c>
      <c r="EW1221" s="67">
        <v>488.24</v>
      </c>
      <c r="EX1221" s="67" t="s">
        <v>9785</v>
      </c>
      <c r="EY1221" s="67">
        <v>5663.94</v>
      </c>
      <c r="EZ1221" s="67" t="s">
        <v>9786</v>
      </c>
      <c r="FA1221" s="67">
        <v>20063.564999999999</v>
      </c>
      <c r="FB1221" s="67" t="s">
        <v>9787</v>
      </c>
      <c r="FC1221" s="67" t="s">
        <v>9788</v>
      </c>
      <c r="FD1221" s="67" t="s">
        <v>9789</v>
      </c>
      <c r="FE1221" s="68" t="s">
        <v>9790</v>
      </c>
      <c r="FF1221" s="68" t="s">
        <v>9791</v>
      </c>
    </row>
    <row r="1222" spans="151:162" x14ac:dyDescent="0.2">
      <c r="EU1222" s="67">
        <v>564.96</v>
      </c>
      <c r="EV1222" s="67" t="s">
        <v>9792</v>
      </c>
      <c r="EW1222" s="67">
        <v>488.26</v>
      </c>
      <c r="EX1222" s="67" t="s">
        <v>9793</v>
      </c>
      <c r="EY1222" s="67">
        <v>5663.94</v>
      </c>
      <c r="EZ1222" s="67" t="s">
        <v>9794</v>
      </c>
      <c r="FA1222" s="67">
        <v>20063.564999999999</v>
      </c>
      <c r="FB1222" s="67" t="s">
        <v>9795</v>
      </c>
      <c r="FC1222" s="67" t="s">
        <v>9796</v>
      </c>
      <c r="FD1222" s="67" t="s">
        <v>9797</v>
      </c>
      <c r="FE1222" s="68" t="s">
        <v>9798</v>
      </c>
      <c r="FF1222" s="68" t="s">
        <v>9799</v>
      </c>
    </row>
    <row r="1223" spans="151:162" x14ac:dyDescent="0.2">
      <c r="EU1223" s="67">
        <v>564.98</v>
      </c>
      <c r="EV1223" s="67" t="s">
        <v>9800</v>
      </c>
      <c r="EW1223" s="67">
        <v>488.28</v>
      </c>
      <c r="EX1223" s="67" t="s">
        <v>9801</v>
      </c>
      <c r="EY1223" s="67">
        <v>5663.94</v>
      </c>
      <c r="EZ1223" s="67" t="s">
        <v>9802</v>
      </c>
      <c r="FA1223" s="67">
        <v>20063.564999999999</v>
      </c>
      <c r="FB1223" s="67" t="s">
        <v>9803</v>
      </c>
      <c r="FC1223" s="67" t="s">
        <v>9804</v>
      </c>
      <c r="FD1223" s="67" t="s">
        <v>9805</v>
      </c>
      <c r="FE1223" s="68" t="s">
        <v>9806</v>
      </c>
      <c r="FF1223" s="68" t="s">
        <v>9807</v>
      </c>
    </row>
    <row r="1224" spans="151:162" x14ac:dyDescent="0.2">
      <c r="EU1224" s="67">
        <v>565</v>
      </c>
      <c r="EV1224" s="67" t="s">
        <v>9808</v>
      </c>
      <c r="EW1224" s="67">
        <v>488.29</v>
      </c>
      <c r="EX1224" s="67" t="s">
        <v>9809</v>
      </c>
      <c r="EY1224" s="67">
        <v>5663.94</v>
      </c>
      <c r="EZ1224" s="67" t="s">
        <v>9810</v>
      </c>
      <c r="FA1224" s="67">
        <v>20063.564999999999</v>
      </c>
      <c r="FB1224" s="67" t="s">
        <v>9811</v>
      </c>
      <c r="FC1224" s="67" t="s">
        <v>9812</v>
      </c>
      <c r="FD1224" s="67" t="s">
        <v>9813</v>
      </c>
      <c r="FE1224" s="68" t="s">
        <v>9814</v>
      </c>
      <c r="FF1224" s="68" t="s">
        <v>9815</v>
      </c>
    </row>
    <row r="1225" spans="151:162" x14ac:dyDescent="0.2">
      <c r="EU1225" s="67">
        <v>565</v>
      </c>
      <c r="EV1225" s="67" t="s">
        <v>9816</v>
      </c>
      <c r="EW1225" s="67">
        <v>488.29</v>
      </c>
      <c r="EX1225" s="67" t="s">
        <v>9817</v>
      </c>
      <c r="EY1225" s="67">
        <v>5663.94</v>
      </c>
      <c r="EZ1225" s="67" t="s">
        <v>9818</v>
      </c>
      <c r="FA1225" s="67">
        <v>20063.564999999999</v>
      </c>
      <c r="FB1225" s="67" t="s">
        <v>9819</v>
      </c>
      <c r="FC1225" s="67" t="s">
        <v>9820</v>
      </c>
      <c r="FD1225" s="67" t="s">
        <v>9821</v>
      </c>
      <c r="FE1225" s="68" t="s">
        <v>9822</v>
      </c>
      <c r="FF1225" s="68" t="s">
        <v>9823</v>
      </c>
    </row>
    <row r="1226" spans="151:162" x14ac:dyDescent="0.2">
      <c r="EU1226" s="67">
        <v>564.99</v>
      </c>
      <c r="EV1226" s="67" t="s">
        <v>9824</v>
      </c>
      <c r="EW1226" s="67">
        <v>488.3</v>
      </c>
      <c r="EX1226" s="67" t="s">
        <v>9825</v>
      </c>
      <c r="EY1226" s="67">
        <v>5663.94</v>
      </c>
      <c r="EZ1226" s="67" t="s">
        <v>9826</v>
      </c>
      <c r="FA1226" s="67">
        <v>20063.564999999999</v>
      </c>
      <c r="FB1226" s="67" t="s">
        <v>9827</v>
      </c>
      <c r="FC1226" s="67" t="s">
        <v>9828</v>
      </c>
      <c r="FD1226" s="67" t="s">
        <v>9829</v>
      </c>
      <c r="FE1226" s="68" t="s">
        <v>9830</v>
      </c>
      <c r="FF1226" s="68" t="s">
        <v>9831</v>
      </c>
    </row>
    <row r="1227" spans="151:162" x14ac:dyDescent="0.2">
      <c r="EU1227" s="67">
        <v>564.83000000000004</v>
      </c>
      <c r="EV1227" s="67" t="s">
        <v>9832</v>
      </c>
      <c r="EW1227" s="67">
        <v>488.22</v>
      </c>
      <c r="EX1227" s="67" t="s">
        <v>9833</v>
      </c>
      <c r="EY1227" s="67">
        <v>5663.94</v>
      </c>
      <c r="EZ1227" s="67" t="s">
        <v>9834</v>
      </c>
      <c r="FA1227" s="67">
        <v>20063.564999999999</v>
      </c>
      <c r="FB1227" s="67" t="s">
        <v>9835</v>
      </c>
      <c r="FC1227" s="67" t="s">
        <v>9836</v>
      </c>
      <c r="FD1227" s="67" t="s">
        <v>9837</v>
      </c>
      <c r="FE1227" s="68" t="s">
        <v>9838</v>
      </c>
      <c r="FF1227" s="68" t="s">
        <v>9839</v>
      </c>
    </row>
    <row r="1228" spans="151:162" x14ac:dyDescent="0.2">
      <c r="EU1228" s="67">
        <v>564.78</v>
      </c>
      <c r="EV1228" s="67" t="s">
        <v>9840</v>
      </c>
      <c r="EW1228" s="67">
        <v>488.06</v>
      </c>
      <c r="EX1228" s="67" t="s">
        <v>9841</v>
      </c>
      <c r="EY1228" s="67">
        <v>5663.94</v>
      </c>
      <c r="EZ1228" s="67" t="s">
        <v>9842</v>
      </c>
      <c r="FA1228" s="67">
        <v>20063.564999999999</v>
      </c>
      <c r="FB1228" s="67" t="s">
        <v>9843</v>
      </c>
      <c r="FC1228" s="67" t="s">
        <v>9844</v>
      </c>
      <c r="FD1228" s="67" t="s">
        <v>9845</v>
      </c>
      <c r="FE1228" s="68" t="s">
        <v>9846</v>
      </c>
      <c r="FF1228" s="68" t="s">
        <v>9847</v>
      </c>
    </row>
    <row r="1229" spans="151:162" x14ac:dyDescent="0.2">
      <c r="EU1229" s="67">
        <v>564.75</v>
      </c>
      <c r="EV1229" s="67" t="s">
        <v>9848</v>
      </c>
      <c r="EW1229" s="67">
        <v>488.11</v>
      </c>
      <c r="EX1229" s="67" t="s">
        <v>9849</v>
      </c>
      <c r="EY1229" s="67">
        <v>5663.94</v>
      </c>
      <c r="EZ1229" s="67" t="s">
        <v>9850</v>
      </c>
      <c r="FA1229" s="67">
        <v>20063.564999999999</v>
      </c>
      <c r="FB1229" s="67" t="s">
        <v>9851</v>
      </c>
      <c r="FC1229" s="67" t="s">
        <v>9852</v>
      </c>
      <c r="FD1229" s="67" t="s">
        <v>9853</v>
      </c>
      <c r="FE1229" s="68" t="s">
        <v>9854</v>
      </c>
      <c r="FF1229" s="68" t="s">
        <v>9855</v>
      </c>
    </row>
    <row r="1230" spans="151:162" x14ac:dyDescent="0.2">
      <c r="EU1230" s="67">
        <v>564.84</v>
      </c>
      <c r="EV1230" s="67" t="s">
        <v>9856</v>
      </c>
      <c r="EW1230" s="67">
        <v>488.21</v>
      </c>
      <c r="EX1230" s="67" t="s">
        <v>9857</v>
      </c>
      <c r="EY1230" s="67">
        <v>5663.94</v>
      </c>
      <c r="EZ1230" s="67" t="s">
        <v>9858</v>
      </c>
      <c r="FA1230" s="67">
        <v>20063.564999999999</v>
      </c>
      <c r="FB1230" s="67" t="s">
        <v>9859</v>
      </c>
      <c r="FC1230" s="67" t="s">
        <v>9860</v>
      </c>
      <c r="FD1230" s="67" t="s">
        <v>9861</v>
      </c>
      <c r="FE1230" s="68" t="s">
        <v>9862</v>
      </c>
      <c r="FF1230" s="68" t="s">
        <v>9863</v>
      </c>
    </row>
  </sheetData>
  <mergeCells count="1">
    <mergeCell ref="I1:P1"/>
  </mergeCells>
  <conditionalFormatting sqref="C39">
    <cfRule type="colorScale" priority="2826">
      <colorScale>
        <cfvo type="min"/>
        <cfvo type="max"/>
        <color rgb="FFFCFCFF"/>
        <color rgb="FFF8696B"/>
      </colorScale>
    </cfRule>
  </conditionalFormatting>
  <conditionalFormatting sqref="C40">
    <cfRule type="colorScale" priority="2568">
      <colorScale>
        <cfvo type="min"/>
        <cfvo type="max"/>
        <color rgb="FFFCFCFF"/>
        <color rgb="FFF8696B"/>
      </colorScale>
    </cfRule>
  </conditionalFormatting>
  <conditionalFormatting sqref="B42 C41">
    <cfRule type="colorScale" priority="2567">
      <colorScale>
        <cfvo type="min"/>
        <cfvo type="max"/>
        <color rgb="FFFCFCFF"/>
        <color rgb="FFF8696B"/>
      </colorScale>
    </cfRule>
  </conditionalFormatting>
  <conditionalFormatting sqref="A4:A38">
    <cfRule type="expression" dxfId="16" priority="2455">
      <formula>A4&lt;$F$1</formula>
    </cfRule>
  </conditionalFormatting>
  <conditionalFormatting sqref="A85:A130">
    <cfRule type="expression" dxfId="15" priority="2453">
      <formula>A85&lt;$F$82</formula>
    </cfRule>
  </conditionalFormatting>
  <conditionalFormatting sqref="A45:A79">
    <cfRule type="expression" dxfId="14" priority="3055">
      <formula>A45&lt;$F$42</formula>
    </cfRule>
  </conditionalFormatting>
  <conditionalFormatting sqref="B3:E3">
    <cfRule type="colorScale" priority="2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E44">
    <cfRule type="colorScale" priority="2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4:E84">
    <cfRule type="colorScale" priority="2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6:E136">
    <cfRule type="colorScale" priority="2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A130">
    <cfRule type="expression" dxfId="13" priority="2378">
      <formula>A86&lt;$F$82</formula>
    </cfRule>
  </conditionalFormatting>
  <conditionalFormatting sqref="A111:A130">
    <cfRule type="expression" dxfId="12" priority="2326">
      <formula>A111&lt;$F$82</formula>
    </cfRule>
  </conditionalFormatting>
  <conditionalFormatting sqref="A59">
    <cfRule type="expression" dxfId="11" priority="2069">
      <formula>A59&lt;$F$42</formula>
    </cfRule>
  </conditionalFormatting>
  <conditionalFormatting sqref="A74">
    <cfRule type="expression" dxfId="10" priority="2008">
      <formula>A74&lt;$F$42</formula>
    </cfRule>
  </conditionalFormatting>
  <conditionalFormatting sqref="Z2:AH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{94756B91-4852-4BB9-84D5-53514BB9C3AB}</x14:id>
        </ext>
      </extLst>
    </cfRule>
  </conditionalFormatting>
  <conditionalFormatting sqref="Z1:AH1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{70FBBBBD-AEF2-4C23-8DB7-77FAA1E33542}</x14:id>
        </ext>
      </extLst>
    </cfRule>
  </conditionalFormatting>
  <conditionalFormatting sqref="Z43:AH4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{9BD38B5B-FD04-4F23-86FF-65CA58B88AA8}</x14:id>
        </ext>
      </extLst>
    </cfRule>
  </conditionalFormatting>
  <conditionalFormatting sqref="Z83:AH83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{F55B3C41-4249-493A-9904-35131BF4469E}</x14:id>
        </ext>
      </extLst>
    </cfRule>
  </conditionalFormatting>
  <conditionalFormatting sqref="Z135:AH135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{E8745E3C-E615-470A-BF75-D59A7489C6B8}</x14:id>
        </ext>
      </extLst>
    </cfRule>
  </conditionalFormatting>
  <conditionalFormatting sqref="A93:A98">
    <cfRule type="expression" dxfId="9" priority="778">
      <formula>A93&lt;$F$82</formula>
    </cfRule>
  </conditionalFormatting>
  <conditionalFormatting sqref="A117:A121">
    <cfRule type="expression" dxfId="8" priority="642">
      <formula>A117&lt;$F$82</formula>
    </cfRule>
  </conditionalFormatting>
  <conditionalFormatting sqref="Q2:Y2 AI2:AR2">
    <cfRule type="dataBar" priority="3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{347D005F-749D-475B-BA2B-8FFD6FAC2F55}</x14:id>
        </ext>
      </extLst>
    </cfRule>
  </conditionalFormatting>
  <conditionalFormatting sqref="Q1:Y1 AI1:AR1">
    <cfRule type="dataBar" priority="3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{30BDB15D-9E4E-4582-BD62-69FDF3DCDA63}</x14:id>
        </ext>
      </extLst>
    </cfRule>
  </conditionalFormatting>
  <conditionalFormatting sqref="Q43:Y43 AI43:AR43">
    <cfRule type="dataBar" priority="3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{AC35B083-9921-45A7-9C15-640992C07F11}</x14:id>
        </ext>
      </extLst>
    </cfRule>
  </conditionalFormatting>
  <conditionalFormatting sqref="Q83:Y83 AI83:AR83">
    <cfRule type="dataBar" priority="3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{0284C3E3-1F73-449D-B3B2-6C12BBC8B769}</x14:id>
        </ext>
      </extLst>
    </cfRule>
  </conditionalFormatting>
  <conditionalFormatting sqref="Q135:Y135 AI135:AR135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{D6C08B44-F03F-46FF-92BB-6D0409D76146}</x14:id>
        </ext>
      </extLst>
    </cfRule>
  </conditionalFormatting>
  <conditionalFormatting sqref="A9:A14">
    <cfRule type="expression" dxfId="7" priority="287">
      <formula>A9&lt;$F$1</formula>
    </cfRule>
  </conditionalFormatting>
  <conditionalFormatting sqref="A23:A38">
    <cfRule type="expression" dxfId="6" priority="237">
      <formula>A23&lt;$F$1</formula>
    </cfRule>
  </conditionalFormatting>
  <conditionalFormatting sqref="B4:B38">
    <cfRule type="colorScale" priority="236">
      <colorScale>
        <cfvo type="min"/>
        <cfvo type="max"/>
        <color rgb="FFFCFCFF"/>
        <color rgb="FFF8696B"/>
      </colorScale>
    </cfRule>
  </conditionalFormatting>
  <conditionalFormatting sqref="C4:C38">
    <cfRule type="colorScale" priority="235">
      <colorScale>
        <cfvo type="min"/>
        <cfvo type="max"/>
        <color rgb="FFFCFCFF"/>
        <color rgb="FFF8696B"/>
      </colorScale>
    </cfRule>
  </conditionalFormatting>
  <conditionalFormatting sqref="D4:D38">
    <cfRule type="colorScale" priority="234">
      <colorScale>
        <cfvo type="min"/>
        <cfvo type="max"/>
        <color rgb="FFFCFCFF"/>
        <color rgb="FFF8696B"/>
      </colorScale>
    </cfRule>
  </conditionalFormatting>
  <conditionalFormatting sqref="E4:E38">
    <cfRule type="colorScale" priority="233">
      <colorScale>
        <cfvo type="min"/>
        <cfvo type="max"/>
        <color rgb="FFFCFCFF"/>
        <color rgb="FFF8696B"/>
      </colorScale>
    </cfRule>
  </conditionalFormatting>
  <conditionalFormatting sqref="A49:A53 A56">
    <cfRule type="expression" dxfId="5" priority="232">
      <formula>A49&lt;$F$42</formula>
    </cfRule>
  </conditionalFormatting>
  <conditionalFormatting sqref="A55">
    <cfRule type="expression" dxfId="4" priority="207">
      <formula>A55&lt;$F$42</formula>
    </cfRule>
  </conditionalFormatting>
  <conditionalFormatting sqref="A55">
    <cfRule type="expression" dxfId="3" priority="206">
      <formula>A55&lt;$F$42</formula>
    </cfRule>
  </conditionalFormatting>
  <conditionalFormatting sqref="A54">
    <cfRule type="expression" dxfId="2" priority="181">
      <formula>A54&lt;$F$42</formula>
    </cfRule>
  </conditionalFormatting>
  <conditionalFormatting sqref="A54">
    <cfRule type="expression" dxfId="1" priority="180">
      <formula>A54&lt;$F$42</formula>
    </cfRule>
  </conditionalFormatting>
  <conditionalFormatting sqref="A65:A69">
    <cfRule type="expression" dxfId="0" priority="155">
      <formula>A65&lt;$F$42</formula>
    </cfRule>
  </conditionalFormatting>
  <conditionalFormatting sqref="AS4:AS38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T4:AT38">
    <cfRule type="colorScale" priority="125">
      <colorScale>
        <cfvo type="min"/>
        <cfvo type="max"/>
        <color rgb="FFF8696B"/>
        <color rgb="FFFCFCFF"/>
      </colorScale>
    </cfRule>
  </conditionalFormatting>
  <conditionalFormatting sqref="AU4:AU38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V4:AV38">
    <cfRule type="colorScale" priority="123">
      <colorScale>
        <cfvo type="min"/>
        <cfvo type="max"/>
        <color rgb="FFF8696B"/>
        <color rgb="FFFCFCFF"/>
      </colorScale>
    </cfRule>
  </conditionalFormatting>
  <conditionalFormatting sqref="AW4:AW38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X4:AX38">
    <cfRule type="colorScale" priority="121">
      <colorScale>
        <cfvo type="min"/>
        <cfvo type="max"/>
        <color rgb="FFF8696B"/>
        <color rgb="FFFCFCFF"/>
      </colorScale>
    </cfRule>
  </conditionalFormatting>
  <conditionalFormatting sqref="AY4:AY38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45:AS7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T45:AT79">
    <cfRule type="colorScale" priority="118">
      <colorScale>
        <cfvo type="min"/>
        <cfvo type="max"/>
        <color rgb="FFF8696B"/>
        <color rgb="FFFCFCFF"/>
      </colorScale>
    </cfRule>
  </conditionalFormatting>
  <conditionalFormatting sqref="AU45:AU7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V45:AV79">
    <cfRule type="colorScale" priority="116">
      <colorScale>
        <cfvo type="min"/>
        <cfvo type="max"/>
        <color rgb="FFF8696B"/>
        <color rgb="FFFCFCFF"/>
      </colorScale>
    </cfRule>
  </conditionalFormatting>
  <conditionalFormatting sqref="AW45:AW79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X45:AX79">
    <cfRule type="colorScale" priority="114">
      <colorScale>
        <cfvo type="min"/>
        <cfvo type="max"/>
        <color rgb="FFF8696B"/>
        <color rgb="FFFCFCFF"/>
      </colorScale>
    </cfRule>
  </conditionalFormatting>
  <conditionalFormatting sqref="AY45:AY7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85:AS130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T85:AT130">
    <cfRule type="colorScale" priority="111">
      <colorScale>
        <cfvo type="min"/>
        <cfvo type="max"/>
        <color rgb="FFF8696B"/>
        <color rgb="FFFCFCFF"/>
      </colorScale>
    </cfRule>
  </conditionalFormatting>
  <conditionalFormatting sqref="AU85:AU130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V85:AV130">
    <cfRule type="colorScale" priority="109">
      <colorScale>
        <cfvo type="min"/>
        <cfvo type="max"/>
        <color rgb="FFF8696B"/>
        <color rgb="FFFCFCFF"/>
      </colorScale>
    </cfRule>
  </conditionalFormatting>
  <conditionalFormatting sqref="AW85:AW130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X85:AX130">
    <cfRule type="colorScale" priority="107">
      <colorScale>
        <cfvo type="min"/>
        <cfvo type="max"/>
        <color rgb="FFF8696B"/>
        <color rgb="FFFCFCFF"/>
      </colorScale>
    </cfRule>
  </conditionalFormatting>
  <conditionalFormatting sqref="AY85:AY13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:BA38">
    <cfRule type="colorScale" priority="98">
      <colorScale>
        <cfvo type="min"/>
        <cfvo type="max"/>
        <color rgb="FFFCFCFF"/>
        <color rgb="FF63BE7B"/>
      </colorScale>
    </cfRule>
  </conditionalFormatting>
  <conditionalFormatting sqref="BB4:BB38">
    <cfRule type="colorScale" priority="97">
      <colorScale>
        <cfvo type="min"/>
        <cfvo type="max"/>
        <color rgb="FFF8696B"/>
        <color rgb="FFFCFCFF"/>
      </colorScale>
    </cfRule>
  </conditionalFormatting>
  <conditionalFormatting sqref="BC4:BC38">
    <cfRule type="colorScale" priority="96">
      <colorScale>
        <cfvo type="min"/>
        <cfvo type="max"/>
        <color rgb="FFFCFCFF"/>
        <color rgb="FF63BE7B"/>
      </colorScale>
    </cfRule>
  </conditionalFormatting>
  <conditionalFormatting sqref="BD4:BD38">
    <cfRule type="colorScale" priority="95">
      <colorScale>
        <cfvo type="min"/>
        <cfvo type="max"/>
        <color rgb="FFF8696B"/>
        <color rgb="FFFCFCFF"/>
      </colorScale>
    </cfRule>
  </conditionalFormatting>
  <conditionalFormatting sqref="BE4:BE38">
    <cfRule type="colorScale" priority="94">
      <colorScale>
        <cfvo type="min"/>
        <cfvo type="max"/>
        <color rgb="FFFCFCFF"/>
        <color rgb="FF63BE7B"/>
      </colorScale>
    </cfRule>
  </conditionalFormatting>
  <conditionalFormatting sqref="BF4:BF38">
    <cfRule type="colorScale" priority="93">
      <colorScale>
        <cfvo type="min"/>
        <cfvo type="max"/>
        <color rgb="FFF8696B"/>
        <color rgb="FFFCFCFF"/>
      </colorScale>
    </cfRule>
  </conditionalFormatting>
  <conditionalFormatting sqref="BH4:BH38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5:BA79">
    <cfRule type="colorScale" priority="91">
      <colorScale>
        <cfvo type="min"/>
        <cfvo type="max"/>
        <color rgb="FFFCFCFF"/>
        <color rgb="FF63BE7B"/>
      </colorScale>
    </cfRule>
  </conditionalFormatting>
  <conditionalFormatting sqref="BB45:BB79">
    <cfRule type="colorScale" priority="90">
      <colorScale>
        <cfvo type="min"/>
        <cfvo type="max"/>
        <color rgb="FFF8696B"/>
        <color rgb="FFFCFCFF"/>
      </colorScale>
    </cfRule>
  </conditionalFormatting>
  <conditionalFormatting sqref="BC45:BC79">
    <cfRule type="colorScale" priority="89">
      <colorScale>
        <cfvo type="min"/>
        <cfvo type="max"/>
        <color rgb="FFFCFCFF"/>
        <color rgb="FF63BE7B"/>
      </colorScale>
    </cfRule>
  </conditionalFormatting>
  <conditionalFormatting sqref="BD45:BD79">
    <cfRule type="colorScale" priority="88">
      <colorScale>
        <cfvo type="min"/>
        <cfvo type="max"/>
        <color rgb="FFF8696B"/>
        <color rgb="FFFCFCFF"/>
      </colorScale>
    </cfRule>
  </conditionalFormatting>
  <conditionalFormatting sqref="BE45:BE79">
    <cfRule type="colorScale" priority="87">
      <colorScale>
        <cfvo type="min"/>
        <cfvo type="max"/>
        <color rgb="FFFCFCFF"/>
        <color rgb="FF63BE7B"/>
      </colorScale>
    </cfRule>
  </conditionalFormatting>
  <conditionalFormatting sqref="BF45:BF79">
    <cfRule type="colorScale" priority="86">
      <colorScale>
        <cfvo type="min"/>
        <cfvo type="max"/>
        <color rgb="FFF8696B"/>
        <color rgb="FFFCFCFF"/>
      </colorScale>
    </cfRule>
  </conditionalFormatting>
  <conditionalFormatting sqref="BH45:BH79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32">
    <cfRule type="colorScale" priority="83">
      <colorScale>
        <cfvo type="min"/>
        <cfvo type="max"/>
        <color rgb="FFF8696B"/>
        <color rgb="FFFCFCFF"/>
      </colorScale>
    </cfRule>
  </conditionalFormatting>
  <conditionalFormatting sqref="BD132">
    <cfRule type="colorScale" priority="69">
      <colorScale>
        <cfvo type="min"/>
        <cfvo type="max"/>
        <color rgb="FFF8696B"/>
        <color rgb="FFFCFCFF"/>
      </colorScale>
    </cfRule>
  </conditionalFormatting>
  <conditionalFormatting sqref="BF132:BG132">
    <cfRule type="colorScale" priority="68">
      <colorScale>
        <cfvo type="min"/>
        <cfvo type="max"/>
        <color rgb="FFF8696B"/>
        <color rgb="FFFCFCFF"/>
      </colorScale>
    </cfRule>
  </conditionalFormatting>
  <conditionalFormatting sqref="B137:B189">
    <cfRule type="colorScale" priority="65">
      <colorScale>
        <cfvo type="min"/>
        <cfvo type="max"/>
        <color rgb="FFFCFCFF"/>
        <color rgb="FFF8696B"/>
      </colorScale>
    </cfRule>
  </conditionalFormatting>
  <conditionalFormatting sqref="C137:C189">
    <cfRule type="colorScale" priority="64">
      <colorScale>
        <cfvo type="min"/>
        <cfvo type="max"/>
        <color rgb="FFFCFCFF"/>
        <color rgb="FFF8696B"/>
      </colorScale>
    </cfRule>
  </conditionalFormatting>
  <conditionalFormatting sqref="D137:D189">
    <cfRule type="colorScale" priority="63">
      <colorScale>
        <cfvo type="min"/>
        <cfvo type="max"/>
        <color rgb="FFFCFCFF"/>
        <color rgb="FFF8696B"/>
      </colorScale>
    </cfRule>
  </conditionalFormatting>
  <conditionalFormatting sqref="E137:E189">
    <cfRule type="colorScale" priority="62">
      <colorScale>
        <cfvo type="min"/>
        <cfvo type="max"/>
        <color rgb="FFFCFCFF"/>
        <color rgb="FFF8696B"/>
      </colorScale>
    </cfRule>
  </conditionalFormatting>
  <conditionalFormatting sqref="AS137:AS18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T137:AT189">
    <cfRule type="colorScale" priority="60">
      <colorScale>
        <cfvo type="min"/>
        <cfvo type="max"/>
        <color rgb="FFF8696B"/>
        <color rgb="FFFCFCFF"/>
      </colorScale>
    </cfRule>
  </conditionalFormatting>
  <conditionalFormatting sqref="AU137:AU188">
    <cfRule type="colorScale" priority="59">
      <colorScale>
        <cfvo type="min"/>
        <cfvo type="max"/>
        <color rgb="FFFCFCFF"/>
        <color rgb="FF63BE7B"/>
      </colorScale>
    </cfRule>
  </conditionalFormatting>
  <conditionalFormatting sqref="AV137:AV188">
    <cfRule type="colorScale" priority="58">
      <colorScale>
        <cfvo type="min"/>
        <cfvo type="max"/>
        <color rgb="FFF8696B"/>
        <color rgb="FFFCFCFF"/>
      </colorScale>
    </cfRule>
  </conditionalFormatting>
  <conditionalFormatting sqref="AW137:AW18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X137:AX189">
    <cfRule type="colorScale" priority="56">
      <colorScale>
        <cfvo type="min"/>
        <cfvo type="max"/>
        <color rgb="FFF8696B"/>
        <color rgb="FFFCFCFF"/>
      </colorScale>
    </cfRule>
  </conditionalFormatting>
  <conditionalFormatting sqref="AY137:AY189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37:BA18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B137:BB189">
    <cfRule type="colorScale" priority="53">
      <colorScale>
        <cfvo type="min"/>
        <cfvo type="max"/>
        <color rgb="FFF8696B"/>
        <color rgb="FFFCFCFF"/>
      </colorScale>
    </cfRule>
  </conditionalFormatting>
  <conditionalFormatting sqref="BC137:BC188">
    <cfRule type="colorScale" priority="52">
      <colorScale>
        <cfvo type="min"/>
        <cfvo type="max"/>
        <color rgb="FFFCFCFF"/>
        <color rgb="FF63BE7B"/>
      </colorScale>
    </cfRule>
  </conditionalFormatting>
  <conditionalFormatting sqref="BD137:BD188">
    <cfRule type="colorScale" priority="51">
      <colorScale>
        <cfvo type="min"/>
        <cfvo type="max"/>
        <color rgb="FFF8696B"/>
        <color rgb="FFFCFCFF"/>
      </colorScale>
    </cfRule>
  </conditionalFormatting>
  <conditionalFormatting sqref="BE137:BE189">
    <cfRule type="colorScale" priority="50">
      <colorScale>
        <cfvo type="min"/>
        <cfvo type="max"/>
        <color rgb="FFFCFCFF"/>
        <color rgb="FF63BE7B"/>
      </colorScale>
    </cfRule>
  </conditionalFormatting>
  <conditionalFormatting sqref="BF137:BF189">
    <cfRule type="colorScale" priority="49">
      <colorScale>
        <cfvo type="min"/>
        <cfvo type="max"/>
        <color rgb="FFF8696B"/>
        <color rgb="FFFCFCFF"/>
      </colorScale>
    </cfRule>
  </conditionalFormatting>
  <conditionalFormatting sqref="BH137:BH18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85:BA130">
    <cfRule type="colorScale" priority="47">
      <colorScale>
        <cfvo type="min"/>
        <cfvo type="max"/>
        <color rgb="FFFCFCFF"/>
        <color rgb="FF63BE7B"/>
      </colorScale>
    </cfRule>
  </conditionalFormatting>
  <conditionalFormatting sqref="BB85:BB130">
    <cfRule type="colorScale" priority="46">
      <colorScale>
        <cfvo type="min"/>
        <cfvo type="max"/>
        <color rgb="FFF8696B"/>
        <color rgb="FFFCFCFF"/>
      </colorScale>
    </cfRule>
  </conditionalFormatting>
  <conditionalFormatting sqref="BC85:BC130">
    <cfRule type="colorScale" priority="45">
      <colorScale>
        <cfvo type="min"/>
        <cfvo type="max"/>
        <color rgb="FFFCFCFF"/>
        <color rgb="FF63BE7B"/>
      </colorScale>
    </cfRule>
  </conditionalFormatting>
  <conditionalFormatting sqref="BD85:BD130">
    <cfRule type="colorScale" priority="44">
      <colorScale>
        <cfvo type="min"/>
        <cfvo type="max"/>
        <color rgb="FFF8696B"/>
        <color rgb="FFFCFCFF"/>
      </colorScale>
    </cfRule>
  </conditionalFormatting>
  <conditionalFormatting sqref="BE85:BE130">
    <cfRule type="colorScale" priority="43">
      <colorScale>
        <cfvo type="min"/>
        <cfvo type="max"/>
        <color rgb="FFFCFCFF"/>
        <color rgb="FF63BE7B"/>
      </colorScale>
    </cfRule>
  </conditionalFormatting>
  <conditionalFormatting sqref="BF85:BF130">
    <cfRule type="colorScale" priority="42">
      <colorScale>
        <cfvo type="min"/>
        <cfvo type="max"/>
        <color rgb="FFF8696B"/>
        <color rgb="FFFCFCFF"/>
      </colorScale>
    </cfRule>
  </conditionalFormatting>
  <conditionalFormatting sqref="BH85:BH13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5:B130">
    <cfRule type="colorScale" priority="40">
      <colorScale>
        <cfvo type="min"/>
        <cfvo type="max"/>
        <color rgb="FFFCFCFF"/>
        <color rgb="FFF8696B"/>
      </colorScale>
    </cfRule>
  </conditionalFormatting>
  <conditionalFormatting sqref="C85:C130">
    <cfRule type="colorScale" priority="39">
      <colorScale>
        <cfvo type="min"/>
        <cfvo type="max"/>
        <color rgb="FFFCFCFF"/>
        <color rgb="FFF8696B"/>
      </colorScale>
    </cfRule>
  </conditionalFormatting>
  <conditionalFormatting sqref="D85:D130">
    <cfRule type="colorScale" priority="38">
      <colorScale>
        <cfvo type="min"/>
        <cfvo type="max"/>
        <color rgb="FFFCFCFF"/>
        <color rgb="FFF8696B"/>
      </colorScale>
    </cfRule>
  </conditionalFormatting>
  <conditionalFormatting sqref="E85:E130">
    <cfRule type="colorScale" priority="37">
      <colorScale>
        <cfvo type="min"/>
        <cfvo type="max"/>
        <color rgb="FFFCFCFF"/>
        <color rgb="FFF8696B"/>
      </colorScale>
    </cfRule>
  </conditionalFormatting>
  <conditionalFormatting sqref="B45:B79">
    <cfRule type="colorScale" priority="36">
      <colorScale>
        <cfvo type="min"/>
        <cfvo type="max"/>
        <color rgb="FFFCFCFF"/>
        <color rgb="FFF8696B"/>
      </colorScale>
    </cfRule>
  </conditionalFormatting>
  <conditionalFormatting sqref="C45:C79">
    <cfRule type="colorScale" priority="35">
      <colorScale>
        <cfvo type="min"/>
        <cfvo type="max"/>
        <color rgb="FFFCFCFF"/>
        <color rgb="FFF8696B"/>
      </colorScale>
    </cfRule>
  </conditionalFormatting>
  <conditionalFormatting sqref="D45:D79">
    <cfRule type="colorScale" priority="34">
      <colorScale>
        <cfvo type="min"/>
        <cfvo type="max"/>
        <color rgb="FFFCFCFF"/>
        <color rgb="FFF8696B"/>
      </colorScale>
    </cfRule>
  </conditionalFormatting>
  <conditionalFormatting sqref="E45:E79">
    <cfRule type="colorScale" priority="33">
      <colorScale>
        <cfvo type="min"/>
        <cfvo type="max"/>
        <color rgb="FFFCFCFF"/>
        <color rgb="FFF8696B"/>
      </colorScale>
    </cfRule>
  </conditionalFormatting>
  <conditionalFormatting sqref="BG4:B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45:BG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85:BG1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37:BG18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2">
    <dataValidation type="list" allowBlank="1" showInputMessage="1" showErrorMessage="1" sqref="A1">
      <formula1>"ABS,NET"</formula1>
    </dataValidation>
    <dataValidation type="list" allowBlank="1" showInputMessage="1" showErrorMessage="1" sqref="E1">
      <formula1>"GEX-OI,GEX-VOL,DEX,VOLPRESS,TRUGEX"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756B91-4852-4BB9-84D5-53514BB9C3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Z2:AH2</xm:sqref>
        </x14:conditionalFormatting>
        <x14:conditionalFormatting xmlns:xm="http://schemas.microsoft.com/office/excel/2006/main">
          <x14:cfRule type="dataBar" id="{70FBBBBD-AEF2-4C23-8DB7-77FAA1E33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Z1:AH1</xm:sqref>
        </x14:conditionalFormatting>
        <x14:conditionalFormatting xmlns:xm="http://schemas.microsoft.com/office/excel/2006/main">
          <x14:cfRule type="dataBar" id="{9BD38B5B-FD04-4F23-86FF-65CA58B88A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Z43:AH43</xm:sqref>
        </x14:conditionalFormatting>
        <x14:conditionalFormatting xmlns:xm="http://schemas.microsoft.com/office/excel/2006/main">
          <x14:cfRule type="dataBar" id="{F55B3C41-4249-493A-9904-35131BF44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Z83:AH83</xm:sqref>
        </x14:conditionalFormatting>
        <x14:conditionalFormatting xmlns:xm="http://schemas.microsoft.com/office/excel/2006/main">
          <x14:cfRule type="dataBar" id="{E8745E3C-E615-470A-BF75-D59A7489C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Z135:AH135</xm:sqref>
        </x14:conditionalFormatting>
        <x14:conditionalFormatting xmlns:xm="http://schemas.microsoft.com/office/excel/2006/main">
          <x14:cfRule type="dataBar" id="{347D005F-749D-475B-BA2B-8FFD6FAC2F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Q2:Y2 AI2:AR2</xm:sqref>
        </x14:conditionalFormatting>
        <x14:conditionalFormatting xmlns:xm="http://schemas.microsoft.com/office/excel/2006/main">
          <x14:cfRule type="dataBar" id="{30BDB15D-9E4E-4582-BD62-69FDF3DCD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Q1:Y1 AI1:AR1</xm:sqref>
        </x14:conditionalFormatting>
        <x14:conditionalFormatting xmlns:xm="http://schemas.microsoft.com/office/excel/2006/main">
          <x14:cfRule type="dataBar" id="{AC35B083-9921-45A7-9C15-640992C0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Q43:Y43 AI43:AR43</xm:sqref>
        </x14:conditionalFormatting>
        <x14:conditionalFormatting xmlns:xm="http://schemas.microsoft.com/office/excel/2006/main">
          <x14:cfRule type="dataBar" id="{0284C3E3-1F73-449D-B3B2-6C12BBC8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Q83:Y83 AI83:AR83</xm:sqref>
        </x14:conditionalFormatting>
        <x14:conditionalFormatting xmlns:xm="http://schemas.microsoft.com/office/excel/2006/main">
          <x14:cfRule type="dataBar" id="{D6C08B44-F03F-46FF-92BB-6D0409D76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Q135:Y135 AI135:AR135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90"/>
  <sheetViews>
    <sheetView topLeftCell="A85" zoomScale="80" zoomScaleNormal="80" workbookViewId="0">
      <selection activeCell="AW95" sqref="AW95"/>
    </sheetView>
  </sheetViews>
  <sheetFormatPr baseColWidth="10" defaultColWidth="7.28515625" defaultRowHeight="15" outlineLevelCol="1" x14ac:dyDescent="0.25"/>
  <cols>
    <col min="1" max="1" width="9.140625" style="93" bestFit="1" customWidth="1"/>
    <col min="2" max="2" width="9.85546875" style="93" hidden="1" customWidth="1" outlineLevel="1"/>
    <col min="3" max="3" width="8.42578125" style="93" hidden="1" customWidth="1" outlineLevel="1"/>
    <col min="4" max="10" width="7.7109375" style="93" hidden="1" customWidth="1" outlineLevel="1"/>
    <col min="11" max="11" width="8.42578125" style="93" hidden="1" customWidth="1" outlineLevel="1"/>
    <col min="12" max="24" width="7.7109375" style="93" hidden="1" customWidth="1" outlineLevel="1"/>
    <col min="25" max="25" width="20.42578125" style="93" customWidth="1" collapsed="1"/>
    <col min="26" max="16384" width="7.28515625" style="93"/>
  </cols>
  <sheetData>
    <row r="1" spans="1:25" x14ac:dyDescent="0.25">
      <c r="A1" s="92" t="str">
        <f ca="1">TEXT(IF(HOUR(NOW())&gt;=17,NOW()+1,NOW()),"YYMMDD")</f>
        <v>250512</v>
      </c>
      <c r="B1" s="92" t="str">
        <f ca="1">IF(AND(TEXT(B3,"YYMMDD")&gt;$A$1,TEXT(B3,"YYMMDD")&lt;&gt;Hoja1!$C$2,TEXT(B3,"YYMMDD")&lt;&gt;Hoja1!$D$2),TEXT(B3,"YYMMDD"),"")</f>
        <v/>
      </c>
      <c r="C1" s="92" t="str">
        <f ca="1">IF(AND(TEXT(C3,"YYMMDD")&gt;$A$1,TEXT(C3,"YYMMDD")&lt;&gt;Hoja1!$C$2,TEXT(C3,"YYMMDD")&lt;&gt;Hoja1!$D$2),TEXT(C3,"YYMMDD"),"")</f>
        <v/>
      </c>
      <c r="D1" s="92" t="str">
        <f ca="1">IF(AND(TEXT(D3,"YYMMDD")&gt;$A$1,TEXT(D3,"YYMMDD")&lt;&gt;Hoja1!$C$2,TEXT(D3,"YYMMDD")&lt;&gt;Hoja1!$D$2),TEXT(D3,"YYMMDD"),"")</f>
        <v/>
      </c>
      <c r="E1" s="92" t="str">
        <f ca="1">IF(AND(TEXT(E3,"YYMMDD")&gt;$A$1,TEXT(E3,"YYMMDD")&lt;&gt;Hoja1!$C$2,TEXT(E3,"YYMMDD")&lt;&gt;Hoja1!$D$2),TEXT(E3,"YYMMDD"),"")</f>
        <v/>
      </c>
      <c r="F1" s="92" t="str">
        <f ca="1">IF(AND(TEXT(F3,"YYMMDD")&gt;$A$1,TEXT(F3,"YYMMDD")&lt;&gt;Hoja1!$C$2,TEXT(F3,"YYMMDD")&lt;&gt;Hoja1!$D$2),TEXT(F3,"YYMMDD"),"")</f>
        <v/>
      </c>
      <c r="G1" s="92" t="str">
        <f ca="1">IF(AND(TEXT(G3,"YYMMDD")&gt;$A$1,TEXT(G3,"YYMMDD")&lt;&gt;Hoja1!$C$2,TEXT(G3,"YYMMDD")&lt;&gt;Hoja1!$D$2),TEXT(G3,"YYMMDD"),"")</f>
        <v/>
      </c>
      <c r="H1" s="92" t="str">
        <f ca="1">IF(AND(TEXT(H3,"YYMMDD")&gt;$A$1,TEXT(H3,"YYMMDD")&lt;&gt;Hoja1!$C$2,TEXT(H3,"YYMMDD")&lt;&gt;Hoja1!$D$2),TEXT(H3,"YYMMDD"),"")</f>
        <v>250523</v>
      </c>
      <c r="I1" s="92" t="str">
        <f ca="1">IF(AND(TEXT(I3,"YYMMDD")&gt;$A$1,TEXT(I3,"YYMMDD")&lt;&gt;Hoja1!$C$2,TEXT(I3,"YYMMDD")&lt;&gt;Hoja1!$D$2),TEXT(I3,"YYMMDD"),"")</f>
        <v>250530</v>
      </c>
      <c r="J1" s="92" t="str">
        <f ca="1">IF(AND(TEXT(J3,"YYMMDD")&gt;$A$1,TEXT(J3,"YYMMDD")&lt;&gt;Hoja1!$C$2,TEXT(J3,"YYMMDD")&lt;&gt;Hoja1!$D$2),TEXT(J3,"YYMMDD"),"")</f>
        <v>250606</v>
      </c>
      <c r="K1" s="92" t="str">
        <f ca="1">IF(AND(TEXT(K3,"YYMMDD")&gt;$A$1,TEXT(K3,"YYMMDD")&lt;&gt;Hoja1!$C$2,TEXT(K3,"YYMMDD")&lt;&gt;Hoja1!$D$2),TEXT(K3,"YYMMDD"),"")</f>
        <v>250620</v>
      </c>
      <c r="L1" s="92" t="str">
        <f ca="1">IF(AND(TEXT(L3,"YYMMDD")&gt;$A$1,TEXT(L3,"YYMMDD")&lt;&gt;Hoja1!$C$2,TEXT(L3,"YYMMDD")&lt;&gt;Hoja1!$D$2),TEXT(L3,"YYMMDD"),"")</f>
        <v>250630</v>
      </c>
      <c r="M1" s="92" t="str">
        <f ca="1">IF(AND(TEXT(M3,"YYMMDD")&gt;$A$1,TEXT(M3,"YYMMDD")&lt;&gt;Hoja1!$C$2,TEXT(M3,"YYMMDD")&lt;&gt;Hoja1!$D$2),TEXT(M3,"YYMMDD"),"")</f>
        <v>250718</v>
      </c>
      <c r="N1" s="92" t="str">
        <f ca="1">IF(AND(TEXT(N3,"YYMMDD")&gt;$A$1,TEXT(N3,"YYMMDD")&lt;&gt;Hoja1!$C$2,TEXT(N3,"YYMMDD")&lt;&gt;Hoja1!$D$2),TEXT(N3,"YYMMDD"),"")</f>
        <v>250731</v>
      </c>
      <c r="O1" s="92" t="str">
        <f ca="1">IF(AND(TEXT(O3,"YYMMDD")&gt;$A$1,TEXT(O3,"YYMMDD")&lt;&gt;Hoja1!$C$2,TEXT(O3,"YYMMDD")&lt;&gt;Hoja1!$D$2),TEXT(O3,"YYMMDD"),"")</f>
        <v>250815</v>
      </c>
      <c r="P1" s="92" t="str">
        <f ca="1">IF(AND(TEXT(P3,"YYMMDD")&gt;$A$1,TEXT(P3,"YYMMDD")&lt;&gt;Hoja1!$C$2,TEXT(P3,"YYMMDD")&lt;&gt;Hoja1!$D$2),TEXT(P3,"YYMMDD"),"")</f>
        <v>250829</v>
      </c>
      <c r="Q1" s="92" t="str">
        <f ca="1">IF(AND(TEXT(Q3,"YYMMDD")&gt;$A$1,TEXT(Q3,"YYMMDD")&lt;&gt;Hoja1!$C$2,TEXT(Q3,"YYMMDD")&lt;&gt;Hoja1!$D$2),TEXT(Q3,"YYMMDD"),"")</f>
        <v>250919</v>
      </c>
      <c r="R1" s="92" t="str">
        <f ca="1">IF(AND(TEXT(R3,"YYMMDD")&gt;$A$1,TEXT(R3,"YYMMDD")&lt;&gt;Hoja1!$C$2,TEXT(R3,"YYMMDD")&lt;&gt;Hoja1!$D$2),TEXT(R3,"YYMMDD"),"")</f>
        <v>250930</v>
      </c>
      <c r="S1" s="92" t="str">
        <f ca="1">IF(AND(TEXT(S3,"YYMMDD")&gt;$A$1,TEXT(S3,"YYMMDD")&lt;&gt;Hoja1!$C$2,TEXT(S3,"YYMMDD")&lt;&gt;Hoja1!$D$2),TEXT(S3,"YYMMDD"),"")</f>
        <v>251017</v>
      </c>
      <c r="T1" s="92" t="str">
        <f ca="1">IF(AND(TEXT(T3,"YYMMDD")&gt;$A$1,TEXT(T3,"YYMMDD")&lt;&gt;Hoja1!$C$2,TEXT(T3,"YYMMDD")&lt;&gt;Hoja1!$D$2),TEXT(T3,"YYMMDD"),"")</f>
        <v>251031</v>
      </c>
      <c r="U1" s="92" t="str">
        <f ca="1">IF(AND(TEXT(U3,"YYMMDD")&gt;$A$1,TEXT(U3,"YYMMDD")&lt;&gt;Hoja1!$C$2,TEXT(U3,"YYMMDD")&lt;&gt;Hoja1!$D$2),TEXT(U3,"YYMMDD"),"")</f>
        <v>251121</v>
      </c>
      <c r="V1" s="92" t="str">
        <f ca="1">IF(AND(TEXT(V3,"YYMMDD")&gt;$A$1,TEXT(V3,"YYMMDD")&lt;&gt;Hoja1!$C$2,TEXT(V3,"YYMMDD")&lt;&gt;Hoja1!$D$2),TEXT(V3,"YYMMDD"),"")</f>
        <v>251128</v>
      </c>
      <c r="W1" s="92" t="str">
        <f ca="1">IF(AND(TEXT(W3,"YYMMDD")&gt;$A$1,TEXT(W3,"YYMMDD")&lt;&gt;Hoja1!$C$2,TEXT(W3,"YYMMDD")&lt;&gt;Hoja1!$D$2),TEXT(W3,"YYMMDD"),"")</f>
        <v>251219</v>
      </c>
      <c r="X1" s="92" t="str">
        <f ca="1">IF(AND(TEXT(X3,"YYMMDD")&gt;$A$1,TEXT(X3,"YYMMDD")&lt;&gt;Hoja1!$C$2,TEXT(X3,"YYMMDD")&lt;&gt;Hoja1!$D$2),TEXT(X3,"YYMMDD"),"")</f>
        <v>251231</v>
      </c>
    </row>
    <row r="2" spans="1:25" x14ac:dyDescent="0.25">
      <c r="A2" s="92" t="s">
        <v>7</v>
      </c>
      <c r="B2" s="92" t="str">
        <f>+A3</f>
        <v>SPY</v>
      </c>
      <c r="C2" s="92" t="str">
        <f>+B2</f>
        <v>SPY</v>
      </c>
      <c r="D2" s="92" t="str">
        <f t="shared" ref="D2:K2" si="0">+C2</f>
        <v>SPY</v>
      </c>
      <c r="E2" s="92" t="str">
        <f t="shared" si="0"/>
        <v>SPY</v>
      </c>
      <c r="F2" s="92" t="str">
        <f t="shared" si="0"/>
        <v>SPY</v>
      </c>
      <c r="G2" s="92" t="str">
        <f t="shared" si="0"/>
        <v>SPY</v>
      </c>
      <c r="H2" s="92" t="str">
        <f t="shared" si="0"/>
        <v>SPY</v>
      </c>
      <c r="I2" s="92" t="str">
        <f t="shared" si="0"/>
        <v>SPY</v>
      </c>
      <c r="J2" s="92" t="str">
        <f t="shared" si="0"/>
        <v>SPY</v>
      </c>
      <c r="K2" s="92" t="str">
        <f t="shared" si="0"/>
        <v>SPY</v>
      </c>
      <c r="L2" s="92" t="str">
        <f t="shared" ref="L2" si="1">+K2</f>
        <v>SPY</v>
      </c>
      <c r="M2" s="92" t="str">
        <f t="shared" ref="M2:X2" si="2">+K2</f>
        <v>SPY</v>
      </c>
      <c r="N2" s="92" t="str">
        <f t="shared" si="2"/>
        <v>SPY</v>
      </c>
      <c r="O2" s="92" t="str">
        <f t="shared" si="2"/>
        <v>SPY</v>
      </c>
      <c r="P2" s="92" t="str">
        <f t="shared" si="2"/>
        <v>SPY</v>
      </c>
      <c r="Q2" s="92" t="str">
        <f t="shared" si="2"/>
        <v>SPY</v>
      </c>
      <c r="R2" s="92" t="str">
        <f t="shared" si="2"/>
        <v>SPY</v>
      </c>
      <c r="S2" s="92" t="str">
        <f t="shared" si="2"/>
        <v>SPY</v>
      </c>
      <c r="T2" s="92" t="str">
        <f t="shared" si="2"/>
        <v>SPY</v>
      </c>
      <c r="U2" s="92" t="str">
        <f t="shared" si="2"/>
        <v>SPY</v>
      </c>
      <c r="V2" s="92" t="str">
        <f t="shared" si="2"/>
        <v>SPY</v>
      </c>
      <c r="W2" s="92" t="str">
        <f t="shared" si="2"/>
        <v>SPY</v>
      </c>
      <c r="X2" s="92" t="str">
        <f t="shared" si="2"/>
        <v>SPY</v>
      </c>
    </row>
    <row r="3" spans="1:25" x14ac:dyDescent="0.25">
      <c r="A3" s="92" t="str">
        <f>+Hoja1!A2</f>
        <v>SPY</v>
      </c>
      <c r="B3" s="94">
        <v>45782</v>
      </c>
      <c r="C3" s="94">
        <f>+B3+1</f>
        <v>45783</v>
      </c>
      <c r="D3" s="94">
        <f>+C3+1</f>
        <v>45784</v>
      </c>
      <c r="E3" s="94">
        <f>+D3+1</f>
        <v>45785</v>
      </c>
      <c r="F3" s="94">
        <f>+E3+1</f>
        <v>45786</v>
      </c>
      <c r="G3" s="94">
        <f>+F3+7</f>
        <v>45793</v>
      </c>
      <c r="H3" s="94">
        <f>+G3+7</f>
        <v>45800</v>
      </c>
      <c r="I3" s="94">
        <f>+H3+7</f>
        <v>45807</v>
      </c>
      <c r="J3" s="94">
        <f>+I3+7</f>
        <v>45814</v>
      </c>
      <c r="K3" s="94">
        <v>45828</v>
      </c>
      <c r="L3" s="94">
        <v>45838</v>
      </c>
      <c r="M3" s="94">
        <f>+K3+7+7+7+7</f>
        <v>45856</v>
      </c>
      <c r="N3" s="94">
        <v>45869</v>
      </c>
      <c r="O3" s="94">
        <f>+M3+7+7+7+7</f>
        <v>45884</v>
      </c>
      <c r="P3" s="94">
        <v>45898</v>
      </c>
      <c r="Q3" s="94">
        <f>+O3+7+7+7+7+7</f>
        <v>45919</v>
      </c>
      <c r="R3" s="94">
        <v>45930</v>
      </c>
      <c r="S3" s="94">
        <f>+Q3+7+7+7+7</f>
        <v>45947</v>
      </c>
      <c r="T3" s="94">
        <v>45961</v>
      </c>
      <c r="U3" s="94">
        <f>+S3+7+7+7+7+7</f>
        <v>45982</v>
      </c>
      <c r="V3" s="94">
        <v>45989</v>
      </c>
      <c r="W3" s="94">
        <f>+U3+7+7+7+7</f>
        <v>46010</v>
      </c>
      <c r="X3" s="94">
        <v>46022</v>
      </c>
    </row>
    <row r="4" spans="1:25" x14ac:dyDescent="0.25">
      <c r="A4" s="92">
        <f>+Hoja1!A3</f>
        <v>571.11</v>
      </c>
      <c r="B4" s="92"/>
      <c r="C4" s="92"/>
      <c r="D4" s="92"/>
    </row>
    <row r="5" spans="1:25" x14ac:dyDescent="0.25">
      <c r="A5" s="92">
        <f>+Hoja1!A4</f>
        <v>582</v>
      </c>
      <c r="B5" s="91">
        <f ca="1">IF(RTD("tos.rtd",,$A$2,"."&amp;B$2&amp;B$1&amp;"C"&amp;$A5)="N/A",0,RTD("tos.rtd",,$A$2,"."&amp;B$2&amp;B$1&amp;"C"&amp;$A5))-IF(RTD("tos.rtd",,$A$2,"."&amp;B$2&amp;B$1&amp;"P"&amp;$A5)="N/A",0,RTD("tos.rtd",,$A$2,"."&amp;B$2&amp;B$1&amp;"P"&amp;$A5))</f>
        <v>0</v>
      </c>
      <c r="C5" s="91">
        <f ca="1">IF(RTD("tos.rtd",,$A$2,"."&amp;C$2&amp;C$1&amp;"C"&amp;$A5)="N/A",0,RTD("tos.rtd",,$A$2,"."&amp;C$2&amp;C$1&amp;"C"&amp;$A5))-IF(RTD("tos.rtd",,$A$2,"."&amp;C$2&amp;C$1&amp;"P"&amp;$A5)="N/A",0,RTD("tos.rtd",,$A$2,"."&amp;C$2&amp;C$1&amp;"P"&amp;$A5))</f>
        <v>0</v>
      </c>
      <c r="D5" s="91">
        <f ca="1">IF(RTD("tos.rtd",,$A$2,"."&amp;D$2&amp;D$1&amp;"C"&amp;$A5)="N/A",0,RTD("tos.rtd",,$A$2,"."&amp;D$2&amp;D$1&amp;"C"&amp;$A5))-IF(RTD("tos.rtd",,$A$2,"."&amp;D$2&amp;D$1&amp;"P"&amp;$A5)="N/A",0,RTD("tos.rtd",,$A$2,"."&amp;D$2&amp;D$1&amp;"P"&amp;$A5))</f>
        <v>0</v>
      </c>
      <c r="E5" s="91">
        <f ca="1">IF(RTD("tos.rtd",,$A$2,"."&amp;E$2&amp;E$1&amp;"C"&amp;$A5)="N/A",0,RTD("tos.rtd",,$A$2,"."&amp;E$2&amp;E$1&amp;"C"&amp;$A5))-IF(RTD("tos.rtd",,$A$2,"."&amp;E$2&amp;E$1&amp;"P"&amp;$A5)="N/A",0,RTD("tos.rtd",,$A$2,"."&amp;E$2&amp;E$1&amp;"P"&amp;$A5))</f>
        <v>0</v>
      </c>
      <c r="F5" s="91">
        <f ca="1">IF(RTD("tos.rtd",,$A$2,"."&amp;F$2&amp;F$1&amp;"C"&amp;$A5)="N/A",0,RTD("tos.rtd",,$A$2,"."&amp;F$2&amp;F$1&amp;"C"&amp;$A5))-IF(RTD("tos.rtd",,$A$2,"."&amp;F$2&amp;F$1&amp;"P"&amp;$A5)="N/A",0,RTD("tos.rtd",,$A$2,"."&amp;F$2&amp;F$1&amp;"P"&amp;$A5))</f>
        <v>0</v>
      </c>
      <c r="G5" s="91">
        <f ca="1">IF(RTD("tos.rtd",,$A$2,"."&amp;G$2&amp;G$1&amp;"C"&amp;$A5)="N/A",0,RTD("tos.rtd",,$A$2,"."&amp;G$2&amp;G$1&amp;"C"&amp;$A5))-IF(RTD("tos.rtd",,$A$2,"."&amp;G$2&amp;G$1&amp;"P"&amp;$A5)="N/A",0,RTD("tos.rtd",,$A$2,"."&amp;G$2&amp;G$1&amp;"P"&amp;$A5))</f>
        <v>0</v>
      </c>
      <c r="H5" s="91">
        <f ca="1">IF(RTD("tos.rtd",,$A$2,"."&amp;H$2&amp;H$1&amp;"C"&amp;$A5)="N/A",0,RTD("tos.rtd",,$A$2,"."&amp;H$2&amp;H$1&amp;"C"&amp;$A5))-IF(RTD("tos.rtd",,$A$2,"."&amp;H$2&amp;H$1&amp;"P"&amp;$A5)="N/A",0,RTD("tos.rtd",,$A$2,"."&amp;H$2&amp;H$1&amp;"P"&amp;$A5))</f>
        <v>287</v>
      </c>
      <c r="I5" s="91">
        <f ca="1">IF(RTD("tos.rtd",,$A$2,"."&amp;I$2&amp;I$1&amp;"C"&amp;$A5)="N/A",0,RTD("tos.rtd",,$A$2,"."&amp;I$2&amp;I$1&amp;"C"&amp;$A5))-IF(RTD("tos.rtd",,$A$2,"."&amp;I$2&amp;I$1&amp;"P"&amp;$A5)="N/A",0,RTD("tos.rtd",,$A$2,"."&amp;I$2&amp;I$1&amp;"P"&amp;$A5))</f>
        <v>282</v>
      </c>
      <c r="J5" s="91">
        <f ca="1">IF(RTD("tos.rtd",,$A$2,"."&amp;J$2&amp;J$1&amp;"C"&amp;$A5)="N/A",0,RTD("tos.rtd",,$A$2,"."&amp;J$2&amp;J$1&amp;"C"&amp;$A5))-IF(RTD("tos.rtd",,$A$2,"."&amp;J$2&amp;J$1&amp;"P"&amp;$A5)="N/A",0,RTD("tos.rtd",,$A$2,"."&amp;J$2&amp;J$1&amp;"P"&amp;$A5))</f>
        <v>62</v>
      </c>
      <c r="K5" s="91">
        <f ca="1">IF(RTD("tos.rtd",,$A$2,"."&amp;K$2&amp;K$1&amp;"C"&amp;$A5)="N/A",0,RTD("tos.rtd",,$A$2,"."&amp;K$2&amp;K$1&amp;"C"&amp;$A5))-IF(RTD("tos.rtd",,$A$2,"."&amp;K$2&amp;K$1&amp;"P"&amp;$A5)="N/A",0,RTD("tos.rtd",,$A$2,"."&amp;K$2&amp;K$1&amp;"P"&amp;$A5))</f>
        <v>273</v>
      </c>
      <c r="L5" s="91">
        <f ca="1">IF(RTD("tos.rtd",,$A$2,"."&amp;L$2&amp;L$1&amp;"C"&amp;$A5)="N/A",0,RTD("tos.rtd",,$A$2,"."&amp;L$2&amp;L$1&amp;"C"&amp;$A5))-IF(RTD("tos.rtd",,$A$2,"."&amp;L$2&amp;L$1&amp;"P"&amp;$A5)="N/A",0,RTD("tos.rtd",,$A$2,"."&amp;L$2&amp;L$1&amp;"P"&amp;$A5))</f>
        <v>9</v>
      </c>
      <c r="M5" s="91">
        <f ca="1">IF(RTD("tos.rtd",,$A$2,"."&amp;M$2&amp;M$1&amp;"C"&amp;$A5)="N/A",0,RTD("tos.rtd",,$A$2,"."&amp;M$2&amp;M$1&amp;"C"&amp;$A5))-IF(RTD("tos.rtd",,$A$2,"."&amp;M$2&amp;M$1&amp;"P"&amp;$A5)="N/A",0,RTD("tos.rtd",,$A$2,"."&amp;M$2&amp;M$1&amp;"P"&amp;$A5))</f>
        <v>0</v>
      </c>
      <c r="N5" s="91">
        <f ca="1">IF(RTD("tos.rtd",,$A$2,"."&amp;N$2&amp;N$1&amp;"C"&amp;$A5)="N/A",0,RTD("tos.rtd",,$A$2,"."&amp;N$2&amp;N$1&amp;"C"&amp;$A5))-IF(RTD("tos.rtd",,$A$2,"."&amp;N$2&amp;N$1&amp;"P"&amp;$A5)="N/A",0,RTD("tos.rtd",,$A$2,"."&amp;N$2&amp;N$1&amp;"P"&amp;$A5))</f>
        <v>0</v>
      </c>
      <c r="O5" s="91">
        <f ca="1">IF(RTD("tos.rtd",,$A$2,"."&amp;O$2&amp;O$1&amp;"C"&amp;$A5)="N/A",0,RTD("tos.rtd",,$A$2,"."&amp;O$2&amp;O$1&amp;"C"&amp;$A5))-IF(RTD("tos.rtd",,$A$2,"."&amp;O$2&amp;O$1&amp;"P"&amp;$A5)="N/A",0,RTD("tos.rtd",,$A$2,"."&amp;O$2&amp;O$1&amp;"P"&amp;$A5))</f>
        <v>0</v>
      </c>
      <c r="P5" s="91">
        <f ca="1">IF(RTD("tos.rtd",,$A$2,"."&amp;P$2&amp;P$1&amp;"C"&amp;$A5)="N/A",0,RTD("tos.rtd",,$A$2,"."&amp;P$2&amp;P$1&amp;"C"&amp;$A5))-IF(RTD("tos.rtd",,$A$2,"."&amp;P$2&amp;P$1&amp;"P"&amp;$A5)="N/A",0,RTD("tos.rtd",,$A$2,"."&amp;P$2&amp;P$1&amp;"P"&amp;$A5))</f>
        <v>34</v>
      </c>
      <c r="Q5" s="91">
        <f ca="1">IF(RTD("tos.rtd",,$A$2,"."&amp;Q$2&amp;Q$1&amp;"C"&amp;$A5)="N/A",0,RTD("tos.rtd",,$A$2,"."&amp;Q$2&amp;Q$1&amp;"C"&amp;$A5))-IF(RTD("tos.rtd",,$A$2,"."&amp;Q$2&amp;Q$1&amp;"P"&amp;$A5)="N/A",0,RTD("tos.rtd",,$A$2,"."&amp;Q$2&amp;Q$1&amp;"P"&amp;$A5))</f>
        <v>0</v>
      </c>
      <c r="R5" s="91">
        <f ca="1">IF(RTD("tos.rtd",,$A$2,"."&amp;R$2&amp;R$1&amp;"C"&amp;$A5)="N/A",0,RTD("tos.rtd",,$A$2,"."&amp;R$2&amp;R$1&amp;"C"&amp;$A5))-IF(RTD("tos.rtd",,$A$2,"."&amp;R$2&amp;R$1&amp;"P"&amp;$A5)="N/A",0,RTD("tos.rtd",,$A$2,"."&amp;R$2&amp;R$1&amp;"P"&amp;$A5))</f>
        <v>0</v>
      </c>
      <c r="S5" s="91">
        <f ca="1">IF(RTD("tos.rtd",,$A$2,"."&amp;S$2&amp;S$1&amp;"C"&amp;$A5)="N/A",0,RTD("tos.rtd",,$A$2,"."&amp;S$2&amp;S$1&amp;"C"&amp;$A5))-IF(RTD("tos.rtd",,$A$2,"."&amp;S$2&amp;S$1&amp;"P"&amp;$A5)="N/A",0,RTD("tos.rtd",,$A$2,"."&amp;S$2&amp;S$1&amp;"P"&amp;$A5))</f>
        <v>0</v>
      </c>
      <c r="T5" s="91">
        <f ca="1">IF(RTD("tos.rtd",,$A$2,"."&amp;T$2&amp;T$1&amp;"C"&amp;$A5)="N/A",0,RTD("tos.rtd",,$A$2,"."&amp;T$2&amp;T$1&amp;"C"&amp;$A5))-IF(RTD("tos.rtd",,$A$2,"."&amp;T$2&amp;T$1&amp;"P"&amp;$A5)="N/A",0,RTD("tos.rtd",,$A$2,"."&amp;T$2&amp;T$1&amp;"P"&amp;$A5))</f>
        <v>0</v>
      </c>
      <c r="U5" s="91">
        <f ca="1">IF(RTD("tos.rtd",,$A$2,"."&amp;U$2&amp;U$1&amp;"C"&amp;$A5)="N/A",0,RTD("tos.rtd",,$A$2,"."&amp;U$2&amp;U$1&amp;"C"&amp;$A5))-IF(RTD("tos.rtd",,$A$2,"."&amp;U$2&amp;U$1&amp;"P"&amp;$A5)="N/A",0,RTD("tos.rtd",,$A$2,"."&amp;U$2&amp;U$1&amp;"P"&amp;$A5))</f>
        <v>0</v>
      </c>
      <c r="V5" s="91">
        <f ca="1">IF(RTD("tos.rtd",,$A$2,"."&amp;V$2&amp;V$1&amp;"C"&amp;$A5)="N/A",0,RTD("tos.rtd",,$A$2,"."&amp;V$2&amp;V$1&amp;"C"&amp;$A5))-IF(RTD("tos.rtd",,$A$2,"."&amp;V$2&amp;V$1&amp;"P"&amp;$A5)="N/A",0,RTD("tos.rtd",,$A$2,"."&amp;V$2&amp;V$1&amp;"P"&amp;$A5))</f>
        <v>0</v>
      </c>
      <c r="W5" s="91">
        <f ca="1">IF(RTD("tos.rtd",,$A$2,"."&amp;W$2&amp;W$1&amp;"C"&amp;$A5)="N/A",0,RTD("tos.rtd",,$A$2,"."&amp;W$2&amp;W$1&amp;"C"&amp;$A5))-IF(RTD("tos.rtd",,$A$2,"."&amp;W$2&amp;W$1&amp;"P"&amp;$A5)="N/A",0,RTD("tos.rtd",,$A$2,"."&amp;W$2&amp;W$1&amp;"P"&amp;$A5))</f>
        <v>0</v>
      </c>
      <c r="X5" s="91">
        <f ca="1">IF(RTD("tos.rtd",,$A$2,"."&amp;X$2&amp;X$1&amp;"C"&amp;$A5)="N/A",0,RTD("tos.rtd",,$A$2,"."&amp;X$2&amp;X$1&amp;"C"&amp;$A5))-IF(RTD("tos.rtd",,$A$2,"."&amp;X$2&amp;X$1&amp;"P"&amp;$A5)="N/A",0,RTD("tos.rtd",,$A$2,"."&amp;X$2&amp;X$1&amp;"P"&amp;$A5))</f>
        <v>0</v>
      </c>
      <c r="Y5" s="98">
        <f ca="1">SUM(B5:X5)</f>
        <v>947</v>
      </c>
    </row>
    <row r="6" spans="1:25" x14ac:dyDescent="0.25">
      <c r="A6" s="92">
        <f>+Hoja1!A5</f>
        <v>581</v>
      </c>
      <c r="B6" s="91">
        <f ca="1">IF(RTD("tos.rtd",,$A$2,"."&amp;B$2&amp;B$1&amp;"C"&amp;$A6)="N/A",0,RTD("tos.rtd",,$A$2,"."&amp;B$2&amp;B$1&amp;"C"&amp;$A6))-IF(RTD("tos.rtd",,$A$2,"."&amp;B$2&amp;B$1&amp;"P"&amp;$A6)="N/A",0,RTD("tos.rtd",,$A$2,"."&amp;B$2&amp;B$1&amp;"P"&amp;$A6))</f>
        <v>0</v>
      </c>
      <c r="C6" s="91">
        <f ca="1">IF(RTD("tos.rtd",,$A$2,"."&amp;C$2&amp;C$1&amp;"C"&amp;$A6)="N/A",0,RTD("tos.rtd",,$A$2,"."&amp;C$2&amp;C$1&amp;"C"&amp;$A6))-IF(RTD("tos.rtd",,$A$2,"."&amp;C$2&amp;C$1&amp;"P"&amp;$A6)="N/A",0,RTD("tos.rtd",,$A$2,"."&amp;C$2&amp;C$1&amp;"P"&amp;$A6))</f>
        <v>0</v>
      </c>
      <c r="D6" s="91">
        <f ca="1">IF(RTD("tos.rtd",,$A$2,"."&amp;D$2&amp;D$1&amp;"C"&amp;$A6)="N/A",0,RTD("tos.rtd",,$A$2,"."&amp;D$2&amp;D$1&amp;"C"&amp;$A6))-IF(RTD("tos.rtd",,$A$2,"."&amp;D$2&amp;D$1&amp;"P"&amp;$A6)="N/A",0,RTD("tos.rtd",,$A$2,"."&amp;D$2&amp;D$1&amp;"P"&amp;$A6))</f>
        <v>0</v>
      </c>
      <c r="E6" s="91">
        <f ca="1">IF(RTD("tos.rtd",,$A$2,"."&amp;E$2&amp;E$1&amp;"C"&amp;$A6)="N/A",0,RTD("tos.rtd",,$A$2,"."&amp;E$2&amp;E$1&amp;"C"&amp;$A6))-IF(RTD("tos.rtd",,$A$2,"."&amp;E$2&amp;E$1&amp;"P"&amp;$A6)="N/A",0,RTD("tos.rtd",,$A$2,"."&amp;E$2&amp;E$1&amp;"P"&amp;$A6))</f>
        <v>0</v>
      </c>
      <c r="F6" s="91">
        <f ca="1">IF(RTD("tos.rtd",,$A$2,"."&amp;F$2&amp;F$1&amp;"C"&amp;$A6)="N/A",0,RTD("tos.rtd",,$A$2,"."&amp;F$2&amp;F$1&amp;"C"&amp;$A6))-IF(RTD("tos.rtd",,$A$2,"."&amp;F$2&amp;F$1&amp;"P"&amp;$A6)="N/A",0,RTD("tos.rtd",,$A$2,"."&amp;F$2&amp;F$1&amp;"P"&amp;$A6))</f>
        <v>0</v>
      </c>
      <c r="G6" s="91">
        <f ca="1">IF(RTD("tos.rtd",,$A$2,"."&amp;G$2&amp;G$1&amp;"C"&amp;$A6)="N/A",0,RTD("tos.rtd",,$A$2,"."&amp;G$2&amp;G$1&amp;"C"&amp;$A6))-IF(RTD("tos.rtd",,$A$2,"."&amp;G$2&amp;G$1&amp;"P"&amp;$A6)="N/A",0,RTD("tos.rtd",,$A$2,"."&amp;G$2&amp;G$1&amp;"P"&amp;$A6))</f>
        <v>0</v>
      </c>
      <c r="H6" s="91">
        <f ca="1">IF(RTD("tos.rtd",,$A$2,"."&amp;H$2&amp;H$1&amp;"C"&amp;$A6)="N/A",0,RTD("tos.rtd",,$A$2,"."&amp;H$2&amp;H$1&amp;"C"&amp;$A6))-IF(RTD("tos.rtd",,$A$2,"."&amp;H$2&amp;H$1&amp;"P"&amp;$A6)="N/A",0,RTD("tos.rtd",,$A$2,"."&amp;H$2&amp;H$1&amp;"P"&amp;$A6))</f>
        <v>315</v>
      </c>
      <c r="I6" s="91">
        <f ca="1">IF(RTD("tos.rtd",,$A$2,"."&amp;I$2&amp;I$1&amp;"C"&amp;$A6)="N/A",0,RTD("tos.rtd",,$A$2,"."&amp;I$2&amp;I$1&amp;"C"&amp;$A6))-IF(RTD("tos.rtd",,$A$2,"."&amp;I$2&amp;I$1&amp;"P"&amp;$A6)="N/A",0,RTD("tos.rtd",,$A$2,"."&amp;I$2&amp;I$1&amp;"P"&amp;$A6))</f>
        <v>655</v>
      </c>
      <c r="J6" s="91">
        <f ca="1">IF(RTD("tos.rtd",,$A$2,"."&amp;J$2&amp;J$1&amp;"C"&amp;$A6)="N/A",0,RTD("tos.rtd",,$A$2,"."&amp;J$2&amp;J$1&amp;"C"&amp;$A6))-IF(RTD("tos.rtd",,$A$2,"."&amp;J$2&amp;J$1&amp;"P"&amp;$A6)="N/A",0,RTD("tos.rtd",,$A$2,"."&amp;J$2&amp;J$1&amp;"P"&amp;$A6))</f>
        <v>55</v>
      </c>
      <c r="K6" s="91">
        <f ca="1">IF(RTD("tos.rtd",,$A$2,"."&amp;K$2&amp;K$1&amp;"C"&amp;$A6)="N/A",0,RTD("tos.rtd",,$A$2,"."&amp;K$2&amp;K$1&amp;"C"&amp;$A6))-IF(RTD("tos.rtd",,$A$2,"."&amp;K$2&amp;K$1&amp;"P"&amp;$A6)="N/A",0,RTD("tos.rtd",,$A$2,"."&amp;K$2&amp;K$1&amp;"P"&amp;$A6))</f>
        <v>518</v>
      </c>
      <c r="L6" s="91">
        <f ca="1">IF(RTD("tos.rtd",,$A$2,"."&amp;L$2&amp;L$1&amp;"C"&amp;$A6)="N/A",0,RTD("tos.rtd",,$A$2,"."&amp;L$2&amp;L$1&amp;"C"&amp;$A6))-IF(RTD("tos.rtd",,$A$2,"."&amp;L$2&amp;L$1&amp;"P"&amp;$A6)="N/A",0,RTD("tos.rtd",,$A$2,"."&amp;L$2&amp;L$1&amp;"P"&amp;$A6))</f>
        <v>92</v>
      </c>
      <c r="M6" s="91">
        <f ca="1">IF(RTD("tos.rtd",,$A$2,"."&amp;M$2&amp;M$1&amp;"C"&amp;$A6)="N/A",0,RTD("tos.rtd",,$A$2,"."&amp;M$2&amp;M$1&amp;"C"&amp;$A6))-IF(RTD("tos.rtd",,$A$2,"."&amp;M$2&amp;M$1&amp;"P"&amp;$A6)="N/A",0,RTD("tos.rtd",,$A$2,"."&amp;M$2&amp;M$1&amp;"P"&amp;$A6))</f>
        <v>0</v>
      </c>
      <c r="N6" s="91">
        <f ca="1">IF(RTD("tos.rtd",,$A$2,"."&amp;N$2&amp;N$1&amp;"C"&amp;$A6)="N/A",0,RTD("tos.rtd",,$A$2,"."&amp;N$2&amp;N$1&amp;"C"&amp;$A6))-IF(RTD("tos.rtd",,$A$2,"."&amp;N$2&amp;N$1&amp;"P"&amp;$A6)="N/A",0,RTD("tos.rtd",,$A$2,"."&amp;N$2&amp;N$1&amp;"P"&amp;$A6))</f>
        <v>11</v>
      </c>
      <c r="O6" s="91">
        <f ca="1">IF(RTD("tos.rtd",,$A$2,"."&amp;O$2&amp;O$1&amp;"C"&amp;$A6)="N/A",0,RTD("tos.rtd",,$A$2,"."&amp;O$2&amp;O$1&amp;"C"&amp;$A6))-IF(RTD("tos.rtd",,$A$2,"."&amp;O$2&amp;O$1&amp;"P"&amp;$A6)="N/A",0,RTD("tos.rtd",,$A$2,"."&amp;O$2&amp;O$1&amp;"P"&amp;$A6))</f>
        <v>0</v>
      </c>
      <c r="P6" s="91">
        <f ca="1">IF(RTD("tos.rtd",,$A$2,"."&amp;P$2&amp;P$1&amp;"C"&amp;$A6)="N/A",0,RTD("tos.rtd",,$A$2,"."&amp;P$2&amp;P$1&amp;"C"&amp;$A6))-IF(RTD("tos.rtd",,$A$2,"."&amp;P$2&amp;P$1&amp;"P"&amp;$A6)="N/A",0,RTD("tos.rtd",,$A$2,"."&amp;P$2&amp;P$1&amp;"P"&amp;$A6))</f>
        <v>2</v>
      </c>
      <c r="Q6" s="91">
        <f ca="1">IF(RTD("tos.rtd",,$A$2,"."&amp;Q$2&amp;Q$1&amp;"C"&amp;$A6)="N/A",0,RTD("tos.rtd",,$A$2,"."&amp;Q$2&amp;Q$1&amp;"C"&amp;$A6))-IF(RTD("tos.rtd",,$A$2,"."&amp;Q$2&amp;Q$1&amp;"P"&amp;$A6)="N/A",0,RTD("tos.rtd",,$A$2,"."&amp;Q$2&amp;Q$1&amp;"P"&amp;$A6))</f>
        <v>0</v>
      </c>
      <c r="R6" s="91">
        <f ca="1">IF(RTD("tos.rtd",,$A$2,"."&amp;R$2&amp;R$1&amp;"C"&amp;$A6)="N/A",0,RTD("tos.rtd",,$A$2,"."&amp;R$2&amp;R$1&amp;"C"&amp;$A6))-IF(RTD("tos.rtd",,$A$2,"."&amp;R$2&amp;R$1&amp;"P"&amp;$A6)="N/A",0,RTD("tos.rtd",,$A$2,"."&amp;R$2&amp;R$1&amp;"P"&amp;$A6))</f>
        <v>0</v>
      </c>
      <c r="S6" s="91">
        <f ca="1">IF(RTD("tos.rtd",,$A$2,"."&amp;S$2&amp;S$1&amp;"C"&amp;$A6)="N/A",0,RTD("tos.rtd",,$A$2,"."&amp;S$2&amp;S$1&amp;"C"&amp;$A6))-IF(RTD("tos.rtd",,$A$2,"."&amp;S$2&amp;S$1&amp;"P"&amp;$A6)="N/A",0,RTD("tos.rtd",,$A$2,"."&amp;S$2&amp;S$1&amp;"P"&amp;$A6))</f>
        <v>0</v>
      </c>
      <c r="T6" s="91">
        <f ca="1">IF(RTD("tos.rtd",,$A$2,"."&amp;T$2&amp;T$1&amp;"C"&amp;$A6)="N/A",0,RTD("tos.rtd",,$A$2,"."&amp;T$2&amp;T$1&amp;"C"&amp;$A6))-IF(RTD("tos.rtd",,$A$2,"."&amp;T$2&amp;T$1&amp;"P"&amp;$A6)="N/A",0,RTD("tos.rtd",,$A$2,"."&amp;T$2&amp;T$1&amp;"P"&amp;$A6))</f>
        <v>0</v>
      </c>
      <c r="U6" s="91">
        <f ca="1">IF(RTD("tos.rtd",,$A$2,"."&amp;U$2&amp;U$1&amp;"C"&amp;$A6)="N/A",0,RTD("tos.rtd",,$A$2,"."&amp;U$2&amp;U$1&amp;"C"&amp;$A6))-IF(RTD("tos.rtd",,$A$2,"."&amp;U$2&amp;U$1&amp;"P"&amp;$A6)="N/A",0,RTD("tos.rtd",,$A$2,"."&amp;U$2&amp;U$1&amp;"P"&amp;$A6))</f>
        <v>0</v>
      </c>
      <c r="V6" s="91">
        <f ca="1">IF(RTD("tos.rtd",,$A$2,"."&amp;V$2&amp;V$1&amp;"C"&amp;$A6)="N/A",0,RTD("tos.rtd",,$A$2,"."&amp;V$2&amp;V$1&amp;"C"&amp;$A6))-IF(RTD("tos.rtd",,$A$2,"."&amp;V$2&amp;V$1&amp;"P"&amp;$A6)="N/A",0,RTD("tos.rtd",,$A$2,"."&amp;V$2&amp;V$1&amp;"P"&amp;$A6))</f>
        <v>0</v>
      </c>
      <c r="W6" s="91">
        <f ca="1">IF(RTD("tos.rtd",,$A$2,"."&amp;W$2&amp;W$1&amp;"C"&amp;$A6)="N/A",0,RTD("tos.rtd",,$A$2,"."&amp;W$2&amp;W$1&amp;"C"&amp;$A6))-IF(RTD("tos.rtd",,$A$2,"."&amp;W$2&amp;W$1&amp;"P"&amp;$A6)="N/A",0,RTD("tos.rtd",,$A$2,"."&amp;W$2&amp;W$1&amp;"P"&amp;$A6))</f>
        <v>0</v>
      </c>
      <c r="X6" s="91">
        <f ca="1">IF(RTD("tos.rtd",,$A$2,"."&amp;X$2&amp;X$1&amp;"C"&amp;$A6)="N/A",0,RTD("tos.rtd",,$A$2,"."&amp;X$2&amp;X$1&amp;"C"&amp;$A6))-IF(RTD("tos.rtd",,$A$2,"."&amp;X$2&amp;X$1&amp;"P"&amp;$A6)="N/A",0,RTD("tos.rtd",,$A$2,"."&amp;X$2&amp;X$1&amp;"P"&amp;$A6))</f>
        <v>2</v>
      </c>
      <c r="Y6" s="98">
        <f t="shared" ref="Y6:Y39" ca="1" si="3">SUM(B6:X6)</f>
        <v>1650</v>
      </c>
    </row>
    <row r="7" spans="1:25" x14ac:dyDescent="0.25">
      <c r="A7" s="92">
        <f>+Hoja1!A6</f>
        <v>580</v>
      </c>
      <c r="B7" s="91">
        <f ca="1">IF(RTD("tos.rtd",,$A$2,"."&amp;B$2&amp;B$1&amp;"C"&amp;$A7)="N/A",0,RTD("tos.rtd",,$A$2,"."&amp;B$2&amp;B$1&amp;"C"&amp;$A7))-IF(RTD("tos.rtd",,$A$2,"."&amp;B$2&amp;B$1&amp;"P"&amp;$A7)="N/A",0,RTD("tos.rtd",,$A$2,"."&amp;B$2&amp;B$1&amp;"P"&amp;$A7))</f>
        <v>0</v>
      </c>
      <c r="C7" s="91">
        <f ca="1">IF(RTD("tos.rtd",,$A$2,"."&amp;C$2&amp;C$1&amp;"C"&amp;$A7)="N/A",0,RTD("tos.rtd",,$A$2,"."&amp;C$2&amp;C$1&amp;"C"&amp;$A7))-IF(RTD("tos.rtd",,$A$2,"."&amp;C$2&amp;C$1&amp;"P"&amp;$A7)="N/A",0,RTD("tos.rtd",,$A$2,"."&amp;C$2&amp;C$1&amp;"P"&amp;$A7))</f>
        <v>0</v>
      </c>
      <c r="D7" s="91">
        <f ca="1">IF(RTD("tos.rtd",,$A$2,"."&amp;D$2&amp;D$1&amp;"C"&amp;$A7)="N/A",0,RTD("tos.rtd",,$A$2,"."&amp;D$2&amp;D$1&amp;"C"&amp;$A7))-IF(RTD("tos.rtd",,$A$2,"."&amp;D$2&amp;D$1&amp;"P"&amp;$A7)="N/A",0,RTD("tos.rtd",,$A$2,"."&amp;D$2&amp;D$1&amp;"P"&amp;$A7))</f>
        <v>0</v>
      </c>
      <c r="E7" s="91">
        <f ca="1">IF(RTD("tos.rtd",,$A$2,"."&amp;E$2&amp;E$1&amp;"C"&amp;$A7)="N/A",0,RTD("tos.rtd",,$A$2,"."&amp;E$2&amp;E$1&amp;"C"&amp;$A7))-IF(RTD("tos.rtd",,$A$2,"."&amp;E$2&amp;E$1&amp;"P"&amp;$A7)="N/A",0,RTD("tos.rtd",,$A$2,"."&amp;E$2&amp;E$1&amp;"P"&amp;$A7))</f>
        <v>0</v>
      </c>
      <c r="F7" s="91">
        <f ca="1">IF(RTD("tos.rtd",,$A$2,"."&amp;F$2&amp;F$1&amp;"C"&amp;$A7)="N/A",0,RTD("tos.rtd",,$A$2,"."&amp;F$2&amp;F$1&amp;"C"&amp;$A7))-IF(RTD("tos.rtd",,$A$2,"."&amp;F$2&amp;F$1&amp;"P"&amp;$A7)="N/A",0,RTD("tos.rtd",,$A$2,"."&amp;F$2&amp;F$1&amp;"P"&amp;$A7))</f>
        <v>0</v>
      </c>
      <c r="G7" s="91">
        <f ca="1">IF(RTD("tos.rtd",,$A$2,"."&amp;G$2&amp;G$1&amp;"C"&amp;$A7)="N/A",0,RTD("tos.rtd",,$A$2,"."&amp;G$2&amp;G$1&amp;"C"&amp;$A7))-IF(RTD("tos.rtd",,$A$2,"."&amp;G$2&amp;G$1&amp;"P"&amp;$A7)="N/A",0,RTD("tos.rtd",,$A$2,"."&amp;G$2&amp;G$1&amp;"P"&amp;$A7))</f>
        <v>0</v>
      </c>
      <c r="H7" s="91">
        <f ca="1">IF(RTD("tos.rtd",,$A$2,"."&amp;H$2&amp;H$1&amp;"C"&amp;$A7)="N/A",0,RTD("tos.rtd",,$A$2,"."&amp;H$2&amp;H$1&amp;"C"&amp;$A7))-IF(RTD("tos.rtd",,$A$2,"."&amp;H$2&amp;H$1&amp;"P"&amp;$A7)="N/A",0,RTD("tos.rtd",,$A$2,"."&amp;H$2&amp;H$1&amp;"P"&amp;$A7))</f>
        <v>3107</v>
      </c>
      <c r="I7" s="91">
        <f ca="1">IF(RTD("tos.rtd",,$A$2,"."&amp;I$2&amp;I$1&amp;"C"&amp;$A7)="N/A",0,RTD("tos.rtd",,$A$2,"."&amp;I$2&amp;I$1&amp;"C"&amp;$A7))-IF(RTD("tos.rtd",,$A$2,"."&amp;I$2&amp;I$1&amp;"P"&amp;$A7)="N/A",0,RTD("tos.rtd",,$A$2,"."&amp;I$2&amp;I$1&amp;"P"&amp;$A7))</f>
        <v>3249</v>
      </c>
      <c r="J7" s="91">
        <f ca="1">IF(RTD("tos.rtd",,$A$2,"."&amp;J$2&amp;J$1&amp;"C"&amp;$A7)="N/A",0,RTD("tos.rtd",,$A$2,"."&amp;J$2&amp;J$1&amp;"C"&amp;$A7))-IF(RTD("tos.rtd",,$A$2,"."&amp;J$2&amp;J$1&amp;"P"&amp;$A7)="N/A",0,RTD("tos.rtd",,$A$2,"."&amp;J$2&amp;J$1&amp;"P"&amp;$A7))</f>
        <v>807</v>
      </c>
      <c r="K7" s="91">
        <f ca="1">IF(RTD("tos.rtd",,$A$2,"."&amp;K$2&amp;K$1&amp;"C"&amp;$A7)="N/A",0,RTD("tos.rtd",,$A$2,"."&amp;K$2&amp;K$1&amp;"C"&amp;$A7))-IF(RTD("tos.rtd",,$A$2,"."&amp;K$2&amp;K$1&amp;"P"&amp;$A7)="N/A",0,RTD("tos.rtd",,$A$2,"."&amp;K$2&amp;K$1&amp;"P"&amp;$A7))</f>
        <v>1810</v>
      </c>
      <c r="L7" s="91">
        <f ca="1">IF(RTD("tos.rtd",,$A$2,"."&amp;L$2&amp;L$1&amp;"C"&amp;$A7)="N/A",0,RTD("tos.rtd",,$A$2,"."&amp;L$2&amp;L$1&amp;"C"&amp;$A7))-IF(RTD("tos.rtd",,$A$2,"."&amp;L$2&amp;L$1&amp;"P"&amp;$A7)="N/A",0,RTD("tos.rtd",,$A$2,"."&amp;L$2&amp;L$1&amp;"P"&amp;$A7))</f>
        <v>598</v>
      </c>
      <c r="M7" s="91">
        <f ca="1">IF(RTD("tos.rtd",,$A$2,"."&amp;M$2&amp;M$1&amp;"C"&amp;$A7)="N/A",0,RTD("tos.rtd",,$A$2,"."&amp;M$2&amp;M$1&amp;"C"&amp;$A7))-IF(RTD("tos.rtd",,$A$2,"."&amp;M$2&amp;M$1&amp;"P"&amp;$A7)="N/A",0,RTD("tos.rtd",,$A$2,"."&amp;M$2&amp;M$1&amp;"P"&amp;$A7))</f>
        <v>3673</v>
      </c>
      <c r="N7" s="91">
        <f ca="1">IF(RTD("tos.rtd",,$A$2,"."&amp;N$2&amp;N$1&amp;"C"&amp;$A7)="N/A",0,RTD("tos.rtd",,$A$2,"."&amp;N$2&amp;N$1&amp;"C"&amp;$A7))-IF(RTD("tos.rtd",,$A$2,"."&amp;N$2&amp;N$1&amp;"P"&amp;$A7)="N/A",0,RTD("tos.rtd",,$A$2,"."&amp;N$2&amp;N$1&amp;"P"&amp;$A7))</f>
        <v>162</v>
      </c>
      <c r="O7" s="91">
        <f ca="1">IF(RTD("tos.rtd",,$A$2,"."&amp;O$2&amp;O$1&amp;"C"&amp;$A7)="N/A",0,RTD("tos.rtd",,$A$2,"."&amp;O$2&amp;O$1&amp;"C"&amp;$A7))-IF(RTD("tos.rtd",,$A$2,"."&amp;O$2&amp;O$1&amp;"P"&amp;$A7)="N/A",0,RTD("tos.rtd",,$A$2,"."&amp;O$2&amp;O$1&amp;"P"&amp;$A7))</f>
        <v>116</v>
      </c>
      <c r="P7" s="91">
        <f ca="1">IF(RTD("tos.rtd",,$A$2,"."&amp;P$2&amp;P$1&amp;"C"&amp;$A7)="N/A",0,RTD("tos.rtd",,$A$2,"."&amp;P$2&amp;P$1&amp;"C"&amp;$A7))-IF(RTD("tos.rtd",,$A$2,"."&amp;P$2&amp;P$1&amp;"P"&amp;$A7)="N/A",0,RTD("tos.rtd",,$A$2,"."&amp;P$2&amp;P$1&amp;"P"&amp;$A7))</f>
        <v>3</v>
      </c>
      <c r="Q7" s="91">
        <f ca="1">IF(RTD("tos.rtd",,$A$2,"."&amp;Q$2&amp;Q$1&amp;"C"&amp;$A7)="N/A",0,RTD("tos.rtd",,$A$2,"."&amp;Q$2&amp;Q$1&amp;"C"&amp;$A7))-IF(RTD("tos.rtd",,$A$2,"."&amp;Q$2&amp;Q$1&amp;"P"&amp;$A7)="N/A",0,RTD("tos.rtd",,$A$2,"."&amp;Q$2&amp;Q$1&amp;"P"&amp;$A7))</f>
        <v>-647</v>
      </c>
      <c r="R7" s="91">
        <f ca="1">IF(RTD("tos.rtd",,$A$2,"."&amp;R$2&amp;R$1&amp;"C"&amp;$A7)="N/A",0,RTD("tos.rtd",,$A$2,"."&amp;R$2&amp;R$1&amp;"C"&amp;$A7))-IF(RTD("tos.rtd",,$A$2,"."&amp;R$2&amp;R$1&amp;"P"&amp;$A7)="N/A",0,RTD("tos.rtd",,$A$2,"."&amp;R$2&amp;R$1&amp;"P"&amp;$A7))</f>
        <v>-13</v>
      </c>
      <c r="S7" s="91">
        <f ca="1">IF(RTD("tos.rtd",,$A$2,"."&amp;S$2&amp;S$1&amp;"C"&amp;$A7)="N/A",0,RTD("tos.rtd",,$A$2,"."&amp;S$2&amp;S$1&amp;"C"&amp;$A7))-IF(RTD("tos.rtd",,$A$2,"."&amp;S$2&amp;S$1&amp;"P"&amp;$A7)="N/A",0,RTD("tos.rtd",,$A$2,"."&amp;S$2&amp;S$1&amp;"P"&amp;$A7))</f>
        <v>0</v>
      </c>
      <c r="T7" s="91">
        <f ca="1">IF(RTD("tos.rtd",,$A$2,"."&amp;T$2&amp;T$1&amp;"C"&amp;$A7)="N/A",0,RTD("tos.rtd",,$A$2,"."&amp;T$2&amp;T$1&amp;"C"&amp;$A7))-IF(RTD("tos.rtd",,$A$2,"."&amp;T$2&amp;T$1&amp;"P"&amp;$A7)="N/A",0,RTD("tos.rtd",,$A$2,"."&amp;T$2&amp;T$1&amp;"P"&amp;$A7))</f>
        <v>36</v>
      </c>
      <c r="U7" s="91">
        <f ca="1">IF(RTD("tos.rtd",,$A$2,"."&amp;U$2&amp;U$1&amp;"C"&amp;$A7)="N/A",0,RTD("tos.rtd",,$A$2,"."&amp;U$2&amp;U$1&amp;"C"&amp;$A7))-IF(RTD("tos.rtd",,$A$2,"."&amp;U$2&amp;U$1&amp;"P"&amp;$A7)="N/A",0,RTD("tos.rtd",,$A$2,"."&amp;U$2&amp;U$1&amp;"P"&amp;$A7))</f>
        <v>0</v>
      </c>
      <c r="V7" s="91">
        <f ca="1">IF(RTD("tos.rtd",,$A$2,"."&amp;V$2&amp;V$1&amp;"C"&amp;$A7)="N/A",0,RTD("tos.rtd",,$A$2,"."&amp;V$2&amp;V$1&amp;"C"&amp;$A7))-IF(RTD("tos.rtd",,$A$2,"."&amp;V$2&amp;V$1&amp;"P"&amp;$A7)="N/A",0,RTD("tos.rtd",,$A$2,"."&amp;V$2&amp;V$1&amp;"P"&amp;$A7))</f>
        <v>0</v>
      </c>
      <c r="W7" s="91">
        <f ca="1">IF(RTD("tos.rtd",,$A$2,"."&amp;W$2&amp;W$1&amp;"C"&amp;$A7)="N/A",0,RTD("tos.rtd",,$A$2,"."&amp;W$2&amp;W$1&amp;"C"&amp;$A7))-IF(RTD("tos.rtd",,$A$2,"."&amp;W$2&amp;W$1&amp;"P"&amp;$A7)="N/A",0,RTD("tos.rtd",,$A$2,"."&amp;W$2&amp;W$1&amp;"P"&amp;$A7))</f>
        <v>224</v>
      </c>
      <c r="X7" s="91">
        <f ca="1">IF(RTD("tos.rtd",,$A$2,"."&amp;X$2&amp;X$1&amp;"C"&amp;$A7)="N/A",0,RTD("tos.rtd",,$A$2,"."&amp;X$2&amp;X$1&amp;"C"&amp;$A7))-IF(RTD("tos.rtd",,$A$2,"."&amp;X$2&amp;X$1&amp;"P"&amp;$A7)="N/A",0,RTD("tos.rtd",,$A$2,"."&amp;X$2&amp;X$1&amp;"P"&amp;$A7))</f>
        <v>-125</v>
      </c>
      <c r="Y7" s="98">
        <f t="shared" ca="1" si="3"/>
        <v>13000</v>
      </c>
    </row>
    <row r="8" spans="1:25" x14ac:dyDescent="0.25">
      <c r="A8" s="92">
        <f>+Hoja1!A7</f>
        <v>579</v>
      </c>
      <c r="B8" s="91">
        <f ca="1">IF(RTD("tos.rtd",,$A$2,"."&amp;B$2&amp;B$1&amp;"C"&amp;$A8)="N/A",0,RTD("tos.rtd",,$A$2,"."&amp;B$2&amp;B$1&amp;"C"&amp;$A8))-IF(RTD("tos.rtd",,$A$2,"."&amp;B$2&amp;B$1&amp;"P"&amp;$A8)="N/A",0,RTD("tos.rtd",,$A$2,"."&amp;B$2&amp;B$1&amp;"P"&amp;$A8))</f>
        <v>0</v>
      </c>
      <c r="C8" s="91">
        <f ca="1">IF(RTD("tos.rtd",,$A$2,"."&amp;C$2&amp;C$1&amp;"C"&amp;$A8)="N/A",0,RTD("tos.rtd",,$A$2,"."&amp;C$2&amp;C$1&amp;"C"&amp;$A8))-IF(RTD("tos.rtd",,$A$2,"."&amp;C$2&amp;C$1&amp;"P"&amp;$A8)="N/A",0,RTD("tos.rtd",,$A$2,"."&amp;C$2&amp;C$1&amp;"P"&amp;$A8))</f>
        <v>0</v>
      </c>
      <c r="D8" s="91">
        <f ca="1">IF(RTD("tos.rtd",,$A$2,"."&amp;D$2&amp;D$1&amp;"C"&amp;$A8)="N/A",0,RTD("tos.rtd",,$A$2,"."&amp;D$2&amp;D$1&amp;"C"&amp;$A8))-IF(RTD("tos.rtd",,$A$2,"."&amp;D$2&amp;D$1&amp;"P"&amp;$A8)="N/A",0,RTD("tos.rtd",,$A$2,"."&amp;D$2&amp;D$1&amp;"P"&amp;$A8))</f>
        <v>0</v>
      </c>
      <c r="E8" s="91">
        <f ca="1">IF(RTD("tos.rtd",,$A$2,"."&amp;E$2&amp;E$1&amp;"C"&amp;$A8)="N/A",0,RTD("tos.rtd",,$A$2,"."&amp;E$2&amp;E$1&amp;"C"&amp;$A8))-IF(RTD("tos.rtd",,$A$2,"."&amp;E$2&amp;E$1&amp;"P"&amp;$A8)="N/A",0,RTD("tos.rtd",,$A$2,"."&amp;E$2&amp;E$1&amp;"P"&amp;$A8))</f>
        <v>0</v>
      </c>
      <c r="F8" s="91">
        <f ca="1">IF(RTD("tos.rtd",,$A$2,"."&amp;F$2&amp;F$1&amp;"C"&amp;$A8)="N/A",0,RTD("tos.rtd",,$A$2,"."&amp;F$2&amp;F$1&amp;"C"&amp;$A8))-IF(RTD("tos.rtd",,$A$2,"."&amp;F$2&amp;F$1&amp;"P"&amp;$A8)="N/A",0,RTD("tos.rtd",,$A$2,"."&amp;F$2&amp;F$1&amp;"P"&amp;$A8))</f>
        <v>0</v>
      </c>
      <c r="G8" s="91">
        <f ca="1">IF(RTD("tos.rtd",,$A$2,"."&amp;G$2&amp;G$1&amp;"C"&amp;$A8)="N/A",0,RTD("tos.rtd",,$A$2,"."&amp;G$2&amp;G$1&amp;"C"&amp;$A8))-IF(RTD("tos.rtd",,$A$2,"."&amp;G$2&amp;G$1&amp;"P"&amp;$A8)="N/A",0,RTD("tos.rtd",,$A$2,"."&amp;G$2&amp;G$1&amp;"P"&amp;$A8))</f>
        <v>0</v>
      </c>
      <c r="H8" s="91">
        <f ca="1">IF(RTD("tos.rtd",,$A$2,"."&amp;H$2&amp;H$1&amp;"C"&amp;$A8)="N/A",0,RTD("tos.rtd",,$A$2,"."&amp;H$2&amp;H$1&amp;"C"&amp;$A8))-IF(RTD("tos.rtd",,$A$2,"."&amp;H$2&amp;H$1&amp;"P"&amp;$A8)="N/A",0,RTD("tos.rtd",,$A$2,"."&amp;H$2&amp;H$1&amp;"P"&amp;$A8))</f>
        <v>126</v>
      </c>
      <c r="I8" s="91">
        <f ca="1">IF(RTD("tos.rtd",,$A$2,"."&amp;I$2&amp;I$1&amp;"C"&amp;$A8)="N/A",0,RTD("tos.rtd",,$A$2,"."&amp;I$2&amp;I$1&amp;"C"&amp;$A8))-IF(RTD("tos.rtd",,$A$2,"."&amp;I$2&amp;I$1&amp;"P"&amp;$A8)="N/A",0,RTD("tos.rtd",,$A$2,"."&amp;I$2&amp;I$1&amp;"P"&amp;$A8))</f>
        <v>282</v>
      </c>
      <c r="J8" s="91">
        <f ca="1">IF(RTD("tos.rtd",,$A$2,"."&amp;J$2&amp;J$1&amp;"C"&amp;$A8)="N/A",0,RTD("tos.rtd",,$A$2,"."&amp;J$2&amp;J$1&amp;"C"&amp;$A8))-IF(RTD("tos.rtd",,$A$2,"."&amp;J$2&amp;J$1&amp;"P"&amp;$A8)="N/A",0,RTD("tos.rtd",,$A$2,"."&amp;J$2&amp;J$1&amp;"P"&amp;$A8))</f>
        <v>164</v>
      </c>
      <c r="K8" s="91">
        <f ca="1">IF(RTD("tos.rtd",,$A$2,"."&amp;K$2&amp;K$1&amp;"C"&amp;$A8)="N/A",0,RTD("tos.rtd",,$A$2,"."&amp;K$2&amp;K$1&amp;"C"&amp;$A8))-IF(RTD("tos.rtd",,$A$2,"."&amp;K$2&amp;K$1&amp;"P"&amp;$A8)="N/A",0,RTD("tos.rtd",,$A$2,"."&amp;K$2&amp;K$1&amp;"P"&amp;$A8))</f>
        <v>483</v>
      </c>
      <c r="L8" s="91">
        <f ca="1">IF(RTD("tos.rtd",,$A$2,"."&amp;L$2&amp;L$1&amp;"C"&amp;$A8)="N/A",0,RTD("tos.rtd",,$A$2,"."&amp;L$2&amp;L$1&amp;"C"&amp;$A8))-IF(RTD("tos.rtd",,$A$2,"."&amp;L$2&amp;L$1&amp;"P"&amp;$A8)="N/A",0,RTD("tos.rtd",,$A$2,"."&amp;L$2&amp;L$1&amp;"P"&amp;$A8))</f>
        <v>-34</v>
      </c>
      <c r="M8" s="91">
        <f ca="1">IF(RTD("tos.rtd",,$A$2,"."&amp;M$2&amp;M$1&amp;"C"&amp;$A8)="N/A",0,RTD("tos.rtd",,$A$2,"."&amp;M$2&amp;M$1&amp;"C"&amp;$A8))-IF(RTD("tos.rtd",,$A$2,"."&amp;M$2&amp;M$1&amp;"P"&amp;$A8)="N/A",0,RTD("tos.rtd",,$A$2,"."&amp;M$2&amp;M$1&amp;"P"&amp;$A8))</f>
        <v>0</v>
      </c>
      <c r="N8" s="91">
        <f ca="1">IF(RTD("tos.rtd",,$A$2,"."&amp;N$2&amp;N$1&amp;"C"&amp;$A8)="N/A",0,RTD("tos.rtd",,$A$2,"."&amp;N$2&amp;N$1&amp;"C"&amp;$A8))-IF(RTD("tos.rtd",,$A$2,"."&amp;N$2&amp;N$1&amp;"P"&amp;$A8)="N/A",0,RTD("tos.rtd",,$A$2,"."&amp;N$2&amp;N$1&amp;"P"&amp;$A8))</f>
        <v>1</v>
      </c>
      <c r="O8" s="91">
        <f ca="1">IF(RTD("tos.rtd",,$A$2,"."&amp;O$2&amp;O$1&amp;"C"&amp;$A8)="N/A",0,RTD("tos.rtd",,$A$2,"."&amp;O$2&amp;O$1&amp;"C"&amp;$A8))-IF(RTD("tos.rtd",,$A$2,"."&amp;O$2&amp;O$1&amp;"P"&amp;$A8)="N/A",0,RTD("tos.rtd",,$A$2,"."&amp;O$2&amp;O$1&amp;"P"&amp;$A8))</f>
        <v>18</v>
      </c>
      <c r="P8" s="91">
        <f ca="1">IF(RTD("tos.rtd",,$A$2,"."&amp;P$2&amp;P$1&amp;"C"&amp;$A8)="N/A",0,RTD("tos.rtd",,$A$2,"."&amp;P$2&amp;P$1&amp;"C"&amp;$A8))-IF(RTD("tos.rtd",,$A$2,"."&amp;P$2&amp;P$1&amp;"P"&amp;$A8)="N/A",0,RTD("tos.rtd",,$A$2,"."&amp;P$2&amp;P$1&amp;"P"&amp;$A8))</f>
        <v>0</v>
      </c>
      <c r="Q8" s="91">
        <f ca="1">IF(RTD("tos.rtd",,$A$2,"."&amp;Q$2&amp;Q$1&amp;"C"&amp;$A8)="N/A",0,RTD("tos.rtd",,$A$2,"."&amp;Q$2&amp;Q$1&amp;"C"&amp;$A8))-IF(RTD("tos.rtd",,$A$2,"."&amp;Q$2&amp;Q$1&amp;"P"&amp;$A8)="N/A",0,RTD("tos.rtd",,$A$2,"."&amp;Q$2&amp;Q$1&amp;"P"&amp;$A8))</f>
        <v>0</v>
      </c>
      <c r="R8" s="91">
        <f ca="1">IF(RTD("tos.rtd",,$A$2,"."&amp;R$2&amp;R$1&amp;"C"&amp;$A8)="N/A",0,RTD("tos.rtd",,$A$2,"."&amp;R$2&amp;R$1&amp;"C"&amp;$A8))-IF(RTD("tos.rtd",,$A$2,"."&amp;R$2&amp;R$1&amp;"P"&amp;$A8)="N/A",0,RTD("tos.rtd",,$A$2,"."&amp;R$2&amp;R$1&amp;"P"&amp;$A8))</f>
        <v>0</v>
      </c>
      <c r="S8" s="91">
        <f ca="1">IF(RTD("tos.rtd",,$A$2,"."&amp;S$2&amp;S$1&amp;"C"&amp;$A8)="N/A",0,RTD("tos.rtd",,$A$2,"."&amp;S$2&amp;S$1&amp;"C"&amp;$A8))-IF(RTD("tos.rtd",,$A$2,"."&amp;S$2&amp;S$1&amp;"P"&amp;$A8)="N/A",0,RTD("tos.rtd",,$A$2,"."&amp;S$2&amp;S$1&amp;"P"&amp;$A8))</f>
        <v>0</v>
      </c>
      <c r="T8" s="91">
        <f ca="1">IF(RTD("tos.rtd",,$A$2,"."&amp;T$2&amp;T$1&amp;"C"&amp;$A8)="N/A",0,RTD("tos.rtd",,$A$2,"."&amp;T$2&amp;T$1&amp;"C"&amp;$A8))-IF(RTD("tos.rtd",,$A$2,"."&amp;T$2&amp;T$1&amp;"P"&amp;$A8)="N/A",0,RTD("tos.rtd",,$A$2,"."&amp;T$2&amp;T$1&amp;"P"&amp;$A8))</f>
        <v>0</v>
      </c>
      <c r="U8" s="91">
        <f ca="1">IF(RTD("tos.rtd",,$A$2,"."&amp;U$2&amp;U$1&amp;"C"&amp;$A8)="N/A",0,RTD("tos.rtd",,$A$2,"."&amp;U$2&amp;U$1&amp;"C"&amp;$A8))-IF(RTD("tos.rtd",,$A$2,"."&amp;U$2&amp;U$1&amp;"P"&amp;$A8)="N/A",0,RTD("tos.rtd",,$A$2,"."&amp;U$2&amp;U$1&amp;"P"&amp;$A8))</f>
        <v>0</v>
      </c>
      <c r="V8" s="91">
        <f ca="1">IF(RTD("tos.rtd",,$A$2,"."&amp;V$2&amp;V$1&amp;"C"&amp;$A8)="N/A",0,RTD("tos.rtd",,$A$2,"."&amp;V$2&amp;V$1&amp;"C"&amp;$A8))-IF(RTD("tos.rtd",,$A$2,"."&amp;V$2&amp;V$1&amp;"P"&amp;$A8)="N/A",0,RTD("tos.rtd",,$A$2,"."&amp;V$2&amp;V$1&amp;"P"&amp;$A8))</f>
        <v>0</v>
      </c>
      <c r="W8" s="91">
        <f ca="1">IF(RTD("tos.rtd",,$A$2,"."&amp;W$2&amp;W$1&amp;"C"&amp;$A8)="N/A",0,RTD("tos.rtd",,$A$2,"."&amp;W$2&amp;W$1&amp;"C"&amp;$A8))-IF(RTD("tos.rtd",,$A$2,"."&amp;W$2&amp;W$1&amp;"P"&amp;$A8)="N/A",0,RTD("tos.rtd",,$A$2,"."&amp;W$2&amp;W$1&amp;"P"&amp;$A8))</f>
        <v>0</v>
      </c>
      <c r="X8" s="91">
        <f ca="1">IF(RTD("tos.rtd",,$A$2,"."&amp;X$2&amp;X$1&amp;"C"&amp;$A8)="N/A",0,RTD("tos.rtd",,$A$2,"."&amp;X$2&amp;X$1&amp;"C"&amp;$A8))-IF(RTD("tos.rtd",,$A$2,"."&amp;X$2&amp;X$1&amp;"P"&amp;$A8)="N/A",0,RTD("tos.rtd",,$A$2,"."&amp;X$2&amp;X$1&amp;"P"&amp;$A8))</f>
        <v>0</v>
      </c>
      <c r="Y8" s="98">
        <f t="shared" ca="1" si="3"/>
        <v>1040</v>
      </c>
    </row>
    <row r="9" spans="1:25" x14ac:dyDescent="0.25">
      <c r="A9" s="93">
        <f>+Hoja1!A8</f>
        <v>578</v>
      </c>
      <c r="B9" s="91">
        <f ca="1">IF(RTD("tos.rtd",,$A$2,"."&amp;B$2&amp;B$1&amp;"C"&amp;$A9)="N/A",0,RTD("tos.rtd",,$A$2,"."&amp;B$2&amp;B$1&amp;"C"&amp;$A9))-IF(RTD("tos.rtd",,$A$2,"."&amp;B$2&amp;B$1&amp;"P"&amp;$A9)="N/A",0,RTD("tos.rtd",,$A$2,"."&amp;B$2&amp;B$1&amp;"P"&amp;$A9))</f>
        <v>0</v>
      </c>
      <c r="C9" s="91">
        <f ca="1">IF(RTD("tos.rtd",,$A$2,"."&amp;C$2&amp;C$1&amp;"C"&amp;$A9)="N/A",0,RTD("tos.rtd",,$A$2,"."&amp;C$2&amp;C$1&amp;"C"&amp;$A9))-IF(RTD("tos.rtd",,$A$2,"."&amp;C$2&amp;C$1&amp;"P"&amp;$A9)="N/A",0,RTD("tos.rtd",,$A$2,"."&amp;C$2&amp;C$1&amp;"P"&amp;$A9))</f>
        <v>0</v>
      </c>
      <c r="D9" s="91">
        <f ca="1">IF(RTD("tos.rtd",,$A$2,"."&amp;D$2&amp;D$1&amp;"C"&amp;$A9)="N/A",0,RTD("tos.rtd",,$A$2,"."&amp;D$2&amp;D$1&amp;"C"&amp;$A9))-IF(RTD("tos.rtd",,$A$2,"."&amp;D$2&amp;D$1&amp;"P"&amp;$A9)="N/A",0,RTD("tos.rtd",,$A$2,"."&amp;D$2&amp;D$1&amp;"P"&amp;$A9))</f>
        <v>0</v>
      </c>
      <c r="E9" s="91">
        <f ca="1">IF(RTD("tos.rtd",,$A$2,"."&amp;E$2&amp;E$1&amp;"C"&amp;$A9)="N/A",0,RTD("tos.rtd",,$A$2,"."&amp;E$2&amp;E$1&amp;"C"&amp;$A9))-IF(RTD("tos.rtd",,$A$2,"."&amp;E$2&amp;E$1&amp;"P"&amp;$A9)="N/A",0,RTD("tos.rtd",,$A$2,"."&amp;E$2&amp;E$1&amp;"P"&amp;$A9))</f>
        <v>0</v>
      </c>
      <c r="F9" s="91">
        <f ca="1">IF(RTD("tos.rtd",,$A$2,"."&amp;F$2&amp;F$1&amp;"C"&amp;$A9)="N/A",0,RTD("tos.rtd",,$A$2,"."&amp;F$2&amp;F$1&amp;"C"&amp;$A9))-IF(RTD("tos.rtd",,$A$2,"."&amp;F$2&amp;F$1&amp;"P"&amp;$A9)="N/A",0,RTD("tos.rtd",,$A$2,"."&amp;F$2&amp;F$1&amp;"P"&amp;$A9))</f>
        <v>0</v>
      </c>
      <c r="G9" s="91">
        <f ca="1">IF(RTD("tos.rtd",,$A$2,"."&amp;G$2&amp;G$1&amp;"C"&amp;$A9)="N/A",0,RTD("tos.rtd",,$A$2,"."&amp;G$2&amp;G$1&amp;"C"&amp;$A9))-IF(RTD("tos.rtd",,$A$2,"."&amp;G$2&amp;G$1&amp;"P"&amp;$A9)="N/A",0,RTD("tos.rtd",,$A$2,"."&amp;G$2&amp;G$1&amp;"P"&amp;$A9))</f>
        <v>0</v>
      </c>
      <c r="H9" s="91">
        <f ca="1">IF(RTD("tos.rtd",,$A$2,"."&amp;H$2&amp;H$1&amp;"C"&amp;$A9)="N/A",0,RTD("tos.rtd",,$A$2,"."&amp;H$2&amp;H$1&amp;"C"&amp;$A9))-IF(RTD("tos.rtd",,$A$2,"."&amp;H$2&amp;H$1&amp;"P"&amp;$A9)="N/A",0,RTD("tos.rtd",,$A$2,"."&amp;H$2&amp;H$1&amp;"P"&amp;$A9))</f>
        <v>227</v>
      </c>
      <c r="I9" s="91">
        <f ca="1">IF(RTD("tos.rtd",,$A$2,"."&amp;I$2&amp;I$1&amp;"C"&amp;$A9)="N/A",0,RTD("tos.rtd",,$A$2,"."&amp;I$2&amp;I$1&amp;"C"&amp;$A9))-IF(RTD("tos.rtd",,$A$2,"."&amp;I$2&amp;I$1&amp;"P"&amp;$A9)="N/A",0,RTD("tos.rtd",,$A$2,"."&amp;I$2&amp;I$1&amp;"P"&amp;$A9))</f>
        <v>564</v>
      </c>
      <c r="J9" s="91">
        <f ca="1">IF(RTD("tos.rtd",,$A$2,"."&amp;J$2&amp;J$1&amp;"C"&amp;$A9)="N/A",0,RTD("tos.rtd",,$A$2,"."&amp;J$2&amp;J$1&amp;"C"&amp;$A9))-IF(RTD("tos.rtd",,$A$2,"."&amp;J$2&amp;J$1&amp;"P"&amp;$A9)="N/A",0,RTD("tos.rtd",,$A$2,"."&amp;J$2&amp;J$1&amp;"P"&amp;$A9))</f>
        <v>55</v>
      </c>
      <c r="K9" s="91">
        <f ca="1">IF(RTD("tos.rtd",,$A$2,"."&amp;K$2&amp;K$1&amp;"C"&amp;$A9)="N/A",0,RTD("tos.rtd",,$A$2,"."&amp;K$2&amp;K$1&amp;"C"&amp;$A9))-IF(RTD("tos.rtd",,$A$2,"."&amp;K$2&amp;K$1&amp;"P"&amp;$A9)="N/A",0,RTD("tos.rtd",,$A$2,"."&amp;K$2&amp;K$1&amp;"P"&amp;$A9))</f>
        <v>463</v>
      </c>
      <c r="L9" s="91">
        <f ca="1">IF(RTD("tos.rtd",,$A$2,"."&amp;L$2&amp;L$1&amp;"C"&amp;$A9)="N/A",0,RTD("tos.rtd",,$A$2,"."&amp;L$2&amp;L$1&amp;"C"&amp;$A9))-IF(RTD("tos.rtd",,$A$2,"."&amp;L$2&amp;L$1&amp;"P"&amp;$A9)="N/A",0,RTD("tos.rtd",,$A$2,"."&amp;L$2&amp;L$1&amp;"P"&amp;$A9))</f>
        <v>38</v>
      </c>
      <c r="M9" s="91">
        <f ca="1">IF(RTD("tos.rtd",,$A$2,"."&amp;M$2&amp;M$1&amp;"C"&amp;$A9)="N/A",0,RTD("tos.rtd",,$A$2,"."&amp;M$2&amp;M$1&amp;"C"&amp;$A9))-IF(RTD("tos.rtd",,$A$2,"."&amp;M$2&amp;M$1&amp;"P"&amp;$A9)="N/A",0,RTD("tos.rtd",,$A$2,"."&amp;M$2&amp;M$1&amp;"P"&amp;$A9))</f>
        <v>0</v>
      </c>
      <c r="N9" s="91">
        <f ca="1">IF(RTD("tos.rtd",,$A$2,"."&amp;N$2&amp;N$1&amp;"C"&amp;$A9)="N/A",0,RTD("tos.rtd",,$A$2,"."&amp;N$2&amp;N$1&amp;"C"&amp;$A9))-IF(RTD("tos.rtd",,$A$2,"."&amp;N$2&amp;N$1&amp;"P"&amp;$A9)="N/A",0,RTD("tos.rtd",,$A$2,"."&amp;N$2&amp;N$1&amp;"P"&amp;$A9))</f>
        <v>-2</v>
      </c>
      <c r="O9" s="91">
        <f ca="1">IF(RTD("tos.rtd",,$A$2,"."&amp;O$2&amp;O$1&amp;"C"&amp;$A9)="N/A",0,RTD("tos.rtd",,$A$2,"."&amp;O$2&amp;O$1&amp;"C"&amp;$A9))-IF(RTD("tos.rtd",,$A$2,"."&amp;O$2&amp;O$1&amp;"P"&amp;$A9)="N/A",0,RTD("tos.rtd",,$A$2,"."&amp;O$2&amp;O$1&amp;"P"&amp;$A9))</f>
        <v>67</v>
      </c>
      <c r="P9" s="91">
        <f ca="1">IF(RTD("tos.rtd",,$A$2,"."&amp;P$2&amp;P$1&amp;"C"&amp;$A9)="N/A",0,RTD("tos.rtd",,$A$2,"."&amp;P$2&amp;P$1&amp;"C"&amp;$A9))-IF(RTD("tos.rtd",,$A$2,"."&amp;P$2&amp;P$1&amp;"P"&amp;$A9)="N/A",0,RTD("tos.rtd",,$A$2,"."&amp;P$2&amp;P$1&amp;"P"&amp;$A9))</f>
        <v>-21</v>
      </c>
      <c r="Q9" s="91">
        <f ca="1">IF(RTD("tos.rtd",,$A$2,"."&amp;Q$2&amp;Q$1&amp;"C"&amp;$A9)="N/A",0,RTD("tos.rtd",,$A$2,"."&amp;Q$2&amp;Q$1&amp;"C"&amp;$A9))-IF(RTD("tos.rtd",,$A$2,"."&amp;Q$2&amp;Q$1&amp;"P"&amp;$A9)="N/A",0,RTD("tos.rtd",,$A$2,"."&amp;Q$2&amp;Q$1&amp;"P"&amp;$A9))</f>
        <v>0</v>
      </c>
      <c r="R9" s="91">
        <f ca="1">IF(RTD("tos.rtd",,$A$2,"."&amp;R$2&amp;R$1&amp;"C"&amp;$A9)="N/A",0,RTD("tos.rtd",,$A$2,"."&amp;R$2&amp;R$1&amp;"C"&amp;$A9))-IF(RTD("tos.rtd",,$A$2,"."&amp;R$2&amp;R$1&amp;"P"&amp;$A9)="N/A",0,RTD("tos.rtd",,$A$2,"."&amp;R$2&amp;R$1&amp;"P"&amp;$A9))</f>
        <v>-20</v>
      </c>
      <c r="S9" s="91">
        <f ca="1">IF(RTD("tos.rtd",,$A$2,"."&amp;S$2&amp;S$1&amp;"C"&amp;$A9)="N/A",0,RTD("tos.rtd",,$A$2,"."&amp;S$2&amp;S$1&amp;"C"&amp;$A9))-IF(RTD("tos.rtd",,$A$2,"."&amp;S$2&amp;S$1&amp;"P"&amp;$A9)="N/A",0,RTD("tos.rtd",,$A$2,"."&amp;S$2&amp;S$1&amp;"P"&amp;$A9))</f>
        <v>0</v>
      </c>
      <c r="T9" s="91">
        <f ca="1">IF(RTD("tos.rtd",,$A$2,"."&amp;T$2&amp;T$1&amp;"C"&amp;$A9)="N/A",0,RTD("tos.rtd",,$A$2,"."&amp;T$2&amp;T$1&amp;"C"&amp;$A9))-IF(RTD("tos.rtd",,$A$2,"."&amp;T$2&amp;T$1&amp;"P"&amp;$A9)="N/A",0,RTD("tos.rtd",,$A$2,"."&amp;T$2&amp;T$1&amp;"P"&amp;$A9))</f>
        <v>0</v>
      </c>
      <c r="U9" s="91">
        <f ca="1">IF(RTD("tos.rtd",,$A$2,"."&amp;U$2&amp;U$1&amp;"C"&amp;$A9)="N/A",0,RTD("tos.rtd",,$A$2,"."&amp;U$2&amp;U$1&amp;"C"&amp;$A9))-IF(RTD("tos.rtd",,$A$2,"."&amp;U$2&amp;U$1&amp;"P"&amp;$A9)="N/A",0,RTD("tos.rtd",,$A$2,"."&amp;U$2&amp;U$1&amp;"P"&amp;$A9))</f>
        <v>0</v>
      </c>
      <c r="V9" s="91">
        <f ca="1">IF(RTD("tos.rtd",,$A$2,"."&amp;V$2&amp;V$1&amp;"C"&amp;$A9)="N/A",0,RTD("tos.rtd",,$A$2,"."&amp;V$2&amp;V$1&amp;"C"&amp;$A9))-IF(RTD("tos.rtd",,$A$2,"."&amp;V$2&amp;V$1&amp;"P"&amp;$A9)="N/A",0,RTD("tos.rtd",,$A$2,"."&amp;V$2&amp;V$1&amp;"P"&amp;$A9))</f>
        <v>0</v>
      </c>
      <c r="W9" s="91">
        <f ca="1">IF(RTD("tos.rtd",,$A$2,"."&amp;W$2&amp;W$1&amp;"C"&amp;$A9)="N/A",0,RTD("tos.rtd",,$A$2,"."&amp;W$2&amp;W$1&amp;"C"&amp;$A9))-IF(RTD("tos.rtd",,$A$2,"."&amp;W$2&amp;W$1&amp;"P"&amp;$A9)="N/A",0,RTD("tos.rtd",,$A$2,"."&amp;W$2&amp;W$1&amp;"P"&amp;$A9))</f>
        <v>0</v>
      </c>
      <c r="X9" s="91">
        <f ca="1">IF(RTD("tos.rtd",,$A$2,"."&amp;X$2&amp;X$1&amp;"C"&amp;$A9)="N/A",0,RTD("tos.rtd",,$A$2,"."&amp;X$2&amp;X$1&amp;"C"&amp;$A9))-IF(RTD("tos.rtd",,$A$2,"."&amp;X$2&amp;X$1&amp;"P"&amp;$A9)="N/A",0,RTD("tos.rtd",,$A$2,"."&amp;X$2&amp;X$1&amp;"P"&amp;$A9))</f>
        <v>0</v>
      </c>
      <c r="Y9" s="98">
        <f t="shared" ca="1" si="3"/>
        <v>1371</v>
      </c>
    </row>
    <row r="10" spans="1:25" x14ac:dyDescent="0.25">
      <c r="A10" s="93">
        <f>+Hoja1!A9</f>
        <v>577</v>
      </c>
      <c r="B10" s="91">
        <f ca="1">IF(RTD("tos.rtd",,$A$2,"."&amp;B$2&amp;B$1&amp;"C"&amp;$A10)="N/A",0,RTD("tos.rtd",,$A$2,"."&amp;B$2&amp;B$1&amp;"C"&amp;$A10))-IF(RTD("tos.rtd",,$A$2,"."&amp;B$2&amp;B$1&amp;"P"&amp;$A10)="N/A",0,RTD("tos.rtd",,$A$2,"."&amp;B$2&amp;B$1&amp;"P"&amp;$A10))</f>
        <v>0</v>
      </c>
      <c r="C10" s="91">
        <f ca="1">IF(RTD("tos.rtd",,$A$2,"."&amp;C$2&amp;C$1&amp;"C"&amp;$A10)="N/A",0,RTD("tos.rtd",,$A$2,"."&amp;C$2&amp;C$1&amp;"C"&amp;$A10))-IF(RTD("tos.rtd",,$A$2,"."&amp;C$2&amp;C$1&amp;"P"&amp;$A10)="N/A",0,RTD("tos.rtd",,$A$2,"."&amp;C$2&amp;C$1&amp;"P"&amp;$A10))</f>
        <v>0</v>
      </c>
      <c r="D10" s="91">
        <f ca="1">IF(RTD("tos.rtd",,$A$2,"."&amp;D$2&amp;D$1&amp;"C"&amp;$A10)="N/A",0,RTD("tos.rtd",,$A$2,"."&amp;D$2&amp;D$1&amp;"C"&amp;$A10))-IF(RTD("tos.rtd",,$A$2,"."&amp;D$2&amp;D$1&amp;"P"&amp;$A10)="N/A",0,RTD("tos.rtd",,$A$2,"."&amp;D$2&amp;D$1&amp;"P"&amp;$A10))</f>
        <v>0</v>
      </c>
      <c r="E10" s="91">
        <f ca="1">IF(RTD("tos.rtd",,$A$2,"."&amp;E$2&amp;E$1&amp;"C"&amp;$A10)="N/A",0,RTD("tos.rtd",,$A$2,"."&amp;E$2&amp;E$1&amp;"C"&amp;$A10))-IF(RTD("tos.rtd",,$A$2,"."&amp;E$2&amp;E$1&amp;"P"&amp;$A10)="N/A",0,RTD("tos.rtd",,$A$2,"."&amp;E$2&amp;E$1&amp;"P"&amp;$A10))</f>
        <v>0</v>
      </c>
      <c r="F10" s="91">
        <f ca="1">IF(RTD("tos.rtd",,$A$2,"."&amp;F$2&amp;F$1&amp;"C"&amp;$A10)="N/A",0,RTD("tos.rtd",,$A$2,"."&amp;F$2&amp;F$1&amp;"C"&amp;$A10))-IF(RTD("tos.rtd",,$A$2,"."&amp;F$2&amp;F$1&amp;"P"&amp;$A10)="N/A",0,RTD("tos.rtd",,$A$2,"."&amp;F$2&amp;F$1&amp;"P"&amp;$A10))</f>
        <v>0</v>
      </c>
      <c r="G10" s="91">
        <f ca="1">IF(RTD("tos.rtd",,$A$2,"."&amp;G$2&amp;G$1&amp;"C"&amp;$A10)="N/A",0,RTD("tos.rtd",,$A$2,"."&amp;G$2&amp;G$1&amp;"C"&amp;$A10))-IF(RTD("tos.rtd",,$A$2,"."&amp;G$2&amp;G$1&amp;"P"&amp;$A10)="N/A",0,RTD("tos.rtd",,$A$2,"."&amp;G$2&amp;G$1&amp;"P"&amp;$A10))</f>
        <v>0</v>
      </c>
      <c r="H10" s="91">
        <f ca="1">IF(RTD("tos.rtd",,$A$2,"."&amp;H$2&amp;H$1&amp;"C"&amp;$A10)="N/A",0,RTD("tos.rtd",,$A$2,"."&amp;H$2&amp;H$1&amp;"C"&amp;$A10))-IF(RTD("tos.rtd",,$A$2,"."&amp;H$2&amp;H$1&amp;"P"&amp;$A10)="N/A",0,RTD("tos.rtd",,$A$2,"."&amp;H$2&amp;H$1&amp;"P"&amp;$A10))</f>
        <v>170</v>
      </c>
      <c r="I10" s="91">
        <f ca="1">IF(RTD("tos.rtd",,$A$2,"."&amp;I$2&amp;I$1&amp;"C"&amp;$A10)="N/A",0,RTD("tos.rtd",,$A$2,"."&amp;I$2&amp;I$1&amp;"C"&amp;$A10))-IF(RTD("tos.rtd",,$A$2,"."&amp;I$2&amp;I$1&amp;"P"&amp;$A10)="N/A",0,RTD("tos.rtd",,$A$2,"."&amp;I$2&amp;I$1&amp;"P"&amp;$A10))</f>
        <v>282</v>
      </c>
      <c r="J10" s="91">
        <f ca="1">IF(RTD("tos.rtd",,$A$2,"."&amp;J$2&amp;J$1&amp;"C"&amp;$A10)="N/A",0,RTD("tos.rtd",,$A$2,"."&amp;J$2&amp;J$1&amp;"C"&amp;$A10))-IF(RTD("tos.rtd",,$A$2,"."&amp;J$2&amp;J$1&amp;"P"&amp;$A10)="N/A",0,RTD("tos.rtd",,$A$2,"."&amp;J$2&amp;J$1&amp;"P"&amp;$A10))</f>
        <v>113</v>
      </c>
      <c r="K10" s="91">
        <f ca="1">IF(RTD("tos.rtd",,$A$2,"."&amp;K$2&amp;K$1&amp;"C"&amp;$A10)="N/A",0,RTD("tos.rtd",,$A$2,"."&amp;K$2&amp;K$1&amp;"C"&amp;$A10))-IF(RTD("tos.rtd",,$A$2,"."&amp;K$2&amp;K$1&amp;"P"&amp;$A10)="N/A",0,RTD("tos.rtd",,$A$2,"."&amp;K$2&amp;K$1&amp;"P"&amp;$A10))</f>
        <v>200</v>
      </c>
      <c r="L10" s="91">
        <f ca="1">IF(RTD("tos.rtd",,$A$2,"."&amp;L$2&amp;L$1&amp;"C"&amp;$A10)="N/A",0,RTD("tos.rtd",,$A$2,"."&amp;L$2&amp;L$1&amp;"C"&amp;$A10))-IF(RTD("tos.rtd",,$A$2,"."&amp;L$2&amp;L$1&amp;"P"&amp;$A10)="N/A",0,RTD("tos.rtd",,$A$2,"."&amp;L$2&amp;L$1&amp;"P"&amp;$A10))</f>
        <v>9</v>
      </c>
      <c r="M10" s="91">
        <f ca="1">IF(RTD("tos.rtd",,$A$2,"."&amp;M$2&amp;M$1&amp;"C"&amp;$A10)="N/A",0,RTD("tos.rtd",,$A$2,"."&amp;M$2&amp;M$1&amp;"C"&amp;$A10))-IF(RTD("tos.rtd",,$A$2,"."&amp;M$2&amp;M$1&amp;"P"&amp;$A10)="N/A",0,RTD("tos.rtd",,$A$2,"."&amp;M$2&amp;M$1&amp;"P"&amp;$A10))</f>
        <v>0</v>
      </c>
      <c r="N10" s="91">
        <f ca="1">IF(RTD("tos.rtd",,$A$2,"."&amp;N$2&amp;N$1&amp;"C"&amp;$A10)="N/A",0,RTD("tos.rtd",,$A$2,"."&amp;N$2&amp;N$1&amp;"C"&amp;$A10))-IF(RTD("tos.rtd",,$A$2,"."&amp;N$2&amp;N$1&amp;"P"&amp;$A10)="N/A",0,RTD("tos.rtd",,$A$2,"."&amp;N$2&amp;N$1&amp;"P"&amp;$A10))</f>
        <v>2</v>
      </c>
      <c r="O10" s="91">
        <f ca="1">IF(RTD("tos.rtd",,$A$2,"."&amp;O$2&amp;O$1&amp;"C"&amp;$A10)="N/A",0,RTD("tos.rtd",,$A$2,"."&amp;O$2&amp;O$1&amp;"C"&amp;$A10))-IF(RTD("tos.rtd",,$A$2,"."&amp;O$2&amp;O$1&amp;"P"&amp;$A10)="N/A",0,RTD("tos.rtd",,$A$2,"."&amp;O$2&amp;O$1&amp;"P"&amp;$A10))</f>
        <v>29</v>
      </c>
      <c r="P10" s="91">
        <f ca="1">IF(RTD("tos.rtd",,$A$2,"."&amp;P$2&amp;P$1&amp;"C"&amp;$A10)="N/A",0,RTD("tos.rtd",,$A$2,"."&amp;P$2&amp;P$1&amp;"C"&amp;$A10))-IF(RTD("tos.rtd",,$A$2,"."&amp;P$2&amp;P$1&amp;"P"&amp;$A10)="N/A",0,RTD("tos.rtd",,$A$2,"."&amp;P$2&amp;P$1&amp;"P"&amp;$A10))</f>
        <v>0</v>
      </c>
      <c r="Q10" s="91">
        <f ca="1">IF(RTD("tos.rtd",,$A$2,"."&amp;Q$2&amp;Q$1&amp;"C"&amp;$A10)="N/A",0,RTD("tos.rtd",,$A$2,"."&amp;Q$2&amp;Q$1&amp;"C"&amp;$A10))-IF(RTD("tos.rtd",,$A$2,"."&amp;Q$2&amp;Q$1&amp;"P"&amp;$A10)="N/A",0,RTD("tos.rtd",,$A$2,"."&amp;Q$2&amp;Q$1&amp;"P"&amp;$A10))</f>
        <v>0</v>
      </c>
      <c r="R10" s="91">
        <f ca="1">IF(RTD("tos.rtd",,$A$2,"."&amp;R$2&amp;R$1&amp;"C"&amp;$A10)="N/A",0,RTD("tos.rtd",,$A$2,"."&amp;R$2&amp;R$1&amp;"C"&amp;$A10))-IF(RTD("tos.rtd",,$A$2,"."&amp;R$2&amp;R$1&amp;"P"&amp;$A10)="N/A",0,RTD("tos.rtd",,$A$2,"."&amp;R$2&amp;R$1&amp;"P"&amp;$A10))</f>
        <v>3</v>
      </c>
      <c r="S10" s="91">
        <f ca="1">IF(RTD("tos.rtd",,$A$2,"."&amp;S$2&amp;S$1&amp;"C"&amp;$A10)="N/A",0,RTD("tos.rtd",,$A$2,"."&amp;S$2&amp;S$1&amp;"C"&amp;$A10))-IF(RTD("tos.rtd",,$A$2,"."&amp;S$2&amp;S$1&amp;"P"&amp;$A10)="N/A",0,RTD("tos.rtd",,$A$2,"."&amp;S$2&amp;S$1&amp;"P"&amp;$A10))</f>
        <v>0</v>
      </c>
      <c r="T10" s="91">
        <f ca="1">IF(RTD("tos.rtd",,$A$2,"."&amp;T$2&amp;T$1&amp;"C"&amp;$A10)="N/A",0,RTD("tos.rtd",,$A$2,"."&amp;T$2&amp;T$1&amp;"C"&amp;$A10))-IF(RTD("tos.rtd",,$A$2,"."&amp;T$2&amp;T$1&amp;"P"&amp;$A10)="N/A",0,RTD("tos.rtd",,$A$2,"."&amp;T$2&amp;T$1&amp;"P"&amp;$A10))</f>
        <v>0</v>
      </c>
      <c r="U10" s="91">
        <f ca="1">IF(RTD("tos.rtd",,$A$2,"."&amp;U$2&amp;U$1&amp;"C"&amp;$A10)="N/A",0,RTD("tos.rtd",,$A$2,"."&amp;U$2&amp;U$1&amp;"C"&amp;$A10))-IF(RTD("tos.rtd",,$A$2,"."&amp;U$2&amp;U$1&amp;"P"&amp;$A10)="N/A",0,RTD("tos.rtd",,$A$2,"."&amp;U$2&amp;U$1&amp;"P"&amp;$A10))</f>
        <v>0</v>
      </c>
      <c r="V10" s="91">
        <f ca="1">IF(RTD("tos.rtd",,$A$2,"."&amp;V$2&amp;V$1&amp;"C"&amp;$A10)="N/A",0,RTD("tos.rtd",,$A$2,"."&amp;V$2&amp;V$1&amp;"C"&amp;$A10))-IF(RTD("tos.rtd",,$A$2,"."&amp;V$2&amp;V$1&amp;"P"&amp;$A10)="N/A",0,RTD("tos.rtd",,$A$2,"."&amp;V$2&amp;V$1&amp;"P"&amp;$A10))</f>
        <v>0</v>
      </c>
      <c r="W10" s="91">
        <f ca="1">IF(RTD("tos.rtd",,$A$2,"."&amp;W$2&amp;W$1&amp;"C"&amp;$A10)="N/A",0,RTD("tos.rtd",,$A$2,"."&amp;W$2&amp;W$1&amp;"C"&amp;$A10))-IF(RTD("tos.rtd",,$A$2,"."&amp;W$2&amp;W$1&amp;"P"&amp;$A10)="N/A",0,RTD("tos.rtd",,$A$2,"."&amp;W$2&amp;W$1&amp;"P"&amp;$A10))</f>
        <v>0</v>
      </c>
      <c r="X10" s="91">
        <f ca="1">IF(RTD("tos.rtd",,$A$2,"."&amp;X$2&amp;X$1&amp;"C"&amp;$A10)="N/A",0,RTD("tos.rtd",,$A$2,"."&amp;X$2&amp;X$1&amp;"C"&amp;$A10))-IF(RTD("tos.rtd",,$A$2,"."&amp;X$2&amp;X$1&amp;"P"&amp;$A10)="N/A",0,RTD("tos.rtd",,$A$2,"."&amp;X$2&amp;X$1&amp;"P"&amp;$A10))</f>
        <v>0</v>
      </c>
      <c r="Y10" s="98">
        <f t="shared" ca="1" si="3"/>
        <v>808</v>
      </c>
    </row>
    <row r="11" spans="1:25" x14ac:dyDescent="0.25">
      <c r="A11" s="93">
        <f>+Hoja1!A10</f>
        <v>576</v>
      </c>
      <c r="B11" s="91">
        <f ca="1">IF(RTD("tos.rtd",,$A$2,"."&amp;B$2&amp;B$1&amp;"C"&amp;$A11)="N/A",0,RTD("tos.rtd",,$A$2,"."&amp;B$2&amp;B$1&amp;"C"&amp;$A11))-IF(RTD("tos.rtd",,$A$2,"."&amp;B$2&amp;B$1&amp;"P"&amp;$A11)="N/A",0,RTD("tos.rtd",,$A$2,"."&amp;B$2&amp;B$1&amp;"P"&amp;$A11))</f>
        <v>0</v>
      </c>
      <c r="C11" s="91">
        <f ca="1">IF(RTD("tos.rtd",,$A$2,"."&amp;C$2&amp;C$1&amp;"C"&amp;$A11)="N/A",0,RTD("tos.rtd",,$A$2,"."&amp;C$2&amp;C$1&amp;"C"&amp;$A11))-IF(RTD("tos.rtd",,$A$2,"."&amp;C$2&amp;C$1&amp;"P"&amp;$A11)="N/A",0,RTD("tos.rtd",,$A$2,"."&amp;C$2&amp;C$1&amp;"P"&amp;$A11))</f>
        <v>0</v>
      </c>
      <c r="D11" s="91">
        <f ca="1">IF(RTD("tos.rtd",,$A$2,"."&amp;D$2&amp;D$1&amp;"C"&amp;$A11)="N/A",0,RTD("tos.rtd",,$A$2,"."&amp;D$2&amp;D$1&amp;"C"&amp;$A11))-IF(RTD("tos.rtd",,$A$2,"."&amp;D$2&amp;D$1&amp;"P"&amp;$A11)="N/A",0,RTD("tos.rtd",,$A$2,"."&amp;D$2&amp;D$1&amp;"P"&amp;$A11))</f>
        <v>0</v>
      </c>
      <c r="E11" s="91">
        <f ca="1">IF(RTD("tos.rtd",,$A$2,"."&amp;E$2&amp;E$1&amp;"C"&amp;$A11)="N/A",0,RTD("tos.rtd",,$A$2,"."&amp;E$2&amp;E$1&amp;"C"&amp;$A11))-IF(RTD("tos.rtd",,$A$2,"."&amp;E$2&amp;E$1&amp;"P"&amp;$A11)="N/A",0,RTD("tos.rtd",,$A$2,"."&amp;E$2&amp;E$1&amp;"P"&amp;$A11))</f>
        <v>0</v>
      </c>
      <c r="F11" s="91">
        <f ca="1">IF(RTD("tos.rtd",,$A$2,"."&amp;F$2&amp;F$1&amp;"C"&amp;$A11)="N/A",0,RTD("tos.rtd",,$A$2,"."&amp;F$2&amp;F$1&amp;"C"&amp;$A11))-IF(RTD("tos.rtd",,$A$2,"."&amp;F$2&amp;F$1&amp;"P"&amp;$A11)="N/A",0,RTD("tos.rtd",,$A$2,"."&amp;F$2&amp;F$1&amp;"P"&amp;$A11))</f>
        <v>0</v>
      </c>
      <c r="G11" s="91">
        <f ca="1">IF(RTD("tos.rtd",,$A$2,"."&amp;G$2&amp;G$1&amp;"C"&amp;$A11)="N/A",0,RTD("tos.rtd",,$A$2,"."&amp;G$2&amp;G$1&amp;"C"&amp;$A11))-IF(RTD("tos.rtd",,$A$2,"."&amp;G$2&amp;G$1&amp;"P"&amp;$A11)="N/A",0,RTD("tos.rtd",,$A$2,"."&amp;G$2&amp;G$1&amp;"P"&amp;$A11))</f>
        <v>0</v>
      </c>
      <c r="H11" s="91">
        <f ca="1">IF(RTD("tos.rtd",,$A$2,"."&amp;H$2&amp;H$1&amp;"C"&amp;$A11)="N/A",0,RTD("tos.rtd",,$A$2,"."&amp;H$2&amp;H$1&amp;"C"&amp;$A11))-IF(RTD("tos.rtd",,$A$2,"."&amp;H$2&amp;H$1&amp;"P"&amp;$A11)="N/A",0,RTD("tos.rtd",,$A$2,"."&amp;H$2&amp;H$1&amp;"P"&amp;$A11))</f>
        <v>401</v>
      </c>
      <c r="I11" s="91">
        <f ca="1">IF(RTD("tos.rtd",,$A$2,"."&amp;I$2&amp;I$1&amp;"C"&amp;$A11)="N/A",0,RTD("tos.rtd",,$A$2,"."&amp;I$2&amp;I$1&amp;"C"&amp;$A11))-IF(RTD("tos.rtd",,$A$2,"."&amp;I$2&amp;I$1&amp;"P"&amp;$A11)="N/A",0,RTD("tos.rtd",,$A$2,"."&amp;I$2&amp;I$1&amp;"P"&amp;$A11))</f>
        <v>342</v>
      </c>
      <c r="J11" s="91">
        <f ca="1">IF(RTD("tos.rtd",,$A$2,"."&amp;J$2&amp;J$1&amp;"C"&amp;$A11)="N/A",0,RTD("tos.rtd",,$A$2,"."&amp;J$2&amp;J$1&amp;"C"&amp;$A11))-IF(RTD("tos.rtd",,$A$2,"."&amp;J$2&amp;J$1&amp;"P"&amp;$A11)="N/A",0,RTD("tos.rtd",,$A$2,"."&amp;J$2&amp;J$1&amp;"P"&amp;$A11))</f>
        <v>207</v>
      </c>
      <c r="K11" s="91">
        <f ca="1">IF(RTD("tos.rtd",,$A$2,"."&amp;K$2&amp;K$1&amp;"C"&amp;$A11)="N/A",0,RTD("tos.rtd",,$A$2,"."&amp;K$2&amp;K$1&amp;"C"&amp;$A11))-IF(RTD("tos.rtd",,$A$2,"."&amp;K$2&amp;K$1&amp;"P"&amp;$A11)="N/A",0,RTD("tos.rtd",,$A$2,"."&amp;K$2&amp;K$1&amp;"P"&amp;$A11))</f>
        <v>360</v>
      </c>
      <c r="L11" s="91">
        <f ca="1">IF(RTD("tos.rtd",,$A$2,"."&amp;L$2&amp;L$1&amp;"C"&amp;$A11)="N/A",0,RTD("tos.rtd",,$A$2,"."&amp;L$2&amp;L$1&amp;"C"&amp;$A11))-IF(RTD("tos.rtd",,$A$2,"."&amp;L$2&amp;L$1&amp;"P"&amp;$A11)="N/A",0,RTD("tos.rtd",,$A$2,"."&amp;L$2&amp;L$1&amp;"P"&amp;$A11))</f>
        <v>12</v>
      </c>
      <c r="M11" s="91">
        <f ca="1">IF(RTD("tos.rtd",,$A$2,"."&amp;M$2&amp;M$1&amp;"C"&amp;$A11)="N/A",0,RTD("tos.rtd",,$A$2,"."&amp;M$2&amp;M$1&amp;"C"&amp;$A11))-IF(RTD("tos.rtd",,$A$2,"."&amp;M$2&amp;M$1&amp;"P"&amp;$A11)="N/A",0,RTD("tos.rtd",,$A$2,"."&amp;M$2&amp;M$1&amp;"P"&amp;$A11))</f>
        <v>0</v>
      </c>
      <c r="N11" s="91">
        <f ca="1">IF(RTD("tos.rtd",,$A$2,"."&amp;N$2&amp;N$1&amp;"C"&amp;$A11)="N/A",0,RTD("tos.rtd",,$A$2,"."&amp;N$2&amp;N$1&amp;"C"&amp;$A11))-IF(RTD("tos.rtd",,$A$2,"."&amp;N$2&amp;N$1&amp;"P"&amp;$A11)="N/A",0,RTD("tos.rtd",,$A$2,"."&amp;N$2&amp;N$1&amp;"P"&amp;$A11))</f>
        <v>0</v>
      </c>
      <c r="O11" s="91">
        <f ca="1">IF(RTD("tos.rtd",,$A$2,"."&amp;O$2&amp;O$1&amp;"C"&amp;$A11)="N/A",0,RTD("tos.rtd",,$A$2,"."&amp;O$2&amp;O$1&amp;"C"&amp;$A11))-IF(RTD("tos.rtd",,$A$2,"."&amp;O$2&amp;O$1&amp;"P"&amp;$A11)="N/A",0,RTD("tos.rtd",,$A$2,"."&amp;O$2&amp;O$1&amp;"P"&amp;$A11))</f>
        <v>95</v>
      </c>
      <c r="P11" s="91">
        <f ca="1">IF(RTD("tos.rtd",,$A$2,"."&amp;P$2&amp;P$1&amp;"C"&amp;$A11)="N/A",0,RTD("tos.rtd",,$A$2,"."&amp;P$2&amp;P$1&amp;"C"&amp;$A11))-IF(RTD("tos.rtd",,$A$2,"."&amp;P$2&amp;P$1&amp;"P"&amp;$A11)="N/A",0,RTD("tos.rtd",,$A$2,"."&amp;P$2&amp;P$1&amp;"P"&amp;$A11))</f>
        <v>0</v>
      </c>
      <c r="Q11" s="91">
        <f ca="1">IF(RTD("tos.rtd",,$A$2,"."&amp;Q$2&amp;Q$1&amp;"C"&amp;$A11)="N/A",0,RTD("tos.rtd",,$A$2,"."&amp;Q$2&amp;Q$1&amp;"C"&amp;$A11))-IF(RTD("tos.rtd",,$A$2,"."&amp;Q$2&amp;Q$1&amp;"P"&amp;$A11)="N/A",0,RTD("tos.rtd",,$A$2,"."&amp;Q$2&amp;Q$1&amp;"P"&amp;$A11))</f>
        <v>0</v>
      </c>
      <c r="R11" s="91">
        <f ca="1">IF(RTD("tos.rtd",,$A$2,"."&amp;R$2&amp;R$1&amp;"C"&amp;$A11)="N/A",0,RTD("tos.rtd",,$A$2,"."&amp;R$2&amp;R$1&amp;"C"&amp;$A11))-IF(RTD("tos.rtd",,$A$2,"."&amp;R$2&amp;R$1&amp;"P"&amp;$A11)="N/A",0,RTD("tos.rtd",,$A$2,"."&amp;R$2&amp;R$1&amp;"P"&amp;$A11))</f>
        <v>0</v>
      </c>
      <c r="S11" s="91">
        <f ca="1">IF(RTD("tos.rtd",,$A$2,"."&amp;S$2&amp;S$1&amp;"C"&amp;$A11)="N/A",0,RTD("tos.rtd",,$A$2,"."&amp;S$2&amp;S$1&amp;"C"&amp;$A11))-IF(RTD("tos.rtd",,$A$2,"."&amp;S$2&amp;S$1&amp;"P"&amp;$A11)="N/A",0,RTD("tos.rtd",,$A$2,"."&amp;S$2&amp;S$1&amp;"P"&amp;$A11))</f>
        <v>0</v>
      </c>
      <c r="T11" s="91">
        <f ca="1">IF(RTD("tos.rtd",,$A$2,"."&amp;T$2&amp;T$1&amp;"C"&amp;$A11)="N/A",0,RTD("tos.rtd",,$A$2,"."&amp;T$2&amp;T$1&amp;"C"&amp;$A11))-IF(RTD("tos.rtd",,$A$2,"."&amp;T$2&amp;T$1&amp;"P"&amp;$A11)="N/A",0,RTD("tos.rtd",,$A$2,"."&amp;T$2&amp;T$1&amp;"P"&amp;$A11))</f>
        <v>0</v>
      </c>
      <c r="U11" s="91">
        <f ca="1">IF(RTD("tos.rtd",,$A$2,"."&amp;U$2&amp;U$1&amp;"C"&amp;$A11)="N/A",0,RTD("tos.rtd",,$A$2,"."&amp;U$2&amp;U$1&amp;"C"&amp;$A11))-IF(RTD("tos.rtd",,$A$2,"."&amp;U$2&amp;U$1&amp;"P"&amp;$A11)="N/A",0,RTD("tos.rtd",,$A$2,"."&amp;U$2&amp;U$1&amp;"P"&amp;$A11))</f>
        <v>0</v>
      </c>
      <c r="V11" s="91">
        <f ca="1">IF(RTD("tos.rtd",,$A$2,"."&amp;V$2&amp;V$1&amp;"C"&amp;$A11)="N/A",0,RTD("tos.rtd",,$A$2,"."&amp;V$2&amp;V$1&amp;"C"&amp;$A11))-IF(RTD("tos.rtd",,$A$2,"."&amp;V$2&amp;V$1&amp;"P"&amp;$A11)="N/A",0,RTD("tos.rtd",,$A$2,"."&amp;V$2&amp;V$1&amp;"P"&amp;$A11))</f>
        <v>0</v>
      </c>
      <c r="W11" s="91">
        <f ca="1">IF(RTD("tos.rtd",,$A$2,"."&amp;W$2&amp;W$1&amp;"C"&amp;$A11)="N/A",0,RTD("tos.rtd",,$A$2,"."&amp;W$2&amp;W$1&amp;"C"&amp;$A11))-IF(RTD("tos.rtd",,$A$2,"."&amp;W$2&amp;W$1&amp;"P"&amp;$A11)="N/A",0,RTD("tos.rtd",,$A$2,"."&amp;W$2&amp;W$1&amp;"P"&amp;$A11))</f>
        <v>0</v>
      </c>
      <c r="X11" s="91">
        <f ca="1">IF(RTD("tos.rtd",,$A$2,"."&amp;X$2&amp;X$1&amp;"C"&amp;$A11)="N/A",0,RTD("tos.rtd",,$A$2,"."&amp;X$2&amp;X$1&amp;"C"&amp;$A11))-IF(RTD("tos.rtd",,$A$2,"."&amp;X$2&amp;X$1&amp;"P"&amp;$A11)="N/A",0,RTD("tos.rtd",,$A$2,"."&amp;X$2&amp;X$1&amp;"P"&amp;$A11))</f>
        <v>0</v>
      </c>
      <c r="Y11" s="98">
        <f t="shared" ca="1" si="3"/>
        <v>1417</v>
      </c>
    </row>
    <row r="12" spans="1:25" x14ac:dyDescent="0.25">
      <c r="A12" s="93">
        <f>+Hoja1!A11</f>
        <v>575</v>
      </c>
      <c r="B12" s="91">
        <f ca="1">IF(RTD("tos.rtd",,$A$2,"."&amp;B$2&amp;B$1&amp;"C"&amp;$A12)="N/A",0,RTD("tos.rtd",,$A$2,"."&amp;B$2&amp;B$1&amp;"C"&amp;$A12))-IF(RTD("tos.rtd",,$A$2,"."&amp;B$2&amp;B$1&amp;"P"&amp;$A12)="N/A",0,RTD("tos.rtd",,$A$2,"."&amp;B$2&amp;B$1&amp;"P"&amp;$A12))</f>
        <v>0</v>
      </c>
      <c r="C12" s="91">
        <f ca="1">IF(RTD("tos.rtd",,$A$2,"."&amp;C$2&amp;C$1&amp;"C"&amp;$A12)="N/A",0,RTD("tos.rtd",,$A$2,"."&amp;C$2&amp;C$1&amp;"C"&amp;$A12))-IF(RTD("tos.rtd",,$A$2,"."&amp;C$2&amp;C$1&amp;"P"&amp;$A12)="N/A",0,RTD("tos.rtd",,$A$2,"."&amp;C$2&amp;C$1&amp;"P"&amp;$A12))</f>
        <v>0</v>
      </c>
      <c r="D12" s="91">
        <f ca="1">IF(RTD("tos.rtd",,$A$2,"."&amp;D$2&amp;D$1&amp;"C"&amp;$A12)="N/A",0,RTD("tos.rtd",,$A$2,"."&amp;D$2&amp;D$1&amp;"C"&amp;$A12))-IF(RTD("tos.rtd",,$A$2,"."&amp;D$2&amp;D$1&amp;"P"&amp;$A12)="N/A",0,RTD("tos.rtd",,$A$2,"."&amp;D$2&amp;D$1&amp;"P"&amp;$A12))</f>
        <v>0</v>
      </c>
      <c r="E12" s="91">
        <f ca="1">IF(RTD("tos.rtd",,$A$2,"."&amp;E$2&amp;E$1&amp;"C"&amp;$A12)="N/A",0,RTD("tos.rtd",,$A$2,"."&amp;E$2&amp;E$1&amp;"C"&amp;$A12))-IF(RTD("tos.rtd",,$A$2,"."&amp;E$2&amp;E$1&amp;"P"&amp;$A12)="N/A",0,RTD("tos.rtd",,$A$2,"."&amp;E$2&amp;E$1&amp;"P"&amp;$A12))</f>
        <v>0</v>
      </c>
      <c r="F12" s="91">
        <f ca="1">IF(RTD("tos.rtd",,$A$2,"."&amp;F$2&amp;F$1&amp;"C"&amp;$A12)="N/A",0,RTD("tos.rtd",,$A$2,"."&amp;F$2&amp;F$1&amp;"C"&amp;$A12))-IF(RTD("tos.rtd",,$A$2,"."&amp;F$2&amp;F$1&amp;"P"&amp;$A12)="N/A",0,RTD("tos.rtd",,$A$2,"."&amp;F$2&amp;F$1&amp;"P"&amp;$A12))</f>
        <v>0</v>
      </c>
      <c r="G12" s="91">
        <f ca="1">IF(RTD("tos.rtd",,$A$2,"."&amp;G$2&amp;G$1&amp;"C"&amp;$A12)="N/A",0,RTD("tos.rtd",,$A$2,"."&amp;G$2&amp;G$1&amp;"C"&amp;$A12))-IF(RTD("tos.rtd",,$A$2,"."&amp;G$2&amp;G$1&amp;"P"&amp;$A12)="N/A",0,RTD("tos.rtd",,$A$2,"."&amp;G$2&amp;G$1&amp;"P"&amp;$A12))</f>
        <v>0</v>
      </c>
      <c r="H12" s="91">
        <f ca="1">IF(RTD("tos.rtd",,$A$2,"."&amp;H$2&amp;H$1&amp;"C"&amp;$A12)="N/A",0,RTD("tos.rtd",,$A$2,"."&amp;H$2&amp;H$1&amp;"C"&amp;$A12))-IF(RTD("tos.rtd",,$A$2,"."&amp;H$2&amp;H$1&amp;"P"&amp;$A12)="N/A",0,RTD("tos.rtd",,$A$2,"."&amp;H$2&amp;H$1&amp;"P"&amp;$A12))</f>
        <v>978</v>
      </c>
      <c r="I12" s="91">
        <f ca="1">IF(RTD("tos.rtd",,$A$2,"."&amp;I$2&amp;I$1&amp;"C"&amp;$A12)="N/A",0,RTD("tos.rtd",,$A$2,"."&amp;I$2&amp;I$1&amp;"C"&amp;$A12))-IF(RTD("tos.rtd",,$A$2,"."&amp;I$2&amp;I$1&amp;"P"&amp;$A12)="N/A",0,RTD("tos.rtd",,$A$2,"."&amp;I$2&amp;I$1&amp;"P"&amp;$A12))</f>
        <v>2397</v>
      </c>
      <c r="J12" s="91">
        <f ca="1">IF(RTD("tos.rtd",,$A$2,"."&amp;J$2&amp;J$1&amp;"C"&amp;$A12)="N/A",0,RTD("tos.rtd",,$A$2,"."&amp;J$2&amp;J$1&amp;"C"&amp;$A12))-IF(RTD("tos.rtd",,$A$2,"."&amp;J$2&amp;J$1&amp;"P"&amp;$A12)="N/A",0,RTD("tos.rtd",,$A$2,"."&amp;J$2&amp;J$1&amp;"P"&amp;$A12))</f>
        <v>537</v>
      </c>
      <c r="K12" s="91">
        <f ca="1">IF(RTD("tos.rtd",,$A$2,"."&amp;K$2&amp;K$1&amp;"C"&amp;$A12)="N/A",0,RTD("tos.rtd",,$A$2,"."&amp;K$2&amp;K$1&amp;"C"&amp;$A12))-IF(RTD("tos.rtd",,$A$2,"."&amp;K$2&amp;K$1&amp;"P"&amp;$A12)="N/A",0,RTD("tos.rtd",,$A$2,"."&amp;K$2&amp;K$1&amp;"P"&amp;$A12))</f>
        <v>2945</v>
      </c>
      <c r="L12" s="91">
        <f ca="1">IF(RTD("tos.rtd",,$A$2,"."&amp;L$2&amp;L$1&amp;"C"&amp;$A12)="N/A",0,RTD("tos.rtd",,$A$2,"."&amp;L$2&amp;L$1&amp;"C"&amp;$A12))-IF(RTD("tos.rtd",,$A$2,"."&amp;L$2&amp;L$1&amp;"P"&amp;$A12)="N/A",0,RTD("tos.rtd",,$A$2,"."&amp;L$2&amp;L$1&amp;"P"&amp;$A12))</f>
        <v>363</v>
      </c>
      <c r="M12" s="91">
        <f ca="1">IF(RTD("tos.rtd",,$A$2,"."&amp;M$2&amp;M$1&amp;"C"&amp;$A12)="N/A",0,RTD("tos.rtd",,$A$2,"."&amp;M$2&amp;M$1&amp;"C"&amp;$A12))-IF(RTD("tos.rtd",,$A$2,"."&amp;M$2&amp;M$1&amp;"P"&amp;$A12)="N/A",0,RTD("tos.rtd",,$A$2,"."&amp;M$2&amp;M$1&amp;"P"&amp;$A12))</f>
        <v>537</v>
      </c>
      <c r="N12" s="91">
        <f ca="1">IF(RTD("tos.rtd",,$A$2,"."&amp;N$2&amp;N$1&amp;"C"&amp;$A12)="N/A",0,RTD("tos.rtd",,$A$2,"."&amp;N$2&amp;N$1&amp;"C"&amp;$A12))-IF(RTD("tos.rtd",,$A$2,"."&amp;N$2&amp;N$1&amp;"P"&amp;$A12)="N/A",0,RTD("tos.rtd",,$A$2,"."&amp;N$2&amp;N$1&amp;"P"&amp;$A12))</f>
        <v>106</v>
      </c>
      <c r="O12" s="91">
        <f ca="1">IF(RTD("tos.rtd",,$A$2,"."&amp;O$2&amp;O$1&amp;"C"&amp;$A12)="N/A",0,RTD("tos.rtd",,$A$2,"."&amp;O$2&amp;O$1&amp;"C"&amp;$A12))-IF(RTD("tos.rtd",,$A$2,"."&amp;O$2&amp;O$1&amp;"P"&amp;$A12)="N/A",0,RTD("tos.rtd",,$A$2,"."&amp;O$2&amp;O$1&amp;"P"&amp;$A12))</f>
        <v>155</v>
      </c>
      <c r="P12" s="91">
        <f ca="1">IF(RTD("tos.rtd",,$A$2,"."&amp;P$2&amp;P$1&amp;"C"&amp;$A12)="N/A",0,RTD("tos.rtd",,$A$2,"."&amp;P$2&amp;P$1&amp;"C"&amp;$A12))-IF(RTD("tos.rtd",,$A$2,"."&amp;P$2&amp;P$1&amp;"P"&amp;$A12)="N/A",0,RTD("tos.rtd",,$A$2,"."&amp;P$2&amp;P$1&amp;"P"&amp;$A12))</f>
        <v>-2</v>
      </c>
      <c r="Q12" s="91">
        <f ca="1">IF(RTD("tos.rtd",,$A$2,"."&amp;Q$2&amp;Q$1&amp;"C"&amp;$A12)="N/A",0,RTD("tos.rtd",,$A$2,"."&amp;Q$2&amp;Q$1&amp;"C"&amp;$A12))-IF(RTD("tos.rtd",,$A$2,"."&amp;Q$2&amp;Q$1&amp;"P"&amp;$A12)="N/A",0,RTD("tos.rtd",,$A$2,"."&amp;Q$2&amp;Q$1&amp;"P"&amp;$A12))</f>
        <v>103</v>
      </c>
      <c r="R12" s="91">
        <f ca="1">IF(RTD("tos.rtd",,$A$2,"."&amp;R$2&amp;R$1&amp;"C"&amp;$A12)="N/A",0,RTD("tos.rtd",,$A$2,"."&amp;R$2&amp;R$1&amp;"C"&amp;$A12))-IF(RTD("tos.rtd",,$A$2,"."&amp;R$2&amp;R$1&amp;"P"&amp;$A12)="N/A",0,RTD("tos.rtd",,$A$2,"."&amp;R$2&amp;R$1&amp;"P"&amp;$A12))</f>
        <v>24</v>
      </c>
      <c r="S12" s="91">
        <f ca="1">IF(RTD("tos.rtd",,$A$2,"."&amp;S$2&amp;S$1&amp;"C"&amp;$A12)="N/A",0,RTD("tos.rtd",,$A$2,"."&amp;S$2&amp;S$1&amp;"C"&amp;$A12))-IF(RTD("tos.rtd",,$A$2,"."&amp;S$2&amp;S$1&amp;"P"&amp;$A12)="N/A",0,RTD("tos.rtd",,$A$2,"."&amp;S$2&amp;S$1&amp;"P"&amp;$A12))</f>
        <v>0</v>
      </c>
      <c r="T12" s="91">
        <f ca="1">IF(RTD("tos.rtd",,$A$2,"."&amp;T$2&amp;T$1&amp;"C"&amp;$A12)="N/A",0,RTD("tos.rtd",,$A$2,"."&amp;T$2&amp;T$1&amp;"C"&amp;$A12))-IF(RTD("tos.rtd",,$A$2,"."&amp;T$2&amp;T$1&amp;"P"&amp;$A12)="N/A",0,RTD("tos.rtd",,$A$2,"."&amp;T$2&amp;T$1&amp;"P"&amp;$A12))</f>
        <v>-1</v>
      </c>
      <c r="U12" s="91">
        <f ca="1">IF(RTD("tos.rtd",,$A$2,"."&amp;U$2&amp;U$1&amp;"C"&amp;$A12)="N/A",0,RTD("tos.rtd",,$A$2,"."&amp;U$2&amp;U$1&amp;"C"&amp;$A12))-IF(RTD("tos.rtd",,$A$2,"."&amp;U$2&amp;U$1&amp;"P"&amp;$A12)="N/A",0,RTD("tos.rtd",,$A$2,"."&amp;U$2&amp;U$1&amp;"P"&amp;$A12))</f>
        <v>0</v>
      </c>
      <c r="V12" s="91">
        <f ca="1">IF(RTD("tos.rtd",,$A$2,"."&amp;V$2&amp;V$1&amp;"C"&amp;$A12)="N/A",0,RTD("tos.rtd",,$A$2,"."&amp;V$2&amp;V$1&amp;"C"&amp;$A12))-IF(RTD("tos.rtd",,$A$2,"."&amp;V$2&amp;V$1&amp;"P"&amp;$A12)="N/A",0,RTD("tos.rtd",,$A$2,"."&amp;V$2&amp;V$1&amp;"P"&amp;$A12))</f>
        <v>0</v>
      </c>
      <c r="W12" s="91">
        <f ca="1">IF(RTD("tos.rtd",,$A$2,"."&amp;W$2&amp;W$1&amp;"C"&amp;$A12)="N/A",0,RTD("tos.rtd",,$A$2,"."&amp;W$2&amp;W$1&amp;"C"&amp;$A12))-IF(RTD("tos.rtd",,$A$2,"."&amp;W$2&amp;W$1&amp;"P"&amp;$A12)="N/A",0,RTD("tos.rtd",,$A$2,"."&amp;W$2&amp;W$1&amp;"P"&amp;$A12))</f>
        <v>-8</v>
      </c>
      <c r="X12" s="91">
        <f ca="1">IF(RTD("tos.rtd",,$A$2,"."&amp;X$2&amp;X$1&amp;"C"&amp;$A12)="N/A",0,RTD("tos.rtd",,$A$2,"."&amp;X$2&amp;X$1&amp;"C"&amp;$A12))-IF(RTD("tos.rtd",,$A$2,"."&amp;X$2&amp;X$1&amp;"P"&amp;$A12)="N/A",0,RTD("tos.rtd",,$A$2,"."&amp;X$2&amp;X$1&amp;"P"&amp;$A12))</f>
        <v>-80</v>
      </c>
      <c r="Y12" s="98">
        <f t="shared" ca="1" si="3"/>
        <v>8054</v>
      </c>
    </row>
    <row r="13" spans="1:25" x14ac:dyDescent="0.25">
      <c r="A13" s="93">
        <f>+Hoja1!A12</f>
        <v>574</v>
      </c>
      <c r="B13" s="91">
        <f ca="1">IF(RTD("tos.rtd",,$A$2,"."&amp;B$2&amp;B$1&amp;"C"&amp;$A13)="N/A",0,RTD("tos.rtd",,$A$2,"."&amp;B$2&amp;B$1&amp;"C"&amp;$A13))-IF(RTD("tos.rtd",,$A$2,"."&amp;B$2&amp;B$1&amp;"P"&amp;$A13)="N/A",0,RTD("tos.rtd",,$A$2,"."&amp;B$2&amp;B$1&amp;"P"&amp;$A13))</f>
        <v>0</v>
      </c>
      <c r="C13" s="91">
        <f ca="1">IF(RTD("tos.rtd",,$A$2,"."&amp;C$2&amp;C$1&amp;"C"&amp;$A13)="N/A",0,RTD("tos.rtd",,$A$2,"."&amp;C$2&amp;C$1&amp;"C"&amp;$A13))-IF(RTD("tos.rtd",,$A$2,"."&amp;C$2&amp;C$1&amp;"P"&amp;$A13)="N/A",0,RTD("tos.rtd",,$A$2,"."&amp;C$2&amp;C$1&amp;"P"&amp;$A13))</f>
        <v>0</v>
      </c>
      <c r="D13" s="91">
        <f ca="1">IF(RTD("tos.rtd",,$A$2,"."&amp;D$2&amp;D$1&amp;"C"&amp;$A13)="N/A",0,RTD("tos.rtd",,$A$2,"."&amp;D$2&amp;D$1&amp;"C"&amp;$A13))-IF(RTD("tos.rtd",,$A$2,"."&amp;D$2&amp;D$1&amp;"P"&amp;$A13)="N/A",0,RTD("tos.rtd",,$A$2,"."&amp;D$2&amp;D$1&amp;"P"&amp;$A13))</f>
        <v>0</v>
      </c>
      <c r="E13" s="91">
        <f ca="1">IF(RTD("tos.rtd",,$A$2,"."&amp;E$2&amp;E$1&amp;"C"&amp;$A13)="N/A",0,RTD("tos.rtd",,$A$2,"."&amp;E$2&amp;E$1&amp;"C"&amp;$A13))-IF(RTD("tos.rtd",,$A$2,"."&amp;E$2&amp;E$1&amp;"P"&amp;$A13)="N/A",0,RTD("tos.rtd",,$A$2,"."&amp;E$2&amp;E$1&amp;"P"&amp;$A13))</f>
        <v>0</v>
      </c>
      <c r="F13" s="91">
        <f ca="1">IF(RTD("tos.rtd",,$A$2,"."&amp;F$2&amp;F$1&amp;"C"&amp;$A13)="N/A",0,RTD("tos.rtd",,$A$2,"."&amp;F$2&amp;F$1&amp;"C"&amp;$A13))-IF(RTD("tos.rtd",,$A$2,"."&amp;F$2&amp;F$1&amp;"P"&amp;$A13)="N/A",0,RTD("tos.rtd",,$A$2,"."&amp;F$2&amp;F$1&amp;"P"&amp;$A13))</f>
        <v>0</v>
      </c>
      <c r="G13" s="91">
        <f ca="1">IF(RTD("tos.rtd",,$A$2,"."&amp;G$2&amp;G$1&amp;"C"&amp;$A13)="N/A",0,RTD("tos.rtd",,$A$2,"."&amp;G$2&amp;G$1&amp;"C"&amp;$A13))-IF(RTD("tos.rtd",,$A$2,"."&amp;G$2&amp;G$1&amp;"P"&amp;$A13)="N/A",0,RTD("tos.rtd",,$A$2,"."&amp;G$2&amp;G$1&amp;"P"&amp;$A13))</f>
        <v>0</v>
      </c>
      <c r="H13" s="91">
        <f ca="1">IF(RTD("tos.rtd",,$A$2,"."&amp;H$2&amp;H$1&amp;"C"&amp;$A13)="N/A",0,RTD("tos.rtd",,$A$2,"."&amp;H$2&amp;H$1&amp;"C"&amp;$A13))-IF(RTD("tos.rtd",,$A$2,"."&amp;H$2&amp;H$1&amp;"P"&amp;$A13)="N/A",0,RTD("tos.rtd",,$A$2,"."&amp;H$2&amp;H$1&amp;"P"&amp;$A13))</f>
        <v>113</v>
      </c>
      <c r="I13" s="91">
        <f ca="1">IF(RTD("tos.rtd",,$A$2,"."&amp;I$2&amp;I$1&amp;"C"&amp;$A13)="N/A",0,RTD("tos.rtd",,$A$2,"."&amp;I$2&amp;I$1&amp;"C"&amp;$A13))-IF(RTD("tos.rtd",,$A$2,"."&amp;I$2&amp;I$1&amp;"P"&amp;$A13)="N/A",0,RTD("tos.rtd",,$A$2,"."&amp;I$2&amp;I$1&amp;"P"&amp;$A13))</f>
        <v>374</v>
      </c>
      <c r="J13" s="91">
        <f ca="1">IF(RTD("tos.rtd",,$A$2,"."&amp;J$2&amp;J$1&amp;"C"&amp;$A13)="N/A",0,RTD("tos.rtd",,$A$2,"."&amp;J$2&amp;J$1&amp;"C"&amp;$A13))-IF(RTD("tos.rtd",,$A$2,"."&amp;J$2&amp;J$1&amp;"P"&amp;$A13)="N/A",0,RTD("tos.rtd",,$A$2,"."&amp;J$2&amp;J$1&amp;"P"&amp;$A13))</f>
        <v>116</v>
      </c>
      <c r="K13" s="91">
        <f ca="1">IF(RTD("tos.rtd",,$A$2,"."&amp;K$2&amp;K$1&amp;"C"&amp;$A13)="N/A",0,RTD("tos.rtd",,$A$2,"."&amp;K$2&amp;K$1&amp;"C"&amp;$A13))-IF(RTD("tos.rtd",,$A$2,"."&amp;K$2&amp;K$1&amp;"P"&amp;$A13)="N/A",0,RTD("tos.rtd",,$A$2,"."&amp;K$2&amp;K$1&amp;"P"&amp;$A13))</f>
        <v>69</v>
      </c>
      <c r="L13" s="91">
        <f ca="1">IF(RTD("tos.rtd",,$A$2,"."&amp;L$2&amp;L$1&amp;"C"&amp;$A13)="N/A",0,RTD("tos.rtd",,$A$2,"."&amp;L$2&amp;L$1&amp;"C"&amp;$A13))-IF(RTD("tos.rtd",,$A$2,"."&amp;L$2&amp;L$1&amp;"P"&amp;$A13)="N/A",0,RTD("tos.rtd",,$A$2,"."&amp;L$2&amp;L$1&amp;"P"&amp;$A13))</f>
        <v>18</v>
      </c>
      <c r="M13" s="91">
        <f ca="1">IF(RTD("tos.rtd",,$A$2,"."&amp;M$2&amp;M$1&amp;"C"&amp;$A13)="N/A",0,RTD("tos.rtd",,$A$2,"."&amp;M$2&amp;M$1&amp;"C"&amp;$A13))-IF(RTD("tos.rtd",,$A$2,"."&amp;M$2&amp;M$1&amp;"P"&amp;$A13)="N/A",0,RTD("tos.rtd",,$A$2,"."&amp;M$2&amp;M$1&amp;"P"&amp;$A13))</f>
        <v>0</v>
      </c>
      <c r="N13" s="91">
        <f ca="1">IF(RTD("tos.rtd",,$A$2,"."&amp;N$2&amp;N$1&amp;"C"&amp;$A13)="N/A",0,RTD("tos.rtd",,$A$2,"."&amp;N$2&amp;N$1&amp;"C"&amp;$A13))-IF(RTD("tos.rtd",,$A$2,"."&amp;N$2&amp;N$1&amp;"P"&amp;$A13)="N/A",0,RTD("tos.rtd",,$A$2,"."&amp;N$2&amp;N$1&amp;"P"&amp;$A13))</f>
        <v>6</v>
      </c>
      <c r="O13" s="91">
        <f ca="1">IF(RTD("tos.rtd",,$A$2,"."&amp;O$2&amp;O$1&amp;"C"&amp;$A13)="N/A",0,RTD("tos.rtd",,$A$2,"."&amp;O$2&amp;O$1&amp;"C"&amp;$A13))-IF(RTD("tos.rtd",,$A$2,"."&amp;O$2&amp;O$1&amp;"P"&amp;$A13)="N/A",0,RTD("tos.rtd",,$A$2,"."&amp;O$2&amp;O$1&amp;"P"&amp;$A13))</f>
        <v>9</v>
      </c>
      <c r="P13" s="91">
        <f ca="1">IF(RTD("tos.rtd",,$A$2,"."&amp;P$2&amp;P$1&amp;"C"&amp;$A13)="N/A",0,RTD("tos.rtd",,$A$2,"."&amp;P$2&amp;P$1&amp;"C"&amp;$A13))-IF(RTD("tos.rtd",,$A$2,"."&amp;P$2&amp;P$1&amp;"P"&amp;$A13)="N/A",0,RTD("tos.rtd",,$A$2,"."&amp;P$2&amp;P$1&amp;"P"&amp;$A13))</f>
        <v>-4</v>
      </c>
      <c r="Q13" s="91">
        <f ca="1">IF(RTD("tos.rtd",,$A$2,"."&amp;Q$2&amp;Q$1&amp;"C"&amp;$A13)="N/A",0,RTD("tos.rtd",,$A$2,"."&amp;Q$2&amp;Q$1&amp;"C"&amp;$A13))-IF(RTD("tos.rtd",,$A$2,"."&amp;Q$2&amp;Q$1&amp;"P"&amp;$A13)="N/A",0,RTD("tos.rtd",,$A$2,"."&amp;Q$2&amp;Q$1&amp;"P"&amp;$A13))</f>
        <v>0</v>
      </c>
      <c r="R13" s="91">
        <f ca="1">IF(RTD("tos.rtd",,$A$2,"."&amp;R$2&amp;R$1&amp;"C"&amp;$A13)="N/A",0,RTD("tos.rtd",,$A$2,"."&amp;R$2&amp;R$1&amp;"C"&amp;$A13))-IF(RTD("tos.rtd",,$A$2,"."&amp;R$2&amp;R$1&amp;"P"&amp;$A13)="N/A",0,RTD("tos.rtd",,$A$2,"."&amp;R$2&amp;R$1&amp;"P"&amp;$A13))</f>
        <v>-1</v>
      </c>
      <c r="S13" s="91">
        <f ca="1">IF(RTD("tos.rtd",,$A$2,"."&amp;S$2&amp;S$1&amp;"C"&amp;$A13)="N/A",0,RTD("tos.rtd",,$A$2,"."&amp;S$2&amp;S$1&amp;"C"&amp;$A13))-IF(RTD("tos.rtd",,$A$2,"."&amp;S$2&amp;S$1&amp;"P"&amp;$A13)="N/A",0,RTD("tos.rtd",,$A$2,"."&amp;S$2&amp;S$1&amp;"P"&amp;$A13))</f>
        <v>0</v>
      </c>
      <c r="T13" s="91">
        <f ca="1">IF(RTD("tos.rtd",,$A$2,"."&amp;T$2&amp;T$1&amp;"C"&amp;$A13)="N/A",0,RTD("tos.rtd",,$A$2,"."&amp;T$2&amp;T$1&amp;"C"&amp;$A13))-IF(RTD("tos.rtd",,$A$2,"."&amp;T$2&amp;T$1&amp;"P"&amp;$A13)="N/A",0,RTD("tos.rtd",,$A$2,"."&amp;T$2&amp;T$1&amp;"P"&amp;$A13))</f>
        <v>0</v>
      </c>
      <c r="U13" s="91">
        <f ca="1">IF(RTD("tos.rtd",,$A$2,"."&amp;U$2&amp;U$1&amp;"C"&amp;$A13)="N/A",0,RTD("tos.rtd",,$A$2,"."&amp;U$2&amp;U$1&amp;"C"&amp;$A13))-IF(RTD("tos.rtd",,$A$2,"."&amp;U$2&amp;U$1&amp;"P"&amp;$A13)="N/A",0,RTD("tos.rtd",,$A$2,"."&amp;U$2&amp;U$1&amp;"P"&amp;$A13))</f>
        <v>0</v>
      </c>
      <c r="V13" s="91">
        <f ca="1">IF(RTD("tos.rtd",,$A$2,"."&amp;V$2&amp;V$1&amp;"C"&amp;$A13)="N/A",0,RTD("tos.rtd",,$A$2,"."&amp;V$2&amp;V$1&amp;"C"&amp;$A13))-IF(RTD("tos.rtd",,$A$2,"."&amp;V$2&amp;V$1&amp;"P"&amp;$A13)="N/A",0,RTD("tos.rtd",,$A$2,"."&amp;V$2&amp;V$1&amp;"P"&amp;$A13))</f>
        <v>0</v>
      </c>
      <c r="W13" s="91">
        <f ca="1">IF(RTD("tos.rtd",,$A$2,"."&amp;W$2&amp;W$1&amp;"C"&amp;$A13)="N/A",0,RTD("tos.rtd",,$A$2,"."&amp;W$2&amp;W$1&amp;"C"&amp;$A13))-IF(RTD("tos.rtd",,$A$2,"."&amp;W$2&amp;W$1&amp;"P"&amp;$A13)="N/A",0,RTD("tos.rtd",,$A$2,"."&amp;W$2&amp;W$1&amp;"P"&amp;$A13))</f>
        <v>0</v>
      </c>
      <c r="X13" s="91">
        <f ca="1">IF(RTD("tos.rtd",,$A$2,"."&amp;X$2&amp;X$1&amp;"C"&amp;$A13)="N/A",0,RTD("tos.rtd",,$A$2,"."&amp;X$2&amp;X$1&amp;"C"&amp;$A13))-IF(RTD("tos.rtd",,$A$2,"."&amp;X$2&amp;X$1&amp;"P"&amp;$A13)="N/A",0,RTD("tos.rtd",,$A$2,"."&amp;X$2&amp;X$1&amp;"P"&amp;$A13))</f>
        <v>0</v>
      </c>
      <c r="Y13" s="98">
        <f t="shared" ca="1" si="3"/>
        <v>700</v>
      </c>
    </row>
    <row r="14" spans="1:25" x14ac:dyDescent="0.25">
      <c r="A14" s="93">
        <f>+Hoja1!A13</f>
        <v>573</v>
      </c>
      <c r="B14" s="91">
        <f ca="1">IF(RTD("tos.rtd",,$A$2,"."&amp;B$2&amp;B$1&amp;"C"&amp;$A14)="N/A",0,RTD("tos.rtd",,$A$2,"."&amp;B$2&amp;B$1&amp;"C"&amp;$A14))-IF(RTD("tos.rtd",,$A$2,"."&amp;B$2&amp;B$1&amp;"P"&amp;$A14)="N/A",0,RTD("tos.rtd",,$A$2,"."&amp;B$2&amp;B$1&amp;"P"&amp;$A14))</f>
        <v>0</v>
      </c>
      <c r="C14" s="91">
        <f ca="1">IF(RTD("tos.rtd",,$A$2,"."&amp;C$2&amp;C$1&amp;"C"&amp;$A14)="N/A",0,RTD("tos.rtd",,$A$2,"."&amp;C$2&amp;C$1&amp;"C"&amp;$A14))-IF(RTD("tos.rtd",,$A$2,"."&amp;C$2&amp;C$1&amp;"P"&amp;$A14)="N/A",0,RTD("tos.rtd",,$A$2,"."&amp;C$2&amp;C$1&amp;"P"&amp;$A14))</f>
        <v>0</v>
      </c>
      <c r="D14" s="91">
        <f ca="1">IF(RTD("tos.rtd",,$A$2,"."&amp;D$2&amp;D$1&amp;"C"&amp;$A14)="N/A",0,RTD("tos.rtd",,$A$2,"."&amp;D$2&amp;D$1&amp;"C"&amp;$A14))-IF(RTD("tos.rtd",,$A$2,"."&amp;D$2&amp;D$1&amp;"P"&amp;$A14)="N/A",0,RTD("tos.rtd",,$A$2,"."&amp;D$2&amp;D$1&amp;"P"&amp;$A14))</f>
        <v>0</v>
      </c>
      <c r="E14" s="91">
        <f ca="1">IF(RTD("tos.rtd",,$A$2,"."&amp;E$2&amp;E$1&amp;"C"&amp;$A14)="N/A",0,RTD("tos.rtd",,$A$2,"."&amp;E$2&amp;E$1&amp;"C"&amp;$A14))-IF(RTD("tos.rtd",,$A$2,"."&amp;E$2&amp;E$1&amp;"P"&amp;$A14)="N/A",0,RTD("tos.rtd",,$A$2,"."&amp;E$2&amp;E$1&amp;"P"&amp;$A14))</f>
        <v>0</v>
      </c>
      <c r="F14" s="91">
        <f ca="1">IF(RTD("tos.rtd",,$A$2,"."&amp;F$2&amp;F$1&amp;"C"&amp;$A14)="N/A",0,RTD("tos.rtd",,$A$2,"."&amp;F$2&amp;F$1&amp;"C"&amp;$A14))-IF(RTD("tos.rtd",,$A$2,"."&amp;F$2&amp;F$1&amp;"P"&amp;$A14)="N/A",0,RTD("tos.rtd",,$A$2,"."&amp;F$2&amp;F$1&amp;"P"&amp;$A14))</f>
        <v>0</v>
      </c>
      <c r="G14" s="91">
        <f ca="1">IF(RTD("tos.rtd",,$A$2,"."&amp;G$2&amp;G$1&amp;"C"&amp;$A14)="N/A",0,RTD("tos.rtd",,$A$2,"."&amp;G$2&amp;G$1&amp;"C"&amp;$A14))-IF(RTD("tos.rtd",,$A$2,"."&amp;G$2&amp;G$1&amp;"P"&amp;$A14)="N/A",0,RTD("tos.rtd",,$A$2,"."&amp;G$2&amp;G$1&amp;"P"&amp;$A14))</f>
        <v>0</v>
      </c>
      <c r="H14" s="91">
        <f ca="1">IF(RTD("tos.rtd",,$A$2,"."&amp;H$2&amp;H$1&amp;"C"&amp;$A14)="N/A",0,RTD("tos.rtd",,$A$2,"."&amp;H$2&amp;H$1&amp;"C"&amp;$A14))-IF(RTD("tos.rtd",,$A$2,"."&amp;H$2&amp;H$1&amp;"P"&amp;$A14)="N/A",0,RTD("tos.rtd",,$A$2,"."&amp;H$2&amp;H$1&amp;"P"&amp;$A14))</f>
        <v>152</v>
      </c>
      <c r="I14" s="91">
        <f ca="1">IF(RTD("tos.rtd",,$A$2,"."&amp;I$2&amp;I$1&amp;"C"&amp;$A14)="N/A",0,RTD("tos.rtd",,$A$2,"."&amp;I$2&amp;I$1&amp;"C"&amp;$A14))-IF(RTD("tos.rtd",,$A$2,"."&amp;I$2&amp;I$1&amp;"P"&amp;$A14)="N/A",0,RTD("tos.rtd",,$A$2,"."&amp;I$2&amp;I$1&amp;"P"&amp;$A14))</f>
        <v>861</v>
      </c>
      <c r="J14" s="91">
        <f ca="1">IF(RTD("tos.rtd",,$A$2,"."&amp;J$2&amp;J$1&amp;"C"&amp;$A14)="N/A",0,RTD("tos.rtd",,$A$2,"."&amp;J$2&amp;J$1&amp;"C"&amp;$A14))-IF(RTD("tos.rtd",,$A$2,"."&amp;J$2&amp;J$1&amp;"P"&amp;$A14)="N/A",0,RTD("tos.rtd",,$A$2,"."&amp;J$2&amp;J$1&amp;"P"&amp;$A14))</f>
        <v>204</v>
      </c>
      <c r="K14" s="91">
        <f ca="1">IF(RTD("tos.rtd",,$A$2,"."&amp;K$2&amp;K$1&amp;"C"&amp;$A14)="N/A",0,RTD("tos.rtd",,$A$2,"."&amp;K$2&amp;K$1&amp;"C"&amp;$A14))-IF(RTD("tos.rtd",,$A$2,"."&amp;K$2&amp;K$1&amp;"P"&amp;$A14)="N/A",0,RTD("tos.rtd",,$A$2,"."&amp;K$2&amp;K$1&amp;"P"&amp;$A14))</f>
        <v>160</v>
      </c>
      <c r="L14" s="91">
        <f ca="1">IF(RTD("tos.rtd",,$A$2,"."&amp;L$2&amp;L$1&amp;"C"&amp;$A14)="N/A",0,RTD("tos.rtd",,$A$2,"."&amp;L$2&amp;L$1&amp;"C"&amp;$A14))-IF(RTD("tos.rtd",,$A$2,"."&amp;L$2&amp;L$1&amp;"P"&amp;$A14)="N/A",0,RTD("tos.rtd",,$A$2,"."&amp;L$2&amp;L$1&amp;"P"&amp;$A14))</f>
        <v>43</v>
      </c>
      <c r="M14" s="91">
        <f ca="1">IF(RTD("tos.rtd",,$A$2,"."&amp;M$2&amp;M$1&amp;"C"&amp;$A14)="N/A",0,RTD("tos.rtd",,$A$2,"."&amp;M$2&amp;M$1&amp;"C"&amp;$A14))-IF(RTD("tos.rtd",,$A$2,"."&amp;M$2&amp;M$1&amp;"P"&amp;$A14)="N/A",0,RTD("tos.rtd",,$A$2,"."&amp;M$2&amp;M$1&amp;"P"&amp;$A14))</f>
        <v>0</v>
      </c>
      <c r="N14" s="91">
        <f ca="1">IF(RTD("tos.rtd",,$A$2,"."&amp;N$2&amp;N$1&amp;"C"&amp;$A14)="N/A",0,RTD("tos.rtd",,$A$2,"."&amp;N$2&amp;N$1&amp;"C"&amp;$A14))-IF(RTD("tos.rtd",,$A$2,"."&amp;N$2&amp;N$1&amp;"P"&amp;$A14)="N/A",0,RTD("tos.rtd",,$A$2,"."&amp;N$2&amp;N$1&amp;"P"&amp;$A14))</f>
        <v>0</v>
      </c>
      <c r="O14" s="91">
        <f ca="1">IF(RTD("tos.rtd",,$A$2,"."&amp;O$2&amp;O$1&amp;"C"&amp;$A14)="N/A",0,RTD("tos.rtd",,$A$2,"."&amp;O$2&amp;O$1&amp;"C"&amp;$A14))-IF(RTD("tos.rtd",,$A$2,"."&amp;O$2&amp;O$1&amp;"P"&amp;$A14)="N/A",0,RTD("tos.rtd",,$A$2,"."&amp;O$2&amp;O$1&amp;"P"&amp;$A14))</f>
        <v>9</v>
      </c>
      <c r="P14" s="91">
        <f ca="1">IF(RTD("tos.rtd",,$A$2,"."&amp;P$2&amp;P$1&amp;"C"&amp;$A14)="N/A",0,RTD("tos.rtd",,$A$2,"."&amp;P$2&amp;P$1&amp;"C"&amp;$A14))-IF(RTD("tos.rtd",,$A$2,"."&amp;P$2&amp;P$1&amp;"P"&amp;$A14)="N/A",0,RTD("tos.rtd",,$A$2,"."&amp;P$2&amp;P$1&amp;"P"&amp;$A14))</f>
        <v>6</v>
      </c>
      <c r="Q14" s="91">
        <f ca="1">IF(RTD("tos.rtd",,$A$2,"."&amp;Q$2&amp;Q$1&amp;"C"&amp;$A14)="N/A",0,RTD("tos.rtd",,$A$2,"."&amp;Q$2&amp;Q$1&amp;"C"&amp;$A14))-IF(RTD("tos.rtd",,$A$2,"."&amp;Q$2&amp;Q$1&amp;"P"&amp;$A14)="N/A",0,RTD("tos.rtd",,$A$2,"."&amp;Q$2&amp;Q$1&amp;"P"&amp;$A14))</f>
        <v>0</v>
      </c>
      <c r="R14" s="91">
        <f ca="1">IF(RTD("tos.rtd",,$A$2,"."&amp;R$2&amp;R$1&amp;"C"&amp;$A14)="N/A",0,RTD("tos.rtd",,$A$2,"."&amp;R$2&amp;R$1&amp;"C"&amp;$A14))-IF(RTD("tos.rtd",,$A$2,"."&amp;R$2&amp;R$1&amp;"P"&amp;$A14)="N/A",0,RTD("tos.rtd",,$A$2,"."&amp;R$2&amp;R$1&amp;"P"&amp;$A14))</f>
        <v>0</v>
      </c>
      <c r="S14" s="91">
        <f ca="1">IF(RTD("tos.rtd",,$A$2,"."&amp;S$2&amp;S$1&amp;"C"&amp;$A14)="N/A",0,RTD("tos.rtd",,$A$2,"."&amp;S$2&amp;S$1&amp;"C"&amp;$A14))-IF(RTD("tos.rtd",,$A$2,"."&amp;S$2&amp;S$1&amp;"P"&amp;$A14)="N/A",0,RTD("tos.rtd",,$A$2,"."&amp;S$2&amp;S$1&amp;"P"&amp;$A14))</f>
        <v>0</v>
      </c>
      <c r="T14" s="91">
        <f ca="1">IF(RTD("tos.rtd",,$A$2,"."&amp;T$2&amp;T$1&amp;"C"&amp;$A14)="N/A",0,RTD("tos.rtd",,$A$2,"."&amp;T$2&amp;T$1&amp;"C"&amp;$A14))-IF(RTD("tos.rtd",,$A$2,"."&amp;T$2&amp;T$1&amp;"P"&amp;$A14)="N/A",0,RTD("tos.rtd",,$A$2,"."&amp;T$2&amp;T$1&amp;"P"&amp;$A14))</f>
        <v>0</v>
      </c>
      <c r="U14" s="91">
        <f ca="1">IF(RTD("tos.rtd",,$A$2,"."&amp;U$2&amp;U$1&amp;"C"&amp;$A14)="N/A",0,RTD("tos.rtd",,$A$2,"."&amp;U$2&amp;U$1&amp;"C"&amp;$A14))-IF(RTD("tos.rtd",,$A$2,"."&amp;U$2&amp;U$1&amp;"P"&amp;$A14)="N/A",0,RTD("tos.rtd",,$A$2,"."&amp;U$2&amp;U$1&amp;"P"&amp;$A14))</f>
        <v>0</v>
      </c>
      <c r="V14" s="91">
        <f ca="1">IF(RTD("tos.rtd",,$A$2,"."&amp;V$2&amp;V$1&amp;"C"&amp;$A14)="N/A",0,RTD("tos.rtd",,$A$2,"."&amp;V$2&amp;V$1&amp;"C"&amp;$A14))-IF(RTD("tos.rtd",,$A$2,"."&amp;V$2&amp;V$1&amp;"P"&amp;$A14)="N/A",0,RTD("tos.rtd",,$A$2,"."&amp;V$2&amp;V$1&amp;"P"&amp;$A14))</f>
        <v>0</v>
      </c>
      <c r="W14" s="91">
        <f ca="1">IF(RTD("tos.rtd",,$A$2,"."&amp;W$2&amp;W$1&amp;"C"&amp;$A14)="N/A",0,RTD("tos.rtd",,$A$2,"."&amp;W$2&amp;W$1&amp;"C"&amp;$A14))-IF(RTD("tos.rtd",,$A$2,"."&amp;W$2&amp;W$1&amp;"P"&amp;$A14)="N/A",0,RTD("tos.rtd",,$A$2,"."&amp;W$2&amp;W$1&amp;"P"&amp;$A14))</f>
        <v>0</v>
      </c>
      <c r="X14" s="91">
        <f ca="1">IF(RTD("tos.rtd",,$A$2,"."&amp;X$2&amp;X$1&amp;"C"&amp;$A14)="N/A",0,RTD("tos.rtd",,$A$2,"."&amp;X$2&amp;X$1&amp;"C"&amp;$A14))-IF(RTD("tos.rtd",,$A$2,"."&amp;X$2&amp;X$1&amp;"P"&amp;$A14)="N/A",0,RTD("tos.rtd",,$A$2,"."&amp;X$2&amp;X$1&amp;"P"&amp;$A14))</f>
        <v>0</v>
      </c>
      <c r="Y14" s="98">
        <f t="shared" ca="1" si="3"/>
        <v>1435</v>
      </c>
    </row>
    <row r="15" spans="1:25" x14ac:dyDescent="0.25">
      <c r="A15" s="93">
        <f>+Hoja1!A14</f>
        <v>572</v>
      </c>
      <c r="B15" s="91">
        <f ca="1">IF(RTD("tos.rtd",,$A$2,"."&amp;B$2&amp;B$1&amp;"C"&amp;$A15)="N/A",0,RTD("tos.rtd",,$A$2,"."&amp;B$2&amp;B$1&amp;"C"&amp;$A15))-IF(RTD("tos.rtd",,$A$2,"."&amp;B$2&amp;B$1&amp;"P"&amp;$A15)="N/A",0,RTD("tos.rtd",,$A$2,"."&amp;B$2&amp;B$1&amp;"P"&amp;$A15))</f>
        <v>0</v>
      </c>
      <c r="C15" s="91">
        <f ca="1">IF(RTD("tos.rtd",,$A$2,"."&amp;C$2&amp;C$1&amp;"C"&amp;$A15)="N/A",0,RTD("tos.rtd",,$A$2,"."&amp;C$2&amp;C$1&amp;"C"&amp;$A15))-IF(RTD("tos.rtd",,$A$2,"."&amp;C$2&amp;C$1&amp;"P"&amp;$A15)="N/A",0,RTD("tos.rtd",,$A$2,"."&amp;C$2&amp;C$1&amp;"P"&amp;$A15))</f>
        <v>0</v>
      </c>
      <c r="D15" s="91">
        <f ca="1">IF(RTD("tos.rtd",,$A$2,"."&amp;D$2&amp;D$1&amp;"C"&amp;$A15)="N/A",0,RTD("tos.rtd",,$A$2,"."&amp;D$2&amp;D$1&amp;"C"&amp;$A15))-IF(RTD("tos.rtd",,$A$2,"."&amp;D$2&amp;D$1&amp;"P"&amp;$A15)="N/A",0,RTD("tos.rtd",,$A$2,"."&amp;D$2&amp;D$1&amp;"P"&amp;$A15))</f>
        <v>0</v>
      </c>
      <c r="E15" s="91">
        <f ca="1">IF(RTD("tos.rtd",,$A$2,"."&amp;E$2&amp;E$1&amp;"C"&amp;$A15)="N/A",0,RTD("tos.rtd",,$A$2,"."&amp;E$2&amp;E$1&amp;"C"&amp;$A15))-IF(RTD("tos.rtd",,$A$2,"."&amp;E$2&amp;E$1&amp;"P"&amp;$A15)="N/A",0,RTD("tos.rtd",,$A$2,"."&amp;E$2&amp;E$1&amp;"P"&amp;$A15))</f>
        <v>0</v>
      </c>
      <c r="F15" s="91">
        <f ca="1">IF(RTD("tos.rtd",,$A$2,"."&amp;F$2&amp;F$1&amp;"C"&amp;$A15)="N/A",0,RTD("tos.rtd",,$A$2,"."&amp;F$2&amp;F$1&amp;"C"&amp;$A15))-IF(RTD("tos.rtd",,$A$2,"."&amp;F$2&amp;F$1&amp;"P"&amp;$A15)="N/A",0,RTD("tos.rtd",,$A$2,"."&amp;F$2&amp;F$1&amp;"P"&amp;$A15))</f>
        <v>0</v>
      </c>
      <c r="G15" s="91">
        <f ca="1">IF(RTD("tos.rtd",,$A$2,"."&amp;G$2&amp;G$1&amp;"C"&amp;$A15)="N/A",0,RTD("tos.rtd",,$A$2,"."&amp;G$2&amp;G$1&amp;"C"&amp;$A15))-IF(RTD("tos.rtd",,$A$2,"."&amp;G$2&amp;G$1&amp;"P"&amp;$A15)="N/A",0,RTD("tos.rtd",,$A$2,"."&amp;G$2&amp;G$1&amp;"P"&amp;$A15))</f>
        <v>0</v>
      </c>
      <c r="H15" s="91">
        <f ca="1">IF(RTD("tos.rtd",,$A$2,"."&amp;H$2&amp;H$1&amp;"C"&amp;$A15)="N/A",0,RTD("tos.rtd",,$A$2,"."&amp;H$2&amp;H$1&amp;"C"&amp;$A15))-IF(RTD("tos.rtd",,$A$2,"."&amp;H$2&amp;H$1&amp;"P"&amp;$A15)="N/A",0,RTD("tos.rtd",,$A$2,"."&amp;H$2&amp;H$1&amp;"P"&amp;$A15))</f>
        <v>282</v>
      </c>
      <c r="I15" s="91">
        <f ca="1">IF(RTD("tos.rtd",,$A$2,"."&amp;I$2&amp;I$1&amp;"C"&amp;$A15)="N/A",0,RTD("tos.rtd",,$A$2,"."&amp;I$2&amp;I$1&amp;"C"&amp;$A15))-IF(RTD("tos.rtd",,$A$2,"."&amp;I$2&amp;I$1&amp;"P"&amp;$A15)="N/A",0,RTD("tos.rtd",,$A$2,"."&amp;I$2&amp;I$1&amp;"P"&amp;$A15))</f>
        <v>483</v>
      </c>
      <c r="J15" s="91">
        <f ca="1">IF(RTD("tos.rtd",,$A$2,"."&amp;J$2&amp;J$1&amp;"C"&amp;$A15)="N/A",0,RTD("tos.rtd",,$A$2,"."&amp;J$2&amp;J$1&amp;"C"&amp;$A15))-IF(RTD("tos.rtd",,$A$2,"."&amp;J$2&amp;J$1&amp;"P"&amp;$A15)="N/A",0,RTD("tos.rtd",,$A$2,"."&amp;J$2&amp;J$1&amp;"P"&amp;$A15))</f>
        <v>426</v>
      </c>
      <c r="K15" s="91">
        <f ca="1">IF(RTD("tos.rtd",,$A$2,"."&amp;K$2&amp;K$1&amp;"C"&amp;$A15)="N/A",0,RTD("tos.rtd",,$A$2,"."&amp;K$2&amp;K$1&amp;"C"&amp;$A15))-IF(RTD("tos.rtd",,$A$2,"."&amp;K$2&amp;K$1&amp;"P"&amp;$A15)="N/A",0,RTD("tos.rtd",,$A$2,"."&amp;K$2&amp;K$1&amp;"P"&amp;$A15))</f>
        <v>262</v>
      </c>
      <c r="L15" s="91">
        <f ca="1">IF(RTD("tos.rtd",,$A$2,"."&amp;L$2&amp;L$1&amp;"C"&amp;$A15)="N/A",0,RTD("tos.rtd",,$A$2,"."&amp;L$2&amp;L$1&amp;"C"&amp;$A15))-IF(RTD("tos.rtd",,$A$2,"."&amp;L$2&amp;L$1&amp;"P"&amp;$A15)="N/A",0,RTD("tos.rtd",,$A$2,"."&amp;L$2&amp;L$1&amp;"P"&amp;$A15))</f>
        <v>-18</v>
      </c>
      <c r="M15" s="91">
        <f ca="1">IF(RTD("tos.rtd",,$A$2,"."&amp;M$2&amp;M$1&amp;"C"&amp;$A15)="N/A",0,RTD("tos.rtd",,$A$2,"."&amp;M$2&amp;M$1&amp;"C"&amp;$A15))-IF(RTD("tos.rtd",,$A$2,"."&amp;M$2&amp;M$1&amp;"P"&amp;$A15)="N/A",0,RTD("tos.rtd",,$A$2,"."&amp;M$2&amp;M$1&amp;"P"&amp;$A15))</f>
        <v>0</v>
      </c>
      <c r="N15" s="91">
        <f ca="1">IF(RTD("tos.rtd",,$A$2,"."&amp;N$2&amp;N$1&amp;"C"&amp;$A15)="N/A",0,RTD("tos.rtd",,$A$2,"."&amp;N$2&amp;N$1&amp;"C"&amp;$A15))-IF(RTD("tos.rtd",,$A$2,"."&amp;N$2&amp;N$1&amp;"P"&amp;$A15)="N/A",0,RTD("tos.rtd",,$A$2,"."&amp;N$2&amp;N$1&amp;"P"&amp;$A15))</f>
        <v>1</v>
      </c>
      <c r="O15" s="91">
        <f ca="1">IF(RTD("tos.rtd",,$A$2,"."&amp;O$2&amp;O$1&amp;"C"&amp;$A15)="N/A",0,RTD("tos.rtd",,$A$2,"."&amp;O$2&amp;O$1&amp;"C"&amp;$A15))-IF(RTD("tos.rtd",,$A$2,"."&amp;O$2&amp;O$1&amp;"P"&amp;$A15)="N/A",0,RTD("tos.rtd",,$A$2,"."&amp;O$2&amp;O$1&amp;"P"&amp;$A15))</f>
        <v>-6</v>
      </c>
      <c r="P15" s="91">
        <f ca="1">IF(RTD("tos.rtd",,$A$2,"."&amp;P$2&amp;P$1&amp;"C"&amp;$A15)="N/A",0,RTD("tos.rtd",,$A$2,"."&amp;P$2&amp;P$1&amp;"C"&amp;$A15))-IF(RTD("tos.rtd",,$A$2,"."&amp;P$2&amp;P$1&amp;"P"&amp;$A15)="N/A",0,RTD("tos.rtd",,$A$2,"."&amp;P$2&amp;P$1&amp;"P"&amp;$A15))</f>
        <v>0</v>
      </c>
      <c r="Q15" s="91">
        <f ca="1">IF(RTD("tos.rtd",,$A$2,"."&amp;Q$2&amp;Q$1&amp;"C"&amp;$A15)="N/A",0,RTD("tos.rtd",,$A$2,"."&amp;Q$2&amp;Q$1&amp;"C"&amp;$A15))-IF(RTD("tos.rtd",,$A$2,"."&amp;Q$2&amp;Q$1&amp;"P"&amp;$A15)="N/A",0,RTD("tos.rtd",,$A$2,"."&amp;Q$2&amp;Q$1&amp;"P"&amp;$A15))</f>
        <v>0</v>
      </c>
      <c r="R15" s="91">
        <f ca="1">IF(RTD("tos.rtd",,$A$2,"."&amp;R$2&amp;R$1&amp;"C"&amp;$A15)="N/A",0,RTD("tos.rtd",,$A$2,"."&amp;R$2&amp;R$1&amp;"C"&amp;$A15))-IF(RTD("tos.rtd",,$A$2,"."&amp;R$2&amp;R$1&amp;"P"&amp;$A15)="N/A",0,RTD("tos.rtd",,$A$2,"."&amp;R$2&amp;R$1&amp;"P"&amp;$A15))</f>
        <v>0</v>
      </c>
      <c r="S15" s="91">
        <f ca="1">IF(RTD("tos.rtd",,$A$2,"."&amp;S$2&amp;S$1&amp;"C"&amp;$A15)="N/A",0,RTD("tos.rtd",,$A$2,"."&amp;S$2&amp;S$1&amp;"C"&amp;$A15))-IF(RTD("tos.rtd",,$A$2,"."&amp;S$2&amp;S$1&amp;"P"&amp;$A15)="N/A",0,RTD("tos.rtd",,$A$2,"."&amp;S$2&amp;S$1&amp;"P"&amp;$A15))</f>
        <v>0</v>
      </c>
      <c r="T15" s="91">
        <f ca="1">IF(RTD("tos.rtd",,$A$2,"."&amp;T$2&amp;T$1&amp;"C"&amp;$A15)="N/A",0,RTD("tos.rtd",,$A$2,"."&amp;T$2&amp;T$1&amp;"C"&amp;$A15))-IF(RTD("tos.rtd",,$A$2,"."&amp;T$2&amp;T$1&amp;"P"&amp;$A15)="N/A",0,RTD("tos.rtd",,$A$2,"."&amp;T$2&amp;T$1&amp;"P"&amp;$A15))</f>
        <v>-12</v>
      </c>
      <c r="U15" s="91">
        <f ca="1">IF(RTD("tos.rtd",,$A$2,"."&amp;U$2&amp;U$1&amp;"C"&amp;$A15)="N/A",0,RTD("tos.rtd",,$A$2,"."&amp;U$2&amp;U$1&amp;"C"&amp;$A15))-IF(RTD("tos.rtd",,$A$2,"."&amp;U$2&amp;U$1&amp;"P"&amp;$A15)="N/A",0,RTD("tos.rtd",,$A$2,"."&amp;U$2&amp;U$1&amp;"P"&amp;$A15))</f>
        <v>0</v>
      </c>
      <c r="V15" s="91">
        <f ca="1">IF(RTD("tos.rtd",,$A$2,"."&amp;V$2&amp;V$1&amp;"C"&amp;$A15)="N/A",0,RTD("tos.rtd",,$A$2,"."&amp;V$2&amp;V$1&amp;"C"&amp;$A15))-IF(RTD("tos.rtd",,$A$2,"."&amp;V$2&amp;V$1&amp;"P"&amp;$A15)="N/A",0,RTD("tos.rtd",,$A$2,"."&amp;V$2&amp;V$1&amp;"P"&amp;$A15))</f>
        <v>0</v>
      </c>
      <c r="W15" s="91">
        <f ca="1">IF(RTD("tos.rtd",,$A$2,"."&amp;W$2&amp;W$1&amp;"C"&amp;$A15)="N/A",0,RTD("tos.rtd",,$A$2,"."&amp;W$2&amp;W$1&amp;"C"&amp;$A15))-IF(RTD("tos.rtd",,$A$2,"."&amp;W$2&amp;W$1&amp;"P"&amp;$A15)="N/A",0,RTD("tos.rtd",,$A$2,"."&amp;W$2&amp;W$1&amp;"P"&amp;$A15))</f>
        <v>0</v>
      </c>
      <c r="X15" s="91">
        <f ca="1">IF(RTD("tos.rtd",,$A$2,"."&amp;X$2&amp;X$1&amp;"C"&amp;$A15)="N/A",0,RTD("tos.rtd",,$A$2,"."&amp;X$2&amp;X$1&amp;"C"&amp;$A15))-IF(RTD("tos.rtd",,$A$2,"."&amp;X$2&amp;X$1&amp;"P"&amp;$A15)="N/A",0,RTD("tos.rtd",,$A$2,"."&amp;X$2&amp;X$1&amp;"P"&amp;$A15))</f>
        <v>8</v>
      </c>
      <c r="Y15" s="98">
        <f t="shared" ca="1" si="3"/>
        <v>1426</v>
      </c>
    </row>
    <row r="16" spans="1:25" x14ac:dyDescent="0.25">
      <c r="A16" s="93">
        <f>+Hoja1!A15</f>
        <v>571</v>
      </c>
      <c r="B16" s="91">
        <f ca="1">IF(RTD("tos.rtd",,$A$2,"."&amp;B$2&amp;B$1&amp;"C"&amp;$A16)="N/A",0,RTD("tos.rtd",,$A$2,"."&amp;B$2&amp;B$1&amp;"C"&amp;$A16))-IF(RTD("tos.rtd",,$A$2,"."&amp;B$2&amp;B$1&amp;"P"&amp;$A16)="N/A",0,RTD("tos.rtd",,$A$2,"."&amp;B$2&amp;B$1&amp;"P"&amp;$A16))</f>
        <v>0</v>
      </c>
      <c r="C16" s="91">
        <f ca="1">IF(RTD("tos.rtd",,$A$2,"."&amp;C$2&amp;C$1&amp;"C"&amp;$A16)="N/A",0,RTD("tos.rtd",,$A$2,"."&amp;C$2&amp;C$1&amp;"C"&amp;$A16))-IF(RTD("tos.rtd",,$A$2,"."&amp;C$2&amp;C$1&amp;"P"&amp;$A16)="N/A",0,RTD("tos.rtd",,$A$2,"."&amp;C$2&amp;C$1&amp;"P"&amp;$A16))</f>
        <v>0</v>
      </c>
      <c r="D16" s="91">
        <f ca="1">IF(RTD("tos.rtd",,$A$2,"."&amp;D$2&amp;D$1&amp;"C"&amp;$A16)="N/A",0,RTD("tos.rtd",,$A$2,"."&amp;D$2&amp;D$1&amp;"C"&amp;$A16))-IF(RTD("tos.rtd",,$A$2,"."&amp;D$2&amp;D$1&amp;"P"&amp;$A16)="N/A",0,RTD("tos.rtd",,$A$2,"."&amp;D$2&amp;D$1&amp;"P"&amp;$A16))</f>
        <v>0</v>
      </c>
      <c r="E16" s="91">
        <f ca="1">IF(RTD("tos.rtd",,$A$2,"."&amp;E$2&amp;E$1&amp;"C"&amp;$A16)="N/A",0,RTD("tos.rtd",,$A$2,"."&amp;E$2&amp;E$1&amp;"C"&amp;$A16))-IF(RTD("tos.rtd",,$A$2,"."&amp;E$2&amp;E$1&amp;"P"&amp;$A16)="N/A",0,RTD("tos.rtd",,$A$2,"."&amp;E$2&amp;E$1&amp;"P"&amp;$A16))</f>
        <v>0</v>
      </c>
      <c r="F16" s="91">
        <f ca="1">IF(RTD("tos.rtd",,$A$2,"."&amp;F$2&amp;F$1&amp;"C"&amp;$A16)="N/A",0,RTD("tos.rtd",,$A$2,"."&amp;F$2&amp;F$1&amp;"C"&amp;$A16))-IF(RTD("tos.rtd",,$A$2,"."&amp;F$2&amp;F$1&amp;"P"&amp;$A16)="N/A",0,RTD("tos.rtd",,$A$2,"."&amp;F$2&amp;F$1&amp;"P"&amp;$A16))</f>
        <v>0</v>
      </c>
      <c r="G16" s="91">
        <f ca="1">IF(RTD("tos.rtd",,$A$2,"."&amp;G$2&amp;G$1&amp;"C"&amp;$A16)="N/A",0,RTD("tos.rtd",,$A$2,"."&amp;G$2&amp;G$1&amp;"C"&amp;$A16))-IF(RTD("tos.rtd",,$A$2,"."&amp;G$2&amp;G$1&amp;"P"&amp;$A16)="N/A",0,RTD("tos.rtd",,$A$2,"."&amp;G$2&amp;G$1&amp;"P"&amp;$A16))</f>
        <v>0</v>
      </c>
      <c r="H16" s="91">
        <f ca="1">IF(RTD("tos.rtd",,$A$2,"."&amp;H$2&amp;H$1&amp;"C"&amp;$A16)="N/A",0,RTD("tos.rtd",,$A$2,"."&amp;H$2&amp;H$1&amp;"C"&amp;$A16))-IF(RTD("tos.rtd",,$A$2,"."&amp;H$2&amp;H$1&amp;"P"&amp;$A16)="N/A",0,RTD("tos.rtd",,$A$2,"."&amp;H$2&amp;H$1&amp;"P"&amp;$A16))</f>
        <v>1562</v>
      </c>
      <c r="I16" s="91">
        <f ca="1">IF(RTD("tos.rtd",,$A$2,"."&amp;I$2&amp;I$1&amp;"C"&amp;$A16)="N/A",0,RTD("tos.rtd",,$A$2,"."&amp;I$2&amp;I$1&amp;"C"&amp;$A16))-IF(RTD("tos.rtd",,$A$2,"."&amp;I$2&amp;I$1&amp;"P"&amp;$A16)="N/A",0,RTD("tos.rtd",,$A$2,"."&amp;I$2&amp;I$1&amp;"P"&amp;$A16))</f>
        <v>192</v>
      </c>
      <c r="J16" s="91">
        <f ca="1">IF(RTD("tos.rtd",,$A$2,"."&amp;J$2&amp;J$1&amp;"C"&amp;$A16)="N/A",0,RTD("tos.rtd",,$A$2,"."&amp;J$2&amp;J$1&amp;"C"&amp;$A16))-IF(RTD("tos.rtd",,$A$2,"."&amp;J$2&amp;J$1&amp;"P"&amp;$A16)="N/A",0,RTD("tos.rtd",,$A$2,"."&amp;J$2&amp;J$1&amp;"P"&amp;$A16))</f>
        <v>167</v>
      </c>
      <c r="K16" s="91">
        <f ca="1">IF(RTD("tos.rtd",,$A$2,"."&amp;K$2&amp;K$1&amp;"C"&amp;$A16)="N/A",0,RTD("tos.rtd",,$A$2,"."&amp;K$2&amp;K$1&amp;"C"&amp;$A16))-IF(RTD("tos.rtd",,$A$2,"."&amp;K$2&amp;K$1&amp;"P"&amp;$A16)="N/A",0,RTD("tos.rtd",,$A$2,"."&amp;K$2&amp;K$1&amp;"P"&amp;$A16))</f>
        <v>98</v>
      </c>
      <c r="L16" s="91">
        <f ca="1">IF(RTD("tos.rtd",,$A$2,"."&amp;L$2&amp;L$1&amp;"C"&amp;$A16)="N/A",0,RTD("tos.rtd",,$A$2,"."&amp;L$2&amp;L$1&amp;"C"&amp;$A16))-IF(RTD("tos.rtd",,$A$2,"."&amp;L$2&amp;L$1&amp;"P"&amp;$A16)="N/A",0,RTD("tos.rtd",,$A$2,"."&amp;L$2&amp;L$1&amp;"P"&amp;$A16))</f>
        <v>13</v>
      </c>
      <c r="M16" s="91">
        <f ca="1">IF(RTD("tos.rtd",,$A$2,"."&amp;M$2&amp;M$1&amp;"C"&amp;$A16)="N/A",0,RTD("tos.rtd",,$A$2,"."&amp;M$2&amp;M$1&amp;"C"&amp;$A16))-IF(RTD("tos.rtd",,$A$2,"."&amp;M$2&amp;M$1&amp;"P"&amp;$A16)="N/A",0,RTD("tos.rtd",,$A$2,"."&amp;M$2&amp;M$1&amp;"P"&amp;$A16))</f>
        <v>0</v>
      </c>
      <c r="N16" s="91">
        <f ca="1">IF(RTD("tos.rtd",,$A$2,"."&amp;N$2&amp;N$1&amp;"C"&amp;$A16)="N/A",0,RTD("tos.rtd",,$A$2,"."&amp;N$2&amp;N$1&amp;"C"&amp;$A16))-IF(RTD("tos.rtd",,$A$2,"."&amp;N$2&amp;N$1&amp;"P"&amp;$A16)="N/A",0,RTD("tos.rtd",,$A$2,"."&amp;N$2&amp;N$1&amp;"P"&amp;$A16))</f>
        <v>0</v>
      </c>
      <c r="O16" s="91">
        <f ca="1">IF(RTD("tos.rtd",,$A$2,"."&amp;O$2&amp;O$1&amp;"C"&amp;$A16)="N/A",0,RTD("tos.rtd",,$A$2,"."&amp;O$2&amp;O$1&amp;"C"&amp;$A16))-IF(RTD("tos.rtd",,$A$2,"."&amp;O$2&amp;O$1&amp;"P"&amp;$A16)="N/A",0,RTD("tos.rtd",,$A$2,"."&amp;O$2&amp;O$1&amp;"P"&amp;$A16))</f>
        <v>121</v>
      </c>
      <c r="P16" s="91">
        <f ca="1">IF(RTD("tos.rtd",,$A$2,"."&amp;P$2&amp;P$1&amp;"C"&amp;$A16)="N/A",0,RTD("tos.rtd",,$A$2,"."&amp;P$2&amp;P$1&amp;"C"&amp;$A16))-IF(RTD("tos.rtd",,$A$2,"."&amp;P$2&amp;P$1&amp;"P"&amp;$A16)="N/A",0,RTD("tos.rtd",,$A$2,"."&amp;P$2&amp;P$1&amp;"P"&amp;$A16))</f>
        <v>-1</v>
      </c>
      <c r="Q16" s="91">
        <f ca="1">IF(RTD("tos.rtd",,$A$2,"."&amp;Q$2&amp;Q$1&amp;"C"&amp;$A16)="N/A",0,RTD("tos.rtd",,$A$2,"."&amp;Q$2&amp;Q$1&amp;"C"&amp;$A16))-IF(RTD("tos.rtd",,$A$2,"."&amp;Q$2&amp;Q$1&amp;"P"&amp;$A16)="N/A",0,RTD("tos.rtd",,$A$2,"."&amp;Q$2&amp;Q$1&amp;"P"&amp;$A16))</f>
        <v>0</v>
      </c>
      <c r="R16" s="91">
        <f ca="1">IF(RTD("tos.rtd",,$A$2,"."&amp;R$2&amp;R$1&amp;"C"&amp;$A16)="N/A",0,RTD("tos.rtd",,$A$2,"."&amp;R$2&amp;R$1&amp;"C"&amp;$A16))-IF(RTD("tos.rtd",,$A$2,"."&amp;R$2&amp;R$1&amp;"P"&amp;$A16)="N/A",0,RTD("tos.rtd",,$A$2,"."&amp;R$2&amp;R$1&amp;"P"&amp;$A16))</f>
        <v>0</v>
      </c>
      <c r="S16" s="91">
        <f ca="1">IF(RTD("tos.rtd",,$A$2,"."&amp;S$2&amp;S$1&amp;"C"&amp;$A16)="N/A",0,RTD("tos.rtd",,$A$2,"."&amp;S$2&amp;S$1&amp;"C"&amp;$A16))-IF(RTD("tos.rtd",,$A$2,"."&amp;S$2&amp;S$1&amp;"P"&amp;$A16)="N/A",0,RTD("tos.rtd",,$A$2,"."&amp;S$2&amp;S$1&amp;"P"&amp;$A16))</f>
        <v>0</v>
      </c>
      <c r="T16" s="91">
        <f ca="1">IF(RTD("tos.rtd",,$A$2,"."&amp;T$2&amp;T$1&amp;"C"&amp;$A16)="N/A",0,RTD("tos.rtd",,$A$2,"."&amp;T$2&amp;T$1&amp;"C"&amp;$A16))-IF(RTD("tos.rtd",,$A$2,"."&amp;T$2&amp;T$1&amp;"P"&amp;$A16)="N/A",0,RTD("tos.rtd",,$A$2,"."&amp;T$2&amp;T$1&amp;"P"&amp;$A16))</f>
        <v>-1</v>
      </c>
      <c r="U16" s="91">
        <f ca="1">IF(RTD("tos.rtd",,$A$2,"."&amp;U$2&amp;U$1&amp;"C"&amp;$A16)="N/A",0,RTD("tos.rtd",,$A$2,"."&amp;U$2&amp;U$1&amp;"C"&amp;$A16))-IF(RTD("tos.rtd",,$A$2,"."&amp;U$2&amp;U$1&amp;"P"&amp;$A16)="N/A",0,RTD("tos.rtd",,$A$2,"."&amp;U$2&amp;U$1&amp;"P"&amp;$A16))</f>
        <v>0</v>
      </c>
      <c r="V16" s="91">
        <f ca="1">IF(RTD("tos.rtd",,$A$2,"."&amp;V$2&amp;V$1&amp;"C"&amp;$A16)="N/A",0,RTD("tos.rtd",,$A$2,"."&amp;V$2&amp;V$1&amp;"C"&amp;$A16))-IF(RTD("tos.rtd",,$A$2,"."&amp;V$2&amp;V$1&amp;"P"&amp;$A16)="N/A",0,RTD("tos.rtd",,$A$2,"."&amp;V$2&amp;V$1&amp;"P"&amp;$A16))</f>
        <v>0</v>
      </c>
      <c r="W16" s="91">
        <f ca="1">IF(RTD("tos.rtd",,$A$2,"."&amp;W$2&amp;W$1&amp;"C"&amp;$A16)="N/A",0,RTD("tos.rtd",,$A$2,"."&amp;W$2&amp;W$1&amp;"C"&amp;$A16))-IF(RTD("tos.rtd",,$A$2,"."&amp;W$2&amp;W$1&amp;"P"&amp;$A16)="N/A",0,RTD("tos.rtd",,$A$2,"."&amp;W$2&amp;W$1&amp;"P"&amp;$A16))</f>
        <v>0</v>
      </c>
      <c r="X16" s="91">
        <f ca="1">IF(RTD("tos.rtd",,$A$2,"."&amp;X$2&amp;X$1&amp;"C"&amp;$A16)="N/A",0,RTD("tos.rtd",,$A$2,"."&amp;X$2&amp;X$1&amp;"C"&amp;$A16))-IF(RTD("tos.rtd",,$A$2,"."&amp;X$2&amp;X$1&amp;"P"&amp;$A16)="N/A",0,RTD("tos.rtd",,$A$2,"."&amp;X$2&amp;X$1&amp;"P"&amp;$A16))</f>
        <v>19</v>
      </c>
      <c r="Y16" s="98">
        <f t="shared" ca="1" si="3"/>
        <v>2170</v>
      </c>
    </row>
    <row r="17" spans="1:25" x14ac:dyDescent="0.25">
      <c r="A17" s="93">
        <f>+Hoja1!A16</f>
        <v>570</v>
      </c>
      <c r="B17" s="91">
        <f ca="1">IF(RTD("tos.rtd",,$A$2,"."&amp;B$2&amp;B$1&amp;"C"&amp;$A17)="N/A",0,RTD("tos.rtd",,$A$2,"."&amp;B$2&amp;B$1&amp;"C"&amp;$A17))-IF(RTD("tos.rtd",,$A$2,"."&amp;B$2&amp;B$1&amp;"P"&amp;$A17)="N/A",0,RTD("tos.rtd",,$A$2,"."&amp;B$2&amp;B$1&amp;"P"&amp;$A17))</f>
        <v>0</v>
      </c>
      <c r="C17" s="91">
        <f ca="1">IF(RTD("tos.rtd",,$A$2,"."&amp;C$2&amp;C$1&amp;"C"&amp;$A17)="N/A",0,RTD("tos.rtd",,$A$2,"."&amp;C$2&amp;C$1&amp;"C"&amp;$A17))-IF(RTD("tos.rtd",,$A$2,"."&amp;C$2&amp;C$1&amp;"P"&amp;$A17)="N/A",0,RTD("tos.rtd",,$A$2,"."&amp;C$2&amp;C$1&amp;"P"&amp;$A17))</f>
        <v>0</v>
      </c>
      <c r="D17" s="91">
        <f ca="1">IF(RTD("tos.rtd",,$A$2,"."&amp;D$2&amp;D$1&amp;"C"&amp;$A17)="N/A",0,RTD("tos.rtd",,$A$2,"."&amp;D$2&amp;D$1&amp;"C"&amp;$A17))-IF(RTD("tos.rtd",,$A$2,"."&amp;D$2&amp;D$1&amp;"P"&amp;$A17)="N/A",0,RTD("tos.rtd",,$A$2,"."&amp;D$2&amp;D$1&amp;"P"&amp;$A17))</f>
        <v>0</v>
      </c>
      <c r="E17" s="91">
        <f ca="1">IF(RTD("tos.rtd",,$A$2,"."&amp;E$2&amp;E$1&amp;"C"&amp;$A17)="N/A",0,RTD("tos.rtd",,$A$2,"."&amp;E$2&amp;E$1&amp;"C"&amp;$A17))-IF(RTD("tos.rtd",,$A$2,"."&amp;E$2&amp;E$1&amp;"P"&amp;$A17)="N/A",0,RTD("tos.rtd",,$A$2,"."&amp;E$2&amp;E$1&amp;"P"&amp;$A17))</f>
        <v>0</v>
      </c>
      <c r="F17" s="91">
        <f ca="1">IF(RTD("tos.rtd",,$A$2,"."&amp;F$2&amp;F$1&amp;"C"&amp;$A17)="N/A",0,RTD("tos.rtd",,$A$2,"."&amp;F$2&amp;F$1&amp;"C"&amp;$A17))-IF(RTD("tos.rtd",,$A$2,"."&amp;F$2&amp;F$1&amp;"P"&amp;$A17)="N/A",0,RTD("tos.rtd",,$A$2,"."&amp;F$2&amp;F$1&amp;"P"&amp;$A17))</f>
        <v>0</v>
      </c>
      <c r="G17" s="91">
        <f ca="1">IF(RTD("tos.rtd",,$A$2,"."&amp;G$2&amp;G$1&amp;"C"&amp;$A17)="N/A",0,RTD("tos.rtd",,$A$2,"."&amp;G$2&amp;G$1&amp;"C"&amp;$A17))-IF(RTD("tos.rtd",,$A$2,"."&amp;G$2&amp;G$1&amp;"P"&amp;$A17)="N/A",0,RTD("tos.rtd",,$A$2,"."&amp;G$2&amp;G$1&amp;"P"&amp;$A17))</f>
        <v>0</v>
      </c>
      <c r="H17" s="91">
        <f ca="1">IF(RTD("tos.rtd",,$A$2,"."&amp;H$2&amp;H$1&amp;"C"&amp;$A17)="N/A",0,RTD("tos.rtd",,$A$2,"."&amp;H$2&amp;H$1&amp;"C"&amp;$A17))-IF(RTD("tos.rtd",,$A$2,"."&amp;H$2&amp;H$1&amp;"P"&amp;$A17)="N/A",0,RTD("tos.rtd",,$A$2,"."&amp;H$2&amp;H$1&amp;"P"&amp;$A17))</f>
        <v>1240</v>
      </c>
      <c r="I17" s="91">
        <f ca="1">IF(RTD("tos.rtd",,$A$2,"."&amp;I$2&amp;I$1&amp;"C"&amp;$A17)="N/A",0,RTD("tos.rtd",,$A$2,"."&amp;I$2&amp;I$1&amp;"C"&amp;$A17))-IF(RTD("tos.rtd",,$A$2,"."&amp;I$2&amp;I$1&amp;"P"&amp;$A17)="N/A",0,RTD("tos.rtd",,$A$2,"."&amp;I$2&amp;I$1&amp;"P"&amp;$A17))</f>
        <v>1834</v>
      </c>
      <c r="J17" s="91">
        <f ca="1">IF(RTD("tos.rtd",,$A$2,"."&amp;J$2&amp;J$1&amp;"C"&amp;$A17)="N/A",0,RTD("tos.rtd",,$A$2,"."&amp;J$2&amp;J$1&amp;"C"&amp;$A17))-IF(RTD("tos.rtd",,$A$2,"."&amp;J$2&amp;J$1&amp;"P"&amp;$A17)="N/A",0,RTD("tos.rtd",,$A$2,"."&amp;J$2&amp;J$1&amp;"P"&amp;$A17))</f>
        <v>1064</v>
      </c>
      <c r="K17" s="91">
        <f ca="1">IF(RTD("tos.rtd",,$A$2,"."&amp;K$2&amp;K$1&amp;"C"&amp;$A17)="N/A",0,RTD("tos.rtd",,$A$2,"."&amp;K$2&amp;K$1&amp;"C"&amp;$A17))-IF(RTD("tos.rtd",,$A$2,"."&amp;K$2&amp;K$1&amp;"P"&amp;$A17)="N/A",0,RTD("tos.rtd",,$A$2,"."&amp;K$2&amp;K$1&amp;"P"&amp;$A17))</f>
        <v>-50</v>
      </c>
      <c r="L17" s="91">
        <f ca="1">IF(RTD("tos.rtd",,$A$2,"."&amp;L$2&amp;L$1&amp;"C"&amp;$A17)="N/A",0,RTD("tos.rtd",,$A$2,"."&amp;L$2&amp;L$1&amp;"C"&amp;$A17))-IF(RTD("tos.rtd",,$A$2,"."&amp;L$2&amp;L$1&amp;"P"&amp;$A17)="N/A",0,RTD("tos.rtd",,$A$2,"."&amp;L$2&amp;L$1&amp;"P"&amp;$A17))</f>
        <v>721</v>
      </c>
      <c r="M17" s="91">
        <f ca="1">IF(RTD("tos.rtd",,$A$2,"."&amp;M$2&amp;M$1&amp;"C"&amp;$A17)="N/A",0,RTD("tos.rtd",,$A$2,"."&amp;M$2&amp;M$1&amp;"C"&amp;$A17))-IF(RTD("tos.rtd",,$A$2,"."&amp;M$2&amp;M$1&amp;"P"&amp;$A17)="N/A",0,RTD("tos.rtd",,$A$2,"."&amp;M$2&amp;M$1&amp;"P"&amp;$A17))</f>
        <v>-668</v>
      </c>
      <c r="N17" s="91">
        <f ca="1">IF(RTD("tos.rtd",,$A$2,"."&amp;N$2&amp;N$1&amp;"C"&amp;$A17)="N/A",0,RTD("tos.rtd",,$A$2,"."&amp;N$2&amp;N$1&amp;"C"&amp;$A17))-IF(RTD("tos.rtd",,$A$2,"."&amp;N$2&amp;N$1&amp;"P"&amp;$A17)="N/A",0,RTD("tos.rtd",,$A$2,"."&amp;N$2&amp;N$1&amp;"P"&amp;$A17))</f>
        <v>77</v>
      </c>
      <c r="O17" s="91">
        <f ca="1">IF(RTD("tos.rtd",,$A$2,"."&amp;O$2&amp;O$1&amp;"C"&amp;$A17)="N/A",0,RTD("tos.rtd",,$A$2,"."&amp;O$2&amp;O$1&amp;"C"&amp;$A17))-IF(RTD("tos.rtd",,$A$2,"."&amp;O$2&amp;O$1&amp;"P"&amp;$A17)="N/A",0,RTD("tos.rtd",,$A$2,"."&amp;O$2&amp;O$1&amp;"P"&amp;$A17))</f>
        <v>-40</v>
      </c>
      <c r="P17" s="91">
        <f ca="1">IF(RTD("tos.rtd",,$A$2,"."&amp;P$2&amp;P$1&amp;"C"&amp;$A17)="N/A",0,RTD("tos.rtd",,$A$2,"."&amp;P$2&amp;P$1&amp;"C"&amp;$A17))-IF(RTD("tos.rtd",,$A$2,"."&amp;P$2&amp;P$1&amp;"P"&amp;$A17)="N/A",0,RTD("tos.rtd",,$A$2,"."&amp;P$2&amp;P$1&amp;"P"&amp;$A17))</f>
        <v>-15</v>
      </c>
      <c r="Q17" s="91">
        <f ca="1">IF(RTD("tos.rtd",,$A$2,"."&amp;Q$2&amp;Q$1&amp;"C"&amp;$A17)="N/A",0,RTD("tos.rtd",,$A$2,"."&amp;Q$2&amp;Q$1&amp;"C"&amp;$A17))-IF(RTD("tos.rtd",,$A$2,"."&amp;Q$2&amp;Q$1&amp;"P"&amp;$A17)="N/A",0,RTD("tos.rtd",,$A$2,"."&amp;Q$2&amp;Q$1&amp;"P"&amp;$A17))</f>
        <v>-178</v>
      </c>
      <c r="R17" s="91">
        <f ca="1">IF(RTD("tos.rtd",,$A$2,"."&amp;R$2&amp;R$1&amp;"C"&amp;$A17)="N/A",0,RTD("tos.rtd",,$A$2,"."&amp;R$2&amp;R$1&amp;"C"&amp;$A17))-IF(RTD("tos.rtd",,$A$2,"."&amp;R$2&amp;R$1&amp;"P"&amp;$A17)="N/A",0,RTD("tos.rtd",,$A$2,"."&amp;R$2&amp;R$1&amp;"P"&amp;$A17))</f>
        <v>-40</v>
      </c>
      <c r="S17" s="91">
        <f ca="1">IF(RTD("tos.rtd",,$A$2,"."&amp;S$2&amp;S$1&amp;"C"&amp;$A17)="N/A",0,RTD("tos.rtd",,$A$2,"."&amp;S$2&amp;S$1&amp;"C"&amp;$A17))-IF(RTD("tos.rtd",,$A$2,"."&amp;S$2&amp;S$1&amp;"P"&amp;$A17)="N/A",0,RTD("tos.rtd",,$A$2,"."&amp;S$2&amp;S$1&amp;"P"&amp;$A17))</f>
        <v>0</v>
      </c>
      <c r="T17" s="91">
        <f ca="1">IF(RTD("tos.rtd",,$A$2,"."&amp;T$2&amp;T$1&amp;"C"&amp;$A17)="N/A",0,RTD("tos.rtd",,$A$2,"."&amp;T$2&amp;T$1&amp;"C"&amp;$A17))-IF(RTD("tos.rtd",,$A$2,"."&amp;T$2&amp;T$1&amp;"P"&amp;$A17)="N/A",0,RTD("tos.rtd",,$A$2,"."&amp;T$2&amp;T$1&amp;"P"&amp;$A17))</f>
        <v>-33</v>
      </c>
      <c r="U17" s="91">
        <f ca="1">IF(RTD("tos.rtd",,$A$2,"."&amp;U$2&amp;U$1&amp;"C"&amp;$A17)="N/A",0,RTD("tos.rtd",,$A$2,"."&amp;U$2&amp;U$1&amp;"C"&amp;$A17))-IF(RTD("tos.rtd",,$A$2,"."&amp;U$2&amp;U$1&amp;"P"&amp;$A17)="N/A",0,RTD("tos.rtd",,$A$2,"."&amp;U$2&amp;U$1&amp;"P"&amp;$A17))</f>
        <v>0</v>
      </c>
      <c r="V17" s="91">
        <f ca="1">IF(RTD("tos.rtd",,$A$2,"."&amp;V$2&amp;V$1&amp;"C"&amp;$A17)="N/A",0,RTD("tos.rtd",,$A$2,"."&amp;V$2&amp;V$1&amp;"C"&amp;$A17))-IF(RTD("tos.rtd",,$A$2,"."&amp;V$2&amp;V$1&amp;"P"&amp;$A17)="N/A",0,RTD("tos.rtd",,$A$2,"."&amp;V$2&amp;V$1&amp;"P"&amp;$A17))</f>
        <v>0</v>
      </c>
      <c r="W17" s="91">
        <f ca="1">IF(RTD("tos.rtd",,$A$2,"."&amp;W$2&amp;W$1&amp;"C"&amp;$A17)="N/A",0,RTD("tos.rtd",,$A$2,"."&amp;W$2&amp;W$1&amp;"C"&amp;$A17))-IF(RTD("tos.rtd",,$A$2,"."&amp;W$2&amp;W$1&amp;"P"&amp;$A17)="N/A",0,RTD("tos.rtd",,$A$2,"."&amp;W$2&amp;W$1&amp;"P"&amp;$A17))</f>
        <v>-363</v>
      </c>
      <c r="X17" s="91">
        <f ca="1">IF(RTD("tos.rtd",,$A$2,"."&amp;X$2&amp;X$1&amp;"C"&amp;$A17)="N/A",0,RTD("tos.rtd",,$A$2,"."&amp;X$2&amp;X$1&amp;"C"&amp;$A17))-IF(RTD("tos.rtd",,$A$2,"."&amp;X$2&amp;X$1&amp;"P"&amp;$A17)="N/A",0,RTD("tos.rtd",,$A$2,"."&amp;X$2&amp;X$1&amp;"P"&amp;$A17))</f>
        <v>-5</v>
      </c>
      <c r="Y17" s="98">
        <f t="shared" ca="1" si="3"/>
        <v>3544</v>
      </c>
    </row>
    <row r="18" spans="1:25" x14ac:dyDescent="0.25">
      <c r="A18" s="93">
        <f>+Hoja1!A17</f>
        <v>569</v>
      </c>
      <c r="B18" s="91">
        <f ca="1">IF(RTD("tos.rtd",,$A$2,"."&amp;B$2&amp;B$1&amp;"C"&amp;$A18)="N/A",0,RTD("tos.rtd",,$A$2,"."&amp;B$2&amp;B$1&amp;"C"&amp;$A18))-IF(RTD("tos.rtd",,$A$2,"."&amp;B$2&amp;B$1&amp;"P"&amp;$A18)="N/A",0,RTD("tos.rtd",,$A$2,"."&amp;B$2&amp;B$1&amp;"P"&amp;$A18))</f>
        <v>0</v>
      </c>
      <c r="C18" s="91">
        <f ca="1">IF(RTD("tos.rtd",,$A$2,"."&amp;C$2&amp;C$1&amp;"C"&amp;$A18)="N/A",0,RTD("tos.rtd",,$A$2,"."&amp;C$2&amp;C$1&amp;"C"&amp;$A18))-IF(RTD("tos.rtd",,$A$2,"."&amp;C$2&amp;C$1&amp;"P"&amp;$A18)="N/A",0,RTD("tos.rtd",,$A$2,"."&amp;C$2&amp;C$1&amp;"P"&amp;$A18))</f>
        <v>0</v>
      </c>
      <c r="D18" s="91">
        <f ca="1">IF(RTD("tos.rtd",,$A$2,"."&amp;D$2&amp;D$1&amp;"C"&amp;$A18)="N/A",0,RTD("tos.rtd",,$A$2,"."&amp;D$2&amp;D$1&amp;"C"&amp;$A18))-IF(RTD("tos.rtd",,$A$2,"."&amp;D$2&amp;D$1&amp;"P"&amp;$A18)="N/A",0,RTD("tos.rtd",,$A$2,"."&amp;D$2&amp;D$1&amp;"P"&amp;$A18))</f>
        <v>0</v>
      </c>
      <c r="E18" s="91">
        <f ca="1">IF(RTD("tos.rtd",,$A$2,"."&amp;E$2&amp;E$1&amp;"C"&amp;$A18)="N/A",0,RTD("tos.rtd",,$A$2,"."&amp;E$2&amp;E$1&amp;"C"&amp;$A18))-IF(RTD("tos.rtd",,$A$2,"."&amp;E$2&amp;E$1&amp;"P"&amp;$A18)="N/A",0,RTD("tos.rtd",,$A$2,"."&amp;E$2&amp;E$1&amp;"P"&amp;$A18))</f>
        <v>0</v>
      </c>
      <c r="F18" s="91">
        <f ca="1">IF(RTD("tos.rtd",,$A$2,"."&amp;F$2&amp;F$1&amp;"C"&amp;$A18)="N/A",0,RTD("tos.rtd",,$A$2,"."&amp;F$2&amp;F$1&amp;"C"&amp;$A18))-IF(RTD("tos.rtd",,$A$2,"."&amp;F$2&amp;F$1&amp;"P"&amp;$A18)="N/A",0,RTD("tos.rtd",,$A$2,"."&amp;F$2&amp;F$1&amp;"P"&amp;$A18))</f>
        <v>0</v>
      </c>
      <c r="G18" s="91">
        <f ca="1">IF(RTD("tos.rtd",,$A$2,"."&amp;G$2&amp;G$1&amp;"C"&amp;$A18)="N/A",0,RTD("tos.rtd",,$A$2,"."&amp;G$2&amp;G$1&amp;"C"&amp;$A18))-IF(RTD("tos.rtd",,$A$2,"."&amp;G$2&amp;G$1&amp;"P"&amp;$A18)="N/A",0,RTD("tos.rtd",,$A$2,"."&amp;G$2&amp;G$1&amp;"P"&amp;$A18))</f>
        <v>0</v>
      </c>
      <c r="H18" s="91">
        <f ca="1">IF(RTD("tos.rtd",,$A$2,"."&amp;H$2&amp;H$1&amp;"C"&amp;$A18)="N/A",0,RTD("tos.rtd",,$A$2,"."&amp;H$2&amp;H$1&amp;"C"&amp;$A18))-IF(RTD("tos.rtd",,$A$2,"."&amp;H$2&amp;H$1&amp;"P"&amp;$A18)="N/A",0,RTD("tos.rtd",,$A$2,"."&amp;H$2&amp;H$1&amp;"P"&amp;$A18))</f>
        <v>23</v>
      </c>
      <c r="I18" s="91">
        <f ca="1">IF(RTD("tos.rtd",,$A$2,"."&amp;I$2&amp;I$1&amp;"C"&amp;$A18)="N/A",0,RTD("tos.rtd",,$A$2,"."&amp;I$2&amp;I$1&amp;"C"&amp;$A18))-IF(RTD("tos.rtd",,$A$2,"."&amp;I$2&amp;I$1&amp;"P"&amp;$A18)="N/A",0,RTD("tos.rtd",,$A$2,"."&amp;I$2&amp;I$1&amp;"P"&amp;$A18))</f>
        <v>343</v>
      </c>
      <c r="J18" s="91">
        <f ca="1">IF(RTD("tos.rtd",,$A$2,"."&amp;J$2&amp;J$1&amp;"C"&amp;$A18)="N/A",0,RTD("tos.rtd",,$A$2,"."&amp;J$2&amp;J$1&amp;"C"&amp;$A18))-IF(RTD("tos.rtd",,$A$2,"."&amp;J$2&amp;J$1&amp;"P"&amp;$A18)="N/A",0,RTD("tos.rtd",,$A$2,"."&amp;J$2&amp;J$1&amp;"P"&amp;$A18))</f>
        <v>4</v>
      </c>
      <c r="K18" s="91">
        <f ca="1">IF(RTD("tos.rtd",,$A$2,"."&amp;K$2&amp;K$1&amp;"C"&amp;$A18)="N/A",0,RTD("tos.rtd",,$A$2,"."&amp;K$2&amp;K$1&amp;"C"&amp;$A18))-IF(RTD("tos.rtd",,$A$2,"."&amp;K$2&amp;K$1&amp;"P"&amp;$A18)="N/A",0,RTD("tos.rtd",,$A$2,"."&amp;K$2&amp;K$1&amp;"P"&amp;$A18))</f>
        <v>56</v>
      </c>
      <c r="L18" s="91">
        <f ca="1">IF(RTD("tos.rtd",,$A$2,"."&amp;L$2&amp;L$1&amp;"C"&amp;$A18)="N/A",0,RTD("tos.rtd",,$A$2,"."&amp;L$2&amp;L$1&amp;"C"&amp;$A18))-IF(RTD("tos.rtd",,$A$2,"."&amp;L$2&amp;L$1&amp;"P"&amp;$A18)="N/A",0,RTD("tos.rtd",,$A$2,"."&amp;L$2&amp;L$1&amp;"P"&amp;$A18))</f>
        <v>-8</v>
      </c>
      <c r="M18" s="91">
        <f ca="1">IF(RTD("tos.rtd",,$A$2,"."&amp;M$2&amp;M$1&amp;"C"&amp;$A18)="N/A",0,RTD("tos.rtd",,$A$2,"."&amp;M$2&amp;M$1&amp;"C"&amp;$A18))-IF(RTD("tos.rtd",,$A$2,"."&amp;M$2&amp;M$1&amp;"P"&amp;$A18)="N/A",0,RTD("tos.rtd",,$A$2,"."&amp;M$2&amp;M$1&amp;"P"&amp;$A18))</f>
        <v>0</v>
      </c>
      <c r="N18" s="91">
        <f ca="1">IF(RTD("tos.rtd",,$A$2,"."&amp;N$2&amp;N$1&amp;"C"&amp;$A18)="N/A",0,RTD("tos.rtd",,$A$2,"."&amp;N$2&amp;N$1&amp;"C"&amp;$A18))-IF(RTD("tos.rtd",,$A$2,"."&amp;N$2&amp;N$1&amp;"P"&amp;$A18)="N/A",0,RTD("tos.rtd",,$A$2,"."&amp;N$2&amp;N$1&amp;"P"&amp;$A18))</f>
        <v>5</v>
      </c>
      <c r="O18" s="91">
        <f ca="1">IF(RTD("tos.rtd",,$A$2,"."&amp;O$2&amp;O$1&amp;"C"&amp;$A18)="N/A",0,RTD("tos.rtd",,$A$2,"."&amp;O$2&amp;O$1&amp;"C"&amp;$A18))-IF(RTD("tos.rtd",,$A$2,"."&amp;O$2&amp;O$1&amp;"P"&amp;$A18)="N/A",0,RTD("tos.rtd",,$A$2,"."&amp;O$2&amp;O$1&amp;"P"&amp;$A18))</f>
        <v>-10</v>
      </c>
      <c r="P18" s="91">
        <f ca="1">IF(RTD("tos.rtd",,$A$2,"."&amp;P$2&amp;P$1&amp;"C"&amp;$A18)="N/A",0,RTD("tos.rtd",,$A$2,"."&amp;P$2&amp;P$1&amp;"C"&amp;$A18))-IF(RTD("tos.rtd",,$A$2,"."&amp;P$2&amp;P$1&amp;"P"&amp;$A18)="N/A",0,RTD("tos.rtd",,$A$2,"."&amp;P$2&amp;P$1&amp;"P"&amp;$A18))</f>
        <v>4</v>
      </c>
      <c r="Q18" s="91">
        <f ca="1">IF(RTD("tos.rtd",,$A$2,"."&amp;Q$2&amp;Q$1&amp;"C"&amp;$A18)="N/A",0,RTD("tos.rtd",,$A$2,"."&amp;Q$2&amp;Q$1&amp;"C"&amp;$A18))-IF(RTD("tos.rtd",,$A$2,"."&amp;Q$2&amp;Q$1&amp;"P"&amp;$A18)="N/A",0,RTD("tos.rtd",,$A$2,"."&amp;Q$2&amp;Q$1&amp;"P"&amp;$A18))</f>
        <v>0</v>
      </c>
      <c r="R18" s="91">
        <f ca="1">IF(RTD("tos.rtd",,$A$2,"."&amp;R$2&amp;R$1&amp;"C"&amp;$A18)="N/A",0,RTD("tos.rtd",,$A$2,"."&amp;R$2&amp;R$1&amp;"C"&amp;$A18))-IF(RTD("tos.rtd",,$A$2,"."&amp;R$2&amp;R$1&amp;"P"&amp;$A18)="N/A",0,RTD("tos.rtd",,$A$2,"."&amp;R$2&amp;R$1&amp;"P"&amp;$A18))</f>
        <v>6</v>
      </c>
      <c r="S18" s="91">
        <f ca="1">IF(RTD("tos.rtd",,$A$2,"."&amp;S$2&amp;S$1&amp;"C"&amp;$A18)="N/A",0,RTD("tos.rtd",,$A$2,"."&amp;S$2&amp;S$1&amp;"C"&amp;$A18))-IF(RTD("tos.rtd",,$A$2,"."&amp;S$2&amp;S$1&amp;"P"&amp;$A18)="N/A",0,RTD("tos.rtd",,$A$2,"."&amp;S$2&amp;S$1&amp;"P"&amp;$A18))</f>
        <v>0</v>
      </c>
      <c r="T18" s="91">
        <f ca="1">IF(RTD("tos.rtd",,$A$2,"."&amp;T$2&amp;T$1&amp;"C"&amp;$A18)="N/A",0,RTD("tos.rtd",,$A$2,"."&amp;T$2&amp;T$1&amp;"C"&amp;$A18))-IF(RTD("tos.rtd",,$A$2,"."&amp;T$2&amp;T$1&amp;"P"&amp;$A18)="N/A",0,RTD("tos.rtd",,$A$2,"."&amp;T$2&amp;T$1&amp;"P"&amp;$A18))</f>
        <v>-9</v>
      </c>
      <c r="U18" s="91">
        <f ca="1">IF(RTD("tos.rtd",,$A$2,"."&amp;U$2&amp;U$1&amp;"C"&amp;$A18)="N/A",0,RTD("tos.rtd",,$A$2,"."&amp;U$2&amp;U$1&amp;"C"&amp;$A18))-IF(RTD("tos.rtd",,$A$2,"."&amp;U$2&amp;U$1&amp;"P"&amp;$A18)="N/A",0,RTD("tos.rtd",,$A$2,"."&amp;U$2&amp;U$1&amp;"P"&amp;$A18))</f>
        <v>0</v>
      </c>
      <c r="V18" s="91">
        <f ca="1">IF(RTD("tos.rtd",,$A$2,"."&amp;V$2&amp;V$1&amp;"C"&amp;$A18)="N/A",0,RTD("tos.rtd",,$A$2,"."&amp;V$2&amp;V$1&amp;"C"&amp;$A18))-IF(RTD("tos.rtd",,$A$2,"."&amp;V$2&amp;V$1&amp;"P"&amp;$A18)="N/A",0,RTD("tos.rtd",,$A$2,"."&amp;V$2&amp;V$1&amp;"P"&amp;$A18))</f>
        <v>0</v>
      </c>
      <c r="W18" s="91">
        <f ca="1">IF(RTD("tos.rtd",,$A$2,"."&amp;W$2&amp;W$1&amp;"C"&amp;$A18)="N/A",0,RTD("tos.rtd",,$A$2,"."&amp;W$2&amp;W$1&amp;"C"&amp;$A18))-IF(RTD("tos.rtd",,$A$2,"."&amp;W$2&amp;W$1&amp;"P"&amp;$A18)="N/A",0,RTD("tos.rtd",,$A$2,"."&amp;W$2&amp;W$1&amp;"P"&amp;$A18))</f>
        <v>0</v>
      </c>
      <c r="X18" s="91">
        <f ca="1">IF(RTD("tos.rtd",,$A$2,"."&amp;X$2&amp;X$1&amp;"C"&amp;$A18)="N/A",0,RTD("tos.rtd",,$A$2,"."&amp;X$2&amp;X$1&amp;"C"&amp;$A18))-IF(RTD("tos.rtd",,$A$2,"."&amp;X$2&amp;X$1&amp;"P"&amp;$A18)="N/A",0,RTD("tos.rtd",,$A$2,"."&amp;X$2&amp;X$1&amp;"P"&amp;$A18))</f>
        <v>-1</v>
      </c>
      <c r="Y18" s="98">
        <f t="shared" ca="1" si="3"/>
        <v>413</v>
      </c>
    </row>
    <row r="19" spans="1:25" x14ac:dyDescent="0.25">
      <c r="A19" s="93">
        <f>+Hoja1!A18</f>
        <v>568</v>
      </c>
      <c r="B19" s="91">
        <f ca="1">IF(RTD("tos.rtd",,$A$2,"."&amp;B$2&amp;B$1&amp;"C"&amp;$A19)="N/A",0,RTD("tos.rtd",,$A$2,"."&amp;B$2&amp;B$1&amp;"C"&amp;$A19))-IF(RTD("tos.rtd",,$A$2,"."&amp;B$2&amp;B$1&amp;"P"&amp;$A19)="N/A",0,RTD("tos.rtd",,$A$2,"."&amp;B$2&amp;B$1&amp;"P"&amp;$A19))</f>
        <v>0</v>
      </c>
      <c r="C19" s="91">
        <f ca="1">IF(RTD("tos.rtd",,$A$2,"."&amp;C$2&amp;C$1&amp;"C"&amp;$A19)="N/A",0,RTD("tos.rtd",,$A$2,"."&amp;C$2&amp;C$1&amp;"C"&amp;$A19))-IF(RTD("tos.rtd",,$A$2,"."&amp;C$2&amp;C$1&amp;"P"&amp;$A19)="N/A",0,RTD("tos.rtd",,$A$2,"."&amp;C$2&amp;C$1&amp;"P"&amp;$A19))</f>
        <v>0</v>
      </c>
      <c r="D19" s="91">
        <f ca="1">IF(RTD("tos.rtd",,$A$2,"."&amp;D$2&amp;D$1&amp;"C"&amp;$A19)="N/A",0,RTD("tos.rtd",,$A$2,"."&amp;D$2&amp;D$1&amp;"C"&amp;$A19))-IF(RTD("tos.rtd",,$A$2,"."&amp;D$2&amp;D$1&amp;"P"&amp;$A19)="N/A",0,RTD("tos.rtd",,$A$2,"."&amp;D$2&amp;D$1&amp;"P"&amp;$A19))</f>
        <v>0</v>
      </c>
      <c r="E19" s="91">
        <f ca="1">IF(RTD("tos.rtd",,$A$2,"."&amp;E$2&amp;E$1&amp;"C"&amp;$A19)="N/A",0,RTD("tos.rtd",,$A$2,"."&amp;E$2&amp;E$1&amp;"C"&amp;$A19))-IF(RTD("tos.rtd",,$A$2,"."&amp;E$2&amp;E$1&amp;"P"&amp;$A19)="N/A",0,RTD("tos.rtd",,$A$2,"."&amp;E$2&amp;E$1&amp;"P"&amp;$A19))</f>
        <v>0</v>
      </c>
      <c r="F19" s="91">
        <f ca="1">IF(RTD("tos.rtd",,$A$2,"."&amp;F$2&amp;F$1&amp;"C"&amp;$A19)="N/A",0,RTD("tos.rtd",,$A$2,"."&amp;F$2&amp;F$1&amp;"C"&amp;$A19))-IF(RTD("tos.rtd",,$A$2,"."&amp;F$2&amp;F$1&amp;"P"&amp;$A19)="N/A",0,RTD("tos.rtd",,$A$2,"."&amp;F$2&amp;F$1&amp;"P"&amp;$A19))</f>
        <v>0</v>
      </c>
      <c r="G19" s="91">
        <f ca="1">IF(RTD("tos.rtd",,$A$2,"."&amp;G$2&amp;G$1&amp;"C"&amp;$A19)="N/A",0,RTD("tos.rtd",,$A$2,"."&amp;G$2&amp;G$1&amp;"C"&amp;$A19))-IF(RTD("tos.rtd",,$A$2,"."&amp;G$2&amp;G$1&amp;"P"&amp;$A19)="N/A",0,RTD("tos.rtd",,$A$2,"."&amp;G$2&amp;G$1&amp;"P"&amp;$A19))</f>
        <v>0</v>
      </c>
      <c r="H19" s="91">
        <f ca="1">IF(RTD("tos.rtd",,$A$2,"."&amp;H$2&amp;H$1&amp;"C"&amp;$A19)="N/A",0,RTD("tos.rtd",,$A$2,"."&amp;H$2&amp;H$1&amp;"C"&amp;$A19))-IF(RTD("tos.rtd",,$A$2,"."&amp;H$2&amp;H$1&amp;"P"&amp;$A19)="N/A",0,RTD("tos.rtd",,$A$2,"."&amp;H$2&amp;H$1&amp;"P"&amp;$A19))</f>
        <v>303</v>
      </c>
      <c r="I19" s="91">
        <f ca="1">IF(RTD("tos.rtd",,$A$2,"."&amp;I$2&amp;I$1&amp;"C"&amp;$A19)="N/A",0,RTD("tos.rtd",,$A$2,"."&amp;I$2&amp;I$1&amp;"C"&amp;$A19))-IF(RTD("tos.rtd",,$A$2,"."&amp;I$2&amp;I$1&amp;"P"&amp;$A19)="N/A",0,RTD("tos.rtd",,$A$2,"."&amp;I$2&amp;I$1&amp;"P"&amp;$A19))</f>
        <v>923</v>
      </c>
      <c r="J19" s="91">
        <f ca="1">IF(RTD("tos.rtd",,$A$2,"."&amp;J$2&amp;J$1&amp;"C"&amp;$A19)="N/A",0,RTD("tos.rtd",,$A$2,"."&amp;J$2&amp;J$1&amp;"C"&amp;$A19))-IF(RTD("tos.rtd",,$A$2,"."&amp;J$2&amp;J$1&amp;"P"&amp;$A19)="N/A",0,RTD("tos.rtd",,$A$2,"."&amp;J$2&amp;J$1&amp;"P"&amp;$A19))</f>
        <v>137</v>
      </c>
      <c r="K19" s="91">
        <f ca="1">IF(RTD("tos.rtd",,$A$2,"."&amp;K$2&amp;K$1&amp;"C"&amp;$A19)="N/A",0,RTD("tos.rtd",,$A$2,"."&amp;K$2&amp;K$1&amp;"C"&amp;$A19))-IF(RTD("tos.rtd",,$A$2,"."&amp;K$2&amp;K$1&amp;"P"&amp;$A19)="N/A",0,RTD("tos.rtd",,$A$2,"."&amp;K$2&amp;K$1&amp;"P"&amp;$A19))</f>
        <v>-43</v>
      </c>
      <c r="L19" s="91">
        <f ca="1">IF(RTD("tos.rtd",,$A$2,"."&amp;L$2&amp;L$1&amp;"C"&amp;$A19)="N/A",0,RTD("tos.rtd",,$A$2,"."&amp;L$2&amp;L$1&amp;"C"&amp;$A19))-IF(RTD("tos.rtd",,$A$2,"."&amp;L$2&amp;L$1&amp;"P"&amp;$A19)="N/A",0,RTD("tos.rtd",,$A$2,"."&amp;L$2&amp;L$1&amp;"P"&amp;$A19))</f>
        <v>-7</v>
      </c>
      <c r="M19" s="91">
        <f ca="1">IF(RTD("tos.rtd",,$A$2,"."&amp;M$2&amp;M$1&amp;"C"&amp;$A19)="N/A",0,RTD("tos.rtd",,$A$2,"."&amp;M$2&amp;M$1&amp;"C"&amp;$A19))-IF(RTD("tos.rtd",,$A$2,"."&amp;M$2&amp;M$1&amp;"P"&amp;$A19)="N/A",0,RTD("tos.rtd",,$A$2,"."&amp;M$2&amp;M$1&amp;"P"&amp;$A19))</f>
        <v>0</v>
      </c>
      <c r="N19" s="91">
        <f ca="1">IF(RTD("tos.rtd",,$A$2,"."&amp;N$2&amp;N$1&amp;"C"&amp;$A19)="N/A",0,RTD("tos.rtd",,$A$2,"."&amp;N$2&amp;N$1&amp;"C"&amp;$A19))-IF(RTD("tos.rtd",,$A$2,"."&amp;N$2&amp;N$1&amp;"P"&amp;$A19)="N/A",0,RTD("tos.rtd",,$A$2,"."&amp;N$2&amp;N$1&amp;"P"&amp;$A19))</f>
        <v>0</v>
      </c>
      <c r="O19" s="91">
        <f ca="1">IF(RTD("tos.rtd",,$A$2,"."&amp;O$2&amp;O$1&amp;"C"&amp;$A19)="N/A",0,RTD("tos.rtd",,$A$2,"."&amp;O$2&amp;O$1&amp;"C"&amp;$A19))-IF(RTD("tos.rtd",,$A$2,"."&amp;O$2&amp;O$1&amp;"P"&amp;$A19)="N/A",0,RTD("tos.rtd",,$A$2,"."&amp;O$2&amp;O$1&amp;"P"&amp;$A19))</f>
        <v>104</v>
      </c>
      <c r="P19" s="91">
        <f ca="1">IF(RTD("tos.rtd",,$A$2,"."&amp;P$2&amp;P$1&amp;"C"&amp;$A19)="N/A",0,RTD("tos.rtd",,$A$2,"."&amp;P$2&amp;P$1&amp;"C"&amp;$A19))-IF(RTD("tos.rtd",,$A$2,"."&amp;P$2&amp;P$1&amp;"P"&amp;$A19)="N/A",0,RTD("tos.rtd",,$A$2,"."&amp;P$2&amp;P$1&amp;"P"&amp;$A19))</f>
        <v>5</v>
      </c>
      <c r="Q19" s="91">
        <f ca="1">IF(RTD("tos.rtd",,$A$2,"."&amp;Q$2&amp;Q$1&amp;"C"&amp;$A19)="N/A",0,RTD("tos.rtd",,$A$2,"."&amp;Q$2&amp;Q$1&amp;"C"&amp;$A19))-IF(RTD("tos.rtd",,$A$2,"."&amp;Q$2&amp;Q$1&amp;"P"&amp;$A19)="N/A",0,RTD("tos.rtd",,$A$2,"."&amp;Q$2&amp;Q$1&amp;"P"&amp;$A19))</f>
        <v>0</v>
      </c>
      <c r="R19" s="91">
        <f ca="1">IF(RTD("tos.rtd",,$A$2,"."&amp;R$2&amp;R$1&amp;"C"&amp;$A19)="N/A",0,RTD("tos.rtd",,$A$2,"."&amp;R$2&amp;R$1&amp;"C"&amp;$A19))-IF(RTD("tos.rtd",,$A$2,"."&amp;R$2&amp;R$1&amp;"P"&amp;$A19)="N/A",0,RTD("tos.rtd",,$A$2,"."&amp;R$2&amp;R$1&amp;"P"&amp;$A19))</f>
        <v>3</v>
      </c>
      <c r="S19" s="91">
        <f ca="1">IF(RTD("tos.rtd",,$A$2,"."&amp;S$2&amp;S$1&amp;"C"&amp;$A19)="N/A",0,RTD("tos.rtd",,$A$2,"."&amp;S$2&amp;S$1&amp;"C"&amp;$A19))-IF(RTD("tos.rtd",,$A$2,"."&amp;S$2&amp;S$1&amp;"P"&amp;$A19)="N/A",0,RTD("tos.rtd",,$A$2,"."&amp;S$2&amp;S$1&amp;"P"&amp;$A19))</f>
        <v>0</v>
      </c>
      <c r="T19" s="91">
        <f ca="1">IF(RTD("tos.rtd",,$A$2,"."&amp;T$2&amp;T$1&amp;"C"&amp;$A19)="N/A",0,RTD("tos.rtd",,$A$2,"."&amp;T$2&amp;T$1&amp;"C"&amp;$A19))-IF(RTD("tos.rtd",,$A$2,"."&amp;T$2&amp;T$1&amp;"P"&amp;$A19)="N/A",0,RTD("tos.rtd",,$A$2,"."&amp;T$2&amp;T$1&amp;"P"&amp;$A19))</f>
        <v>-12</v>
      </c>
      <c r="U19" s="91">
        <f ca="1">IF(RTD("tos.rtd",,$A$2,"."&amp;U$2&amp;U$1&amp;"C"&amp;$A19)="N/A",0,RTD("tos.rtd",,$A$2,"."&amp;U$2&amp;U$1&amp;"C"&amp;$A19))-IF(RTD("tos.rtd",,$A$2,"."&amp;U$2&amp;U$1&amp;"P"&amp;$A19)="N/A",0,RTD("tos.rtd",,$A$2,"."&amp;U$2&amp;U$1&amp;"P"&amp;$A19))</f>
        <v>0</v>
      </c>
      <c r="V19" s="91">
        <f ca="1">IF(RTD("tos.rtd",,$A$2,"."&amp;V$2&amp;V$1&amp;"C"&amp;$A19)="N/A",0,RTD("tos.rtd",,$A$2,"."&amp;V$2&amp;V$1&amp;"C"&amp;$A19))-IF(RTD("tos.rtd",,$A$2,"."&amp;V$2&amp;V$1&amp;"P"&amp;$A19)="N/A",0,RTD("tos.rtd",,$A$2,"."&amp;V$2&amp;V$1&amp;"P"&amp;$A19))</f>
        <v>0</v>
      </c>
      <c r="W19" s="91">
        <f ca="1">IF(RTD("tos.rtd",,$A$2,"."&amp;W$2&amp;W$1&amp;"C"&amp;$A19)="N/A",0,RTD("tos.rtd",,$A$2,"."&amp;W$2&amp;W$1&amp;"C"&amp;$A19))-IF(RTD("tos.rtd",,$A$2,"."&amp;W$2&amp;W$1&amp;"P"&amp;$A19)="N/A",0,RTD("tos.rtd",,$A$2,"."&amp;W$2&amp;W$1&amp;"P"&amp;$A19))</f>
        <v>0</v>
      </c>
      <c r="X19" s="91">
        <f ca="1">IF(RTD("tos.rtd",,$A$2,"."&amp;X$2&amp;X$1&amp;"C"&amp;$A19)="N/A",0,RTD("tos.rtd",,$A$2,"."&amp;X$2&amp;X$1&amp;"C"&amp;$A19))-IF(RTD("tos.rtd",,$A$2,"."&amp;X$2&amp;X$1&amp;"P"&amp;$A19)="N/A",0,RTD("tos.rtd",,$A$2,"."&amp;X$2&amp;X$1&amp;"P"&amp;$A19))</f>
        <v>3</v>
      </c>
      <c r="Y19" s="98">
        <f t="shared" ca="1" si="3"/>
        <v>1416</v>
      </c>
    </row>
    <row r="20" spans="1:25" x14ac:dyDescent="0.25">
      <c r="A20" s="93">
        <f>+Hoja1!A19</f>
        <v>567</v>
      </c>
      <c r="B20" s="91">
        <f ca="1">IF(RTD("tos.rtd",,$A$2,"."&amp;B$2&amp;B$1&amp;"C"&amp;$A20)="N/A",0,RTD("tos.rtd",,$A$2,"."&amp;B$2&amp;B$1&amp;"C"&amp;$A20))-IF(RTD("tos.rtd",,$A$2,"."&amp;B$2&amp;B$1&amp;"P"&amp;$A20)="N/A",0,RTD("tos.rtd",,$A$2,"."&amp;B$2&amp;B$1&amp;"P"&amp;$A20))</f>
        <v>0</v>
      </c>
      <c r="C20" s="91">
        <f ca="1">IF(RTD("tos.rtd",,$A$2,"."&amp;C$2&amp;C$1&amp;"C"&amp;$A20)="N/A",0,RTD("tos.rtd",,$A$2,"."&amp;C$2&amp;C$1&amp;"C"&amp;$A20))-IF(RTD("tos.rtd",,$A$2,"."&amp;C$2&amp;C$1&amp;"P"&amp;$A20)="N/A",0,RTD("tos.rtd",,$A$2,"."&amp;C$2&amp;C$1&amp;"P"&amp;$A20))</f>
        <v>0</v>
      </c>
      <c r="D20" s="91">
        <f ca="1">IF(RTD("tos.rtd",,$A$2,"."&amp;D$2&amp;D$1&amp;"C"&amp;$A20)="N/A",0,RTD("tos.rtd",,$A$2,"."&amp;D$2&amp;D$1&amp;"C"&amp;$A20))-IF(RTD("tos.rtd",,$A$2,"."&amp;D$2&amp;D$1&amp;"P"&amp;$A20)="N/A",0,RTD("tos.rtd",,$A$2,"."&amp;D$2&amp;D$1&amp;"P"&amp;$A20))</f>
        <v>0</v>
      </c>
      <c r="E20" s="91">
        <f ca="1">IF(RTD("tos.rtd",,$A$2,"."&amp;E$2&amp;E$1&amp;"C"&amp;$A20)="N/A",0,RTD("tos.rtd",,$A$2,"."&amp;E$2&amp;E$1&amp;"C"&amp;$A20))-IF(RTD("tos.rtd",,$A$2,"."&amp;E$2&amp;E$1&amp;"P"&amp;$A20)="N/A",0,RTD("tos.rtd",,$A$2,"."&amp;E$2&amp;E$1&amp;"P"&amp;$A20))</f>
        <v>0</v>
      </c>
      <c r="F20" s="91">
        <f ca="1">IF(RTD("tos.rtd",,$A$2,"."&amp;F$2&amp;F$1&amp;"C"&amp;$A20)="N/A",0,RTD("tos.rtd",,$A$2,"."&amp;F$2&amp;F$1&amp;"C"&amp;$A20))-IF(RTD("tos.rtd",,$A$2,"."&amp;F$2&amp;F$1&amp;"P"&amp;$A20)="N/A",0,RTD("tos.rtd",,$A$2,"."&amp;F$2&amp;F$1&amp;"P"&amp;$A20))</f>
        <v>0</v>
      </c>
      <c r="G20" s="91">
        <f ca="1">IF(RTD("tos.rtd",,$A$2,"."&amp;G$2&amp;G$1&amp;"C"&amp;$A20)="N/A",0,RTD("tos.rtd",,$A$2,"."&amp;G$2&amp;G$1&amp;"C"&amp;$A20))-IF(RTD("tos.rtd",,$A$2,"."&amp;G$2&amp;G$1&amp;"P"&amp;$A20)="N/A",0,RTD("tos.rtd",,$A$2,"."&amp;G$2&amp;G$1&amp;"P"&amp;$A20))</f>
        <v>0</v>
      </c>
      <c r="H20" s="91">
        <f ca="1">IF(RTD("tos.rtd",,$A$2,"."&amp;H$2&amp;H$1&amp;"C"&amp;$A20)="N/A",0,RTD("tos.rtd",,$A$2,"."&amp;H$2&amp;H$1&amp;"C"&amp;$A20))-IF(RTD("tos.rtd",,$A$2,"."&amp;H$2&amp;H$1&amp;"P"&amp;$A20)="N/A",0,RTD("tos.rtd",,$A$2,"."&amp;H$2&amp;H$1&amp;"P"&amp;$A20))</f>
        <v>580</v>
      </c>
      <c r="I20" s="91">
        <f ca="1">IF(RTD("tos.rtd",,$A$2,"."&amp;I$2&amp;I$1&amp;"C"&amp;$A20)="N/A",0,RTD("tos.rtd",,$A$2,"."&amp;I$2&amp;I$1&amp;"C"&amp;$A20))-IF(RTD("tos.rtd",,$A$2,"."&amp;I$2&amp;I$1&amp;"P"&amp;$A20)="N/A",0,RTD("tos.rtd",,$A$2,"."&amp;I$2&amp;I$1&amp;"P"&amp;$A20))</f>
        <v>326</v>
      </c>
      <c r="J20" s="91">
        <f ca="1">IF(RTD("tos.rtd",,$A$2,"."&amp;J$2&amp;J$1&amp;"C"&amp;$A20)="N/A",0,RTD("tos.rtd",,$A$2,"."&amp;J$2&amp;J$1&amp;"C"&amp;$A20))-IF(RTD("tos.rtd",,$A$2,"."&amp;J$2&amp;J$1&amp;"P"&amp;$A20)="N/A",0,RTD("tos.rtd",,$A$2,"."&amp;J$2&amp;J$1&amp;"P"&amp;$A20))</f>
        <v>70</v>
      </c>
      <c r="K20" s="91">
        <f ca="1">IF(RTD("tos.rtd",,$A$2,"."&amp;K$2&amp;K$1&amp;"C"&amp;$A20)="N/A",0,RTD("tos.rtd",,$A$2,"."&amp;K$2&amp;K$1&amp;"C"&amp;$A20))-IF(RTD("tos.rtd",,$A$2,"."&amp;K$2&amp;K$1&amp;"P"&amp;$A20)="N/A",0,RTD("tos.rtd",,$A$2,"."&amp;K$2&amp;K$1&amp;"P"&amp;$A20))</f>
        <v>-261</v>
      </c>
      <c r="L20" s="91">
        <f ca="1">IF(RTD("tos.rtd",,$A$2,"."&amp;L$2&amp;L$1&amp;"C"&amp;$A20)="N/A",0,RTD("tos.rtd",,$A$2,"."&amp;L$2&amp;L$1&amp;"C"&amp;$A20))-IF(RTD("tos.rtd",,$A$2,"."&amp;L$2&amp;L$1&amp;"P"&amp;$A20)="N/A",0,RTD("tos.rtd",,$A$2,"."&amp;L$2&amp;L$1&amp;"P"&amp;$A20))</f>
        <v>86</v>
      </c>
      <c r="M20" s="91">
        <f ca="1">IF(RTD("tos.rtd",,$A$2,"."&amp;M$2&amp;M$1&amp;"C"&amp;$A20)="N/A",0,RTD("tos.rtd",,$A$2,"."&amp;M$2&amp;M$1&amp;"C"&amp;$A20))-IF(RTD("tos.rtd",,$A$2,"."&amp;M$2&amp;M$1&amp;"P"&amp;$A20)="N/A",0,RTD("tos.rtd",,$A$2,"."&amp;M$2&amp;M$1&amp;"P"&amp;$A20))</f>
        <v>0</v>
      </c>
      <c r="N20" s="91">
        <f ca="1">IF(RTD("tos.rtd",,$A$2,"."&amp;N$2&amp;N$1&amp;"C"&amp;$A20)="N/A",0,RTD("tos.rtd",,$A$2,"."&amp;N$2&amp;N$1&amp;"C"&amp;$A20))-IF(RTD("tos.rtd",,$A$2,"."&amp;N$2&amp;N$1&amp;"P"&amp;$A20)="N/A",0,RTD("tos.rtd",,$A$2,"."&amp;N$2&amp;N$1&amp;"P"&amp;$A20))</f>
        <v>-1028</v>
      </c>
      <c r="O20" s="91">
        <f ca="1">IF(RTD("tos.rtd",,$A$2,"."&amp;O$2&amp;O$1&amp;"C"&amp;$A20)="N/A",0,RTD("tos.rtd",,$A$2,"."&amp;O$2&amp;O$1&amp;"C"&amp;$A20))-IF(RTD("tos.rtd",,$A$2,"."&amp;O$2&amp;O$1&amp;"P"&amp;$A20)="N/A",0,RTD("tos.rtd",,$A$2,"."&amp;O$2&amp;O$1&amp;"P"&amp;$A20))</f>
        <v>14</v>
      </c>
      <c r="P20" s="91">
        <f ca="1">IF(RTD("tos.rtd",,$A$2,"."&amp;P$2&amp;P$1&amp;"C"&amp;$A20)="N/A",0,RTD("tos.rtd",,$A$2,"."&amp;P$2&amp;P$1&amp;"C"&amp;$A20))-IF(RTD("tos.rtd",,$A$2,"."&amp;P$2&amp;P$1&amp;"P"&amp;$A20)="N/A",0,RTD("tos.rtd",,$A$2,"."&amp;P$2&amp;P$1&amp;"P"&amp;$A20))</f>
        <v>-29</v>
      </c>
      <c r="Q20" s="91">
        <f ca="1">IF(RTD("tos.rtd",,$A$2,"."&amp;Q$2&amp;Q$1&amp;"C"&amp;$A20)="N/A",0,RTD("tos.rtd",,$A$2,"."&amp;Q$2&amp;Q$1&amp;"C"&amp;$A20))-IF(RTD("tos.rtd",,$A$2,"."&amp;Q$2&amp;Q$1&amp;"P"&amp;$A20)="N/A",0,RTD("tos.rtd",,$A$2,"."&amp;Q$2&amp;Q$1&amp;"P"&amp;$A20))</f>
        <v>0</v>
      </c>
      <c r="R20" s="91">
        <f ca="1">IF(RTD("tos.rtd",,$A$2,"."&amp;R$2&amp;R$1&amp;"C"&amp;$A20)="N/A",0,RTD("tos.rtd",,$A$2,"."&amp;R$2&amp;R$1&amp;"C"&amp;$A20))-IF(RTD("tos.rtd",,$A$2,"."&amp;R$2&amp;R$1&amp;"P"&amp;$A20)="N/A",0,RTD("tos.rtd",,$A$2,"."&amp;R$2&amp;R$1&amp;"P"&amp;$A20))</f>
        <v>-3</v>
      </c>
      <c r="S20" s="91">
        <f ca="1">IF(RTD("tos.rtd",,$A$2,"."&amp;S$2&amp;S$1&amp;"C"&amp;$A20)="N/A",0,RTD("tos.rtd",,$A$2,"."&amp;S$2&amp;S$1&amp;"C"&amp;$A20))-IF(RTD("tos.rtd",,$A$2,"."&amp;S$2&amp;S$1&amp;"P"&amp;$A20)="N/A",0,RTD("tos.rtd",,$A$2,"."&amp;S$2&amp;S$1&amp;"P"&amp;$A20))</f>
        <v>0</v>
      </c>
      <c r="T20" s="91">
        <f ca="1">IF(RTD("tos.rtd",,$A$2,"."&amp;T$2&amp;T$1&amp;"C"&amp;$A20)="N/A",0,RTD("tos.rtd",,$A$2,"."&amp;T$2&amp;T$1&amp;"C"&amp;$A20))-IF(RTD("tos.rtd",,$A$2,"."&amp;T$2&amp;T$1&amp;"P"&amp;$A20)="N/A",0,RTD("tos.rtd",,$A$2,"."&amp;T$2&amp;T$1&amp;"P"&amp;$A20))</f>
        <v>-2</v>
      </c>
      <c r="U20" s="91">
        <f ca="1">IF(RTD("tos.rtd",,$A$2,"."&amp;U$2&amp;U$1&amp;"C"&amp;$A20)="N/A",0,RTD("tos.rtd",,$A$2,"."&amp;U$2&amp;U$1&amp;"C"&amp;$A20))-IF(RTD("tos.rtd",,$A$2,"."&amp;U$2&amp;U$1&amp;"P"&amp;$A20)="N/A",0,RTD("tos.rtd",,$A$2,"."&amp;U$2&amp;U$1&amp;"P"&amp;$A20))</f>
        <v>0</v>
      </c>
      <c r="V20" s="91">
        <f ca="1">IF(RTD("tos.rtd",,$A$2,"."&amp;V$2&amp;V$1&amp;"C"&amp;$A20)="N/A",0,RTD("tos.rtd",,$A$2,"."&amp;V$2&amp;V$1&amp;"C"&amp;$A20))-IF(RTD("tos.rtd",,$A$2,"."&amp;V$2&amp;V$1&amp;"P"&amp;$A20)="N/A",0,RTD("tos.rtd",,$A$2,"."&amp;V$2&amp;V$1&amp;"P"&amp;$A20))</f>
        <v>0</v>
      </c>
      <c r="W20" s="91">
        <f ca="1">IF(RTD("tos.rtd",,$A$2,"."&amp;W$2&amp;W$1&amp;"C"&amp;$A20)="N/A",0,RTD("tos.rtd",,$A$2,"."&amp;W$2&amp;W$1&amp;"C"&amp;$A20))-IF(RTD("tos.rtd",,$A$2,"."&amp;W$2&amp;W$1&amp;"P"&amp;$A20)="N/A",0,RTD("tos.rtd",,$A$2,"."&amp;W$2&amp;W$1&amp;"P"&amp;$A20))</f>
        <v>0</v>
      </c>
      <c r="X20" s="91">
        <f ca="1">IF(RTD("tos.rtd",,$A$2,"."&amp;X$2&amp;X$1&amp;"C"&amp;$A20)="N/A",0,RTD("tos.rtd",,$A$2,"."&amp;X$2&amp;X$1&amp;"C"&amp;$A20))-IF(RTD("tos.rtd",,$A$2,"."&amp;X$2&amp;X$1&amp;"P"&amp;$A20)="N/A",0,RTD("tos.rtd",,$A$2,"."&amp;X$2&amp;X$1&amp;"P"&amp;$A20))</f>
        <v>0</v>
      </c>
      <c r="Y20" s="98">
        <f t="shared" ca="1" si="3"/>
        <v>-247</v>
      </c>
    </row>
    <row r="21" spans="1:25" x14ac:dyDescent="0.25">
      <c r="A21" s="93">
        <f>+Hoja1!A20</f>
        <v>566</v>
      </c>
      <c r="B21" s="91">
        <f ca="1">IF(RTD("tos.rtd",,$A$2,"."&amp;B$2&amp;B$1&amp;"C"&amp;$A21)="N/A",0,RTD("tos.rtd",,$A$2,"."&amp;B$2&amp;B$1&amp;"C"&amp;$A21))-IF(RTD("tos.rtd",,$A$2,"."&amp;B$2&amp;B$1&amp;"P"&amp;$A21)="N/A",0,RTD("tos.rtd",,$A$2,"."&amp;B$2&amp;B$1&amp;"P"&amp;$A21))</f>
        <v>0</v>
      </c>
      <c r="C21" s="91">
        <f ca="1">IF(RTD("tos.rtd",,$A$2,"."&amp;C$2&amp;C$1&amp;"C"&amp;$A21)="N/A",0,RTD("tos.rtd",,$A$2,"."&amp;C$2&amp;C$1&amp;"C"&amp;$A21))-IF(RTD("tos.rtd",,$A$2,"."&amp;C$2&amp;C$1&amp;"P"&amp;$A21)="N/A",0,RTD("tos.rtd",,$A$2,"."&amp;C$2&amp;C$1&amp;"P"&amp;$A21))</f>
        <v>0</v>
      </c>
      <c r="D21" s="91">
        <f ca="1">IF(RTD("tos.rtd",,$A$2,"."&amp;D$2&amp;D$1&amp;"C"&amp;$A21)="N/A",0,RTD("tos.rtd",,$A$2,"."&amp;D$2&amp;D$1&amp;"C"&amp;$A21))-IF(RTD("tos.rtd",,$A$2,"."&amp;D$2&amp;D$1&amp;"P"&amp;$A21)="N/A",0,RTD("tos.rtd",,$A$2,"."&amp;D$2&amp;D$1&amp;"P"&amp;$A21))</f>
        <v>0</v>
      </c>
      <c r="E21" s="91">
        <f ca="1">IF(RTD("tos.rtd",,$A$2,"."&amp;E$2&amp;E$1&amp;"C"&amp;$A21)="N/A",0,RTD("tos.rtd",,$A$2,"."&amp;E$2&amp;E$1&amp;"C"&amp;$A21))-IF(RTD("tos.rtd",,$A$2,"."&amp;E$2&amp;E$1&amp;"P"&amp;$A21)="N/A",0,RTD("tos.rtd",,$A$2,"."&amp;E$2&amp;E$1&amp;"P"&amp;$A21))</f>
        <v>0</v>
      </c>
      <c r="F21" s="91">
        <f ca="1">IF(RTD("tos.rtd",,$A$2,"."&amp;F$2&amp;F$1&amp;"C"&amp;$A21)="N/A",0,RTD("tos.rtd",,$A$2,"."&amp;F$2&amp;F$1&amp;"C"&amp;$A21))-IF(RTD("tos.rtd",,$A$2,"."&amp;F$2&amp;F$1&amp;"P"&amp;$A21)="N/A",0,RTD("tos.rtd",,$A$2,"."&amp;F$2&amp;F$1&amp;"P"&amp;$A21))</f>
        <v>0</v>
      </c>
      <c r="G21" s="91">
        <f ca="1">IF(RTD("tos.rtd",,$A$2,"."&amp;G$2&amp;G$1&amp;"C"&amp;$A21)="N/A",0,RTD("tos.rtd",,$A$2,"."&amp;G$2&amp;G$1&amp;"C"&amp;$A21))-IF(RTD("tos.rtd",,$A$2,"."&amp;G$2&amp;G$1&amp;"P"&amp;$A21)="N/A",0,RTD("tos.rtd",,$A$2,"."&amp;G$2&amp;G$1&amp;"P"&amp;$A21))</f>
        <v>0</v>
      </c>
      <c r="H21" s="91">
        <f ca="1">IF(RTD("tos.rtd",,$A$2,"."&amp;H$2&amp;H$1&amp;"C"&amp;$A21)="N/A",0,RTD("tos.rtd",,$A$2,"."&amp;H$2&amp;H$1&amp;"C"&amp;$A21))-IF(RTD("tos.rtd",,$A$2,"."&amp;H$2&amp;H$1&amp;"P"&amp;$A21)="N/A",0,RTD("tos.rtd",,$A$2,"."&amp;H$2&amp;H$1&amp;"P"&amp;$A21))</f>
        <v>476</v>
      </c>
      <c r="I21" s="91">
        <f ca="1">IF(RTD("tos.rtd",,$A$2,"."&amp;I$2&amp;I$1&amp;"C"&amp;$A21)="N/A",0,RTD("tos.rtd",,$A$2,"."&amp;I$2&amp;I$1&amp;"C"&amp;$A21))-IF(RTD("tos.rtd",,$A$2,"."&amp;I$2&amp;I$1&amp;"P"&amp;$A21)="N/A",0,RTD("tos.rtd",,$A$2,"."&amp;I$2&amp;I$1&amp;"P"&amp;$A21))</f>
        <v>570</v>
      </c>
      <c r="J21" s="91">
        <f ca="1">IF(RTD("tos.rtd",,$A$2,"."&amp;J$2&amp;J$1&amp;"C"&amp;$A21)="N/A",0,RTD("tos.rtd",,$A$2,"."&amp;J$2&amp;J$1&amp;"C"&amp;$A21))-IF(RTD("tos.rtd",,$A$2,"."&amp;J$2&amp;J$1&amp;"P"&amp;$A21)="N/A",0,RTD("tos.rtd",,$A$2,"."&amp;J$2&amp;J$1&amp;"P"&amp;$A21))</f>
        <v>-672</v>
      </c>
      <c r="K21" s="91">
        <f ca="1">IF(RTD("tos.rtd",,$A$2,"."&amp;K$2&amp;K$1&amp;"C"&amp;$A21)="N/A",0,RTD("tos.rtd",,$A$2,"."&amp;K$2&amp;K$1&amp;"C"&amp;$A21))-IF(RTD("tos.rtd",,$A$2,"."&amp;K$2&amp;K$1&amp;"P"&amp;$A21)="N/A",0,RTD("tos.rtd",,$A$2,"."&amp;K$2&amp;K$1&amp;"P"&amp;$A21))</f>
        <v>-179</v>
      </c>
      <c r="L21" s="91">
        <f ca="1">IF(RTD("tos.rtd",,$A$2,"."&amp;L$2&amp;L$1&amp;"C"&amp;$A21)="N/A",0,RTD("tos.rtd",,$A$2,"."&amp;L$2&amp;L$1&amp;"C"&amp;$A21))-IF(RTD("tos.rtd",,$A$2,"."&amp;L$2&amp;L$1&amp;"P"&amp;$A21)="N/A",0,RTD("tos.rtd",,$A$2,"."&amp;L$2&amp;L$1&amp;"P"&amp;$A21))</f>
        <v>62</v>
      </c>
      <c r="M21" s="91">
        <f ca="1">IF(RTD("tos.rtd",,$A$2,"."&amp;M$2&amp;M$1&amp;"C"&amp;$A21)="N/A",0,RTD("tos.rtd",,$A$2,"."&amp;M$2&amp;M$1&amp;"C"&amp;$A21))-IF(RTD("tos.rtd",,$A$2,"."&amp;M$2&amp;M$1&amp;"P"&amp;$A21)="N/A",0,RTD("tos.rtd",,$A$2,"."&amp;M$2&amp;M$1&amp;"P"&amp;$A21))</f>
        <v>0</v>
      </c>
      <c r="N21" s="91">
        <f ca="1">IF(RTD("tos.rtd",,$A$2,"."&amp;N$2&amp;N$1&amp;"C"&amp;$A21)="N/A",0,RTD("tos.rtd",,$A$2,"."&amp;N$2&amp;N$1&amp;"C"&amp;$A21))-IF(RTD("tos.rtd",,$A$2,"."&amp;N$2&amp;N$1&amp;"P"&amp;$A21)="N/A",0,RTD("tos.rtd",,$A$2,"."&amp;N$2&amp;N$1&amp;"P"&amp;$A21))</f>
        <v>27</v>
      </c>
      <c r="O21" s="91">
        <f ca="1">IF(RTD("tos.rtd",,$A$2,"."&amp;O$2&amp;O$1&amp;"C"&amp;$A21)="N/A",0,RTD("tos.rtd",,$A$2,"."&amp;O$2&amp;O$1&amp;"C"&amp;$A21))-IF(RTD("tos.rtd",,$A$2,"."&amp;O$2&amp;O$1&amp;"P"&amp;$A21)="N/A",0,RTD("tos.rtd",,$A$2,"."&amp;O$2&amp;O$1&amp;"P"&amp;$A21))</f>
        <v>-24</v>
      </c>
      <c r="P21" s="91">
        <f ca="1">IF(RTD("tos.rtd",,$A$2,"."&amp;P$2&amp;P$1&amp;"C"&amp;$A21)="N/A",0,RTD("tos.rtd",,$A$2,"."&amp;P$2&amp;P$1&amp;"C"&amp;$A21))-IF(RTD("tos.rtd",,$A$2,"."&amp;P$2&amp;P$1&amp;"P"&amp;$A21)="N/A",0,RTD("tos.rtd",,$A$2,"."&amp;P$2&amp;P$1&amp;"P"&amp;$A21))</f>
        <v>23</v>
      </c>
      <c r="Q21" s="91">
        <f ca="1">IF(RTD("tos.rtd",,$A$2,"."&amp;Q$2&amp;Q$1&amp;"C"&amp;$A21)="N/A",0,RTD("tos.rtd",,$A$2,"."&amp;Q$2&amp;Q$1&amp;"C"&amp;$A21))-IF(RTD("tos.rtd",,$A$2,"."&amp;Q$2&amp;Q$1&amp;"P"&amp;$A21)="N/A",0,RTD("tos.rtd",,$A$2,"."&amp;Q$2&amp;Q$1&amp;"P"&amp;$A21))</f>
        <v>0</v>
      </c>
      <c r="R21" s="91">
        <f ca="1">IF(RTD("tos.rtd",,$A$2,"."&amp;R$2&amp;R$1&amp;"C"&amp;$A21)="N/A",0,RTD("tos.rtd",,$A$2,"."&amp;R$2&amp;R$1&amp;"C"&amp;$A21))-IF(RTD("tos.rtd",,$A$2,"."&amp;R$2&amp;R$1&amp;"P"&amp;$A21)="N/A",0,RTD("tos.rtd",,$A$2,"."&amp;R$2&amp;R$1&amp;"P"&amp;$A21))</f>
        <v>-2</v>
      </c>
      <c r="S21" s="91">
        <f ca="1">IF(RTD("tos.rtd",,$A$2,"."&amp;S$2&amp;S$1&amp;"C"&amp;$A21)="N/A",0,RTD("tos.rtd",,$A$2,"."&amp;S$2&amp;S$1&amp;"C"&amp;$A21))-IF(RTD("tos.rtd",,$A$2,"."&amp;S$2&amp;S$1&amp;"P"&amp;$A21)="N/A",0,RTD("tos.rtd",,$A$2,"."&amp;S$2&amp;S$1&amp;"P"&amp;$A21))</f>
        <v>0</v>
      </c>
      <c r="T21" s="91">
        <f ca="1">IF(RTD("tos.rtd",,$A$2,"."&amp;T$2&amp;T$1&amp;"C"&amp;$A21)="N/A",0,RTD("tos.rtd",,$A$2,"."&amp;T$2&amp;T$1&amp;"C"&amp;$A21))-IF(RTD("tos.rtd",,$A$2,"."&amp;T$2&amp;T$1&amp;"P"&amp;$A21)="N/A",0,RTD("tos.rtd",,$A$2,"."&amp;T$2&amp;T$1&amp;"P"&amp;$A21))</f>
        <v>0</v>
      </c>
      <c r="U21" s="91">
        <f ca="1">IF(RTD("tos.rtd",,$A$2,"."&amp;U$2&amp;U$1&amp;"C"&amp;$A21)="N/A",0,RTD("tos.rtd",,$A$2,"."&amp;U$2&amp;U$1&amp;"C"&amp;$A21))-IF(RTD("tos.rtd",,$A$2,"."&amp;U$2&amp;U$1&amp;"P"&amp;$A21)="N/A",0,RTD("tos.rtd",,$A$2,"."&amp;U$2&amp;U$1&amp;"P"&amp;$A21))</f>
        <v>0</v>
      </c>
      <c r="V21" s="91">
        <f ca="1">IF(RTD("tos.rtd",,$A$2,"."&amp;V$2&amp;V$1&amp;"C"&amp;$A21)="N/A",0,RTD("tos.rtd",,$A$2,"."&amp;V$2&amp;V$1&amp;"C"&amp;$A21))-IF(RTD("tos.rtd",,$A$2,"."&amp;V$2&amp;V$1&amp;"P"&amp;$A21)="N/A",0,RTD("tos.rtd",,$A$2,"."&amp;V$2&amp;V$1&amp;"P"&amp;$A21))</f>
        <v>0</v>
      </c>
      <c r="W21" s="91">
        <f ca="1">IF(RTD("tos.rtd",,$A$2,"."&amp;W$2&amp;W$1&amp;"C"&amp;$A21)="N/A",0,RTD("tos.rtd",,$A$2,"."&amp;W$2&amp;W$1&amp;"C"&amp;$A21))-IF(RTD("tos.rtd",,$A$2,"."&amp;W$2&amp;W$1&amp;"P"&amp;$A21)="N/A",0,RTD("tos.rtd",,$A$2,"."&amp;W$2&amp;W$1&amp;"P"&amp;$A21))</f>
        <v>0</v>
      </c>
      <c r="X21" s="91">
        <f ca="1">IF(RTD("tos.rtd",,$A$2,"."&amp;X$2&amp;X$1&amp;"C"&amp;$A21)="N/A",0,RTD("tos.rtd",,$A$2,"."&amp;X$2&amp;X$1&amp;"C"&amp;$A21))-IF(RTD("tos.rtd",,$A$2,"."&amp;X$2&amp;X$1&amp;"P"&amp;$A21)="N/A",0,RTD("tos.rtd",,$A$2,"."&amp;X$2&amp;X$1&amp;"P"&amp;$A21))</f>
        <v>18</v>
      </c>
      <c r="Y21" s="98">
        <f t="shared" ca="1" si="3"/>
        <v>299</v>
      </c>
    </row>
    <row r="22" spans="1:25" x14ac:dyDescent="0.25">
      <c r="A22" s="93">
        <f>+Hoja1!A21</f>
        <v>565</v>
      </c>
      <c r="B22" s="91">
        <f ca="1">IF(RTD("tos.rtd",,$A$2,"."&amp;B$2&amp;B$1&amp;"C"&amp;$A22)="N/A",0,RTD("tos.rtd",,$A$2,"."&amp;B$2&amp;B$1&amp;"C"&amp;$A22))-IF(RTD("tos.rtd",,$A$2,"."&amp;B$2&amp;B$1&amp;"P"&amp;$A22)="N/A",0,RTD("tos.rtd",,$A$2,"."&amp;B$2&amp;B$1&amp;"P"&amp;$A22))</f>
        <v>0</v>
      </c>
      <c r="C22" s="91">
        <f ca="1">IF(RTD("tos.rtd",,$A$2,"."&amp;C$2&amp;C$1&amp;"C"&amp;$A22)="N/A",0,RTD("tos.rtd",,$A$2,"."&amp;C$2&amp;C$1&amp;"C"&amp;$A22))-IF(RTD("tos.rtd",,$A$2,"."&amp;C$2&amp;C$1&amp;"P"&amp;$A22)="N/A",0,RTD("tos.rtd",,$A$2,"."&amp;C$2&amp;C$1&amp;"P"&amp;$A22))</f>
        <v>0</v>
      </c>
      <c r="D22" s="91">
        <f ca="1">IF(RTD("tos.rtd",,$A$2,"."&amp;D$2&amp;D$1&amp;"C"&amp;$A22)="N/A",0,RTD("tos.rtd",,$A$2,"."&amp;D$2&amp;D$1&amp;"C"&amp;$A22))-IF(RTD("tos.rtd",,$A$2,"."&amp;D$2&amp;D$1&amp;"P"&amp;$A22)="N/A",0,RTD("tos.rtd",,$A$2,"."&amp;D$2&amp;D$1&amp;"P"&amp;$A22))</f>
        <v>0</v>
      </c>
      <c r="E22" s="91">
        <f ca="1">IF(RTD("tos.rtd",,$A$2,"."&amp;E$2&amp;E$1&amp;"C"&amp;$A22)="N/A",0,RTD("tos.rtd",,$A$2,"."&amp;E$2&amp;E$1&amp;"C"&amp;$A22))-IF(RTD("tos.rtd",,$A$2,"."&amp;E$2&amp;E$1&amp;"P"&amp;$A22)="N/A",0,RTD("tos.rtd",,$A$2,"."&amp;E$2&amp;E$1&amp;"P"&amp;$A22))</f>
        <v>0</v>
      </c>
      <c r="F22" s="91">
        <f ca="1">IF(RTD("tos.rtd",,$A$2,"."&amp;F$2&amp;F$1&amp;"C"&amp;$A22)="N/A",0,RTD("tos.rtd",,$A$2,"."&amp;F$2&amp;F$1&amp;"C"&amp;$A22))-IF(RTD("tos.rtd",,$A$2,"."&amp;F$2&amp;F$1&amp;"P"&amp;$A22)="N/A",0,RTD("tos.rtd",,$A$2,"."&amp;F$2&amp;F$1&amp;"P"&amp;$A22))</f>
        <v>0</v>
      </c>
      <c r="G22" s="91">
        <f ca="1">IF(RTD("tos.rtd",,$A$2,"."&amp;G$2&amp;G$1&amp;"C"&amp;$A22)="N/A",0,RTD("tos.rtd",,$A$2,"."&amp;G$2&amp;G$1&amp;"C"&amp;$A22))-IF(RTD("tos.rtd",,$A$2,"."&amp;G$2&amp;G$1&amp;"P"&amp;$A22)="N/A",0,RTD("tos.rtd",,$A$2,"."&amp;G$2&amp;G$1&amp;"P"&amp;$A22))</f>
        <v>0</v>
      </c>
      <c r="H22" s="91">
        <f ca="1">IF(RTD("tos.rtd",,$A$2,"."&amp;H$2&amp;H$1&amp;"C"&amp;$A22)="N/A",0,RTD("tos.rtd",,$A$2,"."&amp;H$2&amp;H$1&amp;"C"&amp;$A22))-IF(RTD("tos.rtd",,$A$2,"."&amp;H$2&amp;H$1&amp;"P"&amp;$A22)="N/A",0,RTD("tos.rtd",,$A$2,"."&amp;H$2&amp;H$1&amp;"P"&amp;$A22))</f>
        <v>890</v>
      </c>
      <c r="I22" s="91">
        <f ca="1">IF(RTD("tos.rtd",,$A$2,"."&amp;I$2&amp;I$1&amp;"C"&amp;$A22)="N/A",0,RTD("tos.rtd",,$A$2,"."&amp;I$2&amp;I$1&amp;"C"&amp;$A22))-IF(RTD("tos.rtd",,$A$2,"."&amp;I$2&amp;I$1&amp;"P"&amp;$A22)="N/A",0,RTD("tos.rtd",,$A$2,"."&amp;I$2&amp;I$1&amp;"P"&amp;$A22))</f>
        <v>2227</v>
      </c>
      <c r="J22" s="91">
        <f ca="1">IF(RTD("tos.rtd",,$A$2,"."&amp;J$2&amp;J$1&amp;"C"&amp;$A22)="N/A",0,RTD("tos.rtd",,$A$2,"."&amp;J$2&amp;J$1&amp;"C"&amp;$A22))-IF(RTD("tos.rtd",,$A$2,"."&amp;J$2&amp;J$1&amp;"P"&amp;$A22)="N/A",0,RTD("tos.rtd",,$A$2,"."&amp;J$2&amp;J$1&amp;"P"&amp;$A22))</f>
        <v>1060</v>
      </c>
      <c r="K22" s="91">
        <f ca="1">IF(RTD("tos.rtd",,$A$2,"."&amp;K$2&amp;K$1&amp;"C"&amp;$A22)="N/A",0,RTD("tos.rtd",,$A$2,"."&amp;K$2&amp;K$1&amp;"C"&amp;$A22))-IF(RTD("tos.rtd",,$A$2,"."&amp;K$2&amp;K$1&amp;"P"&amp;$A22)="N/A",0,RTD("tos.rtd",,$A$2,"."&amp;K$2&amp;K$1&amp;"P"&amp;$A22))</f>
        <v>-4398</v>
      </c>
      <c r="L22" s="91">
        <f ca="1">IF(RTD("tos.rtd",,$A$2,"."&amp;L$2&amp;L$1&amp;"C"&amp;$A22)="N/A",0,RTD("tos.rtd",,$A$2,"."&amp;L$2&amp;L$1&amp;"C"&amp;$A22))-IF(RTD("tos.rtd",,$A$2,"."&amp;L$2&amp;L$1&amp;"P"&amp;$A22)="N/A",0,RTD("tos.rtd",,$A$2,"."&amp;L$2&amp;L$1&amp;"P"&amp;$A22))</f>
        <v>-72</v>
      </c>
      <c r="M22" s="91">
        <f ca="1">IF(RTD("tos.rtd",,$A$2,"."&amp;M$2&amp;M$1&amp;"C"&amp;$A22)="N/A",0,RTD("tos.rtd",,$A$2,"."&amp;M$2&amp;M$1&amp;"C"&amp;$A22))-IF(RTD("tos.rtd",,$A$2,"."&amp;M$2&amp;M$1&amp;"P"&amp;$A22)="N/A",0,RTD("tos.rtd",,$A$2,"."&amp;M$2&amp;M$1&amp;"P"&amp;$A22))</f>
        <v>-33</v>
      </c>
      <c r="N22" s="91">
        <f ca="1">IF(RTD("tos.rtd",,$A$2,"."&amp;N$2&amp;N$1&amp;"C"&amp;$A22)="N/A",0,RTD("tos.rtd",,$A$2,"."&amp;N$2&amp;N$1&amp;"C"&amp;$A22))-IF(RTD("tos.rtd",,$A$2,"."&amp;N$2&amp;N$1&amp;"P"&amp;$A22)="N/A",0,RTD("tos.rtd",,$A$2,"."&amp;N$2&amp;N$1&amp;"P"&amp;$A22))</f>
        <v>-140</v>
      </c>
      <c r="O22" s="91">
        <f ca="1">IF(RTD("tos.rtd",,$A$2,"."&amp;O$2&amp;O$1&amp;"C"&amp;$A22)="N/A",0,RTD("tos.rtd",,$A$2,"."&amp;O$2&amp;O$1&amp;"C"&amp;$A22))-IF(RTD("tos.rtd",,$A$2,"."&amp;O$2&amp;O$1&amp;"P"&amp;$A22)="N/A",0,RTD("tos.rtd",,$A$2,"."&amp;O$2&amp;O$1&amp;"P"&amp;$A22))</f>
        <v>-144</v>
      </c>
      <c r="P22" s="91">
        <f ca="1">IF(RTD("tos.rtd",,$A$2,"."&amp;P$2&amp;P$1&amp;"C"&amp;$A22)="N/A",0,RTD("tos.rtd",,$A$2,"."&amp;P$2&amp;P$1&amp;"C"&amp;$A22))-IF(RTD("tos.rtd",,$A$2,"."&amp;P$2&amp;P$1&amp;"P"&amp;$A22)="N/A",0,RTD("tos.rtd",,$A$2,"."&amp;P$2&amp;P$1&amp;"P"&amp;$A22))</f>
        <v>-52</v>
      </c>
      <c r="Q22" s="91">
        <f ca="1">IF(RTD("tos.rtd",,$A$2,"."&amp;Q$2&amp;Q$1&amp;"C"&amp;$A22)="N/A",0,RTD("tos.rtd",,$A$2,"."&amp;Q$2&amp;Q$1&amp;"C"&amp;$A22))-IF(RTD("tos.rtd",,$A$2,"."&amp;Q$2&amp;Q$1&amp;"P"&amp;$A22)="N/A",0,RTD("tos.rtd",,$A$2,"."&amp;Q$2&amp;Q$1&amp;"P"&amp;$A22))</f>
        <v>-349</v>
      </c>
      <c r="R22" s="91">
        <f ca="1">IF(RTD("tos.rtd",,$A$2,"."&amp;R$2&amp;R$1&amp;"C"&amp;$A22)="N/A",0,RTD("tos.rtd",,$A$2,"."&amp;R$2&amp;R$1&amp;"C"&amp;$A22))-IF(RTD("tos.rtd",,$A$2,"."&amp;R$2&amp;R$1&amp;"P"&amp;$A22)="N/A",0,RTD("tos.rtd",,$A$2,"."&amp;R$2&amp;R$1&amp;"P"&amp;$A22))</f>
        <v>-100</v>
      </c>
      <c r="S22" s="91">
        <f ca="1">IF(RTD("tos.rtd",,$A$2,"."&amp;S$2&amp;S$1&amp;"C"&amp;$A22)="N/A",0,RTD("tos.rtd",,$A$2,"."&amp;S$2&amp;S$1&amp;"C"&amp;$A22))-IF(RTD("tos.rtd",,$A$2,"."&amp;S$2&amp;S$1&amp;"P"&amp;$A22)="N/A",0,RTD("tos.rtd",,$A$2,"."&amp;S$2&amp;S$1&amp;"P"&amp;$A22))</f>
        <v>0</v>
      </c>
      <c r="T22" s="91">
        <f ca="1">IF(RTD("tos.rtd",,$A$2,"."&amp;T$2&amp;T$1&amp;"C"&amp;$A22)="N/A",0,RTD("tos.rtd",,$A$2,"."&amp;T$2&amp;T$1&amp;"C"&amp;$A22))-IF(RTD("tos.rtd",,$A$2,"."&amp;T$2&amp;T$1&amp;"P"&amp;$A22)="N/A",0,RTD("tos.rtd",,$A$2,"."&amp;T$2&amp;T$1&amp;"P"&amp;$A22))</f>
        <v>-36</v>
      </c>
      <c r="U22" s="91">
        <f ca="1">IF(RTD("tos.rtd",,$A$2,"."&amp;U$2&amp;U$1&amp;"C"&amp;$A22)="N/A",0,RTD("tos.rtd",,$A$2,"."&amp;U$2&amp;U$1&amp;"C"&amp;$A22))-IF(RTD("tos.rtd",,$A$2,"."&amp;U$2&amp;U$1&amp;"P"&amp;$A22)="N/A",0,RTD("tos.rtd",,$A$2,"."&amp;U$2&amp;U$1&amp;"P"&amp;$A22))</f>
        <v>0</v>
      </c>
      <c r="V22" s="91">
        <f ca="1">IF(RTD("tos.rtd",,$A$2,"."&amp;V$2&amp;V$1&amp;"C"&amp;$A22)="N/A",0,RTD("tos.rtd",,$A$2,"."&amp;V$2&amp;V$1&amp;"C"&amp;$A22))-IF(RTD("tos.rtd",,$A$2,"."&amp;V$2&amp;V$1&amp;"P"&amp;$A22)="N/A",0,RTD("tos.rtd",,$A$2,"."&amp;V$2&amp;V$1&amp;"P"&amp;$A22))</f>
        <v>0</v>
      </c>
      <c r="W22" s="91">
        <f ca="1">IF(RTD("tos.rtd",,$A$2,"."&amp;W$2&amp;W$1&amp;"C"&amp;$A22)="N/A",0,RTD("tos.rtd",,$A$2,"."&amp;W$2&amp;W$1&amp;"C"&amp;$A22))-IF(RTD("tos.rtd",,$A$2,"."&amp;W$2&amp;W$1&amp;"P"&amp;$A22)="N/A",0,RTD("tos.rtd",,$A$2,"."&amp;W$2&amp;W$1&amp;"P"&amp;$A22))</f>
        <v>-8</v>
      </c>
      <c r="X22" s="91">
        <f ca="1">IF(RTD("tos.rtd",,$A$2,"."&amp;X$2&amp;X$1&amp;"C"&amp;$A22)="N/A",0,RTD("tos.rtd",,$A$2,"."&amp;X$2&amp;X$1&amp;"C"&amp;$A22))-IF(RTD("tos.rtd",,$A$2,"."&amp;X$2&amp;X$1&amp;"P"&amp;$A22)="N/A",0,RTD("tos.rtd",,$A$2,"."&amp;X$2&amp;X$1&amp;"P"&amp;$A22))</f>
        <v>56</v>
      </c>
      <c r="Y22" s="98">
        <f t="shared" ca="1" si="3"/>
        <v>-1099</v>
      </c>
    </row>
    <row r="23" spans="1:25" x14ac:dyDescent="0.25">
      <c r="A23" s="93">
        <f>+Hoja1!A22</f>
        <v>564</v>
      </c>
      <c r="B23" s="91">
        <f ca="1">IF(RTD("tos.rtd",,$A$2,"."&amp;B$2&amp;B$1&amp;"C"&amp;$A23)="N/A",0,RTD("tos.rtd",,$A$2,"."&amp;B$2&amp;B$1&amp;"C"&amp;$A23))-IF(RTD("tos.rtd",,$A$2,"."&amp;B$2&amp;B$1&amp;"P"&amp;$A23)="N/A",0,RTD("tos.rtd",,$A$2,"."&amp;B$2&amp;B$1&amp;"P"&amp;$A23))</f>
        <v>0</v>
      </c>
      <c r="C23" s="91">
        <f ca="1">IF(RTD("tos.rtd",,$A$2,"."&amp;C$2&amp;C$1&amp;"C"&amp;$A23)="N/A",0,RTD("tos.rtd",,$A$2,"."&amp;C$2&amp;C$1&amp;"C"&amp;$A23))-IF(RTD("tos.rtd",,$A$2,"."&amp;C$2&amp;C$1&amp;"P"&amp;$A23)="N/A",0,RTD("tos.rtd",,$A$2,"."&amp;C$2&amp;C$1&amp;"P"&amp;$A23))</f>
        <v>0</v>
      </c>
      <c r="D23" s="91">
        <f ca="1">IF(RTD("tos.rtd",,$A$2,"."&amp;D$2&amp;D$1&amp;"C"&amp;$A23)="N/A",0,RTD("tos.rtd",,$A$2,"."&amp;D$2&amp;D$1&amp;"C"&amp;$A23))-IF(RTD("tos.rtd",,$A$2,"."&amp;D$2&amp;D$1&amp;"P"&amp;$A23)="N/A",0,RTD("tos.rtd",,$A$2,"."&amp;D$2&amp;D$1&amp;"P"&amp;$A23))</f>
        <v>0</v>
      </c>
      <c r="E23" s="91">
        <f ca="1">IF(RTD("tos.rtd",,$A$2,"."&amp;E$2&amp;E$1&amp;"C"&amp;$A23)="N/A",0,RTD("tos.rtd",,$A$2,"."&amp;E$2&amp;E$1&amp;"C"&amp;$A23))-IF(RTD("tos.rtd",,$A$2,"."&amp;E$2&amp;E$1&amp;"P"&amp;$A23)="N/A",0,RTD("tos.rtd",,$A$2,"."&amp;E$2&amp;E$1&amp;"P"&amp;$A23))</f>
        <v>0</v>
      </c>
      <c r="F23" s="91">
        <f ca="1">IF(RTD("tos.rtd",,$A$2,"."&amp;F$2&amp;F$1&amp;"C"&amp;$A23)="N/A",0,RTD("tos.rtd",,$A$2,"."&amp;F$2&amp;F$1&amp;"C"&amp;$A23))-IF(RTD("tos.rtd",,$A$2,"."&amp;F$2&amp;F$1&amp;"P"&amp;$A23)="N/A",0,RTD("tos.rtd",,$A$2,"."&amp;F$2&amp;F$1&amp;"P"&amp;$A23))</f>
        <v>0</v>
      </c>
      <c r="G23" s="91">
        <f ca="1">IF(RTD("tos.rtd",,$A$2,"."&amp;G$2&amp;G$1&amp;"C"&amp;$A23)="N/A",0,RTD("tos.rtd",,$A$2,"."&amp;G$2&amp;G$1&amp;"C"&amp;$A23))-IF(RTD("tos.rtd",,$A$2,"."&amp;G$2&amp;G$1&amp;"P"&amp;$A23)="N/A",0,RTD("tos.rtd",,$A$2,"."&amp;G$2&amp;G$1&amp;"P"&amp;$A23))</f>
        <v>0</v>
      </c>
      <c r="H23" s="91">
        <f ca="1">IF(RTD("tos.rtd",,$A$2,"."&amp;H$2&amp;H$1&amp;"C"&amp;$A23)="N/A",0,RTD("tos.rtd",,$A$2,"."&amp;H$2&amp;H$1&amp;"C"&amp;$A23))-IF(RTD("tos.rtd",,$A$2,"."&amp;H$2&amp;H$1&amp;"P"&amp;$A23)="N/A",0,RTD("tos.rtd",,$A$2,"."&amp;H$2&amp;H$1&amp;"P"&amp;$A23))</f>
        <v>104</v>
      </c>
      <c r="I23" s="91">
        <f ca="1">IF(RTD("tos.rtd",,$A$2,"."&amp;I$2&amp;I$1&amp;"C"&amp;$A23)="N/A",0,RTD("tos.rtd",,$A$2,"."&amp;I$2&amp;I$1&amp;"C"&amp;$A23))-IF(RTD("tos.rtd",,$A$2,"."&amp;I$2&amp;I$1&amp;"P"&amp;$A23)="N/A",0,RTD("tos.rtd",,$A$2,"."&amp;I$2&amp;I$1&amp;"P"&amp;$A23))</f>
        <v>132</v>
      </c>
      <c r="J23" s="91">
        <f ca="1">IF(RTD("tos.rtd",,$A$2,"."&amp;J$2&amp;J$1&amp;"C"&amp;$A23)="N/A",0,RTD("tos.rtd",,$A$2,"."&amp;J$2&amp;J$1&amp;"C"&amp;$A23))-IF(RTD("tos.rtd",,$A$2,"."&amp;J$2&amp;J$1&amp;"P"&amp;$A23)="N/A",0,RTD("tos.rtd",,$A$2,"."&amp;J$2&amp;J$1&amp;"P"&amp;$A23))</f>
        <v>-1034</v>
      </c>
      <c r="K23" s="91">
        <f ca="1">IF(RTD("tos.rtd",,$A$2,"."&amp;K$2&amp;K$1&amp;"C"&amp;$A23)="N/A",0,RTD("tos.rtd",,$A$2,"."&amp;K$2&amp;K$1&amp;"C"&amp;$A23))-IF(RTD("tos.rtd",,$A$2,"."&amp;K$2&amp;K$1&amp;"P"&amp;$A23)="N/A",0,RTD("tos.rtd",,$A$2,"."&amp;K$2&amp;K$1&amp;"P"&amp;$A23))</f>
        <v>-23</v>
      </c>
      <c r="L23" s="91">
        <f ca="1">IF(RTD("tos.rtd",,$A$2,"."&amp;L$2&amp;L$1&amp;"C"&amp;$A23)="N/A",0,RTD("tos.rtd",,$A$2,"."&amp;L$2&amp;L$1&amp;"C"&amp;$A23))-IF(RTD("tos.rtd",,$A$2,"."&amp;L$2&amp;L$1&amp;"P"&amp;$A23)="N/A",0,RTD("tos.rtd",,$A$2,"."&amp;L$2&amp;L$1&amp;"P"&amp;$A23))</f>
        <v>87</v>
      </c>
      <c r="M23" s="91">
        <f ca="1">IF(RTD("tos.rtd",,$A$2,"."&amp;M$2&amp;M$1&amp;"C"&amp;$A23)="N/A",0,RTD("tos.rtd",,$A$2,"."&amp;M$2&amp;M$1&amp;"C"&amp;$A23))-IF(RTD("tos.rtd",,$A$2,"."&amp;M$2&amp;M$1&amp;"P"&amp;$A23)="N/A",0,RTD("tos.rtd",,$A$2,"."&amp;M$2&amp;M$1&amp;"P"&amp;$A23))</f>
        <v>0</v>
      </c>
      <c r="N23" s="91">
        <f ca="1">IF(RTD("tos.rtd",,$A$2,"."&amp;N$2&amp;N$1&amp;"C"&amp;$A23)="N/A",0,RTD("tos.rtd",,$A$2,"."&amp;N$2&amp;N$1&amp;"C"&amp;$A23))-IF(RTD("tos.rtd",,$A$2,"."&amp;N$2&amp;N$1&amp;"P"&amp;$A23)="N/A",0,RTD("tos.rtd",,$A$2,"."&amp;N$2&amp;N$1&amp;"P"&amp;$A23))</f>
        <v>-24</v>
      </c>
      <c r="O23" s="91">
        <f ca="1">IF(RTD("tos.rtd",,$A$2,"."&amp;O$2&amp;O$1&amp;"C"&amp;$A23)="N/A",0,RTD("tos.rtd",,$A$2,"."&amp;O$2&amp;O$1&amp;"C"&amp;$A23))-IF(RTD("tos.rtd",,$A$2,"."&amp;O$2&amp;O$1&amp;"P"&amp;$A23)="N/A",0,RTD("tos.rtd",,$A$2,"."&amp;O$2&amp;O$1&amp;"P"&amp;$A23))</f>
        <v>-137</v>
      </c>
      <c r="P23" s="91">
        <f ca="1">IF(RTD("tos.rtd",,$A$2,"."&amp;P$2&amp;P$1&amp;"C"&amp;$A23)="N/A",0,RTD("tos.rtd",,$A$2,"."&amp;P$2&amp;P$1&amp;"C"&amp;$A23))-IF(RTD("tos.rtd",,$A$2,"."&amp;P$2&amp;P$1&amp;"P"&amp;$A23)="N/A",0,RTD("tos.rtd",,$A$2,"."&amp;P$2&amp;P$1&amp;"P"&amp;$A23))</f>
        <v>-13</v>
      </c>
      <c r="Q23" s="91">
        <f ca="1">IF(RTD("tos.rtd",,$A$2,"."&amp;Q$2&amp;Q$1&amp;"C"&amp;$A23)="N/A",0,RTD("tos.rtd",,$A$2,"."&amp;Q$2&amp;Q$1&amp;"C"&amp;$A23))-IF(RTD("tos.rtd",,$A$2,"."&amp;Q$2&amp;Q$1&amp;"P"&amp;$A23)="N/A",0,RTD("tos.rtd",,$A$2,"."&amp;Q$2&amp;Q$1&amp;"P"&amp;$A23))</f>
        <v>0</v>
      </c>
      <c r="R23" s="91">
        <f ca="1">IF(RTD("tos.rtd",,$A$2,"."&amp;R$2&amp;R$1&amp;"C"&amp;$A23)="N/A",0,RTD("tos.rtd",,$A$2,"."&amp;R$2&amp;R$1&amp;"C"&amp;$A23))-IF(RTD("tos.rtd",,$A$2,"."&amp;R$2&amp;R$1&amp;"P"&amp;$A23)="N/A",0,RTD("tos.rtd",,$A$2,"."&amp;R$2&amp;R$1&amp;"P"&amp;$A23))</f>
        <v>16</v>
      </c>
      <c r="S23" s="91">
        <f ca="1">IF(RTD("tos.rtd",,$A$2,"."&amp;S$2&amp;S$1&amp;"C"&amp;$A23)="N/A",0,RTD("tos.rtd",,$A$2,"."&amp;S$2&amp;S$1&amp;"C"&amp;$A23))-IF(RTD("tos.rtd",,$A$2,"."&amp;S$2&amp;S$1&amp;"P"&amp;$A23)="N/A",0,RTD("tos.rtd",,$A$2,"."&amp;S$2&amp;S$1&amp;"P"&amp;$A23))</f>
        <v>0</v>
      </c>
      <c r="T23" s="91">
        <f ca="1">IF(RTD("tos.rtd",,$A$2,"."&amp;T$2&amp;T$1&amp;"C"&amp;$A23)="N/A",0,RTD("tos.rtd",,$A$2,"."&amp;T$2&amp;T$1&amp;"C"&amp;$A23))-IF(RTD("tos.rtd",,$A$2,"."&amp;T$2&amp;T$1&amp;"P"&amp;$A23)="N/A",0,RTD("tos.rtd",,$A$2,"."&amp;T$2&amp;T$1&amp;"P"&amp;$A23))</f>
        <v>-101</v>
      </c>
      <c r="U23" s="91">
        <f ca="1">IF(RTD("tos.rtd",,$A$2,"."&amp;U$2&amp;U$1&amp;"C"&amp;$A23)="N/A",0,RTD("tos.rtd",,$A$2,"."&amp;U$2&amp;U$1&amp;"C"&amp;$A23))-IF(RTD("tos.rtd",,$A$2,"."&amp;U$2&amp;U$1&amp;"P"&amp;$A23)="N/A",0,RTD("tos.rtd",,$A$2,"."&amp;U$2&amp;U$1&amp;"P"&amp;$A23))</f>
        <v>0</v>
      </c>
      <c r="V23" s="91">
        <f ca="1">IF(RTD("tos.rtd",,$A$2,"."&amp;V$2&amp;V$1&amp;"C"&amp;$A23)="N/A",0,RTD("tos.rtd",,$A$2,"."&amp;V$2&amp;V$1&amp;"C"&amp;$A23))-IF(RTD("tos.rtd",,$A$2,"."&amp;V$2&amp;V$1&amp;"P"&amp;$A23)="N/A",0,RTD("tos.rtd",,$A$2,"."&amp;V$2&amp;V$1&amp;"P"&amp;$A23))</f>
        <v>0</v>
      </c>
      <c r="W23" s="91">
        <f ca="1">IF(RTD("tos.rtd",,$A$2,"."&amp;W$2&amp;W$1&amp;"C"&amp;$A23)="N/A",0,RTD("tos.rtd",,$A$2,"."&amp;W$2&amp;W$1&amp;"C"&amp;$A23))-IF(RTD("tos.rtd",,$A$2,"."&amp;W$2&amp;W$1&amp;"P"&amp;$A23)="N/A",0,RTD("tos.rtd",,$A$2,"."&amp;W$2&amp;W$1&amp;"P"&amp;$A23))</f>
        <v>0</v>
      </c>
      <c r="X23" s="91">
        <f ca="1">IF(RTD("tos.rtd",,$A$2,"."&amp;X$2&amp;X$1&amp;"C"&amp;$A23)="N/A",0,RTD("tos.rtd",,$A$2,"."&amp;X$2&amp;X$1&amp;"C"&amp;$A23))-IF(RTD("tos.rtd",,$A$2,"."&amp;X$2&amp;X$1&amp;"P"&amp;$A23)="N/A",0,RTD("tos.rtd",,$A$2,"."&amp;X$2&amp;X$1&amp;"P"&amp;$A23))</f>
        <v>-33</v>
      </c>
      <c r="Y23" s="98">
        <f t="shared" ca="1" si="3"/>
        <v>-1026</v>
      </c>
    </row>
    <row r="24" spans="1:25" x14ac:dyDescent="0.25">
      <c r="A24" s="93">
        <f>+Hoja1!A23</f>
        <v>563</v>
      </c>
      <c r="B24" s="91">
        <f ca="1">IF(RTD("tos.rtd",,$A$2,"."&amp;B$2&amp;B$1&amp;"C"&amp;$A24)="N/A",0,RTD("tos.rtd",,$A$2,"."&amp;B$2&amp;B$1&amp;"C"&amp;$A24))-IF(RTD("tos.rtd",,$A$2,"."&amp;B$2&amp;B$1&amp;"P"&amp;$A24)="N/A",0,RTD("tos.rtd",,$A$2,"."&amp;B$2&amp;B$1&amp;"P"&amp;$A24))</f>
        <v>0</v>
      </c>
      <c r="C24" s="91">
        <f ca="1">IF(RTD("tos.rtd",,$A$2,"."&amp;C$2&amp;C$1&amp;"C"&amp;$A24)="N/A",0,RTD("tos.rtd",,$A$2,"."&amp;C$2&amp;C$1&amp;"C"&amp;$A24))-IF(RTD("tos.rtd",,$A$2,"."&amp;C$2&amp;C$1&amp;"P"&amp;$A24)="N/A",0,RTD("tos.rtd",,$A$2,"."&amp;C$2&amp;C$1&amp;"P"&amp;$A24))</f>
        <v>0</v>
      </c>
      <c r="D24" s="91">
        <f ca="1">IF(RTD("tos.rtd",,$A$2,"."&amp;D$2&amp;D$1&amp;"C"&amp;$A24)="N/A",0,RTD("tos.rtd",,$A$2,"."&amp;D$2&amp;D$1&amp;"C"&amp;$A24))-IF(RTD("tos.rtd",,$A$2,"."&amp;D$2&amp;D$1&amp;"P"&amp;$A24)="N/A",0,RTD("tos.rtd",,$A$2,"."&amp;D$2&amp;D$1&amp;"P"&amp;$A24))</f>
        <v>0</v>
      </c>
      <c r="E24" s="91">
        <f ca="1">IF(RTD("tos.rtd",,$A$2,"."&amp;E$2&amp;E$1&amp;"C"&amp;$A24)="N/A",0,RTD("tos.rtd",,$A$2,"."&amp;E$2&amp;E$1&amp;"C"&amp;$A24))-IF(RTD("tos.rtd",,$A$2,"."&amp;E$2&amp;E$1&amp;"P"&amp;$A24)="N/A",0,RTD("tos.rtd",,$A$2,"."&amp;E$2&amp;E$1&amp;"P"&amp;$A24))</f>
        <v>0</v>
      </c>
      <c r="F24" s="91">
        <f ca="1">IF(RTD("tos.rtd",,$A$2,"."&amp;F$2&amp;F$1&amp;"C"&amp;$A24)="N/A",0,RTD("tos.rtd",,$A$2,"."&amp;F$2&amp;F$1&amp;"C"&amp;$A24))-IF(RTD("tos.rtd",,$A$2,"."&amp;F$2&amp;F$1&amp;"P"&amp;$A24)="N/A",0,RTD("tos.rtd",,$A$2,"."&amp;F$2&amp;F$1&amp;"P"&amp;$A24))</f>
        <v>0</v>
      </c>
      <c r="G24" s="91">
        <f ca="1">IF(RTD("tos.rtd",,$A$2,"."&amp;G$2&amp;G$1&amp;"C"&amp;$A24)="N/A",0,RTD("tos.rtd",,$A$2,"."&amp;G$2&amp;G$1&amp;"C"&amp;$A24))-IF(RTD("tos.rtd",,$A$2,"."&amp;G$2&amp;G$1&amp;"P"&amp;$A24)="N/A",0,RTD("tos.rtd",,$A$2,"."&amp;G$2&amp;G$1&amp;"P"&amp;$A24))</f>
        <v>0</v>
      </c>
      <c r="H24" s="91">
        <f ca="1">IF(RTD("tos.rtd",,$A$2,"."&amp;H$2&amp;H$1&amp;"C"&amp;$A24)="N/A",0,RTD("tos.rtd",,$A$2,"."&amp;H$2&amp;H$1&amp;"C"&amp;$A24))-IF(RTD("tos.rtd",,$A$2,"."&amp;H$2&amp;H$1&amp;"P"&amp;$A24)="N/A",0,RTD("tos.rtd",,$A$2,"."&amp;H$2&amp;H$1&amp;"P"&amp;$A24))</f>
        <v>372</v>
      </c>
      <c r="I24" s="91">
        <f ca="1">IF(RTD("tos.rtd",,$A$2,"."&amp;I$2&amp;I$1&amp;"C"&amp;$A24)="N/A",0,RTD("tos.rtd",,$A$2,"."&amp;I$2&amp;I$1&amp;"C"&amp;$A24))-IF(RTD("tos.rtd",,$A$2,"."&amp;I$2&amp;I$1&amp;"P"&amp;$A24)="N/A",0,RTD("tos.rtd",,$A$2,"."&amp;I$2&amp;I$1&amp;"P"&amp;$A24))</f>
        <v>78</v>
      </c>
      <c r="J24" s="91">
        <f ca="1">IF(RTD("tos.rtd",,$A$2,"."&amp;J$2&amp;J$1&amp;"C"&amp;$A24)="N/A",0,RTD("tos.rtd",,$A$2,"."&amp;J$2&amp;J$1&amp;"C"&amp;$A24))-IF(RTD("tos.rtd",,$A$2,"."&amp;J$2&amp;J$1&amp;"P"&amp;$A24)="N/A",0,RTD("tos.rtd",,$A$2,"."&amp;J$2&amp;J$1&amp;"P"&amp;$A24))</f>
        <v>356</v>
      </c>
      <c r="K24" s="91">
        <f ca="1">IF(RTD("tos.rtd",,$A$2,"."&amp;K$2&amp;K$1&amp;"C"&amp;$A24)="N/A",0,RTD("tos.rtd",,$A$2,"."&amp;K$2&amp;K$1&amp;"C"&amp;$A24))-IF(RTD("tos.rtd",,$A$2,"."&amp;K$2&amp;K$1&amp;"P"&amp;$A24)="N/A",0,RTD("tos.rtd",,$A$2,"."&amp;K$2&amp;K$1&amp;"P"&amp;$A24))</f>
        <v>-335</v>
      </c>
      <c r="L24" s="91">
        <f ca="1">IF(RTD("tos.rtd",,$A$2,"."&amp;L$2&amp;L$1&amp;"C"&amp;$A24)="N/A",0,RTD("tos.rtd",,$A$2,"."&amp;L$2&amp;L$1&amp;"C"&amp;$A24))-IF(RTD("tos.rtd",,$A$2,"."&amp;L$2&amp;L$1&amp;"P"&amp;$A24)="N/A",0,RTD("tos.rtd",,$A$2,"."&amp;L$2&amp;L$1&amp;"P"&amp;$A24))</f>
        <v>82</v>
      </c>
      <c r="M24" s="91">
        <f ca="1">IF(RTD("tos.rtd",,$A$2,"."&amp;M$2&amp;M$1&amp;"C"&amp;$A24)="N/A",0,RTD("tos.rtd",,$A$2,"."&amp;M$2&amp;M$1&amp;"C"&amp;$A24))-IF(RTD("tos.rtd",,$A$2,"."&amp;M$2&amp;M$1&amp;"P"&amp;$A24)="N/A",0,RTD("tos.rtd",,$A$2,"."&amp;M$2&amp;M$1&amp;"P"&amp;$A24))</f>
        <v>0</v>
      </c>
      <c r="N24" s="91">
        <f ca="1">IF(RTD("tos.rtd",,$A$2,"."&amp;N$2&amp;N$1&amp;"C"&amp;$A24)="N/A",0,RTD("tos.rtd",,$A$2,"."&amp;N$2&amp;N$1&amp;"C"&amp;$A24))-IF(RTD("tos.rtd",,$A$2,"."&amp;N$2&amp;N$1&amp;"P"&amp;$A24)="N/A",0,RTD("tos.rtd",,$A$2,"."&amp;N$2&amp;N$1&amp;"P"&amp;$A24))</f>
        <v>-108</v>
      </c>
      <c r="O24" s="91">
        <f ca="1">IF(RTD("tos.rtd",,$A$2,"."&amp;O$2&amp;O$1&amp;"C"&amp;$A24)="N/A",0,RTD("tos.rtd",,$A$2,"."&amp;O$2&amp;O$1&amp;"C"&amp;$A24))-IF(RTD("tos.rtd",,$A$2,"."&amp;O$2&amp;O$1&amp;"P"&amp;$A24)="N/A",0,RTD("tos.rtd",,$A$2,"."&amp;O$2&amp;O$1&amp;"P"&amp;$A24))</f>
        <v>-130</v>
      </c>
      <c r="P24" s="91">
        <f ca="1">IF(RTD("tos.rtd",,$A$2,"."&amp;P$2&amp;P$1&amp;"C"&amp;$A24)="N/A",0,RTD("tos.rtd",,$A$2,"."&amp;P$2&amp;P$1&amp;"C"&amp;$A24))-IF(RTD("tos.rtd",,$A$2,"."&amp;P$2&amp;P$1&amp;"P"&amp;$A24)="N/A",0,RTD("tos.rtd",,$A$2,"."&amp;P$2&amp;P$1&amp;"P"&amp;$A24))</f>
        <v>9</v>
      </c>
      <c r="Q24" s="91">
        <f ca="1">IF(RTD("tos.rtd",,$A$2,"."&amp;Q$2&amp;Q$1&amp;"C"&amp;$A24)="N/A",0,RTD("tos.rtd",,$A$2,"."&amp;Q$2&amp;Q$1&amp;"C"&amp;$A24))-IF(RTD("tos.rtd",,$A$2,"."&amp;Q$2&amp;Q$1&amp;"P"&amp;$A24)="N/A",0,RTD("tos.rtd",,$A$2,"."&amp;Q$2&amp;Q$1&amp;"P"&amp;$A24))</f>
        <v>0</v>
      </c>
      <c r="R24" s="91">
        <f ca="1">IF(RTD("tos.rtd",,$A$2,"."&amp;R$2&amp;R$1&amp;"C"&amp;$A24)="N/A",0,RTD("tos.rtd",,$A$2,"."&amp;R$2&amp;R$1&amp;"C"&amp;$A24))-IF(RTD("tos.rtd",,$A$2,"."&amp;R$2&amp;R$1&amp;"P"&amp;$A24)="N/A",0,RTD("tos.rtd",,$A$2,"."&amp;R$2&amp;R$1&amp;"P"&amp;$A24))</f>
        <v>2</v>
      </c>
      <c r="S24" s="91">
        <f ca="1">IF(RTD("tos.rtd",,$A$2,"."&amp;S$2&amp;S$1&amp;"C"&amp;$A24)="N/A",0,RTD("tos.rtd",,$A$2,"."&amp;S$2&amp;S$1&amp;"C"&amp;$A24))-IF(RTD("tos.rtd",,$A$2,"."&amp;S$2&amp;S$1&amp;"P"&amp;$A24)="N/A",0,RTD("tos.rtd",,$A$2,"."&amp;S$2&amp;S$1&amp;"P"&amp;$A24))</f>
        <v>0</v>
      </c>
      <c r="T24" s="91">
        <f ca="1">IF(RTD("tos.rtd",,$A$2,"."&amp;T$2&amp;T$1&amp;"C"&amp;$A24)="N/A",0,RTD("tos.rtd",,$A$2,"."&amp;T$2&amp;T$1&amp;"C"&amp;$A24))-IF(RTD("tos.rtd",,$A$2,"."&amp;T$2&amp;T$1&amp;"P"&amp;$A24)="N/A",0,RTD("tos.rtd",,$A$2,"."&amp;T$2&amp;T$1&amp;"P"&amp;$A24))</f>
        <v>-2</v>
      </c>
      <c r="U24" s="91">
        <f ca="1">IF(RTD("tos.rtd",,$A$2,"."&amp;U$2&amp;U$1&amp;"C"&amp;$A24)="N/A",0,RTD("tos.rtd",,$A$2,"."&amp;U$2&amp;U$1&amp;"C"&amp;$A24))-IF(RTD("tos.rtd",,$A$2,"."&amp;U$2&amp;U$1&amp;"P"&amp;$A24)="N/A",0,RTD("tos.rtd",,$A$2,"."&amp;U$2&amp;U$1&amp;"P"&amp;$A24))</f>
        <v>0</v>
      </c>
      <c r="V24" s="91">
        <f ca="1">IF(RTD("tos.rtd",,$A$2,"."&amp;V$2&amp;V$1&amp;"C"&amp;$A24)="N/A",0,RTD("tos.rtd",,$A$2,"."&amp;V$2&amp;V$1&amp;"C"&amp;$A24))-IF(RTD("tos.rtd",,$A$2,"."&amp;V$2&amp;V$1&amp;"P"&amp;$A24)="N/A",0,RTD("tos.rtd",,$A$2,"."&amp;V$2&amp;V$1&amp;"P"&amp;$A24))</f>
        <v>0</v>
      </c>
      <c r="W24" s="91">
        <f ca="1">IF(RTD("tos.rtd",,$A$2,"."&amp;W$2&amp;W$1&amp;"C"&amp;$A24)="N/A",0,RTD("tos.rtd",,$A$2,"."&amp;W$2&amp;W$1&amp;"C"&amp;$A24))-IF(RTD("tos.rtd",,$A$2,"."&amp;W$2&amp;W$1&amp;"P"&amp;$A24)="N/A",0,RTD("tos.rtd",,$A$2,"."&amp;W$2&amp;W$1&amp;"P"&amp;$A24))</f>
        <v>0</v>
      </c>
      <c r="X24" s="91">
        <f ca="1">IF(RTD("tos.rtd",,$A$2,"."&amp;X$2&amp;X$1&amp;"C"&amp;$A24)="N/A",0,RTD("tos.rtd",,$A$2,"."&amp;X$2&amp;X$1&amp;"C"&amp;$A24))-IF(RTD("tos.rtd",,$A$2,"."&amp;X$2&amp;X$1&amp;"P"&amp;$A24)="N/A",0,RTD("tos.rtd",,$A$2,"."&amp;X$2&amp;X$1&amp;"P"&amp;$A24))</f>
        <v>-151</v>
      </c>
      <c r="Y24" s="98">
        <f t="shared" ca="1" si="3"/>
        <v>173</v>
      </c>
    </row>
    <row r="25" spans="1:25" x14ac:dyDescent="0.25">
      <c r="A25" s="93">
        <f>+Hoja1!A24</f>
        <v>562</v>
      </c>
      <c r="B25" s="91">
        <f ca="1">IF(RTD("tos.rtd",,$A$2,"."&amp;B$2&amp;B$1&amp;"C"&amp;$A25)="N/A",0,RTD("tos.rtd",,$A$2,"."&amp;B$2&amp;B$1&amp;"C"&amp;$A25))-IF(RTD("tos.rtd",,$A$2,"."&amp;B$2&amp;B$1&amp;"P"&amp;$A25)="N/A",0,RTD("tos.rtd",,$A$2,"."&amp;B$2&amp;B$1&amp;"P"&amp;$A25))</f>
        <v>0</v>
      </c>
      <c r="C25" s="91">
        <f ca="1">IF(RTD("tos.rtd",,$A$2,"."&amp;C$2&amp;C$1&amp;"C"&amp;$A25)="N/A",0,RTD("tos.rtd",,$A$2,"."&amp;C$2&amp;C$1&amp;"C"&amp;$A25))-IF(RTD("tos.rtd",,$A$2,"."&amp;C$2&amp;C$1&amp;"P"&amp;$A25)="N/A",0,RTD("tos.rtd",,$A$2,"."&amp;C$2&amp;C$1&amp;"P"&amp;$A25))</f>
        <v>0</v>
      </c>
      <c r="D25" s="91">
        <f ca="1">IF(RTD("tos.rtd",,$A$2,"."&amp;D$2&amp;D$1&amp;"C"&amp;$A25)="N/A",0,RTD("tos.rtd",,$A$2,"."&amp;D$2&amp;D$1&amp;"C"&amp;$A25))-IF(RTD("tos.rtd",,$A$2,"."&amp;D$2&amp;D$1&amp;"P"&amp;$A25)="N/A",0,RTD("tos.rtd",,$A$2,"."&amp;D$2&amp;D$1&amp;"P"&amp;$A25))</f>
        <v>0</v>
      </c>
      <c r="E25" s="91">
        <f ca="1">IF(RTD("tos.rtd",,$A$2,"."&amp;E$2&amp;E$1&amp;"C"&amp;$A25)="N/A",0,RTD("tos.rtd",,$A$2,"."&amp;E$2&amp;E$1&amp;"C"&amp;$A25))-IF(RTD("tos.rtd",,$A$2,"."&amp;E$2&amp;E$1&amp;"P"&amp;$A25)="N/A",0,RTD("tos.rtd",,$A$2,"."&amp;E$2&amp;E$1&amp;"P"&amp;$A25))</f>
        <v>0</v>
      </c>
      <c r="F25" s="91">
        <f ca="1">IF(RTD("tos.rtd",,$A$2,"."&amp;F$2&amp;F$1&amp;"C"&amp;$A25)="N/A",0,RTD("tos.rtd",,$A$2,"."&amp;F$2&amp;F$1&amp;"C"&amp;$A25))-IF(RTD("tos.rtd",,$A$2,"."&amp;F$2&amp;F$1&amp;"P"&amp;$A25)="N/A",0,RTD("tos.rtd",,$A$2,"."&amp;F$2&amp;F$1&amp;"P"&amp;$A25))</f>
        <v>0</v>
      </c>
      <c r="G25" s="91">
        <f ca="1">IF(RTD("tos.rtd",,$A$2,"."&amp;G$2&amp;G$1&amp;"C"&amp;$A25)="N/A",0,RTD("tos.rtd",,$A$2,"."&amp;G$2&amp;G$1&amp;"C"&amp;$A25))-IF(RTD("tos.rtd",,$A$2,"."&amp;G$2&amp;G$1&amp;"P"&amp;$A25)="N/A",0,RTD("tos.rtd",,$A$2,"."&amp;G$2&amp;G$1&amp;"P"&amp;$A25))</f>
        <v>0</v>
      </c>
      <c r="H25" s="91">
        <f ca="1">IF(RTD("tos.rtd",,$A$2,"."&amp;H$2&amp;H$1&amp;"C"&amp;$A25)="N/A",0,RTD("tos.rtd",,$A$2,"."&amp;H$2&amp;H$1&amp;"C"&amp;$A25))-IF(RTD("tos.rtd",,$A$2,"."&amp;H$2&amp;H$1&amp;"P"&amp;$A25)="N/A",0,RTD("tos.rtd",,$A$2,"."&amp;H$2&amp;H$1&amp;"P"&amp;$A25))</f>
        <v>-392</v>
      </c>
      <c r="I25" s="91">
        <f ca="1">IF(RTD("tos.rtd",,$A$2,"."&amp;I$2&amp;I$1&amp;"C"&amp;$A25)="N/A",0,RTD("tos.rtd",,$A$2,"."&amp;I$2&amp;I$1&amp;"C"&amp;$A25))-IF(RTD("tos.rtd",,$A$2,"."&amp;I$2&amp;I$1&amp;"P"&amp;$A25)="N/A",0,RTD("tos.rtd",,$A$2,"."&amp;I$2&amp;I$1&amp;"P"&amp;$A25))</f>
        <v>517</v>
      </c>
      <c r="J25" s="91">
        <f ca="1">IF(RTD("tos.rtd",,$A$2,"."&amp;J$2&amp;J$1&amp;"C"&amp;$A25)="N/A",0,RTD("tos.rtd",,$A$2,"."&amp;J$2&amp;J$1&amp;"C"&amp;$A25))-IF(RTD("tos.rtd",,$A$2,"."&amp;J$2&amp;J$1&amp;"P"&amp;$A25)="N/A",0,RTD("tos.rtd",,$A$2,"."&amp;J$2&amp;J$1&amp;"P"&amp;$A25))</f>
        <v>27</v>
      </c>
      <c r="K25" s="91">
        <f ca="1">IF(RTD("tos.rtd",,$A$2,"."&amp;K$2&amp;K$1&amp;"C"&amp;$A25)="N/A",0,RTD("tos.rtd",,$A$2,"."&amp;K$2&amp;K$1&amp;"C"&amp;$A25))-IF(RTD("tos.rtd",,$A$2,"."&amp;K$2&amp;K$1&amp;"P"&amp;$A25)="N/A",0,RTD("tos.rtd",,$A$2,"."&amp;K$2&amp;K$1&amp;"P"&amp;$A25))</f>
        <v>-187</v>
      </c>
      <c r="L25" s="91">
        <f ca="1">IF(RTD("tos.rtd",,$A$2,"."&amp;L$2&amp;L$1&amp;"C"&amp;$A25)="N/A",0,RTD("tos.rtd",,$A$2,"."&amp;L$2&amp;L$1&amp;"C"&amp;$A25))-IF(RTD("tos.rtd",,$A$2,"."&amp;L$2&amp;L$1&amp;"P"&amp;$A25)="N/A",0,RTD("tos.rtd",,$A$2,"."&amp;L$2&amp;L$1&amp;"P"&amp;$A25))</f>
        <v>-28</v>
      </c>
      <c r="M25" s="91">
        <f ca="1">IF(RTD("tos.rtd",,$A$2,"."&amp;M$2&amp;M$1&amp;"C"&amp;$A25)="N/A",0,RTD("tos.rtd",,$A$2,"."&amp;M$2&amp;M$1&amp;"C"&amp;$A25))-IF(RTD("tos.rtd",,$A$2,"."&amp;M$2&amp;M$1&amp;"P"&amp;$A25)="N/A",0,RTD("tos.rtd",,$A$2,"."&amp;M$2&amp;M$1&amp;"P"&amp;$A25))</f>
        <v>0</v>
      </c>
      <c r="N25" s="91">
        <f ca="1">IF(RTD("tos.rtd",,$A$2,"."&amp;N$2&amp;N$1&amp;"C"&amp;$A25)="N/A",0,RTD("tos.rtd",,$A$2,"."&amp;N$2&amp;N$1&amp;"C"&amp;$A25))-IF(RTD("tos.rtd",,$A$2,"."&amp;N$2&amp;N$1&amp;"P"&amp;$A25)="N/A",0,RTD("tos.rtd",,$A$2,"."&amp;N$2&amp;N$1&amp;"P"&amp;$A25))</f>
        <v>-3</v>
      </c>
      <c r="O25" s="91">
        <f ca="1">IF(RTD("tos.rtd",,$A$2,"."&amp;O$2&amp;O$1&amp;"C"&amp;$A25)="N/A",0,RTD("tos.rtd",,$A$2,"."&amp;O$2&amp;O$1&amp;"C"&amp;$A25))-IF(RTD("tos.rtd",,$A$2,"."&amp;O$2&amp;O$1&amp;"P"&amp;$A25)="N/A",0,RTD("tos.rtd",,$A$2,"."&amp;O$2&amp;O$1&amp;"P"&amp;$A25))</f>
        <v>-110</v>
      </c>
      <c r="P25" s="91">
        <f ca="1">IF(RTD("tos.rtd",,$A$2,"."&amp;P$2&amp;P$1&amp;"C"&amp;$A25)="N/A",0,RTD("tos.rtd",,$A$2,"."&amp;P$2&amp;P$1&amp;"C"&amp;$A25))-IF(RTD("tos.rtd",,$A$2,"."&amp;P$2&amp;P$1&amp;"P"&amp;$A25)="N/A",0,RTD("tos.rtd",,$A$2,"."&amp;P$2&amp;P$1&amp;"P"&amp;$A25))</f>
        <v>0</v>
      </c>
      <c r="Q25" s="91">
        <f ca="1">IF(RTD("tos.rtd",,$A$2,"."&amp;Q$2&amp;Q$1&amp;"C"&amp;$A25)="N/A",0,RTD("tos.rtd",,$A$2,"."&amp;Q$2&amp;Q$1&amp;"C"&amp;$A25))-IF(RTD("tos.rtd",,$A$2,"."&amp;Q$2&amp;Q$1&amp;"P"&amp;$A25)="N/A",0,RTD("tos.rtd",,$A$2,"."&amp;Q$2&amp;Q$1&amp;"P"&amp;$A25))</f>
        <v>0</v>
      </c>
      <c r="R25" s="91">
        <f ca="1">IF(RTD("tos.rtd",,$A$2,"."&amp;R$2&amp;R$1&amp;"C"&amp;$A25)="N/A",0,RTD("tos.rtd",,$A$2,"."&amp;R$2&amp;R$1&amp;"C"&amp;$A25))-IF(RTD("tos.rtd",,$A$2,"."&amp;R$2&amp;R$1&amp;"P"&amp;$A25)="N/A",0,RTD("tos.rtd",,$A$2,"."&amp;R$2&amp;R$1&amp;"P"&amp;$A25))</f>
        <v>-11</v>
      </c>
      <c r="S25" s="91">
        <f ca="1">IF(RTD("tos.rtd",,$A$2,"."&amp;S$2&amp;S$1&amp;"C"&amp;$A25)="N/A",0,RTD("tos.rtd",,$A$2,"."&amp;S$2&amp;S$1&amp;"C"&amp;$A25))-IF(RTD("tos.rtd",,$A$2,"."&amp;S$2&amp;S$1&amp;"P"&amp;$A25)="N/A",0,RTD("tos.rtd",,$A$2,"."&amp;S$2&amp;S$1&amp;"P"&amp;$A25))</f>
        <v>0</v>
      </c>
      <c r="T25" s="91">
        <f ca="1">IF(RTD("tos.rtd",,$A$2,"."&amp;T$2&amp;T$1&amp;"C"&amp;$A25)="N/A",0,RTD("tos.rtd",,$A$2,"."&amp;T$2&amp;T$1&amp;"C"&amp;$A25))-IF(RTD("tos.rtd",,$A$2,"."&amp;T$2&amp;T$1&amp;"P"&amp;$A25)="N/A",0,RTD("tos.rtd",,$A$2,"."&amp;T$2&amp;T$1&amp;"P"&amp;$A25))</f>
        <v>-10</v>
      </c>
      <c r="U25" s="91">
        <f ca="1">IF(RTD("tos.rtd",,$A$2,"."&amp;U$2&amp;U$1&amp;"C"&amp;$A25)="N/A",0,RTD("tos.rtd",,$A$2,"."&amp;U$2&amp;U$1&amp;"C"&amp;$A25))-IF(RTD("tos.rtd",,$A$2,"."&amp;U$2&amp;U$1&amp;"P"&amp;$A25)="N/A",0,RTD("tos.rtd",,$A$2,"."&amp;U$2&amp;U$1&amp;"P"&amp;$A25))</f>
        <v>0</v>
      </c>
      <c r="V25" s="91">
        <f ca="1">IF(RTD("tos.rtd",,$A$2,"."&amp;V$2&amp;V$1&amp;"C"&amp;$A25)="N/A",0,RTD("tos.rtd",,$A$2,"."&amp;V$2&amp;V$1&amp;"C"&amp;$A25))-IF(RTD("tos.rtd",,$A$2,"."&amp;V$2&amp;V$1&amp;"P"&amp;$A25)="N/A",0,RTD("tos.rtd",,$A$2,"."&amp;V$2&amp;V$1&amp;"P"&amp;$A25))</f>
        <v>0</v>
      </c>
      <c r="W25" s="91">
        <f ca="1">IF(RTD("tos.rtd",,$A$2,"."&amp;W$2&amp;W$1&amp;"C"&amp;$A25)="N/A",0,RTD("tos.rtd",,$A$2,"."&amp;W$2&amp;W$1&amp;"C"&amp;$A25))-IF(RTD("tos.rtd",,$A$2,"."&amp;W$2&amp;W$1&amp;"P"&amp;$A25)="N/A",0,RTD("tos.rtd",,$A$2,"."&amp;W$2&amp;W$1&amp;"P"&amp;$A25))</f>
        <v>0</v>
      </c>
      <c r="X25" s="91">
        <f ca="1">IF(RTD("tos.rtd",,$A$2,"."&amp;X$2&amp;X$1&amp;"C"&amp;$A25)="N/A",0,RTD("tos.rtd",,$A$2,"."&amp;X$2&amp;X$1&amp;"C"&amp;$A25))-IF(RTD("tos.rtd",,$A$2,"."&amp;X$2&amp;X$1&amp;"P"&amp;$A25)="N/A",0,RTD("tos.rtd",,$A$2,"."&amp;X$2&amp;X$1&amp;"P"&amp;$A25))</f>
        <v>-387</v>
      </c>
      <c r="Y25" s="98">
        <f t="shared" ca="1" si="3"/>
        <v>-584</v>
      </c>
    </row>
    <row r="26" spans="1:25" x14ac:dyDescent="0.25">
      <c r="A26" s="93">
        <f>+Hoja1!A25</f>
        <v>561</v>
      </c>
      <c r="B26" s="91">
        <f ca="1">IF(RTD("tos.rtd",,$A$2,"."&amp;B$2&amp;B$1&amp;"C"&amp;$A26)="N/A",0,RTD("tos.rtd",,$A$2,"."&amp;B$2&amp;B$1&amp;"C"&amp;$A26))-IF(RTD("tos.rtd",,$A$2,"."&amp;B$2&amp;B$1&amp;"P"&amp;$A26)="N/A",0,RTD("tos.rtd",,$A$2,"."&amp;B$2&amp;B$1&amp;"P"&amp;$A26))</f>
        <v>0</v>
      </c>
      <c r="C26" s="91">
        <f ca="1">IF(RTD("tos.rtd",,$A$2,"."&amp;C$2&amp;C$1&amp;"C"&amp;$A26)="N/A",0,RTD("tos.rtd",,$A$2,"."&amp;C$2&amp;C$1&amp;"C"&amp;$A26))-IF(RTD("tos.rtd",,$A$2,"."&amp;C$2&amp;C$1&amp;"P"&amp;$A26)="N/A",0,RTD("tos.rtd",,$A$2,"."&amp;C$2&amp;C$1&amp;"P"&amp;$A26))</f>
        <v>0</v>
      </c>
      <c r="D26" s="91">
        <f ca="1">IF(RTD("tos.rtd",,$A$2,"."&amp;D$2&amp;D$1&amp;"C"&amp;$A26)="N/A",0,RTD("tos.rtd",,$A$2,"."&amp;D$2&amp;D$1&amp;"C"&amp;$A26))-IF(RTD("tos.rtd",,$A$2,"."&amp;D$2&amp;D$1&amp;"P"&amp;$A26)="N/A",0,RTD("tos.rtd",,$A$2,"."&amp;D$2&amp;D$1&amp;"P"&amp;$A26))</f>
        <v>0</v>
      </c>
      <c r="E26" s="91">
        <f ca="1">IF(RTD("tos.rtd",,$A$2,"."&amp;E$2&amp;E$1&amp;"C"&amp;$A26)="N/A",0,RTD("tos.rtd",,$A$2,"."&amp;E$2&amp;E$1&amp;"C"&amp;$A26))-IF(RTD("tos.rtd",,$A$2,"."&amp;E$2&amp;E$1&amp;"P"&amp;$A26)="N/A",0,RTD("tos.rtd",,$A$2,"."&amp;E$2&amp;E$1&amp;"P"&amp;$A26))</f>
        <v>0</v>
      </c>
      <c r="F26" s="91">
        <f ca="1">IF(RTD("tos.rtd",,$A$2,"."&amp;F$2&amp;F$1&amp;"C"&amp;$A26)="N/A",0,RTD("tos.rtd",,$A$2,"."&amp;F$2&amp;F$1&amp;"C"&amp;$A26))-IF(RTD("tos.rtd",,$A$2,"."&amp;F$2&amp;F$1&amp;"P"&amp;$A26)="N/A",0,RTD("tos.rtd",,$A$2,"."&amp;F$2&amp;F$1&amp;"P"&amp;$A26))</f>
        <v>0</v>
      </c>
      <c r="G26" s="91">
        <f ca="1">IF(RTD("tos.rtd",,$A$2,"."&amp;G$2&amp;G$1&amp;"C"&amp;$A26)="N/A",0,RTD("tos.rtd",,$A$2,"."&amp;G$2&amp;G$1&amp;"C"&amp;$A26))-IF(RTD("tos.rtd",,$A$2,"."&amp;G$2&amp;G$1&amp;"P"&amp;$A26)="N/A",0,RTD("tos.rtd",,$A$2,"."&amp;G$2&amp;G$1&amp;"P"&amp;$A26))</f>
        <v>0</v>
      </c>
      <c r="H26" s="91">
        <f ca="1">IF(RTD("tos.rtd",,$A$2,"."&amp;H$2&amp;H$1&amp;"C"&amp;$A26)="N/A",0,RTD("tos.rtd",,$A$2,"."&amp;H$2&amp;H$1&amp;"C"&amp;$A26))-IF(RTD("tos.rtd",,$A$2,"."&amp;H$2&amp;H$1&amp;"P"&amp;$A26)="N/A",0,RTD("tos.rtd",,$A$2,"."&amp;H$2&amp;H$1&amp;"P"&amp;$A26))</f>
        <v>-1002</v>
      </c>
      <c r="I26" s="91">
        <f ca="1">IF(RTD("tos.rtd",,$A$2,"."&amp;I$2&amp;I$1&amp;"C"&amp;$A26)="N/A",0,RTD("tos.rtd",,$A$2,"."&amp;I$2&amp;I$1&amp;"C"&amp;$A26))-IF(RTD("tos.rtd",,$A$2,"."&amp;I$2&amp;I$1&amp;"P"&amp;$A26)="N/A",0,RTD("tos.rtd",,$A$2,"."&amp;I$2&amp;I$1&amp;"P"&amp;$A26))</f>
        <v>-625</v>
      </c>
      <c r="J26" s="91">
        <f ca="1">IF(RTD("tos.rtd",,$A$2,"."&amp;J$2&amp;J$1&amp;"C"&amp;$A26)="N/A",0,RTD("tos.rtd",,$A$2,"."&amp;J$2&amp;J$1&amp;"C"&amp;$A26))-IF(RTD("tos.rtd",,$A$2,"."&amp;J$2&amp;J$1&amp;"P"&amp;$A26)="N/A",0,RTD("tos.rtd",,$A$2,"."&amp;J$2&amp;J$1&amp;"P"&amp;$A26))</f>
        <v>26</v>
      </c>
      <c r="K26" s="91">
        <f ca="1">IF(RTD("tos.rtd",,$A$2,"."&amp;K$2&amp;K$1&amp;"C"&amp;$A26)="N/A",0,RTD("tos.rtd",,$A$2,"."&amp;K$2&amp;K$1&amp;"C"&amp;$A26))-IF(RTD("tos.rtd",,$A$2,"."&amp;K$2&amp;K$1&amp;"P"&amp;$A26)="N/A",0,RTD("tos.rtd",,$A$2,"."&amp;K$2&amp;K$1&amp;"P"&amp;$A26))</f>
        <v>-334</v>
      </c>
      <c r="L26" s="91">
        <f ca="1">IF(RTD("tos.rtd",,$A$2,"."&amp;L$2&amp;L$1&amp;"C"&amp;$A26)="N/A",0,RTD("tos.rtd",,$A$2,"."&amp;L$2&amp;L$1&amp;"C"&amp;$A26))-IF(RTD("tos.rtd",,$A$2,"."&amp;L$2&amp;L$1&amp;"P"&amp;$A26)="N/A",0,RTD("tos.rtd",,$A$2,"."&amp;L$2&amp;L$1&amp;"P"&amp;$A26))</f>
        <v>-35</v>
      </c>
      <c r="M26" s="91">
        <f ca="1">IF(RTD("tos.rtd",,$A$2,"."&amp;M$2&amp;M$1&amp;"C"&amp;$A26)="N/A",0,RTD("tos.rtd",,$A$2,"."&amp;M$2&amp;M$1&amp;"C"&amp;$A26))-IF(RTD("tos.rtd",,$A$2,"."&amp;M$2&amp;M$1&amp;"P"&amp;$A26)="N/A",0,RTD("tos.rtd",,$A$2,"."&amp;M$2&amp;M$1&amp;"P"&amp;$A26))</f>
        <v>0</v>
      </c>
      <c r="N26" s="91">
        <f ca="1">IF(RTD("tos.rtd",,$A$2,"."&amp;N$2&amp;N$1&amp;"C"&amp;$A26)="N/A",0,RTD("tos.rtd",,$A$2,"."&amp;N$2&amp;N$1&amp;"C"&amp;$A26))-IF(RTD("tos.rtd",,$A$2,"."&amp;N$2&amp;N$1&amp;"P"&amp;$A26)="N/A",0,RTD("tos.rtd",,$A$2,"."&amp;N$2&amp;N$1&amp;"P"&amp;$A26))</f>
        <v>0</v>
      </c>
      <c r="O26" s="91">
        <f ca="1">IF(RTD("tos.rtd",,$A$2,"."&amp;O$2&amp;O$1&amp;"C"&amp;$A26)="N/A",0,RTD("tos.rtd",,$A$2,"."&amp;O$2&amp;O$1&amp;"C"&amp;$A26))-IF(RTD("tos.rtd",,$A$2,"."&amp;O$2&amp;O$1&amp;"P"&amp;$A26)="N/A",0,RTD("tos.rtd",,$A$2,"."&amp;O$2&amp;O$1&amp;"P"&amp;$A26))</f>
        <v>-146</v>
      </c>
      <c r="P26" s="91">
        <f ca="1">IF(RTD("tos.rtd",,$A$2,"."&amp;P$2&amp;P$1&amp;"C"&amp;$A26)="N/A",0,RTD("tos.rtd",,$A$2,"."&amp;P$2&amp;P$1&amp;"C"&amp;$A26))-IF(RTD("tos.rtd",,$A$2,"."&amp;P$2&amp;P$1&amp;"P"&amp;$A26)="N/A",0,RTD("tos.rtd",,$A$2,"."&amp;P$2&amp;P$1&amp;"P"&amp;$A26))</f>
        <v>0</v>
      </c>
      <c r="Q26" s="91">
        <f ca="1">IF(RTD("tos.rtd",,$A$2,"."&amp;Q$2&amp;Q$1&amp;"C"&amp;$A26)="N/A",0,RTD("tos.rtd",,$A$2,"."&amp;Q$2&amp;Q$1&amp;"C"&amp;$A26))-IF(RTD("tos.rtd",,$A$2,"."&amp;Q$2&amp;Q$1&amp;"P"&amp;$A26)="N/A",0,RTD("tos.rtd",,$A$2,"."&amp;Q$2&amp;Q$1&amp;"P"&amp;$A26))</f>
        <v>0</v>
      </c>
      <c r="R26" s="91">
        <f ca="1">IF(RTD("tos.rtd",,$A$2,"."&amp;R$2&amp;R$1&amp;"C"&amp;$A26)="N/A",0,RTD("tos.rtd",,$A$2,"."&amp;R$2&amp;R$1&amp;"C"&amp;$A26))-IF(RTD("tos.rtd",,$A$2,"."&amp;R$2&amp;R$1&amp;"P"&amp;$A26)="N/A",0,RTD("tos.rtd",,$A$2,"."&amp;R$2&amp;R$1&amp;"P"&amp;$A26))</f>
        <v>-3</v>
      </c>
      <c r="S26" s="91">
        <f ca="1">IF(RTD("tos.rtd",,$A$2,"."&amp;S$2&amp;S$1&amp;"C"&amp;$A26)="N/A",0,RTD("tos.rtd",,$A$2,"."&amp;S$2&amp;S$1&amp;"C"&amp;$A26))-IF(RTD("tos.rtd",,$A$2,"."&amp;S$2&amp;S$1&amp;"P"&amp;$A26)="N/A",0,RTD("tos.rtd",,$A$2,"."&amp;S$2&amp;S$1&amp;"P"&amp;$A26))</f>
        <v>0</v>
      </c>
      <c r="T26" s="91">
        <f ca="1">IF(RTD("tos.rtd",,$A$2,"."&amp;T$2&amp;T$1&amp;"C"&amp;$A26)="N/A",0,RTD("tos.rtd",,$A$2,"."&amp;T$2&amp;T$1&amp;"C"&amp;$A26))-IF(RTD("tos.rtd",,$A$2,"."&amp;T$2&amp;T$1&amp;"P"&amp;$A26)="N/A",0,RTD("tos.rtd",,$A$2,"."&amp;T$2&amp;T$1&amp;"P"&amp;$A26))</f>
        <v>-13</v>
      </c>
      <c r="U26" s="91">
        <f ca="1">IF(RTD("tos.rtd",,$A$2,"."&amp;U$2&amp;U$1&amp;"C"&amp;$A26)="N/A",0,RTD("tos.rtd",,$A$2,"."&amp;U$2&amp;U$1&amp;"C"&amp;$A26))-IF(RTD("tos.rtd",,$A$2,"."&amp;U$2&amp;U$1&amp;"P"&amp;$A26)="N/A",0,RTD("tos.rtd",,$A$2,"."&amp;U$2&amp;U$1&amp;"P"&amp;$A26))</f>
        <v>0</v>
      </c>
      <c r="V26" s="91">
        <f ca="1">IF(RTD("tos.rtd",,$A$2,"."&amp;V$2&amp;V$1&amp;"C"&amp;$A26)="N/A",0,RTD("tos.rtd",,$A$2,"."&amp;V$2&amp;V$1&amp;"C"&amp;$A26))-IF(RTD("tos.rtd",,$A$2,"."&amp;V$2&amp;V$1&amp;"P"&amp;$A26)="N/A",0,RTD("tos.rtd",,$A$2,"."&amp;V$2&amp;V$1&amp;"P"&amp;$A26))</f>
        <v>0</v>
      </c>
      <c r="W26" s="91">
        <f ca="1">IF(RTD("tos.rtd",,$A$2,"."&amp;W$2&amp;W$1&amp;"C"&amp;$A26)="N/A",0,RTD("tos.rtd",,$A$2,"."&amp;W$2&amp;W$1&amp;"C"&amp;$A26))-IF(RTD("tos.rtd",,$A$2,"."&amp;W$2&amp;W$1&amp;"P"&amp;$A26)="N/A",0,RTD("tos.rtd",,$A$2,"."&amp;W$2&amp;W$1&amp;"P"&amp;$A26))</f>
        <v>0</v>
      </c>
      <c r="X26" s="91">
        <f ca="1">IF(RTD("tos.rtd",,$A$2,"."&amp;X$2&amp;X$1&amp;"C"&amp;$A26)="N/A",0,RTD("tos.rtd",,$A$2,"."&amp;X$2&amp;X$1&amp;"C"&amp;$A26))-IF(RTD("tos.rtd",,$A$2,"."&amp;X$2&amp;X$1&amp;"P"&amp;$A26)="N/A",0,RTD("tos.rtd",,$A$2,"."&amp;X$2&amp;X$1&amp;"P"&amp;$A26))</f>
        <v>-132</v>
      </c>
      <c r="Y26" s="98">
        <f t="shared" ca="1" si="3"/>
        <v>-2264</v>
      </c>
    </row>
    <row r="27" spans="1:25" x14ac:dyDescent="0.25">
      <c r="A27" s="93">
        <f>+Hoja1!A26</f>
        <v>560</v>
      </c>
      <c r="B27" s="91">
        <f ca="1">IF(RTD("tos.rtd",,$A$2,"."&amp;B$2&amp;B$1&amp;"C"&amp;$A27)="N/A",0,RTD("tos.rtd",,$A$2,"."&amp;B$2&amp;B$1&amp;"C"&amp;$A27))-IF(RTD("tos.rtd",,$A$2,"."&amp;B$2&amp;B$1&amp;"P"&amp;$A27)="N/A",0,RTD("tos.rtd",,$A$2,"."&amp;B$2&amp;B$1&amp;"P"&amp;$A27))</f>
        <v>0</v>
      </c>
      <c r="C27" s="91">
        <f ca="1">IF(RTD("tos.rtd",,$A$2,"."&amp;C$2&amp;C$1&amp;"C"&amp;$A27)="N/A",0,RTD("tos.rtd",,$A$2,"."&amp;C$2&amp;C$1&amp;"C"&amp;$A27))-IF(RTD("tos.rtd",,$A$2,"."&amp;C$2&amp;C$1&amp;"P"&amp;$A27)="N/A",0,RTD("tos.rtd",,$A$2,"."&amp;C$2&amp;C$1&amp;"P"&amp;$A27))</f>
        <v>0</v>
      </c>
      <c r="D27" s="91">
        <f ca="1">IF(RTD("tos.rtd",,$A$2,"."&amp;D$2&amp;D$1&amp;"C"&amp;$A27)="N/A",0,RTD("tos.rtd",,$A$2,"."&amp;D$2&amp;D$1&amp;"C"&amp;$A27))-IF(RTD("tos.rtd",,$A$2,"."&amp;D$2&amp;D$1&amp;"P"&amp;$A27)="N/A",0,RTD("tos.rtd",,$A$2,"."&amp;D$2&amp;D$1&amp;"P"&amp;$A27))</f>
        <v>0</v>
      </c>
      <c r="E27" s="91">
        <f ca="1">IF(RTD("tos.rtd",,$A$2,"."&amp;E$2&amp;E$1&amp;"C"&amp;$A27)="N/A",0,RTD("tos.rtd",,$A$2,"."&amp;E$2&amp;E$1&amp;"C"&amp;$A27))-IF(RTD("tos.rtd",,$A$2,"."&amp;E$2&amp;E$1&amp;"P"&amp;$A27)="N/A",0,RTD("tos.rtd",,$A$2,"."&amp;E$2&amp;E$1&amp;"P"&amp;$A27))</f>
        <v>0</v>
      </c>
      <c r="F27" s="91">
        <f ca="1">IF(RTD("tos.rtd",,$A$2,"."&amp;F$2&amp;F$1&amp;"C"&amp;$A27)="N/A",0,RTD("tos.rtd",,$A$2,"."&amp;F$2&amp;F$1&amp;"C"&amp;$A27))-IF(RTD("tos.rtd",,$A$2,"."&amp;F$2&amp;F$1&amp;"P"&amp;$A27)="N/A",0,RTD("tos.rtd",,$A$2,"."&amp;F$2&amp;F$1&amp;"P"&amp;$A27))</f>
        <v>0</v>
      </c>
      <c r="G27" s="91">
        <f ca="1">IF(RTD("tos.rtd",,$A$2,"."&amp;G$2&amp;G$1&amp;"C"&amp;$A27)="N/A",0,RTD("tos.rtd",,$A$2,"."&amp;G$2&amp;G$1&amp;"C"&amp;$A27))-IF(RTD("tos.rtd",,$A$2,"."&amp;G$2&amp;G$1&amp;"P"&amp;$A27)="N/A",0,RTD("tos.rtd",,$A$2,"."&amp;G$2&amp;G$1&amp;"P"&amp;$A27))</f>
        <v>0</v>
      </c>
      <c r="H27" s="91">
        <f ca="1">IF(RTD("tos.rtd",,$A$2,"."&amp;H$2&amp;H$1&amp;"C"&amp;$A27)="N/A",0,RTD("tos.rtd",,$A$2,"."&amp;H$2&amp;H$1&amp;"C"&amp;$A27))-IF(RTD("tos.rtd",,$A$2,"."&amp;H$2&amp;H$1&amp;"P"&amp;$A27)="N/A",0,RTD("tos.rtd",,$A$2,"."&amp;H$2&amp;H$1&amp;"P"&amp;$A27))</f>
        <v>-1429</v>
      </c>
      <c r="I27" s="91">
        <f ca="1">IF(RTD("tos.rtd",,$A$2,"."&amp;I$2&amp;I$1&amp;"C"&amp;$A27)="N/A",0,RTD("tos.rtd",,$A$2,"."&amp;I$2&amp;I$1&amp;"C"&amp;$A27))-IF(RTD("tos.rtd",,$A$2,"."&amp;I$2&amp;I$1&amp;"P"&amp;$A27)="N/A",0,RTD("tos.rtd",,$A$2,"."&amp;I$2&amp;I$1&amp;"P"&amp;$A27))</f>
        <v>-820</v>
      </c>
      <c r="J27" s="91">
        <f ca="1">IF(RTD("tos.rtd",,$A$2,"."&amp;J$2&amp;J$1&amp;"C"&amp;$A27)="N/A",0,RTD("tos.rtd",,$A$2,"."&amp;J$2&amp;J$1&amp;"C"&amp;$A27))-IF(RTD("tos.rtd",,$A$2,"."&amp;J$2&amp;J$1&amp;"P"&amp;$A27)="N/A",0,RTD("tos.rtd",,$A$2,"."&amp;J$2&amp;J$1&amp;"P"&amp;$A27))</f>
        <v>-614</v>
      </c>
      <c r="K27" s="91">
        <f ca="1">IF(RTD("tos.rtd",,$A$2,"."&amp;K$2&amp;K$1&amp;"C"&amp;$A27)="N/A",0,RTD("tos.rtd",,$A$2,"."&amp;K$2&amp;K$1&amp;"C"&amp;$A27))-IF(RTD("tos.rtd",,$A$2,"."&amp;K$2&amp;K$1&amp;"P"&amp;$A27)="N/A",0,RTD("tos.rtd",,$A$2,"."&amp;K$2&amp;K$1&amp;"P"&amp;$A27))</f>
        <v>-6658</v>
      </c>
      <c r="L27" s="91">
        <f ca="1">IF(RTD("tos.rtd",,$A$2,"."&amp;L$2&amp;L$1&amp;"C"&amp;$A27)="N/A",0,RTD("tos.rtd",,$A$2,"."&amp;L$2&amp;L$1&amp;"C"&amp;$A27))-IF(RTD("tos.rtd",,$A$2,"."&amp;L$2&amp;L$1&amp;"P"&amp;$A27)="N/A",0,RTD("tos.rtd",,$A$2,"."&amp;L$2&amp;L$1&amp;"P"&amp;$A27))</f>
        <v>-658</v>
      </c>
      <c r="M27" s="91">
        <f ca="1">IF(RTD("tos.rtd",,$A$2,"."&amp;M$2&amp;M$1&amp;"C"&amp;$A27)="N/A",0,RTD("tos.rtd",,$A$2,"."&amp;M$2&amp;M$1&amp;"C"&amp;$A27))-IF(RTD("tos.rtd",,$A$2,"."&amp;M$2&amp;M$1&amp;"P"&amp;$A27)="N/A",0,RTD("tos.rtd",,$A$2,"."&amp;M$2&amp;M$1&amp;"P"&amp;$A27))</f>
        <v>-1015</v>
      </c>
      <c r="N27" s="91">
        <f ca="1">IF(RTD("tos.rtd",,$A$2,"."&amp;N$2&amp;N$1&amp;"C"&amp;$A27)="N/A",0,RTD("tos.rtd",,$A$2,"."&amp;N$2&amp;N$1&amp;"C"&amp;$A27))-IF(RTD("tos.rtd",,$A$2,"."&amp;N$2&amp;N$1&amp;"P"&amp;$A27)="N/A",0,RTD("tos.rtd",,$A$2,"."&amp;N$2&amp;N$1&amp;"P"&amp;$A27))</f>
        <v>-409</v>
      </c>
      <c r="O27" s="91">
        <f ca="1">IF(RTD("tos.rtd",,$A$2,"."&amp;O$2&amp;O$1&amp;"C"&amp;$A27)="N/A",0,RTD("tos.rtd",,$A$2,"."&amp;O$2&amp;O$1&amp;"C"&amp;$A27))-IF(RTD("tos.rtd",,$A$2,"."&amp;O$2&amp;O$1&amp;"P"&amp;$A27)="N/A",0,RTD("tos.rtd",,$A$2,"."&amp;O$2&amp;O$1&amp;"P"&amp;$A27))</f>
        <v>-539</v>
      </c>
      <c r="P27" s="91">
        <f ca="1">IF(RTD("tos.rtd",,$A$2,"."&amp;P$2&amp;P$1&amp;"C"&amp;$A27)="N/A",0,RTD("tos.rtd",,$A$2,"."&amp;P$2&amp;P$1&amp;"C"&amp;$A27))-IF(RTD("tos.rtd",,$A$2,"."&amp;P$2&amp;P$1&amp;"P"&amp;$A27)="N/A",0,RTD("tos.rtd",,$A$2,"."&amp;P$2&amp;P$1&amp;"P"&amp;$A27))</f>
        <v>-9</v>
      </c>
      <c r="Q27" s="91">
        <f ca="1">IF(RTD("tos.rtd",,$A$2,"."&amp;Q$2&amp;Q$1&amp;"C"&amp;$A27)="N/A",0,RTD("tos.rtd",,$A$2,"."&amp;Q$2&amp;Q$1&amp;"C"&amp;$A27))-IF(RTD("tos.rtd",,$A$2,"."&amp;Q$2&amp;Q$1&amp;"P"&amp;$A27)="N/A",0,RTD("tos.rtd",,$A$2,"."&amp;Q$2&amp;Q$1&amp;"P"&amp;$A27))</f>
        <v>-194</v>
      </c>
      <c r="R27" s="91">
        <f ca="1">IF(RTD("tos.rtd",,$A$2,"."&amp;R$2&amp;R$1&amp;"C"&amp;$A27)="N/A",0,RTD("tos.rtd",,$A$2,"."&amp;R$2&amp;R$1&amp;"C"&amp;$A27))-IF(RTD("tos.rtd",,$A$2,"."&amp;R$2&amp;R$1&amp;"P"&amp;$A27)="N/A",0,RTD("tos.rtd",,$A$2,"."&amp;R$2&amp;R$1&amp;"P"&amp;$A27))</f>
        <v>-7</v>
      </c>
      <c r="S27" s="91">
        <f ca="1">IF(RTD("tos.rtd",,$A$2,"."&amp;S$2&amp;S$1&amp;"C"&amp;$A27)="N/A",0,RTD("tos.rtd",,$A$2,"."&amp;S$2&amp;S$1&amp;"C"&amp;$A27))-IF(RTD("tos.rtd",,$A$2,"."&amp;S$2&amp;S$1&amp;"P"&amp;$A27)="N/A",0,RTD("tos.rtd",,$A$2,"."&amp;S$2&amp;S$1&amp;"P"&amp;$A27))</f>
        <v>0</v>
      </c>
      <c r="T27" s="91">
        <f ca="1">IF(RTD("tos.rtd",,$A$2,"."&amp;T$2&amp;T$1&amp;"C"&amp;$A27)="N/A",0,RTD("tos.rtd",,$A$2,"."&amp;T$2&amp;T$1&amp;"C"&amp;$A27))-IF(RTD("tos.rtd",,$A$2,"."&amp;T$2&amp;T$1&amp;"P"&amp;$A27)="N/A",0,RTD("tos.rtd",,$A$2,"."&amp;T$2&amp;T$1&amp;"P"&amp;$A27))</f>
        <v>-31</v>
      </c>
      <c r="U27" s="91">
        <f ca="1">IF(RTD("tos.rtd",,$A$2,"."&amp;U$2&amp;U$1&amp;"C"&amp;$A27)="N/A",0,RTD("tos.rtd",,$A$2,"."&amp;U$2&amp;U$1&amp;"C"&amp;$A27))-IF(RTD("tos.rtd",,$A$2,"."&amp;U$2&amp;U$1&amp;"P"&amp;$A27)="N/A",0,RTD("tos.rtd",,$A$2,"."&amp;U$2&amp;U$1&amp;"P"&amp;$A27))</f>
        <v>0</v>
      </c>
      <c r="V27" s="91">
        <f ca="1">IF(RTD("tos.rtd",,$A$2,"."&amp;V$2&amp;V$1&amp;"C"&amp;$A27)="N/A",0,RTD("tos.rtd",,$A$2,"."&amp;V$2&amp;V$1&amp;"C"&amp;$A27))-IF(RTD("tos.rtd",,$A$2,"."&amp;V$2&amp;V$1&amp;"P"&amp;$A27)="N/A",0,RTD("tos.rtd",,$A$2,"."&amp;V$2&amp;V$1&amp;"P"&amp;$A27))</f>
        <v>0</v>
      </c>
      <c r="W27" s="91">
        <f ca="1">IF(RTD("tos.rtd",,$A$2,"."&amp;W$2&amp;W$1&amp;"C"&amp;$A27)="N/A",0,RTD("tos.rtd",,$A$2,"."&amp;W$2&amp;W$1&amp;"C"&amp;$A27))-IF(RTD("tos.rtd",,$A$2,"."&amp;W$2&amp;W$1&amp;"P"&amp;$A27)="N/A",0,RTD("tos.rtd",,$A$2,"."&amp;W$2&amp;W$1&amp;"P"&amp;$A27))</f>
        <v>-118</v>
      </c>
      <c r="X27" s="91">
        <f ca="1">IF(RTD("tos.rtd",,$A$2,"."&amp;X$2&amp;X$1&amp;"C"&amp;$A27)="N/A",0,RTD("tos.rtd",,$A$2,"."&amp;X$2&amp;X$1&amp;"C"&amp;$A27))-IF(RTD("tos.rtd",,$A$2,"."&amp;X$2&amp;X$1&amp;"P"&amp;$A27)="N/A",0,RTD("tos.rtd",,$A$2,"."&amp;X$2&amp;X$1&amp;"P"&amp;$A27))</f>
        <v>-3</v>
      </c>
      <c r="Y27" s="98">
        <f t="shared" ca="1" si="3"/>
        <v>-12504</v>
      </c>
    </row>
    <row r="28" spans="1:25" x14ac:dyDescent="0.25">
      <c r="A28" s="93">
        <f>+Hoja1!A27</f>
        <v>559</v>
      </c>
      <c r="B28" s="91">
        <f ca="1">IF(RTD("tos.rtd",,$A$2,"."&amp;B$2&amp;B$1&amp;"C"&amp;$A28)="N/A",0,RTD("tos.rtd",,$A$2,"."&amp;B$2&amp;B$1&amp;"C"&amp;$A28))-IF(RTD("tos.rtd",,$A$2,"."&amp;B$2&amp;B$1&amp;"P"&amp;$A28)="N/A",0,RTD("tos.rtd",,$A$2,"."&amp;B$2&amp;B$1&amp;"P"&amp;$A28))</f>
        <v>0</v>
      </c>
      <c r="C28" s="91">
        <f ca="1">IF(RTD("tos.rtd",,$A$2,"."&amp;C$2&amp;C$1&amp;"C"&amp;$A28)="N/A",0,RTD("tos.rtd",,$A$2,"."&amp;C$2&amp;C$1&amp;"C"&amp;$A28))-IF(RTD("tos.rtd",,$A$2,"."&amp;C$2&amp;C$1&amp;"P"&amp;$A28)="N/A",0,RTD("tos.rtd",,$A$2,"."&amp;C$2&amp;C$1&amp;"P"&amp;$A28))</f>
        <v>0</v>
      </c>
      <c r="D28" s="91">
        <f ca="1">IF(RTD("tos.rtd",,$A$2,"."&amp;D$2&amp;D$1&amp;"C"&amp;$A28)="N/A",0,RTD("tos.rtd",,$A$2,"."&amp;D$2&amp;D$1&amp;"C"&amp;$A28))-IF(RTD("tos.rtd",,$A$2,"."&amp;D$2&amp;D$1&amp;"P"&amp;$A28)="N/A",0,RTD("tos.rtd",,$A$2,"."&amp;D$2&amp;D$1&amp;"P"&amp;$A28))</f>
        <v>0</v>
      </c>
      <c r="E28" s="91">
        <f ca="1">IF(RTD("tos.rtd",,$A$2,"."&amp;E$2&amp;E$1&amp;"C"&amp;$A28)="N/A",0,RTD("tos.rtd",,$A$2,"."&amp;E$2&amp;E$1&amp;"C"&amp;$A28))-IF(RTD("tos.rtd",,$A$2,"."&amp;E$2&amp;E$1&amp;"P"&amp;$A28)="N/A",0,RTD("tos.rtd",,$A$2,"."&amp;E$2&amp;E$1&amp;"P"&amp;$A28))</f>
        <v>0</v>
      </c>
      <c r="F28" s="91">
        <f ca="1">IF(RTD("tos.rtd",,$A$2,"."&amp;F$2&amp;F$1&amp;"C"&amp;$A28)="N/A",0,RTD("tos.rtd",,$A$2,"."&amp;F$2&amp;F$1&amp;"C"&amp;$A28))-IF(RTD("tos.rtd",,$A$2,"."&amp;F$2&amp;F$1&amp;"P"&amp;$A28)="N/A",0,RTD("tos.rtd",,$A$2,"."&amp;F$2&amp;F$1&amp;"P"&amp;$A28))</f>
        <v>0</v>
      </c>
      <c r="G28" s="91">
        <f ca="1">IF(RTD("tos.rtd",,$A$2,"."&amp;G$2&amp;G$1&amp;"C"&amp;$A28)="N/A",0,RTD("tos.rtd",,$A$2,"."&amp;G$2&amp;G$1&amp;"C"&amp;$A28))-IF(RTD("tos.rtd",,$A$2,"."&amp;G$2&amp;G$1&amp;"P"&amp;$A28)="N/A",0,RTD("tos.rtd",,$A$2,"."&amp;G$2&amp;G$1&amp;"P"&amp;$A28))</f>
        <v>0</v>
      </c>
      <c r="H28" s="91">
        <f ca="1">IF(RTD("tos.rtd",,$A$2,"."&amp;H$2&amp;H$1&amp;"C"&amp;$A28)="N/A",0,RTD("tos.rtd",,$A$2,"."&amp;H$2&amp;H$1&amp;"C"&amp;$A28))-IF(RTD("tos.rtd",,$A$2,"."&amp;H$2&amp;H$1&amp;"P"&amp;$A28)="N/A",0,RTD("tos.rtd",,$A$2,"."&amp;H$2&amp;H$1&amp;"P"&amp;$A28))</f>
        <v>-194</v>
      </c>
      <c r="I28" s="91">
        <f ca="1">IF(RTD("tos.rtd",,$A$2,"."&amp;I$2&amp;I$1&amp;"C"&amp;$A28)="N/A",0,RTD("tos.rtd",,$A$2,"."&amp;I$2&amp;I$1&amp;"C"&amp;$A28))-IF(RTD("tos.rtd",,$A$2,"."&amp;I$2&amp;I$1&amp;"P"&amp;$A28)="N/A",0,RTD("tos.rtd",,$A$2,"."&amp;I$2&amp;I$1&amp;"P"&amp;$A28))</f>
        <v>-138</v>
      </c>
      <c r="J28" s="91">
        <f ca="1">IF(RTD("tos.rtd",,$A$2,"."&amp;J$2&amp;J$1&amp;"C"&amp;$A28)="N/A",0,RTD("tos.rtd",,$A$2,"."&amp;J$2&amp;J$1&amp;"C"&amp;$A28))-IF(RTD("tos.rtd",,$A$2,"."&amp;J$2&amp;J$1&amp;"P"&amp;$A28)="N/A",0,RTD("tos.rtd",,$A$2,"."&amp;J$2&amp;J$1&amp;"P"&amp;$A28))</f>
        <v>-118</v>
      </c>
      <c r="K28" s="91">
        <f ca="1">IF(RTD("tos.rtd",,$A$2,"."&amp;K$2&amp;K$1&amp;"C"&amp;$A28)="N/A",0,RTD("tos.rtd",,$A$2,"."&amp;K$2&amp;K$1&amp;"C"&amp;$A28))-IF(RTD("tos.rtd",,$A$2,"."&amp;K$2&amp;K$1&amp;"P"&amp;$A28)="N/A",0,RTD("tos.rtd",,$A$2,"."&amp;K$2&amp;K$1&amp;"P"&amp;$A28))</f>
        <v>-122</v>
      </c>
      <c r="L28" s="91">
        <f ca="1">IF(RTD("tos.rtd",,$A$2,"."&amp;L$2&amp;L$1&amp;"C"&amp;$A28)="N/A",0,RTD("tos.rtd",,$A$2,"."&amp;L$2&amp;L$1&amp;"C"&amp;$A28))-IF(RTD("tos.rtd",,$A$2,"."&amp;L$2&amp;L$1&amp;"P"&amp;$A28)="N/A",0,RTD("tos.rtd",,$A$2,"."&amp;L$2&amp;L$1&amp;"P"&amp;$A28))</f>
        <v>-386</v>
      </c>
      <c r="M28" s="91">
        <f ca="1">IF(RTD("tos.rtd",,$A$2,"."&amp;M$2&amp;M$1&amp;"C"&amp;$A28)="N/A",0,RTD("tos.rtd",,$A$2,"."&amp;M$2&amp;M$1&amp;"C"&amp;$A28))-IF(RTD("tos.rtd",,$A$2,"."&amp;M$2&amp;M$1&amp;"P"&amp;$A28)="N/A",0,RTD("tos.rtd",,$A$2,"."&amp;M$2&amp;M$1&amp;"P"&amp;$A28))</f>
        <v>0</v>
      </c>
      <c r="N28" s="91">
        <f ca="1">IF(RTD("tos.rtd",,$A$2,"."&amp;N$2&amp;N$1&amp;"C"&amp;$A28)="N/A",0,RTD("tos.rtd",,$A$2,"."&amp;N$2&amp;N$1&amp;"C"&amp;$A28))-IF(RTD("tos.rtd",,$A$2,"."&amp;N$2&amp;N$1&amp;"P"&amp;$A28)="N/A",0,RTD("tos.rtd",,$A$2,"."&amp;N$2&amp;N$1&amp;"P"&amp;$A28))</f>
        <v>-281</v>
      </c>
      <c r="O28" s="91">
        <f ca="1">IF(RTD("tos.rtd",,$A$2,"."&amp;O$2&amp;O$1&amp;"C"&amp;$A28)="N/A",0,RTD("tos.rtd",,$A$2,"."&amp;O$2&amp;O$1&amp;"C"&amp;$A28))-IF(RTD("tos.rtd",,$A$2,"."&amp;O$2&amp;O$1&amp;"P"&amp;$A28)="N/A",0,RTD("tos.rtd",,$A$2,"."&amp;O$2&amp;O$1&amp;"P"&amp;$A28))</f>
        <v>-2</v>
      </c>
      <c r="P28" s="91">
        <f ca="1">IF(RTD("tos.rtd",,$A$2,"."&amp;P$2&amp;P$1&amp;"C"&amp;$A28)="N/A",0,RTD("tos.rtd",,$A$2,"."&amp;P$2&amp;P$1&amp;"C"&amp;$A28))-IF(RTD("tos.rtd",,$A$2,"."&amp;P$2&amp;P$1&amp;"P"&amp;$A28)="N/A",0,RTD("tos.rtd",,$A$2,"."&amp;P$2&amp;P$1&amp;"P"&amp;$A28))</f>
        <v>0</v>
      </c>
      <c r="Q28" s="91">
        <f ca="1">IF(RTD("tos.rtd",,$A$2,"."&amp;Q$2&amp;Q$1&amp;"C"&amp;$A28)="N/A",0,RTD("tos.rtd",,$A$2,"."&amp;Q$2&amp;Q$1&amp;"C"&amp;$A28))-IF(RTD("tos.rtd",,$A$2,"."&amp;Q$2&amp;Q$1&amp;"P"&amp;$A28)="N/A",0,RTD("tos.rtd",,$A$2,"."&amp;Q$2&amp;Q$1&amp;"P"&amp;$A28))</f>
        <v>0</v>
      </c>
      <c r="R28" s="91">
        <f ca="1">IF(RTD("tos.rtd",,$A$2,"."&amp;R$2&amp;R$1&amp;"C"&amp;$A28)="N/A",0,RTD("tos.rtd",,$A$2,"."&amp;R$2&amp;R$1&amp;"C"&amp;$A28))-IF(RTD("tos.rtd",,$A$2,"."&amp;R$2&amp;R$1&amp;"P"&amp;$A28)="N/A",0,RTD("tos.rtd",,$A$2,"."&amp;R$2&amp;R$1&amp;"P"&amp;$A28))</f>
        <v>0</v>
      </c>
      <c r="S28" s="91">
        <f ca="1">IF(RTD("tos.rtd",,$A$2,"."&amp;S$2&amp;S$1&amp;"C"&amp;$A28)="N/A",0,RTD("tos.rtd",,$A$2,"."&amp;S$2&amp;S$1&amp;"C"&amp;$A28))-IF(RTD("tos.rtd",,$A$2,"."&amp;S$2&amp;S$1&amp;"P"&amp;$A28)="N/A",0,RTD("tos.rtd",,$A$2,"."&amp;S$2&amp;S$1&amp;"P"&amp;$A28))</f>
        <v>0</v>
      </c>
      <c r="T28" s="91">
        <f ca="1">IF(RTD("tos.rtd",,$A$2,"."&amp;T$2&amp;T$1&amp;"C"&amp;$A28)="N/A",0,RTD("tos.rtd",,$A$2,"."&amp;T$2&amp;T$1&amp;"C"&amp;$A28))-IF(RTD("tos.rtd",,$A$2,"."&amp;T$2&amp;T$1&amp;"P"&amp;$A28)="N/A",0,RTD("tos.rtd",,$A$2,"."&amp;T$2&amp;T$1&amp;"P"&amp;$A28))</f>
        <v>-1</v>
      </c>
      <c r="U28" s="91">
        <f ca="1">IF(RTD("tos.rtd",,$A$2,"."&amp;U$2&amp;U$1&amp;"C"&amp;$A28)="N/A",0,RTD("tos.rtd",,$A$2,"."&amp;U$2&amp;U$1&amp;"C"&amp;$A28))-IF(RTD("tos.rtd",,$A$2,"."&amp;U$2&amp;U$1&amp;"P"&amp;$A28)="N/A",0,RTD("tos.rtd",,$A$2,"."&amp;U$2&amp;U$1&amp;"P"&amp;$A28))</f>
        <v>0</v>
      </c>
      <c r="V28" s="91">
        <f ca="1">IF(RTD("tos.rtd",,$A$2,"."&amp;V$2&amp;V$1&amp;"C"&amp;$A28)="N/A",0,RTD("tos.rtd",,$A$2,"."&amp;V$2&amp;V$1&amp;"C"&amp;$A28))-IF(RTD("tos.rtd",,$A$2,"."&amp;V$2&amp;V$1&amp;"P"&amp;$A28)="N/A",0,RTD("tos.rtd",,$A$2,"."&amp;V$2&amp;V$1&amp;"P"&amp;$A28))</f>
        <v>0</v>
      </c>
      <c r="W28" s="91">
        <f ca="1">IF(RTD("tos.rtd",,$A$2,"."&amp;W$2&amp;W$1&amp;"C"&amp;$A28)="N/A",0,RTD("tos.rtd",,$A$2,"."&amp;W$2&amp;W$1&amp;"C"&amp;$A28))-IF(RTD("tos.rtd",,$A$2,"."&amp;W$2&amp;W$1&amp;"P"&amp;$A28)="N/A",0,RTD("tos.rtd",,$A$2,"."&amp;W$2&amp;W$1&amp;"P"&amp;$A28))</f>
        <v>0</v>
      </c>
      <c r="X28" s="91">
        <f ca="1">IF(RTD("tos.rtd",,$A$2,"."&amp;X$2&amp;X$1&amp;"C"&amp;$A28)="N/A",0,RTD("tos.rtd",,$A$2,"."&amp;X$2&amp;X$1&amp;"C"&amp;$A28))-IF(RTD("tos.rtd",,$A$2,"."&amp;X$2&amp;X$1&amp;"P"&amp;$A28)="N/A",0,RTD("tos.rtd",,$A$2,"."&amp;X$2&amp;X$1&amp;"P"&amp;$A28))</f>
        <v>0</v>
      </c>
      <c r="Y28" s="98">
        <f t="shared" ca="1" si="3"/>
        <v>-1242</v>
      </c>
    </row>
    <row r="29" spans="1:25" x14ac:dyDescent="0.25">
      <c r="A29" s="93">
        <f>+Hoja1!A28</f>
        <v>558</v>
      </c>
      <c r="B29" s="91">
        <f ca="1">IF(RTD("tos.rtd",,$A$2,"."&amp;B$2&amp;B$1&amp;"C"&amp;$A29)="N/A",0,RTD("tos.rtd",,$A$2,"."&amp;B$2&amp;B$1&amp;"C"&amp;$A29))-IF(RTD("tos.rtd",,$A$2,"."&amp;B$2&amp;B$1&amp;"P"&amp;$A29)="N/A",0,RTD("tos.rtd",,$A$2,"."&amp;B$2&amp;B$1&amp;"P"&amp;$A29))</f>
        <v>0</v>
      </c>
      <c r="C29" s="91">
        <f ca="1">IF(RTD("tos.rtd",,$A$2,"."&amp;C$2&amp;C$1&amp;"C"&amp;$A29)="N/A",0,RTD("tos.rtd",,$A$2,"."&amp;C$2&amp;C$1&amp;"C"&amp;$A29))-IF(RTD("tos.rtd",,$A$2,"."&amp;C$2&amp;C$1&amp;"P"&amp;$A29)="N/A",0,RTD("tos.rtd",,$A$2,"."&amp;C$2&amp;C$1&amp;"P"&amp;$A29))</f>
        <v>0</v>
      </c>
      <c r="D29" s="91">
        <f ca="1">IF(RTD("tos.rtd",,$A$2,"."&amp;D$2&amp;D$1&amp;"C"&amp;$A29)="N/A",0,RTD("tos.rtd",,$A$2,"."&amp;D$2&amp;D$1&amp;"C"&amp;$A29))-IF(RTD("tos.rtd",,$A$2,"."&amp;D$2&amp;D$1&amp;"P"&amp;$A29)="N/A",0,RTD("tos.rtd",,$A$2,"."&amp;D$2&amp;D$1&amp;"P"&amp;$A29))</f>
        <v>0</v>
      </c>
      <c r="E29" s="91">
        <f ca="1">IF(RTD("tos.rtd",,$A$2,"."&amp;E$2&amp;E$1&amp;"C"&amp;$A29)="N/A",0,RTD("tos.rtd",,$A$2,"."&amp;E$2&amp;E$1&amp;"C"&amp;$A29))-IF(RTD("tos.rtd",,$A$2,"."&amp;E$2&amp;E$1&amp;"P"&amp;$A29)="N/A",0,RTD("tos.rtd",,$A$2,"."&amp;E$2&amp;E$1&amp;"P"&amp;$A29))</f>
        <v>0</v>
      </c>
      <c r="F29" s="91">
        <f ca="1">IF(RTD("tos.rtd",,$A$2,"."&amp;F$2&amp;F$1&amp;"C"&amp;$A29)="N/A",0,RTD("tos.rtd",,$A$2,"."&amp;F$2&amp;F$1&amp;"C"&amp;$A29))-IF(RTD("tos.rtd",,$A$2,"."&amp;F$2&amp;F$1&amp;"P"&amp;$A29)="N/A",0,RTD("tos.rtd",,$A$2,"."&amp;F$2&amp;F$1&amp;"P"&amp;$A29))</f>
        <v>0</v>
      </c>
      <c r="G29" s="91">
        <f ca="1">IF(RTD("tos.rtd",,$A$2,"."&amp;G$2&amp;G$1&amp;"C"&amp;$A29)="N/A",0,RTD("tos.rtd",,$A$2,"."&amp;G$2&amp;G$1&amp;"C"&amp;$A29))-IF(RTD("tos.rtd",,$A$2,"."&amp;G$2&amp;G$1&amp;"P"&amp;$A29)="N/A",0,RTD("tos.rtd",,$A$2,"."&amp;G$2&amp;G$1&amp;"P"&amp;$A29))</f>
        <v>0</v>
      </c>
      <c r="H29" s="91">
        <f ca="1">IF(RTD("tos.rtd",,$A$2,"."&amp;H$2&amp;H$1&amp;"C"&amp;$A29)="N/A",0,RTD("tos.rtd",,$A$2,"."&amp;H$2&amp;H$1&amp;"C"&amp;$A29))-IF(RTD("tos.rtd",,$A$2,"."&amp;H$2&amp;H$1&amp;"P"&amp;$A29)="N/A",0,RTD("tos.rtd",,$A$2,"."&amp;H$2&amp;H$1&amp;"P"&amp;$A29))</f>
        <v>-391</v>
      </c>
      <c r="I29" s="91">
        <f ca="1">IF(RTD("tos.rtd",,$A$2,"."&amp;I$2&amp;I$1&amp;"C"&amp;$A29)="N/A",0,RTD("tos.rtd",,$A$2,"."&amp;I$2&amp;I$1&amp;"C"&amp;$A29))-IF(RTD("tos.rtd",,$A$2,"."&amp;I$2&amp;I$1&amp;"P"&amp;$A29)="N/A",0,RTD("tos.rtd",,$A$2,"."&amp;I$2&amp;I$1&amp;"P"&amp;$A29))</f>
        <v>-321</v>
      </c>
      <c r="J29" s="91">
        <f ca="1">IF(RTD("tos.rtd",,$A$2,"."&amp;J$2&amp;J$1&amp;"C"&amp;$A29)="N/A",0,RTD("tos.rtd",,$A$2,"."&amp;J$2&amp;J$1&amp;"C"&amp;$A29))-IF(RTD("tos.rtd",,$A$2,"."&amp;J$2&amp;J$1&amp;"P"&amp;$A29)="N/A",0,RTD("tos.rtd",,$A$2,"."&amp;J$2&amp;J$1&amp;"P"&amp;$A29))</f>
        <v>11</v>
      </c>
      <c r="K29" s="91">
        <f ca="1">IF(RTD("tos.rtd",,$A$2,"."&amp;K$2&amp;K$1&amp;"C"&amp;$A29)="N/A",0,RTD("tos.rtd",,$A$2,"."&amp;K$2&amp;K$1&amp;"C"&amp;$A29))-IF(RTD("tos.rtd",,$A$2,"."&amp;K$2&amp;K$1&amp;"P"&amp;$A29)="N/A",0,RTD("tos.rtd",,$A$2,"."&amp;K$2&amp;K$1&amp;"P"&amp;$A29))</f>
        <v>-191</v>
      </c>
      <c r="L29" s="91">
        <f ca="1">IF(RTD("tos.rtd",,$A$2,"."&amp;L$2&amp;L$1&amp;"C"&amp;$A29)="N/A",0,RTD("tos.rtd",,$A$2,"."&amp;L$2&amp;L$1&amp;"C"&amp;$A29))-IF(RTD("tos.rtd",,$A$2,"."&amp;L$2&amp;L$1&amp;"P"&amp;$A29)="N/A",0,RTD("tos.rtd",,$A$2,"."&amp;L$2&amp;L$1&amp;"P"&amp;$A29))</f>
        <v>-76</v>
      </c>
      <c r="M29" s="91">
        <f ca="1">IF(RTD("tos.rtd",,$A$2,"."&amp;M$2&amp;M$1&amp;"C"&amp;$A29)="N/A",0,RTD("tos.rtd",,$A$2,"."&amp;M$2&amp;M$1&amp;"C"&amp;$A29))-IF(RTD("tos.rtd",,$A$2,"."&amp;M$2&amp;M$1&amp;"P"&amp;$A29)="N/A",0,RTD("tos.rtd",,$A$2,"."&amp;M$2&amp;M$1&amp;"P"&amp;$A29))</f>
        <v>0</v>
      </c>
      <c r="N29" s="91">
        <f ca="1">IF(RTD("tos.rtd",,$A$2,"."&amp;N$2&amp;N$1&amp;"C"&amp;$A29)="N/A",0,RTD("tos.rtd",,$A$2,"."&amp;N$2&amp;N$1&amp;"C"&amp;$A29))-IF(RTD("tos.rtd",,$A$2,"."&amp;N$2&amp;N$1&amp;"P"&amp;$A29)="N/A",0,RTD("tos.rtd",,$A$2,"."&amp;N$2&amp;N$1&amp;"P"&amp;$A29))</f>
        <v>-148</v>
      </c>
      <c r="O29" s="91">
        <f ca="1">IF(RTD("tos.rtd",,$A$2,"."&amp;O$2&amp;O$1&amp;"C"&amp;$A29)="N/A",0,RTD("tos.rtd",,$A$2,"."&amp;O$2&amp;O$1&amp;"C"&amp;$A29))-IF(RTD("tos.rtd",,$A$2,"."&amp;O$2&amp;O$1&amp;"P"&amp;$A29)="N/A",0,RTD("tos.rtd",,$A$2,"."&amp;O$2&amp;O$1&amp;"P"&amp;$A29))</f>
        <v>6</v>
      </c>
      <c r="P29" s="91">
        <f ca="1">IF(RTD("tos.rtd",,$A$2,"."&amp;P$2&amp;P$1&amp;"C"&amp;$A29)="N/A",0,RTD("tos.rtd",,$A$2,"."&amp;P$2&amp;P$1&amp;"C"&amp;$A29))-IF(RTD("tos.rtd",,$A$2,"."&amp;P$2&amp;P$1&amp;"P"&amp;$A29)="N/A",0,RTD("tos.rtd",,$A$2,"."&amp;P$2&amp;P$1&amp;"P"&amp;$A29))</f>
        <v>-7</v>
      </c>
      <c r="Q29" s="91">
        <f ca="1">IF(RTD("tos.rtd",,$A$2,"."&amp;Q$2&amp;Q$1&amp;"C"&amp;$A29)="N/A",0,RTD("tos.rtd",,$A$2,"."&amp;Q$2&amp;Q$1&amp;"C"&amp;$A29))-IF(RTD("tos.rtd",,$A$2,"."&amp;Q$2&amp;Q$1&amp;"P"&amp;$A29)="N/A",0,RTD("tos.rtd",,$A$2,"."&amp;Q$2&amp;Q$1&amp;"P"&amp;$A29))</f>
        <v>0</v>
      </c>
      <c r="R29" s="91">
        <f ca="1">IF(RTD("tos.rtd",,$A$2,"."&amp;R$2&amp;R$1&amp;"C"&amp;$A29)="N/A",0,RTD("tos.rtd",,$A$2,"."&amp;R$2&amp;R$1&amp;"C"&amp;$A29))-IF(RTD("tos.rtd",,$A$2,"."&amp;R$2&amp;R$1&amp;"P"&amp;$A29)="N/A",0,RTD("tos.rtd",,$A$2,"."&amp;R$2&amp;R$1&amp;"P"&amp;$A29))</f>
        <v>-1</v>
      </c>
      <c r="S29" s="91">
        <f ca="1">IF(RTD("tos.rtd",,$A$2,"."&amp;S$2&amp;S$1&amp;"C"&amp;$A29)="N/A",0,RTD("tos.rtd",,$A$2,"."&amp;S$2&amp;S$1&amp;"C"&amp;$A29))-IF(RTD("tos.rtd",,$A$2,"."&amp;S$2&amp;S$1&amp;"P"&amp;$A29)="N/A",0,RTD("tos.rtd",,$A$2,"."&amp;S$2&amp;S$1&amp;"P"&amp;$A29))</f>
        <v>0</v>
      </c>
      <c r="T29" s="91">
        <f ca="1">IF(RTD("tos.rtd",,$A$2,"."&amp;T$2&amp;T$1&amp;"C"&amp;$A29)="N/A",0,RTD("tos.rtd",,$A$2,"."&amp;T$2&amp;T$1&amp;"C"&amp;$A29))-IF(RTD("tos.rtd",,$A$2,"."&amp;T$2&amp;T$1&amp;"P"&amp;$A29)="N/A",0,RTD("tos.rtd",,$A$2,"."&amp;T$2&amp;T$1&amp;"P"&amp;$A29))</f>
        <v>-7</v>
      </c>
      <c r="U29" s="91">
        <f ca="1">IF(RTD("tos.rtd",,$A$2,"."&amp;U$2&amp;U$1&amp;"C"&amp;$A29)="N/A",0,RTD("tos.rtd",,$A$2,"."&amp;U$2&amp;U$1&amp;"C"&amp;$A29))-IF(RTD("tos.rtd",,$A$2,"."&amp;U$2&amp;U$1&amp;"P"&amp;$A29)="N/A",0,RTD("tos.rtd",,$A$2,"."&amp;U$2&amp;U$1&amp;"P"&amp;$A29))</f>
        <v>0</v>
      </c>
      <c r="V29" s="91">
        <f ca="1">IF(RTD("tos.rtd",,$A$2,"."&amp;V$2&amp;V$1&amp;"C"&amp;$A29)="N/A",0,RTD("tos.rtd",,$A$2,"."&amp;V$2&amp;V$1&amp;"C"&amp;$A29))-IF(RTD("tos.rtd",,$A$2,"."&amp;V$2&amp;V$1&amp;"P"&amp;$A29)="N/A",0,RTD("tos.rtd",,$A$2,"."&amp;V$2&amp;V$1&amp;"P"&amp;$A29))</f>
        <v>0</v>
      </c>
      <c r="W29" s="91">
        <f ca="1">IF(RTD("tos.rtd",,$A$2,"."&amp;W$2&amp;W$1&amp;"C"&amp;$A29)="N/A",0,RTD("tos.rtd",,$A$2,"."&amp;W$2&amp;W$1&amp;"C"&amp;$A29))-IF(RTD("tos.rtd",,$A$2,"."&amp;W$2&amp;W$1&amp;"P"&amp;$A29)="N/A",0,RTD("tos.rtd",,$A$2,"."&amp;W$2&amp;W$1&amp;"P"&amp;$A29))</f>
        <v>0</v>
      </c>
      <c r="X29" s="91">
        <f ca="1">IF(RTD("tos.rtd",,$A$2,"."&amp;X$2&amp;X$1&amp;"C"&amp;$A29)="N/A",0,RTD("tos.rtd",,$A$2,"."&amp;X$2&amp;X$1&amp;"C"&amp;$A29))-IF(RTD("tos.rtd",,$A$2,"."&amp;X$2&amp;X$1&amp;"P"&amp;$A29)="N/A",0,RTD("tos.rtd",,$A$2,"."&amp;X$2&amp;X$1&amp;"P"&amp;$A29))</f>
        <v>2</v>
      </c>
      <c r="Y29" s="98">
        <f t="shared" ca="1" si="3"/>
        <v>-1123</v>
      </c>
    </row>
    <row r="30" spans="1:25" x14ac:dyDescent="0.25">
      <c r="A30" s="93">
        <f>+Hoja1!A29</f>
        <v>557</v>
      </c>
      <c r="B30" s="91">
        <f ca="1">IF(RTD("tos.rtd",,$A$2,"."&amp;B$2&amp;B$1&amp;"C"&amp;$A30)="N/A",0,RTD("tos.rtd",,$A$2,"."&amp;B$2&amp;B$1&amp;"C"&amp;$A30))-IF(RTD("tos.rtd",,$A$2,"."&amp;B$2&amp;B$1&amp;"P"&amp;$A30)="N/A",0,RTD("tos.rtd",,$A$2,"."&amp;B$2&amp;B$1&amp;"P"&amp;$A30))</f>
        <v>0</v>
      </c>
      <c r="C30" s="91">
        <f ca="1">IF(RTD("tos.rtd",,$A$2,"."&amp;C$2&amp;C$1&amp;"C"&amp;$A30)="N/A",0,RTD("tos.rtd",,$A$2,"."&amp;C$2&amp;C$1&amp;"C"&amp;$A30))-IF(RTD("tos.rtd",,$A$2,"."&amp;C$2&amp;C$1&amp;"P"&amp;$A30)="N/A",0,RTD("tos.rtd",,$A$2,"."&amp;C$2&amp;C$1&amp;"P"&amp;$A30))</f>
        <v>0</v>
      </c>
      <c r="D30" s="91">
        <f ca="1">IF(RTD("tos.rtd",,$A$2,"."&amp;D$2&amp;D$1&amp;"C"&amp;$A30)="N/A",0,RTD("tos.rtd",,$A$2,"."&amp;D$2&amp;D$1&amp;"C"&amp;$A30))-IF(RTD("tos.rtd",,$A$2,"."&amp;D$2&amp;D$1&amp;"P"&amp;$A30)="N/A",0,RTD("tos.rtd",,$A$2,"."&amp;D$2&amp;D$1&amp;"P"&amp;$A30))</f>
        <v>0</v>
      </c>
      <c r="E30" s="91">
        <f ca="1">IF(RTD("tos.rtd",,$A$2,"."&amp;E$2&amp;E$1&amp;"C"&amp;$A30)="N/A",0,RTD("tos.rtd",,$A$2,"."&amp;E$2&amp;E$1&amp;"C"&amp;$A30))-IF(RTD("tos.rtd",,$A$2,"."&amp;E$2&amp;E$1&amp;"P"&amp;$A30)="N/A",0,RTD("tos.rtd",,$A$2,"."&amp;E$2&amp;E$1&amp;"P"&amp;$A30))</f>
        <v>0</v>
      </c>
      <c r="F30" s="91">
        <f ca="1">IF(RTD("tos.rtd",,$A$2,"."&amp;F$2&amp;F$1&amp;"C"&amp;$A30)="N/A",0,RTD("tos.rtd",,$A$2,"."&amp;F$2&amp;F$1&amp;"C"&amp;$A30))-IF(RTD("tos.rtd",,$A$2,"."&amp;F$2&amp;F$1&amp;"P"&amp;$A30)="N/A",0,RTD("tos.rtd",,$A$2,"."&amp;F$2&amp;F$1&amp;"P"&amp;$A30))</f>
        <v>0</v>
      </c>
      <c r="G30" s="91">
        <f ca="1">IF(RTD("tos.rtd",,$A$2,"."&amp;G$2&amp;G$1&amp;"C"&amp;$A30)="N/A",0,RTD("tos.rtd",,$A$2,"."&amp;G$2&amp;G$1&amp;"C"&amp;$A30))-IF(RTD("tos.rtd",,$A$2,"."&amp;G$2&amp;G$1&amp;"P"&amp;$A30)="N/A",0,RTD("tos.rtd",,$A$2,"."&amp;G$2&amp;G$1&amp;"P"&amp;$A30))</f>
        <v>0</v>
      </c>
      <c r="H30" s="91">
        <f ca="1">IF(RTD("tos.rtd",,$A$2,"."&amp;H$2&amp;H$1&amp;"C"&amp;$A30)="N/A",0,RTD("tos.rtd",,$A$2,"."&amp;H$2&amp;H$1&amp;"C"&amp;$A30))-IF(RTD("tos.rtd",,$A$2,"."&amp;H$2&amp;H$1&amp;"P"&amp;$A30)="N/A",0,RTD("tos.rtd",,$A$2,"."&amp;H$2&amp;H$1&amp;"P"&amp;$A30))</f>
        <v>-132</v>
      </c>
      <c r="I30" s="91">
        <f ca="1">IF(RTD("tos.rtd",,$A$2,"."&amp;I$2&amp;I$1&amp;"C"&amp;$A30)="N/A",0,RTD("tos.rtd",,$A$2,"."&amp;I$2&amp;I$1&amp;"C"&amp;$A30))-IF(RTD("tos.rtd",,$A$2,"."&amp;I$2&amp;I$1&amp;"P"&amp;$A30)="N/A",0,RTD("tos.rtd",,$A$2,"."&amp;I$2&amp;I$1&amp;"P"&amp;$A30))</f>
        <v>-335</v>
      </c>
      <c r="J30" s="91">
        <f ca="1">IF(RTD("tos.rtd",,$A$2,"."&amp;J$2&amp;J$1&amp;"C"&amp;$A30)="N/A",0,RTD("tos.rtd",,$A$2,"."&amp;J$2&amp;J$1&amp;"C"&amp;$A30))-IF(RTD("tos.rtd",,$A$2,"."&amp;J$2&amp;J$1&amp;"P"&amp;$A30)="N/A",0,RTD("tos.rtd",,$A$2,"."&amp;J$2&amp;J$1&amp;"P"&amp;$A30))</f>
        <v>-193</v>
      </c>
      <c r="K30" s="91">
        <f ca="1">IF(RTD("tos.rtd",,$A$2,"."&amp;K$2&amp;K$1&amp;"C"&amp;$A30)="N/A",0,RTD("tos.rtd",,$A$2,"."&amp;K$2&amp;K$1&amp;"C"&amp;$A30))-IF(RTD("tos.rtd",,$A$2,"."&amp;K$2&amp;K$1&amp;"P"&amp;$A30)="N/A",0,RTD("tos.rtd",,$A$2,"."&amp;K$2&amp;K$1&amp;"P"&amp;$A30))</f>
        <v>-371</v>
      </c>
      <c r="L30" s="91">
        <f ca="1">IF(RTD("tos.rtd",,$A$2,"."&amp;L$2&amp;L$1&amp;"C"&amp;$A30)="N/A",0,RTD("tos.rtd",,$A$2,"."&amp;L$2&amp;L$1&amp;"C"&amp;$A30))-IF(RTD("tos.rtd",,$A$2,"."&amp;L$2&amp;L$1&amp;"P"&amp;$A30)="N/A",0,RTD("tos.rtd",,$A$2,"."&amp;L$2&amp;L$1&amp;"P"&amp;$A30))</f>
        <v>-4</v>
      </c>
      <c r="M30" s="91">
        <f ca="1">IF(RTD("tos.rtd",,$A$2,"."&amp;M$2&amp;M$1&amp;"C"&amp;$A30)="N/A",0,RTD("tos.rtd",,$A$2,"."&amp;M$2&amp;M$1&amp;"C"&amp;$A30))-IF(RTD("tos.rtd",,$A$2,"."&amp;M$2&amp;M$1&amp;"P"&amp;$A30)="N/A",0,RTD("tos.rtd",,$A$2,"."&amp;M$2&amp;M$1&amp;"P"&amp;$A30))</f>
        <v>0</v>
      </c>
      <c r="N30" s="91">
        <f ca="1">IF(RTD("tos.rtd",,$A$2,"."&amp;N$2&amp;N$1&amp;"C"&amp;$A30)="N/A",0,RTD("tos.rtd",,$A$2,"."&amp;N$2&amp;N$1&amp;"C"&amp;$A30))-IF(RTD("tos.rtd",,$A$2,"."&amp;N$2&amp;N$1&amp;"P"&amp;$A30)="N/A",0,RTD("tos.rtd",,$A$2,"."&amp;N$2&amp;N$1&amp;"P"&amp;$A30))</f>
        <v>-61</v>
      </c>
      <c r="O30" s="91">
        <f ca="1">IF(RTD("tos.rtd",,$A$2,"."&amp;O$2&amp;O$1&amp;"C"&amp;$A30)="N/A",0,RTD("tos.rtd",,$A$2,"."&amp;O$2&amp;O$1&amp;"C"&amp;$A30))-IF(RTD("tos.rtd",,$A$2,"."&amp;O$2&amp;O$1&amp;"P"&amp;$A30)="N/A",0,RTD("tos.rtd",,$A$2,"."&amp;O$2&amp;O$1&amp;"P"&amp;$A30))</f>
        <v>-9</v>
      </c>
      <c r="P30" s="91">
        <f ca="1">IF(RTD("tos.rtd",,$A$2,"."&amp;P$2&amp;P$1&amp;"C"&amp;$A30)="N/A",0,RTD("tos.rtd",,$A$2,"."&amp;P$2&amp;P$1&amp;"C"&amp;$A30))-IF(RTD("tos.rtd",,$A$2,"."&amp;P$2&amp;P$1&amp;"P"&amp;$A30)="N/A",0,RTD("tos.rtd",,$A$2,"."&amp;P$2&amp;P$1&amp;"P"&amp;$A30))</f>
        <v>0</v>
      </c>
      <c r="Q30" s="91">
        <f ca="1">IF(RTD("tos.rtd",,$A$2,"."&amp;Q$2&amp;Q$1&amp;"C"&amp;$A30)="N/A",0,RTD("tos.rtd",,$A$2,"."&amp;Q$2&amp;Q$1&amp;"C"&amp;$A30))-IF(RTD("tos.rtd",,$A$2,"."&amp;Q$2&amp;Q$1&amp;"P"&amp;$A30)="N/A",0,RTD("tos.rtd",,$A$2,"."&amp;Q$2&amp;Q$1&amp;"P"&amp;$A30))</f>
        <v>0</v>
      </c>
      <c r="R30" s="91">
        <f ca="1">IF(RTD("tos.rtd",,$A$2,"."&amp;R$2&amp;R$1&amp;"C"&amp;$A30)="N/A",0,RTD("tos.rtd",,$A$2,"."&amp;R$2&amp;R$1&amp;"C"&amp;$A30))-IF(RTD("tos.rtd",,$A$2,"."&amp;R$2&amp;R$1&amp;"P"&amp;$A30)="N/A",0,RTD("tos.rtd",,$A$2,"."&amp;R$2&amp;R$1&amp;"P"&amp;$A30))</f>
        <v>-5</v>
      </c>
      <c r="S30" s="91">
        <f ca="1">IF(RTD("tos.rtd",,$A$2,"."&amp;S$2&amp;S$1&amp;"C"&amp;$A30)="N/A",0,RTD("tos.rtd",,$A$2,"."&amp;S$2&amp;S$1&amp;"C"&amp;$A30))-IF(RTD("tos.rtd",,$A$2,"."&amp;S$2&amp;S$1&amp;"P"&amp;$A30)="N/A",0,RTD("tos.rtd",,$A$2,"."&amp;S$2&amp;S$1&amp;"P"&amp;$A30))</f>
        <v>0</v>
      </c>
      <c r="T30" s="91">
        <f ca="1">IF(RTD("tos.rtd",,$A$2,"."&amp;T$2&amp;T$1&amp;"C"&amp;$A30)="N/A",0,RTD("tos.rtd",,$A$2,"."&amp;T$2&amp;T$1&amp;"C"&amp;$A30))-IF(RTD("tos.rtd",,$A$2,"."&amp;T$2&amp;T$1&amp;"P"&amp;$A30)="N/A",0,RTD("tos.rtd",,$A$2,"."&amp;T$2&amp;T$1&amp;"P"&amp;$A30))</f>
        <v>-5</v>
      </c>
      <c r="U30" s="91">
        <f ca="1">IF(RTD("tos.rtd",,$A$2,"."&amp;U$2&amp;U$1&amp;"C"&amp;$A30)="N/A",0,RTD("tos.rtd",,$A$2,"."&amp;U$2&amp;U$1&amp;"C"&amp;$A30))-IF(RTD("tos.rtd",,$A$2,"."&amp;U$2&amp;U$1&amp;"P"&amp;$A30)="N/A",0,RTD("tos.rtd",,$A$2,"."&amp;U$2&amp;U$1&amp;"P"&amp;$A30))</f>
        <v>0</v>
      </c>
      <c r="V30" s="91">
        <f ca="1">IF(RTD("tos.rtd",,$A$2,"."&amp;V$2&amp;V$1&amp;"C"&amp;$A30)="N/A",0,RTD("tos.rtd",,$A$2,"."&amp;V$2&amp;V$1&amp;"C"&amp;$A30))-IF(RTD("tos.rtd",,$A$2,"."&amp;V$2&amp;V$1&amp;"P"&amp;$A30)="N/A",0,RTD("tos.rtd",,$A$2,"."&amp;V$2&amp;V$1&amp;"P"&amp;$A30))</f>
        <v>0</v>
      </c>
      <c r="W30" s="91">
        <f ca="1">IF(RTD("tos.rtd",,$A$2,"."&amp;W$2&amp;W$1&amp;"C"&amp;$A30)="N/A",0,RTD("tos.rtd",,$A$2,"."&amp;W$2&amp;W$1&amp;"C"&amp;$A30))-IF(RTD("tos.rtd",,$A$2,"."&amp;W$2&amp;W$1&amp;"P"&amp;$A30)="N/A",0,RTD("tos.rtd",,$A$2,"."&amp;W$2&amp;W$1&amp;"P"&amp;$A30))</f>
        <v>0</v>
      </c>
      <c r="X30" s="91">
        <f ca="1">IF(RTD("tos.rtd",,$A$2,"."&amp;X$2&amp;X$1&amp;"C"&amp;$A30)="N/A",0,RTD("tos.rtd",,$A$2,"."&amp;X$2&amp;X$1&amp;"C"&amp;$A30))-IF(RTD("tos.rtd",,$A$2,"."&amp;X$2&amp;X$1&amp;"P"&amp;$A30)="N/A",0,RTD("tos.rtd",,$A$2,"."&amp;X$2&amp;X$1&amp;"P"&amp;$A30))</f>
        <v>0</v>
      </c>
      <c r="Y30" s="98">
        <f t="shared" ca="1" si="3"/>
        <v>-1115</v>
      </c>
    </row>
    <row r="31" spans="1:25" x14ac:dyDescent="0.25">
      <c r="A31" s="93">
        <f>+Hoja1!A30</f>
        <v>556</v>
      </c>
      <c r="B31" s="91">
        <f ca="1">IF(RTD("tos.rtd",,$A$2,"."&amp;B$2&amp;B$1&amp;"C"&amp;$A31)="N/A",0,RTD("tos.rtd",,$A$2,"."&amp;B$2&amp;B$1&amp;"C"&amp;$A31))-IF(RTD("tos.rtd",,$A$2,"."&amp;B$2&amp;B$1&amp;"P"&amp;$A31)="N/A",0,RTD("tos.rtd",,$A$2,"."&amp;B$2&amp;B$1&amp;"P"&amp;$A31))</f>
        <v>0</v>
      </c>
      <c r="C31" s="91">
        <f ca="1">IF(RTD("tos.rtd",,$A$2,"."&amp;C$2&amp;C$1&amp;"C"&amp;$A31)="N/A",0,RTD("tos.rtd",,$A$2,"."&amp;C$2&amp;C$1&amp;"C"&amp;$A31))-IF(RTD("tos.rtd",,$A$2,"."&amp;C$2&amp;C$1&amp;"P"&amp;$A31)="N/A",0,RTD("tos.rtd",,$A$2,"."&amp;C$2&amp;C$1&amp;"P"&amp;$A31))</f>
        <v>0</v>
      </c>
      <c r="D31" s="91">
        <f ca="1">IF(RTD("tos.rtd",,$A$2,"."&amp;D$2&amp;D$1&amp;"C"&amp;$A31)="N/A",0,RTD("tos.rtd",,$A$2,"."&amp;D$2&amp;D$1&amp;"C"&amp;$A31))-IF(RTD("tos.rtd",,$A$2,"."&amp;D$2&amp;D$1&amp;"P"&amp;$A31)="N/A",0,RTD("tos.rtd",,$A$2,"."&amp;D$2&amp;D$1&amp;"P"&amp;$A31))</f>
        <v>0</v>
      </c>
      <c r="E31" s="91">
        <f ca="1">IF(RTD("tos.rtd",,$A$2,"."&amp;E$2&amp;E$1&amp;"C"&amp;$A31)="N/A",0,RTD("tos.rtd",,$A$2,"."&amp;E$2&amp;E$1&amp;"C"&amp;$A31))-IF(RTD("tos.rtd",,$A$2,"."&amp;E$2&amp;E$1&amp;"P"&amp;$A31)="N/A",0,RTD("tos.rtd",,$A$2,"."&amp;E$2&amp;E$1&amp;"P"&amp;$A31))</f>
        <v>0</v>
      </c>
      <c r="F31" s="91">
        <f ca="1">IF(RTD("tos.rtd",,$A$2,"."&amp;F$2&amp;F$1&amp;"C"&amp;$A31)="N/A",0,RTD("tos.rtd",,$A$2,"."&amp;F$2&amp;F$1&amp;"C"&amp;$A31))-IF(RTD("tos.rtd",,$A$2,"."&amp;F$2&amp;F$1&amp;"P"&amp;$A31)="N/A",0,RTD("tos.rtd",,$A$2,"."&amp;F$2&amp;F$1&amp;"P"&amp;$A31))</f>
        <v>0</v>
      </c>
      <c r="G31" s="91">
        <f ca="1">IF(RTD("tos.rtd",,$A$2,"."&amp;G$2&amp;G$1&amp;"C"&amp;$A31)="N/A",0,RTD("tos.rtd",,$A$2,"."&amp;G$2&amp;G$1&amp;"C"&amp;$A31))-IF(RTD("tos.rtd",,$A$2,"."&amp;G$2&amp;G$1&amp;"P"&amp;$A31)="N/A",0,RTD("tos.rtd",,$A$2,"."&amp;G$2&amp;G$1&amp;"P"&amp;$A31))</f>
        <v>0</v>
      </c>
      <c r="H31" s="91">
        <f ca="1">IF(RTD("tos.rtd",,$A$2,"."&amp;H$2&amp;H$1&amp;"C"&amp;$A31)="N/A",0,RTD("tos.rtd",,$A$2,"."&amp;H$2&amp;H$1&amp;"C"&amp;$A31))-IF(RTD("tos.rtd",,$A$2,"."&amp;H$2&amp;H$1&amp;"P"&amp;$A31)="N/A",0,RTD("tos.rtd",,$A$2,"."&amp;H$2&amp;H$1&amp;"P"&amp;$A31))</f>
        <v>-257</v>
      </c>
      <c r="I31" s="91">
        <f ca="1">IF(RTD("tos.rtd",,$A$2,"."&amp;I$2&amp;I$1&amp;"C"&amp;$A31)="N/A",0,RTD("tos.rtd",,$A$2,"."&amp;I$2&amp;I$1&amp;"C"&amp;$A31))-IF(RTD("tos.rtd",,$A$2,"."&amp;I$2&amp;I$1&amp;"P"&amp;$A31)="N/A",0,RTD("tos.rtd",,$A$2,"."&amp;I$2&amp;I$1&amp;"P"&amp;$A31))</f>
        <v>-1971</v>
      </c>
      <c r="J31" s="91">
        <f ca="1">IF(RTD("tos.rtd",,$A$2,"."&amp;J$2&amp;J$1&amp;"C"&amp;$A31)="N/A",0,RTD("tos.rtd",,$A$2,"."&amp;J$2&amp;J$1&amp;"C"&amp;$A31))-IF(RTD("tos.rtd",,$A$2,"."&amp;J$2&amp;J$1&amp;"P"&amp;$A31)="N/A",0,RTD("tos.rtd",,$A$2,"."&amp;J$2&amp;J$1&amp;"P"&amp;$A31))</f>
        <v>-106</v>
      </c>
      <c r="K31" s="91">
        <f ca="1">IF(RTD("tos.rtd",,$A$2,"."&amp;K$2&amp;K$1&amp;"C"&amp;$A31)="N/A",0,RTD("tos.rtd",,$A$2,"."&amp;K$2&amp;K$1&amp;"C"&amp;$A31))-IF(RTD("tos.rtd",,$A$2,"."&amp;K$2&amp;K$1&amp;"P"&amp;$A31)="N/A",0,RTD("tos.rtd",,$A$2,"."&amp;K$2&amp;K$1&amp;"P"&amp;$A31))</f>
        <v>-361</v>
      </c>
      <c r="L31" s="91">
        <f ca="1">IF(RTD("tos.rtd",,$A$2,"."&amp;L$2&amp;L$1&amp;"C"&amp;$A31)="N/A",0,RTD("tos.rtd",,$A$2,"."&amp;L$2&amp;L$1&amp;"C"&amp;$A31))-IF(RTD("tos.rtd",,$A$2,"."&amp;L$2&amp;L$1&amp;"P"&amp;$A31)="N/A",0,RTD("tos.rtd",,$A$2,"."&amp;L$2&amp;L$1&amp;"P"&amp;$A31))</f>
        <v>-76</v>
      </c>
      <c r="M31" s="91">
        <f ca="1">IF(RTD("tos.rtd",,$A$2,"."&amp;M$2&amp;M$1&amp;"C"&amp;$A31)="N/A",0,RTD("tos.rtd",,$A$2,"."&amp;M$2&amp;M$1&amp;"C"&amp;$A31))-IF(RTD("tos.rtd",,$A$2,"."&amp;M$2&amp;M$1&amp;"P"&amp;$A31)="N/A",0,RTD("tos.rtd",,$A$2,"."&amp;M$2&amp;M$1&amp;"P"&amp;$A31))</f>
        <v>0</v>
      </c>
      <c r="N31" s="91">
        <f ca="1">IF(RTD("tos.rtd",,$A$2,"."&amp;N$2&amp;N$1&amp;"C"&amp;$A31)="N/A",0,RTD("tos.rtd",,$A$2,"."&amp;N$2&amp;N$1&amp;"C"&amp;$A31))-IF(RTD("tos.rtd",,$A$2,"."&amp;N$2&amp;N$1&amp;"P"&amp;$A31)="N/A",0,RTD("tos.rtd",,$A$2,"."&amp;N$2&amp;N$1&amp;"P"&amp;$A31))</f>
        <v>11</v>
      </c>
      <c r="O31" s="91">
        <f ca="1">IF(RTD("tos.rtd",,$A$2,"."&amp;O$2&amp;O$1&amp;"C"&amp;$A31)="N/A",0,RTD("tos.rtd",,$A$2,"."&amp;O$2&amp;O$1&amp;"C"&amp;$A31))-IF(RTD("tos.rtd",,$A$2,"."&amp;O$2&amp;O$1&amp;"P"&amp;$A31)="N/A",0,RTD("tos.rtd",,$A$2,"."&amp;O$2&amp;O$1&amp;"P"&amp;$A31))</f>
        <v>-1</v>
      </c>
      <c r="P31" s="91">
        <f ca="1">IF(RTD("tos.rtd",,$A$2,"."&amp;P$2&amp;P$1&amp;"C"&amp;$A31)="N/A",0,RTD("tos.rtd",,$A$2,"."&amp;P$2&amp;P$1&amp;"C"&amp;$A31))-IF(RTD("tos.rtd",,$A$2,"."&amp;P$2&amp;P$1&amp;"P"&amp;$A31)="N/A",0,RTD("tos.rtd",,$A$2,"."&amp;P$2&amp;P$1&amp;"P"&amp;$A31))</f>
        <v>-1</v>
      </c>
      <c r="Q31" s="91">
        <f ca="1">IF(RTD("tos.rtd",,$A$2,"."&amp;Q$2&amp;Q$1&amp;"C"&amp;$A31)="N/A",0,RTD("tos.rtd",,$A$2,"."&amp;Q$2&amp;Q$1&amp;"C"&amp;$A31))-IF(RTD("tos.rtd",,$A$2,"."&amp;Q$2&amp;Q$1&amp;"P"&amp;$A31)="N/A",0,RTD("tos.rtd",,$A$2,"."&amp;Q$2&amp;Q$1&amp;"P"&amp;$A31))</f>
        <v>0</v>
      </c>
      <c r="R31" s="91">
        <f ca="1">IF(RTD("tos.rtd",,$A$2,"."&amp;R$2&amp;R$1&amp;"C"&amp;$A31)="N/A",0,RTD("tos.rtd",,$A$2,"."&amp;R$2&amp;R$1&amp;"C"&amp;$A31))-IF(RTD("tos.rtd",,$A$2,"."&amp;R$2&amp;R$1&amp;"P"&amp;$A31)="N/A",0,RTD("tos.rtd",,$A$2,"."&amp;R$2&amp;R$1&amp;"P"&amp;$A31))</f>
        <v>-2</v>
      </c>
      <c r="S31" s="91">
        <f ca="1">IF(RTD("tos.rtd",,$A$2,"."&amp;S$2&amp;S$1&amp;"C"&amp;$A31)="N/A",0,RTD("tos.rtd",,$A$2,"."&amp;S$2&amp;S$1&amp;"C"&amp;$A31))-IF(RTD("tos.rtd",,$A$2,"."&amp;S$2&amp;S$1&amp;"P"&amp;$A31)="N/A",0,RTD("tos.rtd",,$A$2,"."&amp;S$2&amp;S$1&amp;"P"&amp;$A31))</f>
        <v>0</v>
      </c>
      <c r="T31" s="91">
        <f ca="1">IF(RTD("tos.rtd",,$A$2,"."&amp;T$2&amp;T$1&amp;"C"&amp;$A31)="N/A",0,RTD("tos.rtd",,$A$2,"."&amp;T$2&amp;T$1&amp;"C"&amp;$A31))-IF(RTD("tos.rtd",,$A$2,"."&amp;T$2&amp;T$1&amp;"P"&amp;$A31)="N/A",0,RTD("tos.rtd",,$A$2,"."&amp;T$2&amp;T$1&amp;"P"&amp;$A31))</f>
        <v>-7</v>
      </c>
      <c r="U31" s="91">
        <f ca="1">IF(RTD("tos.rtd",,$A$2,"."&amp;U$2&amp;U$1&amp;"C"&amp;$A31)="N/A",0,RTD("tos.rtd",,$A$2,"."&amp;U$2&amp;U$1&amp;"C"&amp;$A31))-IF(RTD("tos.rtd",,$A$2,"."&amp;U$2&amp;U$1&amp;"P"&amp;$A31)="N/A",0,RTD("tos.rtd",,$A$2,"."&amp;U$2&amp;U$1&amp;"P"&amp;$A31))</f>
        <v>0</v>
      </c>
      <c r="V31" s="91">
        <f ca="1">IF(RTD("tos.rtd",,$A$2,"."&amp;V$2&amp;V$1&amp;"C"&amp;$A31)="N/A",0,RTD("tos.rtd",,$A$2,"."&amp;V$2&amp;V$1&amp;"C"&amp;$A31))-IF(RTD("tos.rtd",,$A$2,"."&amp;V$2&amp;V$1&amp;"P"&amp;$A31)="N/A",0,RTD("tos.rtd",,$A$2,"."&amp;V$2&amp;V$1&amp;"P"&amp;$A31))</f>
        <v>0</v>
      </c>
      <c r="W31" s="91">
        <f ca="1">IF(RTD("tos.rtd",,$A$2,"."&amp;W$2&amp;W$1&amp;"C"&amp;$A31)="N/A",0,RTD("tos.rtd",,$A$2,"."&amp;W$2&amp;W$1&amp;"C"&amp;$A31))-IF(RTD("tos.rtd",,$A$2,"."&amp;W$2&amp;W$1&amp;"P"&amp;$A31)="N/A",0,RTD("tos.rtd",,$A$2,"."&amp;W$2&amp;W$1&amp;"P"&amp;$A31))</f>
        <v>0</v>
      </c>
      <c r="X31" s="91">
        <f ca="1">IF(RTD("tos.rtd",,$A$2,"."&amp;X$2&amp;X$1&amp;"C"&amp;$A31)="N/A",0,RTD("tos.rtd",,$A$2,"."&amp;X$2&amp;X$1&amp;"C"&amp;$A31))-IF(RTD("tos.rtd",,$A$2,"."&amp;X$2&amp;X$1&amp;"P"&amp;$A31)="N/A",0,RTD("tos.rtd",,$A$2,"."&amp;X$2&amp;X$1&amp;"P"&amp;$A31))</f>
        <v>0</v>
      </c>
      <c r="Y31" s="98">
        <f t="shared" ca="1" si="3"/>
        <v>-2771</v>
      </c>
    </row>
    <row r="32" spans="1:25" x14ac:dyDescent="0.25">
      <c r="A32" s="93">
        <f>+Hoja1!A31</f>
        <v>555</v>
      </c>
      <c r="B32" s="91">
        <f ca="1">IF(RTD("tos.rtd",,$A$2,"."&amp;B$2&amp;B$1&amp;"C"&amp;$A32)="N/A",0,RTD("tos.rtd",,$A$2,"."&amp;B$2&amp;B$1&amp;"C"&amp;$A32))-IF(RTD("tos.rtd",,$A$2,"."&amp;B$2&amp;B$1&amp;"P"&amp;$A32)="N/A",0,RTD("tos.rtd",,$A$2,"."&amp;B$2&amp;B$1&amp;"P"&amp;$A32))</f>
        <v>0</v>
      </c>
      <c r="C32" s="91">
        <f ca="1">IF(RTD("tos.rtd",,$A$2,"."&amp;C$2&amp;C$1&amp;"C"&amp;$A32)="N/A",0,RTD("tos.rtd",,$A$2,"."&amp;C$2&amp;C$1&amp;"C"&amp;$A32))-IF(RTD("tos.rtd",,$A$2,"."&amp;C$2&amp;C$1&amp;"P"&amp;$A32)="N/A",0,RTD("tos.rtd",,$A$2,"."&amp;C$2&amp;C$1&amp;"P"&amp;$A32))</f>
        <v>0</v>
      </c>
      <c r="D32" s="91">
        <f ca="1">IF(RTD("tos.rtd",,$A$2,"."&amp;D$2&amp;D$1&amp;"C"&amp;$A32)="N/A",0,RTD("tos.rtd",,$A$2,"."&amp;D$2&amp;D$1&amp;"C"&amp;$A32))-IF(RTD("tos.rtd",,$A$2,"."&amp;D$2&amp;D$1&amp;"P"&amp;$A32)="N/A",0,RTD("tos.rtd",,$A$2,"."&amp;D$2&amp;D$1&amp;"P"&amp;$A32))</f>
        <v>0</v>
      </c>
      <c r="E32" s="91">
        <f ca="1">IF(RTD("tos.rtd",,$A$2,"."&amp;E$2&amp;E$1&amp;"C"&amp;$A32)="N/A",0,RTD("tos.rtd",,$A$2,"."&amp;E$2&amp;E$1&amp;"C"&amp;$A32))-IF(RTD("tos.rtd",,$A$2,"."&amp;E$2&amp;E$1&amp;"P"&amp;$A32)="N/A",0,RTD("tos.rtd",,$A$2,"."&amp;E$2&amp;E$1&amp;"P"&amp;$A32))</f>
        <v>0</v>
      </c>
      <c r="F32" s="91">
        <f ca="1">IF(RTD("tos.rtd",,$A$2,"."&amp;F$2&amp;F$1&amp;"C"&amp;$A32)="N/A",0,RTD("tos.rtd",,$A$2,"."&amp;F$2&amp;F$1&amp;"C"&amp;$A32))-IF(RTD("tos.rtd",,$A$2,"."&amp;F$2&amp;F$1&amp;"P"&amp;$A32)="N/A",0,RTD("tos.rtd",,$A$2,"."&amp;F$2&amp;F$1&amp;"P"&amp;$A32))</f>
        <v>0</v>
      </c>
      <c r="G32" s="91">
        <f ca="1">IF(RTD("tos.rtd",,$A$2,"."&amp;G$2&amp;G$1&amp;"C"&amp;$A32)="N/A",0,RTD("tos.rtd",,$A$2,"."&amp;G$2&amp;G$1&amp;"C"&amp;$A32))-IF(RTD("tos.rtd",,$A$2,"."&amp;G$2&amp;G$1&amp;"P"&amp;$A32)="N/A",0,RTD("tos.rtd",,$A$2,"."&amp;G$2&amp;G$1&amp;"P"&amp;$A32))</f>
        <v>0</v>
      </c>
      <c r="H32" s="91">
        <f ca="1">IF(RTD("tos.rtd",,$A$2,"."&amp;H$2&amp;H$1&amp;"C"&amp;$A32)="N/A",0,RTD("tos.rtd",,$A$2,"."&amp;H$2&amp;H$1&amp;"C"&amp;$A32))-IF(RTD("tos.rtd",,$A$2,"."&amp;H$2&amp;H$1&amp;"P"&amp;$A32)="N/A",0,RTD("tos.rtd",,$A$2,"."&amp;H$2&amp;H$1&amp;"P"&amp;$A32))</f>
        <v>-6444</v>
      </c>
      <c r="I32" s="91">
        <f ca="1">IF(RTD("tos.rtd",,$A$2,"."&amp;I$2&amp;I$1&amp;"C"&amp;$A32)="N/A",0,RTD("tos.rtd",,$A$2,"."&amp;I$2&amp;I$1&amp;"C"&amp;$A32))-IF(RTD("tos.rtd",,$A$2,"."&amp;I$2&amp;I$1&amp;"P"&amp;$A32)="N/A",0,RTD("tos.rtd",,$A$2,"."&amp;I$2&amp;I$1&amp;"P"&amp;$A32))</f>
        <v>-1941</v>
      </c>
      <c r="J32" s="91">
        <f ca="1">IF(RTD("tos.rtd",,$A$2,"."&amp;J$2&amp;J$1&amp;"C"&amp;$A32)="N/A",0,RTD("tos.rtd",,$A$2,"."&amp;J$2&amp;J$1&amp;"C"&amp;$A32))-IF(RTD("tos.rtd",,$A$2,"."&amp;J$2&amp;J$1&amp;"P"&amp;$A32)="N/A",0,RTD("tos.rtd",,$A$2,"."&amp;J$2&amp;J$1&amp;"P"&amp;$A32))</f>
        <v>-442</v>
      </c>
      <c r="K32" s="91">
        <f ca="1">IF(RTD("tos.rtd",,$A$2,"."&amp;K$2&amp;K$1&amp;"C"&amp;$A32)="N/A",0,RTD("tos.rtd",,$A$2,"."&amp;K$2&amp;K$1&amp;"C"&amp;$A32))-IF(RTD("tos.rtd",,$A$2,"."&amp;K$2&amp;K$1&amp;"P"&amp;$A32)="N/A",0,RTD("tos.rtd",,$A$2,"."&amp;K$2&amp;K$1&amp;"P"&amp;$A32))</f>
        <v>-743</v>
      </c>
      <c r="L32" s="91">
        <f ca="1">IF(RTD("tos.rtd",,$A$2,"."&amp;L$2&amp;L$1&amp;"C"&amp;$A32)="N/A",0,RTD("tos.rtd",,$A$2,"."&amp;L$2&amp;L$1&amp;"C"&amp;$A32))-IF(RTD("tos.rtd",,$A$2,"."&amp;L$2&amp;L$1&amp;"P"&amp;$A32)="N/A",0,RTD("tos.rtd",,$A$2,"."&amp;L$2&amp;L$1&amp;"P"&amp;$A32))</f>
        <v>-567</v>
      </c>
      <c r="M32" s="91">
        <f ca="1">IF(RTD("tos.rtd",,$A$2,"."&amp;M$2&amp;M$1&amp;"C"&amp;$A32)="N/A",0,RTD("tos.rtd",,$A$2,"."&amp;M$2&amp;M$1&amp;"C"&amp;$A32))-IF(RTD("tos.rtd",,$A$2,"."&amp;M$2&amp;M$1&amp;"P"&amp;$A32)="N/A",0,RTD("tos.rtd",,$A$2,"."&amp;M$2&amp;M$1&amp;"P"&amp;$A32))</f>
        <v>-457</v>
      </c>
      <c r="N32" s="91">
        <f ca="1">IF(RTD("tos.rtd",,$A$2,"."&amp;N$2&amp;N$1&amp;"C"&amp;$A32)="N/A",0,RTD("tos.rtd",,$A$2,"."&amp;N$2&amp;N$1&amp;"C"&amp;$A32))-IF(RTD("tos.rtd",,$A$2,"."&amp;N$2&amp;N$1&amp;"P"&amp;$A32)="N/A",0,RTD("tos.rtd",,$A$2,"."&amp;N$2&amp;N$1&amp;"P"&amp;$A32))</f>
        <v>-124</v>
      </c>
      <c r="O32" s="91">
        <f ca="1">IF(RTD("tos.rtd",,$A$2,"."&amp;O$2&amp;O$1&amp;"C"&amp;$A32)="N/A",0,RTD("tos.rtd",,$A$2,"."&amp;O$2&amp;O$1&amp;"C"&amp;$A32))-IF(RTD("tos.rtd",,$A$2,"."&amp;O$2&amp;O$1&amp;"P"&amp;$A32)="N/A",0,RTD("tos.rtd",,$A$2,"."&amp;O$2&amp;O$1&amp;"P"&amp;$A32))</f>
        <v>-177</v>
      </c>
      <c r="P32" s="91">
        <f ca="1">IF(RTD("tos.rtd",,$A$2,"."&amp;P$2&amp;P$1&amp;"C"&amp;$A32)="N/A",0,RTD("tos.rtd",,$A$2,"."&amp;P$2&amp;P$1&amp;"C"&amp;$A32))-IF(RTD("tos.rtd",,$A$2,"."&amp;P$2&amp;P$1&amp;"P"&amp;$A32)="N/A",0,RTD("tos.rtd",,$A$2,"."&amp;P$2&amp;P$1&amp;"P"&amp;$A32))</f>
        <v>-23</v>
      </c>
      <c r="Q32" s="91">
        <f ca="1">IF(RTD("tos.rtd",,$A$2,"."&amp;Q$2&amp;Q$1&amp;"C"&amp;$A32)="N/A",0,RTD("tos.rtd",,$A$2,"."&amp;Q$2&amp;Q$1&amp;"C"&amp;$A32))-IF(RTD("tos.rtd",,$A$2,"."&amp;Q$2&amp;Q$1&amp;"P"&amp;$A32)="N/A",0,RTD("tos.rtd",,$A$2,"."&amp;Q$2&amp;Q$1&amp;"P"&amp;$A32))</f>
        <v>-79</v>
      </c>
      <c r="R32" s="91">
        <f ca="1">IF(RTD("tos.rtd",,$A$2,"."&amp;R$2&amp;R$1&amp;"C"&amp;$A32)="N/A",0,RTD("tos.rtd",,$A$2,"."&amp;R$2&amp;R$1&amp;"C"&amp;$A32))-IF(RTD("tos.rtd",,$A$2,"."&amp;R$2&amp;R$1&amp;"P"&amp;$A32)="N/A",0,RTD("tos.rtd",,$A$2,"."&amp;R$2&amp;R$1&amp;"P"&amp;$A32))</f>
        <v>-3</v>
      </c>
      <c r="S32" s="91">
        <f ca="1">IF(RTD("tos.rtd",,$A$2,"."&amp;S$2&amp;S$1&amp;"C"&amp;$A32)="N/A",0,RTD("tos.rtd",,$A$2,"."&amp;S$2&amp;S$1&amp;"C"&amp;$A32))-IF(RTD("tos.rtd",,$A$2,"."&amp;S$2&amp;S$1&amp;"P"&amp;$A32)="N/A",0,RTD("tos.rtd",,$A$2,"."&amp;S$2&amp;S$1&amp;"P"&amp;$A32))</f>
        <v>0</v>
      </c>
      <c r="T32" s="91">
        <f ca="1">IF(RTD("tos.rtd",,$A$2,"."&amp;T$2&amp;T$1&amp;"C"&amp;$A32)="N/A",0,RTD("tos.rtd",,$A$2,"."&amp;T$2&amp;T$1&amp;"C"&amp;$A32))-IF(RTD("tos.rtd",,$A$2,"."&amp;T$2&amp;T$1&amp;"P"&amp;$A32)="N/A",0,RTD("tos.rtd",,$A$2,"."&amp;T$2&amp;T$1&amp;"P"&amp;$A32))</f>
        <v>-82</v>
      </c>
      <c r="U32" s="91">
        <f ca="1">IF(RTD("tos.rtd",,$A$2,"."&amp;U$2&amp;U$1&amp;"C"&amp;$A32)="N/A",0,RTD("tos.rtd",,$A$2,"."&amp;U$2&amp;U$1&amp;"C"&amp;$A32))-IF(RTD("tos.rtd",,$A$2,"."&amp;U$2&amp;U$1&amp;"P"&amp;$A32)="N/A",0,RTD("tos.rtd",,$A$2,"."&amp;U$2&amp;U$1&amp;"P"&amp;$A32))</f>
        <v>0</v>
      </c>
      <c r="V32" s="91">
        <f ca="1">IF(RTD("tos.rtd",,$A$2,"."&amp;V$2&amp;V$1&amp;"C"&amp;$A32)="N/A",0,RTD("tos.rtd",,$A$2,"."&amp;V$2&amp;V$1&amp;"C"&amp;$A32))-IF(RTD("tos.rtd",,$A$2,"."&amp;V$2&amp;V$1&amp;"P"&amp;$A32)="N/A",0,RTD("tos.rtd",,$A$2,"."&amp;V$2&amp;V$1&amp;"P"&amp;$A32))</f>
        <v>0</v>
      </c>
      <c r="W32" s="91">
        <f ca="1">IF(RTD("tos.rtd",,$A$2,"."&amp;W$2&amp;W$1&amp;"C"&amp;$A32)="N/A",0,RTD("tos.rtd",,$A$2,"."&amp;W$2&amp;W$1&amp;"C"&amp;$A32))-IF(RTD("tos.rtd",,$A$2,"."&amp;W$2&amp;W$1&amp;"P"&amp;$A32)="N/A",0,RTD("tos.rtd",,$A$2,"."&amp;W$2&amp;W$1&amp;"P"&amp;$A32))</f>
        <v>-62</v>
      </c>
      <c r="X32" s="91">
        <f ca="1">IF(RTD("tos.rtd",,$A$2,"."&amp;X$2&amp;X$1&amp;"C"&amp;$A32)="N/A",0,RTD("tos.rtd",,$A$2,"."&amp;X$2&amp;X$1&amp;"C"&amp;$A32))-IF(RTD("tos.rtd",,$A$2,"."&amp;X$2&amp;X$1&amp;"P"&amp;$A32)="N/A",0,RTD("tos.rtd",,$A$2,"."&amp;X$2&amp;X$1&amp;"P"&amp;$A32))</f>
        <v>-8</v>
      </c>
      <c r="Y32" s="98">
        <f t="shared" ca="1" si="3"/>
        <v>-11152</v>
      </c>
    </row>
    <row r="33" spans="1:25" x14ac:dyDescent="0.25">
      <c r="A33" s="93">
        <f>+Hoja1!A32</f>
        <v>554</v>
      </c>
      <c r="B33" s="91">
        <f ca="1">IF(RTD("tos.rtd",,$A$2,"."&amp;B$2&amp;B$1&amp;"C"&amp;$A33)="N/A",0,RTD("tos.rtd",,$A$2,"."&amp;B$2&amp;B$1&amp;"C"&amp;$A33))-IF(RTD("tos.rtd",,$A$2,"."&amp;B$2&amp;B$1&amp;"P"&amp;$A33)="N/A",0,RTD("tos.rtd",,$A$2,"."&amp;B$2&amp;B$1&amp;"P"&amp;$A33))</f>
        <v>0</v>
      </c>
      <c r="C33" s="91">
        <f ca="1">IF(RTD("tos.rtd",,$A$2,"."&amp;C$2&amp;C$1&amp;"C"&amp;$A33)="N/A",0,RTD("tos.rtd",,$A$2,"."&amp;C$2&amp;C$1&amp;"C"&amp;$A33))-IF(RTD("tos.rtd",,$A$2,"."&amp;C$2&amp;C$1&amp;"P"&amp;$A33)="N/A",0,RTD("tos.rtd",,$A$2,"."&amp;C$2&amp;C$1&amp;"P"&amp;$A33))</f>
        <v>0</v>
      </c>
      <c r="D33" s="91">
        <f ca="1">IF(RTD("tos.rtd",,$A$2,"."&amp;D$2&amp;D$1&amp;"C"&amp;$A33)="N/A",0,RTD("tos.rtd",,$A$2,"."&amp;D$2&amp;D$1&amp;"C"&amp;$A33))-IF(RTD("tos.rtd",,$A$2,"."&amp;D$2&amp;D$1&amp;"P"&amp;$A33)="N/A",0,RTD("tos.rtd",,$A$2,"."&amp;D$2&amp;D$1&amp;"P"&amp;$A33))</f>
        <v>0</v>
      </c>
      <c r="E33" s="91">
        <f ca="1">IF(RTD("tos.rtd",,$A$2,"."&amp;E$2&amp;E$1&amp;"C"&amp;$A33)="N/A",0,RTD("tos.rtd",,$A$2,"."&amp;E$2&amp;E$1&amp;"C"&amp;$A33))-IF(RTD("tos.rtd",,$A$2,"."&amp;E$2&amp;E$1&amp;"P"&amp;$A33)="N/A",0,RTD("tos.rtd",,$A$2,"."&amp;E$2&amp;E$1&amp;"P"&amp;$A33))</f>
        <v>0</v>
      </c>
      <c r="F33" s="91">
        <f ca="1">IF(RTD("tos.rtd",,$A$2,"."&amp;F$2&amp;F$1&amp;"C"&amp;$A33)="N/A",0,RTD("tos.rtd",,$A$2,"."&amp;F$2&amp;F$1&amp;"C"&amp;$A33))-IF(RTD("tos.rtd",,$A$2,"."&amp;F$2&amp;F$1&amp;"P"&amp;$A33)="N/A",0,RTD("tos.rtd",,$A$2,"."&amp;F$2&amp;F$1&amp;"P"&amp;$A33))</f>
        <v>0</v>
      </c>
      <c r="G33" s="91">
        <f ca="1">IF(RTD("tos.rtd",,$A$2,"."&amp;G$2&amp;G$1&amp;"C"&amp;$A33)="N/A",0,RTD("tos.rtd",,$A$2,"."&amp;G$2&amp;G$1&amp;"C"&amp;$A33))-IF(RTD("tos.rtd",,$A$2,"."&amp;G$2&amp;G$1&amp;"P"&amp;$A33)="N/A",0,RTD("tos.rtd",,$A$2,"."&amp;G$2&amp;G$1&amp;"P"&amp;$A33))</f>
        <v>0</v>
      </c>
      <c r="H33" s="91">
        <f ca="1">IF(RTD("tos.rtd",,$A$2,"."&amp;H$2&amp;H$1&amp;"C"&amp;$A33)="N/A",0,RTD("tos.rtd",,$A$2,"."&amp;H$2&amp;H$1&amp;"C"&amp;$A33))-IF(RTD("tos.rtd",,$A$2,"."&amp;H$2&amp;H$1&amp;"P"&amp;$A33)="N/A",0,RTD("tos.rtd",,$A$2,"."&amp;H$2&amp;H$1&amp;"P"&amp;$A33))</f>
        <v>-179</v>
      </c>
      <c r="I33" s="91">
        <f ca="1">IF(RTD("tos.rtd",,$A$2,"."&amp;I$2&amp;I$1&amp;"C"&amp;$A33)="N/A",0,RTD("tos.rtd",,$A$2,"."&amp;I$2&amp;I$1&amp;"C"&amp;$A33))-IF(RTD("tos.rtd",,$A$2,"."&amp;I$2&amp;I$1&amp;"P"&amp;$A33)="N/A",0,RTD("tos.rtd",,$A$2,"."&amp;I$2&amp;I$1&amp;"P"&amp;$A33))</f>
        <v>-445</v>
      </c>
      <c r="J33" s="91">
        <f ca="1">IF(RTD("tos.rtd",,$A$2,"."&amp;J$2&amp;J$1&amp;"C"&amp;$A33)="N/A",0,RTD("tos.rtd",,$A$2,"."&amp;J$2&amp;J$1&amp;"C"&amp;$A33))-IF(RTD("tos.rtd",,$A$2,"."&amp;J$2&amp;J$1&amp;"P"&amp;$A33)="N/A",0,RTD("tos.rtd",,$A$2,"."&amp;J$2&amp;J$1&amp;"P"&amp;$A33))</f>
        <v>-218</v>
      </c>
      <c r="K33" s="91">
        <f ca="1">IF(RTD("tos.rtd",,$A$2,"."&amp;K$2&amp;K$1&amp;"C"&amp;$A33)="N/A",0,RTD("tos.rtd",,$A$2,"."&amp;K$2&amp;K$1&amp;"C"&amp;$A33))-IF(RTD("tos.rtd",,$A$2,"."&amp;K$2&amp;K$1&amp;"P"&amp;$A33)="N/A",0,RTD("tos.rtd",,$A$2,"."&amp;K$2&amp;K$1&amp;"P"&amp;$A33))</f>
        <v>-628</v>
      </c>
      <c r="L33" s="91">
        <f ca="1">IF(RTD("tos.rtd",,$A$2,"."&amp;L$2&amp;L$1&amp;"C"&amp;$A33)="N/A",0,RTD("tos.rtd",,$A$2,"."&amp;L$2&amp;L$1&amp;"C"&amp;$A33))-IF(RTD("tos.rtd",,$A$2,"."&amp;L$2&amp;L$1&amp;"P"&amp;$A33)="N/A",0,RTD("tos.rtd",,$A$2,"."&amp;L$2&amp;L$1&amp;"P"&amp;$A33))</f>
        <v>-13</v>
      </c>
      <c r="M33" s="91">
        <f ca="1">IF(RTD("tos.rtd",,$A$2,"."&amp;M$2&amp;M$1&amp;"C"&amp;$A33)="N/A",0,RTD("tos.rtd",,$A$2,"."&amp;M$2&amp;M$1&amp;"C"&amp;$A33))-IF(RTD("tos.rtd",,$A$2,"."&amp;M$2&amp;M$1&amp;"P"&amp;$A33)="N/A",0,RTD("tos.rtd",,$A$2,"."&amp;M$2&amp;M$1&amp;"P"&amp;$A33))</f>
        <v>0</v>
      </c>
      <c r="N33" s="91">
        <f ca="1">IF(RTD("tos.rtd",,$A$2,"."&amp;N$2&amp;N$1&amp;"C"&amp;$A33)="N/A",0,RTD("tos.rtd",,$A$2,"."&amp;N$2&amp;N$1&amp;"C"&amp;$A33))-IF(RTD("tos.rtd",,$A$2,"."&amp;N$2&amp;N$1&amp;"P"&amp;$A33)="N/A",0,RTD("tos.rtd",,$A$2,"."&amp;N$2&amp;N$1&amp;"P"&amp;$A33))</f>
        <v>2</v>
      </c>
      <c r="O33" s="91">
        <f ca="1">IF(RTD("tos.rtd",,$A$2,"."&amp;O$2&amp;O$1&amp;"C"&amp;$A33)="N/A",0,RTD("tos.rtd",,$A$2,"."&amp;O$2&amp;O$1&amp;"C"&amp;$A33))-IF(RTD("tos.rtd",,$A$2,"."&amp;O$2&amp;O$1&amp;"P"&amp;$A33)="N/A",0,RTD("tos.rtd",,$A$2,"."&amp;O$2&amp;O$1&amp;"P"&amp;$A33))</f>
        <v>-10</v>
      </c>
      <c r="P33" s="91">
        <f ca="1">IF(RTD("tos.rtd",,$A$2,"."&amp;P$2&amp;P$1&amp;"C"&amp;$A33)="N/A",0,RTD("tos.rtd",,$A$2,"."&amp;P$2&amp;P$1&amp;"C"&amp;$A33))-IF(RTD("tos.rtd",,$A$2,"."&amp;P$2&amp;P$1&amp;"P"&amp;$A33)="N/A",0,RTD("tos.rtd",,$A$2,"."&amp;P$2&amp;P$1&amp;"P"&amp;$A33))</f>
        <v>-3</v>
      </c>
      <c r="Q33" s="91">
        <f ca="1">IF(RTD("tos.rtd",,$A$2,"."&amp;Q$2&amp;Q$1&amp;"C"&amp;$A33)="N/A",0,RTD("tos.rtd",,$A$2,"."&amp;Q$2&amp;Q$1&amp;"C"&amp;$A33))-IF(RTD("tos.rtd",,$A$2,"."&amp;Q$2&amp;Q$1&amp;"P"&amp;$A33)="N/A",0,RTD("tos.rtd",,$A$2,"."&amp;Q$2&amp;Q$1&amp;"P"&amp;$A33))</f>
        <v>0</v>
      </c>
      <c r="R33" s="91">
        <f ca="1">IF(RTD("tos.rtd",,$A$2,"."&amp;R$2&amp;R$1&amp;"C"&amp;$A33)="N/A",0,RTD("tos.rtd",,$A$2,"."&amp;R$2&amp;R$1&amp;"C"&amp;$A33))-IF(RTD("tos.rtd",,$A$2,"."&amp;R$2&amp;R$1&amp;"P"&amp;$A33)="N/A",0,RTD("tos.rtd",,$A$2,"."&amp;R$2&amp;R$1&amp;"P"&amp;$A33))</f>
        <v>0</v>
      </c>
      <c r="S33" s="91">
        <f ca="1">IF(RTD("tos.rtd",,$A$2,"."&amp;S$2&amp;S$1&amp;"C"&amp;$A33)="N/A",0,RTD("tos.rtd",,$A$2,"."&amp;S$2&amp;S$1&amp;"C"&amp;$A33))-IF(RTD("tos.rtd",,$A$2,"."&amp;S$2&amp;S$1&amp;"P"&amp;$A33)="N/A",0,RTD("tos.rtd",,$A$2,"."&amp;S$2&amp;S$1&amp;"P"&amp;$A33))</f>
        <v>0</v>
      </c>
      <c r="T33" s="91">
        <f ca="1">IF(RTD("tos.rtd",,$A$2,"."&amp;T$2&amp;T$1&amp;"C"&amp;$A33)="N/A",0,RTD("tos.rtd",,$A$2,"."&amp;T$2&amp;T$1&amp;"C"&amp;$A33))-IF(RTD("tos.rtd",,$A$2,"."&amp;T$2&amp;T$1&amp;"P"&amp;$A33)="N/A",0,RTD("tos.rtd",,$A$2,"."&amp;T$2&amp;T$1&amp;"P"&amp;$A33))</f>
        <v>-6</v>
      </c>
      <c r="U33" s="91">
        <f ca="1">IF(RTD("tos.rtd",,$A$2,"."&amp;U$2&amp;U$1&amp;"C"&amp;$A33)="N/A",0,RTD("tos.rtd",,$A$2,"."&amp;U$2&amp;U$1&amp;"C"&amp;$A33))-IF(RTD("tos.rtd",,$A$2,"."&amp;U$2&amp;U$1&amp;"P"&amp;$A33)="N/A",0,RTD("tos.rtd",,$A$2,"."&amp;U$2&amp;U$1&amp;"P"&amp;$A33))</f>
        <v>0</v>
      </c>
      <c r="V33" s="91">
        <f ca="1">IF(RTD("tos.rtd",,$A$2,"."&amp;V$2&amp;V$1&amp;"C"&amp;$A33)="N/A",0,RTD("tos.rtd",,$A$2,"."&amp;V$2&amp;V$1&amp;"C"&amp;$A33))-IF(RTD("tos.rtd",,$A$2,"."&amp;V$2&amp;V$1&amp;"P"&amp;$A33)="N/A",0,RTD("tos.rtd",,$A$2,"."&amp;V$2&amp;V$1&amp;"P"&amp;$A33))</f>
        <v>0</v>
      </c>
      <c r="W33" s="91">
        <f ca="1">IF(RTD("tos.rtd",,$A$2,"."&amp;W$2&amp;W$1&amp;"C"&amp;$A33)="N/A",0,RTD("tos.rtd",,$A$2,"."&amp;W$2&amp;W$1&amp;"C"&amp;$A33))-IF(RTD("tos.rtd",,$A$2,"."&amp;W$2&amp;W$1&amp;"P"&amp;$A33)="N/A",0,RTD("tos.rtd",,$A$2,"."&amp;W$2&amp;W$1&amp;"P"&amp;$A33))</f>
        <v>0</v>
      </c>
      <c r="X33" s="91">
        <f ca="1">IF(RTD("tos.rtd",,$A$2,"."&amp;X$2&amp;X$1&amp;"C"&amp;$A33)="N/A",0,RTD("tos.rtd",,$A$2,"."&amp;X$2&amp;X$1&amp;"C"&amp;$A33))-IF(RTD("tos.rtd",,$A$2,"."&amp;X$2&amp;X$1&amp;"P"&amp;$A33)="N/A",0,RTD("tos.rtd",,$A$2,"."&amp;X$2&amp;X$1&amp;"P"&amp;$A33))</f>
        <v>-1</v>
      </c>
      <c r="Y33" s="98">
        <f t="shared" ca="1" si="3"/>
        <v>-1501</v>
      </c>
    </row>
    <row r="34" spans="1:25" x14ac:dyDescent="0.25">
      <c r="A34" s="93">
        <f>+Hoja1!A33</f>
        <v>553</v>
      </c>
      <c r="B34" s="91">
        <f ca="1">IF(RTD("tos.rtd",,$A$2,"."&amp;B$2&amp;B$1&amp;"C"&amp;$A34)="N/A",0,RTD("tos.rtd",,$A$2,"."&amp;B$2&amp;B$1&amp;"C"&amp;$A34))-IF(RTD("tos.rtd",,$A$2,"."&amp;B$2&amp;B$1&amp;"P"&amp;$A34)="N/A",0,RTD("tos.rtd",,$A$2,"."&amp;B$2&amp;B$1&amp;"P"&amp;$A34))</f>
        <v>0</v>
      </c>
      <c r="C34" s="91">
        <f ca="1">IF(RTD("tos.rtd",,$A$2,"."&amp;C$2&amp;C$1&amp;"C"&amp;$A34)="N/A",0,RTD("tos.rtd",,$A$2,"."&amp;C$2&amp;C$1&amp;"C"&amp;$A34))-IF(RTD("tos.rtd",,$A$2,"."&amp;C$2&amp;C$1&amp;"P"&amp;$A34)="N/A",0,RTD("tos.rtd",,$A$2,"."&amp;C$2&amp;C$1&amp;"P"&amp;$A34))</f>
        <v>0</v>
      </c>
      <c r="D34" s="91">
        <f ca="1">IF(RTD("tos.rtd",,$A$2,"."&amp;D$2&amp;D$1&amp;"C"&amp;$A34)="N/A",0,RTD("tos.rtd",,$A$2,"."&amp;D$2&amp;D$1&amp;"C"&amp;$A34))-IF(RTD("tos.rtd",,$A$2,"."&amp;D$2&amp;D$1&amp;"P"&amp;$A34)="N/A",0,RTD("tos.rtd",,$A$2,"."&amp;D$2&amp;D$1&amp;"P"&amp;$A34))</f>
        <v>0</v>
      </c>
      <c r="E34" s="91">
        <f ca="1">IF(RTD("tos.rtd",,$A$2,"."&amp;E$2&amp;E$1&amp;"C"&amp;$A34)="N/A",0,RTD("tos.rtd",,$A$2,"."&amp;E$2&amp;E$1&amp;"C"&amp;$A34))-IF(RTD("tos.rtd",,$A$2,"."&amp;E$2&amp;E$1&amp;"P"&amp;$A34)="N/A",0,RTD("tos.rtd",,$A$2,"."&amp;E$2&amp;E$1&amp;"P"&amp;$A34))</f>
        <v>0</v>
      </c>
      <c r="F34" s="91">
        <f ca="1">IF(RTD("tos.rtd",,$A$2,"."&amp;F$2&amp;F$1&amp;"C"&amp;$A34)="N/A",0,RTD("tos.rtd",,$A$2,"."&amp;F$2&amp;F$1&amp;"C"&amp;$A34))-IF(RTD("tos.rtd",,$A$2,"."&amp;F$2&amp;F$1&amp;"P"&amp;$A34)="N/A",0,RTD("tos.rtd",,$A$2,"."&amp;F$2&amp;F$1&amp;"P"&amp;$A34))</f>
        <v>0</v>
      </c>
      <c r="G34" s="91">
        <f ca="1">IF(RTD("tos.rtd",,$A$2,"."&amp;G$2&amp;G$1&amp;"C"&amp;$A34)="N/A",0,RTD("tos.rtd",,$A$2,"."&amp;G$2&amp;G$1&amp;"C"&amp;$A34))-IF(RTD("tos.rtd",,$A$2,"."&amp;G$2&amp;G$1&amp;"P"&amp;$A34)="N/A",0,RTD("tos.rtd",,$A$2,"."&amp;G$2&amp;G$1&amp;"P"&amp;$A34))</f>
        <v>0</v>
      </c>
      <c r="H34" s="91">
        <f ca="1">IF(RTD("tos.rtd",,$A$2,"."&amp;H$2&amp;H$1&amp;"C"&amp;$A34)="N/A",0,RTD("tos.rtd",,$A$2,"."&amp;H$2&amp;H$1&amp;"C"&amp;$A34))-IF(RTD("tos.rtd",,$A$2,"."&amp;H$2&amp;H$1&amp;"P"&amp;$A34)="N/A",0,RTD("tos.rtd",,$A$2,"."&amp;H$2&amp;H$1&amp;"P"&amp;$A34))</f>
        <v>-126</v>
      </c>
      <c r="I34" s="91">
        <f ca="1">IF(RTD("tos.rtd",,$A$2,"."&amp;I$2&amp;I$1&amp;"C"&amp;$A34)="N/A",0,RTD("tos.rtd",,$A$2,"."&amp;I$2&amp;I$1&amp;"C"&amp;$A34))-IF(RTD("tos.rtd",,$A$2,"."&amp;I$2&amp;I$1&amp;"P"&amp;$A34)="N/A",0,RTD("tos.rtd",,$A$2,"."&amp;I$2&amp;I$1&amp;"P"&amp;$A34))</f>
        <v>-291</v>
      </c>
      <c r="J34" s="91">
        <f ca="1">IF(RTD("tos.rtd",,$A$2,"."&amp;J$2&amp;J$1&amp;"C"&amp;$A34)="N/A",0,RTD("tos.rtd",,$A$2,"."&amp;J$2&amp;J$1&amp;"C"&amp;$A34))-IF(RTD("tos.rtd",,$A$2,"."&amp;J$2&amp;J$1&amp;"P"&amp;$A34)="N/A",0,RTD("tos.rtd",,$A$2,"."&amp;J$2&amp;J$1&amp;"P"&amp;$A34))</f>
        <v>-71</v>
      </c>
      <c r="K34" s="91">
        <f ca="1">IF(RTD("tos.rtd",,$A$2,"."&amp;K$2&amp;K$1&amp;"C"&amp;$A34)="N/A",0,RTD("tos.rtd",,$A$2,"."&amp;K$2&amp;K$1&amp;"C"&amp;$A34))-IF(RTD("tos.rtd",,$A$2,"."&amp;K$2&amp;K$1&amp;"P"&amp;$A34)="N/A",0,RTD("tos.rtd",,$A$2,"."&amp;K$2&amp;K$1&amp;"P"&amp;$A34))</f>
        <v>-327</v>
      </c>
      <c r="L34" s="91">
        <f ca="1">IF(RTD("tos.rtd",,$A$2,"."&amp;L$2&amp;L$1&amp;"C"&amp;$A34)="N/A",0,RTD("tos.rtd",,$A$2,"."&amp;L$2&amp;L$1&amp;"C"&amp;$A34))-IF(RTD("tos.rtd",,$A$2,"."&amp;L$2&amp;L$1&amp;"P"&amp;$A34)="N/A",0,RTD("tos.rtd",,$A$2,"."&amp;L$2&amp;L$1&amp;"P"&amp;$A34))</f>
        <v>-95</v>
      </c>
      <c r="M34" s="91">
        <f ca="1">IF(RTD("tos.rtd",,$A$2,"."&amp;M$2&amp;M$1&amp;"C"&amp;$A34)="N/A",0,RTD("tos.rtd",,$A$2,"."&amp;M$2&amp;M$1&amp;"C"&amp;$A34))-IF(RTD("tos.rtd",,$A$2,"."&amp;M$2&amp;M$1&amp;"P"&amp;$A34)="N/A",0,RTD("tos.rtd",,$A$2,"."&amp;M$2&amp;M$1&amp;"P"&amp;$A34))</f>
        <v>0</v>
      </c>
      <c r="N34" s="91">
        <f ca="1">IF(RTD("tos.rtd",,$A$2,"."&amp;N$2&amp;N$1&amp;"C"&amp;$A34)="N/A",0,RTD("tos.rtd",,$A$2,"."&amp;N$2&amp;N$1&amp;"C"&amp;$A34))-IF(RTD("tos.rtd",,$A$2,"."&amp;N$2&amp;N$1&amp;"P"&amp;$A34)="N/A",0,RTD("tos.rtd",,$A$2,"."&amp;N$2&amp;N$1&amp;"P"&amp;$A34))</f>
        <v>2</v>
      </c>
      <c r="O34" s="91">
        <f ca="1">IF(RTD("tos.rtd",,$A$2,"."&amp;O$2&amp;O$1&amp;"C"&amp;$A34)="N/A",0,RTD("tos.rtd",,$A$2,"."&amp;O$2&amp;O$1&amp;"C"&amp;$A34))-IF(RTD("tos.rtd",,$A$2,"."&amp;O$2&amp;O$1&amp;"P"&amp;$A34)="N/A",0,RTD("tos.rtd",,$A$2,"."&amp;O$2&amp;O$1&amp;"P"&amp;$A34))</f>
        <v>-122</v>
      </c>
      <c r="P34" s="91">
        <f ca="1">IF(RTD("tos.rtd",,$A$2,"."&amp;P$2&amp;P$1&amp;"C"&amp;$A34)="N/A",0,RTD("tos.rtd",,$A$2,"."&amp;P$2&amp;P$1&amp;"C"&amp;$A34))-IF(RTD("tos.rtd",,$A$2,"."&amp;P$2&amp;P$1&amp;"P"&amp;$A34)="N/A",0,RTD("tos.rtd",,$A$2,"."&amp;P$2&amp;P$1&amp;"P"&amp;$A34))</f>
        <v>-3</v>
      </c>
      <c r="Q34" s="91">
        <f ca="1">IF(RTD("tos.rtd",,$A$2,"."&amp;Q$2&amp;Q$1&amp;"C"&amp;$A34)="N/A",0,RTD("tos.rtd",,$A$2,"."&amp;Q$2&amp;Q$1&amp;"C"&amp;$A34))-IF(RTD("tos.rtd",,$A$2,"."&amp;Q$2&amp;Q$1&amp;"P"&amp;$A34)="N/A",0,RTD("tos.rtd",,$A$2,"."&amp;Q$2&amp;Q$1&amp;"P"&amp;$A34))</f>
        <v>0</v>
      </c>
      <c r="R34" s="91">
        <f ca="1">IF(RTD("tos.rtd",,$A$2,"."&amp;R$2&amp;R$1&amp;"C"&amp;$A34)="N/A",0,RTD("tos.rtd",,$A$2,"."&amp;R$2&amp;R$1&amp;"C"&amp;$A34))-IF(RTD("tos.rtd",,$A$2,"."&amp;R$2&amp;R$1&amp;"P"&amp;$A34)="N/A",0,RTD("tos.rtd",,$A$2,"."&amp;R$2&amp;R$1&amp;"P"&amp;$A34))</f>
        <v>17</v>
      </c>
      <c r="S34" s="91">
        <f ca="1">IF(RTD("tos.rtd",,$A$2,"."&amp;S$2&amp;S$1&amp;"C"&amp;$A34)="N/A",0,RTD("tos.rtd",,$A$2,"."&amp;S$2&amp;S$1&amp;"C"&amp;$A34))-IF(RTD("tos.rtd",,$A$2,"."&amp;S$2&amp;S$1&amp;"P"&amp;$A34)="N/A",0,RTD("tos.rtd",,$A$2,"."&amp;S$2&amp;S$1&amp;"P"&amp;$A34))</f>
        <v>0</v>
      </c>
      <c r="T34" s="91">
        <f ca="1">IF(RTD("tos.rtd",,$A$2,"."&amp;T$2&amp;T$1&amp;"C"&amp;$A34)="N/A",0,RTD("tos.rtd",,$A$2,"."&amp;T$2&amp;T$1&amp;"C"&amp;$A34))-IF(RTD("tos.rtd",,$A$2,"."&amp;T$2&amp;T$1&amp;"P"&amp;$A34)="N/A",0,RTD("tos.rtd",,$A$2,"."&amp;T$2&amp;T$1&amp;"P"&amp;$A34))</f>
        <v>-3</v>
      </c>
      <c r="U34" s="91">
        <f ca="1">IF(RTD("tos.rtd",,$A$2,"."&amp;U$2&amp;U$1&amp;"C"&amp;$A34)="N/A",0,RTD("tos.rtd",,$A$2,"."&amp;U$2&amp;U$1&amp;"C"&amp;$A34))-IF(RTD("tos.rtd",,$A$2,"."&amp;U$2&amp;U$1&amp;"P"&amp;$A34)="N/A",0,RTD("tos.rtd",,$A$2,"."&amp;U$2&amp;U$1&amp;"P"&amp;$A34))</f>
        <v>0</v>
      </c>
      <c r="V34" s="91">
        <f ca="1">IF(RTD("tos.rtd",,$A$2,"."&amp;V$2&amp;V$1&amp;"C"&amp;$A34)="N/A",0,RTD("tos.rtd",,$A$2,"."&amp;V$2&amp;V$1&amp;"C"&amp;$A34))-IF(RTD("tos.rtd",,$A$2,"."&amp;V$2&amp;V$1&amp;"P"&amp;$A34)="N/A",0,RTD("tos.rtd",,$A$2,"."&amp;V$2&amp;V$1&amp;"P"&amp;$A34))</f>
        <v>0</v>
      </c>
      <c r="W34" s="91">
        <f ca="1">IF(RTD("tos.rtd",,$A$2,"."&amp;W$2&amp;W$1&amp;"C"&amp;$A34)="N/A",0,RTD("tos.rtd",,$A$2,"."&amp;W$2&amp;W$1&amp;"C"&amp;$A34))-IF(RTD("tos.rtd",,$A$2,"."&amp;W$2&amp;W$1&amp;"P"&amp;$A34)="N/A",0,RTD("tos.rtd",,$A$2,"."&amp;W$2&amp;W$1&amp;"P"&amp;$A34))</f>
        <v>0</v>
      </c>
      <c r="X34" s="91">
        <f ca="1">IF(RTD("tos.rtd",,$A$2,"."&amp;X$2&amp;X$1&amp;"C"&amp;$A34)="N/A",0,RTD("tos.rtd",,$A$2,"."&amp;X$2&amp;X$1&amp;"C"&amp;$A34))-IF(RTD("tos.rtd",,$A$2,"."&amp;X$2&amp;X$1&amp;"P"&amp;$A34)="N/A",0,RTD("tos.rtd",,$A$2,"."&amp;X$2&amp;X$1&amp;"P"&amp;$A34))</f>
        <v>0</v>
      </c>
      <c r="Y34" s="98">
        <f t="shared" ca="1" si="3"/>
        <v>-1019</v>
      </c>
    </row>
    <row r="35" spans="1:25" x14ac:dyDescent="0.25">
      <c r="A35" s="93">
        <f>+Hoja1!A34</f>
        <v>552</v>
      </c>
      <c r="B35" s="91">
        <f ca="1">IF(RTD("tos.rtd",,$A$2,"."&amp;B$2&amp;B$1&amp;"C"&amp;$A35)="N/A",0,RTD("tos.rtd",,$A$2,"."&amp;B$2&amp;B$1&amp;"C"&amp;$A35))-IF(RTD("tos.rtd",,$A$2,"."&amp;B$2&amp;B$1&amp;"P"&amp;$A35)="N/A",0,RTD("tos.rtd",,$A$2,"."&amp;B$2&amp;B$1&amp;"P"&amp;$A35))</f>
        <v>0</v>
      </c>
      <c r="C35" s="91">
        <f ca="1">IF(RTD("tos.rtd",,$A$2,"."&amp;C$2&amp;C$1&amp;"C"&amp;$A35)="N/A",0,RTD("tos.rtd",,$A$2,"."&amp;C$2&amp;C$1&amp;"C"&amp;$A35))-IF(RTD("tos.rtd",,$A$2,"."&amp;C$2&amp;C$1&amp;"P"&amp;$A35)="N/A",0,RTD("tos.rtd",,$A$2,"."&amp;C$2&amp;C$1&amp;"P"&amp;$A35))</f>
        <v>0</v>
      </c>
      <c r="D35" s="91">
        <f ca="1">IF(RTD("tos.rtd",,$A$2,"."&amp;D$2&amp;D$1&amp;"C"&amp;$A35)="N/A",0,RTD("tos.rtd",,$A$2,"."&amp;D$2&amp;D$1&amp;"C"&amp;$A35))-IF(RTD("tos.rtd",,$A$2,"."&amp;D$2&amp;D$1&amp;"P"&amp;$A35)="N/A",0,RTD("tos.rtd",,$A$2,"."&amp;D$2&amp;D$1&amp;"P"&amp;$A35))</f>
        <v>0</v>
      </c>
      <c r="E35" s="91">
        <f ca="1">IF(RTD("tos.rtd",,$A$2,"."&amp;E$2&amp;E$1&amp;"C"&amp;$A35)="N/A",0,RTD("tos.rtd",,$A$2,"."&amp;E$2&amp;E$1&amp;"C"&amp;$A35))-IF(RTD("tos.rtd",,$A$2,"."&amp;E$2&amp;E$1&amp;"P"&amp;$A35)="N/A",0,RTD("tos.rtd",,$A$2,"."&amp;E$2&amp;E$1&amp;"P"&amp;$A35))</f>
        <v>0</v>
      </c>
      <c r="F35" s="91">
        <f ca="1">IF(RTD("tos.rtd",,$A$2,"."&amp;F$2&amp;F$1&amp;"C"&amp;$A35)="N/A",0,RTD("tos.rtd",,$A$2,"."&amp;F$2&amp;F$1&amp;"C"&amp;$A35))-IF(RTD("tos.rtd",,$A$2,"."&amp;F$2&amp;F$1&amp;"P"&amp;$A35)="N/A",0,RTD("tos.rtd",,$A$2,"."&amp;F$2&amp;F$1&amp;"P"&amp;$A35))</f>
        <v>0</v>
      </c>
      <c r="G35" s="91">
        <f ca="1">IF(RTD("tos.rtd",,$A$2,"."&amp;G$2&amp;G$1&amp;"C"&amp;$A35)="N/A",0,RTD("tos.rtd",,$A$2,"."&amp;G$2&amp;G$1&amp;"C"&amp;$A35))-IF(RTD("tos.rtd",,$A$2,"."&amp;G$2&amp;G$1&amp;"P"&amp;$A35)="N/A",0,RTD("tos.rtd",,$A$2,"."&amp;G$2&amp;G$1&amp;"P"&amp;$A35))</f>
        <v>0</v>
      </c>
      <c r="H35" s="91">
        <f ca="1">IF(RTD("tos.rtd",,$A$2,"."&amp;H$2&amp;H$1&amp;"C"&amp;$A35)="N/A",0,RTD("tos.rtd",,$A$2,"."&amp;H$2&amp;H$1&amp;"C"&amp;$A35))-IF(RTD("tos.rtd",,$A$2,"."&amp;H$2&amp;H$1&amp;"P"&amp;$A35)="N/A",0,RTD("tos.rtd",,$A$2,"."&amp;H$2&amp;H$1&amp;"P"&amp;$A35))</f>
        <v>-244</v>
      </c>
      <c r="I35" s="91">
        <f ca="1">IF(RTD("tos.rtd",,$A$2,"."&amp;I$2&amp;I$1&amp;"C"&amp;$A35)="N/A",0,RTD("tos.rtd",,$A$2,"."&amp;I$2&amp;I$1&amp;"C"&amp;$A35))-IF(RTD("tos.rtd",,$A$2,"."&amp;I$2&amp;I$1&amp;"P"&amp;$A35)="N/A",0,RTD("tos.rtd",,$A$2,"."&amp;I$2&amp;I$1&amp;"P"&amp;$A35))</f>
        <v>6</v>
      </c>
      <c r="J35" s="91">
        <f ca="1">IF(RTD("tos.rtd",,$A$2,"."&amp;J$2&amp;J$1&amp;"C"&amp;$A35)="N/A",0,RTD("tos.rtd",,$A$2,"."&amp;J$2&amp;J$1&amp;"C"&amp;$A35))-IF(RTD("tos.rtd",,$A$2,"."&amp;J$2&amp;J$1&amp;"P"&amp;$A35)="N/A",0,RTD("tos.rtd",,$A$2,"."&amp;J$2&amp;J$1&amp;"P"&amp;$A35))</f>
        <v>-8</v>
      </c>
      <c r="K35" s="91">
        <f ca="1">IF(RTD("tos.rtd",,$A$2,"."&amp;K$2&amp;K$1&amp;"C"&amp;$A35)="N/A",0,RTD("tos.rtd",,$A$2,"."&amp;K$2&amp;K$1&amp;"C"&amp;$A35))-IF(RTD("tos.rtd",,$A$2,"."&amp;K$2&amp;K$1&amp;"P"&amp;$A35)="N/A",0,RTD("tos.rtd",,$A$2,"."&amp;K$2&amp;K$1&amp;"P"&amp;$A35))</f>
        <v>-386</v>
      </c>
      <c r="L35" s="91">
        <f ca="1">IF(RTD("tos.rtd",,$A$2,"."&amp;L$2&amp;L$1&amp;"C"&amp;$A35)="N/A",0,RTD("tos.rtd",,$A$2,"."&amp;L$2&amp;L$1&amp;"C"&amp;$A35))-IF(RTD("tos.rtd",,$A$2,"."&amp;L$2&amp;L$1&amp;"P"&amp;$A35)="N/A",0,RTD("tos.rtd",,$A$2,"."&amp;L$2&amp;L$1&amp;"P"&amp;$A35))</f>
        <v>-19</v>
      </c>
      <c r="M35" s="91">
        <f ca="1">IF(RTD("tos.rtd",,$A$2,"."&amp;M$2&amp;M$1&amp;"C"&amp;$A35)="N/A",0,RTD("tos.rtd",,$A$2,"."&amp;M$2&amp;M$1&amp;"C"&amp;$A35))-IF(RTD("tos.rtd",,$A$2,"."&amp;M$2&amp;M$1&amp;"P"&amp;$A35)="N/A",0,RTD("tos.rtd",,$A$2,"."&amp;M$2&amp;M$1&amp;"P"&amp;$A35))</f>
        <v>0</v>
      </c>
      <c r="N35" s="91">
        <f ca="1">IF(RTD("tos.rtd",,$A$2,"."&amp;N$2&amp;N$1&amp;"C"&amp;$A35)="N/A",0,RTD("tos.rtd",,$A$2,"."&amp;N$2&amp;N$1&amp;"C"&amp;$A35))-IF(RTD("tos.rtd",,$A$2,"."&amp;N$2&amp;N$1&amp;"P"&amp;$A35)="N/A",0,RTD("tos.rtd",,$A$2,"."&amp;N$2&amp;N$1&amp;"P"&amp;$A35))</f>
        <v>-1</v>
      </c>
      <c r="O35" s="91">
        <f ca="1">IF(RTD("tos.rtd",,$A$2,"."&amp;O$2&amp;O$1&amp;"C"&amp;$A35)="N/A",0,RTD("tos.rtd",,$A$2,"."&amp;O$2&amp;O$1&amp;"C"&amp;$A35))-IF(RTD("tos.rtd",,$A$2,"."&amp;O$2&amp;O$1&amp;"P"&amp;$A35)="N/A",0,RTD("tos.rtd",,$A$2,"."&amp;O$2&amp;O$1&amp;"P"&amp;$A35))</f>
        <v>-5</v>
      </c>
      <c r="P35" s="91">
        <f ca="1">IF(RTD("tos.rtd",,$A$2,"."&amp;P$2&amp;P$1&amp;"C"&amp;$A35)="N/A",0,RTD("tos.rtd",,$A$2,"."&amp;P$2&amp;P$1&amp;"C"&amp;$A35))-IF(RTD("tos.rtd",,$A$2,"."&amp;P$2&amp;P$1&amp;"P"&amp;$A35)="N/A",0,RTD("tos.rtd",,$A$2,"."&amp;P$2&amp;P$1&amp;"P"&amp;$A35))</f>
        <v>0</v>
      </c>
      <c r="Q35" s="91">
        <f ca="1">IF(RTD("tos.rtd",,$A$2,"."&amp;Q$2&amp;Q$1&amp;"C"&amp;$A35)="N/A",0,RTD("tos.rtd",,$A$2,"."&amp;Q$2&amp;Q$1&amp;"C"&amp;$A35))-IF(RTD("tos.rtd",,$A$2,"."&amp;Q$2&amp;Q$1&amp;"P"&amp;$A35)="N/A",0,RTD("tos.rtd",,$A$2,"."&amp;Q$2&amp;Q$1&amp;"P"&amp;$A35))</f>
        <v>0</v>
      </c>
      <c r="R35" s="91">
        <f ca="1">IF(RTD("tos.rtd",,$A$2,"."&amp;R$2&amp;R$1&amp;"C"&amp;$A35)="N/A",0,RTD("tos.rtd",,$A$2,"."&amp;R$2&amp;R$1&amp;"C"&amp;$A35))-IF(RTD("tos.rtd",,$A$2,"."&amp;R$2&amp;R$1&amp;"P"&amp;$A35)="N/A",0,RTD("tos.rtd",,$A$2,"."&amp;R$2&amp;R$1&amp;"P"&amp;$A35))</f>
        <v>0</v>
      </c>
      <c r="S35" s="91">
        <f ca="1">IF(RTD("tos.rtd",,$A$2,"."&amp;S$2&amp;S$1&amp;"C"&amp;$A35)="N/A",0,RTD("tos.rtd",,$A$2,"."&amp;S$2&amp;S$1&amp;"C"&amp;$A35))-IF(RTD("tos.rtd",,$A$2,"."&amp;S$2&amp;S$1&amp;"P"&amp;$A35)="N/A",0,RTD("tos.rtd",,$A$2,"."&amp;S$2&amp;S$1&amp;"P"&amp;$A35))</f>
        <v>0</v>
      </c>
      <c r="T35" s="91">
        <f ca="1">IF(RTD("tos.rtd",,$A$2,"."&amp;T$2&amp;T$1&amp;"C"&amp;$A35)="N/A",0,RTD("tos.rtd",,$A$2,"."&amp;T$2&amp;T$1&amp;"C"&amp;$A35))-IF(RTD("tos.rtd",,$A$2,"."&amp;T$2&amp;T$1&amp;"P"&amp;$A35)="N/A",0,RTD("tos.rtd",,$A$2,"."&amp;T$2&amp;T$1&amp;"P"&amp;$A35))</f>
        <v>-2</v>
      </c>
      <c r="U35" s="91">
        <f ca="1">IF(RTD("tos.rtd",,$A$2,"."&amp;U$2&amp;U$1&amp;"C"&amp;$A35)="N/A",0,RTD("tos.rtd",,$A$2,"."&amp;U$2&amp;U$1&amp;"C"&amp;$A35))-IF(RTD("tos.rtd",,$A$2,"."&amp;U$2&amp;U$1&amp;"P"&amp;$A35)="N/A",0,RTD("tos.rtd",,$A$2,"."&amp;U$2&amp;U$1&amp;"P"&amp;$A35))</f>
        <v>0</v>
      </c>
      <c r="V35" s="91">
        <f ca="1">IF(RTD("tos.rtd",,$A$2,"."&amp;V$2&amp;V$1&amp;"C"&amp;$A35)="N/A",0,RTD("tos.rtd",,$A$2,"."&amp;V$2&amp;V$1&amp;"C"&amp;$A35))-IF(RTD("tos.rtd",,$A$2,"."&amp;V$2&amp;V$1&amp;"P"&amp;$A35)="N/A",0,RTD("tos.rtd",,$A$2,"."&amp;V$2&amp;V$1&amp;"P"&amp;$A35))</f>
        <v>0</v>
      </c>
      <c r="W35" s="91">
        <f ca="1">IF(RTD("tos.rtd",,$A$2,"."&amp;W$2&amp;W$1&amp;"C"&amp;$A35)="N/A",0,RTD("tos.rtd",,$A$2,"."&amp;W$2&amp;W$1&amp;"C"&amp;$A35))-IF(RTD("tos.rtd",,$A$2,"."&amp;W$2&amp;W$1&amp;"P"&amp;$A35)="N/A",0,RTD("tos.rtd",,$A$2,"."&amp;W$2&amp;W$1&amp;"P"&amp;$A35))</f>
        <v>0</v>
      </c>
      <c r="X35" s="91">
        <f ca="1">IF(RTD("tos.rtd",,$A$2,"."&amp;X$2&amp;X$1&amp;"C"&amp;$A35)="N/A",0,RTD("tos.rtd",,$A$2,"."&amp;X$2&amp;X$1&amp;"C"&amp;$A35))-IF(RTD("tos.rtd",,$A$2,"."&amp;X$2&amp;X$1&amp;"P"&amp;$A35)="N/A",0,RTD("tos.rtd",,$A$2,"."&amp;X$2&amp;X$1&amp;"P"&amp;$A35))</f>
        <v>-5</v>
      </c>
      <c r="Y35" s="98">
        <f t="shared" ca="1" si="3"/>
        <v>-664</v>
      </c>
    </row>
    <row r="36" spans="1:25" x14ac:dyDescent="0.25">
      <c r="A36" s="93">
        <f>+Hoja1!A35</f>
        <v>551</v>
      </c>
      <c r="B36" s="91">
        <f ca="1">IF(RTD("tos.rtd",,$A$2,"."&amp;B$2&amp;B$1&amp;"C"&amp;$A36)="N/A",0,RTD("tos.rtd",,$A$2,"."&amp;B$2&amp;B$1&amp;"C"&amp;$A36))-IF(RTD("tos.rtd",,$A$2,"."&amp;B$2&amp;B$1&amp;"P"&amp;$A36)="N/A",0,RTD("tos.rtd",,$A$2,"."&amp;B$2&amp;B$1&amp;"P"&amp;$A36))</f>
        <v>0</v>
      </c>
      <c r="C36" s="91">
        <f ca="1">IF(RTD("tos.rtd",,$A$2,"."&amp;C$2&amp;C$1&amp;"C"&amp;$A36)="N/A",0,RTD("tos.rtd",,$A$2,"."&amp;C$2&amp;C$1&amp;"C"&amp;$A36))-IF(RTD("tos.rtd",,$A$2,"."&amp;C$2&amp;C$1&amp;"P"&amp;$A36)="N/A",0,RTD("tos.rtd",,$A$2,"."&amp;C$2&amp;C$1&amp;"P"&amp;$A36))</f>
        <v>0</v>
      </c>
      <c r="D36" s="91">
        <f ca="1">IF(RTD("tos.rtd",,$A$2,"."&amp;D$2&amp;D$1&amp;"C"&amp;$A36)="N/A",0,RTD("tos.rtd",,$A$2,"."&amp;D$2&amp;D$1&amp;"C"&amp;$A36))-IF(RTD("tos.rtd",,$A$2,"."&amp;D$2&amp;D$1&amp;"P"&amp;$A36)="N/A",0,RTD("tos.rtd",,$A$2,"."&amp;D$2&amp;D$1&amp;"P"&amp;$A36))</f>
        <v>0</v>
      </c>
      <c r="E36" s="91">
        <f ca="1">IF(RTD("tos.rtd",,$A$2,"."&amp;E$2&amp;E$1&amp;"C"&amp;$A36)="N/A",0,RTD("tos.rtd",,$A$2,"."&amp;E$2&amp;E$1&amp;"C"&amp;$A36))-IF(RTD("tos.rtd",,$A$2,"."&amp;E$2&amp;E$1&amp;"P"&amp;$A36)="N/A",0,RTD("tos.rtd",,$A$2,"."&amp;E$2&amp;E$1&amp;"P"&amp;$A36))</f>
        <v>0</v>
      </c>
      <c r="F36" s="91">
        <f ca="1">IF(RTD("tos.rtd",,$A$2,"."&amp;F$2&amp;F$1&amp;"C"&amp;$A36)="N/A",0,RTD("tos.rtd",,$A$2,"."&amp;F$2&amp;F$1&amp;"C"&amp;$A36))-IF(RTD("tos.rtd",,$A$2,"."&amp;F$2&amp;F$1&amp;"P"&amp;$A36)="N/A",0,RTD("tos.rtd",,$A$2,"."&amp;F$2&amp;F$1&amp;"P"&amp;$A36))</f>
        <v>0</v>
      </c>
      <c r="G36" s="91">
        <f ca="1">IF(RTD("tos.rtd",,$A$2,"."&amp;G$2&amp;G$1&amp;"C"&amp;$A36)="N/A",0,RTD("tos.rtd",,$A$2,"."&amp;G$2&amp;G$1&amp;"C"&amp;$A36))-IF(RTD("tos.rtd",,$A$2,"."&amp;G$2&amp;G$1&amp;"P"&amp;$A36)="N/A",0,RTD("tos.rtd",,$A$2,"."&amp;G$2&amp;G$1&amp;"P"&amp;$A36))</f>
        <v>0</v>
      </c>
      <c r="H36" s="91">
        <f ca="1">IF(RTD("tos.rtd",,$A$2,"."&amp;H$2&amp;H$1&amp;"C"&amp;$A36)="N/A",0,RTD("tos.rtd",,$A$2,"."&amp;H$2&amp;H$1&amp;"C"&amp;$A36))-IF(RTD("tos.rtd",,$A$2,"."&amp;H$2&amp;H$1&amp;"P"&amp;$A36)="N/A",0,RTD("tos.rtd",,$A$2,"."&amp;H$2&amp;H$1&amp;"P"&amp;$A36))</f>
        <v>-100</v>
      </c>
      <c r="I36" s="91">
        <f ca="1">IF(RTD("tos.rtd",,$A$2,"."&amp;I$2&amp;I$1&amp;"C"&amp;$A36)="N/A",0,RTD("tos.rtd",,$A$2,"."&amp;I$2&amp;I$1&amp;"C"&amp;$A36))-IF(RTD("tos.rtd",,$A$2,"."&amp;I$2&amp;I$1&amp;"P"&amp;$A36)="N/A",0,RTD("tos.rtd",,$A$2,"."&amp;I$2&amp;I$1&amp;"P"&amp;$A36))</f>
        <v>-80</v>
      </c>
      <c r="J36" s="91">
        <f ca="1">IF(RTD("tos.rtd",,$A$2,"."&amp;J$2&amp;J$1&amp;"C"&amp;$A36)="N/A",0,RTD("tos.rtd",,$A$2,"."&amp;J$2&amp;J$1&amp;"C"&amp;$A36))-IF(RTD("tos.rtd",,$A$2,"."&amp;J$2&amp;J$1&amp;"P"&amp;$A36)="N/A",0,RTD("tos.rtd",,$A$2,"."&amp;J$2&amp;J$1&amp;"P"&amp;$A36))</f>
        <v>-25</v>
      </c>
      <c r="K36" s="91">
        <f ca="1">IF(RTD("tos.rtd",,$A$2,"."&amp;K$2&amp;K$1&amp;"C"&amp;$A36)="N/A",0,RTD("tos.rtd",,$A$2,"."&amp;K$2&amp;K$1&amp;"C"&amp;$A36))-IF(RTD("tos.rtd",,$A$2,"."&amp;K$2&amp;K$1&amp;"P"&amp;$A36)="N/A",0,RTD("tos.rtd",,$A$2,"."&amp;K$2&amp;K$1&amp;"P"&amp;$A36))</f>
        <v>-181</v>
      </c>
      <c r="L36" s="91">
        <f ca="1">IF(RTD("tos.rtd",,$A$2,"."&amp;L$2&amp;L$1&amp;"C"&amp;$A36)="N/A",0,RTD("tos.rtd",,$A$2,"."&amp;L$2&amp;L$1&amp;"C"&amp;$A36))-IF(RTD("tos.rtd",,$A$2,"."&amp;L$2&amp;L$1&amp;"P"&amp;$A36)="N/A",0,RTD("tos.rtd",,$A$2,"."&amp;L$2&amp;L$1&amp;"P"&amp;$A36))</f>
        <v>-8</v>
      </c>
      <c r="M36" s="91">
        <f ca="1">IF(RTD("tos.rtd",,$A$2,"."&amp;M$2&amp;M$1&amp;"C"&amp;$A36)="N/A",0,RTD("tos.rtd",,$A$2,"."&amp;M$2&amp;M$1&amp;"C"&amp;$A36))-IF(RTD("tos.rtd",,$A$2,"."&amp;M$2&amp;M$1&amp;"P"&amp;$A36)="N/A",0,RTD("tos.rtd",,$A$2,"."&amp;M$2&amp;M$1&amp;"P"&amp;$A36))</f>
        <v>0</v>
      </c>
      <c r="N36" s="91">
        <f ca="1">IF(RTD("tos.rtd",,$A$2,"."&amp;N$2&amp;N$1&amp;"C"&amp;$A36)="N/A",0,RTD("tos.rtd",,$A$2,"."&amp;N$2&amp;N$1&amp;"C"&amp;$A36))-IF(RTD("tos.rtd",,$A$2,"."&amp;N$2&amp;N$1&amp;"P"&amp;$A36)="N/A",0,RTD("tos.rtd",,$A$2,"."&amp;N$2&amp;N$1&amp;"P"&amp;$A36))</f>
        <v>-9</v>
      </c>
      <c r="O36" s="91">
        <f ca="1">IF(RTD("tos.rtd",,$A$2,"."&amp;O$2&amp;O$1&amp;"C"&amp;$A36)="N/A",0,RTD("tos.rtd",,$A$2,"."&amp;O$2&amp;O$1&amp;"C"&amp;$A36))-IF(RTD("tos.rtd",,$A$2,"."&amp;O$2&amp;O$1&amp;"P"&amp;$A36)="N/A",0,RTD("tos.rtd",,$A$2,"."&amp;O$2&amp;O$1&amp;"P"&amp;$A36))</f>
        <v>-1</v>
      </c>
      <c r="P36" s="91">
        <f ca="1">IF(RTD("tos.rtd",,$A$2,"."&amp;P$2&amp;P$1&amp;"C"&amp;$A36)="N/A",0,RTD("tos.rtd",,$A$2,"."&amp;P$2&amp;P$1&amp;"C"&amp;$A36))-IF(RTD("tos.rtd",,$A$2,"."&amp;P$2&amp;P$1&amp;"P"&amp;$A36)="N/A",0,RTD("tos.rtd",,$A$2,"."&amp;P$2&amp;P$1&amp;"P"&amp;$A36))</f>
        <v>-2</v>
      </c>
      <c r="Q36" s="91">
        <f ca="1">IF(RTD("tos.rtd",,$A$2,"."&amp;Q$2&amp;Q$1&amp;"C"&amp;$A36)="N/A",0,RTD("tos.rtd",,$A$2,"."&amp;Q$2&amp;Q$1&amp;"C"&amp;$A36))-IF(RTD("tos.rtd",,$A$2,"."&amp;Q$2&amp;Q$1&amp;"P"&amp;$A36)="N/A",0,RTD("tos.rtd",,$A$2,"."&amp;Q$2&amp;Q$1&amp;"P"&amp;$A36))</f>
        <v>0</v>
      </c>
      <c r="R36" s="91">
        <f ca="1">IF(RTD("tos.rtd",,$A$2,"."&amp;R$2&amp;R$1&amp;"C"&amp;$A36)="N/A",0,RTD("tos.rtd",,$A$2,"."&amp;R$2&amp;R$1&amp;"C"&amp;$A36))-IF(RTD("tos.rtd",,$A$2,"."&amp;R$2&amp;R$1&amp;"P"&amp;$A36)="N/A",0,RTD("tos.rtd",,$A$2,"."&amp;R$2&amp;R$1&amp;"P"&amp;$A36))</f>
        <v>0</v>
      </c>
      <c r="S36" s="91">
        <f ca="1">IF(RTD("tos.rtd",,$A$2,"."&amp;S$2&amp;S$1&amp;"C"&amp;$A36)="N/A",0,RTD("tos.rtd",,$A$2,"."&amp;S$2&amp;S$1&amp;"C"&amp;$A36))-IF(RTD("tos.rtd",,$A$2,"."&amp;S$2&amp;S$1&amp;"P"&amp;$A36)="N/A",0,RTD("tos.rtd",,$A$2,"."&amp;S$2&amp;S$1&amp;"P"&amp;$A36))</f>
        <v>0</v>
      </c>
      <c r="T36" s="91">
        <f ca="1">IF(RTD("tos.rtd",,$A$2,"."&amp;T$2&amp;T$1&amp;"C"&amp;$A36)="N/A",0,RTD("tos.rtd",,$A$2,"."&amp;T$2&amp;T$1&amp;"C"&amp;$A36))-IF(RTD("tos.rtd",,$A$2,"."&amp;T$2&amp;T$1&amp;"P"&amp;$A36)="N/A",0,RTD("tos.rtd",,$A$2,"."&amp;T$2&amp;T$1&amp;"P"&amp;$A36))</f>
        <v>-4</v>
      </c>
      <c r="U36" s="91">
        <f ca="1">IF(RTD("tos.rtd",,$A$2,"."&amp;U$2&amp;U$1&amp;"C"&amp;$A36)="N/A",0,RTD("tos.rtd",,$A$2,"."&amp;U$2&amp;U$1&amp;"C"&amp;$A36))-IF(RTD("tos.rtd",,$A$2,"."&amp;U$2&amp;U$1&amp;"P"&amp;$A36)="N/A",0,RTD("tos.rtd",,$A$2,"."&amp;U$2&amp;U$1&amp;"P"&amp;$A36))</f>
        <v>0</v>
      </c>
      <c r="V36" s="91">
        <f ca="1">IF(RTD("tos.rtd",,$A$2,"."&amp;V$2&amp;V$1&amp;"C"&amp;$A36)="N/A",0,RTD("tos.rtd",,$A$2,"."&amp;V$2&amp;V$1&amp;"C"&amp;$A36))-IF(RTD("tos.rtd",,$A$2,"."&amp;V$2&amp;V$1&amp;"P"&amp;$A36)="N/A",0,RTD("tos.rtd",,$A$2,"."&amp;V$2&amp;V$1&amp;"P"&amp;$A36))</f>
        <v>0</v>
      </c>
      <c r="W36" s="91">
        <f ca="1">IF(RTD("tos.rtd",,$A$2,"."&amp;W$2&amp;W$1&amp;"C"&amp;$A36)="N/A",0,RTD("tos.rtd",,$A$2,"."&amp;W$2&amp;W$1&amp;"C"&amp;$A36))-IF(RTD("tos.rtd",,$A$2,"."&amp;W$2&amp;W$1&amp;"P"&amp;$A36)="N/A",0,RTD("tos.rtd",,$A$2,"."&amp;W$2&amp;W$1&amp;"P"&amp;$A36))</f>
        <v>0</v>
      </c>
      <c r="X36" s="91">
        <f ca="1">IF(RTD("tos.rtd",,$A$2,"."&amp;X$2&amp;X$1&amp;"C"&amp;$A36)="N/A",0,RTD("tos.rtd",,$A$2,"."&amp;X$2&amp;X$1&amp;"C"&amp;$A36))-IF(RTD("tos.rtd",,$A$2,"."&amp;X$2&amp;X$1&amp;"P"&amp;$A36)="N/A",0,RTD("tos.rtd",,$A$2,"."&amp;X$2&amp;X$1&amp;"P"&amp;$A36))</f>
        <v>0</v>
      </c>
      <c r="Y36" s="98">
        <f t="shared" ca="1" si="3"/>
        <v>-410</v>
      </c>
    </row>
    <row r="37" spans="1:25" x14ac:dyDescent="0.25">
      <c r="A37" s="93">
        <f>+Hoja1!A36</f>
        <v>550</v>
      </c>
      <c r="B37" s="91">
        <f ca="1">IF(RTD("tos.rtd",,$A$2,"."&amp;B$2&amp;B$1&amp;"C"&amp;$A37)="N/A",0,RTD("tos.rtd",,$A$2,"."&amp;B$2&amp;B$1&amp;"C"&amp;$A37))-IF(RTD("tos.rtd",,$A$2,"."&amp;B$2&amp;B$1&amp;"P"&amp;$A37)="N/A",0,RTD("tos.rtd",,$A$2,"."&amp;B$2&amp;B$1&amp;"P"&amp;$A37))</f>
        <v>0</v>
      </c>
      <c r="C37" s="91">
        <f ca="1">IF(RTD("tos.rtd",,$A$2,"."&amp;C$2&amp;C$1&amp;"C"&amp;$A37)="N/A",0,RTD("tos.rtd",,$A$2,"."&amp;C$2&amp;C$1&amp;"C"&amp;$A37))-IF(RTD("tos.rtd",,$A$2,"."&amp;C$2&amp;C$1&amp;"P"&amp;$A37)="N/A",0,RTD("tos.rtd",,$A$2,"."&amp;C$2&amp;C$1&amp;"P"&amp;$A37))</f>
        <v>0</v>
      </c>
      <c r="D37" s="91">
        <f ca="1">IF(RTD("tos.rtd",,$A$2,"."&amp;D$2&amp;D$1&amp;"C"&amp;$A37)="N/A",0,RTD("tos.rtd",,$A$2,"."&amp;D$2&amp;D$1&amp;"C"&amp;$A37))-IF(RTD("tos.rtd",,$A$2,"."&amp;D$2&amp;D$1&amp;"P"&amp;$A37)="N/A",0,RTD("tos.rtd",,$A$2,"."&amp;D$2&amp;D$1&amp;"P"&amp;$A37))</f>
        <v>0</v>
      </c>
      <c r="E37" s="91">
        <f ca="1">IF(RTD("tos.rtd",,$A$2,"."&amp;E$2&amp;E$1&amp;"C"&amp;$A37)="N/A",0,RTD("tos.rtd",,$A$2,"."&amp;E$2&amp;E$1&amp;"C"&amp;$A37))-IF(RTD("tos.rtd",,$A$2,"."&amp;E$2&amp;E$1&amp;"P"&amp;$A37)="N/A",0,RTD("tos.rtd",,$A$2,"."&amp;E$2&amp;E$1&amp;"P"&amp;$A37))</f>
        <v>0</v>
      </c>
      <c r="F37" s="91">
        <f ca="1">IF(RTD("tos.rtd",,$A$2,"."&amp;F$2&amp;F$1&amp;"C"&amp;$A37)="N/A",0,RTD("tos.rtd",,$A$2,"."&amp;F$2&amp;F$1&amp;"C"&amp;$A37))-IF(RTD("tos.rtd",,$A$2,"."&amp;F$2&amp;F$1&amp;"P"&amp;$A37)="N/A",0,RTD("tos.rtd",,$A$2,"."&amp;F$2&amp;F$1&amp;"P"&amp;$A37))</f>
        <v>0</v>
      </c>
      <c r="G37" s="91">
        <f ca="1">IF(RTD("tos.rtd",,$A$2,"."&amp;G$2&amp;G$1&amp;"C"&amp;$A37)="N/A",0,RTD("tos.rtd",,$A$2,"."&amp;G$2&amp;G$1&amp;"C"&amp;$A37))-IF(RTD("tos.rtd",,$A$2,"."&amp;G$2&amp;G$1&amp;"P"&amp;$A37)="N/A",0,RTD("tos.rtd",,$A$2,"."&amp;G$2&amp;G$1&amp;"P"&amp;$A37))</f>
        <v>0</v>
      </c>
      <c r="H37" s="91">
        <f ca="1">IF(RTD("tos.rtd",,$A$2,"."&amp;H$2&amp;H$1&amp;"C"&amp;$A37)="N/A",0,RTD("tos.rtd",,$A$2,"."&amp;H$2&amp;H$1&amp;"C"&amp;$A37))-IF(RTD("tos.rtd",,$A$2,"."&amp;H$2&amp;H$1&amp;"P"&amp;$A37)="N/A",0,RTD("tos.rtd",,$A$2,"."&amp;H$2&amp;H$1&amp;"P"&amp;$A37))</f>
        <v>-2900</v>
      </c>
      <c r="I37" s="91">
        <f ca="1">IF(RTD("tos.rtd",,$A$2,"."&amp;I$2&amp;I$1&amp;"C"&amp;$A37)="N/A",0,RTD("tos.rtd",,$A$2,"."&amp;I$2&amp;I$1&amp;"C"&amp;$A37))-IF(RTD("tos.rtd",,$A$2,"."&amp;I$2&amp;I$1&amp;"P"&amp;$A37)="N/A",0,RTD("tos.rtd",,$A$2,"."&amp;I$2&amp;I$1&amp;"P"&amp;$A37))</f>
        <v>-3537</v>
      </c>
      <c r="J37" s="91">
        <f ca="1">IF(RTD("tos.rtd",,$A$2,"."&amp;J$2&amp;J$1&amp;"C"&amp;$A37)="N/A",0,RTD("tos.rtd",,$A$2,"."&amp;J$2&amp;J$1&amp;"C"&amp;$A37))-IF(RTD("tos.rtd",,$A$2,"."&amp;J$2&amp;J$1&amp;"P"&amp;$A37)="N/A",0,RTD("tos.rtd",,$A$2,"."&amp;J$2&amp;J$1&amp;"P"&amp;$A37))</f>
        <v>-393</v>
      </c>
      <c r="K37" s="91">
        <f ca="1">IF(RTD("tos.rtd",,$A$2,"."&amp;K$2&amp;K$1&amp;"C"&amp;$A37)="N/A",0,RTD("tos.rtd",,$A$2,"."&amp;K$2&amp;K$1&amp;"C"&amp;$A37))-IF(RTD("tos.rtd",,$A$2,"."&amp;K$2&amp;K$1&amp;"P"&amp;$A37)="N/A",0,RTD("tos.rtd",,$A$2,"."&amp;K$2&amp;K$1&amp;"P"&amp;$A37))</f>
        <v>-8829</v>
      </c>
      <c r="L37" s="91">
        <f ca="1">IF(RTD("tos.rtd",,$A$2,"."&amp;L$2&amp;L$1&amp;"C"&amp;$A37)="N/A",0,RTD("tos.rtd",,$A$2,"."&amp;L$2&amp;L$1&amp;"C"&amp;$A37))-IF(RTD("tos.rtd",,$A$2,"."&amp;L$2&amp;L$1&amp;"P"&amp;$A37)="N/A",0,RTD("tos.rtd",,$A$2,"."&amp;L$2&amp;L$1&amp;"P"&amp;$A37))</f>
        <v>-667</v>
      </c>
      <c r="M37" s="91">
        <f ca="1">IF(RTD("tos.rtd",,$A$2,"."&amp;M$2&amp;M$1&amp;"C"&amp;$A37)="N/A",0,RTD("tos.rtd",,$A$2,"."&amp;M$2&amp;M$1&amp;"C"&amp;$A37))-IF(RTD("tos.rtd",,$A$2,"."&amp;M$2&amp;M$1&amp;"P"&amp;$A37)="N/A",0,RTD("tos.rtd",,$A$2,"."&amp;M$2&amp;M$1&amp;"P"&amp;$A37))</f>
        <v>-2060</v>
      </c>
      <c r="N37" s="91">
        <f ca="1">IF(RTD("tos.rtd",,$A$2,"."&amp;N$2&amp;N$1&amp;"C"&amp;$A37)="N/A",0,RTD("tos.rtd",,$A$2,"."&amp;N$2&amp;N$1&amp;"C"&amp;$A37))-IF(RTD("tos.rtd",,$A$2,"."&amp;N$2&amp;N$1&amp;"P"&amp;$A37)="N/A",0,RTD("tos.rtd",,$A$2,"."&amp;N$2&amp;N$1&amp;"P"&amp;$A37))</f>
        <v>-341</v>
      </c>
      <c r="O37" s="91">
        <f ca="1">IF(RTD("tos.rtd",,$A$2,"."&amp;O$2&amp;O$1&amp;"C"&amp;$A37)="N/A",0,RTD("tos.rtd",,$A$2,"."&amp;O$2&amp;O$1&amp;"C"&amp;$A37))-IF(RTD("tos.rtd",,$A$2,"."&amp;O$2&amp;O$1&amp;"P"&amp;$A37)="N/A",0,RTD("tos.rtd",,$A$2,"."&amp;O$2&amp;O$1&amp;"P"&amp;$A37))</f>
        <v>-353</v>
      </c>
      <c r="P37" s="91">
        <f ca="1">IF(RTD("tos.rtd",,$A$2,"."&amp;P$2&amp;P$1&amp;"C"&amp;$A37)="N/A",0,RTD("tos.rtd",,$A$2,"."&amp;P$2&amp;P$1&amp;"C"&amp;$A37))-IF(RTD("tos.rtd",,$A$2,"."&amp;P$2&amp;P$1&amp;"P"&amp;$A37)="N/A",0,RTD("tos.rtd",,$A$2,"."&amp;P$2&amp;P$1&amp;"P"&amp;$A37))</f>
        <v>-21</v>
      </c>
      <c r="Q37" s="91">
        <f ca="1">IF(RTD("tos.rtd",,$A$2,"."&amp;Q$2&amp;Q$1&amp;"C"&amp;$A37)="N/A",0,RTD("tos.rtd",,$A$2,"."&amp;Q$2&amp;Q$1&amp;"C"&amp;$A37))-IF(RTD("tos.rtd",,$A$2,"."&amp;Q$2&amp;Q$1&amp;"P"&amp;$A37)="N/A",0,RTD("tos.rtd",,$A$2,"."&amp;Q$2&amp;Q$1&amp;"P"&amp;$A37))</f>
        <v>-1301</v>
      </c>
      <c r="R37" s="91">
        <f ca="1">IF(RTD("tos.rtd",,$A$2,"."&amp;R$2&amp;R$1&amp;"C"&amp;$A37)="N/A",0,RTD("tos.rtd",,$A$2,"."&amp;R$2&amp;R$1&amp;"C"&amp;$A37))-IF(RTD("tos.rtd",,$A$2,"."&amp;R$2&amp;R$1&amp;"P"&amp;$A37)="N/A",0,RTD("tos.rtd",,$A$2,"."&amp;R$2&amp;R$1&amp;"P"&amp;$A37))</f>
        <v>-107</v>
      </c>
      <c r="S37" s="91">
        <f ca="1">IF(RTD("tos.rtd",,$A$2,"."&amp;S$2&amp;S$1&amp;"C"&amp;$A37)="N/A",0,RTD("tos.rtd",,$A$2,"."&amp;S$2&amp;S$1&amp;"C"&amp;$A37))-IF(RTD("tos.rtd",,$A$2,"."&amp;S$2&amp;S$1&amp;"P"&amp;$A37)="N/A",0,RTD("tos.rtd",,$A$2,"."&amp;S$2&amp;S$1&amp;"P"&amp;$A37))</f>
        <v>0</v>
      </c>
      <c r="T37" s="91">
        <f ca="1">IF(RTD("tos.rtd",,$A$2,"."&amp;T$2&amp;T$1&amp;"C"&amp;$A37)="N/A",0,RTD("tos.rtd",,$A$2,"."&amp;T$2&amp;T$1&amp;"C"&amp;$A37))-IF(RTD("tos.rtd",,$A$2,"."&amp;T$2&amp;T$1&amp;"P"&amp;$A37)="N/A",0,RTD("tos.rtd",,$A$2,"."&amp;T$2&amp;T$1&amp;"P"&amp;$A37))</f>
        <v>-91</v>
      </c>
      <c r="U37" s="91">
        <f ca="1">IF(RTD("tos.rtd",,$A$2,"."&amp;U$2&amp;U$1&amp;"C"&amp;$A37)="N/A",0,RTD("tos.rtd",,$A$2,"."&amp;U$2&amp;U$1&amp;"C"&amp;$A37))-IF(RTD("tos.rtd",,$A$2,"."&amp;U$2&amp;U$1&amp;"P"&amp;$A37)="N/A",0,RTD("tos.rtd",,$A$2,"."&amp;U$2&amp;U$1&amp;"P"&amp;$A37))</f>
        <v>0</v>
      </c>
      <c r="V37" s="91">
        <f ca="1">IF(RTD("tos.rtd",,$A$2,"."&amp;V$2&amp;V$1&amp;"C"&amp;$A37)="N/A",0,RTD("tos.rtd",,$A$2,"."&amp;V$2&amp;V$1&amp;"C"&amp;$A37))-IF(RTD("tos.rtd",,$A$2,"."&amp;V$2&amp;V$1&amp;"P"&amp;$A37)="N/A",0,RTD("tos.rtd",,$A$2,"."&amp;V$2&amp;V$1&amp;"P"&amp;$A37))</f>
        <v>0</v>
      </c>
      <c r="W37" s="91">
        <f ca="1">IF(RTD("tos.rtd",,$A$2,"."&amp;W$2&amp;W$1&amp;"C"&amp;$A37)="N/A",0,RTD("tos.rtd",,$A$2,"."&amp;W$2&amp;W$1&amp;"C"&amp;$A37))-IF(RTD("tos.rtd",,$A$2,"."&amp;W$2&amp;W$1&amp;"P"&amp;$A37)="N/A",0,RTD("tos.rtd",,$A$2,"."&amp;W$2&amp;W$1&amp;"P"&amp;$A37))</f>
        <v>-575</v>
      </c>
      <c r="X37" s="91">
        <f ca="1">IF(RTD("tos.rtd",,$A$2,"."&amp;X$2&amp;X$1&amp;"C"&amp;$A37)="N/A",0,RTD("tos.rtd",,$A$2,"."&amp;X$2&amp;X$1&amp;"C"&amp;$A37))-IF(RTD("tos.rtd",,$A$2,"."&amp;X$2&amp;X$1&amp;"P"&amp;$A37)="N/A",0,RTD("tos.rtd",,$A$2,"."&amp;X$2&amp;X$1&amp;"P"&amp;$A37))</f>
        <v>-70</v>
      </c>
      <c r="Y37" s="98">
        <f t="shared" ca="1" si="3"/>
        <v>-21245</v>
      </c>
    </row>
    <row r="38" spans="1:25" x14ac:dyDescent="0.25">
      <c r="A38" s="93">
        <f>+Hoja1!A37</f>
        <v>549</v>
      </c>
      <c r="B38" s="91">
        <f ca="1">IF(RTD("tos.rtd",,$A$2,"."&amp;B$2&amp;B$1&amp;"C"&amp;$A38)="N/A",0,RTD("tos.rtd",,$A$2,"."&amp;B$2&amp;B$1&amp;"C"&amp;$A38))-IF(RTD("tos.rtd",,$A$2,"."&amp;B$2&amp;B$1&amp;"P"&amp;$A38)="N/A",0,RTD("tos.rtd",,$A$2,"."&amp;B$2&amp;B$1&amp;"P"&amp;$A38))</f>
        <v>0</v>
      </c>
      <c r="C38" s="91">
        <f ca="1">IF(RTD("tos.rtd",,$A$2,"."&amp;C$2&amp;C$1&amp;"C"&amp;$A38)="N/A",0,RTD("tos.rtd",,$A$2,"."&amp;C$2&amp;C$1&amp;"C"&amp;$A38))-IF(RTD("tos.rtd",,$A$2,"."&amp;C$2&amp;C$1&amp;"P"&amp;$A38)="N/A",0,RTD("tos.rtd",,$A$2,"."&amp;C$2&amp;C$1&amp;"P"&amp;$A38))</f>
        <v>0</v>
      </c>
      <c r="D38" s="91">
        <f ca="1">IF(RTD("tos.rtd",,$A$2,"."&amp;D$2&amp;D$1&amp;"C"&amp;$A38)="N/A",0,RTD("tos.rtd",,$A$2,"."&amp;D$2&amp;D$1&amp;"C"&amp;$A38))-IF(RTD("tos.rtd",,$A$2,"."&amp;D$2&amp;D$1&amp;"P"&amp;$A38)="N/A",0,RTD("tos.rtd",,$A$2,"."&amp;D$2&amp;D$1&amp;"P"&amp;$A38))</f>
        <v>0</v>
      </c>
      <c r="E38" s="91">
        <f ca="1">IF(RTD("tos.rtd",,$A$2,"."&amp;E$2&amp;E$1&amp;"C"&amp;$A38)="N/A",0,RTD("tos.rtd",,$A$2,"."&amp;E$2&amp;E$1&amp;"C"&amp;$A38))-IF(RTD("tos.rtd",,$A$2,"."&amp;E$2&amp;E$1&amp;"P"&amp;$A38)="N/A",0,RTD("tos.rtd",,$A$2,"."&amp;E$2&amp;E$1&amp;"P"&amp;$A38))</f>
        <v>0</v>
      </c>
      <c r="F38" s="91">
        <f ca="1">IF(RTD("tos.rtd",,$A$2,"."&amp;F$2&amp;F$1&amp;"C"&amp;$A38)="N/A",0,RTD("tos.rtd",,$A$2,"."&amp;F$2&amp;F$1&amp;"C"&amp;$A38))-IF(RTD("tos.rtd",,$A$2,"."&amp;F$2&amp;F$1&amp;"P"&amp;$A38)="N/A",0,RTD("tos.rtd",,$A$2,"."&amp;F$2&amp;F$1&amp;"P"&amp;$A38))</f>
        <v>0</v>
      </c>
      <c r="G38" s="91">
        <f ca="1">IF(RTD("tos.rtd",,$A$2,"."&amp;G$2&amp;G$1&amp;"C"&amp;$A38)="N/A",0,RTD("tos.rtd",,$A$2,"."&amp;G$2&amp;G$1&amp;"C"&amp;$A38))-IF(RTD("tos.rtd",,$A$2,"."&amp;G$2&amp;G$1&amp;"P"&amp;$A38)="N/A",0,RTD("tos.rtd",,$A$2,"."&amp;G$2&amp;G$1&amp;"P"&amp;$A38))</f>
        <v>0</v>
      </c>
      <c r="H38" s="91">
        <f ca="1">IF(RTD("tos.rtd",,$A$2,"."&amp;H$2&amp;H$1&amp;"C"&amp;$A38)="N/A",0,RTD("tos.rtd",,$A$2,"."&amp;H$2&amp;H$1&amp;"C"&amp;$A38))-IF(RTD("tos.rtd",,$A$2,"."&amp;H$2&amp;H$1&amp;"P"&amp;$A38)="N/A",0,RTD("tos.rtd",,$A$2,"."&amp;H$2&amp;H$1&amp;"P"&amp;$A38))</f>
        <v>-226</v>
      </c>
      <c r="I38" s="91">
        <f ca="1">IF(RTD("tos.rtd",,$A$2,"."&amp;I$2&amp;I$1&amp;"C"&amp;$A38)="N/A",0,RTD("tos.rtd",,$A$2,"."&amp;I$2&amp;I$1&amp;"C"&amp;$A38))-IF(RTD("tos.rtd",,$A$2,"."&amp;I$2&amp;I$1&amp;"P"&amp;$A38)="N/A",0,RTD("tos.rtd",,$A$2,"."&amp;I$2&amp;I$1&amp;"P"&amp;$A38))</f>
        <v>-66</v>
      </c>
      <c r="J38" s="91">
        <f ca="1">IF(RTD("tos.rtd",,$A$2,"."&amp;J$2&amp;J$1&amp;"C"&amp;$A38)="N/A",0,RTD("tos.rtd",,$A$2,"."&amp;J$2&amp;J$1&amp;"C"&amp;$A38))-IF(RTD("tos.rtd",,$A$2,"."&amp;J$2&amp;J$1&amp;"P"&amp;$A38)="N/A",0,RTD("tos.rtd",,$A$2,"."&amp;J$2&amp;J$1&amp;"P"&amp;$A38))</f>
        <v>-189</v>
      </c>
      <c r="K38" s="91">
        <f ca="1">IF(RTD("tos.rtd",,$A$2,"."&amp;K$2&amp;K$1&amp;"C"&amp;$A38)="N/A",0,RTD("tos.rtd",,$A$2,"."&amp;K$2&amp;K$1&amp;"C"&amp;$A38))-IF(RTD("tos.rtd",,$A$2,"."&amp;K$2&amp;K$1&amp;"P"&amp;$A38)="N/A",0,RTD("tos.rtd",,$A$2,"."&amp;K$2&amp;K$1&amp;"P"&amp;$A38))</f>
        <v>-456</v>
      </c>
      <c r="L38" s="91">
        <f ca="1">IF(RTD("tos.rtd",,$A$2,"."&amp;L$2&amp;L$1&amp;"C"&amp;$A38)="N/A",0,RTD("tos.rtd",,$A$2,"."&amp;L$2&amp;L$1&amp;"C"&amp;$A38))-IF(RTD("tos.rtd",,$A$2,"."&amp;L$2&amp;L$1&amp;"P"&amp;$A38)="N/A",0,RTD("tos.rtd",,$A$2,"."&amp;L$2&amp;L$1&amp;"P"&amp;$A38))</f>
        <v>-15</v>
      </c>
      <c r="M38" s="91">
        <f ca="1">IF(RTD("tos.rtd",,$A$2,"."&amp;M$2&amp;M$1&amp;"C"&amp;$A38)="N/A",0,RTD("tos.rtd",,$A$2,"."&amp;M$2&amp;M$1&amp;"C"&amp;$A38))-IF(RTD("tos.rtd",,$A$2,"."&amp;M$2&amp;M$1&amp;"P"&amp;$A38)="N/A",0,RTD("tos.rtd",,$A$2,"."&amp;M$2&amp;M$1&amp;"P"&amp;$A38))</f>
        <v>0</v>
      </c>
      <c r="N38" s="91">
        <f ca="1">IF(RTD("tos.rtd",,$A$2,"."&amp;N$2&amp;N$1&amp;"C"&amp;$A38)="N/A",0,RTD("tos.rtd",,$A$2,"."&amp;N$2&amp;N$1&amp;"C"&amp;$A38))-IF(RTD("tos.rtd",,$A$2,"."&amp;N$2&amp;N$1&amp;"P"&amp;$A38)="N/A",0,RTD("tos.rtd",,$A$2,"."&amp;N$2&amp;N$1&amp;"P"&amp;$A38))</f>
        <v>-4</v>
      </c>
      <c r="O38" s="91">
        <f ca="1">IF(RTD("tos.rtd",,$A$2,"."&amp;O$2&amp;O$1&amp;"C"&amp;$A38)="N/A",0,RTD("tos.rtd",,$A$2,"."&amp;O$2&amp;O$1&amp;"C"&amp;$A38))-IF(RTD("tos.rtd",,$A$2,"."&amp;O$2&amp;O$1&amp;"P"&amp;$A38)="N/A",0,RTD("tos.rtd",,$A$2,"."&amp;O$2&amp;O$1&amp;"P"&amp;$A38))</f>
        <v>-10</v>
      </c>
      <c r="P38" s="91">
        <f ca="1">IF(RTD("tos.rtd",,$A$2,"."&amp;P$2&amp;P$1&amp;"C"&amp;$A38)="N/A",0,RTD("tos.rtd",,$A$2,"."&amp;P$2&amp;P$1&amp;"C"&amp;$A38))-IF(RTD("tos.rtd",,$A$2,"."&amp;P$2&amp;P$1&amp;"P"&amp;$A38)="N/A",0,RTD("tos.rtd",,$A$2,"."&amp;P$2&amp;P$1&amp;"P"&amp;$A38))</f>
        <v>0</v>
      </c>
      <c r="Q38" s="91">
        <f ca="1">IF(RTD("tos.rtd",,$A$2,"."&amp;Q$2&amp;Q$1&amp;"C"&amp;$A38)="N/A",0,RTD("tos.rtd",,$A$2,"."&amp;Q$2&amp;Q$1&amp;"C"&amp;$A38))-IF(RTD("tos.rtd",,$A$2,"."&amp;Q$2&amp;Q$1&amp;"P"&amp;$A38)="N/A",0,RTD("tos.rtd",,$A$2,"."&amp;Q$2&amp;Q$1&amp;"P"&amp;$A38))</f>
        <v>0</v>
      </c>
      <c r="R38" s="91">
        <f ca="1">IF(RTD("tos.rtd",,$A$2,"."&amp;R$2&amp;R$1&amp;"C"&amp;$A38)="N/A",0,RTD("tos.rtd",,$A$2,"."&amp;R$2&amp;R$1&amp;"C"&amp;$A38))-IF(RTD("tos.rtd",,$A$2,"."&amp;R$2&amp;R$1&amp;"P"&amp;$A38)="N/A",0,RTD("tos.rtd",,$A$2,"."&amp;R$2&amp;R$1&amp;"P"&amp;$A38))</f>
        <v>-1</v>
      </c>
      <c r="S38" s="91">
        <f ca="1">IF(RTD("tos.rtd",,$A$2,"."&amp;S$2&amp;S$1&amp;"C"&amp;$A38)="N/A",0,RTD("tos.rtd",,$A$2,"."&amp;S$2&amp;S$1&amp;"C"&amp;$A38))-IF(RTD("tos.rtd",,$A$2,"."&amp;S$2&amp;S$1&amp;"P"&amp;$A38)="N/A",0,RTD("tos.rtd",,$A$2,"."&amp;S$2&amp;S$1&amp;"P"&amp;$A38))</f>
        <v>0</v>
      </c>
      <c r="T38" s="91">
        <f ca="1">IF(RTD("tos.rtd",,$A$2,"."&amp;T$2&amp;T$1&amp;"C"&amp;$A38)="N/A",0,RTD("tos.rtd",,$A$2,"."&amp;T$2&amp;T$1&amp;"C"&amp;$A38))-IF(RTD("tos.rtd",,$A$2,"."&amp;T$2&amp;T$1&amp;"P"&amp;$A38)="N/A",0,RTD("tos.rtd",,$A$2,"."&amp;T$2&amp;T$1&amp;"P"&amp;$A38))</f>
        <v>-3</v>
      </c>
      <c r="U38" s="91">
        <f ca="1">IF(RTD("tos.rtd",,$A$2,"."&amp;U$2&amp;U$1&amp;"C"&amp;$A38)="N/A",0,RTD("tos.rtd",,$A$2,"."&amp;U$2&amp;U$1&amp;"C"&amp;$A38))-IF(RTD("tos.rtd",,$A$2,"."&amp;U$2&amp;U$1&amp;"P"&amp;$A38)="N/A",0,RTD("tos.rtd",,$A$2,"."&amp;U$2&amp;U$1&amp;"P"&amp;$A38))</f>
        <v>0</v>
      </c>
      <c r="V38" s="91">
        <f ca="1">IF(RTD("tos.rtd",,$A$2,"."&amp;V$2&amp;V$1&amp;"C"&amp;$A38)="N/A",0,RTD("tos.rtd",,$A$2,"."&amp;V$2&amp;V$1&amp;"C"&amp;$A38))-IF(RTD("tos.rtd",,$A$2,"."&amp;V$2&amp;V$1&amp;"P"&amp;$A38)="N/A",0,RTD("tos.rtd",,$A$2,"."&amp;V$2&amp;V$1&amp;"P"&amp;$A38))</f>
        <v>0</v>
      </c>
      <c r="W38" s="91">
        <f ca="1">IF(RTD("tos.rtd",,$A$2,"."&amp;W$2&amp;W$1&amp;"C"&amp;$A38)="N/A",0,RTD("tos.rtd",,$A$2,"."&amp;W$2&amp;W$1&amp;"C"&amp;$A38))-IF(RTD("tos.rtd",,$A$2,"."&amp;W$2&amp;W$1&amp;"P"&amp;$A38)="N/A",0,RTD("tos.rtd",,$A$2,"."&amp;W$2&amp;W$1&amp;"P"&amp;$A38))</f>
        <v>0</v>
      </c>
      <c r="X38" s="91">
        <f ca="1">IF(RTD("tos.rtd",,$A$2,"."&amp;X$2&amp;X$1&amp;"C"&amp;$A38)="N/A",0,RTD("tos.rtd",,$A$2,"."&amp;X$2&amp;X$1&amp;"C"&amp;$A38))-IF(RTD("tos.rtd",,$A$2,"."&amp;X$2&amp;X$1&amp;"P"&amp;$A38)="N/A",0,RTD("tos.rtd",,$A$2,"."&amp;X$2&amp;X$1&amp;"P"&amp;$A38))</f>
        <v>-10</v>
      </c>
      <c r="Y38" s="98">
        <f t="shared" ca="1" si="3"/>
        <v>-980</v>
      </c>
    </row>
    <row r="39" spans="1:25" x14ac:dyDescent="0.25">
      <c r="A39" s="93">
        <f>+Hoja1!A38</f>
        <v>548</v>
      </c>
      <c r="B39" s="91">
        <f ca="1">IF(RTD("tos.rtd",,$A$2,"."&amp;B$2&amp;B$1&amp;"C"&amp;$A39)="N/A",0,RTD("tos.rtd",,$A$2,"."&amp;B$2&amp;B$1&amp;"C"&amp;$A39))-IF(RTD("tos.rtd",,$A$2,"."&amp;B$2&amp;B$1&amp;"P"&amp;$A39)="N/A",0,RTD("tos.rtd",,$A$2,"."&amp;B$2&amp;B$1&amp;"P"&amp;$A39))</f>
        <v>0</v>
      </c>
      <c r="C39" s="91">
        <f ca="1">IF(RTD("tos.rtd",,$A$2,"."&amp;C$2&amp;C$1&amp;"C"&amp;$A39)="N/A",0,RTD("tos.rtd",,$A$2,"."&amp;C$2&amp;C$1&amp;"C"&amp;$A39))-IF(RTD("tos.rtd",,$A$2,"."&amp;C$2&amp;C$1&amp;"P"&amp;$A39)="N/A",0,RTD("tos.rtd",,$A$2,"."&amp;C$2&amp;C$1&amp;"P"&amp;$A39))</f>
        <v>0</v>
      </c>
      <c r="D39" s="91">
        <f ca="1">IF(RTD("tos.rtd",,$A$2,"."&amp;D$2&amp;D$1&amp;"C"&amp;$A39)="N/A",0,RTD("tos.rtd",,$A$2,"."&amp;D$2&amp;D$1&amp;"C"&amp;$A39))-IF(RTD("tos.rtd",,$A$2,"."&amp;D$2&amp;D$1&amp;"P"&amp;$A39)="N/A",0,RTD("tos.rtd",,$A$2,"."&amp;D$2&amp;D$1&amp;"P"&amp;$A39))</f>
        <v>0</v>
      </c>
      <c r="E39" s="91">
        <f ca="1">IF(RTD("tos.rtd",,$A$2,"."&amp;E$2&amp;E$1&amp;"C"&amp;$A39)="N/A",0,RTD("tos.rtd",,$A$2,"."&amp;E$2&amp;E$1&amp;"C"&amp;$A39))-IF(RTD("tos.rtd",,$A$2,"."&amp;E$2&amp;E$1&amp;"P"&amp;$A39)="N/A",0,RTD("tos.rtd",,$A$2,"."&amp;E$2&amp;E$1&amp;"P"&amp;$A39))</f>
        <v>0</v>
      </c>
      <c r="F39" s="91">
        <f ca="1">IF(RTD("tos.rtd",,$A$2,"."&amp;F$2&amp;F$1&amp;"C"&amp;$A39)="N/A",0,RTD("tos.rtd",,$A$2,"."&amp;F$2&amp;F$1&amp;"C"&amp;$A39))-IF(RTD("tos.rtd",,$A$2,"."&amp;F$2&amp;F$1&amp;"P"&amp;$A39)="N/A",0,RTD("tos.rtd",,$A$2,"."&amp;F$2&amp;F$1&amp;"P"&amp;$A39))</f>
        <v>0</v>
      </c>
      <c r="G39" s="91">
        <f ca="1">IF(RTD("tos.rtd",,$A$2,"."&amp;G$2&amp;G$1&amp;"C"&amp;$A39)="N/A",0,RTD("tos.rtd",,$A$2,"."&amp;G$2&amp;G$1&amp;"C"&amp;$A39))-IF(RTD("tos.rtd",,$A$2,"."&amp;G$2&amp;G$1&amp;"P"&amp;$A39)="N/A",0,RTD("tos.rtd",,$A$2,"."&amp;G$2&amp;G$1&amp;"P"&amp;$A39))</f>
        <v>0</v>
      </c>
      <c r="H39" s="91">
        <f ca="1">IF(RTD("tos.rtd",,$A$2,"."&amp;H$2&amp;H$1&amp;"C"&amp;$A39)="N/A",0,RTD("tos.rtd",,$A$2,"."&amp;H$2&amp;H$1&amp;"C"&amp;$A39))-IF(RTD("tos.rtd",,$A$2,"."&amp;H$2&amp;H$1&amp;"P"&amp;$A39)="N/A",0,RTD("tos.rtd",,$A$2,"."&amp;H$2&amp;H$1&amp;"P"&amp;$A39))</f>
        <v>-147</v>
      </c>
      <c r="I39" s="91">
        <f ca="1">IF(RTD("tos.rtd",,$A$2,"."&amp;I$2&amp;I$1&amp;"C"&amp;$A39)="N/A",0,RTD("tos.rtd",,$A$2,"."&amp;I$2&amp;I$1&amp;"C"&amp;$A39))-IF(RTD("tos.rtd",,$A$2,"."&amp;I$2&amp;I$1&amp;"P"&amp;$A39)="N/A",0,RTD("tos.rtd",,$A$2,"."&amp;I$2&amp;I$1&amp;"P"&amp;$A39))</f>
        <v>-39</v>
      </c>
      <c r="J39" s="91">
        <f ca="1">IF(RTD("tos.rtd",,$A$2,"."&amp;J$2&amp;J$1&amp;"C"&amp;$A39)="N/A",0,RTD("tos.rtd",,$A$2,"."&amp;J$2&amp;J$1&amp;"C"&amp;$A39))-IF(RTD("tos.rtd",,$A$2,"."&amp;J$2&amp;J$1&amp;"P"&amp;$A39)="N/A",0,RTD("tos.rtd",,$A$2,"."&amp;J$2&amp;J$1&amp;"P"&amp;$A39))</f>
        <v>-15</v>
      </c>
      <c r="K39" s="91">
        <f ca="1">IF(RTD("tos.rtd",,$A$2,"."&amp;K$2&amp;K$1&amp;"C"&amp;$A39)="N/A",0,RTD("tos.rtd",,$A$2,"."&amp;K$2&amp;K$1&amp;"C"&amp;$A39))-IF(RTD("tos.rtd",,$A$2,"."&amp;K$2&amp;K$1&amp;"P"&amp;$A39)="N/A",0,RTD("tos.rtd",,$A$2,"."&amp;K$2&amp;K$1&amp;"P"&amp;$A39))</f>
        <v>-75</v>
      </c>
      <c r="L39" s="91">
        <f ca="1">IF(RTD("tos.rtd",,$A$2,"."&amp;L$2&amp;L$1&amp;"C"&amp;$A39)="N/A",0,RTD("tos.rtd",,$A$2,"."&amp;L$2&amp;L$1&amp;"C"&amp;$A39))-IF(RTD("tos.rtd",,$A$2,"."&amp;L$2&amp;L$1&amp;"P"&amp;$A39)="N/A",0,RTD("tos.rtd",,$A$2,"."&amp;L$2&amp;L$1&amp;"P"&amp;$A39))</f>
        <v>-4</v>
      </c>
      <c r="M39" s="91">
        <f ca="1">IF(RTD("tos.rtd",,$A$2,"."&amp;M$2&amp;M$1&amp;"C"&amp;$A39)="N/A",0,RTD("tos.rtd",,$A$2,"."&amp;M$2&amp;M$1&amp;"C"&amp;$A39))-IF(RTD("tos.rtd",,$A$2,"."&amp;M$2&amp;M$1&amp;"P"&amp;$A39)="N/A",0,RTD("tos.rtd",,$A$2,"."&amp;M$2&amp;M$1&amp;"P"&amp;$A39))</f>
        <v>0</v>
      </c>
      <c r="N39" s="91">
        <f ca="1">IF(RTD("tos.rtd",,$A$2,"."&amp;N$2&amp;N$1&amp;"C"&amp;$A39)="N/A",0,RTD("tos.rtd",,$A$2,"."&amp;N$2&amp;N$1&amp;"C"&amp;$A39))-IF(RTD("tos.rtd",,$A$2,"."&amp;N$2&amp;N$1&amp;"P"&amp;$A39)="N/A",0,RTD("tos.rtd",,$A$2,"."&amp;N$2&amp;N$1&amp;"P"&amp;$A39))</f>
        <v>1</v>
      </c>
      <c r="O39" s="91">
        <f ca="1">IF(RTD("tos.rtd",,$A$2,"."&amp;O$2&amp;O$1&amp;"C"&amp;$A39)="N/A",0,RTD("tos.rtd",,$A$2,"."&amp;O$2&amp;O$1&amp;"C"&amp;$A39))-IF(RTD("tos.rtd",,$A$2,"."&amp;O$2&amp;O$1&amp;"P"&amp;$A39)="N/A",0,RTD("tos.rtd",,$A$2,"."&amp;O$2&amp;O$1&amp;"P"&amp;$A39))</f>
        <v>-52</v>
      </c>
      <c r="P39" s="91">
        <f ca="1">IF(RTD("tos.rtd",,$A$2,"."&amp;P$2&amp;P$1&amp;"C"&amp;$A39)="N/A",0,RTD("tos.rtd",,$A$2,"."&amp;P$2&amp;P$1&amp;"C"&amp;$A39))-IF(RTD("tos.rtd",,$A$2,"."&amp;P$2&amp;P$1&amp;"P"&amp;$A39)="N/A",0,RTD("tos.rtd",,$A$2,"."&amp;P$2&amp;P$1&amp;"P"&amp;$A39))</f>
        <v>0</v>
      </c>
      <c r="Q39" s="91">
        <f ca="1">IF(RTD("tos.rtd",,$A$2,"."&amp;Q$2&amp;Q$1&amp;"C"&amp;$A39)="N/A",0,RTD("tos.rtd",,$A$2,"."&amp;Q$2&amp;Q$1&amp;"C"&amp;$A39))-IF(RTD("tos.rtd",,$A$2,"."&amp;Q$2&amp;Q$1&amp;"P"&amp;$A39)="N/A",0,RTD("tos.rtd",,$A$2,"."&amp;Q$2&amp;Q$1&amp;"P"&amp;$A39))</f>
        <v>0</v>
      </c>
      <c r="R39" s="91">
        <f ca="1">IF(RTD("tos.rtd",,$A$2,"."&amp;R$2&amp;R$1&amp;"C"&amp;$A39)="N/A",0,RTD("tos.rtd",,$A$2,"."&amp;R$2&amp;R$1&amp;"C"&amp;$A39))-IF(RTD("tos.rtd",,$A$2,"."&amp;R$2&amp;R$1&amp;"P"&amp;$A39)="N/A",0,RTD("tos.rtd",,$A$2,"."&amp;R$2&amp;R$1&amp;"P"&amp;$A39))</f>
        <v>-1</v>
      </c>
      <c r="S39" s="91">
        <f ca="1">IF(RTD("tos.rtd",,$A$2,"."&amp;S$2&amp;S$1&amp;"C"&amp;$A39)="N/A",0,RTD("tos.rtd",,$A$2,"."&amp;S$2&amp;S$1&amp;"C"&amp;$A39))-IF(RTD("tos.rtd",,$A$2,"."&amp;S$2&amp;S$1&amp;"P"&amp;$A39)="N/A",0,RTD("tos.rtd",,$A$2,"."&amp;S$2&amp;S$1&amp;"P"&amp;$A39))</f>
        <v>0</v>
      </c>
      <c r="T39" s="91">
        <f ca="1">IF(RTD("tos.rtd",,$A$2,"."&amp;T$2&amp;T$1&amp;"C"&amp;$A39)="N/A",0,RTD("tos.rtd",,$A$2,"."&amp;T$2&amp;T$1&amp;"C"&amp;$A39))-IF(RTD("tos.rtd",,$A$2,"."&amp;T$2&amp;T$1&amp;"P"&amp;$A39)="N/A",0,RTD("tos.rtd",,$A$2,"."&amp;T$2&amp;T$1&amp;"P"&amp;$A39))</f>
        <v>0</v>
      </c>
      <c r="U39" s="91">
        <f ca="1">IF(RTD("tos.rtd",,$A$2,"."&amp;U$2&amp;U$1&amp;"C"&amp;$A39)="N/A",0,RTD("tos.rtd",,$A$2,"."&amp;U$2&amp;U$1&amp;"C"&amp;$A39))-IF(RTD("tos.rtd",,$A$2,"."&amp;U$2&amp;U$1&amp;"P"&amp;$A39)="N/A",0,RTD("tos.rtd",,$A$2,"."&amp;U$2&amp;U$1&amp;"P"&amp;$A39))</f>
        <v>0</v>
      </c>
      <c r="V39" s="91">
        <f ca="1">IF(RTD("tos.rtd",,$A$2,"."&amp;V$2&amp;V$1&amp;"C"&amp;$A39)="N/A",0,RTD("tos.rtd",,$A$2,"."&amp;V$2&amp;V$1&amp;"C"&amp;$A39))-IF(RTD("tos.rtd",,$A$2,"."&amp;V$2&amp;V$1&amp;"P"&amp;$A39)="N/A",0,RTD("tos.rtd",,$A$2,"."&amp;V$2&amp;V$1&amp;"P"&amp;$A39))</f>
        <v>0</v>
      </c>
      <c r="W39" s="91">
        <f ca="1">IF(RTD("tos.rtd",,$A$2,"."&amp;W$2&amp;W$1&amp;"C"&amp;$A39)="N/A",0,RTD("tos.rtd",,$A$2,"."&amp;W$2&amp;W$1&amp;"C"&amp;$A39))-IF(RTD("tos.rtd",,$A$2,"."&amp;W$2&amp;W$1&amp;"P"&amp;$A39)="N/A",0,RTD("tos.rtd",,$A$2,"."&amp;W$2&amp;W$1&amp;"P"&amp;$A39))</f>
        <v>0</v>
      </c>
      <c r="X39" s="91">
        <f ca="1">IF(RTD("tos.rtd",,$A$2,"."&amp;X$2&amp;X$1&amp;"C"&amp;$A39)="N/A",0,RTD("tos.rtd",,$A$2,"."&amp;X$2&amp;X$1&amp;"C"&amp;$A39))-IF(RTD("tos.rtd",,$A$2,"."&amp;X$2&amp;X$1&amp;"P"&amp;$A39)="N/A",0,RTD("tos.rtd",,$A$2,"."&amp;X$2&amp;X$1&amp;"P"&amp;$A39))</f>
        <v>0</v>
      </c>
      <c r="Y39" s="98">
        <f t="shared" ca="1" si="3"/>
        <v>-332</v>
      </c>
    </row>
    <row r="40" spans="1:25" x14ac:dyDescent="0.25">
      <c r="A40" s="93">
        <f>+Hoja1!A39</f>
        <v>1</v>
      </c>
    </row>
    <row r="41" spans="1:25" x14ac:dyDescent="0.25">
      <c r="A41" s="93">
        <f>+Hoja1!A40</f>
        <v>0</v>
      </c>
    </row>
    <row r="42" spans="1:25" x14ac:dyDescent="0.25">
      <c r="A42" s="93">
        <f>+Hoja1!A41</f>
        <v>0</v>
      </c>
      <c r="B42" s="92" t="str">
        <f ca="1">+B1</f>
        <v/>
      </c>
      <c r="C42" s="92" t="str">
        <f t="shared" ref="C42:X42" ca="1" si="4">+C1</f>
        <v/>
      </c>
      <c r="D42" s="92" t="str">
        <f t="shared" ca="1" si="4"/>
        <v/>
      </c>
      <c r="E42" s="92" t="str">
        <f t="shared" ca="1" si="4"/>
        <v/>
      </c>
      <c r="F42" s="92" t="str">
        <f t="shared" ca="1" si="4"/>
        <v/>
      </c>
      <c r="G42" s="92" t="str">
        <f t="shared" ca="1" si="4"/>
        <v/>
      </c>
      <c r="H42" s="92" t="str">
        <f t="shared" ca="1" si="4"/>
        <v>250523</v>
      </c>
      <c r="I42" s="92" t="str">
        <f t="shared" ca="1" si="4"/>
        <v>250530</v>
      </c>
      <c r="J42" s="92" t="str">
        <f t="shared" ca="1" si="4"/>
        <v>250606</v>
      </c>
      <c r="K42" s="92" t="str">
        <f t="shared" ca="1" si="4"/>
        <v>250620</v>
      </c>
      <c r="L42" s="92" t="str">
        <f t="shared" ca="1" si="4"/>
        <v>250630</v>
      </c>
      <c r="M42" s="92" t="str">
        <f t="shared" ca="1" si="4"/>
        <v>250718</v>
      </c>
      <c r="N42" s="92" t="str">
        <f t="shared" ca="1" si="4"/>
        <v>250731</v>
      </c>
      <c r="O42" s="92" t="str">
        <f t="shared" ca="1" si="4"/>
        <v>250815</v>
      </c>
      <c r="P42" s="92" t="str">
        <f t="shared" ca="1" si="4"/>
        <v>250829</v>
      </c>
      <c r="Q42" s="92" t="str">
        <f t="shared" ca="1" si="4"/>
        <v>250919</v>
      </c>
      <c r="R42" s="92" t="str">
        <f t="shared" ca="1" si="4"/>
        <v>250930</v>
      </c>
      <c r="S42" s="92" t="str">
        <f t="shared" ca="1" si="4"/>
        <v>251017</v>
      </c>
      <c r="T42" s="92" t="str">
        <f t="shared" ca="1" si="4"/>
        <v>251031</v>
      </c>
      <c r="U42" s="92" t="str">
        <f t="shared" ca="1" si="4"/>
        <v>251121</v>
      </c>
      <c r="V42" s="92" t="str">
        <f t="shared" ca="1" si="4"/>
        <v>251128</v>
      </c>
      <c r="W42" s="92" t="str">
        <f t="shared" ca="1" si="4"/>
        <v>251219</v>
      </c>
      <c r="X42" s="92" t="str">
        <f t="shared" ca="1" si="4"/>
        <v>251231</v>
      </c>
    </row>
    <row r="43" spans="1:25" x14ac:dyDescent="0.25">
      <c r="A43" s="93">
        <f>+Hoja1!A42</f>
        <v>0</v>
      </c>
      <c r="B43" s="92" t="str">
        <f>+A44</f>
        <v>QQQ</v>
      </c>
      <c r="C43" s="92" t="str">
        <f>+B43</f>
        <v>QQQ</v>
      </c>
      <c r="D43" s="92" t="str">
        <f t="shared" ref="D43:L43" si="5">+C43</f>
        <v>QQQ</v>
      </c>
      <c r="E43" s="92" t="str">
        <f t="shared" si="5"/>
        <v>QQQ</v>
      </c>
      <c r="F43" s="92" t="str">
        <f t="shared" si="5"/>
        <v>QQQ</v>
      </c>
      <c r="G43" s="92" t="str">
        <f t="shared" si="5"/>
        <v>QQQ</v>
      </c>
      <c r="H43" s="92" t="str">
        <f t="shared" si="5"/>
        <v>QQQ</v>
      </c>
      <c r="I43" s="92" t="str">
        <f t="shared" si="5"/>
        <v>QQQ</v>
      </c>
      <c r="J43" s="92" t="str">
        <f t="shared" si="5"/>
        <v>QQQ</v>
      </c>
      <c r="K43" s="92" t="str">
        <f t="shared" si="5"/>
        <v>QQQ</v>
      </c>
      <c r="L43" s="92" t="str">
        <f t="shared" si="5"/>
        <v>QQQ</v>
      </c>
      <c r="M43" s="92" t="str">
        <f t="shared" ref="M43:X43" si="6">+K43</f>
        <v>QQQ</v>
      </c>
      <c r="N43" s="92" t="str">
        <f t="shared" si="6"/>
        <v>QQQ</v>
      </c>
      <c r="O43" s="92" t="str">
        <f t="shared" si="6"/>
        <v>QQQ</v>
      </c>
      <c r="P43" s="92" t="str">
        <f t="shared" si="6"/>
        <v>QQQ</v>
      </c>
      <c r="Q43" s="92" t="str">
        <f t="shared" si="6"/>
        <v>QQQ</v>
      </c>
      <c r="R43" s="92" t="str">
        <f t="shared" si="6"/>
        <v>QQQ</v>
      </c>
      <c r="S43" s="92" t="str">
        <f t="shared" si="6"/>
        <v>QQQ</v>
      </c>
      <c r="T43" s="92" t="str">
        <f t="shared" si="6"/>
        <v>QQQ</v>
      </c>
      <c r="U43" s="92" t="str">
        <f t="shared" si="6"/>
        <v>QQQ</v>
      </c>
      <c r="V43" s="92" t="str">
        <f t="shared" si="6"/>
        <v>QQQ</v>
      </c>
      <c r="W43" s="92" t="str">
        <f t="shared" si="6"/>
        <v>QQQ</v>
      </c>
      <c r="X43" s="92" t="str">
        <f t="shared" si="6"/>
        <v>QQQ</v>
      </c>
    </row>
    <row r="44" spans="1:25" x14ac:dyDescent="0.25">
      <c r="A44" s="93" t="str">
        <f>+Hoja1!A43</f>
        <v>QQQ</v>
      </c>
      <c r="B44" s="94">
        <f>+B3</f>
        <v>45782</v>
      </c>
      <c r="C44" s="94">
        <f>+B44+1</f>
        <v>45783</v>
      </c>
      <c r="D44" s="94">
        <f>+C44+1</f>
        <v>45784</v>
      </c>
      <c r="E44" s="94">
        <f>+D44+1</f>
        <v>45785</v>
      </c>
      <c r="F44" s="94">
        <f>+E44+1</f>
        <v>45786</v>
      </c>
      <c r="G44" s="94">
        <f>+F44+7</f>
        <v>45793</v>
      </c>
      <c r="H44" s="94">
        <f>+G44+7</f>
        <v>45800</v>
      </c>
      <c r="I44" s="94">
        <f>+H44+7</f>
        <v>45807</v>
      </c>
      <c r="J44" s="94">
        <f>+I44+7</f>
        <v>45814</v>
      </c>
      <c r="K44" s="94">
        <v>45828</v>
      </c>
      <c r="L44" s="94">
        <v>45838</v>
      </c>
      <c r="M44" s="94">
        <f>+K44+7+7+7+7</f>
        <v>45856</v>
      </c>
      <c r="N44" s="94">
        <v>45869</v>
      </c>
      <c r="O44" s="94">
        <f>+M44+7+7+7+7</f>
        <v>45884</v>
      </c>
      <c r="P44" s="94">
        <v>45898</v>
      </c>
      <c r="Q44" s="94">
        <f>+O44+7+7+7+7+7</f>
        <v>45919</v>
      </c>
      <c r="R44" s="94">
        <v>45930</v>
      </c>
      <c r="S44" s="94">
        <f>+Q44+7+7+7+7</f>
        <v>45947</v>
      </c>
      <c r="T44" s="94">
        <v>45961</v>
      </c>
      <c r="U44" s="94">
        <f>+S44+7+7+7+7+7</f>
        <v>45982</v>
      </c>
      <c r="V44" s="94">
        <v>45989</v>
      </c>
      <c r="W44" s="94">
        <f>+U44+7+7+7+7</f>
        <v>46010</v>
      </c>
      <c r="X44" s="94">
        <v>46022</v>
      </c>
    </row>
    <row r="45" spans="1:25" x14ac:dyDescent="0.25">
      <c r="A45" s="93">
        <f>+Hoja1!A44</f>
        <v>495.78</v>
      </c>
      <c r="B45" s="92"/>
      <c r="C45" s="92"/>
      <c r="D45" s="92"/>
    </row>
    <row r="46" spans="1:25" x14ac:dyDescent="0.25">
      <c r="A46" s="93">
        <f>+Hoja1!A45</f>
        <v>502</v>
      </c>
      <c r="B46" s="91">
        <f ca="1">IF(RTD("tos.rtd",,$A$2,"."&amp;B$43&amp;B$1&amp;"C"&amp;$A46)="N/A",0,RTD("tos.rtd",,$A$2,"."&amp;B$43&amp;B$1&amp;"C"&amp;$A46))-IF(RTD("tos.rtd",,$A$2,"."&amp;B$43&amp;B$1&amp;"P"&amp;$A46)="N/A",0,RTD("tos.rtd",,$A$2,"."&amp;B$43&amp;B$1&amp;"P"&amp;$A46))</f>
        <v>0</v>
      </c>
      <c r="C46" s="91">
        <f ca="1">IF(RTD("tos.rtd",,$A$2,"."&amp;C$43&amp;C$1&amp;"C"&amp;$A46)="N/A",0,RTD("tos.rtd",,$A$2,"."&amp;C$43&amp;C$1&amp;"C"&amp;$A46))-IF(RTD("tos.rtd",,$A$2,"."&amp;C$43&amp;C$1&amp;"P"&amp;$A46)="N/A",0,RTD("tos.rtd",,$A$2,"."&amp;C$43&amp;C$1&amp;"P"&amp;$A46))</f>
        <v>0</v>
      </c>
      <c r="D46" s="91">
        <f ca="1">IF(RTD("tos.rtd",,$A$2,"."&amp;D$43&amp;D$1&amp;"C"&amp;$A46)="N/A",0,RTD("tos.rtd",,$A$2,"."&amp;D$43&amp;D$1&amp;"C"&amp;$A46))-IF(RTD("tos.rtd",,$A$2,"."&amp;D$43&amp;D$1&amp;"P"&amp;$A46)="N/A",0,RTD("tos.rtd",,$A$2,"."&amp;D$43&amp;D$1&amp;"P"&amp;$A46))</f>
        <v>0</v>
      </c>
      <c r="E46" s="91">
        <f ca="1">IF(RTD("tos.rtd",,$A$2,"."&amp;E$43&amp;E$1&amp;"C"&amp;$A46)="N/A",0,RTD("tos.rtd",,$A$2,"."&amp;E$43&amp;E$1&amp;"C"&amp;$A46))-IF(RTD("tos.rtd",,$A$2,"."&amp;E$43&amp;E$1&amp;"P"&amp;$A46)="N/A",0,RTD("tos.rtd",,$A$2,"."&amp;E$43&amp;E$1&amp;"P"&amp;$A46))</f>
        <v>0</v>
      </c>
      <c r="F46" s="91">
        <f ca="1">IF(RTD("tos.rtd",,$A$2,"."&amp;F$43&amp;F$1&amp;"C"&amp;$A46)="N/A",0,RTD("tos.rtd",,$A$2,"."&amp;F$43&amp;F$1&amp;"C"&amp;$A46))-IF(RTD("tos.rtd",,$A$2,"."&amp;F$43&amp;F$1&amp;"P"&amp;$A46)="N/A",0,RTD("tos.rtd",,$A$2,"."&amp;F$43&amp;F$1&amp;"P"&amp;$A46))</f>
        <v>0</v>
      </c>
      <c r="G46" s="91">
        <f ca="1">IF(RTD("tos.rtd",,$A$2,"."&amp;G$43&amp;G$1&amp;"C"&amp;$A46)="N/A",0,RTD("tos.rtd",,$A$2,"."&amp;G$43&amp;G$1&amp;"C"&amp;$A46))-IF(RTD("tos.rtd",,$A$2,"."&amp;G$43&amp;G$1&amp;"P"&amp;$A46)="N/A",0,RTD("tos.rtd",,$A$2,"."&amp;G$43&amp;G$1&amp;"P"&amp;$A46))</f>
        <v>0</v>
      </c>
      <c r="H46" s="91">
        <f ca="1">IF(RTD("tos.rtd",,$A$2,"."&amp;H$43&amp;H$1&amp;"C"&amp;$A46)="N/A",0,RTD("tos.rtd",,$A$2,"."&amp;H$43&amp;H$1&amp;"C"&amp;$A46))-IF(RTD("tos.rtd",,$A$2,"."&amp;H$43&amp;H$1&amp;"P"&amp;$A46)="N/A",0,RTD("tos.rtd",,$A$2,"."&amp;H$43&amp;H$1&amp;"P"&amp;$A46))</f>
        <v>-164</v>
      </c>
      <c r="I46" s="91">
        <f ca="1">IF(RTD("tos.rtd",,$A$2,"."&amp;I$43&amp;I$1&amp;"C"&amp;$A46)="N/A",0,RTD("tos.rtd",,$A$2,"."&amp;I$43&amp;I$1&amp;"C"&amp;$A46))-IF(RTD("tos.rtd",,$A$2,"."&amp;I$43&amp;I$1&amp;"P"&amp;$A46)="N/A",0,RTD("tos.rtd",,$A$2,"."&amp;I$43&amp;I$1&amp;"P"&amp;$A46))</f>
        <v>17</v>
      </c>
      <c r="J46" s="91">
        <f ca="1">IF(RTD("tos.rtd",,$A$2,"."&amp;J$43&amp;J$1&amp;"C"&amp;$A46)="N/A",0,RTD("tos.rtd",,$A$2,"."&amp;J$43&amp;J$1&amp;"C"&amp;$A46))-IF(RTD("tos.rtd",,$A$2,"."&amp;J$43&amp;J$1&amp;"P"&amp;$A46)="N/A",0,RTD("tos.rtd",,$A$2,"."&amp;J$43&amp;J$1&amp;"P"&amp;$A46))</f>
        <v>0</v>
      </c>
      <c r="K46" s="91">
        <f ca="1">IF(RTD("tos.rtd",,$A$2,"."&amp;K$43&amp;K$1&amp;"C"&amp;$A46)="N/A",0,RTD("tos.rtd",,$A$2,"."&amp;K$43&amp;K$1&amp;"C"&amp;$A46))-IF(RTD("tos.rtd",,$A$2,"."&amp;K$43&amp;K$1&amp;"P"&amp;$A46)="N/A",0,RTD("tos.rtd",,$A$2,"."&amp;K$43&amp;K$1&amp;"P"&amp;$A46))</f>
        <v>0</v>
      </c>
      <c r="L46" s="91">
        <f ca="1">IF(RTD("tos.rtd",,$A$2,"."&amp;L$43&amp;L$1&amp;"C"&amp;$A46)="N/A",0,RTD("tos.rtd",,$A$2,"."&amp;L$43&amp;L$1&amp;"C"&amp;$A46))-IF(RTD("tos.rtd",,$A$2,"."&amp;L$43&amp;L$1&amp;"P"&amp;$A46)="N/A",0,RTD("tos.rtd",,$A$2,"."&amp;L$43&amp;L$1&amp;"P"&amp;$A46))</f>
        <v>7</v>
      </c>
      <c r="M46" s="91">
        <f ca="1">IF(RTD("tos.rtd",,$A$2,"."&amp;M$43&amp;M$1&amp;"C"&amp;$A46)="N/A",0,RTD("tos.rtd",,$A$2,"."&amp;M$43&amp;M$1&amp;"C"&amp;$A46))-IF(RTD("tos.rtd",,$A$2,"."&amp;M$43&amp;M$1&amp;"P"&amp;$A46)="N/A",0,RTD("tos.rtd",,$A$2,"."&amp;M$43&amp;M$1&amp;"P"&amp;$A46))</f>
        <v>0</v>
      </c>
      <c r="N46" s="91">
        <f ca="1">IF(RTD("tos.rtd",,$A$2,"."&amp;N$43&amp;N$1&amp;"C"&amp;$A46)="N/A",0,RTD("tos.rtd",,$A$2,"."&amp;N$43&amp;N$1&amp;"C"&amp;$A46))-IF(RTD("tos.rtd",,$A$2,"."&amp;N$43&amp;N$1&amp;"P"&amp;$A46)="N/A",0,RTD("tos.rtd",,$A$2,"."&amp;N$43&amp;N$1&amp;"P"&amp;$A46))</f>
        <v>3</v>
      </c>
      <c r="O46" s="91">
        <f ca="1">IF(RTD("tos.rtd",,$A$2,"."&amp;O$43&amp;O$1&amp;"C"&amp;$A46)="N/A",0,RTD("tos.rtd",,$A$2,"."&amp;O$43&amp;O$1&amp;"C"&amp;$A46))-IF(RTD("tos.rtd",,$A$2,"."&amp;O$43&amp;O$1&amp;"P"&amp;$A46)="N/A",0,RTD("tos.rtd",,$A$2,"."&amp;O$43&amp;O$1&amp;"P"&amp;$A46))</f>
        <v>0</v>
      </c>
      <c r="P46" s="91">
        <f ca="1">IF(RTD("tos.rtd",,$A$2,"."&amp;P$43&amp;P$1&amp;"C"&amp;$A46)="N/A",0,RTD("tos.rtd",,$A$2,"."&amp;P$43&amp;P$1&amp;"C"&amp;$A46))-IF(RTD("tos.rtd",,$A$2,"."&amp;P$43&amp;P$1&amp;"P"&amp;$A46)="N/A",0,RTD("tos.rtd",,$A$2,"."&amp;P$43&amp;P$1&amp;"P"&amp;$A46))</f>
        <v>0</v>
      </c>
      <c r="Q46" s="91">
        <f ca="1">IF(RTD("tos.rtd",,$A$2,"."&amp;Q$43&amp;Q$1&amp;"C"&amp;$A46)="N/A",0,RTD("tos.rtd",,$A$2,"."&amp;Q$43&amp;Q$1&amp;"C"&amp;$A46))-IF(RTD("tos.rtd",,$A$2,"."&amp;Q$43&amp;Q$1&amp;"P"&amp;$A46)="N/A",0,RTD("tos.rtd",,$A$2,"."&amp;Q$43&amp;Q$1&amp;"P"&amp;$A46))</f>
        <v>0</v>
      </c>
      <c r="R46" s="91">
        <f ca="1">IF(RTD("tos.rtd",,$A$2,"."&amp;R$43&amp;R$1&amp;"C"&amp;$A46)="N/A",0,RTD("tos.rtd",,$A$2,"."&amp;R$43&amp;R$1&amp;"C"&amp;$A46))-IF(RTD("tos.rtd",,$A$2,"."&amp;R$43&amp;R$1&amp;"P"&amp;$A46)="N/A",0,RTD("tos.rtd",,$A$2,"."&amp;R$43&amp;R$1&amp;"P"&amp;$A46))</f>
        <v>12</v>
      </c>
      <c r="S46" s="91">
        <f ca="1">IF(RTD("tos.rtd",,$A$2,"."&amp;S$43&amp;S$1&amp;"C"&amp;$A46)="N/A",0,RTD("tos.rtd",,$A$2,"."&amp;S$43&amp;S$1&amp;"C"&amp;$A46))-IF(RTD("tos.rtd",,$A$2,"."&amp;S$43&amp;S$1&amp;"P"&amp;$A46)="N/A",0,RTD("tos.rtd",,$A$2,"."&amp;S$43&amp;S$1&amp;"P"&amp;$A46))</f>
        <v>0</v>
      </c>
      <c r="T46" s="91">
        <f ca="1">IF(RTD("tos.rtd",,$A$2,"."&amp;T$43&amp;T$1&amp;"C"&amp;$A46)="N/A",0,RTD("tos.rtd",,$A$2,"."&amp;T$43&amp;T$1&amp;"C"&amp;$A46))-IF(RTD("tos.rtd",,$A$2,"."&amp;T$43&amp;T$1&amp;"P"&amp;$A46)="N/A",0,RTD("tos.rtd",,$A$2,"."&amp;T$43&amp;T$1&amp;"P"&amp;$A46))</f>
        <v>0</v>
      </c>
      <c r="U46" s="91">
        <f ca="1">IF(RTD("tos.rtd",,$A$2,"."&amp;U$43&amp;U$1&amp;"C"&amp;$A46)="N/A",0,RTD("tos.rtd",,$A$2,"."&amp;U$43&amp;U$1&amp;"C"&amp;$A46))-IF(RTD("tos.rtd",,$A$2,"."&amp;U$43&amp;U$1&amp;"P"&amp;$A46)="N/A",0,RTD("tos.rtd",,$A$2,"."&amp;U$43&amp;U$1&amp;"P"&amp;$A46))</f>
        <v>0</v>
      </c>
      <c r="V46" s="91">
        <f ca="1">IF(RTD("tos.rtd",,$A$2,"."&amp;V$43&amp;V$1&amp;"C"&amp;$A46)="N/A",0,RTD("tos.rtd",,$A$2,"."&amp;V$43&amp;V$1&amp;"C"&amp;$A46))-IF(RTD("tos.rtd",,$A$2,"."&amp;V$43&amp;V$1&amp;"P"&amp;$A46)="N/A",0,RTD("tos.rtd",,$A$2,"."&amp;V$43&amp;V$1&amp;"P"&amp;$A46))</f>
        <v>0</v>
      </c>
      <c r="W46" s="91">
        <f ca="1">IF(RTD("tos.rtd",,$A$2,"."&amp;W$43&amp;W$1&amp;"C"&amp;$A46)="N/A",0,RTD("tos.rtd",,$A$2,"."&amp;W$43&amp;W$1&amp;"C"&amp;$A46))-IF(RTD("tos.rtd",,$A$2,"."&amp;W$43&amp;W$1&amp;"P"&amp;$A46)="N/A",0,RTD("tos.rtd",,$A$2,"."&amp;W$43&amp;W$1&amp;"P"&amp;$A46))</f>
        <v>0</v>
      </c>
      <c r="X46" s="91">
        <f ca="1">IF(RTD("tos.rtd",,$A$2,"."&amp;X$43&amp;X$1&amp;"C"&amp;$A46)="N/A",0,RTD("tos.rtd",,$A$2,"."&amp;X$43&amp;X$1&amp;"C"&amp;$A46))-IF(RTD("tos.rtd",,$A$2,"."&amp;X$43&amp;X$1&amp;"P"&amp;$A46)="N/A",0,RTD("tos.rtd",,$A$2,"."&amp;X$43&amp;X$1&amp;"P"&amp;$A46))</f>
        <v>0</v>
      </c>
      <c r="Y46" s="98">
        <f ca="1">SUM(B46:X46)</f>
        <v>-125</v>
      </c>
    </row>
    <row r="47" spans="1:25" x14ac:dyDescent="0.25">
      <c r="A47" s="93">
        <f>+Hoja1!A46</f>
        <v>501</v>
      </c>
      <c r="B47" s="91">
        <f ca="1">IF(RTD("tos.rtd",,$A$2,"."&amp;B$43&amp;B$1&amp;"C"&amp;$A47)="N/A",0,RTD("tos.rtd",,$A$2,"."&amp;B$43&amp;B$1&amp;"C"&amp;$A47))-IF(RTD("tos.rtd",,$A$2,"."&amp;B$43&amp;B$1&amp;"P"&amp;$A47)="N/A",0,RTD("tos.rtd",,$A$2,"."&amp;B$43&amp;B$1&amp;"P"&amp;$A47))</f>
        <v>0</v>
      </c>
      <c r="C47" s="91">
        <f ca="1">IF(RTD("tos.rtd",,$A$2,"."&amp;C$43&amp;C$1&amp;"C"&amp;$A47)="N/A",0,RTD("tos.rtd",,$A$2,"."&amp;C$43&amp;C$1&amp;"C"&amp;$A47))-IF(RTD("tos.rtd",,$A$2,"."&amp;C$43&amp;C$1&amp;"P"&amp;$A47)="N/A",0,RTD("tos.rtd",,$A$2,"."&amp;C$43&amp;C$1&amp;"P"&amp;$A47))</f>
        <v>0</v>
      </c>
      <c r="D47" s="91">
        <f ca="1">IF(RTD("tos.rtd",,$A$2,"."&amp;D$43&amp;D$1&amp;"C"&amp;$A47)="N/A",0,RTD("tos.rtd",,$A$2,"."&amp;D$43&amp;D$1&amp;"C"&amp;$A47))-IF(RTD("tos.rtd",,$A$2,"."&amp;D$43&amp;D$1&amp;"P"&amp;$A47)="N/A",0,RTD("tos.rtd",,$A$2,"."&amp;D$43&amp;D$1&amp;"P"&amp;$A47))</f>
        <v>0</v>
      </c>
      <c r="E47" s="91">
        <f ca="1">IF(RTD("tos.rtd",,$A$2,"."&amp;E$43&amp;E$1&amp;"C"&amp;$A47)="N/A",0,RTD("tos.rtd",,$A$2,"."&amp;E$43&amp;E$1&amp;"C"&amp;$A47))-IF(RTD("tos.rtd",,$A$2,"."&amp;E$43&amp;E$1&amp;"P"&amp;$A47)="N/A",0,RTD("tos.rtd",,$A$2,"."&amp;E$43&amp;E$1&amp;"P"&amp;$A47))</f>
        <v>0</v>
      </c>
      <c r="F47" s="91">
        <f ca="1">IF(RTD("tos.rtd",,$A$2,"."&amp;F$43&amp;F$1&amp;"C"&amp;$A47)="N/A",0,RTD("tos.rtd",,$A$2,"."&amp;F$43&amp;F$1&amp;"C"&amp;$A47))-IF(RTD("tos.rtd",,$A$2,"."&amp;F$43&amp;F$1&amp;"P"&amp;$A47)="N/A",0,RTD("tos.rtd",,$A$2,"."&amp;F$43&amp;F$1&amp;"P"&amp;$A47))</f>
        <v>0</v>
      </c>
      <c r="G47" s="91">
        <f ca="1">IF(RTD("tos.rtd",,$A$2,"."&amp;G$43&amp;G$1&amp;"C"&amp;$A47)="N/A",0,RTD("tos.rtd",,$A$2,"."&amp;G$43&amp;G$1&amp;"C"&amp;$A47))-IF(RTD("tos.rtd",,$A$2,"."&amp;G$43&amp;G$1&amp;"P"&amp;$A47)="N/A",0,RTD("tos.rtd",,$A$2,"."&amp;G$43&amp;G$1&amp;"P"&amp;$A47))</f>
        <v>0</v>
      </c>
      <c r="H47" s="91">
        <f ca="1">IF(RTD("tos.rtd",,$A$2,"."&amp;H$43&amp;H$1&amp;"C"&amp;$A47)="N/A",0,RTD("tos.rtd",,$A$2,"."&amp;H$43&amp;H$1&amp;"C"&amp;$A47))-IF(RTD("tos.rtd",,$A$2,"."&amp;H$43&amp;H$1&amp;"P"&amp;$A47)="N/A",0,RTD("tos.rtd",,$A$2,"."&amp;H$43&amp;H$1&amp;"P"&amp;$A47))</f>
        <v>-92</v>
      </c>
      <c r="I47" s="91">
        <f ca="1">IF(RTD("tos.rtd",,$A$2,"."&amp;I$43&amp;I$1&amp;"C"&amp;$A47)="N/A",0,RTD("tos.rtd",,$A$2,"."&amp;I$43&amp;I$1&amp;"C"&amp;$A47))-IF(RTD("tos.rtd",,$A$2,"."&amp;I$43&amp;I$1&amp;"P"&amp;$A47)="N/A",0,RTD("tos.rtd",,$A$2,"."&amp;I$43&amp;I$1&amp;"P"&amp;$A47))</f>
        <v>367</v>
      </c>
      <c r="J47" s="91">
        <f ca="1">IF(RTD("tos.rtd",,$A$2,"."&amp;J$43&amp;J$1&amp;"C"&amp;$A47)="N/A",0,RTD("tos.rtd",,$A$2,"."&amp;J$43&amp;J$1&amp;"C"&amp;$A47))-IF(RTD("tos.rtd",,$A$2,"."&amp;J$43&amp;J$1&amp;"P"&amp;$A47)="N/A",0,RTD("tos.rtd",,$A$2,"."&amp;J$43&amp;J$1&amp;"P"&amp;$A47))</f>
        <v>0</v>
      </c>
      <c r="K47" s="91">
        <f ca="1">IF(RTD("tos.rtd",,$A$2,"."&amp;K$43&amp;K$1&amp;"C"&amp;$A47)="N/A",0,RTD("tos.rtd",,$A$2,"."&amp;K$43&amp;K$1&amp;"C"&amp;$A47))-IF(RTD("tos.rtd",,$A$2,"."&amp;K$43&amp;K$1&amp;"P"&amp;$A47)="N/A",0,RTD("tos.rtd",,$A$2,"."&amp;K$43&amp;K$1&amp;"P"&amp;$A47))</f>
        <v>0</v>
      </c>
      <c r="L47" s="91">
        <f ca="1">IF(RTD("tos.rtd",,$A$2,"."&amp;L$43&amp;L$1&amp;"C"&amp;$A47)="N/A",0,RTD("tos.rtd",,$A$2,"."&amp;L$43&amp;L$1&amp;"C"&amp;$A47))-IF(RTD("tos.rtd",,$A$2,"."&amp;L$43&amp;L$1&amp;"P"&amp;$A47)="N/A",0,RTD("tos.rtd",,$A$2,"."&amp;L$43&amp;L$1&amp;"P"&amp;$A47))</f>
        <v>9</v>
      </c>
      <c r="M47" s="91">
        <f ca="1">IF(RTD("tos.rtd",,$A$2,"."&amp;M$43&amp;M$1&amp;"C"&amp;$A47)="N/A",0,RTD("tos.rtd",,$A$2,"."&amp;M$43&amp;M$1&amp;"C"&amp;$A47))-IF(RTD("tos.rtd",,$A$2,"."&amp;M$43&amp;M$1&amp;"P"&amp;$A47)="N/A",0,RTD("tos.rtd",,$A$2,"."&amp;M$43&amp;M$1&amp;"P"&amp;$A47))</f>
        <v>0</v>
      </c>
      <c r="N47" s="91">
        <f ca="1">IF(RTD("tos.rtd",,$A$2,"."&amp;N$43&amp;N$1&amp;"C"&amp;$A47)="N/A",0,RTD("tos.rtd",,$A$2,"."&amp;N$43&amp;N$1&amp;"C"&amp;$A47))-IF(RTD("tos.rtd",,$A$2,"."&amp;N$43&amp;N$1&amp;"P"&amp;$A47)="N/A",0,RTD("tos.rtd",,$A$2,"."&amp;N$43&amp;N$1&amp;"P"&amp;$A47))</f>
        <v>0</v>
      </c>
      <c r="O47" s="91">
        <f ca="1">IF(RTD("tos.rtd",,$A$2,"."&amp;O$43&amp;O$1&amp;"C"&amp;$A47)="N/A",0,RTD("tos.rtd",,$A$2,"."&amp;O$43&amp;O$1&amp;"C"&amp;$A47))-IF(RTD("tos.rtd",,$A$2,"."&amp;O$43&amp;O$1&amp;"P"&amp;$A47)="N/A",0,RTD("tos.rtd",,$A$2,"."&amp;O$43&amp;O$1&amp;"P"&amp;$A47))</f>
        <v>0</v>
      </c>
      <c r="P47" s="91">
        <f ca="1">IF(RTD("tos.rtd",,$A$2,"."&amp;P$43&amp;P$1&amp;"C"&amp;$A47)="N/A",0,RTD("tos.rtd",,$A$2,"."&amp;P$43&amp;P$1&amp;"C"&amp;$A47))-IF(RTD("tos.rtd",,$A$2,"."&amp;P$43&amp;P$1&amp;"P"&amp;$A47)="N/A",0,RTD("tos.rtd",,$A$2,"."&amp;P$43&amp;P$1&amp;"P"&amp;$A47))</f>
        <v>0</v>
      </c>
      <c r="Q47" s="91">
        <f ca="1">IF(RTD("tos.rtd",,$A$2,"."&amp;Q$43&amp;Q$1&amp;"C"&amp;$A47)="N/A",0,RTD("tos.rtd",,$A$2,"."&amp;Q$43&amp;Q$1&amp;"C"&amp;$A47))-IF(RTD("tos.rtd",,$A$2,"."&amp;Q$43&amp;Q$1&amp;"P"&amp;$A47)="N/A",0,RTD("tos.rtd",,$A$2,"."&amp;Q$43&amp;Q$1&amp;"P"&amp;$A47))</f>
        <v>0</v>
      </c>
      <c r="R47" s="91">
        <f ca="1">IF(RTD("tos.rtd",,$A$2,"."&amp;R$43&amp;R$1&amp;"C"&amp;$A47)="N/A",0,RTD("tos.rtd",,$A$2,"."&amp;R$43&amp;R$1&amp;"C"&amp;$A47))-IF(RTD("tos.rtd",,$A$2,"."&amp;R$43&amp;R$1&amp;"P"&amp;$A47)="N/A",0,RTD("tos.rtd",,$A$2,"."&amp;R$43&amp;R$1&amp;"P"&amp;$A47))</f>
        <v>-40</v>
      </c>
      <c r="S47" s="91">
        <f ca="1">IF(RTD("tos.rtd",,$A$2,"."&amp;S$43&amp;S$1&amp;"C"&amp;$A47)="N/A",0,RTD("tos.rtd",,$A$2,"."&amp;S$43&amp;S$1&amp;"C"&amp;$A47))-IF(RTD("tos.rtd",,$A$2,"."&amp;S$43&amp;S$1&amp;"P"&amp;$A47)="N/A",0,RTD("tos.rtd",,$A$2,"."&amp;S$43&amp;S$1&amp;"P"&amp;$A47))</f>
        <v>0</v>
      </c>
      <c r="T47" s="91">
        <f ca="1">IF(RTD("tos.rtd",,$A$2,"."&amp;T$43&amp;T$1&amp;"C"&amp;$A47)="N/A",0,RTD("tos.rtd",,$A$2,"."&amp;T$43&amp;T$1&amp;"C"&amp;$A47))-IF(RTD("tos.rtd",,$A$2,"."&amp;T$43&amp;T$1&amp;"P"&amp;$A47)="N/A",0,RTD("tos.rtd",,$A$2,"."&amp;T$43&amp;T$1&amp;"P"&amp;$A47))</f>
        <v>0</v>
      </c>
      <c r="U47" s="91">
        <f ca="1">IF(RTD("tos.rtd",,$A$2,"."&amp;U$43&amp;U$1&amp;"C"&amp;$A47)="N/A",0,RTD("tos.rtd",,$A$2,"."&amp;U$43&amp;U$1&amp;"C"&amp;$A47))-IF(RTD("tos.rtd",,$A$2,"."&amp;U$43&amp;U$1&amp;"P"&amp;$A47)="N/A",0,RTD("tos.rtd",,$A$2,"."&amp;U$43&amp;U$1&amp;"P"&amp;$A47))</f>
        <v>0</v>
      </c>
      <c r="V47" s="91">
        <f ca="1">IF(RTD("tos.rtd",,$A$2,"."&amp;V$43&amp;V$1&amp;"C"&amp;$A47)="N/A",0,RTD("tos.rtd",,$A$2,"."&amp;V$43&amp;V$1&amp;"C"&amp;$A47))-IF(RTD("tos.rtd",,$A$2,"."&amp;V$43&amp;V$1&amp;"P"&amp;$A47)="N/A",0,RTD("tos.rtd",,$A$2,"."&amp;V$43&amp;V$1&amp;"P"&amp;$A47))</f>
        <v>0</v>
      </c>
      <c r="W47" s="91">
        <f ca="1">IF(RTD("tos.rtd",,$A$2,"."&amp;W$43&amp;W$1&amp;"C"&amp;$A47)="N/A",0,RTD("tos.rtd",,$A$2,"."&amp;W$43&amp;W$1&amp;"C"&amp;$A47))-IF(RTD("tos.rtd",,$A$2,"."&amp;W$43&amp;W$1&amp;"P"&amp;$A47)="N/A",0,RTD("tos.rtd",,$A$2,"."&amp;W$43&amp;W$1&amp;"P"&amp;$A47))</f>
        <v>0</v>
      </c>
      <c r="X47" s="91">
        <f ca="1">IF(RTD("tos.rtd",,$A$2,"."&amp;X$43&amp;X$1&amp;"C"&amp;$A47)="N/A",0,RTD("tos.rtd",,$A$2,"."&amp;X$43&amp;X$1&amp;"C"&amp;$A47))-IF(RTD("tos.rtd",,$A$2,"."&amp;X$43&amp;X$1&amp;"P"&amp;$A47)="N/A",0,RTD("tos.rtd",,$A$2,"."&amp;X$43&amp;X$1&amp;"P"&amp;$A47))</f>
        <v>0</v>
      </c>
      <c r="Y47" s="98">
        <f t="shared" ref="Y47:Y80" ca="1" si="7">SUM(B47:X47)</f>
        <v>244</v>
      </c>
    </row>
    <row r="48" spans="1:25" x14ac:dyDescent="0.25">
      <c r="A48" s="93">
        <f>+Hoja1!A47</f>
        <v>500</v>
      </c>
      <c r="B48" s="91">
        <f ca="1">IF(RTD("tos.rtd",,$A$2,"."&amp;B$43&amp;B$1&amp;"C"&amp;$A48)="N/A",0,RTD("tos.rtd",,$A$2,"."&amp;B$43&amp;B$1&amp;"C"&amp;$A48))-IF(RTD("tos.rtd",,$A$2,"."&amp;B$43&amp;B$1&amp;"P"&amp;$A48)="N/A",0,RTD("tos.rtd",,$A$2,"."&amp;B$43&amp;B$1&amp;"P"&amp;$A48))</f>
        <v>0</v>
      </c>
      <c r="C48" s="91">
        <f ca="1">IF(RTD("tos.rtd",,$A$2,"."&amp;C$43&amp;C$1&amp;"C"&amp;$A48)="N/A",0,RTD("tos.rtd",,$A$2,"."&amp;C$43&amp;C$1&amp;"C"&amp;$A48))-IF(RTD("tos.rtd",,$A$2,"."&amp;C$43&amp;C$1&amp;"P"&amp;$A48)="N/A",0,RTD("tos.rtd",,$A$2,"."&amp;C$43&amp;C$1&amp;"P"&amp;$A48))</f>
        <v>0</v>
      </c>
      <c r="D48" s="91">
        <f ca="1">IF(RTD("tos.rtd",,$A$2,"."&amp;D$43&amp;D$1&amp;"C"&amp;$A48)="N/A",0,RTD("tos.rtd",,$A$2,"."&amp;D$43&amp;D$1&amp;"C"&amp;$A48))-IF(RTD("tos.rtd",,$A$2,"."&amp;D$43&amp;D$1&amp;"P"&amp;$A48)="N/A",0,RTD("tos.rtd",,$A$2,"."&amp;D$43&amp;D$1&amp;"P"&amp;$A48))</f>
        <v>0</v>
      </c>
      <c r="E48" s="91">
        <f ca="1">IF(RTD("tos.rtd",,$A$2,"."&amp;E$43&amp;E$1&amp;"C"&amp;$A48)="N/A",0,RTD("tos.rtd",,$A$2,"."&amp;E$43&amp;E$1&amp;"C"&amp;$A48))-IF(RTD("tos.rtd",,$A$2,"."&amp;E$43&amp;E$1&amp;"P"&amp;$A48)="N/A",0,RTD("tos.rtd",,$A$2,"."&amp;E$43&amp;E$1&amp;"P"&amp;$A48))</f>
        <v>0</v>
      </c>
      <c r="F48" s="91">
        <f ca="1">IF(RTD("tos.rtd",,$A$2,"."&amp;F$43&amp;F$1&amp;"C"&amp;$A48)="N/A",0,RTD("tos.rtd",,$A$2,"."&amp;F$43&amp;F$1&amp;"C"&amp;$A48))-IF(RTD("tos.rtd",,$A$2,"."&amp;F$43&amp;F$1&amp;"P"&amp;$A48)="N/A",0,RTD("tos.rtd",,$A$2,"."&amp;F$43&amp;F$1&amp;"P"&amp;$A48))</f>
        <v>0</v>
      </c>
      <c r="G48" s="91">
        <f ca="1">IF(RTD("tos.rtd",,$A$2,"."&amp;G$43&amp;G$1&amp;"C"&amp;$A48)="N/A",0,RTD("tos.rtd",,$A$2,"."&amp;G$43&amp;G$1&amp;"C"&amp;$A48))-IF(RTD("tos.rtd",,$A$2,"."&amp;G$43&amp;G$1&amp;"P"&amp;$A48)="N/A",0,RTD("tos.rtd",,$A$2,"."&amp;G$43&amp;G$1&amp;"P"&amp;$A48))</f>
        <v>0</v>
      </c>
      <c r="H48" s="91">
        <f ca="1">IF(RTD("tos.rtd",,$A$2,"."&amp;H$43&amp;H$1&amp;"C"&amp;$A48)="N/A",0,RTD("tos.rtd",,$A$2,"."&amp;H$43&amp;H$1&amp;"C"&amp;$A48))-IF(RTD("tos.rtd",,$A$2,"."&amp;H$43&amp;H$1&amp;"P"&amp;$A48)="N/A",0,RTD("tos.rtd",,$A$2,"."&amp;H$43&amp;H$1&amp;"P"&amp;$A48))</f>
        <v>5887</v>
      </c>
      <c r="I48" s="91">
        <f ca="1">IF(RTD("tos.rtd",,$A$2,"."&amp;I$43&amp;I$1&amp;"C"&amp;$A48)="N/A",0,RTD("tos.rtd",,$A$2,"."&amp;I$43&amp;I$1&amp;"C"&amp;$A48))-IF(RTD("tos.rtd",,$A$2,"."&amp;I$43&amp;I$1&amp;"P"&amp;$A48)="N/A",0,RTD("tos.rtd",,$A$2,"."&amp;I$43&amp;I$1&amp;"P"&amp;$A48))</f>
        <v>5652</v>
      </c>
      <c r="J48" s="91">
        <f ca="1">IF(RTD("tos.rtd",,$A$2,"."&amp;J$43&amp;J$1&amp;"C"&amp;$A48)="N/A",0,RTD("tos.rtd",,$A$2,"."&amp;J$43&amp;J$1&amp;"C"&amp;$A48))-IF(RTD("tos.rtd",,$A$2,"."&amp;J$43&amp;J$1&amp;"P"&amp;$A48)="N/A",0,RTD("tos.rtd",,$A$2,"."&amp;J$43&amp;J$1&amp;"P"&amp;$A48))</f>
        <v>544</v>
      </c>
      <c r="K48" s="91">
        <f ca="1">IF(RTD("tos.rtd",,$A$2,"."&amp;K$43&amp;K$1&amp;"C"&amp;$A48)="N/A",0,RTD("tos.rtd",,$A$2,"."&amp;K$43&amp;K$1&amp;"C"&amp;$A48))-IF(RTD("tos.rtd",,$A$2,"."&amp;K$43&amp;K$1&amp;"P"&amp;$A48)="N/A",0,RTD("tos.rtd",,$A$2,"."&amp;K$43&amp;K$1&amp;"P"&amp;$A48))</f>
        <v>3351</v>
      </c>
      <c r="L48" s="91">
        <f ca="1">IF(RTD("tos.rtd",,$A$2,"."&amp;L$43&amp;L$1&amp;"C"&amp;$A48)="N/A",0,RTD("tos.rtd",,$A$2,"."&amp;L$43&amp;L$1&amp;"C"&amp;$A48))-IF(RTD("tos.rtd",,$A$2,"."&amp;L$43&amp;L$1&amp;"P"&amp;$A48)="N/A",0,RTD("tos.rtd",,$A$2,"."&amp;L$43&amp;L$1&amp;"P"&amp;$A48))</f>
        <v>-188</v>
      </c>
      <c r="M48" s="91">
        <f ca="1">IF(RTD("tos.rtd",,$A$2,"."&amp;M$43&amp;M$1&amp;"C"&amp;$A48)="N/A",0,RTD("tos.rtd",,$A$2,"."&amp;M$43&amp;M$1&amp;"C"&amp;$A48))-IF(RTD("tos.rtd",,$A$2,"."&amp;M$43&amp;M$1&amp;"P"&amp;$A48)="N/A",0,RTD("tos.rtd",,$A$2,"."&amp;M$43&amp;M$1&amp;"P"&amp;$A48))</f>
        <v>159</v>
      </c>
      <c r="N48" s="91">
        <f ca="1">IF(RTD("tos.rtd",,$A$2,"."&amp;N$43&amp;N$1&amp;"C"&amp;$A48)="N/A",0,RTD("tos.rtd",,$A$2,"."&amp;N$43&amp;N$1&amp;"C"&amp;$A48))-IF(RTD("tos.rtd",,$A$2,"."&amp;N$43&amp;N$1&amp;"P"&amp;$A48)="N/A",0,RTD("tos.rtd",,$A$2,"."&amp;N$43&amp;N$1&amp;"P"&amp;$A48))</f>
        <v>4033</v>
      </c>
      <c r="O48" s="91">
        <f ca="1">IF(RTD("tos.rtd",,$A$2,"."&amp;O$43&amp;O$1&amp;"C"&amp;$A48)="N/A",0,RTD("tos.rtd",,$A$2,"."&amp;O$43&amp;O$1&amp;"C"&amp;$A48))-IF(RTD("tos.rtd",,$A$2,"."&amp;O$43&amp;O$1&amp;"P"&amp;$A48)="N/A",0,RTD("tos.rtd",,$A$2,"."&amp;O$43&amp;O$1&amp;"P"&amp;$A48))</f>
        <v>277</v>
      </c>
      <c r="P48" s="91">
        <f ca="1">IF(RTD("tos.rtd",,$A$2,"."&amp;P$43&amp;P$1&amp;"C"&amp;$A48)="N/A",0,RTD("tos.rtd",,$A$2,"."&amp;P$43&amp;P$1&amp;"C"&amp;$A48))-IF(RTD("tos.rtd",,$A$2,"."&amp;P$43&amp;P$1&amp;"P"&amp;$A48)="N/A",0,RTD("tos.rtd",,$A$2,"."&amp;P$43&amp;P$1&amp;"P"&amp;$A48))</f>
        <v>65</v>
      </c>
      <c r="Q48" s="91">
        <f ca="1">IF(RTD("tos.rtd",,$A$2,"."&amp;Q$43&amp;Q$1&amp;"C"&amp;$A48)="N/A",0,RTD("tos.rtd",,$A$2,"."&amp;Q$43&amp;Q$1&amp;"C"&amp;$A48))-IF(RTD("tos.rtd",,$A$2,"."&amp;Q$43&amp;Q$1&amp;"P"&amp;$A48)="N/A",0,RTD("tos.rtd",,$A$2,"."&amp;Q$43&amp;Q$1&amp;"P"&amp;$A48))</f>
        <v>358</v>
      </c>
      <c r="R48" s="91">
        <f ca="1">IF(RTD("tos.rtd",,$A$2,"."&amp;R$43&amp;R$1&amp;"C"&amp;$A48)="N/A",0,RTD("tos.rtd",,$A$2,"."&amp;R$43&amp;R$1&amp;"C"&amp;$A48))-IF(RTD("tos.rtd",,$A$2,"."&amp;R$43&amp;R$1&amp;"P"&amp;$A48)="N/A",0,RTD("tos.rtd",,$A$2,"."&amp;R$43&amp;R$1&amp;"P"&amp;$A48))</f>
        <v>114</v>
      </c>
      <c r="S48" s="91">
        <f ca="1">IF(RTD("tos.rtd",,$A$2,"."&amp;S$43&amp;S$1&amp;"C"&amp;$A48)="N/A",0,RTD("tos.rtd",,$A$2,"."&amp;S$43&amp;S$1&amp;"C"&amp;$A48))-IF(RTD("tos.rtd",,$A$2,"."&amp;S$43&amp;S$1&amp;"P"&amp;$A48)="N/A",0,RTD("tos.rtd",,$A$2,"."&amp;S$43&amp;S$1&amp;"P"&amp;$A48))</f>
        <v>0</v>
      </c>
      <c r="T48" s="91">
        <f ca="1">IF(RTD("tos.rtd",,$A$2,"."&amp;T$43&amp;T$1&amp;"C"&amp;$A48)="N/A",0,RTD("tos.rtd",,$A$2,"."&amp;T$43&amp;T$1&amp;"C"&amp;$A48))-IF(RTD("tos.rtd",,$A$2,"."&amp;T$43&amp;T$1&amp;"P"&amp;$A48)="N/A",0,RTD("tos.rtd",,$A$2,"."&amp;T$43&amp;T$1&amp;"P"&amp;$A48))</f>
        <v>0</v>
      </c>
      <c r="U48" s="91">
        <f ca="1">IF(RTD("tos.rtd",,$A$2,"."&amp;U$43&amp;U$1&amp;"C"&amp;$A48)="N/A",0,RTD("tos.rtd",,$A$2,"."&amp;U$43&amp;U$1&amp;"C"&amp;$A48))-IF(RTD("tos.rtd",,$A$2,"."&amp;U$43&amp;U$1&amp;"P"&amp;$A48)="N/A",0,RTD("tos.rtd",,$A$2,"."&amp;U$43&amp;U$1&amp;"P"&amp;$A48))</f>
        <v>115</v>
      </c>
      <c r="V48" s="91">
        <f ca="1">IF(RTD("tos.rtd",,$A$2,"."&amp;V$43&amp;V$1&amp;"C"&amp;$A48)="N/A",0,RTD("tos.rtd",,$A$2,"."&amp;V$43&amp;V$1&amp;"C"&amp;$A48))-IF(RTD("tos.rtd",,$A$2,"."&amp;V$43&amp;V$1&amp;"P"&amp;$A48)="N/A",0,RTD("tos.rtd",,$A$2,"."&amp;V$43&amp;V$1&amp;"P"&amp;$A48))</f>
        <v>0</v>
      </c>
      <c r="W48" s="91">
        <f ca="1">IF(RTD("tos.rtd",,$A$2,"."&amp;W$43&amp;W$1&amp;"C"&amp;$A48)="N/A",0,RTD("tos.rtd",,$A$2,"."&amp;W$43&amp;W$1&amp;"C"&amp;$A48))-IF(RTD("tos.rtd",,$A$2,"."&amp;W$43&amp;W$1&amp;"P"&amp;$A48)="N/A",0,RTD("tos.rtd",,$A$2,"."&amp;W$43&amp;W$1&amp;"P"&amp;$A48))</f>
        <v>32</v>
      </c>
      <c r="X48" s="91">
        <f ca="1">IF(RTD("tos.rtd",,$A$2,"."&amp;X$43&amp;X$1&amp;"C"&amp;$A48)="N/A",0,RTD("tos.rtd",,$A$2,"."&amp;X$43&amp;X$1&amp;"C"&amp;$A48))-IF(RTD("tos.rtd",,$A$2,"."&amp;X$43&amp;X$1&amp;"P"&amp;$A48)="N/A",0,RTD("tos.rtd",,$A$2,"."&amp;X$43&amp;X$1&amp;"P"&amp;$A48))</f>
        <v>-6</v>
      </c>
      <c r="Y48" s="98">
        <f t="shared" ca="1" si="7"/>
        <v>20393</v>
      </c>
    </row>
    <row r="49" spans="1:25" x14ac:dyDescent="0.25">
      <c r="A49" s="93">
        <f>+Hoja1!A48</f>
        <v>499</v>
      </c>
      <c r="B49" s="91">
        <f ca="1">IF(RTD("tos.rtd",,$A$2,"."&amp;B$43&amp;B$1&amp;"C"&amp;$A49)="N/A",0,RTD("tos.rtd",,$A$2,"."&amp;B$43&amp;B$1&amp;"C"&amp;$A49))-IF(RTD("tos.rtd",,$A$2,"."&amp;B$43&amp;B$1&amp;"P"&amp;$A49)="N/A",0,RTD("tos.rtd",,$A$2,"."&amp;B$43&amp;B$1&amp;"P"&amp;$A49))</f>
        <v>0</v>
      </c>
      <c r="C49" s="91">
        <f ca="1">IF(RTD("tos.rtd",,$A$2,"."&amp;C$43&amp;C$1&amp;"C"&amp;$A49)="N/A",0,RTD("tos.rtd",,$A$2,"."&amp;C$43&amp;C$1&amp;"C"&amp;$A49))-IF(RTD("tos.rtd",,$A$2,"."&amp;C$43&amp;C$1&amp;"P"&amp;$A49)="N/A",0,RTD("tos.rtd",,$A$2,"."&amp;C$43&amp;C$1&amp;"P"&amp;$A49))</f>
        <v>0</v>
      </c>
      <c r="D49" s="91">
        <f ca="1">IF(RTD("tos.rtd",,$A$2,"."&amp;D$43&amp;D$1&amp;"C"&amp;$A49)="N/A",0,RTD("tos.rtd",,$A$2,"."&amp;D$43&amp;D$1&amp;"C"&amp;$A49))-IF(RTD("tos.rtd",,$A$2,"."&amp;D$43&amp;D$1&amp;"P"&amp;$A49)="N/A",0,RTD("tos.rtd",,$A$2,"."&amp;D$43&amp;D$1&amp;"P"&amp;$A49))</f>
        <v>0</v>
      </c>
      <c r="E49" s="91">
        <f ca="1">IF(RTD("tos.rtd",,$A$2,"."&amp;E$43&amp;E$1&amp;"C"&amp;$A49)="N/A",0,RTD("tos.rtd",,$A$2,"."&amp;E$43&amp;E$1&amp;"C"&amp;$A49))-IF(RTD("tos.rtd",,$A$2,"."&amp;E$43&amp;E$1&amp;"P"&amp;$A49)="N/A",0,RTD("tos.rtd",,$A$2,"."&amp;E$43&amp;E$1&amp;"P"&amp;$A49))</f>
        <v>0</v>
      </c>
      <c r="F49" s="91">
        <f ca="1">IF(RTD("tos.rtd",,$A$2,"."&amp;F$43&amp;F$1&amp;"C"&amp;$A49)="N/A",0,RTD("tos.rtd",,$A$2,"."&amp;F$43&amp;F$1&amp;"C"&amp;$A49))-IF(RTD("tos.rtd",,$A$2,"."&amp;F$43&amp;F$1&amp;"P"&amp;$A49)="N/A",0,RTD("tos.rtd",,$A$2,"."&amp;F$43&amp;F$1&amp;"P"&amp;$A49))</f>
        <v>0</v>
      </c>
      <c r="G49" s="91">
        <f ca="1">IF(RTD("tos.rtd",,$A$2,"."&amp;G$43&amp;G$1&amp;"C"&amp;$A49)="N/A",0,RTD("tos.rtd",,$A$2,"."&amp;G$43&amp;G$1&amp;"C"&amp;$A49))-IF(RTD("tos.rtd",,$A$2,"."&amp;G$43&amp;G$1&amp;"P"&amp;$A49)="N/A",0,RTD("tos.rtd",,$A$2,"."&amp;G$43&amp;G$1&amp;"P"&amp;$A49))</f>
        <v>0</v>
      </c>
      <c r="H49" s="91">
        <f ca="1">IF(RTD("tos.rtd",,$A$2,"."&amp;H$43&amp;H$1&amp;"C"&amp;$A49)="N/A",0,RTD("tos.rtd",,$A$2,"."&amp;H$43&amp;H$1&amp;"C"&amp;$A49))-IF(RTD("tos.rtd",,$A$2,"."&amp;H$43&amp;H$1&amp;"P"&amp;$A49)="N/A",0,RTD("tos.rtd",,$A$2,"."&amp;H$43&amp;H$1&amp;"P"&amp;$A49))</f>
        <v>-228</v>
      </c>
      <c r="I49" s="91">
        <f ca="1">IF(RTD("tos.rtd",,$A$2,"."&amp;I$43&amp;I$1&amp;"C"&amp;$A49)="N/A",0,RTD("tos.rtd",,$A$2,"."&amp;I$43&amp;I$1&amp;"C"&amp;$A49))-IF(RTD("tos.rtd",,$A$2,"."&amp;I$43&amp;I$1&amp;"P"&amp;$A49)="N/A",0,RTD("tos.rtd",,$A$2,"."&amp;I$43&amp;I$1&amp;"P"&amp;$A49))</f>
        <v>-6</v>
      </c>
      <c r="J49" s="91">
        <f ca="1">IF(RTD("tos.rtd",,$A$2,"."&amp;J$43&amp;J$1&amp;"C"&amp;$A49)="N/A",0,RTD("tos.rtd",,$A$2,"."&amp;J$43&amp;J$1&amp;"C"&amp;$A49))-IF(RTD("tos.rtd",,$A$2,"."&amp;J$43&amp;J$1&amp;"P"&amp;$A49)="N/A",0,RTD("tos.rtd",,$A$2,"."&amp;J$43&amp;J$1&amp;"P"&amp;$A49))</f>
        <v>1</v>
      </c>
      <c r="K49" s="91">
        <f ca="1">IF(RTD("tos.rtd",,$A$2,"."&amp;K$43&amp;K$1&amp;"C"&amp;$A49)="N/A",0,RTD("tos.rtd",,$A$2,"."&amp;K$43&amp;K$1&amp;"C"&amp;$A49))-IF(RTD("tos.rtd",,$A$2,"."&amp;K$43&amp;K$1&amp;"P"&amp;$A49)="N/A",0,RTD("tos.rtd",,$A$2,"."&amp;K$43&amp;K$1&amp;"P"&amp;$A49))</f>
        <v>0</v>
      </c>
      <c r="L49" s="91">
        <f ca="1">IF(RTD("tos.rtd",,$A$2,"."&amp;L$43&amp;L$1&amp;"C"&amp;$A49)="N/A",0,RTD("tos.rtd",,$A$2,"."&amp;L$43&amp;L$1&amp;"C"&amp;$A49))-IF(RTD("tos.rtd",,$A$2,"."&amp;L$43&amp;L$1&amp;"P"&amp;$A49)="N/A",0,RTD("tos.rtd",,$A$2,"."&amp;L$43&amp;L$1&amp;"P"&amp;$A49))</f>
        <v>10</v>
      </c>
      <c r="M49" s="91">
        <f ca="1">IF(RTD("tos.rtd",,$A$2,"."&amp;M$43&amp;M$1&amp;"C"&amp;$A49)="N/A",0,RTD("tos.rtd",,$A$2,"."&amp;M$43&amp;M$1&amp;"C"&amp;$A49))-IF(RTD("tos.rtd",,$A$2,"."&amp;M$43&amp;M$1&amp;"P"&amp;$A49)="N/A",0,RTD("tos.rtd",,$A$2,"."&amp;M$43&amp;M$1&amp;"P"&amp;$A49))</f>
        <v>0</v>
      </c>
      <c r="N49" s="91">
        <f ca="1">IF(RTD("tos.rtd",,$A$2,"."&amp;N$43&amp;N$1&amp;"C"&amp;$A49)="N/A",0,RTD("tos.rtd",,$A$2,"."&amp;N$43&amp;N$1&amp;"C"&amp;$A49))-IF(RTD("tos.rtd",,$A$2,"."&amp;N$43&amp;N$1&amp;"P"&amp;$A49)="N/A",0,RTD("tos.rtd",,$A$2,"."&amp;N$43&amp;N$1&amp;"P"&amp;$A49))</f>
        <v>-5</v>
      </c>
      <c r="O49" s="91">
        <f ca="1">IF(RTD("tos.rtd",,$A$2,"."&amp;O$43&amp;O$1&amp;"C"&amp;$A49)="N/A",0,RTD("tos.rtd",,$A$2,"."&amp;O$43&amp;O$1&amp;"C"&amp;$A49))-IF(RTD("tos.rtd",,$A$2,"."&amp;O$43&amp;O$1&amp;"P"&amp;$A49)="N/A",0,RTD("tos.rtd",,$A$2,"."&amp;O$43&amp;O$1&amp;"P"&amp;$A49))</f>
        <v>0</v>
      </c>
      <c r="P49" s="91">
        <f ca="1">IF(RTD("tos.rtd",,$A$2,"."&amp;P$43&amp;P$1&amp;"C"&amp;$A49)="N/A",0,RTD("tos.rtd",,$A$2,"."&amp;P$43&amp;P$1&amp;"C"&amp;$A49))-IF(RTD("tos.rtd",,$A$2,"."&amp;P$43&amp;P$1&amp;"P"&amp;$A49)="N/A",0,RTD("tos.rtd",,$A$2,"."&amp;P$43&amp;P$1&amp;"P"&amp;$A49))</f>
        <v>0</v>
      </c>
      <c r="Q49" s="91">
        <f ca="1">IF(RTD("tos.rtd",,$A$2,"."&amp;Q$43&amp;Q$1&amp;"C"&amp;$A49)="N/A",0,RTD("tos.rtd",,$A$2,"."&amp;Q$43&amp;Q$1&amp;"C"&amp;$A49))-IF(RTD("tos.rtd",,$A$2,"."&amp;Q$43&amp;Q$1&amp;"P"&amp;$A49)="N/A",0,RTD("tos.rtd",,$A$2,"."&amp;Q$43&amp;Q$1&amp;"P"&amp;$A49))</f>
        <v>0</v>
      </c>
      <c r="R49" s="91">
        <f ca="1">IF(RTD("tos.rtd",,$A$2,"."&amp;R$43&amp;R$1&amp;"C"&amp;$A49)="N/A",0,RTD("tos.rtd",,$A$2,"."&amp;R$43&amp;R$1&amp;"C"&amp;$A49))-IF(RTD("tos.rtd",,$A$2,"."&amp;R$43&amp;R$1&amp;"P"&amp;$A49)="N/A",0,RTD("tos.rtd",,$A$2,"."&amp;R$43&amp;R$1&amp;"P"&amp;$A49))</f>
        <v>2</v>
      </c>
      <c r="S49" s="91">
        <f ca="1">IF(RTD("tos.rtd",,$A$2,"."&amp;S$43&amp;S$1&amp;"C"&amp;$A49)="N/A",0,RTD("tos.rtd",,$A$2,"."&amp;S$43&amp;S$1&amp;"C"&amp;$A49))-IF(RTD("tos.rtd",,$A$2,"."&amp;S$43&amp;S$1&amp;"P"&amp;$A49)="N/A",0,RTD("tos.rtd",,$A$2,"."&amp;S$43&amp;S$1&amp;"P"&amp;$A49))</f>
        <v>0</v>
      </c>
      <c r="T49" s="91">
        <f ca="1">IF(RTD("tos.rtd",,$A$2,"."&amp;T$43&amp;T$1&amp;"C"&amp;$A49)="N/A",0,RTD("tos.rtd",,$A$2,"."&amp;T$43&amp;T$1&amp;"C"&amp;$A49))-IF(RTD("tos.rtd",,$A$2,"."&amp;T$43&amp;T$1&amp;"P"&amp;$A49)="N/A",0,RTD("tos.rtd",,$A$2,"."&amp;T$43&amp;T$1&amp;"P"&amp;$A49))</f>
        <v>0</v>
      </c>
      <c r="U49" s="91">
        <f ca="1">IF(RTD("tos.rtd",,$A$2,"."&amp;U$43&amp;U$1&amp;"C"&amp;$A49)="N/A",0,RTD("tos.rtd",,$A$2,"."&amp;U$43&amp;U$1&amp;"C"&amp;$A49))-IF(RTD("tos.rtd",,$A$2,"."&amp;U$43&amp;U$1&amp;"P"&amp;$A49)="N/A",0,RTD("tos.rtd",,$A$2,"."&amp;U$43&amp;U$1&amp;"P"&amp;$A49))</f>
        <v>0</v>
      </c>
      <c r="V49" s="91">
        <f ca="1">IF(RTD("tos.rtd",,$A$2,"."&amp;V$43&amp;V$1&amp;"C"&amp;$A49)="N/A",0,RTD("tos.rtd",,$A$2,"."&amp;V$43&amp;V$1&amp;"C"&amp;$A49))-IF(RTD("tos.rtd",,$A$2,"."&amp;V$43&amp;V$1&amp;"P"&amp;$A49)="N/A",0,RTD("tos.rtd",,$A$2,"."&amp;V$43&amp;V$1&amp;"P"&amp;$A49))</f>
        <v>0</v>
      </c>
      <c r="W49" s="91">
        <f ca="1">IF(RTD("tos.rtd",,$A$2,"."&amp;W$43&amp;W$1&amp;"C"&amp;$A49)="N/A",0,RTD("tos.rtd",,$A$2,"."&amp;W$43&amp;W$1&amp;"C"&amp;$A49))-IF(RTD("tos.rtd",,$A$2,"."&amp;W$43&amp;W$1&amp;"P"&amp;$A49)="N/A",0,RTD("tos.rtd",,$A$2,"."&amp;W$43&amp;W$1&amp;"P"&amp;$A49))</f>
        <v>0</v>
      </c>
      <c r="X49" s="91">
        <f ca="1">IF(RTD("tos.rtd",,$A$2,"."&amp;X$43&amp;X$1&amp;"C"&amp;$A49)="N/A",0,RTD("tos.rtd",,$A$2,"."&amp;X$43&amp;X$1&amp;"C"&amp;$A49))-IF(RTD("tos.rtd",,$A$2,"."&amp;X$43&amp;X$1&amp;"P"&amp;$A49)="N/A",0,RTD("tos.rtd",,$A$2,"."&amp;X$43&amp;X$1&amp;"P"&amp;$A49))</f>
        <v>0</v>
      </c>
      <c r="Y49" s="98">
        <f t="shared" ca="1" si="7"/>
        <v>-226</v>
      </c>
    </row>
    <row r="50" spans="1:25" x14ac:dyDescent="0.25">
      <c r="A50" s="93">
        <f>+Hoja1!A49</f>
        <v>498</v>
      </c>
      <c r="B50" s="91">
        <f ca="1">IF(RTD("tos.rtd",,$A$2,"."&amp;B$43&amp;B$1&amp;"C"&amp;$A50)="N/A",0,RTD("tos.rtd",,$A$2,"."&amp;B$43&amp;B$1&amp;"C"&amp;$A50))-IF(RTD("tos.rtd",,$A$2,"."&amp;B$43&amp;B$1&amp;"P"&amp;$A50)="N/A",0,RTD("tos.rtd",,$A$2,"."&amp;B$43&amp;B$1&amp;"P"&amp;$A50))</f>
        <v>0</v>
      </c>
      <c r="C50" s="91">
        <f ca="1">IF(RTD("tos.rtd",,$A$2,"."&amp;C$43&amp;C$1&amp;"C"&amp;$A50)="N/A",0,RTD("tos.rtd",,$A$2,"."&amp;C$43&amp;C$1&amp;"C"&amp;$A50))-IF(RTD("tos.rtd",,$A$2,"."&amp;C$43&amp;C$1&amp;"P"&amp;$A50)="N/A",0,RTD("tos.rtd",,$A$2,"."&amp;C$43&amp;C$1&amp;"P"&amp;$A50))</f>
        <v>0</v>
      </c>
      <c r="D50" s="91">
        <f ca="1">IF(RTD("tos.rtd",,$A$2,"."&amp;D$43&amp;D$1&amp;"C"&amp;$A50)="N/A",0,RTD("tos.rtd",,$A$2,"."&amp;D$43&amp;D$1&amp;"C"&amp;$A50))-IF(RTD("tos.rtd",,$A$2,"."&amp;D$43&amp;D$1&amp;"P"&amp;$A50)="N/A",0,RTD("tos.rtd",,$A$2,"."&amp;D$43&amp;D$1&amp;"P"&amp;$A50))</f>
        <v>0</v>
      </c>
      <c r="E50" s="91">
        <f ca="1">IF(RTD("tos.rtd",,$A$2,"."&amp;E$43&amp;E$1&amp;"C"&amp;$A50)="N/A",0,RTD("tos.rtd",,$A$2,"."&amp;E$43&amp;E$1&amp;"C"&amp;$A50))-IF(RTD("tos.rtd",,$A$2,"."&amp;E$43&amp;E$1&amp;"P"&amp;$A50)="N/A",0,RTD("tos.rtd",,$A$2,"."&amp;E$43&amp;E$1&amp;"P"&amp;$A50))</f>
        <v>0</v>
      </c>
      <c r="F50" s="91">
        <f ca="1">IF(RTD("tos.rtd",,$A$2,"."&amp;F$43&amp;F$1&amp;"C"&amp;$A50)="N/A",0,RTD("tos.rtd",,$A$2,"."&amp;F$43&amp;F$1&amp;"C"&amp;$A50))-IF(RTD("tos.rtd",,$A$2,"."&amp;F$43&amp;F$1&amp;"P"&amp;$A50)="N/A",0,RTD("tos.rtd",,$A$2,"."&amp;F$43&amp;F$1&amp;"P"&amp;$A50))</f>
        <v>0</v>
      </c>
      <c r="G50" s="91">
        <f ca="1">IF(RTD("tos.rtd",,$A$2,"."&amp;G$43&amp;G$1&amp;"C"&amp;$A50)="N/A",0,RTD("tos.rtd",,$A$2,"."&amp;G$43&amp;G$1&amp;"C"&amp;$A50))-IF(RTD("tos.rtd",,$A$2,"."&amp;G$43&amp;G$1&amp;"P"&amp;$A50)="N/A",0,RTD("tos.rtd",,$A$2,"."&amp;G$43&amp;G$1&amp;"P"&amp;$A50))</f>
        <v>0</v>
      </c>
      <c r="H50" s="91">
        <f ca="1">IF(RTD("tos.rtd",,$A$2,"."&amp;H$43&amp;H$1&amp;"C"&amp;$A50)="N/A",0,RTD("tos.rtd",,$A$2,"."&amp;H$43&amp;H$1&amp;"C"&amp;$A50))-IF(RTD("tos.rtd",,$A$2,"."&amp;H$43&amp;H$1&amp;"P"&amp;$A50)="N/A",0,RTD("tos.rtd",,$A$2,"."&amp;H$43&amp;H$1&amp;"P"&amp;$A50))</f>
        <v>62</v>
      </c>
      <c r="I50" s="91">
        <f ca="1">IF(RTD("tos.rtd",,$A$2,"."&amp;I$43&amp;I$1&amp;"C"&amp;$A50)="N/A",0,RTD("tos.rtd",,$A$2,"."&amp;I$43&amp;I$1&amp;"C"&amp;$A50))-IF(RTD("tos.rtd",,$A$2,"."&amp;I$43&amp;I$1&amp;"P"&amp;$A50)="N/A",0,RTD("tos.rtd",,$A$2,"."&amp;I$43&amp;I$1&amp;"P"&amp;$A50))</f>
        <v>56</v>
      </c>
      <c r="J50" s="91">
        <f ca="1">IF(RTD("tos.rtd",,$A$2,"."&amp;J$43&amp;J$1&amp;"C"&amp;$A50)="N/A",0,RTD("tos.rtd",,$A$2,"."&amp;J$43&amp;J$1&amp;"C"&amp;$A50))-IF(RTD("tos.rtd",,$A$2,"."&amp;J$43&amp;J$1&amp;"P"&amp;$A50)="N/A",0,RTD("tos.rtd",,$A$2,"."&amp;J$43&amp;J$1&amp;"P"&amp;$A50))</f>
        <v>-3</v>
      </c>
      <c r="K50" s="91">
        <f ca="1">IF(RTD("tos.rtd",,$A$2,"."&amp;K$43&amp;K$1&amp;"C"&amp;$A50)="N/A",0,RTD("tos.rtd",,$A$2,"."&amp;K$43&amp;K$1&amp;"C"&amp;$A50))-IF(RTD("tos.rtd",,$A$2,"."&amp;K$43&amp;K$1&amp;"P"&amp;$A50)="N/A",0,RTD("tos.rtd",,$A$2,"."&amp;K$43&amp;K$1&amp;"P"&amp;$A50))</f>
        <v>0</v>
      </c>
      <c r="L50" s="91">
        <f ca="1">IF(RTD("tos.rtd",,$A$2,"."&amp;L$43&amp;L$1&amp;"C"&amp;$A50)="N/A",0,RTD("tos.rtd",,$A$2,"."&amp;L$43&amp;L$1&amp;"C"&amp;$A50))-IF(RTD("tos.rtd",,$A$2,"."&amp;L$43&amp;L$1&amp;"P"&amp;$A50)="N/A",0,RTD("tos.rtd",,$A$2,"."&amp;L$43&amp;L$1&amp;"P"&amp;$A50))</f>
        <v>-2</v>
      </c>
      <c r="M50" s="91">
        <f ca="1">IF(RTD("tos.rtd",,$A$2,"."&amp;M$43&amp;M$1&amp;"C"&amp;$A50)="N/A",0,RTD("tos.rtd",,$A$2,"."&amp;M$43&amp;M$1&amp;"C"&amp;$A50))-IF(RTD("tos.rtd",,$A$2,"."&amp;M$43&amp;M$1&amp;"P"&amp;$A50)="N/A",0,RTD("tos.rtd",,$A$2,"."&amp;M$43&amp;M$1&amp;"P"&amp;$A50))</f>
        <v>0</v>
      </c>
      <c r="N50" s="91">
        <f ca="1">IF(RTD("tos.rtd",,$A$2,"."&amp;N$43&amp;N$1&amp;"C"&amp;$A50)="N/A",0,RTD("tos.rtd",,$A$2,"."&amp;N$43&amp;N$1&amp;"C"&amp;$A50))-IF(RTD("tos.rtd",,$A$2,"."&amp;N$43&amp;N$1&amp;"P"&amp;$A50)="N/A",0,RTD("tos.rtd",,$A$2,"."&amp;N$43&amp;N$1&amp;"P"&amp;$A50))</f>
        <v>-10</v>
      </c>
      <c r="O50" s="91">
        <f ca="1">IF(RTD("tos.rtd",,$A$2,"."&amp;O$43&amp;O$1&amp;"C"&amp;$A50)="N/A",0,RTD("tos.rtd",,$A$2,"."&amp;O$43&amp;O$1&amp;"C"&amp;$A50))-IF(RTD("tos.rtd",,$A$2,"."&amp;O$43&amp;O$1&amp;"P"&amp;$A50)="N/A",0,RTD("tos.rtd",,$A$2,"."&amp;O$43&amp;O$1&amp;"P"&amp;$A50))</f>
        <v>0</v>
      </c>
      <c r="P50" s="91">
        <f ca="1">IF(RTD("tos.rtd",,$A$2,"."&amp;P$43&amp;P$1&amp;"C"&amp;$A50)="N/A",0,RTD("tos.rtd",,$A$2,"."&amp;P$43&amp;P$1&amp;"C"&amp;$A50))-IF(RTD("tos.rtd",,$A$2,"."&amp;P$43&amp;P$1&amp;"P"&amp;$A50)="N/A",0,RTD("tos.rtd",,$A$2,"."&amp;P$43&amp;P$1&amp;"P"&amp;$A50))</f>
        <v>0</v>
      </c>
      <c r="Q50" s="91">
        <f ca="1">IF(RTD("tos.rtd",,$A$2,"."&amp;Q$43&amp;Q$1&amp;"C"&amp;$A50)="N/A",0,RTD("tos.rtd",,$A$2,"."&amp;Q$43&amp;Q$1&amp;"C"&amp;$A50))-IF(RTD("tos.rtd",,$A$2,"."&amp;Q$43&amp;Q$1&amp;"P"&amp;$A50)="N/A",0,RTD("tos.rtd",,$A$2,"."&amp;Q$43&amp;Q$1&amp;"P"&amp;$A50))</f>
        <v>0</v>
      </c>
      <c r="R50" s="91">
        <f ca="1">IF(RTD("tos.rtd",,$A$2,"."&amp;R$43&amp;R$1&amp;"C"&amp;$A50)="N/A",0,RTD("tos.rtd",,$A$2,"."&amp;R$43&amp;R$1&amp;"C"&amp;$A50))-IF(RTD("tos.rtd",,$A$2,"."&amp;R$43&amp;R$1&amp;"P"&amp;$A50)="N/A",0,RTD("tos.rtd",,$A$2,"."&amp;R$43&amp;R$1&amp;"P"&amp;$A50))</f>
        <v>0</v>
      </c>
      <c r="S50" s="91">
        <f ca="1">IF(RTD("tos.rtd",,$A$2,"."&amp;S$43&amp;S$1&amp;"C"&amp;$A50)="N/A",0,RTD("tos.rtd",,$A$2,"."&amp;S$43&amp;S$1&amp;"C"&amp;$A50))-IF(RTD("tos.rtd",,$A$2,"."&amp;S$43&amp;S$1&amp;"P"&amp;$A50)="N/A",0,RTD("tos.rtd",,$A$2,"."&amp;S$43&amp;S$1&amp;"P"&amp;$A50))</f>
        <v>0</v>
      </c>
      <c r="T50" s="91">
        <f ca="1">IF(RTD("tos.rtd",,$A$2,"."&amp;T$43&amp;T$1&amp;"C"&amp;$A50)="N/A",0,RTD("tos.rtd",,$A$2,"."&amp;T$43&amp;T$1&amp;"C"&amp;$A50))-IF(RTD("tos.rtd",,$A$2,"."&amp;T$43&amp;T$1&amp;"P"&amp;$A50)="N/A",0,RTD("tos.rtd",,$A$2,"."&amp;T$43&amp;T$1&amp;"P"&amp;$A50))</f>
        <v>0</v>
      </c>
      <c r="U50" s="91">
        <f ca="1">IF(RTD("tos.rtd",,$A$2,"."&amp;U$43&amp;U$1&amp;"C"&amp;$A50)="N/A",0,RTD("tos.rtd",,$A$2,"."&amp;U$43&amp;U$1&amp;"C"&amp;$A50))-IF(RTD("tos.rtd",,$A$2,"."&amp;U$43&amp;U$1&amp;"P"&amp;$A50)="N/A",0,RTD("tos.rtd",,$A$2,"."&amp;U$43&amp;U$1&amp;"P"&amp;$A50))</f>
        <v>0</v>
      </c>
      <c r="V50" s="91">
        <f ca="1">IF(RTD("tos.rtd",,$A$2,"."&amp;V$43&amp;V$1&amp;"C"&amp;$A50)="N/A",0,RTD("tos.rtd",,$A$2,"."&amp;V$43&amp;V$1&amp;"C"&amp;$A50))-IF(RTD("tos.rtd",,$A$2,"."&amp;V$43&amp;V$1&amp;"P"&amp;$A50)="N/A",0,RTD("tos.rtd",,$A$2,"."&amp;V$43&amp;V$1&amp;"P"&amp;$A50))</f>
        <v>0</v>
      </c>
      <c r="W50" s="91">
        <f ca="1">IF(RTD("tos.rtd",,$A$2,"."&amp;W$43&amp;W$1&amp;"C"&amp;$A50)="N/A",0,RTD("tos.rtd",,$A$2,"."&amp;W$43&amp;W$1&amp;"C"&amp;$A50))-IF(RTD("tos.rtd",,$A$2,"."&amp;W$43&amp;W$1&amp;"P"&amp;$A50)="N/A",0,RTD("tos.rtd",,$A$2,"."&amp;W$43&amp;W$1&amp;"P"&amp;$A50))</f>
        <v>0</v>
      </c>
      <c r="X50" s="91">
        <f ca="1">IF(RTD("tos.rtd",,$A$2,"."&amp;X$43&amp;X$1&amp;"C"&amp;$A50)="N/A",0,RTD("tos.rtd",,$A$2,"."&amp;X$43&amp;X$1&amp;"C"&amp;$A50))-IF(RTD("tos.rtd",,$A$2,"."&amp;X$43&amp;X$1&amp;"P"&amp;$A50)="N/A",0,RTD("tos.rtd",,$A$2,"."&amp;X$43&amp;X$1&amp;"P"&amp;$A50))</f>
        <v>0</v>
      </c>
      <c r="Y50" s="98">
        <f t="shared" ca="1" si="7"/>
        <v>103</v>
      </c>
    </row>
    <row r="51" spans="1:25" x14ac:dyDescent="0.25">
      <c r="A51" s="93">
        <f>+Hoja1!A50</f>
        <v>497</v>
      </c>
      <c r="B51" s="91">
        <f ca="1">IF(RTD("tos.rtd",,$A$2,"."&amp;B$43&amp;B$1&amp;"C"&amp;$A51)="N/A",0,RTD("tos.rtd",,$A$2,"."&amp;B$43&amp;B$1&amp;"C"&amp;$A51))-IF(RTD("tos.rtd",,$A$2,"."&amp;B$43&amp;B$1&amp;"P"&amp;$A51)="N/A",0,RTD("tos.rtd",,$A$2,"."&amp;B$43&amp;B$1&amp;"P"&amp;$A51))</f>
        <v>0</v>
      </c>
      <c r="C51" s="91">
        <f ca="1">IF(RTD("tos.rtd",,$A$2,"."&amp;C$43&amp;C$1&amp;"C"&amp;$A51)="N/A",0,RTD("tos.rtd",,$A$2,"."&amp;C$43&amp;C$1&amp;"C"&amp;$A51))-IF(RTD("tos.rtd",,$A$2,"."&amp;C$43&amp;C$1&amp;"P"&amp;$A51)="N/A",0,RTD("tos.rtd",,$A$2,"."&amp;C$43&amp;C$1&amp;"P"&amp;$A51))</f>
        <v>0</v>
      </c>
      <c r="D51" s="91">
        <f ca="1">IF(RTD("tos.rtd",,$A$2,"."&amp;D$43&amp;D$1&amp;"C"&amp;$A51)="N/A",0,RTD("tos.rtd",,$A$2,"."&amp;D$43&amp;D$1&amp;"C"&amp;$A51))-IF(RTD("tos.rtd",,$A$2,"."&amp;D$43&amp;D$1&amp;"P"&amp;$A51)="N/A",0,RTD("tos.rtd",,$A$2,"."&amp;D$43&amp;D$1&amp;"P"&amp;$A51))</f>
        <v>0</v>
      </c>
      <c r="E51" s="91">
        <f ca="1">IF(RTD("tos.rtd",,$A$2,"."&amp;E$43&amp;E$1&amp;"C"&amp;$A51)="N/A",0,RTD("tos.rtd",,$A$2,"."&amp;E$43&amp;E$1&amp;"C"&amp;$A51))-IF(RTD("tos.rtd",,$A$2,"."&amp;E$43&amp;E$1&amp;"P"&amp;$A51)="N/A",0,RTD("tos.rtd",,$A$2,"."&amp;E$43&amp;E$1&amp;"P"&amp;$A51))</f>
        <v>0</v>
      </c>
      <c r="F51" s="91">
        <f ca="1">IF(RTD("tos.rtd",,$A$2,"."&amp;F$43&amp;F$1&amp;"C"&amp;$A51)="N/A",0,RTD("tos.rtd",,$A$2,"."&amp;F$43&amp;F$1&amp;"C"&amp;$A51))-IF(RTD("tos.rtd",,$A$2,"."&amp;F$43&amp;F$1&amp;"P"&amp;$A51)="N/A",0,RTD("tos.rtd",,$A$2,"."&amp;F$43&amp;F$1&amp;"P"&amp;$A51))</f>
        <v>0</v>
      </c>
      <c r="G51" s="91">
        <f ca="1">IF(RTD("tos.rtd",,$A$2,"."&amp;G$43&amp;G$1&amp;"C"&amp;$A51)="N/A",0,RTD("tos.rtd",,$A$2,"."&amp;G$43&amp;G$1&amp;"C"&amp;$A51))-IF(RTD("tos.rtd",,$A$2,"."&amp;G$43&amp;G$1&amp;"P"&amp;$A51)="N/A",0,RTD("tos.rtd",,$A$2,"."&amp;G$43&amp;G$1&amp;"P"&amp;$A51))</f>
        <v>0</v>
      </c>
      <c r="H51" s="91">
        <f ca="1">IF(RTD("tos.rtd",,$A$2,"."&amp;H$43&amp;H$1&amp;"C"&amp;$A51)="N/A",0,RTD("tos.rtd",,$A$2,"."&amp;H$43&amp;H$1&amp;"C"&amp;$A51))-IF(RTD("tos.rtd",,$A$2,"."&amp;H$43&amp;H$1&amp;"P"&amp;$A51)="N/A",0,RTD("tos.rtd",,$A$2,"."&amp;H$43&amp;H$1&amp;"P"&amp;$A51))</f>
        <v>182</v>
      </c>
      <c r="I51" s="91">
        <f ca="1">IF(RTD("tos.rtd",,$A$2,"."&amp;I$43&amp;I$1&amp;"C"&amp;$A51)="N/A",0,RTD("tos.rtd",,$A$2,"."&amp;I$43&amp;I$1&amp;"C"&amp;$A51))-IF(RTD("tos.rtd",,$A$2,"."&amp;I$43&amp;I$1&amp;"P"&amp;$A51)="N/A",0,RTD("tos.rtd",,$A$2,"."&amp;I$43&amp;I$1&amp;"P"&amp;$A51))</f>
        <v>223</v>
      </c>
      <c r="J51" s="91">
        <f ca="1">IF(RTD("tos.rtd",,$A$2,"."&amp;J$43&amp;J$1&amp;"C"&amp;$A51)="N/A",0,RTD("tos.rtd",,$A$2,"."&amp;J$43&amp;J$1&amp;"C"&amp;$A51))-IF(RTD("tos.rtd",,$A$2,"."&amp;J$43&amp;J$1&amp;"P"&amp;$A51)="N/A",0,RTD("tos.rtd",,$A$2,"."&amp;J$43&amp;J$1&amp;"P"&amp;$A51))</f>
        <v>117</v>
      </c>
      <c r="K51" s="91">
        <f ca="1">IF(RTD("tos.rtd",,$A$2,"."&amp;K$43&amp;K$1&amp;"C"&amp;$A51)="N/A",0,RTD("tos.rtd",,$A$2,"."&amp;K$43&amp;K$1&amp;"C"&amp;$A51))-IF(RTD("tos.rtd",,$A$2,"."&amp;K$43&amp;K$1&amp;"P"&amp;$A51)="N/A",0,RTD("tos.rtd",,$A$2,"."&amp;K$43&amp;K$1&amp;"P"&amp;$A51))</f>
        <v>0</v>
      </c>
      <c r="L51" s="91">
        <f ca="1">IF(RTD("tos.rtd",,$A$2,"."&amp;L$43&amp;L$1&amp;"C"&amp;$A51)="N/A",0,RTD("tos.rtd",,$A$2,"."&amp;L$43&amp;L$1&amp;"C"&amp;$A51))-IF(RTD("tos.rtd",,$A$2,"."&amp;L$43&amp;L$1&amp;"P"&amp;$A51)="N/A",0,RTD("tos.rtd",,$A$2,"."&amp;L$43&amp;L$1&amp;"P"&amp;$A51))</f>
        <v>-191</v>
      </c>
      <c r="M51" s="91">
        <f ca="1">IF(RTD("tos.rtd",,$A$2,"."&amp;M$43&amp;M$1&amp;"C"&amp;$A51)="N/A",0,RTD("tos.rtd",,$A$2,"."&amp;M$43&amp;M$1&amp;"C"&amp;$A51))-IF(RTD("tos.rtd",,$A$2,"."&amp;M$43&amp;M$1&amp;"P"&amp;$A51)="N/A",0,RTD("tos.rtd",,$A$2,"."&amp;M$43&amp;M$1&amp;"P"&amp;$A51))</f>
        <v>0</v>
      </c>
      <c r="N51" s="91">
        <f ca="1">IF(RTD("tos.rtd",,$A$2,"."&amp;N$43&amp;N$1&amp;"C"&amp;$A51)="N/A",0,RTD("tos.rtd",,$A$2,"."&amp;N$43&amp;N$1&amp;"C"&amp;$A51))-IF(RTD("tos.rtd",,$A$2,"."&amp;N$43&amp;N$1&amp;"P"&amp;$A51)="N/A",0,RTD("tos.rtd",,$A$2,"."&amp;N$43&amp;N$1&amp;"P"&amp;$A51))</f>
        <v>0</v>
      </c>
      <c r="O51" s="91">
        <f ca="1">IF(RTD("tos.rtd",,$A$2,"."&amp;O$43&amp;O$1&amp;"C"&amp;$A51)="N/A",0,RTD("tos.rtd",,$A$2,"."&amp;O$43&amp;O$1&amp;"C"&amp;$A51))-IF(RTD("tos.rtd",,$A$2,"."&amp;O$43&amp;O$1&amp;"P"&amp;$A51)="N/A",0,RTD("tos.rtd",,$A$2,"."&amp;O$43&amp;O$1&amp;"P"&amp;$A51))</f>
        <v>0</v>
      </c>
      <c r="P51" s="91">
        <f ca="1">IF(RTD("tos.rtd",,$A$2,"."&amp;P$43&amp;P$1&amp;"C"&amp;$A51)="N/A",0,RTD("tos.rtd",,$A$2,"."&amp;P$43&amp;P$1&amp;"C"&amp;$A51))-IF(RTD("tos.rtd",,$A$2,"."&amp;P$43&amp;P$1&amp;"P"&amp;$A51)="N/A",0,RTD("tos.rtd",,$A$2,"."&amp;P$43&amp;P$1&amp;"P"&amp;$A51))</f>
        <v>0</v>
      </c>
      <c r="Q51" s="91">
        <f ca="1">IF(RTD("tos.rtd",,$A$2,"."&amp;Q$43&amp;Q$1&amp;"C"&amp;$A51)="N/A",0,RTD("tos.rtd",,$A$2,"."&amp;Q$43&amp;Q$1&amp;"C"&amp;$A51))-IF(RTD("tos.rtd",,$A$2,"."&amp;Q$43&amp;Q$1&amp;"P"&amp;$A51)="N/A",0,RTD("tos.rtd",,$A$2,"."&amp;Q$43&amp;Q$1&amp;"P"&amp;$A51))</f>
        <v>0</v>
      </c>
      <c r="R51" s="91">
        <f ca="1">IF(RTD("tos.rtd",,$A$2,"."&amp;R$43&amp;R$1&amp;"C"&amp;$A51)="N/A",0,RTD("tos.rtd",,$A$2,"."&amp;R$43&amp;R$1&amp;"C"&amp;$A51))-IF(RTD("tos.rtd",,$A$2,"."&amp;R$43&amp;R$1&amp;"P"&amp;$A51)="N/A",0,RTD("tos.rtd",,$A$2,"."&amp;R$43&amp;R$1&amp;"P"&amp;$A51))</f>
        <v>-20</v>
      </c>
      <c r="S51" s="91">
        <f ca="1">IF(RTD("tos.rtd",,$A$2,"."&amp;S$43&amp;S$1&amp;"C"&amp;$A51)="N/A",0,RTD("tos.rtd",,$A$2,"."&amp;S$43&amp;S$1&amp;"C"&amp;$A51))-IF(RTD("tos.rtd",,$A$2,"."&amp;S$43&amp;S$1&amp;"P"&amp;$A51)="N/A",0,RTD("tos.rtd",,$A$2,"."&amp;S$43&amp;S$1&amp;"P"&amp;$A51))</f>
        <v>0</v>
      </c>
      <c r="T51" s="91">
        <f ca="1">IF(RTD("tos.rtd",,$A$2,"."&amp;T$43&amp;T$1&amp;"C"&amp;$A51)="N/A",0,RTD("tos.rtd",,$A$2,"."&amp;T$43&amp;T$1&amp;"C"&amp;$A51))-IF(RTD("tos.rtd",,$A$2,"."&amp;T$43&amp;T$1&amp;"P"&amp;$A51)="N/A",0,RTD("tos.rtd",,$A$2,"."&amp;T$43&amp;T$1&amp;"P"&amp;$A51))</f>
        <v>0</v>
      </c>
      <c r="U51" s="91">
        <f ca="1">IF(RTD("tos.rtd",,$A$2,"."&amp;U$43&amp;U$1&amp;"C"&amp;$A51)="N/A",0,RTD("tos.rtd",,$A$2,"."&amp;U$43&amp;U$1&amp;"C"&amp;$A51))-IF(RTD("tos.rtd",,$A$2,"."&amp;U$43&amp;U$1&amp;"P"&amp;$A51)="N/A",0,RTD("tos.rtd",,$A$2,"."&amp;U$43&amp;U$1&amp;"P"&amp;$A51))</f>
        <v>0</v>
      </c>
      <c r="V51" s="91">
        <f ca="1">IF(RTD("tos.rtd",,$A$2,"."&amp;V$43&amp;V$1&amp;"C"&amp;$A51)="N/A",0,RTD("tos.rtd",,$A$2,"."&amp;V$43&amp;V$1&amp;"C"&amp;$A51))-IF(RTD("tos.rtd",,$A$2,"."&amp;V$43&amp;V$1&amp;"P"&amp;$A51)="N/A",0,RTD("tos.rtd",,$A$2,"."&amp;V$43&amp;V$1&amp;"P"&amp;$A51))</f>
        <v>0</v>
      </c>
      <c r="W51" s="91">
        <f ca="1">IF(RTD("tos.rtd",,$A$2,"."&amp;W$43&amp;W$1&amp;"C"&amp;$A51)="N/A",0,RTD("tos.rtd",,$A$2,"."&amp;W$43&amp;W$1&amp;"C"&amp;$A51))-IF(RTD("tos.rtd",,$A$2,"."&amp;W$43&amp;W$1&amp;"P"&amp;$A51)="N/A",0,RTD("tos.rtd",,$A$2,"."&amp;W$43&amp;W$1&amp;"P"&amp;$A51))</f>
        <v>0</v>
      </c>
      <c r="X51" s="91">
        <f ca="1">IF(RTD("tos.rtd",,$A$2,"."&amp;X$43&amp;X$1&amp;"C"&amp;$A51)="N/A",0,RTD("tos.rtd",,$A$2,"."&amp;X$43&amp;X$1&amp;"C"&amp;$A51))-IF(RTD("tos.rtd",,$A$2,"."&amp;X$43&amp;X$1&amp;"P"&amp;$A51)="N/A",0,RTD("tos.rtd",,$A$2,"."&amp;X$43&amp;X$1&amp;"P"&amp;$A51))</f>
        <v>1</v>
      </c>
      <c r="Y51" s="98">
        <f t="shared" ca="1" si="7"/>
        <v>312</v>
      </c>
    </row>
    <row r="52" spans="1:25" x14ac:dyDescent="0.25">
      <c r="A52" s="93">
        <f>+Hoja1!A51</f>
        <v>496</v>
      </c>
      <c r="B52" s="91">
        <f ca="1">IF(RTD("tos.rtd",,$A$2,"."&amp;B$43&amp;B$1&amp;"C"&amp;$A52)="N/A",0,RTD("tos.rtd",,$A$2,"."&amp;B$43&amp;B$1&amp;"C"&amp;$A52))-IF(RTD("tos.rtd",,$A$2,"."&amp;B$43&amp;B$1&amp;"P"&amp;$A52)="N/A",0,RTD("tos.rtd",,$A$2,"."&amp;B$43&amp;B$1&amp;"P"&amp;$A52))</f>
        <v>0</v>
      </c>
      <c r="C52" s="91">
        <f ca="1">IF(RTD("tos.rtd",,$A$2,"."&amp;C$43&amp;C$1&amp;"C"&amp;$A52)="N/A",0,RTD("tos.rtd",,$A$2,"."&amp;C$43&amp;C$1&amp;"C"&amp;$A52))-IF(RTD("tos.rtd",,$A$2,"."&amp;C$43&amp;C$1&amp;"P"&amp;$A52)="N/A",0,RTD("tos.rtd",,$A$2,"."&amp;C$43&amp;C$1&amp;"P"&amp;$A52))</f>
        <v>0</v>
      </c>
      <c r="D52" s="91">
        <f ca="1">IF(RTD("tos.rtd",,$A$2,"."&amp;D$43&amp;D$1&amp;"C"&amp;$A52)="N/A",0,RTD("tos.rtd",,$A$2,"."&amp;D$43&amp;D$1&amp;"C"&amp;$A52))-IF(RTD("tos.rtd",,$A$2,"."&amp;D$43&amp;D$1&amp;"P"&amp;$A52)="N/A",0,RTD("tos.rtd",,$A$2,"."&amp;D$43&amp;D$1&amp;"P"&amp;$A52))</f>
        <v>0</v>
      </c>
      <c r="E52" s="91">
        <f ca="1">IF(RTD("tos.rtd",,$A$2,"."&amp;E$43&amp;E$1&amp;"C"&amp;$A52)="N/A",0,RTD("tos.rtd",,$A$2,"."&amp;E$43&amp;E$1&amp;"C"&amp;$A52))-IF(RTD("tos.rtd",,$A$2,"."&amp;E$43&amp;E$1&amp;"P"&amp;$A52)="N/A",0,RTD("tos.rtd",,$A$2,"."&amp;E$43&amp;E$1&amp;"P"&amp;$A52))</f>
        <v>0</v>
      </c>
      <c r="F52" s="91">
        <f ca="1">IF(RTD("tos.rtd",,$A$2,"."&amp;F$43&amp;F$1&amp;"C"&amp;$A52)="N/A",0,RTD("tos.rtd",,$A$2,"."&amp;F$43&amp;F$1&amp;"C"&amp;$A52))-IF(RTD("tos.rtd",,$A$2,"."&amp;F$43&amp;F$1&amp;"P"&amp;$A52)="N/A",0,RTD("tos.rtd",,$A$2,"."&amp;F$43&amp;F$1&amp;"P"&amp;$A52))</f>
        <v>0</v>
      </c>
      <c r="G52" s="91">
        <f ca="1">IF(RTD("tos.rtd",,$A$2,"."&amp;G$43&amp;G$1&amp;"C"&amp;$A52)="N/A",0,RTD("tos.rtd",,$A$2,"."&amp;G$43&amp;G$1&amp;"C"&amp;$A52))-IF(RTD("tos.rtd",,$A$2,"."&amp;G$43&amp;G$1&amp;"P"&amp;$A52)="N/A",0,RTD("tos.rtd",,$A$2,"."&amp;G$43&amp;G$1&amp;"P"&amp;$A52))</f>
        <v>0</v>
      </c>
      <c r="H52" s="91">
        <f ca="1">IF(RTD("tos.rtd",,$A$2,"."&amp;H$43&amp;H$1&amp;"C"&amp;$A52)="N/A",0,RTD("tos.rtd",,$A$2,"."&amp;H$43&amp;H$1&amp;"C"&amp;$A52))-IF(RTD("tos.rtd",,$A$2,"."&amp;H$43&amp;H$1&amp;"P"&amp;$A52)="N/A",0,RTD("tos.rtd",,$A$2,"."&amp;H$43&amp;H$1&amp;"P"&amp;$A52))</f>
        <v>12</v>
      </c>
      <c r="I52" s="91">
        <f ca="1">IF(RTD("tos.rtd",,$A$2,"."&amp;I$43&amp;I$1&amp;"C"&amp;$A52)="N/A",0,RTD("tos.rtd",,$A$2,"."&amp;I$43&amp;I$1&amp;"C"&amp;$A52))-IF(RTD("tos.rtd",,$A$2,"."&amp;I$43&amp;I$1&amp;"P"&amp;$A52)="N/A",0,RTD("tos.rtd",,$A$2,"."&amp;I$43&amp;I$1&amp;"P"&amp;$A52))</f>
        <v>57</v>
      </c>
      <c r="J52" s="91">
        <f ca="1">IF(RTD("tos.rtd",,$A$2,"."&amp;J$43&amp;J$1&amp;"C"&amp;$A52)="N/A",0,RTD("tos.rtd",,$A$2,"."&amp;J$43&amp;J$1&amp;"C"&amp;$A52))-IF(RTD("tos.rtd",,$A$2,"."&amp;J$43&amp;J$1&amp;"P"&amp;$A52)="N/A",0,RTD("tos.rtd",,$A$2,"."&amp;J$43&amp;J$1&amp;"P"&amp;$A52))</f>
        <v>28</v>
      </c>
      <c r="K52" s="91">
        <f ca="1">IF(RTD("tos.rtd",,$A$2,"."&amp;K$43&amp;K$1&amp;"C"&amp;$A52)="N/A",0,RTD("tos.rtd",,$A$2,"."&amp;K$43&amp;K$1&amp;"C"&amp;$A52))-IF(RTD("tos.rtd",,$A$2,"."&amp;K$43&amp;K$1&amp;"P"&amp;$A52)="N/A",0,RTD("tos.rtd",,$A$2,"."&amp;K$43&amp;K$1&amp;"P"&amp;$A52))</f>
        <v>0</v>
      </c>
      <c r="L52" s="91">
        <f ca="1">IF(RTD("tos.rtd",,$A$2,"."&amp;L$43&amp;L$1&amp;"C"&amp;$A52)="N/A",0,RTD("tos.rtd",,$A$2,"."&amp;L$43&amp;L$1&amp;"C"&amp;$A52))-IF(RTD("tos.rtd",,$A$2,"."&amp;L$43&amp;L$1&amp;"P"&amp;$A52)="N/A",0,RTD("tos.rtd",,$A$2,"."&amp;L$43&amp;L$1&amp;"P"&amp;$A52))</f>
        <v>-8</v>
      </c>
      <c r="M52" s="91">
        <f ca="1">IF(RTD("tos.rtd",,$A$2,"."&amp;M$43&amp;M$1&amp;"C"&amp;$A52)="N/A",0,RTD("tos.rtd",,$A$2,"."&amp;M$43&amp;M$1&amp;"C"&amp;$A52))-IF(RTD("tos.rtd",,$A$2,"."&amp;M$43&amp;M$1&amp;"P"&amp;$A52)="N/A",0,RTD("tos.rtd",,$A$2,"."&amp;M$43&amp;M$1&amp;"P"&amp;$A52))</f>
        <v>0</v>
      </c>
      <c r="N52" s="91">
        <f ca="1">IF(RTD("tos.rtd",,$A$2,"."&amp;N$43&amp;N$1&amp;"C"&amp;$A52)="N/A",0,RTD("tos.rtd",,$A$2,"."&amp;N$43&amp;N$1&amp;"C"&amp;$A52))-IF(RTD("tos.rtd",,$A$2,"."&amp;N$43&amp;N$1&amp;"P"&amp;$A52)="N/A",0,RTD("tos.rtd",,$A$2,"."&amp;N$43&amp;N$1&amp;"P"&amp;$A52))</f>
        <v>1</v>
      </c>
      <c r="O52" s="91">
        <f ca="1">IF(RTD("tos.rtd",,$A$2,"."&amp;O$43&amp;O$1&amp;"C"&amp;$A52)="N/A",0,RTD("tos.rtd",,$A$2,"."&amp;O$43&amp;O$1&amp;"C"&amp;$A52))-IF(RTD("tos.rtd",,$A$2,"."&amp;O$43&amp;O$1&amp;"P"&amp;$A52)="N/A",0,RTD("tos.rtd",,$A$2,"."&amp;O$43&amp;O$1&amp;"P"&amp;$A52))</f>
        <v>0</v>
      </c>
      <c r="P52" s="91">
        <f ca="1">IF(RTD("tos.rtd",,$A$2,"."&amp;P$43&amp;P$1&amp;"C"&amp;$A52)="N/A",0,RTD("tos.rtd",,$A$2,"."&amp;P$43&amp;P$1&amp;"C"&amp;$A52))-IF(RTD("tos.rtd",,$A$2,"."&amp;P$43&amp;P$1&amp;"P"&amp;$A52)="N/A",0,RTD("tos.rtd",,$A$2,"."&amp;P$43&amp;P$1&amp;"P"&amp;$A52))</f>
        <v>0</v>
      </c>
      <c r="Q52" s="91">
        <f ca="1">IF(RTD("tos.rtd",,$A$2,"."&amp;Q$43&amp;Q$1&amp;"C"&amp;$A52)="N/A",0,RTD("tos.rtd",,$A$2,"."&amp;Q$43&amp;Q$1&amp;"C"&amp;$A52))-IF(RTD("tos.rtd",,$A$2,"."&amp;Q$43&amp;Q$1&amp;"P"&amp;$A52)="N/A",0,RTD("tos.rtd",,$A$2,"."&amp;Q$43&amp;Q$1&amp;"P"&amp;$A52))</f>
        <v>0</v>
      </c>
      <c r="R52" s="91">
        <f ca="1">IF(RTD("tos.rtd",,$A$2,"."&amp;R$43&amp;R$1&amp;"C"&amp;$A52)="N/A",0,RTD("tos.rtd",,$A$2,"."&amp;R$43&amp;R$1&amp;"C"&amp;$A52))-IF(RTD("tos.rtd",,$A$2,"."&amp;R$43&amp;R$1&amp;"P"&amp;$A52)="N/A",0,RTD("tos.rtd",,$A$2,"."&amp;R$43&amp;R$1&amp;"P"&amp;$A52))</f>
        <v>0</v>
      </c>
      <c r="S52" s="91">
        <f ca="1">IF(RTD("tos.rtd",,$A$2,"."&amp;S$43&amp;S$1&amp;"C"&amp;$A52)="N/A",0,RTD("tos.rtd",,$A$2,"."&amp;S$43&amp;S$1&amp;"C"&amp;$A52))-IF(RTD("tos.rtd",,$A$2,"."&amp;S$43&amp;S$1&amp;"P"&amp;$A52)="N/A",0,RTD("tos.rtd",,$A$2,"."&amp;S$43&amp;S$1&amp;"P"&amp;$A52))</f>
        <v>0</v>
      </c>
      <c r="T52" s="91">
        <f ca="1">IF(RTD("tos.rtd",,$A$2,"."&amp;T$43&amp;T$1&amp;"C"&amp;$A52)="N/A",0,RTD("tos.rtd",,$A$2,"."&amp;T$43&amp;T$1&amp;"C"&amp;$A52))-IF(RTD("tos.rtd",,$A$2,"."&amp;T$43&amp;T$1&amp;"P"&amp;$A52)="N/A",0,RTD("tos.rtd",,$A$2,"."&amp;T$43&amp;T$1&amp;"P"&amp;$A52))</f>
        <v>0</v>
      </c>
      <c r="U52" s="91">
        <f ca="1">IF(RTD("tos.rtd",,$A$2,"."&amp;U$43&amp;U$1&amp;"C"&amp;$A52)="N/A",0,RTD("tos.rtd",,$A$2,"."&amp;U$43&amp;U$1&amp;"C"&amp;$A52))-IF(RTD("tos.rtd",,$A$2,"."&amp;U$43&amp;U$1&amp;"P"&amp;$A52)="N/A",0,RTD("tos.rtd",,$A$2,"."&amp;U$43&amp;U$1&amp;"P"&amp;$A52))</f>
        <v>0</v>
      </c>
      <c r="V52" s="91">
        <f ca="1">IF(RTD("tos.rtd",,$A$2,"."&amp;V$43&amp;V$1&amp;"C"&amp;$A52)="N/A",0,RTD("tos.rtd",,$A$2,"."&amp;V$43&amp;V$1&amp;"C"&amp;$A52))-IF(RTD("tos.rtd",,$A$2,"."&amp;V$43&amp;V$1&amp;"P"&amp;$A52)="N/A",0,RTD("tos.rtd",,$A$2,"."&amp;V$43&amp;V$1&amp;"P"&amp;$A52))</f>
        <v>0</v>
      </c>
      <c r="W52" s="91">
        <f ca="1">IF(RTD("tos.rtd",,$A$2,"."&amp;W$43&amp;W$1&amp;"C"&amp;$A52)="N/A",0,RTD("tos.rtd",,$A$2,"."&amp;W$43&amp;W$1&amp;"C"&amp;$A52))-IF(RTD("tos.rtd",,$A$2,"."&amp;W$43&amp;W$1&amp;"P"&amp;$A52)="N/A",0,RTD("tos.rtd",,$A$2,"."&amp;W$43&amp;W$1&amp;"P"&amp;$A52))</f>
        <v>0</v>
      </c>
      <c r="X52" s="91">
        <f ca="1">IF(RTD("tos.rtd",,$A$2,"."&amp;X$43&amp;X$1&amp;"C"&amp;$A52)="N/A",0,RTD("tos.rtd",,$A$2,"."&amp;X$43&amp;X$1&amp;"C"&amp;$A52))-IF(RTD("tos.rtd",,$A$2,"."&amp;X$43&amp;X$1&amp;"P"&amp;$A52)="N/A",0,RTD("tos.rtd",,$A$2,"."&amp;X$43&amp;X$1&amp;"P"&amp;$A52))</f>
        <v>1</v>
      </c>
      <c r="Y52" s="98">
        <f t="shared" ca="1" si="7"/>
        <v>91</v>
      </c>
    </row>
    <row r="53" spans="1:25" x14ac:dyDescent="0.25">
      <c r="A53" s="93">
        <f>+Hoja1!A52</f>
        <v>495</v>
      </c>
      <c r="B53" s="91">
        <f ca="1">IF(RTD("tos.rtd",,$A$2,"."&amp;B$43&amp;B$1&amp;"C"&amp;$A53)="N/A",0,RTD("tos.rtd",,$A$2,"."&amp;B$43&amp;B$1&amp;"C"&amp;$A53))-IF(RTD("tos.rtd",,$A$2,"."&amp;B$43&amp;B$1&amp;"P"&amp;$A53)="N/A",0,RTD("tos.rtd",,$A$2,"."&amp;B$43&amp;B$1&amp;"P"&amp;$A53))</f>
        <v>0</v>
      </c>
      <c r="C53" s="91">
        <f ca="1">IF(RTD("tos.rtd",,$A$2,"."&amp;C$43&amp;C$1&amp;"C"&amp;$A53)="N/A",0,RTD("tos.rtd",,$A$2,"."&amp;C$43&amp;C$1&amp;"C"&amp;$A53))-IF(RTD("tos.rtd",,$A$2,"."&amp;C$43&amp;C$1&amp;"P"&amp;$A53)="N/A",0,RTD("tos.rtd",,$A$2,"."&amp;C$43&amp;C$1&amp;"P"&amp;$A53))</f>
        <v>0</v>
      </c>
      <c r="D53" s="91">
        <f ca="1">IF(RTD("tos.rtd",,$A$2,"."&amp;D$43&amp;D$1&amp;"C"&amp;$A53)="N/A",0,RTD("tos.rtd",,$A$2,"."&amp;D$43&amp;D$1&amp;"C"&amp;$A53))-IF(RTD("tos.rtd",,$A$2,"."&amp;D$43&amp;D$1&amp;"P"&amp;$A53)="N/A",0,RTD("tos.rtd",,$A$2,"."&amp;D$43&amp;D$1&amp;"P"&amp;$A53))</f>
        <v>0</v>
      </c>
      <c r="E53" s="91">
        <f ca="1">IF(RTD("tos.rtd",,$A$2,"."&amp;E$43&amp;E$1&amp;"C"&amp;$A53)="N/A",0,RTD("tos.rtd",,$A$2,"."&amp;E$43&amp;E$1&amp;"C"&amp;$A53))-IF(RTD("tos.rtd",,$A$2,"."&amp;E$43&amp;E$1&amp;"P"&amp;$A53)="N/A",0,RTD("tos.rtd",,$A$2,"."&amp;E$43&amp;E$1&amp;"P"&amp;$A53))</f>
        <v>0</v>
      </c>
      <c r="F53" s="91">
        <f ca="1">IF(RTD("tos.rtd",,$A$2,"."&amp;F$43&amp;F$1&amp;"C"&amp;$A53)="N/A",0,RTD("tos.rtd",,$A$2,"."&amp;F$43&amp;F$1&amp;"C"&amp;$A53))-IF(RTD("tos.rtd",,$A$2,"."&amp;F$43&amp;F$1&amp;"P"&amp;$A53)="N/A",0,RTD("tos.rtd",,$A$2,"."&amp;F$43&amp;F$1&amp;"P"&amp;$A53))</f>
        <v>0</v>
      </c>
      <c r="G53" s="91">
        <f ca="1">IF(RTD("tos.rtd",,$A$2,"."&amp;G$43&amp;G$1&amp;"C"&amp;$A53)="N/A",0,RTD("tos.rtd",,$A$2,"."&amp;G$43&amp;G$1&amp;"C"&amp;$A53))-IF(RTD("tos.rtd",,$A$2,"."&amp;G$43&amp;G$1&amp;"P"&amp;$A53)="N/A",0,RTD("tos.rtd",,$A$2,"."&amp;G$43&amp;G$1&amp;"P"&amp;$A53))</f>
        <v>0</v>
      </c>
      <c r="H53" s="91">
        <f ca="1">IF(RTD("tos.rtd",,$A$2,"."&amp;H$43&amp;H$1&amp;"C"&amp;$A53)="N/A",0,RTD("tos.rtd",,$A$2,"."&amp;H$43&amp;H$1&amp;"C"&amp;$A53))-IF(RTD("tos.rtd",,$A$2,"."&amp;H$43&amp;H$1&amp;"P"&amp;$A53)="N/A",0,RTD("tos.rtd",,$A$2,"."&amp;H$43&amp;H$1&amp;"P"&amp;$A53))</f>
        <v>584</v>
      </c>
      <c r="I53" s="91">
        <f ca="1">IF(RTD("tos.rtd",,$A$2,"."&amp;I$43&amp;I$1&amp;"C"&amp;$A53)="N/A",0,RTD("tos.rtd",,$A$2,"."&amp;I$43&amp;I$1&amp;"C"&amp;$A53))-IF(RTD("tos.rtd",,$A$2,"."&amp;I$43&amp;I$1&amp;"P"&amp;$A53)="N/A",0,RTD("tos.rtd",,$A$2,"."&amp;I$43&amp;I$1&amp;"P"&amp;$A53))</f>
        <v>645</v>
      </c>
      <c r="J53" s="91">
        <f ca="1">IF(RTD("tos.rtd",,$A$2,"."&amp;J$43&amp;J$1&amp;"C"&amp;$A53)="N/A",0,RTD("tos.rtd",,$A$2,"."&amp;J$43&amp;J$1&amp;"C"&amp;$A53))-IF(RTD("tos.rtd",,$A$2,"."&amp;J$43&amp;J$1&amp;"P"&amp;$A53)="N/A",0,RTD("tos.rtd",,$A$2,"."&amp;J$43&amp;J$1&amp;"P"&amp;$A53))</f>
        <v>114</v>
      </c>
      <c r="K53" s="91">
        <f ca="1">IF(RTD("tos.rtd",,$A$2,"."&amp;K$43&amp;K$1&amp;"C"&amp;$A53)="N/A",0,RTD("tos.rtd",,$A$2,"."&amp;K$43&amp;K$1&amp;"C"&amp;$A53))-IF(RTD("tos.rtd",,$A$2,"."&amp;K$43&amp;K$1&amp;"P"&amp;$A53)="N/A",0,RTD("tos.rtd",,$A$2,"."&amp;K$43&amp;K$1&amp;"P"&amp;$A53))</f>
        <v>4475</v>
      </c>
      <c r="L53" s="91">
        <f ca="1">IF(RTD("tos.rtd",,$A$2,"."&amp;L$43&amp;L$1&amp;"C"&amp;$A53)="N/A",0,RTD("tos.rtd",,$A$2,"."&amp;L$43&amp;L$1&amp;"C"&amp;$A53))-IF(RTD("tos.rtd",,$A$2,"."&amp;L$43&amp;L$1&amp;"P"&amp;$A53)="N/A",0,RTD("tos.rtd",,$A$2,"."&amp;L$43&amp;L$1&amp;"P"&amp;$A53))</f>
        <v>17</v>
      </c>
      <c r="M53" s="91">
        <f ca="1">IF(RTD("tos.rtd",,$A$2,"."&amp;M$43&amp;M$1&amp;"C"&amp;$A53)="N/A",0,RTD("tos.rtd",,$A$2,"."&amp;M$43&amp;M$1&amp;"C"&amp;$A53))-IF(RTD("tos.rtd",,$A$2,"."&amp;M$43&amp;M$1&amp;"P"&amp;$A53)="N/A",0,RTD("tos.rtd",,$A$2,"."&amp;M$43&amp;M$1&amp;"P"&amp;$A53))</f>
        <v>97</v>
      </c>
      <c r="N53" s="91">
        <f ca="1">IF(RTD("tos.rtd",,$A$2,"."&amp;N$43&amp;N$1&amp;"C"&amp;$A53)="N/A",0,RTD("tos.rtd",,$A$2,"."&amp;N$43&amp;N$1&amp;"C"&amp;$A53))-IF(RTD("tos.rtd",,$A$2,"."&amp;N$43&amp;N$1&amp;"P"&amp;$A53)="N/A",0,RTD("tos.rtd",,$A$2,"."&amp;N$43&amp;N$1&amp;"P"&amp;$A53))</f>
        <v>50</v>
      </c>
      <c r="O53" s="91">
        <f ca="1">IF(RTD("tos.rtd",,$A$2,"."&amp;O$43&amp;O$1&amp;"C"&amp;$A53)="N/A",0,RTD("tos.rtd",,$A$2,"."&amp;O$43&amp;O$1&amp;"C"&amp;$A53))-IF(RTD("tos.rtd",,$A$2,"."&amp;O$43&amp;O$1&amp;"P"&amp;$A53)="N/A",0,RTD("tos.rtd",,$A$2,"."&amp;O$43&amp;O$1&amp;"P"&amp;$A53))</f>
        <v>53</v>
      </c>
      <c r="P53" s="91">
        <f ca="1">IF(RTD("tos.rtd",,$A$2,"."&amp;P$43&amp;P$1&amp;"C"&amp;$A53)="N/A",0,RTD("tos.rtd",,$A$2,"."&amp;P$43&amp;P$1&amp;"C"&amp;$A53))-IF(RTD("tos.rtd",,$A$2,"."&amp;P$43&amp;P$1&amp;"P"&amp;$A53)="N/A",0,RTD("tos.rtd",,$A$2,"."&amp;P$43&amp;P$1&amp;"P"&amp;$A53))</f>
        <v>29</v>
      </c>
      <c r="Q53" s="91">
        <f ca="1">IF(RTD("tos.rtd",,$A$2,"."&amp;Q$43&amp;Q$1&amp;"C"&amp;$A53)="N/A",0,RTD("tos.rtd",,$A$2,"."&amp;Q$43&amp;Q$1&amp;"C"&amp;$A53))-IF(RTD("tos.rtd",,$A$2,"."&amp;Q$43&amp;Q$1&amp;"P"&amp;$A53)="N/A",0,RTD("tos.rtd",,$A$2,"."&amp;Q$43&amp;Q$1&amp;"P"&amp;$A53))</f>
        <v>47</v>
      </c>
      <c r="R53" s="91">
        <f ca="1">IF(RTD("tos.rtd",,$A$2,"."&amp;R$43&amp;R$1&amp;"C"&amp;$A53)="N/A",0,RTD("tos.rtd",,$A$2,"."&amp;R$43&amp;R$1&amp;"C"&amp;$A53))-IF(RTD("tos.rtd",,$A$2,"."&amp;R$43&amp;R$1&amp;"P"&amp;$A53)="N/A",0,RTD("tos.rtd",,$A$2,"."&amp;R$43&amp;R$1&amp;"P"&amp;$A53))</f>
        <v>-14</v>
      </c>
      <c r="S53" s="91">
        <f ca="1">IF(RTD("tos.rtd",,$A$2,"."&amp;S$43&amp;S$1&amp;"C"&amp;$A53)="N/A",0,RTD("tos.rtd",,$A$2,"."&amp;S$43&amp;S$1&amp;"C"&amp;$A53))-IF(RTD("tos.rtd",,$A$2,"."&amp;S$43&amp;S$1&amp;"P"&amp;$A53)="N/A",0,RTD("tos.rtd",,$A$2,"."&amp;S$43&amp;S$1&amp;"P"&amp;$A53))</f>
        <v>0</v>
      </c>
      <c r="T53" s="91">
        <f ca="1">IF(RTD("tos.rtd",,$A$2,"."&amp;T$43&amp;T$1&amp;"C"&amp;$A53)="N/A",0,RTD("tos.rtd",,$A$2,"."&amp;T$43&amp;T$1&amp;"C"&amp;$A53))-IF(RTD("tos.rtd",,$A$2,"."&amp;T$43&amp;T$1&amp;"P"&amp;$A53)="N/A",0,RTD("tos.rtd",,$A$2,"."&amp;T$43&amp;T$1&amp;"P"&amp;$A53))</f>
        <v>0</v>
      </c>
      <c r="U53" s="91">
        <f ca="1">IF(RTD("tos.rtd",,$A$2,"."&amp;U$43&amp;U$1&amp;"C"&amp;$A53)="N/A",0,RTD("tos.rtd",,$A$2,"."&amp;U$43&amp;U$1&amp;"C"&amp;$A53))-IF(RTD("tos.rtd",,$A$2,"."&amp;U$43&amp;U$1&amp;"P"&amp;$A53)="N/A",0,RTD("tos.rtd",,$A$2,"."&amp;U$43&amp;U$1&amp;"P"&amp;$A53))</f>
        <v>96</v>
      </c>
      <c r="V53" s="91">
        <f ca="1">IF(RTD("tos.rtd",,$A$2,"."&amp;V$43&amp;V$1&amp;"C"&amp;$A53)="N/A",0,RTD("tos.rtd",,$A$2,"."&amp;V$43&amp;V$1&amp;"C"&amp;$A53))-IF(RTD("tos.rtd",,$A$2,"."&amp;V$43&amp;V$1&amp;"P"&amp;$A53)="N/A",0,RTD("tos.rtd",,$A$2,"."&amp;V$43&amp;V$1&amp;"P"&amp;$A53))</f>
        <v>0</v>
      </c>
      <c r="W53" s="91">
        <f ca="1">IF(RTD("tos.rtd",,$A$2,"."&amp;W$43&amp;W$1&amp;"C"&amp;$A53)="N/A",0,RTD("tos.rtd",,$A$2,"."&amp;W$43&amp;W$1&amp;"C"&amp;$A53))-IF(RTD("tos.rtd",,$A$2,"."&amp;W$43&amp;W$1&amp;"P"&amp;$A53)="N/A",0,RTD("tos.rtd",,$A$2,"."&amp;W$43&amp;W$1&amp;"P"&amp;$A53))</f>
        <v>0</v>
      </c>
      <c r="X53" s="91">
        <f ca="1">IF(RTD("tos.rtd",,$A$2,"."&amp;X$43&amp;X$1&amp;"C"&amp;$A53)="N/A",0,RTD("tos.rtd",,$A$2,"."&amp;X$43&amp;X$1&amp;"C"&amp;$A53))-IF(RTD("tos.rtd",,$A$2,"."&amp;X$43&amp;X$1&amp;"P"&amp;$A53)="N/A",0,RTD("tos.rtd",,$A$2,"."&amp;X$43&amp;X$1&amp;"P"&amp;$A53))</f>
        <v>4</v>
      </c>
      <c r="Y53" s="98">
        <f t="shared" ca="1" si="7"/>
        <v>6197</v>
      </c>
    </row>
    <row r="54" spans="1:25" x14ac:dyDescent="0.25">
      <c r="A54" s="93">
        <f>+Hoja1!A53</f>
        <v>494</v>
      </c>
      <c r="B54" s="91">
        <f ca="1">IF(RTD("tos.rtd",,$A$2,"."&amp;B$43&amp;B$1&amp;"C"&amp;$A54)="N/A",0,RTD("tos.rtd",,$A$2,"."&amp;B$43&amp;B$1&amp;"C"&amp;$A54))-IF(RTD("tos.rtd",,$A$2,"."&amp;B$43&amp;B$1&amp;"P"&amp;$A54)="N/A",0,RTD("tos.rtd",,$A$2,"."&amp;B$43&amp;B$1&amp;"P"&amp;$A54))</f>
        <v>0</v>
      </c>
      <c r="C54" s="91">
        <f ca="1">IF(RTD("tos.rtd",,$A$2,"."&amp;C$43&amp;C$1&amp;"C"&amp;$A54)="N/A",0,RTD("tos.rtd",,$A$2,"."&amp;C$43&amp;C$1&amp;"C"&amp;$A54))-IF(RTD("tos.rtd",,$A$2,"."&amp;C$43&amp;C$1&amp;"P"&amp;$A54)="N/A",0,RTD("tos.rtd",,$A$2,"."&amp;C$43&amp;C$1&amp;"P"&amp;$A54))</f>
        <v>0</v>
      </c>
      <c r="D54" s="91">
        <f ca="1">IF(RTD("tos.rtd",,$A$2,"."&amp;D$43&amp;D$1&amp;"C"&amp;$A54)="N/A",0,RTD("tos.rtd",,$A$2,"."&amp;D$43&amp;D$1&amp;"C"&amp;$A54))-IF(RTD("tos.rtd",,$A$2,"."&amp;D$43&amp;D$1&amp;"P"&amp;$A54)="N/A",0,RTD("tos.rtd",,$A$2,"."&amp;D$43&amp;D$1&amp;"P"&amp;$A54))</f>
        <v>0</v>
      </c>
      <c r="E54" s="91">
        <f ca="1">IF(RTD("tos.rtd",,$A$2,"."&amp;E$43&amp;E$1&amp;"C"&amp;$A54)="N/A",0,RTD("tos.rtd",,$A$2,"."&amp;E$43&amp;E$1&amp;"C"&amp;$A54))-IF(RTD("tos.rtd",,$A$2,"."&amp;E$43&amp;E$1&amp;"P"&amp;$A54)="N/A",0,RTD("tos.rtd",,$A$2,"."&amp;E$43&amp;E$1&amp;"P"&amp;$A54))</f>
        <v>0</v>
      </c>
      <c r="F54" s="91">
        <f ca="1">IF(RTD("tos.rtd",,$A$2,"."&amp;F$43&amp;F$1&amp;"C"&amp;$A54)="N/A",0,RTD("tos.rtd",,$A$2,"."&amp;F$43&amp;F$1&amp;"C"&amp;$A54))-IF(RTD("tos.rtd",,$A$2,"."&amp;F$43&amp;F$1&amp;"P"&amp;$A54)="N/A",0,RTD("tos.rtd",,$A$2,"."&amp;F$43&amp;F$1&amp;"P"&amp;$A54))</f>
        <v>0</v>
      </c>
      <c r="G54" s="91">
        <f ca="1">IF(RTD("tos.rtd",,$A$2,"."&amp;G$43&amp;G$1&amp;"C"&amp;$A54)="N/A",0,RTD("tos.rtd",,$A$2,"."&amp;G$43&amp;G$1&amp;"C"&amp;$A54))-IF(RTD("tos.rtd",,$A$2,"."&amp;G$43&amp;G$1&amp;"P"&amp;$A54)="N/A",0,RTD("tos.rtd",,$A$2,"."&amp;G$43&amp;G$1&amp;"P"&amp;$A54))</f>
        <v>0</v>
      </c>
      <c r="H54" s="91">
        <f ca="1">IF(RTD("tos.rtd",,$A$2,"."&amp;H$43&amp;H$1&amp;"C"&amp;$A54)="N/A",0,RTD("tos.rtd",,$A$2,"."&amp;H$43&amp;H$1&amp;"C"&amp;$A54))-IF(RTD("tos.rtd",,$A$2,"."&amp;H$43&amp;H$1&amp;"P"&amp;$A54)="N/A",0,RTD("tos.rtd",,$A$2,"."&amp;H$43&amp;H$1&amp;"P"&amp;$A54))</f>
        <v>135</v>
      </c>
      <c r="I54" s="91">
        <f ca="1">IF(RTD("tos.rtd",,$A$2,"."&amp;I$43&amp;I$1&amp;"C"&amp;$A54)="N/A",0,RTD("tos.rtd",,$A$2,"."&amp;I$43&amp;I$1&amp;"C"&amp;$A54))-IF(RTD("tos.rtd",,$A$2,"."&amp;I$43&amp;I$1&amp;"P"&amp;$A54)="N/A",0,RTD("tos.rtd",,$A$2,"."&amp;I$43&amp;I$1&amp;"P"&amp;$A54))</f>
        <v>23</v>
      </c>
      <c r="J54" s="91">
        <f ca="1">IF(RTD("tos.rtd",,$A$2,"."&amp;J$43&amp;J$1&amp;"C"&amp;$A54)="N/A",0,RTD("tos.rtd",,$A$2,"."&amp;J$43&amp;J$1&amp;"C"&amp;$A54))-IF(RTD("tos.rtd",,$A$2,"."&amp;J$43&amp;J$1&amp;"P"&amp;$A54)="N/A",0,RTD("tos.rtd",,$A$2,"."&amp;J$43&amp;J$1&amp;"P"&amp;$A54))</f>
        <v>-3</v>
      </c>
      <c r="K54" s="91">
        <f ca="1">IF(RTD("tos.rtd",,$A$2,"."&amp;K$43&amp;K$1&amp;"C"&amp;$A54)="N/A",0,RTD("tos.rtd",,$A$2,"."&amp;K$43&amp;K$1&amp;"C"&amp;$A54))-IF(RTD("tos.rtd",,$A$2,"."&amp;K$43&amp;K$1&amp;"P"&amp;$A54)="N/A",0,RTD("tos.rtd",,$A$2,"."&amp;K$43&amp;K$1&amp;"P"&amp;$A54))</f>
        <v>0</v>
      </c>
      <c r="L54" s="91">
        <f ca="1">IF(RTD("tos.rtd",,$A$2,"."&amp;L$43&amp;L$1&amp;"C"&amp;$A54)="N/A",0,RTD("tos.rtd",,$A$2,"."&amp;L$43&amp;L$1&amp;"C"&amp;$A54))-IF(RTD("tos.rtd",,$A$2,"."&amp;L$43&amp;L$1&amp;"P"&amp;$A54)="N/A",0,RTD("tos.rtd",,$A$2,"."&amp;L$43&amp;L$1&amp;"P"&amp;$A54))</f>
        <v>-3</v>
      </c>
      <c r="M54" s="91">
        <f ca="1">IF(RTD("tos.rtd",,$A$2,"."&amp;M$43&amp;M$1&amp;"C"&amp;$A54)="N/A",0,RTD("tos.rtd",,$A$2,"."&amp;M$43&amp;M$1&amp;"C"&amp;$A54))-IF(RTD("tos.rtd",,$A$2,"."&amp;M$43&amp;M$1&amp;"P"&amp;$A54)="N/A",0,RTD("tos.rtd",,$A$2,"."&amp;M$43&amp;M$1&amp;"P"&amp;$A54))</f>
        <v>0</v>
      </c>
      <c r="N54" s="91">
        <f ca="1">IF(RTD("tos.rtd",,$A$2,"."&amp;N$43&amp;N$1&amp;"C"&amp;$A54)="N/A",0,RTD("tos.rtd",,$A$2,"."&amp;N$43&amp;N$1&amp;"C"&amp;$A54))-IF(RTD("tos.rtd",,$A$2,"."&amp;N$43&amp;N$1&amp;"P"&amp;$A54)="N/A",0,RTD("tos.rtd",,$A$2,"."&amp;N$43&amp;N$1&amp;"P"&amp;$A54))</f>
        <v>-3</v>
      </c>
      <c r="O54" s="91">
        <f ca="1">IF(RTD("tos.rtd",,$A$2,"."&amp;O$43&amp;O$1&amp;"C"&amp;$A54)="N/A",0,RTD("tos.rtd",,$A$2,"."&amp;O$43&amp;O$1&amp;"C"&amp;$A54))-IF(RTD("tos.rtd",,$A$2,"."&amp;O$43&amp;O$1&amp;"P"&amp;$A54)="N/A",0,RTD("tos.rtd",,$A$2,"."&amp;O$43&amp;O$1&amp;"P"&amp;$A54))</f>
        <v>0</v>
      </c>
      <c r="P54" s="91">
        <f ca="1">IF(RTD("tos.rtd",,$A$2,"."&amp;P$43&amp;P$1&amp;"C"&amp;$A54)="N/A",0,RTD("tos.rtd",,$A$2,"."&amp;P$43&amp;P$1&amp;"C"&amp;$A54))-IF(RTD("tos.rtd",,$A$2,"."&amp;P$43&amp;P$1&amp;"P"&amp;$A54)="N/A",0,RTD("tos.rtd",,$A$2,"."&amp;P$43&amp;P$1&amp;"P"&amp;$A54))</f>
        <v>0</v>
      </c>
      <c r="Q54" s="91">
        <f ca="1">IF(RTD("tos.rtd",,$A$2,"."&amp;Q$43&amp;Q$1&amp;"C"&amp;$A54)="N/A",0,RTD("tos.rtd",,$A$2,"."&amp;Q$43&amp;Q$1&amp;"C"&amp;$A54))-IF(RTD("tos.rtd",,$A$2,"."&amp;Q$43&amp;Q$1&amp;"P"&amp;$A54)="N/A",0,RTD("tos.rtd",,$A$2,"."&amp;Q$43&amp;Q$1&amp;"P"&amp;$A54))</f>
        <v>0</v>
      </c>
      <c r="R54" s="91">
        <f ca="1">IF(RTD("tos.rtd",,$A$2,"."&amp;R$43&amp;R$1&amp;"C"&amp;$A54)="N/A",0,RTD("tos.rtd",,$A$2,"."&amp;R$43&amp;R$1&amp;"C"&amp;$A54))-IF(RTD("tos.rtd",,$A$2,"."&amp;R$43&amp;R$1&amp;"P"&amp;$A54)="N/A",0,RTD("tos.rtd",,$A$2,"."&amp;R$43&amp;R$1&amp;"P"&amp;$A54))</f>
        <v>-3</v>
      </c>
      <c r="S54" s="91">
        <f ca="1">IF(RTD("tos.rtd",,$A$2,"."&amp;S$43&amp;S$1&amp;"C"&amp;$A54)="N/A",0,RTD("tos.rtd",,$A$2,"."&amp;S$43&amp;S$1&amp;"C"&amp;$A54))-IF(RTD("tos.rtd",,$A$2,"."&amp;S$43&amp;S$1&amp;"P"&amp;$A54)="N/A",0,RTD("tos.rtd",,$A$2,"."&amp;S$43&amp;S$1&amp;"P"&amp;$A54))</f>
        <v>0</v>
      </c>
      <c r="T54" s="91">
        <f ca="1">IF(RTD("tos.rtd",,$A$2,"."&amp;T$43&amp;T$1&amp;"C"&amp;$A54)="N/A",0,RTD("tos.rtd",,$A$2,"."&amp;T$43&amp;T$1&amp;"C"&amp;$A54))-IF(RTD("tos.rtd",,$A$2,"."&amp;T$43&amp;T$1&amp;"P"&amp;$A54)="N/A",0,RTD("tos.rtd",,$A$2,"."&amp;T$43&amp;T$1&amp;"P"&amp;$A54))</f>
        <v>0</v>
      </c>
      <c r="U54" s="91">
        <f ca="1">IF(RTD("tos.rtd",,$A$2,"."&amp;U$43&amp;U$1&amp;"C"&amp;$A54)="N/A",0,RTD("tos.rtd",,$A$2,"."&amp;U$43&amp;U$1&amp;"C"&amp;$A54))-IF(RTD("tos.rtd",,$A$2,"."&amp;U$43&amp;U$1&amp;"P"&amp;$A54)="N/A",0,RTD("tos.rtd",,$A$2,"."&amp;U$43&amp;U$1&amp;"P"&amp;$A54))</f>
        <v>0</v>
      </c>
      <c r="V54" s="91">
        <f ca="1">IF(RTD("tos.rtd",,$A$2,"."&amp;V$43&amp;V$1&amp;"C"&amp;$A54)="N/A",0,RTD("tos.rtd",,$A$2,"."&amp;V$43&amp;V$1&amp;"C"&amp;$A54))-IF(RTD("tos.rtd",,$A$2,"."&amp;V$43&amp;V$1&amp;"P"&amp;$A54)="N/A",0,RTD("tos.rtd",,$A$2,"."&amp;V$43&amp;V$1&amp;"P"&amp;$A54))</f>
        <v>0</v>
      </c>
      <c r="W54" s="91">
        <f ca="1">IF(RTD("tos.rtd",,$A$2,"."&amp;W$43&amp;W$1&amp;"C"&amp;$A54)="N/A",0,RTD("tos.rtd",,$A$2,"."&amp;W$43&amp;W$1&amp;"C"&amp;$A54))-IF(RTD("tos.rtd",,$A$2,"."&amp;W$43&amp;W$1&amp;"P"&amp;$A54)="N/A",0,RTD("tos.rtd",,$A$2,"."&amp;W$43&amp;W$1&amp;"P"&amp;$A54))</f>
        <v>0</v>
      </c>
      <c r="X54" s="91">
        <f ca="1">IF(RTD("tos.rtd",,$A$2,"."&amp;X$43&amp;X$1&amp;"C"&amp;$A54)="N/A",0,RTD("tos.rtd",,$A$2,"."&amp;X$43&amp;X$1&amp;"C"&amp;$A54))-IF(RTD("tos.rtd",,$A$2,"."&amp;X$43&amp;X$1&amp;"P"&amp;$A54)="N/A",0,RTD("tos.rtd",,$A$2,"."&amp;X$43&amp;X$1&amp;"P"&amp;$A54))</f>
        <v>0</v>
      </c>
      <c r="Y54" s="98">
        <f t="shared" ca="1" si="7"/>
        <v>146</v>
      </c>
    </row>
    <row r="55" spans="1:25" x14ac:dyDescent="0.25">
      <c r="A55" s="93">
        <f>+Hoja1!A54</f>
        <v>493</v>
      </c>
      <c r="B55" s="91">
        <f ca="1">IF(RTD("tos.rtd",,$A$2,"."&amp;B$43&amp;B$1&amp;"C"&amp;$A55)="N/A",0,RTD("tos.rtd",,$A$2,"."&amp;B$43&amp;B$1&amp;"C"&amp;$A55))-IF(RTD("tos.rtd",,$A$2,"."&amp;B$43&amp;B$1&amp;"P"&amp;$A55)="N/A",0,RTD("tos.rtd",,$A$2,"."&amp;B$43&amp;B$1&amp;"P"&amp;$A55))</f>
        <v>0</v>
      </c>
      <c r="C55" s="91">
        <f ca="1">IF(RTD("tos.rtd",,$A$2,"."&amp;C$43&amp;C$1&amp;"C"&amp;$A55)="N/A",0,RTD("tos.rtd",,$A$2,"."&amp;C$43&amp;C$1&amp;"C"&amp;$A55))-IF(RTD("tos.rtd",,$A$2,"."&amp;C$43&amp;C$1&amp;"P"&amp;$A55)="N/A",0,RTD("tos.rtd",,$A$2,"."&amp;C$43&amp;C$1&amp;"P"&amp;$A55))</f>
        <v>0</v>
      </c>
      <c r="D55" s="91">
        <f ca="1">IF(RTD("tos.rtd",,$A$2,"."&amp;D$43&amp;D$1&amp;"C"&amp;$A55)="N/A",0,RTD("tos.rtd",,$A$2,"."&amp;D$43&amp;D$1&amp;"C"&amp;$A55))-IF(RTD("tos.rtd",,$A$2,"."&amp;D$43&amp;D$1&amp;"P"&amp;$A55)="N/A",0,RTD("tos.rtd",,$A$2,"."&amp;D$43&amp;D$1&amp;"P"&amp;$A55))</f>
        <v>0</v>
      </c>
      <c r="E55" s="91">
        <f ca="1">IF(RTD("tos.rtd",,$A$2,"."&amp;E$43&amp;E$1&amp;"C"&amp;$A55)="N/A",0,RTD("tos.rtd",,$A$2,"."&amp;E$43&amp;E$1&amp;"C"&amp;$A55))-IF(RTD("tos.rtd",,$A$2,"."&amp;E$43&amp;E$1&amp;"P"&amp;$A55)="N/A",0,RTD("tos.rtd",,$A$2,"."&amp;E$43&amp;E$1&amp;"P"&amp;$A55))</f>
        <v>0</v>
      </c>
      <c r="F55" s="91">
        <f ca="1">IF(RTD("tos.rtd",,$A$2,"."&amp;F$43&amp;F$1&amp;"C"&amp;$A55)="N/A",0,RTD("tos.rtd",,$A$2,"."&amp;F$43&amp;F$1&amp;"C"&amp;$A55))-IF(RTD("tos.rtd",,$A$2,"."&amp;F$43&amp;F$1&amp;"P"&amp;$A55)="N/A",0,RTD("tos.rtd",,$A$2,"."&amp;F$43&amp;F$1&amp;"P"&amp;$A55))</f>
        <v>0</v>
      </c>
      <c r="G55" s="91">
        <f ca="1">IF(RTD("tos.rtd",,$A$2,"."&amp;G$43&amp;G$1&amp;"C"&amp;$A55)="N/A",0,RTD("tos.rtd",,$A$2,"."&amp;G$43&amp;G$1&amp;"C"&amp;$A55))-IF(RTD("tos.rtd",,$A$2,"."&amp;G$43&amp;G$1&amp;"P"&amp;$A55)="N/A",0,RTD("tos.rtd",,$A$2,"."&amp;G$43&amp;G$1&amp;"P"&amp;$A55))</f>
        <v>0</v>
      </c>
      <c r="H55" s="91">
        <f ca="1">IF(RTD("tos.rtd",,$A$2,"."&amp;H$43&amp;H$1&amp;"C"&amp;$A55)="N/A",0,RTD("tos.rtd",,$A$2,"."&amp;H$43&amp;H$1&amp;"C"&amp;$A55))-IF(RTD("tos.rtd",,$A$2,"."&amp;H$43&amp;H$1&amp;"P"&amp;$A55)="N/A",0,RTD("tos.rtd",,$A$2,"."&amp;H$43&amp;H$1&amp;"P"&amp;$A55))</f>
        <v>27</v>
      </c>
      <c r="I55" s="91">
        <f ca="1">IF(RTD("tos.rtd",,$A$2,"."&amp;I$43&amp;I$1&amp;"C"&amp;$A55)="N/A",0,RTD("tos.rtd",,$A$2,"."&amp;I$43&amp;I$1&amp;"C"&amp;$A55))-IF(RTD("tos.rtd",,$A$2,"."&amp;I$43&amp;I$1&amp;"P"&amp;$A55)="N/A",0,RTD("tos.rtd",,$A$2,"."&amp;I$43&amp;I$1&amp;"P"&amp;$A55))</f>
        <v>304</v>
      </c>
      <c r="J55" s="91">
        <f ca="1">IF(RTD("tos.rtd",,$A$2,"."&amp;J$43&amp;J$1&amp;"C"&amp;$A55)="N/A",0,RTD("tos.rtd",,$A$2,"."&amp;J$43&amp;J$1&amp;"C"&amp;$A55))-IF(RTD("tos.rtd",,$A$2,"."&amp;J$43&amp;J$1&amp;"P"&amp;$A55)="N/A",0,RTD("tos.rtd",,$A$2,"."&amp;J$43&amp;J$1&amp;"P"&amp;$A55))</f>
        <v>39</v>
      </c>
      <c r="K55" s="91">
        <f ca="1">IF(RTD("tos.rtd",,$A$2,"."&amp;K$43&amp;K$1&amp;"C"&amp;$A55)="N/A",0,RTD("tos.rtd",,$A$2,"."&amp;K$43&amp;K$1&amp;"C"&amp;$A55))-IF(RTD("tos.rtd",,$A$2,"."&amp;K$43&amp;K$1&amp;"P"&amp;$A55)="N/A",0,RTD("tos.rtd",,$A$2,"."&amp;K$43&amp;K$1&amp;"P"&amp;$A55))</f>
        <v>0</v>
      </c>
      <c r="L55" s="91">
        <f ca="1">IF(RTD("tos.rtd",,$A$2,"."&amp;L$43&amp;L$1&amp;"C"&amp;$A55)="N/A",0,RTD("tos.rtd",,$A$2,"."&amp;L$43&amp;L$1&amp;"C"&amp;$A55))-IF(RTD("tos.rtd",,$A$2,"."&amp;L$43&amp;L$1&amp;"P"&amp;$A55)="N/A",0,RTD("tos.rtd",,$A$2,"."&amp;L$43&amp;L$1&amp;"P"&amp;$A55))</f>
        <v>10</v>
      </c>
      <c r="M55" s="91">
        <f ca="1">IF(RTD("tos.rtd",,$A$2,"."&amp;M$43&amp;M$1&amp;"C"&amp;$A55)="N/A",0,RTD("tos.rtd",,$A$2,"."&amp;M$43&amp;M$1&amp;"C"&amp;$A55))-IF(RTD("tos.rtd",,$A$2,"."&amp;M$43&amp;M$1&amp;"P"&amp;$A55)="N/A",0,RTD("tos.rtd",,$A$2,"."&amp;M$43&amp;M$1&amp;"P"&amp;$A55))</f>
        <v>0</v>
      </c>
      <c r="N55" s="91">
        <f ca="1">IF(RTD("tos.rtd",,$A$2,"."&amp;N$43&amp;N$1&amp;"C"&amp;$A55)="N/A",0,RTD("tos.rtd",,$A$2,"."&amp;N$43&amp;N$1&amp;"C"&amp;$A55))-IF(RTD("tos.rtd",,$A$2,"."&amp;N$43&amp;N$1&amp;"P"&amp;$A55)="N/A",0,RTD("tos.rtd",,$A$2,"."&amp;N$43&amp;N$1&amp;"P"&amp;$A55))</f>
        <v>0</v>
      </c>
      <c r="O55" s="91">
        <f ca="1">IF(RTD("tos.rtd",,$A$2,"."&amp;O$43&amp;O$1&amp;"C"&amp;$A55)="N/A",0,RTD("tos.rtd",,$A$2,"."&amp;O$43&amp;O$1&amp;"C"&amp;$A55))-IF(RTD("tos.rtd",,$A$2,"."&amp;O$43&amp;O$1&amp;"P"&amp;$A55)="N/A",0,RTD("tos.rtd",,$A$2,"."&amp;O$43&amp;O$1&amp;"P"&amp;$A55))</f>
        <v>0</v>
      </c>
      <c r="P55" s="91">
        <f ca="1">IF(RTD("tos.rtd",,$A$2,"."&amp;P$43&amp;P$1&amp;"C"&amp;$A55)="N/A",0,RTD("tos.rtd",,$A$2,"."&amp;P$43&amp;P$1&amp;"C"&amp;$A55))-IF(RTD("tos.rtd",,$A$2,"."&amp;P$43&amp;P$1&amp;"P"&amp;$A55)="N/A",0,RTD("tos.rtd",,$A$2,"."&amp;P$43&amp;P$1&amp;"P"&amp;$A55))</f>
        <v>0</v>
      </c>
      <c r="Q55" s="91">
        <f ca="1">IF(RTD("tos.rtd",,$A$2,"."&amp;Q$43&amp;Q$1&amp;"C"&amp;$A55)="N/A",0,RTD("tos.rtd",,$A$2,"."&amp;Q$43&amp;Q$1&amp;"C"&amp;$A55))-IF(RTD("tos.rtd",,$A$2,"."&amp;Q$43&amp;Q$1&amp;"P"&amp;$A55)="N/A",0,RTD("tos.rtd",,$A$2,"."&amp;Q$43&amp;Q$1&amp;"P"&amp;$A55))</f>
        <v>0</v>
      </c>
      <c r="R55" s="91">
        <f ca="1">IF(RTD("tos.rtd",,$A$2,"."&amp;R$43&amp;R$1&amp;"C"&amp;$A55)="N/A",0,RTD("tos.rtd",,$A$2,"."&amp;R$43&amp;R$1&amp;"C"&amp;$A55))-IF(RTD("tos.rtd",,$A$2,"."&amp;R$43&amp;R$1&amp;"P"&amp;$A55)="N/A",0,RTD("tos.rtd",,$A$2,"."&amp;R$43&amp;R$1&amp;"P"&amp;$A55))</f>
        <v>-3</v>
      </c>
      <c r="S55" s="91">
        <f ca="1">IF(RTD("tos.rtd",,$A$2,"."&amp;S$43&amp;S$1&amp;"C"&amp;$A55)="N/A",0,RTD("tos.rtd",,$A$2,"."&amp;S$43&amp;S$1&amp;"C"&amp;$A55))-IF(RTD("tos.rtd",,$A$2,"."&amp;S$43&amp;S$1&amp;"P"&amp;$A55)="N/A",0,RTD("tos.rtd",,$A$2,"."&amp;S$43&amp;S$1&amp;"P"&amp;$A55))</f>
        <v>0</v>
      </c>
      <c r="T55" s="91">
        <f ca="1">IF(RTD("tos.rtd",,$A$2,"."&amp;T$43&amp;T$1&amp;"C"&amp;$A55)="N/A",0,RTD("tos.rtd",,$A$2,"."&amp;T$43&amp;T$1&amp;"C"&amp;$A55))-IF(RTD("tos.rtd",,$A$2,"."&amp;T$43&amp;T$1&amp;"P"&amp;$A55)="N/A",0,RTD("tos.rtd",,$A$2,"."&amp;T$43&amp;T$1&amp;"P"&amp;$A55))</f>
        <v>0</v>
      </c>
      <c r="U55" s="91">
        <f ca="1">IF(RTD("tos.rtd",,$A$2,"."&amp;U$43&amp;U$1&amp;"C"&amp;$A55)="N/A",0,RTD("tos.rtd",,$A$2,"."&amp;U$43&amp;U$1&amp;"C"&amp;$A55))-IF(RTD("tos.rtd",,$A$2,"."&amp;U$43&amp;U$1&amp;"P"&amp;$A55)="N/A",0,RTD("tos.rtd",,$A$2,"."&amp;U$43&amp;U$1&amp;"P"&amp;$A55))</f>
        <v>0</v>
      </c>
      <c r="V55" s="91">
        <f ca="1">IF(RTD("tos.rtd",,$A$2,"."&amp;V$43&amp;V$1&amp;"C"&amp;$A55)="N/A",0,RTD("tos.rtd",,$A$2,"."&amp;V$43&amp;V$1&amp;"C"&amp;$A55))-IF(RTD("tos.rtd",,$A$2,"."&amp;V$43&amp;V$1&amp;"P"&amp;$A55)="N/A",0,RTD("tos.rtd",,$A$2,"."&amp;V$43&amp;V$1&amp;"P"&amp;$A55))</f>
        <v>0</v>
      </c>
      <c r="W55" s="91">
        <f ca="1">IF(RTD("tos.rtd",,$A$2,"."&amp;W$43&amp;W$1&amp;"C"&amp;$A55)="N/A",0,RTD("tos.rtd",,$A$2,"."&amp;W$43&amp;W$1&amp;"C"&amp;$A55))-IF(RTD("tos.rtd",,$A$2,"."&amp;W$43&amp;W$1&amp;"P"&amp;$A55)="N/A",0,RTD("tos.rtd",,$A$2,"."&amp;W$43&amp;W$1&amp;"P"&amp;$A55))</f>
        <v>0</v>
      </c>
      <c r="X55" s="91">
        <f ca="1">IF(RTD("tos.rtd",,$A$2,"."&amp;X$43&amp;X$1&amp;"C"&amp;$A55)="N/A",0,RTD("tos.rtd",,$A$2,"."&amp;X$43&amp;X$1&amp;"C"&amp;$A55))-IF(RTD("tos.rtd",,$A$2,"."&amp;X$43&amp;X$1&amp;"P"&amp;$A55)="N/A",0,RTD("tos.rtd",,$A$2,"."&amp;X$43&amp;X$1&amp;"P"&amp;$A55))</f>
        <v>0</v>
      </c>
      <c r="Y55" s="98">
        <f t="shared" ca="1" si="7"/>
        <v>377</v>
      </c>
    </row>
    <row r="56" spans="1:25" x14ac:dyDescent="0.25">
      <c r="A56" s="93">
        <f>+Hoja1!A55</f>
        <v>492</v>
      </c>
      <c r="B56" s="91">
        <f ca="1">IF(RTD("tos.rtd",,$A$2,"."&amp;B$43&amp;B$1&amp;"C"&amp;$A56)="N/A",0,RTD("tos.rtd",,$A$2,"."&amp;B$43&amp;B$1&amp;"C"&amp;$A56))-IF(RTD("tos.rtd",,$A$2,"."&amp;B$43&amp;B$1&amp;"P"&amp;$A56)="N/A",0,RTD("tos.rtd",,$A$2,"."&amp;B$43&amp;B$1&amp;"P"&amp;$A56))</f>
        <v>0</v>
      </c>
      <c r="C56" s="91">
        <f ca="1">IF(RTD("tos.rtd",,$A$2,"."&amp;C$43&amp;C$1&amp;"C"&amp;$A56)="N/A",0,RTD("tos.rtd",,$A$2,"."&amp;C$43&amp;C$1&amp;"C"&amp;$A56))-IF(RTD("tos.rtd",,$A$2,"."&amp;C$43&amp;C$1&amp;"P"&amp;$A56)="N/A",0,RTD("tos.rtd",,$A$2,"."&amp;C$43&amp;C$1&amp;"P"&amp;$A56))</f>
        <v>0</v>
      </c>
      <c r="D56" s="91">
        <f ca="1">IF(RTD("tos.rtd",,$A$2,"."&amp;D$43&amp;D$1&amp;"C"&amp;$A56)="N/A",0,RTD("tos.rtd",,$A$2,"."&amp;D$43&amp;D$1&amp;"C"&amp;$A56))-IF(RTD("tos.rtd",,$A$2,"."&amp;D$43&amp;D$1&amp;"P"&amp;$A56)="N/A",0,RTD("tos.rtd",,$A$2,"."&amp;D$43&amp;D$1&amp;"P"&amp;$A56))</f>
        <v>0</v>
      </c>
      <c r="E56" s="91">
        <f ca="1">IF(RTD("tos.rtd",,$A$2,"."&amp;E$43&amp;E$1&amp;"C"&amp;$A56)="N/A",0,RTD("tos.rtd",,$A$2,"."&amp;E$43&amp;E$1&amp;"C"&amp;$A56))-IF(RTD("tos.rtd",,$A$2,"."&amp;E$43&amp;E$1&amp;"P"&amp;$A56)="N/A",0,RTD("tos.rtd",,$A$2,"."&amp;E$43&amp;E$1&amp;"P"&amp;$A56))</f>
        <v>0</v>
      </c>
      <c r="F56" s="91">
        <f ca="1">IF(RTD("tos.rtd",,$A$2,"."&amp;F$43&amp;F$1&amp;"C"&amp;$A56)="N/A",0,RTD("tos.rtd",,$A$2,"."&amp;F$43&amp;F$1&amp;"C"&amp;$A56))-IF(RTD("tos.rtd",,$A$2,"."&amp;F$43&amp;F$1&amp;"P"&amp;$A56)="N/A",0,RTD("tos.rtd",,$A$2,"."&amp;F$43&amp;F$1&amp;"P"&amp;$A56))</f>
        <v>0</v>
      </c>
      <c r="G56" s="91">
        <f ca="1">IF(RTD("tos.rtd",,$A$2,"."&amp;G$43&amp;G$1&amp;"C"&amp;$A56)="N/A",0,RTD("tos.rtd",,$A$2,"."&amp;G$43&amp;G$1&amp;"C"&amp;$A56))-IF(RTD("tos.rtd",,$A$2,"."&amp;G$43&amp;G$1&amp;"P"&amp;$A56)="N/A",0,RTD("tos.rtd",,$A$2,"."&amp;G$43&amp;G$1&amp;"P"&amp;$A56))</f>
        <v>0</v>
      </c>
      <c r="H56" s="91">
        <f ca="1">IF(RTD("tos.rtd",,$A$2,"."&amp;H$43&amp;H$1&amp;"C"&amp;$A56)="N/A",0,RTD("tos.rtd",,$A$2,"."&amp;H$43&amp;H$1&amp;"C"&amp;$A56))-IF(RTD("tos.rtd",,$A$2,"."&amp;H$43&amp;H$1&amp;"P"&amp;$A56)="N/A",0,RTD("tos.rtd",,$A$2,"."&amp;H$43&amp;H$1&amp;"P"&amp;$A56))</f>
        <v>455</v>
      </c>
      <c r="I56" s="91">
        <f ca="1">IF(RTD("tos.rtd",,$A$2,"."&amp;I$43&amp;I$1&amp;"C"&amp;$A56)="N/A",0,RTD("tos.rtd",,$A$2,"."&amp;I$43&amp;I$1&amp;"C"&amp;$A56))-IF(RTD("tos.rtd",,$A$2,"."&amp;I$43&amp;I$1&amp;"P"&amp;$A56)="N/A",0,RTD("tos.rtd",,$A$2,"."&amp;I$43&amp;I$1&amp;"P"&amp;$A56))</f>
        <v>-86</v>
      </c>
      <c r="J56" s="91">
        <f ca="1">IF(RTD("tos.rtd",,$A$2,"."&amp;J$43&amp;J$1&amp;"C"&amp;$A56)="N/A",0,RTD("tos.rtd",,$A$2,"."&amp;J$43&amp;J$1&amp;"C"&amp;$A56))-IF(RTD("tos.rtd",,$A$2,"."&amp;J$43&amp;J$1&amp;"P"&amp;$A56)="N/A",0,RTD("tos.rtd",,$A$2,"."&amp;J$43&amp;J$1&amp;"P"&amp;$A56))</f>
        <v>118</v>
      </c>
      <c r="K56" s="91">
        <f ca="1">IF(RTD("tos.rtd",,$A$2,"."&amp;K$43&amp;K$1&amp;"C"&amp;$A56)="N/A",0,RTD("tos.rtd",,$A$2,"."&amp;K$43&amp;K$1&amp;"C"&amp;$A56))-IF(RTD("tos.rtd",,$A$2,"."&amp;K$43&amp;K$1&amp;"P"&amp;$A56)="N/A",0,RTD("tos.rtd",,$A$2,"."&amp;K$43&amp;K$1&amp;"P"&amp;$A56))</f>
        <v>0</v>
      </c>
      <c r="L56" s="91">
        <f ca="1">IF(RTD("tos.rtd",,$A$2,"."&amp;L$43&amp;L$1&amp;"C"&amp;$A56)="N/A",0,RTD("tos.rtd",,$A$2,"."&amp;L$43&amp;L$1&amp;"C"&amp;$A56))-IF(RTD("tos.rtd",,$A$2,"."&amp;L$43&amp;L$1&amp;"P"&amp;$A56)="N/A",0,RTD("tos.rtd",,$A$2,"."&amp;L$43&amp;L$1&amp;"P"&amp;$A56))</f>
        <v>13</v>
      </c>
      <c r="M56" s="91">
        <f ca="1">IF(RTD("tos.rtd",,$A$2,"."&amp;M$43&amp;M$1&amp;"C"&amp;$A56)="N/A",0,RTD("tos.rtd",,$A$2,"."&amp;M$43&amp;M$1&amp;"C"&amp;$A56))-IF(RTD("tos.rtd",,$A$2,"."&amp;M$43&amp;M$1&amp;"P"&amp;$A56)="N/A",0,RTD("tos.rtd",,$A$2,"."&amp;M$43&amp;M$1&amp;"P"&amp;$A56))</f>
        <v>0</v>
      </c>
      <c r="N56" s="91">
        <f ca="1">IF(RTD("tos.rtd",,$A$2,"."&amp;N$43&amp;N$1&amp;"C"&amp;$A56)="N/A",0,RTD("tos.rtd",,$A$2,"."&amp;N$43&amp;N$1&amp;"C"&amp;$A56))-IF(RTD("tos.rtd",,$A$2,"."&amp;N$43&amp;N$1&amp;"P"&amp;$A56)="N/A",0,RTD("tos.rtd",,$A$2,"."&amp;N$43&amp;N$1&amp;"P"&amp;$A56))</f>
        <v>18</v>
      </c>
      <c r="O56" s="91">
        <f ca="1">IF(RTD("tos.rtd",,$A$2,"."&amp;O$43&amp;O$1&amp;"C"&amp;$A56)="N/A",0,RTD("tos.rtd",,$A$2,"."&amp;O$43&amp;O$1&amp;"C"&amp;$A56))-IF(RTD("tos.rtd",,$A$2,"."&amp;O$43&amp;O$1&amp;"P"&amp;$A56)="N/A",0,RTD("tos.rtd",,$A$2,"."&amp;O$43&amp;O$1&amp;"P"&amp;$A56))</f>
        <v>0</v>
      </c>
      <c r="P56" s="91">
        <f ca="1">IF(RTD("tos.rtd",,$A$2,"."&amp;P$43&amp;P$1&amp;"C"&amp;$A56)="N/A",0,RTD("tos.rtd",,$A$2,"."&amp;P$43&amp;P$1&amp;"C"&amp;$A56))-IF(RTD("tos.rtd",,$A$2,"."&amp;P$43&amp;P$1&amp;"P"&amp;$A56)="N/A",0,RTD("tos.rtd",,$A$2,"."&amp;P$43&amp;P$1&amp;"P"&amp;$A56))</f>
        <v>0</v>
      </c>
      <c r="Q56" s="91">
        <f ca="1">IF(RTD("tos.rtd",,$A$2,"."&amp;Q$43&amp;Q$1&amp;"C"&amp;$A56)="N/A",0,RTD("tos.rtd",,$A$2,"."&amp;Q$43&amp;Q$1&amp;"C"&amp;$A56))-IF(RTD("tos.rtd",,$A$2,"."&amp;Q$43&amp;Q$1&amp;"P"&amp;$A56)="N/A",0,RTD("tos.rtd",,$A$2,"."&amp;Q$43&amp;Q$1&amp;"P"&amp;$A56))</f>
        <v>0</v>
      </c>
      <c r="R56" s="91">
        <f ca="1">IF(RTD("tos.rtd",,$A$2,"."&amp;R$43&amp;R$1&amp;"C"&amp;$A56)="N/A",0,RTD("tos.rtd",,$A$2,"."&amp;R$43&amp;R$1&amp;"C"&amp;$A56))-IF(RTD("tos.rtd",,$A$2,"."&amp;R$43&amp;R$1&amp;"P"&amp;$A56)="N/A",0,RTD("tos.rtd",,$A$2,"."&amp;R$43&amp;R$1&amp;"P"&amp;$A56))</f>
        <v>5</v>
      </c>
      <c r="S56" s="91">
        <f ca="1">IF(RTD("tos.rtd",,$A$2,"."&amp;S$43&amp;S$1&amp;"C"&amp;$A56)="N/A",0,RTD("tos.rtd",,$A$2,"."&amp;S$43&amp;S$1&amp;"C"&amp;$A56))-IF(RTD("tos.rtd",,$A$2,"."&amp;S$43&amp;S$1&amp;"P"&amp;$A56)="N/A",0,RTD("tos.rtd",,$A$2,"."&amp;S$43&amp;S$1&amp;"P"&amp;$A56))</f>
        <v>0</v>
      </c>
      <c r="T56" s="91">
        <f ca="1">IF(RTD("tos.rtd",,$A$2,"."&amp;T$43&amp;T$1&amp;"C"&amp;$A56)="N/A",0,RTD("tos.rtd",,$A$2,"."&amp;T$43&amp;T$1&amp;"C"&amp;$A56))-IF(RTD("tos.rtd",,$A$2,"."&amp;T$43&amp;T$1&amp;"P"&amp;$A56)="N/A",0,RTD("tos.rtd",,$A$2,"."&amp;T$43&amp;T$1&amp;"P"&amp;$A56))</f>
        <v>0</v>
      </c>
      <c r="U56" s="91">
        <f ca="1">IF(RTD("tos.rtd",,$A$2,"."&amp;U$43&amp;U$1&amp;"C"&amp;$A56)="N/A",0,RTD("tos.rtd",,$A$2,"."&amp;U$43&amp;U$1&amp;"C"&amp;$A56))-IF(RTD("tos.rtd",,$A$2,"."&amp;U$43&amp;U$1&amp;"P"&amp;$A56)="N/A",0,RTD("tos.rtd",,$A$2,"."&amp;U$43&amp;U$1&amp;"P"&amp;$A56))</f>
        <v>0</v>
      </c>
      <c r="V56" s="91">
        <f ca="1">IF(RTD("tos.rtd",,$A$2,"."&amp;V$43&amp;V$1&amp;"C"&amp;$A56)="N/A",0,RTD("tos.rtd",,$A$2,"."&amp;V$43&amp;V$1&amp;"C"&amp;$A56))-IF(RTD("tos.rtd",,$A$2,"."&amp;V$43&amp;V$1&amp;"P"&amp;$A56)="N/A",0,RTD("tos.rtd",,$A$2,"."&amp;V$43&amp;V$1&amp;"P"&amp;$A56))</f>
        <v>0</v>
      </c>
      <c r="W56" s="91">
        <f ca="1">IF(RTD("tos.rtd",,$A$2,"."&amp;W$43&amp;W$1&amp;"C"&amp;$A56)="N/A",0,RTD("tos.rtd",,$A$2,"."&amp;W$43&amp;W$1&amp;"C"&amp;$A56))-IF(RTD("tos.rtd",,$A$2,"."&amp;W$43&amp;W$1&amp;"P"&amp;$A56)="N/A",0,RTD("tos.rtd",,$A$2,"."&amp;W$43&amp;W$1&amp;"P"&amp;$A56))</f>
        <v>0</v>
      </c>
      <c r="X56" s="91">
        <f ca="1">IF(RTD("tos.rtd",,$A$2,"."&amp;X$43&amp;X$1&amp;"C"&amp;$A56)="N/A",0,RTD("tos.rtd",,$A$2,"."&amp;X$43&amp;X$1&amp;"C"&amp;$A56))-IF(RTD("tos.rtd",,$A$2,"."&amp;X$43&amp;X$1&amp;"P"&amp;$A56)="N/A",0,RTD("tos.rtd",,$A$2,"."&amp;X$43&amp;X$1&amp;"P"&amp;$A56))</f>
        <v>0</v>
      </c>
      <c r="Y56" s="98">
        <f t="shared" ca="1" si="7"/>
        <v>523</v>
      </c>
    </row>
    <row r="57" spans="1:25" x14ac:dyDescent="0.25">
      <c r="A57" s="93">
        <f>+Hoja1!A56</f>
        <v>491</v>
      </c>
      <c r="B57" s="91">
        <f ca="1">IF(RTD("tos.rtd",,$A$2,"."&amp;B$43&amp;B$1&amp;"C"&amp;$A57)="N/A",0,RTD("tos.rtd",,$A$2,"."&amp;B$43&amp;B$1&amp;"C"&amp;$A57))-IF(RTD("tos.rtd",,$A$2,"."&amp;B$43&amp;B$1&amp;"P"&amp;$A57)="N/A",0,RTD("tos.rtd",,$A$2,"."&amp;B$43&amp;B$1&amp;"P"&amp;$A57))</f>
        <v>0</v>
      </c>
      <c r="C57" s="91">
        <f ca="1">IF(RTD("tos.rtd",,$A$2,"."&amp;C$43&amp;C$1&amp;"C"&amp;$A57)="N/A",0,RTD("tos.rtd",,$A$2,"."&amp;C$43&amp;C$1&amp;"C"&amp;$A57))-IF(RTD("tos.rtd",,$A$2,"."&amp;C$43&amp;C$1&amp;"P"&amp;$A57)="N/A",0,RTD("tos.rtd",,$A$2,"."&amp;C$43&amp;C$1&amp;"P"&amp;$A57))</f>
        <v>0</v>
      </c>
      <c r="D57" s="91">
        <f ca="1">IF(RTD("tos.rtd",,$A$2,"."&amp;D$43&amp;D$1&amp;"C"&amp;$A57)="N/A",0,RTD("tos.rtd",,$A$2,"."&amp;D$43&amp;D$1&amp;"C"&amp;$A57))-IF(RTD("tos.rtd",,$A$2,"."&amp;D$43&amp;D$1&amp;"P"&amp;$A57)="N/A",0,RTD("tos.rtd",,$A$2,"."&amp;D$43&amp;D$1&amp;"P"&amp;$A57))</f>
        <v>0</v>
      </c>
      <c r="E57" s="91">
        <f ca="1">IF(RTD("tos.rtd",,$A$2,"."&amp;E$43&amp;E$1&amp;"C"&amp;$A57)="N/A",0,RTD("tos.rtd",,$A$2,"."&amp;E$43&amp;E$1&amp;"C"&amp;$A57))-IF(RTD("tos.rtd",,$A$2,"."&amp;E$43&amp;E$1&amp;"P"&amp;$A57)="N/A",0,RTD("tos.rtd",,$A$2,"."&amp;E$43&amp;E$1&amp;"P"&amp;$A57))</f>
        <v>0</v>
      </c>
      <c r="F57" s="91">
        <f ca="1">IF(RTD("tos.rtd",,$A$2,"."&amp;F$43&amp;F$1&amp;"C"&amp;$A57)="N/A",0,RTD("tos.rtd",,$A$2,"."&amp;F$43&amp;F$1&amp;"C"&amp;$A57))-IF(RTD("tos.rtd",,$A$2,"."&amp;F$43&amp;F$1&amp;"P"&amp;$A57)="N/A",0,RTD("tos.rtd",,$A$2,"."&amp;F$43&amp;F$1&amp;"P"&amp;$A57))</f>
        <v>0</v>
      </c>
      <c r="G57" s="91">
        <f ca="1">IF(RTD("tos.rtd",,$A$2,"."&amp;G$43&amp;G$1&amp;"C"&amp;$A57)="N/A",0,RTD("tos.rtd",,$A$2,"."&amp;G$43&amp;G$1&amp;"C"&amp;$A57))-IF(RTD("tos.rtd",,$A$2,"."&amp;G$43&amp;G$1&amp;"P"&amp;$A57)="N/A",0,RTD("tos.rtd",,$A$2,"."&amp;G$43&amp;G$1&amp;"P"&amp;$A57))</f>
        <v>0</v>
      </c>
      <c r="H57" s="91">
        <f ca="1">IF(RTD("tos.rtd",,$A$2,"."&amp;H$43&amp;H$1&amp;"C"&amp;$A57)="N/A",0,RTD("tos.rtd",,$A$2,"."&amp;H$43&amp;H$1&amp;"C"&amp;$A57))-IF(RTD("tos.rtd",,$A$2,"."&amp;H$43&amp;H$1&amp;"P"&amp;$A57)="N/A",0,RTD("tos.rtd",,$A$2,"."&amp;H$43&amp;H$1&amp;"P"&amp;$A57))</f>
        <v>1264</v>
      </c>
      <c r="I57" s="91">
        <f ca="1">IF(RTD("tos.rtd",,$A$2,"."&amp;I$43&amp;I$1&amp;"C"&amp;$A57)="N/A",0,RTD("tos.rtd",,$A$2,"."&amp;I$43&amp;I$1&amp;"C"&amp;$A57))-IF(RTD("tos.rtd",,$A$2,"."&amp;I$43&amp;I$1&amp;"P"&amp;$A57)="N/A",0,RTD("tos.rtd",,$A$2,"."&amp;I$43&amp;I$1&amp;"P"&amp;$A57))</f>
        <v>-356</v>
      </c>
      <c r="J57" s="91">
        <f ca="1">IF(RTD("tos.rtd",,$A$2,"."&amp;J$43&amp;J$1&amp;"C"&amp;$A57)="N/A",0,RTD("tos.rtd",,$A$2,"."&amp;J$43&amp;J$1&amp;"C"&amp;$A57))-IF(RTD("tos.rtd",,$A$2,"."&amp;J$43&amp;J$1&amp;"P"&amp;$A57)="N/A",0,RTD("tos.rtd",,$A$2,"."&amp;J$43&amp;J$1&amp;"P"&amp;$A57))</f>
        <v>98</v>
      </c>
      <c r="K57" s="91">
        <f ca="1">IF(RTD("tos.rtd",,$A$2,"."&amp;K$43&amp;K$1&amp;"C"&amp;$A57)="N/A",0,RTD("tos.rtd",,$A$2,"."&amp;K$43&amp;K$1&amp;"C"&amp;$A57))-IF(RTD("tos.rtd",,$A$2,"."&amp;K$43&amp;K$1&amp;"P"&amp;$A57)="N/A",0,RTD("tos.rtd",,$A$2,"."&amp;K$43&amp;K$1&amp;"P"&amp;$A57))</f>
        <v>0</v>
      </c>
      <c r="L57" s="91">
        <f ca="1">IF(RTD("tos.rtd",,$A$2,"."&amp;L$43&amp;L$1&amp;"C"&amp;$A57)="N/A",0,RTD("tos.rtd",,$A$2,"."&amp;L$43&amp;L$1&amp;"C"&amp;$A57))-IF(RTD("tos.rtd",,$A$2,"."&amp;L$43&amp;L$1&amp;"P"&amp;$A57)="N/A",0,RTD("tos.rtd",,$A$2,"."&amp;L$43&amp;L$1&amp;"P"&amp;$A57))</f>
        <v>29</v>
      </c>
      <c r="M57" s="91">
        <f ca="1">IF(RTD("tos.rtd",,$A$2,"."&amp;M$43&amp;M$1&amp;"C"&amp;$A57)="N/A",0,RTD("tos.rtd",,$A$2,"."&amp;M$43&amp;M$1&amp;"C"&amp;$A57))-IF(RTD("tos.rtd",,$A$2,"."&amp;M$43&amp;M$1&amp;"P"&amp;$A57)="N/A",0,RTD("tos.rtd",,$A$2,"."&amp;M$43&amp;M$1&amp;"P"&amp;$A57))</f>
        <v>0</v>
      </c>
      <c r="N57" s="91">
        <f ca="1">IF(RTD("tos.rtd",,$A$2,"."&amp;N$43&amp;N$1&amp;"C"&amp;$A57)="N/A",0,RTD("tos.rtd",,$A$2,"."&amp;N$43&amp;N$1&amp;"C"&amp;$A57))-IF(RTD("tos.rtd",,$A$2,"."&amp;N$43&amp;N$1&amp;"P"&amp;$A57)="N/A",0,RTD("tos.rtd",,$A$2,"."&amp;N$43&amp;N$1&amp;"P"&amp;$A57))</f>
        <v>-3</v>
      </c>
      <c r="O57" s="91">
        <f ca="1">IF(RTD("tos.rtd",,$A$2,"."&amp;O$43&amp;O$1&amp;"C"&amp;$A57)="N/A",0,RTD("tos.rtd",,$A$2,"."&amp;O$43&amp;O$1&amp;"C"&amp;$A57))-IF(RTD("tos.rtd",,$A$2,"."&amp;O$43&amp;O$1&amp;"P"&amp;$A57)="N/A",0,RTD("tos.rtd",,$A$2,"."&amp;O$43&amp;O$1&amp;"P"&amp;$A57))</f>
        <v>0</v>
      </c>
      <c r="P57" s="91">
        <f ca="1">IF(RTD("tos.rtd",,$A$2,"."&amp;P$43&amp;P$1&amp;"C"&amp;$A57)="N/A",0,RTD("tos.rtd",,$A$2,"."&amp;P$43&amp;P$1&amp;"C"&amp;$A57))-IF(RTD("tos.rtd",,$A$2,"."&amp;P$43&amp;P$1&amp;"P"&amp;$A57)="N/A",0,RTD("tos.rtd",,$A$2,"."&amp;P$43&amp;P$1&amp;"P"&amp;$A57))</f>
        <v>0</v>
      </c>
      <c r="Q57" s="91">
        <f ca="1">IF(RTD("tos.rtd",,$A$2,"."&amp;Q$43&amp;Q$1&amp;"C"&amp;$A57)="N/A",0,RTD("tos.rtd",,$A$2,"."&amp;Q$43&amp;Q$1&amp;"C"&amp;$A57))-IF(RTD("tos.rtd",,$A$2,"."&amp;Q$43&amp;Q$1&amp;"P"&amp;$A57)="N/A",0,RTD("tos.rtd",,$A$2,"."&amp;Q$43&amp;Q$1&amp;"P"&amp;$A57))</f>
        <v>0</v>
      </c>
      <c r="R57" s="91">
        <f ca="1">IF(RTD("tos.rtd",,$A$2,"."&amp;R$43&amp;R$1&amp;"C"&amp;$A57)="N/A",0,RTD("tos.rtd",,$A$2,"."&amp;R$43&amp;R$1&amp;"C"&amp;$A57))-IF(RTD("tos.rtd",,$A$2,"."&amp;R$43&amp;R$1&amp;"P"&amp;$A57)="N/A",0,RTD("tos.rtd",,$A$2,"."&amp;R$43&amp;R$1&amp;"P"&amp;$A57))</f>
        <v>-2</v>
      </c>
      <c r="S57" s="91">
        <f ca="1">IF(RTD("tos.rtd",,$A$2,"."&amp;S$43&amp;S$1&amp;"C"&amp;$A57)="N/A",0,RTD("tos.rtd",,$A$2,"."&amp;S$43&amp;S$1&amp;"C"&amp;$A57))-IF(RTD("tos.rtd",,$A$2,"."&amp;S$43&amp;S$1&amp;"P"&amp;$A57)="N/A",0,RTD("tos.rtd",,$A$2,"."&amp;S$43&amp;S$1&amp;"P"&amp;$A57))</f>
        <v>0</v>
      </c>
      <c r="T57" s="91">
        <f ca="1">IF(RTD("tos.rtd",,$A$2,"."&amp;T$43&amp;T$1&amp;"C"&amp;$A57)="N/A",0,RTD("tos.rtd",,$A$2,"."&amp;T$43&amp;T$1&amp;"C"&amp;$A57))-IF(RTD("tos.rtd",,$A$2,"."&amp;T$43&amp;T$1&amp;"P"&amp;$A57)="N/A",0,RTD("tos.rtd",,$A$2,"."&amp;T$43&amp;T$1&amp;"P"&amp;$A57))</f>
        <v>0</v>
      </c>
      <c r="U57" s="91">
        <f ca="1">IF(RTD("tos.rtd",,$A$2,"."&amp;U$43&amp;U$1&amp;"C"&amp;$A57)="N/A",0,RTD("tos.rtd",,$A$2,"."&amp;U$43&amp;U$1&amp;"C"&amp;$A57))-IF(RTD("tos.rtd",,$A$2,"."&amp;U$43&amp;U$1&amp;"P"&amp;$A57)="N/A",0,RTD("tos.rtd",,$A$2,"."&amp;U$43&amp;U$1&amp;"P"&amp;$A57))</f>
        <v>0</v>
      </c>
      <c r="V57" s="91">
        <f ca="1">IF(RTD("tos.rtd",,$A$2,"."&amp;V$43&amp;V$1&amp;"C"&amp;$A57)="N/A",0,RTD("tos.rtd",,$A$2,"."&amp;V$43&amp;V$1&amp;"C"&amp;$A57))-IF(RTD("tos.rtd",,$A$2,"."&amp;V$43&amp;V$1&amp;"P"&amp;$A57)="N/A",0,RTD("tos.rtd",,$A$2,"."&amp;V$43&amp;V$1&amp;"P"&amp;$A57))</f>
        <v>0</v>
      </c>
      <c r="W57" s="91">
        <f ca="1">IF(RTD("tos.rtd",,$A$2,"."&amp;W$43&amp;W$1&amp;"C"&amp;$A57)="N/A",0,RTD("tos.rtd",,$A$2,"."&amp;W$43&amp;W$1&amp;"C"&amp;$A57))-IF(RTD("tos.rtd",,$A$2,"."&amp;W$43&amp;W$1&amp;"P"&amp;$A57)="N/A",0,RTD("tos.rtd",,$A$2,"."&amp;W$43&amp;W$1&amp;"P"&amp;$A57))</f>
        <v>0</v>
      </c>
      <c r="X57" s="91">
        <f ca="1">IF(RTD("tos.rtd",,$A$2,"."&amp;X$43&amp;X$1&amp;"C"&amp;$A57)="N/A",0,RTD("tos.rtd",,$A$2,"."&amp;X$43&amp;X$1&amp;"C"&amp;$A57))-IF(RTD("tos.rtd",,$A$2,"."&amp;X$43&amp;X$1&amp;"P"&amp;$A57)="N/A",0,RTD("tos.rtd",,$A$2,"."&amp;X$43&amp;X$1&amp;"P"&amp;$A57))</f>
        <v>0</v>
      </c>
      <c r="Y57" s="98">
        <f t="shared" ca="1" si="7"/>
        <v>1030</v>
      </c>
    </row>
    <row r="58" spans="1:25" x14ac:dyDescent="0.25">
      <c r="A58" s="93">
        <f>+Hoja1!A57</f>
        <v>490</v>
      </c>
      <c r="B58" s="91">
        <f ca="1">IF(RTD("tos.rtd",,$A$2,"."&amp;B$43&amp;B$1&amp;"C"&amp;$A58)="N/A",0,RTD("tos.rtd",,$A$2,"."&amp;B$43&amp;B$1&amp;"C"&amp;$A58))-IF(RTD("tos.rtd",,$A$2,"."&amp;B$43&amp;B$1&amp;"P"&amp;$A58)="N/A",0,RTD("tos.rtd",,$A$2,"."&amp;B$43&amp;B$1&amp;"P"&amp;$A58))</f>
        <v>0</v>
      </c>
      <c r="C58" s="91">
        <f ca="1">IF(RTD("tos.rtd",,$A$2,"."&amp;C$43&amp;C$1&amp;"C"&amp;$A58)="N/A",0,RTD("tos.rtd",,$A$2,"."&amp;C$43&amp;C$1&amp;"C"&amp;$A58))-IF(RTD("tos.rtd",,$A$2,"."&amp;C$43&amp;C$1&amp;"P"&amp;$A58)="N/A",0,RTD("tos.rtd",,$A$2,"."&amp;C$43&amp;C$1&amp;"P"&amp;$A58))</f>
        <v>0</v>
      </c>
      <c r="D58" s="91">
        <f ca="1">IF(RTD("tos.rtd",,$A$2,"."&amp;D$43&amp;D$1&amp;"C"&amp;$A58)="N/A",0,RTD("tos.rtd",,$A$2,"."&amp;D$43&amp;D$1&amp;"C"&amp;$A58))-IF(RTD("tos.rtd",,$A$2,"."&amp;D$43&amp;D$1&amp;"P"&amp;$A58)="N/A",0,RTD("tos.rtd",,$A$2,"."&amp;D$43&amp;D$1&amp;"P"&amp;$A58))</f>
        <v>0</v>
      </c>
      <c r="E58" s="91">
        <f ca="1">IF(RTD("tos.rtd",,$A$2,"."&amp;E$43&amp;E$1&amp;"C"&amp;$A58)="N/A",0,RTD("tos.rtd",,$A$2,"."&amp;E$43&amp;E$1&amp;"C"&amp;$A58))-IF(RTD("tos.rtd",,$A$2,"."&amp;E$43&amp;E$1&amp;"P"&amp;$A58)="N/A",0,RTD("tos.rtd",,$A$2,"."&amp;E$43&amp;E$1&amp;"P"&amp;$A58))</f>
        <v>0</v>
      </c>
      <c r="F58" s="91">
        <f ca="1">IF(RTD("tos.rtd",,$A$2,"."&amp;F$43&amp;F$1&amp;"C"&amp;$A58)="N/A",0,RTD("tos.rtd",,$A$2,"."&amp;F$43&amp;F$1&amp;"C"&amp;$A58))-IF(RTD("tos.rtd",,$A$2,"."&amp;F$43&amp;F$1&amp;"P"&amp;$A58)="N/A",0,RTD("tos.rtd",,$A$2,"."&amp;F$43&amp;F$1&amp;"P"&amp;$A58))</f>
        <v>0</v>
      </c>
      <c r="G58" s="91">
        <f ca="1">IF(RTD("tos.rtd",,$A$2,"."&amp;G$43&amp;G$1&amp;"C"&amp;$A58)="N/A",0,RTD("tos.rtd",,$A$2,"."&amp;G$43&amp;G$1&amp;"C"&amp;$A58))-IF(RTD("tos.rtd",,$A$2,"."&amp;G$43&amp;G$1&amp;"P"&amp;$A58)="N/A",0,RTD("tos.rtd",,$A$2,"."&amp;G$43&amp;G$1&amp;"P"&amp;$A58))</f>
        <v>0</v>
      </c>
      <c r="H58" s="91">
        <f ca="1">IF(RTD("tos.rtd",,$A$2,"."&amp;H$43&amp;H$1&amp;"C"&amp;$A58)="N/A",0,RTD("tos.rtd",,$A$2,"."&amp;H$43&amp;H$1&amp;"C"&amp;$A58))-IF(RTD("tos.rtd",,$A$2,"."&amp;H$43&amp;H$1&amp;"P"&amp;$A58)="N/A",0,RTD("tos.rtd",,$A$2,"."&amp;H$43&amp;H$1&amp;"P"&amp;$A58))</f>
        <v>24</v>
      </c>
      <c r="I58" s="91">
        <f ca="1">IF(RTD("tos.rtd",,$A$2,"."&amp;I$43&amp;I$1&amp;"C"&amp;$A58)="N/A",0,RTD("tos.rtd",,$A$2,"."&amp;I$43&amp;I$1&amp;"C"&amp;$A58))-IF(RTD("tos.rtd",,$A$2,"."&amp;I$43&amp;I$1&amp;"P"&amp;$A58)="N/A",0,RTD("tos.rtd",,$A$2,"."&amp;I$43&amp;I$1&amp;"P"&amp;$A58))</f>
        <v>-400</v>
      </c>
      <c r="J58" s="91">
        <f ca="1">IF(RTD("tos.rtd",,$A$2,"."&amp;J$43&amp;J$1&amp;"C"&amp;$A58)="N/A",0,RTD("tos.rtd",,$A$2,"."&amp;J$43&amp;J$1&amp;"C"&amp;$A58))-IF(RTD("tos.rtd",,$A$2,"."&amp;J$43&amp;J$1&amp;"P"&amp;$A58)="N/A",0,RTD("tos.rtd",,$A$2,"."&amp;J$43&amp;J$1&amp;"P"&amp;$A58))</f>
        <v>-150</v>
      </c>
      <c r="K58" s="91">
        <f ca="1">IF(RTD("tos.rtd",,$A$2,"."&amp;K$43&amp;K$1&amp;"C"&amp;$A58)="N/A",0,RTD("tos.rtd",,$A$2,"."&amp;K$43&amp;K$1&amp;"C"&amp;$A58))-IF(RTD("tos.rtd",,$A$2,"."&amp;K$43&amp;K$1&amp;"P"&amp;$A58)="N/A",0,RTD("tos.rtd",,$A$2,"."&amp;K$43&amp;K$1&amp;"P"&amp;$A58))</f>
        <v>1235</v>
      </c>
      <c r="L58" s="91">
        <f ca="1">IF(RTD("tos.rtd",,$A$2,"."&amp;L$43&amp;L$1&amp;"C"&amp;$A58)="N/A",0,RTD("tos.rtd",,$A$2,"."&amp;L$43&amp;L$1&amp;"C"&amp;$A58))-IF(RTD("tos.rtd",,$A$2,"."&amp;L$43&amp;L$1&amp;"P"&amp;$A58)="N/A",0,RTD("tos.rtd",,$A$2,"."&amp;L$43&amp;L$1&amp;"P"&amp;$A58))</f>
        <v>-6</v>
      </c>
      <c r="M58" s="91">
        <f ca="1">IF(RTD("tos.rtd",,$A$2,"."&amp;M$43&amp;M$1&amp;"C"&amp;$A58)="N/A",0,RTD("tos.rtd",,$A$2,"."&amp;M$43&amp;M$1&amp;"C"&amp;$A58))-IF(RTD("tos.rtd",,$A$2,"."&amp;M$43&amp;M$1&amp;"P"&amp;$A58)="N/A",0,RTD("tos.rtd",,$A$2,"."&amp;M$43&amp;M$1&amp;"P"&amp;$A58))</f>
        <v>-184</v>
      </c>
      <c r="N58" s="91">
        <f ca="1">IF(RTD("tos.rtd",,$A$2,"."&amp;N$43&amp;N$1&amp;"C"&amp;$A58)="N/A",0,RTD("tos.rtd",,$A$2,"."&amp;N$43&amp;N$1&amp;"C"&amp;$A58))-IF(RTD("tos.rtd",,$A$2,"."&amp;N$43&amp;N$1&amp;"P"&amp;$A58)="N/A",0,RTD("tos.rtd",,$A$2,"."&amp;N$43&amp;N$1&amp;"P"&amp;$A58))</f>
        <v>108</v>
      </c>
      <c r="O58" s="91">
        <f ca="1">IF(RTD("tos.rtd",,$A$2,"."&amp;O$43&amp;O$1&amp;"C"&amp;$A58)="N/A",0,RTD("tos.rtd",,$A$2,"."&amp;O$43&amp;O$1&amp;"C"&amp;$A58))-IF(RTD("tos.rtd",,$A$2,"."&amp;O$43&amp;O$1&amp;"P"&amp;$A58)="N/A",0,RTD("tos.rtd",,$A$2,"."&amp;O$43&amp;O$1&amp;"P"&amp;$A58))</f>
        <v>-78</v>
      </c>
      <c r="P58" s="91">
        <f ca="1">IF(RTD("tos.rtd",,$A$2,"."&amp;P$43&amp;P$1&amp;"C"&amp;$A58)="N/A",0,RTD("tos.rtd",,$A$2,"."&amp;P$43&amp;P$1&amp;"C"&amp;$A58))-IF(RTD("tos.rtd",,$A$2,"."&amp;P$43&amp;P$1&amp;"P"&amp;$A58)="N/A",0,RTD("tos.rtd",,$A$2,"."&amp;P$43&amp;P$1&amp;"P"&amp;$A58))</f>
        <v>-62</v>
      </c>
      <c r="Q58" s="91">
        <f ca="1">IF(RTD("tos.rtd",,$A$2,"."&amp;Q$43&amp;Q$1&amp;"C"&amp;$A58)="N/A",0,RTD("tos.rtd",,$A$2,"."&amp;Q$43&amp;Q$1&amp;"C"&amp;$A58))-IF(RTD("tos.rtd",,$A$2,"."&amp;Q$43&amp;Q$1&amp;"P"&amp;$A58)="N/A",0,RTD("tos.rtd",,$A$2,"."&amp;Q$43&amp;Q$1&amp;"P"&amp;$A58))</f>
        <v>-80</v>
      </c>
      <c r="R58" s="91">
        <f ca="1">IF(RTD("tos.rtd",,$A$2,"."&amp;R$43&amp;R$1&amp;"C"&amp;$A58)="N/A",0,RTD("tos.rtd",,$A$2,"."&amp;R$43&amp;R$1&amp;"C"&amp;$A58))-IF(RTD("tos.rtd",,$A$2,"."&amp;R$43&amp;R$1&amp;"P"&amp;$A58)="N/A",0,RTD("tos.rtd",,$A$2,"."&amp;R$43&amp;R$1&amp;"P"&amp;$A58))</f>
        <v>-9</v>
      </c>
      <c r="S58" s="91">
        <f ca="1">IF(RTD("tos.rtd",,$A$2,"."&amp;S$43&amp;S$1&amp;"C"&amp;$A58)="N/A",0,RTD("tos.rtd",,$A$2,"."&amp;S$43&amp;S$1&amp;"C"&amp;$A58))-IF(RTD("tos.rtd",,$A$2,"."&amp;S$43&amp;S$1&amp;"P"&amp;$A58)="N/A",0,RTD("tos.rtd",,$A$2,"."&amp;S$43&amp;S$1&amp;"P"&amp;$A58))</f>
        <v>0</v>
      </c>
      <c r="T58" s="91">
        <f ca="1">IF(RTD("tos.rtd",,$A$2,"."&amp;T$43&amp;T$1&amp;"C"&amp;$A58)="N/A",0,RTD("tos.rtd",,$A$2,"."&amp;T$43&amp;T$1&amp;"C"&amp;$A58))-IF(RTD("tos.rtd",,$A$2,"."&amp;T$43&amp;T$1&amp;"P"&amp;$A58)="N/A",0,RTD("tos.rtd",,$A$2,"."&amp;T$43&amp;T$1&amp;"P"&amp;$A58))</f>
        <v>0</v>
      </c>
      <c r="U58" s="91">
        <f ca="1">IF(RTD("tos.rtd",,$A$2,"."&amp;U$43&amp;U$1&amp;"C"&amp;$A58)="N/A",0,RTD("tos.rtd",,$A$2,"."&amp;U$43&amp;U$1&amp;"C"&amp;$A58))-IF(RTD("tos.rtd",,$A$2,"."&amp;U$43&amp;U$1&amp;"P"&amp;$A58)="N/A",0,RTD("tos.rtd",,$A$2,"."&amp;U$43&amp;U$1&amp;"P"&amp;$A58))</f>
        <v>-101</v>
      </c>
      <c r="V58" s="91">
        <f ca="1">IF(RTD("tos.rtd",,$A$2,"."&amp;V$43&amp;V$1&amp;"C"&amp;$A58)="N/A",0,RTD("tos.rtd",,$A$2,"."&amp;V$43&amp;V$1&amp;"C"&amp;$A58))-IF(RTD("tos.rtd",,$A$2,"."&amp;V$43&amp;V$1&amp;"P"&amp;$A58)="N/A",0,RTD("tos.rtd",,$A$2,"."&amp;V$43&amp;V$1&amp;"P"&amp;$A58))</f>
        <v>0</v>
      </c>
      <c r="W58" s="91">
        <f ca="1">IF(RTD("tos.rtd",,$A$2,"."&amp;W$43&amp;W$1&amp;"C"&amp;$A58)="N/A",0,RTD("tos.rtd",,$A$2,"."&amp;W$43&amp;W$1&amp;"C"&amp;$A58))-IF(RTD("tos.rtd",,$A$2,"."&amp;W$43&amp;W$1&amp;"P"&amp;$A58)="N/A",0,RTD("tos.rtd",,$A$2,"."&amp;W$43&amp;W$1&amp;"P"&amp;$A58))</f>
        <v>14</v>
      </c>
      <c r="X58" s="91">
        <f ca="1">IF(RTD("tos.rtd",,$A$2,"."&amp;X$43&amp;X$1&amp;"C"&amp;$A58)="N/A",0,RTD("tos.rtd",,$A$2,"."&amp;X$43&amp;X$1&amp;"C"&amp;$A58))-IF(RTD("tos.rtd",,$A$2,"."&amp;X$43&amp;X$1&amp;"P"&amp;$A58)="N/A",0,RTD("tos.rtd",,$A$2,"."&amp;X$43&amp;X$1&amp;"P"&amp;$A58))</f>
        <v>8</v>
      </c>
      <c r="Y58" s="98">
        <f t="shared" ca="1" si="7"/>
        <v>319</v>
      </c>
    </row>
    <row r="59" spans="1:25" x14ac:dyDescent="0.25">
      <c r="A59" s="93">
        <f>+Hoja1!A58</f>
        <v>489</v>
      </c>
      <c r="B59" s="91">
        <f ca="1">IF(RTD("tos.rtd",,$A$2,"."&amp;B$43&amp;B$1&amp;"C"&amp;$A59)="N/A",0,RTD("tos.rtd",,$A$2,"."&amp;B$43&amp;B$1&amp;"C"&amp;$A59))-IF(RTD("tos.rtd",,$A$2,"."&amp;B$43&amp;B$1&amp;"P"&amp;$A59)="N/A",0,RTD("tos.rtd",,$A$2,"."&amp;B$43&amp;B$1&amp;"P"&amp;$A59))</f>
        <v>0</v>
      </c>
      <c r="C59" s="91">
        <f ca="1">IF(RTD("tos.rtd",,$A$2,"."&amp;C$43&amp;C$1&amp;"C"&amp;$A59)="N/A",0,RTD("tos.rtd",,$A$2,"."&amp;C$43&amp;C$1&amp;"C"&amp;$A59))-IF(RTD("tos.rtd",,$A$2,"."&amp;C$43&amp;C$1&amp;"P"&amp;$A59)="N/A",0,RTD("tos.rtd",,$A$2,"."&amp;C$43&amp;C$1&amp;"P"&amp;$A59))</f>
        <v>0</v>
      </c>
      <c r="D59" s="91">
        <f ca="1">IF(RTD("tos.rtd",,$A$2,"."&amp;D$43&amp;D$1&amp;"C"&amp;$A59)="N/A",0,RTD("tos.rtd",,$A$2,"."&amp;D$43&amp;D$1&amp;"C"&amp;$A59))-IF(RTD("tos.rtd",,$A$2,"."&amp;D$43&amp;D$1&amp;"P"&amp;$A59)="N/A",0,RTD("tos.rtd",,$A$2,"."&amp;D$43&amp;D$1&amp;"P"&amp;$A59))</f>
        <v>0</v>
      </c>
      <c r="E59" s="91">
        <f ca="1">IF(RTD("tos.rtd",,$A$2,"."&amp;E$43&amp;E$1&amp;"C"&amp;$A59)="N/A",0,RTD("tos.rtd",,$A$2,"."&amp;E$43&amp;E$1&amp;"C"&amp;$A59))-IF(RTD("tos.rtd",,$A$2,"."&amp;E$43&amp;E$1&amp;"P"&amp;$A59)="N/A",0,RTD("tos.rtd",,$A$2,"."&amp;E$43&amp;E$1&amp;"P"&amp;$A59))</f>
        <v>0</v>
      </c>
      <c r="F59" s="91">
        <f ca="1">IF(RTD("tos.rtd",,$A$2,"."&amp;F$43&amp;F$1&amp;"C"&amp;$A59)="N/A",0,RTD("tos.rtd",,$A$2,"."&amp;F$43&amp;F$1&amp;"C"&amp;$A59))-IF(RTD("tos.rtd",,$A$2,"."&amp;F$43&amp;F$1&amp;"P"&amp;$A59)="N/A",0,RTD("tos.rtd",,$A$2,"."&amp;F$43&amp;F$1&amp;"P"&amp;$A59))</f>
        <v>0</v>
      </c>
      <c r="G59" s="91">
        <f ca="1">IF(RTD("tos.rtd",,$A$2,"."&amp;G$43&amp;G$1&amp;"C"&amp;$A59)="N/A",0,RTD("tos.rtd",,$A$2,"."&amp;G$43&amp;G$1&amp;"C"&amp;$A59))-IF(RTD("tos.rtd",,$A$2,"."&amp;G$43&amp;G$1&amp;"P"&amp;$A59)="N/A",0,RTD("tos.rtd",,$A$2,"."&amp;G$43&amp;G$1&amp;"P"&amp;$A59))</f>
        <v>0</v>
      </c>
      <c r="H59" s="91">
        <f ca="1">IF(RTD("tos.rtd",,$A$2,"."&amp;H$43&amp;H$1&amp;"C"&amp;$A59)="N/A",0,RTD("tos.rtd",,$A$2,"."&amp;H$43&amp;H$1&amp;"C"&amp;$A59))-IF(RTD("tos.rtd",,$A$2,"."&amp;H$43&amp;H$1&amp;"P"&amp;$A59)="N/A",0,RTD("tos.rtd",,$A$2,"."&amp;H$43&amp;H$1&amp;"P"&amp;$A59))</f>
        <v>-17</v>
      </c>
      <c r="I59" s="91">
        <f ca="1">IF(RTD("tos.rtd",,$A$2,"."&amp;I$43&amp;I$1&amp;"C"&amp;$A59)="N/A",0,RTD("tos.rtd",,$A$2,"."&amp;I$43&amp;I$1&amp;"C"&amp;$A59))-IF(RTD("tos.rtd",,$A$2,"."&amp;I$43&amp;I$1&amp;"P"&amp;$A59)="N/A",0,RTD("tos.rtd",,$A$2,"."&amp;I$43&amp;I$1&amp;"P"&amp;$A59))</f>
        <v>-137</v>
      </c>
      <c r="J59" s="91">
        <f ca="1">IF(RTD("tos.rtd",,$A$2,"."&amp;J$43&amp;J$1&amp;"C"&amp;$A59)="N/A",0,RTD("tos.rtd",,$A$2,"."&amp;J$43&amp;J$1&amp;"C"&amp;$A59))-IF(RTD("tos.rtd",,$A$2,"."&amp;J$43&amp;J$1&amp;"P"&amp;$A59)="N/A",0,RTD("tos.rtd",,$A$2,"."&amp;J$43&amp;J$1&amp;"P"&amp;$A59))</f>
        <v>-42</v>
      </c>
      <c r="K59" s="91">
        <f ca="1">IF(RTD("tos.rtd",,$A$2,"."&amp;K$43&amp;K$1&amp;"C"&amp;$A59)="N/A",0,RTD("tos.rtd",,$A$2,"."&amp;K$43&amp;K$1&amp;"C"&amp;$A59))-IF(RTD("tos.rtd",,$A$2,"."&amp;K$43&amp;K$1&amp;"P"&amp;$A59)="N/A",0,RTD("tos.rtd",,$A$2,"."&amp;K$43&amp;K$1&amp;"P"&amp;$A59))</f>
        <v>0</v>
      </c>
      <c r="L59" s="91">
        <f ca="1">IF(RTD("tos.rtd",,$A$2,"."&amp;L$43&amp;L$1&amp;"C"&amp;$A59)="N/A",0,RTD("tos.rtd",,$A$2,"."&amp;L$43&amp;L$1&amp;"C"&amp;$A59))-IF(RTD("tos.rtd",,$A$2,"."&amp;L$43&amp;L$1&amp;"P"&amp;$A59)="N/A",0,RTD("tos.rtd",,$A$2,"."&amp;L$43&amp;L$1&amp;"P"&amp;$A59))</f>
        <v>-6</v>
      </c>
      <c r="M59" s="91">
        <f ca="1">IF(RTD("tos.rtd",,$A$2,"."&amp;M$43&amp;M$1&amp;"C"&amp;$A59)="N/A",0,RTD("tos.rtd",,$A$2,"."&amp;M$43&amp;M$1&amp;"C"&amp;$A59))-IF(RTD("tos.rtd",,$A$2,"."&amp;M$43&amp;M$1&amp;"P"&amp;$A59)="N/A",0,RTD("tos.rtd",,$A$2,"."&amp;M$43&amp;M$1&amp;"P"&amp;$A59))</f>
        <v>0</v>
      </c>
      <c r="N59" s="91">
        <f ca="1">IF(RTD("tos.rtd",,$A$2,"."&amp;N$43&amp;N$1&amp;"C"&amp;$A59)="N/A",0,RTD("tos.rtd",,$A$2,"."&amp;N$43&amp;N$1&amp;"C"&amp;$A59))-IF(RTD("tos.rtd",,$A$2,"."&amp;N$43&amp;N$1&amp;"P"&amp;$A59)="N/A",0,RTD("tos.rtd",,$A$2,"."&amp;N$43&amp;N$1&amp;"P"&amp;$A59))</f>
        <v>-10</v>
      </c>
      <c r="O59" s="91">
        <f ca="1">IF(RTD("tos.rtd",,$A$2,"."&amp;O$43&amp;O$1&amp;"C"&amp;$A59)="N/A",0,RTD("tos.rtd",,$A$2,"."&amp;O$43&amp;O$1&amp;"C"&amp;$A59))-IF(RTD("tos.rtd",,$A$2,"."&amp;O$43&amp;O$1&amp;"P"&amp;$A59)="N/A",0,RTD("tos.rtd",,$A$2,"."&amp;O$43&amp;O$1&amp;"P"&amp;$A59))</f>
        <v>0</v>
      </c>
      <c r="P59" s="91">
        <f ca="1">IF(RTD("tos.rtd",,$A$2,"."&amp;P$43&amp;P$1&amp;"C"&amp;$A59)="N/A",0,RTD("tos.rtd",,$A$2,"."&amp;P$43&amp;P$1&amp;"C"&amp;$A59))-IF(RTD("tos.rtd",,$A$2,"."&amp;P$43&amp;P$1&amp;"P"&amp;$A59)="N/A",0,RTD("tos.rtd",,$A$2,"."&amp;P$43&amp;P$1&amp;"P"&amp;$A59))</f>
        <v>0</v>
      </c>
      <c r="Q59" s="91">
        <f ca="1">IF(RTD("tos.rtd",,$A$2,"."&amp;Q$43&amp;Q$1&amp;"C"&amp;$A59)="N/A",0,RTD("tos.rtd",,$A$2,"."&amp;Q$43&amp;Q$1&amp;"C"&amp;$A59))-IF(RTD("tos.rtd",,$A$2,"."&amp;Q$43&amp;Q$1&amp;"P"&amp;$A59)="N/A",0,RTD("tos.rtd",,$A$2,"."&amp;Q$43&amp;Q$1&amp;"P"&amp;$A59))</f>
        <v>0</v>
      </c>
      <c r="R59" s="91">
        <f ca="1">IF(RTD("tos.rtd",,$A$2,"."&amp;R$43&amp;R$1&amp;"C"&amp;$A59)="N/A",0,RTD("tos.rtd",,$A$2,"."&amp;R$43&amp;R$1&amp;"C"&amp;$A59))-IF(RTD("tos.rtd",,$A$2,"."&amp;R$43&amp;R$1&amp;"P"&amp;$A59)="N/A",0,RTD("tos.rtd",,$A$2,"."&amp;R$43&amp;R$1&amp;"P"&amp;$A59))</f>
        <v>4</v>
      </c>
      <c r="S59" s="91">
        <f ca="1">IF(RTD("tos.rtd",,$A$2,"."&amp;S$43&amp;S$1&amp;"C"&amp;$A59)="N/A",0,RTD("tos.rtd",,$A$2,"."&amp;S$43&amp;S$1&amp;"C"&amp;$A59))-IF(RTD("tos.rtd",,$A$2,"."&amp;S$43&amp;S$1&amp;"P"&amp;$A59)="N/A",0,RTD("tos.rtd",,$A$2,"."&amp;S$43&amp;S$1&amp;"P"&amp;$A59))</f>
        <v>0</v>
      </c>
      <c r="T59" s="91">
        <f ca="1">IF(RTD("tos.rtd",,$A$2,"."&amp;T$43&amp;T$1&amp;"C"&amp;$A59)="N/A",0,RTD("tos.rtd",,$A$2,"."&amp;T$43&amp;T$1&amp;"C"&amp;$A59))-IF(RTD("tos.rtd",,$A$2,"."&amp;T$43&amp;T$1&amp;"P"&amp;$A59)="N/A",0,RTD("tos.rtd",,$A$2,"."&amp;T$43&amp;T$1&amp;"P"&amp;$A59))</f>
        <v>0</v>
      </c>
      <c r="U59" s="91">
        <f ca="1">IF(RTD("tos.rtd",,$A$2,"."&amp;U$43&amp;U$1&amp;"C"&amp;$A59)="N/A",0,RTD("tos.rtd",,$A$2,"."&amp;U$43&amp;U$1&amp;"C"&amp;$A59))-IF(RTD("tos.rtd",,$A$2,"."&amp;U$43&amp;U$1&amp;"P"&amp;$A59)="N/A",0,RTD("tos.rtd",,$A$2,"."&amp;U$43&amp;U$1&amp;"P"&amp;$A59))</f>
        <v>0</v>
      </c>
      <c r="V59" s="91">
        <f ca="1">IF(RTD("tos.rtd",,$A$2,"."&amp;V$43&amp;V$1&amp;"C"&amp;$A59)="N/A",0,RTD("tos.rtd",,$A$2,"."&amp;V$43&amp;V$1&amp;"C"&amp;$A59))-IF(RTD("tos.rtd",,$A$2,"."&amp;V$43&amp;V$1&amp;"P"&amp;$A59)="N/A",0,RTD("tos.rtd",,$A$2,"."&amp;V$43&amp;V$1&amp;"P"&amp;$A59))</f>
        <v>0</v>
      </c>
      <c r="W59" s="91">
        <f ca="1">IF(RTD("tos.rtd",,$A$2,"."&amp;W$43&amp;W$1&amp;"C"&amp;$A59)="N/A",0,RTD("tos.rtd",,$A$2,"."&amp;W$43&amp;W$1&amp;"C"&amp;$A59))-IF(RTD("tos.rtd",,$A$2,"."&amp;W$43&amp;W$1&amp;"P"&amp;$A59)="N/A",0,RTD("tos.rtd",,$A$2,"."&amp;W$43&amp;W$1&amp;"P"&amp;$A59))</f>
        <v>0</v>
      </c>
      <c r="X59" s="91">
        <f ca="1">IF(RTD("tos.rtd",,$A$2,"."&amp;X$43&amp;X$1&amp;"C"&amp;$A59)="N/A",0,RTD("tos.rtd",,$A$2,"."&amp;X$43&amp;X$1&amp;"C"&amp;$A59))-IF(RTD("tos.rtd",,$A$2,"."&amp;X$43&amp;X$1&amp;"P"&amp;$A59)="N/A",0,RTD("tos.rtd",,$A$2,"."&amp;X$43&amp;X$1&amp;"P"&amp;$A59))</f>
        <v>3</v>
      </c>
      <c r="Y59" s="98">
        <f t="shared" ca="1" si="7"/>
        <v>-205</v>
      </c>
    </row>
    <row r="60" spans="1:25" x14ac:dyDescent="0.25">
      <c r="A60" s="93">
        <f>+Hoja1!A59</f>
        <v>488</v>
      </c>
      <c r="B60" s="91">
        <f ca="1">IF(RTD("tos.rtd",,$A$2,"."&amp;B$43&amp;B$1&amp;"C"&amp;$A60)="N/A",0,RTD("tos.rtd",,$A$2,"."&amp;B$43&amp;B$1&amp;"C"&amp;$A60))-IF(RTD("tos.rtd",,$A$2,"."&amp;B$43&amp;B$1&amp;"P"&amp;$A60)="N/A",0,RTD("tos.rtd",,$A$2,"."&amp;B$43&amp;B$1&amp;"P"&amp;$A60))</f>
        <v>0</v>
      </c>
      <c r="C60" s="91">
        <f ca="1">IF(RTD("tos.rtd",,$A$2,"."&amp;C$43&amp;C$1&amp;"C"&amp;$A60)="N/A",0,RTD("tos.rtd",,$A$2,"."&amp;C$43&amp;C$1&amp;"C"&amp;$A60))-IF(RTD("tos.rtd",,$A$2,"."&amp;C$43&amp;C$1&amp;"P"&amp;$A60)="N/A",0,RTD("tos.rtd",,$A$2,"."&amp;C$43&amp;C$1&amp;"P"&amp;$A60))</f>
        <v>0</v>
      </c>
      <c r="D60" s="91">
        <f ca="1">IF(RTD("tos.rtd",,$A$2,"."&amp;D$43&amp;D$1&amp;"C"&amp;$A60)="N/A",0,RTD("tos.rtd",,$A$2,"."&amp;D$43&amp;D$1&amp;"C"&amp;$A60))-IF(RTD("tos.rtd",,$A$2,"."&amp;D$43&amp;D$1&amp;"P"&amp;$A60)="N/A",0,RTD("tos.rtd",,$A$2,"."&amp;D$43&amp;D$1&amp;"P"&amp;$A60))</f>
        <v>0</v>
      </c>
      <c r="E60" s="91">
        <f ca="1">IF(RTD("tos.rtd",,$A$2,"."&amp;E$43&amp;E$1&amp;"C"&amp;$A60)="N/A",0,RTD("tos.rtd",,$A$2,"."&amp;E$43&amp;E$1&amp;"C"&amp;$A60))-IF(RTD("tos.rtd",,$A$2,"."&amp;E$43&amp;E$1&amp;"P"&amp;$A60)="N/A",0,RTD("tos.rtd",,$A$2,"."&amp;E$43&amp;E$1&amp;"P"&amp;$A60))</f>
        <v>0</v>
      </c>
      <c r="F60" s="91">
        <f ca="1">IF(RTD("tos.rtd",,$A$2,"."&amp;F$43&amp;F$1&amp;"C"&amp;$A60)="N/A",0,RTD("tos.rtd",,$A$2,"."&amp;F$43&amp;F$1&amp;"C"&amp;$A60))-IF(RTD("tos.rtd",,$A$2,"."&amp;F$43&amp;F$1&amp;"P"&amp;$A60)="N/A",0,RTD("tos.rtd",,$A$2,"."&amp;F$43&amp;F$1&amp;"P"&amp;$A60))</f>
        <v>0</v>
      </c>
      <c r="G60" s="91">
        <f ca="1">IF(RTD("tos.rtd",,$A$2,"."&amp;G$43&amp;G$1&amp;"C"&amp;$A60)="N/A",0,RTD("tos.rtd",,$A$2,"."&amp;G$43&amp;G$1&amp;"C"&amp;$A60))-IF(RTD("tos.rtd",,$A$2,"."&amp;G$43&amp;G$1&amp;"P"&amp;$A60)="N/A",0,RTD("tos.rtd",,$A$2,"."&amp;G$43&amp;G$1&amp;"P"&amp;$A60))</f>
        <v>0</v>
      </c>
      <c r="H60" s="91">
        <f ca="1">IF(RTD("tos.rtd",,$A$2,"."&amp;H$43&amp;H$1&amp;"C"&amp;$A60)="N/A",0,RTD("tos.rtd",,$A$2,"."&amp;H$43&amp;H$1&amp;"C"&amp;$A60))-IF(RTD("tos.rtd",,$A$2,"."&amp;H$43&amp;H$1&amp;"P"&amp;$A60)="N/A",0,RTD("tos.rtd",,$A$2,"."&amp;H$43&amp;H$1&amp;"P"&amp;$A60))</f>
        <v>193</v>
      </c>
      <c r="I60" s="91">
        <f ca="1">IF(RTD("tos.rtd",,$A$2,"."&amp;I$43&amp;I$1&amp;"C"&amp;$A60)="N/A",0,RTD("tos.rtd",,$A$2,"."&amp;I$43&amp;I$1&amp;"C"&amp;$A60))-IF(RTD("tos.rtd",,$A$2,"."&amp;I$43&amp;I$1&amp;"P"&amp;$A60)="N/A",0,RTD("tos.rtd",,$A$2,"."&amp;I$43&amp;I$1&amp;"P"&amp;$A60))</f>
        <v>-274</v>
      </c>
      <c r="J60" s="91">
        <f ca="1">IF(RTD("tos.rtd",,$A$2,"."&amp;J$43&amp;J$1&amp;"C"&amp;$A60)="N/A",0,RTD("tos.rtd",,$A$2,"."&amp;J$43&amp;J$1&amp;"C"&amp;$A60))-IF(RTD("tos.rtd",,$A$2,"."&amp;J$43&amp;J$1&amp;"P"&amp;$A60)="N/A",0,RTD("tos.rtd",,$A$2,"."&amp;J$43&amp;J$1&amp;"P"&amp;$A60))</f>
        <v>-61</v>
      </c>
      <c r="K60" s="91">
        <f ca="1">IF(RTD("tos.rtd",,$A$2,"."&amp;K$43&amp;K$1&amp;"C"&amp;$A60)="N/A",0,RTD("tos.rtd",,$A$2,"."&amp;K$43&amp;K$1&amp;"C"&amp;$A60))-IF(RTD("tos.rtd",,$A$2,"."&amp;K$43&amp;K$1&amp;"P"&amp;$A60)="N/A",0,RTD("tos.rtd",,$A$2,"."&amp;K$43&amp;K$1&amp;"P"&amp;$A60))</f>
        <v>0</v>
      </c>
      <c r="L60" s="91">
        <f ca="1">IF(RTD("tos.rtd",,$A$2,"."&amp;L$43&amp;L$1&amp;"C"&amp;$A60)="N/A",0,RTD("tos.rtd",,$A$2,"."&amp;L$43&amp;L$1&amp;"C"&amp;$A60))-IF(RTD("tos.rtd",,$A$2,"."&amp;L$43&amp;L$1&amp;"P"&amp;$A60)="N/A",0,RTD("tos.rtd",,$A$2,"."&amp;L$43&amp;L$1&amp;"P"&amp;$A60))</f>
        <v>-1</v>
      </c>
      <c r="M60" s="91">
        <f ca="1">IF(RTD("tos.rtd",,$A$2,"."&amp;M$43&amp;M$1&amp;"C"&amp;$A60)="N/A",0,RTD("tos.rtd",,$A$2,"."&amp;M$43&amp;M$1&amp;"C"&amp;$A60))-IF(RTD("tos.rtd",,$A$2,"."&amp;M$43&amp;M$1&amp;"P"&amp;$A60)="N/A",0,RTD("tos.rtd",,$A$2,"."&amp;M$43&amp;M$1&amp;"P"&amp;$A60))</f>
        <v>0</v>
      </c>
      <c r="N60" s="91">
        <f ca="1">IF(RTD("tos.rtd",,$A$2,"."&amp;N$43&amp;N$1&amp;"C"&amp;$A60)="N/A",0,RTD("tos.rtd",,$A$2,"."&amp;N$43&amp;N$1&amp;"C"&amp;$A60))-IF(RTD("tos.rtd",,$A$2,"."&amp;N$43&amp;N$1&amp;"P"&amp;$A60)="N/A",0,RTD("tos.rtd",,$A$2,"."&amp;N$43&amp;N$1&amp;"P"&amp;$A60))</f>
        <v>-102</v>
      </c>
      <c r="O60" s="91">
        <f ca="1">IF(RTD("tos.rtd",,$A$2,"."&amp;O$43&amp;O$1&amp;"C"&amp;$A60)="N/A",0,RTD("tos.rtd",,$A$2,"."&amp;O$43&amp;O$1&amp;"C"&amp;$A60))-IF(RTD("tos.rtd",,$A$2,"."&amp;O$43&amp;O$1&amp;"P"&amp;$A60)="N/A",0,RTD("tos.rtd",,$A$2,"."&amp;O$43&amp;O$1&amp;"P"&amp;$A60))</f>
        <v>0</v>
      </c>
      <c r="P60" s="91">
        <f ca="1">IF(RTD("tos.rtd",,$A$2,"."&amp;P$43&amp;P$1&amp;"C"&amp;$A60)="N/A",0,RTD("tos.rtd",,$A$2,"."&amp;P$43&amp;P$1&amp;"C"&amp;$A60))-IF(RTD("tos.rtd",,$A$2,"."&amp;P$43&amp;P$1&amp;"P"&amp;$A60)="N/A",0,RTD("tos.rtd",,$A$2,"."&amp;P$43&amp;P$1&amp;"P"&amp;$A60))</f>
        <v>0</v>
      </c>
      <c r="Q60" s="91">
        <f ca="1">IF(RTD("tos.rtd",,$A$2,"."&amp;Q$43&amp;Q$1&amp;"C"&amp;$A60)="N/A",0,RTD("tos.rtd",,$A$2,"."&amp;Q$43&amp;Q$1&amp;"C"&amp;$A60))-IF(RTD("tos.rtd",,$A$2,"."&amp;Q$43&amp;Q$1&amp;"P"&amp;$A60)="N/A",0,RTD("tos.rtd",,$A$2,"."&amp;Q$43&amp;Q$1&amp;"P"&amp;$A60))</f>
        <v>0</v>
      </c>
      <c r="R60" s="91">
        <f ca="1">IF(RTD("tos.rtd",,$A$2,"."&amp;R$43&amp;R$1&amp;"C"&amp;$A60)="N/A",0,RTD("tos.rtd",,$A$2,"."&amp;R$43&amp;R$1&amp;"C"&amp;$A60))-IF(RTD("tos.rtd",,$A$2,"."&amp;R$43&amp;R$1&amp;"P"&amp;$A60)="N/A",0,RTD("tos.rtd",,$A$2,"."&amp;R$43&amp;R$1&amp;"P"&amp;$A60))</f>
        <v>4</v>
      </c>
      <c r="S60" s="91">
        <f ca="1">IF(RTD("tos.rtd",,$A$2,"."&amp;S$43&amp;S$1&amp;"C"&amp;$A60)="N/A",0,RTD("tos.rtd",,$A$2,"."&amp;S$43&amp;S$1&amp;"C"&amp;$A60))-IF(RTD("tos.rtd",,$A$2,"."&amp;S$43&amp;S$1&amp;"P"&amp;$A60)="N/A",0,RTD("tos.rtd",,$A$2,"."&amp;S$43&amp;S$1&amp;"P"&amp;$A60))</f>
        <v>0</v>
      </c>
      <c r="T60" s="91">
        <f ca="1">IF(RTD("tos.rtd",,$A$2,"."&amp;T$43&amp;T$1&amp;"C"&amp;$A60)="N/A",0,RTD("tos.rtd",,$A$2,"."&amp;T$43&amp;T$1&amp;"C"&amp;$A60))-IF(RTD("tos.rtd",,$A$2,"."&amp;T$43&amp;T$1&amp;"P"&amp;$A60)="N/A",0,RTD("tos.rtd",,$A$2,"."&amp;T$43&amp;T$1&amp;"P"&amp;$A60))</f>
        <v>0</v>
      </c>
      <c r="U60" s="91">
        <f ca="1">IF(RTD("tos.rtd",,$A$2,"."&amp;U$43&amp;U$1&amp;"C"&amp;$A60)="N/A",0,RTD("tos.rtd",,$A$2,"."&amp;U$43&amp;U$1&amp;"C"&amp;$A60))-IF(RTD("tos.rtd",,$A$2,"."&amp;U$43&amp;U$1&amp;"P"&amp;$A60)="N/A",0,RTD("tos.rtd",,$A$2,"."&amp;U$43&amp;U$1&amp;"P"&amp;$A60))</f>
        <v>0</v>
      </c>
      <c r="V60" s="91">
        <f ca="1">IF(RTD("tos.rtd",,$A$2,"."&amp;V$43&amp;V$1&amp;"C"&amp;$A60)="N/A",0,RTD("tos.rtd",,$A$2,"."&amp;V$43&amp;V$1&amp;"C"&amp;$A60))-IF(RTD("tos.rtd",,$A$2,"."&amp;V$43&amp;V$1&amp;"P"&amp;$A60)="N/A",0,RTD("tos.rtd",,$A$2,"."&amp;V$43&amp;V$1&amp;"P"&amp;$A60))</f>
        <v>0</v>
      </c>
      <c r="W60" s="91">
        <f ca="1">IF(RTD("tos.rtd",,$A$2,"."&amp;W$43&amp;W$1&amp;"C"&amp;$A60)="N/A",0,RTD("tos.rtd",,$A$2,"."&amp;W$43&amp;W$1&amp;"C"&amp;$A60))-IF(RTD("tos.rtd",,$A$2,"."&amp;W$43&amp;W$1&amp;"P"&amp;$A60)="N/A",0,RTD("tos.rtd",,$A$2,"."&amp;W$43&amp;W$1&amp;"P"&amp;$A60))</f>
        <v>0</v>
      </c>
      <c r="X60" s="91">
        <f ca="1">IF(RTD("tos.rtd",,$A$2,"."&amp;X$43&amp;X$1&amp;"C"&amp;$A60)="N/A",0,RTD("tos.rtd",,$A$2,"."&amp;X$43&amp;X$1&amp;"C"&amp;$A60))-IF(RTD("tos.rtd",,$A$2,"."&amp;X$43&amp;X$1&amp;"P"&amp;$A60)="N/A",0,RTD("tos.rtd",,$A$2,"."&amp;X$43&amp;X$1&amp;"P"&amp;$A60))</f>
        <v>-8</v>
      </c>
      <c r="Y60" s="98">
        <f t="shared" ca="1" si="7"/>
        <v>-249</v>
      </c>
    </row>
    <row r="61" spans="1:25" x14ac:dyDescent="0.25">
      <c r="A61" s="93">
        <f>+Hoja1!A60</f>
        <v>487</v>
      </c>
      <c r="B61" s="91">
        <f ca="1">IF(RTD("tos.rtd",,$A$2,"."&amp;B$43&amp;B$1&amp;"C"&amp;$A61)="N/A",0,RTD("tos.rtd",,$A$2,"."&amp;B$43&amp;B$1&amp;"C"&amp;$A61))-IF(RTD("tos.rtd",,$A$2,"."&amp;B$43&amp;B$1&amp;"P"&amp;$A61)="N/A",0,RTD("tos.rtd",,$A$2,"."&amp;B$43&amp;B$1&amp;"P"&amp;$A61))</f>
        <v>0</v>
      </c>
      <c r="C61" s="91">
        <f ca="1">IF(RTD("tos.rtd",,$A$2,"."&amp;C$43&amp;C$1&amp;"C"&amp;$A61)="N/A",0,RTD("tos.rtd",,$A$2,"."&amp;C$43&amp;C$1&amp;"C"&amp;$A61))-IF(RTD("tos.rtd",,$A$2,"."&amp;C$43&amp;C$1&amp;"P"&amp;$A61)="N/A",0,RTD("tos.rtd",,$A$2,"."&amp;C$43&amp;C$1&amp;"P"&amp;$A61))</f>
        <v>0</v>
      </c>
      <c r="D61" s="91">
        <f ca="1">IF(RTD("tos.rtd",,$A$2,"."&amp;D$43&amp;D$1&amp;"C"&amp;$A61)="N/A",0,RTD("tos.rtd",,$A$2,"."&amp;D$43&amp;D$1&amp;"C"&amp;$A61))-IF(RTD("tos.rtd",,$A$2,"."&amp;D$43&amp;D$1&amp;"P"&amp;$A61)="N/A",0,RTD("tos.rtd",,$A$2,"."&amp;D$43&amp;D$1&amp;"P"&amp;$A61))</f>
        <v>0</v>
      </c>
      <c r="E61" s="91">
        <f ca="1">IF(RTD("tos.rtd",,$A$2,"."&amp;E$43&amp;E$1&amp;"C"&amp;$A61)="N/A",0,RTD("tos.rtd",,$A$2,"."&amp;E$43&amp;E$1&amp;"C"&amp;$A61))-IF(RTD("tos.rtd",,$A$2,"."&amp;E$43&amp;E$1&amp;"P"&amp;$A61)="N/A",0,RTD("tos.rtd",,$A$2,"."&amp;E$43&amp;E$1&amp;"P"&amp;$A61))</f>
        <v>0</v>
      </c>
      <c r="F61" s="91">
        <f ca="1">IF(RTD("tos.rtd",,$A$2,"."&amp;F$43&amp;F$1&amp;"C"&amp;$A61)="N/A",0,RTD("tos.rtd",,$A$2,"."&amp;F$43&amp;F$1&amp;"C"&amp;$A61))-IF(RTD("tos.rtd",,$A$2,"."&amp;F$43&amp;F$1&amp;"P"&amp;$A61)="N/A",0,RTD("tos.rtd",,$A$2,"."&amp;F$43&amp;F$1&amp;"P"&amp;$A61))</f>
        <v>0</v>
      </c>
      <c r="G61" s="91">
        <f ca="1">IF(RTD("tos.rtd",,$A$2,"."&amp;G$43&amp;G$1&amp;"C"&amp;$A61)="N/A",0,RTD("tos.rtd",,$A$2,"."&amp;G$43&amp;G$1&amp;"C"&amp;$A61))-IF(RTD("tos.rtd",,$A$2,"."&amp;G$43&amp;G$1&amp;"P"&amp;$A61)="N/A",0,RTD("tos.rtd",,$A$2,"."&amp;G$43&amp;G$1&amp;"P"&amp;$A61))</f>
        <v>0</v>
      </c>
      <c r="H61" s="91">
        <f ca="1">IF(RTD("tos.rtd",,$A$2,"."&amp;H$43&amp;H$1&amp;"C"&amp;$A61)="N/A",0,RTD("tos.rtd",,$A$2,"."&amp;H$43&amp;H$1&amp;"C"&amp;$A61))-IF(RTD("tos.rtd",,$A$2,"."&amp;H$43&amp;H$1&amp;"P"&amp;$A61)="N/A",0,RTD("tos.rtd",,$A$2,"."&amp;H$43&amp;H$1&amp;"P"&amp;$A61))</f>
        <v>-284</v>
      </c>
      <c r="I61" s="91">
        <f ca="1">IF(RTD("tos.rtd",,$A$2,"."&amp;I$43&amp;I$1&amp;"C"&amp;$A61)="N/A",0,RTD("tos.rtd",,$A$2,"."&amp;I$43&amp;I$1&amp;"C"&amp;$A61))-IF(RTD("tos.rtd",,$A$2,"."&amp;I$43&amp;I$1&amp;"P"&amp;$A61)="N/A",0,RTD("tos.rtd",,$A$2,"."&amp;I$43&amp;I$1&amp;"P"&amp;$A61))</f>
        <v>-195</v>
      </c>
      <c r="J61" s="91">
        <f ca="1">IF(RTD("tos.rtd",,$A$2,"."&amp;J$43&amp;J$1&amp;"C"&amp;$A61)="N/A",0,RTD("tos.rtd",,$A$2,"."&amp;J$43&amp;J$1&amp;"C"&amp;$A61))-IF(RTD("tos.rtd",,$A$2,"."&amp;J$43&amp;J$1&amp;"P"&amp;$A61)="N/A",0,RTD("tos.rtd",,$A$2,"."&amp;J$43&amp;J$1&amp;"P"&amp;$A61))</f>
        <v>-119</v>
      </c>
      <c r="K61" s="91">
        <f ca="1">IF(RTD("tos.rtd",,$A$2,"."&amp;K$43&amp;K$1&amp;"C"&amp;$A61)="N/A",0,RTD("tos.rtd",,$A$2,"."&amp;K$43&amp;K$1&amp;"C"&amp;$A61))-IF(RTD("tos.rtd",,$A$2,"."&amp;K$43&amp;K$1&amp;"P"&amp;$A61)="N/A",0,RTD("tos.rtd",,$A$2,"."&amp;K$43&amp;K$1&amp;"P"&amp;$A61))</f>
        <v>0</v>
      </c>
      <c r="L61" s="91">
        <f ca="1">IF(RTD("tos.rtd",,$A$2,"."&amp;L$43&amp;L$1&amp;"C"&amp;$A61)="N/A",0,RTD("tos.rtd",,$A$2,"."&amp;L$43&amp;L$1&amp;"C"&amp;$A61))-IF(RTD("tos.rtd",,$A$2,"."&amp;L$43&amp;L$1&amp;"P"&amp;$A61)="N/A",0,RTD("tos.rtd",,$A$2,"."&amp;L$43&amp;L$1&amp;"P"&amp;$A61))</f>
        <v>-16</v>
      </c>
      <c r="M61" s="91">
        <f ca="1">IF(RTD("tos.rtd",,$A$2,"."&amp;M$43&amp;M$1&amp;"C"&amp;$A61)="N/A",0,RTD("tos.rtd",,$A$2,"."&amp;M$43&amp;M$1&amp;"C"&amp;$A61))-IF(RTD("tos.rtd",,$A$2,"."&amp;M$43&amp;M$1&amp;"P"&amp;$A61)="N/A",0,RTD("tos.rtd",,$A$2,"."&amp;M$43&amp;M$1&amp;"P"&amp;$A61))</f>
        <v>0</v>
      </c>
      <c r="N61" s="91">
        <f ca="1">IF(RTD("tos.rtd",,$A$2,"."&amp;N$43&amp;N$1&amp;"C"&amp;$A61)="N/A",0,RTD("tos.rtd",,$A$2,"."&amp;N$43&amp;N$1&amp;"C"&amp;$A61))-IF(RTD("tos.rtd",,$A$2,"."&amp;N$43&amp;N$1&amp;"P"&amp;$A61)="N/A",0,RTD("tos.rtd",,$A$2,"."&amp;N$43&amp;N$1&amp;"P"&amp;$A61))</f>
        <v>-18</v>
      </c>
      <c r="O61" s="91">
        <f ca="1">IF(RTD("tos.rtd",,$A$2,"."&amp;O$43&amp;O$1&amp;"C"&amp;$A61)="N/A",0,RTD("tos.rtd",,$A$2,"."&amp;O$43&amp;O$1&amp;"C"&amp;$A61))-IF(RTD("tos.rtd",,$A$2,"."&amp;O$43&amp;O$1&amp;"P"&amp;$A61)="N/A",0,RTD("tos.rtd",,$A$2,"."&amp;O$43&amp;O$1&amp;"P"&amp;$A61))</f>
        <v>0</v>
      </c>
      <c r="P61" s="91">
        <f ca="1">IF(RTD("tos.rtd",,$A$2,"."&amp;P$43&amp;P$1&amp;"C"&amp;$A61)="N/A",0,RTD("tos.rtd",,$A$2,"."&amp;P$43&amp;P$1&amp;"C"&amp;$A61))-IF(RTD("tos.rtd",,$A$2,"."&amp;P$43&amp;P$1&amp;"P"&amp;$A61)="N/A",0,RTD("tos.rtd",,$A$2,"."&amp;P$43&amp;P$1&amp;"P"&amp;$A61))</f>
        <v>0</v>
      </c>
      <c r="Q61" s="91">
        <f ca="1">IF(RTD("tos.rtd",,$A$2,"."&amp;Q$43&amp;Q$1&amp;"C"&amp;$A61)="N/A",0,RTD("tos.rtd",,$A$2,"."&amp;Q$43&amp;Q$1&amp;"C"&amp;$A61))-IF(RTD("tos.rtd",,$A$2,"."&amp;Q$43&amp;Q$1&amp;"P"&amp;$A61)="N/A",0,RTD("tos.rtd",,$A$2,"."&amp;Q$43&amp;Q$1&amp;"P"&amp;$A61))</f>
        <v>0</v>
      </c>
      <c r="R61" s="91">
        <f ca="1">IF(RTD("tos.rtd",,$A$2,"."&amp;R$43&amp;R$1&amp;"C"&amp;$A61)="N/A",0,RTD("tos.rtd",,$A$2,"."&amp;R$43&amp;R$1&amp;"C"&amp;$A61))-IF(RTD("tos.rtd",,$A$2,"."&amp;R$43&amp;R$1&amp;"P"&amp;$A61)="N/A",0,RTD("tos.rtd",,$A$2,"."&amp;R$43&amp;R$1&amp;"P"&amp;$A61))</f>
        <v>44</v>
      </c>
      <c r="S61" s="91">
        <f ca="1">IF(RTD("tos.rtd",,$A$2,"."&amp;S$43&amp;S$1&amp;"C"&amp;$A61)="N/A",0,RTD("tos.rtd",,$A$2,"."&amp;S$43&amp;S$1&amp;"C"&amp;$A61))-IF(RTD("tos.rtd",,$A$2,"."&amp;S$43&amp;S$1&amp;"P"&amp;$A61)="N/A",0,RTD("tos.rtd",,$A$2,"."&amp;S$43&amp;S$1&amp;"P"&amp;$A61))</f>
        <v>0</v>
      </c>
      <c r="T61" s="91">
        <f ca="1">IF(RTD("tos.rtd",,$A$2,"."&amp;T$43&amp;T$1&amp;"C"&amp;$A61)="N/A",0,RTD("tos.rtd",,$A$2,"."&amp;T$43&amp;T$1&amp;"C"&amp;$A61))-IF(RTD("tos.rtd",,$A$2,"."&amp;T$43&amp;T$1&amp;"P"&amp;$A61)="N/A",0,RTD("tos.rtd",,$A$2,"."&amp;T$43&amp;T$1&amp;"P"&amp;$A61))</f>
        <v>0</v>
      </c>
      <c r="U61" s="91">
        <f ca="1">IF(RTD("tos.rtd",,$A$2,"."&amp;U$43&amp;U$1&amp;"C"&amp;$A61)="N/A",0,RTD("tos.rtd",,$A$2,"."&amp;U$43&amp;U$1&amp;"C"&amp;$A61))-IF(RTD("tos.rtd",,$A$2,"."&amp;U$43&amp;U$1&amp;"P"&amp;$A61)="N/A",0,RTD("tos.rtd",,$A$2,"."&amp;U$43&amp;U$1&amp;"P"&amp;$A61))</f>
        <v>0</v>
      </c>
      <c r="V61" s="91">
        <f ca="1">IF(RTD("tos.rtd",,$A$2,"."&amp;V$43&amp;V$1&amp;"C"&amp;$A61)="N/A",0,RTD("tos.rtd",,$A$2,"."&amp;V$43&amp;V$1&amp;"C"&amp;$A61))-IF(RTD("tos.rtd",,$A$2,"."&amp;V$43&amp;V$1&amp;"P"&amp;$A61)="N/A",0,RTD("tos.rtd",,$A$2,"."&amp;V$43&amp;V$1&amp;"P"&amp;$A61))</f>
        <v>0</v>
      </c>
      <c r="W61" s="91">
        <f ca="1">IF(RTD("tos.rtd",,$A$2,"."&amp;W$43&amp;W$1&amp;"C"&amp;$A61)="N/A",0,RTD("tos.rtd",,$A$2,"."&amp;W$43&amp;W$1&amp;"C"&amp;$A61))-IF(RTD("tos.rtd",,$A$2,"."&amp;W$43&amp;W$1&amp;"P"&amp;$A61)="N/A",0,RTD("tos.rtd",,$A$2,"."&amp;W$43&amp;W$1&amp;"P"&amp;$A61))</f>
        <v>0</v>
      </c>
      <c r="X61" s="91">
        <f ca="1">IF(RTD("tos.rtd",,$A$2,"."&amp;X$43&amp;X$1&amp;"C"&amp;$A61)="N/A",0,RTD("tos.rtd",,$A$2,"."&amp;X$43&amp;X$1&amp;"C"&amp;$A61))-IF(RTD("tos.rtd",,$A$2,"."&amp;X$43&amp;X$1&amp;"P"&amp;$A61)="N/A",0,RTD("tos.rtd",,$A$2,"."&amp;X$43&amp;X$1&amp;"P"&amp;$A61))</f>
        <v>19</v>
      </c>
      <c r="Y61" s="98">
        <f t="shared" ca="1" si="7"/>
        <v>-569</v>
      </c>
    </row>
    <row r="62" spans="1:25" x14ac:dyDescent="0.25">
      <c r="A62" s="93">
        <f>+Hoja1!A61</f>
        <v>486</v>
      </c>
      <c r="B62" s="91">
        <f ca="1">IF(RTD("tos.rtd",,$A$2,"."&amp;B$43&amp;B$1&amp;"C"&amp;$A62)="N/A",0,RTD("tos.rtd",,$A$2,"."&amp;B$43&amp;B$1&amp;"C"&amp;$A62))-IF(RTD("tos.rtd",,$A$2,"."&amp;B$43&amp;B$1&amp;"P"&amp;$A62)="N/A",0,RTD("tos.rtd",,$A$2,"."&amp;B$43&amp;B$1&amp;"P"&amp;$A62))</f>
        <v>0</v>
      </c>
      <c r="C62" s="91">
        <f ca="1">IF(RTD("tos.rtd",,$A$2,"."&amp;C$43&amp;C$1&amp;"C"&amp;$A62)="N/A",0,RTD("tos.rtd",,$A$2,"."&amp;C$43&amp;C$1&amp;"C"&amp;$A62))-IF(RTD("tos.rtd",,$A$2,"."&amp;C$43&amp;C$1&amp;"P"&amp;$A62)="N/A",0,RTD("tos.rtd",,$A$2,"."&amp;C$43&amp;C$1&amp;"P"&amp;$A62))</f>
        <v>0</v>
      </c>
      <c r="D62" s="91">
        <f ca="1">IF(RTD("tos.rtd",,$A$2,"."&amp;D$43&amp;D$1&amp;"C"&amp;$A62)="N/A",0,RTD("tos.rtd",,$A$2,"."&amp;D$43&amp;D$1&amp;"C"&amp;$A62))-IF(RTD("tos.rtd",,$A$2,"."&amp;D$43&amp;D$1&amp;"P"&amp;$A62)="N/A",0,RTD("tos.rtd",,$A$2,"."&amp;D$43&amp;D$1&amp;"P"&amp;$A62))</f>
        <v>0</v>
      </c>
      <c r="E62" s="91">
        <f ca="1">IF(RTD("tos.rtd",,$A$2,"."&amp;E$43&amp;E$1&amp;"C"&amp;$A62)="N/A",0,RTD("tos.rtd",,$A$2,"."&amp;E$43&amp;E$1&amp;"C"&amp;$A62))-IF(RTD("tos.rtd",,$A$2,"."&amp;E$43&amp;E$1&amp;"P"&amp;$A62)="N/A",0,RTD("tos.rtd",,$A$2,"."&amp;E$43&amp;E$1&amp;"P"&amp;$A62))</f>
        <v>0</v>
      </c>
      <c r="F62" s="91">
        <f ca="1">IF(RTD("tos.rtd",,$A$2,"."&amp;F$43&amp;F$1&amp;"C"&amp;$A62)="N/A",0,RTD("tos.rtd",,$A$2,"."&amp;F$43&amp;F$1&amp;"C"&amp;$A62))-IF(RTD("tos.rtd",,$A$2,"."&amp;F$43&amp;F$1&amp;"P"&amp;$A62)="N/A",0,RTD("tos.rtd",,$A$2,"."&amp;F$43&amp;F$1&amp;"P"&amp;$A62))</f>
        <v>0</v>
      </c>
      <c r="G62" s="91">
        <f ca="1">IF(RTD("tos.rtd",,$A$2,"."&amp;G$43&amp;G$1&amp;"C"&amp;$A62)="N/A",0,RTD("tos.rtd",,$A$2,"."&amp;G$43&amp;G$1&amp;"C"&amp;$A62))-IF(RTD("tos.rtd",,$A$2,"."&amp;G$43&amp;G$1&amp;"P"&amp;$A62)="N/A",0,RTD("tos.rtd",,$A$2,"."&amp;G$43&amp;G$1&amp;"P"&amp;$A62))</f>
        <v>0</v>
      </c>
      <c r="H62" s="91">
        <f ca="1">IF(RTD("tos.rtd",,$A$2,"."&amp;H$43&amp;H$1&amp;"C"&amp;$A62)="N/A",0,RTD("tos.rtd",,$A$2,"."&amp;H$43&amp;H$1&amp;"C"&amp;$A62))-IF(RTD("tos.rtd",,$A$2,"."&amp;H$43&amp;H$1&amp;"P"&amp;$A62)="N/A",0,RTD("tos.rtd",,$A$2,"."&amp;H$43&amp;H$1&amp;"P"&amp;$A62))</f>
        <v>-290</v>
      </c>
      <c r="I62" s="91">
        <f ca="1">IF(RTD("tos.rtd",,$A$2,"."&amp;I$43&amp;I$1&amp;"C"&amp;$A62)="N/A",0,RTD("tos.rtd",,$A$2,"."&amp;I$43&amp;I$1&amp;"C"&amp;$A62))-IF(RTD("tos.rtd",,$A$2,"."&amp;I$43&amp;I$1&amp;"P"&amp;$A62)="N/A",0,RTD("tos.rtd",,$A$2,"."&amp;I$43&amp;I$1&amp;"P"&amp;$A62))</f>
        <v>-237</v>
      </c>
      <c r="J62" s="91">
        <f ca="1">IF(RTD("tos.rtd",,$A$2,"."&amp;J$43&amp;J$1&amp;"C"&amp;$A62)="N/A",0,RTD("tos.rtd",,$A$2,"."&amp;J$43&amp;J$1&amp;"C"&amp;$A62))-IF(RTD("tos.rtd",,$A$2,"."&amp;J$43&amp;J$1&amp;"P"&amp;$A62)="N/A",0,RTD("tos.rtd",,$A$2,"."&amp;J$43&amp;J$1&amp;"P"&amp;$A62))</f>
        <v>-28</v>
      </c>
      <c r="K62" s="91">
        <f ca="1">IF(RTD("tos.rtd",,$A$2,"."&amp;K$43&amp;K$1&amp;"C"&amp;$A62)="N/A",0,RTD("tos.rtd",,$A$2,"."&amp;K$43&amp;K$1&amp;"C"&amp;$A62))-IF(RTD("tos.rtd",,$A$2,"."&amp;K$43&amp;K$1&amp;"P"&amp;$A62)="N/A",0,RTD("tos.rtd",,$A$2,"."&amp;K$43&amp;K$1&amp;"P"&amp;$A62))</f>
        <v>0</v>
      </c>
      <c r="L62" s="91">
        <f ca="1">IF(RTD("tos.rtd",,$A$2,"."&amp;L$43&amp;L$1&amp;"C"&amp;$A62)="N/A",0,RTD("tos.rtd",,$A$2,"."&amp;L$43&amp;L$1&amp;"C"&amp;$A62))-IF(RTD("tos.rtd",,$A$2,"."&amp;L$43&amp;L$1&amp;"P"&amp;$A62)="N/A",0,RTD("tos.rtd",,$A$2,"."&amp;L$43&amp;L$1&amp;"P"&amp;$A62))</f>
        <v>-52</v>
      </c>
      <c r="M62" s="91">
        <f ca="1">IF(RTD("tos.rtd",,$A$2,"."&amp;M$43&amp;M$1&amp;"C"&amp;$A62)="N/A",0,RTD("tos.rtd",,$A$2,"."&amp;M$43&amp;M$1&amp;"C"&amp;$A62))-IF(RTD("tos.rtd",,$A$2,"."&amp;M$43&amp;M$1&amp;"P"&amp;$A62)="N/A",0,RTD("tos.rtd",,$A$2,"."&amp;M$43&amp;M$1&amp;"P"&amp;$A62))</f>
        <v>0</v>
      </c>
      <c r="N62" s="91">
        <f ca="1">IF(RTD("tos.rtd",,$A$2,"."&amp;N$43&amp;N$1&amp;"C"&amp;$A62)="N/A",0,RTD("tos.rtd",,$A$2,"."&amp;N$43&amp;N$1&amp;"C"&amp;$A62))-IF(RTD("tos.rtd",,$A$2,"."&amp;N$43&amp;N$1&amp;"P"&amp;$A62)="N/A",0,RTD("tos.rtd",,$A$2,"."&amp;N$43&amp;N$1&amp;"P"&amp;$A62))</f>
        <v>-2</v>
      </c>
      <c r="O62" s="91">
        <f ca="1">IF(RTD("tos.rtd",,$A$2,"."&amp;O$43&amp;O$1&amp;"C"&amp;$A62)="N/A",0,RTD("tos.rtd",,$A$2,"."&amp;O$43&amp;O$1&amp;"C"&amp;$A62))-IF(RTD("tos.rtd",,$A$2,"."&amp;O$43&amp;O$1&amp;"P"&amp;$A62)="N/A",0,RTD("tos.rtd",,$A$2,"."&amp;O$43&amp;O$1&amp;"P"&amp;$A62))</f>
        <v>0</v>
      </c>
      <c r="P62" s="91">
        <f ca="1">IF(RTD("tos.rtd",,$A$2,"."&amp;P$43&amp;P$1&amp;"C"&amp;$A62)="N/A",0,RTD("tos.rtd",,$A$2,"."&amp;P$43&amp;P$1&amp;"C"&amp;$A62))-IF(RTD("tos.rtd",,$A$2,"."&amp;P$43&amp;P$1&amp;"P"&amp;$A62)="N/A",0,RTD("tos.rtd",,$A$2,"."&amp;P$43&amp;P$1&amp;"P"&amp;$A62))</f>
        <v>0</v>
      </c>
      <c r="Q62" s="91">
        <f ca="1">IF(RTD("tos.rtd",,$A$2,"."&amp;Q$43&amp;Q$1&amp;"C"&amp;$A62)="N/A",0,RTD("tos.rtd",,$A$2,"."&amp;Q$43&amp;Q$1&amp;"C"&amp;$A62))-IF(RTD("tos.rtd",,$A$2,"."&amp;Q$43&amp;Q$1&amp;"P"&amp;$A62)="N/A",0,RTD("tos.rtd",,$A$2,"."&amp;Q$43&amp;Q$1&amp;"P"&amp;$A62))</f>
        <v>0</v>
      </c>
      <c r="R62" s="91">
        <f ca="1">IF(RTD("tos.rtd",,$A$2,"."&amp;R$43&amp;R$1&amp;"C"&amp;$A62)="N/A",0,RTD("tos.rtd",,$A$2,"."&amp;R$43&amp;R$1&amp;"C"&amp;$A62))-IF(RTD("tos.rtd",,$A$2,"."&amp;R$43&amp;R$1&amp;"P"&amp;$A62)="N/A",0,RTD("tos.rtd",,$A$2,"."&amp;R$43&amp;R$1&amp;"P"&amp;$A62))</f>
        <v>20</v>
      </c>
      <c r="S62" s="91">
        <f ca="1">IF(RTD("tos.rtd",,$A$2,"."&amp;S$43&amp;S$1&amp;"C"&amp;$A62)="N/A",0,RTD("tos.rtd",,$A$2,"."&amp;S$43&amp;S$1&amp;"C"&amp;$A62))-IF(RTD("tos.rtd",,$A$2,"."&amp;S$43&amp;S$1&amp;"P"&amp;$A62)="N/A",0,RTD("tos.rtd",,$A$2,"."&amp;S$43&amp;S$1&amp;"P"&amp;$A62))</f>
        <v>0</v>
      </c>
      <c r="T62" s="91">
        <f ca="1">IF(RTD("tos.rtd",,$A$2,"."&amp;T$43&amp;T$1&amp;"C"&amp;$A62)="N/A",0,RTD("tos.rtd",,$A$2,"."&amp;T$43&amp;T$1&amp;"C"&amp;$A62))-IF(RTD("tos.rtd",,$A$2,"."&amp;T$43&amp;T$1&amp;"P"&amp;$A62)="N/A",0,RTD("tos.rtd",,$A$2,"."&amp;T$43&amp;T$1&amp;"P"&amp;$A62))</f>
        <v>0</v>
      </c>
      <c r="U62" s="91">
        <f ca="1">IF(RTD("tos.rtd",,$A$2,"."&amp;U$43&amp;U$1&amp;"C"&amp;$A62)="N/A",0,RTD("tos.rtd",,$A$2,"."&amp;U$43&amp;U$1&amp;"C"&amp;$A62))-IF(RTD("tos.rtd",,$A$2,"."&amp;U$43&amp;U$1&amp;"P"&amp;$A62)="N/A",0,RTD("tos.rtd",,$A$2,"."&amp;U$43&amp;U$1&amp;"P"&amp;$A62))</f>
        <v>0</v>
      </c>
      <c r="V62" s="91">
        <f ca="1">IF(RTD("tos.rtd",,$A$2,"."&amp;V$43&amp;V$1&amp;"C"&amp;$A62)="N/A",0,RTD("tos.rtd",,$A$2,"."&amp;V$43&amp;V$1&amp;"C"&amp;$A62))-IF(RTD("tos.rtd",,$A$2,"."&amp;V$43&amp;V$1&amp;"P"&amp;$A62)="N/A",0,RTD("tos.rtd",,$A$2,"."&amp;V$43&amp;V$1&amp;"P"&amp;$A62))</f>
        <v>0</v>
      </c>
      <c r="W62" s="91">
        <f ca="1">IF(RTD("tos.rtd",,$A$2,"."&amp;W$43&amp;W$1&amp;"C"&amp;$A62)="N/A",0,RTD("tos.rtd",,$A$2,"."&amp;W$43&amp;W$1&amp;"C"&amp;$A62))-IF(RTD("tos.rtd",,$A$2,"."&amp;W$43&amp;W$1&amp;"P"&amp;$A62)="N/A",0,RTD("tos.rtd",,$A$2,"."&amp;W$43&amp;W$1&amp;"P"&amp;$A62))</f>
        <v>0</v>
      </c>
      <c r="X62" s="91">
        <f ca="1">IF(RTD("tos.rtd",,$A$2,"."&amp;X$43&amp;X$1&amp;"C"&amp;$A62)="N/A",0,RTD("tos.rtd",,$A$2,"."&amp;X$43&amp;X$1&amp;"C"&amp;$A62))-IF(RTD("tos.rtd",,$A$2,"."&amp;X$43&amp;X$1&amp;"P"&amp;$A62)="N/A",0,RTD("tos.rtd",,$A$2,"."&amp;X$43&amp;X$1&amp;"P"&amp;$A62))</f>
        <v>0</v>
      </c>
      <c r="Y62" s="98">
        <f t="shared" ca="1" si="7"/>
        <v>-589</v>
      </c>
    </row>
    <row r="63" spans="1:25" x14ac:dyDescent="0.25">
      <c r="A63" s="93">
        <f>+Hoja1!A62</f>
        <v>485</v>
      </c>
      <c r="B63" s="91">
        <f ca="1">IF(RTD("tos.rtd",,$A$2,"."&amp;B$43&amp;B$1&amp;"C"&amp;$A63)="N/A",0,RTD("tos.rtd",,$A$2,"."&amp;B$43&amp;B$1&amp;"C"&amp;$A63))-IF(RTD("tos.rtd",,$A$2,"."&amp;B$43&amp;B$1&amp;"P"&amp;$A63)="N/A",0,RTD("tos.rtd",,$A$2,"."&amp;B$43&amp;B$1&amp;"P"&amp;$A63))</f>
        <v>0</v>
      </c>
      <c r="C63" s="91">
        <f ca="1">IF(RTD("tos.rtd",,$A$2,"."&amp;C$43&amp;C$1&amp;"C"&amp;$A63)="N/A",0,RTD("tos.rtd",,$A$2,"."&amp;C$43&amp;C$1&amp;"C"&amp;$A63))-IF(RTD("tos.rtd",,$A$2,"."&amp;C$43&amp;C$1&amp;"P"&amp;$A63)="N/A",0,RTD("tos.rtd",,$A$2,"."&amp;C$43&amp;C$1&amp;"P"&amp;$A63))</f>
        <v>0</v>
      </c>
      <c r="D63" s="91">
        <f ca="1">IF(RTD("tos.rtd",,$A$2,"."&amp;D$43&amp;D$1&amp;"C"&amp;$A63)="N/A",0,RTD("tos.rtd",,$A$2,"."&amp;D$43&amp;D$1&amp;"C"&amp;$A63))-IF(RTD("tos.rtd",,$A$2,"."&amp;D$43&amp;D$1&amp;"P"&amp;$A63)="N/A",0,RTD("tos.rtd",,$A$2,"."&amp;D$43&amp;D$1&amp;"P"&amp;$A63))</f>
        <v>0</v>
      </c>
      <c r="E63" s="91">
        <f ca="1">IF(RTD("tos.rtd",,$A$2,"."&amp;E$43&amp;E$1&amp;"C"&amp;$A63)="N/A",0,RTD("tos.rtd",,$A$2,"."&amp;E$43&amp;E$1&amp;"C"&amp;$A63))-IF(RTD("tos.rtd",,$A$2,"."&amp;E$43&amp;E$1&amp;"P"&amp;$A63)="N/A",0,RTD("tos.rtd",,$A$2,"."&amp;E$43&amp;E$1&amp;"P"&amp;$A63))</f>
        <v>0</v>
      </c>
      <c r="F63" s="91">
        <f ca="1">IF(RTD("tos.rtd",,$A$2,"."&amp;F$43&amp;F$1&amp;"C"&amp;$A63)="N/A",0,RTD("tos.rtd",,$A$2,"."&amp;F$43&amp;F$1&amp;"C"&amp;$A63))-IF(RTD("tos.rtd",,$A$2,"."&amp;F$43&amp;F$1&amp;"P"&amp;$A63)="N/A",0,RTD("tos.rtd",,$A$2,"."&amp;F$43&amp;F$1&amp;"P"&amp;$A63))</f>
        <v>0</v>
      </c>
      <c r="G63" s="91">
        <f ca="1">IF(RTD("tos.rtd",,$A$2,"."&amp;G$43&amp;G$1&amp;"C"&amp;$A63)="N/A",0,RTD("tos.rtd",,$A$2,"."&amp;G$43&amp;G$1&amp;"C"&amp;$A63))-IF(RTD("tos.rtd",,$A$2,"."&amp;G$43&amp;G$1&amp;"P"&amp;$A63)="N/A",0,RTD("tos.rtd",,$A$2,"."&amp;G$43&amp;G$1&amp;"P"&amp;$A63))</f>
        <v>0</v>
      </c>
      <c r="H63" s="91">
        <f ca="1">IF(RTD("tos.rtd",,$A$2,"."&amp;H$43&amp;H$1&amp;"C"&amp;$A63)="N/A",0,RTD("tos.rtd",,$A$2,"."&amp;H$43&amp;H$1&amp;"C"&amp;$A63))-IF(RTD("tos.rtd",,$A$2,"."&amp;H$43&amp;H$1&amp;"P"&amp;$A63)="N/A",0,RTD("tos.rtd",,$A$2,"."&amp;H$43&amp;H$1&amp;"P"&amp;$A63))</f>
        <v>-2069</v>
      </c>
      <c r="I63" s="91">
        <f ca="1">IF(RTD("tos.rtd",,$A$2,"."&amp;I$43&amp;I$1&amp;"C"&amp;$A63)="N/A",0,RTD("tos.rtd",,$A$2,"."&amp;I$43&amp;I$1&amp;"C"&amp;$A63))-IF(RTD("tos.rtd",,$A$2,"."&amp;I$43&amp;I$1&amp;"P"&amp;$A63)="N/A",0,RTD("tos.rtd",,$A$2,"."&amp;I$43&amp;I$1&amp;"P"&amp;$A63))</f>
        <v>-262</v>
      </c>
      <c r="J63" s="91">
        <f ca="1">IF(RTD("tos.rtd",,$A$2,"."&amp;J$43&amp;J$1&amp;"C"&amp;$A63)="N/A",0,RTD("tos.rtd",,$A$2,"."&amp;J$43&amp;J$1&amp;"C"&amp;$A63))-IF(RTD("tos.rtd",,$A$2,"."&amp;J$43&amp;J$1&amp;"P"&amp;$A63)="N/A",0,RTD("tos.rtd",,$A$2,"."&amp;J$43&amp;J$1&amp;"P"&amp;$A63))</f>
        <v>-60</v>
      </c>
      <c r="K63" s="91">
        <f ca="1">IF(RTD("tos.rtd",,$A$2,"."&amp;K$43&amp;K$1&amp;"C"&amp;$A63)="N/A",0,RTD("tos.rtd",,$A$2,"."&amp;K$43&amp;K$1&amp;"C"&amp;$A63))-IF(RTD("tos.rtd",,$A$2,"."&amp;K$43&amp;K$1&amp;"P"&amp;$A63)="N/A",0,RTD("tos.rtd",,$A$2,"."&amp;K$43&amp;K$1&amp;"P"&amp;$A63))</f>
        <v>-1295</v>
      </c>
      <c r="L63" s="91">
        <f ca="1">IF(RTD("tos.rtd",,$A$2,"."&amp;L$43&amp;L$1&amp;"C"&amp;$A63)="N/A",0,RTD("tos.rtd",,$A$2,"."&amp;L$43&amp;L$1&amp;"C"&amp;$A63))-IF(RTD("tos.rtd",,$A$2,"."&amp;L$43&amp;L$1&amp;"P"&amp;$A63)="N/A",0,RTD("tos.rtd",,$A$2,"."&amp;L$43&amp;L$1&amp;"P"&amp;$A63))</f>
        <v>3</v>
      </c>
      <c r="M63" s="91">
        <f ca="1">IF(RTD("tos.rtd",,$A$2,"."&amp;M$43&amp;M$1&amp;"C"&amp;$A63)="N/A",0,RTD("tos.rtd",,$A$2,"."&amp;M$43&amp;M$1&amp;"C"&amp;$A63))-IF(RTD("tos.rtd",,$A$2,"."&amp;M$43&amp;M$1&amp;"P"&amp;$A63)="N/A",0,RTD("tos.rtd",,$A$2,"."&amp;M$43&amp;M$1&amp;"P"&amp;$A63))</f>
        <v>-64</v>
      </c>
      <c r="N63" s="91">
        <f ca="1">IF(RTD("tos.rtd",,$A$2,"."&amp;N$43&amp;N$1&amp;"C"&amp;$A63)="N/A",0,RTD("tos.rtd",,$A$2,"."&amp;N$43&amp;N$1&amp;"C"&amp;$A63))-IF(RTD("tos.rtd",,$A$2,"."&amp;N$43&amp;N$1&amp;"P"&amp;$A63)="N/A",0,RTD("tos.rtd",,$A$2,"."&amp;N$43&amp;N$1&amp;"P"&amp;$A63))</f>
        <v>-3</v>
      </c>
      <c r="O63" s="91">
        <f ca="1">IF(RTD("tos.rtd",,$A$2,"."&amp;O$43&amp;O$1&amp;"C"&amp;$A63)="N/A",0,RTD("tos.rtd",,$A$2,"."&amp;O$43&amp;O$1&amp;"C"&amp;$A63))-IF(RTD("tos.rtd",,$A$2,"."&amp;O$43&amp;O$1&amp;"P"&amp;$A63)="N/A",0,RTD("tos.rtd",,$A$2,"."&amp;O$43&amp;O$1&amp;"P"&amp;$A63))</f>
        <v>17</v>
      </c>
      <c r="P63" s="91">
        <f ca="1">IF(RTD("tos.rtd",,$A$2,"."&amp;P$43&amp;P$1&amp;"C"&amp;$A63)="N/A",0,RTD("tos.rtd",,$A$2,"."&amp;P$43&amp;P$1&amp;"C"&amp;$A63))-IF(RTD("tos.rtd",,$A$2,"."&amp;P$43&amp;P$1&amp;"P"&amp;$A63)="N/A",0,RTD("tos.rtd",,$A$2,"."&amp;P$43&amp;P$1&amp;"P"&amp;$A63))</f>
        <v>26</v>
      </c>
      <c r="Q63" s="91">
        <f ca="1">IF(RTD("tos.rtd",,$A$2,"."&amp;Q$43&amp;Q$1&amp;"C"&amp;$A63)="N/A",0,RTD("tos.rtd",,$A$2,"."&amp;Q$43&amp;Q$1&amp;"C"&amp;$A63))-IF(RTD("tos.rtd",,$A$2,"."&amp;Q$43&amp;Q$1&amp;"P"&amp;$A63)="N/A",0,RTD("tos.rtd",,$A$2,"."&amp;Q$43&amp;Q$1&amp;"P"&amp;$A63))</f>
        <v>-545</v>
      </c>
      <c r="R63" s="91">
        <f ca="1">IF(RTD("tos.rtd",,$A$2,"."&amp;R$43&amp;R$1&amp;"C"&amp;$A63)="N/A",0,RTD("tos.rtd",,$A$2,"."&amp;R$43&amp;R$1&amp;"C"&amp;$A63))-IF(RTD("tos.rtd",,$A$2,"."&amp;R$43&amp;R$1&amp;"P"&amp;$A63)="N/A",0,RTD("tos.rtd",,$A$2,"."&amp;R$43&amp;R$1&amp;"P"&amp;$A63))</f>
        <v>-95</v>
      </c>
      <c r="S63" s="91">
        <f ca="1">IF(RTD("tos.rtd",,$A$2,"."&amp;S$43&amp;S$1&amp;"C"&amp;$A63)="N/A",0,RTD("tos.rtd",,$A$2,"."&amp;S$43&amp;S$1&amp;"C"&amp;$A63))-IF(RTD("tos.rtd",,$A$2,"."&amp;S$43&amp;S$1&amp;"P"&amp;$A63)="N/A",0,RTD("tos.rtd",,$A$2,"."&amp;S$43&amp;S$1&amp;"P"&amp;$A63))</f>
        <v>0</v>
      </c>
      <c r="T63" s="91">
        <f ca="1">IF(RTD("tos.rtd",,$A$2,"."&amp;T$43&amp;T$1&amp;"C"&amp;$A63)="N/A",0,RTD("tos.rtd",,$A$2,"."&amp;T$43&amp;T$1&amp;"C"&amp;$A63))-IF(RTD("tos.rtd",,$A$2,"."&amp;T$43&amp;T$1&amp;"P"&amp;$A63)="N/A",0,RTD("tos.rtd",,$A$2,"."&amp;T$43&amp;T$1&amp;"P"&amp;$A63))</f>
        <v>0</v>
      </c>
      <c r="U63" s="91">
        <f ca="1">IF(RTD("tos.rtd",,$A$2,"."&amp;U$43&amp;U$1&amp;"C"&amp;$A63)="N/A",0,RTD("tos.rtd",,$A$2,"."&amp;U$43&amp;U$1&amp;"C"&amp;$A63))-IF(RTD("tos.rtd",,$A$2,"."&amp;U$43&amp;U$1&amp;"P"&amp;$A63)="N/A",0,RTD("tos.rtd",,$A$2,"."&amp;U$43&amp;U$1&amp;"P"&amp;$A63))</f>
        <v>102</v>
      </c>
      <c r="V63" s="91">
        <f ca="1">IF(RTD("tos.rtd",,$A$2,"."&amp;V$43&amp;V$1&amp;"C"&amp;$A63)="N/A",0,RTD("tos.rtd",,$A$2,"."&amp;V$43&amp;V$1&amp;"C"&amp;$A63))-IF(RTD("tos.rtd",,$A$2,"."&amp;V$43&amp;V$1&amp;"P"&amp;$A63)="N/A",0,RTD("tos.rtd",,$A$2,"."&amp;V$43&amp;V$1&amp;"P"&amp;$A63))</f>
        <v>0</v>
      </c>
      <c r="W63" s="91">
        <f ca="1">IF(RTD("tos.rtd",,$A$2,"."&amp;W$43&amp;W$1&amp;"C"&amp;$A63)="N/A",0,RTD("tos.rtd",,$A$2,"."&amp;W$43&amp;W$1&amp;"C"&amp;$A63))-IF(RTD("tos.rtd",,$A$2,"."&amp;W$43&amp;W$1&amp;"P"&amp;$A63)="N/A",0,RTD("tos.rtd",,$A$2,"."&amp;W$43&amp;W$1&amp;"P"&amp;$A63))</f>
        <v>0</v>
      </c>
      <c r="X63" s="91">
        <f ca="1">IF(RTD("tos.rtd",,$A$2,"."&amp;X$43&amp;X$1&amp;"C"&amp;$A63)="N/A",0,RTD("tos.rtd",,$A$2,"."&amp;X$43&amp;X$1&amp;"C"&amp;$A63))-IF(RTD("tos.rtd",,$A$2,"."&amp;X$43&amp;X$1&amp;"P"&amp;$A63)="N/A",0,RTD("tos.rtd",,$A$2,"."&amp;X$43&amp;X$1&amp;"P"&amp;$A63))</f>
        <v>-11</v>
      </c>
      <c r="Y63" s="98">
        <f t="shared" ca="1" si="7"/>
        <v>-4256</v>
      </c>
    </row>
    <row r="64" spans="1:25" x14ac:dyDescent="0.25">
      <c r="A64" s="93">
        <f>+Hoja1!A63</f>
        <v>484</v>
      </c>
      <c r="B64" s="91">
        <f ca="1">IF(RTD("tos.rtd",,$A$2,"."&amp;B$43&amp;B$1&amp;"C"&amp;$A64)="N/A",0,RTD("tos.rtd",,$A$2,"."&amp;B$43&amp;B$1&amp;"C"&amp;$A64))-IF(RTD("tos.rtd",,$A$2,"."&amp;B$43&amp;B$1&amp;"P"&amp;$A64)="N/A",0,RTD("tos.rtd",,$A$2,"."&amp;B$43&amp;B$1&amp;"P"&amp;$A64))</f>
        <v>0</v>
      </c>
      <c r="C64" s="91">
        <f ca="1">IF(RTD("tos.rtd",,$A$2,"."&amp;C$43&amp;C$1&amp;"C"&amp;$A64)="N/A",0,RTD("tos.rtd",,$A$2,"."&amp;C$43&amp;C$1&amp;"C"&amp;$A64))-IF(RTD("tos.rtd",,$A$2,"."&amp;C$43&amp;C$1&amp;"P"&amp;$A64)="N/A",0,RTD("tos.rtd",,$A$2,"."&amp;C$43&amp;C$1&amp;"P"&amp;$A64))</f>
        <v>0</v>
      </c>
      <c r="D64" s="91">
        <f ca="1">IF(RTD("tos.rtd",,$A$2,"."&amp;D$43&amp;D$1&amp;"C"&amp;$A64)="N/A",0,RTD("tos.rtd",,$A$2,"."&amp;D$43&amp;D$1&amp;"C"&amp;$A64))-IF(RTD("tos.rtd",,$A$2,"."&amp;D$43&amp;D$1&amp;"P"&amp;$A64)="N/A",0,RTD("tos.rtd",,$A$2,"."&amp;D$43&amp;D$1&amp;"P"&amp;$A64))</f>
        <v>0</v>
      </c>
      <c r="E64" s="91">
        <f ca="1">IF(RTD("tos.rtd",,$A$2,"."&amp;E$43&amp;E$1&amp;"C"&amp;$A64)="N/A",0,RTD("tos.rtd",,$A$2,"."&amp;E$43&amp;E$1&amp;"C"&amp;$A64))-IF(RTD("tos.rtd",,$A$2,"."&amp;E$43&amp;E$1&amp;"P"&amp;$A64)="N/A",0,RTD("tos.rtd",,$A$2,"."&amp;E$43&amp;E$1&amp;"P"&amp;$A64))</f>
        <v>0</v>
      </c>
      <c r="F64" s="91">
        <f ca="1">IF(RTD("tos.rtd",,$A$2,"."&amp;F$43&amp;F$1&amp;"C"&amp;$A64)="N/A",0,RTD("tos.rtd",,$A$2,"."&amp;F$43&amp;F$1&amp;"C"&amp;$A64))-IF(RTD("tos.rtd",,$A$2,"."&amp;F$43&amp;F$1&amp;"P"&amp;$A64)="N/A",0,RTD("tos.rtd",,$A$2,"."&amp;F$43&amp;F$1&amp;"P"&amp;$A64))</f>
        <v>0</v>
      </c>
      <c r="G64" s="91">
        <f ca="1">IF(RTD("tos.rtd",,$A$2,"."&amp;G$43&amp;G$1&amp;"C"&amp;$A64)="N/A",0,RTD("tos.rtd",,$A$2,"."&amp;G$43&amp;G$1&amp;"C"&amp;$A64))-IF(RTD("tos.rtd",,$A$2,"."&amp;G$43&amp;G$1&amp;"P"&amp;$A64)="N/A",0,RTD("tos.rtd",,$A$2,"."&amp;G$43&amp;G$1&amp;"P"&amp;$A64))</f>
        <v>0</v>
      </c>
      <c r="H64" s="91">
        <f ca="1">IF(RTD("tos.rtd",,$A$2,"."&amp;H$43&amp;H$1&amp;"C"&amp;$A64)="N/A",0,RTD("tos.rtd",,$A$2,"."&amp;H$43&amp;H$1&amp;"C"&amp;$A64))-IF(RTD("tos.rtd",,$A$2,"."&amp;H$43&amp;H$1&amp;"P"&amp;$A64)="N/A",0,RTD("tos.rtd",,$A$2,"."&amp;H$43&amp;H$1&amp;"P"&amp;$A64))</f>
        <v>-106</v>
      </c>
      <c r="I64" s="91">
        <f ca="1">IF(RTD("tos.rtd",,$A$2,"."&amp;I$43&amp;I$1&amp;"C"&amp;$A64)="N/A",0,RTD("tos.rtd",,$A$2,"."&amp;I$43&amp;I$1&amp;"C"&amp;$A64))-IF(RTD("tos.rtd",,$A$2,"."&amp;I$43&amp;I$1&amp;"P"&amp;$A64)="N/A",0,RTD("tos.rtd",,$A$2,"."&amp;I$43&amp;I$1&amp;"P"&amp;$A64))</f>
        <v>-1766</v>
      </c>
      <c r="J64" s="91">
        <f ca="1">IF(RTD("tos.rtd",,$A$2,"."&amp;J$43&amp;J$1&amp;"C"&amp;$A64)="N/A",0,RTD("tos.rtd",,$A$2,"."&amp;J$43&amp;J$1&amp;"C"&amp;$A64))-IF(RTD("tos.rtd",,$A$2,"."&amp;J$43&amp;J$1&amp;"P"&amp;$A64)="N/A",0,RTD("tos.rtd",,$A$2,"."&amp;J$43&amp;J$1&amp;"P"&amp;$A64))</f>
        <v>-2</v>
      </c>
      <c r="K64" s="91">
        <f ca="1">IF(RTD("tos.rtd",,$A$2,"."&amp;K$43&amp;K$1&amp;"C"&amp;$A64)="N/A",0,RTD("tos.rtd",,$A$2,"."&amp;K$43&amp;K$1&amp;"C"&amp;$A64))-IF(RTD("tos.rtd",,$A$2,"."&amp;K$43&amp;K$1&amp;"P"&amp;$A64)="N/A",0,RTD("tos.rtd",,$A$2,"."&amp;K$43&amp;K$1&amp;"P"&amp;$A64))</f>
        <v>0</v>
      </c>
      <c r="L64" s="91">
        <f ca="1">IF(RTD("tos.rtd",,$A$2,"."&amp;L$43&amp;L$1&amp;"C"&amp;$A64)="N/A",0,RTD("tos.rtd",,$A$2,"."&amp;L$43&amp;L$1&amp;"C"&amp;$A64))-IF(RTD("tos.rtd",,$A$2,"."&amp;L$43&amp;L$1&amp;"P"&amp;$A64)="N/A",0,RTD("tos.rtd",,$A$2,"."&amp;L$43&amp;L$1&amp;"P"&amp;$A64))</f>
        <v>0</v>
      </c>
      <c r="M64" s="91">
        <f ca="1">IF(RTD("tos.rtd",,$A$2,"."&amp;M$43&amp;M$1&amp;"C"&amp;$A64)="N/A",0,RTD("tos.rtd",,$A$2,"."&amp;M$43&amp;M$1&amp;"C"&amp;$A64))-IF(RTD("tos.rtd",,$A$2,"."&amp;M$43&amp;M$1&amp;"P"&amp;$A64)="N/A",0,RTD("tos.rtd",,$A$2,"."&amp;M$43&amp;M$1&amp;"P"&amp;$A64))</f>
        <v>0</v>
      </c>
      <c r="N64" s="91">
        <f ca="1">IF(RTD("tos.rtd",,$A$2,"."&amp;N$43&amp;N$1&amp;"C"&amp;$A64)="N/A",0,RTD("tos.rtd",,$A$2,"."&amp;N$43&amp;N$1&amp;"C"&amp;$A64))-IF(RTD("tos.rtd",,$A$2,"."&amp;N$43&amp;N$1&amp;"P"&amp;$A64)="N/A",0,RTD("tos.rtd",,$A$2,"."&amp;N$43&amp;N$1&amp;"P"&amp;$A64))</f>
        <v>-1</v>
      </c>
      <c r="O64" s="91">
        <f ca="1">IF(RTD("tos.rtd",,$A$2,"."&amp;O$43&amp;O$1&amp;"C"&amp;$A64)="N/A",0,RTD("tos.rtd",,$A$2,"."&amp;O$43&amp;O$1&amp;"C"&amp;$A64))-IF(RTD("tos.rtd",,$A$2,"."&amp;O$43&amp;O$1&amp;"P"&amp;$A64)="N/A",0,RTD("tos.rtd",,$A$2,"."&amp;O$43&amp;O$1&amp;"P"&amp;$A64))</f>
        <v>0</v>
      </c>
      <c r="P64" s="91">
        <f ca="1">IF(RTD("tos.rtd",,$A$2,"."&amp;P$43&amp;P$1&amp;"C"&amp;$A64)="N/A",0,RTD("tos.rtd",,$A$2,"."&amp;P$43&amp;P$1&amp;"C"&amp;$A64))-IF(RTD("tos.rtd",,$A$2,"."&amp;P$43&amp;P$1&amp;"P"&amp;$A64)="N/A",0,RTD("tos.rtd",,$A$2,"."&amp;P$43&amp;P$1&amp;"P"&amp;$A64))</f>
        <v>0</v>
      </c>
      <c r="Q64" s="91">
        <f ca="1">IF(RTD("tos.rtd",,$A$2,"."&amp;Q$43&amp;Q$1&amp;"C"&amp;$A64)="N/A",0,RTD("tos.rtd",,$A$2,"."&amp;Q$43&amp;Q$1&amp;"C"&amp;$A64))-IF(RTD("tos.rtd",,$A$2,"."&amp;Q$43&amp;Q$1&amp;"P"&amp;$A64)="N/A",0,RTD("tos.rtd",,$A$2,"."&amp;Q$43&amp;Q$1&amp;"P"&amp;$A64))</f>
        <v>0</v>
      </c>
      <c r="R64" s="91">
        <f ca="1">IF(RTD("tos.rtd",,$A$2,"."&amp;R$43&amp;R$1&amp;"C"&amp;$A64)="N/A",0,RTD("tos.rtd",,$A$2,"."&amp;R$43&amp;R$1&amp;"C"&amp;$A64))-IF(RTD("tos.rtd",,$A$2,"."&amp;R$43&amp;R$1&amp;"P"&amp;$A64)="N/A",0,RTD("tos.rtd",,$A$2,"."&amp;R$43&amp;R$1&amp;"P"&amp;$A64))</f>
        <v>8</v>
      </c>
      <c r="S64" s="91">
        <f ca="1">IF(RTD("tos.rtd",,$A$2,"."&amp;S$43&amp;S$1&amp;"C"&amp;$A64)="N/A",0,RTD("tos.rtd",,$A$2,"."&amp;S$43&amp;S$1&amp;"C"&amp;$A64))-IF(RTD("tos.rtd",,$A$2,"."&amp;S$43&amp;S$1&amp;"P"&amp;$A64)="N/A",0,RTD("tos.rtd",,$A$2,"."&amp;S$43&amp;S$1&amp;"P"&amp;$A64))</f>
        <v>0</v>
      </c>
      <c r="T64" s="91">
        <f ca="1">IF(RTD("tos.rtd",,$A$2,"."&amp;T$43&amp;T$1&amp;"C"&amp;$A64)="N/A",0,RTD("tos.rtd",,$A$2,"."&amp;T$43&amp;T$1&amp;"C"&amp;$A64))-IF(RTD("tos.rtd",,$A$2,"."&amp;T$43&amp;T$1&amp;"P"&amp;$A64)="N/A",0,RTD("tos.rtd",,$A$2,"."&amp;T$43&amp;T$1&amp;"P"&amp;$A64))</f>
        <v>0</v>
      </c>
      <c r="U64" s="91">
        <f ca="1">IF(RTD("tos.rtd",,$A$2,"."&amp;U$43&amp;U$1&amp;"C"&amp;$A64)="N/A",0,RTD("tos.rtd",,$A$2,"."&amp;U$43&amp;U$1&amp;"C"&amp;$A64))-IF(RTD("tos.rtd",,$A$2,"."&amp;U$43&amp;U$1&amp;"P"&amp;$A64)="N/A",0,RTD("tos.rtd",,$A$2,"."&amp;U$43&amp;U$1&amp;"P"&amp;$A64))</f>
        <v>0</v>
      </c>
      <c r="V64" s="91">
        <f ca="1">IF(RTD("tos.rtd",,$A$2,"."&amp;V$43&amp;V$1&amp;"C"&amp;$A64)="N/A",0,RTD("tos.rtd",,$A$2,"."&amp;V$43&amp;V$1&amp;"C"&amp;$A64))-IF(RTD("tos.rtd",,$A$2,"."&amp;V$43&amp;V$1&amp;"P"&amp;$A64)="N/A",0,RTD("tos.rtd",,$A$2,"."&amp;V$43&amp;V$1&amp;"P"&amp;$A64))</f>
        <v>0</v>
      </c>
      <c r="W64" s="91">
        <f ca="1">IF(RTD("tos.rtd",,$A$2,"."&amp;W$43&amp;W$1&amp;"C"&amp;$A64)="N/A",0,RTD("tos.rtd",,$A$2,"."&amp;W$43&amp;W$1&amp;"C"&amp;$A64))-IF(RTD("tos.rtd",,$A$2,"."&amp;W$43&amp;W$1&amp;"P"&amp;$A64)="N/A",0,RTD("tos.rtd",,$A$2,"."&amp;W$43&amp;W$1&amp;"P"&amp;$A64))</f>
        <v>0</v>
      </c>
      <c r="X64" s="91">
        <f ca="1">IF(RTD("tos.rtd",,$A$2,"."&amp;X$43&amp;X$1&amp;"C"&amp;$A64)="N/A",0,RTD("tos.rtd",,$A$2,"."&amp;X$43&amp;X$1&amp;"C"&amp;$A64))-IF(RTD("tos.rtd",,$A$2,"."&amp;X$43&amp;X$1&amp;"P"&amp;$A64)="N/A",0,RTD("tos.rtd",,$A$2,"."&amp;X$43&amp;X$1&amp;"P"&amp;$A64))</f>
        <v>9</v>
      </c>
      <c r="Y64" s="98">
        <f t="shared" ca="1" si="7"/>
        <v>-1858</v>
      </c>
    </row>
    <row r="65" spans="1:25" x14ac:dyDescent="0.25">
      <c r="A65" s="93">
        <f>+Hoja1!A64</f>
        <v>483</v>
      </c>
      <c r="B65" s="91">
        <f ca="1">IF(RTD("tos.rtd",,$A$2,"."&amp;B$43&amp;B$1&amp;"C"&amp;$A65)="N/A",0,RTD("tos.rtd",,$A$2,"."&amp;B$43&amp;B$1&amp;"C"&amp;$A65))-IF(RTD("tos.rtd",,$A$2,"."&amp;B$43&amp;B$1&amp;"P"&amp;$A65)="N/A",0,RTD("tos.rtd",,$A$2,"."&amp;B$43&amp;B$1&amp;"P"&amp;$A65))</f>
        <v>0</v>
      </c>
      <c r="C65" s="91">
        <f ca="1">IF(RTD("tos.rtd",,$A$2,"."&amp;C$43&amp;C$1&amp;"C"&amp;$A65)="N/A",0,RTD("tos.rtd",,$A$2,"."&amp;C$43&amp;C$1&amp;"C"&amp;$A65))-IF(RTD("tos.rtd",,$A$2,"."&amp;C$43&amp;C$1&amp;"P"&amp;$A65)="N/A",0,RTD("tos.rtd",,$A$2,"."&amp;C$43&amp;C$1&amp;"P"&amp;$A65))</f>
        <v>0</v>
      </c>
      <c r="D65" s="91">
        <f ca="1">IF(RTD("tos.rtd",,$A$2,"."&amp;D$43&amp;D$1&amp;"C"&amp;$A65)="N/A",0,RTD("tos.rtd",,$A$2,"."&amp;D$43&amp;D$1&amp;"C"&amp;$A65))-IF(RTD("tos.rtd",,$A$2,"."&amp;D$43&amp;D$1&amp;"P"&amp;$A65)="N/A",0,RTD("tos.rtd",,$A$2,"."&amp;D$43&amp;D$1&amp;"P"&amp;$A65))</f>
        <v>0</v>
      </c>
      <c r="E65" s="91">
        <f ca="1">IF(RTD("tos.rtd",,$A$2,"."&amp;E$43&amp;E$1&amp;"C"&amp;$A65)="N/A",0,RTD("tos.rtd",,$A$2,"."&amp;E$43&amp;E$1&amp;"C"&amp;$A65))-IF(RTD("tos.rtd",,$A$2,"."&amp;E$43&amp;E$1&amp;"P"&amp;$A65)="N/A",0,RTD("tos.rtd",,$A$2,"."&amp;E$43&amp;E$1&amp;"P"&amp;$A65))</f>
        <v>0</v>
      </c>
      <c r="F65" s="91">
        <f ca="1">IF(RTD("tos.rtd",,$A$2,"."&amp;F$43&amp;F$1&amp;"C"&amp;$A65)="N/A",0,RTD("tos.rtd",,$A$2,"."&amp;F$43&amp;F$1&amp;"C"&amp;$A65))-IF(RTD("tos.rtd",,$A$2,"."&amp;F$43&amp;F$1&amp;"P"&amp;$A65)="N/A",0,RTD("tos.rtd",,$A$2,"."&amp;F$43&amp;F$1&amp;"P"&amp;$A65))</f>
        <v>0</v>
      </c>
      <c r="G65" s="91">
        <f ca="1">IF(RTD("tos.rtd",,$A$2,"."&amp;G$43&amp;G$1&amp;"C"&amp;$A65)="N/A",0,RTD("tos.rtd",,$A$2,"."&amp;G$43&amp;G$1&amp;"C"&amp;$A65))-IF(RTD("tos.rtd",,$A$2,"."&amp;G$43&amp;G$1&amp;"P"&amp;$A65)="N/A",0,RTD("tos.rtd",,$A$2,"."&amp;G$43&amp;G$1&amp;"P"&amp;$A65))</f>
        <v>0</v>
      </c>
      <c r="H65" s="91">
        <f ca="1">IF(RTD("tos.rtd",,$A$2,"."&amp;H$43&amp;H$1&amp;"C"&amp;$A65)="N/A",0,RTD("tos.rtd",,$A$2,"."&amp;H$43&amp;H$1&amp;"C"&amp;$A65))-IF(RTD("tos.rtd",,$A$2,"."&amp;H$43&amp;H$1&amp;"P"&amp;$A65)="N/A",0,RTD("tos.rtd",,$A$2,"."&amp;H$43&amp;H$1&amp;"P"&amp;$A65))</f>
        <v>-230</v>
      </c>
      <c r="I65" s="91">
        <f ca="1">IF(RTD("tos.rtd",,$A$2,"."&amp;I$43&amp;I$1&amp;"C"&amp;$A65)="N/A",0,RTD("tos.rtd",,$A$2,"."&amp;I$43&amp;I$1&amp;"C"&amp;$A65))-IF(RTD("tos.rtd",,$A$2,"."&amp;I$43&amp;I$1&amp;"P"&amp;$A65)="N/A",0,RTD("tos.rtd",,$A$2,"."&amp;I$43&amp;I$1&amp;"P"&amp;$A65))</f>
        <v>-118</v>
      </c>
      <c r="J65" s="91">
        <f ca="1">IF(RTD("tos.rtd",,$A$2,"."&amp;J$43&amp;J$1&amp;"C"&amp;$A65)="N/A",0,RTD("tos.rtd",,$A$2,"."&amp;J$43&amp;J$1&amp;"C"&amp;$A65))-IF(RTD("tos.rtd",,$A$2,"."&amp;J$43&amp;J$1&amp;"P"&amp;$A65)="N/A",0,RTD("tos.rtd",,$A$2,"."&amp;J$43&amp;J$1&amp;"P"&amp;$A65))</f>
        <v>-3</v>
      </c>
      <c r="K65" s="91">
        <f ca="1">IF(RTD("tos.rtd",,$A$2,"."&amp;K$43&amp;K$1&amp;"C"&amp;$A65)="N/A",0,RTD("tos.rtd",,$A$2,"."&amp;K$43&amp;K$1&amp;"C"&amp;$A65))-IF(RTD("tos.rtd",,$A$2,"."&amp;K$43&amp;K$1&amp;"P"&amp;$A65)="N/A",0,RTD("tos.rtd",,$A$2,"."&amp;K$43&amp;K$1&amp;"P"&amp;$A65))</f>
        <v>0</v>
      </c>
      <c r="L65" s="91">
        <f ca="1">IF(RTD("tos.rtd",,$A$2,"."&amp;L$43&amp;L$1&amp;"C"&amp;$A65)="N/A",0,RTD("tos.rtd",,$A$2,"."&amp;L$43&amp;L$1&amp;"C"&amp;$A65))-IF(RTD("tos.rtd",,$A$2,"."&amp;L$43&amp;L$1&amp;"P"&amp;$A65)="N/A",0,RTD("tos.rtd",,$A$2,"."&amp;L$43&amp;L$1&amp;"P"&amp;$A65))</f>
        <v>9</v>
      </c>
      <c r="M65" s="91">
        <f ca="1">IF(RTD("tos.rtd",,$A$2,"."&amp;M$43&amp;M$1&amp;"C"&amp;$A65)="N/A",0,RTD("tos.rtd",,$A$2,"."&amp;M$43&amp;M$1&amp;"C"&amp;$A65))-IF(RTD("tos.rtd",,$A$2,"."&amp;M$43&amp;M$1&amp;"P"&amp;$A65)="N/A",0,RTD("tos.rtd",,$A$2,"."&amp;M$43&amp;M$1&amp;"P"&amp;$A65))</f>
        <v>0</v>
      </c>
      <c r="N65" s="91">
        <f ca="1">IF(RTD("tos.rtd",,$A$2,"."&amp;N$43&amp;N$1&amp;"C"&amp;$A65)="N/A",0,RTD("tos.rtd",,$A$2,"."&amp;N$43&amp;N$1&amp;"C"&amp;$A65))-IF(RTD("tos.rtd",,$A$2,"."&amp;N$43&amp;N$1&amp;"P"&amp;$A65)="N/A",0,RTD("tos.rtd",,$A$2,"."&amp;N$43&amp;N$1&amp;"P"&amp;$A65))</f>
        <v>-20</v>
      </c>
      <c r="O65" s="91">
        <f ca="1">IF(RTD("tos.rtd",,$A$2,"."&amp;O$43&amp;O$1&amp;"C"&amp;$A65)="N/A",0,RTD("tos.rtd",,$A$2,"."&amp;O$43&amp;O$1&amp;"C"&amp;$A65))-IF(RTD("tos.rtd",,$A$2,"."&amp;O$43&amp;O$1&amp;"P"&amp;$A65)="N/A",0,RTD("tos.rtd",,$A$2,"."&amp;O$43&amp;O$1&amp;"P"&amp;$A65))</f>
        <v>0</v>
      </c>
      <c r="P65" s="91">
        <f ca="1">IF(RTD("tos.rtd",,$A$2,"."&amp;P$43&amp;P$1&amp;"C"&amp;$A65)="N/A",0,RTD("tos.rtd",,$A$2,"."&amp;P$43&amp;P$1&amp;"C"&amp;$A65))-IF(RTD("tos.rtd",,$A$2,"."&amp;P$43&amp;P$1&amp;"P"&amp;$A65)="N/A",0,RTD("tos.rtd",,$A$2,"."&amp;P$43&amp;P$1&amp;"P"&amp;$A65))</f>
        <v>0</v>
      </c>
      <c r="Q65" s="91">
        <f ca="1">IF(RTD("tos.rtd",,$A$2,"."&amp;Q$43&amp;Q$1&amp;"C"&amp;$A65)="N/A",0,RTD("tos.rtd",,$A$2,"."&amp;Q$43&amp;Q$1&amp;"C"&amp;$A65))-IF(RTD("tos.rtd",,$A$2,"."&amp;Q$43&amp;Q$1&amp;"P"&amp;$A65)="N/A",0,RTD("tos.rtd",,$A$2,"."&amp;Q$43&amp;Q$1&amp;"P"&amp;$A65))</f>
        <v>0</v>
      </c>
      <c r="R65" s="91">
        <f ca="1">IF(RTD("tos.rtd",,$A$2,"."&amp;R$43&amp;R$1&amp;"C"&amp;$A65)="N/A",0,RTD("tos.rtd",,$A$2,"."&amp;R$43&amp;R$1&amp;"C"&amp;$A65))-IF(RTD("tos.rtd",,$A$2,"."&amp;R$43&amp;R$1&amp;"P"&amp;$A65)="N/A",0,RTD("tos.rtd",,$A$2,"."&amp;R$43&amp;R$1&amp;"P"&amp;$A65))</f>
        <v>0</v>
      </c>
      <c r="S65" s="91">
        <f ca="1">IF(RTD("tos.rtd",,$A$2,"."&amp;S$43&amp;S$1&amp;"C"&amp;$A65)="N/A",0,RTD("tos.rtd",,$A$2,"."&amp;S$43&amp;S$1&amp;"C"&amp;$A65))-IF(RTD("tos.rtd",,$A$2,"."&amp;S$43&amp;S$1&amp;"P"&amp;$A65)="N/A",0,RTD("tos.rtd",,$A$2,"."&amp;S$43&amp;S$1&amp;"P"&amp;$A65))</f>
        <v>0</v>
      </c>
      <c r="T65" s="91">
        <f ca="1">IF(RTD("tos.rtd",,$A$2,"."&amp;T$43&amp;T$1&amp;"C"&amp;$A65)="N/A",0,RTD("tos.rtd",,$A$2,"."&amp;T$43&amp;T$1&amp;"C"&amp;$A65))-IF(RTD("tos.rtd",,$A$2,"."&amp;T$43&amp;T$1&amp;"P"&amp;$A65)="N/A",0,RTD("tos.rtd",,$A$2,"."&amp;T$43&amp;T$1&amp;"P"&amp;$A65))</f>
        <v>0</v>
      </c>
      <c r="U65" s="91">
        <f ca="1">IF(RTD("tos.rtd",,$A$2,"."&amp;U$43&amp;U$1&amp;"C"&amp;$A65)="N/A",0,RTD("tos.rtd",,$A$2,"."&amp;U$43&amp;U$1&amp;"C"&amp;$A65))-IF(RTD("tos.rtd",,$A$2,"."&amp;U$43&amp;U$1&amp;"P"&amp;$A65)="N/A",0,RTD("tos.rtd",,$A$2,"."&amp;U$43&amp;U$1&amp;"P"&amp;$A65))</f>
        <v>0</v>
      </c>
      <c r="V65" s="91">
        <f ca="1">IF(RTD("tos.rtd",,$A$2,"."&amp;V$43&amp;V$1&amp;"C"&amp;$A65)="N/A",0,RTD("tos.rtd",,$A$2,"."&amp;V$43&amp;V$1&amp;"C"&amp;$A65))-IF(RTD("tos.rtd",,$A$2,"."&amp;V$43&amp;V$1&amp;"P"&amp;$A65)="N/A",0,RTD("tos.rtd",,$A$2,"."&amp;V$43&amp;V$1&amp;"P"&amp;$A65))</f>
        <v>0</v>
      </c>
      <c r="W65" s="91">
        <f ca="1">IF(RTD("tos.rtd",,$A$2,"."&amp;W$43&amp;W$1&amp;"C"&amp;$A65)="N/A",0,RTD("tos.rtd",,$A$2,"."&amp;W$43&amp;W$1&amp;"C"&amp;$A65))-IF(RTD("tos.rtd",,$A$2,"."&amp;W$43&amp;W$1&amp;"P"&amp;$A65)="N/A",0,RTD("tos.rtd",,$A$2,"."&amp;W$43&amp;W$1&amp;"P"&amp;$A65))</f>
        <v>0</v>
      </c>
      <c r="X65" s="91">
        <f ca="1">IF(RTD("tos.rtd",,$A$2,"."&amp;X$43&amp;X$1&amp;"C"&amp;$A65)="N/A",0,RTD("tos.rtd",,$A$2,"."&amp;X$43&amp;X$1&amp;"C"&amp;$A65))-IF(RTD("tos.rtd",,$A$2,"."&amp;X$43&amp;X$1&amp;"P"&amp;$A65)="N/A",0,RTD("tos.rtd",,$A$2,"."&amp;X$43&amp;X$1&amp;"P"&amp;$A65))</f>
        <v>-2</v>
      </c>
      <c r="Y65" s="98">
        <f t="shared" ca="1" si="7"/>
        <v>-364</v>
      </c>
    </row>
    <row r="66" spans="1:25" x14ac:dyDescent="0.25">
      <c r="A66" s="93">
        <f>+Hoja1!A65</f>
        <v>482</v>
      </c>
      <c r="B66" s="91">
        <f ca="1">IF(RTD("tos.rtd",,$A$2,"."&amp;B$43&amp;B$1&amp;"C"&amp;$A66)="N/A",0,RTD("tos.rtd",,$A$2,"."&amp;B$43&amp;B$1&amp;"C"&amp;$A66))-IF(RTD("tos.rtd",,$A$2,"."&amp;B$43&amp;B$1&amp;"P"&amp;$A66)="N/A",0,RTD("tos.rtd",,$A$2,"."&amp;B$43&amp;B$1&amp;"P"&amp;$A66))</f>
        <v>0</v>
      </c>
      <c r="C66" s="91">
        <f ca="1">IF(RTD("tos.rtd",,$A$2,"."&amp;C$43&amp;C$1&amp;"C"&amp;$A66)="N/A",0,RTD("tos.rtd",,$A$2,"."&amp;C$43&amp;C$1&amp;"C"&amp;$A66))-IF(RTD("tos.rtd",,$A$2,"."&amp;C$43&amp;C$1&amp;"P"&amp;$A66)="N/A",0,RTD("tos.rtd",,$A$2,"."&amp;C$43&amp;C$1&amp;"P"&amp;$A66))</f>
        <v>0</v>
      </c>
      <c r="D66" s="91">
        <f ca="1">IF(RTD("tos.rtd",,$A$2,"."&amp;D$43&amp;D$1&amp;"C"&amp;$A66)="N/A",0,RTD("tos.rtd",,$A$2,"."&amp;D$43&amp;D$1&amp;"C"&amp;$A66))-IF(RTD("tos.rtd",,$A$2,"."&amp;D$43&amp;D$1&amp;"P"&amp;$A66)="N/A",0,RTD("tos.rtd",,$A$2,"."&amp;D$43&amp;D$1&amp;"P"&amp;$A66))</f>
        <v>0</v>
      </c>
      <c r="E66" s="91">
        <f ca="1">IF(RTD("tos.rtd",,$A$2,"."&amp;E$43&amp;E$1&amp;"C"&amp;$A66)="N/A",0,RTD("tos.rtd",,$A$2,"."&amp;E$43&amp;E$1&amp;"C"&amp;$A66))-IF(RTD("tos.rtd",,$A$2,"."&amp;E$43&amp;E$1&amp;"P"&amp;$A66)="N/A",0,RTD("tos.rtd",,$A$2,"."&amp;E$43&amp;E$1&amp;"P"&amp;$A66))</f>
        <v>0</v>
      </c>
      <c r="F66" s="91">
        <f ca="1">IF(RTD("tos.rtd",,$A$2,"."&amp;F$43&amp;F$1&amp;"C"&amp;$A66)="N/A",0,RTD("tos.rtd",,$A$2,"."&amp;F$43&amp;F$1&amp;"C"&amp;$A66))-IF(RTD("tos.rtd",,$A$2,"."&amp;F$43&amp;F$1&amp;"P"&amp;$A66)="N/A",0,RTD("tos.rtd",,$A$2,"."&amp;F$43&amp;F$1&amp;"P"&amp;$A66))</f>
        <v>0</v>
      </c>
      <c r="G66" s="91">
        <f ca="1">IF(RTD("tos.rtd",,$A$2,"."&amp;G$43&amp;G$1&amp;"C"&amp;$A66)="N/A",0,RTD("tos.rtd",,$A$2,"."&amp;G$43&amp;G$1&amp;"C"&amp;$A66))-IF(RTD("tos.rtd",,$A$2,"."&amp;G$43&amp;G$1&amp;"P"&amp;$A66)="N/A",0,RTD("tos.rtd",,$A$2,"."&amp;G$43&amp;G$1&amp;"P"&amp;$A66))</f>
        <v>0</v>
      </c>
      <c r="H66" s="91">
        <f ca="1">IF(RTD("tos.rtd",,$A$2,"."&amp;H$43&amp;H$1&amp;"C"&amp;$A66)="N/A",0,RTD("tos.rtd",,$A$2,"."&amp;H$43&amp;H$1&amp;"C"&amp;$A66))-IF(RTD("tos.rtd",,$A$2,"."&amp;H$43&amp;H$1&amp;"P"&amp;$A66)="N/A",0,RTD("tos.rtd",,$A$2,"."&amp;H$43&amp;H$1&amp;"P"&amp;$A66))</f>
        <v>-31</v>
      </c>
      <c r="I66" s="91">
        <f ca="1">IF(RTD("tos.rtd",,$A$2,"."&amp;I$43&amp;I$1&amp;"C"&amp;$A66)="N/A",0,RTD("tos.rtd",,$A$2,"."&amp;I$43&amp;I$1&amp;"C"&amp;$A66))-IF(RTD("tos.rtd",,$A$2,"."&amp;I$43&amp;I$1&amp;"P"&amp;$A66)="N/A",0,RTD("tos.rtd",,$A$2,"."&amp;I$43&amp;I$1&amp;"P"&amp;$A66))</f>
        <v>95</v>
      </c>
      <c r="J66" s="91">
        <f ca="1">IF(RTD("tos.rtd",,$A$2,"."&amp;J$43&amp;J$1&amp;"C"&amp;$A66)="N/A",0,RTD("tos.rtd",,$A$2,"."&amp;J$43&amp;J$1&amp;"C"&amp;$A66))-IF(RTD("tos.rtd",,$A$2,"."&amp;J$43&amp;J$1&amp;"P"&amp;$A66)="N/A",0,RTD("tos.rtd",,$A$2,"."&amp;J$43&amp;J$1&amp;"P"&amp;$A66))</f>
        <v>-99</v>
      </c>
      <c r="K66" s="91">
        <f ca="1">IF(RTD("tos.rtd",,$A$2,"."&amp;K$43&amp;K$1&amp;"C"&amp;$A66)="N/A",0,RTD("tos.rtd",,$A$2,"."&amp;K$43&amp;K$1&amp;"C"&amp;$A66))-IF(RTD("tos.rtd",,$A$2,"."&amp;K$43&amp;K$1&amp;"P"&amp;$A66)="N/A",0,RTD("tos.rtd",,$A$2,"."&amp;K$43&amp;K$1&amp;"P"&amp;$A66))</f>
        <v>0</v>
      </c>
      <c r="L66" s="91">
        <f ca="1">IF(RTD("tos.rtd",,$A$2,"."&amp;L$43&amp;L$1&amp;"C"&amp;$A66)="N/A",0,RTD("tos.rtd",,$A$2,"."&amp;L$43&amp;L$1&amp;"C"&amp;$A66))-IF(RTD("tos.rtd",,$A$2,"."&amp;L$43&amp;L$1&amp;"P"&amp;$A66)="N/A",0,RTD("tos.rtd",,$A$2,"."&amp;L$43&amp;L$1&amp;"P"&amp;$A66))</f>
        <v>3</v>
      </c>
      <c r="M66" s="91">
        <f ca="1">IF(RTD("tos.rtd",,$A$2,"."&amp;M$43&amp;M$1&amp;"C"&amp;$A66)="N/A",0,RTD("tos.rtd",,$A$2,"."&amp;M$43&amp;M$1&amp;"C"&amp;$A66))-IF(RTD("tos.rtd",,$A$2,"."&amp;M$43&amp;M$1&amp;"P"&amp;$A66)="N/A",0,RTD("tos.rtd",,$A$2,"."&amp;M$43&amp;M$1&amp;"P"&amp;$A66))</f>
        <v>0</v>
      </c>
      <c r="N66" s="91">
        <f ca="1">IF(RTD("tos.rtd",,$A$2,"."&amp;N$43&amp;N$1&amp;"C"&amp;$A66)="N/A",0,RTD("tos.rtd",,$A$2,"."&amp;N$43&amp;N$1&amp;"C"&amp;$A66))-IF(RTD("tos.rtd",,$A$2,"."&amp;N$43&amp;N$1&amp;"P"&amp;$A66)="N/A",0,RTD("tos.rtd",,$A$2,"."&amp;N$43&amp;N$1&amp;"P"&amp;$A66))</f>
        <v>0</v>
      </c>
      <c r="O66" s="91">
        <f ca="1">IF(RTD("tos.rtd",,$A$2,"."&amp;O$43&amp;O$1&amp;"C"&amp;$A66)="N/A",0,RTD("tos.rtd",,$A$2,"."&amp;O$43&amp;O$1&amp;"C"&amp;$A66))-IF(RTD("tos.rtd",,$A$2,"."&amp;O$43&amp;O$1&amp;"P"&amp;$A66)="N/A",0,RTD("tos.rtd",,$A$2,"."&amp;O$43&amp;O$1&amp;"P"&amp;$A66))</f>
        <v>0</v>
      </c>
      <c r="P66" s="91">
        <f ca="1">IF(RTD("tos.rtd",,$A$2,"."&amp;P$43&amp;P$1&amp;"C"&amp;$A66)="N/A",0,RTD("tos.rtd",,$A$2,"."&amp;P$43&amp;P$1&amp;"C"&amp;$A66))-IF(RTD("tos.rtd",,$A$2,"."&amp;P$43&amp;P$1&amp;"P"&amp;$A66)="N/A",0,RTD("tos.rtd",,$A$2,"."&amp;P$43&amp;P$1&amp;"P"&amp;$A66))</f>
        <v>0</v>
      </c>
      <c r="Q66" s="91">
        <f ca="1">IF(RTD("tos.rtd",,$A$2,"."&amp;Q$43&amp;Q$1&amp;"C"&amp;$A66)="N/A",0,RTD("tos.rtd",,$A$2,"."&amp;Q$43&amp;Q$1&amp;"C"&amp;$A66))-IF(RTD("tos.rtd",,$A$2,"."&amp;Q$43&amp;Q$1&amp;"P"&amp;$A66)="N/A",0,RTD("tos.rtd",,$A$2,"."&amp;Q$43&amp;Q$1&amp;"P"&amp;$A66))</f>
        <v>0</v>
      </c>
      <c r="R66" s="91">
        <f ca="1">IF(RTD("tos.rtd",,$A$2,"."&amp;R$43&amp;R$1&amp;"C"&amp;$A66)="N/A",0,RTD("tos.rtd",,$A$2,"."&amp;R$43&amp;R$1&amp;"C"&amp;$A66))-IF(RTD("tos.rtd",,$A$2,"."&amp;R$43&amp;R$1&amp;"P"&amp;$A66)="N/A",0,RTD("tos.rtd",,$A$2,"."&amp;R$43&amp;R$1&amp;"P"&amp;$A66))</f>
        <v>18</v>
      </c>
      <c r="S66" s="91">
        <f ca="1">IF(RTD("tos.rtd",,$A$2,"."&amp;S$43&amp;S$1&amp;"C"&amp;$A66)="N/A",0,RTD("tos.rtd",,$A$2,"."&amp;S$43&amp;S$1&amp;"C"&amp;$A66))-IF(RTD("tos.rtd",,$A$2,"."&amp;S$43&amp;S$1&amp;"P"&amp;$A66)="N/A",0,RTD("tos.rtd",,$A$2,"."&amp;S$43&amp;S$1&amp;"P"&amp;$A66))</f>
        <v>0</v>
      </c>
      <c r="T66" s="91">
        <f ca="1">IF(RTD("tos.rtd",,$A$2,"."&amp;T$43&amp;T$1&amp;"C"&amp;$A66)="N/A",0,RTD("tos.rtd",,$A$2,"."&amp;T$43&amp;T$1&amp;"C"&amp;$A66))-IF(RTD("tos.rtd",,$A$2,"."&amp;T$43&amp;T$1&amp;"P"&amp;$A66)="N/A",0,RTD("tos.rtd",,$A$2,"."&amp;T$43&amp;T$1&amp;"P"&amp;$A66))</f>
        <v>0</v>
      </c>
      <c r="U66" s="91">
        <f ca="1">IF(RTD("tos.rtd",,$A$2,"."&amp;U$43&amp;U$1&amp;"C"&amp;$A66)="N/A",0,RTD("tos.rtd",,$A$2,"."&amp;U$43&amp;U$1&amp;"C"&amp;$A66))-IF(RTD("tos.rtd",,$A$2,"."&amp;U$43&amp;U$1&amp;"P"&amp;$A66)="N/A",0,RTD("tos.rtd",,$A$2,"."&amp;U$43&amp;U$1&amp;"P"&amp;$A66))</f>
        <v>0</v>
      </c>
      <c r="V66" s="91">
        <f ca="1">IF(RTD("tos.rtd",,$A$2,"."&amp;V$43&amp;V$1&amp;"C"&amp;$A66)="N/A",0,RTD("tos.rtd",,$A$2,"."&amp;V$43&amp;V$1&amp;"C"&amp;$A66))-IF(RTD("tos.rtd",,$A$2,"."&amp;V$43&amp;V$1&amp;"P"&amp;$A66)="N/A",0,RTD("tos.rtd",,$A$2,"."&amp;V$43&amp;V$1&amp;"P"&amp;$A66))</f>
        <v>0</v>
      </c>
      <c r="W66" s="91">
        <f ca="1">IF(RTD("tos.rtd",,$A$2,"."&amp;W$43&amp;W$1&amp;"C"&amp;$A66)="N/A",0,RTD("tos.rtd",,$A$2,"."&amp;W$43&amp;W$1&amp;"C"&amp;$A66))-IF(RTD("tos.rtd",,$A$2,"."&amp;W$43&amp;W$1&amp;"P"&amp;$A66)="N/A",0,RTD("tos.rtd",,$A$2,"."&amp;W$43&amp;W$1&amp;"P"&amp;$A66))</f>
        <v>0</v>
      </c>
      <c r="X66" s="91">
        <f ca="1">IF(RTD("tos.rtd",,$A$2,"."&amp;X$43&amp;X$1&amp;"C"&amp;$A66)="N/A",0,RTD("tos.rtd",,$A$2,"."&amp;X$43&amp;X$1&amp;"C"&amp;$A66))-IF(RTD("tos.rtd",,$A$2,"."&amp;X$43&amp;X$1&amp;"P"&amp;$A66)="N/A",0,RTD("tos.rtd",,$A$2,"."&amp;X$43&amp;X$1&amp;"P"&amp;$A66))</f>
        <v>0</v>
      </c>
      <c r="Y66" s="98">
        <f t="shared" ca="1" si="7"/>
        <v>-14</v>
      </c>
    </row>
    <row r="67" spans="1:25" x14ac:dyDescent="0.25">
      <c r="A67" s="93">
        <f>+Hoja1!A66</f>
        <v>481</v>
      </c>
      <c r="B67" s="91">
        <f ca="1">IF(RTD("tos.rtd",,$A$2,"."&amp;B$43&amp;B$1&amp;"C"&amp;$A67)="N/A",0,RTD("tos.rtd",,$A$2,"."&amp;B$43&amp;B$1&amp;"C"&amp;$A67))-IF(RTD("tos.rtd",,$A$2,"."&amp;B$43&amp;B$1&amp;"P"&amp;$A67)="N/A",0,RTD("tos.rtd",,$A$2,"."&amp;B$43&amp;B$1&amp;"P"&amp;$A67))</f>
        <v>0</v>
      </c>
      <c r="C67" s="91">
        <f ca="1">IF(RTD("tos.rtd",,$A$2,"."&amp;C$43&amp;C$1&amp;"C"&amp;$A67)="N/A",0,RTD("tos.rtd",,$A$2,"."&amp;C$43&amp;C$1&amp;"C"&amp;$A67))-IF(RTD("tos.rtd",,$A$2,"."&amp;C$43&amp;C$1&amp;"P"&amp;$A67)="N/A",0,RTD("tos.rtd",,$A$2,"."&amp;C$43&amp;C$1&amp;"P"&amp;$A67))</f>
        <v>0</v>
      </c>
      <c r="D67" s="91">
        <f ca="1">IF(RTD("tos.rtd",,$A$2,"."&amp;D$43&amp;D$1&amp;"C"&amp;$A67)="N/A",0,RTD("tos.rtd",,$A$2,"."&amp;D$43&amp;D$1&amp;"C"&amp;$A67))-IF(RTD("tos.rtd",,$A$2,"."&amp;D$43&amp;D$1&amp;"P"&amp;$A67)="N/A",0,RTD("tos.rtd",,$A$2,"."&amp;D$43&amp;D$1&amp;"P"&amp;$A67))</f>
        <v>0</v>
      </c>
      <c r="E67" s="91">
        <f ca="1">IF(RTD("tos.rtd",,$A$2,"."&amp;E$43&amp;E$1&amp;"C"&amp;$A67)="N/A",0,RTD("tos.rtd",,$A$2,"."&amp;E$43&amp;E$1&amp;"C"&amp;$A67))-IF(RTD("tos.rtd",,$A$2,"."&amp;E$43&amp;E$1&amp;"P"&amp;$A67)="N/A",0,RTD("tos.rtd",,$A$2,"."&amp;E$43&amp;E$1&amp;"P"&amp;$A67))</f>
        <v>0</v>
      </c>
      <c r="F67" s="91">
        <f ca="1">IF(RTD("tos.rtd",,$A$2,"."&amp;F$43&amp;F$1&amp;"C"&amp;$A67)="N/A",0,RTD("tos.rtd",,$A$2,"."&amp;F$43&amp;F$1&amp;"C"&amp;$A67))-IF(RTD("tos.rtd",,$A$2,"."&amp;F$43&amp;F$1&amp;"P"&amp;$A67)="N/A",0,RTD("tos.rtd",,$A$2,"."&amp;F$43&amp;F$1&amp;"P"&amp;$A67))</f>
        <v>0</v>
      </c>
      <c r="G67" s="91">
        <f ca="1">IF(RTD("tos.rtd",,$A$2,"."&amp;G$43&amp;G$1&amp;"C"&amp;$A67)="N/A",0,RTD("tos.rtd",,$A$2,"."&amp;G$43&amp;G$1&amp;"C"&amp;$A67))-IF(RTD("tos.rtd",,$A$2,"."&amp;G$43&amp;G$1&amp;"P"&amp;$A67)="N/A",0,RTD("tos.rtd",,$A$2,"."&amp;G$43&amp;G$1&amp;"P"&amp;$A67))</f>
        <v>0</v>
      </c>
      <c r="H67" s="91">
        <f ca="1">IF(RTD("tos.rtd",,$A$2,"."&amp;H$43&amp;H$1&amp;"C"&amp;$A67)="N/A",0,RTD("tos.rtd",,$A$2,"."&amp;H$43&amp;H$1&amp;"C"&amp;$A67))-IF(RTD("tos.rtd",,$A$2,"."&amp;H$43&amp;H$1&amp;"P"&amp;$A67)="N/A",0,RTD("tos.rtd",,$A$2,"."&amp;H$43&amp;H$1&amp;"P"&amp;$A67))</f>
        <v>-299</v>
      </c>
      <c r="I67" s="91">
        <f ca="1">IF(RTD("tos.rtd",,$A$2,"."&amp;I$43&amp;I$1&amp;"C"&amp;$A67)="N/A",0,RTD("tos.rtd",,$A$2,"."&amp;I$43&amp;I$1&amp;"C"&amp;$A67))-IF(RTD("tos.rtd",,$A$2,"."&amp;I$43&amp;I$1&amp;"P"&amp;$A67)="N/A",0,RTD("tos.rtd",,$A$2,"."&amp;I$43&amp;I$1&amp;"P"&amp;$A67))</f>
        <v>53</v>
      </c>
      <c r="J67" s="91">
        <f ca="1">IF(RTD("tos.rtd",,$A$2,"."&amp;J$43&amp;J$1&amp;"C"&amp;$A67)="N/A",0,RTD("tos.rtd",,$A$2,"."&amp;J$43&amp;J$1&amp;"C"&amp;$A67))-IF(RTD("tos.rtd",,$A$2,"."&amp;J$43&amp;J$1&amp;"P"&amp;$A67)="N/A",0,RTD("tos.rtd",,$A$2,"."&amp;J$43&amp;J$1&amp;"P"&amp;$A67))</f>
        <v>-8</v>
      </c>
      <c r="K67" s="91">
        <f ca="1">IF(RTD("tos.rtd",,$A$2,"."&amp;K$43&amp;K$1&amp;"C"&amp;$A67)="N/A",0,RTD("tos.rtd",,$A$2,"."&amp;K$43&amp;K$1&amp;"C"&amp;$A67))-IF(RTD("tos.rtd",,$A$2,"."&amp;K$43&amp;K$1&amp;"P"&amp;$A67)="N/A",0,RTD("tos.rtd",,$A$2,"."&amp;K$43&amp;K$1&amp;"P"&amp;$A67))</f>
        <v>0</v>
      </c>
      <c r="L67" s="91">
        <f ca="1">IF(RTD("tos.rtd",,$A$2,"."&amp;L$43&amp;L$1&amp;"C"&amp;$A67)="N/A",0,RTD("tos.rtd",,$A$2,"."&amp;L$43&amp;L$1&amp;"C"&amp;$A67))-IF(RTD("tos.rtd",,$A$2,"."&amp;L$43&amp;L$1&amp;"P"&amp;$A67)="N/A",0,RTD("tos.rtd",,$A$2,"."&amp;L$43&amp;L$1&amp;"P"&amp;$A67))</f>
        <v>-10</v>
      </c>
      <c r="M67" s="91">
        <f ca="1">IF(RTD("tos.rtd",,$A$2,"."&amp;M$43&amp;M$1&amp;"C"&amp;$A67)="N/A",0,RTD("tos.rtd",,$A$2,"."&amp;M$43&amp;M$1&amp;"C"&amp;$A67))-IF(RTD("tos.rtd",,$A$2,"."&amp;M$43&amp;M$1&amp;"P"&amp;$A67)="N/A",0,RTD("tos.rtd",,$A$2,"."&amp;M$43&amp;M$1&amp;"P"&amp;$A67))</f>
        <v>0</v>
      </c>
      <c r="N67" s="91">
        <f ca="1">IF(RTD("tos.rtd",,$A$2,"."&amp;N$43&amp;N$1&amp;"C"&amp;$A67)="N/A",0,RTD("tos.rtd",,$A$2,"."&amp;N$43&amp;N$1&amp;"C"&amp;$A67))-IF(RTD("tos.rtd",,$A$2,"."&amp;N$43&amp;N$1&amp;"P"&amp;$A67)="N/A",0,RTD("tos.rtd",,$A$2,"."&amp;N$43&amp;N$1&amp;"P"&amp;$A67))</f>
        <v>1</v>
      </c>
      <c r="O67" s="91">
        <f ca="1">IF(RTD("tos.rtd",,$A$2,"."&amp;O$43&amp;O$1&amp;"C"&amp;$A67)="N/A",0,RTD("tos.rtd",,$A$2,"."&amp;O$43&amp;O$1&amp;"C"&amp;$A67))-IF(RTD("tos.rtd",,$A$2,"."&amp;O$43&amp;O$1&amp;"P"&amp;$A67)="N/A",0,RTD("tos.rtd",,$A$2,"."&amp;O$43&amp;O$1&amp;"P"&amp;$A67))</f>
        <v>0</v>
      </c>
      <c r="P67" s="91">
        <f ca="1">IF(RTD("tos.rtd",,$A$2,"."&amp;P$43&amp;P$1&amp;"C"&amp;$A67)="N/A",0,RTD("tos.rtd",,$A$2,"."&amp;P$43&amp;P$1&amp;"C"&amp;$A67))-IF(RTD("tos.rtd",,$A$2,"."&amp;P$43&amp;P$1&amp;"P"&amp;$A67)="N/A",0,RTD("tos.rtd",,$A$2,"."&amp;P$43&amp;P$1&amp;"P"&amp;$A67))</f>
        <v>0</v>
      </c>
      <c r="Q67" s="91">
        <f ca="1">IF(RTD("tos.rtd",,$A$2,"."&amp;Q$43&amp;Q$1&amp;"C"&amp;$A67)="N/A",0,RTD("tos.rtd",,$A$2,"."&amp;Q$43&amp;Q$1&amp;"C"&amp;$A67))-IF(RTD("tos.rtd",,$A$2,"."&amp;Q$43&amp;Q$1&amp;"P"&amp;$A67)="N/A",0,RTD("tos.rtd",,$A$2,"."&amp;Q$43&amp;Q$1&amp;"P"&amp;$A67))</f>
        <v>0</v>
      </c>
      <c r="R67" s="91">
        <f ca="1">IF(RTD("tos.rtd",,$A$2,"."&amp;R$43&amp;R$1&amp;"C"&amp;$A67)="N/A",0,RTD("tos.rtd",,$A$2,"."&amp;R$43&amp;R$1&amp;"C"&amp;$A67))-IF(RTD("tos.rtd",,$A$2,"."&amp;R$43&amp;R$1&amp;"P"&amp;$A67)="N/A",0,RTD("tos.rtd",,$A$2,"."&amp;R$43&amp;R$1&amp;"P"&amp;$A67))</f>
        <v>0</v>
      </c>
      <c r="S67" s="91">
        <f ca="1">IF(RTD("tos.rtd",,$A$2,"."&amp;S$43&amp;S$1&amp;"C"&amp;$A67)="N/A",0,RTD("tos.rtd",,$A$2,"."&amp;S$43&amp;S$1&amp;"C"&amp;$A67))-IF(RTD("tos.rtd",,$A$2,"."&amp;S$43&amp;S$1&amp;"P"&amp;$A67)="N/A",0,RTD("tos.rtd",,$A$2,"."&amp;S$43&amp;S$1&amp;"P"&amp;$A67))</f>
        <v>0</v>
      </c>
      <c r="T67" s="91">
        <f ca="1">IF(RTD("tos.rtd",,$A$2,"."&amp;T$43&amp;T$1&amp;"C"&amp;$A67)="N/A",0,RTD("tos.rtd",,$A$2,"."&amp;T$43&amp;T$1&amp;"C"&amp;$A67))-IF(RTD("tos.rtd",,$A$2,"."&amp;T$43&amp;T$1&amp;"P"&amp;$A67)="N/A",0,RTD("tos.rtd",,$A$2,"."&amp;T$43&amp;T$1&amp;"P"&amp;$A67))</f>
        <v>0</v>
      </c>
      <c r="U67" s="91">
        <f ca="1">IF(RTD("tos.rtd",,$A$2,"."&amp;U$43&amp;U$1&amp;"C"&amp;$A67)="N/A",0,RTD("tos.rtd",,$A$2,"."&amp;U$43&amp;U$1&amp;"C"&amp;$A67))-IF(RTD("tos.rtd",,$A$2,"."&amp;U$43&amp;U$1&amp;"P"&amp;$A67)="N/A",0,RTD("tos.rtd",,$A$2,"."&amp;U$43&amp;U$1&amp;"P"&amp;$A67))</f>
        <v>0</v>
      </c>
      <c r="V67" s="91">
        <f ca="1">IF(RTD("tos.rtd",,$A$2,"."&amp;V$43&amp;V$1&amp;"C"&amp;$A67)="N/A",0,RTD("tos.rtd",,$A$2,"."&amp;V$43&amp;V$1&amp;"C"&amp;$A67))-IF(RTD("tos.rtd",,$A$2,"."&amp;V$43&amp;V$1&amp;"P"&amp;$A67)="N/A",0,RTD("tos.rtd",,$A$2,"."&amp;V$43&amp;V$1&amp;"P"&amp;$A67))</f>
        <v>0</v>
      </c>
      <c r="W67" s="91">
        <f ca="1">IF(RTD("tos.rtd",,$A$2,"."&amp;W$43&amp;W$1&amp;"C"&amp;$A67)="N/A",0,RTD("tos.rtd",,$A$2,"."&amp;W$43&amp;W$1&amp;"C"&amp;$A67))-IF(RTD("tos.rtd",,$A$2,"."&amp;W$43&amp;W$1&amp;"P"&amp;$A67)="N/A",0,RTD("tos.rtd",,$A$2,"."&amp;W$43&amp;W$1&amp;"P"&amp;$A67))</f>
        <v>0</v>
      </c>
      <c r="X67" s="91">
        <f ca="1">IF(RTD("tos.rtd",,$A$2,"."&amp;X$43&amp;X$1&amp;"C"&amp;$A67)="N/A",0,RTD("tos.rtd",,$A$2,"."&amp;X$43&amp;X$1&amp;"C"&amp;$A67))-IF(RTD("tos.rtd",,$A$2,"."&amp;X$43&amp;X$1&amp;"P"&amp;$A67)="N/A",0,RTD("tos.rtd",,$A$2,"."&amp;X$43&amp;X$1&amp;"P"&amp;$A67))</f>
        <v>0</v>
      </c>
      <c r="Y67" s="98">
        <f t="shared" ca="1" si="7"/>
        <v>-263</v>
      </c>
    </row>
    <row r="68" spans="1:25" x14ac:dyDescent="0.25">
      <c r="A68" s="93">
        <f>+Hoja1!A67</f>
        <v>480</v>
      </c>
      <c r="B68" s="91">
        <f ca="1">IF(RTD("tos.rtd",,$A$2,"."&amp;B$43&amp;B$1&amp;"C"&amp;$A68)="N/A",0,RTD("tos.rtd",,$A$2,"."&amp;B$43&amp;B$1&amp;"C"&amp;$A68))-IF(RTD("tos.rtd",,$A$2,"."&amp;B$43&amp;B$1&amp;"P"&amp;$A68)="N/A",0,RTD("tos.rtd",,$A$2,"."&amp;B$43&amp;B$1&amp;"P"&amp;$A68))</f>
        <v>0</v>
      </c>
      <c r="C68" s="91">
        <f ca="1">IF(RTD("tos.rtd",,$A$2,"."&amp;C$43&amp;C$1&amp;"C"&amp;$A68)="N/A",0,RTD("tos.rtd",,$A$2,"."&amp;C$43&amp;C$1&amp;"C"&amp;$A68))-IF(RTD("tos.rtd",,$A$2,"."&amp;C$43&amp;C$1&amp;"P"&amp;$A68)="N/A",0,RTD("tos.rtd",,$A$2,"."&amp;C$43&amp;C$1&amp;"P"&amp;$A68))</f>
        <v>0</v>
      </c>
      <c r="D68" s="91">
        <f ca="1">IF(RTD("tos.rtd",,$A$2,"."&amp;D$43&amp;D$1&amp;"C"&amp;$A68)="N/A",0,RTD("tos.rtd",,$A$2,"."&amp;D$43&amp;D$1&amp;"C"&amp;$A68))-IF(RTD("tos.rtd",,$A$2,"."&amp;D$43&amp;D$1&amp;"P"&amp;$A68)="N/A",0,RTD("tos.rtd",,$A$2,"."&amp;D$43&amp;D$1&amp;"P"&amp;$A68))</f>
        <v>0</v>
      </c>
      <c r="E68" s="91">
        <f ca="1">IF(RTD("tos.rtd",,$A$2,"."&amp;E$43&amp;E$1&amp;"C"&amp;$A68)="N/A",0,RTD("tos.rtd",,$A$2,"."&amp;E$43&amp;E$1&amp;"C"&amp;$A68))-IF(RTD("tos.rtd",,$A$2,"."&amp;E$43&amp;E$1&amp;"P"&amp;$A68)="N/A",0,RTD("tos.rtd",,$A$2,"."&amp;E$43&amp;E$1&amp;"P"&amp;$A68))</f>
        <v>0</v>
      </c>
      <c r="F68" s="91">
        <f ca="1">IF(RTD("tos.rtd",,$A$2,"."&amp;F$43&amp;F$1&amp;"C"&amp;$A68)="N/A",0,RTD("tos.rtd",,$A$2,"."&amp;F$43&amp;F$1&amp;"C"&amp;$A68))-IF(RTD("tos.rtd",,$A$2,"."&amp;F$43&amp;F$1&amp;"P"&amp;$A68)="N/A",0,RTD("tos.rtd",,$A$2,"."&amp;F$43&amp;F$1&amp;"P"&amp;$A68))</f>
        <v>0</v>
      </c>
      <c r="G68" s="91">
        <f ca="1">IF(RTD("tos.rtd",,$A$2,"."&amp;G$43&amp;G$1&amp;"C"&amp;$A68)="N/A",0,RTD("tos.rtd",,$A$2,"."&amp;G$43&amp;G$1&amp;"C"&amp;$A68))-IF(RTD("tos.rtd",,$A$2,"."&amp;G$43&amp;G$1&amp;"P"&amp;$A68)="N/A",0,RTD("tos.rtd",,$A$2,"."&amp;G$43&amp;G$1&amp;"P"&amp;$A68))</f>
        <v>0</v>
      </c>
      <c r="H68" s="91">
        <f ca="1">IF(RTD("tos.rtd",,$A$2,"."&amp;H$43&amp;H$1&amp;"C"&amp;$A68)="N/A",0,RTD("tos.rtd",,$A$2,"."&amp;H$43&amp;H$1&amp;"C"&amp;$A68))-IF(RTD("tos.rtd",,$A$2,"."&amp;H$43&amp;H$1&amp;"P"&amp;$A68)="N/A",0,RTD("tos.rtd",,$A$2,"."&amp;H$43&amp;H$1&amp;"P"&amp;$A68))</f>
        <v>-5459</v>
      </c>
      <c r="I68" s="91">
        <f ca="1">IF(RTD("tos.rtd",,$A$2,"."&amp;I$43&amp;I$1&amp;"C"&amp;$A68)="N/A",0,RTD("tos.rtd",,$A$2,"."&amp;I$43&amp;I$1&amp;"C"&amp;$A68))-IF(RTD("tos.rtd",,$A$2,"."&amp;I$43&amp;I$1&amp;"P"&amp;$A68)="N/A",0,RTD("tos.rtd",,$A$2,"."&amp;I$43&amp;I$1&amp;"P"&amp;$A68))</f>
        <v>-5181</v>
      </c>
      <c r="J68" s="91">
        <f ca="1">IF(RTD("tos.rtd",,$A$2,"."&amp;J$43&amp;J$1&amp;"C"&amp;$A68)="N/A",0,RTD("tos.rtd",,$A$2,"."&amp;J$43&amp;J$1&amp;"C"&amp;$A68))-IF(RTD("tos.rtd",,$A$2,"."&amp;J$43&amp;J$1&amp;"P"&amp;$A68)="N/A",0,RTD("tos.rtd",,$A$2,"."&amp;J$43&amp;J$1&amp;"P"&amp;$A68))</f>
        <v>-369</v>
      </c>
      <c r="K68" s="91">
        <f ca="1">IF(RTD("tos.rtd",,$A$2,"."&amp;K$43&amp;K$1&amp;"C"&amp;$A68)="N/A",0,RTD("tos.rtd",,$A$2,"."&amp;K$43&amp;K$1&amp;"C"&amp;$A68))-IF(RTD("tos.rtd",,$A$2,"."&amp;K$43&amp;K$1&amp;"P"&amp;$A68)="N/A",0,RTD("tos.rtd",,$A$2,"."&amp;K$43&amp;K$1&amp;"P"&amp;$A68))</f>
        <v>-4520</v>
      </c>
      <c r="L68" s="91">
        <f ca="1">IF(RTD("tos.rtd",,$A$2,"."&amp;L$43&amp;L$1&amp;"C"&amp;$A68)="N/A",0,RTD("tos.rtd",,$A$2,"."&amp;L$43&amp;L$1&amp;"C"&amp;$A68))-IF(RTD("tos.rtd",,$A$2,"."&amp;L$43&amp;L$1&amp;"P"&amp;$A68)="N/A",0,RTD("tos.rtd",,$A$2,"."&amp;L$43&amp;L$1&amp;"P"&amp;$A68))</f>
        <v>-141</v>
      </c>
      <c r="M68" s="91">
        <f ca="1">IF(RTD("tos.rtd",,$A$2,"."&amp;M$43&amp;M$1&amp;"C"&amp;$A68)="N/A",0,RTD("tos.rtd",,$A$2,"."&amp;M$43&amp;M$1&amp;"C"&amp;$A68))-IF(RTD("tos.rtd",,$A$2,"."&amp;M$43&amp;M$1&amp;"P"&amp;$A68)="N/A",0,RTD("tos.rtd",,$A$2,"."&amp;M$43&amp;M$1&amp;"P"&amp;$A68))</f>
        <v>-501</v>
      </c>
      <c r="N68" s="91">
        <f ca="1">IF(RTD("tos.rtd",,$A$2,"."&amp;N$43&amp;N$1&amp;"C"&amp;$A68)="N/A",0,RTD("tos.rtd",,$A$2,"."&amp;N$43&amp;N$1&amp;"C"&amp;$A68))-IF(RTD("tos.rtd",,$A$2,"."&amp;N$43&amp;N$1&amp;"P"&amp;$A68)="N/A",0,RTD("tos.rtd",,$A$2,"."&amp;N$43&amp;N$1&amp;"P"&amp;$A68))</f>
        <v>66</v>
      </c>
      <c r="O68" s="91">
        <f ca="1">IF(RTD("tos.rtd",,$A$2,"."&amp;O$43&amp;O$1&amp;"C"&amp;$A68)="N/A",0,RTD("tos.rtd",,$A$2,"."&amp;O$43&amp;O$1&amp;"C"&amp;$A68))-IF(RTD("tos.rtd",,$A$2,"."&amp;O$43&amp;O$1&amp;"P"&amp;$A68)="N/A",0,RTD("tos.rtd",,$A$2,"."&amp;O$43&amp;O$1&amp;"P"&amp;$A68))</f>
        <v>-57</v>
      </c>
      <c r="P68" s="91">
        <f ca="1">IF(RTD("tos.rtd",,$A$2,"."&amp;P$43&amp;P$1&amp;"C"&amp;$A68)="N/A",0,RTD("tos.rtd",,$A$2,"."&amp;P$43&amp;P$1&amp;"C"&amp;$A68))-IF(RTD("tos.rtd",,$A$2,"."&amp;P$43&amp;P$1&amp;"P"&amp;$A68)="N/A",0,RTD("tos.rtd",,$A$2,"."&amp;P$43&amp;P$1&amp;"P"&amp;$A68))</f>
        <v>-16</v>
      </c>
      <c r="Q68" s="91">
        <f ca="1">IF(RTD("tos.rtd",,$A$2,"."&amp;Q$43&amp;Q$1&amp;"C"&amp;$A68)="N/A",0,RTD("tos.rtd",,$A$2,"."&amp;Q$43&amp;Q$1&amp;"C"&amp;$A68))-IF(RTD("tos.rtd",,$A$2,"."&amp;Q$43&amp;Q$1&amp;"P"&amp;$A68)="N/A",0,RTD("tos.rtd",,$A$2,"."&amp;Q$43&amp;Q$1&amp;"P"&amp;$A68))</f>
        <v>-124</v>
      </c>
      <c r="R68" s="91">
        <f ca="1">IF(RTD("tos.rtd",,$A$2,"."&amp;R$43&amp;R$1&amp;"C"&amp;$A68)="N/A",0,RTD("tos.rtd",,$A$2,"."&amp;R$43&amp;R$1&amp;"C"&amp;$A68))-IF(RTD("tos.rtd",,$A$2,"."&amp;R$43&amp;R$1&amp;"P"&amp;$A68)="N/A",0,RTD("tos.rtd",,$A$2,"."&amp;R$43&amp;R$1&amp;"P"&amp;$A68))</f>
        <v>-10</v>
      </c>
      <c r="S68" s="91">
        <f ca="1">IF(RTD("tos.rtd",,$A$2,"."&amp;S$43&amp;S$1&amp;"C"&amp;$A68)="N/A",0,RTD("tos.rtd",,$A$2,"."&amp;S$43&amp;S$1&amp;"C"&amp;$A68))-IF(RTD("tos.rtd",,$A$2,"."&amp;S$43&amp;S$1&amp;"P"&amp;$A68)="N/A",0,RTD("tos.rtd",,$A$2,"."&amp;S$43&amp;S$1&amp;"P"&amp;$A68))</f>
        <v>0</v>
      </c>
      <c r="T68" s="91">
        <f ca="1">IF(RTD("tos.rtd",,$A$2,"."&amp;T$43&amp;T$1&amp;"C"&amp;$A68)="N/A",0,RTD("tos.rtd",,$A$2,"."&amp;T$43&amp;T$1&amp;"C"&amp;$A68))-IF(RTD("tos.rtd",,$A$2,"."&amp;T$43&amp;T$1&amp;"P"&amp;$A68)="N/A",0,RTD("tos.rtd",,$A$2,"."&amp;T$43&amp;T$1&amp;"P"&amp;$A68))</f>
        <v>0</v>
      </c>
      <c r="U68" s="91">
        <f ca="1">IF(RTD("tos.rtd",,$A$2,"."&amp;U$43&amp;U$1&amp;"C"&amp;$A68)="N/A",0,RTD("tos.rtd",,$A$2,"."&amp;U$43&amp;U$1&amp;"C"&amp;$A68))-IF(RTD("tos.rtd",,$A$2,"."&amp;U$43&amp;U$1&amp;"P"&amp;$A68)="N/A",0,RTD("tos.rtd",,$A$2,"."&amp;U$43&amp;U$1&amp;"P"&amp;$A68))</f>
        <v>-3</v>
      </c>
      <c r="V68" s="91">
        <f ca="1">IF(RTD("tos.rtd",,$A$2,"."&amp;V$43&amp;V$1&amp;"C"&amp;$A68)="N/A",0,RTD("tos.rtd",,$A$2,"."&amp;V$43&amp;V$1&amp;"C"&amp;$A68))-IF(RTD("tos.rtd",,$A$2,"."&amp;V$43&amp;V$1&amp;"P"&amp;$A68)="N/A",0,RTD("tos.rtd",,$A$2,"."&amp;V$43&amp;V$1&amp;"P"&amp;$A68))</f>
        <v>0</v>
      </c>
      <c r="W68" s="91">
        <f ca="1">IF(RTD("tos.rtd",,$A$2,"."&amp;W$43&amp;W$1&amp;"C"&amp;$A68)="N/A",0,RTD("tos.rtd",,$A$2,"."&amp;W$43&amp;W$1&amp;"C"&amp;$A68))-IF(RTD("tos.rtd",,$A$2,"."&amp;W$43&amp;W$1&amp;"P"&amp;$A68)="N/A",0,RTD("tos.rtd",,$A$2,"."&amp;W$43&amp;W$1&amp;"P"&amp;$A68))</f>
        <v>-15</v>
      </c>
      <c r="X68" s="91">
        <f ca="1">IF(RTD("tos.rtd",,$A$2,"."&amp;X$43&amp;X$1&amp;"C"&amp;$A68)="N/A",0,RTD("tos.rtd",,$A$2,"."&amp;X$43&amp;X$1&amp;"C"&amp;$A68))-IF(RTD("tos.rtd",,$A$2,"."&amp;X$43&amp;X$1&amp;"P"&amp;$A68)="N/A",0,RTD("tos.rtd",,$A$2,"."&amp;X$43&amp;X$1&amp;"P"&amp;$A68))</f>
        <v>3</v>
      </c>
      <c r="Y68" s="98">
        <f t="shared" ca="1" si="7"/>
        <v>-16327</v>
      </c>
    </row>
    <row r="69" spans="1:25" x14ac:dyDescent="0.25">
      <c r="A69" s="93">
        <f>+Hoja1!A68</f>
        <v>479</v>
      </c>
      <c r="B69" s="91">
        <f ca="1">IF(RTD("tos.rtd",,$A$2,"."&amp;B$43&amp;B$1&amp;"C"&amp;$A69)="N/A",0,RTD("tos.rtd",,$A$2,"."&amp;B$43&amp;B$1&amp;"C"&amp;$A69))-IF(RTD("tos.rtd",,$A$2,"."&amp;B$43&amp;B$1&amp;"P"&amp;$A69)="N/A",0,RTD("tos.rtd",,$A$2,"."&amp;B$43&amp;B$1&amp;"P"&amp;$A69))</f>
        <v>0</v>
      </c>
      <c r="C69" s="91">
        <f ca="1">IF(RTD("tos.rtd",,$A$2,"."&amp;C$43&amp;C$1&amp;"C"&amp;$A69)="N/A",0,RTD("tos.rtd",,$A$2,"."&amp;C$43&amp;C$1&amp;"C"&amp;$A69))-IF(RTD("tos.rtd",,$A$2,"."&amp;C$43&amp;C$1&amp;"P"&amp;$A69)="N/A",0,RTD("tos.rtd",,$A$2,"."&amp;C$43&amp;C$1&amp;"P"&amp;$A69))</f>
        <v>0</v>
      </c>
      <c r="D69" s="91">
        <f ca="1">IF(RTD("tos.rtd",,$A$2,"."&amp;D$43&amp;D$1&amp;"C"&amp;$A69)="N/A",0,RTD("tos.rtd",,$A$2,"."&amp;D$43&amp;D$1&amp;"C"&amp;$A69))-IF(RTD("tos.rtd",,$A$2,"."&amp;D$43&amp;D$1&amp;"P"&amp;$A69)="N/A",0,RTD("tos.rtd",,$A$2,"."&amp;D$43&amp;D$1&amp;"P"&amp;$A69))</f>
        <v>0</v>
      </c>
      <c r="E69" s="91">
        <f ca="1">IF(RTD("tos.rtd",,$A$2,"."&amp;E$43&amp;E$1&amp;"C"&amp;$A69)="N/A",0,RTD("tos.rtd",,$A$2,"."&amp;E$43&amp;E$1&amp;"C"&amp;$A69))-IF(RTD("tos.rtd",,$A$2,"."&amp;E$43&amp;E$1&amp;"P"&amp;$A69)="N/A",0,RTD("tos.rtd",,$A$2,"."&amp;E$43&amp;E$1&amp;"P"&amp;$A69))</f>
        <v>0</v>
      </c>
      <c r="F69" s="91">
        <f ca="1">IF(RTD("tos.rtd",,$A$2,"."&amp;F$43&amp;F$1&amp;"C"&amp;$A69)="N/A",0,RTD("tos.rtd",,$A$2,"."&amp;F$43&amp;F$1&amp;"C"&amp;$A69))-IF(RTD("tos.rtd",,$A$2,"."&amp;F$43&amp;F$1&amp;"P"&amp;$A69)="N/A",0,RTD("tos.rtd",,$A$2,"."&amp;F$43&amp;F$1&amp;"P"&amp;$A69))</f>
        <v>0</v>
      </c>
      <c r="G69" s="91">
        <f ca="1">IF(RTD("tos.rtd",,$A$2,"."&amp;G$43&amp;G$1&amp;"C"&amp;$A69)="N/A",0,RTD("tos.rtd",,$A$2,"."&amp;G$43&amp;G$1&amp;"C"&amp;$A69))-IF(RTD("tos.rtd",,$A$2,"."&amp;G$43&amp;G$1&amp;"P"&amp;$A69)="N/A",0,RTD("tos.rtd",,$A$2,"."&amp;G$43&amp;G$1&amp;"P"&amp;$A69))</f>
        <v>0</v>
      </c>
      <c r="H69" s="91">
        <f ca="1">IF(RTD("tos.rtd",,$A$2,"."&amp;H$43&amp;H$1&amp;"C"&amp;$A69)="N/A",0,RTD("tos.rtd",,$A$2,"."&amp;H$43&amp;H$1&amp;"C"&amp;$A69))-IF(RTD("tos.rtd",,$A$2,"."&amp;H$43&amp;H$1&amp;"P"&amp;$A69)="N/A",0,RTD("tos.rtd",,$A$2,"."&amp;H$43&amp;H$1&amp;"P"&amp;$A69))</f>
        <v>-19</v>
      </c>
      <c r="I69" s="91">
        <f ca="1">IF(RTD("tos.rtd",,$A$2,"."&amp;I$43&amp;I$1&amp;"C"&amp;$A69)="N/A",0,RTD("tos.rtd",,$A$2,"."&amp;I$43&amp;I$1&amp;"C"&amp;$A69))-IF(RTD("tos.rtd",,$A$2,"."&amp;I$43&amp;I$1&amp;"P"&amp;$A69)="N/A",0,RTD("tos.rtd",,$A$2,"."&amp;I$43&amp;I$1&amp;"P"&amp;$A69))</f>
        <v>-55</v>
      </c>
      <c r="J69" s="91">
        <f ca="1">IF(RTD("tos.rtd",,$A$2,"."&amp;J$43&amp;J$1&amp;"C"&amp;$A69)="N/A",0,RTD("tos.rtd",,$A$2,"."&amp;J$43&amp;J$1&amp;"C"&amp;$A69))-IF(RTD("tos.rtd",,$A$2,"."&amp;J$43&amp;J$1&amp;"P"&amp;$A69)="N/A",0,RTD("tos.rtd",,$A$2,"."&amp;J$43&amp;J$1&amp;"P"&amp;$A69))</f>
        <v>-5</v>
      </c>
      <c r="K69" s="91">
        <f ca="1">IF(RTD("tos.rtd",,$A$2,"."&amp;K$43&amp;K$1&amp;"C"&amp;$A69)="N/A",0,RTD("tos.rtd",,$A$2,"."&amp;K$43&amp;K$1&amp;"C"&amp;$A69))-IF(RTD("tos.rtd",,$A$2,"."&amp;K$43&amp;K$1&amp;"P"&amp;$A69)="N/A",0,RTD("tos.rtd",,$A$2,"."&amp;K$43&amp;K$1&amp;"P"&amp;$A69))</f>
        <v>0</v>
      </c>
      <c r="L69" s="91">
        <f ca="1">IF(RTD("tos.rtd",,$A$2,"."&amp;L$43&amp;L$1&amp;"C"&amp;$A69)="N/A",0,RTD("tos.rtd",,$A$2,"."&amp;L$43&amp;L$1&amp;"C"&amp;$A69))-IF(RTD("tos.rtd",,$A$2,"."&amp;L$43&amp;L$1&amp;"P"&amp;$A69)="N/A",0,RTD("tos.rtd",,$A$2,"."&amp;L$43&amp;L$1&amp;"P"&amp;$A69))</f>
        <v>-8</v>
      </c>
      <c r="M69" s="91">
        <f ca="1">IF(RTD("tos.rtd",,$A$2,"."&amp;M$43&amp;M$1&amp;"C"&amp;$A69)="N/A",0,RTD("tos.rtd",,$A$2,"."&amp;M$43&amp;M$1&amp;"C"&amp;$A69))-IF(RTD("tos.rtd",,$A$2,"."&amp;M$43&amp;M$1&amp;"P"&amp;$A69)="N/A",0,RTD("tos.rtd",,$A$2,"."&amp;M$43&amp;M$1&amp;"P"&amp;$A69))</f>
        <v>0</v>
      </c>
      <c r="N69" s="91">
        <f ca="1">IF(RTD("tos.rtd",,$A$2,"."&amp;N$43&amp;N$1&amp;"C"&amp;$A69)="N/A",0,RTD("tos.rtd",,$A$2,"."&amp;N$43&amp;N$1&amp;"C"&amp;$A69))-IF(RTD("tos.rtd",,$A$2,"."&amp;N$43&amp;N$1&amp;"P"&amp;$A69)="N/A",0,RTD("tos.rtd",,$A$2,"."&amp;N$43&amp;N$1&amp;"P"&amp;$A69))</f>
        <v>-2</v>
      </c>
      <c r="O69" s="91">
        <f ca="1">IF(RTD("tos.rtd",,$A$2,"."&amp;O$43&amp;O$1&amp;"C"&amp;$A69)="N/A",0,RTD("tos.rtd",,$A$2,"."&amp;O$43&amp;O$1&amp;"C"&amp;$A69))-IF(RTD("tos.rtd",,$A$2,"."&amp;O$43&amp;O$1&amp;"P"&amp;$A69)="N/A",0,RTD("tos.rtd",,$A$2,"."&amp;O$43&amp;O$1&amp;"P"&amp;$A69))</f>
        <v>0</v>
      </c>
      <c r="P69" s="91">
        <f ca="1">IF(RTD("tos.rtd",,$A$2,"."&amp;P$43&amp;P$1&amp;"C"&amp;$A69)="N/A",0,RTD("tos.rtd",,$A$2,"."&amp;P$43&amp;P$1&amp;"C"&amp;$A69))-IF(RTD("tos.rtd",,$A$2,"."&amp;P$43&amp;P$1&amp;"P"&amp;$A69)="N/A",0,RTD("tos.rtd",,$A$2,"."&amp;P$43&amp;P$1&amp;"P"&amp;$A69))</f>
        <v>0</v>
      </c>
      <c r="Q69" s="91">
        <f ca="1">IF(RTD("tos.rtd",,$A$2,"."&amp;Q$43&amp;Q$1&amp;"C"&amp;$A69)="N/A",0,RTD("tos.rtd",,$A$2,"."&amp;Q$43&amp;Q$1&amp;"C"&amp;$A69))-IF(RTD("tos.rtd",,$A$2,"."&amp;Q$43&amp;Q$1&amp;"P"&amp;$A69)="N/A",0,RTD("tos.rtd",,$A$2,"."&amp;Q$43&amp;Q$1&amp;"P"&amp;$A69))</f>
        <v>0</v>
      </c>
      <c r="R69" s="91">
        <f ca="1">IF(RTD("tos.rtd",,$A$2,"."&amp;R$43&amp;R$1&amp;"C"&amp;$A69)="N/A",0,RTD("tos.rtd",,$A$2,"."&amp;R$43&amp;R$1&amp;"C"&amp;$A69))-IF(RTD("tos.rtd",,$A$2,"."&amp;R$43&amp;R$1&amp;"P"&amp;$A69)="N/A",0,RTD("tos.rtd",,$A$2,"."&amp;R$43&amp;R$1&amp;"P"&amp;$A69))</f>
        <v>-1</v>
      </c>
      <c r="S69" s="91">
        <f ca="1">IF(RTD("tos.rtd",,$A$2,"."&amp;S$43&amp;S$1&amp;"C"&amp;$A69)="N/A",0,RTD("tos.rtd",,$A$2,"."&amp;S$43&amp;S$1&amp;"C"&amp;$A69))-IF(RTD("tos.rtd",,$A$2,"."&amp;S$43&amp;S$1&amp;"P"&amp;$A69)="N/A",0,RTD("tos.rtd",,$A$2,"."&amp;S$43&amp;S$1&amp;"P"&amp;$A69))</f>
        <v>0</v>
      </c>
      <c r="T69" s="91">
        <f ca="1">IF(RTD("tos.rtd",,$A$2,"."&amp;T$43&amp;T$1&amp;"C"&amp;$A69)="N/A",0,RTD("tos.rtd",,$A$2,"."&amp;T$43&amp;T$1&amp;"C"&amp;$A69))-IF(RTD("tos.rtd",,$A$2,"."&amp;T$43&amp;T$1&amp;"P"&amp;$A69)="N/A",0,RTD("tos.rtd",,$A$2,"."&amp;T$43&amp;T$1&amp;"P"&amp;$A69))</f>
        <v>0</v>
      </c>
      <c r="U69" s="91">
        <f ca="1">IF(RTD("tos.rtd",,$A$2,"."&amp;U$43&amp;U$1&amp;"C"&amp;$A69)="N/A",0,RTD("tos.rtd",,$A$2,"."&amp;U$43&amp;U$1&amp;"C"&amp;$A69))-IF(RTD("tos.rtd",,$A$2,"."&amp;U$43&amp;U$1&amp;"P"&amp;$A69)="N/A",0,RTD("tos.rtd",,$A$2,"."&amp;U$43&amp;U$1&amp;"P"&amp;$A69))</f>
        <v>0</v>
      </c>
      <c r="V69" s="91">
        <f ca="1">IF(RTD("tos.rtd",,$A$2,"."&amp;V$43&amp;V$1&amp;"C"&amp;$A69)="N/A",0,RTD("tos.rtd",,$A$2,"."&amp;V$43&amp;V$1&amp;"C"&amp;$A69))-IF(RTD("tos.rtd",,$A$2,"."&amp;V$43&amp;V$1&amp;"P"&amp;$A69)="N/A",0,RTD("tos.rtd",,$A$2,"."&amp;V$43&amp;V$1&amp;"P"&amp;$A69))</f>
        <v>0</v>
      </c>
      <c r="W69" s="91">
        <f ca="1">IF(RTD("tos.rtd",,$A$2,"."&amp;W$43&amp;W$1&amp;"C"&amp;$A69)="N/A",0,RTD("tos.rtd",,$A$2,"."&amp;W$43&amp;W$1&amp;"C"&amp;$A69))-IF(RTD("tos.rtd",,$A$2,"."&amp;W$43&amp;W$1&amp;"P"&amp;$A69)="N/A",0,RTD("tos.rtd",,$A$2,"."&amp;W$43&amp;W$1&amp;"P"&amp;$A69))</f>
        <v>0</v>
      </c>
      <c r="X69" s="91">
        <f ca="1">IF(RTD("tos.rtd",,$A$2,"."&amp;X$43&amp;X$1&amp;"C"&amp;$A69)="N/A",0,RTD("tos.rtd",,$A$2,"."&amp;X$43&amp;X$1&amp;"C"&amp;$A69))-IF(RTD("tos.rtd",,$A$2,"."&amp;X$43&amp;X$1&amp;"P"&amp;$A69)="N/A",0,RTD("tos.rtd",,$A$2,"."&amp;X$43&amp;X$1&amp;"P"&amp;$A69))</f>
        <v>3</v>
      </c>
      <c r="Y69" s="98">
        <f t="shared" ca="1" si="7"/>
        <v>-87</v>
      </c>
    </row>
    <row r="70" spans="1:25" x14ac:dyDescent="0.25">
      <c r="A70" s="93">
        <f>+Hoja1!A69</f>
        <v>478</v>
      </c>
      <c r="B70" s="91">
        <f ca="1">IF(RTD("tos.rtd",,$A$2,"."&amp;B$43&amp;B$1&amp;"C"&amp;$A70)="N/A",0,RTD("tos.rtd",,$A$2,"."&amp;B$43&amp;B$1&amp;"C"&amp;$A70))-IF(RTD("tos.rtd",,$A$2,"."&amp;B$43&amp;B$1&amp;"P"&amp;$A70)="N/A",0,RTD("tos.rtd",,$A$2,"."&amp;B$43&amp;B$1&amp;"P"&amp;$A70))</f>
        <v>0</v>
      </c>
      <c r="C70" s="91">
        <f ca="1">IF(RTD("tos.rtd",,$A$2,"."&amp;C$43&amp;C$1&amp;"C"&amp;$A70)="N/A",0,RTD("tos.rtd",,$A$2,"."&amp;C$43&amp;C$1&amp;"C"&amp;$A70))-IF(RTD("tos.rtd",,$A$2,"."&amp;C$43&amp;C$1&amp;"P"&amp;$A70)="N/A",0,RTD("tos.rtd",,$A$2,"."&amp;C$43&amp;C$1&amp;"P"&amp;$A70))</f>
        <v>0</v>
      </c>
      <c r="D70" s="91">
        <f ca="1">IF(RTD("tos.rtd",,$A$2,"."&amp;D$43&amp;D$1&amp;"C"&amp;$A70)="N/A",0,RTD("tos.rtd",,$A$2,"."&amp;D$43&amp;D$1&amp;"C"&amp;$A70))-IF(RTD("tos.rtd",,$A$2,"."&amp;D$43&amp;D$1&amp;"P"&amp;$A70)="N/A",0,RTD("tos.rtd",,$A$2,"."&amp;D$43&amp;D$1&amp;"P"&amp;$A70))</f>
        <v>0</v>
      </c>
      <c r="E70" s="91">
        <f ca="1">IF(RTD("tos.rtd",,$A$2,"."&amp;E$43&amp;E$1&amp;"C"&amp;$A70)="N/A",0,RTD("tos.rtd",,$A$2,"."&amp;E$43&amp;E$1&amp;"C"&amp;$A70))-IF(RTD("tos.rtd",,$A$2,"."&amp;E$43&amp;E$1&amp;"P"&amp;$A70)="N/A",0,RTD("tos.rtd",,$A$2,"."&amp;E$43&amp;E$1&amp;"P"&amp;$A70))</f>
        <v>0</v>
      </c>
      <c r="F70" s="91">
        <f ca="1">IF(RTD("tos.rtd",,$A$2,"."&amp;F$43&amp;F$1&amp;"C"&amp;$A70)="N/A",0,RTD("tos.rtd",,$A$2,"."&amp;F$43&amp;F$1&amp;"C"&amp;$A70))-IF(RTD("tos.rtd",,$A$2,"."&amp;F$43&amp;F$1&amp;"P"&amp;$A70)="N/A",0,RTD("tos.rtd",,$A$2,"."&amp;F$43&amp;F$1&amp;"P"&amp;$A70))</f>
        <v>0</v>
      </c>
      <c r="G70" s="91">
        <f ca="1">IF(RTD("tos.rtd",,$A$2,"."&amp;G$43&amp;G$1&amp;"C"&amp;$A70)="N/A",0,RTD("tos.rtd",,$A$2,"."&amp;G$43&amp;G$1&amp;"C"&amp;$A70))-IF(RTD("tos.rtd",,$A$2,"."&amp;G$43&amp;G$1&amp;"P"&amp;$A70)="N/A",0,RTD("tos.rtd",,$A$2,"."&amp;G$43&amp;G$1&amp;"P"&amp;$A70))</f>
        <v>0</v>
      </c>
      <c r="H70" s="91">
        <f ca="1">IF(RTD("tos.rtd",,$A$2,"."&amp;H$43&amp;H$1&amp;"C"&amp;$A70)="N/A",0,RTD("tos.rtd",,$A$2,"."&amp;H$43&amp;H$1&amp;"C"&amp;$A70))-IF(RTD("tos.rtd",,$A$2,"."&amp;H$43&amp;H$1&amp;"P"&amp;$A70)="N/A",0,RTD("tos.rtd",,$A$2,"."&amp;H$43&amp;H$1&amp;"P"&amp;$A70))</f>
        <v>-113</v>
      </c>
      <c r="I70" s="91">
        <f ca="1">IF(RTD("tos.rtd",,$A$2,"."&amp;I$43&amp;I$1&amp;"C"&amp;$A70)="N/A",0,RTD("tos.rtd",,$A$2,"."&amp;I$43&amp;I$1&amp;"C"&amp;$A70))-IF(RTD("tos.rtd",,$A$2,"."&amp;I$43&amp;I$1&amp;"P"&amp;$A70)="N/A",0,RTD("tos.rtd",,$A$2,"."&amp;I$43&amp;I$1&amp;"P"&amp;$A70))</f>
        <v>-36</v>
      </c>
      <c r="J70" s="91">
        <f ca="1">IF(RTD("tos.rtd",,$A$2,"."&amp;J$43&amp;J$1&amp;"C"&amp;$A70)="N/A",0,RTD("tos.rtd",,$A$2,"."&amp;J$43&amp;J$1&amp;"C"&amp;$A70))-IF(RTD("tos.rtd",,$A$2,"."&amp;J$43&amp;J$1&amp;"P"&amp;$A70)="N/A",0,RTD("tos.rtd",,$A$2,"."&amp;J$43&amp;J$1&amp;"P"&amp;$A70))</f>
        <v>-14</v>
      </c>
      <c r="K70" s="91">
        <f ca="1">IF(RTD("tos.rtd",,$A$2,"."&amp;K$43&amp;K$1&amp;"C"&amp;$A70)="N/A",0,RTD("tos.rtd",,$A$2,"."&amp;K$43&amp;K$1&amp;"C"&amp;$A70))-IF(RTD("tos.rtd",,$A$2,"."&amp;K$43&amp;K$1&amp;"P"&amp;$A70)="N/A",0,RTD("tos.rtd",,$A$2,"."&amp;K$43&amp;K$1&amp;"P"&amp;$A70))</f>
        <v>0</v>
      </c>
      <c r="L70" s="91">
        <f ca="1">IF(RTD("tos.rtd",,$A$2,"."&amp;L$43&amp;L$1&amp;"C"&amp;$A70)="N/A",0,RTD("tos.rtd",,$A$2,"."&amp;L$43&amp;L$1&amp;"C"&amp;$A70))-IF(RTD("tos.rtd",,$A$2,"."&amp;L$43&amp;L$1&amp;"P"&amp;$A70)="N/A",0,RTD("tos.rtd",,$A$2,"."&amp;L$43&amp;L$1&amp;"P"&amp;$A70))</f>
        <v>-3</v>
      </c>
      <c r="M70" s="91">
        <f ca="1">IF(RTD("tos.rtd",,$A$2,"."&amp;M$43&amp;M$1&amp;"C"&amp;$A70)="N/A",0,RTD("tos.rtd",,$A$2,"."&amp;M$43&amp;M$1&amp;"C"&amp;$A70))-IF(RTD("tos.rtd",,$A$2,"."&amp;M$43&amp;M$1&amp;"P"&amp;$A70)="N/A",0,RTD("tos.rtd",,$A$2,"."&amp;M$43&amp;M$1&amp;"P"&amp;$A70))</f>
        <v>0</v>
      </c>
      <c r="N70" s="91">
        <f ca="1">IF(RTD("tos.rtd",,$A$2,"."&amp;N$43&amp;N$1&amp;"C"&amp;$A70)="N/A",0,RTD("tos.rtd",,$A$2,"."&amp;N$43&amp;N$1&amp;"C"&amp;$A70))-IF(RTD("tos.rtd",,$A$2,"."&amp;N$43&amp;N$1&amp;"P"&amp;$A70)="N/A",0,RTD("tos.rtd",,$A$2,"."&amp;N$43&amp;N$1&amp;"P"&amp;$A70))</f>
        <v>-2</v>
      </c>
      <c r="O70" s="91">
        <f ca="1">IF(RTD("tos.rtd",,$A$2,"."&amp;O$43&amp;O$1&amp;"C"&amp;$A70)="N/A",0,RTD("tos.rtd",,$A$2,"."&amp;O$43&amp;O$1&amp;"C"&amp;$A70))-IF(RTD("tos.rtd",,$A$2,"."&amp;O$43&amp;O$1&amp;"P"&amp;$A70)="N/A",0,RTD("tos.rtd",,$A$2,"."&amp;O$43&amp;O$1&amp;"P"&amp;$A70))</f>
        <v>0</v>
      </c>
      <c r="P70" s="91">
        <f ca="1">IF(RTD("tos.rtd",,$A$2,"."&amp;P$43&amp;P$1&amp;"C"&amp;$A70)="N/A",0,RTD("tos.rtd",,$A$2,"."&amp;P$43&amp;P$1&amp;"C"&amp;$A70))-IF(RTD("tos.rtd",,$A$2,"."&amp;P$43&amp;P$1&amp;"P"&amp;$A70)="N/A",0,RTD("tos.rtd",,$A$2,"."&amp;P$43&amp;P$1&amp;"P"&amp;$A70))</f>
        <v>0</v>
      </c>
      <c r="Q70" s="91">
        <f ca="1">IF(RTD("tos.rtd",,$A$2,"."&amp;Q$43&amp;Q$1&amp;"C"&amp;$A70)="N/A",0,RTD("tos.rtd",,$A$2,"."&amp;Q$43&amp;Q$1&amp;"C"&amp;$A70))-IF(RTD("tos.rtd",,$A$2,"."&amp;Q$43&amp;Q$1&amp;"P"&amp;$A70)="N/A",0,RTD("tos.rtd",,$A$2,"."&amp;Q$43&amp;Q$1&amp;"P"&amp;$A70))</f>
        <v>0</v>
      </c>
      <c r="R70" s="91">
        <f ca="1">IF(RTD("tos.rtd",,$A$2,"."&amp;R$43&amp;R$1&amp;"C"&amp;$A70)="N/A",0,RTD("tos.rtd",,$A$2,"."&amp;R$43&amp;R$1&amp;"C"&amp;$A70))-IF(RTD("tos.rtd",,$A$2,"."&amp;R$43&amp;R$1&amp;"P"&amp;$A70)="N/A",0,RTD("tos.rtd",,$A$2,"."&amp;R$43&amp;R$1&amp;"P"&amp;$A70))</f>
        <v>-14</v>
      </c>
      <c r="S70" s="91">
        <f ca="1">IF(RTD("tos.rtd",,$A$2,"."&amp;S$43&amp;S$1&amp;"C"&amp;$A70)="N/A",0,RTD("tos.rtd",,$A$2,"."&amp;S$43&amp;S$1&amp;"C"&amp;$A70))-IF(RTD("tos.rtd",,$A$2,"."&amp;S$43&amp;S$1&amp;"P"&amp;$A70)="N/A",0,RTD("tos.rtd",,$A$2,"."&amp;S$43&amp;S$1&amp;"P"&amp;$A70))</f>
        <v>0</v>
      </c>
      <c r="T70" s="91">
        <f ca="1">IF(RTD("tos.rtd",,$A$2,"."&amp;T$43&amp;T$1&amp;"C"&amp;$A70)="N/A",0,RTD("tos.rtd",,$A$2,"."&amp;T$43&amp;T$1&amp;"C"&amp;$A70))-IF(RTD("tos.rtd",,$A$2,"."&amp;T$43&amp;T$1&amp;"P"&amp;$A70)="N/A",0,RTD("tos.rtd",,$A$2,"."&amp;T$43&amp;T$1&amp;"P"&amp;$A70))</f>
        <v>0</v>
      </c>
      <c r="U70" s="91">
        <f ca="1">IF(RTD("tos.rtd",,$A$2,"."&amp;U$43&amp;U$1&amp;"C"&amp;$A70)="N/A",0,RTD("tos.rtd",,$A$2,"."&amp;U$43&amp;U$1&amp;"C"&amp;$A70))-IF(RTD("tos.rtd",,$A$2,"."&amp;U$43&amp;U$1&amp;"P"&amp;$A70)="N/A",0,RTD("tos.rtd",,$A$2,"."&amp;U$43&amp;U$1&amp;"P"&amp;$A70))</f>
        <v>0</v>
      </c>
      <c r="V70" s="91">
        <f ca="1">IF(RTD("tos.rtd",,$A$2,"."&amp;V$43&amp;V$1&amp;"C"&amp;$A70)="N/A",0,RTD("tos.rtd",,$A$2,"."&amp;V$43&amp;V$1&amp;"C"&amp;$A70))-IF(RTD("tos.rtd",,$A$2,"."&amp;V$43&amp;V$1&amp;"P"&amp;$A70)="N/A",0,RTD("tos.rtd",,$A$2,"."&amp;V$43&amp;V$1&amp;"P"&amp;$A70))</f>
        <v>0</v>
      </c>
      <c r="W70" s="91">
        <f ca="1">IF(RTD("tos.rtd",,$A$2,"."&amp;W$43&amp;W$1&amp;"C"&amp;$A70)="N/A",0,RTD("tos.rtd",,$A$2,"."&amp;W$43&amp;W$1&amp;"C"&amp;$A70))-IF(RTD("tos.rtd",,$A$2,"."&amp;W$43&amp;W$1&amp;"P"&amp;$A70)="N/A",0,RTD("tos.rtd",,$A$2,"."&amp;W$43&amp;W$1&amp;"P"&amp;$A70))</f>
        <v>0</v>
      </c>
      <c r="X70" s="91">
        <f ca="1">IF(RTD("tos.rtd",,$A$2,"."&amp;X$43&amp;X$1&amp;"C"&amp;$A70)="N/A",0,RTD("tos.rtd",,$A$2,"."&amp;X$43&amp;X$1&amp;"C"&amp;$A70))-IF(RTD("tos.rtd",,$A$2,"."&amp;X$43&amp;X$1&amp;"P"&amp;$A70)="N/A",0,RTD("tos.rtd",,$A$2,"."&amp;X$43&amp;X$1&amp;"P"&amp;$A70))</f>
        <v>1</v>
      </c>
      <c r="Y70" s="98">
        <f t="shared" ca="1" si="7"/>
        <v>-181</v>
      </c>
    </row>
    <row r="71" spans="1:25" x14ac:dyDescent="0.25">
      <c r="A71" s="93">
        <f>+Hoja1!A70</f>
        <v>477</v>
      </c>
      <c r="B71" s="91">
        <f ca="1">IF(RTD("tos.rtd",,$A$2,"."&amp;B$43&amp;B$1&amp;"C"&amp;$A71)="N/A",0,RTD("tos.rtd",,$A$2,"."&amp;B$43&amp;B$1&amp;"C"&amp;$A71))-IF(RTD("tos.rtd",,$A$2,"."&amp;B$43&amp;B$1&amp;"P"&amp;$A71)="N/A",0,RTD("tos.rtd",,$A$2,"."&amp;B$43&amp;B$1&amp;"P"&amp;$A71))</f>
        <v>0</v>
      </c>
      <c r="C71" s="91">
        <f ca="1">IF(RTD("tos.rtd",,$A$2,"."&amp;C$43&amp;C$1&amp;"C"&amp;$A71)="N/A",0,RTD("tos.rtd",,$A$2,"."&amp;C$43&amp;C$1&amp;"C"&amp;$A71))-IF(RTD("tos.rtd",,$A$2,"."&amp;C$43&amp;C$1&amp;"P"&amp;$A71)="N/A",0,RTD("tos.rtd",,$A$2,"."&amp;C$43&amp;C$1&amp;"P"&amp;$A71))</f>
        <v>0</v>
      </c>
      <c r="D71" s="91">
        <f ca="1">IF(RTD("tos.rtd",,$A$2,"."&amp;D$43&amp;D$1&amp;"C"&amp;$A71)="N/A",0,RTD("tos.rtd",,$A$2,"."&amp;D$43&amp;D$1&amp;"C"&amp;$A71))-IF(RTD("tos.rtd",,$A$2,"."&amp;D$43&amp;D$1&amp;"P"&amp;$A71)="N/A",0,RTD("tos.rtd",,$A$2,"."&amp;D$43&amp;D$1&amp;"P"&amp;$A71))</f>
        <v>0</v>
      </c>
      <c r="E71" s="91">
        <f ca="1">IF(RTD("tos.rtd",,$A$2,"."&amp;E$43&amp;E$1&amp;"C"&amp;$A71)="N/A",0,RTD("tos.rtd",,$A$2,"."&amp;E$43&amp;E$1&amp;"C"&amp;$A71))-IF(RTD("tos.rtd",,$A$2,"."&amp;E$43&amp;E$1&amp;"P"&amp;$A71)="N/A",0,RTD("tos.rtd",,$A$2,"."&amp;E$43&amp;E$1&amp;"P"&amp;$A71))</f>
        <v>0</v>
      </c>
      <c r="F71" s="91">
        <f ca="1">IF(RTD("tos.rtd",,$A$2,"."&amp;F$43&amp;F$1&amp;"C"&amp;$A71)="N/A",0,RTD("tos.rtd",,$A$2,"."&amp;F$43&amp;F$1&amp;"C"&amp;$A71))-IF(RTD("tos.rtd",,$A$2,"."&amp;F$43&amp;F$1&amp;"P"&amp;$A71)="N/A",0,RTD("tos.rtd",,$A$2,"."&amp;F$43&amp;F$1&amp;"P"&amp;$A71))</f>
        <v>0</v>
      </c>
      <c r="G71" s="91">
        <f ca="1">IF(RTD("tos.rtd",,$A$2,"."&amp;G$43&amp;G$1&amp;"C"&amp;$A71)="N/A",0,RTD("tos.rtd",,$A$2,"."&amp;G$43&amp;G$1&amp;"C"&amp;$A71))-IF(RTD("tos.rtd",,$A$2,"."&amp;G$43&amp;G$1&amp;"P"&amp;$A71)="N/A",0,RTD("tos.rtd",,$A$2,"."&amp;G$43&amp;G$1&amp;"P"&amp;$A71))</f>
        <v>0</v>
      </c>
      <c r="H71" s="91">
        <f ca="1">IF(RTD("tos.rtd",,$A$2,"."&amp;H$43&amp;H$1&amp;"C"&amp;$A71)="N/A",0,RTD("tos.rtd",,$A$2,"."&amp;H$43&amp;H$1&amp;"C"&amp;$A71))-IF(RTD("tos.rtd",,$A$2,"."&amp;H$43&amp;H$1&amp;"P"&amp;$A71)="N/A",0,RTD("tos.rtd",,$A$2,"."&amp;H$43&amp;H$1&amp;"P"&amp;$A71))</f>
        <v>-103</v>
      </c>
      <c r="I71" s="91">
        <f ca="1">IF(RTD("tos.rtd",,$A$2,"."&amp;I$43&amp;I$1&amp;"C"&amp;$A71)="N/A",0,RTD("tos.rtd",,$A$2,"."&amp;I$43&amp;I$1&amp;"C"&amp;$A71))-IF(RTD("tos.rtd",,$A$2,"."&amp;I$43&amp;I$1&amp;"P"&amp;$A71)="N/A",0,RTD("tos.rtd",,$A$2,"."&amp;I$43&amp;I$1&amp;"P"&amp;$A71))</f>
        <v>-33</v>
      </c>
      <c r="J71" s="91">
        <f ca="1">IF(RTD("tos.rtd",,$A$2,"."&amp;J$43&amp;J$1&amp;"C"&amp;$A71)="N/A",0,RTD("tos.rtd",,$A$2,"."&amp;J$43&amp;J$1&amp;"C"&amp;$A71))-IF(RTD("tos.rtd",,$A$2,"."&amp;J$43&amp;J$1&amp;"P"&amp;$A71)="N/A",0,RTD("tos.rtd",,$A$2,"."&amp;J$43&amp;J$1&amp;"P"&amp;$A71))</f>
        <v>-227</v>
      </c>
      <c r="K71" s="91">
        <f ca="1">IF(RTD("tos.rtd",,$A$2,"."&amp;K$43&amp;K$1&amp;"C"&amp;$A71)="N/A",0,RTD("tos.rtd",,$A$2,"."&amp;K$43&amp;K$1&amp;"C"&amp;$A71))-IF(RTD("tos.rtd",,$A$2,"."&amp;K$43&amp;K$1&amp;"P"&amp;$A71)="N/A",0,RTD("tos.rtd",,$A$2,"."&amp;K$43&amp;K$1&amp;"P"&amp;$A71))</f>
        <v>0</v>
      </c>
      <c r="L71" s="91">
        <f ca="1">IF(RTD("tos.rtd",,$A$2,"."&amp;L$43&amp;L$1&amp;"C"&amp;$A71)="N/A",0,RTD("tos.rtd",,$A$2,"."&amp;L$43&amp;L$1&amp;"C"&amp;$A71))-IF(RTD("tos.rtd",,$A$2,"."&amp;L$43&amp;L$1&amp;"P"&amp;$A71)="N/A",0,RTD("tos.rtd",,$A$2,"."&amp;L$43&amp;L$1&amp;"P"&amp;$A71))</f>
        <v>-5</v>
      </c>
      <c r="M71" s="91">
        <f ca="1">IF(RTD("tos.rtd",,$A$2,"."&amp;M$43&amp;M$1&amp;"C"&amp;$A71)="N/A",0,RTD("tos.rtd",,$A$2,"."&amp;M$43&amp;M$1&amp;"C"&amp;$A71))-IF(RTD("tos.rtd",,$A$2,"."&amp;M$43&amp;M$1&amp;"P"&amp;$A71)="N/A",0,RTD("tos.rtd",,$A$2,"."&amp;M$43&amp;M$1&amp;"P"&amp;$A71))</f>
        <v>0</v>
      </c>
      <c r="N71" s="91">
        <f ca="1">IF(RTD("tos.rtd",,$A$2,"."&amp;N$43&amp;N$1&amp;"C"&amp;$A71)="N/A",0,RTD("tos.rtd",,$A$2,"."&amp;N$43&amp;N$1&amp;"C"&amp;$A71))-IF(RTD("tos.rtd",,$A$2,"."&amp;N$43&amp;N$1&amp;"P"&amp;$A71)="N/A",0,RTD("tos.rtd",,$A$2,"."&amp;N$43&amp;N$1&amp;"P"&amp;$A71))</f>
        <v>-3</v>
      </c>
      <c r="O71" s="91">
        <f ca="1">IF(RTD("tos.rtd",,$A$2,"."&amp;O$43&amp;O$1&amp;"C"&amp;$A71)="N/A",0,RTD("tos.rtd",,$A$2,"."&amp;O$43&amp;O$1&amp;"C"&amp;$A71))-IF(RTD("tos.rtd",,$A$2,"."&amp;O$43&amp;O$1&amp;"P"&amp;$A71)="N/A",0,RTD("tos.rtd",,$A$2,"."&amp;O$43&amp;O$1&amp;"P"&amp;$A71))</f>
        <v>0</v>
      </c>
      <c r="P71" s="91">
        <f ca="1">IF(RTD("tos.rtd",,$A$2,"."&amp;P$43&amp;P$1&amp;"C"&amp;$A71)="N/A",0,RTD("tos.rtd",,$A$2,"."&amp;P$43&amp;P$1&amp;"C"&amp;$A71))-IF(RTD("tos.rtd",,$A$2,"."&amp;P$43&amp;P$1&amp;"P"&amp;$A71)="N/A",0,RTD("tos.rtd",,$A$2,"."&amp;P$43&amp;P$1&amp;"P"&amp;$A71))</f>
        <v>0</v>
      </c>
      <c r="Q71" s="91">
        <f ca="1">IF(RTD("tos.rtd",,$A$2,"."&amp;Q$43&amp;Q$1&amp;"C"&amp;$A71)="N/A",0,RTD("tos.rtd",,$A$2,"."&amp;Q$43&amp;Q$1&amp;"C"&amp;$A71))-IF(RTD("tos.rtd",,$A$2,"."&amp;Q$43&amp;Q$1&amp;"P"&amp;$A71)="N/A",0,RTD("tos.rtd",,$A$2,"."&amp;Q$43&amp;Q$1&amp;"P"&amp;$A71))</f>
        <v>0</v>
      </c>
      <c r="R71" s="91">
        <f ca="1">IF(RTD("tos.rtd",,$A$2,"."&amp;R$43&amp;R$1&amp;"C"&amp;$A71)="N/A",0,RTD("tos.rtd",,$A$2,"."&amp;R$43&amp;R$1&amp;"C"&amp;$A71))-IF(RTD("tos.rtd",,$A$2,"."&amp;R$43&amp;R$1&amp;"P"&amp;$A71)="N/A",0,RTD("tos.rtd",,$A$2,"."&amp;R$43&amp;R$1&amp;"P"&amp;$A71))</f>
        <v>0</v>
      </c>
      <c r="S71" s="91">
        <f ca="1">IF(RTD("tos.rtd",,$A$2,"."&amp;S$43&amp;S$1&amp;"C"&amp;$A71)="N/A",0,RTD("tos.rtd",,$A$2,"."&amp;S$43&amp;S$1&amp;"C"&amp;$A71))-IF(RTD("tos.rtd",,$A$2,"."&amp;S$43&amp;S$1&amp;"P"&amp;$A71)="N/A",0,RTD("tos.rtd",,$A$2,"."&amp;S$43&amp;S$1&amp;"P"&amp;$A71))</f>
        <v>0</v>
      </c>
      <c r="T71" s="91">
        <f ca="1">IF(RTD("tos.rtd",,$A$2,"."&amp;T$43&amp;T$1&amp;"C"&amp;$A71)="N/A",0,RTD("tos.rtd",,$A$2,"."&amp;T$43&amp;T$1&amp;"C"&amp;$A71))-IF(RTD("tos.rtd",,$A$2,"."&amp;T$43&amp;T$1&amp;"P"&amp;$A71)="N/A",0,RTD("tos.rtd",,$A$2,"."&amp;T$43&amp;T$1&amp;"P"&amp;$A71))</f>
        <v>0</v>
      </c>
      <c r="U71" s="91">
        <f ca="1">IF(RTD("tos.rtd",,$A$2,"."&amp;U$43&amp;U$1&amp;"C"&amp;$A71)="N/A",0,RTD("tos.rtd",,$A$2,"."&amp;U$43&amp;U$1&amp;"C"&amp;$A71))-IF(RTD("tos.rtd",,$A$2,"."&amp;U$43&amp;U$1&amp;"P"&amp;$A71)="N/A",0,RTD("tos.rtd",,$A$2,"."&amp;U$43&amp;U$1&amp;"P"&amp;$A71))</f>
        <v>0</v>
      </c>
      <c r="V71" s="91">
        <f ca="1">IF(RTD("tos.rtd",,$A$2,"."&amp;V$43&amp;V$1&amp;"C"&amp;$A71)="N/A",0,RTD("tos.rtd",,$A$2,"."&amp;V$43&amp;V$1&amp;"C"&amp;$A71))-IF(RTD("tos.rtd",,$A$2,"."&amp;V$43&amp;V$1&amp;"P"&amp;$A71)="N/A",0,RTD("tos.rtd",,$A$2,"."&amp;V$43&amp;V$1&amp;"P"&amp;$A71))</f>
        <v>0</v>
      </c>
      <c r="W71" s="91">
        <f ca="1">IF(RTD("tos.rtd",,$A$2,"."&amp;W$43&amp;W$1&amp;"C"&amp;$A71)="N/A",0,RTD("tos.rtd",,$A$2,"."&amp;W$43&amp;W$1&amp;"C"&amp;$A71))-IF(RTD("tos.rtd",,$A$2,"."&amp;W$43&amp;W$1&amp;"P"&amp;$A71)="N/A",0,RTD("tos.rtd",,$A$2,"."&amp;W$43&amp;W$1&amp;"P"&amp;$A71))</f>
        <v>0</v>
      </c>
      <c r="X71" s="91">
        <f ca="1">IF(RTD("tos.rtd",,$A$2,"."&amp;X$43&amp;X$1&amp;"C"&amp;$A71)="N/A",0,RTD("tos.rtd",,$A$2,"."&amp;X$43&amp;X$1&amp;"C"&amp;$A71))-IF(RTD("tos.rtd",,$A$2,"."&amp;X$43&amp;X$1&amp;"P"&amp;$A71)="N/A",0,RTD("tos.rtd",,$A$2,"."&amp;X$43&amp;X$1&amp;"P"&amp;$A71))</f>
        <v>-1</v>
      </c>
      <c r="Y71" s="98">
        <f t="shared" ca="1" si="7"/>
        <v>-372</v>
      </c>
    </row>
    <row r="72" spans="1:25" x14ac:dyDescent="0.25">
      <c r="A72" s="93">
        <f>+Hoja1!A71</f>
        <v>476</v>
      </c>
      <c r="B72" s="91">
        <f ca="1">IF(RTD("tos.rtd",,$A$2,"."&amp;B$43&amp;B$1&amp;"C"&amp;$A72)="N/A",0,RTD("tos.rtd",,$A$2,"."&amp;B$43&amp;B$1&amp;"C"&amp;$A72))-IF(RTD("tos.rtd",,$A$2,"."&amp;B$43&amp;B$1&amp;"P"&amp;$A72)="N/A",0,RTD("tos.rtd",,$A$2,"."&amp;B$43&amp;B$1&amp;"P"&amp;$A72))</f>
        <v>0</v>
      </c>
      <c r="C72" s="91">
        <f ca="1">IF(RTD("tos.rtd",,$A$2,"."&amp;C$43&amp;C$1&amp;"C"&amp;$A72)="N/A",0,RTD("tos.rtd",,$A$2,"."&amp;C$43&amp;C$1&amp;"C"&amp;$A72))-IF(RTD("tos.rtd",,$A$2,"."&amp;C$43&amp;C$1&amp;"P"&amp;$A72)="N/A",0,RTD("tos.rtd",,$A$2,"."&amp;C$43&amp;C$1&amp;"P"&amp;$A72))</f>
        <v>0</v>
      </c>
      <c r="D72" s="91">
        <f ca="1">IF(RTD("tos.rtd",,$A$2,"."&amp;D$43&amp;D$1&amp;"C"&amp;$A72)="N/A",0,RTD("tos.rtd",,$A$2,"."&amp;D$43&amp;D$1&amp;"C"&amp;$A72))-IF(RTD("tos.rtd",,$A$2,"."&amp;D$43&amp;D$1&amp;"P"&amp;$A72)="N/A",0,RTD("tos.rtd",,$A$2,"."&amp;D$43&amp;D$1&amp;"P"&amp;$A72))</f>
        <v>0</v>
      </c>
      <c r="E72" s="91">
        <f ca="1">IF(RTD("tos.rtd",,$A$2,"."&amp;E$43&amp;E$1&amp;"C"&amp;$A72)="N/A",0,RTD("tos.rtd",,$A$2,"."&amp;E$43&amp;E$1&amp;"C"&amp;$A72))-IF(RTD("tos.rtd",,$A$2,"."&amp;E$43&amp;E$1&amp;"P"&amp;$A72)="N/A",0,RTD("tos.rtd",,$A$2,"."&amp;E$43&amp;E$1&amp;"P"&amp;$A72))</f>
        <v>0</v>
      </c>
      <c r="F72" s="91">
        <f ca="1">IF(RTD("tos.rtd",,$A$2,"."&amp;F$43&amp;F$1&amp;"C"&amp;$A72)="N/A",0,RTD("tos.rtd",,$A$2,"."&amp;F$43&amp;F$1&amp;"C"&amp;$A72))-IF(RTD("tos.rtd",,$A$2,"."&amp;F$43&amp;F$1&amp;"P"&amp;$A72)="N/A",0,RTD("tos.rtd",,$A$2,"."&amp;F$43&amp;F$1&amp;"P"&amp;$A72))</f>
        <v>0</v>
      </c>
      <c r="G72" s="91">
        <f ca="1">IF(RTD("tos.rtd",,$A$2,"."&amp;G$43&amp;G$1&amp;"C"&amp;$A72)="N/A",0,RTD("tos.rtd",,$A$2,"."&amp;G$43&amp;G$1&amp;"C"&amp;$A72))-IF(RTD("tos.rtd",,$A$2,"."&amp;G$43&amp;G$1&amp;"P"&amp;$A72)="N/A",0,RTD("tos.rtd",,$A$2,"."&amp;G$43&amp;G$1&amp;"P"&amp;$A72))</f>
        <v>0</v>
      </c>
      <c r="H72" s="91">
        <f ca="1">IF(RTD("tos.rtd",,$A$2,"."&amp;H$43&amp;H$1&amp;"C"&amp;$A72)="N/A",0,RTD("tos.rtd",,$A$2,"."&amp;H$43&amp;H$1&amp;"C"&amp;$A72))-IF(RTD("tos.rtd",,$A$2,"."&amp;H$43&amp;H$1&amp;"P"&amp;$A72)="N/A",0,RTD("tos.rtd",,$A$2,"."&amp;H$43&amp;H$1&amp;"P"&amp;$A72))</f>
        <v>-148</v>
      </c>
      <c r="I72" s="91">
        <f ca="1">IF(RTD("tos.rtd",,$A$2,"."&amp;I$43&amp;I$1&amp;"C"&amp;$A72)="N/A",0,RTD("tos.rtd",,$A$2,"."&amp;I$43&amp;I$1&amp;"C"&amp;$A72))-IF(RTD("tos.rtd",,$A$2,"."&amp;I$43&amp;I$1&amp;"P"&amp;$A72)="N/A",0,RTD("tos.rtd",,$A$2,"."&amp;I$43&amp;I$1&amp;"P"&amp;$A72))</f>
        <v>-112</v>
      </c>
      <c r="J72" s="91">
        <f ca="1">IF(RTD("tos.rtd",,$A$2,"."&amp;J$43&amp;J$1&amp;"C"&amp;$A72)="N/A",0,RTD("tos.rtd",,$A$2,"."&amp;J$43&amp;J$1&amp;"C"&amp;$A72))-IF(RTD("tos.rtd",,$A$2,"."&amp;J$43&amp;J$1&amp;"P"&amp;$A72)="N/A",0,RTD("tos.rtd",,$A$2,"."&amp;J$43&amp;J$1&amp;"P"&amp;$A72))</f>
        <v>-24</v>
      </c>
      <c r="K72" s="91">
        <f ca="1">IF(RTD("tos.rtd",,$A$2,"."&amp;K$43&amp;K$1&amp;"C"&amp;$A72)="N/A",0,RTD("tos.rtd",,$A$2,"."&amp;K$43&amp;K$1&amp;"C"&amp;$A72))-IF(RTD("tos.rtd",,$A$2,"."&amp;K$43&amp;K$1&amp;"P"&amp;$A72)="N/A",0,RTD("tos.rtd",,$A$2,"."&amp;K$43&amp;K$1&amp;"P"&amp;$A72))</f>
        <v>0</v>
      </c>
      <c r="L72" s="91">
        <f ca="1">IF(RTD("tos.rtd",,$A$2,"."&amp;L$43&amp;L$1&amp;"C"&amp;$A72)="N/A",0,RTD("tos.rtd",,$A$2,"."&amp;L$43&amp;L$1&amp;"C"&amp;$A72))-IF(RTD("tos.rtd",,$A$2,"."&amp;L$43&amp;L$1&amp;"P"&amp;$A72)="N/A",0,RTD("tos.rtd",,$A$2,"."&amp;L$43&amp;L$1&amp;"P"&amp;$A72))</f>
        <v>-10</v>
      </c>
      <c r="M72" s="91">
        <f ca="1">IF(RTD("tos.rtd",,$A$2,"."&amp;M$43&amp;M$1&amp;"C"&amp;$A72)="N/A",0,RTD("tos.rtd",,$A$2,"."&amp;M$43&amp;M$1&amp;"C"&amp;$A72))-IF(RTD("tos.rtd",,$A$2,"."&amp;M$43&amp;M$1&amp;"P"&amp;$A72)="N/A",0,RTD("tos.rtd",,$A$2,"."&amp;M$43&amp;M$1&amp;"P"&amp;$A72))</f>
        <v>0</v>
      </c>
      <c r="N72" s="91">
        <f ca="1">IF(RTD("tos.rtd",,$A$2,"."&amp;N$43&amp;N$1&amp;"C"&amp;$A72)="N/A",0,RTD("tos.rtd",,$A$2,"."&amp;N$43&amp;N$1&amp;"C"&amp;$A72))-IF(RTD("tos.rtd",,$A$2,"."&amp;N$43&amp;N$1&amp;"P"&amp;$A72)="N/A",0,RTD("tos.rtd",,$A$2,"."&amp;N$43&amp;N$1&amp;"P"&amp;$A72))</f>
        <v>-12</v>
      </c>
      <c r="O72" s="91">
        <f ca="1">IF(RTD("tos.rtd",,$A$2,"."&amp;O$43&amp;O$1&amp;"C"&amp;$A72)="N/A",0,RTD("tos.rtd",,$A$2,"."&amp;O$43&amp;O$1&amp;"C"&amp;$A72))-IF(RTD("tos.rtd",,$A$2,"."&amp;O$43&amp;O$1&amp;"P"&amp;$A72)="N/A",0,RTD("tos.rtd",,$A$2,"."&amp;O$43&amp;O$1&amp;"P"&amp;$A72))</f>
        <v>0</v>
      </c>
      <c r="P72" s="91">
        <f ca="1">IF(RTD("tos.rtd",,$A$2,"."&amp;P$43&amp;P$1&amp;"C"&amp;$A72)="N/A",0,RTD("tos.rtd",,$A$2,"."&amp;P$43&amp;P$1&amp;"C"&amp;$A72))-IF(RTD("tos.rtd",,$A$2,"."&amp;P$43&amp;P$1&amp;"P"&amp;$A72)="N/A",0,RTD("tos.rtd",,$A$2,"."&amp;P$43&amp;P$1&amp;"P"&amp;$A72))</f>
        <v>0</v>
      </c>
      <c r="Q72" s="91">
        <f ca="1">IF(RTD("tos.rtd",,$A$2,"."&amp;Q$43&amp;Q$1&amp;"C"&amp;$A72)="N/A",0,RTD("tos.rtd",,$A$2,"."&amp;Q$43&amp;Q$1&amp;"C"&amp;$A72))-IF(RTD("tos.rtd",,$A$2,"."&amp;Q$43&amp;Q$1&amp;"P"&amp;$A72)="N/A",0,RTD("tos.rtd",,$A$2,"."&amp;Q$43&amp;Q$1&amp;"P"&amp;$A72))</f>
        <v>0</v>
      </c>
      <c r="R72" s="91">
        <f ca="1">IF(RTD("tos.rtd",,$A$2,"."&amp;R$43&amp;R$1&amp;"C"&amp;$A72)="N/A",0,RTD("tos.rtd",,$A$2,"."&amp;R$43&amp;R$1&amp;"C"&amp;$A72))-IF(RTD("tos.rtd",,$A$2,"."&amp;R$43&amp;R$1&amp;"P"&amp;$A72)="N/A",0,RTD("tos.rtd",,$A$2,"."&amp;R$43&amp;R$1&amp;"P"&amp;$A72))</f>
        <v>-42</v>
      </c>
      <c r="S72" s="91">
        <f ca="1">IF(RTD("tos.rtd",,$A$2,"."&amp;S$43&amp;S$1&amp;"C"&amp;$A72)="N/A",0,RTD("tos.rtd",,$A$2,"."&amp;S$43&amp;S$1&amp;"C"&amp;$A72))-IF(RTD("tos.rtd",,$A$2,"."&amp;S$43&amp;S$1&amp;"P"&amp;$A72)="N/A",0,RTD("tos.rtd",,$A$2,"."&amp;S$43&amp;S$1&amp;"P"&amp;$A72))</f>
        <v>0</v>
      </c>
      <c r="T72" s="91">
        <f ca="1">IF(RTD("tos.rtd",,$A$2,"."&amp;T$43&amp;T$1&amp;"C"&amp;$A72)="N/A",0,RTD("tos.rtd",,$A$2,"."&amp;T$43&amp;T$1&amp;"C"&amp;$A72))-IF(RTD("tos.rtd",,$A$2,"."&amp;T$43&amp;T$1&amp;"P"&amp;$A72)="N/A",0,RTD("tos.rtd",,$A$2,"."&amp;T$43&amp;T$1&amp;"P"&amp;$A72))</f>
        <v>0</v>
      </c>
      <c r="U72" s="91">
        <f ca="1">IF(RTD("tos.rtd",,$A$2,"."&amp;U$43&amp;U$1&amp;"C"&amp;$A72)="N/A",0,RTD("tos.rtd",,$A$2,"."&amp;U$43&amp;U$1&amp;"C"&amp;$A72))-IF(RTD("tos.rtd",,$A$2,"."&amp;U$43&amp;U$1&amp;"P"&amp;$A72)="N/A",0,RTD("tos.rtd",,$A$2,"."&amp;U$43&amp;U$1&amp;"P"&amp;$A72))</f>
        <v>0</v>
      </c>
      <c r="V72" s="91">
        <f ca="1">IF(RTD("tos.rtd",,$A$2,"."&amp;V$43&amp;V$1&amp;"C"&amp;$A72)="N/A",0,RTD("tos.rtd",,$A$2,"."&amp;V$43&amp;V$1&amp;"C"&amp;$A72))-IF(RTD("tos.rtd",,$A$2,"."&amp;V$43&amp;V$1&amp;"P"&amp;$A72)="N/A",0,RTD("tos.rtd",,$A$2,"."&amp;V$43&amp;V$1&amp;"P"&amp;$A72))</f>
        <v>0</v>
      </c>
      <c r="W72" s="91">
        <f ca="1">IF(RTD("tos.rtd",,$A$2,"."&amp;W$43&amp;W$1&amp;"C"&amp;$A72)="N/A",0,RTD("tos.rtd",,$A$2,"."&amp;W$43&amp;W$1&amp;"C"&amp;$A72))-IF(RTD("tos.rtd",,$A$2,"."&amp;W$43&amp;W$1&amp;"P"&amp;$A72)="N/A",0,RTD("tos.rtd",,$A$2,"."&amp;W$43&amp;W$1&amp;"P"&amp;$A72))</f>
        <v>0</v>
      </c>
      <c r="X72" s="91">
        <f ca="1">IF(RTD("tos.rtd",,$A$2,"."&amp;X$43&amp;X$1&amp;"C"&amp;$A72)="N/A",0,RTD("tos.rtd",,$A$2,"."&amp;X$43&amp;X$1&amp;"C"&amp;$A72))-IF(RTD("tos.rtd",,$A$2,"."&amp;X$43&amp;X$1&amp;"P"&amp;$A72)="N/A",0,RTD("tos.rtd",,$A$2,"."&amp;X$43&amp;X$1&amp;"P"&amp;$A72))</f>
        <v>0</v>
      </c>
      <c r="Y72" s="98">
        <f t="shared" ca="1" si="7"/>
        <v>-348</v>
      </c>
    </row>
    <row r="73" spans="1:25" x14ac:dyDescent="0.25">
      <c r="A73" s="93">
        <f>+Hoja1!A72</f>
        <v>475</v>
      </c>
      <c r="B73" s="91">
        <f ca="1">IF(RTD("tos.rtd",,$A$2,"."&amp;B$43&amp;B$1&amp;"C"&amp;$A73)="N/A",0,RTD("tos.rtd",,$A$2,"."&amp;B$43&amp;B$1&amp;"C"&amp;$A73))-IF(RTD("tos.rtd",,$A$2,"."&amp;B$43&amp;B$1&amp;"P"&amp;$A73)="N/A",0,RTD("tos.rtd",,$A$2,"."&amp;B$43&amp;B$1&amp;"P"&amp;$A73))</f>
        <v>0</v>
      </c>
      <c r="C73" s="91">
        <f ca="1">IF(RTD("tos.rtd",,$A$2,"."&amp;C$43&amp;C$1&amp;"C"&amp;$A73)="N/A",0,RTD("tos.rtd",,$A$2,"."&amp;C$43&amp;C$1&amp;"C"&amp;$A73))-IF(RTD("tos.rtd",,$A$2,"."&amp;C$43&amp;C$1&amp;"P"&amp;$A73)="N/A",0,RTD("tos.rtd",,$A$2,"."&amp;C$43&amp;C$1&amp;"P"&amp;$A73))</f>
        <v>0</v>
      </c>
      <c r="D73" s="91">
        <f ca="1">IF(RTD("tos.rtd",,$A$2,"."&amp;D$43&amp;D$1&amp;"C"&amp;$A73)="N/A",0,RTD("tos.rtd",,$A$2,"."&amp;D$43&amp;D$1&amp;"C"&amp;$A73))-IF(RTD("tos.rtd",,$A$2,"."&amp;D$43&amp;D$1&amp;"P"&amp;$A73)="N/A",0,RTD("tos.rtd",,$A$2,"."&amp;D$43&amp;D$1&amp;"P"&amp;$A73))</f>
        <v>0</v>
      </c>
      <c r="E73" s="91">
        <f ca="1">IF(RTD("tos.rtd",,$A$2,"."&amp;E$43&amp;E$1&amp;"C"&amp;$A73)="N/A",0,RTD("tos.rtd",,$A$2,"."&amp;E$43&amp;E$1&amp;"C"&amp;$A73))-IF(RTD("tos.rtd",,$A$2,"."&amp;E$43&amp;E$1&amp;"P"&amp;$A73)="N/A",0,RTD("tos.rtd",,$A$2,"."&amp;E$43&amp;E$1&amp;"P"&amp;$A73))</f>
        <v>0</v>
      </c>
      <c r="F73" s="91">
        <f ca="1">IF(RTD("tos.rtd",,$A$2,"."&amp;F$43&amp;F$1&amp;"C"&amp;$A73)="N/A",0,RTD("tos.rtd",,$A$2,"."&amp;F$43&amp;F$1&amp;"C"&amp;$A73))-IF(RTD("tos.rtd",,$A$2,"."&amp;F$43&amp;F$1&amp;"P"&amp;$A73)="N/A",0,RTD("tos.rtd",,$A$2,"."&amp;F$43&amp;F$1&amp;"P"&amp;$A73))</f>
        <v>0</v>
      </c>
      <c r="G73" s="91">
        <f ca="1">IF(RTD("tos.rtd",,$A$2,"."&amp;G$43&amp;G$1&amp;"C"&amp;$A73)="N/A",0,RTD("tos.rtd",,$A$2,"."&amp;G$43&amp;G$1&amp;"C"&amp;$A73))-IF(RTD("tos.rtd",,$A$2,"."&amp;G$43&amp;G$1&amp;"P"&amp;$A73)="N/A",0,RTD("tos.rtd",,$A$2,"."&amp;G$43&amp;G$1&amp;"P"&amp;$A73))</f>
        <v>0</v>
      </c>
      <c r="H73" s="91">
        <f ca="1">IF(RTD("tos.rtd",,$A$2,"."&amp;H$43&amp;H$1&amp;"C"&amp;$A73)="N/A",0,RTD("tos.rtd",,$A$2,"."&amp;H$43&amp;H$1&amp;"C"&amp;$A73))-IF(RTD("tos.rtd",,$A$2,"."&amp;H$43&amp;H$1&amp;"P"&amp;$A73)="N/A",0,RTD("tos.rtd",,$A$2,"."&amp;H$43&amp;H$1&amp;"P"&amp;$A73))</f>
        <v>-6874</v>
      </c>
      <c r="I73" s="91">
        <f ca="1">IF(RTD("tos.rtd",,$A$2,"."&amp;I$43&amp;I$1&amp;"C"&amp;$A73)="N/A",0,RTD("tos.rtd",,$A$2,"."&amp;I$43&amp;I$1&amp;"C"&amp;$A73))-IF(RTD("tos.rtd",,$A$2,"."&amp;I$43&amp;I$1&amp;"P"&amp;$A73)="N/A",0,RTD("tos.rtd",,$A$2,"."&amp;I$43&amp;I$1&amp;"P"&amp;$A73))</f>
        <v>-2882</v>
      </c>
      <c r="J73" s="91">
        <f ca="1">IF(RTD("tos.rtd",,$A$2,"."&amp;J$43&amp;J$1&amp;"C"&amp;$A73)="N/A",0,RTD("tos.rtd",,$A$2,"."&amp;J$43&amp;J$1&amp;"C"&amp;$A73))-IF(RTD("tos.rtd",,$A$2,"."&amp;J$43&amp;J$1&amp;"P"&amp;$A73)="N/A",0,RTD("tos.rtd",,$A$2,"."&amp;J$43&amp;J$1&amp;"P"&amp;$A73))</f>
        <v>-82</v>
      </c>
      <c r="K73" s="91">
        <f ca="1">IF(RTD("tos.rtd",,$A$2,"."&amp;K$43&amp;K$1&amp;"C"&amp;$A73)="N/A",0,RTD("tos.rtd",,$A$2,"."&amp;K$43&amp;K$1&amp;"C"&amp;$A73))-IF(RTD("tos.rtd",,$A$2,"."&amp;K$43&amp;K$1&amp;"P"&amp;$A73)="N/A",0,RTD("tos.rtd",,$A$2,"."&amp;K$43&amp;K$1&amp;"P"&amp;$A73))</f>
        <v>-978</v>
      </c>
      <c r="L73" s="91">
        <f ca="1">IF(RTD("tos.rtd",,$A$2,"."&amp;L$43&amp;L$1&amp;"C"&amp;$A73)="N/A",0,RTD("tos.rtd",,$A$2,"."&amp;L$43&amp;L$1&amp;"C"&amp;$A73))-IF(RTD("tos.rtd",,$A$2,"."&amp;L$43&amp;L$1&amp;"P"&amp;$A73)="N/A",0,RTD("tos.rtd",,$A$2,"."&amp;L$43&amp;L$1&amp;"P"&amp;$A73))</f>
        <v>1</v>
      </c>
      <c r="M73" s="91">
        <f ca="1">IF(RTD("tos.rtd",,$A$2,"."&amp;M$43&amp;M$1&amp;"C"&amp;$A73)="N/A",0,RTD("tos.rtd",,$A$2,"."&amp;M$43&amp;M$1&amp;"C"&amp;$A73))-IF(RTD("tos.rtd",,$A$2,"."&amp;M$43&amp;M$1&amp;"P"&amp;$A73)="N/A",0,RTD("tos.rtd",,$A$2,"."&amp;M$43&amp;M$1&amp;"P"&amp;$A73))</f>
        <v>-277</v>
      </c>
      <c r="N73" s="91">
        <f ca="1">IF(RTD("tos.rtd",,$A$2,"."&amp;N$43&amp;N$1&amp;"C"&amp;$A73)="N/A",0,RTD("tos.rtd",,$A$2,"."&amp;N$43&amp;N$1&amp;"C"&amp;$A73))-IF(RTD("tos.rtd",,$A$2,"."&amp;N$43&amp;N$1&amp;"P"&amp;$A73)="N/A",0,RTD("tos.rtd",,$A$2,"."&amp;N$43&amp;N$1&amp;"P"&amp;$A73))</f>
        <v>-4015</v>
      </c>
      <c r="O73" s="91">
        <f ca="1">IF(RTD("tos.rtd",,$A$2,"."&amp;O$43&amp;O$1&amp;"C"&amp;$A73)="N/A",0,RTD("tos.rtd",,$A$2,"."&amp;O$43&amp;O$1&amp;"C"&amp;$A73))-IF(RTD("tos.rtd",,$A$2,"."&amp;O$43&amp;O$1&amp;"P"&amp;$A73)="N/A",0,RTD("tos.rtd",,$A$2,"."&amp;O$43&amp;O$1&amp;"P"&amp;$A73))</f>
        <v>-188</v>
      </c>
      <c r="P73" s="91">
        <f ca="1">IF(RTD("tos.rtd",,$A$2,"."&amp;P$43&amp;P$1&amp;"C"&amp;$A73)="N/A",0,RTD("tos.rtd",,$A$2,"."&amp;P$43&amp;P$1&amp;"C"&amp;$A73))-IF(RTD("tos.rtd",,$A$2,"."&amp;P$43&amp;P$1&amp;"P"&amp;$A73)="N/A",0,RTD("tos.rtd",,$A$2,"."&amp;P$43&amp;P$1&amp;"P"&amp;$A73))</f>
        <v>-7</v>
      </c>
      <c r="Q73" s="91">
        <f ca="1">IF(RTD("tos.rtd",,$A$2,"."&amp;Q$43&amp;Q$1&amp;"C"&amp;$A73)="N/A",0,RTD("tos.rtd",,$A$2,"."&amp;Q$43&amp;Q$1&amp;"C"&amp;$A73))-IF(RTD("tos.rtd",,$A$2,"."&amp;Q$43&amp;Q$1&amp;"P"&amp;$A73)="N/A",0,RTD("tos.rtd",,$A$2,"."&amp;Q$43&amp;Q$1&amp;"P"&amp;$A73))</f>
        <v>-74</v>
      </c>
      <c r="R73" s="91">
        <f ca="1">IF(RTD("tos.rtd",,$A$2,"."&amp;R$43&amp;R$1&amp;"C"&amp;$A73)="N/A",0,RTD("tos.rtd",,$A$2,"."&amp;R$43&amp;R$1&amp;"C"&amp;$A73))-IF(RTD("tos.rtd",,$A$2,"."&amp;R$43&amp;R$1&amp;"P"&amp;$A73)="N/A",0,RTD("tos.rtd",,$A$2,"."&amp;R$43&amp;R$1&amp;"P"&amp;$A73))</f>
        <v>-25</v>
      </c>
      <c r="S73" s="91">
        <f ca="1">IF(RTD("tos.rtd",,$A$2,"."&amp;S$43&amp;S$1&amp;"C"&amp;$A73)="N/A",0,RTD("tos.rtd",,$A$2,"."&amp;S$43&amp;S$1&amp;"C"&amp;$A73))-IF(RTD("tos.rtd",,$A$2,"."&amp;S$43&amp;S$1&amp;"P"&amp;$A73)="N/A",0,RTD("tos.rtd",,$A$2,"."&amp;S$43&amp;S$1&amp;"P"&amp;$A73))</f>
        <v>0</v>
      </c>
      <c r="T73" s="91">
        <f ca="1">IF(RTD("tos.rtd",,$A$2,"."&amp;T$43&amp;T$1&amp;"C"&amp;$A73)="N/A",0,RTD("tos.rtd",,$A$2,"."&amp;T$43&amp;T$1&amp;"C"&amp;$A73))-IF(RTD("tos.rtd",,$A$2,"."&amp;T$43&amp;T$1&amp;"P"&amp;$A73)="N/A",0,RTD("tos.rtd",,$A$2,"."&amp;T$43&amp;T$1&amp;"P"&amp;$A73))</f>
        <v>0</v>
      </c>
      <c r="U73" s="91">
        <f ca="1">IF(RTD("tos.rtd",,$A$2,"."&amp;U$43&amp;U$1&amp;"C"&amp;$A73)="N/A",0,RTD("tos.rtd",,$A$2,"."&amp;U$43&amp;U$1&amp;"C"&amp;$A73))-IF(RTD("tos.rtd",,$A$2,"."&amp;U$43&amp;U$1&amp;"P"&amp;$A73)="N/A",0,RTD("tos.rtd",,$A$2,"."&amp;U$43&amp;U$1&amp;"P"&amp;$A73))</f>
        <v>-30</v>
      </c>
      <c r="V73" s="91">
        <f ca="1">IF(RTD("tos.rtd",,$A$2,"."&amp;V$43&amp;V$1&amp;"C"&amp;$A73)="N/A",0,RTD("tos.rtd",,$A$2,"."&amp;V$43&amp;V$1&amp;"C"&amp;$A73))-IF(RTD("tos.rtd",,$A$2,"."&amp;V$43&amp;V$1&amp;"P"&amp;$A73)="N/A",0,RTD("tos.rtd",,$A$2,"."&amp;V$43&amp;V$1&amp;"P"&amp;$A73))</f>
        <v>0</v>
      </c>
      <c r="W73" s="91">
        <f ca="1">IF(RTD("tos.rtd",,$A$2,"."&amp;W$43&amp;W$1&amp;"C"&amp;$A73)="N/A",0,RTD("tos.rtd",,$A$2,"."&amp;W$43&amp;W$1&amp;"C"&amp;$A73))-IF(RTD("tos.rtd",,$A$2,"."&amp;W$43&amp;W$1&amp;"P"&amp;$A73)="N/A",0,RTD("tos.rtd",,$A$2,"."&amp;W$43&amp;W$1&amp;"P"&amp;$A73))</f>
        <v>0</v>
      </c>
      <c r="X73" s="91">
        <f ca="1">IF(RTD("tos.rtd",,$A$2,"."&amp;X$43&amp;X$1&amp;"C"&amp;$A73)="N/A",0,RTD("tos.rtd",,$A$2,"."&amp;X$43&amp;X$1&amp;"C"&amp;$A73))-IF(RTD("tos.rtd",,$A$2,"."&amp;X$43&amp;X$1&amp;"P"&amp;$A73)="N/A",0,RTD("tos.rtd",,$A$2,"."&amp;X$43&amp;X$1&amp;"P"&amp;$A73))</f>
        <v>-1</v>
      </c>
      <c r="Y73" s="98">
        <f t="shared" ca="1" si="7"/>
        <v>-15432</v>
      </c>
    </row>
    <row r="74" spans="1:25" x14ac:dyDescent="0.25">
      <c r="A74" s="93">
        <f>+Hoja1!A73</f>
        <v>474</v>
      </c>
      <c r="B74" s="91">
        <f ca="1">IF(RTD("tos.rtd",,$A$2,"."&amp;B$43&amp;B$1&amp;"C"&amp;$A74)="N/A",0,RTD("tos.rtd",,$A$2,"."&amp;B$43&amp;B$1&amp;"C"&amp;$A74))-IF(RTD("tos.rtd",,$A$2,"."&amp;B$43&amp;B$1&amp;"P"&amp;$A74)="N/A",0,RTD("tos.rtd",,$A$2,"."&amp;B$43&amp;B$1&amp;"P"&amp;$A74))</f>
        <v>0</v>
      </c>
      <c r="C74" s="91">
        <f ca="1">IF(RTD("tos.rtd",,$A$2,"."&amp;C$43&amp;C$1&amp;"C"&amp;$A74)="N/A",0,RTD("tos.rtd",,$A$2,"."&amp;C$43&amp;C$1&amp;"C"&amp;$A74))-IF(RTD("tos.rtd",,$A$2,"."&amp;C$43&amp;C$1&amp;"P"&amp;$A74)="N/A",0,RTD("tos.rtd",,$A$2,"."&amp;C$43&amp;C$1&amp;"P"&amp;$A74))</f>
        <v>0</v>
      </c>
      <c r="D74" s="91">
        <f ca="1">IF(RTD("tos.rtd",,$A$2,"."&amp;D$43&amp;D$1&amp;"C"&amp;$A74)="N/A",0,RTD("tos.rtd",,$A$2,"."&amp;D$43&amp;D$1&amp;"C"&amp;$A74))-IF(RTD("tos.rtd",,$A$2,"."&amp;D$43&amp;D$1&amp;"P"&amp;$A74)="N/A",0,RTD("tos.rtd",,$A$2,"."&amp;D$43&amp;D$1&amp;"P"&amp;$A74))</f>
        <v>0</v>
      </c>
      <c r="E74" s="91">
        <f ca="1">IF(RTD("tos.rtd",,$A$2,"."&amp;E$43&amp;E$1&amp;"C"&amp;$A74)="N/A",0,RTD("tos.rtd",,$A$2,"."&amp;E$43&amp;E$1&amp;"C"&amp;$A74))-IF(RTD("tos.rtd",,$A$2,"."&amp;E$43&amp;E$1&amp;"P"&amp;$A74)="N/A",0,RTD("tos.rtd",,$A$2,"."&amp;E$43&amp;E$1&amp;"P"&amp;$A74))</f>
        <v>0</v>
      </c>
      <c r="F74" s="91">
        <f ca="1">IF(RTD("tos.rtd",,$A$2,"."&amp;F$43&amp;F$1&amp;"C"&amp;$A74)="N/A",0,RTD("tos.rtd",,$A$2,"."&amp;F$43&amp;F$1&amp;"C"&amp;$A74))-IF(RTD("tos.rtd",,$A$2,"."&amp;F$43&amp;F$1&amp;"P"&amp;$A74)="N/A",0,RTD("tos.rtd",,$A$2,"."&amp;F$43&amp;F$1&amp;"P"&amp;$A74))</f>
        <v>0</v>
      </c>
      <c r="G74" s="91">
        <f ca="1">IF(RTD("tos.rtd",,$A$2,"."&amp;G$43&amp;G$1&amp;"C"&amp;$A74)="N/A",0,RTD("tos.rtd",,$A$2,"."&amp;G$43&amp;G$1&amp;"C"&amp;$A74))-IF(RTD("tos.rtd",,$A$2,"."&amp;G$43&amp;G$1&amp;"P"&amp;$A74)="N/A",0,RTD("tos.rtd",,$A$2,"."&amp;G$43&amp;G$1&amp;"P"&amp;$A74))</f>
        <v>0</v>
      </c>
      <c r="H74" s="91">
        <f ca="1">IF(RTD("tos.rtd",,$A$2,"."&amp;H$43&amp;H$1&amp;"C"&amp;$A74)="N/A",0,RTD("tos.rtd",,$A$2,"."&amp;H$43&amp;H$1&amp;"C"&amp;$A74))-IF(RTD("tos.rtd",,$A$2,"."&amp;H$43&amp;H$1&amp;"P"&amp;$A74)="N/A",0,RTD("tos.rtd",,$A$2,"."&amp;H$43&amp;H$1&amp;"P"&amp;$A74))</f>
        <v>-53</v>
      </c>
      <c r="I74" s="91">
        <f ca="1">IF(RTD("tos.rtd",,$A$2,"."&amp;I$43&amp;I$1&amp;"C"&amp;$A74)="N/A",0,RTD("tos.rtd",,$A$2,"."&amp;I$43&amp;I$1&amp;"C"&amp;$A74))-IF(RTD("tos.rtd",,$A$2,"."&amp;I$43&amp;I$1&amp;"P"&amp;$A74)="N/A",0,RTD("tos.rtd",,$A$2,"."&amp;I$43&amp;I$1&amp;"P"&amp;$A74))</f>
        <v>-81</v>
      </c>
      <c r="J74" s="91">
        <f ca="1">IF(RTD("tos.rtd",,$A$2,"."&amp;J$43&amp;J$1&amp;"C"&amp;$A74)="N/A",0,RTD("tos.rtd",,$A$2,"."&amp;J$43&amp;J$1&amp;"C"&amp;$A74))-IF(RTD("tos.rtd",,$A$2,"."&amp;J$43&amp;J$1&amp;"P"&amp;$A74)="N/A",0,RTD("tos.rtd",,$A$2,"."&amp;J$43&amp;J$1&amp;"P"&amp;$A74))</f>
        <v>-58</v>
      </c>
      <c r="K74" s="91">
        <f ca="1">IF(RTD("tos.rtd",,$A$2,"."&amp;K$43&amp;K$1&amp;"C"&amp;$A74)="N/A",0,RTD("tos.rtd",,$A$2,"."&amp;K$43&amp;K$1&amp;"C"&amp;$A74))-IF(RTD("tos.rtd",,$A$2,"."&amp;K$43&amp;K$1&amp;"P"&amp;$A74)="N/A",0,RTD("tos.rtd",,$A$2,"."&amp;K$43&amp;K$1&amp;"P"&amp;$A74))</f>
        <v>0</v>
      </c>
      <c r="L74" s="91">
        <f ca="1">IF(RTD("tos.rtd",,$A$2,"."&amp;L$43&amp;L$1&amp;"C"&amp;$A74)="N/A",0,RTD("tos.rtd",,$A$2,"."&amp;L$43&amp;L$1&amp;"C"&amp;$A74))-IF(RTD("tos.rtd",,$A$2,"."&amp;L$43&amp;L$1&amp;"P"&amp;$A74)="N/A",0,RTD("tos.rtd",,$A$2,"."&amp;L$43&amp;L$1&amp;"P"&amp;$A74))</f>
        <v>-8</v>
      </c>
      <c r="M74" s="91">
        <f ca="1">IF(RTD("tos.rtd",,$A$2,"."&amp;M$43&amp;M$1&amp;"C"&amp;$A74)="N/A",0,RTD("tos.rtd",,$A$2,"."&amp;M$43&amp;M$1&amp;"C"&amp;$A74))-IF(RTD("tos.rtd",,$A$2,"."&amp;M$43&amp;M$1&amp;"P"&amp;$A74)="N/A",0,RTD("tos.rtd",,$A$2,"."&amp;M$43&amp;M$1&amp;"P"&amp;$A74))</f>
        <v>0</v>
      </c>
      <c r="N74" s="91">
        <f ca="1">IF(RTD("tos.rtd",,$A$2,"."&amp;N$43&amp;N$1&amp;"C"&amp;$A74)="N/A",0,RTD("tos.rtd",,$A$2,"."&amp;N$43&amp;N$1&amp;"C"&amp;$A74))-IF(RTD("tos.rtd",,$A$2,"."&amp;N$43&amp;N$1&amp;"P"&amp;$A74)="N/A",0,RTD("tos.rtd",,$A$2,"."&amp;N$43&amp;N$1&amp;"P"&amp;$A74))</f>
        <v>-6</v>
      </c>
      <c r="O74" s="91">
        <f ca="1">IF(RTD("tos.rtd",,$A$2,"."&amp;O$43&amp;O$1&amp;"C"&amp;$A74)="N/A",0,RTD("tos.rtd",,$A$2,"."&amp;O$43&amp;O$1&amp;"C"&amp;$A74))-IF(RTD("tos.rtd",,$A$2,"."&amp;O$43&amp;O$1&amp;"P"&amp;$A74)="N/A",0,RTD("tos.rtd",,$A$2,"."&amp;O$43&amp;O$1&amp;"P"&amp;$A74))</f>
        <v>0</v>
      </c>
      <c r="P74" s="91">
        <f ca="1">IF(RTD("tos.rtd",,$A$2,"."&amp;P$43&amp;P$1&amp;"C"&amp;$A74)="N/A",0,RTD("tos.rtd",,$A$2,"."&amp;P$43&amp;P$1&amp;"C"&amp;$A74))-IF(RTD("tos.rtd",,$A$2,"."&amp;P$43&amp;P$1&amp;"P"&amp;$A74)="N/A",0,RTD("tos.rtd",,$A$2,"."&amp;P$43&amp;P$1&amp;"P"&amp;$A74))</f>
        <v>0</v>
      </c>
      <c r="Q74" s="91">
        <f ca="1">IF(RTD("tos.rtd",,$A$2,"."&amp;Q$43&amp;Q$1&amp;"C"&amp;$A74)="N/A",0,RTD("tos.rtd",,$A$2,"."&amp;Q$43&amp;Q$1&amp;"C"&amp;$A74))-IF(RTD("tos.rtd",,$A$2,"."&amp;Q$43&amp;Q$1&amp;"P"&amp;$A74)="N/A",0,RTD("tos.rtd",,$A$2,"."&amp;Q$43&amp;Q$1&amp;"P"&amp;$A74))</f>
        <v>0</v>
      </c>
      <c r="R74" s="91">
        <f ca="1">IF(RTD("tos.rtd",,$A$2,"."&amp;R$43&amp;R$1&amp;"C"&amp;$A74)="N/A",0,RTD("tos.rtd",,$A$2,"."&amp;R$43&amp;R$1&amp;"C"&amp;$A74))-IF(RTD("tos.rtd",,$A$2,"."&amp;R$43&amp;R$1&amp;"P"&amp;$A74)="N/A",0,RTD("tos.rtd",,$A$2,"."&amp;R$43&amp;R$1&amp;"P"&amp;$A74))</f>
        <v>-25</v>
      </c>
      <c r="S74" s="91">
        <f ca="1">IF(RTD("tos.rtd",,$A$2,"."&amp;S$43&amp;S$1&amp;"C"&amp;$A74)="N/A",0,RTD("tos.rtd",,$A$2,"."&amp;S$43&amp;S$1&amp;"C"&amp;$A74))-IF(RTD("tos.rtd",,$A$2,"."&amp;S$43&amp;S$1&amp;"P"&amp;$A74)="N/A",0,RTD("tos.rtd",,$A$2,"."&amp;S$43&amp;S$1&amp;"P"&amp;$A74))</f>
        <v>0</v>
      </c>
      <c r="T74" s="91">
        <f ca="1">IF(RTD("tos.rtd",,$A$2,"."&amp;T$43&amp;T$1&amp;"C"&amp;$A74)="N/A",0,RTD("tos.rtd",,$A$2,"."&amp;T$43&amp;T$1&amp;"C"&amp;$A74))-IF(RTD("tos.rtd",,$A$2,"."&amp;T$43&amp;T$1&amp;"P"&amp;$A74)="N/A",0,RTD("tos.rtd",,$A$2,"."&amp;T$43&amp;T$1&amp;"P"&amp;$A74))</f>
        <v>0</v>
      </c>
      <c r="U74" s="91">
        <f ca="1">IF(RTD("tos.rtd",,$A$2,"."&amp;U$43&amp;U$1&amp;"C"&amp;$A74)="N/A",0,RTD("tos.rtd",,$A$2,"."&amp;U$43&amp;U$1&amp;"C"&amp;$A74))-IF(RTD("tos.rtd",,$A$2,"."&amp;U$43&amp;U$1&amp;"P"&amp;$A74)="N/A",0,RTD("tos.rtd",,$A$2,"."&amp;U$43&amp;U$1&amp;"P"&amp;$A74))</f>
        <v>0</v>
      </c>
      <c r="V74" s="91">
        <f ca="1">IF(RTD("tos.rtd",,$A$2,"."&amp;V$43&amp;V$1&amp;"C"&amp;$A74)="N/A",0,RTD("tos.rtd",,$A$2,"."&amp;V$43&amp;V$1&amp;"C"&amp;$A74))-IF(RTD("tos.rtd",,$A$2,"."&amp;V$43&amp;V$1&amp;"P"&amp;$A74)="N/A",0,RTD("tos.rtd",,$A$2,"."&amp;V$43&amp;V$1&amp;"P"&amp;$A74))</f>
        <v>0</v>
      </c>
      <c r="W74" s="91">
        <f ca="1">IF(RTD("tos.rtd",,$A$2,"."&amp;W$43&amp;W$1&amp;"C"&amp;$A74)="N/A",0,RTD("tos.rtd",,$A$2,"."&amp;W$43&amp;W$1&amp;"C"&amp;$A74))-IF(RTD("tos.rtd",,$A$2,"."&amp;W$43&amp;W$1&amp;"P"&amp;$A74)="N/A",0,RTD("tos.rtd",,$A$2,"."&amp;W$43&amp;W$1&amp;"P"&amp;$A74))</f>
        <v>0</v>
      </c>
      <c r="X74" s="91">
        <f ca="1">IF(RTD("tos.rtd",,$A$2,"."&amp;X$43&amp;X$1&amp;"C"&amp;$A74)="N/A",0,RTD("tos.rtd",,$A$2,"."&amp;X$43&amp;X$1&amp;"C"&amp;$A74))-IF(RTD("tos.rtd",,$A$2,"."&amp;X$43&amp;X$1&amp;"P"&amp;$A74)="N/A",0,RTD("tos.rtd",,$A$2,"."&amp;X$43&amp;X$1&amp;"P"&amp;$A74))</f>
        <v>0</v>
      </c>
      <c r="Y74" s="98">
        <f t="shared" ca="1" si="7"/>
        <v>-231</v>
      </c>
    </row>
    <row r="75" spans="1:25" x14ac:dyDescent="0.25">
      <c r="A75" s="93">
        <f>+Hoja1!A74</f>
        <v>473</v>
      </c>
      <c r="B75" s="91">
        <f ca="1">IF(RTD("tos.rtd",,$A$2,"."&amp;B$43&amp;B$1&amp;"C"&amp;$A75)="N/A",0,RTD("tos.rtd",,$A$2,"."&amp;B$43&amp;B$1&amp;"C"&amp;$A75))-IF(RTD("tos.rtd",,$A$2,"."&amp;B$43&amp;B$1&amp;"P"&amp;$A75)="N/A",0,RTD("tos.rtd",,$A$2,"."&amp;B$43&amp;B$1&amp;"P"&amp;$A75))</f>
        <v>0</v>
      </c>
      <c r="C75" s="91">
        <f ca="1">IF(RTD("tos.rtd",,$A$2,"."&amp;C$43&amp;C$1&amp;"C"&amp;$A75)="N/A",0,RTD("tos.rtd",,$A$2,"."&amp;C$43&amp;C$1&amp;"C"&amp;$A75))-IF(RTD("tos.rtd",,$A$2,"."&amp;C$43&amp;C$1&amp;"P"&amp;$A75)="N/A",0,RTD("tos.rtd",,$A$2,"."&amp;C$43&amp;C$1&amp;"P"&amp;$A75))</f>
        <v>0</v>
      </c>
      <c r="D75" s="91">
        <f ca="1">IF(RTD("tos.rtd",,$A$2,"."&amp;D$43&amp;D$1&amp;"C"&amp;$A75)="N/A",0,RTD("tos.rtd",,$A$2,"."&amp;D$43&amp;D$1&amp;"C"&amp;$A75))-IF(RTD("tos.rtd",,$A$2,"."&amp;D$43&amp;D$1&amp;"P"&amp;$A75)="N/A",0,RTD("tos.rtd",,$A$2,"."&amp;D$43&amp;D$1&amp;"P"&amp;$A75))</f>
        <v>0</v>
      </c>
      <c r="E75" s="91">
        <f ca="1">IF(RTD("tos.rtd",,$A$2,"."&amp;E$43&amp;E$1&amp;"C"&amp;$A75)="N/A",0,RTD("tos.rtd",,$A$2,"."&amp;E$43&amp;E$1&amp;"C"&amp;$A75))-IF(RTD("tos.rtd",,$A$2,"."&amp;E$43&amp;E$1&amp;"P"&amp;$A75)="N/A",0,RTD("tos.rtd",,$A$2,"."&amp;E$43&amp;E$1&amp;"P"&amp;$A75))</f>
        <v>0</v>
      </c>
      <c r="F75" s="91">
        <f ca="1">IF(RTD("tos.rtd",,$A$2,"."&amp;F$43&amp;F$1&amp;"C"&amp;$A75)="N/A",0,RTD("tos.rtd",,$A$2,"."&amp;F$43&amp;F$1&amp;"C"&amp;$A75))-IF(RTD("tos.rtd",,$A$2,"."&amp;F$43&amp;F$1&amp;"P"&amp;$A75)="N/A",0,RTD("tos.rtd",,$A$2,"."&amp;F$43&amp;F$1&amp;"P"&amp;$A75))</f>
        <v>0</v>
      </c>
      <c r="G75" s="91">
        <f ca="1">IF(RTD("tos.rtd",,$A$2,"."&amp;G$43&amp;G$1&amp;"C"&amp;$A75)="N/A",0,RTD("tos.rtd",,$A$2,"."&amp;G$43&amp;G$1&amp;"C"&amp;$A75))-IF(RTD("tos.rtd",,$A$2,"."&amp;G$43&amp;G$1&amp;"P"&amp;$A75)="N/A",0,RTD("tos.rtd",,$A$2,"."&amp;G$43&amp;G$1&amp;"P"&amp;$A75))</f>
        <v>0</v>
      </c>
      <c r="H75" s="91">
        <f ca="1">IF(RTD("tos.rtd",,$A$2,"."&amp;H$43&amp;H$1&amp;"C"&amp;$A75)="N/A",0,RTD("tos.rtd",,$A$2,"."&amp;H$43&amp;H$1&amp;"C"&amp;$A75))-IF(RTD("tos.rtd",,$A$2,"."&amp;H$43&amp;H$1&amp;"P"&amp;$A75)="N/A",0,RTD("tos.rtd",,$A$2,"."&amp;H$43&amp;H$1&amp;"P"&amp;$A75))</f>
        <v>-134</v>
      </c>
      <c r="I75" s="91">
        <f ca="1">IF(RTD("tos.rtd",,$A$2,"."&amp;I$43&amp;I$1&amp;"C"&amp;$A75)="N/A",0,RTD("tos.rtd",,$A$2,"."&amp;I$43&amp;I$1&amp;"C"&amp;$A75))-IF(RTD("tos.rtd",,$A$2,"."&amp;I$43&amp;I$1&amp;"P"&amp;$A75)="N/A",0,RTD("tos.rtd",,$A$2,"."&amp;I$43&amp;I$1&amp;"P"&amp;$A75))</f>
        <v>-7</v>
      </c>
      <c r="J75" s="91">
        <f ca="1">IF(RTD("tos.rtd",,$A$2,"."&amp;J$43&amp;J$1&amp;"C"&amp;$A75)="N/A",0,RTD("tos.rtd",,$A$2,"."&amp;J$43&amp;J$1&amp;"C"&amp;$A75))-IF(RTD("tos.rtd",,$A$2,"."&amp;J$43&amp;J$1&amp;"P"&amp;$A75)="N/A",0,RTD("tos.rtd",,$A$2,"."&amp;J$43&amp;J$1&amp;"P"&amp;$A75))</f>
        <v>-15</v>
      </c>
      <c r="K75" s="91">
        <f ca="1">IF(RTD("tos.rtd",,$A$2,"."&amp;K$43&amp;K$1&amp;"C"&amp;$A75)="N/A",0,RTD("tos.rtd",,$A$2,"."&amp;K$43&amp;K$1&amp;"C"&amp;$A75))-IF(RTD("tos.rtd",,$A$2,"."&amp;K$43&amp;K$1&amp;"P"&amp;$A75)="N/A",0,RTD("tos.rtd",,$A$2,"."&amp;K$43&amp;K$1&amp;"P"&amp;$A75))</f>
        <v>0</v>
      </c>
      <c r="L75" s="91">
        <f ca="1">IF(RTD("tos.rtd",,$A$2,"."&amp;L$43&amp;L$1&amp;"C"&amp;$A75)="N/A",0,RTD("tos.rtd",,$A$2,"."&amp;L$43&amp;L$1&amp;"C"&amp;$A75))-IF(RTD("tos.rtd",,$A$2,"."&amp;L$43&amp;L$1&amp;"P"&amp;$A75)="N/A",0,RTD("tos.rtd",,$A$2,"."&amp;L$43&amp;L$1&amp;"P"&amp;$A75))</f>
        <v>-1</v>
      </c>
      <c r="M75" s="91">
        <f ca="1">IF(RTD("tos.rtd",,$A$2,"."&amp;M$43&amp;M$1&amp;"C"&amp;$A75)="N/A",0,RTD("tos.rtd",,$A$2,"."&amp;M$43&amp;M$1&amp;"C"&amp;$A75))-IF(RTD("tos.rtd",,$A$2,"."&amp;M$43&amp;M$1&amp;"P"&amp;$A75)="N/A",0,RTD("tos.rtd",,$A$2,"."&amp;M$43&amp;M$1&amp;"P"&amp;$A75))</f>
        <v>0</v>
      </c>
      <c r="N75" s="91">
        <f ca="1">IF(RTD("tos.rtd",,$A$2,"."&amp;N$43&amp;N$1&amp;"C"&amp;$A75)="N/A",0,RTD("tos.rtd",,$A$2,"."&amp;N$43&amp;N$1&amp;"C"&amp;$A75))-IF(RTD("tos.rtd",,$A$2,"."&amp;N$43&amp;N$1&amp;"P"&amp;$A75)="N/A",0,RTD("tos.rtd",,$A$2,"."&amp;N$43&amp;N$1&amp;"P"&amp;$A75))</f>
        <v>-1</v>
      </c>
      <c r="O75" s="91">
        <f ca="1">IF(RTD("tos.rtd",,$A$2,"."&amp;O$43&amp;O$1&amp;"C"&amp;$A75)="N/A",0,RTD("tos.rtd",,$A$2,"."&amp;O$43&amp;O$1&amp;"C"&amp;$A75))-IF(RTD("tos.rtd",,$A$2,"."&amp;O$43&amp;O$1&amp;"P"&amp;$A75)="N/A",0,RTD("tos.rtd",,$A$2,"."&amp;O$43&amp;O$1&amp;"P"&amp;$A75))</f>
        <v>0</v>
      </c>
      <c r="P75" s="91">
        <f ca="1">IF(RTD("tos.rtd",,$A$2,"."&amp;P$43&amp;P$1&amp;"C"&amp;$A75)="N/A",0,RTD("tos.rtd",,$A$2,"."&amp;P$43&amp;P$1&amp;"C"&amp;$A75))-IF(RTD("tos.rtd",,$A$2,"."&amp;P$43&amp;P$1&amp;"P"&amp;$A75)="N/A",0,RTD("tos.rtd",,$A$2,"."&amp;P$43&amp;P$1&amp;"P"&amp;$A75))</f>
        <v>0</v>
      </c>
      <c r="Q75" s="91">
        <f ca="1">IF(RTD("tos.rtd",,$A$2,"."&amp;Q$43&amp;Q$1&amp;"C"&amp;$A75)="N/A",0,RTD("tos.rtd",,$A$2,"."&amp;Q$43&amp;Q$1&amp;"C"&amp;$A75))-IF(RTD("tos.rtd",,$A$2,"."&amp;Q$43&amp;Q$1&amp;"P"&amp;$A75)="N/A",0,RTD("tos.rtd",,$A$2,"."&amp;Q$43&amp;Q$1&amp;"P"&amp;$A75))</f>
        <v>0</v>
      </c>
      <c r="R75" s="91">
        <f ca="1">IF(RTD("tos.rtd",,$A$2,"."&amp;R$43&amp;R$1&amp;"C"&amp;$A75)="N/A",0,RTD("tos.rtd",,$A$2,"."&amp;R$43&amp;R$1&amp;"C"&amp;$A75))-IF(RTD("tos.rtd",,$A$2,"."&amp;R$43&amp;R$1&amp;"P"&amp;$A75)="N/A",0,RTD("tos.rtd",,$A$2,"."&amp;R$43&amp;R$1&amp;"P"&amp;$A75))</f>
        <v>0</v>
      </c>
      <c r="S75" s="91">
        <f ca="1">IF(RTD("tos.rtd",,$A$2,"."&amp;S$43&amp;S$1&amp;"C"&amp;$A75)="N/A",0,RTD("tos.rtd",,$A$2,"."&amp;S$43&amp;S$1&amp;"C"&amp;$A75))-IF(RTD("tos.rtd",,$A$2,"."&amp;S$43&amp;S$1&amp;"P"&amp;$A75)="N/A",0,RTD("tos.rtd",,$A$2,"."&amp;S$43&amp;S$1&amp;"P"&amp;$A75))</f>
        <v>0</v>
      </c>
      <c r="T75" s="91">
        <f ca="1">IF(RTD("tos.rtd",,$A$2,"."&amp;T$43&amp;T$1&amp;"C"&amp;$A75)="N/A",0,RTD("tos.rtd",,$A$2,"."&amp;T$43&amp;T$1&amp;"C"&amp;$A75))-IF(RTD("tos.rtd",,$A$2,"."&amp;T$43&amp;T$1&amp;"P"&amp;$A75)="N/A",0,RTD("tos.rtd",,$A$2,"."&amp;T$43&amp;T$1&amp;"P"&amp;$A75))</f>
        <v>0</v>
      </c>
      <c r="U75" s="91">
        <f ca="1">IF(RTD("tos.rtd",,$A$2,"."&amp;U$43&amp;U$1&amp;"C"&amp;$A75)="N/A",0,RTD("tos.rtd",,$A$2,"."&amp;U$43&amp;U$1&amp;"C"&amp;$A75))-IF(RTD("tos.rtd",,$A$2,"."&amp;U$43&amp;U$1&amp;"P"&amp;$A75)="N/A",0,RTD("tos.rtd",,$A$2,"."&amp;U$43&amp;U$1&amp;"P"&amp;$A75))</f>
        <v>0</v>
      </c>
      <c r="V75" s="91">
        <f ca="1">IF(RTD("tos.rtd",,$A$2,"."&amp;V$43&amp;V$1&amp;"C"&amp;$A75)="N/A",0,RTD("tos.rtd",,$A$2,"."&amp;V$43&amp;V$1&amp;"C"&amp;$A75))-IF(RTD("tos.rtd",,$A$2,"."&amp;V$43&amp;V$1&amp;"P"&amp;$A75)="N/A",0,RTD("tos.rtd",,$A$2,"."&amp;V$43&amp;V$1&amp;"P"&amp;$A75))</f>
        <v>0</v>
      </c>
      <c r="W75" s="91">
        <f ca="1">IF(RTD("tos.rtd",,$A$2,"."&amp;W$43&amp;W$1&amp;"C"&amp;$A75)="N/A",0,RTD("tos.rtd",,$A$2,"."&amp;W$43&amp;W$1&amp;"C"&amp;$A75))-IF(RTD("tos.rtd",,$A$2,"."&amp;W$43&amp;W$1&amp;"P"&amp;$A75)="N/A",0,RTD("tos.rtd",,$A$2,"."&amp;W$43&amp;W$1&amp;"P"&amp;$A75))</f>
        <v>0</v>
      </c>
      <c r="X75" s="91">
        <f ca="1">IF(RTD("tos.rtd",,$A$2,"."&amp;X$43&amp;X$1&amp;"C"&amp;$A75)="N/A",0,RTD("tos.rtd",,$A$2,"."&amp;X$43&amp;X$1&amp;"C"&amp;$A75))-IF(RTD("tos.rtd",,$A$2,"."&amp;X$43&amp;X$1&amp;"P"&amp;$A75)="N/A",0,RTD("tos.rtd",,$A$2,"."&amp;X$43&amp;X$1&amp;"P"&amp;$A75))</f>
        <v>0</v>
      </c>
      <c r="Y75" s="98">
        <f t="shared" ca="1" si="7"/>
        <v>-158</v>
      </c>
    </row>
    <row r="76" spans="1:25" x14ac:dyDescent="0.25">
      <c r="A76" s="93">
        <f>+Hoja1!A75</f>
        <v>472</v>
      </c>
      <c r="B76" s="91">
        <f ca="1">IF(RTD("tos.rtd",,$A$2,"."&amp;B$43&amp;B$1&amp;"C"&amp;$A76)="N/A",0,RTD("tos.rtd",,$A$2,"."&amp;B$43&amp;B$1&amp;"C"&amp;$A76))-IF(RTD("tos.rtd",,$A$2,"."&amp;B$43&amp;B$1&amp;"P"&amp;$A76)="N/A",0,RTD("tos.rtd",,$A$2,"."&amp;B$43&amp;B$1&amp;"P"&amp;$A76))</f>
        <v>0</v>
      </c>
      <c r="C76" s="91">
        <f ca="1">IF(RTD("tos.rtd",,$A$2,"."&amp;C$43&amp;C$1&amp;"C"&amp;$A76)="N/A",0,RTD("tos.rtd",,$A$2,"."&amp;C$43&amp;C$1&amp;"C"&amp;$A76))-IF(RTD("tos.rtd",,$A$2,"."&amp;C$43&amp;C$1&amp;"P"&amp;$A76)="N/A",0,RTD("tos.rtd",,$A$2,"."&amp;C$43&amp;C$1&amp;"P"&amp;$A76))</f>
        <v>0</v>
      </c>
      <c r="D76" s="91">
        <f ca="1">IF(RTD("tos.rtd",,$A$2,"."&amp;D$43&amp;D$1&amp;"C"&amp;$A76)="N/A",0,RTD("tos.rtd",,$A$2,"."&amp;D$43&amp;D$1&amp;"C"&amp;$A76))-IF(RTD("tos.rtd",,$A$2,"."&amp;D$43&amp;D$1&amp;"P"&amp;$A76)="N/A",0,RTD("tos.rtd",,$A$2,"."&amp;D$43&amp;D$1&amp;"P"&amp;$A76))</f>
        <v>0</v>
      </c>
      <c r="E76" s="91">
        <f ca="1">IF(RTD("tos.rtd",,$A$2,"."&amp;E$43&amp;E$1&amp;"C"&amp;$A76)="N/A",0,RTD("tos.rtd",,$A$2,"."&amp;E$43&amp;E$1&amp;"C"&amp;$A76))-IF(RTD("tos.rtd",,$A$2,"."&amp;E$43&amp;E$1&amp;"P"&amp;$A76)="N/A",0,RTD("tos.rtd",,$A$2,"."&amp;E$43&amp;E$1&amp;"P"&amp;$A76))</f>
        <v>0</v>
      </c>
      <c r="F76" s="91">
        <f ca="1">IF(RTD("tos.rtd",,$A$2,"."&amp;F$43&amp;F$1&amp;"C"&amp;$A76)="N/A",0,RTD("tos.rtd",,$A$2,"."&amp;F$43&amp;F$1&amp;"C"&amp;$A76))-IF(RTD("tos.rtd",,$A$2,"."&amp;F$43&amp;F$1&amp;"P"&amp;$A76)="N/A",0,RTD("tos.rtd",,$A$2,"."&amp;F$43&amp;F$1&amp;"P"&amp;$A76))</f>
        <v>0</v>
      </c>
      <c r="G76" s="91">
        <f ca="1">IF(RTD("tos.rtd",,$A$2,"."&amp;G$43&amp;G$1&amp;"C"&amp;$A76)="N/A",0,RTD("tos.rtd",,$A$2,"."&amp;G$43&amp;G$1&amp;"C"&amp;$A76))-IF(RTD("tos.rtd",,$A$2,"."&amp;G$43&amp;G$1&amp;"P"&amp;$A76)="N/A",0,RTD("tos.rtd",,$A$2,"."&amp;G$43&amp;G$1&amp;"P"&amp;$A76))</f>
        <v>0</v>
      </c>
      <c r="H76" s="91">
        <f ca="1">IF(RTD("tos.rtd",,$A$2,"."&amp;H$43&amp;H$1&amp;"C"&amp;$A76)="N/A",0,RTD("tos.rtd",,$A$2,"."&amp;H$43&amp;H$1&amp;"C"&amp;$A76))-IF(RTD("tos.rtd",,$A$2,"."&amp;H$43&amp;H$1&amp;"P"&amp;$A76)="N/A",0,RTD("tos.rtd",,$A$2,"."&amp;H$43&amp;H$1&amp;"P"&amp;$A76))</f>
        <v>-676</v>
      </c>
      <c r="I76" s="91">
        <f ca="1">IF(RTD("tos.rtd",,$A$2,"."&amp;I$43&amp;I$1&amp;"C"&amp;$A76)="N/A",0,RTD("tos.rtd",,$A$2,"."&amp;I$43&amp;I$1&amp;"C"&amp;$A76))-IF(RTD("tos.rtd",,$A$2,"."&amp;I$43&amp;I$1&amp;"P"&amp;$A76)="N/A",0,RTD("tos.rtd",,$A$2,"."&amp;I$43&amp;I$1&amp;"P"&amp;$A76))</f>
        <v>-129</v>
      </c>
      <c r="J76" s="91">
        <f ca="1">IF(RTD("tos.rtd",,$A$2,"."&amp;J$43&amp;J$1&amp;"C"&amp;$A76)="N/A",0,RTD("tos.rtd",,$A$2,"."&amp;J$43&amp;J$1&amp;"C"&amp;$A76))-IF(RTD("tos.rtd",,$A$2,"."&amp;J$43&amp;J$1&amp;"P"&amp;$A76)="N/A",0,RTD("tos.rtd",,$A$2,"."&amp;J$43&amp;J$1&amp;"P"&amp;$A76))</f>
        <v>0</v>
      </c>
      <c r="K76" s="91">
        <f ca="1">IF(RTD("tos.rtd",,$A$2,"."&amp;K$43&amp;K$1&amp;"C"&amp;$A76)="N/A",0,RTD("tos.rtd",,$A$2,"."&amp;K$43&amp;K$1&amp;"C"&amp;$A76))-IF(RTD("tos.rtd",,$A$2,"."&amp;K$43&amp;K$1&amp;"P"&amp;$A76)="N/A",0,RTD("tos.rtd",,$A$2,"."&amp;K$43&amp;K$1&amp;"P"&amp;$A76))</f>
        <v>0</v>
      </c>
      <c r="L76" s="91">
        <f ca="1">IF(RTD("tos.rtd",,$A$2,"."&amp;L$43&amp;L$1&amp;"C"&amp;$A76)="N/A",0,RTD("tos.rtd",,$A$2,"."&amp;L$43&amp;L$1&amp;"C"&amp;$A76))-IF(RTD("tos.rtd",,$A$2,"."&amp;L$43&amp;L$1&amp;"P"&amp;$A76)="N/A",0,RTD("tos.rtd",,$A$2,"."&amp;L$43&amp;L$1&amp;"P"&amp;$A76))</f>
        <v>-11</v>
      </c>
      <c r="M76" s="91">
        <f ca="1">IF(RTD("tos.rtd",,$A$2,"."&amp;M$43&amp;M$1&amp;"C"&amp;$A76)="N/A",0,RTD("tos.rtd",,$A$2,"."&amp;M$43&amp;M$1&amp;"C"&amp;$A76))-IF(RTD("tos.rtd",,$A$2,"."&amp;M$43&amp;M$1&amp;"P"&amp;$A76)="N/A",0,RTD("tos.rtd",,$A$2,"."&amp;M$43&amp;M$1&amp;"P"&amp;$A76))</f>
        <v>0</v>
      </c>
      <c r="N76" s="91">
        <f ca="1">IF(RTD("tos.rtd",,$A$2,"."&amp;N$43&amp;N$1&amp;"C"&amp;$A76)="N/A",0,RTD("tos.rtd",,$A$2,"."&amp;N$43&amp;N$1&amp;"C"&amp;$A76))-IF(RTD("tos.rtd",,$A$2,"."&amp;N$43&amp;N$1&amp;"P"&amp;$A76)="N/A",0,RTD("tos.rtd",,$A$2,"."&amp;N$43&amp;N$1&amp;"P"&amp;$A76))</f>
        <v>0</v>
      </c>
      <c r="O76" s="91">
        <f ca="1">IF(RTD("tos.rtd",,$A$2,"."&amp;O$43&amp;O$1&amp;"C"&amp;$A76)="N/A",0,RTD("tos.rtd",,$A$2,"."&amp;O$43&amp;O$1&amp;"C"&amp;$A76))-IF(RTD("tos.rtd",,$A$2,"."&amp;O$43&amp;O$1&amp;"P"&amp;$A76)="N/A",0,RTD("tos.rtd",,$A$2,"."&amp;O$43&amp;O$1&amp;"P"&amp;$A76))</f>
        <v>0</v>
      </c>
      <c r="P76" s="91">
        <f ca="1">IF(RTD("tos.rtd",,$A$2,"."&amp;P$43&amp;P$1&amp;"C"&amp;$A76)="N/A",0,RTD("tos.rtd",,$A$2,"."&amp;P$43&amp;P$1&amp;"C"&amp;$A76))-IF(RTD("tos.rtd",,$A$2,"."&amp;P$43&amp;P$1&amp;"P"&amp;$A76)="N/A",0,RTD("tos.rtd",,$A$2,"."&amp;P$43&amp;P$1&amp;"P"&amp;$A76))</f>
        <v>0</v>
      </c>
      <c r="Q76" s="91">
        <f ca="1">IF(RTD("tos.rtd",,$A$2,"."&amp;Q$43&amp;Q$1&amp;"C"&amp;$A76)="N/A",0,RTD("tos.rtd",,$A$2,"."&amp;Q$43&amp;Q$1&amp;"C"&amp;$A76))-IF(RTD("tos.rtd",,$A$2,"."&amp;Q$43&amp;Q$1&amp;"P"&amp;$A76)="N/A",0,RTD("tos.rtd",,$A$2,"."&amp;Q$43&amp;Q$1&amp;"P"&amp;$A76))</f>
        <v>0</v>
      </c>
      <c r="R76" s="91">
        <f ca="1">IF(RTD("tos.rtd",,$A$2,"."&amp;R$43&amp;R$1&amp;"C"&amp;$A76)="N/A",0,RTD("tos.rtd",,$A$2,"."&amp;R$43&amp;R$1&amp;"C"&amp;$A76))-IF(RTD("tos.rtd",,$A$2,"."&amp;R$43&amp;R$1&amp;"P"&amp;$A76)="N/A",0,RTD("tos.rtd",,$A$2,"."&amp;R$43&amp;R$1&amp;"P"&amp;$A76))</f>
        <v>0</v>
      </c>
      <c r="S76" s="91">
        <f ca="1">IF(RTD("tos.rtd",,$A$2,"."&amp;S$43&amp;S$1&amp;"C"&amp;$A76)="N/A",0,RTD("tos.rtd",,$A$2,"."&amp;S$43&amp;S$1&amp;"C"&amp;$A76))-IF(RTD("tos.rtd",,$A$2,"."&amp;S$43&amp;S$1&amp;"P"&amp;$A76)="N/A",0,RTD("tos.rtd",,$A$2,"."&amp;S$43&amp;S$1&amp;"P"&amp;$A76))</f>
        <v>0</v>
      </c>
      <c r="T76" s="91">
        <f ca="1">IF(RTD("tos.rtd",,$A$2,"."&amp;T$43&amp;T$1&amp;"C"&amp;$A76)="N/A",0,RTD("tos.rtd",,$A$2,"."&amp;T$43&amp;T$1&amp;"C"&amp;$A76))-IF(RTD("tos.rtd",,$A$2,"."&amp;T$43&amp;T$1&amp;"P"&amp;$A76)="N/A",0,RTD("tos.rtd",,$A$2,"."&amp;T$43&amp;T$1&amp;"P"&amp;$A76))</f>
        <v>0</v>
      </c>
      <c r="U76" s="91">
        <f ca="1">IF(RTD("tos.rtd",,$A$2,"."&amp;U$43&amp;U$1&amp;"C"&amp;$A76)="N/A",0,RTD("tos.rtd",,$A$2,"."&amp;U$43&amp;U$1&amp;"C"&amp;$A76))-IF(RTD("tos.rtd",,$A$2,"."&amp;U$43&amp;U$1&amp;"P"&amp;$A76)="N/A",0,RTD("tos.rtd",,$A$2,"."&amp;U$43&amp;U$1&amp;"P"&amp;$A76))</f>
        <v>0</v>
      </c>
      <c r="V76" s="91">
        <f ca="1">IF(RTD("tos.rtd",,$A$2,"."&amp;V$43&amp;V$1&amp;"C"&amp;$A76)="N/A",0,RTD("tos.rtd",,$A$2,"."&amp;V$43&amp;V$1&amp;"C"&amp;$A76))-IF(RTD("tos.rtd",,$A$2,"."&amp;V$43&amp;V$1&amp;"P"&amp;$A76)="N/A",0,RTD("tos.rtd",,$A$2,"."&amp;V$43&amp;V$1&amp;"P"&amp;$A76))</f>
        <v>0</v>
      </c>
      <c r="W76" s="91">
        <f ca="1">IF(RTD("tos.rtd",,$A$2,"."&amp;W$43&amp;W$1&amp;"C"&amp;$A76)="N/A",0,RTD("tos.rtd",,$A$2,"."&amp;W$43&amp;W$1&amp;"C"&amp;$A76))-IF(RTD("tos.rtd",,$A$2,"."&amp;W$43&amp;W$1&amp;"P"&amp;$A76)="N/A",0,RTD("tos.rtd",,$A$2,"."&amp;W$43&amp;W$1&amp;"P"&amp;$A76))</f>
        <v>0</v>
      </c>
      <c r="X76" s="91">
        <f ca="1">IF(RTD("tos.rtd",,$A$2,"."&amp;X$43&amp;X$1&amp;"C"&amp;$A76)="N/A",0,RTD("tos.rtd",,$A$2,"."&amp;X$43&amp;X$1&amp;"C"&amp;$A76))-IF(RTD("tos.rtd",,$A$2,"."&amp;X$43&amp;X$1&amp;"P"&amp;$A76)="N/A",0,RTD("tos.rtd",,$A$2,"."&amp;X$43&amp;X$1&amp;"P"&amp;$A76))</f>
        <v>-1</v>
      </c>
      <c r="Y76" s="98">
        <f t="shared" ca="1" si="7"/>
        <v>-817</v>
      </c>
    </row>
    <row r="77" spans="1:25" x14ac:dyDescent="0.25">
      <c r="A77" s="93">
        <f>+Hoja1!A76</f>
        <v>471</v>
      </c>
      <c r="B77" s="91">
        <f ca="1">IF(RTD("tos.rtd",,$A$2,"."&amp;B$43&amp;B$1&amp;"C"&amp;$A77)="N/A",0,RTD("tos.rtd",,$A$2,"."&amp;B$43&amp;B$1&amp;"C"&amp;$A77))-IF(RTD("tos.rtd",,$A$2,"."&amp;B$43&amp;B$1&amp;"P"&amp;$A77)="N/A",0,RTD("tos.rtd",,$A$2,"."&amp;B$43&amp;B$1&amp;"P"&amp;$A77))</f>
        <v>0</v>
      </c>
      <c r="C77" s="91">
        <f ca="1">IF(RTD("tos.rtd",,$A$2,"."&amp;C$43&amp;C$1&amp;"C"&amp;$A77)="N/A",0,RTD("tos.rtd",,$A$2,"."&amp;C$43&amp;C$1&amp;"C"&amp;$A77))-IF(RTD("tos.rtd",,$A$2,"."&amp;C$43&amp;C$1&amp;"P"&amp;$A77)="N/A",0,RTD("tos.rtd",,$A$2,"."&amp;C$43&amp;C$1&amp;"P"&amp;$A77))</f>
        <v>0</v>
      </c>
      <c r="D77" s="91">
        <f ca="1">IF(RTD("tos.rtd",,$A$2,"."&amp;D$43&amp;D$1&amp;"C"&amp;$A77)="N/A",0,RTD("tos.rtd",,$A$2,"."&amp;D$43&amp;D$1&amp;"C"&amp;$A77))-IF(RTD("tos.rtd",,$A$2,"."&amp;D$43&amp;D$1&amp;"P"&amp;$A77)="N/A",0,RTD("tos.rtd",,$A$2,"."&amp;D$43&amp;D$1&amp;"P"&amp;$A77))</f>
        <v>0</v>
      </c>
      <c r="E77" s="91">
        <f ca="1">IF(RTD("tos.rtd",,$A$2,"."&amp;E$43&amp;E$1&amp;"C"&amp;$A77)="N/A",0,RTD("tos.rtd",,$A$2,"."&amp;E$43&amp;E$1&amp;"C"&amp;$A77))-IF(RTD("tos.rtd",,$A$2,"."&amp;E$43&amp;E$1&amp;"P"&amp;$A77)="N/A",0,RTD("tos.rtd",,$A$2,"."&amp;E$43&amp;E$1&amp;"P"&amp;$A77))</f>
        <v>0</v>
      </c>
      <c r="F77" s="91">
        <f ca="1">IF(RTD("tos.rtd",,$A$2,"."&amp;F$43&amp;F$1&amp;"C"&amp;$A77)="N/A",0,RTD("tos.rtd",,$A$2,"."&amp;F$43&amp;F$1&amp;"C"&amp;$A77))-IF(RTD("tos.rtd",,$A$2,"."&amp;F$43&amp;F$1&amp;"P"&amp;$A77)="N/A",0,RTD("tos.rtd",,$A$2,"."&amp;F$43&amp;F$1&amp;"P"&amp;$A77))</f>
        <v>0</v>
      </c>
      <c r="G77" s="91">
        <f ca="1">IF(RTD("tos.rtd",,$A$2,"."&amp;G$43&amp;G$1&amp;"C"&amp;$A77)="N/A",0,RTD("tos.rtd",,$A$2,"."&amp;G$43&amp;G$1&amp;"C"&amp;$A77))-IF(RTD("tos.rtd",,$A$2,"."&amp;G$43&amp;G$1&amp;"P"&amp;$A77)="N/A",0,RTD("tos.rtd",,$A$2,"."&amp;G$43&amp;G$1&amp;"P"&amp;$A77))</f>
        <v>0</v>
      </c>
      <c r="H77" s="91">
        <f ca="1">IF(RTD("tos.rtd",,$A$2,"."&amp;H$43&amp;H$1&amp;"C"&amp;$A77)="N/A",0,RTD("tos.rtd",,$A$2,"."&amp;H$43&amp;H$1&amp;"C"&amp;$A77))-IF(RTD("tos.rtd",,$A$2,"."&amp;H$43&amp;H$1&amp;"P"&amp;$A77)="N/A",0,RTD("tos.rtd",,$A$2,"."&amp;H$43&amp;H$1&amp;"P"&amp;$A77))</f>
        <v>-86</v>
      </c>
      <c r="I77" s="91">
        <f ca="1">IF(RTD("tos.rtd",,$A$2,"."&amp;I$43&amp;I$1&amp;"C"&amp;$A77)="N/A",0,RTD("tos.rtd",,$A$2,"."&amp;I$43&amp;I$1&amp;"C"&amp;$A77))-IF(RTD("tos.rtd",,$A$2,"."&amp;I$43&amp;I$1&amp;"P"&amp;$A77)="N/A",0,RTD("tos.rtd",,$A$2,"."&amp;I$43&amp;I$1&amp;"P"&amp;$A77))</f>
        <v>-84</v>
      </c>
      <c r="J77" s="91">
        <f ca="1">IF(RTD("tos.rtd",,$A$2,"."&amp;J$43&amp;J$1&amp;"C"&amp;$A77)="N/A",0,RTD("tos.rtd",,$A$2,"."&amp;J$43&amp;J$1&amp;"C"&amp;$A77))-IF(RTD("tos.rtd",,$A$2,"."&amp;J$43&amp;J$1&amp;"P"&amp;$A77)="N/A",0,RTD("tos.rtd",,$A$2,"."&amp;J$43&amp;J$1&amp;"P"&amp;$A77))</f>
        <v>1</v>
      </c>
      <c r="K77" s="91">
        <f ca="1">IF(RTD("tos.rtd",,$A$2,"."&amp;K$43&amp;K$1&amp;"C"&amp;$A77)="N/A",0,RTD("tos.rtd",,$A$2,"."&amp;K$43&amp;K$1&amp;"C"&amp;$A77))-IF(RTD("tos.rtd",,$A$2,"."&amp;K$43&amp;K$1&amp;"P"&amp;$A77)="N/A",0,RTD("tos.rtd",,$A$2,"."&amp;K$43&amp;K$1&amp;"P"&amp;$A77))</f>
        <v>0</v>
      </c>
      <c r="L77" s="91">
        <f ca="1">IF(RTD("tos.rtd",,$A$2,"."&amp;L$43&amp;L$1&amp;"C"&amp;$A77)="N/A",0,RTD("tos.rtd",,$A$2,"."&amp;L$43&amp;L$1&amp;"C"&amp;$A77))-IF(RTD("tos.rtd",,$A$2,"."&amp;L$43&amp;L$1&amp;"P"&amp;$A77)="N/A",0,RTD("tos.rtd",,$A$2,"."&amp;L$43&amp;L$1&amp;"P"&amp;$A77))</f>
        <v>-8</v>
      </c>
      <c r="M77" s="91">
        <f ca="1">IF(RTD("tos.rtd",,$A$2,"."&amp;M$43&amp;M$1&amp;"C"&amp;$A77)="N/A",0,RTD("tos.rtd",,$A$2,"."&amp;M$43&amp;M$1&amp;"C"&amp;$A77))-IF(RTD("tos.rtd",,$A$2,"."&amp;M$43&amp;M$1&amp;"P"&amp;$A77)="N/A",0,RTD("tos.rtd",,$A$2,"."&amp;M$43&amp;M$1&amp;"P"&amp;$A77))</f>
        <v>0</v>
      </c>
      <c r="N77" s="91">
        <f ca="1">IF(RTD("tos.rtd",,$A$2,"."&amp;N$43&amp;N$1&amp;"C"&amp;$A77)="N/A",0,RTD("tos.rtd",,$A$2,"."&amp;N$43&amp;N$1&amp;"C"&amp;$A77))-IF(RTD("tos.rtd",,$A$2,"."&amp;N$43&amp;N$1&amp;"P"&amp;$A77)="N/A",0,RTD("tos.rtd",,$A$2,"."&amp;N$43&amp;N$1&amp;"P"&amp;$A77))</f>
        <v>0</v>
      </c>
      <c r="O77" s="91">
        <f ca="1">IF(RTD("tos.rtd",,$A$2,"."&amp;O$43&amp;O$1&amp;"C"&amp;$A77)="N/A",0,RTD("tos.rtd",,$A$2,"."&amp;O$43&amp;O$1&amp;"C"&amp;$A77))-IF(RTD("tos.rtd",,$A$2,"."&amp;O$43&amp;O$1&amp;"P"&amp;$A77)="N/A",0,RTD("tos.rtd",,$A$2,"."&amp;O$43&amp;O$1&amp;"P"&amp;$A77))</f>
        <v>0</v>
      </c>
      <c r="P77" s="91">
        <f ca="1">IF(RTD("tos.rtd",,$A$2,"."&amp;P$43&amp;P$1&amp;"C"&amp;$A77)="N/A",0,RTD("tos.rtd",,$A$2,"."&amp;P$43&amp;P$1&amp;"C"&amp;$A77))-IF(RTD("tos.rtd",,$A$2,"."&amp;P$43&amp;P$1&amp;"P"&amp;$A77)="N/A",0,RTD("tos.rtd",,$A$2,"."&amp;P$43&amp;P$1&amp;"P"&amp;$A77))</f>
        <v>0</v>
      </c>
      <c r="Q77" s="91">
        <f ca="1">IF(RTD("tos.rtd",,$A$2,"."&amp;Q$43&amp;Q$1&amp;"C"&amp;$A77)="N/A",0,RTD("tos.rtd",,$A$2,"."&amp;Q$43&amp;Q$1&amp;"C"&amp;$A77))-IF(RTD("tos.rtd",,$A$2,"."&amp;Q$43&amp;Q$1&amp;"P"&amp;$A77)="N/A",0,RTD("tos.rtd",,$A$2,"."&amp;Q$43&amp;Q$1&amp;"P"&amp;$A77))</f>
        <v>0</v>
      </c>
      <c r="R77" s="91">
        <f ca="1">IF(RTD("tos.rtd",,$A$2,"."&amp;R$43&amp;R$1&amp;"C"&amp;$A77)="N/A",0,RTD("tos.rtd",,$A$2,"."&amp;R$43&amp;R$1&amp;"C"&amp;$A77))-IF(RTD("tos.rtd",,$A$2,"."&amp;R$43&amp;R$1&amp;"P"&amp;$A77)="N/A",0,RTD("tos.rtd",,$A$2,"."&amp;R$43&amp;R$1&amp;"P"&amp;$A77))</f>
        <v>4</v>
      </c>
      <c r="S77" s="91">
        <f ca="1">IF(RTD("tos.rtd",,$A$2,"."&amp;S$43&amp;S$1&amp;"C"&amp;$A77)="N/A",0,RTD("tos.rtd",,$A$2,"."&amp;S$43&amp;S$1&amp;"C"&amp;$A77))-IF(RTD("tos.rtd",,$A$2,"."&amp;S$43&amp;S$1&amp;"P"&amp;$A77)="N/A",0,RTD("tos.rtd",,$A$2,"."&amp;S$43&amp;S$1&amp;"P"&amp;$A77))</f>
        <v>0</v>
      </c>
      <c r="T77" s="91">
        <f ca="1">IF(RTD("tos.rtd",,$A$2,"."&amp;T$43&amp;T$1&amp;"C"&amp;$A77)="N/A",0,RTD("tos.rtd",,$A$2,"."&amp;T$43&amp;T$1&amp;"C"&amp;$A77))-IF(RTD("tos.rtd",,$A$2,"."&amp;T$43&amp;T$1&amp;"P"&amp;$A77)="N/A",0,RTD("tos.rtd",,$A$2,"."&amp;T$43&amp;T$1&amp;"P"&amp;$A77))</f>
        <v>0</v>
      </c>
      <c r="U77" s="91">
        <f ca="1">IF(RTD("tos.rtd",,$A$2,"."&amp;U$43&amp;U$1&amp;"C"&amp;$A77)="N/A",0,RTD("tos.rtd",,$A$2,"."&amp;U$43&amp;U$1&amp;"C"&amp;$A77))-IF(RTD("tos.rtd",,$A$2,"."&amp;U$43&amp;U$1&amp;"P"&amp;$A77)="N/A",0,RTD("tos.rtd",,$A$2,"."&amp;U$43&amp;U$1&amp;"P"&amp;$A77))</f>
        <v>0</v>
      </c>
      <c r="V77" s="91">
        <f ca="1">IF(RTD("tos.rtd",,$A$2,"."&amp;V$43&amp;V$1&amp;"C"&amp;$A77)="N/A",0,RTD("tos.rtd",,$A$2,"."&amp;V$43&amp;V$1&amp;"C"&amp;$A77))-IF(RTD("tos.rtd",,$A$2,"."&amp;V$43&amp;V$1&amp;"P"&amp;$A77)="N/A",0,RTD("tos.rtd",,$A$2,"."&amp;V$43&amp;V$1&amp;"P"&amp;$A77))</f>
        <v>0</v>
      </c>
      <c r="W77" s="91">
        <f ca="1">IF(RTD("tos.rtd",,$A$2,"."&amp;W$43&amp;W$1&amp;"C"&amp;$A77)="N/A",0,RTD("tos.rtd",,$A$2,"."&amp;W$43&amp;W$1&amp;"C"&amp;$A77))-IF(RTD("tos.rtd",,$A$2,"."&amp;W$43&amp;W$1&amp;"P"&amp;$A77)="N/A",0,RTD("tos.rtd",,$A$2,"."&amp;W$43&amp;W$1&amp;"P"&amp;$A77))</f>
        <v>0</v>
      </c>
      <c r="X77" s="91">
        <f ca="1">IF(RTD("tos.rtd",,$A$2,"."&amp;X$43&amp;X$1&amp;"C"&amp;$A77)="N/A",0,RTD("tos.rtd",,$A$2,"."&amp;X$43&amp;X$1&amp;"C"&amp;$A77))-IF(RTD("tos.rtd",,$A$2,"."&amp;X$43&amp;X$1&amp;"P"&amp;$A77)="N/A",0,RTD("tos.rtd",,$A$2,"."&amp;X$43&amp;X$1&amp;"P"&amp;$A77))</f>
        <v>0</v>
      </c>
      <c r="Y77" s="98">
        <f t="shared" ca="1" si="7"/>
        <v>-173</v>
      </c>
    </row>
    <row r="78" spans="1:25" x14ac:dyDescent="0.25">
      <c r="A78" s="93">
        <f>+Hoja1!A77</f>
        <v>470</v>
      </c>
      <c r="B78" s="91">
        <f ca="1">IF(RTD("tos.rtd",,$A$2,"."&amp;B$43&amp;B$1&amp;"C"&amp;$A78)="N/A",0,RTD("tos.rtd",,$A$2,"."&amp;B$43&amp;B$1&amp;"C"&amp;$A78))-IF(RTD("tos.rtd",,$A$2,"."&amp;B$43&amp;B$1&amp;"P"&amp;$A78)="N/A",0,RTD("tos.rtd",,$A$2,"."&amp;B$43&amp;B$1&amp;"P"&amp;$A78))</f>
        <v>0</v>
      </c>
      <c r="C78" s="91">
        <f ca="1">IF(RTD("tos.rtd",,$A$2,"."&amp;C$43&amp;C$1&amp;"C"&amp;$A78)="N/A",0,RTD("tos.rtd",,$A$2,"."&amp;C$43&amp;C$1&amp;"C"&amp;$A78))-IF(RTD("tos.rtd",,$A$2,"."&amp;C$43&amp;C$1&amp;"P"&amp;$A78)="N/A",0,RTD("tos.rtd",,$A$2,"."&amp;C$43&amp;C$1&amp;"P"&amp;$A78))</f>
        <v>0</v>
      </c>
      <c r="D78" s="91">
        <f ca="1">IF(RTD("tos.rtd",,$A$2,"."&amp;D$43&amp;D$1&amp;"C"&amp;$A78)="N/A",0,RTD("tos.rtd",,$A$2,"."&amp;D$43&amp;D$1&amp;"C"&amp;$A78))-IF(RTD("tos.rtd",,$A$2,"."&amp;D$43&amp;D$1&amp;"P"&amp;$A78)="N/A",0,RTD("tos.rtd",,$A$2,"."&amp;D$43&amp;D$1&amp;"P"&amp;$A78))</f>
        <v>0</v>
      </c>
      <c r="E78" s="91">
        <f ca="1">IF(RTD("tos.rtd",,$A$2,"."&amp;E$43&amp;E$1&amp;"C"&amp;$A78)="N/A",0,RTD("tos.rtd",,$A$2,"."&amp;E$43&amp;E$1&amp;"C"&amp;$A78))-IF(RTD("tos.rtd",,$A$2,"."&amp;E$43&amp;E$1&amp;"P"&amp;$A78)="N/A",0,RTD("tos.rtd",,$A$2,"."&amp;E$43&amp;E$1&amp;"P"&amp;$A78))</f>
        <v>0</v>
      </c>
      <c r="F78" s="91">
        <f ca="1">IF(RTD("tos.rtd",,$A$2,"."&amp;F$43&amp;F$1&amp;"C"&amp;$A78)="N/A",0,RTD("tos.rtd",,$A$2,"."&amp;F$43&amp;F$1&amp;"C"&amp;$A78))-IF(RTD("tos.rtd",,$A$2,"."&amp;F$43&amp;F$1&amp;"P"&amp;$A78)="N/A",0,RTD("tos.rtd",,$A$2,"."&amp;F$43&amp;F$1&amp;"P"&amp;$A78))</f>
        <v>0</v>
      </c>
      <c r="G78" s="91">
        <f ca="1">IF(RTD("tos.rtd",,$A$2,"."&amp;G$43&amp;G$1&amp;"C"&amp;$A78)="N/A",0,RTD("tos.rtd",,$A$2,"."&amp;G$43&amp;G$1&amp;"C"&amp;$A78))-IF(RTD("tos.rtd",,$A$2,"."&amp;G$43&amp;G$1&amp;"P"&amp;$A78)="N/A",0,RTD("tos.rtd",,$A$2,"."&amp;G$43&amp;G$1&amp;"P"&amp;$A78))</f>
        <v>0</v>
      </c>
      <c r="H78" s="91">
        <f ca="1">IF(RTD("tos.rtd",,$A$2,"."&amp;H$43&amp;H$1&amp;"C"&amp;$A78)="N/A",0,RTD("tos.rtd",,$A$2,"."&amp;H$43&amp;H$1&amp;"C"&amp;$A78))-IF(RTD("tos.rtd",,$A$2,"."&amp;H$43&amp;H$1&amp;"P"&amp;$A78)="N/A",0,RTD("tos.rtd",,$A$2,"."&amp;H$43&amp;H$1&amp;"P"&amp;$A78))</f>
        <v>-1597</v>
      </c>
      <c r="I78" s="91">
        <f ca="1">IF(RTD("tos.rtd",,$A$2,"."&amp;I$43&amp;I$1&amp;"C"&amp;$A78)="N/A",0,RTD("tos.rtd",,$A$2,"."&amp;I$43&amp;I$1&amp;"C"&amp;$A78))-IF(RTD("tos.rtd",,$A$2,"."&amp;I$43&amp;I$1&amp;"P"&amp;$A78)="N/A",0,RTD("tos.rtd",,$A$2,"."&amp;I$43&amp;I$1&amp;"P"&amp;$A78))</f>
        <v>-2291</v>
      </c>
      <c r="J78" s="91">
        <f ca="1">IF(RTD("tos.rtd",,$A$2,"."&amp;J$43&amp;J$1&amp;"C"&amp;$A78)="N/A",0,RTD("tos.rtd",,$A$2,"."&amp;J$43&amp;J$1&amp;"C"&amp;$A78))-IF(RTD("tos.rtd",,$A$2,"."&amp;J$43&amp;J$1&amp;"P"&amp;$A78)="N/A",0,RTD("tos.rtd",,$A$2,"."&amp;J$43&amp;J$1&amp;"P"&amp;$A78))</f>
        <v>33</v>
      </c>
      <c r="K78" s="91">
        <f ca="1">IF(RTD("tos.rtd",,$A$2,"."&amp;K$43&amp;K$1&amp;"C"&amp;$A78)="N/A",0,RTD("tos.rtd",,$A$2,"."&amp;K$43&amp;K$1&amp;"C"&amp;$A78))-IF(RTD("tos.rtd",,$A$2,"."&amp;K$43&amp;K$1&amp;"P"&amp;$A78)="N/A",0,RTD("tos.rtd",,$A$2,"."&amp;K$43&amp;K$1&amp;"P"&amp;$A78))</f>
        <v>-4518</v>
      </c>
      <c r="L78" s="91">
        <f ca="1">IF(RTD("tos.rtd",,$A$2,"."&amp;L$43&amp;L$1&amp;"C"&amp;$A78)="N/A",0,RTD("tos.rtd",,$A$2,"."&amp;L$43&amp;L$1&amp;"C"&amp;$A78))-IF(RTD("tos.rtd",,$A$2,"."&amp;L$43&amp;L$1&amp;"P"&amp;$A78)="N/A",0,RTD("tos.rtd",,$A$2,"."&amp;L$43&amp;L$1&amp;"P"&amp;$A78))</f>
        <v>-126</v>
      </c>
      <c r="M78" s="91">
        <f ca="1">IF(RTD("tos.rtd",,$A$2,"."&amp;M$43&amp;M$1&amp;"C"&amp;$A78)="N/A",0,RTD("tos.rtd",,$A$2,"."&amp;M$43&amp;M$1&amp;"C"&amp;$A78))-IF(RTD("tos.rtd",,$A$2,"."&amp;M$43&amp;M$1&amp;"P"&amp;$A78)="N/A",0,RTD("tos.rtd",,$A$2,"."&amp;M$43&amp;M$1&amp;"P"&amp;$A78))</f>
        <v>-4794</v>
      </c>
      <c r="N78" s="91">
        <f ca="1">IF(RTD("tos.rtd",,$A$2,"."&amp;N$43&amp;N$1&amp;"C"&amp;$A78)="N/A",0,RTD("tos.rtd",,$A$2,"."&amp;N$43&amp;N$1&amp;"C"&amp;$A78))-IF(RTD("tos.rtd",,$A$2,"."&amp;N$43&amp;N$1&amp;"P"&amp;$A78)="N/A",0,RTD("tos.rtd",,$A$2,"."&amp;N$43&amp;N$1&amp;"P"&amp;$A78))</f>
        <v>-36</v>
      </c>
      <c r="O78" s="91">
        <f ca="1">IF(RTD("tos.rtd",,$A$2,"."&amp;O$43&amp;O$1&amp;"C"&amp;$A78)="N/A",0,RTD("tos.rtd",,$A$2,"."&amp;O$43&amp;O$1&amp;"C"&amp;$A78))-IF(RTD("tos.rtd",,$A$2,"."&amp;O$43&amp;O$1&amp;"P"&amp;$A78)="N/A",0,RTD("tos.rtd",,$A$2,"."&amp;O$43&amp;O$1&amp;"P"&amp;$A78))</f>
        <v>-486</v>
      </c>
      <c r="P78" s="91">
        <f ca="1">IF(RTD("tos.rtd",,$A$2,"."&amp;P$43&amp;P$1&amp;"C"&amp;$A78)="N/A",0,RTD("tos.rtd",,$A$2,"."&amp;P$43&amp;P$1&amp;"C"&amp;$A78))-IF(RTD("tos.rtd",,$A$2,"."&amp;P$43&amp;P$1&amp;"P"&amp;$A78)="N/A",0,RTD("tos.rtd",,$A$2,"."&amp;P$43&amp;P$1&amp;"P"&amp;$A78))</f>
        <v>-6</v>
      </c>
      <c r="Q78" s="91">
        <f ca="1">IF(RTD("tos.rtd",,$A$2,"."&amp;Q$43&amp;Q$1&amp;"C"&amp;$A78)="N/A",0,RTD("tos.rtd",,$A$2,"."&amp;Q$43&amp;Q$1&amp;"C"&amp;$A78))-IF(RTD("tos.rtd",,$A$2,"."&amp;Q$43&amp;Q$1&amp;"P"&amp;$A78)="N/A",0,RTD("tos.rtd",,$A$2,"."&amp;Q$43&amp;Q$1&amp;"P"&amp;$A78))</f>
        <v>-478</v>
      </c>
      <c r="R78" s="91">
        <f ca="1">IF(RTD("tos.rtd",,$A$2,"."&amp;R$43&amp;R$1&amp;"C"&amp;$A78)="N/A",0,RTD("tos.rtd",,$A$2,"."&amp;R$43&amp;R$1&amp;"C"&amp;$A78))-IF(RTD("tos.rtd",,$A$2,"."&amp;R$43&amp;R$1&amp;"P"&amp;$A78)="N/A",0,RTD("tos.rtd",,$A$2,"."&amp;R$43&amp;R$1&amp;"P"&amp;$A78))</f>
        <v>-15</v>
      </c>
      <c r="S78" s="91">
        <f ca="1">IF(RTD("tos.rtd",,$A$2,"."&amp;S$43&amp;S$1&amp;"C"&amp;$A78)="N/A",0,RTD("tos.rtd",,$A$2,"."&amp;S$43&amp;S$1&amp;"C"&amp;$A78))-IF(RTD("tos.rtd",,$A$2,"."&amp;S$43&amp;S$1&amp;"P"&amp;$A78)="N/A",0,RTD("tos.rtd",,$A$2,"."&amp;S$43&amp;S$1&amp;"P"&amp;$A78))</f>
        <v>0</v>
      </c>
      <c r="T78" s="91">
        <f ca="1">IF(RTD("tos.rtd",,$A$2,"."&amp;T$43&amp;T$1&amp;"C"&amp;$A78)="N/A",0,RTD("tos.rtd",,$A$2,"."&amp;T$43&amp;T$1&amp;"C"&amp;$A78))-IF(RTD("tos.rtd",,$A$2,"."&amp;T$43&amp;T$1&amp;"P"&amp;$A78)="N/A",0,RTD("tos.rtd",,$A$2,"."&amp;T$43&amp;T$1&amp;"P"&amp;$A78))</f>
        <v>0</v>
      </c>
      <c r="U78" s="91">
        <f ca="1">IF(RTD("tos.rtd",,$A$2,"."&amp;U$43&amp;U$1&amp;"C"&amp;$A78)="N/A",0,RTD("tos.rtd",,$A$2,"."&amp;U$43&amp;U$1&amp;"C"&amp;$A78))-IF(RTD("tos.rtd",,$A$2,"."&amp;U$43&amp;U$1&amp;"P"&amp;$A78)="N/A",0,RTD("tos.rtd",,$A$2,"."&amp;U$43&amp;U$1&amp;"P"&amp;$A78))</f>
        <v>-29</v>
      </c>
      <c r="V78" s="91">
        <f ca="1">IF(RTD("tos.rtd",,$A$2,"."&amp;V$43&amp;V$1&amp;"C"&amp;$A78)="N/A",0,RTD("tos.rtd",,$A$2,"."&amp;V$43&amp;V$1&amp;"C"&amp;$A78))-IF(RTD("tos.rtd",,$A$2,"."&amp;V$43&amp;V$1&amp;"P"&amp;$A78)="N/A",0,RTD("tos.rtd",,$A$2,"."&amp;V$43&amp;V$1&amp;"P"&amp;$A78))</f>
        <v>0</v>
      </c>
      <c r="W78" s="91">
        <f ca="1">IF(RTD("tos.rtd",,$A$2,"."&amp;W$43&amp;W$1&amp;"C"&amp;$A78)="N/A",0,RTD("tos.rtd",,$A$2,"."&amp;W$43&amp;W$1&amp;"C"&amp;$A78))-IF(RTD("tos.rtd",,$A$2,"."&amp;W$43&amp;W$1&amp;"P"&amp;$A78)="N/A",0,RTD("tos.rtd",,$A$2,"."&amp;W$43&amp;W$1&amp;"P"&amp;$A78))</f>
        <v>-7</v>
      </c>
      <c r="X78" s="91">
        <f ca="1">IF(RTD("tos.rtd",,$A$2,"."&amp;X$43&amp;X$1&amp;"C"&amp;$A78)="N/A",0,RTD("tos.rtd",,$A$2,"."&amp;X$43&amp;X$1&amp;"C"&amp;$A78))-IF(RTD("tos.rtd",,$A$2,"."&amp;X$43&amp;X$1&amp;"P"&amp;$A78)="N/A",0,RTD("tos.rtd",,$A$2,"."&amp;X$43&amp;X$1&amp;"P"&amp;$A78))</f>
        <v>0</v>
      </c>
      <c r="Y78" s="98">
        <f t="shared" ca="1" si="7"/>
        <v>-14350</v>
      </c>
    </row>
    <row r="79" spans="1:25" x14ac:dyDescent="0.25">
      <c r="A79" s="93">
        <f>+Hoja1!A78</f>
        <v>469</v>
      </c>
      <c r="B79" s="91">
        <f ca="1">IF(RTD("tos.rtd",,$A$2,"."&amp;B$43&amp;B$1&amp;"C"&amp;$A79)="N/A",0,RTD("tos.rtd",,$A$2,"."&amp;B$43&amp;B$1&amp;"C"&amp;$A79))-IF(RTD("tos.rtd",,$A$2,"."&amp;B$43&amp;B$1&amp;"P"&amp;$A79)="N/A",0,RTD("tos.rtd",,$A$2,"."&amp;B$43&amp;B$1&amp;"P"&amp;$A79))</f>
        <v>0</v>
      </c>
      <c r="C79" s="91">
        <f ca="1">IF(RTD("tos.rtd",,$A$2,"."&amp;C$43&amp;C$1&amp;"C"&amp;$A79)="N/A",0,RTD("tos.rtd",,$A$2,"."&amp;C$43&amp;C$1&amp;"C"&amp;$A79))-IF(RTD("tos.rtd",,$A$2,"."&amp;C$43&amp;C$1&amp;"P"&amp;$A79)="N/A",0,RTD("tos.rtd",,$A$2,"."&amp;C$43&amp;C$1&amp;"P"&amp;$A79))</f>
        <v>0</v>
      </c>
      <c r="D79" s="91">
        <f ca="1">IF(RTD("tos.rtd",,$A$2,"."&amp;D$43&amp;D$1&amp;"C"&amp;$A79)="N/A",0,RTD("tos.rtd",,$A$2,"."&amp;D$43&amp;D$1&amp;"C"&amp;$A79))-IF(RTD("tos.rtd",,$A$2,"."&amp;D$43&amp;D$1&amp;"P"&amp;$A79)="N/A",0,RTD("tos.rtd",,$A$2,"."&amp;D$43&amp;D$1&amp;"P"&amp;$A79))</f>
        <v>0</v>
      </c>
      <c r="E79" s="91">
        <f ca="1">IF(RTD("tos.rtd",,$A$2,"."&amp;E$43&amp;E$1&amp;"C"&amp;$A79)="N/A",0,RTD("tos.rtd",,$A$2,"."&amp;E$43&amp;E$1&amp;"C"&amp;$A79))-IF(RTD("tos.rtd",,$A$2,"."&amp;E$43&amp;E$1&amp;"P"&amp;$A79)="N/A",0,RTD("tos.rtd",,$A$2,"."&amp;E$43&amp;E$1&amp;"P"&amp;$A79))</f>
        <v>0</v>
      </c>
      <c r="F79" s="91">
        <f ca="1">IF(RTD("tos.rtd",,$A$2,"."&amp;F$43&amp;F$1&amp;"C"&amp;$A79)="N/A",0,RTD("tos.rtd",,$A$2,"."&amp;F$43&amp;F$1&amp;"C"&amp;$A79))-IF(RTD("tos.rtd",,$A$2,"."&amp;F$43&amp;F$1&amp;"P"&amp;$A79)="N/A",0,RTD("tos.rtd",,$A$2,"."&amp;F$43&amp;F$1&amp;"P"&amp;$A79))</f>
        <v>0</v>
      </c>
      <c r="G79" s="91">
        <f ca="1">IF(RTD("tos.rtd",,$A$2,"."&amp;G$43&amp;G$1&amp;"C"&amp;$A79)="N/A",0,RTD("tos.rtd",,$A$2,"."&amp;G$43&amp;G$1&amp;"C"&amp;$A79))-IF(RTD("tos.rtd",,$A$2,"."&amp;G$43&amp;G$1&amp;"P"&amp;$A79)="N/A",0,RTD("tos.rtd",,$A$2,"."&amp;G$43&amp;G$1&amp;"P"&amp;$A79))</f>
        <v>0</v>
      </c>
      <c r="H79" s="91">
        <f ca="1">IF(RTD("tos.rtd",,$A$2,"."&amp;H$43&amp;H$1&amp;"C"&amp;$A79)="N/A",0,RTD("tos.rtd",,$A$2,"."&amp;H$43&amp;H$1&amp;"C"&amp;$A79))-IF(RTD("tos.rtd",,$A$2,"."&amp;H$43&amp;H$1&amp;"P"&amp;$A79)="N/A",0,RTD("tos.rtd",,$A$2,"."&amp;H$43&amp;H$1&amp;"P"&amp;$A79))</f>
        <v>-54</v>
      </c>
      <c r="I79" s="91">
        <f ca="1">IF(RTD("tos.rtd",,$A$2,"."&amp;I$43&amp;I$1&amp;"C"&amp;$A79)="N/A",0,RTD("tos.rtd",,$A$2,"."&amp;I$43&amp;I$1&amp;"C"&amp;$A79))-IF(RTD("tos.rtd",,$A$2,"."&amp;I$43&amp;I$1&amp;"P"&amp;$A79)="N/A",0,RTD("tos.rtd",,$A$2,"."&amp;I$43&amp;I$1&amp;"P"&amp;$A79))</f>
        <v>-127</v>
      </c>
      <c r="J79" s="91">
        <f ca="1">IF(RTD("tos.rtd",,$A$2,"."&amp;J$43&amp;J$1&amp;"C"&amp;$A79)="N/A",0,RTD("tos.rtd",,$A$2,"."&amp;J$43&amp;J$1&amp;"C"&amp;$A79))-IF(RTD("tos.rtd",,$A$2,"."&amp;J$43&amp;J$1&amp;"P"&amp;$A79)="N/A",0,RTD("tos.rtd",,$A$2,"."&amp;J$43&amp;J$1&amp;"P"&amp;$A79))</f>
        <v>-9</v>
      </c>
      <c r="K79" s="91">
        <f ca="1">IF(RTD("tos.rtd",,$A$2,"."&amp;K$43&amp;K$1&amp;"C"&amp;$A79)="N/A",0,RTD("tos.rtd",,$A$2,"."&amp;K$43&amp;K$1&amp;"C"&amp;$A79))-IF(RTD("tos.rtd",,$A$2,"."&amp;K$43&amp;K$1&amp;"P"&amp;$A79)="N/A",0,RTD("tos.rtd",,$A$2,"."&amp;K$43&amp;K$1&amp;"P"&amp;$A79))</f>
        <v>0</v>
      </c>
      <c r="L79" s="91">
        <f ca="1">IF(RTD("tos.rtd",,$A$2,"."&amp;L$43&amp;L$1&amp;"C"&amp;$A79)="N/A",0,RTD("tos.rtd",,$A$2,"."&amp;L$43&amp;L$1&amp;"C"&amp;$A79))-IF(RTD("tos.rtd",,$A$2,"."&amp;L$43&amp;L$1&amp;"P"&amp;$A79)="N/A",0,RTD("tos.rtd",,$A$2,"."&amp;L$43&amp;L$1&amp;"P"&amp;$A79))</f>
        <v>-3</v>
      </c>
      <c r="M79" s="91">
        <f ca="1">IF(RTD("tos.rtd",,$A$2,"."&amp;M$43&amp;M$1&amp;"C"&amp;$A79)="N/A",0,RTD("tos.rtd",,$A$2,"."&amp;M$43&amp;M$1&amp;"C"&amp;$A79))-IF(RTD("tos.rtd",,$A$2,"."&amp;M$43&amp;M$1&amp;"P"&amp;$A79)="N/A",0,RTD("tos.rtd",,$A$2,"."&amp;M$43&amp;M$1&amp;"P"&amp;$A79))</f>
        <v>0</v>
      </c>
      <c r="N79" s="91">
        <f ca="1">IF(RTD("tos.rtd",,$A$2,"."&amp;N$43&amp;N$1&amp;"C"&amp;$A79)="N/A",0,RTD("tos.rtd",,$A$2,"."&amp;N$43&amp;N$1&amp;"C"&amp;$A79))-IF(RTD("tos.rtd",,$A$2,"."&amp;N$43&amp;N$1&amp;"P"&amp;$A79)="N/A",0,RTD("tos.rtd",,$A$2,"."&amp;N$43&amp;N$1&amp;"P"&amp;$A79))</f>
        <v>1</v>
      </c>
      <c r="O79" s="91">
        <f ca="1">IF(RTD("tos.rtd",,$A$2,"."&amp;O$43&amp;O$1&amp;"C"&amp;$A79)="N/A",0,RTD("tos.rtd",,$A$2,"."&amp;O$43&amp;O$1&amp;"C"&amp;$A79))-IF(RTD("tos.rtd",,$A$2,"."&amp;O$43&amp;O$1&amp;"P"&amp;$A79)="N/A",0,RTD("tos.rtd",,$A$2,"."&amp;O$43&amp;O$1&amp;"P"&amp;$A79))</f>
        <v>0</v>
      </c>
      <c r="P79" s="91">
        <f ca="1">IF(RTD("tos.rtd",,$A$2,"."&amp;P$43&amp;P$1&amp;"C"&amp;$A79)="N/A",0,RTD("tos.rtd",,$A$2,"."&amp;P$43&amp;P$1&amp;"C"&amp;$A79))-IF(RTD("tos.rtd",,$A$2,"."&amp;P$43&amp;P$1&amp;"P"&amp;$A79)="N/A",0,RTD("tos.rtd",,$A$2,"."&amp;P$43&amp;P$1&amp;"P"&amp;$A79))</f>
        <v>0</v>
      </c>
      <c r="Q79" s="91">
        <f ca="1">IF(RTD("tos.rtd",,$A$2,"."&amp;Q$43&amp;Q$1&amp;"C"&amp;$A79)="N/A",0,RTD("tos.rtd",,$A$2,"."&amp;Q$43&amp;Q$1&amp;"C"&amp;$A79))-IF(RTD("tos.rtd",,$A$2,"."&amp;Q$43&amp;Q$1&amp;"P"&amp;$A79)="N/A",0,RTD("tos.rtd",,$A$2,"."&amp;Q$43&amp;Q$1&amp;"P"&amp;$A79))</f>
        <v>0</v>
      </c>
      <c r="R79" s="91">
        <f ca="1">IF(RTD("tos.rtd",,$A$2,"."&amp;R$43&amp;R$1&amp;"C"&amp;$A79)="N/A",0,RTD("tos.rtd",,$A$2,"."&amp;R$43&amp;R$1&amp;"C"&amp;$A79))-IF(RTD("tos.rtd",,$A$2,"."&amp;R$43&amp;R$1&amp;"P"&amp;$A79)="N/A",0,RTD("tos.rtd",,$A$2,"."&amp;R$43&amp;R$1&amp;"P"&amp;$A79))</f>
        <v>0</v>
      </c>
      <c r="S79" s="91">
        <f ca="1">IF(RTD("tos.rtd",,$A$2,"."&amp;S$43&amp;S$1&amp;"C"&amp;$A79)="N/A",0,RTD("tos.rtd",,$A$2,"."&amp;S$43&amp;S$1&amp;"C"&amp;$A79))-IF(RTD("tos.rtd",,$A$2,"."&amp;S$43&amp;S$1&amp;"P"&amp;$A79)="N/A",0,RTD("tos.rtd",,$A$2,"."&amp;S$43&amp;S$1&amp;"P"&amp;$A79))</f>
        <v>0</v>
      </c>
      <c r="T79" s="91">
        <f ca="1">IF(RTD("tos.rtd",,$A$2,"."&amp;T$43&amp;T$1&amp;"C"&amp;$A79)="N/A",0,RTD("tos.rtd",,$A$2,"."&amp;T$43&amp;T$1&amp;"C"&amp;$A79))-IF(RTD("tos.rtd",,$A$2,"."&amp;T$43&amp;T$1&amp;"P"&amp;$A79)="N/A",0,RTD("tos.rtd",,$A$2,"."&amp;T$43&amp;T$1&amp;"P"&amp;$A79))</f>
        <v>0</v>
      </c>
      <c r="U79" s="91">
        <f ca="1">IF(RTD("tos.rtd",,$A$2,"."&amp;U$43&amp;U$1&amp;"C"&amp;$A79)="N/A",0,RTD("tos.rtd",,$A$2,"."&amp;U$43&amp;U$1&amp;"C"&amp;$A79))-IF(RTD("tos.rtd",,$A$2,"."&amp;U$43&amp;U$1&amp;"P"&amp;$A79)="N/A",0,RTD("tos.rtd",,$A$2,"."&amp;U$43&amp;U$1&amp;"P"&amp;$A79))</f>
        <v>0</v>
      </c>
      <c r="V79" s="91">
        <f ca="1">IF(RTD("tos.rtd",,$A$2,"."&amp;V$43&amp;V$1&amp;"C"&amp;$A79)="N/A",0,RTD("tos.rtd",,$A$2,"."&amp;V$43&amp;V$1&amp;"C"&amp;$A79))-IF(RTD("tos.rtd",,$A$2,"."&amp;V$43&amp;V$1&amp;"P"&amp;$A79)="N/A",0,RTD("tos.rtd",,$A$2,"."&amp;V$43&amp;V$1&amp;"P"&amp;$A79))</f>
        <v>0</v>
      </c>
      <c r="W79" s="91">
        <f ca="1">IF(RTD("tos.rtd",,$A$2,"."&amp;W$43&amp;W$1&amp;"C"&amp;$A79)="N/A",0,RTD("tos.rtd",,$A$2,"."&amp;W$43&amp;W$1&amp;"C"&amp;$A79))-IF(RTD("tos.rtd",,$A$2,"."&amp;W$43&amp;W$1&amp;"P"&amp;$A79)="N/A",0,RTD("tos.rtd",,$A$2,"."&amp;W$43&amp;W$1&amp;"P"&amp;$A79))</f>
        <v>0</v>
      </c>
      <c r="X79" s="91">
        <f ca="1">IF(RTD("tos.rtd",,$A$2,"."&amp;X$43&amp;X$1&amp;"C"&amp;$A79)="N/A",0,RTD("tos.rtd",,$A$2,"."&amp;X$43&amp;X$1&amp;"C"&amp;$A79))-IF(RTD("tos.rtd",,$A$2,"."&amp;X$43&amp;X$1&amp;"P"&amp;$A79)="N/A",0,RTD("tos.rtd",,$A$2,"."&amp;X$43&amp;X$1&amp;"P"&amp;$A79))</f>
        <v>-2</v>
      </c>
      <c r="Y79" s="98">
        <f t="shared" ca="1" si="7"/>
        <v>-194</v>
      </c>
    </row>
    <row r="80" spans="1:25" x14ac:dyDescent="0.25">
      <c r="A80" s="93">
        <f>+Hoja1!A79</f>
        <v>468</v>
      </c>
      <c r="B80" s="91">
        <f ca="1">IF(RTD("tos.rtd",,$A$2,"."&amp;B$43&amp;B$1&amp;"C"&amp;$A80)="N/A",0,RTD("tos.rtd",,$A$2,"."&amp;B$43&amp;B$1&amp;"C"&amp;$A80))-IF(RTD("tos.rtd",,$A$2,"."&amp;B$43&amp;B$1&amp;"P"&amp;$A80)="N/A",0,RTD("tos.rtd",,$A$2,"."&amp;B$43&amp;B$1&amp;"P"&amp;$A80))</f>
        <v>0</v>
      </c>
      <c r="C80" s="91">
        <f ca="1">IF(RTD("tos.rtd",,$A$2,"."&amp;C$43&amp;C$1&amp;"C"&amp;$A80)="N/A",0,RTD("tos.rtd",,$A$2,"."&amp;C$43&amp;C$1&amp;"C"&amp;$A80))-IF(RTD("tos.rtd",,$A$2,"."&amp;C$43&amp;C$1&amp;"P"&amp;$A80)="N/A",0,RTD("tos.rtd",,$A$2,"."&amp;C$43&amp;C$1&amp;"P"&amp;$A80))</f>
        <v>0</v>
      </c>
      <c r="D80" s="91">
        <f ca="1">IF(RTD("tos.rtd",,$A$2,"."&amp;D$43&amp;D$1&amp;"C"&amp;$A80)="N/A",0,RTD("tos.rtd",,$A$2,"."&amp;D$43&amp;D$1&amp;"C"&amp;$A80))-IF(RTD("tos.rtd",,$A$2,"."&amp;D$43&amp;D$1&amp;"P"&amp;$A80)="N/A",0,RTD("tos.rtd",,$A$2,"."&amp;D$43&amp;D$1&amp;"P"&amp;$A80))</f>
        <v>0</v>
      </c>
      <c r="E80" s="91">
        <f ca="1">IF(RTD("tos.rtd",,$A$2,"."&amp;E$43&amp;E$1&amp;"C"&amp;$A80)="N/A",0,RTD("tos.rtd",,$A$2,"."&amp;E$43&amp;E$1&amp;"C"&amp;$A80))-IF(RTD("tos.rtd",,$A$2,"."&amp;E$43&amp;E$1&amp;"P"&amp;$A80)="N/A",0,RTD("tos.rtd",,$A$2,"."&amp;E$43&amp;E$1&amp;"P"&amp;$A80))</f>
        <v>0</v>
      </c>
      <c r="F80" s="91">
        <f ca="1">IF(RTD("tos.rtd",,$A$2,"."&amp;F$43&amp;F$1&amp;"C"&amp;$A80)="N/A",0,RTD("tos.rtd",,$A$2,"."&amp;F$43&amp;F$1&amp;"C"&amp;$A80))-IF(RTD("tos.rtd",,$A$2,"."&amp;F$43&amp;F$1&amp;"P"&amp;$A80)="N/A",0,RTD("tos.rtd",,$A$2,"."&amp;F$43&amp;F$1&amp;"P"&amp;$A80))</f>
        <v>0</v>
      </c>
      <c r="G80" s="91">
        <f ca="1">IF(RTD("tos.rtd",,$A$2,"."&amp;G$43&amp;G$1&amp;"C"&amp;$A80)="N/A",0,RTD("tos.rtd",,$A$2,"."&amp;G$43&amp;G$1&amp;"C"&amp;$A80))-IF(RTD("tos.rtd",,$A$2,"."&amp;G$43&amp;G$1&amp;"P"&amp;$A80)="N/A",0,RTD("tos.rtd",,$A$2,"."&amp;G$43&amp;G$1&amp;"P"&amp;$A80))</f>
        <v>0</v>
      </c>
      <c r="H80" s="91">
        <f ca="1">IF(RTD("tos.rtd",,$A$2,"."&amp;H$43&amp;H$1&amp;"C"&amp;$A80)="N/A",0,RTD("tos.rtd",,$A$2,"."&amp;H$43&amp;H$1&amp;"C"&amp;$A80))-IF(RTD("tos.rtd",,$A$2,"."&amp;H$43&amp;H$1&amp;"P"&amp;$A80)="N/A",0,RTD("tos.rtd",,$A$2,"."&amp;H$43&amp;H$1&amp;"P"&amp;$A80))</f>
        <v>-319</v>
      </c>
      <c r="I80" s="91">
        <f ca="1">IF(RTD("tos.rtd",,$A$2,"."&amp;I$43&amp;I$1&amp;"C"&amp;$A80)="N/A",0,RTD("tos.rtd",,$A$2,"."&amp;I$43&amp;I$1&amp;"C"&amp;$A80))-IF(RTD("tos.rtd",,$A$2,"."&amp;I$43&amp;I$1&amp;"P"&amp;$A80)="N/A",0,RTD("tos.rtd",,$A$2,"."&amp;I$43&amp;I$1&amp;"P"&amp;$A80))</f>
        <v>-42</v>
      </c>
      <c r="J80" s="91">
        <f ca="1">IF(RTD("tos.rtd",,$A$2,"."&amp;J$43&amp;J$1&amp;"C"&amp;$A80)="N/A",0,RTD("tos.rtd",,$A$2,"."&amp;J$43&amp;J$1&amp;"C"&amp;$A80))-IF(RTD("tos.rtd",,$A$2,"."&amp;J$43&amp;J$1&amp;"P"&amp;$A80)="N/A",0,RTD("tos.rtd",,$A$2,"."&amp;J$43&amp;J$1&amp;"P"&amp;$A80))</f>
        <v>-8</v>
      </c>
      <c r="K80" s="91">
        <f ca="1">IF(RTD("tos.rtd",,$A$2,"."&amp;K$43&amp;K$1&amp;"C"&amp;$A80)="N/A",0,RTD("tos.rtd",,$A$2,"."&amp;K$43&amp;K$1&amp;"C"&amp;$A80))-IF(RTD("tos.rtd",,$A$2,"."&amp;K$43&amp;K$1&amp;"P"&amp;$A80)="N/A",0,RTD("tos.rtd",,$A$2,"."&amp;K$43&amp;K$1&amp;"P"&amp;$A80))</f>
        <v>0</v>
      </c>
      <c r="L80" s="91">
        <f ca="1">IF(RTD("tos.rtd",,$A$2,"."&amp;L$43&amp;L$1&amp;"C"&amp;$A80)="N/A",0,RTD("tos.rtd",,$A$2,"."&amp;L$43&amp;L$1&amp;"C"&amp;$A80))-IF(RTD("tos.rtd",,$A$2,"."&amp;L$43&amp;L$1&amp;"P"&amp;$A80)="N/A",0,RTD("tos.rtd",,$A$2,"."&amp;L$43&amp;L$1&amp;"P"&amp;$A80))</f>
        <v>2</v>
      </c>
      <c r="M80" s="91">
        <f ca="1">IF(RTD("tos.rtd",,$A$2,"."&amp;M$43&amp;M$1&amp;"C"&amp;$A80)="N/A",0,RTD("tos.rtd",,$A$2,"."&amp;M$43&amp;M$1&amp;"C"&amp;$A80))-IF(RTD("tos.rtd",,$A$2,"."&amp;M$43&amp;M$1&amp;"P"&amp;$A80)="N/A",0,RTD("tos.rtd",,$A$2,"."&amp;M$43&amp;M$1&amp;"P"&amp;$A80))</f>
        <v>0</v>
      </c>
      <c r="N80" s="91">
        <f ca="1">IF(RTD("tos.rtd",,$A$2,"."&amp;N$43&amp;N$1&amp;"C"&amp;$A80)="N/A",0,RTD("tos.rtd",,$A$2,"."&amp;N$43&amp;N$1&amp;"C"&amp;$A80))-IF(RTD("tos.rtd",,$A$2,"."&amp;N$43&amp;N$1&amp;"P"&amp;$A80)="N/A",0,RTD("tos.rtd",,$A$2,"."&amp;N$43&amp;N$1&amp;"P"&amp;$A80))</f>
        <v>-12</v>
      </c>
      <c r="O80" s="91">
        <f ca="1">IF(RTD("tos.rtd",,$A$2,"."&amp;O$43&amp;O$1&amp;"C"&amp;$A80)="N/A",0,RTD("tos.rtd",,$A$2,"."&amp;O$43&amp;O$1&amp;"C"&amp;$A80))-IF(RTD("tos.rtd",,$A$2,"."&amp;O$43&amp;O$1&amp;"P"&amp;$A80)="N/A",0,RTD("tos.rtd",,$A$2,"."&amp;O$43&amp;O$1&amp;"P"&amp;$A80))</f>
        <v>0</v>
      </c>
      <c r="P80" s="91">
        <f ca="1">IF(RTD("tos.rtd",,$A$2,"."&amp;P$43&amp;P$1&amp;"C"&amp;$A80)="N/A",0,RTD("tos.rtd",,$A$2,"."&amp;P$43&amp;P$1&amp;"C"&amp;$A80))-IF(RTD("tos.rtd",,$A$2,"."&amp;P$43&amp;P$1&amp;"P"&amp;$A80)="N/A",0,RTD("tos.rtd",,$A$2,"."&amp;P$43&amp;P$1&amp;"P"&amp;$A80))</f>
        <v>0</v>
      </c>
      <c r="Q80" s="91">
        <f ca="1">IF(RTD("tos.rtd",,$A$2,"."&amp;Q$43&amp;Q$1&amp;"C"&amp;$A80)="N/A",0,RTD("tos.rtd",,$A$2,"."&amp;Q$43&amp;Q$1&amp;"C"&amp;$A80))-IF(RTD("tos.rtd",,$A$2,"."&amp;Q$43&amp;Q$1&amp;"P"&amp;$A80)="N/A",0,RTD("tos.rtd",,$A$2,"."&amp;Q$43&amp;Q$1&amp;"P"&amp;$A80))</f>
        <v>0</v>
      </c>
      <c r="R80" s="91">
        <f ca="1">IF(RTD("tos.rtd",,$A$2,"."&amp;R$43&amp;R$1&amp;"C"&amp;$A80)="N/A",0,RTD("tos.rtd",,$A$2,"."&amp;R$43&amp;R$1&amp;"C"&amp;$A80))-IF(RTD("tos.rtd",,$A$2,"."&amp;R$43&amp;R$1&amp;"P"&amp;$A80)="N/A",0,RTD("tos.rtd",,$A$2,"."&amp;R$43&amp;R$1&amp;"P"&amp;$A80))</f>
        <v>0</v>
      </c>
      <c r="S80" s="91">
        <f ca="1">IF(RTD("tos.rtd",,$A$2,"."&amp;S$43&amp;S$1&amp;"C"&amp;$A80)="N/A",0,RTD("tos.rtd",,$A$2,"."&amp;S$43&amp;S$1&amp;"C"&amp;$A80))-IF(RTD("tos.rtd",,$A$2,"."&amp;S$43&amp;S$1&amp;"P"&amp;$A80)="N/A",0,RTD("tos.rtd",,$A$2,"."&amp;S$43&amp;S$1&amp;"P"&amp;$A80))</f>
        <v>0</v>
      </c>
      <c r="T80" s="91">
        <f ca="1">IF(RTD("tos.rtd",,$A$2,"."&amp;T$43&amp;T$1&amp;"C"&amp;$A80)="N/A",0,RTD("tos.rtd",,$A$2,"."&amp;T$43&amp;T$1&amp;"C"&amp;$A80))-IF(RTD("tos.rtd",,$A$2,"."&amp;T$43&amp;T$1&amp;"P"&amp;$A80)="N/A",0,RTD("tos.rtd",,$A$2,"."&amp;T$43&amp;T$1&amp;"P"&amp;$A80))</f>
        <v>0</v>
      </c>
      <c r="U80" s="91">
        <f ca="1">IF(RTD("tos.rtd",,$A$2,"."&amp;U$43&amp;U$1&amp;"C"&amp;$A80)="N/A",0,RTD("tos.rtd",,$A$2,"."&amp;U$43&amp;U$1&amp;"C"&amp;$A80))-IF(RTD("tos.rtd",,$A$2,"."&amp;U$43&amp;U$1&amp;"P"&amp;$A80)="N/A",0,RTD("tos.rtd",,$A$2,"."&amp;U$43&amp;U$1&amp;"P"&amp;$A80))</f>
        <v>0</v>
      </c>
      <c r="V80" s="91">
        <f ca="1">IF(RTD("tos.rtd",,$A$2,"."&amp;V$43&amp;V$1&amp;"C"&amp;$A80)="N/A",0,RTD("tos.rtd",,$A$2,"."&amp;V$43&amp;V$1&amp;"C"&amp;$A80))-IF(RTD("tos.rtd",,$A$2,"."&amp;V$43&amp;V$1&amp;"P"&amp;$A80)="N/A",0,RTD("tos.rtd",,$A$2,"."&amp;V$43&amp;V$1&amp;"P"&amp;$A80))</f>
        <v>0</v>
      </c>
      <c r="W80" s="91">
        <f ca="1">IF(RTD("tos.rtd",,$A$2,"."&amp;W$43&amp;W$1&amp;"C"&amp;$A80)="N/A",0,RTD("tos.rtd",,$A$2,"."&amp;W$43&amp;W$1&amp;"C"&amp;$A80))-IF(RTD("tos.rtd",,$A$2,"."&amp;W$43&amp;W$1&amp;"P"&amp;$A80)="N/A",0,RTD("tos.rtd",,$A$2,"."&amp;W$43&amp;W$1&amp;"P"&amp;$A80))</f>
        <v>0</v>
      </c>
      <c r="X80" s="91">
        <f ca="1">IF(RTD("tos.rtd",,$A$2,"."&amp;X$43&amp;X$1&amp;"C"&amp;$A80)="N/A",0,RTD("tos.rtd",,$A$2,"."&amp;X$43&amp;X$1&amp;"C"&amp;$A80))-IF(RTD("tos.rtd",,$A$2,"."&amp;X$43&amp;X$1&amp;"P"&amp;$A80)="N/A",0,RTD("tos.rtd",,$A$2,"."&amp;X$43&amp;X$1&amp;"P"&amp;$A80))</f>
        <v>0</v>
      </c>
      <c r="Y80" s="98">
        <f t="shared" ca="1" si="7"/>
        <v>-379</v>
      </c>
    </row>
    <row r="81" spans="1:25" x14ac:dyDescent="0.25">
      <c r="A81" s="93">
        <f>+Hoja1!A80</f>
        <v>0</v>
      </c>
    </row>
    <row r="82" spans="1:25" x14ac:dyDescent="0.25">
      <c r="A82" s="93">
        <f>+Hoja1!A81</f>
        <v>10</v>
      </c>
      <c r="B82" s="92" t="str">
        <f ca="1">+B42</f>
        <v/>
      </c>
      <c r="C82" s="92" t="str">
        <f t="shared" ref="C82:X82" ca="1" si="8">+C42</f>
        <v/>
      </c>
      <c r="D82" s="92" t="str">
        <f t="shared" ca="1" si="8"/>
        <v/>
      </c>
      <c r="E82" s="92" t="str">
        <f t="shared" ca="1" si="8"/>
        <v/>
      </c>
      <c r="F82" s="92" t="str">
        <f t="shared" ca="1" si="8"/>
        <v/>
      </c>
      <c r="G82" s="92" t="str">
        <f t="shared" ca="1" si="8"/>
        <v/>
      </c>
      <c r="H82" s="92" t="str">
        <f t="shared" ca="1" si="8"/>
        <v>250523</v>
      </c>
      <c r="I82" s="92" t="str">
        <f t="shared" ca="1" si="8"/>
        <v>250530</v>
      </c>
      <c r="J82" s="92" t="str">
        <f t="shared" ca="1" si="8"/>
        <v>250606</v>
      </c>
      <c r="K82" s="92" t="str">
        <f t="shared" ca="1" si="8"/>
        <v>250620</v>
      </c>
      <c r="L82" s="92" t="str">
        <f t="shared" ca="1" si="8"/>
        <v>250630</v>
      </c>
      <c r="M82" s="92" t="str">
        <f t="shared" ca="1" si="8"/>
        <v>250718</v>
      </c>
      <c r="N82" s="92" t="str">
        <f t="shared" ca="1" si="8"/>
        <v>250731</v>
      </c>
      <c r="O82" s="92" t="str">
        <f t="shared" ca="1" si="8"/>
        <v>250815</v>
      </c>
      <c r="P82" s="92" t="str">
        <f t="shared" ca="1" si="8"/>
        <v>250829</v>
      </c>
      <c r="Q82" s="92" t="str">
        <f t="shared" ca="1" si="8"/>
        <v>250919</v>
      </c>
      <c r="R82" s="92" t="str">
        <f t="shared" ca="1" si="8"/>
        <v>250930</v>
      </c>
      <c r="S82" s="92" t="str">
        <f t="shared" ca="1" si="8"/>
        <v>251017</v>
      </c>
      <c r="T82" s="92" t="str">
        <f t="shared" ca="1" si="8"/>
        <v>251031</v>
      </c>
      <c r="U82" s="92" t="str">
        <f t="shared" ca="1" si="8"/>
        <v>251121</v>
      </c>
      <c r="V82" s="92" t="str">
        <f t="shared" ca="1" si="8"/>
        <v>251128</v>
      </c>
      <c r="W82" s="92" t="str">
        <f t="shared" ca="1" si="8"/>
        <v>251219</v>
      </c>
      <c r="X82" s="92" t="str">
        <f t="shared" ca="1" si="8"/>
        <v>251231</v>
      </c>
    </row>
    <row r="83" spans="1:25" x14ac:dyDescent="0.25">
      <c r="A83" s="93" t="str">
        <f>+Hoja1!A82</f>
        <v>SPX</v>
      </c>
      <c r="B83" s="92" t="s">
        <v>10</v>
      </c>
      <c r="C83" s="92" t="s">
        <v>10</v>
      </c>
      <c r="D83" s="92" t="s">
        <v>10</v>
      </c>
      <c r="E83" s="92" t="s">
        <v>10</v>
      </c>
      <c r="F83" s="92" t="s">
        <v>10</v>
      </c>
      <c r="G83" s="92" t="s">
        <v>10</v>
      </c>
      <c r="H83" s="92" t="s">
        <v>9</v>
      </c>
      <c r="I83" s="92" t="s">
        <v>10</v>
      </c>
      <c r="J83" s="92" t="s">
        <v>10</v>
      </c>
      <c r="K83" s="92" t="s">
        <v>9</v>
      </c>
      <c r="L83" s="92" t="s">
        <v>10</v>
      </c>
      <c r="M83" s="92" t="s">
        <v>9</v>
      </c>
      <c r="N83" s="92" t="s">
        <v>10</v>
      </c>
      <c r="O83" s="92" t="s">
        <v>9</v>
      </c>
      <c r="P83" s="92" t="s">
        <v>10</v>
      </c>
      <c r="Q83" s="92" t="s">
        <v>9</v>
      </c>
      <c r="R83" s="92" t="s">
        <v>10</v>
      </c>
      <c r="S83" s="92" t="s">
        <v>9</v>
      </c>
      <c r="T83" s="92" t="s">
        <v>10</v>
      </c>
      <c r="U83" s="92" t="s">
        <v>9</v>
      </c>
      <c r="V83" s="92" t="s">
        <v>10</v>
      </c>
      <c r="W83" s="92" t="s">
        <v>9</v>
      </c>
      <c r="X83" s="92" t="s">
        <v>10</v>
      </c>
    </row>
    <row r="84" spans="1:25" x14ac:dyDescent="0.25">
      <c r="A84" s="93" t="str">
        <f>+Hoja1!A83</f>
        <v>SPX</v>
      </c>
      <c r="B84" s="94">
        <f>+B44</f>
        <v>45782</v>
      </c>
      <c r="C84" s="94">
        <f t="shared" ref="C84:X84" si="9">+C44</f>
        <v>45783</v>
      </c>
      <c r="D84" s="94">
        <f t="shared" si="9"/>
        <v>45784</v>
      </c>
      <c r="E84" s="94">
        <f t="shared" si="9"/>
        <v>45785</v>
      </c>
      <c r="F84" s="94">
        <f t="shared" si="9"/>
        <v>45786</v>
      </c>
      <c r="G84" s="94">
        <f t="shared" si="9"/>
        <v>45793</v>
      </c>
      <c r="H84" s="94">
        <f t="shared" si="9"/>
        <v>45800</v>
      </c>
      <c r="I84" s="94">
        <f t="shared" si="9"/>
        <v>45807</v>
      </c>
      <c r="J84" s="94">
        <f t="shared" si="9"/>
        <v>45814</v>
      </c>
      <c r="K84" s="94">
        <f t="shared" si="9"/>
        <v>45828</v>
      </c>
      <c r="L84" s="94">
        <f t="shared" si="9"/>
        <v>45838</v>
      </c>
      <c r="M84" s="94">
        <f t="shared" si="9"/>
        <v>45856</v>
      </c>
      <c r="N84" s="94">
        <f t="shared" si="9"/>
        <v>45869</v>
      </c>
      <c r="O84" s="94">
        <f t="shared" si="9"/>
        <v>45884</v>
      </c>
      <c r="P84" s="94">
        <f t="shared" si="9"/>
        <v>45898</v>
      </c>
      <c r="Q84" s="94">
        <f t="shared" si="9"/>
        <v>45919</v>
      </c>
      <c r="R84" s="94">
        <f t="shared" si="9"/>
        <v>45930</v>
      </c>
      <c r="S84" s="94">
        <f t="shared" si="9"/>
        <v>45947</v>
      </c>
      <c r="T84" s="94">
        <f t="shared" si="9"/>
        <v>45961</v>
      </c>
      <c r="U84" s="94">
        <f t="shared" si="9"/>
        <v>45982</v>
      </c>
      <c r="V84" s="94">
        <f t="shared" si="9"/>
        <v>45989</v>
      </c>
      <c r="W84" s="94">
        <f t="shared" si="9"/>
        <v>46010</v>
      </c>
      <c r="X84" s="94">
        <f t="shared" si="9"/>
        <v>46022</v>
      </c>
    </row>
    <row r="85" spans="1:25" x14ac:dyDescent="0.25">
      <c r="A85" s="93">
        <f>+Hoja1!A84</f>
        <v>5659.91</v>
      </c>
      <c r="B85" s="92"/>
    </row>
    <row r="86" spans="1:25" x14ac:dyDescent="0.25">
      <c r="A86" s="93">
        <f>+Hoja1!A85</f>
        <v>5870</v>
      </c>
      <c r="B86" s="91">
        <f ca="1">IF(RTD("tos.rtd",,$A$2,"."&amp;B$83&amp;B$1&amp;"C"&amp;$A86)="N/A",0,RTD("tos.rtd",,$A$2,"."&amp;B$83&amp;B$1&amp;"C"&amp;$A86))-IF(RTD("tos.rtd",,$A$2,"."&amp;B$83&amp;B$1&amp;"P"&amp;$A86)="N/A",0,RTD("tos.rtd",,$A$2,"."&amp;B$83&amp;B$1&amp;"P"&amp;$A86))</f>
        <v>0</v>
      </c>
      <c r="C86" s="91">
        <f ca="1">IF(RTD("tos.rtd",,$A$2,"."&amp;C$83&amp;C$1&amp;"C"&amp;$A86)="N/A",0,RTD("tos.rtd",,$A$2,"."&amp;C$83&amp;C$1&amp;"C"&amp;$A86))-IF(RTD("tos.rtd",,$A$2,"."&amp;C$83&amp;C$1&amp;"P"&amp;$A86)="N/A",0,RTD("tos.rtd",,$A$2,"."&amp;C$83&amp;C$1&amp;"P"&amp;$A86))</f>
        <v>0</v>
      </c>
      <c r="D86" s="91">
        <f ca="1">IF(RTD("tos.rtd",,$A$2,"."&amp;D$83&amp;D$1&amp;"C"&amp;$A86)="N/A",0,RTD("tos.rtd",,$A$2,"."&amp;D$83&amp;D$1&amp;"C"&amp;$A86))-IF(RTD("tos.rtd",,$A$2,"."&amp;D$83&amp;D$1&amp;"P"&amp;$A86)="N/A",0,RTD("tos.rtd",,$A$2,"."&amp;D$83&amp;D$1&amp;"P"&amp;$A86))</f>
        <v>0</v>
      </c>
      <c r="E86" s="91">
        <f ca="1">IF(RTD("tos.rtd",,$A$2,"."&amp;E$83&amp;E$1&amp;"C"&amp;$A86)="N/A",0,RTD("tos.rtd",,$A$2,"."&amp;E$83&amp;E$1&amp;"C"&amp;$A86))-IF(RTD("tos.rtd",,$A$2,"."&amp;E$83&amp;E$1&amp;"P"&amp;$A86)="N/A",0,RTD("tos.rtd",,$A$2,"."&amp;E$83&amp;E$1&amp;"P"&amp;$A86))</f>
        <v>0</v>
      </c>
      <c r="F86" s="91">
        <f ca="1">IF(RTD("tos.rtd",,$A$2,"."&amp;F$83&amp;F$1&amp;"C"&amp;$A86)="N/A",0,RTD("tos.rtd",,$A$2,"."&amp;F$83&amp;F$1&amp;"C"&amp;$A86))-IF(RTD("tos.rtd",,$A$2,"."&amp;F$83&amp;F$1&amp;"P"&amp;$A86)="N/A",0,RTD("tos.rtd",,$A$2,"."&amp;F$83&amp;F$1&amp;"P"&amp;$A86))</f>
        <v>0</v>
      </c>
      <c r="G86" s="91">
        <f ca="1">IF(RTD("tos.rtd",,$A$2,"."&amp;G$83&amp;G$1&amp;"C"&amp;$A86)="N/A",0,RTD("tos.rtd",,$A$2,"."&amp;G$83&amp;G$1&amp;"C"&amp;$A86))-IF(RTD("tos.rtd",,$A$2,"."&amp;G$83&amp;G$1&amp;"P"&amp;$A86)="N/A",0,RTD("tos.rtd",,$A$2,"."&amp;G$83&amp;G$1&amp;"P"&amp;$A86))</f>
        <v>0</v>
      </c>
      <c r="H86" s="91">
        <f ca="1">IF(RTD("tos.rtd",,$A$2,"."&amp;H$83&amp;H$1&amp;"C"&amp;$A86)="N/A",0,RTD("tos.rtd",,$A$2,"."&amp;H$83&amp;H$1&amp;"C"&amp;$A86))-IF(RTD("tos.rtd",,$A$2,"."&amp;H$83&amp;H$1&amp;"P"&amp;$A86)="N/A",0,RTD("tos.rtd",,$A$2,"."&amp;H$83&amp;H$1&amp;"P"&amp;$A86))</f>
        <v>0</v>
      </c>
      <c r="I86" s="91">
        <f ca="1">IF(RTD("tos.rtd",,$A$2,"."&amp;I$83&amp;I$1&amp;"C"&amp;$A86)="N/A",0,RTD("tos.rtd",,$A$2,"."&amp;I$83&amp;I$1&amp;"C"&amp;$A86))-IF(RTD("tos.rtd",,$A$2,"."&amp;I$83&amp;I$1&amp;"P"&amp;$A86)="N/A",0,RTD("tos.rtd",,$A$2,"."&amp;I$83&amp;I$1&amp;"P"&amp;$A86))</f>
        <v>0</v>
      </c>
      <c r="J86" s="91">
        <f ca="1">IF(RTD("tos.rtd",,$A$2,"."&amp;J$83&amp;J$1&amp;"C"&amp;$A86)="N/A",0,RTD("tos.rtd",,$A$2,"."&amp;J$83&amp;J$1&amp;"C"&amp;$A86))-IF(RTD("tos.rtd",,$A$2,"."&amp;J$83&amp;J$1&amp;"P"&amp;$A86)="N/A",0,RTD("tos.rtd",,$A$2,"."&amp;J$83&amp;J$1&amp;"P"&amp;$A86))</f>
        <v>0</v>
      </c>
      <c r="K86" s="91">
        <f ca="1">IF(RTD("tos.rtd",,$A$2,"."&amp;K$83&amp;K$1&amp;"C"&amp;$A86)="N/A",0,RTD("tos.rtd",,$A$2,"."&amp;K$83&amp;K$1&amp;"C"&amp;$A86))-IF(RTD("tos.rtd",,$A$2,"."&amp;K$83&amp;K$1&amp;"P"&amp;$A86)="N/A",0,RTD("tos.rtd",,$A$2,"."&amp;K$83&amp;K$1&amp;"P"&amp;$A86))</f>
        <v>0</v>
      </c>
      <c r="L86" s="91">
        <f ca="1">IF(RTD("tos.rtd",,$A$2,"."&amp;L$83&amp;L$1&amp;"C"&amp;$A86)="N/A",0,RTD("tos.rtd",,$A$2,"."&amp;L$83&amp;L$1&amp;"C"&amp;$A86))-IF(RTD("tos.rtd",,$A$2,"."&amp;L$83&amp;L$1&amp;"P"&amp;$A86)="N/A",0,RTD("tos.rtd",,$A$2,"."&amp;L$83&amp;L$1&amp;"P"&amp;$A86))</f>
        <v>0</v>
      </c>
      <c r="M86" s="91">
        <f ca="1">IF(RTD("tos.rtd",,$A$2,"."&amp;M$83&amp;M$1&amp;"C"&amp;$A86)="N/A",0,RTD("tos.rtd",,$A$2,"."&amp;M$83&amp;M$1&amp;"C"&amp;$A86))-IF(RTD("tos.rtd",,$A$2,"."&amp;M$83&amp;M$1&amp;"P"&amp;$A86)="N/A",0,RTD("tos.rtd",,$A$2,"."&amp;M$83&amp;M$1&amp;"P"&amp;$A86))</f>
        <v>0</v>
      </c>
      <c r="N86" s="91">
        <f ca="1">IF(RTD("tos.rtd",,$A$2,"."&amp;N$83&amp;N$1&amp;"C"&amp;$A86)="N/A",0,RTD("tos.rtd",,$A$2,"."&amp;N$83&amp;N$1&amp;"C"&amp;$A86))-IF(RTD("tos.rtd",,$A$2,"."&amp;N$83&amp;N$1&amp;"P"&amp;$A86)="N/A",0,RTD("tos.rtd",,$A$2,"."&amp;N$83&amp;N$1&amp;"P"&amp;$A86))</f>
        <v>0</v>
      </c>
      <c r="O86" s="91">
        <f ca="1">IF(RTD("tos.rtd",,$A$2,"."&amp;O$83&amp;O$1&amp;"C"&amp;$A86)="N/A",0,RTD("tos.rtd",,$A$2,"."&amp;O$83&amp;O$1&amp;"C"&amp;$A86))-IF(RTD("tos.rtd",,$A$2,"."&amp;O$83&amp;O$1&amp;"P"&amp;$A86)="N/A",0,RTD("tos.rtd",,$A$2,"."&amp;O$83&amp;O$1&amp;"P"&amp;$A86))</f>
        <v>0</v>
      </c>
      <c r="P86" s="91">
        <f ca="1">IF(RTD("tos.rtd",,$A$2,"."&amp;P$83&amp;P$1&amp;"C"&amp;$A86)="N/A",0,RTD("tos.rtd",,$A$2,"."&amp;P$83&amp;P$1&amp;"C"&amp;$A86))-IF(RTD("tos.rtd",,$A$2,"."&amp;P$83&amp;P$1&amp;"P"&amp;$A86)="N/A",0,RTD("tos.rtd",,$A$2,"."&amp;P$83&amp;P$1&amp;"P"&amp;$A86))</f>
        <v>0</v>
      </c>
      <c r="Q86" s="91">
        <f ca="1">IF(RTD("tos.rtd",,$A$2,"."&amp;Q$83&amp;Q$1&amp;"C"&amp;$A86)="N/A",0,RTD("tos.rtd",,$A$2,"."&amp;Q$83&amp;Q$1&amp;"C"&amp;$A86))-IF(RTD("tos.rtd",,$A$2,"."&amp;Q$83&amp;Q$1&amp;"P"&amp;$A86)="N/A",0,RTD("tos.rtd",,$A$2,"."&amp;Q$83&amp;Q$1&amp;"P"&amp;$A86))</f>
        <v>0</v>
      </c>
      <c r="R86" s="91">
        <f ca="1">IF(RTD("tos.rtd",,$A$2,"."&amp;R$83&amp;R$1&amp;"C"&amp;$A86)="N/A",0,RTD("tos.rtd",,$A$2,"."&amp;R$83&amp;R$1&amp;"C"&amp;$A86))-IF(RTD("tos.rtd",,$A$2,"."&amp;R$83&amp;R$1&amp;"P"&amp;$A86)="N/A",0,RTD("tos.rtd",,$A$2,"."&amp;R$83&amp;R$1&amp;"P"&amp;$A86))</f>
        <v>0</v>
      </c>
      <c r="S86" s="91">
        <f ca="1">IF(RTD("tos.rtd",,$A$2,"."&amp;S$83&amp;S$1&amp;"C"&amp;$A86)="N/A",0,RTD("tos.rtd",,$A$2,"."&amp;S$83&amp;S$1&amp;"C"&amp;$A86))-IF(RTD("tos.rtd",,$A$2,"."&amp;S$83&amp;S$1&amp;"P"&amp;$A86)="N/A",0,RTD("tos.rtd",,$A$2,"."&amp;S$83&amp;S$1&amp;"P"&amp;$A86))</f>
        <v>0</v>
      </c>
      <c r="T86" s="91">
        <f ca="1">IF(RTD("tos.rtd",,$A$2,"."&amp;T$83&amp;T$1&amp;"C"&amp;$A86)="N/A",0,RTD("tos.rtd",,$A$2,"."&amp;T$83&amp;T$1&amp;"C"&amp;$A86))-IF(RTD("tos.rtd",,$A$2,"."&amp;T$83&amp;T$1&amp;"P"&amp;$A86)="N/A",0,RTD("tos.rtd",,$A$2,"."&amp;T$83&amp;T$1&amp;"P"&amp;$A86))</f>
        <v>0</v>
      </c>
      <c r="U86" s="91">
        <f ca="1">IF(RTD("tos.rtd",,$A$2,"."&amp;U$83&amp;U$1&amp;"C"&amp;$A86)="N/A",0,RTD("tos.rtd",,$A$2,"."&amp;U$83&amp;U$1&amp;"C"&amp;$A86))-IF(RTD("tos.rtd",,$A$2,"."&amp;U$83&amp;U$1&amp;"P"&amp;$A86)="N/A",0,RTD("tos.rtd",,$A$2,"."&amp;U$83&amp;U$1&amp;"P"&amp;$A86))</f>
        <v>0</v>
      </c>
      <c r="V86" s="91">
        <f ca="1">IF(RTD("tos.rtd",,$A$2,"."&amp;V$83&amp;V$1&amp;"C"&amp;$A86)="N/A",0,RTD("tos.rtd",,$A$2,"."&amp;V$83&amp;V$1&amp;"C"&amp;$A86))-IF(RTD("tos.rtd",,$A$2,"."&amp;V$83&amp;V$1&amp;"P"&amp;$A86)="N/A",0,RTD("tos.rtd",,$A$2,"."&amp;V$83&amp;V$1&amp;"P"&amp;$A86))</f>
        <v>0</v>
      </c>
      <c r="W86" s="91">
        <f ca="1">IF(RTD("tos.rtd",,$A$2,"."&amp;W$83&amp;W$1&amp;"C"&amp;$A86)="N/A",0,RTD("tos.rtd",,$A$2,"."&amp;W$83&amp;W$1&amp;"C"&amp;$A86))-IF(RTD("tos.rtd",,$A$2,"."&amp;W$83&amp;W$1&amp;"P"&amp;$A86)="N/A",0,RTD("tos.rtd",,$A$2,"."&amp;W$83&amp;W$1&amp;"P"&amp;$A86))</f>
        <v>0</v>
      </c>
      <c r="X86" s="91">
        <f ca="1">IF(RTD("tos.rtd",,$A$2,"."&amp;X$83&amp;X$1&amp;"C"&amp;$A86)="N/A",0,RTD("tos.rtd",,$A$2,"."&amp;X$83&amp;X$1&amp;"C"&amp;$A86))-IF(RTD("tos.rtd",,$A$2,"."&amp;X$83&amp;X$1&amp;"P"&amp;$A86)="N/A",0,RTD("tos.rtd",,$A$2,"."&amp;X$83&amp;X$1&amp;"P"&amp;$A86))</f>
        <v>0</v>
      </c>
      <c r="Y86" s="98">
        <f ca="1">SUM(B86:X86)</f>
        <v>0</v>
      </c>
    </row>
    <row r="87" spans="1:25" x14ac:dyDescent="0.25">
      <c r="A87" s="93">
        <f>+Hoja1!A86</f>
        <v>5860</v>
      </c>
      <c r="B87" s="91">
        <f ca="1">IF(RTD("tos.rtd",,$A$2,"."&amp;B$83&amp;B$1&amp;"C"&amp;$A87)="N/A",0,RTD("tos.rtd",,$A$2,"."&amp;B$83&amp;B$1&amp;"C"&amp;$A87))-IF(RTD("tos.rtd",,$A$2,"."&amp;B$83&amp;B$1&amp;"P"&amp;$A87)="N/A",0,RTD("tos.rtd",,$A$2,"."&amp;B$83&amp;B$1&amp;"P"&amp;$A87))</f>
        <v>0</v>
      </c>
      <c r="C87" s="91">
        <f ca="1">IF(RTD("tos.rtd",,$A$2,"."&amp;C$83&amp;C$1&amp;"C"&amp;$A87)="N/A",0,RTD("tos.rtd",,$A$2,"."&amp;C$83&amp;C$1&amp;"C"&amp;$A87))-IF(RTD("tos.rtd",,$A$2,"."&amp;C$83&amp;C$1&amp;"P"&amp;$A87)="N/A",0,RTD("tos.rtd",,$A$2,"."&amp;C$83&amp;C$1&amp;"P"&amp;$A87))</f>
        <v>0</v>
      </c>
      <c r="D87" s="91">
        <f ca="1">IF(RTD("tos.rtd",,$A$2,"."&amp;D$83&amp;D$1&amp;"C"&amp;$A87)="N/A",0,RTD("tos.rtd",,$A$2,"."&amp;D$83&amp;D$1&amp;"C"&amp;$A87))-IF(RTD("tos.rtd",,$A$2,"."&amp;D$83&amp;D$1&amp;"P"&amp;$A87)="N/A",0,RTD("tos.rtd",,$A$2,"."&amp;D$83&amp;D$1&amp;"P"&amp;$A87))</f>
        <v>0</v>
      </c>
      <c r="E87" s="91">
        <f ca="1">IF(RTD("tos.rtd",,$A$2,"."&amp;E$83&amp;E$1&amp;"C"&amp;$A87)="N/A",0,RTD("tos.rtd",,$A$2,"."&amp;E$83&amp;E$1&amp;"C"&amp;$A87))-IF(RTD("tos.rtd",,$A$2,"."&amp;E$83&amp;E$1&amp;"P"&amp;$A87)="N/A",0,RTD("tos.rtd",,$A$2,"."&amp;E$83&amp;E$1&amp;"P"&amp;$A87))</f>
        <v>0</v>
      </c>
      <c r="F87" s="91">
        <f ca="1">IF(RTD("tos.rtd",,$A$2,"."&amp;F$83&amp;F$1&amp;"C"&amp;$A87)="N/A",0,RTD("tos.rtd",,$A$2,"."&amp;F$83&amp;F$1&amp;"C"&amp;$A87))-IF(RTD("tos.rtd",,$A$2,"."&amp;F$83&amp;F$1&amp;"P"&amp;$A87)="N/A",0,RTD("tos.rtd",,$A$2,"."&amp;F$83&amp;F$1&amp;"P"&amp;$A87))</f>
        <v>0</v>
      </c>
      <c r="G87" s="91">
        <f ca="1">IF(RTD("tos.rtd",,$A$2,"."&amp;G$83&amp;G$1&amp;"C"&amp;$A87)="N/A",0,RTD("tos.rtd",,$A$2,"."&amp;G$83&amp;G$1&amp;"C"&amp;$A87))-IF(RTD("tos.rtd",,$A$2,"."&amp;G$83&amp;G$1&amp;"P"&amp;$A87)="N/A",0,RTD("tos.rtd",,$A$2,"."&amp;G$83&amp;G$1&amp;"P"&amp;$A87))</f>
        <v>0</v>
      </c>
      <c r="H87" s="91">
        <f ca="1">IF(RTD("tos.rtd",,$A$2,"."&amp;H$83&amp;H$1&amp;"C"&amp;$A87)="N/A",0,RTD("tos.rtd",,$A$2,"."&amp;H$83&amp;H$1&amp;"C"&amp;$A87))-IF(RTD("tos.rtd",,$A$2,"."&amp;H$83&amp;H$1&amp;"P"&amp;$A87)="N/A",0,RTD("tos.rtd",,$A$2,"."&amp;H$83&amp;H$1&amp;"P"&amp;$A87))</f>
        <v>0</v>
      </c>
      <c r="I87" s="91">
        <f ca="1">IF(RTD("tos.rtd",,$A$2,"."&amp;I$83&amp;I$1&amp;"C"&amp;$A87)="N/A",0,RTD("tos.rtd",,$A$2,"."&amp;I$83&amp;I$1&amp;"C"&amp;$A87))-IF(RTD("tos.rtd",,$A$2,"."&amp;I$83&amp;I$1&amp;"P"&amp;$A87)="N/A",0,RTD("tos.rtd",,$A$2,"."&amp;I$83&amp;I$1&amp;"P"&amp;$A87))</f>
        <v>0</v>
      </c>
      <c r="J87" s="91">
        <f ca="1">IF(RTD("tos.rtd",,$A$2,"."&amp;J$83&amp;J$1&amp;"C"&amp;$A87)="N/A",0,RTD("tos.rtd",,$A$2,"."&amp;J$83&amp;J$1&amp;"C"&amp;$A87))-IF(RTD("tos.rtd",,$A$2,"."&amp;J$83&amp;J$1&amp;"P"&amp;$A87)="N/A",0,RTD("tos.rtd",,$A$2,"."&amp;J$83&amp;J$1&amp;"P"&amp;$A87))</f>
        <v>0</v>
      </c>
      <c r="K87" s="91">
        <f ca="1">IF(RTD("tos.rtd",,$A$2,"."&amp;K$83&amp;K$1&amp;"C"&amp;$A87)="N/A",0,RTD("tos.rtd",,$A$2,"."&amp;K$83&amp;K$1&amp;"C"&amp;$A87))-IF(RTD("tos.rtd",,$A$2,"."&amp;K$83&amp;K$1&amp;"P"&amp;$A87)="N/A",0,RTD("tos.rtd",,$A$2,"."&amp;K$83&amp;K$1&amp;"P"&amp;$A87))</f>
        <v>0</v>
      </c>
      <c r="L87" s="91">
        <f ca="1">IF(RTD("tos.rtd",,$A$2,"."&amp;L$83&amp;L$1&amp;"C"&amp;$A87)="N/A",0,RTD("tos.rtd",,$A$2,"."&amp;L$83&amp;L$1&amp;"C"&amp;$A87))-IF(RTD("tos.rtd",,$A$2,"."&amp;L$83&amp;L$1&amp;"P"&amp;$A87)="N/A",0,RTD("tos.rtd",,$A$2,"."&amp;L$83&amp;L$1&amp;"P"&amp;$A87))</f>
        <v>0</v>
      </c>
      <c r="M87" s="91">
        <f ca="1">IF(RTD("tos.rtd",,$A$2,"."&amp;M$83&amp;M$1&amp;"C"&amp;$A87)="N/A",0,RTD("tos.rtd",,$A$2,"."&amp;M$83&amp;M$1&amp;"C"&amp;$A87))-IF(RTD("tos.rtd",,$A$2,"."&amp;M$83&amp;M$1&amp;"P"&amp;$A87)="N/A",0,RTD("tos.rtd",,$A$2,"."&amp;M$83&amp;M$1&amp;"P"&amp;$A87))</f>
        <v>0</v>
      </c>
      <c r="N87" s="91">
        <f ca="1">IF(RTD("tos.rtd",,$A$2,"."&amp;N$83&amp;N$1&amp;"C"&amp;$A87)="N/A",0,RTD("tos.rtd",,$A$2,"."&amp;N$83&amp;N$1&amp;"C"&amp;$A87))-IF(RTD("tos.rtd",,$A$2,"."&amp;N$83&amp;N$1&amp;"P"&amp;$A87)="N/A",0,RTD("tos.rtd",,$A$2,"."&amp;N$83&amp;N$1&amp;"P"&amp;$A87))</f>
        <v>0</v>
      </c>
      <c r="O87" s="91">
        <f ca="1">IF(RTD("tos.rtd",,$A$2,"."&amp;O$83&amp;O$1&amp;"C"&amp;$A87)="N/A",0,RTD("tos.rtd",,$A$2,"."&amp;O$83&amp;O$1&amp;"C"&amp;$A87))-IF(RTD("tos.rtd",,$A$2,"."&amp;O$83&amp;O$1&amp;"P"&amp;$A87)="N/A",0,RTD("tos.rtd",,$A$2,"."&amp;O$83&amp;O$1&amp;"P"&amp;$A87))</f>
        <v>0</v>
      </c>
      <c r="P87" s="91">
        <f ca="1">IF(RTD("tos.rtd",,$A$2,"."&amp;P$83&amp;P$1&amp;"C"&amp;$A87)="N/A",0,RTD("tos.rtd",,$A$2,"."&amp;P$83&amp;P$1&amp;"C"&amp;$A87))-IF(RTD("tos.rtd",,$A$2,"."&amp;P$83&amp;P$1&amp;"P"&amp;$A87)="N/A",0,RTD("tos.rtd",,$A$2,"."&amp;P$83&amp;P$1&amp;"P"&amp;$A87))</f>
        <v>0</v>
      </c>
      <c r="Q87" s="91">
        <f ca="1">IF(RTD("tos.rtd",,$A$2,"."&amp;Q$83&amp;Q$1&amp;"C"&amp;$A87)="N/A",0,RTD("tos.rtd",,$A$2,"."&amp;Q$83&amp;Q$1&amp;"C"&amp;$A87))-IF(RTD("tos.rtd",,$A$2,"."&amp;Q$83&amp;Q$1&amp;"P"&amp;$A87)="N/A",0,RTD("tos.rtd",,$A$2,"."&amp;Q$83&amp;Q$1&amp;"P"&amp;$A87))</f>
        <v>0</v>
      </c>
      <c r="R87" s="91">
        <f ca="1">IF(RTD("tos.rtd",,$A$2,"."&amp;R$83&amp;R$1&amp;"C"&amp;$A87)="N/A",0,RTD("tos.rtd",,$A$2,"."&amp;R$83&amp;R$1&amp;"C"&amp;$A87))-IF(RTD("tos.rtd",,$A$2,"."&amp;R$83&amp;R$1&amp;"P"&amp;$A87)="N/A",0,RTD("tos.rtd",,$A$2,"."&amp;R$83&amp;R$1&amp;"P"&amp;$A87))</f>
        <v>0</v>
      </c>
      <c r="S87" s="91">
        <f ca="1">IF(RTD("tos.rtd",,$A$2,"."&amp;S$83&amp;S$1&amp;"C"&amp;$A87)="N/A",0,RTD("tos.rtd",,$A$2,"."&amp;S$83&amp;S$1&amp;"C"&amp;$A87))-IF(RTD("tos.rtd",,$A$2,"."&amp;S$83&amp;S$1&amp;"P"&amp;$A87)="N/A",0,RTD("tos.rtd",,$A$2,"."&amp;S$83&amp;S$1&amp;"P"&amp;$A87))</f>
        <v>0</v>
      </c>
      <c r="T87" s="91">
        <f ca="1">IF(RTD("tos.rtd",,$A$2,"."&amp;T$83&amp;T$1&amp;"C"&amp;$A87)="N/A",0,RTD("tos.rtd",,$A$2,"."&amp;T$83&amp;T$1&amp;"C"&amp;$A87))-IF(RTD("tos.rtd",,$A$2,"."&amp;T$83&amp;T$1&amp;"P"&amp;$A87)="N/A",0,RTD("tos.rtd",,$A$2,"."&amp;T$83&amp;T$1&amp;"P"&amp;$A87))</f>
        <v>0</v>
      </c>
      <c r="U87" s="91">
        <f ca="1">IF(RTD("tos.rtd",,$A$2,"."&amp;U$83&amp;U$1&amp;"C"&amp;$A87)="N/A",0,RTD("tos.rtd",,$A$2,"."&amp;U$83&amp;U$1&amp;"C"&amp;$A87))-IF(RTD("tos.rtd",,$A$2,"."&amp;U$83&amp;U$1&amp;"P"&amp;$A87)="N/A",0,RTD("tos.rtd",,$A$2,"."&amp;U$83&amp;U$1&amp;"P"&amp;$A87))</f>
        <v>0</v>
      </c>
      <c r="V87" s="91">
        <f ca="1">IF(RTD("tos.rtd",,$A$2,"."&amp;V$83&amp;V$1&amp;"C"&amp;$A87)="N/A",0,RTD("tos.rtd",,$A$2,"."&amp;V$83&amp;V$1&amp;"C"&amp;$A87))-IF(RTD("tos.rtd",,$A$2,"."&amp;V$83&amp;V$1&amp;"P"&amp;$A87)="N/A",0,RTD("tos.rtd",,$A$2,"."&amp;V$83&amp;V$1&amp;"P"&amp;$A87))</f>
        <v>0</v>
      </c>
      <c r="W87" s="91">
        <f ca="1">IF(RTD("tos.rtd",,$A$2,"."&amp;W$83&amp;W$1&amp;"C"&amp;$A87)="N/A",0,RTD("tos.rtd",,$A$2,"."&amp;W$83&amp;W$1&amp;"C"&amp;$A87))-IF(RTD("tos.rtd",,$A$2,"."&amp;W$83&amp;W$1&amp;"P"&amp;$A87)="N/A",0,RTD("tos.rtd",,$A$2,"."&amp;W$83&amp;W$1&amp;"P"&amp;$A87))</f>
        <v>0</v>
      </c>
      <c r="X87" s="91">
        <f ca="1">IF(RTD("tos.rtd",,$A$2,"."&amp;X$83&amp;X$1&amp;"C"&amp;$A87)="N/A",0,RTD("tos.rtd",,$A$2,"."&amp;X$83&amp;X$1&amp;"C"&amp;$A87))-IF(RTD("tos.rtd",,$A$2,"."&amp;X$83&amp;X$1&amp;"P"&amp;$A87)="N/A",0,RTD("tos.rtd",,$A$2,"."&amp;X$83&amp;X$1&amp;"P"&amp;$A87))</f>
        <v>0</v>
      </c>
      <c r="Y87" s="98">
        <f t="shared" ref="Y87:Y131" ca="1" si="10">SUM(B87:X87)</f>
        <v>0</v>
      </c>
    </row>
    <row r="88" spans="1:25" x14ac:dyDescent="0.25">
      <c r="A88" s="93">
        <f>+Hoja1!A87</f>
        <v>5850</v>
      </c>
      <c r="B88" s="91">
        <f ca="1">IF(RTD("tos.rtd",,$A$2,"."&amp;B$83&amp;B$1&amp;"C"&amp;$A88)="N/A",0,RTD("tos.rtd",,$A$2,"."&amp;B$83&amp;B$1&amp;"C"&amp;$A88))-IF(RTD("tos.rtd",,$A$2,"."&amp;B$83&amp;B$1&amp;"P"&amp;$A88)="N/A",0,RTD("tos.rtd",,$A$2,"."&amp;B$83&amp;B$1&amp;"P"&amp;$A88))</f>
        <v>0</v>
      </c>
      <c r="C88" s="91">
        <f ca="1">IF(RTD("tos.rtd",,$A$2,"."&amp;C$83&amp;C$1&amp;"C"&amp;$A88)="N/A",0,RTD("tos.rtd",,$A$2,"."&amp;C$83&amp;C$1&amp;"C"&amp;$A88))-IF(RTD("tos.rtd",,$A$2,"."&amp;C$83&amp;C$1&amp;"P"&amp;$A88)="N/A",0,RTD("tos.rtd",,$A$2,"."&amp;C$83&amp;C$1&amp;"P"&amp;$A88))</f>
        <v>0</v>
      </c>
      <c r="D88" s="91">
        <f ca="1">IF(RTD("tos.rtd",,$A$2,"."&amp;D$83&amp;D$1&amp;"C"&amp;$A88)="N/A",0,RTD("tos.rtd",,$A$2,"."&amp;D$83&amp;D$1&amp;"C"&amp;$A88))-IF(RTD("tos.rtd",,$A$2,"."&amp;D$83&amp;D$1&amp;"P"&amp;$A88)="N/A",0,RTD("tos.rtd",,$A$2,"."&amp;D$83&amp;D$1&amp;"P"&amp;$A88))</f>
        <v>0</v>
      </c>
      <c r="E88" s="91">
        <f ca="1">IF(RTD("tos.rtd",,$A$2,"."&amp;E$83&amp;E$1&amp;"C"&amp;$A88)="N/A",0,RTD("tos.rtd",,$A$2,"."&amp;E$83&amp;E$1&amp;"C"&amp;$A88))-IF(RTD("tos.rtd",,$A$2,"."&amp;E$83&amp;E$1&amp;"P"&amp;$A88)="N/A",0,RTD("tos.rtd",,$A$2,"."&amp;E$83&amp;E$1&amp;"P"&amp;$A88))</f>
        <v>0</v>
      </c>
      <c r="F88" s="91">
        <f ca="1">IF(RTD("tos.rtd",,$A$2,"."&amp;F$83&amp;F$1&amp;"C"&amp;$A88)="N/A",0,RTD("tos.rtd",,$A$2,"."&amp;F$83&amp;F$1&amp;"C"&amp;$A88))-IF(RTD("tos.rtd",,$A$2,"."&amp;F$83&amp;F$1&amp;"P"&amp;$A88)="N/A",0,RTD("tos.rtd",,$A$2,"."&amp;F$83&amp;F$1&amp;"P"&amp;$A88))</f>
        <v>0</v>
      </c>
      <c r="G88" s="91">
        <f ca="1">IF(RTD("tos.rtd",,$A$2,"."&amp;G$83&amp;G$1&amp;"C"&amp;$A88)="N/A",0,RTD("tos.rtd",,$A$2,"."&amp;G$83&amp;G$1&amp;"C"&amp;$A88))-IF(RTD("tos.rtd",,$A$2,"."&amp;G$83&amp;G$1&amp;"P"&amp;$A88)="N/A",0,RTD("tos.rtd",,$A$2,"."&amp;G$83&amp;G$1&amp;"P"&amp;$A88))</f>
        <v>0</v>
      </c>
      <c r="H88" s="91">
        <f ca="1">IF(RTD("tos.rtd",,$A$2,"."&amp;H$83&amp;H$1&amp;"C"&amp;$A88)="N/A",0,RTD("tos.rtd",,$A$2,"."&amp;H$83&amp;H$1&amp;"C"&amp;$A88))-IF(RTD("tos.rtd",,$A$2,"."&amp;H$83&amp;H$1&amp;"P"&amp;$A88)="N/A",0,RTD("tos.rtd",,$A$2,"."&amp;H$83&amp;H$1&amp;"P"&amp;$A88))</f>
        <v>0</v>
      </c>
      <c r="I88" s="91">
        <f ca="1">IF(RTD("tos.rtd",,$A$2,"."&amp;I$83&amp;I$1&amp;"C"&amp;$A88)="N/A",0,RTD("tos.rtd",,$A$2,"."&amp;I$83&amp;I$1&amp;"C"&amp;$A88))-IF(RTD("tos.rtd",,$A$2,"."&amp;I$83&amp;I$1&amp;"P"&amp;$A88)="N/A",0,RTD("tos.rtd",,$A$2,"."&amp;I$83&amp;I$1&amp;"P"&amp;$A88))</f>
        <v>0</v>
      </c>
      <c r="J88" s="91">
        <f ca="1">IF(RTD("tos.rtd",,$A$2,"."&amp;J$83&amp;J$1&amp;"C"&amp;$A88)="N/A",0,RTD("tos.rtd",,$A$2,"."&amp;J$83&amp;J$1&amp;"C"&amp;$A88))-IF(RTD("tos.rtd",,$A$2,"."&amp;J$83&amp;J$1&amp;"P"&amp;$A88)="N/A",0,RTD("tos.rtd",,$A$2,"."&amp;J$83&amp;J$1&amp;"P"&amp;$A88))</f>
        <v>0</v>
      </c>
      <c r="K88" s="91">
        <f ca="1">IF(RTD("tos.rtd",,$A$2,"."&amp;K$83&amp;K$1&amp;"C"&amp;$A88)="N/A",0,RTD("tos.rtd",,$A$2,"."&amp;K$83&amp;K$1&amp;"C"&amp;$A88))-IF(RTD("tos.rtd",,$A$2,"."&amp;K$83&amp;K$1&amp;"P"&amp;$A88)="N/A",0,RTD("tos.rtd",,$A$2,"."&amp;K$83&amp;K$1&amp;"P"&amp;$A88))</f>
        <v>0</v>
      </c>
      <c r="L88" s="91">
        <f ca="1">IF(RTD("tos.rtd",,$A$2,"."&amp;L$83&amp;L$1&amp;"C"&amp;$A88)="N/A",0,RTD("tos.rtd",,$A$2,"."&amp;L$83&amp;L$1&amp;"C"&amp;$A88))-IF(RTD("tos.rtd",,$A$2,"."&amp;L$83&amp;L$1&amp;"P"&amp;$A88)="N/A",0,RTD("tos.rtd",,$A$2,"."&amp;L$83&amp;L$1&amp;"P"&amp;$A88))</f>
        <v>0</v>
      </c>
      <c r="M88" s="91">
        <f ca="1">IF(RTD("tos.rtd",,$A$2,"."&amp;M$83&amp;M$1&amp;"C"&amp;$A88)="N/A",0,RTD("tos.rtd",,$A$2,"."&amp;M$83&amp;M$1&amp;"C"&amp;$A88))-IF(RTD("tos.rtd",,$A$2,"."&amp;M$83&amp;M$1&amp;"P"&amp;$A88)="N/A",0,RTD("tos.rtd",,$A$2,"."&amp;M$83&amp;M$1&amp;"P"&amp;$A88))</f>
        <v>0</v>
      </c>
      <c r="N88" s="91">
        <f ca="1">IF(RTD("tos.rtd",,$A$2,"."&amp;N$83&amp;N$1&amp;"C"&amp;$A88)="N/A",0,RTD("tos.rtd",,$A$2,"."&amp;N$83&amp;N$1&amp;"C"&amp;$A88))-IF(RTD("tos.rtd",,$A$2,"."&amp;N$83&amp;N$1&amp;"P"&amp;$A88)="N/A",0,RTD("tos.rtd",,$A$2,"."&amp;N$83&amp;N$1&amp;"P"&amp;$A88))</f>
        <v>0</v>
      </c>
      <c r="O88" s="91">
        <f ca="1">IF(RTD("tos.rtd",,$A$2,"."&amp;O$83&amp;O$1&amp;"C"&amp;$A88)="N/A",0,RTD("tos.rtd",,$A$2,"."&amp;O$83&amp;O$1&amp;"C"&amp;$A88))-IF(RTD("tos.rtd",,$A$2,"."&amp;O$83&amp;O$1&amp;"P"&amp;$A88)="N/A",0,RTD("tos.rtd",,$A$2,"."&amp;O$83&amp;O$1&amp;"P"&amp;$A88))</f>
        <v>0</v>
      </c>
      <c r="P88" s="91">
        <f ca="1">IF(RTD("tos.rtd",,$A$2,"."&amp;P$83&amp;P$1&amp;"C"&amp;$A88)="N/A",0,RTD("tos.rtd",,$A$2,"."&amp;P$83&amp;P$1&amp;"C"&amp;$A88))-IF(RTD("tos.rtd",,$A$2,"."&amp;P$83&amp;P$1&amp;"P"&amp;$A88)="N/A",0,RTD("tos.rtd",,$A$2,"."&amp;P$83&amp;P$1&amp;"P"&amp;$A88))</f>
        <v>0</v>
      </c>
      <c r="Q88" s="91">
        <f ca="1">IF(RTD("tos.rtd",,$A$2,"."&amp;Q$83&amp;Q$1&amp;"C"&amp;$A88)="N/A",0,RTD("tos.rtd",,$A$2,"."&amp;Q$83&amp;Q$1&amp;"C"&amp;$A88))-IF(RTD("tos.rtd",,$A$2,"."&amp;Q$83&amp;Q$1&amp;"P"&amp;$A88)="N/A",0,RTD("tos.rtd",,$A$2,"."&amp;Q$83&amp;Q$1&amp;"P"&amp;$A88))</f>
        <v>5</v>
      </c>
      <c r="R88" s="91">
        <f ca="1">IF(RTD("tos.rtd",,$A$2,"."&amp;R$83&amp;R$1&amp;"C"&amp;$A88)="N/A",0,RTD("tos.rtd",,$A$2,"."&amp;R$83&amp;R$1&amp;"C"&amp;$A88))-IF(RTD("tos.rtd",,$A$2,"."&amp;R$83&amp;R$1&amp;"P"&amp;$A88)="N/A",0,RTD("tos.rtd",,$A$2,"."&amp;R$83&amp;R$1&amp;"P"&amp;$A88))</f>
        <v>0</v>
      </c>
      <c r="S88" s="91">
        <f ca="1">IF(RTD("tos.rtd",,$A$2,"."&amp;S$83&amp;S$1&amp;"C"&amp;$A88)="N/A",0,RTD("tos.rtd",,$A$2,"."&amp;S$83&amp;S$1&amp;"C"&amp;$A88))-IF(RTD("tos.rtd",,$A$2,"."&amp;S$83&amp;S$1&amp;"P"&amp;$A88)="N/A",0,RTD("tos.rtd",,$A$2,"."&amp;S$83&amp;S$1&amp;"P"&amp;$A88))</f>
        <v>0</v>
      </c>
      <c r="T88" s="91">
        <f ca="1">IF(RTD("tos.rtd",,$A$2,"."&amp;T$83&amp;T$1&amp;"C"&amp;$A88)="N/A",0,RTD("tos.rtd",,$A$2,"."&amp;T$83&amp;T$1&amp;"C"&amp;$A88))-IF(RTD("tos.rtd",,$A$2,"."&amp;T$83&amp;T$1&amp;"P"&amp;$A88)="N/A",0,RTD("tos.rtd",,$A$2,"."&amp;T$83&amp;T$1&amp;"P"&amp;$A88))</f>
        <v>0</v>
      </c>
      <c r="U88" s="91">
        <f ca="1">IF(RTD("tos.rtd",,$A$2,"."&amp;U$83&amp;U$1&amp;"C"&amp;$A88)="N/A",0,RTD("tos.rtd",,$A$2,"."&amp;U$83&amp;U$1&amp;"C"&amp;$A88))-IF(RTD("tos.rtd",,$A$2,"."&amp;U$83&amp;U$1&amp;"P"&amp;$A88)="N/A",0,RTD("tos.rtd",,$A$2,"."&amp;U$83&amp;U$1&amp;"P"&amp;$A88))</f>
        <v>0</v>
      </c>
      <c r="V88" s="91">
        <f ca="1">IF(RTD("tos.rtd",,$A$2,"."&amp;V$83&amp;V$1&amp;"C"&amp;$A88)="N/A",0,RTD("tos.rtd",,$A$2,"."&amp;V$83&amp;V$1&amp;"C"&amp;$A88))-IF(RTD("tos.rtd",,$A$2,"."&amp;V$83&amp;V$1&amp;"P"&amp;$A88)="N/A",0,RTD("tos.rtd",,$A$2,"."&amp;V$83&amp;V$1&amp;"P"&amp;$A88))</f>
        <v>0</v>
      </c>
      <c r="W88" s="91">
        <f ca="1">IF(RTD("tos.rtd",,$A$2,"."&amp;W$83&amp;W$1&amp;"C"&amp;$A88)="N/A",0,RTD("tos.rtd",,$A$2,"."&amp;W$83&amp;W$1&amp;"C"&amp;$A88))-IF(RTD("tos.rtd",,$A$2,"."&amp;W$83&amp;W$1&amp;"P"&amp;$A88)="N/A",0,RTD("tos.rtd",,$A$2,"."&amp;W$83&amp;W$1&amp;"P"&amp;$A88))</f>
        <v>0</v>
      </c>
      <c r="X88" s="91">
        <f ca="1">IF(RTD("tos.rtd",,$A$2,"."&amp;X$83&amp;X$1&amp;"C"&amp;$A88)="N/A",0,RTD("tos.rtd",,$A$2,"."&amp;X$83&amp;X$1&amp;"C"&amp;$A88))-IF(RTD("tos.rtd",,$A$2,"."&amp;X$83&amp;X$1&amp;"P"&amp;$A88)="N/A",0,RTD("tos.rtd",,$A$2,"."&amp;X$83&amp;X$1&amp;"P"&amp;$A88))</f>
        <v>0</v>
      </c>
      <c r="Y88" s="98">
        <f t="shared" ca="1" si="10"/>
        <v>5</v>
      </c>
    </row>
    <row r="89" spans="1:25" x14ac:dyDescent="0.25">
      <c r="A89" s="93">
        <f>+Hoja1!A88</f>
        <v>5840</v>
      </c>
      <c r="B89" s="91">
        <f ca="1">IF(RTD("tos.rtd",,$A$2,"."&amp;B$83&amp;B$1&amp;"C"&amp;$A89)="N/A",0,RTD("tos.rtd",,$A$2,"."&amp;B$83&amp;B$1&amp;"C"&amp;$A89))-IF(RTD("tos.rtd",,$A$2,"."&amp;B$83&amp;B$1&amp;"P"&amp;$A89)="N/A",0,RTD("tos.rtd",,$A$2,"."&amp;B$83&amp;B$1&amp;"P"&amp;$A89))</f>
        <v>0</v>
      </c>
      <c r="C89" s="91">
        <f ca="1">IF(RTD("tos.rtd",,$A$2,"."&amp;C$83&amp;C$1&amp;"C"&amp;$A89)="N/A",0,RTD("tos.rtd",,$A$2,"."&amp;C$83&amp;C$1&amp;"C"&amp;$A89))-IF(RTD("tos.rtd",,$A$2,"."&amp;C$83&amp;C$1&amp;"P"&amp;$A89)="N/A",0,RTD("tos.rtd",,$A$2,"."&amp;C$83&amp;C$1&amp;"P"&amp;$A89))</f>
        <v>0</v>
      </c>
      <c r="D89" s="91">
        <f ca="1">IF(RTD("tos.rtd",,$A$2,"."&amp;D$83&amp;D$1&amp;"C"&amp;$A89)="N/A",0,RTD("tos.rtd",,$A$2,"."&amp;D$83&amp;D$1&amp;"C"&amp;$A89))-IF(RTD("tos.rtd",,$A$2,"."&amp;D$83&amp;D$1&amp;"P"&amp;$A89)="N/A",0,RTD("tos.rtd",,$A$2,"."&amp;D$83&amp;D$1&amp;"P"&amp;$A89))</f>
        <v>0</v>
      </c>
      <c r="E89" s="91">
        <f ca="1">IF(RTD("tos.rtd",,$A$2,"."&amp;E$83&amp;E$1&amp;"C"&amp;$A89)="N/A",0,RTD("tos.rtd",,$A$2,"."&amp;E$83&amp;E$1&amp;"C"&amp;$A89))-IF(RTD("tos.rtd",,$A$2,"."&amp;E$83&amp;E$1&amp;"P"&amp;$A89)="N/A",0,RTD("tos.rtd",,$A$2,"."&amp;E$83&amp;E$1&amp;"P"&amp;$A89))</f>
        <v>0</v>
      </c>
      <c r="F89" s="91">
        <f ca="1">IF(RTD("tos.rtd",,$A$2,"."&amp;F$83&amp;F$1&amp;"C"&amp;$A89)="N/A",0,RTD("tos.rtd",,$A$2,"."&amp;F$83&amp;F$1&amp;"C"&amp;$A89))-IF(RTD("tos.rtd",,$A$2,"."&amp;F$83&amp;F$1&amp;"P"&amp;$A89)="N/A",0,RTD("tos.rtd",,$A$2,"."&amp;F$83&amp;F$1&amp;"P"&amp;$A89))</f>
        <v>0</v>
      </c>
      <c r="G89" s="91">
        <f ca="1">IF(RTD("tos.rtd",,$A$2,"."&amp;G$83&amp;G$1&amp;"C"&amp;$A89)="N/A",0,RTD("tos.rtd",,$A$2,"."&amp;G$83&amp;G$1&amp;"C"&amp;$A89))-IF(RTD("tos.rtd",,$A$2,"."&amp;G$83&amp;G$1&amp;"P"&amp;$A89)="N/A",0,RTD("tos.rtd",,$A$2,"."&amp;G$83&amp;G$1&amp;"P"&amp;$A89))</f>
        <v>0</v>
      </c>
      <c r="H89" s="91">
        <f ca="1">IF(RTD("tos.rtd",,$A$2,"."&amp;H$83&amp;H$1&amp;"C"&amp;$A89)="N/A",0,RTD("tos.rtd",,$A$2,"."&amp;H$83&amp;H$1&amp;"C"&amp;$A89))-IF(RTD("tos.rtd",,$A$2,"."&amp;H$83&amp;H$1&amp;"P"&amp;$A89)="N/A",0,RTD("tos.rtd",,$A$2,"."&amp;H$83&amp;H$1&amp;"P"&amp;$A89))</f>
        <v>0</v>
      </c>
      <c r="I89" s="91">
        <f ca="1">IF(RTD("tos.rtd",,$A$2,"."&amp;I$83&amp;I$1&amp;"C"&amp;$A89)="N/A",0,RTD("tos.rtd",,$A$2,"."&amp;I$83&amp;I$1&amp;"C"&amp;$A89))-IF(RTD("tos.rtd",,$A$2,"."&amp;I$83&amp;I$1&amp;"P"&amp;$A89)="N/A",0,RTD("tos.rtd",,$A$2,"."&amp;I$83&amp;I$1&amp;"P"&amp;$A89))</f>
        <v>0</v>
      </c>
      <c r="J89" s="91">
        <f ca="1">IF(RTD("tos.rtd",,$A$2,"."&amp;J$83&amp;J$1&amp;"C"&amp;$A89)="N/A",0,RTD("tos.rtd",,$A$2,"."&amp;J$83&amp;J$1&amp;"C"&amp;$A89))-IF(RTD("tos.rtd",,$A$2,"."&amp;J$83&amp;J$1&amp;"P"&amp;$A89)="N/A",0,RTD("tos.rtd",,$A$2,"."&amp;J$83&amp;J$1&amp;"P"&amp;$A89))</f>
        <v>0</v>
      </c>
      <c r="K89" s="91">
        <f ca="1">IF(RTD("tos.rtd",,$A$2,"."&amp;K$83&amp;K$1&amp;"C"&amp;$A89)="N/A",0,RTD("tos.rtd",,$A$2,"."&amp;K$83&amp;K$1&amp;"C"&amp;$A89))-IF(RTD("tos.rtd",,$A$2,"."&amp;K$83&amp;K$1&amp;"P"&amp;$A89)="N/A",0,RTD("tos.rtd",,$A$2,"."&amp;K$83&amp;K$1&amp;"P"&amp;$A89))</f>
        <v>0</v>
      </c>
      <c r="L89" s="91">
        <f ca="1">IF(RTD("tos.rtd",,$A$2,"."&amp;L$83&amp;L$1&amp;"C"&amp;$A89)="N/A",0,RTD("tos.rtd",,$A$2,"."&amp;L$83&amp;L$1&amp;"C"&amp;$A89))-IF(RTD("tos.rtd",,$A$2,"."&amp;L$83&amp;L$1&amp;"P"&amp;$A89)="N/A",0,RTD("tos.rtd",,$A$2,"."&amp;L$83&amp;L$1&amp;"P"&amp;$A89))</f>
        <v>0</v>
      </c>
      <c r="M89" s="91">
        <f ca="1">IF(RTD("tos.rtd",,$A$2,"."&amp;M$83&amp;M$1&amp;"C"&amp;$A89)="N/A",0,RTD("tos.rtd",,$A$2,"."&amp;M$83&amp;M$1&amp;"C"&amp;$A89))-IF(RTD("tos.rtd",,$A$2,"."&amp;M$83&amp;M$1&amp;"P"&amp;$A89)="N/A",0,RTD("tos.rtd",,$A$2,"."&amp;M$83&amp;M$1&amp;"P"&amp;$A89))</f>
        <v>0</v>
      </c>
      <c r="N89" s="91">
        <f ca="1">IF(RTD("tos.rtd",,$A$2,"."&amp;N$83&amp;N$1&amp;"C"&amp;$A89)="N/A",0,RTD("tos.rtd",,$A$2,"."&amp;N$83&amp;N$1&amp;"C"&amp;$A89))-IF(RTD("tos.rtd",,$A$2,"."&amp;N$83&amp;N$1&amp;"P"&amp;$A89)="N/A",0,RTD("tos.rtd",,$A$2,"."&amp;N$83&amp;N$1&amp;"P"&amp;$A89))</f>
        <v>0</v>
      </c>
      <c r="O89" s="91">
        <f ca="1">IF(RTD("tos.rtd",,$A$2,"."&amp;O$83&amp;O$1&amp;"C"&amp;$A89)="N/A",0,RTD("tos.rtd",,$A$2,"."&amp;O$83&amp;O$1&amp;"C"&amp;$A89))-IF(RTD("tos.rtd",,$A$2,"."&amp;O$83&amp;O$1&amp;"P"&amp;$A89)="N/A",0,RTD("tos.rtd",,$A$2,"."&amp;O$83&amp;O$1&amp;"P"&amp;$A89))</f>
        <v>0</v>
      </c>
      <c r="P89" s="91">
        <f ca="1">IF(RTD("tos.rtd",,$A$2,"."&amp;P$83&amp;P$1&amp;"C"&amp;$A89)="N/A",0,RTD("tos.rtd",,$A$2,"."&amp;P$83&amp;P$1&amp;"C"&amp;$A89))-IF(RTD("tos.rtd",,$A$2,"."&amp;P$83&amp;P$1&amp;"P"&amp;$A89)="N/A",0,RTD("tos.rtd",,$A$2,"."&amp;P$83&amp;P$1&amp;"P"&amp;$A89))</f>
        <v>0</v>
      </c>
      <c r="Q89" s="91">
        <f ca="1">IF(RTD("tos.rtd",,$A$2,"."&amp;Q$83&amp;Q$1&amp;"C"&amp;$A89)="N/A",0,RTD("tos.rtd",,$A$2,"."&amp;Q$83&amp;Q$1&amp;"C"&amp;$A89))-IF(RTD("tos.rtd",,$A$2,"."&amp;Q$83&amp;Q$1&amp;"P"&amp;$A89)="N/A",0,RTD("tos.rtd",,$A$2,"."&amp;Q$83&amp;Q$1&amp;"P"&amp;$A89))</f>
        <v>0</v>
      </c>
      <c r="R89" s="91">
        <f ca="1">IF(RTD("tos.rtd",,$A$2,"."&amp;R$83&amp;R$1&amp;"C"&amp;$A89)="N/A",0,RTD("tos.rtd",,$A$2,"."&amp;R$83&amp;R$1&amp;"C"&amp;$A89))-IF(RTD("tos.rtd",,$A$2,"."&amp;R$83&amp;R$1&amp;"P"&amp;$A89)="N/A",0,RTD("tos.rtd",,$A$2,"."&amp;R$83&amp;R$1&amp;"P"&amp;$A89))</f>
        <v>0</v>
      </c>
      <c r="S89" s="91">
        <f ca="1">IF(RTD("tos.rtd",,$A$2,"."&amp;S$83&amp;S$1&amp;"C"&amp;$A89)="N/A",0,RTD("tos.rtd",,$A$2,"."&amp;S$83&amp;S$1&amp;"C"&amp;$A89))-IF(RTD("tos.rtd",,$A$2,"."&amp;S$83&amp;S$1&amp;"P"&amp;$A89)="N/A",0,RTD("tos.rtd",,$A$2,"."&amp;S$83&amp;S$1&amp;"P"&amp;$A89))</f>
        <v>0</v>
      </c>
      <c r="T89" s="91">
        <f ca="1">IF(RTD("tos.rtd",,$A$2,"."&amp;T$83&amp;T$1&amp;"C"&amp;$A89)="N/A",0,RTD("tos.rtd",,$A$2,"."&amp;T$83&amp;T$1&amp;"C"&amp;$A89))-IF(RTD("tos.rtd",,$A$2,"."&amp;T$83&amp;T$1&amp;"P"&amp;$A89)="N/A",0,RTD("tos.rtd",,$A$2,"."&amp;T$83&amp;T$1&amp;"P"&amp;$A89))</f>
        <v>0</v>
      </c>
      <c r="U89" s="91">
        <f ca="1">IF(RTD("tos.rtd",,$A$2,"."&amp;U$83&amp;U$1&amp;"C"&amp;$A89)="N/A",0,RTD("tos.rtd",,$A$2,"."&amp;U$83&amp;U$1&amp;"C"&amp;$A89))-IF(RTD("tos.rtd",,$A$2,"."&amp;U$83&amp;U$1&amp;"P"&amp;$A89)="N/A",0,RTD("tos.rtd",,$A$2,"."&amp;U$83&amp;U$1&amp;"P"&amp;$A89))</f>
        <v>0</v>
      </c>
      <c r="V89" s="91">
        <f ca="1">IF(RTD("tos.rtd",,$A$2,"."&amp;V$83&amp;V$1&amp;"C"&amp;$A89)="N/A",0,RTD("tos.rtd",,$A$2,"."&amp;V$83&amp;V$1&amp;"C"&amp;$A89))-IF(RTD("tos.rtd",,$A$2,"."&amp;V$83&amp;V$1&amp;"P"&amp;$A89)="N/A",0,RTD("tos.rtd",,$A$2,"."&amp;V$83&amp;V$1&amp;"P"&amp;$A89))</f>
        <v>0</v>
      </c>
      <c r="W89" s="91">
        <f ca="1">IF(RTD("tos.rtd",,$A$2,"."&amp;W$83&amp;W$1&amp;"C"&amp;$A89)="N/A",0,RTD("tos.rtd",,$A$2,"."&amp;W$83&amp;W$1&amp;"C"&amp;$A89))-IF(RTD("tos.rtd",,$A$2,"."&amp;W$83&amp;W$1&amp;"P"&amp;$A89)="N/A",0,RTD("tos.rtd",,$A$2,"."&amp;W$83&amp;W$1&amp;"P"&amp;$A89))</f>
        <v>0</v>
      </c>
      <c r="X89" s="91">
        <f ca="1">IF(RTD("tos.rtd",,$A$2,"."&amp;X$83&amp;X$1&amp;"C"&amp;$A89)="N/A",0,RTD("tos.rtd",,$A$2,"."&amp;X$83&amp;X$1&amp;"C"&amp;$A89))-IF(RTD("tos.rtd",,$A$2,"."&amp;X$83&amp;X$1&amp;"P"&amp;$A89)="N/A",0,RTD("tos.rtd",,$A$2,"."&amp;X$83&amp;X$1&amp;"P"&amp;$A89))</f>
        <v>0</v>
      </c>
      <c r="Y89" s="98">
        <f t="shared" ca="1" si="10"/>
        <v>0</v>
      </c>
    </row>
    <row r="90" spans="1:25" x14ac:dyDescent="0.25">
      <c r="A90" s="93">
        <f>+Hoja1!A89</f>
        <v>5830</v>
      </c>
      <c r="B90" s="91">
        <f ca="1">IF(RTD("tos.rtd",,$A$2,"."&amp;B$83&amp;B$1&amp;"C"&amp;$A90)="N/A",0,RTD("tos.rtd",,$A$2,"."&amp;B$83&amp;B$1&amp;"C"&amp;$A90))-IF(RTD("tos.rtd",,$A$2,"."&amp;B$83&amp;B$1&amp;"P"&amp;$A90)="N/A",0,RTD("tos.rtd",,$A$2,"."&amp;B$83&amp;B$1&amp;"P"&amp;$A90))</f>
        <v>0</v>
      </c>
      <c r="C90" s="91">
        <f ca="1">IF(RTD("tos.rtd",,$A$2,"."&amp;C$83&amp;C$1&amp;"C"&amp;$A90)="N/A",0,RTD("tos.rtd",,$A$2,"."&amp;C$83&amp;C$1&amp;"C"&amp;$A90))-IF(RTD("tos.rtd",,$A$2,"."&amp;C$83&amp;C$1&amp;"P"&amp;$A90)="N/A",0,RTD("tos.rtd",,$A$2,"."&amp;C$83&amp;C$1&amp;"P"&amp;$A90))</f>
        <v>0</v>
      </c>
      <c r="D90" s="91">
        <f ca="1">IF(RTD("tos.rtd",,$A$2,"."&amp;D$83&amp;D$1&amp;"C"&amp;$A90)="N/A",0,RTD("tos.rtd",,$A$2,"."&amp;D$83&amp;D$1&amp;"C"&amp;$A90))-IF(RTD("tos.rtd",,$A$2,"."&amp;D$83&amp;D$1&amp;"P"&amp;$A90)="N/A",0,RTD("tos.rtd",,$A$2,"."&amp;D$83&amp;D$1&amp;"P"&amp;$A90))</f>
        <v>0</v>
      </c>
      <c r="E90" s="91">
        <f ca="1">IF(RTD("tos.rtd",,$A$2,"."&amp;E$83&amp;E$1&amp;"C"&amp;$A90)="N/A",0,RTD("tos.rtd",,$A$2,"."&amp;E$83&amp;E$1&amp;"C"&amp;$A90))-IF(RTD("tos.rtd",,$A$2,"."&amp;E$83&amp;E$1&amp;"P"&amp;$A90)="N/A",0,RTD("tos.rtd",,$A$2,"."&amp;E$83&amp;E$1&amp;"P"&amp;$A90))</f>
        <v>0</v>
      </c>
      <c r="F90" s="91">
        <f ca="1">IF(RTD("tos.rtd",,$A$2,"."&amp;F$83&amp;F$1&amp;"C"&amp;$A90)="N/A",0,RTD("tos.rtd",,$A$2,"."&amp;F$83&amp;F$1&amp;"C"&amp;$A90))-IF(RTD("tos.rtd",,$A$2,"."&amp;F$83&amp;F$1&amp;"P"&amp;$A90)="N/A",0,RTD("tos.rtd",,$A$2,"."&amp;F$83&amp;F$1&amp;"P"&amp;$A90))</f>
        <v>0</v>
      </c>
      <c r="G90" s="91">
        <f ca="1">IF(RTD("tos.rtd",,$A$2,"."&amp;G$83&amp;G$1&amp;"C"&amp;$A90)="N/A",0,RTD("tos.rtd",,$A$2,"."&amp;G$83&amp;G$1&amp;"C"&amp;$A90))-IF(RTD("tos.rtd",,$A$2,"."&amp;G$83&amp;G$1&amp;"P"&amp;$A90)="N/A",0,RTD("tos.rtd",,$A$2,"."&amp;G$83&amp;G$1&amp;"P"&amp;$A90))</f>
        <v>0</v>
      </c>
      <c r="H90" s="91">
        <f ca="1">IF(RTD("tos.rtd",,$A$2,"."&amp;H$83&amp;H$1&amp;"C"&amp;$A90)="N/A",0,RTD("tos.rtd",,$A$2,"."&amp;H$83&amp;H$1&amp;"C"&amp;$A90))-IF(RTD("tos.rtd",,$A$2,"."&amp;H$83&amp;H$1&amp;"P"&amp;$A90)="N/A",0,RTD("tos.rtd",,$A$2,"."&amp;H$83&amp;H$1&amp;"P"&amp;$A90))</f>
        <v>0</v>
      </c>
      <c r="I90" s="91">
        <f ca="1">IF(RTD("tos.rtd",,$A$2,"."&amp;I$83&amp;I$1&amp;"C"&amp;$A90)="N/A",0,RTD("tos.rtd",,$A$2,"."&amp;I$83&amp;I$1&amp;"C"&amp;$A90))-IF(RTD("tos.rtd",,$A$2,"."&amp;I$83&amp;I$1&amp;"P"&amp;$A90)="N/A",0,RTD("tos.rtd",,$A$2,"."&amp;I$83&amp;I$1&amp;"P"&amp;$A90))</f>
        <v>0</v>
      </c>
      <c r="J90" s="91">
        <f ca="1">IF(RTD("tos.rtd",,$A$2,"."&amp;J$83&amp;J$1&amp;"C"&amp;$A90)="N/A",0,RTD("tos.rtd",,$A$2,"."&amp;J$83&amp;J$1&amp;"C"&amp;$A90))-IF(RTD("tos.rtd",,$A$2,"."&amp;J$83&amp;J$1&amp;"P"&amp;$A90)="N/A",0,RTD("tos.rtd",,$A$2,"."&amp;J$83&amp;J$1&amp;"P"&amp;$A90))</f>
        <v>0</v>
      </c>
      <c r="K90" s="91">
        <f ca="1">IF(RTD("tos.rtd",,$A$2,"."&amp;K$83&amp;K$1&amp;"C"&amp;$A90)="N/A",0,RTD("tos.rtd",,$A$2,"."&amp;K$83&amp;K$1&amp;"C"&amp;$A90))-IF(RTD("tos.rtd",,$A$2,"."&amp;K$83&amp;K$1&amp;"P"&amp;$A90)="N/A",0,RTD("tos.rtd",,$A$2,"."&amp;K$83&amp;K$1&amp;"P"&amp;$A90))</f>
        <v>0</v>
      </c>
      <c r="L90" s="91">
        <f ca="1">IF(RTD("tos.rtd",,$A$2,"."&amp;L$83&amp;L$1&amp;"C"&amp;$A90)="N/A",0,RTD("tos.rtd",,$A$2,"."&amp;L$83&amp;L$1&amp;"C"&amp;$A90))-IF(RTD("tos.rtd",,$A$2,"."&amp;L$83&amp;L$1&amp;"P"&amp;$A90)="N/A",0,RTD("tos.rtd",,$A$2,"."&amp;L$83&amp;L$1&amp;"P"&amp;$A90))</f>
        <v>0</v>
      </c>
      <c r="M90" s="91">
        <f ca="1">IF(RTD("tos.rtd",,$A$2,"."&amp;M$83&amp;M$1&amp;"C"&amp;$A90)="N/A",0,RTD("tos.rtd",,$A$2,"."&amp;M$83&amp;M$1&amp;"C"&amp;$A90))-IF(RTD("tos.rtd",,$A$2,"."&amp;M$83&amp;M$1&amp;"P"&amp;$A90)="N/A",0,RTD("tos.rtd",,$A$2,"."&amp;M$83&amp;M$1&amp;"P"&amp;$A90))</f>
        <v>0</v>
      </c>
      <c r="N90" s="91">
        <f ca="1">IF(RTD("tos.rtd",,$A$2,"."&amp;N$83&amp;N$1&amp;"C"&amp;$A90)="N/A",0,RTD("tos.rtd",,$A$2,"."&amp;N$83&amp;N$1&amp;"C"&amp;$A90))-IF(RTD("tos.rtd",,$A$2,"."&amp;N$83&amp;N$1&amp;"P"&amp;$A90)="N/A",0,RTD("tos.rtd",,$A$2,"."&amp;N$83&amp;N$1&amp;"P"&amp;$A90))</f>
        <v>0</v>
      </c>
      <c r="O90" s="91">
        <f ca="1">IF(RTD("tos.rtd",,$A$2,"."&amp;O$83&amp;O$1&amp;"C"&amp;$A90)="N/A",0,RTD("tos.rtd",,$A$2,"."&amp;O$83&amp;O$1&amp;"C"&amp;$A90))-IF(RTD("tos.rtd",,$A$2,"."&amp;O$83&amp;O$1&amp;"P"&amp;$A90)="N/A",0,RTD("tos.rtd",,$A$2,"."&amp;O$83&amp;O$1&amp;"P"&amp;$A90))</f>
        <v>0</v>
      </c>
      <c r="P90" s="91">
        <f ca="1">IF(RTD("tos.rtd",,$A$2,"."&amp;P$83&amp;P$1&amp;"C"&amp;$A90)="N/A",0,RTD("tos.rtd",,$A$2,"."&amp;P$83&amp;P$1&amp;"C"&amp;$A90))-IF(RTD("tos.rtd",,$A$2,"."&amp;P$83&amp;P$1&amp;"P"&amp;$A90)="N/A",0,RTD("tos.rtd",,$A$2,"."&amp;P$83&amp;P$1&amp;"P"&amp;$A90))</f>
        <v>0</v>
      </c>
      <c r="Q90" s="91">
        <f ca="1">IF(RTD("tos.rtd",,$A$2,"."&amp;Q$83&amp;Q$1&amp;"C"&amp;$A90)="N/A",0,RTD("tos.rtd",,$A$2,"."&amp;Q$83&amp;Q$1&amp;"C"&amp;$A90))-IF(RTD("tos.rtd",,$A$2,"."&amp;Q$83&amp;Q$1&amp;"P"&amp;$A90)="N/A",0,RTD("tos.rtd",,$A$2,"."&amp;Q$83&amp;Q$1&amp;"P"&amp;$A90))</f>
        <v>0</v>
      </c>
      <c r="R90" s="91">
        <f ca="1">IF(RTD("tos.rtd",,$A$2,"."&amp;R$83&amp;R$1&amp;"C"&amp;$A90)="N/A",0,RTD("tos.rtd",,$A$2,"."&amp;R$83&amp;R$1&amp;"C"&amp;$A90))-IF(RTD("tos.rtd",,$A$2,"."&amp;R$83&amp;R$1&amp;"P"&amp;$A90)="N/A",0,RTD("tos.rtd",,$A$2,"."&amp;R$83&amp;R$1&amp;"P"&amp;$A90))</f>
        <v>0</v>
      </c>
      <c r="S90" s="91">
        <f ca="1">IF(RTD("tos.rtd",,$A$2,"."&amp;S$83&amp;S$1&amp;"C"&amp;$A90)="N/A",0,RTD("tos.rtd",,$A$2,"."&amp;S$83&amp;S$1&amp;"C"&amp;$A90))-IF(RTD("tos.rtd",,$A$2,"."&amp;S$83&amp;S$1&amp;"P"&amp;$A90)="N/A",0,RTD("tos.rtd",,$A$2,"."&amp;S$83&amp;S$1&amp;"P"&amp;$A90))</f>
        <v>0</v>
      </c>
      <c r="T90" s="91">
        <f ca="1">IF(RTD("tos.rtd",,$A$2,"."&amp;T$83&amp;T$1&amp;"C"&amp;$A90)="N/A",0,RTD("tos.rtd",,$A$2,"."&amp;T$83&amp;T$1&amp;"C"&amp;$A90))-IF(RTD("tos.rtd",,$A$2,"."&amp;T$83&amp;T$1&amp;"P"&amp;$A90)="N/A",0,RTD("tos.rtd",,$A$2,"."&amp;T$83&amp;T$1&amp;"P"&amp;$A90))</f>
        <v>0</v>
      </c>
      <c r="U90" s="91">
        <f ca="1">IF(RTD("tos.rtd",,$A$2,"."&amp;U$83&amp;U$1&amp;"C"&amp;$A90)="N/A",0,RTD("tos.rtd",,$A$2,"."&amp;U$83&amp;U$1&amp;"C"&amp;$A90))-IF(RTD("tos.rtd",,$A$2,"."&amp;U$83&amp;U$1&amp;"P"&amp;$A90)="N/A",0,RTD("tos.rtd",,$A$2,"."&amp;U$83&amp;U$1&amp;"P"&amp;$A90))</f>
        <v>0</v>
      </c>
      <c r="V90" s="91">
        <f ca="1">IF(RTD("tos.rtd",,$A$2,"."&amp;V$83&amp;V$1&amp;"C"&amp;$A90)="N/A",0,RTD("tos.rtd",,$A$2,"."&amp;V$83&amp;V$1&amp;"C"&amp;$A90))-IF(RTD("tos.rtd",,$A$2,"."&amp;V$83&amp;V$1&amp;"P"&amp;$A90)="N/A",0,RTD("tos.rtd",,$A$2,"."&amp;V$83&amp;V$1&amp;"P"&amp;$A90))</f>
        <v>0</v>
      </c>
      <c r="W90" s="91">
        <f ca="1">IF(RTD("tos.rtd",,$A$2,"."&amp;W$83&amp;W$1&amp;"C"&amp;$A90)="N/A",0,RTD("tos.rtd",,$A$2,"."&amp;W$83&amp;W$1&amp;"C"&amp;$A90))-IF(RTD("tos.rtd",,$A$2,"."&amp;W$83&amp;W$1&amp;"P"&amp;$A90)="N/A",0,RTD("tos.rtd",,$A$2,"."&amp;W$83&amp;W$1&amp;"P"&amp;$A90))</f>
        <v>0</v>
      </c>
      <c r="X90" s="91">
        <f ca="1">IF(RTD("tos.rtd",,$A$2,"."&amp;X$83&amp;X$1&amp;"C"&amp;$A90)="N/A",0,RTD("tos.rtd",,$A$2,"."&amp;X$83&amp;X$1&amp;"C"&amp;$A90))-IF(RTD("tos.rtd",,$A$2,"."&amp;X$83&amp;X$1&amp;"P"&amp;$A90)="N/A",0,RTD("tos.rtd",,$A$2,"."&amp;X$83&amp;X$1&amp;"P"&amp;$A90))</f>
        <v>0</v>
      </c>
      <c r="Y90" s="98">
        <f t="shared" ca="1" si="10"/>
        <v>0</v>
      </c>
    </row>
    <row r="91" spans="1:25" x14ac:dyDescent="0.25">
      <c r="A91" s="93">
        <f>+Hoja1!A90</f>
        <v>5820</v>
      </c>
      <c r="B91" s="91">
        <f ca="1">IF(RTD("tos.rtd",,$A$2,"."&amp;B$83&amp;B$1&amp;"C"&amp;$A91)="N/A",0,RTD("tos.rtd",,$A$2,"."&amp;B$83&amp;B$1&amp;"C"&amp;$A91))-IF(RTD("tos.rtd",,$A$2,"."&amp;B$83&amp;B$1&amp;"P"&amp;$A91)="N/A",0,RTD("tos.rtd",,$A$2,"."&amp;B$83&amp;B$1&amp;"P"&amp;$A91))</f>
        <v>0</v>
      </c>
      <c r="C91" s="91">
        <f ca="1">IF(RTD("tos.rtd",,$A$2,"."&amp;C$83&amp;C$1&amp;"C"&amp;$A91)="N/A",0,RTD("tos.rtd",,$A$2,"."&amp;C$83&amp;C$1&amp;"C"&amp;$A91))-IF(RTD("tos.rtd",,$A$2,"."&amp;C$83&amp;C$1&amp;"P"&amp;$A91)="N/A",0,RTD("tos.rtd",,$A$2,"."&amp;C$83&amp;C$1&amp;"P"&amp;$A91))</f>
        <v>0</v>
      </c>
      <c r="D91" s="91">
        <f ca="1">IF(RTD("tos.rtd",,$A$2,"."&amp;D$83&amp;D$1&amp;"C"&amp;$A91)="N/A",0,RTD("tos.rtd",,$A$2,"."&amp;D$83&amp;D$1&amp;"C"&amp;$A91))-IF(RTD("tos.rtd",,$A$2,"."&amp;D$83&amp;D$1&amp;"P"&amp;$A91)="N/A",0,RTD("tos.rtd",,$A$2,"."&amp;D$83&amp;D$1&amp;"P"&amp;$A91))</f>
        <v>0</v>
      </c>
      <c r="E91" s="91">
        <f ca="1">IF(RTD("tos.rtd",,$A$2,"."&amp;E$83&amp;E$1&amp;"C"&amp;$A91)="N/A",0,RTD("tos.rtd",,$A$2,"."&amp;E$83&amp;E$1&amp;"C"&amp;$A91))-IF(RTD("tos.rtd",,$A$2,"."&amp;E$83&amp;E$1&amp;"P"&amp;$A91)="N/A",0,RTD("tos.rtd",,$A$2,"."&amp;E$83&amp;E$1&amp;"P"&amp;$A91))</f>
        <v>0</v>
      </c>
      <c r="F91" s="91">
        <f ca="1">IF(RTD("tos.rtd",,$A$2,"."&amp;F$83&amp;F$1&amp;"C"&amp;$A91)="N/A",0,RTD("tos.rtd",,$A$2,"."&amp;F$83&amp;F$1&amp;"C"&amp;$A91))-IF(RTD("tos.rtd",,$A$2,"."&amp;F$83&amp;F$1&amp;"P"&amp;$A91)="N/A",0,RTD("tos.rtd",,$A$2,"."&amp;F$83&amp;F$1&amp;"P"&amp;$A91))</f>
        <v>0</v>
      </c>
      <c r="G91" s="91">
        <f ca="1">IF(RTD("tos.rtd",,$A$2,"."&amp;G$83&amp;G$1&amp;"C"&amp;$A91)="N/A",0,RTD("tos.rtd",,$A$2,"."&amp;G$83&amp;G$1&amp;"C"&amp;$A91))-IF(RTD("tos.rtd",,$A$2,"."&amp;G$83&amp;G$1&amp;"P"&amp;$A91)="N/A",0,RTD("tos.rtd",,$A$2,"."&amp;G$83&amp;G$1&amp;"P"&amp;$A91))</f>
        <v>0</v>
      </c>
      <c r="H91" s="91">
        <f ca="1">IF(RTD("tos.rtd",,$A$2,"."&amp;H$83&amp;H$1&amp;"C"&amp;$A91)="N/A",0,RTD("tos.rtd",,$A$2,"."&amp;H$83&amp;H$1&amp;"C"&amp;$A91))-IF(RTD("tos.rtd",,$A$2,"."&amp;H$83&amp;H$1&amp;"P"&amp;$A91)="N/A",0,RTD("tos.rtd",,$A$2,"."&amp;H$83&amp;H$1&amp;"P"&amp;$A91))</f>
        <v>0</v>
      </c>
      <c r="I91" s="91">
        <f ca="1">IF(RTD("tos.rtd",,$A$2,"."&amp;I$83&amp;I$1&amp;"C"&amp;$A91)="N/A",0,RTD("tos.rtd",,$A$2,"."&amp;I$83&amp;I$1&amp;"C"&amp;$A91))-IF(RTD("tos.rtd",,$A$2,"."&amp;I$83&amp;I$1&amp;"P"&amp;$A91)="N/A",0,RTD("tos.rtd",,$A$2,"."&amp;I$83&amp;I$1&amp;"P"&amp;$A91))</f>
        <v>0</v>
      </c>
      <c r="J91" s="91">
        <f ca="1">IF(RTD("tos.rtd",,$A$2,"."&amp;J$83&amp;J$1&amp;"C"&amp;$A91)="N/A",0,RTD("tos.rtd",,$A$2,"."&amp;J$83&amp;J$1&amp;"C"&amp;$A91))-IF(RTD("tos.rtd",,$A$2,"."&amp;J$83&amp;J$1&amp;"P"&amp;$A91)="N/A",0,RTD("tos.rtd",,$A$2,"."&amp;J$83&amp;J$1&amp;"P"&amp;$A91))</f>
        <v>0</v>
      </c>
      <c r="K91" s="91">
        <f ca="1">IF(RTD("tos.rtd",,$A$2,"."&amp;K$83&amp;K$1&amp;"C"&amp;$A91)="N/A",0,RTD("tos.rtd",,$A$2,"."&amp;K$83&amp;K$1&amp;"C"&amp;$A91))-IF(RTD("tos.rtd",,$A$2,"."&amp;K$83&amp;K$1&amp;"P"&amp;$A91)="N/A",0,RTD("tos.rtd",,$A$2,"."&amp;K$83&amp;K$1&amp;"P"&amp;$A91))</f>
        <v>0</v>
      </c>
      <c r="L91" s="91">
        <f ca="1">IF(RTD("tos.rtd",,$A$2,"."&amp;L$83&amp;L$1&amp;"C"&amp;$A91)="N/A",0,RTD("tos.rtd",,$A$2,"."&amp;L$83&amp;L$1&amp;"C"&amp;$A91))-IF(RTD("tos.rtd",,$A$2,"."&amp;L$83&amp;L$1&amp;"P"&amp;$A91)="N/A",0,RTD("tos.rtd",,$A$2,"."&amp;L$83&amp;L$1&amp;"P"&amp;$A91))</f>
        <v>0</v>
      </c>
      <c r="M91" s="91">
        <f ca="1">IF(RTD("tos.rtd",,$A$2,"."&amp;M$83&amp;M$1&amp;"C"&amp;$A91)="N/A",0,RTD("tos.rtd",,$A$2,"."&amp;M$83&amp;M$1&amp;"C"&amp;$A91))-IF(RTD("tos.rtd",,$A$2,"."&amp;M$83&amp;M$1&amp;"P"&amp;$A91)="N/A",0,RTD("tos.rtd",,$A$2,"."&amp;M$83&amp;M$1&amp;"P"&amp;$A91))</f>
        <v>0</v>
      </c>
      <c r="N91" s="91">
        <f ca="1">IF(RTD("tos.rtd",,$A$2,"."&amp;N$83&amp;N$1&amp;"C"&amp;$A91)="N/A",0,RTD("tos.rtd",,$A$2,"."&amp;N$83&amp;N$1&amp;"C"&amp;$A91))-IF(RTD("tos.rtd",,$A$2,"."&amp;N$83&amp;N$1&amp;"P"&amp;$A91)="N/A",0,RTD("tos.rtd",,$A$2,"."&amp;N$83&amp;N$1&amp;"P"&amp;$A91))</f>
        <v>0</v>
      </c>
      <c r="O91" s="91">
        <f ca="1">IF(RTD("tos.rtd",,$A$2,"."&amp;O$83&amp;O$1&amp;"C"&amp;$A91)="N/A",0,RTD("tos.rtd",,$A$2,"."&amp;O$83&amp;O$1&amp;"C"&amp;$A91))-IF(RTD("tos.rtd",,$A$2,"."&amp;O$83&amp;O$1&amp;"P"&amp;$A91)="N/A",0,RTD("tos.rtd",,$A$2,"."&amp;O$83&amp;O$1&amp;"P"&amp;$A91))</f>
        <v>0</v>
      </c>
      <c r="P91" s="91">
        <f ca="1">IF(RTD("tos.rtd",,$A$2,"."&amp;P$83&amp;P$1&amp;"C"&amp;$A91)="N/A",0,RTD("tos.rtd",,$A$2,"."&amp;P$83&amp;P$1&amp;"C"&amp;$A91))-IF(RTD("tos.rtd",,$A$2,"."&amp;P$83&amp;P$1&amp;"P"&amp;$A91)="N/A",0,RTD("tos.rtd",,$A$2,"."&amp;P$83&amp;P$1&amp;"P"&amp;$A91))</f>
        <v>0</v>
      </c>
      <c r="Q91" s="91">
        <f ca="1">IF(RTD("tos.rtd",,$A$2,"."&amp;Q$83&amp;Q$1&amp;"C"&amp;$A91)="N/A",0,RTD("tos.rtd",,$A$2,"."&amp;Q$83&amp;Q$1&amp;"C"&amp;$A91))-IF(RTD("tos.rtd",,$A$2,"."&amp;Q$83&amp;Q$1&amp;"P"&amp;$A91)="N/A",0,RTD("tos.rtd",,$A$2,"."&amp;Q$83&amp;Q$1&amp;"P"&amp;$A91))</f>
        <v>0</v>
      </c>
      <c r="R91" s="91">
        <f ca="1">IF(RTD("tos.rtd",,$A$2,"."&amp;R$83&amp;R$1&amp;"C"&amp;$A91)="N/A",0,RTD("tos.rtd",,$A$2,"."&amp;R$83&amp;R$1&amp;"C"&amp;$A91))-IF(RTD("tos.rtd",,$A$2,"."&amp;R$83&amp;R$1&amp;"P"&amp;$A91)="N/A",0,RTD("tos.rtd",,$A$2,"."&amp;R$83&amp;R$1&amp;"P"&amp;$A91))</f>
        <v>0</v>
      </c>
      <c r="S91" s="91">
        <f ca="1">IF(RTD("tos.rtd",,$A$2,"."&amp;S$83&amp;S$1&amp;"C"&amp;$A91)="N/A",0,RTD("tos.rtd",,$A$2,"."&amp;S$83&amp;S$1&amp;"C"&amp;$A91))-IF(RTD("tos.rtd",,$A$2,"."&amp;S$83&amp;S$1&amp;"P"&amp;$A91)="N/A",0,RTD("tos.rtd",,$A$2,"."&amp;S$83&amp;S$1&amp;"P"&amp;$A91))</f>
        <v>0</v>
      </c>
      <c r="T91" s="91">
        <f ca="1">IF(RTD("tos.rtd",,$A$2,"."&amp;T$83&amp;T$1&amp;"C"&amp;$A91)="N/A",0,RTD("tos.rtd",,$A$2,"."&amp;T$83&amp;T$1&amp;"C"&amp;$A91))-IF(RTD("tos.rtd",,$A$2,"."&amp;T$83&amp;T$1&amp;"P"&amp;$A91)="N/A",0,RTD("tos.rtd",,$A$2,"."&amp;T$83&amp;T$1&amp;"P"&amp;$A91))</f>
        <v>0</v>
      </c>
      <c r="U91" s="91">
        <f ca="1">IF(RTD("tos.rtd",,$A$2,"."&amp;U$83&amp;U$1&amp;"C"&amp;$A91)="N/A",0,RTD("tos.rtd",,$A$2,"."&amp;U$83&amp;U$1&amp;"C"&amp;$A91))-IF(RTD("tos.rtd",,$A$2,"."&amp;U$83&amp;U$1&amp;"P"&amp;$A91)="N/A",0,RTD("tos.rtd",,$A$2,"."&amp;U$83&amp;U$1&amp;"P"&amp;$A91))</f>
        <v>0</v>
      </c>
      <c r="V91" s="91">
        <f ca="1">IF(RTD("tos.rtd",,$A$2,"."&amp;V$83&amp;V$1&amp;"C"&amp;$A91)="N/A",0,RTD("tos.rtd",,$A$2,"."&amp;V$83&amp;V$1&amp;"C"&amp;$A91))-IF(RTD("tos.rtd",,$A$2,"."&amp;V$83&amp;V$1&amp;"P"&amp;$A91)="N/A",0,RTD("tos.rtd",,$A$2,"."&amp;V$83&amp;V$1&amp;"P"&amp;$A91))</f>
        <v>0</v>
      </c>
      <c r="W91" s="91">
        <f ca="1">IF(RTD("tos.rtd",,$A$2,"."&amp;W$83&amp;W$1&amp;"C"&amp;$A91)="N/A",0,RTD("tos.rtd",,$A$2,"."&amp;W$83&amp;W$1&amp;"C"&amp;$A91))-IF(RTD("tos.rtd",,$A$2,"."&amp;W$83&amp;W$1&amp;"P"&amp;$A91)="N/A",0,RTD("tos.rtd",,$A$2,"."&amp;W$83&amp;W$1&amp;"P"&amp;$A91))</f>
        <v>0</v>
      </c>
      <c r="X91" s="91">
        <f ca="1">IF(RTD("tos.rtd",,$A$2,"."&amp;X$83&amp;X$1&amp;"C"&amp;$A91)="N/A",0,RTD("tos.rtd",,$A$2,"."&amp;X$83&amp;X$1&amp;"C"&amp;$A91))-IF(RTD("tos.rtd",,$A$2,"."&amp;X$83&amp;X$1&amp;"P"&amp;$A91)="N/A",0,RTD("tos.rtd",,$A$2,"."&amp;X$83&amp;X$1&amp;"P"&amp;$A91))</f>
        <v>0</v>
      </c>
      <c r="Y91" s="98">
        <f t="shared" ca="1" si="10"/>
        <v>0</v>
      </c>
    </row>
    <row r="92" spans="1:25" x14ac:dyDescent="0.25">
      <c r="A92" s="93">
        <f>+Hoja1!A91</f>
        <v>5810</v>
      </c>
      <c r="B92" s="91">
        <f ca="1">IF(RTD("tos.rtd",,$A$2,"."&amp;B$83&amp;B$1&amp;"C"&amp;$A92)="N/A",0,RTD("tos.rtd",,$A$2,"."&amp;B$83&amp;B$1&amp;"C"&amp;$A92))-IF(RTD("tos.rtd",,$A$2,"."&amp;B$83&amp;B$1&amp;"P"&amp;$A92)="N/A",0,RTD("tos.rtd",,$A$2,"."&amp;B$83&amp;B$1&amp;"P"&amp;$A92))</f>
        <v>0</v>
      </c>
      <c r="C92" s="91">
        <f ca="1">IF(RTD("tos.rtd",,$A$2,"."&amp;C$83&amp;C$1&amp;"C"&amp;$A92)="N/A",0,RTD("tos.rtd",,$A$2,"."&amp;C$83&amp;C$1&amp;"C"&amp;$A92))-IF(RTD("tos.rtd",,$A$2,"."&amp;C$83&amp;C$1&amp;"P"&amp;$A92)="N/A",0,RTD("tos.rtd",,$A$2,"."&amp;C$83&amp;C$1&amp;"P"&amp;$A92))</f>
        <v>0</v>
      </c>
      <c r="D92" s="91">
        <f ca="1">IF(RTD("tos.rtd",,$A$2,"."&amp;D$83&amp;D$1&amp;"C"&amp;$A92)="N/A",0,RTD("tos.rtd",,$A$2,"."&amp;D$83&amp;D$1&amp;"C"&amp;$A92))-IF(RTD("tos.rtd",,$A$2,"."&amp;D$83&amp;D$1&amp;"P"&amp;$A92)="N/A",0,RTD("tos.rtd",,$A$2,"."&amp;D$83&amp;D$1&amp;"P"&amp;$A92))</f>
        <v>0</v>
      </c>
      <c r="E92" s="91">
        <f ca="1">IF(RTD("tos.rtd",,$A$2,"."&amp;E$83&amp;E$1&amp;"C"&amp;$A92)="N/A",0,RTD("tos.rtd",,$A$2,"."&amp;E$83&amp;E$1&amp;"C"&amp;$A92))-IF(RTD("tos.rtd",,$A$2,"."&amp;E$83&amp;E$1&amp;"P"&amp;$A92)="N/A",0,RTD("tos.rtd",,$A$2,"."&amp;E$83&amp;E$1&amp;"P"&amp;$A92))</f>
        <v>0</v>
      </c>
      <c r="F92" s="91">
        <f ca="1">IF(RTD("tos.rtd",,$A$2,"."&amp;F$83&amp;F$1&amp;"C"&amp;$A92)="N/A",0,RTD("tos.rtd",,$A$2,"."&amp;F$83&amp;F$1&amp;"C"&amp;$A92))-IF(RTD("tos.rtd",,$A$2,"."&amp;F$83&amp;F$1&amp;"P"&amp;$A92)="N/A",0,RTD("tos.rtd",,$A$2,"."&amp;F$83&amp;F$1&amp;"P"&amp;$A92))</f>
        <v>0</v>
      </c>
      <c r="G92" s="91">
        <f ca="1">IF(RTD("tos.rtd",,$A$2,"."&amp;G$83&amp;G$1&amp;"C"&amp;$A92)="N/A",0,RTD("tos.rtd",,$A$2,"."&amp;G$83&amp;G$1&amp;"C"&amp;$A92))-IF(RTD("tos.rtd",,$A$2,"."&amp;G$83&amp;G$1&amp;"P"&amp;$A92)="N/A",0,RTD("tos.rtd",,$A$2,"."&amp;G$83&amp;G$1&amp;"P"&amp;$A92))</f>
        <v>0</v>
      </c>
      <c r="H92" s="91">
        <f ca="1">IF(RTD("tos.rtd",,$A$2,"."&amp;H$83&amp;H$1&amp;"C"&amp;$A92)="N/A",0,RTD("tos.rtd",,$A$2,"."&amp;H$83&amp;H$1&amp;"C"&amp;$A92))-IF(RTD("tos.rtd",,$A$2,"."&amp;H$83&amp;H$1&amp;"P"&amp;$A92)="N/A",0,RTD("tos.rtd",,$A$2,"."&amp;H$83&amp;H$1&amp;"P"&amp;$A92))</f>
        <v>0</v>
      </c>
      <c r="I92" s="91">
        <f ca="1">IF(RTD("tos.rtd",,$A$2,"."&amp;I$83&amp;I$1&amp;"C"&amp;$A92)="N/A",0,RTD("tos.rtd",,$A$2,"."&amp;I$83&amp;I$1&amp;"C"&amp;$A92))-IF(RTD("tos.rtd",,$A$2,"."&amp;I$83&amp;I$1&amp;"P"&amp;$A92)="N/A",0,RTD("tos.rtd",,$A$2,"."&amp;I$83&amp;I$1&amp;"P"&amp;$A92))</f>
        <v>0</v>
      </c>
      <c r="J92" s="91">
        <f ca="1">IF(RTD("tos.rtd",,$A$2,"."&amp;J$83&amp;J$1&amp;"C"&amp;$A92)="N/A",0,RTD("tos.rtd",,$A$2,"."&amp;J$83&amp;J$1&amp;"C"&amp;$A92))-IF(RTD("tos.rtd",,$A$2,"."&amp;J$83&amp;J$1&amp;"P"&amp;$A92)="N/A",0,RTD("tos.rtd",,$A$2,"."&amp;J$83&amp;J$1&amp;"P"&amp;$A92))</f>
        <v>0</v>
      </c>
      <c r="K92" s="91">
        <f ca="1">IF(RTD("tos.rtd",,$A$2,"."&amp;K$83&amp;K$1&amp;"C"&amp;$A92)="N/A",0,RTD("tos.rtd",,$A$2,"."&amp;K$83&amp;K$1&amp;"C"&amp;$A92))-IF(RTD("tos.rtd",,$A$2,"."&amp;K$83&amp;K$1&amp;"P"&amp;$A92)="N/A",0,RTD("tos.rtd",,$A$2,"."&amp;K$83&amp;K$1&amp;"P"&amp;$A92))</f>
        <v>0</v>
      </c>
      <c r="L92" s="91">
        <f ca="1">IF(RTD("tos.rtd",,$A$2,"."&amp;L$83&amp;L$1&amp;"C"&amp;$A92)="N/A",0,RTD("tos.rtd",,$A$2,"."&amp;L$83&amp;L$1&amp;"C"&amp;$A92))-IF(RTD("tos.rtd",,$A$2,"."&amp;L$83&amp;L$1&amp;"P"&amp;$A92)="N/A",0,RTD("tos.rtd",,$A$2,"."&amp;L$83&amp;L$1&amp;"P"&amp;$A92))</f>
        <v>0</v>
      </c>
      <c r="M92" s="91">
        <f ca="1">IF(RTD("tos.rtd",,$A$2,"."&amp;M$83&amp;M$1&amp;"C"&amp;$A92)="N/A",0,RTD("tos.rtd",,$A$2,"."&amp;M$83&amp;M$1&amp;"C"&amp;$A92))-IF(RTD("tos.rtd",,$A$2,"."&amp;M$83&amp;M$1&amp;"P"&amp;$A92)="N/A",0,RTD("tos.rtd",,$A$2,"."&amp;M$83&amp;M$1&amp;"P"&amp;$A92))</f>
        <v>0</v>
      </c>
      <c r="N92" s="91">
        <f ca="1">IF(RTD("tos.rtd",,$A$2,"."&amp;N$83&amp;N$1&amp;"C"&amp;$A92)="N/A",0,RTD("tos.rtd",,$A$2,"."&amp;N$83&amp;N$1&amp;"C"&amp;$A92))-IF(RTD("tos.rtd",,$A$2,"."&amp;N$83&amp;N$1&amp;"P"&amp;$A92)="N/A",0,RTD("tos.rtd",,$A$2,"."&amp;N$83&amp;N$1&amp;"P"&amp;$A92))</f>
        <v>0</v>
      </c>
      <c r="O92" s="91">
        <f ca="1">IF(RTD("tos.rtd",,$A$2,"."&amp;O$83&amp;O$1&amp;"C"&amp;$A92)="N/A",0,RTD("tos.rtd",,$A$2,"."&amp;O$83&amp;O$1&amp;"C"&amp;$A92))-IF(RTD("tos.rtd",,$A$2,"."&amp;O$83&amp;O$1&amp;"P"&amp;$A92)="N/A",0,RTD("tos.rtd",,$A$2,"."&amp;O$83&amp;O$1&amp;"P"&amp;$A92))</f>
        <v>0</v>
      </c>
      <c r="P92" s="91">
        <f ca="1">IF(RTD("tos.rtd",,$A$2,"."&amp;P$83&amp;P$1&amp;"C"&amp;$A92)="N/A",0,RTD("tos.rtd",,$A$2,"."&amp;P$83&amp;P$1&amp;"C"&amp;$A92))-IF(RTD("tos.rtd",,$A$2,"."&amp;P$83&amp;P$1&amp;"P"&amp;$A92)="N/A",0,RTD("tos.rtd",,$A$2,"."&amp;P$83&amp;P$1&amp;"P"&amp;$A92))</f>
        <v>0</v>
      </c>
      <c r="Q92" s="91">
        <f ca="1">IF(RTD("tos.rtd",,$A$2,"."&amp;Q$83&amp;Q$1&amp;"C"&amp;$A92)="N/A",0,RTD("tos.rtd",,$A$2,"."&amp;Q$83&amp;Q$1&amp;"C"&amp;$A92))-IF(RTD("tos.rtd",,$A$2,"."&amp;Q$83&amp;Q$1&amp;"P"&amp;$A92)="N/A",0,RTD("tos.rtd",,$A$2,"."&amp;Q$83&amp;Q$1&amp;"P"&amp;$A92))</f>
        <v>0</v>
      </c>
      <c r="R92" s="91">
        <f ca="1">IF(RTD("tos.rtd",,$A$2,"."&amp;R$83&amp;R$1&amp;"C"&amp;$A92)="N/A",0,RTD("tos.rtd",,$A$2,"."&amp;R$83&amp;R$1&amp;"C"&amp;$A92))-IF(RTD("tos.rtd",,$A$2,"."&amp;R$83&amp;R$1&amp;"P"&amp;$A92)="N/A",0,RTD("tos.rtd",,$A$2,"."&amp;R$83&amp;R$1&amp;"P"&amp;$A92))</f>
        <v>0</v>
      </c>
      <c r="S92" s="91">
        <f ca="1">IF(RTD("tos.rtd",,$A$2,"."&amp;S$83&amp;S$1&amp;"C"&amp;$A92)="N/A",0,RTD("tos.rtd",,$A$2,"."&amp;S$83&amp;S$1&amp;"C"&amp;$A92))-IF(RTD("tos.rtd",,$A$2,"."&amp;S$83&amp;S$1&amp;"P"&amp;$A92)="N/A",0,RTD("tos.rtd",,$A$2,"."&amp;S$83&amp;S$1&amp;"P"&amp;$A92))</f>
        <v>0</v>
      </c>
      <c r="T92" s="91">
        <f ca="1">IF(RTD("tos.rtd",,$A$2,"."&amp;T$83&amp;T$1&amp;"C"&amp;$A92)="N/A",0,RTD("tos.rtd",,$A$2,"."&amp;T$83&amp;T$1&amp;"C"&amp;$A92))-IF(RTD("tos.rtd",,$A$2,"."&amp;T$83&amp;T$1&amp;"P"&amp;$A92)="N/A",0,RTD("tos.rtd",,$A$2,"."&amp;T$83&amp;T$1&amp;"P"&amp;$A92))</f>
        <v>0</v>
      </c>
      <c r="U92" s="91">
        <f ca="1">IF(RTD("tos.rtd",,$A$2,"."&amp;U$83&amp;U$1&amp;"C"&amp;$A92)="N/A",0,RTD("tos.rtd",,$A$2,"."&amp;U$83&amp;U$1&amp;"C"&amp;$A92))-IF(RTD("tos.rtd",,$A$2,"."&amp;U$83&amp;U$1&amp;"P"&amp;$A92)="N/A",0,RTD("tos.rtd",,$A$2,"."&amp;U$83&amp;U$1&amp;"P"&amp;$A92))</f>
        <v>0</v>
      </c>
      <c r="V92" s="91">
        <f ca="1">IF(RTD("tos.rtd",,$A$2,"."&amp;V$83&amp;V$1&amp;"C"&amp;$A92)="N/A",0,RTD("tos.rtd",,$A$2,"."&amp;V$83&amp;V$1&amp;"C"&amp;$A92))-IF(RTD("tos.rtd",,$A$2,"."&amp;V$83&amp;V$1&amp;"P"&amp;$A92)="N/A",0,RTD("tos.rtd",,$A$2,"."&amp;V$83&amp;V$1&amp;"P"&amp;$A92))</f>
        <v>0</v>
      </c>
      <c r="W92" s="91">
        <f ca="1">IF(RTD("tos.rtd",,$A$2,"."&amp;W$83&amp;W$1&amp;"C"&amp;$A92)="N/A",0,RTD("tos.rtd",,$A$2,"."&amp;W$83&amp;W$1&amp;"C"&amp;$A92))-IF(RTD("tos.rtd",,$A$2,"."&amp;W$83&amp;W$1&amp;"P"&amp;$A92)="N/A",0,RTD("tos.rtd",,$A$2,"."&amp;W$83&amp;W$1&amp;"P"&amp;$A92))</f>
        <v>0</v>
      </c>
      <c r="X92" s="91">
        <f ca="1">IF(RTD("tos.rtd",,$A$2,"."&amp;X$83&amp;X$1&amp;"C"&amp;$A92)="N/A",0,RTD("tos.rtd",,$A$2,"."&amp;X$83&amp;X$1&amp;"C"&amp;$A92))-IF(RTD("tos.rtd",,$A$2,"."&amp;X$83&amp;X$1&amp;"P"&amp;$A92)="N/A",0,RTD("tos.rtd",,$A$2,"."&amp;X$83&amp;X$1&amp;"P"&amp;$A92))</f>
        <v>0</v>
      </c>
      <c r="Y92" s="98">
        <f t="shared" ca="1" si="10"/>
        <v>0</v>
      </c>
    </row>
    <row r="93" spans="1:25" x14ac:dyDescent="0.25">
      <c r="A93" s="93">
        <f>+Hoja1!A92</f>
        <v>5800</v>
      </c>
      <c r="B93" s="91">
        <f ca="1">IF(RTD("tos.rtd",,$A$2,"."&amp;B$83&amp;B$1&amp;"C"&amp;$A93)="N/A",0,RTD("tos.rtd",,$A$2,"."&amp;B$83&amp;B$1&amp;"C"&amp;$A93))-IF(RTD("tos.rtd",,$A$2,"."&amp;B$83&amp;B$1&amp;"P"&amp;$A93)="N/A",0,RTD("tos.rtd",,$A$2,"."&amp;B$83&amp;B$1&amp;"P"&amp;$A93))</f>
        <v>0</v>
      </c>
      <c r="C93" s="91">
        <f ca="1">IF(RTD("tos.rtd",,$A$2,"."&amp;C$83&amp;C$1&amp;"C"&amp;$A93)="N/A",0,RTD("tos.rtd",,$A$2,"."&amp;C$83&amp;C$1&amp;"C"&amp;$A93))-IF(RTD("tos.rtd",,$A$2,"."&amp;C$83&amp;C$1&amp;"P"&amp;$A93)="N/A",0,RTD("tos.rtd",,$A$2,"."&amp;C$83&amp;C$1&amp;"P"&amp;$A93))</f>
        <v>0</v>
      </c>
      <c r="D93" s="91">
        <f ca="1">IF(RTD("tos.rtd",,$A$2,"."&amp;D$83&amp;D$1&amp;"C"&amp;$A93)="N/A",0,RTD("tos.rtd",,$A$2,"."&amp;D$83&amp;D$1&amp;"C"&amp;$A93))-IF(RTD("tos.rtd",,$A$2,"."&amp;D$83&amp;D$1&amp;"P"&amp;$A93)="N/A",0,RTD("tos.rtd",,$A$2,"."&amp;D$83&amp;D$1&amp;"P"&amp;$A93))</f>
        <v>0</v>
      </c>
      <c r="E93" s="91">
        <f ca="1">IF(RTD("tos.rtd",,$A$2,"."&amp;E$83&amp;E$1&amp;"C"&amp;$A93)="N/A",0,RTD("tos.rtd",,$A$2,"."&amp;E$83&amp;E$1&amp;"C"&amp;$A93))-IF(RTD("tos.rtd",,$A$2,"."&amp;E$83&amp;E$1&amp;"P"&amp;$A93)="N/A",0,RTD("tos.rtd",,$A$2,"."&amp;E$83&amp;E$1&amp;"P"&amp;$A93))</f>
        <v>0</v>
      </c>
      <c r="F93" s="91">
        <f ca="1">IF(RTD("tos.rtd",,$A$2,"."&amp;F$83&amp;F$1&amp;"C"&amp;$A93)="N/A",0,RTD("tos.rtd",,$A$2,"."&amp;F$83&amp;F$1&amp;"C"&amp;$A93))-IF(RTD("tos.rtd",,$A$2,"."&amp;F$83&amp;F$1&amp;"P"&amp;$A93)="N/A",0,RTD("tos.rtd",,$A$2,"."&amp;F$83&amp;F$1&amp;"P"&amp;$A93))</f>
        <v>0</v>
      </c>
      <c r="G93" s="91">
        <f ca="1">IF(RTD("tos.rtd",,$A$2,"."&amp;G$83&amp;G$1&amp;"C"&amp;$A93)="N/A",0,RTD("tos.rtd",,$A$2,"."&amp;G$83&amp;G$1&amp;"C"&amp;$A93))-IF(RTD("tos.rtd",,$A$2,"."&amp;G$83&amp;G$1&amp;"P"&amp;$A93)="N/A",0,RTD("tos.rtd",,$A$2,"."&amp;G$83&amp;G$1&amp;"P"&amp;$A93))</f>
        <v>0</v>
      </c>
      <c r="H93" s="91">
        <f ca="1">IF(RTD("tos.rtd",,$A$2,"."&amp;H$83&amp;H$1&amp;"C"&amp;$A93)="N/A",0,RTD("tos.rtd",,$A$2,"."&amp;H$83&amp;H$1&amp;"C"&amp;$A93))-IF(RTD("tos.rtd",,$A$2,"."&amp;H$83&amp;H$1&amp;"P"&amp;$A93)="N/A",0,RTD("tos.rtd",,$A$2,"."&amp;H$83&amp;H$1&amp;"P"&amp;$A93))</f>
        <v>0</v>
      </c>
      <c r="I93" s="91">
        <f ca="1">IF(RTD("tos.rtd",,$A$2,"."&amp;I$83&amp;I$1&amp;"C"&amp;$A93)="N/A",0,RTD("tos.rtd",,$A$2,"."&amp;I$83&amp;I$1&amp;"C"&amp;$A93))-IF(RTD("tos.rtd",,$A$2,"."&amp;I$83&amp;I$1&amp;"P"&amp;$A93)="N/A",0,RTD("tos.rtd",,$A$2,"."&amp;I$83&amp;I$1&amp;"P"&amp;$A93))</f>
        <v>0</v>
      </c>
      <c r="J93" s="91">
        <f ca="1">IF(RTD("tos.rtd",,$A$2,"."&amp;J$83&amp;J$1&amp;"C"&amp;$A93)="N/A",0,RTD("tos.rtd",,$A$2,"."&amp;J$83&amp;J$1&amp;"C"&amp;$A93))-IF(RTD("tos.rtd",,$A$2,"."&amp;J$83&amp;J$1&amp;"P"&amp;$A93)="N/A",0,RTD("tos.rtd",,$A$2,"."&amp;J$83&amp;J$1&amp;"P"&amp;$A93))</f>
        <v>0</v>
      </c>
      <c r="K93" s="91">
        <f ca="1">IF(RTD("tos.rtd",,$A$2,"."&amp;K$83&amp;K$1&amp;"C"&amp;$A93)="N/A",0,RTD("tos.rtd",,$A$2,"."&amp;K$83&amp;K$1&amp;"C"&amp;$A93))-IF(RTD("tos.rtd",,$A$2,"."&amp;K$83&amp;K$1&amp;"P"&amp;$A93)="N/A",0,RTD("tos.rtd",,$A$2,"."&amp;K$83&amp;K$1&amp;"P"&amp;$A93))</f>
        <v>0</v>
      </c>
      <c r="L93" s="91">
        <f ca="1">IF(RTD("tos.rtd",,$A$2,"."&amp;L$83&amp;L$1&amp;"C"&amp;$A93)="N/A",0,RTD("tos.rtd",,$A$2,"."&amp;L$83&amp;L$1&amp;"C"&amp;$A93))-IF(RTD("tos.rtd",,$A$2,"."&amp;L$83&amp;L$1&amp;"P"&amp;$A93)="N/A",0,RTD("tos.rtd",,$A$2,"."&amp;L$83&amp;L$1&amp;"P"&amp;$A93))</f>
        <v>0</v>
      </c>
      <c r="M93" s="91">
        <f ca="1">IF(RTD("tos.rtd",,$A$2,"."&amp;M$83&amp;M$1&amp;"C"&amp;$A93)="N/A",0,RTD("tos.rtd",,$A$2,"."&amp;M$83&amp;M$1&amp;"C"&amp;$A93))-IF(RTD("tos.rtd",,$A$2,"."&amp;M$83&amp;M$1&amp;"P"&amp;$A93)="N/A",0,RTD("tos.rtd",,$A$2,"."&amp;M$83&amp;M$1&amp;"P"&amp;$A93))</f>
        <v>0</v>
      </c>
      <c r="N93" s="91">
        <f ca="1">IF(RTD("tos.rtd",,$A$2,"."&amp;N$83&amp;N$1&amp;"C"&amp;$A93)="N/A",0,RTD("tos.rtd",,$A$2,"."&amp;N$83&amp;N$1&amp;"C"&amp;$A93))-IF(RTD("tos.rtd",,$A$2,"."&amp;N$83&amp;N$1&amp;"P"&amp;$A93)="N/A",0,RTD("tos.rtd",,$A$2,"."&amp;N$83&amp;N$1&amp;"P"&amp;$A93))</f>
        <v>0</v>
      </c>
      <c r="O93" s="91">
        <f ca="1">IF(RTD("tos.rtd",,$A$2,"."&amp;O$83&amp;O$1&amp;"C"&amp;$A93)="N/A",0,RTD("tos.rtd",,$A$2,"."&amp;O$83&amp;O$1&amp;"C"&amp;$A93))-IF(RTD("tos.rtd",,$A$2,"."&amp;O$83&amp;O$1&amp;"P"&amp;$A93)="N/A",0,RTD("tos.rtd",,$A$2,"."&amp;O$83&amp;O$1&amp;"P"&amp;$A93))</f>
        <v>1</v>
      </c>
      <c r="P93" s="91">
        <f ca="1">IF(RTD("tos.rtd",,$A$2,"."&amp;P$83&amp;P$1&amp;"C"&amp;$A93)="N/A",0,RTD("tos.rtd",,$A$2,"."&amp;P$83&amp;P$1&amp;"C"&amp;$A93))-IF(RTD("tos.rtd",,$A$2,"."&amp;P$83&amp;P$1&amp;"P"&amp;$A93)="N/A",0,RTD("tos.rtd",,$A$2,"."&amp;P$83&amp;P$1&amp;"P"&amp;$A93))</f>
        <v>0</v>
      </c>
      <c r="Q93" s="91">
        <f ca="1">IF(RTD("tos.rtd",,$A$2,"."&amp;Q$83&amp;Q$1&amp;"C"&amp;$A93)="N/A",0,RTD("tos.rtd",,$A$2,"."&amp;Q$83&amp;Q$1&amp;"C"&amp;$A93))-IF(RTD("tos.rtd",,$A$2,"."&amp;Q$83&amp;Q$1&amp;"P"&amp;$A93)="N/A",0,RTD("tos.rtd",,$A$2,"."&amp;Q$83&amp;Q$1&amp;"P"&amp;$A93))</f>
        <v>0</v>
      </c>
      <c r="R93" s="91">
        <f ca="1">IF(RTD("tos.rtd",,$A$2,"."&amp;R$83&amp;R$1&amp;"C"&amp;$A93)="N/A",0,RTD("tos.rtd",,$A$2,"."&amp;R$83&amp;R$1&amp;"C"&amp;$A93))-IF(RTD("tos.rtd",,$A$2,"."&amp;R$83&amp;R$1&amp;"P"&amp;$A93)="N/A",0,RTD("tos.rtd",,$A$2,"."&amp;R$83&amp;R$1&amp;"P"&amp;$A93))</f>
        <v>0</v>
      </c>
      <c r="S93" s="91">
        <f ca="1">IF(RTD("tos.rtd",,$A$2,"."&amp;S$83&amp;S$1&amp;"C"&amp;$A93)="N/A",0,RTD("tos.rtd",,$A$2,"."&amp;S$83&amp;S$1&amp;"C"&amp;$A93))-IF(RTD("tos.rtd",,$A$2,"."&amp;S$83&amp;S$1&amp;"P"&amp;$A93)="N/A",0,RTD("tos.rtd",,$A$2,"."&amp;S$83&amp;S$1&amp;"P"&amp;$A93))</f>
        <v>0</v>
      </c>
      <c r="T93" s="91">
        <f ca="1">IF(RTD("tos.rtd",,$A$2,"."&amp;T$83&amp;T$1&amp;"C"&amp;$A93)="N/A",0,RTD("tos.rtd",,$A$2,"."&amp;T$83&amp;T$1&amp;"C"&amp;$A93))-IF(RTD("tos.rtd",,$A$2,"."&amp;T$83&amp;T$1&amp;"P"&amp;$A93)="N/A",0,RTD("tos.rtd",,$A$2,"."&amp;T$83&amp;T$1&amp;"P"&amp;$A93))</f>
        <v>0</v>
      </c>
      <c r="U93" s="91">
        <f ca="1">IF(RTD("tos.rtd",,$A$2,"."&amp;U$83&amp;U$1&amp;"C"&amp;$A93)="N/A",0,RTD("tos.rtd",,$A$2,"."&amp;U$83&amp;U$1&amp;"C"&amp;$A93))-IF(RTD("tos.rtd",,$A$2,"."&amp;U$83&amp;U$1&amp;"P"&amp;$A93)="N/A",0,RTD("tos.rtd",,$A$2,"."&amp;U$83&amp;U$1&amp;"P"&amp;$A93))</f>
        <v>0</v>
      </c>
      <c r="V93" s="91">
        <f ca="1">IF(RTD("tos.rtd",,$A$2,"."&amp;V$83&amp;V$1&amp;"C"&amp;$A93)="N/A",0,RTD("tos.rtd",,$A$2,"."&amp;V$83&amp;V$1&amp;"C"&amp;$A93))-IF(RTD("tos.rtd",,$A$2,"."&amp;V$83&amp;V$1&amp;"P"&amp;$A93)="N/A",0,RTD("tos.rtd",,$A$2,"."&amp;V$83&amp;V$1&amp;"P"&amp;$A93))</f>
        <v>0</v>
      </c>
      <c r="W93" s="91">
        <f ca="1">IF(RTD("tos.rtd",,$A$2,"."&amp;W$83&amp;W$1&amp;"C"&amp;$A93)="N/A",0,RTD("tos.rtd",,$A$2,"."&amp;W$83&amp;W$1&amp;"C"&amp;$A93))-IF(RTD("tos.rtd",,$A$2,"."&amp;W$83&amp;W$1&amp;"P"&amp;$A93)="N/A",0,RTD("tos.rtd",,$A$2,"."&amp;W$83&amp;W$1&amp;"P"&amp;$A93))</f>
        <v>0</v>
      </c>
      <c r="X93" s="91">
        <f ca="1">IF(RTD("tos.rtd",,$A$2,"."&amp;X$83&amp;X$1&amp;"C"&amp;$A93)="N/A",0,RTD("tos.rtd",,$A$2,"."&amp;X$83&amp;X$1&amp;"C"&amp;$A93))-IF(RTD("tos.rtd",,$A$2,"."&amp;X$83&amp;X$1&amp;"P"&amp;$A93)="N/A",0,RTD("tos.rtd",,$A$2,"."&amp;X$83&amp;X$1&amp;"P"&amp;$A93))</f>
        <v>0</v>
      </c>
      <c r="Y93" s="98">
        <f t="shared" ca="1" si="10"/>
        <v>1</v>
      </c>
    </row>
    <row r="94" spans="1:25" x14ac:dyDescent="0.25">
      <c r="A94" s="93">
        <f>+Hoja1!A93</f>
        <v>5790</v>
      </c>
      <c r="B94" s="91">
        <f ca="1">IF(RTD("tos.rtd",,$A$2,"."&amp;B$83&amp;B$1&amp;"C"&amp;$A94)="N/A",0,RTD("tos.rtd",,$A$2,"."&amp;B$83&amp;B$1&amp;"C"&amp;$A94))-IF(RTD("tos.rtd",,$A$2,"."&amp;B$83&amp;B$1&amp;"P"&amp;$A94)="N/A",0,RTD("tos.rtd",,$A$2,"."&amp;B$83&amp;B$1&amp;"P"&amp;$A94))</f>
        <v>0</v>
      </c>
      <c r="C94" s="91">
        <f ca="1">IF(RTD("tos.rtd",,$A$2,"."&amp;C$83&amp;C$1&amp;"C"&amp;$A94)="N/A",0,RTD("tos.rtd",,$A$2,"."&amp;C$83&amp;C$1&amp;"C"&amp;$A94))-IF(RTD("tos.rtd",,$A$2,"."&amp;C$83&amp;C$1&amp;"P"&amp;$A94)="N/A",0,RTD("tos.rtd",,$A$2,"."&amp;C$83&amp;C$1&amp;"P"&amp;$A94))</f>
        <v>0</v>
      </c>
      <c r="D94" s="91">
        <f ca="1">IF(RTD("tos.rtd",,$A$2,"."&amp;D$83&amp;D$1&amp;"C"&amp;$A94)="N/A",0,RTD("tos.rtd",,$A$2,"."&amp;D$83&amp;D$1&amp;"C"&amp;$A94))-IF(RTD("tos.rtd",,$A$2,"."&amp;D$83&amp;D$1&amp;"P"&amp;$A94)="N/A",0,RTD("tos.rtd",,$A$2,"."&amp;D$83&amp;D$1&amp;"P"&amp;$A94))</f>
        <v>0</v>
      </c>
      <c r="E94" s="91">
        <f ca="1">IF(RTD("tos.rtd",,$A$2,"."&amp;E$83&amp;E$1&amp;"C"&amp;$A94)="N/A",0,RTD("tos.rtd",,$A$2,"."&amp;E$83&amp;E$1&amp;"C"&amp;$A94))-IF(RTD("tos.rtd",,$A$2,"."&amp;E$83&amp;E$1&amp;"P"&amp;$A94)="N/A",0,RTD("tos.rtd",,$A$2,"."&amp;E$83&amp;E$1&amp;"P"&amp;$A94))</f>
        <v>0</v>
      </c>
      <c r="F94" s="91">
        <f ca="1">IF(RTD("tos.rtd",,$A$2,"."&amp;F$83&amp;F$1&amp;"C"&amp;$A94)="N/A",0,RTD("tos.rtd",,$A$2,"."&amp;F$83&amp;F$1&amp;"C"&amp;$A94))-IF(RTD("tos.rtd",,$A$2,"."&amp;F$83&amp;F$1&amp;"P"&amp;$A94)="N/A",0,RTD("tos.rtd",,$A$2,"."&amp;F$83&amp;F$1&amp;"P"&amp;$A94))</f>
        <v>0</v>
      </c>
      <c r="G94" s="91">
        <f ca="1">IF(RTD("tos.rtd",,$A$2,"."&amp;G$83&amp;G$1&amp;"C"&amp;$A94)="N/A",0,RTD("tos.rtd",,$A$2,"."&amp;G$83&amp;G$1&amp;"C"&amp;$A94))-IF(RTD("tos.rtd",,$A$2,"."&amp;G$83&amp;G$1&amp;"P"&amp;$A94)="N/A",0,RTD("tos.rtd",,$A$2,"."&amp;G$83&amp;G$1&amp;"P"&amp;$A94))</f>
        <v>0</v>
      </c>
      <c r="H94" s="91">
        <f ca="1">IF(RTD("tos.rtd",,$A$2,"."&amp;H$83&amp;H$1&amp;"C"&amp;$A94)="N/A",0,RTD("tos.rtd",,$A$2,"."&amp;H$83&amp;H$1&amp;"C"&amp;$A94))-IF(RTD("tos.rtd",,$A$2,"."&amp;H$83&amp;H$1&amp;"P"&amp;$A94)="N/A",0,RTD("tos.rtd",,$A$2,"."&amp;H$83&amp;H$1&amp;"P"&amp;$A94))</f>
        <v>0</v>
      </c>
      <c r="I94" s="91">
        <f ca="1">IF(RTD("tos.rtd",,$A$2,"."&amp;I$83&amp;I$1&amp;"C"&amp;$A94)="N/A",0,RTD("tos.rtd",,$A$2,"."&amp;I$83&amp;I$1&amp;"C"&amp;$A94))-IF(RTD("tos.rtd",,$A$2,"."&amp;I$83&amp;I$1&amp;"P"&amp;$A94)="N/A",0,RTD("tos.rtd",,$A$2,"."&amp;I$83&amp;I$1&amp;"P"&amp;$A94))</f>
        <v>0</v>
      </c>
      <c r="J94" s="91">
        <f ca="1">IF(RTD("tos.rtd",,$A$2,"."&amp;J$83&amp;J$1&amp;"C"&amp;$A94)="N/A",0,RTD("tos.rtd",,$A$2,"."&amp;J$83&amp;J$1&amp;"C"&amp;$A94))-IF(RTD("tos.rtd",,$A$2,"."&amp;J$83&amp;J$1&amp;"P"&amp;$A94)="N/A",0,RTD("tos.rtd",,$A$2,"."&amp;J$83&amp;J$1&amp;"P"&amp;$A94))</f>
        <v>0</v>
      </c>
      <c r="K94" s="91">
        <f ca="1">IF(RTD("tos.rtd",,$A$2,"."&amp;K$83&amp;K$1&amp;"C"&amp;$A94)="N/A",0,RTD("tos.rtd",,$A$2,"."&amp;K$83&amp;K$1&amp;"C"&amp;$A94))-IF(RTD("tos.rtd",,$A$2,"."&amp;K$83&amp;K$1&amp;"P"&amp;$A94)="N/A",0,RTD("tos.rtd",,$A$2,"."&amp;K$83&amp;K$1&amp;"P"&amp;$A94))</f>
        <v>0</v>
      </c>
      <c r="L94" s="91">
        <f ca="1">IF(RTD("tos.rtd",,$A$2,"."&amp;L$83&amp;L$1&amp;"C"&amp;$A94)="N/A",0,RTD("tos.rtd",,$A$2,"."&amp;L$83&amp;L$1&amp;"C"&amp;$A94))-IF(RTD("tos.rtd",,$A$2,"."&amp;L$83&amp;L$1&amp;"P"&amp;$A94)="N/A",0,RTD("tos.rtd",,$A$2,"."&amp;L$83&amp;L$1&amp;"P"&amp;$A94))</f>
        <v>0</v>
      </c>
      <c r="M94" s="91">
        <f ca="1">IF(RTD("tos.rtd",,$A$2,"."&amp;M$83&amp;M$1&amp;"C"&amp;$A94)="N/A",0,RTD("tos.rtd",,$A$2,"."&amp;M$83&amp;M$1&amp;"C"&amp;$A94))-IF(RTD("tos.rtd",,$A$2,"."&amp;M$83&amp;M$1&amp;"P"&amp;$A94)="N/A",0,RTD("tos.rtd",,$A$2,"."&amp;M$83&amp;M$1&amp;"P"&amp;$A94))</f>
        <v>0</v>
      </c>
      <c r="N94" s="91">
        <f ca="1">IF(RTD("tos.rtd",,$A$2,"."&amp;N$83&amp;N$1&amp;"C"&amp;$A94)="N/A",0,RTD("tos.rtd",,$A$2,"."&amp;N$83&amp;N$1&amp;"C"&amp;$A94))-IF(RTD("tos.rtd",,$A$2,"."&amp;N$83&amp;N$1&amp;"P"&amp;$A94)="N/A",0,RTD("tos.rtd",,$A$2,"."&amp;N$83&amp;N$1&amp;"P"&amp;$A94))</f>
        <v>0</v>
      </c>
      <c r="O94" s="91">
        <f ca="1">IF(RTD("tos.rtd",,$A$2,"."&amp;O$83&amp;O$1&amp;"C"&amp;$A94)="N/A",0,RTD("tos.rtd",,$A$2,"."&amp;O$83&amp;O$1&amp;"C"&amp;$A94))-IF(RTD("tos.rtd",,$A$2,"."&amp;O$83&amp;O$1&amp;"P"&amp;$A94)="N/A",0,RTD("tos.rtd",,$A$2,"."&amp;O$83&amp;O$1&amp;"P"&amp;$A94))</f>
        <v>0</v>
      </c>
      <c r="P94" s="91">
        <f ca="1">IF(RTD("tos.rtd",,$A$2,"."&amp;P$83&amp;P$1&amp;"C"&amp;$A94)="N/A",0,RTD("tos.rtd",,$A$2,"."&amp;P$83&amp;P$1&amp;"C"&amp;$A94))-IF(RTD("tos.rtd",,$A$2,"."&amp;P$83&amp;P$1&amp;"P"&amp;$A94)="N/A",0,RTD("tos.rtd",,$A$2,"."&amp;P$83&amp;P$1&amp;"P"&amp;$A94))</f>
        <v>0</v>
      </c>
      <c r="Q94" s="91">
        <f ca="1">IF(RTD("tos.rtd",,$A$2,"."&amp;Q$83&amp;Q$1&amp;"C"&amp;$A94)="N/A",0,RTD("tos.rtd",,$A$2,"."&amp;Q$83&amp;Q$1&amp;"C"&amp;$A94))-IF(RTD("tos.rtd",,$A$2,"."&amp;Q$83&amp;Q$1&amp;"P"&amp;$A94)="N/A",0,RTD("tos.rtd",,$A$2,"."&amp;Q$83&amp;Q$1&amp;"P"&amp;$A94))</f>
        <v>0</v>
      </c>
      <c r="R94" s="91">
        <f ca="1">IF(RTD("tos.rtd",,$A$2,"."&amp;R$83&amp;R$1&amp;"C"&amp;$A94)="N/A",0,RTD("tos.rtd",,$A$2,"."&amp;R$83&amp;R$1&amp;"C"&amp;$A94))-IF(RTD("tos.rtd",,$A$2,"."&amp;R$83&amp;R$1&amp;"P"&amp;$A94)="N/A",0,RTD("tos.rtd",,$A$2,"."&amp;R$83&amp;R$1&amp;"P"&amp;$A94))</f>
        <v>0</v>
      </c>
      <c r="S94" s="91">
        <f ca="1">IF(RTD("tos.rtd",,$A$2,"."&amp;S$83&amp;S$1&amp;"C"&amp;$A94)="N/A",0,RTD("tos.rtd",,$A$2,"."&amp;S$83&amp;S$1&amp;"C"&amp;$A94))-IF(RTD("tos.rtd",,$A$2,"."&amp;S$83&amp;S$1&amp;"P"&amp;$A94)="N/A",0,RTD("tos.rtd",,$A$2,"."&amp;S$83&amp;S$1&amp;"P"&amp;$A94))</f>
        <v>0</v>
      </c>
      <c r="T94" s="91">
        <f ca="1">IF(RTD("tos.rtd",,$A$2,"."&amp;T$83&amp;T$1&amp;"C"&amp;$A94)="N/A",0,RTD("tos.rtd",,$A$2,"."&amp;T$83&amp;T$1&amp;"C"&amp;$A94))-IF(RTD("tos.rtd",,$A$2,"."&amp;T$83&amp;T$1&amp;"P"&amp;$A94)="N/A",0,RTD("tos.rtd",,$A$2,"."&amp;T$83&amp;T$1&amp;"P"&amp;$A94))</f>
        <v>0</v>
      </c>
      <c r="U94" s="91">
        <f ca="1">IF(RTD("tos.rtd",,$A$2,"."&amp;U$83&amp;U$1&amp;"C"&amp;$A94)="N/A",0,RTD("tos.rtd",,$A$2,"."&amp;U$83&amp;U$1&amp;"C"&amp;$A94))-IF(RTD("tos.rtd",,$A$2,"."&amp;U$83&amp;U$1&amp;"P"&amp;$A94)="N/A",0,RTD("tos.rtd",,$A$2,"."&amp;U$83&amp;U$1&amp;"P"&amp;$A94))</f>
        <v>0</v>
      </c>
      <c r="V94" s="91">
        <f ca="1">IF(RTD("tos.rtd",,$A$2,"."&amp;V$83&amp;V$1&amp;"C"&amp;$A94)="N/A",0,RTD("tos.rtd",,$A$2,"."&amp;V$83&amp;V$1&amp;"C"&amp;$A94))-IF(RTD("tos.rtd",,$A$2,"."&amp;V$83&amp;V$1&amp;"P"&amp;$A94)="N/A",0,RTD("tos.rtd",,$A$2,"."&amp;V$83&amp;V$1&amp;"P"&amp;$A94))</f>
        <v>0</v>
      </c>
      <c r="W94" s="91">
        <f ca="1">IF(RTD("tos.rtd",,$A$2,"."&amp;W$83&amp;W$1&amp;"C"&amp;$A94)="N/A",0,RTD("tos.rtd",,$A$2,"."&amp;W$83&amp;W$1&amp;"C"&amp;$A94))-IF(RTD("tos.rtd",,$A$2,"."&amp;W$83&amp;W$1&amp;"P"&amp;$A94)="N/A",0,RTD("tos.rtd",,$A$2,"."&amp;W$83&amp;W$1&amp;"P"&amp;$A94))</f>
        <v>0</v>
      </c>
      <c r="X94" s="91">
        <f ca="1">IF(RTD("tos.rtd",,$A$2,"."&amp;X$83&amp;X$1&amp;"C"&amp;$A94)="N/A",0,RTD("tos.rtd",,$A$2,"."&amp;X$83&amp;X$1&amp;"C"&amp;$A94))-IF(RTD("tos.rtd",,$A$2,"."&amp;X$83&amp;X$1&amp;"P"&amp;$A94)="N/A",0,RTD("tos.rtd",,$A$2,"."&amp;X$83&amp;X$1&amp;"P"&amp;$A94))</f>
        <v>0</v>
      </c>
      <c r="Y94" s="98">
        <f t="shared" ca="1" si="10"/>
        <v>0</v>
      </c>
    </row>
    <row r="95" spans="1:25" x14ac:dyDescent="0.25">
      <c r="A95" s="93">
        <f>+Hoja1!A94</f>
        <v>5780</v>
      </c>
      <c r="B95" s="91">
        <f ca="1">IF(RTD("tos.rtd",,$A$2,"."&amp;B$83&amp;B$1&amp;"C"&amp;$A95)="N/A",0,RTD("tos.rtd",,$A$2,"."&amp;B$83&amp;B$1&amp;"C"&amp;$A95))-IF(RTD("tos.rtd",,$A$2,"."&amp;B$83&amp;B$1&amp;"P"&amp;$A95)="N/A",0,RTD("tos.rtd",,$A$2,"."&amp;B$83&amp;B$1&amp;"P"&amp;$A95))</f>
        <v>0</v>
      </c>
      <c r="C95" s="91">
        <f ca="1">IF(RTD("tos.rtd",,$A$2,"."&amp;C$83&amp;C$1&amp;"C"&amp;$A95)="N/A",0,RTD("tos.rtd",,$A$2,"."&amp;C$83&amp;C$1&amp;"C"&amp;$A95))-IF(RTD("tos.rtd",,$A$2,"."&amp;C$83&amp;C$1&amp;"P"&amp;$A95)="N/A",0,RTD("tos.rtd",,$A$2,"."&amp;C$83&amp;C$1&amp;"P"&amp;$A95))</f>
        <v>0</v>
      </c>
      <c r="D95" s="91">
        <f ca="1">IF(RTD("tos.rtd",,$A$2,"."&amp;D$83&amp;D$1&amp;"C"&amp;$A95)="N/A",0,RTD("tos.rtd",,$A$2,"."&amp;D$83&amp;D$1&amp;"C"&amp;$A95))-IF(RTD("tos.rtd",,$A$2,"."&amp;D$83&amp;D$1&amp;"P"&amp;$A95)="N/A",0,RTD("tos.rtd",,$A$2,"."&amp;D$83&amp;D$1&amp;"P"&amp;$A95))</f>
        <v>0</v>
      </c>
      <c r="E95" s="91">
        <f ca="1">IF(RTD("tos.rtd",,$A$2,"."&amp;E$83&amp;E$1&amp;"C"&amp;$A95)="N/A",0,RTD("tos.rtd",,$A$2,"."&amp;E$83&amp;E$1&amp;"C"&amp;$A95))-IF(RTD("tos.rtd",,$A$2,"."&amp;E$83&amp;E$1&amp;"P"&amp;$A95)="N/A",0,RTD("tos.rtd",,$A$2,"."&amp;E$83&amp;E$1&amp;"P"&amp;$A95))</f>
        <v>0</v>
      </c>
      <c r="F95" s="91">
        <f ca="1">IF(RTD("tos.rtd",,$A$2,"."&amp;F$83&amp;F$1&amp;"C"&amp;$A95)="N/A",0,RTD("tos.rtd",,$A$2,"."&amp;F$83&amp;F$1&amp;"C"&amp;$A95))-IF(RTD("tos.rtd",,$A$2,"."&amp;F$83&amp;F$1&amp;"P"&amp;$A95)="N/A",0,RTD("tos.rtd",,$A$2,"."&amp;F$83&amp;F$1&amp;"P"&amp;$A95))</f>
        <v>0</v>
      </c>
      <c r="G95" s="91">
        <f ca="1">IF(RTD("tos.rtd",,$A$2,"."&amp;G$83&amp;G$1&amp;"C"&amp;$A95)="N/A",0,RTD("tos.rtd",,$A$2,"."&amp;G$83&amp;G$1&amp;"C"&amp;$A95))-IF(RTD("tos.rtd",,$A$2,"."&amp;G$83&amp;G$1&amp;"P"&amp;$A95)="N/A",0,RTD("tos.rtd",,$A$2,"."&amp;G$83&amp;G$1&amp;"P"&amp;$A95))</f>
        <v>0</v>
      </c>
      <c r="H95" s="91">
        <f ca="1">IF(RTD("tos.rtd",,$A$2,"."&amp;H$83&amp;H$1&amp;"C"&amp;$A95)="N/A",0,RTD("tos.rtd",,$A$2,"."&amp;H$83&amp;H$1&amp;"C"&amp;$A95))-IF(RTD("tos.rtd",,$A$2,"."&amp;H$83&amp;H$1&amp;"P"&amp;$A95)="N/A",0,RTD("tos.rtd",,$A$2,"."&amp;H$83&amp;H$1&amp;"P"&amp;$A95))</f>
        <v>0</v>
      </c>
      <c r="I95" s="91">
        <f ca="1">IF(RTD("tos.rtd",,$A$2,"."&amp;I$83&amp;I$1&amp;"C"&amp;$A95)="N/A",0,RTD("tos.rtd",,$A$2,"."&amp;I$83&amp;I$1&amp;"C"&amp;$A95))-IF(RTD("tos.rtd",,$A$2,"."&amp;I$83&amp;I$1&amp;"P"&amp;$A95)="N/A",0,RTD("tos.rtd",,$A$2,"."&amp;I$83&amp;I$1&amp;"P"&amp;$A95))</f>
        <v>0</v>
      </c>
      <c r="J95" s="91">
        <f ca="1">IF(RTD("tos.rtd",,$A$2,"."&amp;J$83&amp;J$1&amp;"C"&amp;$A95)="N/A",0,RTD("tos.rtd",,$A$2,"."&amp;J$83&amp;J$1&amp;"C"&amp;$A95))-IF(RTD("tos.rtd",,$A$2,"."&amp;J$83&amp;J$1&amp;"P"&amp;$A95)="N/A",0,RTD("tos.rtd",,$A$2,"."&amp;J$83&amp;J$1&amp;"P"&amp;$A95))</f>
        <v>0</v>
      </c>
      <c r="K95" s="91">
        <f ca="1">IF(RTD("tos.rtd",,$A$2,"."&amp;K$83&amp;K$1&amp;"C"&amp;$A95)="N/A",0,RTD("tos.rtd",,$A$2,"."&amp;K$83&amp;K$1&amp;"C"&amp;$A95))-IF(RTD("tos.rtd",,$A$2,"."&amp;K$83&amp;K$1&amp;"P"&amp;$A95)="N/A",0,RTD("tos.rtd",,$A$2,"."&amp;K$83&amp;K$1&amp;"P"&amp;$A95))</f>
        <v>0</v>
      </c>
      <c r="L95" s="91">
        <f ca="1">IF(RTD("tos.rtd",,$A$2,"."&amp;L$83&amp;L$1&amp;"C"&amp;$A95)="N/A",0,RTD("tos.rtd",,$A$2,"."&amp;L$83&amp;L$1&amp;"C"&amp;$A95))-IF(RTD("tos.rtd",,$A$2,"."&amp;L$83&amp;L$1&amp;"P"&amp;$A95)="N/A",0,RTD("tos.rtd",,$A$2,"."&amp;L$83&amp;L$1&amp;"P"&amp;$A95))</f>
        <v>0</v>
      </c>
      <c r="M95" s="91">
        <f ca="1">IF(RTD("tos.rtd",,$A$2,"."&amp;M$83&amp;M$1&amp;"C"&amp;$A95)="N/A",0,RTD("tos.rtd",,$A$2,"."&amp;M$83&amp;M$1&amp;"C"&amp;$A95))-IF(RTD("tos.rtd",,$A$2,"."&amp;M$83&amp;M$1&amp;"P"&amp;$A95)="N/A",0,RTD("tos.rtd",,$A$2,"."&amp;M$83&amp;M$1&amp;"P"&amp;$A95))</f>
        <v>0</v>
      </c>
      <c r="N95" s="91">
        <f ca="1">IF(RTD("tos.rtd",,$A$2,"."&amp;N$83&amp;N$1&amp;"C"&amp;$A95)="N/A",0,RTD("tos.rtd",,$A$2,"."&amp;N$83&amp;N$1&amp;"C"&amp;$A95))-IF(RTD("tos.rtd",,$A$2,"."&amp;N$83&amp;N$1&amp;"P"&amp;$A95)="N/A",0,RTD("tos.rtd",,$A$2,"."&amp;N$83&amp;N$1&amp;"P"&amp;$A95))</f>
        <v>0</v>
      </c>
      <c r="O95" s="91">
        <f ca="1">IF(RTD("tos.rtd",,$A$2,"."&amp;O$83&amp;O$1&amp;"C"&amp;$A95)="N/A",0,RTD("tos.rtd",,$A$2,"."&amp;O$83&amp;O$1&amp;"C"&amp;$A95))-IF(RTD("tos.rtd",,$A$2,"."&amp;O$83&amp;O$1&amp;"P"&amp;$A95)="N/A",0,RTD("tos.rtd",,$A$2,"."&amp;O$83&amp;O$1&amp;"P"&amp;$A95))</f>
        <v>0</v>
      </c>
      <c r="P95" s="91">
        <f ca="1">IF(RTD("tos.rtd",,$A$2,"."&amp;P$83&amp;P$1&amp;"C"&amp;$A95)="N/A",0,RTD("tos.rtd",,$A$2,"."&amp;P$83&amp;P$1&amp;"C"&amp;$A95))-IF(RTD("tos.rtd",,$A$2,"."&amp;P$83&amp;P$1&amp;"P"&amp;$A95)="N/A",0,RTD("tos.rtd",,$A$2,"."&amp;P$83&amp;P$1&amp;"P"&amp;$A95))</f>
        <v>0</v>
      </c>
      <c r="Q95" s="91">
        <f ca="1">IF(RTD("tos.rtd",,$A$2,"."&amp;Q$83&amp;Q$1&amp;"C"&amp;$A95)="N/A",0,RTD("tos.rtd",,$A$2,"."&amp;Q$83&amp;Q$1&amp;"C"&amp;$A95))-IF(RTD("tos.rtd",,$A$2,"."&amp;Q$83&amp;Q$1&amp;"P"&amp;$A95)="N/A",0,RTD("tos.rtd",,$A$2,"."&amp;Q$83&amp;Q$1&amp;"P"&amp;$A95))</f>
        <v>0</v>
      </c>
      <c r="R95" s="91">
        <f ca="1">IF(RTD("tos.rtd",,$A$2,"."&amp;R$83&amp;R$1&amp;"C"&amp;$A95)="N/A",0,RTD("tos.rtd",,$A$2,"."&amp;R$83&amp;R$1&amp;"C"&amp;$A95))-IF(RTD("tos.rtd",,$A$2,"."&amp;R$83&amp;R$1&amp;"P"&amp;$A95)="N/A",0,RTD("tos.rtd",,$A$2,"."&amp;R$83&amp;R$1&amp;"P"&amp;$A95))</f>
        <v>0</v>
      </c>
      <c r="S95" s="91">
        <f ca="1">IF(RTD("tos.rtd",,$A$2,"."&amp;S$83&amp;S$1&amp;"C"&amp;$A95)="N/A",0,RTD("tos.rtd",,$A$2,"."&amp;S$83&amp;S$1&amp;"C"&amp;$A95))-IF(RTD("tos.rtd",,$A$2,"."&amp;S$83&amp;S$1&amp;"P"&amp;$A95)="N/A",0,RTD("tos.rtd",,$A$2,"."&amp;S$83&amp;S$1&amp;"P"&amp;$A95))</f>
        <v>0</v>
      </c>
      <c r="T95" s="91">
        <f ca="1">IF(RTD("tos.rtd",,$A$2,"."&amp;T$83&amp;T$1&amp;"C"&amp;$A95)="N/A",0,RTD("tos.rtd",,$A$2,"."&amp;T$83&amp;T$1&amp;"C"&amp;$A95))-IF(RTD("tos.rtd",,$A$2,"."&amp;T$83&amp;T$1&amp;"P"&amp;$A95)="N/A",0,RTD("tos.rtd",,$A$2,"."&amp;T$83&amp;T$1&amp;"P"&amp;$A95))</f>
        <v>0</v>
      </c>
      <c r="U95" s="91">
        <f ca="1">IF(RTD("tos.rtd",,$A$2,"."&amp;U$83&amp;U$1&amp;"C"&amp;$A95)="N/A",0,RTD("tos.rtd",,$A$2,"."&amp;U$83&amp;U$1&amp;"C"&amp;$A95))-IF(RTD("tos.rtd",,$A$2,"."&amp;U$83&amp;U$1&amp;"P"&amp;$A95)="N/A",0,RTD("tos.rtd",,$A$2,"."&amp;U$83&amp;U$1&amp;"P"&amp;$A95))</f>
        <v>0</v>
      </c>
      <c r="V95" s="91">
        <f ca="1">IF(RTD("tos.rtd",,$A$2,"."&amp;V$83&amp;V$1&amp;"C"&amp;$A95)="N/A",0,RTD("tos.rtd",,$A$2,"."&amp;V$83&amp;V$1&amp;"C"&amp;$A95))-IF(RTD("tos.rtd",,$A$2,"."&amp;V$83&amp;V$1&amp;"P"&amp;$A95)="N/A",0,RTD("tos.rtd",,$A$2,"."&amp;V$83&amp;V$1&amp;"P"&amp;$A95))</f>
        <v>0</v>
      </c>
      <c r="W95" s="91">
        <f ca="1">IF(RTD("tos.rtd",,$A$2,"."&amp;W$83&amp;W$1&amp;"C"&amp;$A95)="N/A",0,RTD("tos.rtd",,$A$2,"."&amp;W$83&amp;W$1&amp;"C"&amp;$A95))-IF(RTD("tos.rtd",,$A$2,"."&amp;W$83&amp;W$1&amp;"P"&amp;$A95)="N/A",0,RTD("tos.rtd",,$A$2,"."&amp;W$83&amp;W$1&amp;"P"&amp;$A95))</f>
        <v>0</v>
      </c>
      <c r="X95" s="91">
        <f ca="1">IF(RTD("tos.rtd",,$A$2,"."&amp;X$83&amp;X$1&amp;"C"&amp;$A95)="N/A",0,RTD("tos.rtd",,$A$2,"."&amp;X$83&amp;X$1&amp;"C"&amp;$A95))-IF(RTD("tos.rtd",,$A$2,"."&amp;X$83&amp;X$1&amp;"P"&amp;$A95)="N/A",0,RTD("tos.rtd",,$A$2,"."&amp;X$83&amp;X$1&amp;"P"&amp;$A95))</f>
        <v>0</v>
      </c>
      <c r="Y95" s="98">
        <f t="shared" ca="1" si="10"/>
        <v>0</v>
      </c>
    </row>
    <row r="96" spans="1:25" x14ac:dyDescent="0.25">
      <c r="A96" s="93">
        <f>+Hoja1!A95</f>
        <v>5770</v>
      </c>
      <c r="B96" s="91">
        <f ca="1">IF(RTD("tos.rtd",,$A$2,"."&amp;B$83&amp;B$1&amp;"C"&amp;$A96)="N/A",0,RTD("tos.rtd",,$A$2,"."&amp;B$83&amp;B$1&amp;"C"&amp;$A96))-IF(RTD("tos.rtd",,$A$2,"."&amp;B$83&amp;B$1&amp;"P"&amp;$A96)="N/A",0,RTD("tos.rtd",,$A$2,"."&amp;B$83&amp;B$1&amp;"P"&amp;$A96))</f>
        <v>0</v>
      </c>
      <c r="C96" s="91">
        <f ca="1">IF(RTD("tos.rtd",,$A$2,"."&amp;C$83&amp;C$1&amp;"C"&amp;$A96)="N/A",0,RTD("tos.rtd",,$A$2,"."&amp;C$83&amp;C$1&amp;"C"&amp;$A96))-IF(RTD("tos.rtd",,$A$2,"."&amp;C$83&amp;C$1&amp;"P"&amp;$A96)="N/A",0,RTD("tos.rtd",,$A$2,"."&amp;C$83&amp;C$1&amp;"P"&amp;$A96))</f>
        <v>0</v>
      </c>
      <c r="D96" s="91">
        <f ca="1">IF(RTD("tos.rtd",,$A$2,"."&amp;D$83&amp;D$1&amp;"C"&amp;$A96)="N/A",0,RTD("tos.rtd",,$A$2,"."&amp;D$83&amp;D$1&amp;"C"&amp;$A96))-IF(RTD("tos.rtd",,$A$2,"."&amp;D$83&amp;D$1&amp;"P"&amp;$A96)="N/A",0,RTD("tos.rtd",,$A$2,"."&amp;D$83&amp;D$1&amp;"P"&amp;$A96))</f>
        <v>0</v>
      </c>
      <c r="E96" s="91">
        <f ca="1">IF(RTD("tos.rtd",,$A$2,"."&amp;E$83&amp;E$1&amp;"C"&amp;$A96)="N/A",0,RTD("tos.rtd",,$A$2,"."&amp;E$83&amp;E$1&amp;"C"&amp;$A96))-IF(RTD("tos.rtd",,$A$2,"."&amp;E$83&amp;E$1&amp;"P"&amp;$A96)="N/A",0,RTD("tos.rtd",,$A$2,"."&amp;E$83&amp;E$1&amp;"P"&amp;$A96))</f>
        <v>0</v>
      </c>
      <c r="F96" s="91">
        <f ca="1">IF(RTD("tos.rtd",,$A$2,"."&amp;F$83&amp;F$1&amp;"C"&amp;$A96)="N/A",0,RTD("tos.rtd",,$A$2,"."&amp;F$83&amp;F$1&amp;"C"&amp;$A96))-IF(RTD("tos.rtd",,$A$2,"."&amp;F$83&amp;F$1&amp;"P"&amp;$A96)="N/A",0,RTD("tos.rtd",,$A$2,"."&amp;F$83&amp;F$1&amp;"P"&amp;$A96))</f>
        <v>0</v>
      </c>
      <c r="G96" s="91">
        <f ca="1">IF(RTD("tos.rtd",,$A$2,"."&amp;G$83&amp;G$1&amp;"C"&amp;$A96)="N/A",0,RTD("tos.rtd",,$A$2,"."&amp;G$83&amp;G$1&amp;"C"&amp;$A96))-IF(RTD("tos.rtd",,$A$2,"."&amp;G$83&amp;G$1&amp;"P"&amp;$A96)="N/A",0,RTD("tos.rtd",,$A$2,"."&amp;G$83&amp;G$1&amp;"P"&amp;$A96))</f>
        <v>0</v>
      </c>
      <c r="H96" s="91">
        <f ca="1">IF(RTD("tos.rtd",,$A$2,"."&amp;H$83&amp;H$1&amp;"C"&amp;$A96)="N/A",0,RTD("tos.rtd",,$A$2,"."&amp;H$83&amp;H$1&amp;"C"&amp;$A96))-IF(RTD("tos.rtd",,$A$2,"."&amp;H$83&amp;H$1&amp;"P"&amp;$A96)="N/A",0,RTD("tos.rtd",,$A$2,"."&amp;H$83&amp;H$1&amp;"P"&amp;$A96))</f>
        <v>0</v>
      </c>
      <c r="I96" s="91">
        <f ca="1">IF(RTD("tos.rtd",,$A$2,"."&amp;I$83&amp;I$1&amp;"C"&amp;$A96)="N/A",0,RTD("tos.rtd",,$A$2,"."&amp;I$83&amp;I$1&amp;"C"&amp;$A96))-IF(RTD("tos.rtd",,$A$2,"."&amp;I$83&amp;I$1&amp;"P"&amp;$A96)="N/A",0,RTD("tos.rtd",,$A$2,"."&amp;I$83&amp;I$1&amp;"P"&amp;$A96))</f>
        <v>0</v>
      </c>
      <c r="J96" s="91">
        <f ca="1">IF(RTD("tos.rtd",,$A$2,"."&amp;J$83&amp;J$1&amp;"C"&amp;$A96)="N/A",0,RTD("tos.rtd",,$A$2,"."&amp;J$83&amp;J$1&amp;"C"&amp;$A96))-IF(RTD("tos.rtd",,$A$2,"."&amp;J$83&amp;J$1&amp;"P"&amp;$A96)="N/A",0,RTD("tos.rtd",,$A$2,"."&amp;J$83&amp;J$1&amp;"P"&amp;$A96))</f>
        <v>0</v>
      </c>
      <c r="K96" s="91">
        <f ca="1">IF(RTD("tos.rtd",,$A$2,"."&amp;K$83&amp;K$1&amp;"C"&amp;$A96)="N/A",0,RTD("tos.rtd",,$A$2,"."&amp;K$83&amp;K$1&amp;"C"&amp;$A96))-IF(RTD("tos.rtd",,$A$2,"."&amp;K$83&amp;K$1&amp;"P"&amp;$A96)="N/A",0,RTD("tos.rtd",,$A$2,"."&amp;K$83&amp;K$1&amp;"P"&amp;$A96))</f>
        <v>0</v>
      </c>
      <c r="L96" s="91">
        <f ca="1">IF(RTD("tos.rtd",,$A$2,"."&amp;L$83&amp;L$1&amp;"C"&amp;$A96)="N/A",0,RTD("tos.rtd",,$A$2,"."&amp;L$83&amp;L$1&amp;"C"&amp;$A96))-IF(RTD("tos.rtd",,$A$2,"."&amp;L$83&amp;L$1&amp;"P"&amp;$A96)="N/A",0,RTD("tos.rtd",,$A$2,"."&amp;L$83&amp;L$1&amp;"P"&amp;$A96))</f>
        <v>0</v>
      </c>
      <c r="M96" s="91">
        <f ca="1">IF(RTD("tos.rtd",,$A$2,"."&amp;M$83&amp;M$1&amp;"C"&amp;$A96)="N/A",0,RTD("tos.rtd",,$A$2,"."&amp;M$83&amp;M$1&amp;"C"&amp;$A96))-IF(RTD("tos.rtd",,$A$2,"."&amp;M$83&amp;M$1&amp;"P"&amp;$A96)="N/A",0,RTD("tos.rtd",,$A$2,"."&amp;M$83&amp;M$1&amp;"P"&amp;$A96))</f>
        <v>0</v>
      </c>
      <c r="N96" s="91">
        <f ca="1">IF(RTD("tos.rtd",,$A$2,"."&amp;N$83&amp;N$1&amp;"C"&amp;$A96)="N/A",0,RTD("tos.rtd",,$A$2,"."&amp;N$83&amp;N$1&amp;"C"&amp;$A96))-IF(RTD("tos.rtd",,$A$2,"."&amp;N$83&amp;N$1&amp;"P"&amp;$A96)="N/A",0,RTD("tos.rtd",,$A$2,"."&amp;N$83&amp;N$1&amp;"P"&amp;$A96))</f>
        <v>0</v>
      </c>
      <c r="O96" s="91">
        <f ca="1">IF(RTD("tos.rtd",,$A$2,"."&amp;O$83&amp;O$1&amp;"C"&amp;$A96)="N/A",0,RTD("tos.rtd",,$A$2,"."&amp;O$83&amp;O$1&amp;"C"&amp;$A96))-IF(RTD("tos.rtd",,$A$2,"."&amp;O$83&amp;O$1&amp;"P"&amp;$A96)="N/A",0,RTD("tos.rtd",,$A$2,"."&amp;O$83&amp;O$1&amp;"P"&amp;$A96))</f>
        <v>0</v>
      </c>
      <c r="P96" s="91">
        <f ca="1">IF(RTD("tos.rtd",,$A$2,"."&amp;P$83&amp;P$1&amp;"C"&amp;$A96)="N/A",0,RTD("tos.rtd",,$A$2,"."&amp;P$83&amp;P$1&amp;"C"&amp;$A96))-IF(RTD("tos.rtd",,$A$2,"."&amp;P$83&amp;P$1&amp;"P"&amp;$A96)="N/A",0,RTD("tos.rtd",,$A$2,"."&amp;P$83&amp;P$1&amp;"P"&amp;$A96))</f>
        <v>0</v>
      </c>
      <c r="Q96" s="91">
        <f ca="1">IF(RTD("tos.rtd",,$A$2,"."&amp;Q$83&amp;Q$1&amp;"C"&amp;$A96)="N/A",0,RTD("tos.rtd",,$A$2,"."&amp;Q$83&amp;Q$1&amp;"C"&amp;$A96))-IF(RTD("tos.rtd",,$A$2,"."&amp;Q$83&amp;Q$1&amp;"P"&amp;$A96)="N/A",0,RTD("tos.rtd",,$A$2,"."&amp;Q$83&amp;Q$1&amp;"P"&amp;$A96))</f>
        <v>0</v>
      </c>
      <c r="R96" s="91">
        <f ca="1">IF(RTD("tos.rtd",,$A$2,"."&amp;R$83&amp;R$1&amp;"C"&amp;$A96)="N/A",0,RTD("tos.rtd",,$A$2,"."&amp;R$83&amp;R$1&amp;"C"&amp;$A96))-IF(RTD("tos.rtd",,$A$2,"."&amp;R$83&amp;R$1&amp;"P"&amp;$A96)="N/A",0,RTD("tos.rtd",,$A$2,"."&amp;R$83&amp;R$1&amp;"P"&amp;$A96))</f>
        <v>0</v>
      </c>
      <c r="S96" s="91">
        <f ca="1">IF(RTD("tos.rtd",,$A$2,"."&amp;S$83&amp;S$1&amp;"C"&amp;$A96)="N/A",0,RTD("tos.rtd",,$A$2,"."&amp;S$83&amp;S$1&amp;"C"&amp;$A96))-IF(RTD("tos.rtd",,$A$2,"."&amp;S$83&amp;S$1&amp;"P"&amp;$A96)="N/A",0,RTD("tos.rtd",,$A$2,"."&amp;S$83&amp;S$1&amp;"P"&amp;$A96))</f>
        <v>0</v>
      </c>
      <c r="T96" s="91">
        <f ca="1">IF(RTD("tos.rtd",,$A$2,"."&amp;T$83&amp;T$1&amp;"C"&amp;$A96)="N/A",0,RTD("tos.rtd",,$A$2,"."&amp;T$83&amp;T$1&amp;"C"&amp;$A96))-IF(RTD("tos.rtd",,$A$2,"."&amp;T$83&amp;T$1&amp;"P"&amp;$A96)="N/A",0,RTD("tos.rtd",,$A$2,"."&amp;T$83&amp;T$1&amp;"P"&amp;$A96))</f>
        <v>0</v>
      </c>
      <c r="U96" s="91">
        <f ca="1">IF(RTD("tos.rtd",,$A$2,"."&amp;U$83&amp;U$1&amp;"C"&amp;$A96)="N/A",0,RTD("tos.rtd",,$A$2,"."&amp;U$83&amp;U$1&amp;"C"&amp;$A96))-IF(RTD("tos.rtd",,$A$2,"."&amp;U$83&amp;U$1&amp;"P"&amp;$A96)="N/A",0,RTD("tos.rtd",,$A$2,"."&amp;U$83&amp;U$1&amp;"P"&amp;$A96))</f>
        <v>0</v>
      </c>
      <c r="V96" s="91">
        <f ca="1">IF(RTD("tos.rtd",,$A$2,"."&amp;V$83&amp;V$1&amp;"C"&amp;$A96)="N/A",0,RTD("tos.rtd",,$A$2,"."&amp;V$83&amp;V$1&amp;"C"&amp;$A96))-IF(RTD("tos.rtd",,$A$2,"."&amp;V$83&amp;V$1&amp;"P"&amp;$A96)="N/A",0,RTD("tos.rtd",,$A$2,"."&amp;V$83&amp;V$1&amp;"P"&amp;$A96))</f>
        <v>0</v>
      </c>
      <c r="W96" s="91">
        <f ca="1">IF(RTD("tos.rtd",,$A$2,"."&amp;W$83&amp;W$1&amp;"C"&amp;$A96)="N/A",0,RTD("tos.rtd",,$A$2,"."&amp;W$83&amp;W$1&amp;"C"&amp;$A96))-IF(RTD("tos.rtd",,$A$2,"."&amp;W$83&amp;W$1&amp;"P"&amp;$A96)="N/A",0,RTD("tos.rtd",,$A$2,"."&amp;W$83&amp;W$1&amp;"P"&amp;$A96))</f>
        <v>0</v>
      </c>
      <c r="X96" s="91">
        <f ca="1">IF(RTD("tos.rtd",,$A$2,"."&amp;X$83&amp;X$1&amp;"C"&amp;$A96)="N/A",0,RTD("tos.rtd",,$A$2,"."&amp;X$83&amp;X$1&amp;"C"&amp;$A96))-IF(RTD("tos.rtd",,$A$2,"."&amp;X$83&amp;X$1&amp;"P"&amp;$A96)="N/A",0,RTD("tos.rtd",,$A$2,"."&amp;X$83&amp;X$1&amp;"P"&amp;$A96))</f>
        <v>0</v>
      </c>
      <c r="Y96" s="98">
        <f t="shared" ca="1" si="10"/>
        <v>0</v>
      </c>
    </row>
    <row r="97" spans="1:25" x14ac:dyDescent="0.25">
      <c r="A97" s="93">
        <f>+Hoja1!A96</f>
        <v>5760</v>
      </c>
      <c r="B97" s="91">
        <f ca="1">IF(RTD("tos.rtd",,$A$2,"."&amp;B$83&amp;B$1&amp;"C"&amp;$A97)="N/A",0,RTD("tos.rtd",,$A$2,"."&amp;B$83&amp;B$1&amp;"C"&amp;$A97))-IF(RTD("tos.rtd",,$A$2,"."&amp;B$83&amp;B$1&amp;"P"&amp;$A97)="N/A",0,RTD("tos.rtd",,$A$2,"."&amp;B$83&amp;B$1&amp;"P"&amp;$A97))</f>
        <v>0</v>
      </c>
      <c r="C97" s="91">
        <f ca="1">IF(RTD("tos.rtd",,$A$2,"."&amp;C$83&amp;C$1&amp;"C"&amp;$A97)="N/A",0,RTD("tos.rtd",,$A$2,"."&amp;C$83&amp;C$1&amp;"C"&amp;$A97))-IF(RTD("tos.rtd",,$A$2,"."&amp;C$83&amp;C$1&amp;"P"&amp;$A97)="N/A",0,RTD("tos.rtd",,$A$2,"."&amp;C$83&amp;C$1&amp;"P"&amp;$A97))</f>
        <v>0</v>
      </c>
      <c r="D97" s="91">
        <f ca="1">IF(RTD("tos.rtd",,$A$2,"."&amp;D$83&amp;D$1&amp;"C"&amp;$A97)="N/A",0,RTD("tos.rtd",,$A$2,"."&amp;D$83&amp;D$1&amp;"C"&amp;$A97))-IF(RTD("tos.rtd",,$A$2,"."&amp;D$83&amp;D$1&amp;"P"&amp;$A97)="N/A",0,RTD("tos.rtd",,$A$2,"."&amp;D$83&amp;D$1&amp;"P"&amp;$A97))</f>
        <v>0</v>
      </c>
      <c r="E97" s="91">
        <f ca="1">IF(RTD("tos.rtd",,$A$2,"."&amp;E$83&amp;E$1&amp;"C"&amp;$A97)="N/A",0,RTD("tos.rtd",,$A$2,"."&amp;E$83&amp;E$1&amp;"C"&amp;$A97))-IF(RTD("tos.rtd",,$A$2,"."&amp;E$83&amp;E$1&amp;"P"&amp;$A97)="N/A",0,RTD("tos.rtd",,$A$2,"."&amp;E$83&amp;E$1&amp;"P"&amp;$A97))</f>
        <v>0</v>
      </c>
      <c r="F97" s="91">
        <f ca="1">IF(RTD("tos.rtd",,$A$2,"."&amp;F$83&amp;F$1&amp;"C"&amp;$A97)="N/A",0,RTD("tos.rtd",,$A$2,"."&amp;F$83&amp;F$1&amp;"C"&amp;$A97))-IF(RTD("tos.rtd",,$A$2,"."&amp;F$83&amp;F$1&amp;"P"&amp;$A97)="N/A",0,RTD("tos.rtd",,$A$2,"."&amp;F$83&amp;F$1&amp;"P"&amp;$A97))</f>
        <v>0</v>
      </c>
      <c r="G97" s="91">
        <f ca="1">IF(RTD("tos.rtd",,$A$2,"."&amp;G$83&amp;G$1&amp;"C"&amp;$A97)="N/A",0,RTD("tos.rtd",,$A$2,"."&amp;G$83&amp;G$1&amp;"C"&amp;$A97))-IF(RTD("tos.rtd",,$A$2,"."&amp;G$83&amp;G$1&amp;"P"&amp;$A97)="N/A",0,RTD("tos.rtd",,$A$2,"."&amp;G$83&amp;G$1&amp;"P"&amp;$A97))</f>
        <v>0</v>
      </c>
      <c r="H97" s="91">
        <f ca="1">IF(RTD("tos.rtd",,$A$2,"."&amp;H$83&amp;H$1&amp;"C"&amp;$A97)="N/A",0,RTD("tos.rtd",,$A$2,"."&amp;H$83&amp;H$1&amp;"C"&amp;$A97))-IF(RTD("tos.rtd",,$A$2,"."&amp;H$83&amp;H$1&amp;"P"&amp;$A97)="N/A",0,RTD("tos.rtd",,$A$2,"."&amp;H$83&amp;H$1&amp;"P"&amp;$A97))</f>
        <v>0</v>
      </c>
      <c r="I97" s="91">
        <f ca="1">IF(RTD("tos.rtd",,$A$2,"."&amp;I$83&amp;I$1&amp;"C"&amp;$A97)="N/A",0,RTD("tos.rtd",,$A$2,"."&amp;I$83&amp;I$1&amp;"C"&amp;$A97))-IF(RTD("tos.rtd",,$A$2,"."&amp;I$83&amp;I$1&amp;"P"&amp;$A97)="N/A",0,RTD("tos.rtd",,$A$2,"."&amp;I$83&amp;I$1&amp;"P"&amp;$A97))</f>
        <v>0</v>
      </c>
      <c r="J97" s="91">
        <f ca="1">IF(RTD("tos.rtd",,$A$2,"."&amp;J$83&amp;J$1&amp;"C"&amp;$A97)="N/A",0,RTD("tos.rtd",,$A$2,"."&amp;J$83&amp;J$1&amp;"C"&amp;$A97))-IF(RTD("tos.rtd",,$A$2,"."&amp;J$83&amp;J$1&amp;"P"&amp;$A97)="N/A",0,RTD("tos.rtd",,$A$2,"."&amp;J$83&amp;J$1&amp;"P"&amp;$A97))</f>
        <v>0</v>
      </c>
      <c r="K97" s="91">
        <f ca="1">IF(RTD("tos.rtd",,$A$2,"."&amp;K$83&amp;K$1&amp;"C"&amp;$A97)="N/A",0,RTD("tos.rtd",,$A$2,"."&amp;K$83&amp;K$1&amp;"C"&amp;$A97))-IF(RTD("tos.rtd",,$A$2,"."&amp;K$83&amp;K$1&amp;"P"&amp;$A97)="N/A",0,RTD("tos.rtd",,$A$2,"."&amp;K$83&amp;K$1&amp;"P"&amp;$A97))</f>
        <v>0</v>
      </c>
      <c r="L97" s="91">
        <f ca="1">IF(RTD("tos.rtd",,$A$2,"."&amp;L$83&amp;L$1&amp;"C"&amp;$A97)="N/A",0,RTD("tos.rtd",,$A$2,"."&amp;L$83&amp;L$1&amp;"C"&amp;$A97))-IF(RTD("tos.rtd",,$A$2,"."&amp;L$83&amp;L$1&amp;"P"&amp;$A97)="N/A",0,RTD("tos.rtd",,$A$2,"."&amp;L$83&amp;L$1&amp;"P"&amp;$A97))</f>
        <v>0</v>
      </c>
      <c r="M97" s="91">
        <f ca="1">IF(RTD("tos.rtd",,$A$2,"."&amp;M$83&amp;M$1&amp;"C"&amp;$A97)="N/A",0,RTD("tos.rtd",,$A$2,"."&amp;M$83&amp;M$1&amp;"C"&amp;$A97))-IF(RTD("tos.rtd",,$A$2,"."&amp;M$83&amp;M$1&amp;"P"&amp;$A97)="N/A",0,RTD("tos.rtd",,$A$2,"."&amp;M$83&amp;M$1&amp;"P"&amp;$A97))</f>
        <v>0</v>
      </c>
      <c r="N97" s="91">
        <f ca="1">IF(RTD("tos.rtd",,$A$2,"."&amp;N$83&amp;N$1&amp;"C"&amp;$A97)="N/A",0,RTD("tos.rtd",,$A$2,"."&amp;N$83&amp;N$1&amp;"C"&amp;$A97))-IF(RTD("tos.rtd",,$A$2,"."&amp;N$83&amp;N$1&amp;"P"&amp;$A97)="N/A",0,RTD("tos.rtd",,$A$2,"."&amp;N$83&amp;N$1&amp;"P"&amp;$A97))</f>
        <v>0</v>
      </c>
      <c r="O97" s="91">
        <f ca="1">IF(RTD("tos.rtd",,$A$2,"."&amp;O$83&amp;O$1&amp;"C"&amp;$A97)="N/A",0,RTD("tos.rtd",,$A$2,"."&amp;O$83&amp;O$1&amp;"C"&amp;$A97))-IF(RTD("tos.rtd",,$A$2,"."&amp;O$83&amp;O$1&amp;"P"&amp;$A97)="N/A",0,RTD("tos.rtd",,$A$2,"."&amp;O$83&amp;O$1&amp;"P"&amp;$A97))</f>
        <v>0</v>
      </c>
      <c r="P97" s="91">
        <f ca="1">IF(RTD("tos.rtd",,$A$2,"."&amp;P$83&amp;P$1&amp;"C"&amp;$A97)="N/A",0,RTD("tos.rtd",,$A$2,"."&amp;P$83&amp;P$1&amp;"C"&amp;$A97))-IF(RTD("tos.rtd",,$A$2,"."&amp;P$83&amp;P$1&amp;"P"&amp;$A97)="N/A",0,RTD("tos.rtd",,$A$2,"."&amp;P$83&amp;P$1&amp;"P"&amp;$A97))</f>
        <v>0</v>
      </c>
      <c r="Q97" s="91">
        <f ca="1">IF(RTD("tos.rtd",,$A$2,"."&amp;Q$83&amp;Q$1&amp;"C"&amp;$A97)="N/A",0,RTD("tos.rtd",,$A$2,"."&amp;Q$83&amp;Q$1&amp;"C"&amp;$A97))-IF(RTD("tos.rtd",,$A$2,"."&amp;Q$83&amp;Q$1&amp;"P"&amp;$A97)="N/A",0,RTD("tos.rtd",,$A$2,"."&amp;Q$83&amp;Q$1&amp;"P"&amp;$A97))</f>
        <v>0</v>
      </c>
      <c r="R97" s="91">
        <f ca="1">IF(RTD("tos.rtd",,$A$2,"."&amp;R$83&amp;R$1&amp;"C"&amp;$A97)="N/A",0,RTD("tos.rtd",,$A$2,"."&amp;R$83&amp;R$1&amp;"C"&amp;$A97))-IF(RTD("tos.rtd",,$A$2,"."&amp;R$83&amp;R$1&amp;"P"&amp;$A97)="N/A",0,RTD("tos.rtd",,$A$2,"."&amp;R$83&amp;R$1&amp;"P"&amp;$A97))</f>
        <v>0</v>
      </c>
      <c r="S97" s="91">
        <f ca="1">IF(RTD("tos.rtd",,$A$2,"."&amp;S$83&amp;S$1&amp;"C"&amp;$A97)="N/A",0,RTD("tos.rtd",,$A$2,"."&amp;S$83&amp;S$1&amp;"C"&amp;$A97))-IF(RTD("tos.rtd",,$A$2,"."&amp;S$83&amp;S$1&amp;"P"&amp;$A97)="N/A",0,RTD("tos.rtd",,$A$2,"."&amp;S$83&amp;S$1&amp;"P"&amp;$A97))</f>
        <v>0</v>
      </c>
      <c r="T97" s="91">
        <f ca="1">IF(RTD("tos.rtd",,$A$2,"."&amp;T$83&amp;T$1&amp;"C"&amp;$A97)="N/A",0,RTD("tos.rtd",,$A$2,"."&amp;T$83&amp;T$1&amp;"C"&amp;$A97))-IF(RTD("tos.rtd",,$A$2,"."&amp;T$83&amp;T$1&amp;"P"&amp;$A97)="N/A",0,RTD("tos.rtd",,$A$2,"."&amp;T$83&amp;T$1&amp;"P"&amp;$A97))</f>
        <v>0</v>
      </c>
      <c r="U97" s="91">
        <f ca="1">IF(RTD("tos.rtd",,$A$2,"."&amp;U$83&amp;U$1&amp;"C"&amp;$A97)="N/A",0,RTD("tos.rtd",,$A$2,"."&amp;U$83&amp;U$1&amp;"C"&amp;$A97))-IF(RTD("tos.rtd",,$A$2,"."&amp;U$83&amp;U$1&amp;"P"&amp;$A97)="N/A",0,RTD("tos.rtd",,$A$2,"."&amp;U$83&amp;U$1&amp;"P"&amp;$A97))</f>
        <v>0</v>
      </c>
      <c r="V97" s="91">
        <f ca="1">IF(RTD("tos.rtd",,$A$2,"."&amp;V$83&amp;V$1&amp;"C"&amp;$A97)="N/A",0,RTD("tos.rtd",,$A$2,"."&amp;V$83&amp;V$1&amp;"C"&amp;$A97))-IF(RTD("tos.rtd",,$A$2,"."&amp;V$83&amp;V$1&amp;"P"&amp;$A97)="N/A",0,RTD("tos.rtd",,$A$2,"."&amp;V$83&amp;V$1&amp;"P"&amp;$A97))</f>
        <v>0</v>
      </c>
      <c r="W97" s="91">
        <f ca="1">IF(RTD("tos.rtd",,$A$2,"."&amp;W$83&amp;W$1&amp;"C"&amp;$A97)="N/A",0,RTD("tos.rtd",,$A$2,"."&amp;W$83&amp;W$1&amp;"C"&amp;$A97))-IF(RTD("tos.rtd",,$A$2,"."&amp;W$83&amp;W$1&amp;"P"&amp;$A97)="N/A",0,RTD("tos.rtd",,$A$2,"."&amp;W$83&amp;W$1&amp;"P"&amp;$A97))</f>
        <v>0</v>
      </c>
      <c r="X97" s="91">
        <f ca="1">IF(RTD("tos.rtd",,$A$2,"."&amp;X$83&amp;X$1&amp;"C"&amp;$A97)="N/A",0,RTD("tos.rtd",,$A$2,"."&amp;X$83&amp;X$1&amp;"C"&amp;$A97))-IF(RTD("tos.rtd",,$A$2,"."&amp;X$83&amp;X$1&amp;"P"&amp;$A97)="N/A",0,RTD("tos.rtd",,$A$2,"."&amp;X$83&amp;X$1&amp;"P"&amp;$A97))</f>
        <v>0</v>
      </c>
      <c r="Y97" s="98">
        <f t="shared" ca="1" si="10"/>
        <v>0</v>
      </c>
    </row>
    <row r="98" spans="1:25" x14ac:dyDescent="0.25">
      <c r="A98" s="93">
        <f>+Hoja1!A97</f>
        <v>5750</v>
      </c>
      <c r="B98" s="91">
        <f ca="1">IF(RTD("tos.rtd",,$A$2,"."&amp;B$83&amp;B$1&amp;"C"&amp;$A98)="N/A",0,RTD("tos.rtd",,$A$2,"."&amp;B$83&amp;B$1&amp;"C"&amp;$A98))-IF(RTD("tos.rtd",,$A$2,"."&amp;B$83&amp;B$1&amp;"P"&amp;$A98)="N/A",0,RTD("tos.rtd",,$A$2,"."&amp;B$83&amp;B$1&amp;"P"&amp;$A98))</f>
        <v>0</v>
      </c>
      <c r="C98" s="91">
        <f ca="1">IF(RTD("tos.rtd",,$A$2,"."&amp;C$83&amp;C$1&amp;"C"&amp;$A98)="N/A",0,RTD("tos.rtd",,$A$2,"."&amp;C$83&amp;C$1&amp;"C"&amp;$A98))-IF(RTD("tos.rtd",,$A$2,"."&amp;C$83&amp;C$1&amp;"P"&amp;$A98)="N/A",0,RTD("tos.rtd",,$A$2,"."&amp;C$83&amp;C$1&amp;"P"&amp;$A98))</f>
        <v>0</v>
      </c>
      <c r="D98" s="91">
        <f ca="1">IF(RTD("tos.rtd",,$A$2,"."&amp;D$83&amp;D$1&amp;"C"&amp;$A98)="N/A",0,RTD("tos.rtd",,$A$2,"."&amp;D$83&amp;D$1&amp;"C"&amp;$A98))-IF(RTD("tos.rtd",,$A$2,"."&amp;D$83&amp;D$1&amp;"P"&amp;$A98)="N/A",0,RTD("tos.rtd",,$A$2,"."&amp;D$83&amp;D$1&amp;"P"&amp;$A98))</f>
        <v>0</v>
      </c>
      <c r="E98" s="91">
        <f ca="1">IF(RTD("tos.rtd",,$A$2,"."&amp;E$83&amp;E$1&amp;"C"&amp;$A98)="N/A",0,RTD("tos.rtd",,$A$2,"."&amp;E$83&amp;E$1&amp;"C"&amp;$A98))-IF(RTD("tos.rtd",,$A$2,"."&amp;E$83&amp;E$1&amp;"P"&amp;$A98)="N/A",0,RTD("tos.rtd",,$A$2,"."&amp;E$83&amp;E$1&amp;"P"&amp;$A98))</f>
        <v>0</v>
      </c>
      <c r="F98" s="91">
        <f ca="1">IF(RTD("tos.rtd",,$A$2,"."&amp;F$83&amp;F$1&amp;"C"&amp;$A98)="N/A",0,RTD("tos.rtd",,$A$2,"."&amp;F$83&amp;F$1&amp;"C"&amp;$A98))-IF(RTD("tos.rtd",,$A$2,"."&amp;F$83&amp;F$1&amp;"P"&amp;$A98)="N/A",0,RTD("tos.rtd",,$A$2,"."&amp;F$83&amp;F$1&amp;"P"&amp;$A98))</f>
        <v>0</v>
      </c>
      <c r="G98" s="91">
        <f ca="1">IF(RTD("tos.rtd",,$A$2,"."&amp;G$83&amp;G$1&amp;"C"&amp;$A98)="N/A",0,RTD("tos.rtd",,$A$2,"."&amp;G$83&amp;G$1&amp;"C"&amp;$A98))-IF(RTD("tos.rtd",,$A$2,"."&amp;G$83&amp;G$1&amp;"P"&amp;$A98)="N/A",0,RTD("tos.rtd",,$A$2,"."&amp;G$83&amp;G$1&amp;"P"&amp;$A98))</f>
        <v>0</v>
      </c>
      <c r="H98" s="91">
        <f ca="1">IF(RTD("tos.rtd",,$A$2,"."&amp;H$83&amp;H$1&amp;"C"&amp;$A98)="N/A",0,RTD("tos.rtd",,$A$2,"."&amp;H$83&amp;H$1&amp;"C"&amp;$A98))-IF(RTD("tos.rtd",,$A$2,"."&amp;H$83&amp;H$1&amp;"P"&amp;$A98)="N/A",0,RTD("tos.rtd",,$A$2,"."&amp;H$83&amp;H$1&amp;"P"&amp;$A98))</f>
        <v>0</v>
      </c>
      <c r="I98" s="91">
        <f ca="1">IF(RTD("tos.rtd",,$A$2,"."&amp;I$83&amp;I$1&amp;"C"&amp;$A98)="N/A",0,RTD("tos.rtd",,$A$2,"."&amp;I$83&amp;I$1&amp;"C"&amp;$A98))-IF(RTD("tos.rtd",,$A$2,"."&amp;I$83&amp;I$1&amp;"P"&amp;$A98)="N/A",0,RTD("tos.rtd",,$A$2,"."&amp;I$83&amp;I$1&amp;"P"&amp;$A98))</f>
        <v>0</v>
      </c>
      <c r="J98" s="91">
        <f ca="1">IF(RTD("tos.rtd",,$A$2,"."&amp;J$83&amp;J$1&amp;"C"&amp;$A98)="N/A",0,RTD("tos.rtd",,$A$2,"."&amp;J$83&amp;J$1&amp;"C"&amp;$A98))-IF(RTD("tos.rtd",,$A$2,"."&amp;J$83&amp;J$1&amp;"P"&amp;$A98)="N/A",0,RTD("tos.rtd",,$A$2,"."&amp;J$83&amp;J$1&amp;"P"&amp;$A98))</f>
        <v>0</v>
      </c>
      <c r="K98" s="91">
        <f ca="1">IF(RTD("tos.rtd",,$A$2,"."&amp;K$83&amp;K$1&amp;"C"&amp;$A98)="N/A",0,RTD("tos.rtd",,$A$2,"."&amp;K$83&amp;K$1&amp;"C"&amp;$A98))-IF(RTD("tos.rtd",,$A$2,"."&amp;K$83&amp;K$1&amp;"P"&amp;$A98)="N/A",0,RTD("tos.rtd",,$A$2,"."&amp;K$83&amp;K$1&amp;"P"&amp;$A98))</f>
        <v>0</v>
      </c>
      <c r="L98" s="91">
        <f ca="1">IF(RTD("tos.rtd",,$A$2,"."&amp;L$83&amp;L$1&amp;"C"&amp;$A98)="N/A",0,RTD("tos.rtd",,$A$2,"."&amp;L$83&amp;L$1&amp;"C"&amp;$A98))-IF(RTD("tos.rtd",,$A$2,"."&amp;L$83&amp;L$1&amp;"P"&amp;$A98)="N/A",0,RTD("tos.rtd",,$A$2,"."&amp;L$83&amp;L$1&amp;"P"&amp;$A98))</f>
        <v>0</v>
      </c>
      <c r="M98" s="91">
        <f ca="1">IF(RTD("tos.rtd",,$A$2,"."&amp;M$83&amp;M$1&amp;"C"&amp;$A98)="N/A",0,RTD("tos.rtd",,$A$2,"."&amp;M$83&amp;M$1&amp;"C"&amp;$A98))-IF(RTD("tos.rtd",,$A$2,"."&amp;M$83&amp;M$1&amp;"P"&amp;$A98)="N/A",0,RTD("tos.rtd",,$A$2,"."&amp;M$83&amp;M$1&amp;"P"&amp;$A98))</f>
        <v>0</v>
      </c>
      <c r="N98" s="91">
        <f ca="1">IF(RTD("tos.rtd",,$A$2,"."&amp;N$83&amp;N$1&amp;"C"&amp;$A98)="N/A",0,RTD("tos.rtd",,$A$2,"."&amp;N$83&amp;N$1&amp;"C"&amp;$A98))-IF(RTD("tos.rtd",,$A$2,"."&amp;N$83&amp;N$1&amp;"P"&amp;$A98)="N/A",0,RTD("tos.rtd",,$A$2,"."&amp;N$83&amp;N$1&amp;"P"&amp;$A98))</f>
        <v>0</v>
      </c>
      <c r="O98" s="91">
        <f ca="1">IF(RTD("tos.rtd",,$A$2,"."&amp;O$83&amp;O$1&amp;"C"&amp;$A98)="N/A",0,RTD("tos.rtd",,$A$2,"."&amp;O$83&amp;O$1&amp;"C"&amp;$A98))-IF(RTD("tos.rtd",,$A$2,"."&amp;O$83&amp;O$1&amp;"P"&amp;$A98)="N/A",0,RTD("tos.rtd",,$A$2,"."&amp;O$83&amp;O$1&amp;"P"&amp;$A98))</f>
        <v>0</v>
      </c>
      <c r="P98" s="91">
        <f ca="1">IF(RTD("tos.rtd",,$A$2,"."&amp;P$83&amp;P$1&amp;"C"&amp;$A98)="N/A",0,RTD("tos.rtd",,$A$2,"."&amp;P$83&amp;P$1&amp;"C"&amp;$A98))-IF(RTD("tos.rtd",,$A$2,"."&amp;P$83&amp;P$1&amp;"P"&amp;$A98)="N/A",0,RTD("tos.rtd",,$A$2,"."&amp;P$83&amp;P$1&amp;"P"&amp;$A98))</f>
        <v>0</v>
      </c>
      <c r="Q98" s="91">
        <f ca="1">IF(RTD("tos.rtd",,$A$2,"."&amp;Q$83&amp;Q$1&amp;"C"&amp;$A98)="N/A",0,RTD("tos.rtd",,$A$2,"."&amp;Q$83&amp;Q$1&amp;"C"&amp;$A98))-IF(RTD("tos.rtd",,$A$2,"."&amp;Q$83&amp;Q$1&amp;"P"&amp;$A98)="N/A",0,RTD("tos.rtd",,$A$2,"."&amp;Q$83&amp;Q$1&amp;"P"&amp;$A98))</f>
        <v>0</v>
      </c>
      <c r="R98" s="91">
        <f ca="1">IF(RTD("tos.rtd",,$A$2,"."&amp;R$83&amp;R$1&amp;"C"&amp;$A98)="N/A",0,RTD("tos.rtd",,$A$2,"."&amp;R$83&amp;R$1&amp;"C"&amp;$A98))-IF(RTD("tos.rtd",,$A$2,"."&amp;R$83&amp;R$1&amp;"P"&amp;$A98)="N/A",0,RTD("tos.rtd",,$A$2,"."&amp;R$83&amp;R$1&amp;"P"&amp;$A98))</f>
        <v>0</v>
      </c>
      <c r="S98" s="91">
        <f ca="1">IF(RTD("tos.rtd",,$A$2,"."&amp;S$83&amp;S$1&amp;"C"&amp;$A98)="N/A",0,RTD("tos.rtd",,$A$2,"."&amp;S$83&amp;S$1&amp;"C"&amp;$A98))-IF(RTD("tos.rtd",,$A$2,"."&amp;S$83&amp;S$1&amp;"P"&amp;$A98)="N/A",0,RTD("tos.rtd",,$A$2,"."&amp;S$83&amp;S$1&amp;"P"&amp;$A98))</f>
        <v>0</v>
      </c>
      <c r="T98" s="91">
        <f ca="1">IF(RTD("tos.rtd",,$A$2,"."&amp;T$83&amp;T$1&amp;"C"&amp;$A98)="N/A",0,RTD("tos.rtd",,$A$2,"."&amp;T$83&amp;T$1&amp;"C"&amp;$A98))-IF(RTD("tos.rtd",,$A$2,"."&amp;T$83&amp;T$1&amp;"P"&amp;$A98)="N/A",0,RTD("tos.rtd",,$A$2,"."&amp;T$83&amp;T$1&amp;"P"&amp;$A98))</f>
        <v>0</v>
      </c>
      <c r="U98" s="91">
        <f ca="1">IF(RTD("tos.rtd",,$A$2,"."&amp;U$83&amp;U$1&amp;"C"&amp;$A98)="N/A",0,RTD("tos.rtd",,$A$2,"."&amp;U$83&amp;U$1&amp;"C"&amp;$A98))-IF(RTD("tos.rtd",,$A$2,"."&amp;U$83&amp;U$1&amp;"P"&amp;$A98)="N/A",0,RTD("tos.rtd",,$A$2,"."&amp;U$83&amp;U$1&amp;"P"&amp;$A98))</f>
        <v>4</v>
      </c>
      <c r="V98" s="91">
        <f ca="1">IF(RTD("tos.rtd",,$A$2,"."&amp;V$83&amp;V$1&amp;"C"&amp;$A98)="N/A",0,RTD("tos.rtd",,$A$2,"."&amp;V$83&amp;V$1&amp;"C"&amp;$A98))-IF(RTD("tos.rtd",,$A$2,"."&amp;V$83&amp;V$1&amp;"P"&amp;$A98)="N/A",0,RTD("tos.rtd",,$A$2,"."&amp;V$83&amp;V$1&amp;"P"&amp;$A98))</f>
        <v>0</v>
      </c>
      <c r="W98" s="91">
        <f ca="1">IF(RTD("tos.rtd",,$A$2,"."&amp;W$83&amp;W$1&amp;"C"&amp;$A98)="N/A",0,RTD("tos.rtd",,$A$2,"."&amp;W$83&amp;W$1&amp;"C"&amp;$A98))-IF(RTD("tos.rtd",,$A$2,"."&amp;W$83&amp;W$1&amp;"P"&amp;$A98)="N/A",0,RTD("tos.rtd",,$A$2,"."&amp;W$83&amp;W$1&amp;"P"&amp;$A98))</f>
        <v>0</v>
      </c>
      <c r="X98" s="91">
        <f ca="1">IF(RTD("tos.rtd",,$A$2,"."&amp;X$83&amp;X$1&amp;"C"&amp;$A98)="N/A",0,RTD("tos.rtd",,$A$2,"."&amp;X$83&amp;X$1&amp;"C"&amp;$A98))-IF(RTD("tos.rtd",,$A$2,"."&amp;X$83&amp;X$1&amp;"P"&amp;$A98)="N/A",0,RTD("tos.rtd",,$A$2,"."&amp;X$83&amp;X$1&amp;"P"&amp;$A98))</f>
        <v>0</v>
      </c>
      <c r="Y98" s="98">
        <f t="shared" ca="1" si="10"/>
        <v>4</v>
      </c>
    </row>
    <row r="99" spans="1:25" x14ac:dyDescent="0.25">
      <c r="A99" s="93">
        <f>+Hoja1!A98</f>
        <v>5740</v>
      </c>
      <c r="B99" s="91">
        <f ca="1">IF(RTD("tos.rtd",,$A$2,"."&amp;B$83&amp;B$1&amp;"C"&amp;$A99)="N/A",0,RTD("tos.rtd",,$A$2,"."&amp;B$83&amp;B$1&amp;"C"&amp;$A99))-IF(RTD("tos.rtd",,$A$2,"."&amp;B$83&amp;B$1&amp;"P"&amp;$A99)="N/A",0,RTD("tos.rtd",,$A$2,"."&amp;B$83&amp;B$1&amp;"P"&amp;$A99))</f>
        <v>0</v>
      </c>
      <c r="C99" s="91">
        <f ca="1">IF(RTD("tos.rtd",,$A$2,"."&amp;C$83&amp;C$1&amp;"C"&amp;$A99)="N/A",0,RTD("tos.rtd",,$A$2,"."&amp;C$83&amp;C$1&amp;"C"&amp;$A99))-IF(RTD("tos.rtd",,$A$2,"."&amp;C$83&amp;C$1&amp;"P"&amp;$A99)="N/A",0,RTD("tos.rtd",,$A$2,"."&amp;C$83&amp;C$1&amp;"P"&amp;$A99))</f>
        <v>0</v>
      </c>
      <c r="D99" s="91">
        <f ca="1">IF(RTD("tos.rtd",,$A$2,"."&amp;D$83&amp;D$1&amp;"C"&amp;$A99)="N/A",0,RTD("tos.rtd",,$A$2,"."&amp;D$83&amp;D$1&amp;"C"&amp;$A99))-IF(RTD("tos.rtd",,$A$2,"."&amp;D$83&amp;D$1&amp;"P"&amp;$A99)="N/A",0,RTD("tos.rtd",,$A$2,"."&amp;D$83&amp;D$1&amp;"P"&amp;$A99))</f>
        <v>0</v>
      </c>
      <c r="E99" s="91">
        <f ca="1">IF(RTD("tos.rtd",,$A$2,"."&amp;E$83&amp;E$1&amp;"C"&amp;$A99)="N/A",0,RTD("tos.rtd",,$A$2,"."&amp;E$83&amp;E$1&amp;"C"&amp;$A99))-IF(RTD("tos.rtd",,$A$2,"."&amp;E$83&amp;E$1&amp;"P"&amp;$A99)="N/A",0,RTD("tos.rtd",,$A$2,"."&amp;E$83&amp;E$1&amp;"P"&amp;$A99))</f>
        <v>0</v>
      </c>
      <c r="F99" s="91">
        <f ca="1">IF(RTD("tos.rtd",,$A$2,"."&amp;F$83&amp;F$1&amp;"C"&amp;$A99)="N/A",0,RTD("tos.rtd",,$A$2,"."&amp;F$83&amp;F$1&amp;"C"&amp;$A99))-IF(RTD("tos.rtd",,$A$2,"."&amp;F$83&amp;F$1&amp;"P"&amp;$A99)="N/A",0,RTD("tos.rtd",,$A$2,"."&amp;F$83&amp;F$1&amp;"P"&amp;$A99))</f>
        <v>0</v>
      </c>
      <c r="G99" s="91">
        <f ca="1">IF(RTD("tos.rtd",,$A$2,"."&amp;G$83&amp;G$1&amp;"C"&amp;$A99)="N/A",0,RTD("tos.rtd",,$A$2,"."&amp;G$83&amp;G$1&amp;"C"&amp;$A99))-IF(RTD("tos.rtd",,$A$2,"."&amp;G$83&amp;G$1&amp;"P"&amp;$A99)="N/A",0,RTD("tos.rtd",,$A$2,"."&amp;G$83&amp;G$1&amp;"P"&amp;$A99))</f>
        <v>0</v>
      </c>
      <c r="H99" s="91">
        <f ca="1">IF(RTD("tos.rtd",,$A$2,"."&amp;H$83&amp;H$1&amp;"C"&amp;$A99)="N/A",0,RTD("tos.rtd",,$A$2,"."&amp;H$83&amp;H$1&amp;"C"&amp;$A99))-IF(RTD("tos.rtd",,$A$2,"."&amp;H$83&amp;H$1&amp;"P"&amp;$A99)="N/A",0,RTD("tos.rtd",,$A$2,"."&amp;H$83&amp;H$1&amp;"P"&amp;$A99))</f>
        <v>0</v>
      </c>
      <c r="I99" s="91">
        <f ca="1">IF(RTD("tos.rtd",,$A$2,"."&amp;I$83&amp;I$1&amp;"C"&amp;$A99)="N/A",0,RTD("tos.rtd",,$A$2,"."&amp;I$83&amp;I$1&amp;"C"&amp;$A99))-IF(RTD("tos.rtd",,$A$2,"."&amp;I$83&amp;I$1&amp;"P"&amp;$A99)="N/A",0,RTD("tos.rtd",,$A$2,"."&amp;I$83&amp;I$1&amp;"P"&amp;$A99))</f>
        <v>0</v>
      </c>
      <c r="J99" s="91">
        <f ca="1">IF(RTD("tos.rtd",,$A$2,"."&amp;J$83&amp;J$1&amp;"C"&amp;$A99)="N/A",0,RTD("tos.rtd",,$A$2,"."&amp;J$83&amp;J$1&amp;"C"&amp;$A99))-IF(RTD("tos.rtd",,$A$2,"."&amp;J$83&amp;J$1&amp;"P"&amp;$A99)="N/A",0,RTD("tos.rtd",,$A$2,"."&amp;J$83&amp;J$1&amp;"P"&amp;$A99))</f>
        <v>0</v>
      </c>
      <c r="K99" s="91">
        <f ca="1">IF(RTD("tos.rtd",,$A$2,"."&amp;K$83&amp;K$1&amp;"C"&amp;$A99)="N/A",0,RTD("tos.rtd",,$A$2,"."&amp;K$83&amp;K$1&amp;"C"&amp;$A99))-IF(RTD("tos.rtd",,$A$2,"."&amp;K$83&amp;K$1&amp;"P"&amp;$A99)="N/A",0,RTD("tos.rtd",,$A$2,"."&amp;K$83&amp;K$1&amp;"P"&amp;$A99))</f>
        <v>0</v>
      </c>
      <c r="L99" s="91">
        <f ca="1">IF(RTD("tos.rtd",,$A$2,"."&amp;L$83&amp;L$1&amp;"C"&amp;$A99)="N/A",0,RTD("tos.rtd",,$A$2,"."&amp;L$83&amp;L$1&amp;"C"&amp;$A99))-IF(RTD("tos.rtd",,$A$2,"."&amp;L$83&amp;L$1&amp;"P"&amp;$A99)="N/A",0,RTD("tos.rtd",,$A$2,"."&amp;L$83&amp;L$1&amp;"P"&amp;$A99))</f>
        <v>0</v>
      </c>
      <c r="M99" s="91">
        <f ca="1">IF(RTD("tos.rtd",,$A$2,"."&amp;M$83&amp;M$1&amp;"C"&amp;$A99)="N/A",0,RTD("tos.rtd",,$A$2,"."&amp;M$83&amp;M$1&amp;"C"&amp;$A99))-IF(RTD("tos.rtd",,$A$2,"."&amp;M$83&amp;M$1&amp;"P"&amp;$A99)="N/A",0,RTD("tos.rtd",,$A$2,"."&amp;M$83&amp;M$1&amp;"P"&amp;$A99))</f>
        <v>0</v>
      </c>
      <c r="N99" s="91">
        <f ca="1">IF(RTD("tos.rtd",,$A$2,"."&amp;N$83&amp;N$1&amp;"C"&amp;$A99)="N/A",0,RTD("tos.rtd",,$A$2,"."&amp;N$83&amp;N$1&amp;"C"&amp;$A99))-IF(RTD("tos.rtd",,$A$2,"."&amp;N$83&amp;N$1&amp;"P"&amp;$A99)="N/A",0,RTD("tos.rtd",,$A$2,"."&amp;N$83&amp;N$1&amp;"P"&amp;$A99))</f>
        <v>0</v>
      </c>
      <c r="O99" s="91">
        <f ca="1">IF(RTD("tos.rtd",,$A$2,"."&amp;O$83&amp;O$1&amp;"C"&amp;$A99)="N/A",0,RTD("tos.rtd",,$A$2,"."&amp;O$83&amp;O$1&amp;"C"&amp;$A99))-IF(RTD("tos.rtd",,$A$2,"."&amp;O$83&amp;O$1&amp;"P"&amp;$A99)="N/A",0,RTD("tos.rtd",,$A$2,"."&amp;O$83&amp;O$1&amp;"P"&amp;$A99))</f>
        <v>0</v>
      </c>
      <c r="P99" s="91">
        <f ca="1">IF(RTD("tos.rtd",,$A$2,"."&amp;P$83&amp;P$1&amp;"C"&amp;$A99)="N/A",0,RTD("tos.rtd",,$A$2,"."&amp;P$83&amp;P$1&amp;"C"&amp;$A99))-IF(RTD("tos.rtd",,$A$2,"."&amp;P$83&amp;P$1&amp;"P"&amp;$A99)="N/A",0,RTD("tos.rtd",,$A$2,"."&amp;P$83&amp;P$1&amp;"P"&amp;$A99))</f>
        <v>0</v>
      </c>
      <c r="Q99" s="91">
        <f ca="1">IF(RTD("tos.rtd",,$A$2,"."&amp;Q$83&amp;Q$1&amp;"C"&amp;$A99)="N/A",0,RTD("tos.rtd",,$A$2,"."&amp;Q$83&amp;Q$1&amp;"C"&amp;$A99))-IF(RTD("tos.rtd",,$A$2,"."&amp;Q$83&amp;Q$1&amp;"P"&amp;$A99)="N/A",0,RTD("tos.rtd",,$A$2,"."&amp;Q$83&amp;Q$1&amp;"P"&amp;$A99))</f>
        <v>0</v>
      </c>
      <c r="R99" s="91">
        <f ca="1">IF(RTD("tos.rtd",,$A$2,"."&amp;R$83&amp;R$1&amp;"C"&amp;$A99)="N/A",0,RTD("tos.rtd",,$A$2,"."&amp;R$83&amp;R$1&amp;"C"&amp;$A99))-IF(RTD("tos.rtd",,$A$2,"."&amp;R$83&amp;R$1&amp;"P"&amp;$A99)="N/A",0,RTD("tos.rtd",,$A$2,"."&amp;R$83&amp;R$1&amp;"P"&amp;$A99))</f>
        <v>0</v>
      </c>
      <c r="S99" s="91">
        <f ca="1">IF(RTD("tos.rtd",,$A$2,"."&amp;S$83&amp;S$1&amp;"C"&amp;$A99)="N/A",0,RTD("tos.rtd",,$A$2,"."&amp;S$83&amp;S$1&amp;"C"&amp;$A99))-IF(RTD("tos.rtd",,$A$2,"."&amp;S$83&amp;S$1&amp;"P"&amp;$A99)="N/A",0,RTD("tos.rtd",,$A$2,"."&amp;S$83&amp;S$1&amp;"P"&amp;$A99))</f>
        <v>0</v>
      </c>
      <c r="T99" s="91">
        <f ca="1">IF(RTD("tos.rtd",,$A$2,"."&amp;T$83&amp;T$1&amp;"C"&amp;$A99)="N/A",0,RTD("tos.rtd",,$A$2,"."&amp;T$83&amp;T$1&amp;"C"&amp;$A99))-IF(RTD("tos.rtd",,$A$2,"."&amp;T$83&amp;T$1&amp;"P"&amp;$A99)="N/A",0,RTD("tos.rtd",,$A$2,"."&amp;T$83&amp;T$1&amp;"P"&amp;$A99))</f>
        <v>0</v>
      </c>
      <c r="U99" s="91">
        <f ca="1">IF(RTD("tos.rtd",,$A$2,"."&amp;U$83&amp;U$1&amp;"C"&amp;$A99)="N/A",0,RTD("tos.rtd",,$A$2,"."&amp;U$83&amp;U$1&amp;"C"&amp;$A99))-IF(RTD("tos.rtd",,$A$2,"."&amp;U$83&amp;U$1&amp;"P"&amp;$A99)="N/A",0,RTD("tos.rtd",,$A$2,"."&amp;U$83&amp;U$1&amp;"P"&amp;$A99))</f>
        <v>0</v>
      </c>
      <c r="V99" s="91">
        <f ca="1">IF(RTD("tos.rtd",,$A$2,"."&amp;V$83&amp;V$1&amp;"C"&amp;$A99)="N/A",0,RTD("tos.rtd",,$A$2,"."&amp;V$83&amp;V$1&amp;"C"&amp;$A99))-IF(RTD("tos.rtd",,$A$2,"."&amp;V$83&amp;V$1&amp;"P"&amp;$A99)="N/A",0,RTD("tos.rtd",,$A$2,"."&amp;V$83&amp;V$1&amp;"P"&amp;$A99))</f>
        <v>0</v>
      </c>
      <c r="W99" s="91">
        <f ca="1">IF(RTD("tos.rtd",,$A$2,"."&amp;W$83&amp;W$1&amp;"C"&amp;$A99)="N/A",0,RTD("tos.rtd",,$A$2,"."&amp;W$83&amp;W$1&amp;"C"&amp;$A99))-IF(RTD("tos.rtd",,$A$2,"."&amp;W$83&amp;W$1&amp;"P"&amp;$A99)="N/A",0,RTD("tos.rtd",,$A$2,"."&amp;W$83&amp;W$1&amp;"P"&amp;$A99))</f>
        <v>0</v>
      </c>
      <c r="X99" s="91">
        <f ca="1">IF(RTD("tos.rtd",,$A$2,"."&amp;X$83&amp;X$1&amp;"C"&amp;$A99)="N/A",0,RTD("tos.rtd",,$A$2,"."&amp;X$83&amp;X$1&amp;"C"&amp;$A99))-IF(RTD("tos.rtd",,$A$2,"."&amp;X$83&amp;X$1&amp;"P"&amp;$A99)="N/A",0,RTD("tos.rtd",,$A$2,"."&amp;X$83&amp;X$1&amp;"P"&amp;$A99))</f>
        <v>0</v>
      </c>
      <c r="Y99" s="98">
        <f t="shared" ca="1" si="10"/>
        <v>0</v>
      </c>
    </row>
    <row r="100" spans="1:25" x14ac:dyDescent="0.25">
      <c r="A100" s="93">
        <f>+Hoja1!A99</f>
        <v>5730</v>
      </c>
      <c r="B100" s="91">
        <f ca="1">IF(RTD("tos.rtd",,$A$2,"."&amp;B$83&amp;B$1&amp;"C"&amp;$A100)="N/A",0,RTD("tos.rtd",,$A$2,"."&amp;B$83&amp;B$1&amp;"C"&amp;$A100))-IF(RTD("tos.rtd",,$A$2,"."&amp;B$83&amp;B$1&amp;"P"&amp;$A100)="N/A",0,RTD("tos.rtd",,$A$2,"."&amp;B$83&amp;B$1&amp;"P"&amp;$A100))</f>
        <v>0</v>
      </c>
      <c r="C100" s="91">
        <f ca="1">IF(RTD("tos.rtd",,$A$2,"."&amp;C$83&amp;C$1&amp;"C"&amp;$A100)="N/A",0,RTD("tos.rtd",,$A$2,"."&amp;C$83&amp;C$1&amp;"C"&amp;$A100))-IF(RTD("tos.rtd",,$A$2,"."&amp;C$83&amp;C$1&amp;"P"&amp;$A100)="N/A",0,RTD("tos.rtd",,$A$2,"."&amp;C$83&amp;C$1&amp;"P"&amp;$A100))</f>
        <v>0</v>
      </c>
      <c r="D100" s="91">
        <f ca="1">IF(RTD("tos.rtd",,$A$2,"."&amp;D$83&amp;D$1&amp;"C"&amp;$A100)="N/A",0,RTD("tos.rtd",,$A$2,"."&amp;D$83&amp;D$1&amp;"C"&amp;$A100))-IF(RTD("tos.rtd",,$A$2,"."&amp;D$83&amp;D$1&amp;"P"&amp;$A100)="N/A",0,RTD("tos.rtd",,$A$2,"."&amp;D$83&amp;D$1&amp;"P"&amp;$A100))</f>
        <v>0</v>
      </c>
      <c r="E100" s="91">
        <f ca="1">IF(RTD("tos.rtd",,$A$2,"."&amp;E$83&amp;E$1&amp;"C"&amp;$A100)="N/A",0,RTD("tos.rtd",,$A$2,"."&amp;E$83&amp;E$1&amp;"C"&amp;$A100))-IF(RTD("tos.rtd",,$A$2,"."&amp;E$83&amp;E$1&amp;"P"&amp;$A100)="N/A",0,RTD("tos.rtd",,$A$2,"."&amp;E$83&amp;E$1&amp;"P"&amp;$A100))</f>
        <v>0</v>
      </c>
      <c r="F100" s="91">
        <f ca="1">IF(RTD("tos.rtd",,$A$2,"."&amp;F$83&amp;F$1&amp;"C"&amp;$A100)="N/A",0,RTD("tos.rtd",,$A$2,"."&amp;F$83&amp;F$1&amp;"C"&amp;$A100))-IF(RTD("tos.rtd",,$A$2,"."&amp;F$83&amp;F$1&amp;"P"&amp;$A100)="N/A",0,RTD("tos.rtd",,$A$2,"."&amp;F$83&amp;F$1&amp;"P"&amp;$A100))</f>
        <v>0</v>
      </c>
      <c r="G100" s="91">
        <f ca="1">IF(RTD("tos.rtd",,$A$2,"."&amp;G$83&amp;G$1&amp;"C"&amp;$A100)="N/A",0,RTD("tos.rtd",,$A$2,"."&amp;G$83&amp;G$1&amp;"C"&amp;$A100))-IF(RTD("tos.rtd",,$A$2,"."&amp;G$83&amp;G$1&amp;"P"&amp;$A100)="N/A",0,RTD("tos.rtd",,$A$2,"."&amp;G$83&amp;G$1&amp;"P"&amp;$A100))</f>
        <v>0</v>
      </c>
      <c r="H100" s="91">
        <f ca="1">IF(RTD("tos.rtd",,$A$2,"."&amp;H$83&amp;H$1&amp;"C"&amp;$A100)="N/A",0,RTD("tos.rtd",,$A$2,"."&amp;H$83&amp;H$1&amp;"C"&amp;$A100))-IF(RTD("tos.rtd",,$A$2,"."&amp;H$83&amp;H$1&amp;"P"&amp;$A100)="N/A",0,RTD("tos.rtd",,$A$2,"."&amp;H$83&amp;H$1&amp;"P"&amp;$A100))</f>
        <v>0</v>
      </c>
      <c r="I100" s="91">
        <f ca="1">IF(RTD("tos.rtd",,$A$2,"."&amp;I$83&amp;I$1&amp;"C"&amp;$A100)="N/A",0,RTD("tos.rtd",,$A$2,"."&amp;I$83&amp;I$1&amp;"C"&amp;$A100))-IF(RTD("tos.rtd",,$A$2,"."&amp;I$83&amp;I$1&amp;"P"&amp;$A100)="N/A",0,RTD("tos.rtd",,$A$2,"."&amp;I$83&amp;I$1&amp;"P"&amp;$A100))</f>
        <v>0</v>
      </c>
      <c r="J100" s="91">
        <f ca="1">IF(RTD("tos.rtd",,$A$2,"."&amp;J$83&amp;J$1&amp;"C"&amp;$A100)="N/A",0,RTD("tos.rtd",,$A$2,"."&amp;J$83&amp;J$1&amp;"C"&amp;$A100))-IF(RTD("tos.rtd",,$A$2,"."&amp;J$83&amp;J$1&amp;"P"&amp;$A100)="N/A",0,RTD("tos.rtd",,$A$2,"."&amp;J$83&amp;J$1&amp;"P"&amp;$A100))</f>
        <v>0</v>
      </c>
      <c r="K100" s="91">
        <f ca="1">IF(RTD("tos.rtd",,$A$2,"."&amp;K$83&amp;K$1&amp;"C"&amp;$A100)="N/A",0,RTD("tos.rtd",,$A$2,"."&amp;K$83&amp;K$1&amp;"C"&amp;$A100))-IF(RTD("tos.rtd",,$A$2,"."&amp;K$83&amp;K$1&amp;"P"&amp;$A100)="N/A",0,RTD("tos.rtd",,$A$2,"."&amp;K$83&amp;K$1&amp;"P"&amp;$A100))</f>
        <v>0</v>
      </c>
      <c r="L100" s="91">
        <f ca="1">IF(RTD("tos.rtd",,$A$2,"."&amp;L$83&amp;L$1&amp;"C"&amp;$A100)="N/A",0,RTD("tos.rtd",,$A$2,"."&amp;L$83&amp;L$1&amp;"C"&amp;$A100))-IF(RTD("tos.rtd",,$A$2,"."&amp;L$83&amp;L$1&amp;"P"&amp;$A100)="N/A",0,RTD("tos.rtd",,$A$2,"."&amp;L$83&amp;L$1&amp;"P"&amp;$A100))</f>
        <v>0</v>
      </c>
      <c r="M100" s="91">
        <f ca="1">IF(RTD("tos.rtd",,$A$2,"."&amp;M$83&amp;M$1&amp;"C"&amp;$A100)="N/A",0,RTD("tos.rtd",,$A$2,"."&amp;M$83&amp;M$1&amp;"C"&amp;$A100))-IF(RTD("tos.rtd",,$A$2,"."&amp;M$83&amp;M$1&amp;"P"&amp;$A100)="N/A",0,RTD("tos.rtd",,$A$2,"."&amp;M$83&amp;M$1&amp;"P"&amp;$A100))</f>
        <v>0</v>
      </c>
      <c r="N100" s="91">
        <f ca="1">IF(RTD("tos.rtd",,$A$2,"."&amp;N$83&amp;N$1&amp;"C"&amp;$A100)="N/A",0,RTD("tos.rtd",,$A$2,"."&amp;N$83&amp;N$1&amp;"C"&amp;$A100))-IF(RTD("tos.rtd",,$A$2,"."&amp;N$83&amp;N$1&amp;"P"&amp;$A100)="N/A",0,RTD("tos.rtd",,$A$2,"."&amp;N$83&amp;N$1&amp;"P"&amp;$A100))</f>
        <v>0</v>
      </c>
      <c r="O100" s="91">
        <f ca="1">IF(RTD("tos.rtd",,$A$2,"."&amp;O$83&amp;O$1&amp;"C"&amp;$A100)="N/A",0,RTD("tos.rtd",,$A$2,"."&amp;O$83&amp;O$1&amp;"C"&amp;$A100))-IF(RTD("tos.rtd",,$A$2,"."&amp;O$83&amp;O$1&amp;"P"&amp;$A100)="N/A",0,RTD("tos.rtd",,$A$2,"."&amp;O$83&amp;O$1&amp;"P"&amp;$A100))</f>
        <v>0</v>
      </c>
      <c r="P100" s="91">
        <f ca="1">IF(RTD("tos.rtd",,$A$2,"."&amp;P$83&amp;P$1&amp;"C"&amp;$A100)="N/A",0,RTD("tos.rtd",,$A$2,"."&amp;P$83&amp;P$1&amp;"C"&amp;$A100))-IF(RTD("tos.rtd",,$A$2,"."&amp;P$83&amp;P$1&amp;"P"&amp;$A100)="N/A",0,RTD("tos.rtd",,$A$2,"."&amp;P$83&amp;P$1&amp;"P"&amp;$A100))</f>
        <v>0</v>
      </c>
      <c r="Q100" s="91">
        <f ca="1">IF(RTD("tos.rtd",,$A$2,"."&amp;Q$83&amp;Q$1&amp;"C"&amp;$A100)="N/A",0,RTD("tos.rtd",,$A$2,"."&amp;Q$83&amp;Q$1&amp;"C"&amp;$A100))-IF(RTD("tos.rtd",,$A$2,"."&amp;Q$83&amp;Q$1&amp;"P"&amp;$A100)="N/A",0,RTD("tos.rtd",,$A$2,"."&amp;Q$83&amp;Q$1&amp;"P"&amp;$A100))</f>
        <v>0</v>
      </c>
      <c r="R100" s="91">
        <f ca="1">IF(RTD("tos.rtd",,$A$2,"."&amp;R$83&amp;R$1&amp;"C"&amp;$A100)="N/A",0,RTD("tos.rtd",,$A$2,"."&amp;R$83&amp;R$1&amp;"C"&amp;$A100))-IF(RTD("tos.rtd",,$A$2,"."&amp;R$83&amp;R$1&amp;"P"&amp;$A100)="N/A",0,RTD("tos.rtd",,$A$2,"."&amp;R$83&amp;R$1&amp;"P"&amp;$A100))</f>
        <v>0</v>
      </c>
      <c r="S100" s="91">
        <f ca="1">IF(RTD("tos.rtd",,$A$2,"."&amp;S$83&amp;S$1&amp;"C"&amp;$A100)="N/A",0,RTD("tos.rtd",,$A$2,"."&amp;S$83&amp;S$1&amp;"C"&amp;$A100))-IF(RTD("tos.rtd",,$A$2,"."&amp;S$83&amp;S$1&amp;"P"&amp;$A100)="N/A",0,RTD("tos.rtd",,$A$2,"."&amp;S$83&amp;S$1&amp;"P"&amp;$A100))</f>
        <v>0</v>
      </c>
      <c r="T100" s="91">
        <f ca="1">IF(RTD("tos.rtd",,$A$2,"."&amp;T$83&amp;T$1&amp;"C"&amp;$A100)="N/A",0,RTD("tos.rtd",,$A$2,"."&amp;T$83&amp;T$1&amp;"C"&amp;$A100))-IF(RTD("tos.rtd",,$A$2,"."&amp;T$83&amp;T$1&amp;"P"&amp;$A100)="N/A",0,RTD("tos.rtd",,$A$2,"."&amp;T$83&amp;T$1&amp;"P"&amp;$A100))</f>
        <v>0</v>
      </c>
      <c r="U100" s="91">
        <f ca="1">IF(RTD("tos.rtd",,$A$2,"."&amp;U$83&amp;U$1&amp;"C"&amp;$A100)="N/A",0,RTD("tos.rtd",,$A$2,"."&amp;U$83&amp;U$1&amp;"C"&amp;$A100))-IF(RTD("tos.rtd",,$A$2,"."&amp;U$83&amp;U$1&amp;"P"&amp;$A100)="N/A",0,RTD("tos.rtd",,$A$2,"."&amp;U$83&amp;U$1&amp;"P"&amp;$A100))</f>
        <v>0</v>
      </c>
      <c r="V100" s="91">
        <f ca="1">IF(RTD("tos.rtd",,$A$2,"."&amp;V$83&amp;V$1&amp;"C"&amp;$A100)="N/A",0,RTD("tos.rtd",,$A$2,"."&amp;V$83&amp;V$1&amp;"C"&amp;$A100))-IF(RTD("tos.rtd",,$A$2,"."&amp;V$83&amp;V$1&amp;"P"&amp;$A100)="N/A",0,RTD("tos.rtd",,$A$2,"."&amp;V$83&amp;V$1&amp;"P"&amp;$A100))</f>
        <v>0</v>
      </c>
      <c r="W100" s="91">
        <f ca="1">IF(RTD("tos.rtd",,$A$2,"."&amp;W$83&amp;W$1&amp;"C"&amp;$A100)="N/A",0,RTD("tos.rtd",,$A$2,"."&amp;W$83&amp;W$1&amp;"C"&amp;$A100))-IF(RTD("tos.rtd",,$A$2,"."&amp;W$83&amp;W$1&amp;"P"&amp;$A100)="N/A",0,RTD("tos.rtd",,$A$2,"."&amp;W$83&amp;W$1&amp;"P"&amp;$A100))</f>
        <v>0</v>
      </c>
      <c r="X100" s="91">
        <f ca="1">IF(RTD("tos.rtd",,$A$2,"."&amp;X$83&amp;X$1&amp;"C"&amp;$A100)="N/A",0,RTD("tos.rtd",,$A$2,"."&amp;X$83&amp;X$1&amp;"C"&amp;$A100))-IF(RTD("tos.rtd",,$A$2,"."&amp;X$83&amp;X$1&amp;"P"&amp;$A100)="N/A",0,RTD("tos.rtd",,$A$2,"."&amp;X$83&amp;X$1&amp;"P"&amp;$A100))</f>
        <v>0</v>
      </c>
      <c r="Y100" s="98">
        <f t="shared" ca="1" si="10"/>
        <v>0</v>
      </c>
    </row>
    <row r="101" spans="1:25" x14ac:dyDescent="0.25">
      <c r="A101" s="93">
        <f>+Hoja1!A100</f>
        <v>5720</v>
      </c>
      <c r="B101" s="91">
        <f ca="1">IF(RTD("tos.rtd",,$A$2,"."&amp;B$83&amp;B$1&amp;"C"&amp;$A101)="N/A",0,RTD("tos.rtd",,$A$2,"."&amp;B$83&amp;B$1&amp;"C"&amp;$A101))-IF(RTD("tos.rtd",,$A$2,"."&amp;B$83&amp;B$1&amp;"P"&amp;$A101)="N/A",0,RTD("tos.rtd",,$A$2,"."&amp;B$83&amp;B$1&amp;"P"&amp;$A101))</f>
        <v>0</v>
      </c>
      <c r="C101" s="91">
        <f ca="1">IF(RTD("tos.rtd",,$A$2,"."&amp;C$83&amp;C$1&amp;"C"&amp;$A101)="N/A",0,RTD("tos.rtd",,$A$2,"."&amp;C$83&amp;C$1&amp;"C"&amp;$A101))-IF(RTD("tos.rtd",,$A$2,"."&amp;C$83&amp;C$1&amp;"P"&amp;$A101)="N/A",0,RTD("tos.rtd",,$A$2,"."&amp;C$83&amp;C$1&amp;"P"&amp;$A101))</f>
        <v>0</v>
      </c>
      <c r="D101" s="91">
        <f ca="1">IF(RTD("tos.rtd",,$A$2,"."&amp;D$83&amp;D$1&amp;"C"&amp;$A101)="N/A",0,RTD("tos.rtd",,$A$2,"."&amp;D$83&amp;D$1&amp;"C"&amp;$A101))-IF(RTD("tos.rtd",,$A$2,"."&amp;D$83&amp;D$1&amp;"P"&amp;$A101)="N/A",0,RTD("tos.rtd",,$A$2,"."&amp;D$83&amp;D$1&amp;"P"&amp;$A101))</f>
        <v>0</v>
      </c>
      <c r="E101" s="91">
        <f ca="1">IF(RTD("tos.rtd",,$A$2,"."&amp;E$83&amp;E$1&amp;"C"&amp;$A101)="N/A",0,RTD("tos.rtd",,$A$2,"."&amp;E$83&amp;E$1&amp;"C"&amp;$A101))-IF(RTD("tos.rtd",,$A$2,"."&amp;E$83&amp;E$1&amp;"P"&amp;$A101)="N/A",0,RTD("tos.rtd",,$A$2,"."&amp;E$83&amp;E$1&amp;"P"&amp;$A101))</f>
        <v>0</v>
      </c>
      <c r="F101" s="91">
        <f ca="1">IF(RTD("tos.rtd",,$A$2,"."&amp;F$83&amp;F$1&amp;"C"&amp;$A101)="N/A",0,RTD("tos.rtd",,$A$2,"."&amp;F$83&amp;F$1&amp;"C"&amp;$A101))-IF(RTD("tos.rtd",,$A$2,"."&amp;F$83&amp;F$1&amp;"P"&amp;$A101)="N/A",0,RTD("tos.rtd",,$A$2,"."&amp;F$83&amp;F$1&amp;"P"&amp;$A101))</f>
        <v>0</v>
      </c>
      <c r="G101" s="91">
        <f ca="1">IF(RTD("tos.rtd",,$A$2,"."&amp;G$83&amp;G$1&amp;"C"&amp;$A101)="N/A",0,RTD("tos.rtd",,$A$2,"."&amp;G$83&amp;G$1&amp;"C"&amp;$A101))-IF(RTD("tos.rtd",,$A$2,"."&amp;G$83&amp;G$1&amp;"P"&amp;$A101)="N/A",0,RTD("tos.rtd",,$A$2,"."&amp;G$83&amp;G$1&amp;"P"&amp;$A101))</f>
        <v>0</v>
      </c>
      <c r="H101" s="91">
        <f ca="1">IF(RTD("tos.rtd",,$A$2,"."&amp;H$83&amp;H$1&amp;"C"&amp;$A101)="N/A",0,RTD("tos.rtd",,$A$2,"."&amp;H$83&amp;H$1&amp;"C"&amp;$A101))-IF(RTD("tos.rtd",,$A$2,"."&amp;H$83&amp;H$1&amp;"P"&amp;$A101)="N/A",0,RTD("tos.rtd",,$A$2,"."&amp;H$83&amp;H$1&amp;"P"&amp;$A101))</f>
        <v>0</v>
      </c>
      <c r="I101" s="91">
        <f ca="1">IF(RTD("tos.rtd",,$A$2,"."&amp;I$83&amp;I$1&amp;"C"&amp;$A101)="N/A",0,RTD("tos.rtd",,$A$2,"."&amp;I$83&amp;I$1&amp;"C"&amp;$A101))-IF(RTD("tos.rtd",,$A$2,"."&amp;I$83&amp;I$1&amp;"P"&amp;$A101)="N/A",0,RTD("tos.rtd",,$A$2,"."&amp;I$83&amp;I$1&amp;"P"&amp;$A101))</f>
        <v>0</v>
      </c>
      <c r="J101" s="91">
        <f ca="1">IF(RTD("tos.rtd",,$A$2,"."&amp;J$83&amp;J$1&amp;"C"&amp;$A101)="N/A",0,RTD("tos.rtd",,$A$2,"."&amp;J$83&amp;J$1&amp;"C"&amp;$A101))-IF(RTD("tos.rtd",,$A$2,"."&amp;J$83&amp;J$1&amp;"P"&amp;$A101)="N/A",0,RTD("tos.rtd",,$A$2,"."&amp;J$83&amp;J$1&amp;"P"&amp;$A101))</f>
        <v>0</v>
      </c>
      <c r="K101" s="91">
        <f ca="1">IF(RTD("tos.rtd",,$A$2,"."&amp;K$83&amp;K$1&amp;"C"&amp;$A101)="N/A",0,RTD("tos.rtd",,$A$2,"."&amp;K$83&amp;K$1&amp;"C"&amp;$A101))-IF(RTD("tos.rtd",,$A$2,"."&amp;K$83&amp;K$1&amp;"P"&amp;$A101)="N/A",0,RTD("tos.rtd",,$A$2,"."&amp;K$83&amp;K$1&amp;"P"&amp;$A101))</f>
        <v>0</v>
      </c>
      <c r="L101" s="91">
        <f ca="1">IF(RTD("tos.rtd",,$A$2,"."&amp;L$83&amp;L$1&amp;"C"&amp;$A101)="N/A",0,RTD("tos.rtd",,$A$2,"."&amp;L$83&amp;L$1&amp;"C"&amp;$A101))-IF(RTD("tos.rtd",,$A$2,"."&amp;L$83&amp;L$1&amp;"P"&amp;$A101)="N/A",0,RTD("tos.rtd",,$A$2,"."&amp;L$83&amp;L$1&amp;"P"&amp;$A101))</f>
        <v>0</v>
      </c>
      <c r="M101" s="91">
        <f ca="1">IF(RTD("tos.rtd",,$A$2,"."&amp;M$83&amp;M$1&amp;"C"&amp;$A101)="N/A",0,RTD("tos.rtd",,$A$2,"."&amp;M$83&amp;M$1&amp;"C"&amp;$A101))-IF(RTD("tos.rtd",,$A$2,"."&amp;M$83&amp;M$1&amp;"P"&amp;$A101)="N/A",0,RTD("tos.rtd",,$A$2,"."&amp;M$83&amp;M$1&amp;"P"&amp;$A101))</f>
        <v>0</v>
      </c>
      <c r="N101" s="91">
        <f ca="1">IF(RTD("tos.rtd",,$A$2,"."&amp;N$83&amp;N$1&amp;"C"&amp;$A101)="N/A",0,RTD("tos.rtd",,$A$2,"."&amp;N$83&amp;N$1&amp;"C"&amp;$A101))-IF(RTD("tos.rtd",,$A$2,"."&amp;N$83&amp;N$1&amp;"P"&amp;$A101)="N/A",0,RTD("tos.rtd",,$A$2,"."&amp;N$83&amp;N$1&amp;"P"&amp;$A101))</f>
        <v>0</v>
      </c>
      <c r="O101" s="91">
        <f ca="1">IF(RTD("tos.rtd",,$A$2,"."&amp;O$83&amp;O$1&amp;"C"&amp;$A101)="N/A",0,RTD("tos.rtd",,$A$2,"."&amp;O$83&amp;O$1&amp;"C"&amp;$A101))-IF(RTD("tos.rtd",,$A$2,"."&amp;O$83&amp;O$1&amp;"P"&amp;$A101)="N/A",0,RTD("tos.rtd",,$A$2,"."&amp;O$83&amp;O$1&amp;"P"&amp;$A101))</f>
        <v>0</v>
      </c>
      <c r="P101" s="91">
        <f ca="1">IF(RTD("tos.rtd",,$A$2,"."&amp;P$83&amp;P$1&amp;"C"&amp;$A101)="N/A",0,RTD("tos.rtd",,$A$2,"."&amp;P$83&amp;P$1&amp;"C"&amp;$A101))-IF(RTD("tos.rtd",,$A$2,"."&amp;P$83&amp;P$1&amp;"P"&amp;$A101)="N/A",0,RTD("tos.rtd",,$A$2,"."&amp;P$83&amp;P$1&amp;"P"&amp;$A101))</f>
        <v>1</v>
      </c>
      <c r="Q101" s="91">
        <f ca="1">IF(RTD("tos.rtd",,$A$2,"."&amp;Q$83&amp;Q$1&amp;"C"&amp;$A101)="N/A",0,RTD("tos.rtd",,$A$2,"."&amp;Q$83&amp;Q$1&amp;"C"&amp;$A101))-IF(RTD("tos.rtd",,$A$2,"."&amp;Q$83&amp;Q$1&amp;"P"&amp;$A101)="N/A",0,RTD("tos.rtd",,$A$2,"."&amp;Q$83&amp;Q$1&amp;"P"&amp;$A101))</f>
        <v>0</v>
      </c>
      <c r="R101" s="91">
        <f ca="1">IF(RTD("tos.rtd",,$A$2,"."&amp;R$83&amp;R$1&amp;"C"&amp;$A101)="N/A",0,RTD("tos.rtd",,$A$2,"."&amp;R$83&amp;R$1&amp;"C"&amp;$A101))-IF(RTD("tos.rtd",,$A$2,"."&amp;R$83&amp;R$1&amp;"P"&amp;$A101)="N/A",0,RTD("tos.rtd",,$A$2,"."&amp;R$83&amp;R$1&amp;"P"&amp;$A101))</f>
        <v>0</v>
      </c>
      <c r="S101" s="91">
        <f ca="1">IF(RTD("tos.rtd",,$A$2,"."&amp;S$83&amp;S$1&amp;"C"&amp;$A101)="N/A",0,RTD("tos.rtd",,$A$2,"."&amp;S$83&amp;S$1&amp;"C"&amp;$A101))-IF(RTD("tos.rtd",,$A$2,"."&amp;S$83&amp;S$1&amp;"P"&amp;$A101)="N/A",0,RTD("tos.rtd",,$A$2,"."&amp;S$83&amp;S$1&amp;"P"&amp;$A101))</f>
        <v>0</v>
      </c>
      <c r="T101" s="91">
        <f ca="1">IF(RTD("tos.rtd",,$A$2,"."&amp;T$83&amp;T$1&amp;"C"&amp;$A101)="N/A",0,RTD("tos.rtd",,$A$2,"."&amp;T$83&amp;T$1&amp;"C"&amp;$A101))-IF(RTD("tos.rtd",,$A$2,"."&amp;T$83&amp;T$1&amp;"P"&amp;$A101)="N/A",0,RTD("tos.rtd",,$A$2,"."&amp;T$83&amp;T$1&amp;"P"&amp;$A101))</f>
        <v>0</v>
      </c>
      <c r="U101" s="91">
        <f ca="1">IF(RTD("tos.rtd",,$A$2,"."&amp;U$83&amp;U$1&amp;"C"&amp;$A101)="N/A",0,RTD("tos.rtd",,$A$2,"."&amp;U$83&amp;U$1&amp;"C"&amp;$A101))-IF(RTD("tos.rtd",,$A$2,"."&amp;U$83&amp;U$1&amp;"P"&amp;$A101)="N/A",0,RTD("tos.rtd",,$A$2,"."&amp;U$83&amp;U$1&amp;"P"&amp;$A101))</f>
        <v>0</v>
      </c>
      <c r="V101" s="91">
        <f ca="1">IF(RTD("tos.rtd",,$A$2,"."&amp;V$83&amp;V$1&amp;"C"&amp;$A101)="N/A",0,RTD("tos.rtd",,$A$2,"."&amp;V$83&amp;V$1&amp;"C"&amp;$A101))-IF(RTD("tos.rtd",,$A$2,"."&amp;V$83&amp;V$1&amp;"P"&amp;$A101)="N/A",0,RTD("tos.rtd",,$A$2,"."&amp;V$83&amp;V$1&amp;"P"&amp;$A101))</f>
        <v>0</v>
      </c>
      <c r="W101" s="91">
        <f ca="1">IF(RTD("tos.rtd",,$A$2,"."&amp;W$83&amp;W$1&amp;"C"&amp;$A101)="N/A",0,RTD("tos.rtd",,$A$2,"."&amp;W$83&amp;W$1&amp;"C"&amp;$A101))-IF(RTD("tos.rtd",,$A$2,"."&amp;W$83&amp;W$1&amp;"P"&amp;$A101)="N/A",0,RTD("tos.rtd",,$A$2,"."&amp;W$83&amp;W$1&amp;"P"&amp;$A101))</f>
        <v>0</v>
      </c>
      <c r="X101" s="91">
        <f ca="1">IF(RTD("tos.rtd",,$A$2,"."&amp;X$83&amp;X$1&amp;"C"&amp;$A101)="N/A",0,RTD("tos.rtd",,$A$2,"."&amp;X$83&amp;X$1&amp;"C"&amp;$A101))-IF(RTD("tos.rtd",,$A$2,"."&amp;X$83&amp;X$1&amp;"P"&amp;$A101)="N/A",0,RTD("tos.rtd",,$A$2,"."&amp;X$83&amp;X$1&amp;"P"&amp;$A101))</f>
        <v>0</v>
      </c>
      <c r="Y101" s="98">
        <f t="shared" ca="1" si="10"/>
        <v>1</v>
      </c>
    </row>
    <row r="102" spans="1:25" x14ac:dyDescent="0.25">
      <c r="A102" s="93">
        <f>+Hoja1!A101</f>
        <v>5710</v>
      </c>
      <c r="B102" s="91">
        <f ca="1">IF(RTD("tos.rtd",,$A$2,"."&amp;B$83&amp;B$1&amp;"C"&amp;$A102)="N/A",0,RTD("tos.rtd",,$A$2,"."&amp;B$83&amp;B$1&amp;"C"&amp;$A102))-IF(RTD("tos.rtd",,$A$2,"."&amp;B$83&amp;B$1&amp;"P"&amp;$A102)="N/A",0,RTD("tos.rtd",,$A$2,"."&amp;B$83&amp;B$1&amp;"P"&amp;$A102))</f>
        <v>0</v>
      </c>
      <c r="C102" s="91">
        <f ca="1">IF(RTD("tos.rtd",,$A$2,"."&amp;C$83&amp;C$1&amp;"C"&amp;$A102)="N/A",0,RTD("tos.rtd",,$A$2,"."&amp;C$83&amp;C$1&amp;"C"&amp;$A102))-IF(RTD("tos.rtd",,$A$2,"."&amp;C$83&amp;C$1&amp;"P"&amp;$A102)="N/A",0,RTD("tos.rtd",,$A$2,"."&amp;C$83&amp;C$1&amp;"P"&amp;$A102))</f>
        <v>0</v>
      </c>
      <c r="D102" s="91">
        <f ca="1">IF(RTD("tos.rtd",,$A$2,"."&amp;D$83&amp;D$1&amp;"C"&amp;$A102)="N/A",0,RTD("tos.rtd",,$A$2,"."&amp;D$83&amp;D$1&amp;"C"&amp;$A102))-IF(RTD("tos.rtd",,$A$2,"."&amp;D$83&amp;D$1&amp;"P"&amp;$A102)="N/A",0,RTD("tos.rtd",,$A$2,"."&amp;D$83&amp;D$1&amp;"P"&amp;$A102))</f>
        <v>0</v>
      </c>
      <c r="E102" s="91">
        <f ca="1">IF(RTD("tos.rtd",,$A$2,"."&amp;E$83&amp;E$1&amp;"C"&amp;$A102)="N/A",0,RTD("tos.rtd",,$A$2,"."&amp;E$83&amp;E$1&amp;"C"&amp;$A102))-IF(RTD("tos.rtd",,$A$2,"."&amp;E$83&amp;E$1&amp;"P"&amp;$A102)="N/A",0,RTD("tos.rtd",,$A$2,"."&amp;E$83&amp;E$1&amp;"P"&amp;$A102))</f>
        <v>0</v>
      </c>
      <c r="F102" s="91">
        <f ca="1">IF(RTD("tos.rtd",,$A$2,"."&amp;F$83&amp;F$1&amp;"C"&amp;$A102)="N/A",0,RTD("tos.rtd",,$A$2,"."&amp;F$83&amp;F$1&amp;"C"&amp;$A102))-IF(RTD("tos.rtd",,$A$2,"."&amp;F$83&amp;F$1&amp;"P"&amp;$A102)="N/A",0,RTD("tos.rtd",,$A$2,"."&amp;F$83&amp;F$1&amp;"P"&amp;$A102))</f>
        <v>0</v>
      </c>
      <c r="G102" s="91">
        <f ca="1">IF(RTD("tos.rtd",,$A$2,"."&amp;G$83&amp;G$1&amp;"C"&amp;$A102)="N/A",0,RTD("tos.rtd",,$A$2,"."&amp;G$83&amp;G$1&amp;"C"&amp;$A102))-IF(RTD("tos.rtd",,$A$2,"."&amp;G$83&amp;G$1&amp;"P"&amp;$A102)="N/A",0,RTD("tos.rtd",,$A$2,"."&amp;G$83&amp;G$1&amp;"P"&amp;$A102))</f>
        <v>0</v>
      </c>
      <c r="H102" s="91">
        <f ca="1">IF(RTD("tos.rtd",,$A$2,"."&amp;H$83&amp;H$1&amp;"C"&amp;$A102)="N/A",0,RTD("tos.rtd",,$A$2,"."&amp;H$83&amp;H$1&amp;"C"&amp;$A102))-IF(RTD("tos.rtd",,$A$2,"."&amp;H$83&amp;H$1&amp;"P"&amp;$A102)="N/A",0,RTD("tos.rtd",,$A$2,"."&amp;H$83&amp;H$1&amp;"P"&amp;$A102))</f>
        <v>0</v>
      </c>
      <c r="I102" s="91">
        <f ca="1">IF(RTD("tos.rtd",,$A$2,"."&amp;I$83&amp;I$1&amp;"C"&amp;$A102)="N/A",0,RTD("tos.rtd",,$A$2,"."&amp;I$83&amp;I$1&amp;"C"&amp;$A102))-IF(RTD("tos.rtd",,$A$2,"."&amp;I$83&amp;I$1&amp;"P"&amp;$A102)="N/A",0,RTD("tos.rtd",,$A$2,"."&amp;I$83&amp;I$1&amp;"P"&amp;$A102))</f>
        <v>0</v>
      </c>
      <c r="J102" s="91">
        <f ca="1">IF(RTD("tos.rtd",,$A$2,"."&amp;J$83&amp;J$1&amp;"C"&amp;$A102)="N/A",0,RTD("tos.rtd",,$A$2,"."&amp;J$83&amp;J$1&amp;"C"&amp;$A102))-IF(RTD("tos.rtd",,$A$2,"."&amp;J$83&amp;J$1&amp;"P"&amp;$A102)="N/A",0,RTD("tos.rtd",,$A$2,"."&amp;J$83&amp;J$1&amp;"P"&amp;$A102))</f>
        <v>0</v>
      </c>
      <c r="K102" s="91">
        <f ca="1">IF(RTD("tos.rtd",,$A$2,"."&amp;K$83&amp;K$1&amp;"C"&amp;$A102)="N/A",0,RTD("tos.rtd",,$A$2,"."&amp;K$83&amp;K$1&amp;"C"&amp;$A102))-IF(RTD("tos.rtd",,$A$2,"."&amp;K$83&amp;K$1&amp;"P"&amp;$A102)="N/A",0,RTD("tos.rtd",,$A$2,"."&amp;K$83&amp;K$1&amp;"P"&amp;$A102))</f>
        <v>0</v>
      </c>
      <c r="L102" s="91">
        <f ca="1">IF(RTD("tos.rtd",,$A$2,"."&amp;L$83&amp;L$1&amp;"C"&amp;$A102)="N/A",0,RTD("tos.rtd",,$A$2,"."&amp;L$83&amp;L$1&amp;"C"&amp;$A102))-IF(RTD("tos.rtd",,$A$2,"."&amp;L$83&amp;L$1&amp;"P"&amp;$A102)="N/A",0,RTD("tos.rtd",,$A$2,"."&amp;L$83&amp;L$1&amp;"P"&amp;$A102))</f>
        <v>0</v>
      </c>
      <c r="M102" s="91">
        <f ca="1">IF(RTD("tos.rtd",,$A$2,"."&amp;M$83&amp;M$1&amp;"C"&amp;$A102)="N/A",0,RTD("tos.rtd",,$A$2,"."&amp;M$83&amp;M$1&amp;"C"&amp;$A102))-IF(RTD("tos.rtd",,$A$2,"."&amp;M$83&amp;M$1&amp;"P"&amp;$A102)="N/A",0,RTD("tos.rtd",,$A$2,"."&amp;M$83&amp;M$1&amp;"P"&amp;$A102))</f>
        <v>0</v>
      </c>
      <c r="N102" s="91">
        <f ca="1">IF(RTD("tos.rtd",,$A$2,"."&amp;N$83&amp;N$1&amp;"C"&amp;$A102)="N/A",0,RTD("tos.rtd",,$A$2,"."&amp;N$83&amp;N$1&amp;"C"&amp;$A102))-IF(RTD("tos.rtd",,$A$2,"."&amp;N$83&amp;N$1&amp;"P"&amp;$A102)="N/A",0,RTD("tos.rtd",,$A$2,"."&amp;N$83&amp;N$1&amp;"P"&amp;$A102))</f>
        <v>0</v>
      </c>
      <c r="O102" s="91">
        <f ca="1">IF(RTD("tos.rtd",,$A$2,"."&amp;O$83&amp;O$1&amp;"C"&amp;$A102)="N/A",0,RTD("tos.rtd",,$A$2,"."&amp;O$83&amp;O$1&amp;"C"&amp;$A102))-IF(RTD("tos.rtd",,$A$2,"."&amp;O$83&amp;O$1&amp;"P"&amp;$A102)="N/A",0,RTD("tos.rtd",,$A$2,"."&amp;O$83&amp;O$1&amp;"P"&amp;$A102))</f>
        <v>0</v>
      </c>
      <c r="P102" s="91">
        <f ca="1">IF(RTD("tos.rtd",,$A$2,"."&amp;P$83&amp;P$1&amp;"C"&amp;$A102)="N/A",0,RTD("tos.rtd",,$A$2,"."&amp;P$83&amp;P$1&amp;"C"&amp;$A102))-IF(RTD("tos.rtd",,$A$2,"."&amp;P$83&amp;P$1&amp;"P"&amp;$A102)="N/A",0,RTD("tos.rtd",,$A$2,"."&amp;P$83&amp;P$1&amp;"P"&amp;$A102))</f>
        <v>0</v>
      </c>
      <c r="Q102" s="91">
        <f ca="1">IF(RTD("tos.rtd",,$A$2,"."&amp;Q$83&amp;Q$1&amp;"C"&amp;$A102)="N/A",0,RTD("tos.rtd",,$A$2,"."&amp;Q$83&amp;Q$1&amp;"C"&amp;$A102))-IF(RTD("tos.rtd",,$A$2,"."&amp;Q$83&amp;Q$1&amp;"P"&amp;$A102)="N/A",0,RTD("tos.rtd",,$A$2,"."&amp;Q$83&amp;Q$1&amp;"P"&amp;$A102))</f>
        <v>0</v>
      </c>
      <c r="R102" s="91">
        <f ca="1">IF(RTD("tos.rtd",,$A$2,"."&amp;R$83&amp;R$1&amp;"C"&amp;$A102)="N/A",0,RTD("tos.rtd",,$A$2,"."&amp;R$83&amp;R$1&amp;"C"&amp;$A102))-IF(RTD("tos.rtd",,$A$2,"."&amp;R$83&amp;R$1&amp;"P"&amp;$A102)="N/A",0,RTD("tos.rtd",,$A$2,"."&amp;R$83&amp;R$1&amp;"P"&amp;$A102))</f>
        <v>0</v>
      </c>
      <c r="S102" s="91">
        <f ca="1">IF(RTD("tos.rtd",,$A$2,"."&amp;S$83&amp;S$1&amp;"C"&amp;$A102)="N/A",0,RTD("tos.rtd",,$A$2,"."&amp;S$83&amp;S$1&amp;"C"&amp;$A102))-IF(RTD("tos.rtd",,$A$2,"."&amp;S$83&amp;S$1&amp;"P"&amp;$A102)="N/A",0,RTD("tos.rtd",,$A$2,"."&amp;S$83&amp;S$1&amp;"P"&amp;$A102))</f>
        <v>0</v>
      </c>
      <c r="T102" s="91">
        <f ca="1">IF(RTD("tos.rtd",,$A$2,"."&amp;T$83&amp;T$1&amp;"C"&amp;$A102)="N/A",0,RTD("tos.rtd",,$A$2,"."&amp;T$83&amp;T$1&amp;"C"&amp;$A102))-IF(RTD("tos.rtd",,$A$2,"."&amp;T$83&amp;T$1&amp;"P"&amp;$A102)="N/A",0,RTD("tos.rtd",,$A$2,"."&amp;T$83&amp;T$1&amp;"P"&amp;$A102))</f>
        <v>0</v>
      </c>
      <c r="U102" s="91">
        <f ca="1">IF(RTD("tos.rtd",,$A$2,"."&amp;U$83&amp;U$1&amp;"C"&amp;$A102)="N/A",0,RTD("tos.rtd",,$A$2,"."&amp;U$83&amp;U$1&amp;"C"&amp;$A102))-IF(RTD("tos.rtd",,$A$2,"."&amp;U$83&amp;U$1&amp;"P"&amp;$A102)="N/A",0,RTD("tos.rtd",,$A$2,"."&amp;U$83&amp;U$1&amp;"P"&amp;$A102))</f>
        <v>0</v>
      </c>
      <c r="V102" s="91">
        <f ca="1">IF(RTD("tos.rtd",,$A$2,"."&amp;V$83&amp;V$1&amp;"C"&amp;$A102)="N/A",0,RTD("tos.rtd",,$A$2,"."&amp;V$83&amp;V$1&amp;"C"&amp;$A102))-IF(RTD("tos.rtd",,$A$2,"."&amp;V$83&amp;V$1&amp;"P"&amp;$A102)="N/A",0,RTD("tos.rtd",,$A$2,"."&amp;V$83&amp;V$1&amp;"P"&amp;$A102))</f>
        <v>0</v>
      </c>
      <c r="W102" s="91">
        <f ca="1">IF(RTD("tos.rtd",,$A$2,"."&amp;W$83&amp;W$1&amp;"C"&amp;$A102)="N/A",0,RTD("tos.rtd",,$A$2,"."&amp;W$83&amp;W$1&amp;"C"&amp;$A102))-IF(RTD("tos.rtd",,$A$2,"."&amp;W$83&amp;W$1&amp;"P"&amp;$A102)="N/A",0,RTD("tos.rtd",,$A$2,"."&amp;W$83&amp;W$1&amp;"P"&amp;$A102))</f>
        <v>0</v>
      </c>
      <c r="X102" s="91">
        <f ca="1">IF(RTD("tos.rtd",,$A$2,"."&amp;X$83&amp;X$1&amp;"C"&amp;$A102)="N/A",0,RTD("tos.rtd",,$A$2,"."&amp;X$83&amp;X$1&amp;"C"&amp;$A102))-IF(RTD("tos.rtd",,$A$2,"."&amp;X$83&amp;X$1&amp;"P"&amp;$A102)="N/A",0,RTD("tos.rtd",,$A$2,"."&amp;X$83&amp;X$1&amp;"P"&amp;$A102))</f>
        <v>0</v>
      </c>
      <c r="Y102" s="98">
        <f t="shared" ca="1" si="10"/>
        <v>0</v>
      </c>
    </row>
    <row r="103" spans="1:25" x14ac:dyDescent="0.25">
      <c r="A103" s="93">
        <f>+Hoja1!A102</f>
        <v>5700</v>
      </c>
      <c r="B103" s="91">
        <f ca="1">IF(RTD("tos.rtd",,$A$2,"."&amp;B$83&amp;B$1&amp;"C"&amp;$A103)="N/A",0,RTD("tos.rtd",,$A$2,"."&amp;B$83&amp;B$1&amp;"C"&amp;$A103))-IF(RTD("tos.rtd",,$A$2,"."&amp;B$83&amp;B$1&amp;"P"&amp;$A103)="N/A",0,RTD("tos.rtd",,$A$2,"."&amp;B$83&amp;B$1&amp;"P"&amp;$A103))</f>
        <v>0</v>
      </c>
      <c r="C103" s="91">
        <f ca="1">IF(RTD("tos.rtd",,$A$2,"."&amp;C$83&amp;C$1&amp;"C"&amp;$A103)="N/A",0,RTD("tos.rtd",,$A$2,"."&amp;C$83&amp;C$1&amp;"C"&amp;$A103))-IF(RTD("tos.rtd",,$A$2,"."&amp;C$83&amp;C$1&amp;"P"&amp;$A103)="N/A",0,RTD("tos.rtd",,$A$2,"."&amp;C$83&amp;C$1&amp;"P"&amp;$A103))</f>
        <v>0</v>
      </c>
      <c r="D103" s="91">
        <f ca="1">IF(RTD("tos.rtd",,$A$2,"."&amp;D$83&amp;D$1&amp;"C"&amp;$A103)="N/A",0,RTD("tos.rtd",,$A$2,"."&amp;D$83&amp;D$1&amp;"C"&amp;$A103))-IF(RTD("tos.rtd",,$A$2,"."&amp;D$83&amp;D$1&amp;"P"&amp;$A103)="N/A",0,RTD("tos.rtd",,$A$2,"."&amp;D$83&amp;D$1&amp;"P"&amp;$A103))</f>
        <v>0</v>
      </c>
      <c r="E103" s="91">
        <f ca="1">IF(RTD("tos.rtd",,$A$2,"."&amp;E$83&amp;E$1&amp;"C"&amp;$A103)="N/A",0,RTD("tos.rtd",,$A$2,"."&amp;E$83&amp;E$1&amp;"C"&amp;$A103))-IF(RTD("tos.rtd",,$A$2,"."&amp;E$83&amp;E$1&amp;"P"&amp;$A103)="N/A",0,RTD("tos.rtd",,$A$2,"."&amp;E$83&amp;E$1&amp;"P"&amp;$A103))</f>
        <v>0</v>
      </c>
      <c r="F103" s="91">
        <f ca="1">IF(RTD("tos.rtd",,$A$2,"."&amp;F$83&amp;F$1&amp;"C"&amp;$A103)="N/A",0,RTD("tos.rtd",,$A$2,"."&amp;F$83&amp;F$1&amp;"C"&amp;$A103))-IF(RTD("tos.rtd",,$A$2,"."&amp;F$83&amp;F$1&amp;"P"&amp;$A103)="N/A",0,RTD("tos.rtd",,$A$2,"."&amp;F$83&amp;F$1&amp;"P"&amp;$A103))</f>
        <v>0</v>
      </c>
      <c r="G103" s="91">
        <f ca="1">IF(RTD("tos.rtd",,$A$2,"."&amp;G$83&amp;G$1&amp;"C"&amp;$A103)="N/A",0,RTD("tos.rtd",,$A$2,"."&amp;G$83&amp;G$1&amp;"C"&amp;$A103))-IF(RTD("tos.rtd",,$A$2,"."&amp;G$83&amp;G$1&amp;"P"&amp;$A103)="N/A",0,RTD("tos.rtd",,$A$2,"."&amp;G$83&amp;G$1&amp;"P"&amp;$A103))</f>
        <v>0</v>
      </c>
      <c r="H103" s="91">
        <f ca="1">IF(RTD("tos.rtd",,$A$2,"."&amp;H$83&amp;H$1&amp;"C"&amp;$A103)="N/A",0,RTD("tos.rtd",,$A$2,"."&amp;H$83&amp;H$1&amp;"C"&amp;$A103))-IF(RTD("tos.rtd",,$A$2,"."&amp;H$83&amp;H$1&amp;"P"&amp;$A103)="N/A",0,RTD("tos.rtd",,$A$2,"."&amp;H$83&amp;H$1&amp;"P"&amp;$A103))</f>
        <v>0</v>
      </c>
      <c r="I103" s="91">
        <f ca="1">IF(RTD("tos.rtd",,$A$2,"."&amp;I$83&amp;I$1&amp;"C"&amp;$A103)="N/A",0,RTD("tos.rtd",,$A$2,"."&amp;I$83&amp;I$1&amp;"C"&amp;$A103))-IF(RTD("tos.rtd",,$A$2,"."&amp;I$83&amp;I$1&amp;"P"&amp;$A103)="N/A",0,RTD("tos.rtd",,$A$2,"."&amp;I$83&amp;I$1&amp;"P"&amp;$A103))</f>
        <v>0</v>
      </c>
      <c r="J103" s="91">
        <f ca="1">IF(RTD("tos.rtd",,$A$2,"."&amp;J$83&amp;J$1&amp;"C"&amp;$A103)="N/A",0,RTD("tos.rtd",,$A$2,"."&amp;J$83&amp;J$1&amp;"C"&amp;$A103))-IF(RTD("tos.rtd",,$A$2,"."&amp;J$83&amp;J$1&amp;"P"&amp;$A103)="N/A",0,RTD("tos.rtd",,$A$2,"."&amp;J$83&amp;J$1&amp;"P"&amp;$A103))</f>
        <v>0</v>
      </c>
      <c r="K103" s="91">
        <f ca="1">IF(RTD("tos.rtd",,$A$2,"."&amp;K$83&amp;K$1&amp;"C"&amp;$A103)="N/A",0,RTD("tos.rtd",,$A$2,"."&amp;K$83&amp;K$1&amp;"C"&amp;$A103))-IF(RTD("tos.rtd",,$A$2,"."&amp;K$83&amp;K$1&amp;"P"&amp;$A103)="N/A",0,RTD("tos.rtd",,$A$2,"."&amp;K$83&amp;K$1&amp;"P"&amp;$A103))</f>
        <v>0</v>
      </c>
      <c r="L103" s="91">
        <f ca="1">IF(RTD("tos.rtd",,$A$2,"."&amp;L$83&amp;L$1&amp;"C"&amp;$A103)="N/A",0,RTD("tos.rtd",,$A$2,"."&amp;L$83&amp;L$1&amp;"C"&amp;$A103))-IF(RTD("tos.rtd",,$A$2,"."&amp;L$83&amp;L$1&amp;"P"&amp;$A103)="N/A",0,RTD("tos.rtd",,$A$2,"."&amp;L$83&amp;L$1&amp;"P"&amp;$A103))</f>
        <v>0</v>
      </c>
      <c r="M103" s="91">
        <f ca="1">IF(RTD("tos.rtd",,$A$2,"."&amp;M$83&amp;M$1&amp;"C"&amp;$A103)="N/A",0,RTD("tos.rtd",,$A$2,"."&amp;M$83&amp;M$1&amp;"C"&amp;$A103))-IF(RTD("tos.rtd",,$A$2,"."&amp;M$83&amp;M$1&amp;"P"&amp;$A103)="N/A",0,RTD("tos.rtd",,$A$2,"."&amp;M$83&amp;M$1&amp;"P"&amp;$A103))</f>
        <v>0</v>
      </c>
      <c r="N103" s="91">
        <f ca="1">IF(RTD("tos.rtd",,$A$2,"."&amp;N$83&amp;N$1&amp;"C"&amp;$A103)="N/A",0,RTD("tos.rtd",,$A$2,"."&amp;N$83&amp;N$1&amp;"C"&amp;$A103))-IF(RTD("tos.rtd",,$A$2,"."&amp;N$83&amp;N$1&amp;"P"&amp;$A103)="N/A",0,RTD("tos.rtd",,$A$2,"."&amp;N$83&amp;N$1&amp;"P"&amp;$A103))</f>
        <v>0</v>
      </c>
      <c r="O103" s="91">
        <f ca="1">IF(RTD("tos.rtd",,$A$2,"."&amp;O$83&amp;O$1&amp;"C"&amp;$A103)="N/A",0,RTD("tos.rtd",,$A$2,"."&amp;O$83&amp;O$1&amp;"C"&amp;$A103))-IF(RTD("tos.rtd",,$A$2,"."&amp;O$83&amp;O$1&amp;"P"&amp;$A103)="N/A",0,RTD("tos.rtd",,$A$2,"."&amp;O$83&amp;O$1&amp;"P"&amp;$A103))</f>
        <v>0</v>
      </c>
      <c r="P103" s="91">
        <f ca="1">IF(RTD("tos.rtd",,$A$2,"."&amp;P$83&amp;P$1&amp;"C"&amp;$A103)="N/A",0,RTD("tos.rtd",,$A$2,"."&amp;P$83&amp;P$1&amp;"C"&amp;$A103))-IF(RTD("tos.rtd",,$A$2,"."&amp;P$83&amp;P$1&amp;"P"&amp;$A103)="N/A",0,RTD("tos.rtd",,$A$2,"."&amp;P$83&amp;P$1&amp;"P"&amp;$A103))</f>
        <v>0</v>
      </c>
      <c r="Q103" s="91">
        <f ca="1">IF(RTD("tos.rtd",,$A$2,"."&amp;Q$83&amp;Q$1&amp;"C"&amp;$A103)="N/A",0,RTD("tos.rtd",,$A$2,"."&amp;Q$83&amp;Q$1&amp;"C"&amp;$A103))-IF(RTD("tos.rtd",,$A$2,"."&amp;Q$83&amp;Q$1&amp;"P"&amp;$A103)="N/A",0,RTD("tos.rtd",,$A$2,"."&amp;Q$83&amp;Q$1&amp;"P"&amp;$A103))</f>
        <v>2</v>
      </c>
      <c r="R103" s="91">
        <f ca="1">IF(RTD("tos.rtd",,$A$2,"."&amp;R$83&amp;R$1&amp;"C"&amp;$A103)="N/A",0,RTD("tos.rtd",,$A$2,"."&amp;R$83&amp;R$1&amp;"C"&amp;$A103))-IF(RTD("tos.rtd",,$A$2,"."&amp;R$83&amp;R$1&amp;"P"&amp;$A103)="N/A",0,RTD("tos.rtd",,$A$2,"."&amp;R$83&amp;R$1&amp;"P"&amp;$A103))</f>
        <v>0</v>
      </c>
      <c r="S103" s="91">
        <f ca="1">IF(RTD("tos.rtd",,$A$2,"."&amp;S$83&amp;S$1&amp;"C"&amp;$A103)="N/A",0,RTD("tos.rtd",,$A$2,"."&amp;S$83&amp;S$1&amp;"C"&amp;$A103))-IF(RTD("tos.rtd",,$A$2,"."&amp;S$83&amp;S$1&amp;"P"&amp;$A103)="N/A",0,RTD("tos.rtd",,$A$2,"."&amp;S$83&amp;S$1&amp;"P"&amp;$A103))</f>
        <v>0</v>
      </c>
      <c r="T103" s="91">
        <f ca="1">IF(RTD("tos.rtd",,$A$2,"."&amp;T$83&amp;T$1&amp;"C"&amp;$A103)="N/A",0,RTD("tos.rtd",,$A$2,"."&amp;T$83&amp;T$1&amp;"C"&amp;$A103))-IF(RTD("tos.rtd",,$A$2,"."&amp;T$83&amp;T$1&amp;"P"&amp;$A103)="N/A",0,RTD("tos.rtd",,$A$2,"."&amp;T$83&amp;T$1&amp;"P"&amp;$A103))</f>
        <v>0</v>
      </c>
      <c r="U103" s="91">
        <f ca="1">IF(RTD("tos.rtd",,$A$2,"."&amp;U$83&amp;U$1&amp;"C"&amp;$A103)="N/A",0,RTD("tos.rtd",,$A$2,"."&amp;U$83&amp;U$1&amp;"C"&amp;$A103))-IF(RTD("tos.rtd",,$A$2,"."&amp;U$83&amp;U$1&amp;"P"&amp;$A103)="N/A",0,RTD("tos.rtd",,$A$2,"."&amp;U$83&amp;U$1&amp;"P"&amp;$A103))</f>
        <v>0</v>
      </c>
      <c r="V103" s="91">
        <f ca="1">IF(RTD("tos.rtd",,$A$2,"."&amp;V$83&amp;V$1&amp;"C"&amp;$A103)="N/A",0,RTD("tos.rtd",,$A$2,"."&amp;V$83&amp;V$1&amp;"C"&amp;$A103))-IF(RTD("tos.rtd",,$A$2,"."&amp;V$83&amp;V$1&amp;"P"&amp;$A103)="N/A",0,RTD("tos.rtd",,$A$2,"."&amp;V$83&amp;V$1&amp;"P"&amp;$A103))</f>
        <v>0</v>
      </c>
      <c r="W103" s="91">
        <f ca="1">IF(RTD("tos.rtd",,$A$2,"."&amp;W$83&amp;W$1&amp;"C"&amp;$A103)="N/A",0,RTD("tos.rtd",,$A$2,"."&amp;W$83&amp;W$1&amp;"C"&amp;$A103))-IF(RTD("tos.rtd",,$A$2,"."&amp;W$83&amp;W$1&amp;"P"&amp;$A103)="N/A",0,RTD("tos.rtd",,$A$2,"."&amp;W$83&amp;W$1&amp;"P"&amp;$A103))</f>
        <v>0</v>
      </c>
      <c r="X103" s="91">
        <f ca="1">IF(RTD("tos.rtd",,$A$2,"."&amp;X$83&amp;X$1&amp;"C"&amp;$A103)="N/A",0,RTD("tos.rtd",,$A$2,"."&amp;X$83&amp;X$1&amp;"C"&amp;$A103))-IF(RTD("tos.rtd",,$A$2,"."&amp;X$83&amp;X$1&amp;"P"&amp;$A103)="N/A",0,RTD("tos.rtd",,$A$2,"."&amp;X$83&amp;X$1&amp;"P"&amp;$A103))</f>
        <v>0</v>
      </c>
      <c r="Y103" s="98">
        <f t="shared" ca="1" si="10"/>
        <v>2</v>
      </c>
    </row>
    <row r="104" spans="1:25" x14ac:dyDescent="0.25">
      <c r="A104" s="93">
        <f>+Hoja1!A103</f>
        <v>5690</v>
      </c>
      <c r="B104" s="91">
        <f ca="1">IF(RTD("tos.rtd",,$A$2,"."&amp;B$83&amp;B$1&amp;"C"&amp;$A104)="N/A",0,RTD("tos.rtd",,$A$2,"."&amp;B$83&amp;B$1&amp;"C"&amp;$A104))-IF(RTD("tos.rtd",,$A$2,"."&amp;B$83&amp;B$1&amp;"P"&amp;$A104)="N/A",0,RTD("tos.rtd",,$A$2,"."&amp;B$83&amp;B$1&amp;"P"&amp;$A104))</f>
        <v>0</v>
      </c>
      <c r="C104" s="91">
        <f ca="1">IF(RTD("tos.rtd",,$A$2,"."&amp;C$83&amp;C$1&amp;"C"&amp;$A104)="N/A",0,RTD("tos.rtd",,$A$2,"."&amp;C$83&amp;C$1&amp;"C"&amp;$A104))-IF(RTD("tos.rtd",,$A$2,"."&amp;C$83&amp;C$1&amp;"P"&amp;$A104)="N/A",0,RTD("tos.rtd",,$A$2,"."&amp;C$83&amp;C$1&amp;"P"&amp;$A104))</f>
        <v>0</v>
      </c>
      <c r="D104" s="91">
        <f ca="1">IF(RTD("tos.rtd",,$A$2,"."&amp;D$83&amp;D$1&amp;"C"&amp;$A104)="N/A",0,RTD("tos.rtd",,$A$2,"."&amp;D$83&amp;D$1&amp;"C"&amp;$A104))-IF(RTD("tos.rtd",,$A$2,"."&amp;D$83&amp;D$1&amp;"P"&amp;$A104)="N/A",0,RTD("tos.rtd",,$A$2,"."&amp;D$83&amp;D$1&amp;"P"&amp;$A104))</f>
        <v>0</v>
      </c>
      <c r="E104" s="91">
        <f ca="1">IF(RTD("tos.rtd",,$A$2,"."&amp;E$83&amp;E$1&amp;"C"&amp;$A104)="N/A",0,RTD("tos.rtd",,$A$2,"."&amp;E$83&amp;E$1&amp;"C"&amp;$A104))-IF(RTD("tos.rtd",,$A$2,"."&amp;E$83&amp;E$1&amp;"P"&amp;$A104)="N/A",0,RTD("tos.rtd",,$A$2,"."&amp;E$83&amp;E$1&amp;"P"&amp;$A104))</f>
        <v>0</v>
      </c>
      <c r="F104" s="91">
        <f ca="1">IF(RTD("tos.rtd",,$A$2,"."&amp;F$83&amp;F$1&amp;"C"&amp;$A104)="N/A",0,RTD("tos.rtd",,$A$2,"."&amp;F$83&amp;F$1&amp;"C"&amp;$A104))-IF(RTD("tos.rtd",,$A$2,"."&amp;F$83&amp;F$1&amp;"P"&amp;$A104)="N/A",0,RTD("tos.rtd",,$A$2,"."&amp;F$83&amp;F$1&amp;"P"&amp;$A104))</f>
        <v>0</v>
      </c>
      <c r="G104" s="91">
        <f ca="1">IF(RTD("tos.rtd",,$A$2,"."&amp;G$83&amp;G$1&amp;"C"&amp;$A104)="N/A",0,RTD("tos.rtd",,$A$2,"."&amp;G$83&amp;G$1&amp;"C"&amp;$A104))-IF(RTD("tos.rtd",,$A$2,"."&amp;G$83&amp;G$1&amp;"P"&amp;$A104)="N/A",0,RTD("tos.rtd",,$A$2,"."&amp;G$83&amp;G$1&amp;"P"&amp;$A104))</f>
        <v>0</v>
      </c>
      <c r="H104" s="91">
        <f ca="1">IF(RTD("tos.rtd",,$A$2,"."&amp;H$83&amp;H$1&amp;"C"&amp;$A104)="N/A",0,RTD("tos.rtd",,$A$2,"."&amp;H$83&amp;H$1&amp;"C"&amp;$A104))-IF(RTD("tos.rtd",,$A$2,"."&amp;H$83&amp;H$1&amp;"P"&amp;$A104)="N/A",0,RTD("tos.rtd",,$A$2,"."&amp;H$83&amp;H$1&amp;"P"&amp;$A104))</f>
        <v>0</v>
      </c>
      <c r="I104" s="91">
        <f ca="1">IF(RTD("tos.rtd",,$A$2,"."&amp;I$83&amp;I$1&amp;"C"&amp;$A104)="N/A",0,RTD("tos.rtd",,$A$2,"."&amp;I$83&amp;I$1&amp;"C"&amp;$A104))-IF(RTD("tos.rtd",,$A$2,"."&amp;I$83&amp;I$1&amp;"P"&amp;$A104)="N/A",0,RTD("tos.rtd",,$A$2,"."&amp;I$83&amp;I$1&amp;"P"&amp;$A104))</f>
        <v>0</v>
      </c>
      <c r="J104" s="91">
        <f ca="1">IF(RTD("tos.rtd",,$A$2,"."&amp;J$83&amp;J$1&amp;"C"&amp;$A104)="N/A",0,RTD("tos.rtd",,$A$2,"."&amp;J$83&amp;J$1&amp;"C"&amp;$A104))-IF(RTD("tos.rtd",,$A$2,"."&amp;J$83&amp;J$1&amp;"P"&amp;$A104)="N/A",0,RTD("tos.rtd",,$A$2,"."&amp;J$83&amp;J$1&amp;"P"&amp;$A104))</f>
        <v>0</v>
      </c>
      <c r="K104" s="91">
        <f ca="1">IF(RTD("tos.rtd",,$A$2,"."&amp;K$83&amp;K$1&amp;"C"&amp;$A104)="N/A",0,RTD("tos.rtd",,$A$2,"."&amp;K$83&amp;K$1&amp;"C"&amp;$A104))-IF(RTD("tos.rtd",,$A$2,"."&amp;K$83&amp;K$1&amp;"P"&amp;$A104)="N/A",0,RTD("tos.rtd",,$A$2,"."&amp;K$83&amp;K$1&amp;"P"&amp;$A104))</f>
        <v>0</v>
      </c>
      <c r="L104" s="91">
        <f ca="1">IF(RTD("tos.rtd",,$A$2,"."&amp;L$83&amp;L$1&amp;"C"&amp;$A104)="N/A",0,RTD("tos.rtd",,$A$2,"."&amp;L$83&amp;L$1&amp;"C"&amp;$A104))-IF(RTD("tos.rtd",,$A$2,"."&amp;L$83&amp;L$1&amp;"P"&amp;$A104)="N/A",0,RTD("tos.rtd",,$A$2,"."&amp;L$83&amp;L$1&amp;"P"&amp;$A104))</f>
        <v>0</v>
      </c>
      <c r="M104" s="91">
        <f ca="1">IF(RTD("tos.rtd",,$A$2,"."&amp;M$83&amp;M$1&amp;"C"&amp;$A104)="N/A",0,RTD("tos.rtd",,$A$2,"."&amp;M$83&amp;M$1&amp;"C"&amp;$A104))-IF(RTD("tos.rtd",,$A$2,"."&amp;M$83&amp;M$1&amp;"P"&amp;$A104)="N/A",0,RTD("tos.rtd",,$A$2,"."&amp;M$83&amp;M$1&amp;"P"&amp;$A104))</f>
        <v>0</v>
      </c>
      <c r="N104" s="91">
        <f ca="1">IF(RTD("tos.rtd",,$A$2,"."&amp;N$83&amp;N$1&amp;"C"&amp;$A104)="N/A",0,RTD("tos.rtd",,$A$2,"."&amp;N$83&amp;N$1&amp;"C"&amp;$A104))-IF(RTD("tos.rtd",,$A$2,"."&amp;N$83&amp;N$1&amp;"P"&amp;$A104)="N/A",0,RTD("tos.rtd",,$A$2,"."&amp;N$83&amp;N$1&amp;"P"&amp;$A104))</f>
        <v>0</v>
      </c>
      <c r="O104" s="91">
        <f ca="1">IF(RTD("tos.rtd",,$A$2,"."&amp;O$83&amp;O$1&amp;"C"&amp;$A104)="N/A",0,RTD("tos.rtd",,$A$2,"."&amp;O$83&amp;O$1&amp;"C"&amp;$A104))-IF(RTD("tos.rtd",,$A$2,"."&amp;O$83&amp;O$1&amp;"P"&amp;$A104)="N/A",0,RTD("tos.rtd",,$A$2,"."&amp;O$83&amp;O$1&amp;"P"&amp;$A104))</f>
        <v>0</v>
      </c>
      <c r="P104" s="91">
        <f ca="1">IF(RTD("tos.rtd",,$A$2,"."&amp;P$83&amp;P$1&amp;"C"&amp;$A104)="N/A",0,RTD("tos.rtd",,$A$2,"."&amp;P$83&amp;P$1&amp;"C"&amp;$A104))-IF(RTD("tos.rtd",,$A$2,"."&amp;P$83&amp;P$1&amp;"P"&amp;$A104)="N/A",0,RTD("tos.rtd",,$A$2,"."&amp;P$83&amp;P$1&amp;"P"&amp;$A104))</f>
        <v>0</v>
      </c>
      <c r="Q104" s="91">
        <f ca="1">IF(RTD("tos.rtd",,$A$2,"."&amp;Q$83&amp;Q$1&amp;"C"&amp;$A104)="N/A",0,RTD("tos.rtd",,$A$2,"."&amp;Q$83&amp;Q$1&amp;"C"&amp;$A104))-IF(RTD("tos.rtd",,$A$2,"."&amp;Q$83&amp;Q$1&amp;"P"&amp;$A104)="N/A",0,RTD("tos.rtd",,$A$2,"."&amp;Q$83&amp;Q$1&amp;"P"&amp;$A104))</f>
        <v>0</v>
      </c>
      <c r="R104" s="91">
        <f ca="1">IF(RTD("tos.rtd",,$A$2,"."&amp;R$83&amp;R$1&amp;"C"&amp;$A104)="N/A",0,RTD("tos.rtd",,$A$2,"."&amp;R$83&amp;R$1&amp;"C"&amp;$A104))-IF(RTD("tos.rtd",,$A$2,"."&amp;R$83&amp;R$1&amp;"P"&amp;$A104)="N/A",0,RTD("tos.rtd",,$A$2,"."&amp;R$83&amp;R$1&amp;"P"&amp;$A104))</f>
        <v>0</v>
      </c>
      <c r="S104" s="91">
        <f ca="1">IF(RTD("tos.rtd",,$A$2,"."&amp;S$83&amp;S$1&amp;"C"&amp;$A104)="N/A",0,RTD("tos.rtd",,$A$2,"."&amp;S$83&amp;S$1&amp;"C"&amp;$A104))-IF(RTD("tos.rtd",,$A$2,"."&amp;S$83&amp;S$1&amp;"P"&amp;$A104)="N/A",0,RTD("tos.rtd",,$A$2,"."&amp;S$83&amp;S$1&amp;"P"&amp;$A104))</f>
        <v>0</v>
      </c>
      <c r="T104" s="91">
        <f ca="1">IF(RTD("tos.rtd",,$A$2,"."&amp;T$83&amp;T$1&amp;"C"&amp;$A104)="N/A",0,RTD("tos.rtd",,$A$2,"."&amp;T$83&amp;T$1&amp;"C"&amp;$A104))-IF(RTD("tos.rtd",,$A$2,"."&amp;T$83&amp;T$1&amp;"P"&amp;$A104)="N/A",0,RTD("tos.rtd",,$A$2,"."&amp;T$83&amp;T$1&amp;"P"&amp;$A104))</f>
        <v>0</v>
      </c>
      <c r="U104" s="91">
        <f ca="1">IF(RTD("tos.rtd",,$A$2,"."&amp;U$83&amp;U$1&amp;"C"&amp;$A104)="N/A",0,RTD("tos.rtd",,$A$2,"."&amp;U$83&amp;U$1&amp;"C"&amp;$A104))-IF(RTD("tos.rtd",,$A$2,"."&amp;U$83&amp;U$1&amp;"P"&amp;$A104)="N/A",0,RTD("tos.rtd",,$A$2,"."&amp;U$83&amp;U$1&amp;"P"&amp;$A104))</f>
        <v>0</v>
      </c>
      <c r="V104" s="91">
        <f ca="1">IF(RTD("tos.rtd",,$A$2,"."&amp;V$83&amp;V$1&amp;"C"&amp;$A104)="N/A",0,RTD("tos.rtd",,$A$2,"."&amp;V$83&amp;V$1&amp;"C"&amp;$A104))-IF(RTD("tos.rtd",,$A$2,"."&amp;V$83&amp;V$1&amp;"P"&amp;$A104)="N/A",0,RTD("tos.rtd",,$A$2,"."&amp;V$83&amp;V$1&amp;"P"&amp;$A104))</f>
        <v>0</v>
      </c>
      <c r="W104" s="91">
        <f ca="1">IF(RTD("tos.rtd",,$A$2,"."&amp;W$83&amp;W$1&amp;"C"&amp;$A104)="N/A",0,RTD("tos.rtd",,$A$2,"."&amp;W$83&amp;W$1&amp;"C"&amp;$A104))-IF(RTD("tos.rtd",,$A$2,"."&amp;W$83&amp;W$1&amp;"P"&amp;$A104)="N/A",0,RTD("tos.rtd",,$A$2,"."&amp;W$83&amp;W$1&amp;"P"&amp;$A104))</f>
        <v>0</v>
      </c>
      <c r="X104" s="91">
        <f ca="1">IF(RTD("tos.rtd",,$A$2,"."&amp;X$83&amp;X$1&amp;"C"&amp;$A104)="N/A",0,RTD("tos.rtd",,$A$2,"."&amp;X$83&amp;X$1&amp;"C"&amp;$A104))-IF(RTD("tos.rtd",,$A$2,"."&amp;X$83&amp;X$1&amp;"P"&amp;$A104)="N/A",0,RTD("tos.rtd",,$A$2,"."&amp;X$83&amp;X$1&amp;"P"&amp;$A104))</f>
        <v>0</v>
      </c>
      <c r="Y104" s="98">
        <f t="shared" ca="1" si="10"/>
        <v>0</v>
      </c>
    </row>
    <row r="105" spans="1:25" x14ac:dyDescent="0.25">
      <c r="A105" s="93">
        <f>+Hoja1!A104</f>
        <v>5680</v>
      </c>
      <c r="B105" s="91">
        <f ca="1">IF(RTD("tos.rtd",,$A$2,"."&amp;B$83&amp;B$1&amp;"C"&amp;$A105)="N/A",0,RTD("tos.rtd",,$A$2,"."&amp;B$83&amp;B$1&amp;"C"&amp;$A105))-IF(RTD("tos.rtd",,$A$2,"."&amp;B$83&amp;B$1&amp;"P"&amp;$A105)="N/A",0,RTD("tos.rtd",,$A$2,"."&amp;B$83&amp;B$1&amp;"P"&amp;$A105))</f>
        <v>0</v>
      </c>
      <c r="C105" s="91">
        <f ca="1">IF(RTD("tos.rtd",,$A$2,"."&amp;C$83&amp;C$1&amp;"C"&amp;$A105)="N/A",0,RTD("tos.rtd",,$A$2,"."&amp;C$83&amp;C$1&amp;"C"&amp;$A105))-IF(RTD("tos.rtd",,$A$2,"."&amp;C$83&amp;C$1&amp;"P"&amp;$A105)="N/A",0,RTD("tos.rtd",,$A$2,"."&amp;C$83&amp;C$1&amp;"P"&amp;$A105))</f>
        <v>0</v>
      </c>
      <c r="D105" s="91">
        <f ca="1">IF(RTD("tos.rtd",,$A$2,"."&amp;D$83&amp;D$1&amp;"C"&amp;$A105)="N/A",0,RTD("tos.rtd",,$A$2,"."&amp;D$83&amp;D$1&amp;"C"&amp;$A105))-IF(RTD("tos.rtd",,$A$2,"."&amp;D$83&amp;D$1&amp;"P"&amp;$A105)="N/A",0,RTD("tos.rtd",,$A$2,"."&amp;D$83&amp;D$1&amp;"P"&amp;$A105))</f>
        <v>0</v>
      </c>
      <c r="E105" s="91">
        <f ca="1">IF(RTD("tos.rtd",,$A$2,"."&amp;E$83&amp;E$1&amp;"C"&amp;$A105)="N/A",0,RTD("tos.rtd",,$A$2,"."&amp;E$83&amp;E$1&amp;"C"&amp;$A105))-IF(RTD("tos.rtd",,$A$2,"."&amp;E$83&amp;E$1&amp;"P"&amp;$A105)="N/A",0,RTD("tos.rtd",,$A$2,"."&amp;E$83&amp;E$1&amp;"P"&amp;$A105))</f>
        <v>0</v>
      </c>
      <c r="F105" s="91">
        <f ca="1">IF(RTD("tos.rtd",,$A$2,"."&amp;F$83&amp;F$1&amp;"C"&amp;$A105)="N/A",0,RTD("tos.rtd",,$A$2,"."&amp;F$83&amp;F$1&amp;"C"&amp;$A105))-IF(RTD("tos.rtd",,$A$2,"."&amp;F$83&amp;F$1&amp;"P"&amp;$A105)="N/A",0,RTD("tos.rtd",,$A$2,"."&amp;F$83&amp;F$1&amp;"P"&amp;$A105))</f>
        <v>0</v>
      </c>
      <c r="G105" s="91">
        <f ca="1">IF(RTD("tos.rtd",,$A$2,"."&amp;G$83&amp;G$1&amp;"C"&amp;$A105)="N/A",0,RTD("tos.rtd",,$A$2,"."&amp;G$83&amp;G$1&amp;"C"&amp;$A105))-IF(RTD("tos.rtd",,$A$2,"."&amp;G$83&amp;G$1&amp;"P"&amp;$A105)="N/A",0,RTD("tos.rtd",,$A$2,"."&amp;G$83&amp;G$1&amp;"P"&amp;$A105))</f>
        <v>0</v>
      </c>
      <c r="H105" s="91">
        <f ca="1">IF(RTD("tos.rtd",,$A$2,"."&amp;H$83&amp;H$1&amp;"C"&amp;$A105)="N/A",0,RTD("tos.rtd",,$A$2,"."&amp;H$83&amp;H$1&amp;"C"&amp;$A105))-IF(RTD("tos.rtd",,$A$2,"."&amp;H$83&amp;H$1&amp;"P"&amp;$A105)="N/A",0,RTD("tos.rtd",,$A$2,"."&amp;H$83&amp;H$1&amp;"P"&amp;$A105))</f>
        <v>0</v>
      </c>
      <c r="I105" s="91">
        <f ca="1">IF(RTD("tos.rtd",,$A$2,"."&amp;I$83&amp;I$1&amp;"C"&amp;$A105)="N/A",0,RTD("tos.rtd",,$A$2,"."&amp;I$83&amp;I$1&amp;"C"&amp;$A105))-IF(RTD("tos.rtd",,$A$2,"."&amp;I$83&amp;I$1&amp;"P"&amp;$A105)="N/A",0,RTD("tos.rtd",,$A$2,"."&amp;I$83&amp;I$1&amp;"P"&amp;$A105))</f>
        <v>0</v>
      </c>
      <c r="J105" s="91">
        <f ca="1">IF(RTD("tos.rtd",,$A$2,"."&amp;J$83&amp;J$1&amp;"C"&amp;$A105)="N/A",0,RTD("tos.rtd",,$A$2,"."&amp;J$83&amp;J$1&amp;"C"&amp;$A105))-IF(RTD("tos.rtd",,$A$2,"."&amp;J$83&amp;J$1&amp;"P"&amp;$A105)="N/A",0,RTD("tos.rtd",,$A$2,"."&amp;J$83&amp;J$1&amp;"P"&amp;$A105))</f>
        <v>0</v>
      </c>
      <c r="K105" s="91">
        <f ca="1">IF(RTD("tos.rtd",,$A$2,"."&amp;K$83&amp;K$1&amp;"C"&amp;$A105)="N/A",0,RTD("tos.rtd",,$A$2,"."&amp;K$83&amp;K$1&amp;"C"&amp;$A105))-IF(RTD("tos.rtd",,$A$2,"."&amp;K$83&amp;K$1&amp;"P"&amp;$A105)="N/A",0,RTD("tos.rtd",,$A$2,"."&amp;K$83&amp;K$1&amp;"P"&amp;$A105))</f>
        <v>0</v>
      </c>
      <c r="L105" s="91">
        <f ca="1">IF(RTD("tos.rtd",,$A$2,"."&amp;L$83&amp;L$1&amp;"C"&amp;$A105)="N/A",0,RTD("tos.rtd",,$A$2,"."&amp;L$83&amp;L$1&amp;"C"&amp;$A105))-IF(RTD("tos.rtd",,$A$2,"."&amp;L$83&amp;L$1&amp;"P"&amp;$A105)="N/A",0,RTD("tos.rtd",,$A$2,"."&amp;L$83&amp;L$1&amp;"P"&amp;$A105))</f>
        <v>0</v>
      </c>
      <c r="M105" s="91">
        <f ca="1">IF(RTD("tos.rtd",,$A$2,"."&amp;M$83&amp;M$1&amp;"C"&amp;$A105)="N/A",0,RTD("tos.rtd",,$A$2,"."&amp;M$83&amp;M$1&amp;"C"&amp;$A105))-IF(RTD("tos.rtd",,$A$2,"."&amp;M$83&amp;M$1&amp;"P"&amp;$A105)="N/A",0,RTD("tos.rtd",,$A$2,"."&amp;M$83&amp;M$1&amp;"P"&amp;$A105))</f>
        <v>0</v>
      </c>
      <c r="N105" s="91">
        <f ca="1">IF(RTD("tos.rtd",,$A$2,"."&amp;N$83&amp;N$1&amp;"C"&amp;$A105)="N/A",0,RTD("tos.rtd",,$A$2,"."&amp;N$83&amp;N$1&amp;"C"&amp;$A105))-IF(RTD("tos.rtd",,$A$2,"."&amp;N$83&amp;N$1&amp;"P"&amp;$A105)="N/A",0,RTD("tos.rtd",,$A$2,"."&amp;N$83&amp;N$1&amp;"P"&amp;$A105))</f>
        <v>0</v>
      </c>
      <c r="O105" s="91">
        <f ca="1">IF(RTD("tos.rtd",,$A$2,"."&amp;O$83&amp;O$1&amp;"C"&amp;$A105)="N/A",0,RTD("tos.rtd",,$A$2,"."&amp;O$83&amp;O$1&amp;"C"&amp;$A105))-IF(RTD("tos.rtd",,$A$2,"."&amp;O$83&amp;O$1&amp;"P"&amp;$A105)="N/A",0,RTD("tos.rtd",,$A$2,"."&amp;O$83&amp;O$1&amp;"P"&amp;$A105))</f>
        <v>0</v>
      </c>
      <c r="P105" s="91">
        <f ca="1">IF(RTD("tos.rtd",,$A$2,"."&amp;P$83&amp;P$1&amp;"C"&amp;$A105)="N/A",0,RTD("tos.rtd",,$A$2,"."&amp;P$83&amp;P$1&amp;"C"&amp;$A105))-IF(RTD("tos.rtd",,$A$2,"."&amp;P$83&amp;P$1&amp;"P"&amp;$A105)="N/A",0,RTD("tos.rtd",,$A$2,"."&amp;P$83&amp;P$1&amp;"P"&amp;$A105))</f>
        <v>0</v>
      </c>
      <c r="Q105" s="91">
        <f ca="1">IF(RTD("tos.rtd",,$A$2,"."&amp;Q$83&amp;Q$1&amp;"C"&amp;$A105)="N/A",0,RTD("tos.rtd",,$A$2,"."&amp;Q$83&amp;Q$1&amp;"C"&amp;$A105))-IF(RTD("tos.rtd",,$A$2,"."&amp;Q$83&amp;Q$1&amp;"P"&amp;$A105)="N/A",0,RTD("tos.rtd",,$A$2,"."&amp;Q$83&amp;Q$1&amp;"P"&amp;$A105))</f>
        <v>0</v>
      </c>
      <c r="R105" s="91">
        <f ca="1">IF(RTD("tos.rtd",,$A$2,"."&amp;R$83&amp;R$1&amp;"C"&amp;$A105)="N/A",0,RTD("tos.rtd",,$A$2,"."&amp;R$83&amp;R$1&amp;"C"&amp;$A105))-IF(RTD("tos.rtd",,$A$2,"."&amp;R$83&amp;R$1&amp;"P"&amp;$A105)="N/A",0,RTD("tos.rtd",,$A$2,"."&amp;R$83&amp;R$1&amp;"P"&amp;$A105))</f>
        <v>0</v>
      </c>
      <c r="S105" s="91">
        <f ca="1">IF(RTD("tos.rtd",,$A$2,"."&amp;S$83&amp;S$1&amp;"C"&amp;$A105)="N/A",0,RTD("tos.rtd",,$A$2,"."&amp;S$83&amp;S$1&amp;"C"&amp;$A105))-IF(RTD("tos.rtd",,$A$2,"."&amp;S$83&amp;S$1&amp;"P"&amp;$A105)="N/A",0,RTD("tos.rtd",,$A$2,"."&amp;S$83&amp;S$1&amp;"P"&amp;$A105))</f>
        <v>0</v>
      </c>
      <c r="T105" s="91">
        <f ca="1">IF(RTD("tos.rtd",,$A$2,"."&amp;T$83&amp;T$1&amp;"C"&amp;$A105)="N/A",0,RTD("tos.rtd",,$A$2,"."&amp;T$83&amp;T$1&amp;"C"&amp;$A105))-IF(RTD("tos.rtd",,$A$2,"."&amp;T$83&amp;T$1&amp;"P"&amp;$A105)="N/A",0,RTD("tos.rtd",,$A$2,"."&amp;T$83&amp;T$1&amp;"P"&amp;$A105))</f>
        <v>0</v>
      </c>
      <c r="U105" s="91">
        <f ca="1">IF(RTD("tos.rtd",,$A$2,"."&amp;U$83&amp;U$1&amp;"C"&amp;$A105)="N/A",0,RTD("tos.rtd",,$A$2,"."&amp;U$83&amp;U$1&amp;"C"&amp;$A105))-IF(RTD("tos.rtd",,$A$2,"."&amp;U$83&amp;U$1&amp;"P"&amp;$A105)="N/A",0,RTD("tos.rtd",,$A$2,"."&amp;U$83&amp;U$1&amp;"P"&amp;$A105))</f>
        <v>0</v>
      </c>
      <c r="V105" s="91">
        <f ca="1">IF(RTD("tos.rtd",,$A$2,"."&amp;V$83&amp;V$1&amp;"C"&amp;$A105)="N/A",0,RTD("tos.rtd",,$A$2,"."&amp;V$83&amp;V$1&amp;"C"&amp;$A105))-IF(RTD("tos.rtd",,$A$2,"."&amp;V$83&amp;V$1&amp;"P"&amp;$A105)="N/A",0,RTD("tos.rtd",,$A$2,"."&amp;V$83&amp;V$1&amp;"P"&amp;$A105))</f>
        <v>0</v>
      </c>
      <c r="W105" s="91">
        <f ca="1">IF(RTD("tos.rtd",,$A$2,"."&amp;W$83&amp;W$1&amp;"C"&amp;$A105)="N/A",0,RTD("tos.rtd",,$A$2,"."&amp;W$83&amp;W$1&amp;"C"&amp;$A105))-IF(RTD("tos.rtd",,$A$2,"."&amp;W$83&amp;W$1&amp;"P"&amp;$A105)="N/A",0,RTD("tos.rtd",,$A$2,"."&amp;W$83&amp;W$1&amp;"P"&amp;$A105))</f>
        <v>0</v>
      </c>
      <c r="X105" s="91">
        <f ca="1">IF(RTD("tos.rtd",,$A$2,"."&amp;X$83&amp;X$1&amp;"C"&amp;$A105)="N/A",0,RTD("tos.rtd",,$A$2,"."&amp;X$83&amp;X$1&amp;"C"&amp;$A105))-IF(RTD("tos.rtd",,$A$2,"."&amp;X$83&amp;X$1&amp;"P"&amp;$A105)="N/A",0,RTD("tos.rtd",,$A$2,"."&amp;X$83&amp;X$1&amp;"P"&amp;$A105))</f>
        <v>0</v>
      </c>
      <c r="Y105" s="98">
        <f t="shared" ca="1" si="10"/>
        <v>0</v>
      </c>
    </row>
    <row r="106" spans="1:25" x14ac:dyDescent="0.25">
      <c r="A106" s="93">
        <f>+Hoja1!A105</f>
        <v>5670</v>
      </c>
      <c r="B106" s="91">
        <f ca="1">IF(RTD("tos.rtd",,$A$2,"."&amp;B$83&amp;B$1&amp;"C"&amp;$A106)="N/A",0,RTD("tos.rtd",,$A$2,"."&amp;B$83&amp;B$1&amp;"C"&amp;$A106))-IF(RTD("tos.rtd",,$A$2,"."&amp;B$83&amp;B$1&amp;"P"&amp;$A106)="N/A",0,RTD("tos.rtd",,$A$2,"."&amp;B$83&amp;B$1&amp;"P"&amp;$A106))</f>
        <v>0</v>
      </c>
      <c r="C106" s="91">
        <f ca="1">IF(RTD("tos.rtd",,$A$2,"."&amp;C$83&amp;C$1&amp;"C"&amp;$A106)="N/A",0,RTD("tos.rtd",,$A$2,"."&amp;C$83&amp;C$1&amp;"C"&amp;$A106))-IF(RTD("tos.rtd",,$A$2,"."&amp;C$83&amp;C$1&amp;"P"&amp;$A106)="N/A",0,RTD("tos.rtd",,$A$2,"."&amp;C$83&amp;C$1&amp;"P"&amp;$A106))</f>
        <v>0</v>
      </c>
      <c r="D106" s="91">
        <f ca="1">IF(RTD("tos.rtd",,$A$2,"."&amp;D$83&amp;D$1&amp;"C"&amp;$A106)="N/A",0,RTD("tos.rtd",,$A$2,"."&amp;D$83&amp;D$1&amp;"C"&amp;$A106))-IF(RTD("tos.rtd",,$A$2,"."&amp;D$83&amp;D$1&amp;"P"&amp;$A106)="N/A",0,RTD("tos.rtd",,$A$2,"."&amp;D$83&amp;D$1&amp;"P"&amp;$A106))</f>
        <v>0</v>
      </c>
      <c r="E106" s="91">
        <f ca="1">IF(RTD("tos.rtd",,$A$2,"."&amp;E$83&amp;E$1&amp;"C"&amp;$A106)="N/A",0,RTD("tos.rtd",,$A$2,"."&amp;E$83&amp;E$1&amp;"C"&amp;$A106))-IF(RTD("tos.rtd",,$A$2,"."&amp;E$83&amp;E$1&amp;"P"&amp;$A106)="N/A",0,RTD("tos.rtd",,$A$2,"."&amp;E$83&amp;E$1&amp;"P"&amp;$A106))</f>
        <v>0</v>
      </c>
      <c r="F106" s="91">
        <f ca="1">IF(RTD("tos.rtd",,$A$2,"."&amp;F$83&amp;F$1&amp;"C"&amp;$A106)="N/A",0,RTD("tos.rtd",,$A$2,"."&amp;F$83&amp;F$1&amp;"C"&amp;$A106))-IF(RTD("tos.rtd",,$A$2,"."&amp;F$83&amp;F$1&amp;"P"&amp;$A106)="N/A",0,RTD("tos.rtd",,$A$2,"."&amp;F$83&amp;F$1&amp;"P"&amp;$A106))</f>
        <v>0</v>
      </c>
      <c r="G106" s="91">
        <f ca="1">IF(RTD("tos.rtd",,$A$2,"."&amp;G$83&amp;G$1&amp;"C"&amp;$A106)="N/A",0,RTD("tos.rtd",,$A$2,"."&amp;G$83&amp;G$1&amp;"C"&amp;$A106))-IF(RTD("tos.rtd",,$A$2,"."&amp;G$83&amp;G$1&amp;"P"&amp;$A106)="N/A",0,RTD("tos.rtd",,$A$2,"."&amp;G$83&amp;G$1&amp;"P"&amp;$A106))</f>
        <v>0</v>
      </c>
      <c r="H106" s="91">
        <f ca="1">IF(RTD("tos.rtd",,$A$2,"."&amp;H$83&amp;H$1&amp;"C"&amp;$A106)="N/A",0,RTD("tos.rtd",,$A$2,"."&amp;H$83&amp;H$1&amp;"C"&amp;$A106))-IF(RTD("tos.rtd",,$A$2,"."&amp;H$83&amp;H$1&amp;"P"&amp;$A106)="N/A",0,RTD("tos.rtd",,$A$2,"."&amp;H$83&amp;H$1&amp;"P"&amp;$A106))</f>
        <v>0</v>
      </c>
      <c r="I106" s="91">
        <f ca="1">IF(RTD("tos.rtd",,$A$2,"."&amp;I$83&amp;I$1&amp;"C"&amp;$A106)="N/A",0,RTD("tos.rtd",,$A$2,"."&amp;I$83&amp;I$1&amp;"C"&amp;$A106))-IF(RTD("tos.rtd",,$A$2,"."&amp;I$83&amp;I$1&amp;"P"&amp;$A106)="N/A",0,RTD("tos.rtd",,$A$2,"."&amp;I$83&amp;I$1&amp;"P"&amp;$A106))</f>
        <v>0</v>
      </c>
      <c r="J106" s="91">
        <f ca="1">IF(RTD("tos.rtd",,$A$2,"."&amp;J$83&amp;J$1&amp;"C"&amp;$A106)="N/A",0,RTD("tos.rtd",,$A$2,"."&amp;J$83&amp;J$1&amp;"C"&amp;$A106))-IF(RTD("tos.rtd",,$A$2,"."&amp;J$83&amp;J$1&amp;"P"&amp;$A106)="N/A",0,RTD("tos.rtd",,$A$2,"."&amp;J$83&amp;J$1&amp;"P"&amp;$A106))</f>
        <v>0</v>
      </c>
      <c r="K106" s="91">
        <f ca="1">IF(RTD("tos.rtd",,$A$2,"."&amp;K$83&amp;K$1&amp;"C"&amp;$A106)="N/A",0,RTD("tos.rtd",,$A$2,"."&amp;K$83&amp;K$1&amp;"C"&amp;$A106))-IF(RTD("tos.rtd",,$A$2,"."&amp;K$83&amp;K$1&amp;"P"&amp;$A106)="N/A",0,RTD("tos.rtd",,$A$2,"."&amp;K$83&amp;K$1&amp;"P"&amp;$A106))</f>
        <v>0</v>
      </c>
      <c r="L106" s="91">
        <f ca="1">IF(RTD("tos.rtd",,$A$2,"."&amp;L$83&amp;L$1&amp;"C"&amp;$A106)="N/A",0,RTD("tos.rtd",,$A$2,"."&amp;L$83&amp;L$1&amp;"C"&amp;$A106))-IF(RTD("tos.rtd",,$A$2,"."&amp;L$83&amp;L$1&amp;"P"&amp;$A106)="N/A",0,RTD("tos.rtd",,$A$2,"."&amp;L$83&amp;L$1&amp;"P"&amp;$A106))</f>
        <v>0</v>
      </c>
      <c r="M106" s="91">
        <f ca="1">IF(RTD("tos.rtd",,$A$2,"."&amp;M$83&amp;M$1&amp;"C"&amp;$A106)="N/A",0,RTD("tos.rtd",,$A$2,"."&amp;M$83&amp;M$1&amp;"C"&amp;$A106))-IF(RTD("tos.rtd",,$A$2,"."&amp;M$83&amp;M$1&amp;"P"&amp;$A106)="N/A",0,RTD("tos.rtd",,$A$2,"."&amp;M$83&amp;M$1&amp;"P"&amp;$A106))</f>
        <v>0</v>
      </c>
      <c r="N106" s="91">
        <f ca="1">IF(RTD("tos.rtd",,$A$2,"."&amp;N$83&amp;N$1&amp;"C"&amp;$A106)="N/A",0,RTD("tos.rtd",,$A$2,"."&amp;N$83&amp;N$1&amp;"C"&amp;$A106))-IF(RTD("tos.rtd",,$A$2,"."&amp;N$83&amp;N$1&amp;"P"&amp;$A106)="N/A",0,RTD("tos.rtd",,$A$2,"."&amp;N$83&amp;N$1&amp;"P"&amp;$A106))</f>
        <v>0</v>
      </c>
      <c r="O106" s="91">
        <f ca="1">IF(RTD("tos.rtd",,$A$2,"."&amp;O$83&amp;O$1&amp;"C"&amp;$A106)="N/A",0,RTD("tos.rtd",,$A$2,"."&amp;O$83&amp;O$1&amp;"C"&amp;$A106))-IF(RTD("tos.rtd",,$A$2,"."&amp;O$83&amp;O$1&amp;"P"&amp;$A106)="N/A",0,RTD("tos.rtd",,$A$2,"."&amp;O$83&amp;O$1&amp;"P"&amp;$A106))</f>
        <v>0</v>
      </c>
      <c r="P106" s="91">
        <f ca="1">IF(RTD("tos.rtd",,$A$2,"."&amp;P$83&amp;P$1&amp;"C"&amp;$A106)="N/A",0,RTD("tos.rtd",,$A$2,"."&amp;P$83&amp;P$1&amp;"C"&amp;$A106))-IF(RTD("tos.rtd",,$A$2,"."&amp;P$83&amp;P$1&amp;"P"&amp;$A106)="N/A",0,RTD("tos.rtd",,$A$2,"."&amp;P$83&amp;P$1&amp;"P"&amp;$A106))</f>
        <v>0</v>
      </c>
      <c r="Q106" s="91">
        <f ca="1">IF(RTD("tos.rtd",,$A$2,"."&amp;Q$83&amp;Q$1&amp;"C"&amp;$A106)="N/A",0,RTD("tos.rtd",,$A$2,"."&amp;Q$83&amp;Q$1&amp;"C"&amp;$A106))-IF(RTD("tos.rtd",,$A$2,"."&amp;Q$83&amp;Q$1&amp;"P"&amp;$A106)="N/A",0,RTD("tos.rtd",,$A$2,"."&amp;Q$83&amp;Q$1&amp;"P"&amp;$A106))</f>
        <v>0</v>
      </c>
      <c r="R106" s="91">
        <f ca="1">IF(RTD("tos.rtd",,$A$2,"."&amp;R$83&amp;R$1&amp;"C"&amp;$A106)="N/A",0,RTD("tos.rtd",,$A$2,"."&amp;R$83&amp;R$1&amp;"C"&amp;$A106))-IF(RTD("tos.rtd",,$A$2,"."&amp;R$83&amp;R$1&amp;"P"&amp;$A106)="N/A",0,RTD("tos.rtd",,$A$2,"."&amp;R$83&amp;R$1&amp;"P"&amp;$A106))</f>
        <v>0</v>
      </c>
      <c r="S106" s="91">
        <f ca="1">IF(RTD("tos.rtd",,$A$2,"."&amp;S$83&amp;S$1&amp;"C"&amp;$A106)="N/A",0,RTD("tos.rtd",,$A$2,"."&amp;S$83&amp;S$1&amp;"C"&amp;$A106))-IF(RTD("tos.rtd",,$A$2,"."&amp;S$83&amp;S$1&amp;"P"&amp;$A106)="N/A",0,RTD("tos.rtd",,$A$2,"."&amp;S$83&amp;S$1&amp;"P"&amp;$A106))</f>
        <v>0</v>
      </c>
      <c r="T106" s="91">
        <f ca="1">IF(RTD("tos.rtd",,$A$2,"."&amp;T$83&amp;T$1&amp;"C"&amp;$A106)="N/A",0,RTD("tos.rtd",,$A$2,"."&amp;T$83&amp;T$1&amp;"C"&amp;$A106))-IF(RTD("tos.rtd",,$A$2,"."&amp;T$83&amp;T$1&amp;"P"&amp;$A106)="N/A",0,RTD("tos.rtd",,$A$2,"."&amp;T$83&amp;T$1&amp;"P"&amp;$A106))</f>
        <v>0</v>
      </c>
      <c r="U106" s="91">
        <f ca="1">IF(RTD("tos.rtd",,$A$2,"."&amp;U$83&amp;U$1&amp;"C"&amp;$A106)="N/A",0,RTD("tos.rtd",,$A$2,"."&amp;U$83&amp;U$1&amp;"C"&amp;$A106))-IF(RTD("tos.rtd",,$A$2,"."&amp;U$83&amp;U$1&amp;"P"&amp;$A106)="N/A",0,RTD("tos.rtd",,$A$2,"."&amp;U$83&amp;U$1&amp;"P"&amp;$A106))</f>
        <v>0</v>
      </c>
      <c r="V106" s="91">
        <f ca="1">IF(RTD("tos.rtd",,$A$2,"."&amp;V$83&amp;V$1&amp;"C"&amp;$A106)="N/A",0,RTD("tos.rtd",,$A$2,"."&amp;V$83&amp;V$1&amp;"C"&amp;$A106))-IF(RTD("tos.rtd",,$A$2,"."&amp;V$83&amp;V$1&amp;"P"&amp;$A106)="N/A",0,RTD("tos.rtd",,$A$2,"."&amp;V$83&amp;V$1&amp;"P"&amp;$A106))</f>
        <v>0</v>
      </c>
      <c r="W106" s="91">
        <f ca="1">IF(RTD("tos.rtd",,$A$2,"."&amp;W$83&amp;W$1&amp;"C"&amp;$A106)="N/A",0,RTD("tos.rtd",,$A$2,"."&amp;W$83&amp;W$1&amp;"C"&amp;$A106))-IF(RTD("tos.rtd",,$A$2,"."&amp;W$83&amp;W$1&amp;"P"&amp;$A106)="N/A",0,RTD("tos.rtd",,$A$2,"."&amp;W$83&amp;W$1&amp;"P"&amp;$A106))</f>
        <v>0</v>
      </c>
      <c r="X106" s="91">
        <f ca="1">IF(RTD("tos.rtd",,$A$2,"."&amp;X$83&amp;X$1&amp;"C"&amp;$A106)="N/A",0,RTD("tos.rtd",,$A$2,"."&amp;X$83&amp;X$1&amp;"C"&amp;$A106))-IF(RTD("tos.rtd",,$A$2,"."&amp;X$83&amp;X$1&amp;"P"&amp;$A106)="N/A",0,RTD("tos.rtd",,$A$2,"."&amp;X$83&amp;X$1&amp;"P"&amp;$A106))</f>
        <v>0</v>
      </c>
      <c r="Y106" s="98">
        <f t="shared" ca="1" si="10"/>
        <v>0</v>
      </c>
    </row>
    <row r="107" spans="1:25" x14ac:dyDescent="0.25">
      <c r="A107" s="93">
        <f>+Hoja1!A106</f>
        <v>5660</v>
      </c>
      <c r="B107" s="91">
        <f ca="1">IF(RTD("tos.rtd",,$A$2,"."&amp;B$83&amp;B$1&amp;"C"&amp;$A107)="N/A",0,RTD("tos.rtd",,$A$2,"."&amp;B$83&amp;B$1&amp;"C"&amp;$A107))-IF(RTD("tos.rtd",,$A$2,"."&amp;B$83&amp;B$1&amp;"P"&amp;$A107)="N/A",0,RTD("tos.rtd",,$A$2,"."&amp;B$83&amp;B$1&amp;"P"&amp;$A107))</f>
        <v>0</v>
      </c>
      <c r="C107" s="91">
        <f ca="1">IF(RTD("tos.rtd",,$A$2,"."&amp;C$83&amp;C$1&amp;"C"&amp;$A107)="N/A",0,RTD("tos.rtd",,$A$2,"."&amp;C$83&amp;C$1&amp;"C"&amp;$A107))-IF(RTD("tos.rtd",,$A$2,"."&amp;C$83&amp;C$1&amp;"P"&amp;$A107)="N/A",0,RTD("tos.rtd",,$A$2,"."&amp;C$83&amp;C$1&amp;"P"&amp;$A107))</f>
        <v>0</v>
      </c>
      <c r="D107" s="91">
        <f ca="1">IF(RTD("tos.rtd",,$A$2,"."&amp;D$83&amp;D$1&amp;"C"&amp;$A107)="N/A",0,RTD("tos.rtd",,$A$2,"."&amp;D$83&amp;D$1&amp;"C"&amp;$A107))-IF(RTD("tos.rtd",,$A$2,"."&amp;D$83&amp;D$1&amp;"P"&amp;$A107)="N/A",0,RTD("tos.rtd",,$A$2,"."&amp;D$83&amp;D$1&amp;"P"&amp;$A107))</f>
        <v>0</v>
      </c>
      <c r="E107" s="91">
        <f ca="1">IF(RTD("tos.rtd",,$A$2,"."&amp;E$83&amp;E$1&amp;"C"&amp;$A107)="N/A",0,RTD("tos.rtd",,$A$2,"."&amp;E$83&amp;E$1&amp;"C"&amp;$A107))-IF(RTD("tos.rtd",,$A$2,"."&amp;E$83&amp;E$1&amp;"P"&amp;$A107)="N/A",0,RTD("tos.rtd",,$A$2,"."&amp;E$83&amp;E$1&amp;"P"&amp;$A107))</f>
        <v>0</v>
      </c>
      <c r="F107" s="91">
        <f ca="1">IF(RTD("tos.rtd",,$A$2,"."&amp;F$83&amp;F$1&amp;"C"&amp;$A107)="N/A",0,RTD("tos.rtd",,$A$2,"."&amp;F$83&amp;F$1&amp;"C"&amp;$A107))-IF(RTD("tos.rtd",,$A$2,"."&amp;F$83&amp;F$1&amp;"P"&amp;$A107)="N/A",0,RTD("tos.rtd",,$A$2,"."&amp;F$83&amp;F$1&amp;"P"&amp;$A107))</f>
        <v>0</v>
      </c>
      <c r="G107" s="91">
        <f ca="1">IF(RTD("tos.rtd",,$A$2,"."&amp;G$83&amp;G$1&amp;"C"&amp;$A107)="N/A",0,RTD("tos.rtd",,$A$2,"."&amp;G$83&amp;G$1&amp;"C"&amp;$A107))-IF(RTD("tos.rtd",,$A$2,"."&amp;G$83&amp;G$1&amp;"P"&amp;$A107)="N/A",0,RTD("tos.rtd",,$A$2,"."&amp;G$83&amp;G$1&amp;"P"&amp;$A107))</f>
        <v>0</v>
      </c>
      <c r="H107" s="91">
        <f ca="1">IF(RTD("tos.rtd",,$A$2,"."&amp;H$83&amp;H$1&amp;"C"&amp;$A107)="N/A",0,RTD("tos.rtd",,$A$2,"."&amp;H$83&amp;H$1&amp;"C"&amp;$A107))-IF(RTD("tos.rtd",,$A$2,"."&amp;H$83&amp;H$1&amp;"P"&amp;$A107)="N/A",0,RTD("tos.rtd",,$A$2,"."&amp;H$83&amp;H$1&amp;"P"&amp;$A107))</f>
        <v>0</v>
      </c>
      <c r="I107" s="91">
        <f ca="1">IF(RTD("tos.rtd",,$A$2,"."&amp;I$83&amp;I$1&amp;"C"&amp;$A107)="N/A",0,RTD("tos.rtd",,$A$2,"."&amp;I$83&amp;I$1&amp;"C"&amp;$A107))-IF(RTD("tos.rtd",,$A$2,"."&amp;I$83&amp;I$1&amp;"P"&amp;$A107)="N/A",0,RTD("tos.rtd",,$A$2,"."&amp;I$83&amp;I$1&amp;"P"&amp;$A107))</f>
        <v>0</v>
      </c>
      <c r="J107" s="91">
        <f ca="1">IF(RTD("tos.rtd",,$A$2,"."&amp;J$83&amp;J$1&amp;"C"&amp;$A107)="N/A",0,RTD("tos.rtd",,$A$2,"."&amp;J$83&amp;J$1&amp;"C"&amp;$A107))-IF(RTD("tos.rtd",,$A$2,"."&amp;J$83&amp;J$1&amp;"P"&amp;$A107)="N/A",0,RTD("tos.rtd",,$A$2,"."&amp;J$83&amp;J$1&amp;"P"&amp;$A107))</f>
        <v>0</v>
      </c>
      <c r="K107" s="91">
        <f ca="1">IF(RTD("tos.rtd",,$A$2,"."&amp;K$83&amp;K$1&amp;"C"&amp;$A107)="N/A",0,RTD("tos.rtd",,$A$2,"."&amp;K$83&amp;K$1&amp;"C"&amp;$A107))-IF(RTD("tos.rtd",,$A$2,"."&amp;K$83&amp;K$1&amp;"P"&amp;$A107)="N/A",0,RTD("tos.rtd",,$A$2,"."&amp;K$83&amp;K$1&amp;"P"&amp;$A107))</f>
        <v>0</v>
      </c>
      <c r="L107" s="91">
        <f ca="1">IF(RTD("tos.rtd",,$A$2,"."&amp;L$83&amp;L$1&amp;"C"&amp;$A107)="N/A",0,RTD("tos.rtd",,$A$2,"."&amp;L$83&amp;L$1&amp;"C"&amp;$A107))-IF(RTD("tos.rtd",,$A$2,"."&amp;L$83&amp;L$1&amp;"P"&amp;$A107)="N/A",0,RTD("tos.rtd",,$A$2,"."&amp;L$83&amp;L$1&amp;"P"&amp;$A107))</f>
        <v>0</v>
      </c>
      <c r="M107" s="91">
        <f ca="1">IF(RTD("tos.rtd",,$A$2,"."&amp;M$83&amp;M$1&amp;"C"&amp;$A107)="N/A",0,RTD("tos.rtd",,$A$2,"."&amp;M$83&amp;M$1&amp;"C"&amp;$A107))-IF(RTD("tos.rtd",,$A$2,"."&amp;M$83&amp;M$1&amp;"P"&amp;$A107)="N/A",0,RTD("tos.rtd",,$A$2,"."&amp;M$83&amp;M$1&amp;"P"&amp;$A107))</f>
        <v>0</v>
      </c>
      <c r="N107" s="91">
        <f ca="1">IF(RTD("tos.rtd",,$A$2,"."&amp;N$83&amp;N$1&amp;"C"&amp;$A107)="N/A",0,RTD("tos.rtd",,$A$2,"."&amp;N$83&amp;N$1&amp;"C"&amp;$A107))-IF(RTD("tos.rtd",,$A$2,"."&amp;N$83&amp;N$1&amp;"P"&amp;$A107)="N/A",0,RTD("tos.rtd",,$A$2,"."&amp;N$83&amp;N$1&amp;"P"&amp;$A107))</f>
        <v>0</v>
      </c>
      <c r="O107" s="91">
        <f ca="1">IF(RTD("tos.rtd",,$A$2,"."&amp;O$83&amp;O$1&amp;"C"&amp;$A107)="N/A",0,RTD("tos.rtd",,$A$2,"."&amp;O$83&amp;O$1&amp;"C"&amp;$A107))-IF(RTD("tos.rtd",,$A$2,"."&amp;O$83&amp;O$1&amp;"P"&amp;$A107)="N/A",0,RTD("tos.rtd",,$A$2,"."&amp;O$83&amp;O$1&amp;"P"&amp;$A107))</f>
        <v>0</v>
      </c>
      <c r="P107" s="91">
        <f ca="1">IF(RTD("tos.rtd",,$A$2,"."&amp;P$83&amp;P$1&amp;"C"&amp;$A107)="N/A",0,RTD("tos.rtd",,$A$2,"."&amp;P$83&amp;P$1&amp;"C"&amp;$A107))-IF(RTD("tos.rtd",,$A$2,"."&amp;P$83&amp;P$1&amp;"P"&amp;$A107)="N/A",0,RTD("tos.rtd",,$A$2,"."&amp;P$83&amp;P$1&amp;"P"&amp;$A107))</f>
        <v>0</v>
      </c>
      <c r="Q107" s="91">
        <f ca="1">IF(RTD("tos.rtd",,$A$2,"."&amp;Q$83&amp;Q$1&amp;"C"&amp;$A107)="N/A",0,RTD("tos.rtd",,$A$2,"."&amp;Q$83&amp;Q$1&amp;"C"&amp;$A107))-IF(RTD("tos.rtd",,$A$2,"."&amp;Q$83&amp;Q$1&amp;"P"&amp;$A107)="N/A",0,RTD("tos.rtd",,$A$2,"."&amp;Q$83&amp;Q$1&amp;"P"&amp;$A107))</f>
        <v>0</v>
      </c>
      <c r="R107" s="91">
        <f ca="1">IF(RTD("tos.rtd",,$A$2,"."&amp;R$83&amp;R$1&amp;"C"&amp;$A107)="N/A",0,RTD("tos.rtd",,$A$2,"."&amp;R$83&amp;R$1&amp;"C"&amp;$A107))-IF(RTD("tos.rtd",,$A$2,"."&amp;R$83&amp;R$1&amp;"P"&amp;$A107)="N/A",0,RTD("tos.rtd",,$A$2,"."&amp;R$83&amp;R$1&amp;"P"&amp;$A107))</f>
        <v>0</v>
      </c>
      <c r="S107" s="91">
        <f ca="1">IF(RTD("tos.rtd",,$A$2,"."&amp;S$83&amp;S$1&amp;"C"&amp;$A107)="N/A",0,RTD("tos.rtd",,$A$2,"."&amp;S$83&amp;S$1&amp;"C"&amp;$A107))-IF(RTD("tos.rtd",,$A$2,"."&amp;S$83&amp;S$1&amp;"P"&amp;$A107)="N/A",0,RTD("tos.rtd",,$A$2,"."&amp;S$83&amp;S$1&amp;"P"&amp;$A107))</f>
        <v>0</v>
      </c>
      <c r="T107" s="91">
        <f ca="1">IF(RTD("tos.rtd",,$A$2,"."&amp;T$83&amp;T$1&amp;"C"&amp;$A107)="N/A",0,RTD("tos.rtd",,$A$2,"."&amp;T$83&amp;T$1&amp;"C"&amp;$A107))-IF(RTD("tos.rtd",,$A$2,"."&amp;T$83&amp;T$1&amp;"P"&amp;$A107)="N/A",0,RTD("tos.rtd",,$A$2,"."&amp;T$83&amp;T$1&amp;"P"&amp;$A107))</f>
        <v>0</v>
      </c>
      <c r="U107" s="91">
        <f ca="1">IF(RTD("tos.rtd",,$A$2,"."&amp;U$83&amp;U$1&amp;"C"&amp;$A107)="N/A",0,RTD("tos.rtd",,$A$2,"."&amp;U$83&amp;U$1&amp;"C"&amp;$A107))-IF(RTD("tos.rtd",,$A$2,"."&amp;U$83&amp;U$1&amp;"P"&amp;$A107)="N/A",0,RTD("tos.rtd",,$A$2,"."&amp;U$83&amp;U$1&amp;"P"&amp;$A107))</f>
        <v>0</v>
      </c>
      <c r="V107" s="91">
        <f ca="1">IF(RTD("tos.rtd",,$A$2,"."&amp;V$83&amp;V$1&amp;"C"&amp;$A107)="N/A",0,RTD("tos.rtd",,$A$2,"."&amp;V$83&amp;V$1&amp;"C"&amp;$A107))-IF(RTD("tos.rtd",,$A$2,"."&amp;V$83&amp;V$1&amp;"P"&amp;$A107)="N/A",0,RTD("tos.rtd",,$A$2,"."&amp;V$83&amp;V$1&amp;"P"&amp;$A107))</f>
        <v>0</v>
      </c>
      <c r="W107" s="91">
        <f ca="1">IF(RTD("tos.rtd",,$A$2,"."&amp;W$83&amp;W$1&amp;"C"&amp;$A107)="N/A",0,RTD("tos.rtd",,$A$2,"."&amp;W$83&amp;W$1&amp;"C"&amp;$A107))-IF(RTD("tos.rtd",,$A$2,"."&amp;W$83&amp;W$1&amp;"P"&amp;$A107)="N/A",0,RTD("tos.rtd",,$A$2,"."&amp;W$83&amp;W$1&amp;"P"&amp;$A107))</f>
        <v>0</v>
      </c>
      <c r="X107" s="91">
        <f ca="1">IF(RTD("tos.rtd",,$A$2,"."&amp;X$83&amp;X$1&amp;"C"&amp;$A107)="N/A",0,RTD("tos.rtd",,$A$2,"."&amp;X$83&amp;X$1&amp;"C"&amp;$A107))-IF(RTD("tos.rtd",,$A$2,"."&amp;X$83&amp;X$1&amp;"P"&amp;$A107)="N/A",0,RTD("tos.rtd",,$A$2,"."&amp;X$83&amp;X$1&amp;"P"&amp;$A107))</f>
        <v>0</v>
      </c>
      <c r="Y107" s="98">
        <f t="shared" ca="1" si="10"/>
        <v>0</v>
      </c>
    </row>
    <row r="108" spans="1:25" x14ac:dyDescent="0.25">
      <c r="A108" s="93">
        <f>+Hoja1!A107</f>
        <v>5650</v>
      </c>
      <c r="B108" s="91">
        <f ca="1">IF(RTD("tos.rtd",,$A$2,"."&amp;B$83&amp;B$1&amp;"C"&amp;$A108)="N/A",0,RTD("tos.rtd",,$A$2,"."&amp;B$83&amp;B$1&amp;"C"&amp;$A108))-IF(RTD("tos.rtd",,$A$2,"."&amp;B$83&amp;B$1&amp;"P"&amp;$A108)="N/A",0,RTD("tos.rtd",,$A$2,"."&amp;B$83&amp;B$1&amp;"P"&amp;$A108))</f>
        <v>0</v>
      </c>
      <c r="C108" s="91">
        <f ca="1">IF(RTD("tos.rtd",,$A$2,"."&amp;C$83&amp;C$1&amp;"C"&amp;$A108)="N/A",0,RTD("tos.rtd",,$A$2,"."&amp;C$83&amp;C$1&amp;"C"&amp;$A108))-IF(RTD("tos.rtd",,$A$2,"."&amp;C$83&amp;C$1&amp;"P"&amp;$A108)="N/A",0,RTD("tos.rtd",,$A$2,"."&amp;C$83&amp;C$1&amp;"P"&amp;$A108))</f>
        <v>0</v>
      </c>
      <c r="D108" s="91">
        <f ca="1">IF(RTD("tos.rtd",,$A$2,"."&amp;D$83&amp;D$1&amp;"C"&amp;$A108)="N/A",0,RTD("tos.rtd",,$A$2,"."&amp;D$83&amp;D$1&amp;"C"&amp;$A108))-IF(RTD("tos.rtd",,$A$2,"."&amp;D$83&amp;D$1&amp;"P"&amp;$A108)="N/A",0,RTD("tos.rtd",,$A$2,"."&amp;D$83&amp;D$1&amp;"P"&amp;$A108))</f>
        <v>0</v>
      </c>
      <c r="E108" s="91">
        <f ca="1">IF(RTD("tos.rtd",,$A$2,"."&amp;E$83&amp;E$1&amp;"C"&amp;$A108)="N/A",0,RTD("tos.rtd",,$A$2,"."&amp;E$83&amp;E$1&amp;"C"&amp;$A108))-IF(RTD("tos.rtd",,$A$2,"."&amp;E$83&amp;E$1&amp;"P"&amp;$A108)="N/A",0,RTD("tos.rtd",,$A$2,"."&amp;E$83&amp;E$1&amp;"P"&amp;$A108))</f>
        <v>0</v>
      </c>
      <c r="F108" s="91">
        <f ca="1">IF(RTD("tos.rtd",,$A$2,"."&amp;F$83&amp;F$1&amp;"C"&amp;$A108)="N/A",0,RTD("tos.rtd",,$A$2,"."&amp;F$83&amp;F$1&amp;"C"&amp;$A108))-IF(RTD("tos.rtd",,$A$2,"."&amp;F$83&amp;F$1&amp;"P"&amp;$A108)="N/A",0,RTD("tos.rtd",,$A$2,"."&amp;F$83&amp;F$1&amp;"P"&amp;$A108))</f>
        <v>0</v>
      </c>
      <c r="G108" s="91">
        <f ca="1">IF(RTD("tos.rtd",,$A$2,"."&amp;G$83&amp;G$1&amp;"C"&amp;$A108)="N/A",0,RTD("tos.rtd",,$A$2,"."&amp;G$83&amp;G$1&amp;"C"&amp;$A108))-IF(RTD("tos.rtd",,$A$2,"."&amp;G$83&amp;G$1&amp;"P"&amp;$A108)="N/A",0,RTD("tos.rtd",,$A$2,"."&amp;G$83&amp;G$1&amp;"P"&amp;$A108))</f>
        <v>0</v>
      </c>
      <c r="H108" s="91">
        <f ca="1">IF(RTD("tos.rtd",,$A$2,"."&amp;H$83&amp;H$1&amp;"C"&amp;$A108)="N/A",0,RTD("tos.rtd",,$A$2,"."&amp;H$83&amp;H$1&amp;"C"&amp;$A108))-IF(RTD("tos.rtd",,$A$2,"."&amp;H$83&amp;H$1&amp;"P"&amp;$A108)="N/A",0,RTD("tos.rtd",,$A$2,"."&amp;H$83&amp;H$1&amp;"P"&amp;$A108))</f>
        <v>0</v>
      </c>
      <c r="I108" s="91">
        <f ca="1">IF(RTD("tos.rtd",,$A$2,"."&amp;I$83&amp;I$1&amp;"C"&amp;$A108)="N/A",0,RTD("tos.rtd",,$A$2,"."&amp;I$83&amp;I$1&amp;"C"&amp;$A108))-IF(RTD("tos.rtd",,$A$2,"."&amp;I$83&amp;I$1&amp;"P"&amp;$A108)="N/A",0,RTD("tos.rtd",,$A$2,"."&amp;I$83&amp;I$1&amp;"P"&amp;$A108))</f>
        <v>0</v>
      </c>
      <c r="J108" s="91">
        <f ca="1">IF(RTD("tos.rtd",,$A$2,"."&amp;J$83&amp;J$1&amp;"C"&amp;$A108)="N/A",0,RTD("tos.rtd",,$A$2,"."&amp;J$83&amp;J$1&amp;"C"&amp;$A108))-IF(RTD("tos.rtd",,$A$2,"."&amp;J$83&amp;J$1&amp;"P"&amp;$A108)="N/A",0,RTD("tos.rtd",,$A$2,"."&amp;J$83&amp;J$1&amp;"P"&amp;$A108))</f>
        <v>0</v>
      </c>
      <c r="K108" s="91">
        <f ca="1">IF(RTD("tos.rtd",,$A$2,"."&amp;K$83&amp;K$1&amp;"C"&amp;$A108)="N/A",0,RTD("tos.rtd",,$A$2,"."&amp;K$83&amp;K$1&amp;"C"&amp;$A108))-IF(RTD("tos.rtd",,$A$2,"."&amp;K$83&amp;K$1&amp;"P"&amp;$A108)="N/A",0,RTD("tos.rtd",,$A$2,"."&amp;K$83&amp;K$1&amp;"P"&amp;$A108))</f>
        <v>0</v>
      </c>
      <c r="L108" s="91">
        <f ca="1">IF(RTD("tos.rtd",,$A$2,"."&amp;L$83&amp;L$1&amp;"C"&amp;$A108)="N/A",0,RTD("tos.rtd",,$A$2,"."&amp;L$83&amp;L$1&amp;"C"&amp;$A108))-IF(RTD("tos.rtd",,$A$2,"."&amp;L$83&amp;L$1&amp;"P"&amp;$A108)="N/A",0,RTD("tos.rtd",,$A$2,"."&amp;L$83&amp;L$1&amp;"P"&amp;$A108))</f>
        <v>0</v>
      </c>
      <c r="M108" s="91">
        <f ca="1">IF(RTD("tos.rtd",,$A$2,"."&amp;M$83&amp;M$1&amp;"C"&amp;$A108)="N/A",0,RTD("tos.rtd",,$A$2,"."&amp;M$83&amp;M$1&amp;"C"&amp;$A108))-IF(RTD("tos.rtd",,$A$2,"."&amp;M$83&amp;M$1&amp;"P"&amp;$A108)="N/A",0,RTD("tos.rtd",,$A$2,"."&amp;M$83&amp;M$1&amp;"P"&amp;$A108))</f>
        <v>0</v>
      </c>
      <c r="N108" s="91">
        <f ca="1">IF(RTD("tos.rtd",,$A$2,"."&amp;N$83&amp;N$1&amp;"C"&amp;$A108)="N/A",0,RTD("tos.rtd",,$A$2,"."&amp;N$83&amp;N$1&amp;"C"&amp;$A108))-IF(RTD("tos.rtd",,$A$2,"."&amp;N$83&amp;N$1&amp;"P"&amp;$A108)="N/A",0,RTD("tos.rtd",,$A$2,"."&amp;N$83&amp;N$1&amp;"P"&amp;$A108))</f>
        <v>0</v>
      </c>
      <c r="O108" s="91">
        <f ca="1">IF(RTD("tos.rtd",,$A$2,"."&amp;O$83&amp;O$1&amp;"C"&amp;$A108)="N/A",0,RTD("tos.rtd",,$A$2,"."&amp;O$83&amp;O$1&amp;"C"&amp;$A108))-IF(RTD("tos.rtd",,$A$2,"."&amp;O$83&amp;O$1&amp;"P"&amp;$A108)="N/A",0,RTD("tos.rtd",,$A$2,"."&amp;O$83&amp;O$1&amp;"P"&amp;$A108))</f>
        <v>0</v>
      </c>
      <c r="P108" s="91">
        <f ca="1">IF(RTD("tos.rtd",,$A$2,"."&amp;P$83&amp;P$1&amp;"C"&amp;$A108)="N/A",0,RTD("tos.rtd",,$A$2,"."&amp;P$83&amp;P$1&amp;"C"&amp;$A108))-IF(RTD("tos.rtd",,$A$2,"."&amp;P$83&amp;P$1&amp;"P"&amp;$A108)="N/A",0,RTD("tos.rtd",,$A$2,"."&amp;P$83&amp;P$1&amp;"P"&amp;$A108))</f>
        <v>0</v>
      </c>
      <c r="Q108" s="91">
        <f ca="1">IF(RTD("tos.rtd",,$A$2,"."&amp;Q$83&amp;Q$1&amp;"C"&amp;$A108)="N/A",0,RTD("tos.rtd",,$A$2,"."&amp;Q$83&amp;Q$1&amp;"C"&amp;$A108))-IF(RTD("tos.rtd",,$A$2,"."&amp;Q$83&amp;Q$1&amp;"P"&amp;$A108)="N/A",0,RTD("tos.rtd",,$A$2,"."&amp;Q$83&amp;Q$1&amp;"P"&amp;$A108))</f>
        <v>0</v>
      </c>
      <c r="R108" s="91">
        <f ca="1">IF(RTD("tos.rtd",,$A$2,"."&amp;R$83&amp;R$1&amp;"C"&amp;$A108)="N/A",0,RTD("tos.rtd",,$A$2,"."&amp;R$83&amp;R$1&amp;"C"&amp;$A108))-IF(RTD("tos.rtd",,$A$2,"."&amp;R$83&amp;R$1&amp;"P"&amp;$A108)="N/A",0,RTD("tos.rtd",,$A$2,"."&amp;R$83&amp;R$1&amp;"P"&amp;$A108))</f>
        <v>0</v>
      </c>
      <c r="S108" s="91">
        <f ca="1">IF(RTD("tos.rtd",,$A$2,"."&amp;S$83&amp;S$1&amp;"C"&amp;$A108)="N/A",0,RTD("tos.rtd",,$A$2,"."&amp;S$83&amp;S$1&amp;"C"&amp;$A108))-IF(RTD("tos.rtd",,$A$2,"."&amp;S$83&amp;S$1&amp;"P"&amp;$A108)="N/A",0,RTD("tos.rtd",,$A$2,"."&amp;S$83&amp;S$1&amp;"P"&amp;$A108))</f>
        <v>0</v>
      </c>
      <c r="T108" s="91">
        <f ca="1">IF(RTD("tos.rtd",,$A$2,"."&amp;T$83&amp;T$1&amp;"C"&amp;$A108)="N/A",0,RTD("tos.rtd",,$A$2,"."&amp;T$83&amp;T$1&amp;"C"&amp;$A108))-IF(RTD("tos.rtd",,$A$2,"."&amp;T$83&amp;T$1&amp;"P"&amp;$A108)="N/A",0,RTD("tos.rtd",,$A$2,"."&amp;T$83&amp;T$1&amp;"P"&amp;$A108))</f>
        <v>0</v>
      </c>
      <c r="U108" s="91">
        <f ca="1">IF(RTD("tos.rtd",,$A$2,"."&amp;U$83&amp;U$1&amp;"C"&amp;$A108)="N/A",0,RTD("tos.rtd",,$A$2,"."&amp;U$83&amp;U$1&amp;"C"&amp;$A108))-IF(RTD("tos.rtd",,$A$2,"."&amp;U$83&amp;U$1&amp;"P"&amp;$A108)="N/A",0,RTD("tos.rtd",,$A$2,"."&amp;U$83&amp;U$1&amp;"P"&amp;$A108))</f>
        <v>0</v>
      </c>
      <c r="V108" s="91">
        <f ca="1">IF(RTD("tos.rtd",,$A$2,"."&amp;V$83&amp;V$1&amp;"C"&amp;$A108)="N/A",0,RTD("tos.rtd",,$A$2,"."&amp;V$83&amp;V$1&amp;"C"&amp;$A108))-IF(RTD("tos.rtd",,$A$2,"."&amp;V$83&amp;V$1&amp;"P"&amp;$A108)="N/A",0,RTD("tos.rtd",,$A$2,"."&amp;V$83&amp;V$1&amp;"P"&amp;$A108))</f>
        <v>0</v>
      </c>
      <c r="W108" s="91">
        <f ca="1">IF(RTD("tos.rtd",,$A$2,"."&amp;W$83&amp;W$1&amp;"C"&amp;$A108)="N/A",0,RTD("tos.rtd",,$A$2,"."&amp;W$83&amp;W$1&amp;"C"&amp;$A108))-IF(RTD("tos.rtd",,$A$2,"."&amp;W$83&amp;W$1&amp;"P"&amp;$A108)="N/A",0,RTD("tos.rtd",,$A$2,"."&amp;W$83&amp;W$1&amp;"P"&amp;$A108))</f>
        <v>0</v>
      </c>
      <c r="X108" s="91">
        <f ca="1">IF(RTD("tos.rtd",,$A$2,"."&amp;X$83&amp;X$1&amp;"C"&amp;$A108)="N/A",0,RTD("tos.rtd",,$A$2,"."&amp;X$83&amp;X$1&amp;"C"&amp;$A108))-IF(RTD("tos.rtd",,$A$2,"."&amp;X$83&amp;X$1&amp;"P"&amp;$A108)="N/A",0,RTD("tos.rtd",,$A$2,"."&amp;X$83&amp;X$1&amp;"P"&amp;$A108))</f>
        <v>0</v>
      </c>
      <c r="Y108" s="98">
        <f t="shared" ca="1" si="10"/>
        <v>0</v>
      </c>
    </row>
    <row r="109" spans="1:25" x14ac:dyDescent="0.25">
      <c r="A109" s="93">
        <f>+Hoja1!A108</f>
        <v>5640</v>
      </c>
      <c r="B109" s="91">
        <f ca="1">IF(RTD("tos.rtd",,$A$2,"."&amp;B$83&amp;B$1&amp;"C"&amp;$A109)="N/A",0,RTD("tos.rtd",,$A$2,"."&amp;B$83&amp;B$1&amp;"C"&amp;$A109))-IF(RTD("tos.rtd",,$A$2,"."&amp;B$83&amp;B$1&amp;"P"&amp;$A109)="N/A",0,RTD("tos.rtd",,$A$2,"."&amp;B$83&amp;B$1&amp;"P"&amp;$A109))</f>
        <v>0</v>
      </c>
      <c r="C109" s="91">
        <f ca="1">IF(RTD("tos.rtd",,$A$2,"."&amp;C$83&amp;C$1&amp;"C"&amp;$A109)="N/A",0,RTD("tos.rtd",,$A$2,"."&amp;C$83&amp;C$1&amp;"C"&amp;$A109))-IF(RTD("tos.rtd",,$A$2,"."&amp;C$83&amp;C$1&amp;"P"&amp;$A109)="N/A",0,RTD("tos.rtd",,$A$2,"."&amp;C$83&amp;C$1&amp;"P"&amp;$A109))</f>
        <v>0</v>
      </c>
      <c r="D109" s="91">
        <f ca="1">IF(RTD("tos.rtd",,$A$2,"."&amp;D$83&amp;D$1&amp;"C"&amp;$A109)="N/A",0,RTD("tos.rtd",,$A$2,"."&amp;D$83&amp;D$1&amp;"C"&amp;$A109))-IF(RTD("tos.rtd",,$A$2,"."&amp;D$83&amp;D$1&amp;"P"&amp;$A109)="N/A",0,RTD("tos.rtd",,$A$2,"."&amp;D$83&amp;D$1&amp;"P"&amp;$A109))</f>
        <v>0</v>
      </c>
      <c r="E109" s="91">
        <f ca="1">IF(RTD("tos.rtd",,$A$2,"."&amp;E$83&amp;E$1&amp;"C"&amp;$A109)="N/A",0,RTD("tos.rtd",,$A$2,"."&amp;E$83&amp;E$1&amp;"C"&amp;$A109))-IF(RTD("tos.rtd",,$A$2,"."&amp;E$83&amp;E$1&amp;"P"&amp;$A109)="N/A",0,RTD("tos.rtd",,$A$2,"."&amp;E$83&amp;E$1&amp;"P"&amp;$A109))</f>
        <v>0</v>
      </c>
      <c r="F109" s="91">
        <f ca="1">IF(RTD("tos.rtd",,$A$2,"."&amp;F$83&amp;F$1&amp;"C"&amp;$A109)="N/A",0,RTD("tos.rtd",,$A$2,"."&amp;F$83&amp;F$1&amp;"C"&amp;$A109))-IF(RTD("tos.rtd",,$A$2,"."&amp;F$83&amp;F$1&amp;"P"&amp;$A109)="N/A",0,RTD("tos.rtd",,$A$2,"."&amp;F$83&amp;F$1&amp;"P"&amp;$A109))</f>
        <v>0</v>
      </c>
      <c r="G109" s="91">
        <f ca="1">IF(RTD("tos.rtd",,$A$2,"."&amp;G$83&amp;G$1&amp;"C"&amp;$A109)="N/A",0,RTD("tos.rtd",,$A$2,"."&amp;G$83&amp;G$1&amp;"C"&amp;$A109))-IF(RTD("tos.rtd",,$A$2,"."&amp;G$83&amp;G$1&amp;"P"&amp;$A109)="N/A",0,RTD("tos.rtd",,$A$2,"."&amp;G$83&amp;G$1&amp;"P"&amp;$A109))</f>
        <v>0</v>
      </c>
      <c r="H109" s="91">
        <f ca="1">IF(RTD("tos.rtd",,$A$2,"."&amp;H$83&amp;H$1&amp;"C"&amp;$A109)="N/A",0,RTD("tos.rtd",,$A$2,"."&amp;H$83&amp;H$1&amp;"C"&amp;$A109))-IF(RTD("tos.rtd",,$A$2,"."&amp;H$83&amp;H$1&amp;"P"&amp;$A109)="N/A",0,RTD("tos.rtd",,$A$2,"."&amp;H$83&amp;H$1&amp;"P"&amp;$A109))</f>
        <v>0</v>
      </c>
      <c r="I109" s="91">
        <f ca="1">IF(RTD("tos.rtd",,$A$2,"."&amp;I$83&amp;I$1&amp;"C"&amp;$A109)="N/A",0,RTD("tos.rtd",,$A$2,"."&amp;I$83&amp;I$1&amp;"C"&amp;$A109))-IF(RTD("tos.rtd",,$A$2,"."&amp;I$83&amp;I$1&amp;"P"&amp;$A109)="N/A",0,RTD("tos.rtd",,$A$2,"."&amp;I$83&amp;I$1&amp;"P"&amp;$A109))</f>
        <v>0</v>
      </c>
      <c r="J109" s="91">
        <f ca="1">IF(RTD("tos.rtd",,$A$2,"."&amp;J$83&amp;J$1&amp;"C"&amp;$A109)="N/A",0,RTD("tos.rtd",,$A$2,"."&amp;J$83&amp;J$1&amp;"C"&amp;$A109))-IF(RTD("tos.rtd",,$A$2,"."&amp;J$83&amp;J$1&amp;"P"&amp;$A109)="N/A",0,RTD("tos.rtd",,$A$2,"."&amp;J$83&amp;J$1&amp;"P"&amp;$A109))</f>
        <v>0</v>
      </c>
      <c r="K109" s="91">
        <f ca="1">IF(RTD("tos.rtd",,$A$2,"."&amp;K$83&amp;K$1&amp;"C"&amp;$A109)="N/A",0,RTD("tos.rtd",,$A$2,"."&amp;K$83&amp;K$1&amp;"C"&amp;$A109))-IF(RTD("tos.rtd",,$A$2,"."&amp;K$83&amp;K$1&amp;"P"&amp;$A109)="N/A",0,RTD("tos.rtd",,$A$2,"."&amp;K$83&amp;K$1&amp;"P"&amp;$A109))</f>
        <v>0</v>
      </c>
      <c r="L109" s="91">
        <f ca="1">IF(RTD("tos.rtd",,$A$2,"."&amp;L$83&amp;L$1&amp;"C"&amp;$A109)="N/A",0,RTD("tos.rtd",,$A$2,"."&amp;L$83&amp;L$1&amp;"C"&amp;$A109))-IF(RTD("tos.rtd",,$A$2,"."&amp;L$83&amp;L$1&amp;"P"&amp;$A109)="N/A",0,RTD("tos.rtd",,$A$2,"."&amp;L$83&amp;L$1&amp;"P"&amp;$A109))</f>
        <v>0</v>
      </c>
      <c r="M109" s="91">
        <f ca="1">IF(RTD("tos.rtd",,$A$2,"."&amp;M$83&amp;M$1&amp;"C"&amp;$A109)="N/A",0,RTD("tos.rtd",,$A$2,"."&amp;M$83&amp;M$1&amp;"C"&amp;$A109))-IF(RTD("tos.rtd",,$A$2,"."&amp;M$83&amp;M$1&amp;"P"&amp;$A109)="N/A",0,RTD("tos.rtd",,$A$2,"."&amp;M$83&amp;M$1&amp;"P"&amp;$A109))</f>
        <v>0</v>
      </c>
      <c r="N109" s="91">
        <f ca="1">IF(RTD("tos.rtd",,$A$2,"."&amp;N$83&amp;N$1&amp;"C"&amp;$A109)="N/A",0,RTD("tos.rtd",,$A$2,"."&amp;N$83&amp;N$1&amp;"C"&amp;$A109))-IF(RTD("tos.rtd",,$A$2,"."&amp;N$83&amp;N$1&amp;"P"&amp;$A109)="N/A",0,RTD("tos.rtd",,$A$2,"."&amp;N$83&amp;N$1&amp;"P"&amp;$A109))</f>
        <v>0</v>
      </c>
      <c r="O109" s="91">
        <f ca="1">IF(RTD("tos.rtd",,$A$2,"."&amp;O$83&amp;O$1&amp;"C"&amp;$A109)="N/A",0,RTD("tos.rtd",,$A$2,"."&amp;O$83&amp;O$1&amp;"C"&amp;$A109))-IF(RTD("tos.rtd",,$A$2,"."&amp;O$83&amp;O$1&amp;"P"&amp;$A109)="N/A",0,RTD("tos.rtd",,$A$2,"."&amp;O$83&amp;O$1&amp;"P"&amp;$A109))</f>
        <v>0</v>
      </c>
      <c r="P109" s="91">
        <f ca="1">IF(RTD("tos.rtd",,$A$2,"."&amp;P$83&amp;P$1&amp;"C"&amp;$A109)="N/A",0,RTD("tos.rtd",,$A$2,"."&amp;P$83&amp;P$1&amp;"C"&amp;$A109))-IF(RTD("tos.rtd",,$A$2,"."&amp;P$83&amp;P$1&amp;"P"&amp;$A109)="N/A",0,RTD("tos.rtd",,$A$2,"."&amp;P$83&amp;P$1&amp;"P"&amp;$A109))</f>
        <v>0</v>
      </c>
      <c r="Q109" s="91">
        <f ca="1">IF(RTD("tos.rtd",,$A$2,"."&amp;Q$83&amp;Q$1&amp;"C"&amp;$A109)="N/A",0,RTD("tos.rtd",,$A$2,"."&amp;Q$83&amp;Q$1&amp;"C"&amp;$A109))-IF(RTD("tos.rtd",,$A$2,"."&amp;Q$83&amp;Q$1&amp;"P"&amp;$A109)="N/A",0,RTD("tos.rtd",,$A$2,"."&amp;Q$83&amp;Q$1&amp;"P"&amp;$A109))</f>
        <v>0</v>
      </c>
      <c r="R109" s="91">
        <f ca="1">IF(RTD("tos.rtd",,$A$2,"."&amp;R$83&amp;R$1&amp;"C"&amp;$A109)="N/A",0,RTD("tos.rtd",,$A$2,"."&amp;R$83&amp;R$1&amp;"C"&amp;$A109))-IF(RTD("tos.rtd",,$A$2,"."&amp;R$83&amp;R$1&amp;"P"&amp;$A109)="N/A",0,RTD("tos.rtd",,$A$2,"."&amp;R$83&amp;R$1&amp;"P"&amp;$A109))</f>
        <v>0</v>
      </c>
      <c r="S109" s="91">
        <f ca="1">IF(RTD("tos.rtd",,$A$2,"."&amp;S$83&amp;S$1&amp;"C"&amp;$A109)="N/A",0,RTD("tos.rtd",,$A$2,"."&amp;S$83&amp;S$1&amp;"C"&amp;$A109))-IF(RTD("tos.rtd",,$A$2,"."&amp;S$83&amp;S$1&amp;"P"&amp;$A109)="N/A",0,RTD("tos.rtd",,$A$2,"."&amp;S$83&amp;S$1&amp;"P"&amp;$A109))</f>
        <v>0</v>
      </c>
      <c r="T109" s="91">
        <f ca="1">IF(RTD("tos.rtd",,$A$2,"."&amp;T$83&amp;T$1&amp;"C"&amp;$A109)="N/A",0,RTD("tos.rtd",,$A$2,"."&amp;T$83&amp;T$1&amp;"C"&amp;$A109))-IF(RTD("tos.rtd",,$A$2,"."&amp;T$83&amp;T$1&amp;"P"&amp;$A109)="N/A",0,RTD("tos.rtd",,$A$2,"."&amp;T$83&amp;T$1&amp;"P"&amp;$A109))</f>
        <v>0</v>
      </c>
      <c r="U109" s="91">
        <f ca="1">IF(RTD("tos.rtd",,$A$2,"."&amp;U$83&amp;U$1&amp;"C"&amp;$A109)="N/A",0,RTD("tos.rtd",,$A$2,"."&amp;U$83&amp;U$1&amp;"C"&amp;$A109))-IF(RTD("tos.rtd",,$A$2,"."&amp;U$83&amp;U$1&amp;"P"&amp;$A109)="N/A",0,RTD("tos.rtd",,$A$2,"."&amp;U$83&amp;U$1&amp;"P"&amp;$A109))</f>
        <v>0</v>
      </c>
      <c r="V109" s="91">
        <f ca="1">IF(RTD("tos.rtd",,$A$2,"."&amp;V$83&amp;V$1&amp;"C"&amp;$A109)="N/A",0,RTD("tos.rtd",,$A$2,"."&amp;V$83&amp;V$1&amp;"C"&amp;$A109))-IF(RTD("tos.rtd",,$A$2,"."&amp;V$83&amp;V$1&amp;"P"&amp;$A109)="N/A",0,RTD("tos.rtd",,$A$2,"."&amp;V$83&amp;V$1&amp;"P"&amp;$A109))</f>
        <v>0</v>
      </c>
      <c r="W109" s="91">
        <f ca="1">IF(RTD("tos.rtd",,$A$2,"."&amp;W$83&amp;W$1&amp;"C"&amp;$A109)="N/A",0,RTD("tos.rtd",,$A$2,"."&amp;W$83&amp;W$1&amp;"C"&amp;$A109))-IF(RTD("tos.rtd",,$A$2,"."&amp;W$83&amp;W$1&amp;"P"&amp;$A109)="N/A",0,RTD("tos.rtd",,$A$2,"."&amp;W$83&amp;W$1&amp;"P"&amp;$A109))</f>
        <v>0</v>
      </c>
      <c r="X109" s="91">
        <f ca="1">IF(RTD("tos.rtd",,$A$2,"."&amp;X$83&amp;X$1&amp;"C"&amp;$A109)="N/A",0,RTD("tos.rtd",,$A$2,"."&amp;X$83&amp;X$1&amp;"C"&amp;$A109))-IF(RTD("tos.rtd",,$A$2,"."&amp;X$83&amp;X$1&amp;"P"&amp;$A109)="N/A",0,RTD("tos.rtd",,$A$2,"."&amp;X$83&amp;X$1&amp;"P"&amp;$A109))</f>
        <v>0</v>
      </c>
      <c r="Y109" s="98">
        <f t="shared" ca="1" si="10"/>
        <v>0</v>
      </c>
    </row>
    <row r="110" spans="1:25" x14ac:dyDescent="0.25">
      <c r="A110" s="93">
        <f>+Hoja1!A109</f>
        <v>5630</v>
      </c>
      <c r="B110" s="91">
        <f ca="1">IF(RTD("tos.rtd",,$A$2,"."&amp;B$83&amp;B$1&amp;"C"&amp;$A110)="N/A",0,RTD("tos.rtd",,$A$2,"."&amp;B$83&amp;B$1&amp;"C"&amp;$A110))-IF(RTD("tos.rtd",,$A$2,"."&amp;B$83&amp;B$1&amp;"P"&amp;$A110)="N/A",0,RTD("tos.rtd",,$A$2,"."&amp;B$83&amp;B$1&amp;"P"&amp;$A110))</f>
        <v>0</v>
      </c>
      <c r="C110" s="91">
        <f ca="1">IF(RTD("tos.rtd",,$A$2,"."&amp;C$83&amp;C$1&amp;"C"&amp;$A110)="N/A",0,RTD("tos.rtd",,$A$2,"."&amp;C$83&amp;C$1&amp;"C"&amp;$A110))-IF(RTD("tos.rtd",,$A$2,"."&amp;C$83&amp;C$1&amp;"P"&amp;$A110)="N/A",0,RTD("tos.rtd",,$A$2,"."&amp;C$83&amp;C$1&amp;"P"&amp;$A110))</f>
        <v>0</v>
      </c>
      <c r="D110" s="91">
        <f ca="1">IF(RTD("tos.rtd",,$A$2,"."&amp;D$83&amp;D$1&amp;"C"&amp;$A110)="N/A",0,RTD("tos.rtd",,$A$2,"."&amp;D$83&amp;D$1&amp;"C"&amp;$A110))-IF(RTD("tos.rtd",,$A$2,"."&amp;D$83&amp;D$1&amp;"P"&amp;$A110)="N/A",0,RTD("tos.rtd",,$A$2,"."&amp;D$83&amp;D$1&amp;"P"&amp;$A110))</f>
        <v>0</v>
      </c>
      <c r="E110" s="91">
        <f ca="1">IF(RTD("tos.rtd",,$A$2,"."&amp;E$83&amp;E$1&amp;"C"&amp;$A110)="N/A",0,RTD("tos.rtd",,$A$2,"."&amp;E$83&amp;E$1&amp;"C"&amp;$A110))-IF(RTD("tos.rtd",,$A$2,"."&amp;E$83&amp;E$1&amp;"P"&amp;$A110)="N/A",0,RTD("tos.rtd",,$A$2,"."&amp;E$83&amp;E$1&amp;"P"&amp;$A110))</f>
        <v>0</v>
      </c>
      <c r="F110" s="91">
        <f ca="1">IF(RTD("tos.rtd",,$A$2,"."&amp;F$83&amp;F$1&amp;"C"&amp;$A110)="N/A",0,RTD("tos.rtd",,$A$2,"."&amp;F$83&amp;F$1&amp;"C"&amp;$A110))-IF(RTD("tos.rtd",,$A$2,"."&amp;F$83&amp;F$1&amp;"P"&amp;$A110)="N/A",0,RTD("tos.rtd",,$A$2,"."&amp;F$83&amp;F$1&amp;"P"&amp;$A110))</f>
        <v>0</v>
      </c>
      <c r="G110" s="91">
        <f ca="1">IF(RTD("tos.rtd",,$A$2,"."&amp;G$83&amp;G$1&amp;"C"&amp;$A110)="N/A",0,RTD("tos.rtd",,$A$2,"."&amp;G$83&amp;G$1&amp;"C"&amp;$A110))-IF(RTD("tos.rtd",,$A$2,"."&amp;G$83&amp;G$1&amp;"P"&amp;$A110)="N/A",0,RTD("tos.rtd",,$A$2,"."&amp;G$83&amp;G$1&amp;"P"&amp;$A110))</f>
        <v>0</v>
      </c>
      <c r="H110" s="91">
        <f ca="1">IF(RTD("tos.rtd",,$A$2,"."&amp;H$83&amp;H$1&amp;"C"&amp;$A110)="N/A",0,RTD("tos.rtd",,$A$2,"."&amp;H$83&amp;H$1&amp;"C"&amp;$A110))-IF(RTD("tos.rtd",,$A$2,"."&amp;H$83&amp;H$1&amp;"P"&amp;$A110)="N/A",0,RTD("tos.rtd",,$A$2,"."&amp;H$83&amp;H$1&amp;"P"&amp;$A110))</f>
        <v>0</v>
      </c>
      <c r="I110" s="91">
        <f ca="1">IF(RTD("tos.rtd",,$A$2,"."&amp;I$83&amp;I$1&amp;"C"&amp;$A110)="N/A",0,RTD("tos.rtd",,$A$2,"."&amp;I$83&amp;I$1&amp;"C"&amp;$A110))-IF(RTD("tos.rtd",,$A$2,"."&amp;I$83&amp;I$1&amp;"P"&amp;$A110)="N/A",0,RTD("tos.rtd",,$A$2,"."&amp;I$83&amp;I$1&amp;"P"&amp;$A110))</f>
        <v>0</v>
      </c>
      <c r="J110" s="91">
        <f ca="1">IF(RTD("tos.rtd",,$A$2,"."&amp;J$83&amp;J$1&amp;"C"&amp;$A110)="N/A",0,RTD("tos.rtd",,$A$2,"."&amp;J$83&amp;J$1&amp;"C"&amp;$A110))-IF(RTD("tos.rtd",,$A$2,"."&amp;J$83&amp;J$1&amp;"P"&amp;$A110)="N/A",0,RTD("tos.rtd",,$A$2,"."&amp;J$83&amp;J$1&amp;"P"&amp;$A110))</f>
        <v>0</v>
      </c>
      <c r="K110" s="91">
        <f ca="1">IF(RTD("tos.rtd",,$A$2,"."&amp;K$83&amp;K$1&amp;"C"&amp;$A110)="N/A",0,RTD("tos.rtd",,$A$2,"."&amp;K$83&amp;K$1&amp;"C"&amp;$A110))-IF(RTD("tos.rtd",,$A$2,"."&amp;K$83&amp;K$1&amp;"P"&amp;$A110)="N/A",0,RTD("tos.rtd",,$A$2,"."&amp;K$83&amp;K$1&amp;"P"&amp;$A110))</f>
        <v>0</v>
      </c>
      <c r="L110" s="91">
        <f ca="1">IF(RTD("tos.rtd",,$A$2,"."&amp;L$83&amp;L$1&amp;"C"&amp;$A110)="N/A",0,RTD("tos.rtd",,$A$2,"."&amp;L$83&amp;L$1&amp;"C"&amp;$A110))-IF(RTD("tos.rtd",,$A$2,"."&amp;L$83&amp;L$1&amp;"P"&amp;$A110)="N/A",0,RTD("tos.rtd",,$A$2,"."&amp;L$83&amp;L$1&amp;"P"&amp;$A110))</f>
        <v>0</v>
      </c>
      <c r="M110" s="91">
        <f ca="1">IF(RTD("tos.rtd",,$A$2,"."&amp;M$83&amp;M$1&amp;"C"&amp;$A110)="N/A",0,RTD("tos.rtd",,$A$2,"."&amp;M$83&amp;M$1&amp;"C"&amp;$A110))-IF(RTD("tos.rtd",,$A$2,"."&amp;M$83&amp;M$1&amp;"P"&amp;$A110)="N/A",0,RTD("tos.rtd",,$A$2,"."&amp;M$83&amp;M$1&amp;"P"&amp;$A110))</f>
        <v>0</v>
      </c>
      <c r="N110" s="91">
        <f ca="1">IF(RTD("tos.rtd",,$A$2,"."&amp;N$83&amp;N$1&amp;"C"&amp;$A110)="N/A",0,RTD("tos.rtd",,$A$2,"."&amp;N$83&amp;N$1&amp;"C"&amp;$A110))-IF(RTD("tos.rtd",,$A$2,"."&amp;N$83&amp;N$1&amp;"P"&amp;$A110)="N/A",0,RTD("tos.rtd",,$A$2,"."&amp;N$83&amp;N$1&amp;"P"&amp;$A110))</f>
        <v>0</v>
      </c>
      <c r="O110" s="91">
        <f ca="1">IF(RTD("tos.rtd",,$A$2,"."&amp;O$83&amp;O$1&amp;"C"&amp;$A110)="N/A",0,RTD("tos.rtd",,$A$2,"."&amp;O$83&amp;O$1&amp;"C"&amp;$A110))-IF(RTD("tos.rtd",,$A$2,"."&amp;O$83&amp;O$1&amp;"P"&amp;$A110)="N/A",0,RTD("tos.rtd",,$A$2,"."&amp;O$83&amp;O$1&amp;"P"&amp;$A110))</f>
        <v>0</v>
      </c>
      <c r="P110" s="91">
        <f ca="1">IF(RTD("tos.rtd",,$A$2,"."&amp;P$83&amp;P$1&amp;"C"&amp;$A110)="N/A",0,RTD("tos.rtd",,$A$2,"."&amp;P$83&amp;P$1&amp;"C"&amp;$A110))-IF(RTD("tos.rtd",,$A$2,"."&amp;P$83&amp;P$1&amp;"P"&amp;$A110)="N/A",0,RTD("tos.rtd",,$A$2,"."&amp;P$83&amp;P$1&amp;"P"&amp;$A110))</f>
        <v>0</v>
      </c>
      <c r="Q110" s="91">
        <f ca="1">IF(RTD("tos.rtd",,$A$2,"."&amp;Q$83&amp;Q$1&amp;"C"&amp;$A110)="N/A",0,RTD("tos.rtd",,$A$2,"."&amp;Q$83&amp;Q$1&amp;"C"&amp;$A110))-IF(RTD("tos.rtd",,$A$2,"."&amp;Q$83&amp;Q$1&amp;"P"&amp;$A110)="N/A",0,RTD("tos.rtd",,$A$2,"."&amp;Q$83&amp;Q$1&amp;"P"&amp;$A110))</f>
        <v>0</v>
      </c>
      <c r="R110" s="91">
        <f ca="1">IF(RTD("tos.rtd",,$A$2,"."&amp;R$83&amp;R$1&amp;"C"&amp;$A110)="N/A",0,RTD("tos.rtd",,$A$2,"."&amp;R$83&amp;R$1&amp;"C"&amp;$A110))-IF(RTD("tos.rtd",,$A$2,"."&amp;R$83&amp;R$1&amp;"P"&amp;$A110)="N/A",0,RTD("tos.rtd",,$A$2,"."&amp;R$83&amp;R$1&amp;"P"&amp;$A110))</f>
        <v>0</v>
      </c>
      <c r="S110" s="91">
        <f ca="1">IF(RTD("tos.rtd",,$A$2,"."&amp;S$83&amp;S$1&amp;"C"&amp;$A110)="N/A",0,RTD("tos.rtd",,$A$2,"."&amp;S$83&amp;S$1&amp;"C"&amp;$A110))-IF(RTD("tos.rtd",,$A$2,"."&amp;S$83&amp;S$1&amp;"P"&amp;$A110)="N/A",0,RTD("tos.rtd",,$A$2,"."&amp;S$83&amp;S$1&amp;"P"&amp;$A110))</f>
        <v>0</v>
      </c>
      <c r="T110" s="91">
        <f ca="1">IF(RTD("tos.rtd",,$A$2,"."&amp;T$83&amp;T$1&amp;"C"&amp;$A110)="N/A",0,RTD("tos.rtd",,$A$2,"."&amp;T$83&amp;T$1&amp;"C"&amp;$A110))-IF(RTD("tos.rtd",,$A$2,"."&amp;T$83&amp;T$1&amp;"P"&amp;$A110)="N/A",0,RTD("tos.rtd",,$A$2,"."&amp;T$83&amp;T$1&amp;"P"&amp;$A110))</f>
        <v>0</v>
      </c>
      <c r="U110" s="91">
        <f ca="1">IF(RTD("tos.rtd",,$A$2,"."&amp;U$83&amp;U$1&amp;"C"&amp;$A110)="N/A",0,RTD("tos.rtd",,$A$2,"."&amp;U$83&amp;U$1&amp;"C"&amp;$A110))-IF(RTD("tos.rtd",,$A$2,"."&amp;U$83&amp;U$1&amp;"P"&amp;$A110)="N/A",0,RTD("tos.rtd",,$A$2,"."&amp;U$83&amp;U$1&amp;"P"&amp;$A110))</f>
        <v>0</v>
      </c>
      <c r="V110" s="91">
        <f ca="1">IF(RTD("tos.rtd",,$A$2,"."&amp;V$83&amp;V$1&amp;"C"&amp;$A110)="N/A",0,RTD("tos.rtd",,$A$2,"."&amp;V$83&amp;V$1&amp;"C"&amp;$A110))-IF(RTD("tos.rtd",,$A$2,"."&amp;V$83&amp;V$1&amp;"P"&amp;$A110)="N/A",0,RTD("tos.rtd",,$A$2,"."&amp;V$83&amp;V$1&amp;"P"&amp;$A110))</f>
        <v>0</v>
      </c>
      <c r="W110" s="91">
        <f ca="1">IF(RTD("tos.rtd",,$A$2,"."&amp;W$83&amp;W$1&amp;"C"&amp;$A110)="N/A",0,RTD("tos.rtd",,$A$2,"."&amp;W$83&amp;W$1&amp;"C"&amp;$A110))-IF(RTD("tos.rtd",,$A$2,"."&amp;W$83&amp;W$1&amp;"P"&amp;$A110)="N/A",0,RTD("tos.rtd",,$A$2,"."&amp;W$83&amp;W$1&amp;"P"&amp;$A110))</f>
        <v>0</v>
      </c>
      <c r="X110" s="91">
        <f ca="1">IF(RTD("tos.rtd",,$A$2,"."&amp;X$83&amp;X$1&amp;"C"&amp;$A110)="N/A",0,RTD("tos.rtd",,$A$2,"."&amp;X$83&amp;X$1&amp;"C"&amp;$A110))-IF(RTD("tos.rtd",,$A$2,"."&amp;X$83&amp;X$1&amp;"P"&amp;$A110)="N/A",0,RTD("tos.rtd",,$A$2,"."&amp;X$83&amp;X$1&amp;"P"&amp;$A110))</f>
        <v>0</v>
      </c>
      <c r="Y110" s="98">
        <f t="shared" ca="1" si="10"/>
        <v>0</v>
      </c>
    </row>
    <row r="111" spans="1:25" x14ac:dyDescent="0.25">
      <c r="A111" s="93">
        <f>+Hoja1!A110</f>
        <v>5620</v>
      </c>
      <c r="B111" s="91">
        <f ca="1">IF(RTD("tos.rtd",,$A$2,"."&amp;B$83&amp;B$1&amp;"C"&amp;$A111)="N/A",0,RTD("tos.rtd",,$A$2,"."&amp;B$83&amp;B$1&amp;"C"&amp;$A111))-IF(RTD("tos.rtd",,$A$2,"."&amp;B$83&amp;B$1&amp;"P"&amp;$A111)="N/A",0,RTD("tos.rtd",,$A$2,"."&amp;B$83&amp;B$1&amp;"P"&amp;$A111))</f>
        <v>0</v>
      </c>
      <c r="C111" s="91">
        <f ca="1">IF(RTD("tos.rtd",,$A$2,"."&amp;C$83&amp;C$1&amp;"C"&amp;$A111)="N/A",0,RTD("tos.rtd",,$A$2,"."&amp;C$83&amp;C$1&amp;"C"&amp;$A111))-IF(RTD("tos.rtd",,$A$2,"."&amp;C$83&amp;C$1&amp;"P"&amp;$A111)="N/A",0,RTD("tos.rtd",,$A$2,"."&amp;C$83&amp;C$1&amp;"P"&amp;$A111))</f>
        <v>0</v>
      </c>
      <c r="D111" s="91">
        <f ca="1">IF(RTD("tos.rtd",,$A$2,"."&amp;D$83&amp;D$1&amp;"C"&amp;$A111)="N/A",0,RTD("tos.rtd",,$A$2,"."&amp;D$83&amp;D$1&amp;"C"&amp;$A111))-IF(RTD("tos.rtd",,$A$2,"."&amp;D$83&amp;D$1&amp;"P"&amp;$A111)="N/A",0,RTD("tos.rtd",,$A$2,"."&amp;D$83&amp;D$1&amp;"P"&amp;$A111))</f>
        <v>0</v>
      </c>
      <c r="E111" s="91">
        <f ca="1">IF(RTD("tos.rtd",,$A$2,"."&amp;E$83&amp;E$1&amp;"C"&amp;$A111)="N/A",0,RTD("tos.rtd",,$A$2,"."&amp;E$83&amp;E$1&amp;"C"&amp;$A111))-IF(RTD("tos.rtd",,$A$2,"."&amp;E$83&amp;E$1&amp;"P"&amp;$A111)="N/A",0,RTD("tos.rtd",,$A$2,"."&amp;E$83&amp;E$1&amp;"P"&amp;$A111))</f>
        <v>0</v>
      </c>
      <c r="F111" s="91">
        <f ca="1">IF(RTD("tos.rtd",,$A$2,"."&amp;F$83&amp;F$1&amp;"C"&amp;$A111)="N/A",0,RTD("tos.rtd",,$A$2,"."&amp;F$83&amp;F$1&amp;"C"&amp;$A111))-IF(RTD("tos.rtd",,$A$2,"."&amp;F$83&amp;F$1&amp;"P"&amp;$A111)="N/A",0,RTD("tos.rtd",,$A$2,"."&amp;F$83&amp;F$1&amp;"P"&amp;$A111))</f>
        <v>0</v>
      </c>
      <c r="G111" s="91">
        <f ca="1">IF(RTD("tos.rtd",,$A$2,"."&amp;G$83&amp;G$1&amp;"C"&amp;$A111)="N/A",0,RTD("tos.rtd",,$A$2,"."&amp;G$83&amp;G$1&amp;"C"&amp;$A111))-IF(RTD("tos.rtd",,$A$2,"."&amp;G$83&amp;G$1&amp;"P"&amp;$A111)="N/A",0,RTD("tos.rtd",,$A$2,"."&amp;G$83&amp;G$1&amp;"P"&amp;$A111))</f>
        <v>0</v>
      </c>
      <c r="H111" s="91">
        <f ca="1">IF(RTD("tos.rtd",,$A$2,"."&amp;H$83&amp;H$1&amp;"C"&amp;$A111)="N/A",0,RTD("tos.rtd",,$A$2,"."&amp;H$83&amp;H$1&amp;"C"&amp;$A111))-IF(RTD("tos.rtd",,$A$2,"."&amp;H$83&amp;H$1&amp;"P"&amp;$A111)="N/A",0,RTD("tos.rtd",,$A$2,"."&amp;H$83&amp;H$1&amp;"P"&amp;$A111))</f>
        <v>0</v>
      </c>
      <c r="I111" s="91">
        <f ca="1">IF(RTD("tos.rtd",,$A$2,"."&amp;I$83&amp;I$1&amp;"C"&amp;$A111)="N/A",0,RTD("tos.rtd",,$A$2,"."&amp;I$83&amp;I$1&amp;"C"&amp;$A111))-IF(RTD("tos.rtd",,$A$2,"."&amp;I$83&amp;I$1&amp;"P"&amp;$A111)="N/A",0,RTD("tos.rtd",,$A$2,"."&amp;I$83&amp;I$1&amp;"P"&amp;$A111))</f>
        <v>0</v>
      </c>
      <c r="J111" s="91">
        <f ca="1">IF(RTD("tos.rtd",,$A$2,"."&amp;J$83&amp;J$1&amp;"C"&amp;$A111)="N/A",0,RTD("tos.rtd",,$A$2,"."&amp;J$83&amp;J$1&amp;"C"&amp;$A111))-IF(RTD("tos.rtd",,$A$2,"."&amp;J$83&amp;J$1&amp;"P"&amp;$A111)="N/A",0,RTD("tos.rtd",,$A$2,"."&amp;J$83&amp;J$1&amp;"P"&amp;$A111))</f>
        <v>0</v>
      </c>
      <c r="K111" s="91">
        <f ca="1">IF(RTD("tos.rtd",,$A$2,"."&amp;K$83&amp;K$1&amp;"C"&amp;$A111)="N/A",0,RTD("tos.rtd",,$A$2,"."&amp;K$83&amp;K$1&amp;"C"&amp;$A111))-IF(RTD("tos.rtd",,$A$2,"."&amp;K$83&amp;K$1&amp;"P"&amp;$A111)="N/A",0,RTD("tos.rtd",,$A$2,"."&amp;K$83&amp;K$1&amp;"P"&amp;$A111))</f>
        <v>0</v>
      </c>
      <c r="L111" s="91">
        <f ca="1">IF(RTD("tos.rtd",,$A$2,"."&amp;L$83&amp;L$1&amp;"C"&amp;$A111)="N/A",0,RTD("tos.rtd",,$A$2,"."&amp;L$83&amp;L$1&amp;"C"&amp;$A111))-IF(RTD("tos.rtd",,$A$2,"."&amp;L$83&amp;L$1&amp;"P"&amp;$A111)="N/A",0,RTD("tos.rtd",,$A$2,"."&amp;L$83&amp;L$1&amp;"P"&amp;$A111))</f>
        <v>0</v>
      </c>
      <c r="M111" s="91">
        <f ca="1">IF(RTD("tos.rtd",,$A$2,"."&amp;M$83&amp;M$1&amp;"C"&amp;$A111)="N/A",0,RTD("tos.rtd",,$A$2,"."&amp;M$83&amp;M$1&amp;"C"&amp;$A111))-IF(RTD("tos.rtd",,$A$2,"."&amp;M$83&amp;M$1&amp;"P"&amp;$A111)="N/A",0,RTD("tos.rtd",,$A$2,"."&amp;M$83&amp;M$1&amp;"P"&amp;$A111))</f>
        <v>0</v>
      </c>
      <c r="N111" s="91">
        <f ca="1">IF(RTD("tos.rtd",,$A$2,"."&amp;N$83&amp;N$1&amp;"C"&amp;$A111)="N/A",0,RTD("tos.rtd",,$A$2,"."&amp;N$83&amp;N$1&amp;"C"&amp;$A111))-IF(RTD("tos.rtd",,$A$2,"."&amp;N$83&amp;N$1&amp;"P"&amp;$A111)="N/A",0,RTD("tos.rtd",,$A$2,"."&amp;N$83&amp;N$1&amp;"P"&amp;$A111))</f>
        <v>0</v>
      </c>
      <c r="O111" s="91">
        <f ca="1">IF(RTD("tos.rtd",,$A$2,"."&amp;O$83&amp;O$1&amp;"C"&amp;$A111)="N/A",0,RTD("tos.rtd",,$A$2,"."&amp;O$83&amp;O$1&amp;"C"&amp;$A111))-IF(RTD("tos.rtd",,$A$2,"."&amp;O$83&amp;O$1&amp;"P"&amp;$A111)="N/A",0,RTD("tos.rtd",,$A$2,"."&amp;O$83&amp;O$1&amp;"P"&amp;$A111))</f>
        <v>0</v>
      </c>
      <c r="P111" s="91">
        <f ca="1">IF(RTD("tos.rtd",,$A$2,"."&amp;P$83&amp;P$1&amp;"C"&amp;$A111)="N/A",0,RTD("tos.rtd",,$A$2,"."&amp;P$83&amp;P$1&amp;"C"&amp;$A111))-IF(RTD("tos.rtd",,$A$2,"."&amp;P$83&amp;P$1&amp;"P"&amp;$A111)="N/A",0,RTD("tos.rtd",,$A$2,"."&amp;P$83&amp;P$1&amp;"P"&amp;$A111))</f>
        <v>0</v>
      </c>
      <c r="Q111" s="91">
        <f ca="1">IF(RTD("tos.rtd",,$A$2,"."&amp;Q$83&amp;Q$1&amp;"C"&amp;$A111)="N/A",0,RTD("tos.rtd",,$A$2,"."&amp;Q$83&amp;Q$1&amp;"C"&amp;$A111))-IF(RTD("tos.rtd",,$A$2,"."&amp;Q$83&amp;Q$1&amp;"P"&amp;$A111)="N/A",0,RTD("tos.rtd",,$A$2,"."&amp;Q$83&amp;Q$1&amp;"P"&amp;$A111))</f>
        <v>0</v>
      </c>
      <c r="R111" s="91">
        <f ca="1">IF(RTD("tos.rtd",,$A$2,"."&amp;R$83&amp;R$1&amp;"C"&amp;$A111)="N/A",0,RTD("tos.rtd",,$A$2,"."&amp;R$83&amp;R$1&amp;"C"&amp;$A111))-IF(RTD("tos.rtd",,$A$2,"."&amp;R$83&amp;R$1&amp;"P"&amp;$A111)="N/A",0,RTD("tos.rtd",,$A$2,"."&amp;R$83&amp;R$1&amp;"P"&amp;$A111))</f>
        <v>0</v>
      </c>
      <c r="S111" s="91">
        <f ca="1">IF(RTD("tos.rtd",,$A$2,"."&amp;S$83&amp;S$1&amp;"C"&amp;$A111)="N/A",0,RTD("tos.rtd",,$A$2,"."&amp;S$83&amp;S$1&amp;"C"&amp;$A111))-IF(RTD("tos.rtd",,$A$2,"."&amp;S$83&amp;S$1&amp;"P"&amp;$A111)="N/A",0,RTD("tos.rtd",,$A$2,"."&amp;S$83&amp;S$1&amp;"P"&amp;$A111))</f>
        <v>0</v>
      </c>
      <c r="T111" s="91">
        <f ca="1">IF(RTD("tos.rtd",,$A$2,"."&amp;T$83&amp;T$1&amp;"C"&amp;$A111)="N/A",0,RTD("tos.rtd",,$A$2,"."&amp;T$83&amp;T$1&amp;"C"&amp;$A111))-IF(RTD("tos.rtd",,$A$2,"."&amp;T$83&amp;T$1&amp;"P"&amp;$A111)="N/A",0,RTD("tos.rtd",,$A$2,"."&amp;T$83&amp;T$1&amp;"P"&amp;$A111))</f>
        <v>0</v>
      </c>
      <c r="U111" s="91">
        <f ca="1">IF(RTD("tos.rtd",,$A$2,"."&amp;U$83&amp;U$1&amp;"C"&amp;$A111)="N/A",0,RTD("tos.rtd",,$A$2,"."&amp;U$83&amp;U$1&amp;"C"&amp;$A111))-IF(RTD("tos.rtd",,$A$2,"."&amp;U$83&amp;U$1&amp;"P"&amp;$A111)="N/A",0,RTD("tos.rtd",,$A$2,"."&amp;U$83&amp;U$1&amp;"P"&amp;$A111))</f>
        <v>0</v>
      </c>
      <c r="V111" s="91">
        <f ca="1">IF(RTD("tos.rtd",,$A$2,"."&amp;V$83&amp;V$1&amp;"C"&amp;$A111)="N/A",0,RTD("tos.rtd",,$A$2,"."&amp;V$83&amp;V$1&amp;"C"&amp;$A111))-IF(RTD("tos.rtd",,$A$2,"."&amp;V$83&amp;V$1&amp;"P"&amp;$A111)="N/A",0,RTD("tos.rtd",,$A$2,"."&amp;V$83&amp;V$1&amp;"P"&amp;$A111))</f>
        <v>0</v>
      </c>
      <c r="W111" s="91">
        <f ca="1">IF(RTD("tos.rtd",,$A$2,"."&amp;W$83&amp;W$1&amp;"C"&amp;$A111)="N/A",0,RTD("tos.rtd",,$A$2,"."&amp;W$83&amp;W$1&amp;"C"&amp;$A111))-IF(RTD("tos.rtd",,$A$2,"."&amp;W$83&amp;W$1&amp;"P"&amp;$A111)="N/A",0,RTD("tos.rtd",,$A$2,"."&amp;W$83&amp;W$1&amp;"P"&amp;$A111))</f>
        <v>0</v>
      </c>
      <c r="X111" s="91">
        <f ca="1">IF(RTD("tos.rtd",,$A$2,"."&amp;X$83&amp;X$1&amp;"C"&amp;$A111)="N/A",0,RTD("tos.rtd",,$A$2,"."&amp;X$83&amp;X$1&amp;"C"&amp;$A111))-IF(RTD("tos.rtd",,$A$2,"."&amp;X$83&amp;X$1&amp;"P"&amp;$A111)="N/A",0,RTD("tos.rtd",,$A$2,"."&amp;X$83&amp;X$1&amp;"P"&amp;$A111))</f>
        <v>0</v>
      </c>
      <c r="Y111" s="98">
        <f t="shared" ca="1" si="10"/>
        <v>0</v>
      </c>
    </row>
    <row r="112" spans="1:25" x14ac:dyDescent="0.25">
      <c r="A112" s="93">
        <f>+Hoja1!A111</f>
        <v>5610</v>
      </c>
      <c r="B112" s="91">
        <f ca="1">IF(RTD("tos.rtd",,$A$2,"."&amp;B$83&amp;B$1&amp;"C"&amp;$A112)="N/A",0,RTD("tos.rtd",,$A$2,"."&amp;B$83&amp;B$1&amp;"C"&amp;$A112))-IF(RTD("tos.rtd",,$A$2,"."&amp;B$83&amp;B$1&amp;"P"&amp;$A112)="N/A",0,RTD("tos.rtd",,$A$2,"."&amp;B$83&amp;B$1&amp;"P"&amp;$A112))</f>
        <v>0</v>
      </c>
      <c r="C112" s="91">
        <f ca="1">IF(RTD("tos.rtd",,$A$2,"."&amp;C$83&amp;C$1&amp;"C"&amp;$A112)="N/A",0,RTD("tos.rtd",,$A$2,"."&amp;C$83&amp;C$1&amp;"C"&amp;$A112))-IF(RTD("tos.rtd",,$A$2,"."&amp;C$83&amp;C$1&amp;"P"&amp;$A112)="N/A",0,RTD("tos.rtd",,$A$2,"."&amp;C$83&amp;C$1&amp;"P"&amp;$A112))</f>
        <v>0</v>
      </c>
      <c r="D112" s="91">
        <f ca="1">IF(RTD("tos.rtd",,$A$2,"."&amp;D$83&amp;D$1&amp;"C"&amp;$A112)="N/A",0,RTD("tos.rtd",,$A$2,"."&amp;D$83&amp;D$1&amp;"C"&amp;$A112))-IF(RTD("tos.rtd",,$A$2,"."&amp;D$83&amp;D$1&amp;"P"&amp;$A112)="N/A",0,RTD("tos.rtd",,$A$2,"."&amp;D$83&amp;D$1&amp;"P"&amp;$A112))</f>
        <v>0</v>
      </c>
      <c r="E112" s="91">
        <f ca="1">IF(RTD("tos.rtd",,$A$2,"."&amp;E$83&amp;E$1&amp;"C"&amp;$A112)="N/A",0,RTD("tos.rtd",,$A$2,"."&amp;E$83&amp;E$1&amp;"C"&amp;$A112))-IF(RTD("tos.rtd",,$A$2,"."&amp;E$83&amp;E$1&amp;"P"&amp;$A112)="N/A",0,RTD("tos.rtd",,$A$2,"."&amp;E$83&amp;E$1&amp;"P"&amp;$A112))</f>
        <v>0</v>
      </c>
      <c r="F112" s="91">
        <f ca="1">IF(RTD("tos.rtd",,$A$2,"."&amp;F$83&amp;F$1&amp;"C"&amp;$A112)="N/A",0,RTD("tos.rtd",,$A$2,"."&amp;F$83&amp;F$1&amp;"C"&amp;$A112))-IF(RTD("tos.rtd",,$A$2,"."&amp;F$83&amp;F$1&amp;"P"&amp;$A112)="N/A",0,RTD("tos.rtd",,$A$2,"."&amp;F$83&amp;F$1&amp;"P"&amp;$A112))</f>
        <v>0</v>
      </c>
      <c r="G112" s="91">
        <f ca="1">IF(RTD("tos.rtd",,$A$2,"."&amp;G$83&amp;G$1&amp;"C"&amp;$A112)="N/A",0,RTD("tos.rtd",,$A$2,"."&amp;G$83&amp;G$1&amp;"C"&amp;$A112))-IF(RTD("tos.rtd",,$A$2,"."&amp;G$83&amp;G$1&amp;"P"&amp;$A112)="N/A",0,RTD("tos.rtd",,$A$2,"."&amp;G$83&amp;G$1&amp;"P"&amp;$A112))</f>
        <v>0</v>
      </c>
      <c r="H112" s="91">
        <f ca="1">IF(RTD("tos.rtd",,$A$2,"."&amp;H$83&amp;H$1&amp;"C"&amp;$A112)="N/A",0,RTD("tos.rtd",,$A$2,"."&amp;H$83&amp;H$1&amp;"C"&amp;$A112))-IF(RTD("tos.rtd",,$A$2,"."&amp;H$83&amp;H$1&amp;"P"&amp;$A112)="N/A",0,RTD("tos.rtd",,$A$2,"."&amp;H$83&amp;H$1&amp;"P"&amp;$A112))</f>
        <v>0</v>
      </c>
      <c r="I112" s="91">
        <f ca="1">IF(RTD("tos.rtd",,$A$2,"."&amp;I$83&amp;I$1&amp;"C"&amp;$A112)="N/A",0,RTD("tos.rtd",,$A$2,"."&amp;I$83&amp;I$1&amp;"C"&amp;$A112))-IF(RTD("tos.rtd",,$A$2,"."&amp;I$83&amp;I$1&amp;"P"&amp;$A112)="N/A",0,RTD("tos.rtd",,$A$2,"."&amp;I$83&amp;I$1&amp;"P"&amp;$A112))</f>
        <v>0</v>
      </c>
      <c r="J112" s="91">
        <f ca="1">IF(RTD("tos.rtd",,$A$2,"."&amp;J$83&amp;J$1&amp;"C"&amp;$A112)="N/A",0,RTD("tos.rtd",,$A$2,"."&amp;J$83&amp;J$1&amp;"C"&amp;$A112))-IF(RTD("tos.rtd",,$A$2,"."&amp;J$83&amp;J$1&amp;"P"&amp;$A112)="N/A",0,RTD("tos.rtd",,$A$2,"."&amp;J$83&amp;J$1&amp;"P"&amp;$A112))</f>
        <v>0</v>
      </c>
      <c r="K112" s="91">
        <f ca="1">IF(RTD("tos.rtd",,$A$2,"."&amp;K$83&amp;K$1&amp;"C"&amp;$A112)="N/A",0,RTD("tos.rtd",,$A$2,"."&amp;K$83&amp;K$1&amp;"C"&amp;$A112))-IF(RTD("tos.rtd",,$A$2,"."&amp;K$83&amp;K$1&amp;"P"&amp;$A112)="N/A",0,RTD("tos.rtd",,$A$2,"."&amp;K$83&amp;K$1&amp;"P"&amp;$A112))</f>
        <v>0</v>
      </c>
      <c r="L112" s="91">
        <f ca="1">IF(RTD("tos.rtd",,$A$2,"."&amp;L$83&amp;L$1&amp;"C"&amp;$A112)="N/A",0,RTD("tos.rtd",,$A$2,"."&amp;L$83&amp;L$1&amp;"C"&amp;$A112))-IF(RTD("tos.rtd",,$A$2,"."&amp;L$83&amp;L$1&amp;"P"&amp;$A112)="N/A",0,RTD("tos.rtd",,$A$2,"."&amp;L$83&amp;L$1&amp;"P"&amp;$A112))</f>
        <v>0</v>
      </c>
      <c r="M112" s="91">
        <f ca="1">IF(RTD("tos.rtd",,$A$2,"."&amp;M$83&amp;M$1&amp;"C"&amp;$A112)="N/A",0,RTD("tos.rtd",,$A$2,"."&amp;M$83&amp;M$1&amp;"C"&amp;$A112))-IF(RTD("tos.rtd",,$A$2,"."&amp;M$83&amp;M$1&amp;"P"&amp;$A112)="N/A",0,RTD("tos.rtd",,$A$2,"."&amp;M$83&amp;M$1&amp;"P"&amp;$A112))</f>
        <v>0</v>
      </c>
      <c r="N112" s="91">
        <f ca="1">IF(RTD("tos.rtd",,$A$2,"."&amp;N$83&amp;N$1&amp;"C"&amp;$A112)="N/A",0,RTD("tos.rtd",,$A$2,"."&amp;N$83&amp;N$1&amp;"C"&amp;$A112))-IF(RTD("tos.rtd",,$A$2,"."&amp;N$83&amp;N$1&amp;"P"&amp;$A112)="N/A",0,RTD("tos.rtd",,$A$2,"."&amp;N$83&amp;N$1&amp;"P"&amp;$A112))</f>
        <v>0</v>
      </c>
      <c r="O112" s="91">
        <f ca="1">IF(RTD("tos.rtd",,$A$2,"."&amp;O$83&amp;O$1&amp;"C"&amp;$A112)="N/A",0,RTD("tos.rtd",,$A$2,"."&amp;O$83&amp;O$1&amp;"C"&amp;$A112))-IF(RTD("tos.rtd",,$A$2,"."&amp;O$83&amp;O$1&amp;"P"&amp;$A112)="N/A",0,RTD("tos.rtd",,$A$2,"."&amp;O$83&amp;O$1&amp;"P"&amp;$A112))</f>
        <v>0</v>
      </c>
      <c r="P112" s="91">
        <f ca="1">IF(RTD("tos.rtd",,$A$2,"."&amp;P$83&amp;P$1&amp;"C"&amp;$A112)="N/A",0,RTD("tos.rtd",,$A$2,"."&amp;P$83&amp;P$1&amp;"C"&amp;$A112))-IF(RTD("tos.rtd",,$A$2,"."&amp;P$83&amp;P$1&amp;"P"&amp;$A112)="N/A",0,RTD("tos.rtd",,$A$2,"."&amp;P$83&amp;P$1&amp;"P"&amp;$A112))</f>
        <v>0</v>
      </c>
      <c r="Q112" s="91">
        <f ca="1">IF(RTD("tos.rtd",,$A$2,"."&amp;Q$83&amp;Q$1&amp;"C"&amp;$A112)="N/A",0,RTD("tos.rtd",,$A$2,"."&amp;Q$83&amp;Q$1&amp;"C"&amp;$A112))-IF(RTD("tos.rtd",,$A$2,"."&amp;Q$83&amp;Q$1&amp;"P"&amp;$A112)="N/A",0,RTD("tos.rtd",,$A$2,"."&amp;Q$83&amp;Q$1&amp;"P"&amp;$A112))</f>
        <v>0</v>
      </c>
      <c r="R112" s="91">
        <f ca="1">IF(RTD("tos.rtd",,$A$2,"."&amp;R$83&amp;R$1&amp;"C"&amp;$A112)="N/A",0,RTD("tos.rtd",,$A$2,"."&amp;R$83&amp;R$1&amp;"C"&amp;$A112))-IF(RTD("tos.rtd",,$A$2,"."&amp;R$83&amp;R$1&amp;"P"&amp;$A112)="N/A",0,RTD("tos.rtd",,$A$2,"."&amp;R$83&amp;R$1&amp;"P"&amp;$A112))</f>
        <v>0</v>
      </c>
      <c r="S112" s="91">
        <f ca="1">IF(RTD("tos.rtd",,$A$2,"."&amp;S$83&amp;S$1&amp;"C"&amp;$A112)="N/A",0,RTD("tos.rtd",,$A$2,"."&amp;S$83&amp;S$1&amp;"C"&amp;$A112))-IF(RTD("tos.rtd",,$A$2,"."&amp;S$83&amp;S$1&amp;"P"&amp;$A112)="N/A",0,RTD("tos.rtd",,$A$2,"."&amp;S$83&amp;S$1&amp;"P"&amp;$A112))</f>
        <v>0</v>
      </c>
      <c r="T112" s="91">
        <f ca="1">IF(RTD("tos.rtd",,$A$2,"."&amp;T$83&amp;T$1&amp;"C"&amp;$A112)="N/A",0,RTD("tos.rtd",,$A$2,"."&amp;T$83&amp;T$1&amp;"C"&amp;$A112))-IF(RTD("tos.rtd",,$A$2,"."&amp;T$83&amp;T$1&amp;"P"&amp;$A112)="N/A",0,RTD("tos.rtd",,$A$2,"."&amp;T$83&amp;T$1&amp;"P"&amp;$A112))</f>
        <v>0</v>
      </c>
      <c r="U112" s="91">
        <f ca="1">IF(RTD("tos.rtd",,$A$2,"."&amp;U$83&amp;U$1&amp;"C"&amp;$A112)="N/A",0,RTD("tos.rtd",,$A$2,"."&amp;U$83&amp;U$1&amp;"C"&amp;$A112))-IF(RTD("tos.rtd",,$A$2,"."&amp;U$83&amp;U$1&amp;"P"&amp;$A112)="N/A",0,RTD("tos.rtd",,$A$2,"."&amp;U$83&amp;U$1&amp;"P"&amp;$A112))</f>
        <v>0</v>
      </c>
      <c r="V112" s="91">
        <f ca="1">IF(RTD("tos.rtd",,$A$2,"."&amp;V$83&amp;V$1&amp;"C"&amp;$A112)="N/A",0,RTD("tos.rtd",,$A$2,"."&amp;V$83&amp;V$1&amp;"C"&amp;$A112))-IF(RTD("tos.rtd",,$A$2,"."&amp;V$83&amp;V$1&amp;"P"&amp;$A112)="N/A",0,RTD("tos.rtd",,$A$2,"."&amp;V$83&amp;V$1&amp;"P"&amp;$A112))</f>
        <v>0</v>
      </c>
      <c r="W112" s="91">
        <f ca="1">IF(RTD("tos.rtd",,$A$2,"."&amp;W$83&amp;W$1&amp;"C"&amp;$A112)="N/A",0,RTD("tos.rtd",,$A$2,"."&amp;W$83&amp;W$1&amp;"C"&amp;$A112))-IF(RTD("tos.rtd",,$A$2,"."&amp;W$83&amp;W$1&amp;"P"&amp;$A112)="N/A",0,RTD("tos.rtd",,$A$2,"."&amp;W$83&amp;W$1&amp;"P"&amp;$A112))</f>
        <v>0</v>
      </c>
      <c r="X112" s="91">
        <f ca="1">IF(RTD("tos.rtd",,$A$2,"."&amp;X$83&amp;X$1&amp;"C"&amp;$A112)="N/A",0,RTD("tos.rtd",,$A$2,"."&amp;X$83&amp;X$1&amp;"C"&amp;$A112))-IF(RTD("tos.rtd",,$A$2,"."&amp;X$83&amp;X$1&amp;"P"&amp;$A112)="N/A",0,RTD("tos.rtd",,$A$2,"."&amp;X$83&amp;X$1&amp;"P"&amp;$A112))</f>
        <v>0</v>
      </c>
      <c r="Y112" s="98">
        <f t="shared" ca="1" si="10"/>
        <v>0</v>
      </c>
    </row>
    <row r="113" spans="1:25" x14ac:dyDescent="0.25">
      <c r="A113" s="93">
        <f>+Hoja1!A112</f>
        <v>5600</v>
      </c>
      <c r="B113" s="91">
        <f ca="1">IF(RTD("tos.rtd",,$A$2,"."&amp;B$83&amp;B$1&amp;"C"&amp;$A113)="N/A",0,RTD("tos.rtd",,$A$2,"."&amp;B$83&amp;B$1&amp;"C"&amp;$A113))-IF(RTD("tos.rtd",,$A$2,"."&amp;B$83&amp;B$1&amp;"P"&amp;$A113)="N/A",0,RTD("tos.rtd",,$A$2,"."&amp;B$83&amp;B$1&amp;"P"&amp;$A113))</f>
        <v>0</v>
      </c>
      <c r="C113" s="91">
        <f ca="1">IF(RTD("tos.rtd",,$A$2,"."&amp;C$83&amp;C$1&amp;"C"&amp;$A113)="N/A",0,RTD("tos.rtd",,$A$2,"."&amp;C$83&amp;C$1&amp;"C"&amp;$A113))-IF(RTD("tos.rtd",,$A$2,"."&amp;C$83&amp;C$1&amp;"P"&amp;$A113)="N/A",0,RTD("tos.rtd",,$A$2,"."&amp;C$83&amp;C$1&amp;"P"&amp;$A113))</f>
        <v>0</v>
      </c>
      <c r="D113" s="91">
        <f ca="1">IF(RTD("tos.rtd",,$A$2,"."&amp;D$83&amp;D$1&amp;"C"&amp;$A113)="N/A",0,RTD("tos.rtd",,$A$2,"."&amp;D$83&amp;D$1&amp;"C"&amp;$A113))-IF(RTD("tos.rtd",,$A$2,"."&amp;D$83&amp;D$1&amp;"P"&amp;$A113)="N/A",0,RTD("tos.rtd",,$A$2,"."&amp;D$83&amp;D$1&amp;"P"&amp;$A113))</f>
        <v>0</v>
      </c>
      <c r="E113" s="91">
        <f ca="1">IF(RTD("tos.rtd",,$A$2,"."&amp;E$83&amp;E$1&amp;"C"&amp;$A113)="N/A",0,RTD("tos.rtd",,$A$2,"."&amp;E$83&amp;E$1&amp;"C"&amp;$A113))-IF(RTD("tos.rtd",,$A$2,"."&amp;E$83&amp;E$1&amp;"P"&amp;$A113)="N/A",0,RTD("tos.rtd",,$A$2,"."&amp;E$83&amp;E$1&amp;"P"&amp;$A113))</f>
        <v>0</v>
      </c>
      <c r="F113" s="91">
        <f ca="1">IF(RTD("tos.rtd",,$A$2,"."&amp;F$83&amp;F$1&amp;"C"&amp;$A113)="N/A",0,RTD("tos.rtd",,$A$2,"."&amp;F$83&amp;F$1&amp;"C"&amp;$A113))-IF(RTD("tos.rtd",,$A$2,"."&amp;F$83&amp;F$1&amp;"P"&amp;$A113)="N/A",0,RTD("tos.rtd",,$A$2,"."&amp;F$83&amp;F$1&amp;"P"&amp;$A113))</f>
        <v>0</v>
      </c>
      <c r="G113" s="91">
        <f ca="1">IF(RTD("tos.rtd",,$A$2,"."&amp;G$83&amp;G$1&amp;"C"&amp;$A113)="N/A",0,RTD("tos.rtd",,$A$2,"."&amp;G$83&amp;G$1&amp;"C"&amp;$A113))-IF(RTD("tos.rtd",,$A$2,"."&amp;G$83&amp;G$1&amp;"P"&amp;$A113)="N/A",0,RTD("tos.rtd",,$A$2,"."&amp;G$83&amp;G$1&amp;"P"&amp;$A113))</f>
        <v>0</v>
      </c>
      <c r="H113" s="91">
        <f ca="1">IF(RTD("tos.rtd",,$A$2,"."&amp;H$83&amp;H$1&amp;"C"&amp;$A113)="N/A",0,RTD("tos.rtd",,$A$2,"."&amp;H$83&amp;H$1&amp;"C"&amp;$A113))-IF(RTD("tos.rtd",,$A$2,"."&amp;H$83&amp;H$1&amp;"P"&amp;$A113)="N/A",0,RTD("tos.rtd",,$A$2,"."&amp;H$83&amp;H$1&amp;"P"&amp;$A113))</f>
        <v>0</v>
      </c>
      <c r="I113" s="91">
        <f ca="1">IF(RTD("tos.rtd",,$A$2,"."&amp;I$83&amp;I$1&amp;"C"&amp;$A113)="N/A",0,RTD("tos.rtd",,$A$2,"."&amp;I$83&amp;I$1&amp;"C"&amp;$A113))-IF(RTD("tos.rtd",,$A$2,"."&amp;I$83&amp;I$1&amp;"P"&amp;$A113)="N/A",0,RTD("tos.rtd",,$A$2,"."&amp;I$83&amp;I$1&amp;"P"&amp;$A113))</f>
        <v>0</v>
      </c>
      <c r="J113" s="91">
        <f ca="1">IF(RTD("tos.rtd",,$A$2,"."&amp;J$83&amp;J$1&amp;"C"&amp;$A113)="N/A",0,RTD("tos.rtd",,$A$2,"."&amp;J$83&amp;J$1&amp;"C"&amp;$A113))-IF(RTD("tos.rtd",,$A$2,"."&amp;J$83&amp;J$1&amp;"P"&amp;$A113)="N/A",0,RTD("tos.rtd",,$A$2,"."&amp;J$83&amp;J$1&amp;"P"&amp;$A113))</f>
        <v>0</v>
      </c>
      <c r="K113" s="91">
        <f ca="1">IF(RTD("tos.rtd",,$A$2,"."&amp;K$83&amp;K$1&amp;"C"&amp;$A113)="N/A",0,RTD("tos.rtd",,$A$2,"."&amp;K$83&amp;K$1&amp;"C"&amp;$A113))-IF(RTD("tos.rtd",,$A$2,"."&amp;K$83&amp;K$1&amp;"P"&amp;$A113)="N/A",0,RTD("tos.rtd",,$A$2,"."&amp;K$83&amp;K$1&amp;"P"&amp;$A113))</f>
        <v>0</v>
      </c>
      <c r="L113" s="91">
        <f ca="1">IF(RTD("tos.rtd",,$A$2,"."&amp;L$83&amp;L$1&amp;"C"&amp;$A113)="N/A",0,RTD("tos.rtd",,$A$2,"."&amp;L$83&amp;L$1&amp;"C"&amp;$A113))-IF(RTD("tos.rtd",,$A$2,"."&amp;L$83&amp;L$1&amp;"P"&amp;$A113)="N/A",0,RTD("tos.rtd",,$A$2,"."&amp;L$83&amp;L$1&amp;"P"&amp;$A113))</f>
        <v>0</v>
      </c>
      <c r="M113" s="91">
        <f ca="1">IF(RTD("tos.rtd",,$A$2,"."&amp;M$83&amp;M$1&amp;"C"&amp;$A113)="N/A",0,RTD("tos.rtd",,$A$2,"."&amp;M$83&amp;M$1&amp;"C"&amp;$A113))-IF(RTD("tos.rtd",,$A$2,"."&amp;M$83&amp;M$1&amp;"P"&amp;$A113)="N/A",0,RTD("tos.rtd",,$A$2,"."&amp;M$83&amp;M$1&amp;"P"&amp;$A113))</f>
        <v>0</v>
      </c>
      <c r="N113" s="91">
        <f ca="1">IF(RTD("tos.rtd",,$A$2,"."&amp;N$83&amp;N$1&amp;"C"&amp;$A113)="N/A",0,RTD("tos.rtd",,$A$2,"."&amp;N$83&amp;N$1&amp;"C"&amp;$A113))-IF(RTD("tos.rtd",,$A$2,"."&amp;N$83&amp;N$1&amp;"P"&amp;$A113)="N/A",0,RTD("tos.rtd",,$A$2,"."&amp;N$83&amp;N$1&amp;"P"&amp;$A113))</f>
        <v>0</v>
      </c>
      <c r="O113" s="91">
        <f ca="1">IF(RTD("tos.rtd",,$A$2,"."&amp;O$83&amp;O$1&amp;"C"&amp;$A113)="N/A",0,RTD("tos.rtd",,$A$2,"."&amp;O$83&amp;O$1&amp;"C"&amp;$A113))-IF(RTD("tos.rtd",,$A$2,"."&amp;O$83&amp;O$1&amp;"P"&amp;$A113)="N/A",0,RTD("tos.rtd",,$A$2,"."&amp;O$83&amp;O$1&amp;"P"&amp;$A113))</f>
        <v>0</v>
      </c>
      <c r="P113" s="91">
        <f ca="1">IF(RTD("tos.rtd",,$A$2,"."&amp;P$83&amp;P$1&amp;"C"&amp;$A113)="N/A",0,RTD("tos.rtd",,$A$2,"."&amp;P$83&amp;P$1&amp;"C"&amp;$A113))-IF(RTD("tos.rtd",,$A$2,"."&amp;P$83&amp;P$1&amp;"P"&amp;$A113)="N/A",0,RTD("tos.rtd",,$A$2,"."&amp;P$83&amp;P$1&amp;"P"&amp;$A113))</f>
        <v>0</v>
      </c>
      <c r="Q113" s="91">
        <f ca="1">IF(RTD("tos.rtd",,$A$2,"."&amp;Q$83&amp;Q$1&amp;"C"&amp;$A113)="N/A",0,RTD("tos.rtd",,$A$2,"."&amp;Q$83&amp;Q$1&amp;"C"&amp;$A113))-IF(RTD("tos.rtd",,$A$2,"."&amp;Q$83&amp;Q$1&amp;"P"&amp;$A113)="N/A",0,RTD("tos.rtd",,$A$2,"."&amp;Q$83&amp;Q$1&amp;"P"&amp;$A113))</f>
        <v>0</v>
      </c>
      <c r="R113" s="91">
        <f ca="1">IF(RTD("tos.rtd",,$A$2,"."&amp;R$83&amp;R$1&amp;"C"&amp;$A113)="N/A",0,RTD("tos.rtd",,$A$2,"."&amp;R$83&amp;R$1&amp;"C"&amp;$A113))-IF(RTD("tos.rtd",,$A$2,"."&amp;R$83&amp;R$1&amp;"P"&amp;$A113)="N/A",0,RTD("tos.rtd",,$A$2,"."&amp;R$83&amp;R$1&amp;"P"&amp;$A113))</f>
        <v>0</v>
      </c>
      <c r="S113" s="91">
        <f ca="1">IF(RTD("tos.rtd",,$A$2,"."&amp;S$83&amp;S$1&amp;"C"&amp;$A113)="N/A",0,RTD("tos.rtd",,$A$2,"."&amp;S$83&amp;S$1&amp;"C"&amp;$A113))-IF(RTD("tos.rtd",,$A$2,"."&amp;S$83&amp;S$1&amp;"P"&amp;$A113)="N/A",0,RTD("tos.rtd",,$A$2,"."&amp;S$83&amp;S$1&amp;"P"&amp;$A113))</f>
        <v>0</v>
      </c>
      <c r="T113" s="91">
        <f ca="1">IF(RTD("tos.rtd",,$A$2,"."&amp;T$83&amp;T$1&amp;"C"&amp;$A113)="N/A",0,RTD("tos.rtd",,$A$2,"."&amp;T$83&amp;T$1&amp;"C"&amp;$A113))-IF(RTD("tos.rtd",,$A$2,"."&amp;T$83&amp;T$1&amp;"P"&amp;$A113)="N/A",0,RTD("tos.rtd",,$A$2,"."&amp;T$83&amp;T$1&amp;"P"&amp;$A113))</f>
        <v>0</v>
      </c>
      <c r="U113" s="91">
        <f ca="1">IF(RTD("tos.rtd",,$A$2,"."&amp;U$83&amp;U$1&amp;"C"&amp;$A113)="N/A",0,RTD("tos.rtd",,$A$2,"."&amp;U$83&amp;U$1&amp;"C"&amp;$A113))-IF(RTD("tos.rtd",,$A$2,"."&amp;U$83&amp;U$1&amp;"P"&amp;$A113)="N/A",0,RTD("tos.rtd",,$A$2,"."&amp;U$83&amp;U$1&amp;"P"&amp;$A113))</f>
        <v>0</v>
      </c>
      <c r="V113" s="91">
        <f ca="1">IF(RTD("tos.rtd",,$A$2,"."&amp;V$83&amp;V$1&amp;"C"&amp;$A113)="N/A",0,RTD("tos.rtd",,$A$2,"."&amp;V$83&amp;V$1&amp;"C"&amp;$A113))-IF(RTD("tos.rtd",,$A$2,"."&amp;V$83&amp;V$1&amp;"P"&amp;$A113)="N/A",0,RTD("tos.rtd",,$A$2,"."&amp;V$83&amp;V$1&amp;"P"&amp;$A113))</f>
        <v>0</v>
      </c>
      <c r="W113" s="91">
        <f ca="1">IF(RTD("tos.rtd",,$A$2,"."&amp;W$83&amp;W$1&amp;"C"&amp;$A113)="N/A",0,RTD("tos.rtd",,$A$2,"."&amp;W$83&amp;W$1&amp;"C"&amp;$A113))-IF(RTD("tos.rtd",,$A$2,"."&amp;W$83&amp;W$1&amp;"P"&amp;$A113)="N/A",0,RTD("tos.rtd",,$A$2,"."&amp;W$83&amp;W$1&amp;"P"&amp;$A113))</f>
        <v>0</v>
      </c>
      <c r="X113" s="91">
        <f ca="1">IF(RTD("tos.rtd",,$A$2,"."&amp;X$83&amp;X$1&amp;"C"&amp;$A113)="N/A",0,RTD("tos.rtd",,$A$2,"."&amp;X$83&amp;X$1&amp;"C"&amp;$A113))-IF(RTD("tos.rtd",,$A$2,"."&amp;X$83&amp;X$1&amp;"P"&amp;$A113)="N/A",0,RTD("tos.rtd",,$A$2,"."&amp;X$83&amp;X$1&amp;"P"&amp;$A113))</f>
        <v>0</v>
      </c>
      <c r="Y113" s="98">
        <f t="shared" ca="1" si="10"/>
        <v>0</v>
      </c>
    </row>
    <row r="114" spans="1:25" x14ac:dyDescent="0.25">
      <c r="A114" s="93">
        <f>+Hoja1!A113</f>
        <v>5590</v>
      </c>
      <c r="B114" s="91">
        <f ca="1">IF(RTD("tos.rtd",,$A$2,"."&amp;B$83&amp;B$1&amp;"C"&amp;$A114)="N/A",0,RTD("tos.rtd",,$A$2,"."&amp;B$83&amp;B$1&amp;"C"&amp;$A114))-IF(RTD("tos.rtd",,$A$2,"."&amp;B$83&amp;B$1&amp;"P"&amp;$A114)="N/A",0,RTD("tos.rtd",,$A$2,"."&amp;B$83&amp;B$1&amp;"P"&amp;$A114))</f>
        <v>0</v>
      </c>
      <c r="C114" s="91">
        <f ca="1">IF(RTD("tos.rtd",,$A$2,"."&amp;C$83&amp;C$1&amp;"C"&amp;$A114)="N/A",0,RTD("tos.rtd",,$A$2,"."&amp;C$83&amp;C$1&amp;"C"&amp;$A114))-IF(RTD("tos.rtd",,$A$2,"."&amp;C$83&amp;C$1&amp;"P"&amp;$A114)="N/A",0,RTD("tos.rtd",,$A$2,"."&amp;C$83&amp;C$1&amp;"P"&amp;$A114))</f>
        <v>0</v>
      </c>
      <c r="D114" s="91">
        <f ca="1">IF(RTD("tos.rtd",,$A$2,"."&amp;D$83&amp;D$1&amp;"C"&amp;$A114)="N/A",0,RTD("tos.rtd",,$A$2,"."&amp;D$83&amp;D$1&amp;"C"&amp;$A114))-IF(RTD("tos.rtd",,$A$2,"."&amp;D$83&amp;D$1&amp;"P"&amp;$A114)="N/A",0,RTD("tos.rtd",,$A$2,"."&amp;D$83&amp;D$1&amp;"P"&amp;$A114))</f>
        <v>0</v>
      </c>
      <c r="E114" s="91">
        <f ca="1">IF(RTD("tos.rtd",,$A$2,"."&amp;E$83&amp;E$1&amp;"C"&amp;$A114)="N/A",0,RTD("tos.rtd",,$A$2,"."&amp;E$83&amp;E$1&amp;"C"&amp;$A114))-IF(RTD("tos.rtd",,$A$2,"."&amp;E$83&amp;E$1&amp;"P"&amp;$A114)="N/A",0,RTD("tos.rtd",,$A$2,"."&amp;E$83&amp;E$1&amp;"P"&amp;$A114))</f>
        <v>0</v>
      </c>
      <c r="F114" s="91">
        <f ca="1">IF(RTD("tos.rtd",,$A$2,"."&amp;F$83&amp;F$1&amp;"C"&amp;$A114)="N/A",0,RTD("tos.rtd",,$A$2,"."&amp;F$83&amp;F$1&amp;"C"&amp;$A114))-IF(RTD("tos.rtd",,$A$2,"."&amp;F$83&amp;F$1&amp;"P"&amp;$A114)="N/A",0,RTD("tos.rtd",,$A$2,"."&amp;F$83&amp;F$1&amp;"P"&amp;$A114))</f>
        <v>0</v>
      </c>
      <c r="G114" s="91">
        <f ca="1">IF(RTD("tos.rtd",,$A$2,"."&amp;G$83&amp;G$1&amp;"C"&amp;$A114)="N/A",0,RTD("tos.rtd",,$A$2,"."&amp;G$83&amp;G$1&amp;"C"&amp;$A114))-IF(RTD("tos.rtd",,$A$2,"."&amp;G$83&amp;G$1&amp;"P"&amp;$A114)="N/A",0,RTD("tos.rtd",,$A$2,"."&amp;G$83&amp;G$1&amp;"P"&amp;$A114))</f>
        <v>0</v>
      </c>
      <c r="H114" s="91">
        <f ca="1">IF(RTD("tos.rtd",,$A$2,"."&amp;H$83&amp;H$1&amp;"C"&amp;$A114)="N/A",0,RTD("tos.rtd",,$A$2,"."&amp;H$83&amp;H$1&amp;"C"&amp;$A114))-IF(RTD("tos.rtd",,$A$2,"."&amp;H$83&amp;H$1&amp;"P"&amp;$A114)="N/A",0,RTD("tos.rtd",,$A$2,"."&amp;H$83&amp;H$1&amp;"P"&amp;$A114))</f>
        <v>0</v>
      </c>
      <c r="I114" s="91">
        <f ca="1">IF(RTD("tos.rtd",,$A$2,"."&amp;I$83&amp;I$1&amp;"C"&amp;$A114)="N/A",0,RTD("tos.rtd",,$A$2,"."&amp;I$83&amp;I$1&amp;"C"&amp;$A114))-IF(RTD("tos.rtd",,$A$2,"."&amp;I$83&amp;I$1&amp;"P"&amp;$A114)="N/A",0,RTD("tos.rtd",,$A$2,"."&amp;I$83&amp;I$1&amp;"P"&amp;$A114))</f>
        <v>0</v>
      </c>
      <c r="J114" s="91">
        <f ca="1">IF(RTD("tos.rtd",,$A$2,"."&amp;J$83&amp;J$1&amp;"C"&amp;$A114)="N/A",0,RTD("tos.rtd",,$A$2,"."&amp;J$83&amp;J$1&amp;"C"&amp;$A114))-IF(RTD("tos.rtd",,$A$2,"."&amp;J$83&amp;J$1&amp;"P"&amp;$A114)="N/A",0,RTD("tos.rtd",,$A$2,"."&amp;J$83&amp;J$1&amp;"P"&amp;$A114))</f>
        <v>0</v>
      </c>
      <c r="K114" s="91">
        <f ca="1">IF(RTD("tos.rtd",,$A$2,"."&amp;K$83&amp;K$1&amp;"C"&amp;$A114)="N/A",0,RTD("tos.rtd",,$A$2,"."&amp;K$83&amp;K$1&amp;"C"&amp;$A114))-IF(RTD("tos.rtd",,$A$2,"."&amp;K$83&amp;K$1&amp;"P"&amp;$A114)="N/A",0,RTD("tos.rtd",,$A$2,"."&amp;K$83&amp;K$1&amp;"P"&amp;$A114))</f>
        <v>0</v>
      </c>
      <c r="L114" s="91">
        <f ca="1">IF(RTD("tos.rtd",,$A$2,"."&amp;L$83&amp;L$1&amp;"C"&amp;$A114)="N/A",0,RTD("tos.rtd",,$A$2,"."&amp;L$83&amp;L$1&amp;"C"&amp;$A114))-IF(RTD("tos.rtd",,$A$2,"."&amp;L$83&amp;L$1&amp;"P"&amp;$A114)="N/A",0,RTD("tos.rtd",,$A$2,"."&amp;L$83&amp;L$1&amp;"P"&amp;$A114))</f>
        <v>0</v>
      </c>
      <c r="M114" s="91">
        <f ca="1">IF(RTD("tos.rtd",,$A$2,"."&amp;M$83&amp;M$1&amp;"C"&amp;$A114)="N/A",0,RTD("tos.rtd",,$A$2,"."&amp;M$83&amp;M$1&amp;"C"&amp;$A114))-IF(RTD("tos.rtd",,$A$2,"."&amp;M$83&amp;M$1&amp;"P"&amp;$A114)="N/A",0,RTD("tos.rtd",,$A$2,"."&amp;M$83&amp;M$1&amp;"P"&amp;$A114))</f>
        <v>0</v>
      </c>
      <c r="N114" s="91">
        <f ca="1">IF(RTD("tos.rtd",,$A$2,"."&amp;N$83&amp;N$1&amp;"C"&amp;$A114)="N/A",0,RTD("tos.rtd",,$A$2,"."&amp;N$83&amp;N$1&amp;"C"&amp;$A114))-IF(RTD("tos.rtd",,$A$2,"."&amp;N$83&amp;N$1&amp;"P"&amp;$A114)="N/A",0,RTD("tos.rtd",,$A$2,"."&amp;N$83&amp;N$1&amp;"P"&amp;$A114))</f>
        <v>0</v>
      </c>
      <c r="O114" s="91">
        <f ca="1">IF(RTD("tos.rtd",,$A$2,"."&amp;O$83&amp;O$1&amp;"C"&amp;$A114)="N/A",0,RTD("tos.rtd",,$A$2,"."&amp;O$83&amp;O$1&amp;"C"&amp;$A114))-IF(RTD("tos.rtd",,$A$2,"."&amp;O$83&amp;O$1&amp;"P"&amp;$A114)="N/A",0,RTD("tos.rtd",,$A$2,"."&amp;O$83&amp;O$1&amp;"P"&amp;$A114))</f>
        <v>0</v>
      </c>
      <c r="P114" s="91">
        <f ca="1">IF(RTD("tos.rtd",,$A$2,"."&amp;P$83&amp;P$1&amp;"C"&amp;$A114)="N/A",0,RTD("tos.rtd",,$A$2,"."&amp;P$83&amp;P$1&amp;"C"&amp;$A114))-IF(RTD("tos.rtd",,$A$2,"."&amp;P$83&amp;P$1&amp;"P"&amp;$A114)="N/A",0,RTD("tos.rtd",,$A$2,"."&amp;P$83&amp;P$1&amp;"P"&amp;$A114))</f>
        <v>0</v>
      </c>
      <c r="Q114" s="91">
        <f ca="1">IF(RTD("tos.rtd",,$A$2,"."&amp;Q$83&amp;Q$1&amp;"C"&amp;$A114)="N/A",0,RTD("tos.rtd",,$A$2,"."&amp;Q$83&amp;Q$1&amp;"C"&amp;$A114))-IF(RTD("tos.rtd",,$A$2,"."&amp;Q$83&amp;Q$1&amp;"P"&amp;$A114)="N/A",0,RTD("tos.rtd",,$A$2,"."&amp;Q$83&amp;Q$1&amp;"P"&amp;$A114))</f>
        <v>0</v>
      </c>
      <c r="R114" s="91">
        <f ca="1">IF(RTD("tos.rtd",,$A$2,"."&amp;R$83&amp;R$1&amp;"C"&amp;$A114)="N/A",0,RTD("tos.rtd",,$A$2,"."&amp;R$83&amp;R$1&amp;"C"&amp;$A114))-IF(RTD("tos.rtd",,$A$2,"."&amp;R$83&amp;R$1&amp;"P"&amp;$A114)="N/A",0,RTD("tos.rtd",,$A$2,"."&amp;R$83&amp;R$1&amp;"P"&amp;$A114))</f>
        <v>0</v>
      </c>
      <c r="S114" s="91">
        <f ca="1">IF(RTD("tos.rtd",,$A$2,"."&amp;S$83&amp;S$1&amp;"C"&amp;$A114)="N/A",0,RTD("tos.rtd",,$A$2,"."&amp;S$83&amp;S$1&amp;"C"&amp;$A114))-IF(RTD("tos.rtd",,$A$2,"."&amp;S$83&amp;S$1&amp;"P"&amp;$A114)="N/A",0,RTD("tos.rtd",,$A$2,"."&amp;S$83&amp;S$1&amp;"P"&amp;$A114))</f>
        <v>0</v>
      </c>
      <c r="T114" s="91">
        <f ca="1">IF(RTD("tos.rtd",,$A$2,"."&amp;T$83&amp;T$1&amp;"C"&amp;$A114)="N/A",0,RTD("tos.rtd",,$A$2,"."&amp;T$83&amp;T$1&amp;"C"&amp;$A114))-IF(RTD("tos.rtd",,$A$2,"."&amp;T$83&amp;T$1&amp;"P"&amp;$A114)="N/A",0,RTD("tos.rtd",,$A$2,"."&amp;T$83&amp;T$1&amp;"P"&amp;$A114))</f>
        <v>0</v>
      </c>
      <c r="U114" s="91">
        <f ca="1">IF(RTD("tos.rtd",,$A$2,"."&amp;U$83&amp;U$1&amp;"C"&amp;$A114)="N/A",0,RTD("tos.rtd",,$A$2,"."&amp;U$83&amp;U$1&amp;"C"&amp;$A114))-IF(RTD("tos.rtd",,$A$2,"."&amp;U$83&amp;U$1&amp;"P"&amp;$A114)="N/A",0,RTD("tos.rtd",,$A$2,"."&amp;U$83&amp;U$1&amp;"P"&amp;$A114))</f>
        <v>0</v>
      </c>
      <c r="V114" s="91">
        <f ca="1">IF(RTD("tos.rtd",,$A$2,"."&amp;V$83&amp;V$1&amp;"C"&amp;$A114)="N/A",0,RTD("tos.rtd",,$A$2,"."&amp;V$83&amp;V$1&amp;"C"&amp;$A114))-IF(RTD("tos.rtd",,$A$2,"."&amp;V$83&amp;V$1&amp;"P"&amp;$A114)="N/A",0,RTD("tos.rtd",,$A$2,"."&amp;V$83&amp;V$1&amp;"P"&amp;$A114))</f>
        <v>0</v>
      </c>
      <c r="W114" s="91">
        <f ca="1">IF(RTD("tos.rtd",,$A$2,"."&amp;W$83&amp;W$1&amp;"C"&amp;$A114)="N/A",0,RTD("tos.rtd",,$A$2,"."&amp;W$83&amp;W$1&amp;"C"&amp;$A114))-IF(RTD("tos.rtd",,$A$2,"."&amp;W$83&amp;W$1&amp;"P"&amp;$A114)="N/A",0,RTD("tos.rtd",,$A$2,"."&amp;W$83&amp;W$1&amp;"P"&amp;$A114))</f>
        <v>0</v>
      </c>
      <c r="X114" s="91">
        <f ca="1">IF(RTD("tos.rtd",,$A$2,"."&amp;X$83&amp;X$1&amp;"C"&amp;$A114)="N/A",0,RTD("tos.rtd",,$A$2,"."&amp;X$83&amp;X$1&amp;"C"&amp;$A114))-IF(RTD("tos.rtd",,$A$2,"."&amp;X$83&amp;X$1&amp;"P"&amp;$A114)="N/A",0,RTD("tos.rtd",,$A$2,"."&amp;X$83&amp;X$1&amp;"P"&amp;$A114))</f>
        <v>0</v>
      </c>
      <c r="Y114" s="98">
        <f t="shared" ca="1" si="10"/>
        <v>0</v>
      </c>
    </row>
    <row r="115" spans="1:25" x14ac:dyDescent="0.25">
      <c r="A115" s="93">
        <f>+Hoja1!A114</f>
        <v>5580</v>
      </c>
      <c r="B115" s="91">
        <f ca="1">IF(RTD("tos.rtd",,$A$2,"."&amp;B$83&amp;B$1&amp;"C"&amp;$A115)="N/A",0,RTD("tos.rtd",,$A$2,"."&amp;B$83&amp;B$1&amp;"C"&amp;$A115))-IF(RTD("tos.rtd",,$A$2,"."&amp;B$83&amp;B$1&amp;"P"&amp;$A115)="N/A",0,RTD("tos.rtd",,$A$2,"."&amp;B$83&amp;B$1&amp;"P"&amp;$A115))</f>
        <v>0</v>
      </c>
      <c r="C115" s="91">
        <f ca="1">IF(RTD("tos.rtd",,$A$2,"."&amp;C$83&amp;C$1&amp;"C"&amp;$A115)="N/A",0,RTD("tos.rtd",,$A$2,"."&amp;C$83&amp;C$1&amp;"C"&amp;$A115))-IF(RTD("tos.rtd",,$A$2,"."&amp;C$83&amp;C$1&amp;"P"&amp;$A115)="N/A",0,RTD("tos.rtd",,$A$2,"."&amp;C$83&amp;C$1&amp;"P"&amp;$A115))</f>
        <v>0</v>
      </c>
      <c r="D115" s="91">
        <f ca="1">IF(RTD("tos.rtd",,$A$2,"."&amp;D$83&amp;D$1&amp;"C"&amp;$A115)="N/A",0,RTD("tos.rtd",,$A$2,"."&amp;D$83&amp;D$1&amp;"C"&amp;$A115))-IF(RTD("tos.rtd",,$A$2,"."&amp;D$83&amp;D$1&amp;"P"&amp;$A115)="N/A",0,RTD("tos.rtd",,$A$2,"."&amp;D$83&amp;D$1&amp;"P"&amp;$A115))</f>
        <v>0</v>
      </c>
      <c r="E115" s="91">
        <f ca="1">IF(RTD("tos.rtd",,$A$2,"."&amp;E$83&amp;E$1&amp;"C"&amp;$A115)="N/A",0,RTD("tos.rtd",,$A$2,"."&amp;E$83&amp;E$1&amp;"C"&amp;$A115))-IF(RTD("tos.rtd",,$A$2,"."&amp;E$83&amp;E$1&amp;"P"&amp;$A115)="N/A",0,RTD("tos.rtd",,$A$2,"."&amp;E$83&amp;E$1&amp;"P"&amp;$A115))</f>
        <v>0</v>
      </c>
      <c r="F115" s="91">
        <f ca="1">IF(RTD("tos.rtd",,$A$2,"."&amp;F$83&amp;F$1&amp;"C"&amp;$A115)="N/A",0,RTD("tos.rtd",,$A$2,"."&amp;F$83&amp;F$1&amp;"C"&amp;$A115))-IF(RTD("tos.rtd",,$A$2,"."&amp;F$83&amp;F$1&amp;"P"&amp;$A115)="N/A",0,RTD("tos.rtd",,$A$2,"."&amp;F$83&amp;F$1&amp;"P"&amp;$A115))</f>
        <v>0</v>
      </c>
      <c r="G115" s="91">
        <f ca="1">IF(RTD("tos.rtd",,$A$2,"."&amp;G$83&amp;G$1&amp;"C"&amp;$A115)="N/A",0,RTD("tos.rtd",,$A$2,"."&amp;G$83&amp;G$1&amp;"C"&amp;$A115))-IF(RTD("tos.rtd",,$A$2,"."&amp;G$83&amp;G$1&amp;"P"&amp;$A115)="N/A",0,RTD("tos.rtd",,$A$2,"."&amp;G$83&amp;G$1&amp;"P"&amp;$A115))</f>
        <v>0</v>
      </c>
      <c r="H115" s="91">
        <f ca="1">IF(RTD("tos.rtd",,$A$2,"."&amp;H$83&amp;H$1&amp;"C"&amp;$A115)="N/A",0,RTD("tos.rtd",,$A$2,"."&amp;H$83&amp;H$1&amp;"C"&amp;$A115))-IF(RTD("tos.rtd",,$A$2,"."&amp;H$83&amp;H$1&amp;"P"&amp;$A115)="N/A",0,RTD("tos.rtd",,$A$2,"."&amp;H$83&amp;H$1&amp;"P"&amp;$A115))</f>
        <v>0</v>
      </c>
      <c r="I115" s="91">
        <f ca="1">IF(RTD("tos.rtd",,$A$2,"."&amp;I$83&amp;I$1&amp;"C"&amp;$A115)="N/A",0,RTD("tos.rtd",,$A$2,"."&amp;I$83&amp;I$1&amp;"C"&amp;$A115))-IF(RTD("tos.rtd",,$A$2,"."&amp;I$83&amp;I$1&amp;"P"&amp;$A115)="N/A",0,RTD("tos.rtd",,$A$2,"."&amp;I$83&amp;I$1&amp;"P"&amp;$A115))</f>
        <v>0</v>
      </c>
      <c r="J115" s="91">
        <f ca="1">IF(RTD("tos.rtd",,$A$2,"."&amp;J$83&amp;J$1&amp;"C"&amp;$A115)="N/A",0,RTD("tos.rtd",,$A$2,"."&amp;J$83&amp;J$1&amp;"C"&amp;$A115))-IF(RTD("tos.rtd",,$A$2,"."&amp;J$83&amp;J$1&amp;"P"&amp;$A115)="N/A",0,RTD("tos.rtd",,$A$2,"."&amp;J$83&amp;J$1&amp;"P"&amp;$A115))</f>
        <v>0</v>
      </c>
      <c r="K115" s="91">
        <f ca="1">IF(RTD("tos.rtd",,$A$2,"."&amp;K$83&amp;K$1&amp;"C"&amp;$A115)="N/A",0,RTD("tos.rtd",,$A$2,"."&amp;K$83&amp;K$1&amp;"C"&amp;$A115))-IF(RTD("tos.rtd",,$A$2,"."&amp;K$83&amp;K$1&amp;"P"&amp;$A115)="N/A",0,RTD("tos.rtd",,$A$2,"."&amp;K$83&amp;K$1&amp;"P"&amp;$A115))</f>
        <v>0</v>
      </c>
      <c r="L115" s="91">
        <f ca="1">IF(RTD("tos.rtd",,$A$2,"."&amp;L$83&amp;L$1&amp;"C"&amp;$A115)="N/A",0,RTD("tos.rtd",,$A$2,"."&amp;L$83&amp;L$1&amp;"C"&amp;$A115))-IF(RTD("tos.rtd",,$A$2,"."&amp;L$83&amp;L$1&amp;"P"&amp;$A115)="N/A",0,RTD("tos.rtd",,$A$2,"."&amp;L$83&amp;L$1&amp;"P"&amp;$A115))</f>
        <v>0</v>
      </c>
      <c r="M115" s="91">
        <f ca="1">IF(RTD("tos.rtd",,$A$2,"."&amp;M$83&amp;M$1&amp;"C"&amp;$A115)="N/A",0,RTD("tos.rtd",,$A$2,"."&amp;M$83&amp;M$1&amp;"C"&amp;$A115))-IF(RTD("tos.rtd",,$A$2,"."&amp;M$83&amp;M$1&amp;"P"&amp;$A115)="N/A",0,RTD("tos.rtd",,$A$2,"."&amp;M$83&amp;M$1&amp;"P"&amp;$A115))</f>
        <v>0</v>
      </c>
      <c r="N115" s="91">
        <f ca="1">IF(RTD("tos.rtd",,$A$2,"."&amp;N$83&amp;N$1&amp;"C"&amp;$A115)="N/A",0,RTD("tos.rtd",,$A$2,"."&amp;N$83&amp;N$1&amp;"C"&amp;$A115))-IF(RTD("tos.rtd",,$A$2,"."&amp;N$83&amp;N$1&amp;"P"&amp;$A115)="N/A",0,RTD("tos.rtd",,$A$2,"."&amp;N$83&amp;N$1&amp;"P"&amp;$A115))</f>
        <v>0</v>
      </c>
      <c r="O115" s="91">
        <f ca="1">IF(RTD("tos.rtd",,$A$2,"."&amp;O$83&amp;O$1&amp;"C"&amp;$A115)="N/A",0,RTD("tos.rtd",,$A$2,"."&amp;O$83&amp;O$1&amp;"C"&amp;$A115))-IF(RTD("tos.rtd",,$A$2,"."&amp;O$83&amp;O$1&amp;"P"&amp;$A115)="N/A",0,RTD("tos.rtd",,$A$2,"."&amp;O$83&amp;O$1&amp;"P"&amp;$A115))</f>
        <v>0</v>
      </c>
      <c r="P115" s="91">
        <f ca="1">IF(RTD("tos.rtd",,$A$2,"."&amp;P$83&amp;P$1&amp;"C"&amp;$A115)="N/A",0,RTD("tos.rtd",,$A$2,"."&amp;P$83&amp;P$1&amp;"C"&amp;$A115))-IF(RTD("tos.rtd",,$A$2,"."&amp;P$83&amp;P$1&amp;"P"&amp;$A115)="N/A",0,RTD("tos.rtd",,$A$2,"."&amp;P$83&amp;P$1&amp;"P"&amp;$A115))</f>
        <v>0</v>
      </c>
      <c r="Q115" s="91">
        <f ca="1">IF(RTD("tos.rtd",,$A$2,"."&amp;Q$83&amp;Q$1&amp;"C"&amp;$A115)="N/A",0,RTD("tos.rtd",,$A$2,"."&amp;Q$83&amp;Q$1&amp;"C"&amp;$A115))-IF(RTD("tos.rtd",,$A$2,"."&amp;Q$83&amp;Q$1&amp;"P"&amp;$A115)="N/A",0,RTD("tos.rtd",,$A$2,"."&amp;Q$83&amp;Q$1&amp;"P"&amp;$A115))</f>
        <v>0</v>
      </c>
      <c r="R115" s="91">
        <f ca="1">IF(RTD("tos.rtd",,$A$2,"."&amp;R$83&amp;R$1&amp;"C"&amp;$A115)="N/A",0,RTD("tos.rtd",,$A$2,"."&amp;R$83&amp;R$1&amp;"C"&amp;$A115))-IF(RTD("tos.rtd",,$A$2,"."&amp;R$83&amp;R$1&amp;"P"&amp;$A115)="N/A",0,RTD("tos.rtd",,$A$2,"."&amp;R$83&amp;R$1&amp;"P"&amp;$A115))</f>
        <v>0</v>
      </c>
      <c r="S115" s="91">
        <f ca="1">IF(RTD("tos.rtd",,$A$2,"."&amp;S$83&amp;S$1&amp;"C"&amp;$A115)="N/A",0,RTD("tos.rtd",,$A$2,"."&amp;S$83&amp;S$1&amp;"C"&amp;$A115))-IF(RTD("tos.rtd",,$A$2,"."&amp;S$83&amp;S$1&amp;"P"&amp;$A115)="N/A",0,RTD("tos.rtd",,$A$2,"."&amp;S$83&amp;S$1&amp;"P"&amp;$A115))</f>
        <v>0</v>
      </c>
      <c r="T115" s="91">
        <f ca="1">IF(RTD("tos.rtd",,$A$2,"."&amp;T$83&amp;T$1&amp;"C"&amp;$A115)="N/A",0,RTD("tos.rtd",,$A$2,"."&amp;T$83&amp;T$1&amp;"C"&amp;$A115))-IF(RTD("tos.rtd",,$A$2,"."&amp;T$83&amp;T$1&amp;"P"&amp;$A115)="N/A",0,RTD("tos.rtd",,$A$2,"."&amp;T$83&amp;T$1&amp;"P"&amp;$A115))</f>
        <v>0</v>
      </c>
      <c r="U115" s="91">
        <f ca="1">IF(RTD("tos.rtd",,$A$2,"."&amp;U$83&amp;U$1&amp;"C"&amp;$A115)="N/A",0,RTD("tos.rtd",,$A$2,"."&amp;U$83&amp;U$1&amp;"C"&amp;$A115))-IF(RTD("tos.rtd",,$A$2,"."&amp;U$83&amp;U$1&amp;"P"&amp;$A115)="N/A",0,RTD("tos.rtd",,$A$2,"."&amp;U$83&amp;U$1&amp;"P"&amp;$A115))</f>
        <v>0</v>
      </c>
      <c r="V115" s="91">
        <f ca="1">IF(RTD("tos.rtd",,$A$2,"."&amp;V$83&amp;V$1&amp;"C"&amp;$A115)="N/A",0,RTD("tos.rtd",,$A$2,"."&amp;V$83&amp;V$1&amp;"C"&amp;$A115))-IF(RTD("tos.rtd",,$A$2,"."&amp;V$83&amp;V$1&amp;"P"&amp;$A115)="N/A",0,RTD("tos.rtd",,$A$2,"."&amp;V$83&amp;V$1&amp;"P"&amp;$A115))</f>
        <v>0</v>
      </c>
      <c r="W115" s="91">
        <f ca="1">IF(RTD("tos.rtd",,$A$2,"."&amp;W$83&amp;W$1&amp;"C"&amp;$A115)="N/A",0,RTD("tos.rtd",,$A$2,"."&amp;W$83&amp;W$1&amp;"C"&amp;$A115))-IF(RTD("tos.rtd",,$A$2,"."&amp;W$83&amp;W$1&amp;"P"&amp;$A115)="N/A",0,RTD("tos.rtd",,$A$2,"."&amp;W$83&amp;W$1&amp;"P"&amp;$A115))</f>
        <v>0</v>
      </c>
      <c r="X115" s="91">
        <f ca="1">IF(RTD("tos.rtd",,$A$2,"."&amp;X$83&amp;X$1&amp;"C"&amp;$A115)="N/A",0,RTD("tos.rtd",,$A$2,"."&amp;X$83&amp;X$1&amp;"C"&amp;$A115))-IF(RTD("tos.rtd",,$A$2,"."&amp;X$83&amp;X$1&amp;"P"&amp;$A115)="N/A",0,RTD("tos.rtd",,$A$2,"."&amp;X$83&amp;X$1&amp;"P"&amp;$A115))</f>
        <v>0</v>
      </c>
      <c r="Y115" s="98">
        <f t="shared" ca="1" si="10"/>
        <v>0</v>
      </c>
    </row>
    <row r="116" spans="1:25" x14ac:dyDescent="0.25">
      <c r="A116" s="93">
        <f>+Hoja1!A115</f>
        <v>5570</v>
      </c>
      <c r="B116" s="91">
        <f ca="1">IF(RTD("tos.rtd",,$A$2,"."&amp;B$83&amp;B$1&amp;"C"&amp;$A116)="N/A",0,RTD("tos.rtd",,$A$2,"."&amp;B$83&amp;B$1&amp;"C"&amp;$A116))-IF(RTD("tos.rtd",,$A$2,"."&amp;B$83&amp;B$1&amp;"P"&amp;$A116)="N/A",0,RTD("tos.rtd",,$A$2,"."&amp;B$83&amp;B$1&amp;"P"&amp;$A116))</f>
        <v>0</v>
      </c>
      <c r="C116" s="91">
        <f ca="1">IF(RTD("tos.rtd",,$A$2,"."&amp;C$83&amp;C$1&amp;"C"&amp;$A116)="N/A",0,RTD("tos.rtd",,$A$2,"."&amp;C$83&amp;C$1&amp;"C"&amp;$A116))-IF(RTD("tos.rtd",,$A$2,"."&amp;C$83&amp;C$1&amp;"P"&amp;$A116)="N/A",0,RTD("tos.rtd",,$A$2,"."&amp;C$83&amp;C$1&amp;"P"&amp;$A116))</f>
        <v>0</v>
      </c>
      <c r="D116" s="91">
        <f ca="1">IF(RTD("tos.rtd",,$A$2,"."&amp;D$83&amp;D$1&amp;"C"&amp;$A116)="N/A",0,RTD("tos.rtd",,$A$2,"."&amp;D$83&amp;D$1&amp;"C"&amp;$A116))-IF(RTD("tos.rtd",,$A$2,"."&amp;D$83&amp;D$1&amp;"P"&amp;$A116)="N/A",0,RTD("tos.rtd",,$A$2,"."&amp;D$83&amp;D$1&amp;"P"&amp;$A116))</f>
        <v>0</v>
      </c>
      <c r="E116" s="91">
        <f ca="1">IF(RTD("tos.rtd",,$A$2,"."&amp;E$83&amp;E$1&amp;"C"&amp;$A116)="N/A",0,RTD("tos.rtd",,$A$2,"."&amp;E$83&amp;E$1&amp;"C"&amp;$A116))-IF(RTD("tos.rtd",,$A$2,"."&amp;E$83&amp;E$1&amp;"P"&amp;$A116)="N/A",0,RTD("tos.rtd",,$A$2,"."&amp;E$83&amp;E$1&amp;"P"&amp;$A116))</f>
        <v>0</v>
      </c>
      <c r="F116" s="91">
        <f ca="1">IF(RTD("tos.rtd",,$A$2,"."&amp;F$83&amp;F$1&amp;"C"&amp;$A116)="N/A",0,RTD("tos.rtd",,$A$2,"."&amp;F$83&amp;F$1&amp;"C"&amp;$A116))-IF(RTD("tos.rtd",,$A$2,"."&amp;F$83&amp;F$1&amp;"P"&amp;$A116)="N/A",0,RTD("tos.rtd",,$A$2,"."&amp;F$83&amp;F$1&amp;"P"&amp;$A116))</f>
        <v>0</v>
      </c>
      <c r="G116" s="91">
        <f ca="1">IF(RTD("tos.rtd",,$A$2,"."&amp;G$83&amp;G$1&amp;"C"&amp;$A116)="N/A",0,RTD("tos.rtd",,$A$2,"."&amp;G$83&amp;G$1&amp;"C"&amp;$A116))-IF(RTD("tos.rtd",,$A$2,"."&amp;G$83&amp;G$1&amp;"P"&amp;$A116)="N/A",0,RTD("tos.rtd",,$A$2,"."&amp;G$83&amp;G$1&amp;"P"&amp;$A116))</f>
        <v>0</v>
      </c>
      <c r="H116" s="91">
        <f ca="1">IF(RTD("tos.rtd",,$A$2,"."&amp;H$83&amp;H$1&amp;"C"&amp;$A116)="N/A",0,RTD("tos.rtd",,$A$2,"."&amp;H$83&amp;H$1&amp;"C"&amp;$A116))-IF(RTD("tos.rtd",,$A$2,"."&amp;H$83&amp;H$1&amp;"P"&amp;$A116)="N/A",0,RTD("tos.rtd",,$A$2,"."&amp;H$83&amp;H$1&amp;"P"&amp;$A116))</f>
        <v>0</v>
      </c>
      <c r="I116" s="91">
        <f ca="1">IF(RTD("tos.rtd",,$A$2,"."&amp;I$83&amp;I$1&amp;"C"&amp;$A116)="N/A",0,RTD("tos.rtd",,$A$2,"."&amp;I$83&amp;I$1&amp;"C"&amp;$A116))-IF(RTD("tos.rtd",,$A$2,"."&amp;I$83&amp;I$1&amp;"P"&amp;$A116)="N/A",0,RTD("tos.rtd",,$A$2,"."&amp;I$83&amp;I$1&amp;"P"&amp;$A116))</f>
        <v>0</v>
      </c>
      <c r="J116" s="91">
        <f ca="1">IF(RTD("tos.rtd",,$A$2,"."&amp;J$83&amp;J$1&amp;"C"&amp;$A116)="N/A",0,RTD("tos.rtd",,$A$2,"."&amp;J$83&amp;J$1&amp;"C"&amp;$A116))-IF(RTD("tos.rtd",,$A$2,"."&amp;J$83&amp;J$1&amp;"P"&amp;$A116)="N/A",0,RTD("tos.rtd",,$A$2,"."&amp;J$83&amp;J$1&amp;"P"&amp;$A116))</f>
        <v>0</v>
      </c>
      <c r="K116" s="91">
        <f ca="1">IF(RTD("tos.rtd",,$A$2,"."&amp;K$83&amp;K$1&amp;"C"&amp;$A116)="N/A",0,RTD("tos.rtd",,$A$2,"."&amp;K$83&amp;K$1&amp;"C"&amp;$A116))-IF(RTD("tos.rtd",,$A$2,"."&amp;K$83&amp;K$1&amp;"P"&amp;$A116)="N/A",0,RTD("tos.rtd",,$A$2,"."&amp;K$83&amp;K$1&amp;"P"&amp;$A116))</f>
        <v>0</v>
      </c>
      <c r="L116" s="91">
        <f ca="1">IF(RTD("tos.rtd",,$A$2,"."&amp;L$83&amp;L$1&amp;"C"&amp;$A116)="N/A",0,RTD("tos.rtd",,$A$2,"."&amp;L$83&amp;L$1&amp;"C"&amp;$A116))-IF(RTD("tos.rtd",,$A$2,"."&amp;L$83&amp;L$1&amp;"P"&amp;$A116)="N/A",0,RTD("tos.rtd",,$A$2,"."&amp;L$83&amp;L$1&amp;"P"&amp;$A116))</f>
        <v>0</v>
      </c>
      <c r="M116" s="91">
        <f ca="1">IF(RTD("tos.rtd",,$A$2,"."&amp;M$83&amp;M$1&amp;"C"&amp;$A116)="N/A",0,RTD("tos.rtd",,$A$2,"."&amp;M$83&amp;M$1&amp;"C"&amp;$A116))-IF(RTD("tos.rtd",,$A$2,"."&amp;M$83&amp;M$1&amp;"P"&amp;$A116)="N/A",0,RTD("tos.rtd",,$A$2,"."&amp;M$83&amp;M$1&amp;"P"&amp;$A116))</f>
        <v>0</v>
      </c>
      <c r="N116" s="91">
        <f ca="1">IF(RTD("tos.rtd",,$A$2,"."&amp;N$83&amp;N$1&amp;"C"&amp;$A116)="N/A",0,RTD("tos.rtd",,$A$2,"."&amp;N$83&amp;N$1&amp;"C"&amp;$A116))-IF(RTD("tos.rtd",,$A$2,"."&amp;N$83&amp;N$1&amp;"P"&amp;$A116)="N/A",0,RTD("tos.rtd",,$A$2,"."&amp;N$83&amp;N$1&amp;"P"&amp;$A116))</f>
        <v>0</v>
      </c>
      <c r="O116" s="91">
        <f ca="1">IF(RTD("tos.rtd",,$A$2,"."&amp;O$83&amp;O$1&amp;"C"&amp;$A116)="N/A",0,RTD("tos.rtd",,$A$2,"."&amp;O$83&amp;O$1&amp;"C"&amp;$A116))-IF(RTD("tos.rtd",,$A$2,"."&amp;O$83&amp;O$1&amp;"P"&amp;$A116)="N/A",0,RTD("tos.rtd",,$A$2,"."&amp;O$83&amp;O$1&amp;"P"&amp;$A116))</f>
        <v>0</v>
      </c>
      <c r="P116" s="91">
        <f ca="1">IF(RTD("tos.rtd",,$A$2,"."&amp;P$83&amp;P$1&amp;"C"&amp;$A116)="N/A",0,RTD("tos.rtd",,$A$2,"."&amp;P$83&amp;P$1&amp;"C"&amp;$A116))-IF(RTD("tos.rtd",,$A$2,"."&amp;P$83&amp;P$1&amp;"P"&amp;$A116)="N/A",0,RTD("tos.rtd",,$A$2,"."&amp;P$83&amp;P$1&amp;"P"&amp;$A116))</f>
        <v>0</v>
      </c>
      <c r="Q116" s="91">
        <f ca="1">IF(RTD("tos.rtd",,$A$2,"."&amp;Q$83&amp;Q$1&amp;"C"&amp;$A116)="N/A",0,RTD("tos.rtd",,$A$2,"."&amp;Q$83&amp;Q$1&amp;"C"&amp;$A116))-IF(RTD("tos.rtd",,$A$2,"."&amp;Q$83&amp;Q$1&amp;"P"&amp;$A116)="N/A",0,RTD("tos.rtd",,$A$2,"."&amp;Q$83&amp;Q$1&amp;"P"&amp;$A116))</f>
        <v>0</v>
      </c>
      <c r="R116" s="91">
        <f ca="1">IF(RTD("tos.rtd",,$A$2,"."&amp;R$83&amp;R$1&amp;"C"&amp;$A116)="N/A",0,RTD("tos.rtd",,$A$2,"."&amp;R$83&amp;R$1&amp;"C"&amp;$A116))-IF(RTD("tos.rtd",,$A$2,"."&amp;R$83&amp;R$1&amp;"P"&amp;$A116)="N/A",0,RTD("tos.rtd",,$A$2,"."&amp;R$83&amp;R$1&amp;"P"&amp;$A116))</f>
        <v>0</v>
      </c>
      <c r="S116" s="91">
        <f ca="1">IF(RTD("tos.rtd",,$A$2,"."&amp;S$83&amp;S$1&amp;"C"&amp;$A116)="N/A",0,RTD("tos.rtd",,$A$2,"."&amp;S$83&amp;S$1&amp;"C"&amp;$A116))-IF(RTD("tos.rtd",,$A$2,"."&amp;S$83&amp;S$1&amp;"P"&amp;$A116)="N/A",0,RTD("tos.rtd",,$A$2,"."&amp;S$83&amp;S$1&amp;"P"&amp;$A116))</f>
        <v>0</v>
      </c>
      <c r="T116" s="91">
        <f ca="1">IF(RTD("tos.rtd",,$A$2,"."&amp;T$83&amp;T$1&amp;"C"&amp;$A116)="N/A",0,RTD("tos.rtd",,$A$2,"."&amp;T$83&amp;T$1&amp;"C"&amp;$A116))-IF(RTD("tos.rtd",,$A$2,"."&amp;T$83&amp;T$1&amp;"P"&amp;$A116)="N/A",0,RTD("tos.rtd",,$A$2,"."&amp;T$83&amp;T$1&amp;"P"&amp;$A116))</f>
        <v>0</v>
      </c>
      <c r="U116" s="91">
        <f ca="1">IF(RTD("tos.rtd",,$A$2,"."&amp;U$83&amp;U$1&amp;"C"&amp;$A116)="N/A",0,RTD("tos.rtd",,$A$2,"."&amp;U$83&amp;U$1&amp;"C"&amp;$A116))-IF(RTD("tos.rtd",,$A$2,"."&amp;U$83&amp;U$1&amp;"P"&amp;$A116)="N/A",0,RTD("tos.rtd",,$A$2,"."&amp;U$83&amp;U$1&amp;"P"&amp;$A116))</f>
        <v>0</v>
      </c>
      <c r="V116" s="91">
        <f ca="1">IF(RTD("tos.rtd",,$A$2,"."&amp;V$83&amp;V$1&amp;"C"&amp;$A116)="N/A",0,RTD("tos.rtd",,$A$2,"."&amp;V$83&amp;V$1&amp;"C"&amp;$A116))-IF(RTD("tos.rtd",,$A$2,"."&amp;V$83&amp;V$1&amp;"P"&amp;$A116)="N/A",0,RTD("tos.rtd",,$A$2,"."&amp;V$83&amp;V$1&amp;"P"&amp;$A116))</f>
        <v>0</v>
      </c>
      <c r="W116" s="91">
        <f ca="1">IF(RTD("tos.rtd",,$A$2,"."&amp;W$83&amp;W$1&amp;"C"&amp;$A116)="N/A",0,RTD("tos.rtd",,$A$2,"."&amp;W$83&amp;W$1&amp;"C"&amp;$A116))-IF(RTD("tos.rtd",,$A$2,"."&amp;W$83&amp;W$1&amp;"P"&amp;$A116)="N/A",0,RTD("tos.rtd",,$A$2,"."&amp;W$83&amp;W$1&amp;"P"&amp;$A116))</f>
        <v>0</v>
      </c>
      <c r="X116" s="91">
        <f ca="1">IF(RTD("tos.rtd",,$A$2,"."&amp;X$83&amp;X$1&amp;"C"&amp;$A116)="N/A",0,RTD("tos.rtd",,$A$2,"."&amp;X$83&amp;X$1&amp;"C"&amp;$A116))-IF(RTD("tos.rtd",,$A$2,"."&amp;X$83&amp;X$1&amp;"P"&amp;$A116)="N/A",0,RTD("tos.rtd",,$A$2,"."&amp;X$83&amp;X$1&amp;"P"&amp;$A116))</f>
        <v>0</v>
      </c>
      <c r="Y116" s="98">
        <f t="shared" ca="1" si="10"/>
        <v>0</v>
      </c>
    </row>
    <row r="117" spans="1:25" x14ac:dyDescent="0.25">
      <c r="A117" s="93">
        <f>+Hoja1!A116</f>
        <v>5560</v>
      </c>
      <c r="B117" s="91">
        <f ca="1">IF(RTD("tos.rtd",,$A$2,"."&amp;B$83&amp;B$1&amp;"C"&amp;$A117)="N/A",0,RTD("tos.rtd",,$A$2,"."&amp;B$83&amp;B$1&amp;"C"&amp;$A117))-IF(RTD("tos.rtd",,$A$2,"."&amp;B$83&amp;B$1&amp;"P"&amp;$A117)="N/A",0,RTD("tos.rtd",,$A$2,"."&amp;B$83&amp;B$1&amp;"P"&amp;$A117))</f>
        <v>0</v>
      </c>
      <c r="C117" s="91">
        <f ca="1">IF(RTD("tos.rtd",,$A$2,"."&amp;C$83&amp;C$1&amp;"C"&amp;$A117)="N/A",0,RTD("tos.rtd",,$A$2,"."&amp;C$83&amp;C$1&amp;"C"&amp;$A117))-IF(RTD("tos.rtd",,$A$2,"."&amp;C$83&amp;C$1&amp;"P"&amp;$A117)="N/A",0,RTD("tos.rtd",,$A$2,"."&amp;C$83&amp;C$1&amp;"P"&amp;$A117))</f>
        <v>0</v>
      </c>
      <c r="D117" s="91">
        <f ca="1">IF(RTD("tos.rtd",,$A$2,"."&amp;D$83&amp;D$1&amp;"C"&amp;$A117)="N/A",0,RTD("tos.rtd",,$A$2,"."&amp;D$83&amp;D$1&amp;"C"&amp;$A117))-IF(RTD("tos.rtd",,$A$2,"."&amp;D$83&amp;D$1&amp;"P"&amp;$A117)="N/A",0,RTD("tos.rtd",,$A$2,"."&amp;D$83&amp;D$1&amp;"P"&amp;$A117))</f>
        <v>0</v>
      </c>
      <c r="E117" s="91">
        <f ca="1">IF(RTD("tos.rtd",,$A$2,"."&amp;E$83&amp;E$1&amp;"C"&amp;$A117)="N/A",0,RTD("tos.rtd",,$A$2,"."&amp;E$83&amp;E$1&amp;"C"&amp;$A117))-IF(RTD("tos.rtd",,$A$2,"."&amp;E$83&amp;E$1&amp;"P"&amp;$A117)="N/A",0,RTD("tos.rtd",,$A$2,"."&amp;E$83&amp;E$1&amp;"P"&amp;$A117))</f>
        <v>0</v>
      </c>
      <c r="F117" s="91">
        <f ca="1">IF(RTD("tos.rtd",,$A$2,"."&amp;F$83&amp;F$1&amp;"C"&amp;$A117)="N/A",0,RTD("tos.rtd",,$A$2,"."&amp;F$83&amp;F$1&amp;"C"&amp;$A117))-IF(RTD("tos.rtd",,$A$2,"."&amp;F$83&amp;F$1&amp;"P"&amp;$A117)="N/A",0,RTD("tos.rtd",,$A$2,"."&amp;F$83&amp;F$1&amp;"P"&amp;$A117))</f>
        <v>0</v>
      </c>
      <c r="G117" s="91">
        <f ca="1">IF(RTD("tos.rtd",,$A$2,"."&amp;G$83&amp;G$1&amp;"C"&amp;$A117)="N/A",0,RTD("tos.rtd",,$A$2,"."&amp;G$83&amp;G$1&amp;"C"&amp;$A117))-IF(RTD("tos.rtd",,$A$2,"."&amp;G$83&amp;G$1&amp;"P"&amp;$A117)="N/A",0,RTD("tos.rtd",,$A$2,"."&amp;G$83&amp;G$1&amp;"P"&amp;$A117))</f>
        <v>0</v>
      </c>
      <c r="H117" s="91">
        <f ca="1">IF(RTD("tos.rtd",,$A$2,"."&amp;H$83&amp;H$1&amp;"C"&amp;$A117)="N/A",0,RTD("tos.rtd",,$A$2,"."&amp;H$83&amp;H$1&amp;"C"&amp;$A117))-IF(RTD("tos.rtd",,$A$2,"."&amp;H$83&amp;H$1&amp;"P"&amp;$A117)="N/A",0,RTD("tos.rtd",,$A$2,"."&amp;H$83&amp;H$1&amp;"P"&amp;$A117))</f>
        <v>0</v>
      </c>
      <c r="I117" s="91">
        <f ca="1">IF(RTD("tos.rtd",,$A$2,"."&amp;I$83&amp;I$1&amp;"C"&amp;$A117)="N/A",0,RTD("tos.rtd",,$A$2,"."&amp;I$83&amp;I$1&amp;"C"&amp;$A117))-IF(RTD("tos.rtd",,$A$2,"."&amp;I$83&amp;I$1&amp;"P"&amp;$A117)="N/A",0,RTD("tos.rtd",,$A$2,"."&amp;I$83&amp;I$1&amp;"P"&amp;$A117))</f>
        <v>0</v>
      </c>
      <c r="J117" s="91">
        <f ca="1">IF(RTD("tos.rtd",,$A$2,"."&amp;J$83&amp;J$1&amp;"C"&amp;$A117)="N/A",0,RTD("tos.rtd",,$A$2,"."&amp;J$83&amp;J$1&amp;"C"&amp;$A117))-IF(RTD("tos.rtd",,$A$2,"."&amp;J$83&amp;J$1&amp;"P"&amp;$A117)="N/A",0,RTD("tos.rtd",,$A$2,"."&amp;J$83&amp;J$1&amp;"P"&amp;$A117))</f>
        <v>0</v>
      </c>
      <c r="K117" s="91">
        <f ca="1">IF(RTD("tos.rtd",,$A$2,"."&amp;K$83&amp;K$1&amp;"C"&amp;$A117)="N/A",0,RTD("tos.rtd",,$A$2,"."&amp;K$83&amp;K$1&amp;"C"&amp;$A117))-IF(RTD("tos.rtd",,$A$2,"."&amp;K$83&amp;K$1&amp;"P"&amp;$A117)="N/A",0,RTD("tos.rtd",,$A$2,"."&amp;K$83&amp;K$1&amp;"P"&amp;$A117))</f>
        <v>0</v>
      </c>
      <c r="L117" s="91">
        <f ca="1">IF(RTD("tos.rtd",,$A$2,"."&amp;L$83&amp;L$1&amp;"C"&amp;$A117)="N/A",0,RTD("tos.rtd",,$A$2,"."&amp;L$83&amp;L$1&amp;"C"&amp;$A117))-IF(RTD("tos.rtd",,$A$2,"."&amp;L$83&amp;L$1&amp;"P"&amp;$A117)="N/A",0,RTD("tos.rtd",,$A$2,"."&amp;L$83&amp;L$1&amp;"P"&amp;$A117))</f>
        <v>0</v>
      </c>
      <c r="M117" s="91">
        <f ca="1">IF(RTD("tos.rtd",,$A$2,"."&amp;M$83&amp;M$1&amp;"C"&amp;$A117)="N/A",0,RTD("tos.rtd",,$A$2,"."&amp;M$83&amp;M$1&amp;"C"&amp;$A117))-IF(RTD("tos.rtd",,$A$2,"."&amp;M$83&amp;M$1&amp;"P"&amp;$A117)="N/A",0,RTD("tos.rtd",,$A$2,"."&amp;M$83&amp;M$1&amp;"P"&amp;$A117))</f>
        <v>0</v>
      </c>
      <c r="N117" s="91">
        <f ca="1">IF(RTD("tos.rtd",,$A$2,"."&amp;N$83&amp;N$1&amp;"C"&amp;$A117)="N/A",0,RTD("tos.rtd",,$A$2,"."&amp;N$83&amp;N$1&amp;"C"&amp;$A117))-IF(RTD("tos.rtd",,$A$2,"."&amp;N$83&amp;N$1&amp;"P"&amp;$A117)="N/A",0,RTD("tos.rtd",,$A$2,"."&amp;N$83&amp;N$1&amp;"P"&amp;$A117))</f>
        <v>0</v>
      </c>
      <c r="O117" s="91">
        <f ca="1">IF(RTD("tos.rtd",,$A$2,"."&amp;O$83&amp;O$1&amp;"C"&amp;$A117)="N/A",0,RTD("tos.rtd",,$A$2,"."&amp;O$83&amp;O$1&amp;"C"&amp;$A117))-IF(RTD("tos.rtd",,$A$2,"."&amp;O$83&amp;O$1&amp;"P"&amp;$A117)="N/A",0,RTD("tos.rtd",,$A$2,"."&amp;O$83&amp;O$1&amp;"P"&amp;$A117))</f>
        <v>0</v>
      </c>
      <c r="P117" s="91">
        <f ca="1">IF(RTD("tos.rtd",,$A$2,"."&amp;P$83&amp;P$1&amp;"C"&amp;$A117)="N/A",0,RTD("tos.rtd",,$A$2,"."&amp;P$83&amp;P$1&amp;"C"&amp;$A117))-IF(RTD("tos.rtd",,$A$2,"."&amp;P$83&amp;P$1&amp;"P"&amp;$A117)="N/A",0,RTD("tos.rtd",,$A$2,"."&amp;P$83&amp;P$1&amp;"P"&amp;$A117))</f>
        <v>0</v>
      </c>
      <c r="Q117" s="91">
        <f ca="1">IF(RTD("tos.rtd",,$A$2,"."&amp;Q$83&amp;Q$1&amp;"C"&amp;$A117)="N/A",0,RTD("tos.rtd",,$A$2,"."&amp;Q$83&amp;Q$1&amp;"C"&amp;$A117))-IF(RTD("tos.rtd",,$A$2,"."&amp;Q$83&amp;Q$1&amp;"P"&amp;$A117)="N/A",0,RTD("tos.rtd",,$A$2,"."&amp;Q$83&amp;Q$1&amp;"P"&amp;$A117))</f>
        <v>0</v>
      </c>
      <c r="R117" s="91">
        <f ca="1">IF(RTD("tos.rtd",,$A$2,"."&amp;R$83&amp;R$1&amp;"C"&amp;$A117)="N/A",0,RTD("tos.rtd",,$A$2,"."&amp;R$83&amp;R$1&amp;"C"&amp;$A117))-IF(RTD("tos.rtd",,$A$2,"."&amp;R$83&amp;R$1&amp;"P"&amp;$A117)="N/A",0,RTD("tos.rtd",,$A$2,"."&amp;R$83&amp;R$1&amp;"P"&amp;$A117))</f>
        <v>0</v>
      </c>
      <c r="S117" s="91">
        <f ca="1">IF(RTD("tos.rtd",,$A$2,"."&amp;S$83&amp;S$1&amp;"C"&amp;$A117)="N/A",0,RTD("tos.rtd",,$A$2,"."&amp;S$83&amp;S$1&amp;"C"&amp;$A117))-IF(RTD("tos.rtd",,$A$2,"."&amp;S$83&amp;S$1&amp;"P"&amp;$A117)="N/A",0,RTD("tos.rtd",,$A$2,"."&amp;S$83&amp;S$1&amp;"P"&amp;$A117))</f>
        <v>0</v>
      </c>
      <c r="T117" s="91">
        <f ca="1">IF(RTD("tos.rtd",,$A$2,"."&amp;T$83&amp;T$1&amp;"C"&amp;$A117)="N/A",0,RTD("tos.rtd",,$A$2,"."&amp;T$83&amp;T$1&amp;"C"&amp;$A117))-IF(RTD("tos.rtd",,$A$2,"."&amp;T$83&amp;T$1&amp;"P"&amp;$A117)="N/A",0,RTD("tos.rtd",,$A$2,"."&amp;T$83&amp;T$1&amp;"P"&amp;$A117))</f>
        <v>0</v>
      </c>
      <c r="U117" s="91">
        <f ca="1">IF(RTD("tos.rtd",,$A$2,"."&amp;U$83&amp;U$1&amp;"C"&amp;$A117)="N/A",0,RTD("tos.rtd",,$A$2,"."&amp;U$83&amp;U$1&amp;"C"&amp;$A117))-IF(RTD("tos.rtd",,$A$2,"."&amp;U$83&amp;U$1&amp;"P"&amp;$A117)="N/A",0,RTD("tos.rtd",,$A$2,"."&amp;U$83&amp;U$1&amp;"P"&amp;$A117))</f>
        <v>0</v>
      </c>
      <c r="V117" s="91">
        <f ca="1">IF(RTD("tos.rtd",,$A$2,"."&amp;V$83&amp;V$1&amp;"C"&amp;$A117)="N/A",0,RTD("tos.rtd",,$A$2,"."&amp;V$83&amp;V$1&amp;"C"&amp;$A117))-IF(RTD("tos.rtd",,$A$2,"."&amp;V$83&amp;V$1&amp;"P"&amp;$A117)="N/A",0,RTD("tos.rtd",,$A$2,"."&amp;V$83&amp;V$1&amp;"P"&amp;$A117))</f>
        <v>0</v>
      </c>
      <c r="W117" s="91">
        <f ca="1">IF(RTD("tos.rtd",,$A$2,"."&amp;W$83&amp;W$1&amp;"C"&amp;$A117)="N/A",0,RTD("tos.rtd",,$A$2,"."&amp;W$83&amp;W$1&amp;"C"&amp;$A117))-IF(RTD("tos.rtd",,$A$2,"."&amp;W$83&amp;W$1&amp;"P"&amp;$A117)="N/A",0,RTD("tos.rtd",,$A$2,"."&amp;W$83&amp;W$1&amp;"P"&amp;$A117))</f>
        <v>0</v>
      </c>
      <c r="X117" s="91">
        <f ca="1">IF(RTD("tos.rtd",,$A$2,"."&amp;X$83&amp;X$1&amp;"C"&amp;$A117)="N/A",0,RTD("tos.rtd",,$A$2,"."&amp;X$83&amp;X$1&amp;"C"&amp;$A117))-IF(RTD("tos.rtd",,$A$2,"."&amp;X$83&amp;X$1&amp;"P"&amp;$A117)="N/A",0,RTD("tos.rtd",,$A$2,"."&amp;X$83&amp;X$1&amp;"P"&amp;$A117))</f>
        <v>0</v>
      </c>
      <c r="Y117" s="98">
        <f t="shared" ca="1" si="10"/>
        <v>0</v>
      </c>
    </row>
    <row r="118" spans="1:25" x14ac:dyDescent="0.25">
      <c r="A118" s="93">
        <f>+Hoja1!A117</f>
        <v>5550</v>
      </c>
      <c r="B118" s="91">
        <f ca="1">IF(RTD("tos.rtd",,$A$2,"."&amp;B$83&amp;B$1&amp;"C"&amp;$A118)="N/A",0,RTD("tos.rtd",,$A$2,"."&amp;B$83&amp;B$1&amp;"C"&amp;$A118))-IF(RTD("tos.rtd",,$A$2,"."&amp;B$83&amp;B$1&amp;"P"&amp;$A118)="N/A",0,RTD("tos.rtd",,$A$2,"."&amp;B$83&amp;B$1&amp;"P"&amp;$A118))</f>
        <v>0</v>
      </c>
      <c r="C118" s="91">
        <f ca="1">IF(RTD("tos.rtd",,$A$2,"."&amp;C$83&amp;C$1&amp;"C"&amp;$A118)="N/A",0,RTD("tos.rtd",,$A$2,"."&amp;C$83&amp;C$1&amp;"C"&amp;$A118))-IF(RTD("tos.rtd",,$A$2,"."&amp;C$83&amp;C$1&amp;"P"&amp;$A118)="N/A",0,RTD("tos.rtd",,$A$2,"."&amp;C$83&amp;C$1&amp;"P"&amp;$A118))</f>
        <v>0</v>
      </c>
      <c r="D118" s="91">
        <f ca="1">IF(RTD("tos.rtd",,$A$2,"."&amp;D$83&amp;D$1&amp;"C"&amp;$A118)="N/A",0,RTD("tos.rtd",,$A$2,"."&amp;D$83&amp;D$1&amp;"C"&amp;$A118))-IF(RTD("tos.rtd",,$A$2,"."&amp;D$83&amp;D$1&amp;"P"&amp;$A118)="N/A",0,RTD("tos.rtd",,$A$2,"."&amp;D$83&amp;D$1&amp;"P"&amp;$A118))</f>
        <v>0</v>
      </c>
      <c r="E118" s="91">
        <f ca="1">IF(RTD("tos.rtd",,$A$2,"."&amp;E$83&amp;E$1&amp;"C"&amp;$A118)="N/A",0,RTD("tos.rtd",,$A$2,"."&amp;E$83&amp;E$1&amp;"C"&amp;$A118))-IF(RTD("tos.rtd",,$A$2,"."&amp;E$83&amp;E$1&amp;"P"&amp;$A118)="N/A",0,RTD("tos.rtd",,$A$2,"."&amp;E$83&amp;E$1&amp;"P"&amp;$A118))</f>
        <v>0</v>
      </c>
      <c r="F118" s="91">
        <f ca="1">IF(RTD("tos.rtd",,$A$2,"."&amp;F$83&amp;F$1&amp;"C"&amp;$A118)="N/A",0,RTD("tos.rtd",,$A$2,"."&amp;F$83&amp;F$1&amp;"C"&amp;$A118))-IF(RTD("tos.rtd",,$A$2,"."&amp;F$83&amp;F$1&amp;"P"&amp;$A118)="N/A",0,RTD("tos.rtd",,$A$2,"."&amp;F$83&amp;F$1&amp;"P"&amp;$A118))</f>
        <v>0</v>
      </c>
      <c r="G118" s="91">
        <f ca="1">IF(RTD("tos.rtd",,$A$2,"."&amp;G$83&amp;G$1&amp;"C"&amp;$A118)="N/A",0,RTD("tos.rtd",,$A$2,"."&amp;G$83&amp;G$1&amp;"C"&amp;$A118))-IF(RTD("tos.rtd",,$A$2,"."&amp;G$83&amp;G$1&amp;"P"&amp;$A118)="N/A",0,RTD("tos.rtd",,$A$2,"."&amp;G$83&amp;G$1&amp;"P"&amp;$A118))</f>
        <v>0</v>
      </c>
      <c r="H118" s="91">
        <f ca="1">IF(RTD("tos.rtd",,$A$2,"."&amp;H$83&amp;H$1&amp;"C"&amp;$A118)="N/A",0,RTD("tos.rtd",,$A$2,"."&amp;H$83&amp;H$1&amp;"C"&amp;$A118))-IF(RTD("tos.rtd",,$A$2,"."&amp;H$83&amp;H$1&amp;"P"&amp;$A118)="N/A",0,RTD("tos.rtd",,$A$2,"."&amp;H$83&amp;H$1&amp;"P"&amp;$A118))</f>
        <v>0</v>
      </c>
      <c r="I118" s="91">
        <f ca="1">IF(RTD("tos.rtd",,$A$2,"."&amp;I$83&amp;I$1&amp;"C"&amp;$A118)="N/A",0,RTD("tos.rtd",,$A$2,"."&amp;I$83&amp;I$1&amp;"C"&amp;$A118))-IF(RTD("tos.rtd",,$A$2,"."&amp;I$83&amp;I$1&amp;"P"&amp;$A118)="N/A",0,RTD("tos.rtd",,$A$2,"."&amp;I$83&amp;I$1&amp;"P"&amp;$A118))</f>
        <v>0</v>
      </c>
      <c r="J118" s="91">
        <f ca="1">IF(RTD("tos.rtd",,$A$2,"."&amp;J$83&amp;J$1&amp;"C"&amp;$A118)="N/A",0,RTD("tos.rtd",,$A$2,"."&amp;J$83&amp;J$1&amp;"C"&amp;$A118))-IF(RTD("tos.rtd",,$A$2,"."&amp;J$83&amp;J$1&amp;"P"&amp;$A118)="N/A",0,RTD("tos.rtd",,$A$2,"."&amp;J$83&amp;J$1&amp;"P"&amp;$A118))</f>
        <v>-1</v>
      </c>
      <c r="K118" s="91">
        <f ca="1">IF(RTD("tos.rtd",,$A$2,"."&amp;K$83&amp;K$1&amp;"C"&amp;$A118)="N/A",0,RTD("tos.rtd",,$A$2,"."&amp;K$83&amp;K$1&amp;"C"&amp;$A118))-IF(RTD("tos.rtd",,$A$2,"."&amp;K$83&amp;K$1&amp;"P"&amp;$A118)="N/A",0,RTD("tos.rtd",,$A$2,"."&amp;K$83&amp;K$1&amp;"P"&amp;$A118))</f>
        <v>0</v>
      </c>
      <c r="L118" s="91">
        <f ca="1">IF(RTD("tos.rtd",,$A$2,"."&amp;L$83&amp;L$1&amp;"C"&amp;$A118)="N/A",0,RTD("tos.rtd",,$A$2,"."&amp;L$83&amp;L$1&amp;"C"&amp;$A118))-IF(RTD("tos.rtd",,$A$2,"."&amp;L$83&amp;L$1&amp;"P"&amp;$A118)="N/A",0,RTD("tos.rtd",,$A$2,"."&amp;L$83&amp;L$1&amp;"P"&amp;$A118))</f>
        <v>0</v>
      </c>
      <c r="M118" s="91">
        <f ca="1">IF(RTD("tos.rtd",,$A$2,"."&amp;M$83&amp;M$1&amp;"C"&amp;$A118)="N/A",0,RTD("tos.rtd",,$A$2,"."&amp;M$83&amp;M$1&amp;"C"&amp;$A118))-IF(RTD("tos.rtd",,$A$2,"."&amp;M$83&amp;M$1&amp;"P"&amp;$A118)="N/A",0,RTD("tos.rtd",,$A$2,"."&amp;M$83&amp;M$1&amp;"P"&amp;$A118))</f>
        <v>0</v>
      </c>
      <c r="N118" s="91">
        <f ca="1">IF(RTD("tos.rtd",,$A$2,"."&amp;N$83&amp;N$1&amp;"C"&amp;$A118)="N/A",0,RTD("tos.rtd",,$A$2,"."&amp;N$83&amp;N$1&amp;"C"&amp;$A118))-IF(RTD("tos.rtd",,$A$2,"."&amp;N$83&amp;N$1&amp;"P"&amp;$A118)="N/A",0,RTD("tos.rtd",,$A$2,"."&amp;N$83&amp;N$1&amp;"P"&amp;$A118))</f>
        <v>0</v>
      </c>
      <c r="O118" s="91">
        <f ca="1">IF(RTD("tos.rtd",,$A$2,"."&amp;O$83&amp;O$1&amp;"C"&amp;$A118)="N/A",0,RTD("tos.rtd",,$A$2,"."&amp;O$83&amp;O$1&amp;"C"&amp;$A118))-IF(RTD("tos.rtd",,$A$2,"."&amp;O$83&amp;O$1&amp;"P"&amp;$A118)="N/A",0,RTD("tos.rtd",,$A$2,"."&amp;O$83&amp;O$1&amp;"P"&amp;$A118))</f>
        <v>0</v>
      </c>
      <c r="P118" s="91">
        <f ca="1">IF(RTD("tos.rtd",,$A$2,"."&amp;P$83&amp;P$1&amp;"C"&amp;$A118)="N/A",0,RTD("tos.rtd",,$A$2,"."&amp;P$83&amp;P$1&amp;"C"&amp;$A118))-IF(RTD("tos.rtd",,$A$2,"."&amp;P$83&amp;P$1&amp;"P"&amp;$A118)="N/A",0,RTD("tos.rtd",,$A$2,"."&amp;P$83&amp;P$1&amp;"P"&amp;$A118))</f>
        <v>0</v>
      </c>
      <c r="Q118" s="91">
        <f ca="1">IF(RTD("tos.rtd",,$A$2,"."&amp;Q$83&amp;Q$1&amp;"C"&amp;$A118)="N/A",0,RTD("tos.rtd",,$A$2,"."&amp;Q$83&amp;Q$1&amp;"C"&amp;$A118))-IF(RTD("tos.rtd",,$A$2,"."&amp;Q$83&amp;Q$1&amp;"P"&amp;$A118)="N/A",0,RTD("tos.rtd",,$A$2,"."&amp;Q$83&amp;Q$1&amp;"P"&amp;$A118))</f>
        <v>0</v>
      </c>
      <c r="R118" s="91">
        <f ca="1">IF(RTD("tos.rtd",,$A$2,"."&amp;R$83&amp;R$1&amp;"C"&amp;$A118)="N/A",0,RTD("tos.rtd",,$A$2,"."&amp;R$83&amp;R$1&amp;"C"&amp;$A118))-IF(RTD("tos.rtd",,$A$2,"."&amp;R$83&amp;R$1&amp;"P"&amp;$A118)="N/A",0,RTD("tos.rtd",,$A$2,"."&amp;R$83&amp;R$1&amp;"P"&amp;$A118))</f>
        <v>0</v>
      </c>
      <c r="S118" s="91">
        <f ca="1">IF(RTD("tos.rtd",,$A$2,"."&amp;S$83&amp;S$1&amp;"C"&amp;$A118)="N/A",0,RTD("tos.rtd",,$A$2,"."&amp;S$83&amp;S$1&amp;"C"&amp;$A118))-IF(RTD("tos.rtd",,$A$2,"."&amp;S$83&amp;S$1&amp;"P"&amp;$A118)="N/A",0,RTD("tos.rtd",,$A$2,"."&amp;S$83&amp;S$1&amp;"P"&amp;$A118))</f>
        <v>0</v>
      </c>
      <c r="T118" s="91">
        <f ca="1">IF(RTD("tos.rtd",,$A$2,"."&amp;T$83&amp;T$1&amp;"C"&amp;$A118)="N/A",0,RTD("tos.rtd",,$A$2,"."&amp;T$83&amp;T$1&amp;"C"&amp;$A118))-IF(RTD("tos.rtd",,$A$2,"."&amp;T$83&amp;T$1&amp;"P"&amp;$A118)="N/A",0,RTD("tos.rtd",,$A$2,"."&amp;T$83&amp;T$1&amp;"P"&amp;$A118))</f>
        <v>0</v>
      </c>
      <c r="U118" s="91">
        <f ca="1">IF(RTD("tos.rtd",,$A$2,"."&amp;U$83&amp;U$1&amp;"C"&amp;$A118)="N/A",0,RTD("tos.rtd",,$A$2,"."&amp;U$83&amp;U$1&amp;"C"&amp;$A118))-IF(RTD("tos.rtd",,$A$2,"."&amp;U$83&amp;U$1&amp;"P"&amp;$A118)="N/A",0,RTD("tos.rtd",,$A$2,"."&amp;U$83&amp;U$1&amp;"P"&amp;$A118))</f>
        <v>0</v>
      </c>
      <c r="V118" s="91">
        <f ca="1">IF(RTD("tos.rtd",,$A$2,"."&amp;V$83&amp;V$1&amp;"C"&amp;$A118)="N/A",0,RTD("tos.rtd",,$A$2,"."&amp;V$83&amp;V$1&amp;"C"&amp;$A118))-IF(RTD("tos.rtd",,$A$2,"."&amp;V$83&amp;V$1&amp;"P"&amp;$A118)="N/A",0,RTD("tos.rtd",,$A$2,"."&amp;V$83&amp;V$1&amp;"P"&amp;$A118))</f>
        <v>0</v>
      </c>
      <c r="W118" s="91">
        <f ca="1">IF(RTD("tos.rtd",,$A$2,"."&amp;W$83&amp;W$1&amp;"C"&amp;$A118)="N/A",0,RTD("tos.rtd",,$A$2,"."&amp;W$83&amp;W$1&amp;"C"&amp;$A118))-IF(RTD("tos.rtd",,$A$2,"."&amp;W$83&amp;W$1&amp;"P"&amp;$A118)="N/A",0,RTD("tos.rtd",,$A$2,"."&amp;W$83&amp;W$1&amp;"P"&amp;$A118))</f>
        <v>0</v>
      </c>
      <c r="X118" s="91">
        <f ca="1">IF(RTD("tos.rtd",,$A$2,"."&amp;X$83&amp;X$1&amp;"C"&amp;$A118)="N/A",0,RTD("tos.rtd",,$A$2,"."&amp;X$83&amp;X$1&amp;"C"&amp;$A118))-IF(RTD("tos.rtd",,$A$2,"."&amp;X$83&amp;X$1&amp;"P"&amp;$A118)="N/A",0,RTD("tos.rtd",,$A$2,"."&amp;X$83&amp;X$1&amp;"P"&amp;$A118))</f>
        <v>0</v>
      </c>
      <c r="Y118" s="98">
        <f t="shared" ca="1" si="10"/>
        <v>-1</v>
      </c>
    </row>
    <row r="119" spans="1:25" x14ac:dyDescent="0.25">
      <c r="A119" s="93">
        <f>+Hoja1!A118</f>
        <v>5540</v>
      </c>
      <c r="B119" s="91">
        <f ca="1">IF(RTD("tos.rtd",,$A$2,"."&amp;B$83&amp;B$1&amp;"C"&amp;$A119)="N/A",0,RTD("tos.rtd",,$A$2,"."&amp;B$83&amp;B$1&amp;"C"&amp;$A119))-IF(RTD("tos.rtd",,$A$2,"."&amp;B$83&amp;B$1&amp;"P"&amp;$A119)="N/A",0,RTD("tos.rtd",,$A$2,"."&amp;B$83&amp;B$1&amp;"P"&amp;$A119))</f>
        <v>0</v>
      </c>
      <c r="C119" s="91">
        <f ca="1">IF(RTD("tos.rtd",,$A$2,"."&amp;C$83&amp;C$1&amp;"C"&amp;$A119)="N/A",0,RTD("tos.rtd",,$A$2,"."&amp;C$83&amp;C$1&amp;"C"&amp;$A119))-IF(RTD("tos.rtd",,$A$2,"."&amp;C$83&amp;C$1&amp;"P"&amp;$A119)="N/A",0,RTD("tos.rtd",,$A$2,"."&amp;C$83&amp;C$1&amp;"P"&amp;$A119))</f>
        <v>0</v>
      </c>
      <c r="D119" s="91">
        <f ca="1">IF(RTD("tos.rtd",,$A$2,"."&amp;D$83&amp;D$1&amp;"C"&amp;$A119)="N/A",0,RTD("tos.rtd",,$A$2,"."&amp;D$83&amp;D$1&amp;"C"&amp;$A119))-IF(RTD("tos.rtd",,$A$2,"."&amp;D$83&amp;D$1&amp;"P"&amp;$A119)="N/A",0,RTD("tos.rtd",,$A$2,"."&amp;D$83&amp;D$1&amp;"P"&amp;$A119))</f>
        <v>0</v>
      </c>
      <c r="E119" s="91">
        <f ca="1">IF(RTD("tos.rtd",,$A$2,"."&amp;E$83&amp;E$1&amp;"C"&amp;$A119)="N/A",0,RTD("tos.rtd",,$A$2,"."&amp;E$83&amp;E$1&amp;"C"&amp;$A119))-IF(RTD("tos.rtd",,$A$2,"."&amp;E$83&amp;E$1&amp;"P"&amp;$A119)="N/A",0,RTD("tos.rtd",,$A$2,"."&amp;E$83&amp;E$1&amp;"P"&amp;$A119))</f>
        <v>0</v>
      </c>
      <c r="F119" s="91">
        <f ca="1">IF(RTD("tos.rtd",,$A$2,"."&amp;F$83&amp;F$1&amp;"C"&amp;$A119)="N/A",0,RTD("tos.rtd",,$A$2,"."&amp;F$83&amp;F$1&amp;"C"&amp;$A119))-IF(RTD("tos.rtd",,$A$2,"."&amp;F$83&amp;F$1&amp;"P"&amp;$A119)="N/A",0,RTD("tos.rtd",,$A$2,"."&amp;F$83&amp;F$1&amp;"P"&amp;$A119))</f>
        <v>0</v>
      </c>
      <c r="G119" s="91">
        <f ca="1">IF(RTD("tos.rtd",,$A$2,"."&amp;G$83&amp;G$1&amp;"C"&amp;$A119)="N/A",0,RTD("tos.rtd",,$A$2,"."&amp;G$83&amp;G$1&amp;"C"&amp;$A119))-IF(RTD("tos.rtd",,$A$2,"."&amp;G$83&amp;G$1&amp;"P"&amp;$A119)="N/A",0,RTD("tos.rtd",,$A$2,"."&amp;G$83&amp;G$1&amp;"P"&amp;$A119))</f>
        <v>0</v>
      </c>
      <c r="H119" s="91">
        <f ca="1">IF(RTD("tos.rtd",,$A$2,"."&amp;H$83&amp;H$1&amp;"C"&amp;$A119)="N/A",0,RTD("tos.rtd",,$A$2,"."&amp;H$83&amp;H$1&amp;"C"&amp;$A119))-IF(RTD("tos.rtd",,$A$2,"."&amp;H$83&amp;H$1&amp;"P"&amp;$A119)="N/A",0,RTD("tos.rtd",,$A$2,"."&amp;H$83&amp;H$1&amp;"P"&amp;$A119))</f>
        <v>0</v>
      </c>
      <c r="I119" s="91">
        <f ca="1">IF(RTD("tos.rtd",,$A$2,"."&amp;I$83&amp;I$1&amp;"C"&amp;$A119)="N/A",0,RTD("tos.rtd",,$A$2,"."&amp;I$83&amp;I$1&amp;"C"&amp;$A119))-IF(RTD("tos.rtd",,$A$2,"."&amp;I$83&amp;I$1&amp;"P"&amp;$A119)="N/A",0,RTD("tos.rtd",,$A$2,"."&amp;I$83&amp;I$1&amp;"P"&amp;$A119))</f>
        <v>0</v>
      </c>
      <c r="J119" s="91">
        <f ca="1">IF(RTD("tos.rtd",,$A$2,"."&amp;J$83&amp;J$1&amp;"C"&amp;$A119)="N/A",0,RTD("tos.rtd",,$A$2,"."&amp;J$83&amp;J$1&amp;"C"&amp;$A119))-IF(RTD("tos.rtd",,$A$2,"."&amp;J$83&amp;J$1&amp;"P"&amp;$A119)="N/A",0,RTD("tos.rtd",,$A$2,"."&amp;J$83&amp;J$1&amp;"P"&amp;$A119))</f>
        <v>0</v>
      </c>
      <c r="K119" s="91">
        <f ca="1">IF(RTD("tos.rtd",,$A$2,"."&amp;K$83&amp;K$1&amp;"C"&amp;$A119)="N/A",0,RTD("tos.rtd",,$A$2,"."&amp;K$83&amp;K$1&amp;"C"&amp;$A119))-IF(RTD("tos.rtd",,$A$2,"."&amp;K$83&amp;K$1&amp;"P"&amp;$A119)="N/A",0,RTD("tos.rtd",,$A$2,"."&amp;K$83&amp;K$1&amp;"P"&amp;$A119))</f>
        <v>0</v>
      </c>
      <c r="L119" s="91">
        <f ca="1">IF(RTD("tos.rtd",,$A$2,"."&amp;L$83&amp;L$1&amp;"C"&amp;$A119)="N/A",0,RTD("tos.rtd",,$A$2,"."&amp;L$83&amp;L$1&amp;"C"&amp;$A119))-IF(RTD("tos.rtd",,$A$2,"."&amp;L$83&amp;L$1&amp;"P"&amp;$A119)="N/A",0,RTD("tos.rtd",,$A$2,"."&amp;L$83&amp;L$1&amp;"P"&amp;$A119))</f>
        <v>0</v>
      </c>
      <c r="M119" s="91">
        <f ca="1">IF(RTD("tos.rtd",,$A$2,"."&amp;M$83&amp;M$1&amp;"C"&amp;$A119)="N/A",0,RTD("tos.rtd",,$A$2,"."&amp;M$83&amp;M$1&amp;"C"&amp;$A119))-IF(RTD("tos.rtd",,$A$2,"."&amp;M$83&amp;M$1&amp;"P"&amp;$A119)="N/A",0,RTD("tos.rtd",,$A$2,"."&amp;M$83&amp;M$1&amp;"P"&amp;$A119))</f>
        <v>0</v>
      </c>
      <c r="N119" s="91">
        <f ca="1">IF(RTD("tos.rtd",,$A$2,"."&amp;N$83&amp;N$1&amp;"C"&amp;$A119)="N/A",0,RTD("tos.rtd",,$A$2,"."&amp;N$83&amp;N$1&amp;"C"&amp;$A119))-IF(RTD("tos.rtd",,$A$2,"."&amp;N$83&amp;N$1&amp;"P"&amp;$A119)="N/A",0,RTD("tos.rtd",,$A$2,"."&amp;N$83&amp;N$1&amp;"P"&amp;$A119))</f>
        <v>0</v>
      </c>
      <c r="O119" s="91">
        <f ca="1">IF(RTD("tos.rtd",,$A$2,"."&amp;O$83&amp;O$1&amp;"C"&amp;$A119)="N/A",0,RTD("tos.rtd",,$A$2,"."&amp;O$83&amp;O$1&amp;"C"&amp;$A119))-IF(RTD("tos.rtd",,$A$2,"."&amp;O$83&amp;O$1&amp;"P"&amp;$A119)="N/A",0,RTD("tos.rtd",,$A$2,"."&amp;O$83&amp;O$1&amp;"P"&amp;$A119))</f>
        <v>0</v>
      </c>
      <c r="P119" s="91">
        <f ca="1">IF(RTD("tos.rtd",,$A$2,"."&amp;P$83&amp;P$1&amp;"C"&amp;$A119)="N/A",0,RTD("tos.rtd",,$A$2,"."&amp;P$83&amp;P$1&amp;"C"&amp;$A119))-IF(RTD("tos.rtd",,$A$2,"."&amp;P$83&amp;P$1&amp;"P"&amp;$A119)="N/A",0,RTD("tos.rtd",,$A$2,"."&amp;P$83&amp;P$1&amp;"P"&amp;$A119))</f>
        <v>0</v>
      </c>
      <c r="Q119" s="91">
        <f ca="1">IF(RTD("tos.rtd",,$A$2,"."&amp;Q$83&amp;Q$1&amp;"C"&amp;$A119)="N/A",0,RTD("tos.rtd",,$A$2,"."&amp;Q$83&amp;Q$1&amp;"C"&amp;$A119))-IF(RTD("tos.rtd",,$A$2,"."&amp;Q$83&amp;Q$1&amp;"P"&amp;$A119)="N/A",0,RTD("tos.rtd",,$A$2,"."&amp;Q$83&amp;Q$1&amp;"P"&amp;$A119))</f>
        <v>0</v>
      </c>
      <c r="R119" s="91">
        <f ca="1">IF(RTD("tos.rtd",,$A$2,"."&amp;R$83&amp;R$1&amp;"C"&amp;$A119)="N/A",0,RTD("tos.rtd",,$A$2,"."&amp;R$83&amp;R$1&amp;"C"&amp;$A119))-IF(RTD("tos.rtd",,$A$2,"."&amp;R$83&amp;R$1&amp;"P"&amp;$A119)="N/A",0,RTD("tos.rtd",,$A$2,"."&amp;R$83&amp;R$1&amp;"P"&amp;$A119))</f>
        <v>0</v>
      </c>
      <c r="S119" s="91">
        <f ca="1">IF(RTD("tos.rtd",,$A$2,"."&amp;S$83&amp;S$1&amp;"C"&amp;$A119)="N/A",0,RTD("tos.rtd",,$A$2,"."&amp;S$83&amp;S$1&amp;"C"&amp;$A119))-IF(RTD("tos.rtd",,$A$2,"."&amp;S$83&amp;S$1&amp;"P"&amp;$A119)="N/A",0,RTD("tos.rtd",,$A$2,"."&amp;S$83&amp;S$1&amp;"P"&amp;$A119))</f>
        <v>0</v>
      </c>
      <c r="T119" s="91">
        <f ca="1">IF(RTD("tos.rtd",,$A$2,"."&amp;T$83&amp;T$1&amp;"C"&amp;$A119)="N/A",0,RTD("tos.rtd",,$A$2,"."&amp;T$83&amp;T$1&amp;"C"&amp;$A119))-IF(RTD("tos.rtd",,$A$2,"."&amp;T$83&amp;T$1&amp;"P"&amp;$A119)="N/A",0,RTD("tos.rtd",,$A$2,"."&amp;T$83&amp;T$1&amp;"P"&amp;$A119))</f>
        <v>0</v>
      </c>
      <c r="U119" s="91">
        <f ca="1">IF(RTD("tos.rtd",,$A$2,"."&amp;U$83&amp;U$1&amp;"C"&amp;$A119)="N/A",0,RTD("tos.rtd",,$A$2,"."&amp;U$83&amp;U$1&amp;"C"&amp;$A119))-IF(RTD("tos.rtd",,$A$2,"."&amp;U$83&amp;U$1&amp;"P"&amp;$A119)="N/A",0,RTD("tos.rtd",,$A$2,"."&amp;U$83&amp;U$1&amp;"P"&amp;$A119))</f>
        <v>0</v>
      </c>
      <c r="V119" s="91">
        <f ca="1">IF(RTD("tos.rtd",,$A$2,"."&amp;V$83&amp;V$1&amp;"C"&amp;$A119)="N/A",0,RTD("tos.rtd",,$A$2,"."&amp;V$83&amp;V$1&amp;"C"&amp;$A119))-IF(RTD("tos.rtd",,$A$2,"."&amp;V$83&amp;V$1&amp;"P"&amp;$A119)="N/A",0,RTD("tos.rtd",,$A$2,"."&amp;V$83&amp;V$1&amp;"P"&amp;$A119))</f>
        <v>0</v>
      </c>
      <c r="W119" s="91">
        <f ca="1">IF(RTD("tos.rtd",,$A$2,"."&amp;W$83&amp;W$1&amp;"C"&amp;$A119)="N/A",0,RTD("tos.rtd",,$A$2,"."&amp;W$83&amp;W$1&amp;"C"&amp;$A119))-IF(RTD("tos.rtd",,$A$2,"."&amp;W$83&amp;W$1&amp;"P"&amp;$A119)="N/A",0,RTD("tos.rtd",,$A$2,"."&amp;W$83&amp;W$1&amp;"P"&amp;$A119))</f>
        <v>0</v>
      </c>
      <c r="X119" s="91">
        <f ca="1">IF(RTD("tos.rtd",,$A$2,"."&amp;X$83&amp;X$1&amp;"C"&amp;$A119)="N/A",0,RTD("tos.rtd",,$A$2,"."&amp;X$83&amp;X$1&amp;"C"&amp;$A119))-IF(RTD("tos.rtd",,$A$2,"."&amp;X$83&amp;X$1&amp;"P"&amp;$A119)="N/A",0,RTD("tos.rtd",,$A$2,"."&amp;X$83&amp;X$1&amp;"P"&amp;$A119))</f>
        <v>0</v>
      </c>
      <c r="Y119" s="98">
        <f t="shared" ca="1" si="10"/>
        <v>0</v>
      </c>
    </row>
    <row r="120" spans="1:25" x14ac:dyDescent="0.25">
      <c r="A120" s="93">
        <f>+Hoja1!A119</f>
        <v>5530</v>
      </c>
      <c r="B120" s="91">
        <f ca="1">IF(RTD("tos.rtd",,$A$2,"."&amp;B$83&amp;B$1&amp;"C"&amp;$A120)="N/A",0,RTD("tos.rtd",,$A$2,"."&amp;B$83&amp;B$1&amp;"C"&amp;$A120))-IF(RTD("tos.rtd",,$A$2,"."&amp;B$83&amp;B$1&amp;"P"&amp;$A120)="N/A",0,RTD("tos.rtd",,$A$2,"."&amp;B$83&amp;B$1&amp;"P"&amp;$A120))</f>
        <v>0</v>
      </c>
      <c r="C120" s="91">
        <f ca="1">IF(RTD("tos.rtd",,$A$2,"."&amp;C$83&amp;C$1&amp;"C"&amp;$A120)="N/A",0,RTD("tos.rtd",,$A$2,"."&amp;C$83&amp;C$1&amp;"C"&amp;$A120))-IF(RTD("tos.rtd",,$A$2,"."&amp;C$83&amp;C$1&amp;"P"&amp;$A120)="N/A",0,RTD("tos.rtd",,$A$2,"."&amp;C$83&amp;C$1&amp;"P"&amp;$A120))</f>
        <v>0</v>
      </c>
      <c r="D120" s="91">
        <f ca="1">IF(RTD("tos.rtd",,$A$2,"."&amp;D$83&amp;D$1&amp;"C"&amp;$A120)="N/A",0,RTD("tos.rtd",,$A$2,"."&amp;D$83&amp;D$1&amp;"C"&amp;$A120))-IF(RTD("tos.rtd",,$A$2,"."&amp;D$83&amp;D$1&amp;"P"&amp;$A120)="N/A",0,RTD("tos.rtd",,$A$2,"."&amp;D$83&amp;D$1&amp;"P"&amp;$A120))</f>
        <v>0</v>
      </c>
      <c r="E120" s="91">
        <f ca="1">IF(RTD("tos.rtd",,$A$2,"."&amp;E$83&amp;E$1&amp;"C"&amp;$A120)="N/A",0,RTD("tos.rtd",,$A$2,"."&amp;E$83&amp;E$1&amp;"C"&amp;$A120))-IF(RTD("tos.rtd",,$A$2,"."&amp;E$83&amp;E$1&amp;"P"&amp;$A120)="N/A",0,RTD("tos.rtd",,$A$2,"."&amp;E$83&amp;E$1&amp;"P"&amp;$A120))</f>
        <v>0</v>
      </c>
      <c r="F120" s="91">
        <f ca="1">IF(RTD("tos.rtd",,$A$2,"."&amp;F$83&amp;F$1&amp;"C"&amp;$A120)="N/A",0,RTD("tos.rtd",,$A$2,"."&amp;F$83&amp;F$1&amp;"C"&amp;$A120))-IF(RTD("tos.rtd",,$A$2,"."&amp;F$83&amp;F$1&amp;"P"&amp;$A120)="N/A",0,RTD("tos.rtd",,$A$2,"."&amp;F$83&amp;F$1&amp;"P"&amp;$A120))</f>
        <v>0</v>
      </c>
      <c r="G120" s="91">
        <f ca="1">IF(RTD("tos.rtd",,$A$2,"."&amp;G$83&amp;G$1&amp;"C"&amp;$A120)="N/A",0,RTD("tos.rtd",,$A$2,"."&amp;G$83&amp;G$1&amp;"C"&amp;$A120))-IF(RTD("tos.rtd",,$A$2,"."&amp;G$83&amp;G$1&amp;"P"&amp;$A120)="N/A",0,RTD("tos.rtd",,$A$2,"."&amp;G$83&amp;G$1&amp;"P"&amp;$A120))</f>
        <v>0</v>
      </c>
      <c r="H120" s="91">
        <f ca="1">IF(RTD("tos.rtd",,$A$2,"."&amp;H$83&amp;H$1&amp;"C"&amp;$A120)="N/A",0,RTD("tos.rtd",,$A$2,"."&amp;H$83&amp;H$1&amp;"C"&amp;$A120))-IF(RTD("tos.rtd",,$A$2,"."&amp;H$83&amp;H$1&amp;"P"&amp;$A120)="N/A",0,RTD("tos.rtd",,$A$2,"."&amp;H$83&amp;H$1&amp;"P"&amp;$A120))</f>
        <v>0</v>
      </c>
      <c r="I120" s="91">
        <f ca="1">IF(RTD("tos.rtd",,$A$2,"."&amp;I$83&amp;I$1&amp;"C"&amp;$A120)="N/A",0,RTD("tos.rtd",,$A$2,"."&amp;I$83&amp;I$1&amp;"C"&amp;$A120))-IF(RTD("tos.rtd",,$A$2,"."&amp;I$83&amp;I$1&amp;"P"&amp;$A120)="N/A",0,RTD("tos.rtd",,$A$2,"."&amp;I$83&amp;I$1&amp;"P"&amp;$A120))</f>
        <v>0</v>
      </c>
      <c r="J120" s="91">
        <f ca="1">IF(RTD("tos.rtd",,$A$2,"."&amp;J$83&amp;J$1&amp;"C"&amp;$A120)="N/A",0,RTD("tos.rtd",,$A$2,"."&amp;J$83&amp;J$1&amp;"C"&amp;$A120))-IF(RTD("tos.rtd",,$A$2,"."&amp;J$83&amp;J$1&amp;"P"&amp;$A120)="N/A",0,RTD("tos.rtd",,$A$2,"."&amp;J$83&amp;J$1&amp;"P"&amp;$A120))</f>
        <v>0</v>
      </c>
      <c r="K120" s="91">
        <f ca="1">IF(RTD("tos.rtd",,$A$2,"."&amp;K$83&amp;K$1&amp;"C"&amp;$A120)="N/A",0,RTD("tos.rtd",,$A$2,"."&amp;K$83&amp;K$1&amp;"C"&amp;$A120))-IF(RTD("tos.rtd",,$A$2,"."&amp;K$83&amp;K$1&amp;"P"&amp;$A120)="N/A",0,RTD("tos.rtd",,$A$2,"."&amp;K$83&amp;K$1&amp;"P"&amp;$A120))</f>
        <v>0</v>
      </c>
      <c r="L120" s="91">
        <f ca="1">IF(RTD("tos.rtd",,$A$2,"."&amp;L$83&amp;L$1&amp;"C"&amp;$A120)="N/A",0,RTD("tos.rtd",,$A$2,"."&amp;L$83&amp;L$1&amp;"C"&amp;$A120))-IF(RTD("tos.rtd",,$A$2,"."&amp;L$83&amp;L$1&amp;"P"&amp;$A120)="N/A",0,RTD("tos.rtd",,$A$2,"."&amp;L$83&amp;L$1&amp;"P"&amp;$A120))</f>
        <v>0</v>
      </c>
      <c r="M120" s="91">
        <f ca="1">IF(RTD("tos.rtd",,$A$2,"."&amp;M$83&amp;M$1&amp;"C"&amp;$A120)="N/A",0,RTD("tos.rtd",,$A$2,"."&amp;M$83&amp;M$1&amp;"C"&amp;$A120))-IF(RTD("tos.rtd",,$A$2,"."&amp;M$83&amp;M$1&amp;"P"&amp;$A120)="N/A",0,RTD("tos.rtd",,$A$2,"."&amp;M$83&amp;M$1&amp;"P"&amp;$A120))</f>
        <v>0</v>
      </c>
      <c r="N120" s="91">
        <f ca="1">IF(RTD("tos.rtd",,$A$2,"."&amp;N$83&amp;N$1&amp;"C"&amp;$A120)="N/A",0,RTD("tos.rtd",,$A$2,"."&amp;N$83&amp;N$1&amp;"C"&amp;$A120))-IF(RTD("tos.rtd",,$A$2,"."&amp;N$83&amp;N$1&amp;"P"&amp;$A120)="N/A",0,RTD("tos.rtd",,$A$2,"."&amp;N$83&amp;N$1&amp;"P"&amp;$A120))</f>
        <v>0</v>
      </c>
      <c r="O120" s="91">
        <f ca="1">IF(RTD("tos.rtd",,$A$2,"."&amp;O$83&amp;O$1&amp;"C"&amp;$A120)="N/A",0,RTD("tos.rtd",,$A$2,"."&amp;O$83&amp;O$1&amp;"C"&amp;$A120))-IF(RTD("tos.rtd",,$A$2,"."&amp;O$83&amp;O$1&amp;"P"&amp;$A120)="N/A",0,RTD("tos.rtd",,$A$2,"."&amp;O$83&amp;O$1&amp;"P"&amp;$A120))</f>
        <v>0</v>
      </c>
      <c r="P120" s="91">
        <f ca="1">IF(RTD("tos.rtd",,$A$2,"."&amp;P$83&amp;P$1&amp;"C"&amp;$A120)="N/A",0,RTD("tos.rtd",,$A$2,"."&amp;P$83&amp;P$1&amp;"C"&amp;$A120))-IF(RTD("tos.rtd",,$A$2,"."&amp;P$83&amp;P$1&amp;"P"&amp;$A120)="N/A",0,RTD("tos.rtd",,$A$2,"."&amp;P$83&amp;P$1&amp;"P"&amp;$A120))</f>
        <v>0</v>
      </c>
      <c r="Q120" s="91">
        <f ca="1">IF(RTD("tos.rtd",,$A$2,"."&amp;Q$83&amp;Q$1&amp;"C"&amp;$A120)="N/A",0,RTD("tos.rtd",,$A$2,"."&amp;Q$83&amp;Q$1&amp;"C"&amp;$A120))-IF(RTD("tos.rtd",,$A$2,"."&amp;Q$83&amp;Q$1&amp;"P"&amp;$A120)="N/A",0,RTD("tos.rtd",,$A$2,"."&amp;Q$83&amp;Q$1&amp;"P"&amp;$A120))</f>
        <v>0</v>
      </c>
      <c r="R120" s="91">
        <f ca="1">IF(RTD("tos.rtd",,$A$2,"."&amp;R$83&amp;R$1&amp;"C"&amp;$A120)="N/A",0,RTD("tos.rtd",,$A$2,"."&amp;R$83&amp;R$1&amp;"C"&amp;$A120))-IF(RTD("tos.rtd",,$A$2,"."&amp;R$83&amp;R$1&amp;"P"&amp;$A120)="N/A",0,RTD("tos.rtd",,$A$2,"."&amp;R$83&amp;R$1&amp;"P"&amp;$A120))</f>
        <v>0</v>
      </c>
      <c r="S120" s="91">
        <f ca="1">IF(RTD("tos.rtd",,$A$2,"."&amp;S$83&amp;S$1&amp;"C"&amp;$A120)="N/A",0,RTD("tos.rtd",,$A$2,"."&amp;S$83&amp;S$1&amp;"C"&amp;$A120))-IF(RTD("tos.rtd",,$A$2,"."&amp;S$83&amp;S$1&amp;"P"&amp;$A120)="N/A",0,RTD("tos.rtd",,$A$2,"."&amp;S$83&amp;S$1&amp;"P"&amp;$A120))</f>
        <v>0</v>
      </c>
      <c r="T120" s="91">
        <f ca="1">IF(RTD("tos.rtd",,$A$2,"."&amp;T$83&amp;T$1&amp;"C"&amp;$A120)="N/A",0,RTD("tos.rtd",,$A$2,"."&amp;T$83&amp;T$1&amp;"C"&amp;$A120))-IF(RTD("tos.rtd",,$A$2,"."&amp;T$83&amp;T$1&amp;"P"&amp;$A120)="N/A",0,RTD("tos.rtd",,$A$2,"."&amp;T$83&amp;T$1&amp;"P"&amp;$A120))</f>
        <v>0</v>
      </c>
      <c r="U120" s="91">
        <f ca="1">IF(RTD("tos.rtd",,$A$2,"."&amp;U$83&amp;U$1&amp;"C"&amp;$A120)="N/A",0,RTD("tos.rtd",,$A$2,"."&amp;U$83&amp;U$1&amp;"C"&amp;$A120))-IF(RTD("tos.rtd",,$A$2,"."&amp;U$83&amp;U$1&amp;"P"&amp;$A120)="N/A",0,RTD("tos.rtd",,$A$2,"."&amp;U$83&amp;U$1&amp;"P"&amp;$A120))</f>
        <v>0</v>
      </c>
      <c r="V120" s="91">
        <f ca="1">IF(RTD("tos.rtd",,$A$2,"."&amp;V$83&amp;V$1&amp;"C"&amp;$A120)="N/A",0,RTD("tos.rtd",,$A$2,"."&amp;V$83&amp;V$1&amp;"C"&amp;$A120))-IF(RTD("tos.rtd",,$A$2,"."&amp;V$83&amp;V$1&amp;"P"&amp;$A120)="N/A",0,RTD("tos.rtd",,$A$2,"."&amp;V$83&amp;V$1&amp;"P"&amp;$A120))</f>
        <v>0</v>
      </c>
      <c r="W120" s="91">
        <f ca="1">IF(RTD("tos.rtd",,$A$2,"."&amp;W$83&amp;W$1&amp;"C"&amp;$A120)="N/A",0,RTD("tos.rtd",,$A$2,"."&amp;W$83&amp;W$1&amp;"C"&amp;$A120))-IF(RTD("tos.rtd",,$A$2,"."&amp;W$83&amp;W$1&amp;"P"&amp;$A120)="N/A",0,RTD("tos.rtd",,$A$2,"."&amp;W$83&amp;W$1&amp;"P"&amp;$A120))</f>
        <v>0</v>
      </c>
      <c r="X120" s="91">
        <f ca="1">IF(RTD("tos.rtd",,$A$2,"."&amp;X$83&amp;X$1&amp;"C"&amp;$A120)="N/A",0,RTD("tos.rtd",,$A$2,"."&amp;X$83&amp;X$1&amp;"C"&amp;$A120))-IF(RTD("tos.rtd",,$A$2,"."&amp;X$83&amp;X$1&amp;"P"&amp;$A120)="N/A",0,RTD("tos.rtd",,$A$2,"."&amp;X$83&amp;X$1&amp;"P"&amp;$A120))</f>
        <v>0</v>
      </c>
      <c r="Y120" s="98">
        <f t="shared" ca="1" si="10"/>
        <v>0</v>
      </c>
    </row>
    <row r="121" spans="1:25" x14ac:dyDescent="0.25">
      <c r="A121" s="93">
        <f>+Hoja1!A120</f>
        <v>5520</v>
      </c>
      <c r="B121" s="91">
        <f ca="1">IF(RTD("tos.rtd",,$A$2,"."&amp;B$83&amp;B$1&amp;"C"&amp;$A121)="N/A",0,RTD("tos.rtd",,$A$2,"."&amp;B$83&amp;B$1&amp;"C"&amp;$A121))-IF(RTD("tos.rtd",,$A$2,"."&amp;B$83&amp;B$1&amp;"P"&amp;$A121)="N/A",0,RTD("tos.rtd",,$A$2,"."&amp;B$83&amp;B$1&amp;"P"&amp;$A121))</f>
        <v>0</v>
      </c>
      <c r="C121" s="91">
        <f ca="1">IF(RTD("tos.rtd",,$A$2,"."&amp;C$83&amp;C$1&amp;"C"&amp;$A121)="N/A",0,RTD("tos.rtd",,$A$2,"."&amp;C$83&amp;C$1&amp;"C"&amp;$A121))-IF(RTD("tos.rtd",,$A$2,"."&amp;C$83&amp;C$1&amp;"P"&amp;$A121)="N/A",0,RTD("tos.rtd",,$A$2,"."&amp;C$83&amp;C$1&amp;"P"&amp;$A121))</f>
        <v>0</v>
      </c>
      <c r="D121" s="91">
        <f ca="1">IF(RTD("tos.rtd",,$A$2,"."&amp;D$83&amp;D$1&amp;"C"&amp;$A121)="N/A",0,RTD("tos.rtd",,$A$2,"."&amp;D$83&amp;D$1&amp;"C"&amp;$A121))-IF(RTD("tos.rtd",,$A$2,"."&amp;D$83&amp;D$1&amp;"P"&amp;$A121)="N/A",0,RTD("tos.rtd",,$A$2,"."&amp;D$83&amp;D$1&amp;"P"&amp;$A121))</f>
        <v>0</v>
      </c>
      <c r="E121" s="91">
        <f ca="1">IF(RTD("tos.rtd",,$A$2,"."&amp;E$83&amp;E$1&amp;"C"&amp;$A121)="N/A",0,RTD("tos.rtd",,$A$2,"."&amp;E$83&amp;E$1&amp;"C"&amp;$A121))-IF(RTD("tos.rtd",,$A$2,"."&amp;E$83&amp;E$1&amp;"P"&amp;$A121)="N/A",0,RTD("tos.rtd",,$A$2,"."&amp;E$83&amp;E$1&amp;"P"&amp;$A121))</f>
        <v>0</v>
      </c>
      <c r="F121" s="91">
        <f ca="1">IF(RTD("tos.rtd",,$A$2,"."&amp;F$83&amp;F$1&amp;"C"&amp;$A121)="N/A",0,RTD("tos.rtd",,$A$2,"."&amp;F$83&amp;F$1&amp;"C"&amp;$A121))-IF(RTD("tos.rtd",,$A$2,"."&amp;F$83&amp;F$1&amp;"P"&amp;$A121)="N/A",0,RTD("tos.rtd",,$A$2,"."&amp;F$83&amp;F$1&amp;"P"&amp;$A121))</f>
        <v>0</v>
      </c>
      <c r="G121" s="91">
        <f ca="1">IF(RTD("tos.rtd",,$A$2,"."&amp;G$83&amp;G$1&amp;"C"&amp;$A121)="N/A",0,RTD("tos.rtd",,$A$2,"."&amp;G$83&amp;G$1&amp;"C"&amp;$A121))-IF(RTD("tos.rtd",,$A$2,"."&amp;G$83&amp;G$1&amp;"P"&amp;$A121)="N/A",0,RTD("tos.rtd",,$A$2,"."&amp;G$83&amp;G$1&amp;"P"&amp;$A121))</f>
        <v>0</v>
      </c>
      <c r="H121" s="91">
        <f ca="1">IF(RTD("tos.rtd",,$A$2,"."&amp;H$83&amp;H$1&amp;"C"&amp;$A121)="N/A",0,RTD("tos.rtd",,$A$2,"."&amp;H$83&amp;H$1&amp;"C"&amp;$A121))-IF(RTD("tos.rtd",,$A$2,"."&amp;H$83&amp;H$1&amp;"P"&amp;$A121)="N/A",0,RTD("tos.rtd",,$A$2,"."&amp;H$83&amp;H$1&amp;"P"&amp;$A121))</f>
        <v>0</v>
      </c>
      <c r="I121" s="91">
        <f ca="1">IF(RTD("tos.rtd",,$A$2,"."&amp;I$83&amp;I$1&amp;"C"&amp;$A121)="N/A",0,RTD("tos.rtd",,$A$2,"."&amp;I$83&amp;I$1&amp;"C"&amp;$A121))-IF(RTD("tos.rtd",,$A$2,"."&amp;I$83&amp;I$1&amp;"P"&amp;$A121)="N/A",0,RTD("tos.rtd",,$A$2,"."&amp;I$83&amp;I$1&amp;"P"&amp;$A121))</f>
        <v>0</v>
      </c>
      <c r="J121" s="91">
        <f ca="1">IF(RTD("tos.rtd",,$A$2,"."&amp;J$83&amp;J$1&amp;"C"&amp;$A121)="N/A",0,RTD("tos.rtd",,$A$2,"."&amp;J$83&amp;J$1&amp;"C"&amp;$A121))-IF(RTD("tos.rtd",,$A$2,"."&amp;J$83&amp;J$1&amp;"P"&amp;$A121)="N/A",0,RTD("tos.rtd",,$A$2,"."&amp;J$83&amp;J$1&amp;"P"&amp;$A121))</f>
        <v>0</v>
      </c>
      <c r="K121" s="91">
        <f ca="1">IF(RTD("tos.rtd",,$A$2,"."&amp;K$83&amp;K$1&amp;"C"&amp;$A121)="N/A",0,RTD("tos.rtd",,$A$2,"."&amp;K$83&amp;K$1&amp;"C"&amp;$A121))-IF(RTD("tos.rtd",,$A$2,"."&amp;K$83&amp;K$1&amp;"P"&amp;$A121)="N/A",0,RTD("tos.rtd",,$A$2,"."&amp;K$83&amp;K$1&amp;"P"&amp;$A121))</f>
        <v>0</v>
      </c>
      <c r="L121" s="91">
        <f ca="1">IF(RTD("tos.rtd",,$A$2,"."&amp;L$83&amp;L$1&amp;"C"&amp;$A121)="N/A",0,RTD("tos.rtd",,$A$2,"."&amp;L$83&amp;L$1&amp;"C"&amp;$A121))-IF(RTD("tos.rtd",,$A$2,"."&amp;L$83&amp;L$1&amp;"P"&amp;$A121)="N/A",0,RTD("tos.rtd",,$A$2,"."&amp;L$83&amp;L$1&amp;"P"&amp;$A121))</f>
        <v>0</v>
      </c>
      <c r="M121" s="91">
        <f ca="1">IF(RTD("tos.rtd",,$A$2,"."&amp;M$83&amp;M$1&amp;"C"&amp;$A121)="N/A",0,RTD("tos.rtd",,$A$2,"."&amp;M$83&amp;M$1&amp;"C"&amp;$A121))-IF(RTD("tos.rtd",,$A$2,"."&amp;M$83&amp;M$1&amp;"P"&amp;$A121)="N/A",0,RTD("tos.rtd",,$A$2,"."&amp;M$83&amp;M$1&amp;"P"&amp;$A121))</f>
        <v>0</v>
      </c>
      <c r="N121" s="91">
        <f ca="1">IF(RTD("tos.rtd",,$A$2,"."&amp;N$83&amp;N$1&amp;"C"&amp;$A121)="N/A",0,RTD("tos.rtd",,$A$2,"."&amp;N$83&amp;N$1&amp;"C"&amp;$A121))-IF(RTD("tos.rtd",,$A$2,"."&amp;N$83&amp;N$1&amp;"P"&amp;$A121)="N/A",0,RTD("tos.rtd",,$A$2,"."&amp;N$83&amp;N$1&amp;"P"&amp;$A121))</f>
        <v>0</v>
      </c>
      <c r="O121" s="91">
        <f ca="1">IF(RTD("tos.rtd",,$A$2,"."&amp;O$83&amp;O$1&amp;"C"&amp;$A121)="N/A",0,RTD("tos.rtd",,$A$2,"."&amp;O$83&amp;O$1&amp;"C"&amp;$A121))-IF(RTD("tos.rtd",,$A$2,"."&amp;O$83&amp;O$1&amp;"P"&amp;$A121)="N/A",0,RTD("tos.rtd",,$A$2,"."&amp;O$83&amp;O$1&amp;"P"&amp;$A121))</f>
        <v>0</v>
      </c>
      <c r="P121" s="91">
        <f ca="1">IF(RTD("tos.rtd",,$A$2,"."&amp;P$83&amp;P$1&amp;"C"&amp;$A121)="N/A",0,RTD("tos.rtd",,$A$2,"."&amp;P$83&amp;P$1&amp;"C"&amp;$A121))-IF(RTD("tos.rtd",,$A$2,"."&amp;P$83&amp;P$1&amp;"P"&amp;$A121)="N/A",0,RTD("tos.rtd",,$A$2,"."&amp;P$83&amp;P$1&amp;"P"&amp;$A121))</f>
        <v>0</v>
      </c>
      <c r="Q121" s="91">
        <f ca="1">IF(RTD("tos.rtd",,$A$2,"."&amp;Q$83&amp;Q$1&amp;"C"&amp;$A121)="N/A",0,RTD("tos.rtd",,$A$2,"."&amp;Q$83&amp;Q$1&amp;"C"&amp;$A121))-IF(RTD("tos.rtd",,$A$2,"."&amp;Q$83&amp;Q$1&amp;"P"&amp;$A121)="N/A",0,RTD("tos.rtd",,$A$2,"."&amp;Q$83&amp;Q$1&amp;"P"&amp;$A121))</f>
        <v>0</v>
      </c>
      <c r="R121" s="91">
        <f ca="1">IF(RTD("tos.rtd",,$A$2,"."&amp;R$83&amp;R$1&amp;"C"&amp;$A121)="N/A",0,RTD("tos.rtd",,$A$2,"."&amp;R$83&amp;R$1&amp;"C"&amp;$A121))-IF(RTD("tos.rtd",,$A$2,"."&amp;R$83&amp;R$1&amp;"P"&amp;$A121)="N/A",0,RTD("tos.rtd",,$A$2,"."&amp;R$83&amp;R$1&amp;"P"&amp;$A121))</f>
        <v>0</v>
      </c>
      <c r="S121" s="91">
        <f ca="1">IF(RTD("tos.rtd",,$A$2,"."&amp;S$83&amp;S$1&amp;"C"&amp;$A121)="N/A",0,RTD("tos.rtd",,$A$2,"."&amp;S$83&amp;S$1&amp;"C"&amp;$A121))-IF(RTD("tos.rtd",,$A$2,"."&amp;S$83&amp;S$1&amp;"P"&amp;$A121)="N/A",0,RTD("tos.rtd",,$A$2,"."&amp;S$83&amp;S$1&amp;"P"&amp;$A121))</f>
        <v>0</v>
      </c>
      <c r="T121" s="91">
        <f ca="1">IF(RTD("tos.rtd",,$A$2,"."&amp;T$83&amp;T$1&amp;"C"&amp;$A121)="N/A",0,RTD("tos.rtd",,$A$2,"."&amp;T$83&amp;T$1&amp;"C"&amp;$A121))-IF(RTD("tos.rtd",,$A$2,"."&amp;T$83&amp;T$1&amp;"P"&amp;$A121)="N/A",0,RTD("tos.rtd",,$A$2,"."&amp;T$83&amp;T$1&amp;"P"&amp;$A121))</f>
        <v>0</v>
      </c>
      <c r="U121" s="91">
        <f ca="1">IF(RTD("tos.rtd",,$A$2,"."&amp;U$83&amp;U$1&amp;"C"&amp;$A121)="N/A",0,RTD("tos.rtd",,$A$2,"."&amp;U$83&amp;U$1&amp;"C"&amp;$A121))-IF(RTD("tos.rtd",,$A$2,"."&amp;U$83&amp;U$1&amp;"P"&amp;$A121)="N/A",0,RTD("tos.rtd",,$A$2,"."&amp;U$83&amp;U$1&amp;"P"&amp;$A121))</f>
        <v>0</v>
      </c>
      <c r="V121" s="91">
        <f ca="1">IF(RTD("tos.rtd",,$A$2,"."&amp;V$83&amp;V$1&amp;"C"&amp;$A121)="N/A",0,RTD("tos.rtd",,$A$2,"."&amp;V$83&amp;V$1&amp;"C"&amp;$A121))-IF(RTD("tos.rtd",,$A$2,"."&amp;V$83&amp;V$1&amp;"P"&amp;$A121)="N/A",0,RTD("tos.rtd",,$A$2,"."&amp;V$83&amp;V$1&amp;"P"&amp;$A121))</f>
        <v>0</v>
      </c>
      <c r="W121" s="91">
        <f ca="1">IF(RTD("tos.rtd",,$A$2,"."&amp;W$83&amp;W$1&amp;"C"&amp;$A121)="N/A",0,RTD("tos.rtd",,$A$2,"."&amp;W$83&amp;W$1&amp;"C"&amp;$A121))-IF(RTD("tos.rtd",,$A$2,"."&amp;W$83&amp;W$1&amp;"P"&amp;$A121)="N/A",0,RTD("tos.rtd",,$A$2,"."&amp;W$83&amp;W$1&amp;"P"&amp;$A121))</f>
        <v>0</v>
      </c>
      <c r="X121" s="91">
        <f ca="1">IF(RTD("tos.rtd",,$A$2,"."&amp;X$83&amp;X$1&amp;"C"&amp;$A121)="N/A",0,RTD("tos.rtd",,$A$2,"."&amp;X$83&amp;X$1&amp;"C"&amp;$A121))-IF(RTD("tos.rtd",,$A$2,"."&amp;X$83&amp;X$1&amp;"P"&amp;$A121)="N/A",0,RTD("tos.rtd",,$A$2,"."&amp;X$83&amp;X$1&amp;"P"&amp;$A121))</f>
        <v>0</v>
      </c>
      <c r="Y121" s="98">
        <f t="shared" ca="1" si="10"/>
        <v>0</v>
      </c>
    </row>
    <row r="122" spans="1:25" x14ac:dyDescent="0.25">
      <c r="A122" s="93">
        <f>+Hoja1!A121</f>
        <v>5510</v>
      </c>
      <c r="B122" s="91">
        <f ca="1">IF(RTD("tos.rtd",,$A$2,"."&amp;B$83&amp;B$1&amp;"C"&amp;$A122)="N/A",0,RTD("tos.rtd",,$A$2,"."&amp;B$83&amp;B$1&amp;"C"&amp;$A122))-IF(RTD("tos.rtd",,$A$2,"."&amp;B$83&amp;B$1&amp;"P"&amp;$A122)="N/A",0,RTD("tos.rtd",,$A$2,"."&amp;B$83&amp;B$1&amp;"P"&amp;$A122))</f>
        <v>0</v>
      </c>
      <c r="C122" s="91">
        <f ca="1">IF(RTD("tos.rtd",,$A$2,"."&amp;C$83&amp;C$1&amp;"C"&amp;$A122)="N/A",0,RTD("tos.rtd",,$A$2,"."&amp;C$83&amp;C$1&amp;"C"&amp;$A122))-IF(RTD("tos.rtd",,$A$2,"."&amp;C$83&amp;C$1&amp;"P"&amp;$A122)="N/A",0,RTD("tos.rtd",,$A$2,"."&amp;C$83&amp;C$1&amp;"P"&amp;$A122))</f>
        <v>0</v>
      </c>
      <c r="D122" s="91">
        <f ca="1">IF(RTD("tos.rtd",,$A$2,"."&amp;D$83&amp;D$1&amp;"C"&amp;$A122)="N/A",0,RTD("tos.rtd",,$A$2,"."&amp;D$83&amp;D$1&amp;"C"&amp;$A122))-IF(RTD("tos.rtd",,$A$2,"."&amp;D$83&amp;D$1&amp;"P"&amp;$A122)="N/A",0,RTD("tos.rtd",,$A$2,"."&amp;D$83&amp;D$1&amp;"P"&amp;$A122))</f>
        <v>0</v>
      </c>
      <c r="E122" s="91">
        <f ca="1">IF(RTD("tos.rtd",,$A$2,"."&amp;E$83&amp;E$1&amp;"C"&amp;$A122)="N/A",0,RTD("tos.rtd",,$A$2,"."&amp;E$83&amp;E$1&amp;"C"&amp;$A122))-IF(RTD("tos.rtd",,$A$2,"."&amp;E$83&amp;E$1&amp;"P"&amp;$A122)="N/A",0,RTD("tos.rtd",,$A$2,"."&amp;E$83&amp;E$1&amp;"P"&amp;$A122))</f>
        <v>0</v>
      </c>
      <c r="F122" s="91">
        <f ca="1">IF(RTD("tos.rtd",,$A$2,"."&amp;F$83&amp;F$1&amp;"C"&amp;$A122)="N/A",0,RTD("tos.rtd",,$A$2,"."&amp;F$83&amp;F$1&amp;"C"&amp;$A122))-IF(RTD("tos.rtd",,$A$2,"."&amp;F$83&amp;F$1&amp;"P"&amp;$A122)="N/A",0,RTD("tos.rtd",,$A$2,"."&amp;F$83&amp;F$1&amp;"P"&amp;$A122))</f>
        <v>0</v>
      </c>
      <c r="G122" s="91">
        <f ca="1">IF(RTD("tos.rtd",,$A$2,"."&amp;G$83&amp;G$1&amp;"C"&amp;$A122)="N/A",0,RTD("tos.rtd",,$A$2,"."&amp;G$83&amp;G$1&amp;"C"&amp;$A122))-IF(RTD("tos.rtd",,$A$2,"."&amp;G$83&amp;G$1&amp;"P"&amp;$A122)="N/A",0,RTD("tos.rtd",,$A$2,"."&amp;G$83&amp;G$1&amp;"P"&amp;$A122))</f>
        <v>0</v>
      </c>
      <c r="H122" s="91">
        <f ca="1">IF(RTD("tos.rtd",,$A$2,"."&amp;H$83&amp;H$1&amp;"C"&amp;$A122)="N/A",0,RTD("tos.rtd",,$A$2,"."&amp;H$83&amp;H$1&amp;"C"&amp;$A122))-IF(RTD("tos.rtd",,$A$2,"."&amp;H$83&amp;H$1&amp;"P"&amp;$A122)="N/A",0,RTD("tos.rtd",,$A$2,"."&amp;H$83&amp;H$1&amp;"P"&amp;$A122))</f>
        <v>0</v>
      </c>
      <c r="I122" s="91">
        <f ca="1">IF(RTD("tos.rtd",,$A$2,"."&amp;I$83&amp;I$1&amp;"C"&amp;$A122)="N/A",0,RTD("tos.rtd",,$A$2,"."&amp;I$83&amp;I$1&amp;"C"&amp;$A122))-IF(RTD("tos.rtd",,$A$2,"."&amp;I$83&amp;I$1&amp;"P"&amp;$A122)="N/A",0,RTD("tos.rtd",,$A$2,"."&amp;I$83&amp;I$1&amp;"P"&amp;$A122))</f>
        <v>0</v>
      </c>
      <c r="J122" s="91">
        <f ca="1">IF(RTD("tos.rtd",,$A$2,"."&amp;J$83&amp;J$1&amp;"C"&amp;$A122)="N/A",0,RTD("tos.rtd",,$A$2,"."&amp;J$83&amp;J$1&amp;"C"&amp;$A122))-IF(RTD("tos.rtd",,$A$2,"."&amp;J$83&amp;J$1&amp;"P"&amp;$A122)="N/A",0,RTD("tos.rtd",,$A$2,"."&amp;J$83&amp;J$1&amp;"P"&amp;$A122))</f>
        <v>0</v>
      </c>
      <c r="K122" s="91">
        <f ca="1">IF(RTD("tos.rtd",,$A$2,"."&amp;K$83&amp;K$1&amp;"C"&amp;$A122)="N/A",0,RTD("tos.rtd",,$A$2,"."&amp;K$83&amp;K$1&amp;"C"&amp;$A122))-IF(RTD("tos.rtd",,$A$2,"."&amp;K$83&amp;K$1&amp;"P"&amp;$A122)="N/A",0,RTD("tos.rtd",,$A$2,"."&amp;K$83&amp;K$1&amp;"P"&amp;$A122))</f>
        <v>0</v>
      </c>
      <c r="L122" s="91">
        <f ca="1">IF(RTD("tos.rtd",,$A$2,"."&amp;L$83&amp;L$1&amp;"C"&amp;$A122)="N/A",0,RTD("tos.rtd",,$A$2,"."&amp;L$83&amp;L$1&amp;"C"&amp;$A122))-IF(RTD("tos.rtd",,$A$2,"."&amp;L$83&amp;L$1&amp;"P"&amp;$A122)="N/A",0,RTD("tos.rtd",,$A$2,"."&amp;L$83&amp;L$1&amp;"P"&amp;$A122))</f>
        <v>0</v>
      </c>
      <c r="M122" s="91">
        <f ca="1">IF(RTD("tos.rtd",,$A$2,"."&amp;M$83&amp;M$1&amp;"C"&amp;$A122)="N/A",0,RTD("tos.rtd",,$A$2,"."&amp;M$83&amp;M$1&amp;"C"&amp;$A122))-IF(RTD("tos.rtd",,$A$2,"."&amp;M$83&amp;M$1&amp;"P"&amp;$A122)="N/A",0,RTD("tos.rtd",,$A$2,"."&amp;M$83&amp;M$1&amp;"P"&amp;$A122))</f>
        <v>0</v>
      </c>
      <c r="N122" s="91">
        <f ca="1">IF(RTD("tos.rtd",,$A$2,"."&amp;N$83&amp;N$1&amp;"C"&amp;$A122)="N/A",0,RTD("tos.rtd",,$A$2,"."&amp;N$83&amp;N$1&amp;"C"&amp;$A122))-IF(RTD("tos.rtd",,$A$2,"."&amp;N$83&amp;N$1&amp;"P"&amp;$A122)="N/A",0,RTD("tos.rtd",,$A$2,"."&amp;N$83&amp;N$1&amp;"P"&amp;$A122))</f>
        <v>0</v>
      </c>
      <c r="O122" s="91">
        <f ca="1">IF(RTD("tos.rtd",,$A$2,"."&amp;O$83&amp;O$1&amp;"C"&amp;$A122)="N/A",0,RTD("tos.rtd",,$A$2,"."&amp;O$83&amp;O$1&amp;"C"&amp;$A122))-IF(RTD("tos.rtd",,$A$2,"."&amp;O$83&amp;O$1&amp;"P"&amp;$A122)="N/A",0,RTD("tos.rtd",,$A$2,"."&amp;O$83&amp;O$1&amp;"P"&amp;$A122))</f>
        <v>0</v>
      </c>
      <c r="P122" s="91">
        <f ca="1">IF(RTD("tos.rtd",,$A$2,"."&amp;P$83&amp;P$1&amp;"C"&amp;$A122)="N/A",0,RTD("tos.rtd",,$A$2,"."&amp;P$83&amp;P$1&amp;"C"&amp;$A122))-IF(RTD("tos.rtd",,$A$2,"."&amp;P$83&amp;P$1&amp;"P"&amp;$A122)="N/A",0,RTD("tos.rtd",,$A$2,"."&amp;P$83&amp;P$1&amp;"P"&amp;$A122))</f>
        <v>0</v>
      </c>
      <c r="Q122" s="91">
        <f ca="1">IF(RTD("tos.rtd",,$A$2,"."&amp;Q$83&amp;Q$1&amp;"C"&amp;$A122)="N/A",0,RTD("tos.rtd",,$A$2,"."&amp;Q$83&amp;Q$1&amp;"C"&amp;$A122))-IF(RTD("tos.rtd",,$A$2,"."&amp;Q$83&amp;Q$1&amp;"P"&amp;$A122)="N/A",0,RTD("tos.rtd",,$A$2,"."&amp;Q$83&amp;Q$1&amp;"P"&amp;$A122))</f>
        <v>0</v>
      </c>
      <c r="R122" s="91">
        <f ca="1">IF(RTD("tos.rtd",,$A$2,"."&amp;R$83&amp;R$1&amp;"C"&amp;$A122)="N/A",0,RTD("tos.rtd",,$A$2,"."&amp;R$83&amp;R$1&amp;"C"&amp;$A122))-IF(RTD("tos.rtd",,$A$2,"."&amp;R$83&amp;R$1&amp;"P"&amp;$A122)="N/A",0,RTD("tos.rtd",,$A$2,"."&amp;R$83&amp;R$1&amp;"P"&amp;$A122))</f>
        <v>0</v>
      </c>
      <c r="S122" s="91">
        <f ca="1">IF(RTD("tos.rtd",,$A$2,"."&amp;S$83&amp;S$1&amp;"C"&amp;$A122)="N/A",0,RTD("tos.rtd",,$A$2,"."&amp;S$83&amp;S$1&amp;"C"&amp;$A122))-IF(RTD("tos.rtd",,$A$2,"."&amp;S$83&amp;S$1&amp;"P"&amp;$A122)="N/A",0,RTD("tos.rtd",,$A$2,"."&amp;S$83&amp;S$1&amp;"P"&amp;$A122))</f>
        <v>0</v>
      </c>
      <c r="T122" s="91">
        <f ca="1">IF(RTD("tos.rtd",,$A$2,"."&amp;T$83&amp;T$1&amp;"C"&amp;$A122)="N/A",0,RTD("tos.rtd",,$A$2,"."&amp;T$83&amp;T$1&amp;"C"&amp;$A122))-IF(RTD("tos.rtd",,$A$2,"."&amp;T$83&amp;T$1&amp;"P"&amp;$A122)="N/A",0,RTD("tos.rtd",,$A$2,"."&amp;T$83&amp;T$1&amp;"P"&amp;$A122))</f>
        <v>0</v>
      </c>
      <c r="U122" s="91">
        <f ca="1">IF(RTD("tos.rtd",,$A$2,"."&amp;U$83&amp;U$1&amp;"C"&amp;$A122)="N/A",0,RTD("tos.rtd",,$A$2,"."&amp;U$83&amp;U$1&amp;"C"&amp;$A122))-IF(RTD("tos.rtd",,$A$2,"."&amp;U$83&amp;U$1&amp;"P"&amp;$A122)="N/A",0,RTD("tos.rtd",,$A$2,"."&amp;U$83&amp;U$1&amp;"P"&amp;$A122))</f>
        <v>0</v>
      </c>
      <c r="V122" s="91">
        <f ca="1">IF(RTD("tos.rtd",,$A$2,"."&amp;V$83&amp;V$1&amp;"C"&amp;$A122)="N/A",0,RTD("tos.rtd",,$A$2,"."&amp;V$83&amp;V$1&amp;"C"&amp;$A122))-IF(RTD("tos.rtd",,$A$2,"."&amp;V$83&amp;V$1&amp;"P"&amp;$A122)="N/A",0,RTD("tos.rtd",,$A$2,"."&amp;V$83&amp;V$1&amp;"P"&amp;$A122))</f>
        <v>0</v>
      </c>
      <c r="W122" s="91">
        <f ca="1">IF(RTD("tos.rtd",,$A$2,"."&amp;W$83&amp;W$1&amp;"C"&amp;$A122)="N/A",0,RTD("tos.rtd",,$A$2,"."&amp;W$83&amp;W$1&amp;"C"&amp;$A122))-IF(RTD("tos.rtd",,$A$2,"."&amp;W$83&amp;W$1&amp;"P"&amp;$A122)="N/A",0,RTD("tos.rtd",,$A$2,"."&amp;W$83&amp;W$1&amp;"P"&amp;$A122))</f>
        <v>0</v>
      </c>
      <c r="X122" s="91">
        <f ca="1">IF(RTD("tos.rtd",,$A$2,"."&amp;X$83&amp;X$1&amp;"C"&amp;$A122)="N/A",0,RTD("tos.rtd",,$A$2,"."&amp;X$83&amp;X$1&amp;"C"&amp;$A122))-IF(RTD("tos.rtd",,$A$2,"."&amp;X$83&amp;X$1&amp;"P"&amp;$A122)="N/A",0,RTD("tos.rtd",,$A$2,"."&amp;X$83&amp;X$1&amp;"P"&amp;$A122))</f>
        <v>0</v>
      </c>
      <c r="Y122" s="98">
        <f t="shared" ca="1" si="10"/>
        <v>0</v>
      </c>
    </row>
    <row r="123" spans="1:25" x14ac:dyDescent="0.25">
      <c r="A123" s="93">
        <f>+Hoja1!A122</f>
        <v>5500</v>
      </c>
      <c r="B123" s="91">
        <f ca="1">IF(RTD("tos.rtd",,$A$2,"."&amp;B$83&amp;B$1&amp;"C"&amp;$A123)="N/A",0,RTD("tos.rtd",,$A$2,"."&amp;B$83&amp;B$1&amp;"C"&amp;$A123))-IF(RTD("tos.rtd",,$A$2,"."&amp;B$83&amp;B$1&amp;"P"&amp;$A123)="N/A",0,RTD("tos.rtd",,$A$2,"."&amp;B$83&amp;B$1&amp;"P"&amp;$A123))</f>
        <v>0</v>
      </c>
      <c r="C123" s="91">
        <f ca="1">IF(RTD("tos.rtd",,$A$2,"."&amp;C$83&amp;C$1&amp;"C"&amp;$A123)="N/A",0,RTD("tos.rtd",,$A$2,"."&amp;C$83&amp;C$1&amp;"C"&amp;$A123))-IF(RTD("tos.rtd",,$A$2,"."&amp;C$83&amp;C$1&amp;"P"&amp;$A123)="N/A",0,RTD("tos.rtd",,$A$2,"."&amp;C$83&amp;C$1&amp;"P"&amp;$A123))</f>
        <v>0</v>
      </c>
      <c r="D123" s="91">
        <f ca="1">IF(RTD("tos.rtd",,$A$2,"."&amp;D$83&amp;D$1&amp;"C"&amp;$A123)="N/A",0,RTD("tos.rtd",,$A$2,"."&amp;D$83&amp;D$1&amp;"C"&amp;$A123))-IF(RTD("tos.rtd",,$A$2,"."&amp;D$83&amp;D$1&amp;"P"&amp;$A123)="N/A",0,RTD("tos.rtd",,$A$2,"."&amp;D$83&amp;D$1&amp;"P"&amp;$A123))</f>
        <v>0</v>
      </c>
      <c r="E123" s="91">
        <f ca="1">IF(RTD("tos.rtd",,$A$2,"."&amp;E$83&amp;E$1&amp;"C"&amp;$A123)="N/A",0,RTD("tos.rtd",,$A$2,"."&amp;E$83&amp;E$1&amp;"C"&amp;$A123))-IF(RTD("tos.rtd",,$A$2,"."&amp;E$83&amp;E$1&amp;"P"&amp;$A123)="N/A",0,RTD("tos.rtd",,$A$2,"."&amp;E$83&amp;E$1&amp;"P"&amp;$A123))</f>
        <v>0</v>
      </c>
      <c r="F123" s="91">
        <f ca="1">IF(RTD("tos.rtd",,$A$2,"."&amp;F$83&amp;F$1&amp;"C"&amp;$A123)="N/A",0,RTD("tos.rtd",,$A$2,"."&amp;F$83&amp;F$1&amp;"C"&amp;$A123))-IF(RTD("tos.rtd",,$A$2,"."&amp;F$83&amp;F$1&amp;"P"&amp;$A123)="N/A",0,RTD("tos.rtd",,$A$2,"."&amp;F$83&amp;F$1&amp;"P"&amp;$A123))</f>
        <v>0</v>
      </c>
      <c r="G123" s="91">
        <f ca="1">IF(RTD("tos.rtd",,$A$2,"."&amp;G$83&amp;G$1&amp;"C"&amp;$A123)="N/A",0,RTD("tos.rtd",,$A$2,"."&amp;G$83&amp;G$1&amp;"C"&amp;$A123))-IF(RTD("tos.rtd",,$A$2,"."&amp;G$83&amp;G$1&amp;"P"&amp;$A123)="N/A",0,RTD("tos.rtd",,$A$2,"."&amp;G$83&amp;G$1&amp;"P"&amp;$A123))</f>
        <v>0</v>
      </c>
      <c r="H123" s="91">
        <f ca="1">IF(RTD("tos.rtd",,$A$2,"."&amp;H$83&amp;H$1&amp;"C"&amp;$A123)="N/A",0,RTD("tos.rtd",,$A$2,"."&amp;H$83&amp;H$1&amp;"C"&amp;$A123))-IF(RTD("tos.rtd",,$A$2,"."&amp;H$83&amp;H$1&amp;"P"&amp;$A123)="N/A",0,RTD("tos.rtd",,$A$2,"."&amp;H$83&amp;H$1&amp;"P"&amp;$A123))</f>
        <v>0</v>
      </c>
      <c r="I123" s="91">
        <f ca="1">IF(RTD("tos.rtd",,$A$2,"."&amp;I$83&amp;I$1&amp;"C"&amp;$A123)="N/A",0,RTD("tos.rtd",,$A$2,"."&amp;I$83&amp;I$1&amp;"C"&amp;$A123))-IF(RTD("tos.rtd",,$A$2,"."&amp;I$83&amp;I$1&amp;"P"&amp;$A123)="N/A",0,RTD("tos.rtd",,$A$2,"."&amp;I$83&amp;I$1&amp;"P"&amp;$A123))</f>
        <v>0</v>
      </c>
      <c r="J123" s="91">
        <f ca="1">IF(RTD("tos.rtd",,$A$2,"."&amp;J$83&amp;J$1&amp;"C"&amp;$A123)="N/A",0,RTD("tos.rtd",,$A$2,"."&amp;J$83&amp;J$1&amp;"C"&amp;$A123))-IF(RTD("tos.rtd",,$A$2,"."&amp;J$83&amp;J$1&amp;"P"&amp;$A123)="N/A",0,RTD("tos.rtd",,$A$2,"."&amp;J$83&amp;J$1&amp;"P"&amp;$A123))</f>
        <v>0</v>
      </c>
      <c r="K123" s="91">
        <f ca="1">IF(RTD("tos.rtd",,$A$2,"."&amp;K$83&amp;K$1&amp;"C"&amp;$A123)="N/A",0,RTD("tos.rtd",,$A$2,"."&amp;K$83&amp;K$1&amp;"C"&amp;$A123))-IF(RTD("tos.rtd",,$A$2,"."&amp;K$83&amp;K$1&amp;"P"&amp;$A123)="N/A",0,RTD("tos.rtd",,$A$2,"."&amp;K$83&amp;K$1&amp;"P"&amp;$A123))</f>
        <v>0</v>
      </c>
      <c r="L123" s="91">
        <f ca="1">IF(RTD("tos.rtd",,$A$2,"."&amp;L$83&amp;L$1&amp;"C"&amp;$A123)="N/A",0,RTD("tos.rtd",,$A$2,"."&amp;L$83&amp;L$1&amp;"C"&amp;$A123))-IF(RTD("tos.rtd",,$A$2,"."&amp;L$83&amp;L$1&amp;"P"&amp;$A123)="N/A",0,RTD("tos.rtd",,$A$2,"."&amp;L$83&amp;L$1&amp;"P"&amp;$A123))</f>
        <v>0</v>
      </c>
      <c r="M123" s="91">
        <f ca="1">IF(RTD("tos.rtd",,$A$2,"."&amp;M$83&amp;M$1&amp;"C"&amp;$A123)="N/A",0,RTD("tos.rtd",,$A$2,"."&amp;M$83&amp;M$1&amp;"C"&amp;$A123))-IF(RTD("tos.rtd",,$A$2,"."&amp;M$83&amp;M$1&amp;"P"&amp;$A123)="N/A",0,RTD("tos.rtd",,$A$2,"."&amp;M$83&amp;M$1&amp;"P"&amp;$A123))</f>
        <v>0</v>
      </c>
      <c r="N123" s="91">
        <f ca="1">IF(RTD("tos.rtd",,$A$2,"."&amp;N$83&amp;N$1&amp;"C"&amp;$A123)="N/A",0,RTD("tos.rtd",,$A$2,"."&amp;N$83&amp;N$1&amp;"C"&amp;$A123))-IF(RTD("tos.rtd",,$A$2,"."&amp;N$83&amp;N$1&amp;"P"&amp;$A123)="N/A",0,RTD("tos.rtd",,$A$2,"."&amp;N$83&amp;N$1&amp;"P"&amp;$A123))</f>
        <v>0</v>
      </c>
      <c r="O123" s="91">
        <f ca="1">IF(RTD("tos.rtd",,$A$2,"."&amp;O$83&amp;O$1&amp;"C"&amp;$A123)="N/A",0,RTD("tos.rtd",,$A$2,"."&amp;O$83&amp;O$1&amp;"C"&amp;$A123))-IF(RTD("tos.rtd",,$A$2,"."&amp;O$83&amp;O$1&amp;"P"&amp;$A123)="N/A",0,RTD("tos.rtd",,$A$2,"."&amp;O$83&amp;O$1&amp;"P"&amp;$A123))</f>
        <v>0</v>
      </c>
      <c r="P123" s="91">
        <f ca="1">IF(RTD("tos.rtd",,$A$2,"."&amp;P$83&amp;P$1&amp;"C"&amp;$A123)="N/A",0,RTD("tos.rtd",,$A$2,"."&amp;P$83&amp;P$1&amp;"C"&amp;$A123))-IF(RTD("tos.rtd",,$A$2,"."&amp;P$83&amp;P$1&amp;"P"&amp;$A123)="N/A",0,RTD("tos.rtd",,$A$2,"."&amp;P$83&amp;P$1&amp;"P"&amp;$A123))</f>
        <v>0</v>
      </c>
      <c r="Q123" s="91">
        <f ca="1">IF(RTD("tos.rtd",,$A$2,"."&amp;Q$83&amp;Q$1&amp;"C"&amp;$A123)="N/A",0,RTD("tos.rtd",,$A$2,"."&amp;Q$83&amp;Q$1&amp;"C"&amp;$A123))-IF(RTD("tos.rtd",,$A$2,"."&amp;Q$83&amp;Q$1&amp;"P"&amp;$A123)="N/A",0,RTD("tos.rtd",,$A$2,"."&amp;Q$83&amp;Q$1&amp;"P"&amp;$A123))</f>
        <v>0</v>
      </c>
      <c r="R123" s="91">
        <f ca="1">IF(RTD("tos.rtd",,$A$2,"."&amp;R$83&amp;R$1&amp;"C"&amp;$A123)="N/A",0,RTD("tos.rtd",,$A$2,"."&amp;R$83&amp;R$1&amp;"C"&amp;$A123))-IF(RTD("tos.rtd",,$A$2,"."&amp;R$83&amp;R$1&amp;"P"&amp;$A123)="N/A",0,RTD("tos.rtd",,$A$2,"."&amp;R$83&amp;R$1&amp;"P"&amp;$A123))</f>
        <v>0</v>
      </c>
      <c r="S123" s="91">
        <f ca="1">IF(RTD("tos.rtd",,$A$2,"."&amp;S$83&amp;S$1&amp;"C"&amp;$A123)="N/A",0,RTD("tos.rtd",,$A$2,"."&amp;S$83&amp;S$1&amp;"C"&amp;$A123))-IF(RTD("tos.rtd",,$A$2,"."&amp;S$83&amp;S$1&amp;"P"&amp;$A123)="N/A",0,RTD("tos.rtd",,$A$2,"."&amp;S$83&amp;S$1&amp;"P"&amp;$A123))</f>
        <v>0</v>
      </c>
      <c r="T123" s="91">
        <f ca="1">IF(RTD("tos.rtd",,$A$2,"."&amp;T$83&amp;T$1&amp;"C"&amp;$A123)="N/A",0,RTD("tos.rtd",,$A$2,"."&amp;T$83&amp;T$1&amp;"C"&amp;$A123))-IF(RTD("tos.rtd",,$A$2,"."&amp;T$83&amp;T$1&amp;"P"&amp;$A123)="N/A",0,RTD("tos.rtd",,$A$2,"."&amp;T$83&amp;T$1&amp;"P"&amp;$A123))</f>
        <v>0</v>
      </c>
      <c r="U123" s="91">
        <f ca="1">IF(RTD("tos.rtd",,$A$2,"."&amp;U$83&amp;U$1&amp;"C"&amp;$A123)="N/A",0,RTD("tos.rtd",,$A$2,"."&amp;U$83&amp;U$1&amp;"C"&amp;$A123))-IF(RTD("tos.rtd",,$A$2,"."&amp;U$83&amp;U$1&amp;"P"&amp;$A123)="N/A",0,RTD("tos.rtd",,$A$2,"."&amp;U$83&amp;U$1&amp;"P"&amp;$A123))</f>
        <v>0</v>
      </c>
      <c r="V123" s="91">
        <f ca="1">IF(RTD("tos.rtd",,$A$2,"."&amp;V$83&amp;V$1&amp;"C"&amp;$A123)="N/A",0,RTD("tos.rtd",,$A$2,"."&amp;V$83&amp;V$1&amp;"C"&amp;$A123))-IF(RTD("tos.rtd",,$A$2,"."&amp;V$83&amp;V$1&amp;"P"&amp;$A123)="N/A",0,RTD("tos.rtd",,$A$2,"."&amp;V$83&amp;V$1&amp;"P"&amp;$A123))</f>
        <v>0</v>
      </c>
      <c r="W123" s="91">
        <f ca="1">IF(RTD("tos.rtd",,$A$2,"."&amp;W$83&amp;W$1&amp;"C"&amp;$A123)="N/A",0,RTD("tos.rtd",,$A$2,"."&amp;W$83&amp;W$1&amp;"C"&amp;$A123))-IF(RTD("tos.rtd",,$A$2,"."&amp;W$83&amp;W$1&amp;"P"&amp;$A123)="N/A",0,RTD("tos.rtd",,$A$2,"."&amp;W$83&amp;W$1&amp;"P"&amp;$A123))</f>
        <v>0</v>
      </c>
      <c r="X123" s="91">
        <f ca="1">IF(RTD("tos.rtd",,$A$2,"."&amp;X$83&amp;X$1&amp;"C"&amp;$A123)="N/A",0,RTD("tos.rtd",,$A$2,"."&amp;X$83&amp;X$1&amp;"C"&amp;$A123))-IF(RTD("tos.rtd",,$A$2,"."&amp;X$83&amp;X$1&amp;"P"&amp;$A123)="N/A",0,RTD("tos.rtd",,$A$2,"."&amp;X$83&amp;X$1&amp;"P"&amp;$A123))</f>
        <v>0</v>
      </c>
      <c r="Y123" s="98">
        <f t="shared" ca="1" si="10"/>
        <v>0</v>
      </c>
    </row>
    <row r="124" spans="1:25" x14ac:dyDescent="0.25">
      <c r="A124" s="93">
        <f>+Hoja1!A123</f>
        <v>5490</v>
      </c>
      <c r="B124" s="91">
        <f ca="1">IF(RTD("tos.rtd",,$A$2,"."&amp;B$83&amp;B$1&amp;"C"&amp;$A124)="N/A",0,RTD("tos.rtd",,$A$2,"."&amp;B$83&amp;B$1&amp;"C"&amp;$A124))-IF(RTD("tos.rtd",,$A$2,"."&amp;B$83&amp;B$1&amp;"P"&amp;$A124)="N/A",0,RTD("tos.rtd",,$A$2,"."&amp;B$83&amp;B$1&amp;"P"&amp;$A124))</f>
        <v>0</v>
      </c>
      <c r="C124" s="91">
        <f ca="1">IF(RTD("tos.rtd",,$A$2,"."&amp;C$83&amp;C$1&amp;"C"&amp;$A124)="N/A",0,RTD("tos.rtd",,$A$2,"."&amp;C$83&amp;C$1&amp;"C"&amp;$A124))-IF(RTD("tos.rtd",,$A$2,"."&amp;C$83&amp;C$1&amp;"P"&amp;$A124)="N/A",0,RTD("tos.rtd",,$A$2,"."&amp;C$83&amp;C$1&amp;"P"&amp;$A124))</f>
        <v>0</v>
      </c>
      <c r="D124" s="91">
        <f ca="1">IF(RTD("tos.rtd",,$A$2,"."&amp;D$83&amp;D$1&amp;"C"&amp;$A124)="N/A",0,RTD("tos.rtd",,$A$2,"."&amp;D$83&amp;D$1&amp;"C"&amp;$A124))-IF(RTD("tos.rtd",,$A$2,"."&amp;D$83&amp;D$1&amp;"P"&amp;$A124)="N/A",0,RTD("tos.rtd",,$A$2,"."&amp;D$83&amp;D$1&amp;"P"&amp;$A124))</f>
        <v>0</v>
      </c>
      <c r="E124" s="91">
        <f ca="1">IF(RTD("tos.rtd",,$A$2,"."&amp;E$83&amp;E$1&amp;"C"&amp;$A124)="N/A",0,RTD("tos.rtd",,$A$2,"."&amp;E$83&amp;E$1&amp;"C"&amp;$A124))-IF(RTD("tos.rtd",,$A$2,"."&amp;E$83&amp;E$1&amp;"P"&amp;$A124)="N/A",0,RTD("tos.rtd",,$A$2,"."&amp;E$83&amp;E$1&amp;"P"&amp;$A124))</f>
        <v>0</v>
      </c>
      <c r="F124" s="91">
        <f ca="1">IF(RTD("tos.rtd",,$A$2,"."&amp;F$83&amp;F$1&amp;"C"&amp;$A124)="N/A",0,RTD("tos.rtd",,$A$2,"."&amp;F$83&amp;F$1&amp;"C"&amp;$A124))-IF(RTD("tos.rtd",,$A$2,"."&amp;F$83&amp;F$1&amp;"P"&amp;$A124)="N/A",0,RTD("tos.rtd",,$A$2,"."&amp;F$83&amp;F$1&amp;"P"&amp;$A124))</f>
        <v>0</v>
      </c>
      <c r="G124" s="91">
        <f ca="1">IF(RTD("tos.rtd",,$A$2,"."&amp;G$83&amp;G$1&amp;"C"&amp;$A124)="N/A",0,RTD("tos.rtd",,$A$2,"."&amp;G$83&amp;G$1&amp;"C"&amp;$A124))-IF(RTD("tos.rtd",,$A$2,"."&amp;G$83&amp;G$1&amp;"P"&amp;$A124)="N/A",0,RTD("tos.rtd",,$A$2,"."&amp;G$83&amp;G$1&amp;"P"&amp;$A124))</f>
        <v>0</v>
      </c>
      <c r="H124" s="91">
        <f ca="1">IF(RTD("tos.rtd",,$A$2,"."&amp;H$83&amp;H$1&amp;"C"&amp;$A124)="N/A",0,RTD("tos.rtd",,$A$2,"."&amp;H$83&amp;H$1&amp;"C"&amp;$A124))-IF(RTD("tos.rtd",,$A$2,"."&amp;H$83&amp;H$1&amp;"P"&amp;$A124)="N/A",0,RTD("tos.rtd",,$A$2,"."&amp;H$83&amp;H$1&amp;"P"&amp;$A124))</f>
        <v>0</v>
      </c>
      <c r="I124" s="91">
        <f ca="1">IF(RTD("tos.rtd",,$A$2,"."&amp;I$83&amp;I$1&amp;"C"&amp;$A124)="N/A",0,RTD("tos.rtd",,$A$2,"."&amp;I$83&amp;I$1&amp;"C"&amp;$A124))-IF(RTD("tos.rtd",,$A$2,"."&amp;I$83&amp;I$1&amp;"P"&amp;$A124)="N/A",0,RTD("tos.rtd",,$A$2,"."&amp;I$83&amp;I$1&amp;"P"&amp;$A124))</f>
        <v>0</v>
      </c>
      <c r="J124" s="91">
        <f ca="1">IF(RTD("tos.rtd",,$A$2,"."&amp;J$83&amp;J$1&amp;"C"&amp;$A124)="N/A",0,RTD("tos.rtd",,$A$2,"."&amp;J$83&amp;J$1&amp;"C"&amp;$A124))-IF(RTD("tos.rtd",,$A$2,"."&amp;J$83&amp;J$1&amp;"P"&amp;$A124)="N/A",0,RTD("tos.rtd",,$A$2,"."&amp;J$83&amp;J$1&amp;"P"&amp;$A124))</f>
        <v>0</v>
      </c>
      <c r="K124" s="91">
        <f ca="1">IF(RTD("tos.rtd",,$A$2,"."&amp;K$83&amp;K$1&amp;"C"&amp;$A124)="N/A",0,RTD("tos.rtd",,$A$2,"."&amp;K$83&amp;K$1&amp;"C"&amp;$A124))-IF(RTD("tos.rtd",,$A$2,"."&amp;K$83&amp;K$1&amp;"P"&amp;$A124)="N/A",0,RTD("tos.rtd",,$A$2,"."&amp;K$83&amp;K$1&amp;"P"&amp;$A124))</f>
        <v>0</v>
      </c>
      <c r="L124" s="91">
        <f ca="1">IF(RTD("tos.rtd",,$A$2,"."&amp;L$83&amp;L$1&amp;"C"&amp;$A124)="N/A",0,RTD("tos.rtd",,$A$2,"."&amp;L$83&amp;L$1&amp;"C"&amp;$A124))-IF(RTD("tos.rtd",,$A$2,"."&amp;L$83&amp;L$1&amp;"P"&amp;$A124)="N/A",0,RTD("tos.rtd",,$A$2,"."&amp;L$83&amp;L$1&amp;"P"&amp;$A124))</f>
        <v>0</v>
      </c>
      <c r="M124" s="91">
        <f ca="1">IF(RTD("tos.rtd",,$A$2,"."&amp;M$83&amp;M$1&amp;"C"&amp;$A124)="N/A",0,RTD("tos.rtd",,$A$2,"."&amp;M$83&amp;M$1&amp;"C"&amp;$A124))-IF(RTD("tos.rtd",,$A$2,"."&amp;M$83&amp;M$1&amp;"P"&amp;$A124)="N/A",0,RTD("tos.rtd",,$A$2,"."&amp;M$83&amp;M$1&amp;"P"&amp;$A124))</f>
        <v>0</v>
      </c>
      <c r="N124" s="91">
        <f ca="1">IF(RTD("tos.rtd",,$A$2,"."&amp;N$83&amp;N$1&amp;"C"&amp;$A124)="N/A",0,RTD("tos.rtd",,$A$2,"."&amp;N$83&amp;N$1&amp;"C"&amp;$A124))-IF(RTD("tos.rtd",,$A$2,"."&amp;N$83&amp;N$1&amp;"P"&amp;$A124)="N/A",0,RTD("tos.rtd",,$A$2,"."&amp;N$83&amp;N$1&amp;"P"&amp;$A124))</f>
        <v>0</v>
      </c>
      <c r="O124" s="91">
        <f ca="1">IF(RTD("tos.rtd",,$A$2,"."&amp;O$83&amp;O$1&amp;"C"&amp;$A124)="N/A",0,RTD("tos.rtd",,$A$2,"."&amp;O$83&amp;O$1&amp;"C"&amp;$A124))-IF(RTD("tos.rtd",,$A$2,"."&amp;O$83&amp;O$1&amp;"P"&amp;$A124)="N/A",0,RTD("tos.rtd",,$A$2,"."&amp;O$83&amp;O$1&amp;"P"&amp;$A124))</f>
        <v>0</v>
      </c>
      <c r="P124" s="91">
        <f ca="1">IF(RTD("tos.rtd",,$A$2,"."&amp;P$83&amp;P$1&amp;"C"&amp;$A124)="N/A",0,RTD("tos.rtd",,$A$2,"."&amp;P$83&amp;P$1&amp;"C"&amp;$A124))-IF(RTD("tos.rtd",,$A$2,"."&amp;P$83&amp;P$1&amp;"P"&amp;$A124)="N/A",0,RTD("tos.rtd",,$A$2,"."&amp;P$83&amp;P$1&amp;"P"&amp;$A124))</f>
        <v>0</v>
      </c>
      <c r="Q124" s="91">
        <f ca="1">IF(RTD("tos.rtd",,$A$2,"."&amp;Q$83&amp;Q$1&amp;"C"&amp;$A124)="N/A",0,RTD("tos.rtd",,$A$2,"."&amp;Q$83&amp;Q$1&amp;"C"&amp;$A124))-IF(RTD("tos.rtd",,$A$2,"."&amp;Q$83&amp;Q$1&amp;"P"&amp;$A124)="N/A",0,RTD("tos.rtd",,$A$2,"."&amp;Q$83&amp;Q$1&amp;"P"&amp;$A124))</f>
        <v>0</v>
      </c>
      <c r="R124" s="91">
        <f ca="1">IF(RTD("tos.rtd",,$A$2,"."&amp;R$83&amp;R$1&amp;"C"&amp;$A124)="N/A",0,RTD("tos.rtd",,$A$2,"."&amp;R$83&amp;R$1&amp;"C"&amp;$A124))-IF(RTD("tos.rtd",,$A$2,"."&amp;R$83&amp;R$1&amp;"P"&amp;$A124)="N/A",0,RTD("tos.rtd",,$A$2,"."&amp;R$83&amp;R$1&amp;"P"&amp;$A124))</f>
        <v>0</v>
      </c>
      <c r="S124" s="91">
        <f ca="1">IF(RTD("tos.rtd",,$A$2,"."&amp;S$83&amp;S$1&amp;"C"&amp;$A124)="N/A",0,RTD("tos.rtd",,$A$2,"."&amp;S$83&amp;S$1&amp;"C"&amp;$A124))-IF(RTD("tos.rtd",,$A$2,"."&amp;S$83&amp;S$1&amp;"P"&amp;$A124)="N/A",0,RTD("tos.rtd",,$A$2,"."&amp;S$83&amp;S$1&amp;"P"&amp;$A124))</f>
        <v>0</v>
      </c>
      <c r="T124" s="91">
        <f ca="1">IF(RTD("tos.rtd",,$A$2,"."&amp;T$83&amp;T$1&amp;"C"&amp;$A124)="N/A",0,RTD("tos.rtd",,$A$2,"."&amp;T$83&amp;T$1&amp;"C"&amp;$A124))-IF(RTD("tos.rtd",,$A$2,"."&amp;T$83&amp;T$1&amp;"P"&amp;$A124)="N/A",0,RTD("tos.rtd",,$A$2,"."&amp;T$83&amp;T$1&amp;"P"&amp;$A124))</f>
        <v>0</v>
      </c>
      <c r="U124" s="91">
        <f ca="1">IF(RTD("tos.rtd",,$A$2,"."&amp;U$83&amp;U$1&amp;"C"&amp;$A124)="N/A",0,RTD("tos.rtd",,$A$2,"."&amp;U$83&amp;U$1&amp;"C"&amp;$A124))-IF(RTD("tos.rtd",,$A$2,"."&amp;U$83&amp;U$1&amp;"P"&amp;$A124)="N/A",0,RTD("tos.rtd",,$A$2,"."&amp;U$83&amp;U$1&amp;"P"&amp;$A124))</f>
        <v>0</v>
      </c>
      <c r="V124" s="91">
        <f ca="1">IF(RTD("tos.rtd",,$A$2,"."&amp;V$83&amp;V$1&amp;"C"&amp;$A124)="N/A",0,RTD("tos.rtd",,$A$2,"."&amp;V$83&amp;V$1&amp;"C"&amp;$A124))-IF(RTD("tos.rtd",,$A$2,"."&amp;V$83&amp;V$1&amp;"P"&amp;$A124)="N/A",0,RTD("tos.rtd",,$A$2,"."&amp;V$83&amp;V$1&amp;"P"&amp;$A124))</f>
        <v>0</v>
      </c>
      <c r="W124" s="91">
        <f ca="1">IF(RTD("tos.rtd",,$A$2,"."&amp;W$83&amp;W$1&amp;"C"&amp;$A124)="N/A",0,RTD("tos.rtd",,$A$2,"."&amp;W$83&amp;W$1&amp;"C"&amp;$A124))-IF(RTD("tos.rtd",,$A$2,"."&amp;W$83&amp;W$1&amp;"P"&amp;$A124)="N/A",0,RTD("tos.rtd",,$A$2,"."&amp;W$83&amp;W$1&amp;"P"&amp;$A124))</f>
        <v>0</v>
      </c>
      <c r="X124" s="91">
        <f ca="1">IF(RTD("tos.rtd",,$A$2,"."&amp;X$83&amp;X$1&amp;"C"&amp;$A124)="N/A",0,RTD("tos.rtd",,$A$2,"."&amp;X$83&amp;X$1&amp;"C"&amp;$A124))-IF(RTD("tos.rtd",,$A$2,"."&amp;X$83&amp;X$1&amp;"P"&amp;$A124)="N/A",0,RTD("tos.rtd",,$A$2,"."&amp;X$83&amp;X$1&amp;"P"&amp;$A124))</f>
        <v>0</v>
      </c>
      <c r="Y124" s="98">
        <f t="shared" ca="1" si="10"/>
        <v>0</v>
      </c>
    </row>
    <row r="125" spans="1:25" x14ac:dyDescent="0.25">
      <c r="A125" s="93">
        <f>+Hoja1!A124</f>
        <v>5480</v>
      </c>
      <c r="B125" s="91">
        <f ca="1">IF(RTD("tos.rtd",,$A$2,"."&amp;B$83&amp;B$1&amp;"C"&amp;$A125)="N/A",0,RTD("tos.rtd",,$A$2,"."&amp;B$83&amp;B$1&amp;"C"&amp;$A125))-IF(RTD("tos.rtd",,$A$2,"."&amp;B$83&amp;B$1&amp;"P"&amp;$A125)="N/A",0,RTD("tos.rtd",,$A$2,"."&amp;B$83&amp;B$1&amp;"P"&amp;$A125))</f>
        <v>0</v>
      </c>
      <c r="C125" s="91">
        <f ca="1">IF(RTD("tos.rtd",,$A$2,"."&amp;C$83&amp;C$1&amp;"C"&amp;$A125)="N/A",0,RTD("tos.rtd",,$A$2,"."&amp;C$83&amp;C$1&amp;"C"&amp;$A125))-IF(RTD("tos.rtd",,$A$2,"."&amp;C$83&amp;C$1&amp;"P"&amp;$A125)="N/A",0,RTD("tos.rtd",,$A$2,"."&amp;C$83&amp;C$1&amp;"P"&amp;$A125))</f>
        <v>0</v>
      </c>
      <c r="D125" s="91">
        <f ca="1">IF(RTD("tos.rtd",,$A$2,"."&amp;D$83&amp;D$1&amp;"C"&amp;$A125)="N/A",0,RTD("tos.rtd",,$A$2,"."&amp;D$83&amp;D$1&amp;"C"&amp;$A125))-IF(RTD("tos.rtd",,$A$2,"."&amp;D$83&amp;D$1&amp;"P"&amp;$A125)="N/A",0,RTD("tos.rtd",,$A$2,"."&amp;D$83&amp;D$1&amp;"P"&amp;$A125))</f>
        <v>0</v>
      </c>
      <c r="E125" s="91">
        <f ca="1">IF(RTD("tos.rtd",,$A$2,"."&amp;E$83&amp;E$1&amp;"C"&amp;$A125)="N/A",0,RTD("tos.rtd",,$A$2,"."&amp;E$83&amp;E$1&amp;"C"&amp;$A125))-IF(RTD("tos.rtd",,$A$2,"."&amp;E$83&amp;E$1&amp;"P"&amp;$A125)="N/A",0,RTD("tos.rtd",,$A$2,"."&amp;E$83&amp;E$1&amp;"P"&amp;$A125))</f>
        <v>0</v>
      </c>
      <c r="F125" s="91">
        <f ca="1">IF(RTD("tos.rtd",,$A$2,"."&amp;F$83&amp;F$1&amp;"C"&amp;$A125)="N/A",0,RTD("tos.rtd",,$A$2,"."&amp;F$83&amp;F$1&amp;"C"&amp;$A125))-IF(RTD("tos.rtd",,$A$2,"."&amp;F$83&amp;F$1&amp;"P"&amp;$A125)="N/A",0,RTD("tos.rtd",,$A$2,"."&amp;F$83&amp;F$1&amp;"P"&amp;$A125))</f>
        <v>0</v>
      </c>
      <c r="G125" s="91">
        <f ca="1">IF(RTD("tos.rtd",,$A$2,"."&amp;G$83&amp;G$1&amp;"C"&amp;$A125)="N/A",0,RTD("tos.rtd",,$A$2,"."&amp;G$83&amp;G$1&amp;"C"&amp;$A125))-IF(RTD("tos.rtd",,$A$2,"."&amp;G$83&amp;G$1&amp;"P"&amp;$A125)="N/A",0,RTD("tos.rtd",,$A$2,"."&amp;G$83&amp;G$1&amp;"P"&amp;$A125))</f>
        <v>0</v>
      </c>
      <c r="H125" s="91">
        <f ca="1">IF(RTD("tos.rtd",,$A$2,"."&amp;H$83&amp;H$1&amp;"C"&amp;$A125)="N/A",0,RTD("tos.rtd",,$A$2,"."&amp;H$83&amp;H$1&amp;"C"&amp;$A125))-IF(RTD("tos.rtd",,$A$2,"."&amp;H$83&amp;H$1&amp;"P"&amp;$A125)="N/A",0,RTD("tos.rtd",,$A$2,"."&amp;H$83&amp;H$1&amp;"P"&amp;$A125))</f>
        <v>0</v>
      </c>
      <c r="I125" s="91">
        <f ca="1">IF(RTD("tos.rtd",,$A$2,"."&amp;I$83&amp;I$1&amp;"C"&amp;$A125)="N/A",0,RTD("tos.rtd",,$A$2,"."&amp;I$83&amp;I$1&amp;"C"&amp;$A125))-IF(RTD("tos.rtd",,$A$2,"."&amp;I$83&amp;I$1&amp;"P"&amp;$A125)="N/A",0,RTD("tos.rtd",,$A$2,"."&amp;I$83&amp;I$1&amp;"P"&amp;$A125))</f>
        <v>0</v>
      </c>
      <c r="J125" s="91">
        <f ca="1">IF(RTD("tos.rtd",,$A$2,"."&amp;J$83&amp;J$1&amp;"C"&amp;$A125)="N/A",0,RTD("tos.rtd",,$A$2,"."&amp;J$83&amp;J$1&amp;"C"&amp;$A125))-IF(RTD("tos.rtd",,$A$2,"."&amp;J$83&amp;J$1&amp;"P"&amp;$A125)="N/A",0,RTD("tos.rtd",,$A$2,"."&amp;J$83&amp;J$1&amp;"P"&amp;$A125))</f>
        <v>0</v>
      </c>
      <c r="K125" s="91">
        <f ca="1">IF(RTD("tos.rtd",,$A$2,"."&amp;K$83&amp;K$1&amp;"C"&amp;$A125)="N/A",0,RTD("tos.rtd",,$A$2,"."&amp;K$83&amp;K$1&amp;"C"&amp;$A125))-IF(RTD("tos.rtd",,$A$2,"."&amp;K$83&amp;K$1&amp;"P"&amp;$A125)="N/A",0,RTD("tos.rtd",,$A$2,"."&amp;K$83&amp;K$1&amp;"P"&amp;$A125))</f>
        <v>0</v>
      </c>
      <c r="L125" s="91">
        <f ca="1">IF(RTD("tos.rtd",,$A$2,"."&amp;L$83&amp;L$1&amp;"C"&amp;$A125)="N/A",0,RTD("tos.rtd",,$A$2,"."&amp;L$83&amp;L$1&amp;"C"&amp;$A125))-IF(RTD("tos.rtd",,$A$2,"."&amp;L$83&amp;L$1&amp;"P"&amp;$A125)="N/A",0,RTD("tos.rtd",,$A$2,"."&amp;L$83&amp;L$1&amp;"P"&amp;$A125))</f>
        <v>0</v>
      </c>
      <c r="M125" s="91">
        <f ca="1">IF(RTD("tos.rtd",,$A$2,"."&amp;M$83&amp;M$1&amp;"C"&amp;$A125)="N/A",0,RTD("tos.rtd",,$A$2,"."&amp;M$83&amp;M$1&amp;"C"&amp;$A125))-IF(RTD("tos.rtd",,$A$2,"."&amp;M$83&amp;M$1&amp;"P"&amp;$A125)="N/A",0,RTD("tos.rtd",,$A$2,"."&amp;M$83&amp;M$1&amp;"P"&amp;$A125))</f>
        <v>0</v>
      </c>
      <c r="N125" s="91">
        <f ca="1">IF(RTD("tos.rtd",,$A$2,"."&amp;N$83&amp;N$1&amp;"C"&amp;$A125)="N/A",0,RTD("tos.rtd",,$A$2,"."&amp;N$83&amp;N$1&amp;"C"&amp;$A125))-IF(RTD("tos.rtd",,$A$2,"."&amp;N$83&amp;N$1&amp;"P"&amp;$A125)="N/A",0,RTD("tos.rtd",,$A$2,"."&amp;N$83&amp;N$1&amp;"P"&amp;$A125))</f>
        <v>0</v>
      </c>
      <c r="O125" s="91">
        <f ca="1">IF(RTD("tos.rtd",,$A$2,"."&amp;O$83&amp;O$1&amp;"C"&amp;$A125)="N/A",0,RTD("tos.rtd",,$A$2,"."&amp;O$83&amp;O$1&amp;"C"&amp;$A125))-IF(RTD("tos.rtd",,$A$2,"."&amp;O$83&amp;O$1&amp;"P"&amp;$A125)="N/A",0,RTD("tos.rtd",,$A$2,"."&amp;O$83&amp;O$1&amp;"P"&amp;$A125))</f>
        <v>0</v>
      </c>
      <c r="P125" s="91">
        <f ca="1">IF(RTD("tos.rtd",,$A$2,"."&amp;P$83&amp;P$1&amp;"C"&amp;$A125)="N/A",0,RTD("tos.rtd",,$A$2,"."&amp;P$83&amp;P$1&amp;"C"&amp;$A125))-IF(RTD("tos.rtd",,$A$2,"."&amp;P$83&amp;P$1&amp;"P"&amp;$A125)="N/A",0,RTD("tos.rtd",,$A$2,"."&amp;P$83&amp;P$1&amp;"P"&amp;$A125))</f>
        <v>0</v>
      </c>
      <c r="Q125" s="91">
        <f ca="1">IF(RTD("tos.rtd",,$A$2,"."&amp;Q$83&amp;Q$1&amp;"C"&amp;$A125)="N/A",0,RTD("tos.rtd",,$A$2,"."&amp;Q$83&amp;Q$1&amp;"C"&amp;$A125))-IF(RTD("tos.rtd",,$A$2,"."&amp;Q$83&amp;Q$1&amp;"P"&amp;$A125)="N/A",0,RTD("tos.rtd",,$A$2,"."&amp;Q$83&amp;Q$1&amp;"P"&amp;$A125))</f>
        <v>0</v>
      </c>
      <c r="R125" s="91">
        <f ca="1">IF(RTD("tos.rtd",,$A$2,"."&amp;R$83&amp;R$1&amp;"C"&amp;$A125)="N/A",0,RTD("tos.rtd",,$A$2,"."&amp;R$83&amp;R$1&amp;"C"&amp;$A125))-IF(RTD("tos.rtd",,$A$2,"."&amp;R$83&amp;R$1&amp;"P"&amp;$A125)="N/A",0,RTD("tos.rtd",,$A$2,"."&amp;R$83&amp;R$1&amp;"P"&amp;$A125))</f>
        <v>0</v>
      </c>
      <c r="S125" s="91">
        <f ca="1">IF(RTD("tos.rtd",,$A$2,"."&amp;S$83&amp;S$1&amp;"C"&amp;$A125)="N/A",0,RTD("tos.rtd",,$A$2,"."&amp;S$83&amp;S$1&amp;"C"&amp;$A125))-IF(RTD("tos.rtd",,$A$2,"."&amp;S$83&amp;S$1&amp;"P"&amp;$A125)="N/A",0,RTD("tos.rtd",,$A$2,"."&amp;S$83&amp;S$1&amp;"P"&amp;$A125))</f>
        <v>0</v>
      </c>
      <c r="T125" s="91">
        <f ca="1">IF(RTD("tos.rtd",,$A$2,"."&amp;T$83&amp;T$1&amp;"C"&amp;$A125)="N/A",0,RTD("tos.rtd",,$A$2,"."&amp;T$83&amp;T$1&amp;"C"&amp;$A125))-IF(RTD("tos.rtd",,$A$2,"."&amp;T$83&amp;T$1&amp;"P"&amp;$A125)="N/A",0,RTD("tos.rtd",,$A$2,"."&amp;T$83&amp;T$1&amp;"P"&amp;$A125))</f>
        <v>0</v>
      </c>
      <c r="U125" s="91">
        <f ca="1">IF(RTD("tos.rtd",,$A$2,"."&amp;U$83&amp;U$1&amp;"C"&amp;$A125)="N/A",0,RTD("tos.rtd",,$A$2,"."&amp;U$83&amp;U$1&amp;"C"&amp;$A125))-IF(RTD("tos.rtd",,$A$2,"."&amp;U$83&amp;U$1&amp;"P"&amp;$A125)="N/A",0,RTD("tos.rtd",,$A$2,"."&amp;U$83&amp;U$1&amp;"P"&amp;$A125))</f>
        <v>0</v>
      </c>
      <c r="V125" s="91">
        <f ca="1">IF(RTD("tos.rtd",,$A$2,"."&amp;V$83&amp;V$1&amp;"C"&amp;$A125)="N/A",0,RTD("tos.rtd",,$A$2,"."&amp;V$83&amp;V$1&amp;"C"&amp;$A125))-IF(RTD("tos.rtd",,$A$2,"."&amp;V$83&amp;V$1&amp;"P"&amp;$A125)="N/A",0,RTD("tos.rtd",,$A$2,"."&amp;V$83&amp;V$1&amp;"P"&amp;$A125))</f>
        <v>0</v>
      </c>
      <c r="W125" s="91">
        <f ca="1">IF(RTD("tos.rtd",,$A$2,"."&amp;W$83&amp;W$1&amp;"C"&amp;$A125)="N/A",0,RTD("tos.rtd",,$A$2,"."&amp;W$83&amp;W$1&amp;"C"&amp;$A125))-IF(RTD("tos.rtd",,$A$2,"."&amp;W$83&amp;W$1&amp;"P"&amp;$A125)="N/A",0,RTD("tos.rtd",,$A$2,"."&amp;W$83&amp;W$1&amp;"P"&amp;$A125))</f>
        <v>0</v>
      </c>
      <c r="X125" s="91">
        <f ca="1">IF(RTD("tos.rtd",,$A$2,"."&amp;X$83&amp;X$1&amp;"C"&amp;$A125)="N/A",0,RTD("tos.rtd",,$A$2,"."&amp;X$83&amp;X$1&amp;"C"&amp;$A125))-IF(RTD("tos.rtd",,$A$2,"."&amp;X$83&amp;X$1&amp;"P"&amp;$A125)="N/A",0,RTD("tos.rtd",,$A$2,"."&amp;X$83&amp;X$1&amp;"P"&amp;$A125))</f>
        <v>0</v>
      </c>
      <c r="Y125" s="98">
        <f t="shared" ca="1" si="10"/>
        <v>0</v>
      </c>
    </row>
    <row r="126" spans="1:25" x14ac:dyDescent="0.25">
      <c r="A126" s="93">
        <f>+Hoja1!A125</f>
        <v>5470</v>
      </c>
      <c r="B126" s="91">
        <f ca="1">IF(RTD("tos.rtd",,$A$2,"."&amp;B$83&amp;B$1&amp;"C"&amp;$A126)="N/A",0,RTD("tos.rtd",,$A$2,"."&amp;B$83&amp;B$1&amp;"C"&amp;$A126))-IF(RTD("tos.rtd",,$A$2,"."&amp;B$83&amp;B$1&amp;"P"&amp;$A126)="N/A",0,RTD("tos.rtd",,$A$2,"."&amp;B$83&amp;B$1&amp;"P"&amp;$A126))</f>
        <v>0</v>
      </c>
      <c r="C126" s="91">
        <f ca="1">IF(RTD("tos.rtd",,$A$2,"."&amp;C$83&amp;C$1&amp;"C"&amp;$A126)="N/A",0,RTD("tos.rtd",,$A$2,"."&amp;C$83&amp;C$1&amp;"C"&amp;$A126))-IF(RTD("tos.rtd",,$A$2,"."&amp;C$83&amp;C$1&amp;"P"&amp;$A126)="N/A",0,RTD("tos.rtd",,$A$2,"."&amp;C$83&amp;C$1&amp;"P"&amp;$A126))</f>
        <v>0</v>
      </c>
      <c r="D126" s="91">
        <f ca="1">IF(RTD("tos.rtd",,$A$2,"."&amp;D$83&amp;D$1&amp;"C"&amp;$A126)="N/A",0,RTD("tos.rtd",,$A$2,"."&amp;D$83&amp;D$1&amp;"C"&amp;$A126))-IF(RTD("tos.rtd",,$A$2,"."&amp;D$83&amp;D$1&amp;"P"&amp;$A126)="N/A",0,RTD("tos.rtd",,$A$2,"."&amp;D$83&amp;D$1&amp;"P"&amp;$A126))</f>
        <v>0</v>
      </c>
      <c r="E126" s="91">
        <f ca="1">IF(RTD("tos.rtd",,$A$2,"."&amp;E$83&amp;E$1&amp;"C"&amp;$A126)="N/A",0,RTD("tos.rtd",,$A$2,"."&amp;E$83&amp;E$1&amp;"C"&amp;$A126))-IF(RTD("tos.rtd",,$A$2,"."&amp;E$83&amp;E$1&amp;"P"&amp;$A126)="N/A",0,RTD("tos.rtd",,$A$2,"."&amp;E$83&amp;E$1&amp;"P"&amp;$A126))</f>
        <v>0</v>
      </c>
      <c r="F126" s="91">
        <f ca="1">IF(RTD("tos.rtd",,$A$2,"."&amp;F$83&amp;F$1&amp;"C"&amp;$A126)="N/A",0,RTD("tos.rtd",,$A$2,"."&amp;F$83&amp;F$1&amp;"C"&amp;$A126))-IF(RTD("tos.rtd",,$A$2,"."&amp;F$83&amp;F$1&amp;"P"&amp;$A126)="N/A",0,RTD("tos.rtd",,$A$2,"."&amp;F$83&amp;F$1&amp;"P"&amp;$A126))</f>
        <v>0</v>
      </c>
      <c r="G126" s="91">
        <f ca="1">IF(RTD("tos.rtd",,$A$2,"."&amp;G$83&amp;G$1&amp;"C"&amp;$A126)="N/A",0,RTD("tos.rtd",,$A$2,"."&amp;G$83&amp;G$1&amp;"C"&amp;$A126))-IF(RTD("tos.rtd",,$A$2,"."&amp;G$83&amp;G$1&amp;"P"&amp;$A126)="N/A",0,RTD("tos.rtd",,$A$2,"."&amp;G$83&amp;G$1&amp;"P"&amp;$A126))</f>
        <v>0</v>
      </c>
      <c r="H126" s="91">
        <f ca="1">IF(RTD("tos.rtd",,$A$2,"."&amp;H$83&amp;H$1&amp;"C"&amp;$A126)="N/A",0,RTD("tos.rtd",,$A$2,"."&amp;H$83&amp;H$1&amp;"C"&amp;$A126))-IF(RTD("tos.rtd",,$A$2,"."&amp;H$83&amp;H$1&amp;"P"&amp;$A126)="N/A",0,RTD("tos.rtd",,$A$2,"."&amp;H$83&amp;H$1&amp;"P"&amp;$A126))</f>
        <v>0</v>
      </c>
      <c r="I126" s="91">
        <f ca="1">IF(RTD("tos.rtd",,$A$2,"."&amp;I$83&amp;I$1&amp;"C"&amp;$A126)="N/A",0,RTD("tos.rtd",,$A$2,"."&amp;I$83&amp;I$1&amp;"C"&amp;$A126))-IF(RTD("tos.rtd",,$A$2,"."&amp;I$83&amp;I$1&amp;"P"&amp;$A126)="N/A",0,RTD("tos.rtd",,$A$2,"."&amp;I$83&amp;I$1&amp;"P"&amp;$A126))</f>
        <v>0</v>
      </c>
      <c r="J126" s="91">
        <f ca="1">IF(RTD("tos.rtd",,$A$2,"."&amp;J$83&amp;J$1&amp;"C"&amp;$A126)="N/A",0,RTD("tos.rtd",,$A$2,"."&amp;J$83&amp;J$1&amp;"C"&amp;$A126))-IF(RTD("tos.rtd",,$A$2,"."&amp;J$83&amp;J$1&amp;"P"&amp;$A126)="N/A",0,RTD("tos.rtd",,$A$2,"."&amp;J$83&amp;J$1&amp;"P"&amp;$A126))</f>
        <v>0</v>
      </c>
      <c r="K126" s="91">
        <f ca="1">IF(RTD("tos.rtd",,$A$2,"."&amp;K$83&amp;K$1&amp;"C"&amp;$A126)="N/A",0,RTD("tos.rtd",,$A$2,"."&amp;K$83&amp;K$1&amp;"C"&amp;$A126))-IF(RTD("tos.rtd",,$A$2,"."&amp;K$83&amp;K$1&amp;"P"&amp;$A126)="N/A",0,RTD("tos.rtd",,$A$2,"."&amp;K$83&amp;K$1&amp;"P"&amp;$A126))</f>
        <v>0</v>
      </c>
      <c r="L126" s="91">
        <f ca="1">IF(RTD("tos.rtd",,$A$2,"."&amp;L$83&amp;L$1&amp;"C"&amp;$A126)="N/A",0,RTD("tos.rtd",,$A$2,"."&amp;L$83&amp;L$1&amp;"C"&amp;$A126))-IF(RTD("tos.rtd",,$A$2,"."&amp;L$83&amp;L$1&amp;"P"&amp;$A126)="N/A",0,RTD("tos.rtd",,$A$2,"."&amp;L$83&amp;L$1&amp;"P"&amp;$A126))</f>
        <v>0</v>
      </c>
      <c r="M126" s="91">
        <f ca="1">IF(RTD("tos.rtd",,$A$2,"."&amp;M$83&amp;M$1&amp;"C"&amp;$A126)="N/A",0,RTD("tos.rtd",,$A$2,"."&amp;M$83&amp;M$1&amp;"C"&amp;$A126))-IF(RTD("tos.rtd",,$A$2,"."&amp;M$83&amp;M$1&amp;"P"&amp;$A126)="N/A",0,RTD("tos.rtd",,$A$2,"."&amp;M$83&amp;M$1&amp;"P"&amp;$A126))</f>
        <v>0</v>
      </c>
      <c r="N126" s="91">
        <f ca="1">IF(RTD("tos.rtd",,$A$2,"."&amp;N$83&amp;N$1&amp;"C"&amp;$A126)="N/A",0,RTD("tos.rtd",,$A$2,"."&amp;N$83&amp;N$1&amp;"C"&amp;$A126))-IF(RTD("tos.rtd",,$A$2,"."&amp;N$83&amp;N$1&amp;"P"&amp;$A126)="N/A",0,RTD("tos.rtd",,$A$2,"."&amp;N$83&amp;N$1&amp;"P"&amp;$A126))</f>
        <v>0</v>
      </c>
      <c r="O126" s="91">
        <f ca="1">IF(RTD("tos.rtd",,$A$2,"."&amp;O$83&amp;O$1&amp;"C"&amp;$A126)="N/A",0,RTD("tos.rtd",,$A$2,"."&amp;O$83&amp;O$1&amp;"C"&amp;$A126))-IF(RTD("tos.rtd",,$A$2,"."&amp;O$83&amp;O$1&amp;"P"&amp;$A126)="N/A",0,RTD("tos.rtd",,$A$2,"."&amp;O$83&amp;O$1&amp;"P"&amp;$A126))</f>
        <v>0</v>
      </c>
      <c r="P126" s="91">
        <f ca="1">IF(RTD("tos.rtd",,$A$2,"."&amp;P$83&amp;P$1&amp;"C"&amp;$A126)="N/A",0,RTD("tos.rtd",,$A$2,"."&amp;P$83&amp;P$1&amp;"C"&amp;$A126))-IF(RTD("tos.rtd",,$A$2,"."&amp;P$83&amp;P$1&amp;"P"&amp;$A126)="N/A",0,RTD("tos.rtd",,$A$2,"."&amp;P$83&amp;P$1&amp;"P"&amp;$A126))</f>
        <v>0</v>
      </c>
      <c r="Q126" s="91">
        <f ca="1">IF(RTD("tos.rtd",,$A$2,"."&amp;Q$83&amp;Q$1&amp;"C"&amp;$A126)="N/A",0,RTD("tos.rtd",,$A$2,"."&amp;Q$83&amp;Q$1&amp;"C"&amp;$A126))-IF(RTD("tos.rtd",,$A$2,"."&amp;Q$83&amp;Q$1&amp;"P"&amp;$A126)="N/A",0,RTD("tos.rtd",,$A$2,"."&amp;Q$83&amp;Q$1&amp;"P"&amp;$A126))</f>
        <v>0</v>
      </c>
      <c r="R126" s="91">
        <f ca="1">IF(RTD("tos.rtd",,$A$2,"."&amp;R$83&amp;R$1&amp;"C"&amp;$A126)="N/A",0,RTD("tos.rtd",,$A$2,"."&amp;R$83&amp;R$1&amp;"C"&amp;$A126))-IF(RTD("tos.rtd",,$A$2,"."&amp;R$83&amp;R$1&amp;"P"&amp;$A126)="N/A",0,RTD("tos.rtd",,$A$2,"."&amp;R$83&amp;R$1&amp;"P"&amp;$A126))</f>
        <v>0</v>
      </c>
      <c r="S126" s="91">
        <f ca="1">IF(RTD("tos.rtd",,$A$2,"."&amp;S$83&amp;S$1&amp;"C"&amp;$A126)="N/A",0,RTD("tos.rtd",,$A$2,"."&amp;S$83&amp;S$1&amp;"C"&amp;$A126))-IF(RTD("tos.rtd",,$A$2,"."&amp;S$83&amp;S$1&amp;"P"&amp;$A126)="N/A",0,RTD("tos.rtd",,$A$2,"."&amp;S$83&amp;S$1&amp;"P"&amp;$A126))</f>
        <v>0</v>
      </c>
      <c r="T126" s="91">
        <f ca="1">IF(RTD("tos.rtd",,$A$2,"."&amp;T$83&amp;T$1&amp;"C"&amp;$A126)="N/A",0,RTD("tos.rtd",,$A$2,"."&amp;T$83&amp;T$1&amp;"C"&amp;$A126))-IF(RTD("tos.rtd",,$A$2,"."&amp;T$83&amp;T$1&amp;"P"&amp;$A126)="N/A",0,RTD("tos.rtd",,$A$2,"."&amp;T$83&amp;T$1&amp;"P"&amp;$A126))</f>
        <v>0</v>
      </c>
      <c r="U126" s="91">
        <f ca="1">IF(RTD("tos.rtd",,$A$2,"."&amp;U$83&amp;U$1&amp;"C"&amp;$A126)="N/A",0,RTD("tos.rtd",,$A$2,"."&amp;U$83&amp;U$1&amp;"C"&amp;$A126))-IF(RTD("tos.rtd",,$A$2,"."&amp;U$83&amp;U$1&amp;"P"&amp;$A126)="N/A",0,RTD("tos.rtd",,$A$2,"."&amp;U$83&amp;U$1&amp;"P"&amp;$A126))</f>
        <v>0</v>
      </c>
      <c r="V126" s="91">
        <f ca="1">IF(RTD("tos.rtd",,$A$2,"."&amp;V$83&amp;V$1&amp;"C"&amp;$A126)="N/A",0,RTD("tos.rtd",,$A$2,"."&amp;V$83&amp;V$1&amp;"C"&amp;$A126))-IF(RTD("tos.rtd",,$A$2,"."&amp;V$83&amp;V$1&amp;"P"&amp;$A126)="N/A",0,RTD("tos.rtd",,$A$2,"."&amp;V$83&amp;V$1&amp;"P"&amp;$A126))</f>
        <v>0</v>
      </c>
      <c r="W126" s="91">
        <f ca="1">IF(RTD("tos.rtd",,$A$2,"."&amp;W$83&amp;W$1&amp;"C"&amp;$A126)="N/A",0,RTD("tos.rtd",,$A$2,"."&amp;W$83&amp;W$1&amp;"C"&amp;$A126))-IF(RTD("tos.rtd",,$A$2,"."&amp;W$83&amp;W$1&amp;"P"&amp;$A126)="N/A",0,RTD("tos.rtd",,$A$2,"."&amp;W$83&amp;W$1&amp;"P"&amp;$A126))</f>
        <v>0</v>
      </c>
      <c r="X126" s="91">
        <f ca="1">IF(RTD("tos.rtd",,$A$2,"."&amp;X$83&amp;X$1&amp;"C"&amp;$A126)="N/A",0,RTD("tos.rtd",,$A$2,"."&amp;X$83&amp;X$1&amp;"C"&amp;$A126))-IF(RTD("tos.rtd",,$A$2,"."&amp;X$83&amp;X$1&amp;"P"&amp;$A126)="N/A",0,RTD("tos.rtd",,$A$2,"."&amp;X$83&amp;X$1&amp;"P"&amp;$A126))</f>
        <v>0</v>
      </c>
      <c r="Y126" s="98">
        <f t="shared" ca="1" si="10"/>
        <v>0</v>
      </c>
    </row>
    <row r="127" spans="1:25" x14ac:dyDescent="0.25">
      <c r="A127" s="93">
        <f>+Hoja1!A126</f>
        <v>5460</v>
      </c>
      <c r="B127" s="91">
        <f ca="1">IF(RTD("tos.rtd",,$A$2,"."&amp;B$83&amp;B$1&amp;"C"&amp;$A127)="N/A",0,RTD("tos.rtd",,$A$2,"."&amp;B$83&amp;B$1&amp;"C"&amp;$A127))-IF(RTD("tos.rtd",,$A$2,"."&amp;B$83&amp;B$1&amp;"P"&amp;$A127)="N/A",0,RTD("tos.rtd",,$A$2,"."&amp;B$83&amp;B$1&amp;"P"&amp;$A127))</f>
        <v>0</v>
      </c>
      <c r="C127" s="91">
        <f ca="1">IF(RTD("tos.rtd",,$A$2,"."&amp;C$83&amp;C$1&amp;"C"&amp;$A127)="N/A",0,RTD("tos.rtd",,$A$2,"."&amp;C$83&amp;C$1&amp;"C"&amp;$A127))-IF(RTD("tos.rtd",,$A$2,"."&amp;C$83&amp;C$1&amp;"P"&amp;$A127)="N/A",0,RTD("tos.rtd",,$A$2,"."&amp;C$83&amp;C$1&amp;"P"&amp;$A127))</f>
        <v>0</v>
      </c>
      <c r="D127" s="91">
        <f ca="1">IF(RTD("tos.rtd",,$A$2,"."&amp;D$83&amp;D$1&amp;"C"&amp;$A127)="N/A",0,RTD("tos.rtd",,$A$2,"."&amp;D$83&amp;D$1&amp;"C"&amp;$A127))-IF(RTD("tos.rtd",,$A$2,"."&amp;D$83&amp;D$1&amp;"P"&amp;$A127)="N/A",0,RTD("tos.rtd",,$A$2,"."&amp;D$83&amp;D$1&amp;"P"&amp;$A127))</f>
        <v>0</v>
      </c>
      <c r="E127" s="91">
        <f ca="1">IF(RTD("tos.rtd",,$A$2,"."&amp;E$83&amp;E$1&amp;"C"&amp;$A127)="N/A",0,RTD("tos.rtd",,$A$2,"."&amp;E$83&amp;E$1&amp;"C"&amp;$A127))-IF(RTD("tos.rtd",,$A$2,"."&amp;E$83&amp;E$1&amp;"P"&amp;$A127)="N/A",0,RTD("tos.rtd",,$A$2,"."&amp;E$83&amp;E$1&amp;"P"&amp;$A127))</f>
        <v>0</v>
      </c>
      <c r="F127" s="91">
        <f ca="1">IF(RTD("tos.rtd",,$A$2,"."&amp;F$83&amp;F$1&amp;"C"&amp;$A127)="N/A",0,RTD("tos.rtd",,$A$2,"."&amp;F$83&amp;F$1&amp;"C"&amp;$A127))-IF(RTD("tos.rtd",,$A$2,"."&amp;F$83&amp;F$1&amp;"P"&amp;$A127)="N/A",0,RTD("tos.rtd",,$A$2,"."&amp;F$83&amp;F$1&amp;"P"&amp;$A127))</f>
        <v>0</v>
      </c>
      <c r="G127" s="91">
        <f ca="1">IF(RTD("tos.rtd",,$A$2,"."&amp;G$83&amp;G$1&amp;"C"&amp;$A127)="N/A",0,RTD("tos.rtd",,$A$2,"."&amp;G$83&amp;G$1&amp;"C"&amp;$A127))-IF(RTD("tos.rtd",,$A$2,"."&amp;G$83&amp;G$1&amp;"P"&amp;$A127)="N/A",0,RTD("tos.rtd",,$A$2,"."&amp;G$83&amp;G$1&amp;"P"&amp;$A127))</f>
        <v>0</v>
      </c>
      <c r="H127" s="91">
        <f ca="1">IF(RTD("tos.rtd",,$A$2,"."&amp;H$83&amp;H$1&amp;"C"&amp;$A127)="N/A",0,RTD("tos.rtd",,$A$2,"."&amp;H$83&amp;H$1&amp;"C"&amp;$A127))-IF(RTD("tos.rtd",,$A$2,"."&amp;H$83&amp;H$1&amp;"P"&amp;$A127)="N/A",0,RTD("tos.rtd",,$A$2,"."&amp;H$83&amp;H$1&amp;"P"&amp;$A127))</f>
        <v>0</v>
      </c>
      <c r="I127" s="91">
        <f ca="1">IF(RTD("tos.rtd",,$A$2,"."&amp;I$83&amp;I$1&amp;"C"&amp;$A127)="N/A",0,RTD("tos.rtd",,$A$2,"."&amp;I$83&amp;I$1&amp;"C"&amp;$A127))-IF(RTD("tos.rtd",,$A$2,"."&amp;I$83&amp;I$1&amp;"P"&amp;$A127)="N/A",0,RTD("tos.rtd",,$A$2,"."&amp;I$83&amp;I$1&amp;"P"&amp;$A127))</f>
        <v>0</v>
      </c>
      <c r="J127" s="91">
        <f ca="1">IF(RTD("tos.rtd",,$A$2,"."&amp;J$83&amp;J$1&amp;"C"&amp;$A127)="N/A",0,RTD("tos.rtd",,$A$2,"."&amp;J$83&amp;J$1&amp;"C"&amp;$A127))-IF(RTD("tos.rtd",,$A$2,"."&amp;J$83&amp;J$1&amp;"P"&amp;$A127)="N/A",0,RTD("tos.rtd",,$A$2,"."&amp;J$83&amp;J$1&amp;"P"&amp;$A127))</f>
        <v>0</v>
      </c>
      <c r="K127" s="91">
        <f ca="1">IF(RTD("tos.rtd",,$A$2,"."&amp;K$83&amp;K$1&amp;"C"&amp;$A127)="N/A",0,RTD("tos.rtd",,$A$2,"."&amp;K$83&amp;K$1&amp;"C"&amp;$A127))-IF(RTD("tos.rtd",,$A$2,"."&amp;K$83&amp;K$1&amp;"P"&amp;$A127)="N/A",0,RTD("tos.rtd",,$A$2,"."&amp;K$83&amp;K$1&amp;"P"&amp;$A127))</f>
        <v>0</v>
      </c>
      <c r="L127" s="91">
        <f ca="1">IF(RTD("tos.rtd",,$A$2,"."&amp;L$83&amp;L$1&amp;"C"&amp;$A127)="N/A",0,RTD("tos.rtd",,$A$2,"."&amp;L$83&amp;L$1&amp;"C"&amp;$A127))-IF(RTD("tos.rtd",,$A$2,"."&amp;L$83&amp;L$1&amp;"P"&amp;$A127)="N/A",0,RTD("tos.rtd",,$A$2,"."&amp;L$83&amp;L$1&amp;"P"&amp;$A127))</f>
        <v>0</v>
      </c>
      <c r="M127" s="91">
        <f ca="1">IF(RTD("tos.rtd",,$A$2,"."&amp;M$83&amp;M$1&amp;"C"&amp;$A127)="N/A",0,RTD("tos.rtd",,$A$2,"."&amp;M$83&amp;M$1&amp;"C"&amp;$A127))-IF(RTD("tos.rtd",,$A$2,"."&amp;M$83&amp;M$1&amp;"P"&amp;$A127)="N/A",0,RTD("tos.rtd",,$A$2,"."&amp;M$83&amp;M$1&amp;"P"&amp;$A127))</f>
        <v>0</v>
      </c>
      <c r="N127" s="91">
        <f ca="1">IF(RTD("tos.rtd",,$A$2,"."&amp;N$83&amp;N$1&amp;"C"&amp;$A127)="N/A",0,RTD("tos.rtd",,$A$2,"."&amp;N$83&amp;N$1&amp;"C"&amp;$A127))-IF(RTD("tos.rtd",,$A$2,"."&amp;N$83&amp;N$1&amp;"P"&amp;$A127)="N/A",0,RTD("tos.rtd",,$A$2,"."&amp;N$83&amp;N$1&amp;"P"&amp;$A127))</f>
        <v>0</v>
      </c>
      <c r="O127" s="91">
        <f ca="1">IF(RTD("tos.rtd",,$A$2,"."&amp;O$83&amp;O$1&amp;"C"&amp;$A127)="N/A",0,RTD("tos.rtd",,$A$2,"."&amp;O$83&amp;O$1&amp;"C"&amp;$A127))-IF(RTD("tos.rtd",,$A$2,"."&amp;O$83&amp;O$1&amp;"P"&amp;$A127)="N/A",0,RTD("tos.rtd",,$A$2,"."&amp;O$83&amp;O$1&amp;"P"&amp;$A127))</f>
        <v>0</v>
      </c>
      <c r="P127" s="91">
        <f ca="1">IF(RTD("tos.rtd",,$A$2,"."&amp;P$83&amp;P$1&amp;"C"&amp;$A127)="N/A",0,RTD("tos.rtd",,$A$2,"."&amp;P$83&amp;P$1&amp;"C"&amp;$A127))-IF(RTD("tos.rtd",,$A$2,"."&amp;P$83&amp;P$1&amp;"P"&amp;$A127)="N/A",0,RTD("tos.rtd",,$A$2,"."&amp;P$83&amp;P$1&amp;"P"&amp;$A127))</f>
        <v>0</v>
      </c>
      <c r="Q127" s="91">
        <f ca="1">IF(RTD("tos.rtd",,$A$2,"."&amp;Q$83&amp;Q$1&amp;"C"&amp;$A127)="N/A",0,RTD("tos.rtd",,$A$2,"."&amp;Q$83&amp;Q$1&amp;"C"&amp;$A127))-IF(RTD("tos.rtd",,$A$2,"."&amp;Q$83&amp;Q$1&amp;"P"&amp;$A127)="N/A",0,RTD("tos.rtd",,$A$2,"."&amp;Q$83&amp;Q$1&amp;"P"&amp;$A127))</f>
        <v>0</v>
      </c>
      <c r="R127" s="91">
        <f ca="1">IF(RTD("tos.rtd",,$A$2,"."&amp;R$83&amp;R$1&amp;"C"&amp;$A127)="N/A",0,RTD("tos.rtd",,$A$2,"."&amp;R$83&amp;R$1&amp;"C"&amp;$A127))-IF(RTD("tos.rtd",,$A$2,"."&amp;R$83&amp;R$1&amp;"P"&amp;$A127)="N/A",0,RTD("tos.rtd",,$A$2,"."&amp;R$83&amp;R$1&amp;"P"&amp;$A127))</f>
        <v>0</v>
      </c>
      <c r="S127" s="91">
        <f ca="1">IF(RTD("tos.rtd",,$A$2,"."&amp;S$83&amp;S$1&amp;"C"&amp;$A127)="N/A",0,RTD("tos.rtd",,$A$2,"."&amp;S$83&amp;S$1&amp;"C"&amp;$A127))-IF(RTD("tos.rtd",,$A$2,"."&amp;S$83&amp;S$1&amp;"P"&amp;$A127)="N/A",0,RTD("tos.rtd",,$A$2,"."&amp;S$83&amp;S$1&amp;"P"&amp;$A127))</f>
        <v>0</v>
      </c>
      <c r="T127" s="91">
        <f ca="1">IF(RTD("tos.rtd",,$A$2,"."&amp;T$83&amp;T$1&amp;"C"&amp;$A127)="N/A",0,RTD("tos.rtd",,$A$2,"."&amp;T$83&amp;T$1&amp;"C"&amp;$A127))-IF(RTD("tos.rtd",,$A$2,"."&amp;T$83&amp;T$1&amp;"P"&amp;$A127)="N/A",0,RTD("tos.rtd",,$A$2,"."&amp;T$83&amp;T$1&amp;"P"&amp;$A127))</f>
        <v>0</v>
      </c>
      <c r="U127" s="91">
        <f ca="1">IF(RTD("tos.rtd",,$A$2,"."&amp;U$83&amp;U$1&amp;"C"&amp;$A127)="N/A",0,RTD("tos.rtd",,$A$2,"."&amp;U$83&amp;U$1&amp;"C"&amp;$A127))-IF(RTD("tos.rtd",,$A$2,"."&amp;U$83&amp;U$1&amp;"P"&amp;$A127)="N/A",0,RTD("tos.rtd",,$A$2,"."&amp;U$83&amp;U$1&amp;"P"&amp;$A127))</f>
        <v>0</v>
      </c>
      <c r="V127" s="91">
        <f ca="1">IF(RTD("tos.rtd",,$A$2,"."&amp;V$83&amp;V$1&amp;"C"&amp;$A127)="N/A",0,RTD("tos.rtd",,$A$2,"."&amp;V$83&amp;V$1&amp;"C"&amp;$A127))-IF(RTD("tos.rtd",,$A$2,"."&amp;V$83&amp;V$1&amp;"P"&amp;$A127)="N/A",0,RTD("tos.rtd",,$A$2,"."&amp;V$83&amp;V$1&amp;"P"&amp;$A127))</f>
        <v>0</v>
      </c>
      <c r="W127" s="91">
        <f ca="1">IF(RTD("tos.rtd",,$A$2,"."&amp;W$83&amp;W$1&amp;"C"&amp;$A127)="N/A",0,RTD("tos.rtd",,$A$2,"."&amp;W$83&amp;W$1&amp;"C"&amp;$A127))-IF(RTD("tos.rtd",,$A$2,"."&amp;W$83&amp;W$1&amp;"P"&amp;$A127)="N/A",0,RTD("tos.rtd",,$A$2,"."&amp;W$83&amp;W$1&amp;"P"&amp;$A127))</f>
        <v>0</v>
      </c>
      <c r="X127" s="91">
        <f ca="1">IF(RTD("tos.rtd",,$A$2,"."&amp;X$83&amp;X$1&amp;"C"&amp;$A127)="N/A",0,RTD("tos.rtd",,$A$2,"."&amp;X$83&amp;X$1&amp;"C"&amp;$A127))-IF(RTD("tos.rtd",,$A$2,"."&amp;X$83&amp;X$1&amp;"P"&amp;$A127)="N/A",0,RTD("tos.rtd",,$A$2,"."&amp;X$83&amp;X$1&amp;"P"&amp;$A127))</f>
        <v>0</v>
      </c>
      <c r="Y127" s="98">
        <f t="shared" ca="1" si="10"/>
        <v>0</v>
      </c>
    </row>
    <row r="128" spans="1:25" x14ac:dyDescent="0.25">
      <c r="A128" s="93">
        <f>+Hoja1!A127</f>
        <v>5450</v>
      </c>
      <c r="B128" s="91">
        <f ca="1">IF(RTD("tos.rtd",,$A$2,"."&amp;B$83&amp;B$1&amp;"C"&amp;$A128)="N/A",0,RTD("tos.rtd",,$A$2,"."&amp;B$83&amp;B$1&amp;"C"&amp;$A128))-IF(RTD("tos.rtd",,$A$2,"."&amp;B$83&amp;B$1&amp;"P"&amp;$A128)="N/A",0,RTD("tos.rtd",,$A$2,"."&amp;B$83&amp;B$1&amp;"P"&amp;$A128))</f>
        <v>0</v>
      </c>
      <c r="C128" s="91">
        <f ca="1">IF(RTD("tos.rtd",,$A$2,"."&amp;C$83&amp;C$1&amp;"C"&amp;$A128)="N/A",0,RTD("tos.rtd",,$A$2,"."&amp;C$83&amp;C$1&amp;"C"&amp;$A128))-IF(RTD("tos.rtd",,$A$2,"."&amp;C$83&amp;C$1&amp;"P"&amp;$A128)="N/A",0,RTD("tos.rtd",,$A$2,"."&amp;C$83&amp;C$1&amp;"P"&amp;$A128))</f>
        <v>0</v>
      </c>
      <c r="D128" s="91">
        <f ca="1">IF(RTD("tos.rtd",,$A$2,"."&amp;D$83&amp;D$1&amp;"C"&amp;$A128)="N/A",0,RTD("tos.rtd",,$A$2,"."&amp;D$83&amp;D$1&amp;"C"&amp;$A128))-IF(RTD("tos.rtd",,$A$2,"."&amp;D$83&amp;D$1&amp;"P"&amp;$A128)="N/A",0,RTD("tos.rtd",,$A$2,"."&amp;D$83&amp;D$1&amp;"P"&amp;$A128))</f>
        <v>0</v>
      </c>
      <c r="E128" s="91">
        <f ca="1">IF(RTD("tos.rtd",,$A$2,"."&amp;E$83&amp;E$1&amp;"C"&amp;$A128)="N/A",0,RTD("tos.rtd",,$A$2,"."&amp;E$83&amp;E$1&amp;"C"&amp;$A128))-IF(RTD("tos.rtd",,$A$2,"."&amp;E$83&amp;E$1&amp;"P"&amp;$A128)="N/A",0,RTD("tos.rtd",,$A$2,"."&amp;E$83&amp;E$1&amp;"P"&amp;$A128))</f>
        <v>0</v>
      </c>
      <c r="F128" s="91">
        <f ca="1">IF(RTD("tos.rtd",,$A$2,"."&amp;F$83&amp;F$1&amp;"C"&amp;$A128)="N/A",0,RTD("tos.rtd",,$A$2,"."&amp;F$83&amp;F$1&amp;"C"&amp;$A128))-IF(RTD("tos.rtd",,$A$2,"."&amp;F$83&amp;F$1&amp;"P"&amp;$A128)="N/A",0,RTD("tos.rtd",,$A$2,"."&amp;F$83&amp;F$1&amp;"P"&amp;$A128))</f>
        <v>0</v>
      </c>
      <c r="G128" s="91">
        <f ca="1">IF(RTD("tos.rtd",,$A$2,"."&amp;G$83&amp;G$1&amp;"C"&amp;$A128)="N/A",0,RTD("tos.rtd",,$A$2,"."&amp;G$83&amp;G$1&amp;"C"&amp;$A128))-IF(RTD("tos.rtd",,$A$2,"."&amp;G$83&amp;G$1&amp;"P"&amp;$A128)="N/A",0,RTD("tos.rtd",,$A$2,"."&amp;G$83&amp;G$1&amp;"P"&amp;$A128))</f>
        <v>0</v>
      </c>
      <c r="H128" s="91">
        <f ca="1">IF(RTD("tos.rtd",,$A$2,"."&amp;H$83&amp;H$1&amp;"C"&amp;$A128)="N/A",0,RTD("tos.rtd",,$A$2,"."&amp;H$83&amp;H$1&amp;"C"&amp;$A128))-IF(RTD("tos.rtd",,$A$2,"."&amp;H$83&amp;H$1&amp;"P"&amp;$A128)="N/A",0,RTD("tos.rtd",,$A$2,"."&amp;H$83&amp;H$1&amp;"P"&amp;$A128))</f>
        <v>0</v>
      </c>
      <c r="I128" s="91">
        <f ca="1">IF(RTD("tos.rtd",,$A$2,"."&amp;I$83&amp;I$1&amp;"C"&amp;$A128)="N/A",0,RTD("tos.rtd",,$A$2,"."&amp;I$83&amp;I$1&amp;"C"&amp;$A128))-IF(RTD("tos.rtd",,$A$2,"."&amp;I$83&amp;I$1&amp;"P"&amp;$A128)="N/A",0,RTD("tos.rtd",,$A$2,"."&amp;I$83&amp;I$1&amp;"P"&amp;$A128))</f>
        <v>0</v>
      </c>
      <c r="J128" s="91">
        <f ca="1">IF(RTD("tos.rtd",,$A$2,"."&amp;J$83&amp;J$1&amp;"C"&amp;$A128)="N/A",0,RTD("tos.rtd",,$A$2,"."&amp;J$83&amp;J$1&amp;"C"&amp;$A128))-IF(RTD("tos.rtd",,$A$2,"."&amp;J$83&amp;J$1&amp;"P"&amp;$A128)="N/A",0,RTD("tos.rtd",,$A$2,"."&amp;J$83&amp;J$1&amp;"P"&amp;$A128))</f>
        <v>0</v>
      </c>
      <c r="K128" s="91">
        <f ca="1">IF(RTD("tos.rtd",,$A$2,"."&amp;K$83&amp;K$1&amp;"C"&amp;$A128)="N/A",0,RTD("tos.rtd",,$A$2,"."&amp;K$83&amp;K$1&amp;"C"&amp;$A128))-IF(RTD("tos.rtd",,$A$2,"."&amp;K$83&amp;K$1&amp;"P"&amp;$A128)="N/A",0,RTD("tos.rtd",,$A$2,"."&amp;K$83&amp;K$1&amp;"P"&amp;$A128))</f>
        <v>0</v>
      </c>
      <c r="L128" s="91">
        <f ca="1">IF(RTD("tos.rtd",,$A$2,"."&amp;L$83&amp;L$1&amp;"C"&amp;$A128)="N/A",0,RTD("tos.rtd",,$A$2,"."&amp;L$83&amp;L$1&amp;"C"&amp;$A128))-IF(RTD("tos.rtd",,$A$2,"."&amp;L$83&amp;L$1&amp;"P"&amp;$A128)="N/A",0,RTD("tos.rtd",,$A$2,"."&amp;L$83&amp;L$1&amp;"P"&amp;$A128))</f>
        <v>-4</v>
      </c>
      <c r="M128" s="91">
        <f ca="1">IF(RTD("tos.rtd",,$A$2,"."&amp;M$83&amp;M$1&amp;"C"&amp;$A128)="N/A",0,RTD("tos.rtd",,$A$2,"."&amp;M$83&amp;M$1&amp;"C"&amp;$A128))-IF(RTD("tos.rtd",,$A$2,"."&amp;M$83&amp;M$1&amp;"P"&amp;$A128)="N/A",0,RTD("tos.rtd",,$A$2,"."&amp;M$83&amp;M$1&amp;"P"&amp;$A128))</f>
        <v>0</v>
      </c>
      <c r="N128" s="91">
        <f ca="1">IF(RTD("tos.rtd",,$A$2,"."&amp;N$83&amp;N$1&amp;"C"&amp;$A128)="N/A",0,RTD("tos.rtd",,$A$2,"."&amp;N$83&amp;N$1&amp;"C"&amp;$A128))-IF(RTD("tos.rtd",,$A$2,"."&amp;N$83&amp;N$1&amp;"P"&amp;$A128)="N/A",0,RTD("tos.rtd",,$A$2,"."&amp;N$83&amp;N$1&amp;"P"&amp;$A128))</f>
        <v>0</v>
      </c>
      <c r="O128" s="91">
        <f ca="1">IF(RTD("tos.rtd",,$A$2,"."&amp;O$83&amp;O$1&amp;"C"&amp;$A128)="N/A",0,RTD("tos.rtd",,$A$2,"."&amp;O$83&amp;O$1&amp;"C"&amp;$A128))-IF(RTD("tos.rtd",,$A$2,"."&amp;O$83&amp;O$1&amp;"P"&amp;$A128)="N/A",0,RTD("tos.rtd",,$A$2,"."&amp;O$83&amp;O$1&amp;"P"&amp;$A128))</f>
        <v>0</v>
      </c>
      <c r="P128" s="91">
        <f ca="1">IF(RTD("tos.rtd",,$A$2,"."&amp;P$83&amp;P$1&amp;"C"&amp;$A128)="N/A",0,RTD("tos.rtd",,$A$2,"."&amp;P$83&amp;P$1&amp;"C"&amp;$A128))-IF(RTD("tos.rtd",,$A$2,"."&amp;P$83&amp;P$1&amp;"P"&amp;$A128)="N/A",0,RTD("tos.rtd",,$A$2,"."&amp;P$83&amp;P$1&amp;"P"&amp;$A128))</f>
        <v>0</v>
      </c>
      <c r="Q128" s="91">
        <f ca="1">IF(RTD("tos.rtd",,$A$2,"."&amp;Q$83&amp;Q$1&amp;"C"&amp;$A128)="N/A",0,RTD("tos.rtd",,$A$2,"."&amp;Q$83&amp;Q$1&amp;"C"&amp;$A128))-IF(RTD("tos.rtd",,$A$2,"."&amp;Q$83&amp;Q$1&amp;"P"&amp;$A128)="N/A",0,RTD("tos.rtd",,$A$2,"."&amp;Q$83&amp;Q$1&amp;"P"&amp;$A128))</f>
        <v>0</v>
      </c>
      <c r="R128" s="91">
        <f ca="1">IF(RTD("tos.rtd",,$A$2,"."&amp;R$83&amp;R$1&amp;"C"&amp;$A128)="N/A",0,RTD("tos.rtd",,$A$2,"."&amp;R$83&amp;R$1&amp;"C"&amp;$A128))-IF(RTD("tos.rtd",,$A$2,"."&amp;R$83&amp;R$1&amp;"P"&amp;$A128)="N/A",0,RTD("tos.rtd",,$A$2,"."&amp;R$83&amp;R$1&amp;"P"&amp;$A128))</f>
        <v>0</v>
      </c>
      <c r="S128" s="91">
        <f ca="1">IF(RTD("tos.rtd",,$A$2,"."&amp;S$83&amp;S$1&amp;"C"&amp;$A128)="N/A",0,RTD("tos.rtd",,$A$2,"."&amp;S$83&amp;S$1&amp;"C"&amp;$A128))-IF(RTD("tos.rtd",,$A$2,"."&amp;S$83&amp;S$1&amp;"P"&amp;$A128)="N/A",0,RTD("tos.rtd",,$A$2,"."&amp;S$83&amp;S$1&amp;"P"&amp;$A128))</f>
        <v>0</v>
      </c>
      <c r="T128" s="91">
        <f ca="1">IF(RTD("tos.rtd",,$A$2,"."&amp;T$83&amp;T$1&amp;"C"&amp;$A128)="N/A",0,RTD("tos.rtd",,$A$2,"."&amp;T$83&amp;T$1&amp;"C"&amp;$A128))-IF(RTD("tos.rtd",,$A$2,"."&amp;T$83&amp;T$1&amp;"P"&amp;$A128)="N/A",0,RTD("tos.rtd",,$A$2,"."&amp;T$83&amp;T$1&amp;"P"&amp;$A128))</f>
        <v>0</v>
      </c>
      <c r="U128" s="91">
        <f ca="1">IF(RTD("tos.rtd",,$A$2,"."&amp;U$83&amp;U$1&amp;"C"&amp;$A128)="N/A",0,RTD("tos.rtd",,$A$2,"."&amp;U$83&amp;U$1&amp;"C"&amp;$A128))-IF(RTD("tos.rtd",,$A$2,"."&amp;U$83&amp;U$1&amp;"P"&amp;$A128)="N/A",0,RTD("tos.rtd",,$A$2,"."&amp;U$83&amp;U$1&amp;"P"&amp;$A128))</f>
        <v>0</v>
      </c>
      <c r="V128" s="91">
        <f ca="1">IF(RTD("tos.rtd",,$A$2,"."&amp;V$83&amp;V$1&amp;"C"&amp;$A128)="N/A",0,RTD("tos.rtd",,$A$2,"."&amp;V$83&amp;V$1&amp;"C"&amp;$A128))-IF(RTD("tos.rtd",,$A$2,"."&amp;V$83&amp;V$1&amp;"P"&amp;$A128)="N/A",0,RTD("tos.rtd",,$A$2,"."&amp;V$83&amp;V$1&amp;"P"&amp;$A128))</f>
        <v>0</v>
      </c>
      <c r="W128" s="91">
        <f ca="1">IF(RTD("tos.rtd",,$A$2,"."&amp;W$83&amp;W$1&amp;"C"&amp;$A128)="N/A",0,RTD("tos.rtd",,$A$2,"."&amp;W$83&amp;W$1&amp;"C"&amp;$A128))-IF(RTD("tos.rtd",,$A$2,"."&amp;W$83&amp;W$1&amp;"P"&amp;$A128)="N/A",0,RTD("tos.rtd",,$A$2,"."&amp;W$83&amp;W$1&amp;"P"&amp;$A128))</f>
        <v>0</v>
      </c>
      <c r="X128" s="91">
        <f ca="1">IF(RTD("tos.rtd",,$A$2,"."&amp;X$83&amp;X$1&amp;"C"&amp;$A128)="N/A",0,RTD("tos.rtd",,$A$2,"."&amp;X$83&amp;X$1&amp;"C"&amp;$A128))-IF(RTD("tos.rtd",,$A$2,"."&amp;X$83&amp;X$1&amp;"P"&amp;$A128)="N/A",0,RTD("tos.rtd",,$A$2,"."&amp;X$83&amp;X$1&amp;"P"&amp;$A128))</f>
        <v>0</v>
      </c>
      <c r="Y128" s="98">
        <f t="shared" ca="1" si="10"/>
        <v>-4</v>
      </c>
    </row>
    <row r="129" spans="1:27" x14ac:dyDescent="0.25">
      <c r="A129" s="93">
        <f>+Hoja1!A128</f>
        <v>5440</v>
      </c>
      <c r="B129" s="91">
        <f ca="1">IF(RTD("tos.rtd",,$A$2,"."&amp;B$83&amp;B$1&amp;"C"&amp;$A129)="N/A",0,RTD("tos.rtd",,$A$2,"."&amp;B$83&amp;B$1&amp;"C"&amp;$A129))-IF(RTD("tos.rtd",,$A$2,"."&amp;B$83&amp;B$1&amp;"P"&amp;$A129)="N/A",0,RTD("tos.rtd",,$A$2,"."&amp;B$83&amp;B$1&amp;"P"&amp;$A129))</f>
        <v>0</v>
      </c>
      <c r="C129" s="91">
        <f ca="1">IF(RTD("tos.rtd",,$A$2,"."&amp;C$83&amp;C$1&amp;"C"&amp;$A129)="N/A",0,RTD("tos.rtd",,$A$2,"."&amp;C$83&amp;C$1&amp;"C"&amp;$A129))-IF(RTD("tos.rtd",,$A$2,"."&amp;C$83&amp;C$1&amp;"P"&amp;$A129)="N/A",0,RTD("tos.rtd",,$A$2,"."&amp;C$83&amp;C$1&amp;"P"&amp;$A129))</f>
        <v>0</v>
      </c>
      <c r="D129" s="91">
        <f ca="1">IF(RTD("tos.rtd",,$A$2,"."&amp;D$83&amp;D$1&amp;"C"&amp;$A129)="N/A",0,RTD("tos.rtd",,$A$2,"."&amp;D$83&amp;D$1&amp;"C"&amp;$A129))-IF(RTD("tos.rtd",,$A$2,"."&amp;D$83&amp;D$1&amp;"P"&amp;$A129)="N/A",0,RTD("tos.rtd",,$A$2,"."&amp;D$83&amp;D$1&amp;"P"&amp;$A129))</f>
        <v>0</v>
      </c>
      <c r="E129" s="91">
        <f ca="1">IF(RTD("tos.rtd",,$A$2,"."&amp;E$83&amp;E$1&amp;"C"&amp;$A129)="N/A",0,RTD("tos.rtd",,$A$2,"."&amp;E$83&amp;E$1&amp;"C"&amp;$A129))-IF(RTD("tos.rtd",,$A$2,"."&amp;E$83&amp;E$1&amp;"P"&amp;$A129)="N/A",0,RTD("tos.rtd",,$A$2,"."&amp;E$83&amp;E$1&amp;"P"&amp;$A129))</f>
        <v>0</v>
      </c>
      <c r="F129" s="91">
        <f ca="1">IF(RTD("tos.rtd",,$A$2,"."&amp;F$83&amp;F$1&amp;"C"&amp;$A129)="N/A",0,RTD("tos.rtd",,$A$2,"."&amp;F$83&amp;F$1&amp;"C"&amp;$A129))-IF(RTD("tos.rtd",,$A$2,"."&amp;F$83&amp;F$1&amp;"P"&amp;$A129)="N/A",0,RTD("tos.rtd",,$A$2,"."&amp;F$83&amp;F$1&amp;"P"&amp;$A129))</f>
        <v>0</v>
      </c>
      <c r="G129" s="91">
        <f ca="1">IF(RTD("tos.rtd",,$A$2,"."&amp;G$83&amp;G$1&amp;"C"&amp;$A129)="N/A",0,RTD("tos.rtd",,$A$2,"."&amp;G$83&amp;G$1&amp;"C"&amp;$A129))-IF(RTD("tos.rtd",,$A$2,"."&amp;G$83&amp;G$1&amp;"P"&amp;$A129)="N/A",0,RTD("tos.rtd",,$A$2,"."&amp;G$83&amp;G$1&amp;"P"&amp;$A129))</f>
        <v>0</v>
      </c>
      <c r="H129" s="91">
        <f ca="1">IF(RTD("tos.rtd",,$A$2,"."&amp;H$83&amp;H$1&amp;"C"&amp;$A129)="N/A",0,RTD("tos.rtd",,$A$2,"."&amp;H$83&amp;H$1&amp;"C"&amp;$A129))-IF(RTD("tos.rtd",,$A$2,"."&amp;H$83&amp;H$1&amp;"P"&amp;$A129)="N/A",0,RTD("tos.rtd",,$A$2,"."&amp;H$83&amp;H$1&amp;"P"&amp;$A129))</f>
        <v>0</v>
      </c>
      <c r="I129" s="91">
        <f ca="1">IF(RTD("tos.rtd",,$A$2,"."&amp;I$83&amp;I$1&amp;"C"&amp;$A129)="N/A",0,RTD("tos.rtd",,$A$2,"."&amp;I$83&amp;I$1&amp;"C"&amp;$A129))-IF(RTD("tos.rtd",,$A$2,"."&amp;I$83&amp;I$1&amp;"P"&amp;$A129)="N/A",0,RTD("tos.rtd",,$A$2,"."&amp;I$83&amp;I$1&amp;"P"&amp;$A129))</f>
        <v>0</v>
      </c>
      <c r="J129" s="91">
        <f ca="1">IF(RTD("tos.rtd",,$A$2,"."&amp;J$83&amp;J$1&amp;"C"&amp;$A129)="N/A",0,RTD("tos.rtd",,$A$2,"."&amp;J$83&amp;J$1&amp;"C"&amp;$A129))-IF(RTD("tos.rtd",,$A$2,"."&amp;J$83&amp;J$1&amp;"P"&amp;$A129)="N/A",0,RTD("tos.rtd",,$A$2,"."&amp;J$83&amp;J$1&amp;"P"&amp;$A129))</f>
        <v>0</v>
      </c>
      <c r="K129" s="91">
        <f ca="1">IF(RTD("tos.rtd",,$A$2,"."&amp;K$83&amp;K$1&amp;"C"&amp;$A129)="N/A",0,RTD("tos.rtd",,$A$2,"."&amp;K$83&amp;K$1&amp;"C"&amp;$A129))-IF(RTD("tos.rtd",,$A$2,"."&amp;K$83&amp;K$1&amp;"P"&amp;$A129)="N/A",0,RTD("tos.rtd",,$A$2,"."&amp;K$83&amp;K$1&amp;"P"&amp;$A129))</f>
        <v>0</v>
      </c>
      <c r="L129" s="91">
        <f ca="1">IF(RTD("tos.rtd",,$A$2,"."&amp;L$83&amp;L$1&amp;"C"&amp;$A129)="N/A",0,RTD("tos.rtd",,$A$2,"."&amp;L$83&amp;L$1&amp;"C"&amp;$A129))-IF(RTD("tos.rtd",,$A$2,"."&amp;L$83&amp;L$1&amp;"P"&amp;$A129)="N/A",0,RTD("tos.rtd",,$A$2,"."&amp;L$83&amp;L$1&amp;"P"&amp;$A129))</f>
        <v>0</v>
      </c>
      <c r="M129" s="91">
        <f ca="1">IF(RTD("tos.rtd",,$A$2,"."&amp;M$83&amp;M$1&amp;"C"&amp;$A129)="N/A",0,RTD("tos.rtd",,$A$2,"."&amp;M$83&amp;M$1&amp;"C"&amp;$A129))-IF(RTD("tos.rtd",,$A$2,"."&amp;M$83&amp;M$1&amp;"P"&amp;$A129)="N/A",0,RTD("tos.rtd",,$A$2,"."&amp;M$83&amp;M$1&amp;"P"&amp;$A129))</f>
        <v>0</v>
      </c>
      <c r="N129" s="91">
        <f ca="1">IF(RTD("tos.rtd",,$A$2,"."&amp;N$83&amp;N$1&amp;"C"&amp;$A129)="N/A",0,RTD("tos.rtd",,$A$2,"."&amp;N$83&amp;N$1&amp;"C"&amp;$A129))-IF(RTD("tos.rtd",,$A$2,"."&amp;N$83&amp;N$1&amp;"P"&amp;$A129)="N/A",0,RTD("tos.rtd",,$A$2,"."&amp;N$83&amp;N$1&amp;"P"&amp;$A129))</f>
        <v>0</v>
      </c>
      <c r="O129" s="91">
        <f ca="1">IF(RTD("tos.rtd",,$A$2,"."&amp;O$83&amp;O$1&amp;"C"&amp;$A129)="N/A",0,RTD("tos.rtd",,$A$2,"."&amp;O$83&amp;O$1&amp;"C"&amp;$A129))-IF(RTD("tos.rtd",,$A$2,"."&amp;O$83&amp;O$1&amp;"P"&amp;$A129)="N/A",0,RTD("tos.rtd",,$A$2,"."&amp;O$83&amp;O$1&amp;"P"&amp;$A129))</f>
        <v>0</v>
      </c>
      <c r="P129" s="91">
        <f ca="1">IF(RTD("tos.rtd",,$A$2,"."&amp;P$83&amp;P$1&amp;"C"&amp;$A129)="N/A",0,RTD("tos.rtd",,$A$2,"."&amp;P$83&amp;P$1&amp;"C"&amp;$A129))-IF(RTD("tos.rtd",,$A$2,"."&amp;P$83&amp;P$1&amp;"P"&amp;$A129)="N/A",0,RTD("tos.rtd",,$A$2,"."&amp;P$83&amp;P$1&amp;"P"&amp;$A129))</f>
        <v>0</v>
      </c>
      <c r="Q129" s="91">
        <f ca="1">IF(RTD("tos.rtd",,$A$2,"."&amp;Q$83&amp;Q$1&amp;"C"&amp;$A129)="N/A",0,RTD("tos.rtd",,$A$2,"."&amp;Q$83&amp;Q$1&amp;"C"&amp;$A129))-IF(RTD("tos.rtd",,$A$2,"."&amp;Q$83&amp;Q$1&amp;"P"&amp;$A129)="N/A",0,RTD("tos.rtd",,$A$2,"."&amp;Q$83&amp;Q$1&amp;"P"&amp;$A129))</f>
        <v>0</v>
      </c>
      <c r="R129" s="91">
        <f ca="1">IF(RTD("tos.rtd",,$A$2,"."&amp;R$83&amp;R$1&amp;"C"&amp;$A129)="N/A",0,RTD("tos.rtd",,$A$2,"."&amp;R$83&amp;R$1&amp;"C"&amp;$A129))-IF(RTD("tos.rtd",,$A$2,"."&amp;R$83&amp;R$1&amp;"P"&amp;$A129)="N/A",0,RTD("tos.rtd",,$A$2,"."&amp;R$83&amp;R$1&amp;"P"&amp;$A129))</f>
        <v>0</v>
      </c>
      <c r="S129" s="91">
        <f ca="1">IF(RTD("tos.rtd",,$A$2,"."&amp;S$83&amp;S$1&amp;"C"&amp;$A129)="N/A",0,RTD("tos.rtd",,$A$2,"."&amp;S$83&amp;S$1&amp;"C"&amp;$A129))-IF(RTD("tos.rtd",,$A$2,"."&amp;S$83&amp;S$1&amp;"P"&amp;$A129)="N/A",0,RTD("tos.rtd",,$A$2,"."&amp;S$83&amp;S$1&amp;"P"&amp;$A129))</f>
        <v>0</v>
      </c>
      <c r="T129" s="91">
        <f ca="1">IF(RTD("tos.rtd",,$A$2,"."&amp;T$83&amp;T$1&amp;"C"&amp;$A129)="N/A",0,RTD("tos.rtd",,$A$2,"."&amp;T$83&amp;T$1&amp;"C"&amp;$A129))-IF(RTD("tos.rtd",,$A$2,"."&amp;T$83&amp;T$1&amp;"P"&amp;$A129)="N/A",0,RTD("tos.rtd",,$A$2,"."&amp;T$83&amp;T$1&amp;"P"&amp;$A129))</f>
        <v>0</v>
      </c>
      <c r="U129" s="91">
        <f ca="1">IF(RTD("tos.rtd",,$A$2,"."&amp;U$83&amp;U$1&amp;"C"&amp;$A129)="N/A",0,RTD("tos.rtd",,$A$2,"."&amp;U$83&amp;U$1&amp;"C"&amp;$A129))-IF(RTD("tos.rtd",,$A$2,"."&amp;U$83&amp;U$1&amp;"P"&amp;$A129)="N/A",0,RTD("tos.rtd",,$A$2,"."&amp;U$83&amp;U$1&amp;"P"&amp;$A129))</f>
        <v>0</v>
      </c>
      <c r="V129" s="91">
        <f ca="1">IF(RTD("tos.rtd",,$A$2,"."&amp;V$83&amp;V$1&amp;"C"&amp;$A129)="N/A",0,RTD("tos.rtd",,$A$2,"."&amp;V$83&amp;V$1&amp;"C"&amp;$A129))-IF(RTD("tos.rtd",,$A$2,"."&amp;V$83&amp;V$1&amp;"P"&amp;$A129)="N/A",0,RTD("tos.rtd",,$A$2,"."&amp;V$83&amp;V$1&amp;"P"&amp;$A129))</f>
        <v>0</v>
      </c>
      <c r="W129" s="91">
        <f ca="1">IF(RTD("tos.rtd",,$A$2,"."&amp;W$83&amp;W$1&amp;"C"&amp;$A129)="N/A",0,RTD("tos.rtd",,$A$2,"."&amp;W$83&amp;W$1&amp;"C"&amp;$A129))-IF(RTD("tos.rtd",,$A$2,"."&amp;W$83&amp;W$1&amp;"P"&amp;$A129)="N/A",0,RTD("tos.rtd",,$A$2,"."&amp;W$83&amp;W$1&amp;"P"&amp;$A129))</f>
        <v>0</v>
      </c>
      <c r="X129" s="91">
        <f ca="1">IF(RTD("tos.rtd",,$A$2,"."&amp;X$83&amp;X$1&amp;"C"&amp;$A129)="N/A",0,RTD("tos.rtd",,$A$2,"."&amp;X$83&amp;X$1&amp;"C"&amp;$A129))-IF(RTD("tos.rtd",,$A$2,"."&amp;X$83&amp;X$1&amp;"P"&amp;$A129)="N/A",0,RTD("tos.rtd",,$A$2,"."&amp;X$83&amp;X$1&amp;"P"&amp;$A129))</f>
        <v>0</v>
      </c>
      <c r="Y129" s="98">
        <f t="shared" ca="1" si="10"/>
        <v>0</v>
      </c>
    </row>
    <row r="130" spans="1:27" x14ac:dyDescent="0.25">
      <c r="A130" s="93">
        <f>+Hoja1!A129</f>
        <v>5430</v>
      </c>
      <c r="B130" s="91">
        <f ca="1">IF(RTD("tos.rtd",,$A$2,"."&amp;B$83&amp;B$1&amp;"C"&amp;$A130)="N/A",0,RTD("tos.rtd",,$A$2,"."&amp;B$83&amp;B$1&amp;"C"&amp;$A130))-IF(RTD("tos.rtd",,$A$2,"."&amp;B$83&amp;B$1&amp;"P"&amp;$A130)="N/A",0,RTD("tos.rtd",,$A$2,"."&amp;B$83&amp;B$1&amp;"P"&amp;$A130))</f>
        <v>0</v>
      </c>
      <c r="C130" s="91">
        <f ca="1">IF(RTD("tos.rtd",,$A$2,"."&amp;C$83&amp;C$1&amp;"C"&amp;$A130)="N/A",0,RTD("tos.rtd",,$A$2,"."&amp;C$83&amp;C$1&amp;"C"&amp;$A130))-IF(RTD("tos.rtd",,$A$2,"."&amp;C$83&amp;C$1&amp;"P"&amp;$A130)="N/A",0,RTD("tos.rtd",,$A$2,"."&amp;C$83&amp;C$1&amp;"P"&amp;$A130))</f>
        <v>0</v>
      </c>
      <c r="D130" s="91">
        <f ca="1">IF(RTD("tos.rtd",,$A$2,"."&amp;D$83&amp;D$1&amp;"C"&amp;$A130)="N/A",0,RTD("tos.rtd",,$A$2,"."&amp;D$83&amp;D$1&amp;"C"&amp;$A130))-IF(RTD("tos.rtd",,$A$2,"."&amp;D$83&amp;D$1&amp;"P"&amp;$A130)="N/A",0,RTD("tos.rtd",,$A$2,"."&amp;D$83&amp;D$1&amp;"P"&amp;$A130))</f>
        <v>0</v>
      </c>
      <c r="E130" s="91">
        <f ca="1">IF(RTD("tos.rtd",,$A$2,"."&amp;E$83&amp;E$1&amp;"C"&amp;$A130)="N/A",0,RTD("tos.rtd",,$A$2,"."&amp;E$83&amp;E$1&amp;"C"&amp;$A130))-IF(RTD("tos.rtd",,$A$2,"."&amp;E$83&amp;E$1&amp;"P"&amp;$A130)="N/A",0,RTD("tos.rtd",,$A$2,"."&amp;E$83&amp;E$1&amp;"P"&amp;$A130))</f>
        <v>0</v>
      </c>
      <c r="F130" s="91">
        <f ca="1">IF(RTD("tos.rtd",,$A$2,"."&amp;F$83&amp;F$1&amp;"C"&amp;$A130)="N/A",0,RTD("tos.rtd",,$A$2,"."&amp;F$83&amp;F$1&amp;"C"&amp;$A130))-IF(RTD("tos.rtd",,$A$2,"."&amp;F$83&amp;F$1&amp;"P"&amp;$A130)="N/A",0,RTD("tos.rtd",,$A$2,"."&amp;F$83&amp;F$1&amp;"P"&amp;$A130))</f>
        <v>0</v>
      </c>
      <c r="G130" s="91">
        <f ca="1">IF(RTD("tos.rtd",,$A$2,"."&amp;G$83&amp;G$1&amp;"C"&amp;$A130)="N/A",0,RTD("tos.rtd",,$A$2,"."&amp;G$83&amp;G$1&amp;"C"&amp;$A130))-IF(RTD("tos.rtd",,$A$2,"."&amp;G$83&amp;G$1&amp;"P"&amp;$A130)="N/A",0,RTD("tos.rtd",,$A$2,"."&amp;G$83&amp;G$1&amp;"P"&amp;$A130))</f>
        <v>0</v>
      </c>
      <c r="H130" s="91">
        <f ca="1">IF(RTD("tos.rtd",,$A$2,"."&amp;H$83&amp;H$1&amp;"C"&amp;$A130)="N/A",0,RTD("tos.rtd",,$A$2,"."&amp;H$83&amp;H$1&amp;"C"&amp;$A130))-IF(RTD("tos.rtd",,$A$2,"."&amp;H$83&amp;H$1&amp;"P"&amp;$A130)="N/A",0,RTD("tos.rtd",,$A$2,"."&amp;H$83&amp;H$1&amp;"P"&amp;$A130))</f>
        <v>0</v>
      </c>
      <c r="I130" s="91">
        <f ca="1">IF(RTD("tos.rtd",,$A$2,"."&amp;I$83&amp;I$1&amp;"C"&amp;$A130)="N/A",0,RTD("tos.rtd",,$A$2,"."&amp;I$83&amp;I$1&amp;"C"&amp;$A130))-IF(RTD("tos.rtd",,$A$2,"."&amp;I$83&amp;I$1&amp;"P"&amp;$A130)="N/A",0,RTD("tos.rtd",,$A$2,"."&amp;I$83&amp;I$1&amp;"P"&amp;$A130))</f>
        <v>0</v>
      </c>
      <c r="J130" s="91">
        <f ca="1">IF(RTD("tos.rtd",,$A$2,"."&amp;J$83&amp;J$1&amp;"C"&amp;$A130)="N/A",0,RTD("tos.rtd",,$A$2,"."&amp;J$83&amp;J$1&amp;"C"&amp;$A130))-IF(RTD("tos.rtd",,$A$2,"."&amp;J$83&amp;J$1&amp;"P"&amp;$A130)="N/A",0,RTD("tos.rtd",,$A$2,"."&amp;J$83&amp;J$1&amp;"P"&amp;$A130))</f>
        <v>0</v>
      </c>
      <c r="K130" s="91">
        <f ca="1">IF(RTD("tos.rtd",,$A$2,"."&amp;K$83&amp;K$1&amp;"C"&amp;$A130)="N/A",0,RTD("tos.rtd",,$A$2,"."&amp;K$83&amp;K$1&amp;"C"&amp;$A130))-IF(RTD("tos.rtd",,$A$2,"."&amp;K$83&amp;K$1&amp;"P"&amp;$A130)="N/A",0,RTD("tos.rtd",,$A$2,"."&amp;K$83&amp;K$1&amp;"P"&amp;$A130))</f>
        <v>0</v>
      </c>
      <c r="L130" s="91">
        <f ca="1">IF(RTD("tos.rtd",,$A$2,"."&amp;L$83&amp;L$1&amp;"C"&amp;$A130)="N/A",0,RTD("tos.rtd",,$A$2,"."&amp;L$83&amp;L$1&amp;"C"&amp;$A130))-IF(RTD("tos.rtd",,$A$2,"."&amp;L$83&amp;L$1&amp;"P"&amp;$A130)="N/A",0,RTD("tos.rtd",,$A$2,"."&amp;L$83&amp;L$1&amp;"P"&amp;$A130))</f>
        <v>0</v>
      </c>
      <c r="M130" s="91">
        <f ca="1">IF(RTD("tos.rtd",,$A$2,"."&amp;M$83&amp;M$1&amp;"C"&amp;$A130)="N/A",0,RTD("tos.rtd",,$A$2,"."&amp;M$83&amp;M$1&amp;"C"&amp;$A130))-IF(RTD("tos.rtd",,$A$2,"."&amp;M$83&amp;M$1&amp;"P"&amp;$A130)="N/A",0,RTD("tos.rtd",,$A$2,"."&amp;M$83&amp;M$1&amp;"P"&amp;$A130))</f>
        <v>0</v>
      </c>
      <c r="N130" s="91">
        <f ca="1">IF(RTD("tos.rtd",,$A$2,"."&amp;N$83&amp;N$1&amp;"C"&amp;$A130)="N/A",0,RTD("tos.rtd",,$A$2,"."&amp;N$83&amp;N$1&amp;"C"&amp;$A130))-IF(RTD("tos.rtd",,$A$2,"."&amp;N$83&amp;N$1&amp;"P"&amp;$A130)="N/A",0,RTD("tos.rtd",,$A$2,"."&amp;N$83&amp;N$1&amp;"P"&amp;$A130))</f>
        <v>0</v>
      </c>
      <c r="O130" s="91">
        <f ca="1">IF(RTD("tos.rtd",,$A$2,"."&amp;O$83&amp;O$1&amp;"C"&amp;$A130)="N/A",0,RTD("tos.rtd",,$A$2,"."&amp;O$83&amp;O$1&amp;"C"&amp;$A130))-IF(RTD("tos.rtd",,$A$2,"."&amp;O$83&amp;O$1&amp;"P"&amp;$A130)="N/A",0,RTD("tos.rtd",,$A$2,"."&amp;O$83&amp;O$1&amp;"P"&amp;$A130))</f>
        <v>0</v>
      </c>
      <c r="P130" s="91">
        <f ca="1">IF(RTD("tos.rtd",,$A$2,"."&amp;P$83&amp;P$1&amp;"C"&amp;$A130)="N/A",0,RTD("tos.rtd",,$A$2,"."&amp;P$83&amp;P$1&amp;"C"&amp;$A130))-IF(RTD("tos.rtd",,$A$2,"."&amp;P$83&amp;P$1&amp;"P"&amp;$A130)="N/A",0,RTD("tos.rtd",,$A$2,"."&amp;P$83&amp;P$1&amp;"P"&amp;$A130))</f>
        <v>0</v>
      </c>
      <c r="Q130" s="91">
        <f ca="1">IF(RTD("tos.rtd",,$A$2,"."&amp;Q$83&amp;Q$1&amp;"C"&amp;$A130)="N/A",0,RTD("tos.rtd",,$A$2,"."&amp;Q$83&amp;Q$1&amp;"C"&amp;$A130))-IF(RTD("tos.rtd",,$A$2,"."&amp;Q$83&amp;Q$1&amp;"P"&amp;$A130)="N/A",0,RTD("tos.rtd",,$A$2,"."&amp;Q$83&amp;Q$1&amp;"P"&amp;$A130))</f>
        <v>0</v>
      </c>
      <c r="R130" s="91">
        <f ca="1">IF(RTD("tos.rtd",,$A$2,"."&amp;R$83&amp;R$1&amp;"C"&amp;$A130)="N/A",0,RTD("tos.rtd",,$A$2,"."&amp;R$83&amp;R$1&amp;"C"&amp;$A130))-IF(RTD("tos.rtd",,$A$2,"."&amp;R$83&amp;R$1&amp;"P"&amp;$A130)="N/A",0,RTD("tos.rtd",,$A$2,"."&amp;R$83&amp;R$1&amp;"P"&amp;$A130))</f>
        <v>0</v>
      </c>
      <c r="S130" s="91">
        <f ca="1">IF(RTD("tos.rtd",,$A$2,"."&amp;S$83&amp;S$1&amp;"C"&amp;$A130)="N/A",0,RTD("tos.rtd",,$A$2,"."&amp;S$83&amp;S$1&amp;"C"&amp;$A130))-IF(RTD("tos.rtd",,$A$2,"."&amp;S$83&amp;S$1&amp;"P"&amp;$A130)="N/A",0,RTD("tos.rtd",,$A$2,"."&amp;S$83&amp;S$1&amp;"P"&amp;$A130))</f>
        <v>0</v>
      </c>
      <c r="T130" s="91">
        <f ca="1">IF(RTD("tos.rtd",,$A$2,"."&amp;T$83&amp;T$1&amp;"C"&amp;$A130)="N/A",0,RTD("tos.rtd",,$A$2,"."&amp;T$83&amp;T$1&amp;"C"&amp;$A130))-IF(RTD("tos.rtd",,$A$2,"."&amp;T$83&amp;T$1&amp;"P"&amp;$A130)="N/A",0,RTD("tos.rtd",,$A$2,"."&amp;T$83&amp;T$1&amp;"P"&amp;$A130))</f>
        <v>0</v>
      </c>
      <c r="U130" s="91">
        <f ca="1">IF(RTD("tos.rtd",,$A$2,"."&amp;U$83&amp;U$1&amp;"C"&amp;$A130)="N/A",0,RTD("tos.rtd",,$A$2,"."&amp;U$83&amp;U$1&amp;"C"&amp;$A130))-IF(RTD("tos.rtd",,$A$2,"."&amp;U$83&amp;U$1&amp;"P"&amp;$A130)="N/A",0,RTD("tos.rtd",,$A$2,"."&amp;U$83&amp;U$1&amp;"P"&amp;$A130))</f>
        <v>0</v>
      </c>
      <c r="V130" s="91">
        <f ca="1">IF(RTD("tos.rtd",,$A$2,"."&amp;V$83&amp;V$1&amp;"C"&amp;$A130)="N/A",0,RTD("tos.rtd",,$A$2,"."&amp;V$83&amp;V$1&amp;"C"&amp;$A130))-IF(RTD("tos.rtd",,$A$2,"."&amp;V$83&amp;V$1&amp;"P"&amp;$A130)="N/A",0,RTD("tos.rtd",,$A$2,"."&amp;V$83&amp;V$1&amp;"P"&amp;$A130))</f>
        <v>0</v>
      </c>
      <c r="W130" s="91">
        <f ca="1">IF(RTD("tos.rtd",,$A$2,"."&amp;W$83&amp;W$1&amp;"C"&amp;$A130)="N/A",0,RTD("tos.rtd",,$A$2,"."&amp;W$83&amp;W$1&amp;"C"&amp;$A130))-IF(RTD("tos.rtd",,$A$2,"."&amp;W$83&amp;W$1&amp;"P"&amp;$A130)="N/A",0,RTD("tos.rtd",,$A$2,"."&amp;W$83&amp;W$1&amp;"P"&amp;$A130))</f>
        <v>0</v>
      </c>
      <c r="X130" s="91">
        <f ca="1">IF(RTD("tos.rtd",,$A$2,"."&amp;X$83&amp;X$1&amp;"C"&amp;$A130)="N/A",0,RTD("tos.rtd",,$A$2,"."&amp;X$83&amp;X$1&amp;"C"&amp;$A130))-IF(RTD("tos.rtd",,$A$2,"."&amp;X$83&amp;X$1&amp;"P"&amp;$A130)="N/A",0,RTD("tos.rtd",,$A$2,"."&amp;X$83&amp;X$1&amp;"P"&amp;$A130))</f>
        <v>0</v>
      </c>
      <c r="Y130" s="98">
        <f t="shared" ca="1" si="10"/>
        <v>0</v>
      </c>
    </row>
    <row r="131" spans="1:27" x14ac:dyDescent="0.25">
      <c r="A131" s="93">
        <f>+Hoja1!A130</f>
        <v>5420</v>
      </c>
      <c r="B131" s="91">
        <f ca="1">IF(RTD("tos.rtd",,$A$2,"."&amp;B$83&amp;B$1&amp;"C"&amp;$A131)="N/A",0,RTD("tos.rtd",,$A$2,"."&amp;B$83&amp;B$1&amp;"C"&amp;$A131))-IF(RTD("tos.rtd",,$A$2,"."&amp;B$83&amp;B$1&amp;"P"&amp;$A131)="N/A",0,RTD("tos.rtd",,$A$2,"."&amp;B$83&amp;B$1&amp;"P"&amp;$A131))</f>
        <v>0</v>
      </c>
      <c r="C131" s="91">
        <f ca="1">IF(RTD("tos.rtd",,$A$2,"."&amp;C$83&amp;C$1&amp;"C"&amp;$A131)="N/A",0,RTD("tos.rtd",,$A$2,"."&amp;C$83&amp;C$1&amp;"C"&amp;$A131))-IF(RTD("tos.rtd",,$A$2,"."&amp;C$83&amp;C$1&amp;"P"&amp;$A131)="N/A",0,RTD("tos.rtd",,$A$2,"."&amp;C$83&amp;C$1&amp;"P"&amp;$A131))</f>
        <v>0</v>
      </c>
      <c r="D131" s="91">
        <f ca="1">IF(RTD("tos.rtd",,$A$2,"."&amp;D$83&amp;D$1&amp;"C"&amp;$A131)="N/A",0,RTD("tos.rtd",,$A$2,"."&amp;D$83&amp;D$1&amp;"C"&amp;$A131))-IF(RTD("tos.rtd",,$A$2,"."&amp;D$83&amp;D$1&amp;"P"&amp;$A131)="N/A",0,RTD("tos.rtd",,$A$2,"."&amp;D$83&amp;D$1&amp;"P"&amp;$A131))</f>
        <v>0</v>
      </c>
      <c r="E131" s="91">
        <f ca="1">IF(RTD("tos.rtd",,$A$2,"."&amp;E$83&amp;E$1&amp;"C"&amp;$A131)="N/A",0,RTD("tos.rtd",,$A$2,"."&amp;E$83&amp;E$1&amp;"C"&amp;$A131))-IF(RTD("tos.rtd",,$A$2,"."&amp;E$83&amp;E$1&amp;"P"&amp;$A131)="N/A",0,RTD("tos.rtd",,$A$2,"."&amp;E$83&amp;E$1&amp;"P"&amp;$A131))</f>
        <v>0</v>
      </c>
      <c r="F131" s="91">
        <f ca="1">IF(RTD("tos.rtd",,$A$2,"."&amp;F$83&amp;F$1&amp;"C"&amp;$A131)="N/A",0,RTD("tos.rtd",,$A$2,"."&amp;F$83&amp;F$1&amp;"C"&amp;$A131))-IF(RTD("tos.rtd",,$A$2,"."&amp;F$83&amp;F$1&amp;"P"&amp;$A131)="N/A",0,RTD("tos.rtd",,$A$2,"."&amp;F$83&amp;F$1&amp;"P"&amp;$A131))</f>
        <v>0</v>
      </c>
      <c r="G131" s="91">
        <f ca="1">IF(RTD("tos.rtd",,$A$2,"."&amp;G$83&amp;G$1&amp;"C"&amp;$A131)="N/A",0,RTD("tos.rtd",,$A$2,"."&amp;G$83&amp;G$1&amp;"C"&amp;$A131))-IF(RTD("tos.rtd",,$A$2,"."&amp;G$83&amp;G$1&amp;"P"&amp;$A131)="N/A",0,RTD("tos.rtd",,$A$2,"."&amp;G$83&amp;G$1&amp;"P"&amp;$A131))</f>
        <v>0</v>
      </c>
      <c r="H131" s="91">
        <f ca="1">IF(RTD("tos.rtd",,$A$2,"."&amp;H$83&amp;H$1&amp;"C"&amp;$A131)="N/A",0,RTD("tos.rtd",,$A$2,"."&amp;H$83&amp;H$1&amp;"C"&amp;$A131))-IF(RTD("tos.rtd",,$A$2,"."&amp;H$83&amp;H$1&amp;"P"&amp;$A131)="N/A",0,RTD("tos.rtd",,$A$2,"."&amp;H$83&amp;H$1&amp;"P"&amp;$A131))</f>
        <v>0</v>
      </c>
      <c r="I131" s="91">
        <f ca="1">IF(RTD("tos.rtd",,$A$2,"."&amp;I$83&amp;I$1&amp;"C"&amp;$A131)="N/A",0,RTD("tos.rtd",,$A$2,"."&amp;I$83&amp;I$1&amp;"C"&amp;$A131))-IF(RTD("tos.rtd",,$A$2,"."&amp;I$83&amp;I$1&amp;"P"&amp;$A131)="N/A",0,RTD("tos.rtd",,$A$2,"."&amp;I$83&amp;I$1&amp;"P"&amp;$A131))</f>
        <v>0</v>
      </c>
      <c r="J131" s="91">
        <f ca="1">IF(RTD("tos.rtd",,$A$2,"."&amp;J$83&amp;J$1&amp;"C"&amp;$A131)="N/A",0,RTD("tos.rtd",,$A$2,"."&amp;J$83&amp;J$1&amp;"C"&amp;$A131))-IF(RTD("tos.rtd",,$A$2,"."&amp;J$83&amp;J$1&amp;"P"&amp;$A131)="N/A",0,RTD("tos.rtd",,$A$2,"."&amp;J$83&amp;J$1&amp;"P"&amp;$A131))</f>
        <v>0</v>
      </c>
      <c r="K131" s="91">
        <f ca="1">IF(RTD("tos.rtd",,$A$2,"."&amp;K$83&amp;K$1&amp;"C"&amp;$A131)="N/A",0,RTD("tos.rtd",,$A$2,"."&amp;K$83&amp;K$1&amp;"C"&amp;$A131))-IF(RTD("tos.rtd",,$A$2,"."&amp;K$83&amp;K$1&amp;"P"&amp;$A131)="N/A",0,RTD("tos.rtd",,$A$2,"."&amp;K$83&amp;K$1&amp;"P"&amp;$A131))</f>
        <v>0</v>
      </c>
      <c r="L131" s="91">
        <f ca="1">IF(RTD("tos.rtd",,$A$2,"."&amp;L$83&amp;L$1&amp;"C"&amp;$A131)="N/A",0,RTD("tos.rtd",,$A$2,"."&amp;L$83&amp;L$1&amp;"C"&amp;$A131))-IF(RTD("tos.rtd",,$A$2,"."&amp;L$83&amp;L$1&amp;"P"&amp;$A131)="N/A",0,RTD("tos.rtd",,$A$2,"."&amp;L$83&amp;L$1&amp;"P"&amp;$A131))</f>
        <v>0</v>
      </c>
      <c r="M131" s="91">
        <f ca="1">IF(RTD("tos.rtd",,$A$2,"."&amp;M$83&amp;M$1&amp;"C"&amp;$A131)="N/A",0,RTD("tos.rtd",,$A$2,"."&amp;M$83&amp;M$1&amp;"C"&amp;$A131))-IF(RTD("tos.rtd",,$A$2,"."&amp;M$83&amp;M$1&amp;"P"&amp;$A131)="N/A",0,RTD("tos.rtd",,$A$2,"."&amp;M$83&amp;M$1&amp;"P"&amp;$A131))</f>
        <v>0</v>
      </c>
      <c r="N131" s="91">
        <f ca="1">IF(RTD("tos.rtd",,$A$2,"."&amp;N$83&amp;N$1&amp;"C"&amp;$A131)="N/A",0,RTD("tos.rtd",,$A$2,"."&amp;N$83&amp;N$1&amp;"C"&amp;$A131))-IF(RTD("tos.rtd",,$A$2,"."&amp;N$83&amp;N$1&amp;"P"&amp;$A131)="N/A",0,RTD("tos.rtd",,$A$2,"."&amp;N$83&amp;N$1&amp;"P"&amp;$A131))</f>
        <v>0</v>
      </c>
      <c r="O131" s="91">
        <f ca="1">IF(RTD("tos.rtd",,$A$2,"."&amp;O$83&amp;O$1&amp;"C"&amp;$A131)="N/A",0,RTD("tos.rtd",,$A$2,"."&amp;O$83&amp;O$1&amp;"C"&amp;$A131))-IF(RTD("tos.rtd",,$A$2,"."&amp;O$83&amp;O$1&amp;"P"&amp;$A131)="N/A",0,RTD("tos.rtd",,$A$2,"."&amp;O$83&amp;O$1&amp;"P"&amp;$A131))</f>
        <v>0</v>
      </c>
      <c r="P131" s="91">
        <f ca="1">IF(RTD("tos.rtd",,$A$2,"."&amp;P$83&amp;P$1&amp;"C"&amp;$A131)="N/A",0,RTD("tos.rtd",,$A$2,"."&amp;P$83&amp;P$1&amp;"C"&amp;$A131))-IF(RTD("tos.rtd",,$A$2,"."&amp;P$83&amp;P$1&amp;"P"&amp;$A131)="N/A",0,RTD("tos.rtd",,$A$2,"."&amp;P$83&amp;P$1&amp;"P"&amp;$A131))</f>
        <v>0</v>
      </c>
      <c r="Q131" s="91">
        <f ca="1">IF(RTD("tos.rtd",,$A$2,"."&amp;Q$83&amp;Q$1&amp;"C"&amp;$A131)="N/A",0,RTD("tos.rtd",,$A$2,"."&amp;Q$83&amp;Q$1&amp;"C"&amp;$A131))-IF(RTD("tos.rtd",,$A$2,"."&amp;Q$83&amp;Q$1&amp;"P"&amp;$A131)="N/A",0,RTD("tos.rtd",,$A$2,"."&amp;Q$83&amp;Q$1&amp;"P"&amp;$A131))</f>
        <v>0</v>
      </c>
      <c r="R131" s="91">
        <f ca="1">IF(RTD("tos.rtd",,$A$2,"."&amp;R$83&amp;R$1&amp;"C"&amp;$A131)="N/A",0,RTD("tos.rtd",,$A$2,"."&amp;R$83&amp;R$1&amp;"C"&amp;$A131))-IF(RTD("tos.rtd",,$A$2,"."&amp;R$83&amp;R$1&amp;"P"&amp;$A131)="N/A",0,RTD("tos.rtd",,$A$2,"."&amp;R$83&amp;R$1&amp;"P"&amp;$A131))</f>
        <v>0</v>
      </c>
      <c r="S131" s="91">
        <f ca="1">IF(RTD("tos.rtd",,$A$2,"."&amp;S$83&amp;S$1&amp;"C"&amp;$A131)="N/A",0,RTD("tos.rtd",,$A$2,"."&amp;S$83&amp;S$1&amp;"C"&amp;$A131))-IF(RTD("tos.rtd",,$A$2,"."&amp;S$83&amp;S$1&amp;"P"&amp;$A131)="N/A",0,RTD("tos.rtd",,$A$2,"."&amp;S$83&amp;S$1&amp;"P"&amp;$A131))</f>
        <v>0</v>
      </c>
      <c r="T131" s="91">
        <f ca="1">IF(RTD("tos.rtd",,$A$2,"."&amp;T$83&amp;T$1&amp;"C"&amp;$A131)="N/A",0,RTD("tos.rtd",,$A$2,"."&amp;T$83&amp;T$1&amp;"C"&amp;$A131))-IF(RTD("tos.rtd",,$A$2,"."&amp;T$83&amp;T$1&amp;"P"&amp;$A131)="N/A",0,RTD("tos.rtd",,$A$2,"."&amp;T$83&amp;T$1&amp;"P"&amp;$A131))</f>
        <v>0</v>
      </c>
      <c r="U131" s="91">
        <f ca="1">IF(RTD("tos.rtd",,$A$2,"."&amp;U$83&amp;U$1&amp;"C"&amp;$A131)="N/A",0,RTD("tos.rtd",,$A$2,"."&amp;U$83&amp;U$1&amp;"C"&amp;$A131))-IF(RTD("tos.rtd",,$A$2,"."&amp;U$83&amp;U$1&amp;"P"&amp;$A131)="N/A",0,RTD("tos.rtd",,$A$2,"."&amp;U$83&amp;U$1&amp;"P"&amp;$A131))</f>
        <v>0</v>
      </c>
      <c r="V131" s="91">
        <f ca="1">IF(RTD("tos.rtd",,$A$2,"."&amp;V$83&amp;V$1&amp;"C"&amp;$A131)="N/A",0,RTD("tos.rtd",,$A$2,"."&amp;V$83&amp;V$1&amp;"C"&amp;$A131))-IF(RTD("tos.rtd",,$A$2,"."&amp;V$83&amp;V$1&amp;"P"&amp;$A131)="N/A",0,RTD("tos.rtd",,$A$2,"."&amp;V$83&amp;V$1&amp;"P"&amp;$A131))</f>
        <v>0</v>
      </c>
      <c r="W131" s="91">
        <f ca="1">IF(RTD("tos.rtd",,$A$2,"."&amp;W$83&amp;W$1&amp;"C"&amp;$A131)="N/A",0,RTD("tos.rtd",,$A$2,"."&amp;W$83&amp;W$1&amp;"C"&amp;$A131))-IF(RTD("tos.rtd",,$A$2,"."&amp;W$83&amp;W$1&amp;"P"&amp;$A131)="N/A",0,RTD("tos.rtd",,$A$2,"."&amp;W$83&amp;W$1&amp;"P"&amp;$A131))</f>
        <v>0</v>
      </c>
      <c r="X131" s="91">
        <f ca="1">IF(RTD("tos.rtd",,$A$2,"."&amp;X$83&amp;X$1&amp;"C"&amp;$A131)="N/A",0,RTD("tos.rtd",,$A$2,"."&amp;X$83&amp;X$1&amp;"C"&amp;$A131))-IF(RTD("tos.rtd",,$A$2,"."&amp;X$83&amp;X$1&amp;"P"&amp;$A131)="N/A",0,RTD("tos.rtd",,$A$2,"."&amp;X$83&amp;X$1&amp;"P"&amp;$A131))</f>
        <v>0</v>
      </c>
      <c r="Y131" s="98">
        <f t="shared" ca="1" si="10"/>
        <v>0</v>
      </c>
    </row>
    <row r="132" spans="1:27" x14ac:dyDescent="0.25">
      <c r="A132" s="93">
        <f>+Hoja1!A131</f>
        <v>0</v>
      </c>
    </row>
    <row r="133" spans="1:27" x14ac:dyDescent="0.25">
      <c r="A133" s="93">
        <f>+Hoja1!A132</f>
        <v>0</v>
      </c>
    </row>
    <row r="134" spans="1:27" x14ac:dyDescent="0.25">
      <c r="A134" s="93">
        <f>+Hoja1!A133</f>
        <v>25</v>
      </c>
      <c r="B134" s="92" t="str">
        <f ca="1">+B82</f>
        <v/>
      </c>
      <c r="C134" s="92" t="str">
        <f t="shared" ref="C134:X134" ca="1" si="11">+C82</f>
        <v/>
      </c>
      <c r="D134" s="92" t="str">
        <f t="shared" ca="1" si="11"/>
        <v/>
      </c>
      <c r="E134" s="92" t="str">
        <f t="shared" ca="1" si="11"/>
        <v/>
      </c>
      <c r="F134" s="92" t="str">
        <f t="shared" ca="1" si="11"/>
        <v/>
      </c>
      <c r="G134" s="92" t="str">
        <f t="shared" ca="1" si="11"/>
        <v/>
      </c>
      <c r="H134" s="92" t="str">
        <f t="shared" ca="1" si="11"/>
        <v>250523</v>
      </c>
      <c r="I134" s="92" t="str">
        <f t="shared" ca="1" si="11"/>
        <v>250530</v>
      </c>
      <c r="J134" s="92" t="str">
        <f t="shared" ca="1" si="11"/>
        <v>250606</v>
      </c>
      <c r="K134" s="92" t="str">
        <f t="shared" ca="1" si="11"/>
        <v>250620</v>
      </c>
      <c r="L134" s="92" t="str">
        <f t="shared" ca="1" si="11"/>
        <v>250630</v>
      </c>
      <c r="M134" s="92" t="str">
        <f t="shared" ca="1" si="11"/>
        <v>250718</v>
      </c>
      <c r="N134" s="92" t="str">
        <f t="shared" ca="1" si="11"/>
        <v>250731</v>
      </c>
      <c r="O134" s="92" t="str">
        <f t="shared" ca="1" si="11"/>
        <v>250815</v>
      </c>
      <c r="P134" s="92" t="str">
        <f t="shared" ca="1" si="11"/>
        <v>250829</v>
      </c>
      <c r="Q134" s="92" t="str">
        <f t="shared" ca="1" si="11"/>
        <v>250919</v>
      </c>
      <c r="R134" s="92" t="str">
        <f t="shared" ca="1" si="11"/>
        <v>250930</v>
      </c>
      <c r="S134" s="92" t="str">
        <f t="shared" ca="1" si="11"/>
        <v>251017</v>
      </c>
      <c r="T134" s="92" t="str">
        <f t="shared" ca="1" si="11"/>
        <v>251031</v>
      </c>
      <c r="U134" s="92" t="str">
        <f t="shared" ca="1" si="11"/>
        <v>251121</v>
      </c>
      <c r="V134" s="92" t="str">
        <f t="shared" ca="1" si="11"/>
        <v>251128</v>
      </c>
      <c r="W134" s="92" t="str">
        <f t="shared" ca="1" si="11"/>
        <v>251219</v>
      </c>
      <c r="X134" s="92" t="str">
        <f t="shared" ca="1" si="11"/>
        <v>251231</v>
      </c>
    </row>
    <row r="135" spans="1:27" x14ac:dyDescent="0.25">
      <c r="A135" s="93" t="str">
        <f>+Hoja1!A134</f>
        <v>NDX</v>
      </c>
      <c r="B135" s="92" t="s">
        <v>58</v>
      </c>
      <c r="C135" s="92" t="s">
        <v>58</v>
      </c>
      <c r="D135" s="92" t="s">
        <v>58</v>
      </c>
      <c r="E135" s="92" t="s">
        <v>58</v>
      </c>
      <c r="F135" s="92" t="s">
        <v>58</v>
      </c>
      <c r="G135" s="92" t="s">
        <v>58</v>
      </c>
      <c r="H135" s="92" t="s">
        <v>14</v>
      </c>
      <c r="I135" s="92" t="s">
        <v>58</v>
      </c>
      <c r="J135" s="92" t="s">
        <v>58</v>
      </c>
      <c r="K135" s="92" t="s">
        <v>14</v>
      </c>
      <c r="L135" s="92" t="s">
        <v>58</v>
      </c>
      <c r="M135" s="92" t="s">
        <v>14</v>
      </c>
      <c r="N135" s="92" t="s">
        <v>58</v>
      </c>
      <c r="O135" s="92" t="s">
        <v>14</v>
      </c>
      <c r="P135" s="92" t="s">
        <v>58</v>
      </c>
      <c r="Q135" s="92" t="s">
        <v>14</v>
      </c>
      <c r="R135" s="92" t="s">
        <v>58</v>
      </c>
      <c r="S135" s="92" t="s">
        <v>14</v>
      </c>
      <c r="T135" s="92" t="s">
        <v>58</v>
      </c>
      <c r="U135" s="92" t="s">
        <v>14</v>
      </c>
      <c r="V135" s="92" t="s">
        <v>58</v>
      </c>
      <c r="W135" s="92" t="s">
        <v>14</v>
      </c>
      <c r="X135" s="92" t="s">
        <v>58</v>
      </c>
    </row>
    <row r="136" spans="1:27" x14ac:dyDescent="0.25">
      <c r="A136" s="93" t="str">
        <f>+Hoja1!A135</f>
        <v>NDX</v>
      </c>
      <c r="B136" s="94">
        <f>+B84</f>
        <v>45782</v>
      </c>
      <c r="C136" s="94">
        <f t="shared" ref="C136:X136" si="12">+C84</f>
        <v>45783</v>
      </c>
      <c r="D136" s="94">
        <f t="shared" si="12"/>
        <v>45784</v>
      </c>
      <c r="E136" s="94">
        <f t="shared" si="12"/>
        <v>45785</v>
      </c>
      <c r="F136" s="94">
        <f t="shared" si="12"/>
        <v>45786</v>
      </c>
      <c r="G136" s="94">
        <f t="shared" si="12"/>
        <v>45793</v>
      </c>
      <c r="H136" s="94">
        <f t="shared" si="12"/>
        <v>45800</v>
      </c>
      <c r="I136" s="94">
        <f t="shared" si="12"/>
        <v>45807</v>
      </c>
      <c r="J136" s="94">
        <f t="shared" si="12"/>
        <v>45814</v>
      </c>
      <c r="K136" s="94">
        <f t="shared" si="12"/>
        <v>45828</v>
      </c>
      <c r="L136" s="94">
        <f t="shared" si="12"/>
        <v>45838</v>
      </c>
      <c r="M136" s="94">
        <f t="shared" si="12"/>
        <v>45856</v>
      </c>
      <c r="N136" s="94">
        <f t="shared" si="12"/>
        <v>45869</v>
      </c>
      <c r="O136" s="94">
        <f t="shared" si="12"/>
        <v>45884</v>
      </c>
      <c r="P136" s="94">
        <f t="shared" si="12"/>
        <v>45898</v>
      </c>
      <c r="Q136" s="94">
        <f t="shared" si="12"/>
        <v>45919</v>
      </c>
      <c r="R136" s="94">
        <f t="shared" si="12"/>
        <v>45930</v>
      </c>
      <c r="S136" s="94">
        <f t="shared" si="12"/>
        <v>45947</v>
      </c>
      <c r="T136" s="94">
        <f t="shared" si="12"/>
        <v>45961</v>
      </c>
      <c r="U136" s="94">
        <f t="shared" si="12"/>
        <v>45982</v>
      </c>
      <c r="V136" s="94">
        <f t="shared" si="12"/>
        <v>45989</v>
      </c>
      <c r="W136" s="94">
        <f t="shared" si="12"/>
        <v>46010</v>
      </c>
      <c r="X136" s="94">
        <f t="shared" si="12"/>
        <v>46022</v>
      </c>
    </row>
    <row r="137" spans="1:27" x14ac:dyDescent="0.25">
      <c r="A137" s="93">
        <f>+Hoja1!A136</f>
        <v>20061.449000000001</v>
      </c>
      <c r="B137" s="92"/>
      <c r="X137" s="91"/>
    </row>
    <row r="138" spans="1:27" x14ac:dyDescent="0.25">
      <c r="A138" s="93">
        <f>+Hoja1!A137</f>
        <v>20550</v>
      </c>
      <c r="B138" s="91">
        <f ca="1">IF(RTD("tos.rtd",,$A$2,"."&amp;B$135&amp;B$1&amp;"C"&amp;$A138)="N/A",0,RTD("tos.rtd",,$A$2,"."&amp;B$135&amp;B$1&amp;"C"&amp;$A138))-IF(RTD("tos.rtd",,$A$2,"."&amp;B$135&amp;B$1&amp;"P"&amp;$A138)="N/A",0,RTD("tos.rtd",,$A$2,"."&amp;B$135&amp;B$1&amp;"P"&amp;$A138))</f>
        <v>0</v>
      </c>
      <c r="C138" s="91">
        <f ca="1">IF(RTD("tos.rtd",,$A$2,"."&amp;C$135&amp;C$1&amp;"C"&amp;$A138)="N/A",0,RTD("tos.rtd",,$A$2,"."&amp;C$135&amp;C$1&amp;"C"&amp;$A138))-IF(RTD("tos.rtd",,$A$2,"."&amp;C$135&amp;C$1&amp;"P"&amp;$A138)="N/A",0,RTD("tos.rtd",,$A$2,"."&amp;C$135&amp;C$1&amp;"P"&amp;$A138))</f>
        <v>0</v>
      </c>
      <c r="D138" s="91">
        <f ca="1">IF(RTD("tos.rtd",,$A$2,"."&amp;D$135&amp;D$1&amp;"C"&amp;$A138)="N/A",0,RTD("tos.rtd",,$A$2,"."&amp;D$135&amp;D$1&amp;"C"&amp;$A138))-IF(RTD("tos.rtd",,$A$2,"."&amp;D$135&amp;D$1&amp;"P"&amp;$A138)="N/A",0,RTD("tos.rtd",,$A$2,"."&amp;D$135&amp;D$1&amp;"P"&amp;$A138))</f>
        <v>0</v>
      </c>
      <c r="E138" s="91">
        <f ca="1">IF(RTD("tos.rtd",,$A$2,"."&amp;E$135&amp;E$1&amp;"C"&amp;$A138)="N/A",0,RTD("tos.rtd",,$A$2,"."&amp;E$135&amp;E$1&amp;"C"&amp;$A138))-IF(RTD("tos.rtd",,$A$2,"."&amp;E$135&amp;E$1&amp;"P"&amp;$A138)="N/A",0,RTD("tos.rtd",,$A$2,"."&amp;E$135&amp;E$1&amp;"P"&amp;$A138))</f>
        <v>0</v>
      </c>
      <c r="F138" s="91">
        <f ca="1">IF(RTD("tos.rtd",,$A$2,"."&amp;F$135&amp;F$1&amp;"C"&amp;$A138)="N/A",0,RTD("tos.rtd",,$A$2,"."&amp;F$135&amp;F$1&amp;"C"&amp;$A138))-IF(RTD("tos.rtd",,$A$2,"."&amp;F$135&amp;F$1&amp;"P"&amp;$A138)="N/A",0,RTD("tos.rtd",,$A$2,"."&amp;F$135&amp;F$1&amp;"P"&amp;$A138))</f>
        <v>0</v>
      </c>
      <c r="G138" s="91">
        <f ca="1">IF(RTD("tos.rtd",,$A$2,"."&amp;G$135&amp;G$1&amp;"C"&amp;$A138)="N/A",0,RTD("tos.rtd",,$A$2,"."&amp;G$135&amp;G$1&amp;"C"&amp;$A138))-IF(RTD("tos.rtd",,$A$2,"."&amp;G$135&amp;G$1&amp;"P"&amp;$A138)="N/A",0,RTD("tos.rtd",,$A$2,"."&amp;G$135&amp;G$1&amp;"P"&amp;$A138))</f>
        <v>0</v>
      </c>
      <c r="H138" s="91">
        <f ca="1">IF(RTD("tos.rtd",,$A$2,"."&amp;H$135&amp;H$1&amp;"C"&amp;$A138)="N/A",0,RTD("tos.rtd",,$A$2,"."&amp;H$135&amp;H$1&amp;"C"&amp;$A138))-IF(RTD("tos.rtd",,$A$2,"."&amp;H$135&amp;H$1&amp;"P"&amp;$A138)="N/A",0,RTD("tos.rtd",,$A$2,"."&amp;H$135&amp;H$1&amp;"P"&amp;$A138))</f>
        <v>0</v>
      </c>
      <c r="I138" s="91">
        <f ca="1">IF(RTD("tos.rtd",,$A$2,"."&amp;I$135&amp;I$1&amp;"C"&amp;$A138)="N/A",0,RTD("tos.rtd",,$A$2,"."&amp;I$135&amp;I$1&amp;"C"&amp;$A138))-IF(RTD("tos.rtd",,$A$2,"."&amp;I$135&amp;I$1&amp;"P"&amp;$A138)="N/A",0,RTD("tos.rtd",,$A$2,"."&amp;I$135&amp;I$1&amp;"P"&amp;$A138))</f>
        <v>1</v>
      </c>
      <c r="J138" s="91">
        <f ca="1">IF(RTD("tos.rtd",,$A$2,"."&amp;J$135&amp;J$1&amp;"C"&amp;$A138)="N/A",0,RTD("tos.rtd",,$A$2,"."&amp;J$135&amp;J$1&amp;"C"&amp;$A138))-IF(RTD("tos.rtd",,$A$2,"."&amp;J$135&amp;J$1&amp;"P"&amp;$A138)="N/A",0,RTD("tos.rtd",,$A$2,"."&amp;J$135&amp;J$1&amp;"P"&amp;$A138))</f>
        <v>0</v>
      </c>
      <c r="K138" s="91">
        <f ca="1">IF(RTD("tos.rtd",,$A$2,"."&amp;K$135&amp;K$1&amp;"C"&amp;$A138)="N/A",0,RTD("tos.rtd",,$A$2,"."&amp;K$135&amp;K$1&amp;"C"&amp;$A138))-IF(RTD("tos.rtd",,$A$2,"."&amp;K$135&amp;K$1&amp;"P"&amp;$A138)="N/A",0,RTD("tos.rtd",,$A$2,"."&amp;K$135&amp;K$1&amp;"P"&amp;$A138))</f>
        <v>0</v>
      </c>
      <c r="L138" s="91">
        <f ca="1">IF(RTD("tos.rtd",,$A$2,"."&amp;L$135&amp;L$1&amp;"C"&amp;$A138)="N/A",0,RTD("tos.rtd",,$A$2,"."&amp;L$135&amp;L$1&amp;"C"&amp;$A138))-IF(RTD("tos.rtd",,$A$2,"."&amp;L$135&amp;L$1&amp;"P"&amp;$A138)="N/A",0,RTD("tos.rtd",,$A$2,"."&amp;L$135&amp;L$1&amp;"P"&amp;$A138))</f>
        <v>0</v>
      </c>
      <c r="M138" s="91">
        <f ca="1">IF(RTD("tos.rtd",,$A$2,"."&amp;M$135&amp;M$1&amp;"C"&amp;$A138)="N/A",0,RTD("tos.rtd",,$A$2,"."&amp;M$135&amp;M$1&amp;"C"&amp;$A138))-IF(RTD("tos.rtd",,$A$2,"."&amp;M$135&amp;M$1&amp;"P"&amp;$A138)="N/A",0,RTD("tos.rtd",,$A$2,"."&amp;M$135&amp;M$1&amp;"P"&amp;$A138))</f>
        <v>0</v>
      </c>
      <c r="N138" s="91">
        <f ca="1">IF(RTD("tos.rtd",,$A$2,"."&amp;N$135&amp;N$1&amp;"C"&amp;$A138)="N/A",0,RTD("tos.rtd",,$A$2,"."&amp;N$135&amp;N$1&amp;"C"&amp;$A138))-IF(RTD("tos.rtd",,$A$2,"."&amp;N$135&amp;N$1&amp;"P"&amp;$A138)="N/A",0,RTD("tos.rtd",,$A$2,"."&amp;N$135&amp;N$1&amp;"P"&amp;$A138))</f>
        <v>0</v>
      </c>
      <c r="O138" s="91">
        <f ca="1">IF(RTD("tos.rtd",,$A$2,"."&amp;O$135&amp;O$1&amp;"C"&amp;$A138)="N/A",0,RTD("tos.rtd",,$A$2,"."&amp;O$135&amp;O$1&amp;"C"&amp;$A138))-IF(RTD("tos.rtd",,$A$2,"."&amp;O$135&amp;O$1&amp;"P"&amp;$A138)="N/A",0,RTD("tos.rtd",,$A$2,"."&amp;O$135&amp;O$1&amp;"P"&amp;$A138))</f>
        <v>0</v>
      </c>
      <c r="P138" s="91">
        <f ca="1">IF(RTD("tos.rtd",,$A$2,"."&amp;P$135&amp;P$1&amp;"C"&amp;$A138)="N/A",0,RTD("tos.rtd",,$A$2,"."&amp;P$135&amp;P$1&amp;"C"&amp;$A138))-IF(RTD("tos.rtd",,$A$2,"."&amp;P$135&amp;P$1&amp;"P"&amp;$A138)="N/A",0,RTD("tos.rtd",,$A$2,"."&amp;P$135&amp;P$1&amp;"P"&amp;$A138))</f>
        <v>0</v>
      </c>
      <c r="Q138" s="91">
        <f ca="1">IF(RTD("tos.rtd",,$A$2,"."&amp;Q$135&amp;Q$1&amp;"C"&amp;$A138)="N/A",0,RTD("tos.rtd",,$A$2,"."&amp;Q$135&amp;Q$1&amp;"C"&amp;$A138))-IF(RTD("tos.rtd",,$A$2,"."&amp;Q$135&amp;Q$1&amp;"P"&amp;$A138)="N/A",0,RTD("tos.rtd",,$A$2,"."&amp;Q$135&amp;Q$1&amp;"P"&amp;$A138))</f>
        <v>0</v>
      </c>
      <c r="R138" s="91">
        <f ca="1">IF(RTD("tos.rtd",,$A$2,"."&amp;R$135&amp;R$1&amp;"C"&amp;$A138)="N/A",0,RTD("tos.rtd",,$A$2,"."&amp;R$135&amp;R$1&amp;"C"&amp;$A138))-IF(RTD("tos.rtd",,$A$2,"."&amp;R$135&amp;R$1&amp;"P"&amp;$A138)="N/A",0,RTD("tos.rtd",,$A$2,"."&amp;R$135&amp;R$1&amp;"P"&amp;$A138))</f>
        <v>0</v>
      </c>
      <c r="S138" s="91">
        <f ca="1">IF(RTD("tos.rtd",,$A$2,"."&amp;S$135&amp;S$1&amp;"C"&amp;$A138)="N/A",0,RTD("tos.rtd",,$A$2,"."&amp;S$135&amp;S$1&amp;"C"&amp;$A138))-IF(RTD("tos.rtd",,$A$2,"."&amp;S$135&amp;S$1&amp;"P"&amp;$A138)="N/A",0,RTD("tos.rtd",,$A$2,"."&amp;S$135&amp;S$1&amp;"P"&amp;$A138))</f>
        <v>0</v>
      </c>
      <c r="T138" s="91">
        <f ca="1">IF(RTD("tos.rtd",,$A$2,"."&amp;T$135&amp;T$1&amp;"C"&amp;$A138)="N/A",0,RTD("tos.rtd",,$A$2,"."&amp;T$135&amp;T$1&amp;"C"&amp;$A138))-IF(RTD("tos.rtd",,$A$2,"."&amp;T$135&amp;T$1&amp;"P"&amp;$A138)="N/A",0,RTD("tos.rtd",,$A$2,"."&amp;T$135&amp;T$1&amp;"P"&amp;$A138))</f>
        <v>0</v>
      </c>
      <c r="U138" s="91">
        <f ca="1">IF(RTD("tos.rtd",,$A$2,"."&amp;U$135&amp;U$1&amp;"C"&amp;$A138)="N/A",0,RTD("tos.rtd",,$A$2,"."&amp;U$135&amp;U$1&amp;"C"&amp;$A138))-IF(RTD("tos.rtd",,$A$2,"."&amp;U$135&amp;U$1&amp;"P"&amp;$A138)="N/A",0,RTD("tos.rtd",,$A$2,"."&amp;U$135&amp;U$1&amp;"P"&amp;$A138))</f>
        <v>0</v>
      </c>
      <c r="V138" s="91">
        <f ca="1">IF(RTD("tos.rtd",,$A$2,"."&amp;V$135&amp;V$1&amp;"C"&amp;$A138)="N/A",0,RTD("tos.rtd",,$A$2,"."&amp;V$135&amp;V$1&amp;"C"&amp;$A138))-IF(RTD("tos.rtd",,$A$2,"."&amp;V$135&amp;V$1&amp;"P"&amp;$A138)="N/A",0,RTD("tos.rtd",,$A$2,"."&amp;V$135&amp;V$1&amp;"P"&amp;$A138))</f>
        <v>0</v>
      </c>
      <c r="W138" s="91">
        <f ca="1">IF(RTD("tos.rtd",,$A$2,"."&amp;W$135&amp;W$1&amp;"C"&amp;$A138)="N/A",0,RTD("tos.rtd",,$A$2,"."&amp;W$135&amp;W$1&amp;"C"&amp;$A138))-IF(RTD("tos.rtd",,$A$2,"."&amp;W$135&amp;W$1&amp;"P"&amp;$A138)="N/A",0,RTD("tos.rtd",,$A$2,"."&amp;W$135&amp;W$1&amp;"P"&amp;$A138))</f>
        <v>0</v>
      </c>
      <c r="X138" s="91">
        <f ca="1">IF(RTD("tos.rtd",,$A$2,"."&amp;X$135&amp;X$1&amp;"C"&amp;$A138)="N/A",0,RTD("tos.rtd",,$A$2,"."&amp;X$135&amp;X$1&amp;"C"&amp;$A138))-IF(RTD("tos.rtd",,$A$2,"."&amp;X$135&amp;X$1&amp;"P"&amp;$A138)="N/A",0,RTD("tos.rtd",,$A$2,"."&amp;X$135&amp;X$1&amp;"P"&amp;$A138))</f>
        <v>0</v>
      </c>
      <c r="Y138" s="98">
        <f t="shared" ref="Y138:Y190" ca="1" si="13">SUM(B138:X138)</f>
        <v>1</v>
      </c>
      <c r="Z138" s="91"/>
      <c r="AA138" s="91"/>
    </row>
    <row r="139" spans="1:27" x14ac:dyDescent="0.25">
      <c r="A139" s="93">
        <f>+Hoja1!A138</f>
        <v>20525</v>
      </c>
      <c r="B139" s="91">
        <f ca="1">IF(RTD("tos.rtd",,$A$2,"."&amp;B$135&amp;B$1&amp;"C"&amp;$A139)="N/A",0,RTD("tos.rtd",,$A$2,"."&amp;B$135&amp;B$1&amp;"C"&amp;$A139))-IF(RTD("tos.rtd",,$A$2,"."&amp;B$135&amp;B$1&amp;"P"&amp;$A139)="N/A",0,RTD("tos.rtd",,$A$2,"."&amp;B$135&amp;B$1&amp;"P"&amp;$A139))</f>
        <v>0</v>
      </c>
      <c r="C139" s="91">
        <f ca="1">IF(RTD("tos.rtd",,$A$2,"."&amp;C$135&amp;C$1&amp;"C"&amp;$A139)="N/A",0,RTD("tos.rtd",,$A$2,"."&amp;C$135&amp;C$1&amp;"C"&amp;$A139))-IF(RTD("tos.rtd",,$A$2,"."&amp;C$135&amp;C$1&amp;"P"&amp;$A139)="N/A",0,RTD("tos.rtd",,$A$2,"."&amp;C$135&amp;C$1&amp;"P"&amp;$A139))</f>
        <v>0</v>
      </c>
      <c r="D139" s="91">
        <f ca="1">IF(RTD("tos.rtd",,$A$2,"."&amp;D$135&amp;D$1&amp;"C"&amp;$A139)="N/A",0,RTD("tos.rtd",,$A$2,"."&amp;D$135&amp;D$1&amp;"C"&amp;$A139))-IF(RTD("tos.rtd",,$A$2,"."&amp;D$135&amp;D$1&amp;"P"&amp;$A139)="N/A",0,RTD("tos.rtd",,$A$2,"."&amp;D$135&amp;D$1&amp;"P"&amp;$A139))</f>
        <v>0</v>
      </c>
      <c r="E139" s="91">
        <f ca="1">IF(RTD("tos.rtd",,$A$2,"."&amp;E$135&amp;E$1&amp;"C"&amp;$A139)="N/A",0,RTD("tos.rtd",,$A$2,"."&amp;E$135&amp;E$1&amp;"C"&amp;$A139))-IF(RTD("tos.rtd",,$A$2,"."&amp;E$135&amp;E$1&amp;"P"&amp;$A139)="N/A",0,RTD("tos.rtd",,$A$2,"."&amp;E$135&amp;E$1&amp;"P"&amp;$A139))</f>
        <v>0</v>
      </c>
      <c r="F139" s="91">
        <f ca="1">IF(RTD("tos.rtd",,$A$2,"."&amp;F$135&amp;F$1&amp;"C"&amp;$A139)="N/A",0,RTD("tos.rtd",,$A$2,"."&amp;F$135&amp;F$1&amp;"C"&amp;$A139))-IF(RTD("tos.rtd",,$A$2,"."&amp;F$135&amp;F$1&amp;"P"&amp;$A139)="N/A",0,RTD("tos.rtd",,$A$2,"."&amp;F$135&amp;F$1&amp;"P"&amp;$A139))</f>
        <v>0</v>
      </c>
      <c r="G139" s="91">
        <f ca="1">IF(RTD("tos.rtd",,$A$2,"."&amp;G$135&amp;G$1&amp;"C"&amp;$A139)="N/A",0,RTD("tos.rtd",,$A$2,"."&amp;G$135&amp;G$1&amp;"C"&amp;$A139))-IF(RTD("tos.rtd",,$A$2,"."&amp;G$135&amp;G$1&amp;"P"&amp;$A139)="N/A",0,RTD("tos.rtd",,$A$2,"."&amp;G$135&amp;G$1&amp;"P"&amp;$A139))</f>
        <v>0</v>
      </c>
      <c r="H139" s="91">
        <f ca="1">IF(RTD("tos.rtd",,$A$2,"."&amp;H$135&amp;H$1&amp;"C"&amp;$A139)="N/A",0,RTD("tos.rtd",,$A$2,"."&amp;H$135&amp;H$1&amp;"C"&amp;$A139))-IF(RTD("tos.rtd",,$A$2,"."&amp;H$135&amp;H$1&amp;"P"&amp;$A139)="N/A",0,RTD("tos.rtd",,$A$2,"."&amp;H$135&amp;H$1&amp;"P"&amp;$A139))</f>
        <v>0</v>
      </c>
      <c r="I139" s="91">
        <f ca="1">IF(RTD("tos.rtd",,$A$2,"."&amp;I$135&amp;I$1&amp;"C"&amp;$A139)="N/A",0,RTD("tos.rtd",,$A$2,"."&amp;I$135&amp;I$1&amp;"C"&amp;$A139))-IF(RTD("tos.rtd",,$A$2,"."&amp;I$135&amp;I$1&amp;"P"&amp;$A139)="N/A",0,RTD("tos.rtd",,$A$2,"."&amp;I$135&amp;I$1&amp;"P"&amp;$A139))</f>
        <v>0</v>
      </c>
      <c r="J139" s="91">
        <f ca="1">IF(RTD("tos.rtd",,$A$2,"."&amp;J$135&amp;J$1&amp;"C"&amp;$A139)="N/A",0,RTD("tos.rtd",,$A$2,"."&amp;J$135&amp;J$1&amp;"C"&amp;$A139))-IF(RTD("tos.rtd",,$A$2,"."&amp;J$135&amp;J$1&amp;"P"&amp;$A139)="N/A",0,RTD("tos.rtd",,$A$2,"."&amp;J$135&amp;J$1&amp;"P"&amp;$A139))</f>
        <v>0</v>
      </c>
      <c r="K139" s="91">
        <f ca="1">IF(RTD("tos.rtd",,$A$2,"."&amp;K$135&amp;K$1&amp;"C"&amp;$A139)="N/A",0,RTD("tos.rtd",,$A$2,"."&amp;K$135&amp;K$1&amp;"C"&amp;$A139))-IF(RTD("tos.rtd",,$A$2,"."&amp;K$135&amp;K$1&amp;"P"&amp;$A139)="N/A",0,RTD("tos.rtd",,$A$2,"."&amp;K$135&amp;K$1&amp;"P"&amp;$A139))</f>
        <v>0</v>
      </c>
      <c r="L139" s="91">
        <f ca="1">IF(RTD("tos.rtd",,$A$2,"."&amp;L$135&amp;L$1&amp;"C"&amp;$A139)="N/A",0,RTD("tos.rtd",,$A$2,"."&amp;L$135&amp;L$1&amp;"C"&amp;$A139))-IF(RTD("tos.rtd",,$A$2,"."&amp;L$135&amp;L$1&amp;"P"&amp;$A139)="N/A",0,RTD("tos.rtd",,$A$2,"."&amp;L$135&amp;L$1&amp;"P"&amp;$A139))</f>
        <v>0</v>
      </c>
      <c r="M139" s="91">
        <f ca="1">IF(RTD("tos.rtd",,$A$2,"."&amp;M$135&amp;M$1&amp;"C"&amp;$A139)="N/A",0,RTD("tos.rtd",,$A$2,"."&amp;M$135&amp;M$1&amp;"C"&amp;$A139))-IF(RTD("tos.rtd",,$A$2,"."&amp;M$135&amp;M$1&amp;"P"&amp;$A139)="N/A",0,RTD("tos.rtd",,$A$2,"."&amp;M$135&amp;M$1&amp;"P"&amp;$A139))</f>
        <v>0</v>
      </c>
      <c r="N139" s="91">
        <f ca="1">IF(RTD("tos.rtd",,$A$2,"."&amp;N$135&amp;N$1&amp;"C"&amp;$A139)="N/A",0,RTD("tos.rtd",,$A$2,"."&amp;N$135&amp;N$1&amp;"C"&amp;$A139))-IF(RTD("tos.rtd",,$A$2,"."&amp;N$135&amp;N$1&amp;"P"&amp;$A139)="N/A",0,RTD("tos.rtd",,$A$2,"."&amp;N$135&amp;N$1&amp;"P"&amp;$A139))</f>
        <v>0</v>
      </c>
      <c r="O139" s="91">
        <f ca="1">IF(RTD("tos.rtd",,$A$2,"."&amp;O$135&amp;O$1&amp;"C"&amp;$A139)="N/A",0,RTD("tos.rtd",,$A$2,"."&amp;O$135&amp;O$1&amp;"C"&amp;$A139))-IF(RTD("tos.rtd",,$A$2,"."&amp;O$135&amp;O$1&amp;"P"&amp;$A139)="N/A",0,RTD("tos.rtd",,$A$2,"."&amp;O$135&amp;O$1&amp;"P"&amp;$A139))</f>
        <v>0</v>
      </c>
      <c r="P139" s="91">
        <f ca="1">IF(RTD("tos.rtd",,$A$2,"."&amp;P$135&amp;P$1&amp;"C"&amp;$A139)="N/A",0,RTD("tos.rtd",,$A$2,"."&amp;P$135&amp;P$1&amp;"C"&amp;$A139))-IF(RTD("tos.rtd",,$A$2,"."&amp;P$135&amp;P$1&amp;"P"&amp;$A139)="N/A",0,RTD("tos.rtd",,$A$2,"."&amp;P$135&amp;P$1&amp;"P"&amp;$A139))</f>
        <v>0</v>
      </c>
      <c r="Q139" s="91">
        <f ca="1">IF(RTD("tos.rtd",,$A$2,"."&amp;Q$135&amp;Q$1&amp;"C"&amp;$A139)="N/A",0,RTD("tos.rtd",,$A$2,"."&amp;Q$135&amp;Q$1&amp;"C"&amp;$A139))-IF(RTD("tos.rtd",,$A$2,"."&amp;Q$135&amp;Q$1&amp;"P"&amp;$A139)="N/A",0,RTD("tos.rtd",,$A$2,"."&amp;Q$135&amp;Q$1&amp;"P"&amp;$A139))</f>
        <v>0</v>
      </c>
      <c r="R139" s="91">
        <f ca="1">IF(RTD("tos.rtd",,$A$2,"."&amp;R$135&amp;R$1&amp;"C"&amp;$A139)="N/A",0,RTD("tos.rtd",,$A$2,"."&amp;R$135&amp;R$1&amp;"C"&amp;$A139))-IF(RTD("tos.rtd",,$A$2,"."&amp;R$135&amp;R$1&amp;"P"&amp;$A139)="N/A",0,RTD("tos.rtd",,$A$2,"."&amp;R$135&amp;R$1&amp;"P"&amp;$A139))</f>
        <v>0</v>
      </c>
      <c r="S139" s="91">
        <f ca="1">IF(RTD("tos.rtd",,$A$2,"."&amp;S$135&amp;S$1&amp;"C"&amp;$A139)="N/A",0,RTD("tos.rtd",,$A$2,"."&amp;S$135&amp;S$1&amp;"C"&amp;$A139))-IF(RTD("tos.rtd",,$A$2,"."&amp;S$135&amp;S$1&amp;"P"&amp;$A139)="N/A",0,RTD("tos.rtd",,$A$2,"."&amp;S$135&amp;S$1&amp;"P"&amp;$A139))</f>
        <v>0</v>
      </c>
      <c r="T139" s="91">
        <f ca="1">IF(RTD("tos.rtd",,$A$2,"."&amp;T$135&amp;T$1&amp;"C"&amp;$A139)="N/A",0,RTD("tos.rtd",,$A$2,"."&amp;T$135&amp;T$1&amp;"C"&amp;$A139))-IF(RTD("tos.rtd",,$A$2,"."&amp;T$135&amp;T$1&amp;"P"&amp;$A139)="N/A",0,RTD("tos.rtd",,$A$2,"."&amp;T$135&amp;T$1&amp;"P"&amp;$A139))</f>
        <v>0</v>
      </c>
      <c r="U139" s="91">
        <f ca="1">IF(RTD("tos.rtd",,$A$2,"."&amp;U$135&amp;U$1&amp;"C"&amp;$A139)="N/A",0,RTD("tos.rtd",,$A$2,"."&amp;U$135&amp;U$1&amp;"C"&amp;$A139))-IF(RTD("tos.rtd",,$A$2,"."&amp;U$135&amp;U$1&amp;"P"&amp;$A139)="N/A",0,RTD("tos.rtd",,$A$2,"."&amp;U$135&amp;U$1&amp;"P"&amp;$A139))</f>
        <v>0</v>
      </c>
      <c r="V139" s="91">
        <f ca="1">IF(RTD("tos.rtd",,$A$2,"."&amp;V$135&amp;V$1&amp;"C"&amp;$A139)="N/A",0,RTD("tos.rtd",,$A$2,"."&amp;V$135&amp;V$1&amp;"C"&amp;$A139))-IF(RTD("tos.rtd",,$A$2,"."&amp;V$135&amp;V$1&amp;"P"&amp;$A139)="N/A",0,RTD("tos.rtd",,$A$2,"."&amp;V$135&amp;V$1&amp;"P"&amp;$A139))</f>
        <v>0</v>
      </c>
      <c r="W139" s="91">
        <f ca="1">IF(RTD("tos.rtd",,$A$2,"."&amp;W$135&amp;W$1&amp;"C"&amp;$A139)="N/A",0,RTD("tos.rtd",,$A$2,"."&amp;W$135&amp;W$1&amp;"C"&amp;$A139))-IF(RTD("tos.rtd",,$A$2,"."&amp;W$135&amp;W$1&amp;"P"&amp;$A139)="N/A",0,RTD("tos.rtd",,$A$2,"."&amp;W$135&amp;W$1&amp;"P"&amp;$A139))</f>
        <v>0</v>
      </c>
      <c r="X139" s="91">
        <f ca="1">IF(RTD("tos.rtd",,$A$2,"."&amp;X$135&amp;X$1&amp;"C"&amp;$A139)="N/A",0,RTD("tos.rtd",,$A$2,"."&amp;X$135&amp;X$1&amp;"C"&amp;$A139))-IF(RTD("tos.rtd",,$A$2,"."&amp;X$135&amp;X$1&amp;"P"&amp;$A139)="N/A",0,RTD("tos.rtd",,$A$2,"."&amp;X$135&amp;X$1&amp;"P"&amp;$A139))</f>
        <v>0</v>
      </c>
      <c r="Y139" s="98">
        <f t="shared" ca="1" si="13"/>
        <v>0</v>
      </c>
      <c r="Z139" s="91"/>
      <c r="AA139" s="91"/>
    </row>
    <row r="140" spans="1:27" x14ac:dyDescent="0.25">
      <c r="A140" s="93">
        <f>+Hoja1!A139</f>
        <v>20500</v>
      </c>
      <c r="B140" s="91">
        <f ca="1">IF(RTD("tos.rtd",,$A$2,"."&amp;B$135&amp;B$1&amp;"C"&amp;$A140)="N/A",0,RTD("tos.rtd",,$A$2,"."&amp;B$135&amp;B$1&amp;"C"&amp;$A140))-IF(RTD("tos.rtd",,$A$2,"."&amp;B$135&amp;B$1&amp;"P"&amp;$A140)="N/A",0,RTD("tos.rtd",,$A$2,"."&amp;B$135&amp;B$1&amp;"P"&amp;$A140))</f>
        <v>0</v>
      </c>
      <c r="C140" s="91">
        <f ca="1">IF(RTD("tos.rtd",,$A$2,"."&amp;C$135&amp;C$1&amp;"C"&amp;$A140)="N/A",0,RTD("tos.rtd",,$A$2,"."&amp;C$135&amp;C$1&amp;"C"&amp;$A140))-IF(RTD("tos.rtd",,$A$2,"."&amp;C$135&amp;C$1&amp;"P"&amp;$A140)="N/A",0,RTD("tos.rtd",,$A$2,"."&amp;C$135&amp;C$1&amp;"P"&amp;$A140))</f>
        <v>0</v>
      </c>
      <c r="D140" s="91">
        <f ca="1">IF(RTD("tos.rtd",,$A$2,"."&amp;D$135&amp;D$1&amp;"C"&amp;$A140)="N/A",0,RTD("tos.rtd",,$A$2,"."&amp;D$135&amp;D$1&amp;"C"&amp;$A140))-IF(RTD("tos.rtd",,$A$2,"."&amp;D$135&amp;D$1&amp;"P"&amp;$A140)="N/A",0,RTD("tos.rtd",,$A$2,"."&amp;D$135&amp;D$1&amp;"P"&amp;$A140))</f>
        <v>0</v>
      </c>
      <c r="E140" s="91">
        <f ca="1">IF(RTD("tos.rtd",,$A$2,"."&amp;E$135&amp;E$1&amp;"C"&amp;$A140)="N/A",0,RTD("tos.rtd",,$A$2,"."&amp;E$135&amp;E$1&amp;"C"&amp;$A140))-IF(RTD("tos.rtd",,$A$2,"."&amp;E$135&amp;E$1&amp;"P"&amp;$A140)="N/A",0,RTD("tos.rtd",,$A$2,"."&amp;E$135&amp;E$1&amp;"P"&amp;$A140))</f>
        <v>0</v>
      </c>
      <c r="F140" s="91">
        <f ca="1">IF(RTD("tos.rtd",,$A$2,"."&amp;F$135&amp;F$1&amp;"C"&amp;$A140)="N/A",0,RTD("tos.rtd",,$A$2,"."&amp;F$135&amp;F$1&amp;"C"&amp;$A140))-IF(RTD("tos.rtd",,$A$2,"."&amp;F$135&amp;F$1&amp;"P"&amp;$A140)="N/A",0,RTD("tos.rtd",,$A$2,"."&amp;F$135&amp;F$1&amp;"P"&amp;$A140))</f>
        <v>0</v>
      </c>
      <c r="G140" s="91">
        <f ca="1">IF(RTD("tos.rtd",,$A$2,"."&amp;G$135&amp;G$1&amp;"C"&amp;$A140)="N/A",0,RTD("tos.rtd",,$A$2,"."&amp;G$135&amp;G$1&amp;"C"&amp;$A140))-IF(RTD("tos.rtd",,$A$2,"."&amp;G$135&amp;G$1&amp;"P"&amp;$A140)="N/A",0,RTD("tos.rtd",,$A$2,"."&amp;G$135&amp;G$1&amp;"P"&amp;$A140))</f>
        <v>0</v>
      </c>
      <c r="H140" s="91">
        <f ca="1">IF(RTD("tos.rtd",,$A$2,"."&amp;H$135&amp;H$1&amp;"C"&amp;$A140)="N/A",0,RTD("tos.rtd",,$A$2,"."&amp;H$135&amp;H$1&amp;"C"&amp;$A140))-IF(RTD("tos.rtd",,$A$2,"."&amp;H$135&amp;H$1&amp;"P"&amp;$A140)="N/A",0,RTD("tos.rtd",,$A$2,"."&amp;H$135&amp;H$1&amp;"P"&amp;$A140))</f>
        <v>0</v>
      </c>
      <c r="I140" s="91">
        <f ca="1">IF(RTD("tos.rtd",,$A$2,"."&amp;I$135&amp;I$1&amp;"C"&amp;$A140)="N/A",0,RTD("tos.rtd",,$A$2,"."&amp;I$135&amp;I$1&amp;"C"&amp;$A140))-IF(RTD("tos.rtd",,$A$2,"."&amp;I$135&amp;I$1&amp;"P"&amp;$A140)="N/A",0,RTD("tos.rtd",,$A$2,"."&amp;I$135&amp;I$1&amp;"P"&amp;$A140))</f>
        <v>1</v>
      </c>
      <c r="J140" s="91">
        <f ca="1">IF(RTD("tos.rtd",,$A$2,"."&amp;J$135&amp;J$1&amp;"C"&amp;$A140)="N/A",0,RTD("tos.rtd",,$A$2,"."&amp;J$135&amp;J$1&amp;"C"&amp;$A140))-IF(RTD("tos.rtd",,$A$2,"."&amp;J$135&amp;J$1&amp;"P"&amp;$A140)="N/A",0,RTD("tos.rtd",,$A$2,"."&amp;J$135&amp;J$1&amp;"P"&amp;$A140))</f>
        <v>4</v>
      </c>
      <c r="K140" s="91">
        <f ca="1">IF(RTD("tos.rtd",,$A$2,"."&amp;K$135&amp;K$1&amp;"C"&amp;$A140)="N/A",0,RTD("tos.rtd",,$A$2,"."&amp;K$135&amp;K$1&amp;"C"&amp;$A140))-IF(RTD("tos.rtd",,$A$2,"."&amp;K$135&amp;K$1&amp;"P"&amp;$A140)="N/A",0,RTD("tos.rtd",,$A$2,"."&amp;K$135&amp;K$1&amp;"P"&amp;$A140))</f>
        <v>-4</v>
      </c>
      <c r="L140" s="91">
        <f ca="1">IF(RTD("tos.rtd",,$A$2,"."&amp;L$135&amp;L$1&amp;"C"&amp;$A140)="N/A",0,RTD("tos.rtd",,$A$2,"."&amp;L$135&amp;L$1&amp;"C"&amp;$A140))-IF(RTD("tos.rtd",,$A$2,"."&amp;L$135&amp;L$1&amp;"P"&amp;$A140)="N/A",0,RTD("tos.rtd",,$A$2,"."&amp;L$135&amp;L$1&amp;"P"&amp;$A140))</f>
        <v>0</v>
      </c>
      <c r="M140" s="91">
        <f ca="1">IF(RTD("tos.rtd",,$A$2,"."&amp;M$135&amp;M$1&amp;"C"&amp;$A140)="N/A",0,RTD("tos.rtd",,$A$2,"."&amp;M$135&amp;M$1&amp;"C"&amp;$A140))-IF(RTD("tos.rtd",,$A$2,"."&amp;M$135&amp;M$1&amp;"P"&amp;$A140)="N/A",0,RTD("tos.rtd",,$A$2,"."&amp;M$135&amp;M$1&amp;"P"&amp;$A140))</f>
        <v>51</v>
      </c>
      <c r="N140" s="91">
        <f ca="1">IF(RTD("tos.rtd",,$A$2,"."&amp;N$135&amp;N$1&amp;"C"&amp;$A140)="N/A",0,RTD("tos.rtd",,$A$2,"."&amp;N$135&amp;N$1&amp;"C"&amp;$A140))-IF(RTD("tos.rtd",,$A$2,"."&amp;N$135&amp;N$1&amp;"P"&amp;$A140)="N/A",0,RTD("tos.rtd",,$A$2,"."&amp;N$135&amp;N$1&amp;"P"&amp;$A140))</f>
        <v>0</v>
      </c>
      <c r="O140" s="91">
        <f ca="1">IF(RTD("tos.rtd",,$A$2,"."&amp;O$135&amp;O$1&amp;"C"&amp;$A140)="N/A",0,RTD("tos.rtd",,$A$2,"."&amp;O$135&amp;O$1&amp;"C"&amp;$A140))-IF(RTD("tos.rtd",,$A$2,"."&amp;O$135&amp;O$1&amp;"P"&amp;$A140)="N/A",0,RTD("tos.rtd",,$A$2,"."&amp;O$135&amp;O$1&amp;"P"&amp;$A140))</f>
        <v>0</v>
      </c>
      <c r="P140" s="91">
        <f ca="1">IF(RTD("tos.rtd",,$A$2,"."&amp;P$135&amp;P$1&amp;"C"&amp;$A140)="N/A",0,RTD("tos.rtd",,$A$2,"."&amp;P$135&amp;P$1&amp;"C"&amp;$A140))-IF(RTD("tos.rtd",,$A$2,"."&amp;P$135&amp;P$1&amp;"P"&amp;$A140)="N/A",0,RTD("tos.rtd",,$A$2,"."&amp;P$135&amp;P$1&amp;"P"&amp;$A140))</f>
        <v>0</v>
      </c>
      <c r="Q140" s="91">
        <f ca="1">IF(RTD("tos.rtd",,$A$2,"."&amp;Q$135&amp;Q$1&amp;"C"&amp;$A140)="N/A",0,RTD("tos.rtd",,$A$2,"."&amp;Q$135&amp;Q$1&amp;"C"&amp;$A140))-IF(RTD("tos.rtd",,$A$2,"."&amp;Q$135&amp;Q$1&amp;"P"&amp;$A140)="N/A",0,RTD("tos.rtd",,$A$2,"."&amp;Q$135&amp;Q$1&amp;"P"&amp;$A140))</f>
        <v>0</v>
      </c>
      <c r="R140" s="91">
        <f ca="1">IF(RTD("tos.rtd",,$A$2,"."&amp;R$135&amp;R$1&amp;"C"&amp;$A140)="N/A",0,RTD("tos.rtd",,$A$2,"."&amp;R$135&amp;R$1&amp;"C"&amp;$A140))-IF(RTD("tos.rtd",,$A$2,"."&amp;R$135&amp;R$1&amp;"P"&amp;$A140)="N/A",0,RTD("tos.rtd",,$A$2,"."&amp;R$135&amp;R$1&amp;"P"&amp;$A140))</f>
        <v>0</v>
      </c>
      <c r="S140" s="91">
        <f ca="1">IF(RTD("tos.rtd",,$A$2,"."&amp;S$135&amp;S$1&amp;"C"&amp;$A140)="N/A",0,RTD("tos.rtd",,$A$2,"."&amp;S$135&amp;S$1&amp;"C"&amp;$A140))-IF(RTD("tos.rtd",,$A$2,"."&amp;S$135&amp;S$1&amp;"P"&amp;$A140)="N/A",0,RTD("tos.rtd",,$A$2,"."&amp;S$135&amp;S$1&amp;"P"&amp;$A140))</f>
        <v>0</v>
      </c>
      <c r="T140" s="91">
        <f ca="1">IF(RTD("tos.rtd",,$A$2,"."&amp;T$135&amp;T$1&amp;"C"&amp;$A140)="N/A",0,RTD("tos.rtd",,$A$2,"."&amp;T$135&amp;T$1&amp;"C"&amp;$A140))-IF(RTD("tos.rtd",,$A$2,"."&amp;T$135&amp;T$1&amp;"P"&amp;$A140)="N/A",0,RTD("tos.rtd",,$A$2,"."&amp;T$135&amp;T$1&amp;"P"&amp;$A140))</f>
        <v>0</v>
      </c>
      <c r="U140" s="91">
        <f ca="1">IF(RTD("tos.rtd",,$A$2,"."&amp;U$135&amp;U$1&amp;"C"&amp;$A140)="N/A",0,RTD("tos.rtd",,$A$2,"."&amp;U$135&amp;U$1&amp;"C"&amp;$A140))-IF(RTD("tos.rtd",,$A$2,"."&amp;U$135&amp;U$1&amp;"P"&amp;$A140)="N/A",0,RTD("tos.rtd",,$A$2,"."&amp;U$135&amp;U$1&amp;"P"&amp;$A140))</f>
        <v>0</v>
      </c>
      <c r="V140" s="91">
        <f ca="1">IF(RTD("tos.rtd",,$A$2,"."&amp;V$135&amp;V$1&amp;"C"&amp;$A140)="N/A",0,RTD("tos.rtd",,$A$2,"."&amp;V$135&amp;V$1&amp;"C"&amp;$A140))-IF(RTD("tos.rtd",,$A$2,"."&amp;V$135&amp;V$1&amp;"P"&amp;$A140)="N/A",0,RTD("tos.rtd",,$A$2,"."&amp;V$135&amp;V$1&amp;"P"&amp;$A140))</f>
        <v>0</v>
      </c>
      <c r="W140" s="91">
        <f ca="1">IF(RTD("tos.rtd",,$A$2,"."&amp;W$135&amp;W$1&amp;"C"&amp;$A140)="N/A",0,RTD("tos.rtd",,$A$2,"."&amp;W$135&amp;W$1&amp;"C"&amp;$A140))-IF(RTD("tos.rtd",,$A$2,"."&amp;W$135&amp;W$1&amp;"P"&amp;$A140)="N/A",0,RTD("tos.rtd",,$A$2,"."&amp;W$135&amp;W$1&amp;"P"&amp;$A140))</f>
        <v>0</v>
      </c>
      <c r="X140" s="91">
        <f ca="1">IF(RTD("tos.rtd",,$A$2,"."&amp;X$135&amp;X$1&amp;"C"&amp;$A140)="N/A",0,RTD("tos.rtd",,$A$2,"."&amp;X$135&amp;X$1&amp;"C"&amp;$A140))-IF(RTD("tos.rtd",,$A$2,"."&amp;X$135&amp;X$1&amp;"P"&amp;$A140)="N/A",0,RTD("tos.rtd",,$A$2,"."&amp;X$135&amp;X$1&amp;"P"&amp;$A140))</f>
        <v>0</v>
      </c>
      <c r="Y140" s="98">
        <f t="shared" ca="1" si="13"/>
        <v>52</v>
      </c>
      <c r="Z140" s="91"/>
      <c r="AA140" s="91"/>
    </row>
    <row r="141" spans="1:27" x14ac:dyDescent="0.25">
      <c r="A141" s="93">
        <f>+Hoja1!A140</f>
        <v>20475</v>
      </c>
      <c r="B141" s="91">
        <f ca="1">IF(RTD("tos.rtd",,$A$2,"."&amp;B$135&amp;B$1&amp;"C"&amp;$A141)="N/A",0,RTD("tos.rtd",,$A$2,"."&amp;B$135&amp;B$1&amp;"C"&amp;$A141))-IF(RTD("tos.rtd",,$A$2,"."&amp;B$135&amp;B$1&amp;"P"&amp;$A141)="N/A",0,RTD("tos.rtd",,$A$2,"."&amp;B$135&amp;B$1&amp;"P"&amp;$A141))</f>
        <v>0</v>
      </c>
      <c r="C141" s="91">
        <f ca="1">IF(RTD("tos.rtd",,$A$2,"."&amp;C$135&amp;C$1&amp;"C"&amp;$A141)="N/A",0,RTD("tos.rtd",,$A$2,"."&amp;C$135&amp;C$1&amp;"C"&amp;$A141))-IF(RTD("tos.rtd",,$A$2,"."&amp;C$135&amp;C$1&amp;"P"&amp;$A141)="N/A",0,RTD("tos.rtd",,$A$2,"."&amp;C$135&amp;C$1&amp;"P"&amp;$A141))</f>
        <v>0</v>
      </c>
      <c r="D141" s="91">
        <f ca="1">IF(RTD("tos.rtd",,$A$2,"."&amp;D$135&amp;D$1&amp;"C"&amp;$A141)="N/A",0,RTD("tos.rtd",,$A$2,"."&amp;D$135&amp;D$1&amp;"C"&amp;$A141))-IF(RTD("tos.rtd",,$A$2,"."&amp;D$135&amp;D$1&amp;"P"&amp;$A141)="N/A",0,RTD("tos.rtd",,$A$2,"."&amp;D$135&amp;D$1&amp;"P"&amp;$A141))</f>
        <v>0</v>
      </c>
      <c r="E141" s="91">
        <f ca="1">IF(RTD("tos.rtd",,$A$2,"."&amp;E$135&amp;E$1&amp;"C"&amp;$A141)="N/A",0,RTD("tos.rtd",,$A$2,"."&amp;E$135&amp;E$1&amp;"C"&amp;$A141))-IF(RTD("tos.rtd",,$A$2,"."&amp;E$135&amp;E$1&amp;"P"&amp;$A141)="N/A",0,RTD("tos.rtd",,$A$2,"."&amp;E$135&amp;E$1&amp;"P"&amp;$A141))</f>
        <v>0</v>
      </c>
      <c r="F141" s="91">
        <f ca="1">IF(RTD("tos.rtd",,$A$2,"."&amp;F$135&amp;F$1&amp;"C"&amp;$A141)="N/A",0,RTD("tos.rtd",,$A$2,"."&amp;F$135&amp;F$1&amp;"C"&amp;$A141))-IF(RTD("tos.rtd",,$A$2,"."&amp;F$135&amp;F$1&amp;"P"&amp;$A141)="N/A",0,RTD("tos.rtd",,$A$2,"."&amp;F$135&amp;F$1&amp;"P"&amp;$A141))</f>
        <v>0</v>
      </c>
      <c r="G141" s="91">
        <f ca="1">IF(RTD("tos.rtd",,$A$2,"."&amp;G$135&amp;G$1&amp;"C"&amp;$A141)="N/A",0,RTD("tos.rtd",,$A$2,"."&amp;G$135&amp;G$1&amp;"C"&amp;$A141))-IF(RTD("tos.rtd",,$A$2,"."&amp;G$135&amp;G$1&amp;"P"&amp;$A141)="N/A",0,RTD("tos.rtd",,$A$2,"."&amp;G$135&amp;G$1&amp;"P"&amp;$A141))</f>
        <v>0</v>
      </c>
      <c r="H141" s="91">
        <f ca="1">IF(RTD("tos.rtd",,$A$2,"."&amp;H$135&amp;H$1&amp;"C"&amp;$A141)="N/A",0,RTD("tos.rtd",,$A$2,"."&amp;H$135&amp;H$1&amp;"C"&amp;$A141))-IF(RTD("tos.rtd",,$A$2,"."&amp;H$135&amp;H$1&amp;"P"&amp;$A141)="N/A",0,RTD("tos.rtd",,$A$2,"."&amp;H$135&amp;H$1&amp;"P"&amp;$A141))</f>
        <v>0</v>
      </c>
      <c r="I141" s="91">
        <f ca="1">IF(RTD("tos.rtd",,$A$2,"."&amp;I$135&amp;I$1&amp;"C"&amp;$A141)="N/A",0,RTD("tos.rtd",,$A$2,"."&amp;I$135&amp;I$1&amp;"C"&amp;$A141))-IF(RTD("tos.rtd",,$A$2,"."&amp;I$135&amp;I$1&amp;"P"&amp;$A141)="N/A",0,RTD("tos.rtd",,$A$2,"."&amp;I$135&amp;I$1&amp;"P"&amp;$A141))</f>
        <v>0</v>
      </c>
      <c r="J141" s="91">
        <f ca="1">IF(RTD("tos.rtd",,$A$2,"."&amp;J$135&amp;J$1&amp;"C"&amp;$A141)="N/A",0,RTD("tos.rtd",,$A$2,"."&amp;J$135&amp;J$1&amp;"C"&amp;$A141))-IF(RTD("tos.rtd",,$A$2,"."&amp;J$135&amp;J$1&amp;"P"&amp;$A141)="N/A",0,RTD("tos.rtd",,$A$2,"."&amp;J$135&amp;J$1&amp;"P"&amp;$A141))</f>
        <v>0</v>
      </c>
      <c r="K141" s="91">
        <f ca="1">IF(RTD("tos.rtd",,$A$2,"."&amp;K$135&amp;K$1&amp;"C"&amp;$A141)="N/A",0,RTD("tos.rtd",,$A$2,"."&amp;K$135&amp;K$1&amp;"C"&amp;$A141))-IF(RTD("tos.rtd",,$A$2,"."&amp;K$135&amp;K$1&amp;"P"&amp;$A141)="N/A",0,RTD("tos.rtd",,$A$2,"."&amp;K$135&amp;K$1&amp;"P"&amp;$A141))</f>
        <v>0</v>
      </c>
      <c r="L141" s="91">
        <f ca="1">IF(RTD("tos.rtd",,$A$2,"."&amp;L$135&amp;L$1&amp;"C"&amp;$A141)="N/A",0,RTD("tos.rtd",,$A$2,"."&amp;L$135&amp;L$1&amp;"C"&amp;$A141))-IF(RTD("tos.rtd",,$A$2,"."&amp;L$135&amp;L$1&amp;"P"&amp;$A141)="N/A",0,RTD("tos.rtd",,$A$2,"."&amp;L$135&amp;L$1&amp;"P"&amp;$A141))</f>
        <v>0</v>
      </c>
      <c r="M141" s="91">
        <f ca="1">IF(RTD("tos.rtd",,$A$2,"."&amp;M$135&amp;M$1&amp;"C"&amp;$A141)="N/A",0,RTD("tos.rtd",,$A$2,"."&amp;M$135&amp;M$1&amp;"C"&amp;$A141))-IF(RTD("tos.rtd",,$A$2,"."&amp;M$135&amp;M$1&amp;"P"&amp;$A141)="N/A",0,RTD("tos.rtd",,$A$2,"."&amp;M$135&amp;M$1&amp;"P"&amp;$A141))</f>
        <v>0</v>
      </c>
      <c r="N141" s="91">
        <f ca="1">IF(RTD("tos.rtd",,$A$2,"."&amp;N$135&amp;N$1&amp;"C"&amp;$A141)="N/A",0,RTD("tos.rtd",,$A$2,"."&amp;N$135&amp;N$1&amp;"C"&amp;$A141))-IF(RTD("tos.rtd",,$A$2,"."&amp;N$135&amp;N$1&amp;"P"&amp;$A141)="N/A",0,RTD("tos.rtd",,$A$2,"."&amp;N$135&amp;N$1&amp;"P"&amp;$A141))</f>
        <v>0</v>
      </c>
      <c r="O141" s="91">
        <f ca="1">IF(RTD("tos.rtd",,$A$2,"."&amp;O$135&amp;O$1&amp;"C"&amp;$A141)="N/A",0,RTD("tos.rtd",,$A$2,"."&amp;O$135&amp;O$1&amp;"C"&amp;$A141))-IF(RTD("tos.rtd",,$A$2,"."&amp;O$135&amp;O$1&amp;"P"&amp;$A141)="N/A",0,RTD("tos.rtd",,$A$2,"."&amp;O$135&amp;O$1&amp;"P"&amp;$A141))</f>
        <v>0</v>
      </c>
      <c r="P141" s="91">
        <f ca="1">IF(RTD("tos.rtd",,$A$2,"."&amp;P$135&amp;P$1&amp;"C"&amp;$A141)="N/A",0,RTD("tos.rtd",,$A$2,"."&amp;P$135&amp;P$1&amp;"C"&amp;$A141))-IF(RTD("tos.rtd",,$A$2,"."&amp;P$135&amp;P$1&amp;"P"&amp;$A141)="N/A",0,RTD("tos.rtd",,$A$2,"."&amp;P$135&amp;P$1&amp;"P"&amp;$A141))</f>
        <v>0</v>
      </c>
      <c r="Q141" s="91">
        <f ca="1">IF(RTD("tos.rtd",,$A$2,"."&amp;Q$135&amp;Q$1&amp;"C"&amp;$A141)="N/A",0,RTD("tos.rtd",,$A$2,"."&amp;Q$135&amp;Q$1&amp;"C"&amp;$A141))-IF(RTD("tos.rtd",,$A$2,"."&amp;Q$135&amp;Q$1&amp;"P"&amp;$A141)="N/A",0,RTD("tos.rtd",,$A$2,"."&amp;Q$135&amp;Q$1&amp;"P"&amp;$A141))</f>
        <v>0</v>
      </c>
      <c r="R141" s="91">
        <f ca="1">IF(RTD("tos.rtd",,$A$2,"."&amp;R$135&amp;R$1&amp;"C"&amp;$A141)="N/A",0,RTD("tos.rtd",,$A$2,"."&amp;R$135&amp;R$1&amp;"C"&amp;$A141))-IF(RTD("tos.rtd",,$A$2,"."&amp;R$135&amp;R$1&amp;"P"&amp;$A141)="N/A",0,RTD("tos.rtd",,$A$2,"."&amp;R$135&amp;R$1&amp;"P"&amp;$A141))</f>
        <v>0</v>
      </c>
      <c r="S141" s="91">
        <f ca="1">IF(RTD("tos.rtd",,$A$2,"."&amp;S$135&amp;S$1&amp;"C"&amp;$A141)="N/A",0,RTD("tos.rtd",,$A$2,"."&amp;S$135&amp;S$1&amp;"C"&amp;$A141))-IF(RTD("tos.rtd",,$A$2,"."&amp;S$135&amp;S$1&amp;"P"&amp;$A141)="N/A",0,RTD("tos.rtd",,$A$2,"."&amp;S$135&amp;S$1&amp;"P"&amp;$A141))</f>
        <v>0</v>
      </c>
      <c r="T141" s="91">
        <f ca="1">IF(RTD("tos.rtd",,$A$2,"."&amp;T$135&amp;T$1&amp;"C"&amp;$A141)="N/A",0,RTD("tos.rtd",,$A$2,"."&amp;T$135&amp;T$1&amp;"C"&amp;$A141))-IF(RTD("tos.rtd",,$A$2,"."&amp;T$135&amp;T$1&amp;"P"&amp;$A141)="N/A",0,RTD("tos.rtd",,$A$2,"."&amp;T$135&amp;T$1&amp;"P"&amp;$A141))</f>
        <v>0</v>
      </c>
      <c r="U141" s="91">
        <f ca="1">IF(RTD("tos.rtd",,$A$2,"."&amp;U$135&amp;U$1&amp;"C"&amp;$A141)="N/A",0,RTD("tos.rtd",,$A$2,"."&amp;U$135&amp;U$1&amp;"C"&amp;$A141))-IF(RTD("tos.rtd",,$A$2,"."&amp;U$135&amp;U$1&amp;"P"&amp;$A141)="N/A",0,RTD("tos.rtd",,$A$2,"."&amp;U$135&amp;U$1&amp;"P"&amp;$A141))</f>
        <v>0</v>
      </c>
      <c r="V141" s="91">
        <f ca="1">IF(RTD("tos.rtd",,$A$2,"."&amp;V$135&amp;V$1&amp;"C"&amp;$A141)="N/A",0,RTD("tos.rtd",,$A$2,"."&amp;V$135&amp;V$1&amp;"C"&amp;$A141))-IF(RTD("tos.rtd",,$A$2,"."&amp;V$135&amp;V$1&amp;"P"&amp;$A141)="N/A",0,RTD("tos.rtd",,$A$2,"."&amp;V$135&amp;V$1&amp;"P"&amp;$A141))</f>
        <v>0</v>
      </c>
      <c r="W141" s="91">
        <f ca="1">IF(RTD("tos.rtd",,$A$2,"."&amp;W$135&amp;W$1&amp;"C"&amp;$A141)="N/A",0,RTD("tos.rtd",,$A$2,"."&amp;W$135&amp;W$1&amp;"C"&amp;$A141))-IF(RTD("tos.rtd",,$A$2,"."&amp;W$135&amp;W$1&amp;"P"&amp;$A141)="N/A",0,RTD("tos.rtd",,$A$2,"."&amp;W$135&amp;W$1&amp;"P"&amp;$A141))</f>
        <v>0</v>
      </c>
      <c r="X141" s="91">
        <f ca="1">IF(RTD("tos.rtd",,$A$2,"."&amp;X$135&amp;X$1&amp;"C"&amp;$A141)="N/A",0,RTD("tos.rtd",,$A$2,"."&amp;X$135&amp;X$1&amp;"C"&amp;$A141))-IF(RTD("tos.rtd",,$A$2,"."&amp;X$135&amp;X$1&amp;"P"&amp;$A141)="N/A",0,RTD("tos.rtd",,$A$2,"."&amp;X$135&amp;X$1&amp;"P"&amp;$A141))</f>
        <v>0</v>
      </c>
      <c r="Y141" s="98">
        <f t="shared" ca="1" si="13"/>
        <v>0</v>
      </c>
      <c r="Z141" s="91"/>
      <c r="AA141" s="91"/>
    </row>
    <row r="142" spans="1:27" x14ac:dyDescent="0.25">
      <c r="A142" s="93">
        <f>+Hoja1!A141</f>
        <v>20450</v>
      </c>
      <c r="B142" s="91">
        <f ca="1">IF(RTD("tos.rtd",,$A$2,"."&amp;B$135&amp;B$1&amp;"C"&amp;$A142)="N/A",0,RTD("tos.rtd",,$A$2,"."&amp;B$135&amp;B$1&amp;"C"&amp;$A142))-IF(RTD("tos.rtd",,$A$2,"."&amp;B$135&amp;B$1&amp;"P"&amp;$A142)="N/A",0,RTD("tos.rtd",,$A$2,"."&amp;B$135&amp;B$1&amp;"P"&amp;$A142))</f>
        <v>0</v>
      </c>
      <c r="C142" s="91">
        <f ca="1">IF(RTD("tos.rtd",,$A$2,"."&amp;C$135&amp;C$1&amp;"C"&amp;$A142)="N/A",0,RTD("tos.rtd",,$A$2,"."&amp;C$135&amp;C$1&amp;"C"&amp;$A142))-IF(RTD("tos.rtd",,$A$2,"."&amp;C$135&amp;C$1&amp;"P"&amp;$A142)="N/A",0,RTD("tos.rtd",,$A$2,"."&amp;C$135&amp;C$1&amp;"P"&amp;$A142))</f>
        <v>0</v>
      </c>
      <c r="D142" s="91">
        <f ca="1">IF(RTD("tos.rtd",,$A$2,"."&amp;D$135&amp;D$1&amp;"C"&amp;$A142)="N/A",0,RTD("tos.rtd",,$A$2,"."&amp;D$135&amp;D$1&amp;"C"&amp;$A142))-IF(RTD("tos.rtd",,$A$2,"."&amp;D$135&amp;D$1&amp;"P"&amp;$A142)="N/A",0,RTD("tos.rtd",,$A$2,"."&amp;D$135&amp;D$1&amp;"P"&amp;$A142))</f>
        <v>0</v>
      </c>
      <c r="E142" s="91">
        <f ca="1">IF(RTD("tos.rtd",,$A$2,"."&amp;E$135&amp;E$1&amp;"C"&amp;$A142)="N/A",0,RTD("tos.rtd",,$A$2,"."&amp;E$135&amp;E$1&amp;"C"&amp;$A142))-IF(RTD("tos.rtd",,$A$2,"."&amp;E$135&amp;E$1&amp;"P"&amp;$A142)="N/A",0,RTD("tos.rtd",,$A$2,"."&amp;E$135&amp;E$1&amp;"P"&amp;$A142))</f>
        <v>0</v>
      </c>
      <c r="F142" s="91">
        <f ca="1">IF(RTD("tos.rtd",,$A$2,"."&amp;F$135&amp;F$1&amp;"C"&amp;$A142)="N/A",0,RTD("tos.rtd",,$A$2,"."&amp;F$135&amp;F$1&amp;"C"&amp;$A142))-IF(RTD("tos.rtd",,$A$2,"."&amp;F$135&amp;F$1&amp;"P"&amp;$A142)="N/A",0,RTD("tos.rtd",,$A$2,"."&amp;F$135&amp;F$1&amp;"P"&amp;$A142))</f>
        <v>0</v>
      </c>
      <c r="G142" s="91">
        <f ca="1">IF(RTD("tos.rtd",,$A$2,"."&amp;G$135&amp;G$1&amp;"C"&amp;$A142)="N/A",0,RTD("tos.rtd",,$A$2,"."&amp;G$135&amp;G$1&amp;"C"&amp;$A142))-IF(RTD("tos.rtd",,$A$2,"."&amp;G$135&amp;G$1&amp;"P"&amp;$A142)="N/A",0,RTD("tos.rtd",,$A$2,"."&amp;G$135&amp;G$1&amp;"P"&amp;$A142))</f>
        <v>0</v>
      </c>
      <c r="H142" s="91">
        <f ca="1">IF(RTD("tos.rtd",,$A$2,"."&amp;H$135&amp;H$1&amp;"C"&amp;$A142)="N/A",0,RTD("tos.rtd",,$A$2,"."&amp;H$135&amp;H$1&amp;"C"&amp;$A142))-IF(RTD("tos.rtd",,$A$2,"."&amp;H$135&amp;H$1&amp;"P"&amp;$A142)="N/A",0,RTD("tos.rtd",,$A$2,"."&amp;H$135&amp;H$1&amp;"P"&amp;$A142))</f>
        <v>0</v>
      </c>
      <c r="I142" s="91">
        <f ca="1">IF(RTD("tos.rtd",,$A$2,"."&amp;I$135&amp;I$1&amp;"C"&amp;$A142)="N/A",0,RTD("tos.rtd",,$A$2,"."&amp;I$135&amp;I$1&amp;"C"&amp;$A142))-IF(RTD("tos.rtd",,$A$2,"."&amp;I$135&amp;I$1&amp;"P"&amp;$A142)="N/A",0,RTD("tos.rtd",,$A$2,"."&amp;I$135&amp;I$1&amp;"P"&amp;$A142))</f>
        <v>0</v>
      </c>
      <c r="J142" s="91">
        <f ca="1">IF(RTD("tos.rtd",,$A$2,"."&amp;J$135&amp;J$1&amp;"C"&amp;$A142)="N/A",0,RTD("tos.rtd",,$A$2,"."&amp;J$135&amp;J$1&amp;"C"&amp;$A142))-IF(RTD("tos.rtd",,$A$2,"."&amp;J$135&amp;J$1&amp;"P"&amp;$A142)="N/A",0,RTD("tos.rtd",,$A$2,"."&amp;J$135&amp;J$1&amp;"P"&amp;$A142))</f>
        <v>16</v>
      </c>
      <c r="K142" s="91">
        <f ca="1">IF(RTD("tos.rtd",,$A$2,"."&amp;K$135&amp;K$1&amp;"C"&amp;$A142)="N/A",0,RTD("tos.rtd",,$A$2,"."&amp;K$135&amp;K$1&amp;"C"&amp;$A142))-IF(RTD("tos.rtd",,$A$2,"."&amp;K$135&amp;K$1&amp;"P"&amp;$A142)="N/A",0,RTD("tos.rtd",,$A$2,"."&amp;K$135&amp;K$1&amp;"P"&amp;$A142))</f>
        <v>2</v>
      </c>
      <c r="L142" s="91">
        <f ca="1">IF(RTD("tos.rtd",,$A$2,"."&amp;L$135&amp;L$1&amp;"C"&amp;$A142)="N/A",0,RTD("tos.rtd",,$A$2,"."&amp;L$135&amp;L$1&amp;"C"&amp;$A142))-IF(RTD("tos.rtd",,$A$2,"."&amp;L$135&amp;L$1&amp;"P"&amp;$A142)="N/A",0,RTD("tos.rtd",,$A$2,"."&amp;L$135&amp;L$1&amp;"P"&amp;$A142))</f>
        <v>0</v>
      </c>
      <c r="M142" s="91">
        <f ca="1">IF(RTD("tos.rtd",,$A$2,"."&amp;M$135&amp;M$1&amp;"C"&amp;$A142)="N/A",0,RTD("tos.rtd",,$A$2,"."&amp;M$135&amp;M$1&amp;"C"&amp;$A142))-IF(RTD("tos.rtd",,$A$2,"."&amp;M$135&amp;M$1&amp;"P"&amp;$A142)="N/A",0,RTD("tos.rtd",,$A$2,"."&amp;M$135&amp;M$1&amp;"P"&amp;$A142))</f>
        <v>0</v>
      </c>
      <c r="N142" s="91">
        <f ca="1">IF(RTD("tos.rtd",,$A$2,"."&amp;N$135&amp;N$1&amp;"C"&amp;$A142)="N/A",0,RTD("tos.rtd",,$A$2,"."&amp;N$135&amp;N$1&amp;"C"&amp;$A142))-IF(RTD("tos.rtd",,$A$2,"."&amp;N$135&amp;N$1&amp;"P"&amp;$A142)="N/A",0,RTD("tos.rtd",,$A$2,"."&amp;N$135&amp;N$1&amp;"P"&amp;$A142))</f>
        <v>0</v>
      </c>
      <c r="O142" s="91">
        <f ca="1">IF(RTD("tos.rtd",,$A$2,"."&amp;O$135&amp;O$1&amp;"C"&amp;$A142)="N/A",0,RTD("tos.rtd",,$A$2,"."&amp;O$135&amp;O$1&amp;"C"&amp;$A142))-IF(RTD("tos.rtd",,$A$2,"."&amp;O$135&amp;O$1&amp;"P"&amp;$A142)="N/A",0,RTD("tos.rtd",,$A$2,"."&amp;O$135&amp;O$1&amp;"P"&amp;$A142))</f>
        <v>0</v>
      </c>
      <c r="P142" s="91">
        <f ca="1">IF(RTD("tos.rtd",,$A$2,"."&amp;P$135&amp;P$1&amp;"C"&amp;$A142)="N/A",0,RTD("tos.rtd",,$A$2,"."&amp;P$135&amp;P$1&amp;"C"&amp;$A142))-IF(RTD("tos.rtd",,$A$2,"."&amp;P$135&amp;P$1&amp;"P"&amp;$A142)="N/A",0,RTD("tos.rtd",,$A$2,"."&amp;P$135&amp;P$1&amp;"P"&amp;$A142))</f>
        <v>0</v>
      </c>
      <c r="Q142" s="91">
        <f ca="1">IF(RTD("tos.rtd",,$A$2,"."&amp;Q$135&amp;Q$1&amp;"C"&amp;$A142)="N/A",0,RTD("tos.rtd",,$A$2,"."&amp;Q$135&amp;Q$1&amp;"C"&amp;$A142))-IF(RTD("tos.rtd",,$A$2,"."&amp;Q$135&amp;Q$1&amp;"P"&amp;$A142)="N/A",0,RTD("tos.rtd",,$A$2,"."&amp;Q$135&amp;Q$1&amp;"P"&amp;$A142))</f>
        <v>0</v>
      </c>
      <c r="R142" s="91">
        <f ca="1">IF(RTD("tos.rtd",,$A$2,"."&amp;R$135&amp;R$1&amp;"C"&amp;$A142)="N/A",0,RTD("tos.rtd",,$A$2,"."&amp;R$135&amp;R$1&amp;"C"&amp;$A142))-IF(RTD("tos.rtd",,$A$2,"."&amp;R$135&amp;R$1&amp;"P"&amp;$A142)="N/A",0,RTD("tos.rtd",,$A$2,"."&amp;R$135&amp;R$1&amp;"P"&amp;$A142))</f>
        <v>0</v>
      </c>
      <c r="S142" s="91">
        <f ca="1">IF(RTD("tos.rtd",,$A$2,"."&amp;S$135&amp;S$1&amp;"C"&amp;$A142)="N/A",0,RTD("tos.rtd",,$A$2,"."&amp;S$135&amp;S$1&amp;"C"&amp;$A142))-IF(RTD("tos.rtd",,$A$2,"."&amp;S$135&amp;S$1&amp;"P"&amp;$A142)="N/A",0,RTD("tos.rtd",,$A$2,"."&amp;S$135&amp;S$1&amp;"P"&amp;$A142))</f>
        <v>0</v>
      </c>
      <c r="T142" s="91">
        <f ca="1">IF(RTD("tos.rtd",,$A$2,"."&amp;T$135&amp;T$1&amp;"C"&amp;$A142)="N/A",0,RTD("tos.rtd",,$A$2,"."&amp;T$135&amp;T$1&amp;"C"&amp;$A142))-IF(RTD("tos.rtd",,$A$2,"."&amp;T$135&amp;T$1&amp;"P"&amp;$A142)="N/A",0,RTD("tos.rtd",,$A$2,"."&amp;T$135&amp;T$1&amp;"P"&amp;$A142))</f>
        <v>0</v>
      </c>
      <c r="U142" s="91">
        <f ca="1">IF(RTD("tos.rtd",,$A$2,"."&amp;U$135&amp;U$1&amp;"C"&amp;$A142)="N/A",0,RTD("tos.rtd",,$A$2,"."&amp;U$135&amp;U$1&amp;"C"&amp;$A142))-IF(RTD("tos.rtd",,$A$2,"."&amp;U$135&amp;U$1&amp;"P"&amp;$A142)="N/A",0,RTD("tos.rtd",,$A$2,"."&amp;U$135&amp;U$1&amp;"P"&amp;$A142))</f>
        <v>0</v>
      </c>
      <c r="V142" s="91">
        <f ca="1">IF(RTD("tos.rtd",,$A$2,"."&amp;V$135&amp;V$1&amp;"C"&amp;$A142)="N/A",0,RTD("tos.rtd",,$A$2,"."&amp;V$135&amp;V$1&amp;"C"&amp;$A142))-IF(RTD("tos.rtd",,$A$2,"."&amp;V$135&amp;V$1&amp;"P"&amp;$A142)="N/A",0,RTD("tos.rtd",,$A$2,"."&amp;V$135&amp;V$1&amp;"P"&amp;$A142))</f>
        <v>0</v>
      </c>
      <c r="W142" s="91">
        <f ca="1">IF(RTD("tos.rtd",,$A$2,"."&amp;W$135&amp;W$1&amp;"C"&amp;$A142)="N/A",0,RTD("tos.rtd",,$A$2,"."&amp;W$135&amp;W$1&amp;"C"&amp;$A142))-IF(RTD("tos.rtd",,$A$2,"."&amp;W$135&amp;W$1&amp;"P"&amp;$A142)="N/A",0,RTD("tos.rtd",,$A$2,"."&amp;W$135&amp;W$1&amp;"P"&amp;$A142))</f>
        <v>0</v>
      </c>
      <c r="X142" s="91">
        <f ca="1">IF(RTD("tos.rtd",,$A$2,"."&amp;X$135&amp;X$1&amp;"C"&amp;$A142)="N/A",0,RTD("tos.rtd",,$A$2,"."&amp;X$135&amp;X$1&amp;"C"&amp;$A142))-IF(RTD("tos.rtd",,$A$2,"."&amp;X$135&amp;X$1&amp;"P"&amp;$A142)="N/A",0,RTD("tos.rtd",,$A$2,"."&amp;X$135&amp;X$1&amp;"P"&amp;$A142))</f>
        <v>0</v>
      </c>
      <c r="Y142" s="98">
        <f t="shared" ca="1" si="13"/>
        <v>18</v>
      </c>
      <c r="Z142" s="91"/>
      <c r="AA142" s="91"/>
    </row>
    <row r="143" spans="1:27" x14ac:dyDescent="0.25">
      <c r="A143" s="93">
        <f>+Hoja1!A142</f>
        <v>20425</v>
      </c>
      <c r="B143" s="91">
        <f ca="1">IF(RTD("tos.rtd",,$A$2,"."&amp;B$135&amp;B$1&amp;"C"&amp;$A143)="N/A",0,RTD("tos.rtd",,$A$2,"."&amp;B$135&amp;B$1&amp;"C"&amp;$A143))-IF(RTD("tos.rtd",,$A$2,"."&amp;B$135&amp;B$1&amp;"P"&amp;$A143)="N/A",0,RTD("tos.rtd",,$A$2,"."&amp;B$135&amp;B$1&amp;"P"&amp;$A143))</f>
        <v>0</v>
      </c>
      <c r="C143" s="91">
        <f ca="1">IF(RTD("tos.rtd",,$A$2,"."&amp;C$135&amp;C$1&amp;"C"&amp;$A143)="N/A",0,RTD("tos.rtd",,$A$2,"."&amp;C$135&amp;C$1&amp;"C"&amp;$A143))-IF(RTD("tos.rtd",,$A$2,"."&amp;C$135&amp;C$1&amp;"P"&amp;$A143)="N/A",0,RTD("tos.rtd",,$A$2,"."&amp;C$135&amp;C$1&amp;"P"&amp;$A143))</f>
        <v>0</v>
      </c>
      <c r="D143" s="91">
        <f ca="1">IF(RTD("tos.rtd",,$A$2,"."&amp;D$135&amp;D$1&amp;"C"&amp;$A143)="N/A",0,RTD("tos.rtd",,$A$2,"."&amp;D$135&amp;D$1&amp;"C"&amp;$A143))-IF(RTD("tos.rtd",,$A$2,"."&amp;D$135&amp;D$1&amp;"P"&amp;$A143)="N/A",0,RTD("tos.rtd",,$A$2,"."&amp;D$135&amp;D$1&amp;"P"&amp;$A143))</f>
        <v>0</v>
      </c>
      <c r="E143" s="91">
        <f ca="1">IF(RTD("tos.rtd",,$A$2,"."&amp;E$135&amp;E$1&amp;"C"&amp;$A143)="N/A",0,RTD("tos.rtd",,$A$2,"."&amp;E$135&amp;E$1&amp;"C"&amp;$A143))-IF(RTD("tos.rtd",,$A$2,"."&amp;E$135&amp;E$1&amp;"P"&amp;$A143)="N/A",0,RTD("tos.rtd",,$A$2,"."&amp;E$135&amp;E$1&amp;"P"&amp;$A143))</f>
        <v>0</v>
      </c>
      <c r="F143" s="91">
        <f ca="1">IF(RTD("tos.rtd",,$A$2,"."&amp;F$135&amp;F$1&amp;"C"&amp;$A143)="N/A",0,RTD("tos.rtd",,$A$2,"."&amp;F$135&amp;F$1&amp;"C"&amp;$A143))-IF(RTD("tos.rtd",,$A$2,"."&amp;F$135&amp;F$1&amp;"P"&amp;$A143)="N/A",0,RTD("tos.rtd",,$A$2,"."&amp;F$135&amp;F$1&amp;"P"&amp;$A143))</f>
        <v>0</v>
      </c>
      <c r="G143" s="91">
        <f ca="1">IF(RTD("tos.rtd",,$A$2,"."&amp;G$135&amp;G$1&amp;"C"&amp;$A143)="N/A",0,RTD("tos.rtd",,$A$2,"."&amp;G$135&amp;G$1&amp;"C"&amp;$A143))-IF(RTD("tos.rtd",,$A$2,"."&amp;G$135&amp;G$1&amp;"P"&amp;$A143)="N/A",0,RTD("tos.rtd",,$A$2,"."&amp;G$135&amp;G$1&amp;"P"&amp;$A143))</f>
        <v>0</v>
      </c>
      <c r="H143" s="91">
        <f ca="1">IF(RTD("tos.rtd",,$A$2,"."&amp;H$135&amp;H$1&amp;"C"&amp;$A143)="N/A",0,RTD("tos.rtd",,$A$2,"."&amp;H$135&amp;H$1&amp;"C"&amp;$A143))-IF(RTD("tos.rtd",,$A$2,"."&amp;H$135&amp;H$1&amp;"P"&amp;$A143)="N/A",0,RTD("tos.rtd",,$A$2,"."&amp;H$135&amp;H$1&amp;"P"&amp;$A143))</f>
        <v>0</v>
      </c>
      <c r="I143" s="91">
        <f ca="1">IF(RTD("tos.rtd",,$A$2,"."&amp;I$135&amp;I$1&amp;"C"&amp;$A143)="N/A",0,RTD("tos.rtd",,$A$2,"."&amp;I$135&amp;I$1&amp;"C"&amp;$A143))-IF(RTD("tos.rtd",,$A$2,"."&amp;I$135&amp;I$1&amp;"P"&amp;$A143)="N/A",0,RTD("tos.rtd",,$A$2,"."&amp;I$135&amp;I$1&amp;"P"&amp;$A143))</f>
        <v>0</v>
      </c>
      <c r="J143" s="91">
        <f ca="1">IF(RTD("tos.rtd",,$A$2,"."&amp;J$135&amp;J$1&amp;"C"&amp;$A143)="N/A",0,RTD("tos.rtd",,$A$2,"."&amp;J$135&amp;J$1&amp;"C"&amp;$A143))-IF(RTD("tos.rtd",,$A$2,"."&amp;J$135&amp;J$1&amp;"P"&amp;$A143)="N/A",0,RTD("tos.rtd",,$A$2,"."&amp;J$135&amp;J$1&amp;"P"&amp;$A143))</f>
        <v>0</v>
      </c>
      <c r="K143" s="91">
        <f ca="1">IF(RTD("tos.rtd",,$A$2,"."&amp;K$135&amp;K$1&amp;"C"&amp;$A143)="N/A",0,RTD("tos.rtd",,$A$2,"."&amp;K$135&amp;K$1&amp;"C"&amp;$A143))-IF(RTD("tos.rtd",,$A$2,"."&amp;K$135&amp;K$1&amp;"P"&amp;$A143)="N/A",0,RTD("tos.rtd",,$A$2,"."&amp;K$135&amp;K$1&amp;"P"&amp;$A143))</f>
        <v>0</v>
      </c>
      <c r="L143" s="91">
        <f ca="1">IF(RTD("tos.rtd",,$A$2,"."&amp;L$135&amp;L$1&amp;"C"&amp;$A143)="N/A",0,RTD("tos.rtd",,$A$2,"."&amp;L$135&amp;L$1&amp;"C"&amp;$A143))-IF(RTD("tos.rtd",,$A$2,"."&amp;L$135&amp;L$1&amp;"P"&amp;$A143)="N/A",0,RTD("tos.rtd",,$A$2,"."&amp;L$135&amp;L$1&amp;"P"&amp;$A143))</f>
        <v>0</v>
      </c>
      <c r="M143" s="91">
        <f ca="1">IF(RTD("tos.rtd",,$A$2,"."&amp;M$135&amp;M$1&amp;"C"&amp;$A143)="N/A",0,RTD("tos.rtd",,$A$2,"."&amp;M$135&amp;M$1&amp;"C"&amp;$A143))-IF(RTD("tos.rtd",,$A$2,"."&amp;M$135&amp;M$1&amp;"P"&amp;$A143)="N/A",0,RTD("tos.rtd",,$A$2,"."&amp;M$135&amp;M$1&amp;"P"&amp;$A143))</f>
        <v>0</v>
      </c>
      <c r="N143" s="91">
        <f ca="1">IF(RTD("tos.rtd",,$A$2,"."&amp;N$135&amp;N$1&amp;"C"&amp;$A143)="N/A",0,RTD("tos.rtd",,$A$2,"."&amp;N$135&amp;N$1&amp;"C"&amp;$A143))-IF(RTD("tos.rtd",,$A$2,"."&amp;N$135&amp;N$1&amp;"P"&amp;$A143)="N/A",0,RTD("tos.rtd",,$A$2,"."&amp;N$135&amp;N$1&amp;"P"&amp;$A143))</f>
        <v>0</v>
      </c>
      <c r="O143" s="91">
        <f ca="1">IF(RTD("tos.rtd",,$A$2,"."&amp;O$135&amp;O$1&amp;"C"&amp;$A143)="N/A",0,RTD("tos.rtd",,$A$2,"."&amp;O$135&amp;O$1&amp;"C"&amp;$A143))-IF(RTD("tos.rtd",,$A$2,"."&amp;O$135&amp;O$1&amp;"P"&amp;$A143)="N/A",0,RTD("tos.rtd",,$A$2,"."&amp;O$135&amp;O$1&amp;"P"&amp;$A143))</f>
        <v>0</v>
      </c>
      <c r="P143" s="91">
        <f ca="1">IF(RTD("tos.rtd",,$A$2,"."&amp;P$135&amp;P$1&amp;"C"&amp;$A143)="N/A",0,RTD("tos.rtd",,$A$2,"."&amp;P$135&amp;P$1&amp;"C"&amp;$A143))-IF(RTD("tos.rtd",,$A$2,"."&amp;P$135&amp;P$1&amp;"P"&amp;$A143)="N/A",0,RTD("tos.rtd",,$A$2,"."&amp;P$135&amp;P$1&amp;"P"&amp;$A143))</f>
        <v>0</v>
      </c>
      <c r="Q143" s="91">
        <f ca="1">IF(RTD("tos.rtd",,$A$2,"."&amp;Q$135&amp;Q$1&amp;"C"&amp;$A143)="N/A",0,RTD("tos.rtd",,$A$2,"."&amp;Q$135&amp;Q$1&amp;"C"&amp;$A143))-IF(RTD("tos.rtd",,$A$2,"."&amp;Q$135&amp;Q$1&amp;"P"&amp;$A143)="N/A",0,RTD("tos.rtd",,$A$2,"."&amp;Q$135&amp;Q$1&amp;"P"&amp;$A143))</f>
        <v>0</v>
      </c>
      <c r="R143" s="91">
        <f ca="1">IF(RTD("tos.rtd",,$A$2,"."&amp;R$135&amp;R$1&amp;"C"&amp;$A143)="N/A",0,RTD("tos.rtd",,$A$2,"."&amp;R$135&amp;R$1&amp;"C"&amp;$A143))-IF(RTD("tos.rtd",,$A$2,"."&amp;R$135&amp;R$1&amp;"P"&amp;$A143)="N/A",0,RTD("tos.rtd",,$A$2,"."&amp;R$135&amp;R$1&amp;"P"&amp;$A143))</f>
        <v>0</v>
      </c>
      <c r="S143" s="91">
        <f ca="1">IF(RTD("tos.rtd",,$A$2,"."&amp;S$135&amp;S$1&amp;"C"&amp;$A143)="N/A",0,RTD("tos.rtd",,$A$2,"."&amp;S$135&amp;S$1&amp;"C"&amp;$A143))-IF(RTD("tos.rtd",,$A$2,"."&amp;S$135&amp;S$1&amp;"P"&amp;$A143)="N/A",0,RTD("tos.rtd",,$A$2,"."&amp;S$135&amp;S$1&amp;"P"&amp;$A143))</f>
        <v>0</v>
      </c>
      <c r="T143" s="91">
        <f ca="1">IF(RTD("tos.rtd",,$A$2,"."&amp;T$135&amp;T$1&amp;"C"&amp;$A143)="N/A",0,RTD("tos.rtd",,$A$2,"."&amp;T$135&amp;T$1&amp;"C"&amp;$A143))-IF(RTD("tos.rtd",,$A$2,"."&amp;T$135&amp;T$1&amp;"P"&amp;$A143)="N/A",0,RTD("tos.rtd",,$A$2,"."&amp;T$135&amp;T$1&amp;"P"&amp;$A143))</f>
        <v>0</v>
      </c>
      <c r="U143" s="91">
        <f ca="1">IF(RTD("tos.rtd",,$A$2,"."&amp;U$135&amp;U$1&amp;"C"&amp;$A143)="N/A",0,RTD("tos.rtd",,$A$2,"."&amp;U$135&amp;U$1&amp;"C"&amp;$A143))-IF(RTD("tos.rtd",,$A$2,"."&amp;U$135&amp;U$1&amp;"P"&amp;$A143)="N/A",0,RTD("tos.rtd",,$A$2,"."&amp;U$135&amp;U$1&amp;"P"&amp;$A143))</f>
        <v>0</v>
      </c>
      <c r="V143" s="91">
        <f ca="1">IF(RTD("tos.rtd",,$A$2,"."&amp;V$135&amp;V$1&amp;"C"&amp;$A143)="N/A",0,RTD("tos.rtd",,$A$2,"."&amp;V$135&amp;V$1&amp;"C"&amp;$A143))-IF(RTD("tos.rtd",,$A$2,"."&amp;V$135&amp;V$1&amp;"P"&amp;$A143)="N/A",0,RTD("tos.rtd",,$A$2,"."&amp;V$135&amp;V$1&amp;"P"&amp;$A143))</f>
        <v>0</v>
      </c>
      <c r="W143" s="91">
        <f ca="1">IF(RTD("tos.rtd",,$A$2,"."&amp;W$135&amp;W$1&amp;"C"&amp;$A143)="N/A",0,RTD("tos.rtd",,$A$2,"."&amp;W$135&amp;W$1&amp;"C"&amp;$A143))-IF(RTD("tos.rtd",,$A$2,"."&amp;W$135&amp;W$1&amp;"P"&amp;$A143)="N/A",0,RTD("tos.rtd",,$A$2,"."&amp;W$135&amp;W$1&amp;"P"&amp;$A143))</f>
        <v>0</v>
      </c>
      <c r="X143" s="91">
        <f ca="1">IF(RTD("tos.rtd",,$A$2,"."&amp;X$135&amp;X$1&amp;"C"&amp;$A143)="N/A",0,RTD("tos.rtd",,$A$2,"."&amp;X$135&amp;X$1&amp;"C"&amp;$A143))-IF(RTD("tos.rtd",,$A$2,"."&amp;X$135&amp;X$1&amp;"P"&amp;$A143)="N/A",0,RTD("tos.rtd",,$A$2,"."&amp;X$135&amp;X$1&amp;"P"&amp;$A143))</f>
        <v>0</v>
      </c>
      <c r="Y143" s="98">
        <f t="shared" ca="1" si="13"/>
        <v>0</v>
      </c>
      <c r="Z143" s="91"/>
      <c r="AA143" s="91"/>
    </row>
    <row r="144" spans="1:27" x14ac:dyDescent="0.25">
      <c r="A144" s="93">
        <f>+Hoja1!A143</f>
        <v>20400</v>
      </c>
      <c r="B144" s="91">
        <f ca="1">IF(RTD("tos.rtd",,$A$2,"."&amp;B$135&amp;B$1&amp;"C"&amp;$A144)="N/A",0,RTD("tos.rtd",,$A$2,"."&amp;B$135&amp;B$1&amp;"C"&amp;$A144))-IF(RTD("tos.rtd",,$A$2,"."&amp;B$135&amp;B$1&amp;"P"&amp;$A144)="N/A",0,RTD("tos.rtd",,$A$2,"."&amp;B$135&amp;B$1&amp;"P"&amp;$A144))</f>
        <v>0</v>
      </c>
      <c r="C144" s="91">
        <f ca="1">IF(RTD("tos.rtd",,$A$2,"."&amp;C$135&amp;C$1&amp;"C"&amp;$A144)="N/A",0,RTD("tos.rtd",,$A$2,"."&amp;C$135&amp;C$1&amp;"C"&amp;$A144))-IF(RTD("tos.rtd",,$A$2,"."&amp;C$135&amp;C$1&amp;"P"&amp;$A144)="N/A",0,RTD("tos.rtd",,$A$2,"."&amp;C$135&amp;C$1&amp;"P"&amp;$A144))</f>
        <v>0</v>
      </c>
      <c r="D144" s="91">
        <f ca="1">IF(RTD("tos.rtd",,$A$2,"."&amp;D$135&amp;D$1&amp;"C"&amp;$A144)="N/A",0,RTD("tos.rtd",,$A$2,"."&amp;D$135&amp;D$1&amp;"C"&amp;$A144))-IF(RTD("tos.rtd",,$A$2,"."&amp;D$135&amp;D$1&amp;"P"&amp;$A144)="N/A",0,RTD("tos.rtd",,$A$2,"."&amp;D$135&amp;D$1&amp;"P"&amp;$A144))</f>
        <v>0</v>
      </c>
      <c r="E144" s="91">
        <f ca="1">IF(RTD("tos.rtd",,$A$2,"."&amp;E$135&amp;E$1&amp;"C"&amp;$A144)="N/A",0,RTD("tos.rtd",,$A$2,"."&amp;E$135&amp;E$1&amp;"C"&amp;$A144))-IF(RTD("tos.rtd",,$A$2,"."&amp;E$135&amp;E$1&amp;"P"&amp;$A144)="N/A",0,RTD("tos.rtd",,$A$2,"."&amp;E$135&amp;E$1&amp;"P"&amp;$A144))</f>
        <v>0</v>
      </c>
      <c r="F144" s="91">
        <f ca="1">IF(RTD("tos.rtd",,$A$2,"."&amp;F$135&amp;F$1&amp;"C"&amp;$A144)="N/A",0,RTD("tos.rtd",,$A$2,"."&amp;F$135&amp;F$1&amp;"C"&amp;$A144))-IF(RTD("tos.rtd",,$A$2,"."&amp;F$135&amp;F$1&amp;"P"&amp;$A144)="N/A",0,RTD("tos.rtd",,$A$2,"."&amp;F$135&amp;F$1&amp;"P"&amp;$A144))</f>
        <v>0</v>
      </c>
      <c r="G144" s="91">
        <f ca="1">IF(RTD("tos.rtd",,$A$2,"."&amp;G$135&amp;G$1&amp;"C"&amp;$A144)="N/A",0,RTD("tos.rtd",,$A$2,"."&amp;G$135&amp;G$1&amp;"C"&amp;$A144))-IF(RTD("tos.rtd",,$A$2,"."&amp;G$135&amp;G$1&amp;"P"&amp;$A144)="N/A",0,RTD("tos.rtd",,$A$2,"."&amp;G$135&amp;G$1&amp;"P"&amp;$A144))</f>
        <v>0</v>
      </c>
      <c r="H144" s="91">
        <f ca="1">IF(RTD("tos.rtd",,$A$2,"."&amp;H$135&amp;H$1&amp;"C"&amp;$A144)="N/A",0,RTD("tos.rtd",,$A$2,"."&amp;H$135&amp;H$1&amp;"C"&amp;$A144))-IF(RTD("tos.rtd",,$A$2,"."&amp;H$135&amp;H$1&amp;"P"&amp;$A144)="N/A",0,RTD("tos.rtd",,$A$2,"."&amp;H$135&amp;H$1&amp;"P"&amp;$A144))</f>
        <v>0</v>
      </c>
      <c r="I144" s="91">
        <f ca="1">IF(RTD("tos.rtd",,$A$2,"."&amp;I$135&amp;I$1&amp;"C"&amp;$A144)="N/A",0,RTD("tos.rtd",,$A$2,"."&amp;I$135&amp;I$1&amp;"C"&amp;$A144))-IF(RTD("tos.rtd",,$A$2,"."&amp;I$135&amp;I$1&amp;"P"&amp;$A144)="N/A",0,RTD("tos.rtd",,$A$2,"."&amp;I$135&amp;I$1&amp;"P"&amp;$A144))</f>
        <v>9</v>
      </c>
      <c r="J144" s="91">
        <f ca="1">IF(RTD("tos.rtd",,$A$2,"."&amp;J$135&amp;J$1&amp;"C"&amp;$A144)="N/A",0,RTD("tos.rtd",,$A$2,"."&amp;J$135&amp;J$1&amp;"C"&amp;$A144))-IF(RTD("tos.rtd",,$A$2,"."&amp;J$135&amp;J$1&amp;"P"&amp;$A144)="N/A",0,RTD("tos.rtd",,$A$2,"."&amp;J$135&amp;J$1&amp;"P"&amp;$A144))</f>
        <v>0</v>
      </c>
      <c r="K144" s="91">
        <f ca="1">IF(RTD("tos.rtd",,$A$2,"."&amp;K$135&amp;K$1&amp;"C"&amp;$A144)="N/A",0,RTD("tos.rtd",,$A$2,"."&amp;K$135&amp;K$1&amp;"C"&amp;$A144))-IF(RTD("tos.rtd",,$A$2,"."&amp;K$135&amp;K$1&amp;"P"&amp;$A144)="N/A",0,RTD("tos.rtd",,$A$2,"."&amp;K$135&amp;K$1&amp;"P"&amp;$A144))</f>
        <v>2</v>
      </c>
      <c r="L144" s="91">
        <f ca="1">IF(RTD("tos.rtd",,$A$2,"."&amp;L$135&amp;L$1&amp;"C"&amp;$A144)="N/A",0,RTD("tos.rtd",,$A$2,"."&amp;L$135&amp;L$1&amp;"C"&amp;$A144))-IF(RTD("tos.rtd",,$A$2,"."&amp;L$135&amp;L$1&amp;"P"&amp;$A144)="N/A",0,RTD("tos.rtd",,$A$2,"."&amp;L$135&amp;L$1&amp;"P"&amp;$A144))</f>
        <v>0</v>
      </c>
      <c r="M144" s="91">
        <f ca="1">IF(RTD("tos.rtd",,$A$2,"."&amp;M$135&amp;M$1&amp;"C"&amp;$A144)="N/A",0,RTD("tos.rtd",,$A$2,"."&amp;M$135&amp;M$1&amp;"C"&amp;$A144))-IF(RTD("tos.rtd",,$A$2,"."&amp;M$135&amp;M$1&amp;"P"&amp;$A144)="N/A",0,RTD("tos.rtd",,$A$2,"."&amp;M$135&amp;M$1&amp;"P"&amp;$A144))</f>
        <v>2</v>
      </c>
      <c r="N144" s="91">
        <f ca="1">IF(RTD("tos.rtd",,$A$2,"."&amp;N$135&amp;N$1&amp;"C"&amp;$A144)="N/A",0,RTD("tos.rtd",,$A$2,"."&amp;N$135&amp;N$1&amp;"C"&amp;$A144))-IF(RTD("tos.rtd",,$A$2,"."&amp;N$135&amp;N$1&amp;"P"&amp;$A144)="N/A",0,RTD("tos.rtd",,$A$2,"."&amp;N$135&amp;N$1&amp;"P"&amp;$A144))</f>
        <v>0</v>
      </c>
      <c r="O144" s="91">
        <f ca="1">IF(RTD("tos.rtd",,$A$2,"."&amp;O$135&amp;O$1&amp;"C"&amp;$A144)="N/A",0,RTD("tos.rtd",,$A$2,"."&amp;O$135&amp;O$1&amp;"C"&amp;$A144))-IF(RTD("tos.rtd",,$A$2,"."&amp;O$135&amp;O$1&amp;"P"&amp;$A144)="N/A",0,RTD("tos.rtd",,$A$2,"."&amp;O$135&amp;O$1&amp;"P"&amp;$A144))</f>
        <v>0</v>
      </c>
      <c r="P144" s="91">
        <f ca="1">IF(RTD("tos.rtd",,$A$2,"."&amp;P$135&amp;P$1&amp;"C"&amp;$A144)="N/A",0,RTD("tos.rtd",,$A$2,"."&amp;P$135&amp;P$1&amp;"C"&amp;$A144))-IF(RTD("tos.rtd",,$A$2,"."&amp;P$135&amp;P$1&amp;"P"&amp;$A144)="N/A",0,RTD("tos.rtd",,$A$2,"."&amp;P$135&amp;P$1&amp;"P"&amp;$A144))</f>
        <v>0</v>
      </c>
      <c r="Q144" s="91">
        <f ca="1">IF(RTD("tos.rtd",,$A$2,"."&amp;Q$135&amp;Q$1&amp;"C"&amp;$A144)="N/A",0,RTD("tos.rtd",,$A$2,"."&amp;Q$135&amp;Q$1&amp;"C"&amp;$A144))-IF(RTD("tos.rtd",,$A$2,"."&amp;Q$135&amp;Q$1&amp;"P"&amp;$A144)="N/A",0,RTD("tos.rtd",,$A$2,"."&amp;Q$135&amp;Q$1&amp;"P"&amp;$A144))</f>
        <v>0</v>
      </c>
      <c r="R144" s="91">
        <f ca="1">IF(RTD("tos.rtd",,$A$2,"."&amp;R$135&amp;R$1&amp;"C"&amp;$A144)="N/A",0,RTD("tos.rtd",,$A$2,"."&amp;R$135&amp;R$1&amp;"C"&amp;$A144))-IF(RTD("tos.rtd",,$A$2,"."&amp;R$135&amp;R$1&amp;"P"&amp;$A144)="N/A",0,RTD("tos.rtd",,$A$2,"."&amp;R$135&amp;R$1&amp;"P"&amp;$A144))</f>
        <v>0</v>
      </c>
      <c r="S144" s="91">
        <f ca="1">IF(RTD("tos.rtd",,$A$2,"."&amp;S$135&amp;S$1&amp;"C"&amp;$A144)="N/A",0,RTD("tos.rtd",,$A$2,"."&amp;S$135&amp;S$1&amp;"C"&amp;$A144))-IF(RTD("tos.rtd",,$A$2,"."&amp;S$135&amp;S$1&amp;"P"&amp;$A144)="N/A",0,RTD("tos.rtd",,$A$2,"."&amp;S$135&amp;S$1&amp;"P"&amp;$A144))</f>
        <v>0</v>
      </c>
      <c r="T144" s="91">
        <f ca="1">IF(RTD("tos.rtd",,$A$2,"."&amp;T$135&amp;T$1&amp;"C"&amp;$A144)="N/A",0,RTD("tos.rtd",,$A$2,"."&amp;T$135&amp;T$1&amp;"C"&amp;$A144))-IF(RTD("tos.rtd",,$A$2,"."&amp;T$135&amp;T$1&amp;"P"&amp;$A144)="N/A",0,RTD("tos.rtd",,$A$2,"."&amp;T$135&amp;T$1&amp;"P"&amp;$A144))</f>
        <v>0</v>
      </c>
      <c r="U144" s="91">
        <f ca="1">IF(RTD("tos.rtd",,$A$2,"."&amp;U$135&amp;U$1&amp;"C"&amp;$A144)="N/A",0,RTD("tos.rtd",,$A$2,"."&amp;U$135&amp;U$1&amp;"C"&amp;$A144))-IF(RTD("tos.rtd",,$A$2,"."&amp;U$135&amp;U$1&amp;"P"&amp;$A144)="N/A",0,RTD("tos.rtd",,$A$2,"."&amp;U$135&amp;U$1&amp;"P"&amp;$A144))</f>
        <v>0</v>
      </c>
      <c r="V144" s="91">
        <f ca="1">IF(RTD("tos.rtd",,$A$2,"."&amp;V$135&amp;V$1&amp;"C"&amp;$A144)="N/A",0,RTD("tos.rtd",,$A$2,"."&amp;V$135&amp;V$1&amp;"C"&amp;$A144))-IF(RTD("tos.rtd",,$A$2,"."&amp;V$135&amp;V$1&amp;"P"&amp;$A144)="N/A",0,RTD("tos.rtd",,$A$2,"."&amp;V$135&amp;V$1&amp;"P"&amp;$A144))</f>
        <v>0</v>
      </c>
      <c r="W144" s="91">
        <f ca="1">IF(RTD("tos.rtd",,$A$2,"."&amp;W$135&amp;W$1&amp;"C"&amp;$A144)="N/A",0,RTD("tos.rtd",,$A$2,"."&amp;W$135&amp;W$1&amp;"C"&amp;$A144))-IF(RTD("tos.rtd",,$A$2,"."&amp;W$135&amp;W$1&amp;"P"&amp;$A144)="N/A",0,RTD("tos.rtd",,$A$2,"."&amp;W$135&amp;W$1&amp;"P"&amp;$A144))</f>
        <v>0</v>
      </c>
      <c r="X144" s="91">
        <f ca="1">IF(RTD("tos.rtd",,$A$2,"."&amp;X$135&amp;X$1&amp;"C"&amp;$A144)="N/A",0,RTD("tos.rtd",,$A$2,"."&amp;X$135&amp;X$1&amp;"C"&amp;$A144))-IF(RTD("tos.rtd",,$A$2,"."&amp;X$135&amp;X$1&amp;"P"&amp;$A144)="N/A",0,RTD("tos.rtd",,$A$2,"."&amp;X$135&amp;X$1&amp;"P"&amp;$A144))</f>
        <v>0</v>
      </c>
      <c r="Y144" s="98">
        <f t="shared" ca="1" si="13"/>
        <v>13</v>
      </c>
      <c r="Z144" s="91"/>
      <c r="AA144" s="91"/>
    </row>
    <row r="145" spans="1:27" x14ac:dyDescent="0.25">
      <c r="A145" s="93">
        <f>+Hoja1!A144</f>
        <v>20375</v>
      </c>
      <c r="B145" s="91">
        <f ca="1">IF(RTD("tos.rtd",,$A$2,"."&amp;B$135&amp;B$1&amp;"C"&amp;$A145)="N/A",0,RTD("tos.rtd",,$A$2,"."&amp;B$135&amp;B$1&amp;"C"&amp;$A145))-IF(RTD("tos.rtd",,$A$2,"."&amp;B$135&amp;B$1&amp;"P"&amp;$A145)="N/A",0,RTD("tos.rtd",,$A$2,"."&amp;B$135&amp;B$1&amp;"P"&amp;$A145))</f>
        <v>0</v>
      </c>
      <c r="C145" s="91">
        <f ca="1">IF(RTD("tos.rtd",,$A$2,"."&amp;C$135&amp;C$1&amp;"C"&amp;$A145)="N/A",0,RTD("tos.rtd",,$A$2,"."&amp;C$135&amp;C$1&amp;"C"&amp;$A145))-IF(RTD("tos.rtd",,$A$2,"."&amp;C$135&amp;C$1&amp;"P"&amp;$A145)="N/A",0,RTD("tos.rtd",,$A$2,"."&amp;C$135&amp;C$1&amp;"P"&amp;$A145))</f>
        <v>0</v>
      </c>
      <c r="D145" s="91">
        <f ca="1">IF(RTD("tos.rtd",,$A$2,"."&amp;D$135&amp;D$1&amp;"C"&amp;$A145)="N/A",0,RTD("tos.rtd",,$A$2,"."&amp;D$135&amp;D$1&amp;"C"&amp;$A145))-IF(RTD("tos.rtd",,$A$2,"."&amp;D$135&amp;D$1&amp;"P"&amp;$A145)="N/A",0,RTD("tos.rtd",,$A$2,"."&amp;D$135&amp;D$1&amp;"P"&amp;$A145))</f>
        <v>0</v>
      </c>
      <c r="E145" s="91">
        <f ca="1">IF(RTD("tos.rtd",,$A$2,"."&amp;E$135&amp;E$1&amp;"C"&amp;$A145)="N/A",0,RTD("tos.rtd",,$A$2,"."&amp;E$135&amp;E$1&amp;"C"&amp;$A145))-IF(RTD("tos.rtd",,$A$2,"."&amp;E$135&amp;E$1&amp;"P"&amp;$A145)="N/A",0,RTD("tos.rtd",,$A$2,"."&amp;E$135&amp;E$1&amp;"P"&amp;$A145))</f>
        <v>0</v>
      </c>
      <c r="F145" s="91">
        <f ca="1">IF(RTD("tos.rtd",,$A$2,"."&amp;F$135&amp;F$1&amp;"C"&amp;$A145)="N/A",0,RTD("tos.rtd",,$A$2,"."&amp;F$135&amp;F$1&amp;"C"&amp;$A145))-IF(RTD("tos.rtd",,$A$2,"."&amp;F$135&amp;F$1&amp;"P"&amp;$A145)="N/A",0,RTD("tos.rtd",,$A$2,"."&amp;F$135&amp;F$1&amp;"P"&amp;$A145))</f>
        <v>0</v>
      </c>
      <c r="G145" s="91">
        <f ca="1">IF(RTD("tos.rtd",,$A$2,"."&amp;G$135&amp;G$1&amp;"C"&amp;$A145)="N/A",0,RTD("tos.rtd",,$A$2,"."&amp;G$135&amp;G$1&amp;"C"&amp;$A145))-IF(RTD("tos.rtd",,$A$2,"."&amp;G$135&amp;G$1&amp;"P"&amp;$A145)="N/A",0,RTD("tos.rtd",,$A$2,"."&amp;G$135&amp;G$1&amp;"P"&amp;$A145))</f>
        <v>0</v>
      </c>
      <c r="H145" s="91">
        <f ca="1">IF(RTD("tos.rtd",,$A$2,"."&amp;H$135&amp;H$1&amp;"C"&amp;$A145)="N/A",0,RTD("tos.rtd",,$A$2,"."&amp;H$135&amp;H$1&amp;"C"&amp;$A145))-IF(RTD("tos.rtd",,$A$2,"."&amp;H$135&amp;H$1&amp;"P"&amp;$A145)="N/A",0,RTD("tos.rtd",,$A$2,"."&amp;H$135&amp;H$1&amp;"P"&amp;$A145))</f>
        <v>0</v>
      </c>
      <c r="I145" s="91">
        <f ca="1">IF(RTD("tos.rtd",,$A$2,"."&amp;I$135&amp;I$1&amp;"C"&amp;$A145)="N/A",0,RTD("tos.rtd",,$A$2,"."&amp;I$135&amp;I$1&amp;"C"&amp;$A145))-IF(RTD("tos.rtd",,$A$2,"."&amp;I$135&amp;I$1&amp;"P"&amp;$A145)="N/A",0,RTD("tos.rtd",,$A$2,"."&amp;I$135&amp;I$1&amp;"P"&amp;$A145))</f>
        <v>2</v>
      </c>
      <c r="J145" s="91">
        <f ca="1">IF(RTD("tos.rtd",,$A$2,"."&amp;J$135&amp;J$1&amp;"C"&amp;$A145)="N/A",0,RTD("tos.rtd",,$A$2,"."&amp;J$135&amp;J$1&amp;"C"&amp;$A145))-IF(RTD("tos.rtd",,$A$2,"."&amp;J$135&amp;J$1&amp;"P"&amp;$A145)="N/A",0,RTD("tos.rtd",,$A$2,"."&amp;J$135&amp;J$1&amp;"P"&amp;$A145))</f>
        <v>0</v>
      </c>
      <c r="K145" s="91">
        <f ca="1">IF(RTD("tos.rtd",,$A$2,"."&amp;K$135&amp;K$1&amp;"C"&amp;$A145)="N/A",0,RTD("tos.rtd",,$A$2,"."&amp;K$135&amp;K$1&amp;"C"&amp;$A145))-IF(RTD("tos.rtd",,$A$2,"."&amp;K$135&amp;K$1&amp;"P"&amp;$A145)="N/A",0,RTD("tos.rtd",,$A$2,"."&amp;K$135&amp;K$1&amp;"P"&amp;$A145))</f>
        <v>0</v>
      </c>
      <c r="L145" s="91">
        <f ca="1">IF(RTD("tos.rtd",,$A$2,"."&amp;L$135&amp;L$1&amp;"C"&amp;$A145)="N/A",0,RTD("tos.rtd",,$A$2,"."&amp;L$135&amp;L$1&amp;"C"&amp;$A145))-IF(RTD("tos.rtd",,$A$2,"."&amp;L$135&amp;L$1&amp;"P"&amp;$A145)="N/A",0,RTD("tos.rtd",,$A$2,"."&amp;L$135&amp;L$1&amp;"P"&amp;$A145))</f>
        <v>0</v>
      </c>
      <c r="M145" s="91">
        <f ca="1">IF(RTD("tos.rtd",,$A$2,"."&amp;M$135&amp;M$1&amp;"C"&amp;$A145)="N/A",0,RTD("tos.rtd",,$A$2,"."&amp;M$135&amp;M$1&amp;"C"&amp;$A145))-IF(RTD("tos.rtd",,$A$2,"."&amp;M$135&amp;M$1&amp;"P"&amp;$A145)="N/A",0,RTD("tos.rtd",,$A$2,"."&amp;M$135&amp;M$1&amp;"P"&amp;$A145))</f>
        <v>0</v>
      </c>
      <c r="N145" s="91">
        <f ca="1">IF(RTD("tos.rtd",,$A$2,"."&amp;N$135&amp;N$1&amp;"C"&amp;$A145)="N/A",0,RTD("tos.rtd",,$A$2,"."&amp;N$135&amp;N$1&amp;"C"&amp;$A145))-IF(RTD("tos.rtd",,$A$2,"."&amp;N$135&amp;N$1&amp;"P"&amp;$A145)="N/A",0,RTD("tos.rtd",,$A$2,"."&amp;N$135&amp;N$1&amp;"P"&amp;$A145))</f>
        <v>0</v>
      </c>
      <c r="O145" s="91">
        <f ca="1">IF(RTD("tos.rtd",,$A$2,"."&amp;O$135&amp;O$1&amp;"C"&amp;$A145)="N/A",0,RTD("tos.rtd",,$A$2,"."&amp;O$135&amp;O$1&amp;"C"&amp;$A145))-IF(RTD("tos.rtd",,$A$2,"."&amp;O$135&amp;O$1&amp;"P"&amp;$A145)="N/A",0,RTD("tos.rtd",,$A$2,"."&amp;O$135&amp;O$1&amp;"P"&amp;$A145))</f>
        <v>0</v>
      </c>
      <c r="P145" s="91">
        <f ca="1">IF(RTD("tos.rtd",,$A$2,"."&amp;P$135&amp;P$1&amp;"C"&amp;$A145)="N/A",0,RTD("tos.rtd",,$A$2,"."&amp;P$135&amp;P$1&amp;"C"&amp;$A145))-IF(RTD("tos.rtd",,$A$2,"."&amp;P$135&amp;P$1&amp;"P"&amp;$A145)="N/A",0,RTD("tos.rtd",,$A$2,"."&amp;P$135&amp;P$1&amp;"P"&amp;$A145))</f>
        <v>0</v>
      </c>
      <c r="Q145" s="91">
        <f ca="1">IF(RTD("tos.rtd",,$A$2,"."&amp;Q$135&amp;Q$1&amp;"C"&amp;$A145)="N/A",0,RTD("tos.rtd",,$A$2,"."&amp;Q$135&amp;Q$1&amp;"C"&amp;$A145))-IF(RTD("tos.rtd",,$A$2,"."&amp;Q$135&amp;Q$1&amp;"P"&amp;$A145)="N/A",0,RTD("tos.rtd",,$A$2,"."&amp;Q$135&amp;Q$1&amp;"P"&amp;$A145))</f>
        <v>0</v>
      </c>
      <c r="R145" s="91">
        <f ca="1">IF(RTD("tos.rtd",,$A$2,"."&amp;R$135&amp;R$1&amp;"C"&amp;$A145)="N/A",0,RTD("tos.rtd",,$A$2,"."&amp;R$135&amp;R$1&amp;"C"&amp;$A145))-IF(RTD("tos.rtd",,$A$2,"."&amp;R$135&amp;R$1&amp;"P"&amp;$A145)="N/A",0,RTD("tos.rtd",,$A$2,"."&amp;R$135&amp;R$1&amp;"P"&amp;$A145))</f>
        <v>0</v>
      </c>
      <c r="S145" s="91">
        <f ca="1">IF(RTD("tos.rtd",,$A$2,"."&amp;S$135&amp;S$1&amp;"C"&amp;$A145)="N/A",0,RTD("tos.rtd",,$A$2,"."&amp;S$135&amp;S$1&amp;"C"&amp;$A145))-IF(RTD("tos.rtd",,$A$2,"."&amp;S$135&amp;S$1&amp;"P"&amp;$A145)="N/A",0,RTD("tos.rtd",,$A$2,"."&amp;S$135&amp;S$1&amp;"P"&amp;$A145))</f>
        <v>0</v>
      </c>
      <c r="T145" s="91">
        <f ca="1">IF(RTD("tos.rtd",,$A$2,"."&amp;T$135&amp;T$1&amp;"C"&amp;$A145)="N/A",0,RTD("tos.rtd",,$A$2,"."&amp;T$135&amp;T$1&amp;"C"&amp;$A145))-IF(RTD("tos.rtd",,$A$2,"."&amp;T$135&amp;T$1&amp;"P"&amp;$A145)="N/A",0,RTD("tos.rtd",,$A$2,"."&amp;T$135&amp;T$1&amp;"P"&amp;$A145))</f>
        <v>0</v>
      </c>
      <c r="U145" s="91">
        <f ca="1">IF(RTD("tos.rtd",,$A$2,"."&amp;U$135&amp;U$1&amp;"C"&amp;$A145)="N/A",0,RTD("tos.rtd",,$A$2,"."&amp;U$135&amp;U$1&amp;"C"&amp;$A145))-IF(RTD("tos.rtd",,$A$2,"."&amp;U$135&amp;U$1&amp;"P"&amp;$A145)="N/A",0,RTD("tos.rtd",,$A$2,"."&amp;U$135&amp;U$1&amp;"P"&amp;$A145))</f>
        <v>0</v>
      </c>
      <c r="V145" s="91">
        <f ca="1">IF(RTD("tos.rtd",,$A$2,"."&amp;V$135&amp;V$1&amp;"C"&amp;$A145)="N/A",0,RTD("tos.rtd",,$A$2,"."&amp;V$135&amp;V$1&amp;"C"&amp;$A145))-IF(RTD("tos.rtd",,$A$2,"."&amp;V$135&amp;V$1&amp;"P"&amp;$A145)="N/A",0,RTD("tos.rtd",,$A$2,"."&amp;V$135&amp;V$1&amp;"P"&amp;$A145))</f>
        <v>0</v>
      </c>
      <c r="W145" s="91">
        <f ca="1">IF(RTD("tos.rtd",,$A$2,"."&amp;W$135&amp;W$1&amp;"C"&amp;$A145)="N/A",0,RTD("tos.rtd",,$A$2,"."&amp;W$135&amp;W$1&amp;"C"&amp;$A145))-IF(RTD("tos.rtd",,$A$2,"."&amp;W$135&amp;W$1&amp;"P"&amp;$A145)="N/A",0,RTD("tos.rtd",,$A$2,"."&amp;W$135&amp;W$1&amp;"P"&amp;$A145))</f>
        <v>0</v>
      </c>
      <c r="X145" s="91">
        <f ca="1">IF(RTD("tos.rtd",,$A$2,"."&amp;X$135&amp;X$1&amp;"C"&amp;$A145)="N/A",0,RTD("tos.rtd",,$A$2,"."&amp;X$135&amp;X$1&amp;"C"&amp;$A145))-IF(RTD("tos.rtd",,$A$2,"."&amp;X$135&amp;X$1&amp;"P"&amp;$A145)="N/A",0,RTD("tos.rtd",,$A$2,"."&amp;X$135&amp;X$1&amp;"P"&amp;$A145))</f>
        <v>0</v>
      </c>
      <c r="Y145" s="98">
        <f t="shared" ca="1" si="13"/>
        <v>2</v>
      </c>
      <c r="Z145" s="91"/>
      <c r="AA145" s="91"/>
    </row>
    <row r="146" spans="1:27" x14ac:dyDescent="0.25">
      <c r="A146" s="93">
        <f>+Hoja1!A145</f>
        <v>20350</v>
      </c>
      <c r="B146" s="91">
        <f ca="1">IF(RTD("tos.rtd",,$A$2,"."&amp;B$135&amp;B$1&amp;"C"&amp;$A146)="N/A",0,RTD("tos.rtd",,$A$2,"."&amp;B$135&amp;B$1&amp;"C"&amp;$A146))-IF(RTD("tos.rtd",,$A$2,"."&amp;B$135&amp;B$1&amp;"P"&amp;$A146)="N/A",0,RTD("tos.rtd",,$A$2,"."&amp;B$135&amp;B$1&amp;"P"&amp;$A146))</f>
        <v>0</v>
      </c>
      <c r="C146" s="91">
        <f ca="1">IF(RTD("tos.rtd",,$A$2,"."&amp;C$135&amp;C$1&amp;"C"&amp;$A146)="N/A",0,RTD("tos.rtd",,$A$2,"."&amp;C$135&amp;C$1&amp;"C"&amp;$A146))-IF(RTD("tos.rtd",,$A$2,"."&amp;C$135&amp;C$1&amp;"P"&amp;$A146)="N/A",0,RTD("tos.rtd",,$A$2,"."&amp;C$135&amp;C$1&amp;"P"&amp;$A146))</f>
        <v>0</v>
      </c>
      <c r="D146" s="91">
        <f ca="1">IF(RTD("tos.rtd",,$A$2,"."&amp;D$135&amp;D$1&amp;"C"&amp;$A146)="N/A",0,RTD("tos.rtd",,$A$2,"."&amp;D$135&amp;D$1&amp;"C"&amp;$A146))-IF(RTD("tos.rtd",,$A$2,"."&amp;D$135&amp;D$1&amp;"P"&amp;$A146)="N/A",0,RTD("tos.rtd",,$A$2,"."&amp;D$135&amp;D$1&amp;"P"&amp;$A146))</f>
        <v>0</v>
      </c>
      <c r="E146" s="91">
        <f ca="1">IF(RTD("tos.rtd",,$A$2,"."&amp;E$135&amp;E$1&amp;"C"&amp;$A146)="N/A",0,RTD("tos.rtd",,$A$2,"."&amp;E$135&amp;E$1&amp;"C"&amp;$A146))-IF(RTD("tos.rtd",,$A$2,"."&amp;E$135&amp;E$1&amp;"P"&amp;$A146)="N/A",0,RTD("tos.rtd",,$A$2,"."&amp;E$135&amp;E$1&amp;"P"&amp;$A146))</f>
        <v>0</v>
      </c>
      <c r="F146" s="91">
        <f ca="1">IF(RTD("tos.rtd",,$A$2,"."&amp;F$135&amp;F$1&amp;"C"&amp;$A146)="N/A",0,RTD("tos.rtd",,$A$2,"."&amp;F$135&amp;F$1&amp;"C"&amp;$A146))-IF(RTD("tos.rtd",,$A$2,"."&amp;F$135&amp;F$1&amp;"P"&amp;$A146)="N/A",0,RTD("tos.rtd",,$A$2,"."&amp;F$135&amp;F$1&amp;"P"&amp;$A146))</f>
        <v>0</v>
      </c>
      <c r="G146" s="91">
        <f ca="1">IF(RTD("tos.rtd",,$A$2,"."&amp;G$135&amp;G$1&amp;"C"&amp;$A146)="N/A",0,RTD("tos.rtd",,$A$2,"."&amp;G$135&amp;G$1&amp;"C"&amp;$A146))-IF(RTD("tos.rtd",,$A$2,"."&amp;G$135&amp;G$1&amp;"P"&amp;$A146)="N/A",0,RTD("tos.rtd",,$A$2,"."&amp;G$135&amp;G$1&amp;"P"&amp;$A146))</f>
        <v>0</v>
      </c>
      <c r="H146" s="91">
        <f ca="1">IF(RTD("tos.rtd",,$A$2,"."&amp;H$135&amp;H$1&amp;"C"&amp;$A146)="N/A",0,RTD("tos.rtd",,$A$2,"."&amp;H$135&amp;H$1&amp;"C"&amp;$A146))-IF(RTD("tos.rtd",,$A$2,"."&amp;H$135&amp;H$1&amp;"P"&amp;$A146)="N/A",0,RTD("tos.rtd",,$A$2,"."&amp;H$135&amp;H$1&amp;"P"&amp;$A146))</f>
        <v>0</v>
      </c>
      <c r="I146" s="91">
        <f ca="1">IF(RTD("tos.rtd",,$A$2,"."&amp;I$135&amp;I$1&amp;"C"&amp;$A146)="N/A",0,RTD("tos.rtd",,$A$2,"."&amp;I$135&amp;I$1&amp;"C"&amp;$A146))-IF(RTD("tos.rtd",,$A$2,"."&amp;I$135&amp;I$1&amp;"P"&amp;$A146)="N/A",0,RTD("tos.rtd",,$A$2,"."&amp;I$135&amp;I$1&amp;"P"&amp;$A146))</f>
        <v>0</v>
      </c>
      <c r="J146" s="91">
        <f ca="1">IF(RTD("tos.rtd",,$A$2,"."&amp;J$135&amp;J$1&amp;"C"&amp;$A146)="N/A",0,RTD("tos.rtd",,$A$2,"."&amp;J$135&amp;J$1&amp;"C"&amp;$A146))-IF(RTD("tos.rtd",,$A$2,"."&amp;J$135&amp;J$1&amp;"P"&amp;$A146)="N/A",0,RTD("tos.rtd",,$A$2,"."&amp;J$135&amp;J$1&amp;"P"&amp;$A146))</f>
        <v>0</v>
      </c>
      <c r="K146" s="91">
        <f ca="1">IF(RTD("tos.rtd",,$A$2,"."&amp;K$135&amp;K$1&amp;"C"&amp;$A146)="N/A",0,RTD("tos.rtd",,$A$2,"."&amp;K$135&amp;K$1&amp;"C"&amp;$A146))-IF(RTD("tos.rtd",,$A$2,"."&amp;K$135&amp;K$1&amp;"P"&amp;$A146)="N/A",0,RTD("tos.rtd",,$A$2,"."&amp;K$135&amp;K$1&amp;"P"&amp;$A146))</f>
        <v>0</v>
      </c>
      <c r="L146" s="91">
        <f ca="1">IF(RTD("tos.rtd",,$A$2,"."&amp;L$135&amp;L$1&amp;"C"&amp;$A146)="N/A",0,RTD("tos.rtd",,$A$2,"."&amp;L$135&amp;L$1&amp;"C"&amp;$A146))-IF(RTD("tos.rtd",,$A$2,"."&amp;L$135&amp;L$1&amp;"P"&amp;$A146)="N/A",0,RTD("tos.rtd",,$A$2,"."&amp;L$135&amp;L$1&amp;"P"&amp;$A146))</f>
        <v>0</v>
      </c>
      <c r="M146" s="91">
        <f ca="1">IF(RTD("tos.rtd",,$A$2,"."&amp;M$135&amp;M$1&amp;"C"&amp;$A146)="N/A",0,RTD("tos.rtd",,$A$2,"."&amp;M$135&amp;M$1&amp;"C"&amp;$A146))-IF(RTD("tos.rtd",,$A$2,"."&amp;M$135&amp;M$1&amp;"P"&amp;$A146)="N/A",0,RTD("tos.rtd",,$A$2,"."&amp;M$135&amp;M$1&amp;"P"&amp;$A146))</f>
        <v>0</v>
      </c>
      <c r="N146" s="91">
        <f ca="1">IF(RTD("tos.rtd",,$A$2,"."&amp;N$135&amp;N$1&amp;"C"&amp;$A146)="N/A",0,RTD("tos.rtd",,$A$2,"."&amp;N$135&amp;N$1&amp;"C"&amp;$A146))-IF(RTD("tos.rtd",,$A$2,"."&amp;N$135&amp;N$1&amp;"P"&amp;$A146)="N/A",0,RTD("tos.rtd",,$A$2,"."&amp;N$135&amp;N$1&amp;"P"&amp;$A146))</f>
        <v>0</v>
      </c>
      <c r="O146" s="91">
        <f ca="1">IF(RTD("tos.rtd",,$A$2,"."&amp;O$135&amp;O$1&amp;"C"&amp;$A146)="N/A",0,RTD("tos.rtd",,$A$2,"."&amp;O$135&amp;O$1&amp;"C"&amp;$A146))-IF(RTD("tos.rtd",,$A$2,"."&amp;O$135&amp;O$1&amp;"P"&amp;$A146)="N/A",0,RTD("tos.rtd",,$A$2,"."&amp;O$135&amp;O$1&amp;"P"&amp;$A146))</f>
        <v>0</v>
      </c>
      <c r="P146" s="91">
        <f ca="1">IF(RTD("tos.rtd",,$A$2,"."&amp;P$135&amp;P$1&amp;"C"&amp;$A146)="N/A",0,RTD("tos.rtd",,$A$2,"."&amp;P$135&amp;P$1&amp;"C"&amp;$A146))-IF(RTD("tos.rtd",,$A$2,"."&amp;P$135&amp;P$1&amp;"P"&amp;$A146)="N/A",0,RTD("tos.rtd",,$A$2,"."&amp;P$135&amp;P$1&amp;"P"&amp;$A146))</f>
        <v>0</v>
      </c>
      <c r="Q146" s="91">
        <f ca="1">IF(RTD("tos.rtd",,$A$2,"."&amp;Q$135&amp;Q$1&amp;"C"&amp;$A146)="N/A",0,RTD("tos.rtd",,$A$2,"."&amp;Q$135&amp;Q$1&amp;"C"&amp;$A146))-IF(RTD("tos.rtd",,$A$2,"."&amp;Q$135&amp;Q$1&amp;"P"&amp;$A146)="N/A",0,RTD("tos.rtd",,$A$2,"."&amp;Q$135&amp;Q$1&amp;"P"&amp;$A146))</f>
        <v>0</v>
      </c>
      <c r="R146" s="91">
        <f ca="1">IF(RTD("tos.rtd",,$A$2,"."&amp;R$135&amp;R$1&amp;"C"&amp;$A146)="N/A",0,RTD("tos.rtd",,$A$2,"."&amp;R$135&amp;R$1&amp;"C"&amp;$A146))-IF(RTD("tos.rtd",,$A$2,"."&amp;R$135&amp;R$1&amp;"P"&amp;$A146)="N/A",0,RTD("tos.rtd",,$A$2,"."&amp;R$135&amp;R$1&amp;"P"&amp;$A146))</f>
        <v>0</v>
      </c>
      <c r="S146" s="91">
        <f ca="1">IF(RTD("tos.rtd",,$A$2,"."&amp;S$135&amp;S$1&amp;"C"&amp;$A146)="N/A",0,RTD("tos.rtd",,$A$2,"."&amp;S$135&amp;S$1&amp;"C"&amp;$A146))-IF(RTD("tos.rtd",,$A$2,"."&amp;S$135&amp;S$1&amp;"P"&amp;$A146)="N/A",0,RTD("tos.rtd",,$A$2,"."&amp;S$135&amp;S$1&amp;"P"&amp;$A146))</f>
        <v>0</v>
      </c>
      <c r="T146" s="91">
        <f ca="1">IF(RTD("tos.rtd",,$A$2,"."&amp;T$135&amp;T$1&amp;"C"&amp;$A146)="N/A",0,RTD("tos.rtd",,$A$2,"."&amp;T$135&amp;T$1&amp;"C"&amp;$A146))-IF(RTD("tos.rtd",,$A$2,"."&amp;T$135&amp;T$1&amp;"P"&amp;$A146)="N/A",0,RTD("tos.rtd",,$A$2,"."&amp;T$135&amp;T$1&amp;"P"&amp;$A146))</f>
        <v>0</v>
      </c>
      <c r="U146" s="91">
        <f ca="1">IF(RTD("tos.rtd",,$A$2,"."&amp;U$135&amp;U$1&amp;"C"&amp;$A146)="N/A",0,RTD("tos.rtd",,$A$2,"."&amp;U$135&amp;U$1&amp;"C"&amp;$A146))-IF(RTD("tos.rtd",,$A$2,"."&amp;U$135&amp;U$1&amp;"P"&amp;$A146)="N/A",0,RTD("tos.rtd",,$A$2,"."&amp;U$135&amp;U$1&amp;"P"&amp;$A146))</f>
        <v>0</v>
      </c>
      <c r="V146" s="91">
        <f ca="1">IF(RTD("tos.rtd",,$A$2,"."&amp;V$135&amp;V$1&amp;"C"&amp;$A146)="N/A",0,RTD("tos.rtd",,$A$2,"."&amp;V$135&amp;V$1&amp;"C"&amp;$A146))-IF(RTD("tos.rtd",,$A$2,"."&amp;V$135&amp;V$1&amp;"P"&amp;$A146)="N/A",0,RTD("tos.rtd",,$A$2,"."&amp;V$135&amp;V$1&amp;"P"&amp;$A146))</f>
        <v>0</v>
      </c>
      <c r="W146" s="91">
        <f ca="1">IF(RTD("tos.rtd",,$A$2,"."&amp;W$135&amp;W$1&amp;"C"&amp;$A146)="N/A",0,RTD("tos.rtd",,$A$2,"."&amp;W$135&amp;W$1&amp;"C"&amp;$A146))-IF(RTD("tos.rtd",,$A$2,"."&amp;W$135&amp;W$1&amp;"P"&amp;$A146)="N/A",0,RTD("tos.rtd",,$A$2,"."&amp;W$135&amp;W$1&amp;"P"&amp;$A146))</f>
        <v>0</v>
      </c>
      <c r="X146" s="91">
        <f ca="1">IF(RTD("tos.rtd",,$A$2,"."&amp;X$135&amp;X$1&amp;"C"&amp;$A146)="N/A",0,RTD("tos.rtd",,$A$2,"."&amp;X$135&amp;X$1&amp;"C"&amp;$A146))-IF(RTD("tos.rtd",,$A$2,"."&amp;X$135&amp;X$1&amp;"P"&amp;$A146)="N/A",0,RTD("tos.rtd",,$A$2,"."&amp;X$135&amp;X$1&amp;"P"&amp;$A146))</f>
        <v>0</v>
      </c>
      <c r="Y146" s="98">
        <f t="shared" ca="1" si="13"/>
        <v>0</v>
      </c>
      <c r="Z146" s="91"/>
      <c r="AA146" s="91"/>
    </row>
    <row r="147" spans="1:27" x14ac:dyDescent="0.25">
      <c r="A147" s="93">
        <f>+Hoja1!A146</f>
        <v>20325</v>
      </c>
      <c r="B147" s="91">
        <f ca="1">IF(RTD("tos.rtd",,$A$2,"."&amp;B$135&amp;B$1&amp;"C"&amp;$A147)="N/A",0,RTD("tos.rtd",,$A$2,"."&amp;B$135&amp;B$1&amp;"C"&amp;$A147))-IF(RTD("tos.rtd",,$A$2,"."&amp;B$135&amp;B$1&amp;"P"&amp;$A147)="N/A",0,RTD("tos.rtd",,$A$2,"."&amp;B$135&amp;B$1&amp;"P"&amp;$A147))</f>
        <v>0</v>
      </c>
      <c r="C147" s="91">
        <f ca="1">IF(RTD("tos.rtd",,$A$2,"."&amp;C$135&amp;C$1&amp;"C"&amp;$A147)="N/A",0,RTD("tos.rtd",,$A$2,"."&amp;C$135&amp;C$1&amp;"C"&amp;$A147))-IF(RTD("tos.rtd",,$A$2,"."&amp;C$135&amp;C$1&amp;"P"&amp;$A147)="N/A",0,RTD("tos.rtd",,$A$2,"."&amp;C$135&amp;C$1&amp;"P"&amp;$A147))</f>
        <v>0</v>
      </c>
      <c r="D147" s="91">
        <f ca="1">IF(RTD("tos.rtd",,$A$2,"."&amp;D$135&amp;D$1&amp;"C"&amp;$A147)="N/A",0,RTD("tos.rtd",,$A$2,"."&amp;D$135&amp;D$1&amp;"C"&amp;$A147))-IF(RTD("tos.rtd",,$A$2,"."&amp;D$135&amp;D$1&amp;"P"&amp;$A147)="N/A",0,RTD("tos.rtd",,$A$2,"."&amp;D$135&amp;D$1&amp;"P"&amp;$A147))</f>
        <v>0</v>
      </c>
      <c r="E147" s="91">
        <f ca="1">IF(RTD("tos.rtd",,$A$2,"."&amp;E$135&amp;E$1&amp;"C"&amp;$A147)="N/A",0,RTD("tos.rtd",,$A$2,"."&amp;E$135&amp;E$1&amp;"C"&amp;$A147))-IF(RTD("tos.rtd",,$A$2,"."&amp;E$135&amp;E$1&amp;"P"&amp;$A147)="N/A",0,RTD("tos.rtd",,$A$2,"."&amp;E$135&amp;E$1&amp;"P"&amp;$A147))</f>
        <v>0</v>
      </c>
      <c r="F147" s="91">
        <f ca="1">IF(RTD("tos.rtd",,$A$2,"."&amp;F$135&amp;F$1&amp;"C"&amp;$A147)="N/A",0,RTD("tos.rtd",,$A$2,"."&amp;F$135&amp;F$1&amp;"C"&amp;$A147))-IF(RTD("tos.rtd",,$A$2,"."&amp;F$135&amp;F$1&amp;"P"&amp;$A147)="N/A",0,RTD("tos.rtd",,$A$2,"."&amp;F$135&amp;F$1&amp;"P"&amp;$A147))</f>
        <v>0</v>
      </c>
      <c r="G147" s="91">
        <f ca="1">IF(RTD("tos.rtd",,$A$2,"."&amp;G$135&amp;G$1&amp;"C"&amp;$A147)="N/A",0,RTD("tos.rtd",,$A$2,"."&amp;G$135&amp;G$1&amp;"C"&amp;$A147))-IF(RTD("tos.rtd",,$A$2,"."&amp;G$135&amp;G$1&amp;"P"&amp;$A147)="N/A",0,RTD("tos.rtd",,$A$2,"."&amp;G$135&amp;G$1&amp;"P"&amp;$A147))</f>
        <v>0</v>
      </c>
      <c r="H147" s="91">
        <f ca="1">IF(RTD("tos.rtd",,$A$2,"."&amp;H$135&amp;H$1&amp;"C"&amp;$A147)="N/A",0,RTD("tos.rtd",,$A$2,"."&amp;H$135&amp;H$1&amp;"C"&amp;$A147))-IF(RTD("tos.rtd",,$A$2,"."&amp;H$135&amp;H$1&amp;"P"&amp;$A147)="N/A",0,RTD("tos.rtd",,$A$2,"."&amp;H$135&amp;H$1&amp;"P"&amp;$A147))</f>
        <v>0</v>
      </c>
      <c r="I147" s="91">
        <f ca="1">IF(RTD("tos.rtd",,$A$2,"."&amp;I$135&amp;I$1&amp;"C"&amp;$A147)="N/A",0,RTD("tos.rtd",,$A$2,"."&amp;I$135&amp;I$1&amp;"C"&amp;$A147))-IF(RTD("tos.rtd",,$A$2,"."&amp;I$135&amp;I$1&amp;"P"&amp;$A147)="N/A",0,RTD("tos.rtd",,$A$2,"."&amp;I$135&amp;I$1&amp;"P"&amp;$A147))</f>
        <v>0</v>
      </c>
      <c r="J147" s="91">
        <f ca="1">IF(RTD("tos.rtd",,$A$2,"."&amp;J$135&amp;J$1&amp;"C"&amp;$A147)="N/A",0,RTD("tos.rtd",,$A$2,"."&amp;J$135&amp;J$1&amp;"C"&amp;$A147))-IF(RTD("tos.rtd",,$A$2,"."&amp;J$135&amp;J$1&amp;"P"&amp;$A147)="N/A",0,RTD("tos.rtd",,$A$2,"."&amp;J$135&amp;J$1&amp;"P"&amp;$A147))</f>
        <v>0</v>
      </c>
      <c r="K147" s="91">
        <f ca="1">IF(RTD("tos.rtd",,$A$2,"."&amp;K$135&amp;K$1&amp;"C"&amp;$A147)="N/A",0,RTD("tos.rtd",,$A$2,"."&amp;K$135&amp;K$1&amp;"C"&amp;$A147))-IF(RTD("tos.rtd",,$A$2,"."&amp;K$135&amp;K$1&amp;"P"&amp;$A147)="N/A",0,RTD("tos.rtd",,$A$2,"."&amp;K$135&amp;K$1&amp;"P"&amp;$A147))</f>
        <v>1</v>
      </c>
      <c r="L147" s="91">
        <f ca="1">IF(RTD("tos.rtd",,$A$2,"."&amp;L$135&amp;L$1&amp;"C"&amp;$A147)="N/A",0,RTD("tos.rtd",,$A$2,"."&amp;L$135&amp;L$1&amp;"C"&amp;$A147))-IF(RTD("tos.rtd",,$A$2,"."&amp;L$135&amp;L$1&amp;"P"&amp;$A147)="N/A",0,RTD("tos.rtd",,$A$2,"."&amp;L$135&amp;L$1&amp;"P"&amp;$A147))</f>
        <v>0</v>
      </c>
      <c r="M147" s="91">
        <f ca="1">IF(RTD("tos.rtd",,$A$2,"."&amp;M$135&amp;M$1&amp;"C"&amp;$A147)="N/A",0,RTD("tos.rtd",,$A$2,"."&amp;M$135&amp;M$1&amp;"C"&amp;$A147))-IF(RTD("tos.rtd",,$A$2,"."&amp;M$135&amp;M$1&amp;"P"&amp;$A147)="N/A",0,RTD("tos.rtd",,$A$2,"."&amp;M$135&amp;M$1&amp;"P"&amp;$A147))</f>
        <v>0</v>
      </c>
      <c r="N147" s="91">
        <f ca="1">IF(RTD("tos.rtd",,$A$2,"."&amp;N$135&amp;N$1&amp;"C"&amp;$A147)="N/A",0,RTD("tos.rtd",,$A$2,"."&amp;N$135&amp;N$1&amp;"C"&amp;$A147))-IF(RTD("tos.rtd",,$A$2,"."&amp;N$135&amp;N$1&amp;"P"&amp;$A147)="N/A",0,RTD("tos.rtd",,$A$2,"."&amp;N$135&amp;N$1&amp;"P"&amp;$A147))</f>
        <v>0</v>
      </c>
      <c r="O147" s="91">
        <f ca="1">IF(RTD("tos.rtd",,$A$2,"."&amp;O$135&amp;O$1&amp;"C"&amp;$A147)="N/A",0,RTD("tos.rtd",,$A$2,"."&amp;O$135&amp;O$1&amp;"C"&amp;$A147))-IF(RTD("tos.rtd",,$A$2,"."&amp;O$135&amp;O$1&amp;"P"&amp;$A147)="N/A",0,RTD("tos.rtd",,$A$2,"."&amp;O$135&amp;O$1&amp;"P"&amp;$A147))</f>
        <v>0</v>
      </c>
      <c r="P147" s="91">
        <f ca="1">IF(RTD("tos.rtd",,$A$2,"."&amp;P$135&amp;P$1&amp;"C"&amp;$A147)="N/A",0,RTD("tos.rtd",,$A$2,"."&amp;P$135&amp;P$1&amp;"C"&amp;$A147))-IF(RTD("tos.rtd",,$A$2,"."&amp;P$135&amp;P$1&amp;"P"&amp;$A147)="N/A",0,RTD("tos.rtd",,$A$2,"."&amp;P$135&amp;P$1&amp;"P"&amp;$A147))</f>
        <v>0</v>
      </c>
      <c r="Q147" s="91">
        <f ca="1">IF(RTD("tos.rtd",,$A$2,"."&amp;Q$135&amp;Q$1&amp;"C"&amp;$A147)="N/A",0,RTD("tos.rtd",,$A$2,"."&amp;Q$135&amp;Q$1&amp;"C"&amp;$A147))-IF(RTD("tos.rtd",,$A$2,"."&amp;Q$135&amp;Q$1&amp;"P"&amp;$A147)="N/A",0,RTD("tos.rtd",,$A$2,"."&amp;Q$135&amp;Q$1&amp;"P"&amp;$A147))</f>
        <v>0</v>
      </c>
      <c r="R147" s="91">
        <f ca="1">IF(RTD("tos.rtd",,$A$2,"."&amp;R$135&amp;R$1&amp;"C"&amp;$A147)="N/A",0,RTD("tos.rtd",,$A$2,"."&amp;R$135&amp;R$1&amp;"C"&amp;$A147))-IF(RTD("tos.rtd",,$A$2,"."&amp;R$135&amp;R$1&amp;"P"&amp;$A147)="N/A",0,RTD("tos.rtd",,$A$2,"."&amp;R$135&amp;R$1&amp;"P"&amp;$A147))</f>
        <v>0</v>
      </c>
      <c r="S147" s="91">
        <f ca="1">IF(RTD("tos.rtd",,$A$2,"."&amp;S$135&amp;S$1&amp;"C"&amp;$A147)="N/A",0,RTD("tos.rtd",,$A$2,"."&amp;S$135&amp;S$1&amp;"C"&amp;$A147))-IF(RTD("tos.rtd",,$A$2,"."&amp;S$135&amp;S$1&amp;"P"&amp;$A147)="N/A",0,RTD("tos.rtd",,$A$2,"."&amp;S$135&amp;S$1&amp;"P"&amp;$A147))</f>
        <v>0</v>
      </c>
      <c r="T147" s="91">
        <f ca="1">IF(RTD("tos.rtd",,$A$2,"."&amp;T$135&amp;T$1&amp;"C"&amp;$A147)="N/A",0,RTD("tos.rtd",,$A$2,"."&amp;T$135&amp;T$1&amp;"C"&amp;$A147))-IF(RTD("tos.rtd",,$A$2,"."&amp;T$135&amp;T$1&amp;"P"&amp;$A147)="N/A",0,RTD("tos.rtd",,$A$2,"."&amp;T$135&amp;T$1&amp;"P"&amp;$A147))</f>
        <v>0</v>
      </c>
      <c r="U147" s="91">
        <f ca="1">IF(RTD("tos.rtd",,$A$2,"."&amp;U$135&amp;U$1&amp;"C"&amp;$A147)="N/A",0,RTD("tos.rtd",,$A$2,"."&amp;U$135&amp;U$1&amp;"C"&amp;$A147))-IF(RTD("tos.rtd",,$A$2,"."&amp;U$135&amp;U$1&amp;"P"&amp;$A147)="N/A",0,RTD("tos.rtd",,$A$2,"."&amp;U$135&amp;U$1&amp;"P"&amp;$A147))</f>
        <v>0</v>
      </c>
      <c r="V147" s="91">
        <f ca="1">IF(RTD("tos.rtd",,$A$2,"."&amp;V$135&amp;V$1&amp;"C"&amp;$A147)="N/A",0,RTD("tos.rtd",,$A$2,"."&amp;V$135&amp;V$1&amp;"C"&amp;$A147))-IF(RTD("tos.rtd",,$A$2,"."&amp;V$135&amp;V$1&amp;"P"&amp;$A147)="N/A",0,RTD("tos.rtd",,$A$2,"."&amp;V$135&amp;V$1&amp;"P"&amp;$A147))</f>
        <v>0</v>
      </c>
      <c r="W147" s="91">
        <f ca="1">IF(RTD("tos.rtd",,$A$2,"."&amp;W$135&amp;W$1&amp;"C"&amp;$A147)="N/A",0,RTD("tos.rtd",,$A$2,"."&amp;W$135&amp;W$1&amp;"C"&amp;$A147))-IF(RTD("tos.rtd",,$A$2,"."&amp;W$135&amp;W$1&amp;"P"&amp;$A147)="N/A",0,RTD("tos.rtd",,$A$2,"."&amp;W$135&amp;W$1&amp;"P"&amp;$A147))</f>
        <v>0</v>
      </c>
      <c r="X147" s="91">
        <f ca="1">IF(RTD("tos.rtd",,$A$2,"."&amp;X$135&amp;X$1&amp;"C"&amp;$A147)="N/A",0,RTD("tos.rtd",,$A$2,"."&amp;X$135&amp;X$1&amp;"C"&amp;$A147))-IF(RTD("tos.rtd",,$A$2,"."&amp;X$135&amp;X$1&amp;"P"&amp;$A147)="N/A",0,RTD("tos.rtd",,$A$2,"."&amp;X$135&amp;X$1&amp;"P"&amp;$A147))</f>
        <v>0</v>
      </c>
      <c r="Y147" s="98">
        <f t="shared" ca="1" si="13"/>
        <v>1</v>
      </c>
      <c r="Z147" s="91"/>
      <c r="AA147" s="91"/>
    </row>
    <row r="148" spans="1:27" x14ac:dyDescent="0.25">
      <c r="A148" s="93">
        <f>+Hoja1!A147</f>
        <v>20300</v>
      </c>
      <c r="B148" s="91">
        <f ca="1">IF(RTD("tos.rtd",,$A$2,"."&amp;B$135&amp;B$1&amp;"C"&amp;$A148)="N/A",0,RTD("tos.rtd",,$A$2,"."&amp;B$135&amp;B$1&amp;"C"&amp;$A148))-IF(RTD("tos.rtd",,$A$2,"."&amp;B$135&amp;B$1&amp;"P"&amp;$A148)="N/A",0,RTD("tos.rtd",,$A$2,"."&amp;B$135&amp;B$1&amp;"P"&amp;$A148))</f>
        <v>0</v>
      </c>
      <c r="C148" s="91">
        <f ca="1">IF(RTD("tos.rtd",,$A$2,"."&amp;C$135&amp;C$1&amp;"C"&amp;$A148)="N/A",0,RTD("tos.rtd",,$A$2,"."&amp;C$135&amp;C$1&amp;"C"&amp;$A148))-IF(RTD("tos.rtd",,$A$2,"."&amp;C$135&amp;C$1&amp;"P"&amp;$A148)="N/A",0,RTD("tos.rtd",,$A$2,"."&amp;C$135&amp;C$1&amp;"P"&amp;$A148))</f>
        <v>0</v>
      </c>
      <c r="D148" s="91">
        <f ca="1">IF(RTD("tos.rtd",,$A$2,"."&amp;D$135&amp;D$1&amp;"C"&amp;$A148)="N/A",0,RTD("tos.rtd",,$A$2,"."&amp;D$135&amp;D$1&amp;"C"&amp;$A148))-IF(RTD("tos.rtd",,$A$2,"."&amp;D$135&amp;D$1&amp;"P"&amp;$A148)="N/A",0,RTD("tos.rtd",,$A$2,"."&amp;D$135&amp;D$1&amp;"P"&amp;$A148))</f>
        <v>0</v>
      </c>
      <c r="E148" s="91">
        <f ca="1">IF(RTD("tos.rtd",,$A$2,"."&amp;E$135&amp;E$1&amp;"C"&amp;$A148)="N/A",0,RTD("tos.rtd",,$A$2,"."&amp;E$135&amp;E$1&amp;"C"&amp;$A148))-IF(RTD("tos.rtd",,$A$2,"."&amp;E$135&amp;E$1&amp;"P"&amp;$A148)="N/A",0,RTD("tos.rtd",,$A$2,"."&amp;E$135&amp;E$1&amp;"P"&amp;$A148))</f>
        <v>0</v>
      </c>
      <c r="F148" s="91">
        <f ca="1">IF(RTD("tos.rtd",,$A$2,"."&amp;F$135&amp;F$1&amp;"C"&amp;$A148)="N/A",0,RTD("tos.rtd",,$A$2,"."&amp;F$135&amp;F$1&amp;"C"&amp;$A148))-IF(RTD("tos.rtd",,$A$2,"."&amp;F$135&amp;F$1&amp;"P"&amp;$A148)="N/A",0,RTD("tos.rtd",,$A$2,"."&amp;F$135&amp;F$1&amp;"P"&amp;$A148))</f>
        <v>0</v>
      </c>
      <c r="G148" s="91">
        <f ca="1">IF(RTD("tos.rtd",,$A$2,"."&amp;G$135&amp;G$1&amp;"C"&amp;$A148)="N/A",0,RTD("tos.rtd",,$A$2,"."&amp;G$135&amp;G$1&amp;"C"&amp;$A148))-IF(RTD("tos.rtd",,$A$2,"."&amp;G$135&amp;G$1&amp;"P"&amp;$A148)="N/A",0,RTD("tos.rtd",,$A$2,"."&amp;G$135&amp;G$1&amp;"P"&amp;$A148))</f>
        <v>0</v>
      </c>
      <c r="H148" s="91">
        <f ca="1">IF(RTD("tos.rtd",,$A$2,"."&amp;H$135&amp;H$1&amp;"C"&amp;$A148)="N/A",0,RTD("tos.rtd",,$A$2,"."&amp;H$135&amp;H$1&amp;"C"&amp;$A148))-IF(RTD("tos.rtd",,$A$2,"."&amp;H$135&amp;H$1&amp;"P"&amp;$A148)="N/A",0,RTD("tos.rtd",,$A$2,"."&amp;H$135&amp;H$1&amp;"P"&amp;$A148))</f>
        <v>0</v>
      </c>
      <c r="I148" s="91">
        <f ca="1">IF(RTD("tos.rtd",,$A$2,"."&amp;I$135&amp;I$1&amp;"C"&amp;$A148)="N/A",0,RTD("tos.rtd",,$A$2,"."&amp;I$135&amp;I$1&amp;"C"&amp;$A148))-IF(RTD("tos.rtd",,$A$2,"."&amp;I$135&amp;I$1&amp;"P"&amp;$A148)="N/A",0,RTD("tos.rtd",,$A$2,"."&amp;I$135&amp;I$1&amp;"P"&amp;$A148))</f>
        <v>5</v>
      </c>
      <c r="J148" s="91">
        <f ca="1">IF(RTD("tos.rtd",,$A$2,"."&amp;J$135&amp;J$1&amp;"C"&amp;$A148)="N/A",0,RTD("tos.rtd",,$A$2,"."&amp;J$135&amp;J$1&amp;"C"&amp;$A148))-IF(RTD("tos.rtd",,$A$2,"."&amp;J$135&amp;J$1&amp;"P"&amp;$A148)="N/A",0,RTD("tos.rtd",,$A$2,"."&amp;J$135&amp;J$1&amp;"P"&amp;$A148))</f>
        <v>3</v>
      </c>
      <c r="K148" s="91">
        <f ca="1">IF(RTD("tos.rtd",,$A$2,"."&amp;K$135&amp;K$1&amp;"C"&amp;$A148)="N/A",0,RTD("tos.rtd",,$A$2,"."&amp;K$135&amp;K$1&amp;"C"&amp;$A148))-IF(RTD("tos.rtd",,$A$2,"."&amp;K$135&amp;K$1&amp;"P"&amp;$A148)="N/A",0,RTD("tos.rtd",,$A$2,"."&amp;K$135&amp;K$1&amp;"P"&amp;$A148))</f>
        <v>-3</v>
      </c>
      <c r="L148" s="91">
        <f ca="1">IF(RTD("tos.rtd",,$A$2,"."&amp;L$135&amp;L$1&amp;"C"&amp;$A148)="N/A",0,RTD("tos.rtd",,$A$2,"."&amp;L$135&amp;L$1&amp;"C"&amp;$A148))-IF(RTD("tos.rtd",,$A$2,"."&amp;L$135&amp;L$1&amp;"P"&amp;$A148)="N/A",0,RTD("tos.rtd",,$A$2,"."&amp;L$135&amp;L$1&amp;"P"&amp;$A148))</f>
        <v>0</v>
      </c>
      <c r="M148" s="91">
        <f ca="1">IF(RTD("tos.rtd",,$A$2,"."&amp;M$135&amp;M$1&amp;"C"&amp;$A148)="N/A",0,RTD("tos.rtd",,$A$2,"."&amp;M$135&amp;M$1&amp;"C"&amp;$A148))-IF(RTD("tos.rtd",,$A$2,"."&amp;M$135&amp;M$1&amp;"P"&amp;$A148)="N/A",0,RTD("tos.rtd",,$A$2,"."&amp;M$135&amp;M$1&amp;"P"&amp;$A148))</f>
        <v>8</v>
      </c>
      <c r="N148" s="91">
        <f ca="1">IF(RTD("tos.rtd",,$A$2,"."&amp;N$135&amp;N$1&amp;"C"&amp;$A148)="N/A",0,RTD("tos.rtd",,$A$2,"."&amp;N$135&amp;N$1&amp;"C"&amp;$A148))-IF(RTD("tos.rtd",,$A$2,"."&amp;N$135&amp;N$1&amp;"P"&amp;$A148)="N/A",0,RTD("tos.rtd",,$A$2,"."&amp;N$135&amp;N$1&amp;"P"&amp;$A148))</f>
        <v>0</v>
      </c>
      <c r="O148" s="91">
        <f ca="1">IF(RTD("tos.rtd",,$A$2,"."&amp;O$135&amp;O$1&amp;"C"&amp;$A148)="N/A",0,RTD("tos.rtd",,$A$2,"."&amp;O$135&amp;O$1&amp;"C"&amp;$A148))-IF(RTD("tos.rtd",,$A$2,"."&amp;O$135&amp;O$1&amp;"P"&amp;$A148)="N/A",0,RTD("tos.rtd",,$A$2,"."&amp;O$135&amp;O$1&amp;"P"&amp;$A148))</f>
        <v>0</v>
      </c>
      <c r="P148" s="91">
        <f ca="1">IF(RTD("tos.rtd",,$A$2,"."&amp;P$135&amp;P$1&amp;"C"&amp;$A148)="N/A",0,RTD("tos.rtd",,$A$2,"."&amp;P$135&amp;P$1&amp;"C"&amp;$A148))-IF(RTD("tos.rtd",,$A$2,"."&amp;P$135&amp;P$1&amp;"P"&amp;$A148)="N/A",0,RTD("tos.rtd",,$A$2,"."&amp;P$135&amp;P$1&amp;"P"&amp;$A148))</f>
        <v>0</v>
      </c>
      <c r="Q148" s="91">
        <f ca="1">IF(RTD("tos.rtd",,$A$2,"."&amp;Q$135&amp;Q$1&amp;"C"&amp;$A148)="N/A",0,RTD("tos.rtd",,$A$2,"."&amp;Q$135&amp;Q$1&amp;"C"&amp;$A148))-IF(RTD("tos.rtd",,$A$2,"."&amp;Q$135&amp;Q$1&amp;"P"&amp;$A148)="N/A",0,RTD("tos.rtd",,$A$2,"."&amp;Q$135&amp;Q$1&amp;"P"&amp;$A148))</f>
        <v>0</v>
      </c>
      <c r="R148" s="91">
        <f ca="1">IF(RTD("tos.rtd",,$A$2,"."&amp;R$135&amp;R$1&amp;"C"&amp;$A148)="N/A",0,RTD("tos.rtd",,$A$2,"."&amp;R$135&amp;R$1&amp;"C"&amp;$A148))-IF(RTD("tos.rtd",,$A$2,"."&amp;R$135&amp;R$1&amp;"P"&amp;$A148)="N/A",0,RTD("tos.rtd",,$A$2,"."&amp;R$135&amp;R$1&amp;"P"&amp;$A148))</f>
        <v>0</v>
      </c>
      <c r="S148" s="91">
        <f ca="1">IF(RTD("tos.rtd",,$A$2,"."&amp;S$135&amp;S$1&amp;"C"&amp;$A148)="N/A",0,RTD("tos.rtd",,$A$2,"."&amp;S$135&amp;S$1&amp;"C"&amp;$A148))-IF(RTD("tos.rtd",,$A$2,"."&amp;S$135&amp;S$1&amp;"P"&amp;$A148)="N/A",0,RTD("tos.rtd",,$A$2,"."&amp;S$135&amp;S$1&amp;"P"&amp;$A148))</f>
        <v>0</v>
      </c>
      <c r="T148" s="91">
        <f ca="1">IF(RTD("tos.rtd",,$A$2,"."&amp;T$135&amp;T$1&amp;"C"&amp;$A148)="N/A",0,RTD("tos.rtd",,$A$2,"."&amp;T$135&amp;T$1&amp;"C"&amp;$A148))-IF(RTD("tos.rtd",,$A$2,"."&amp;T$135&amp;T$1&amp;"P"&amp;$A148)="N/A",0,RTD("tos.rtd",,$A$2,"."&amp;T$135&amp;T$1&amp;"P"&amp;$A148))</f>
        <v>0</v>
      </c>
      <c r="U148" s="91">
        <f ca="1">IF(RTD("tos.rtd",,$A$2,"."&amp;U$135&amp;U$1&amp;"C"&amp;$A148)="N/A",0,RTD("tos.rtd",,$A$2,"."&amp;U$135&amp;U$1&amp;"C"&amp;$A148))-IF(RTD("tos.rtd",,$A$2,"."&amp;U$135&amp;U$1&amp;"P"&amp;$A148)="N/A",0,RTD("tos.rtd",,$A$2,"."&amp;U$135&amp;U$1&amp;"P"&amp;$A148))</f>
        <v>0</v>
      </c>
      <c r="V148" s="91">
        <f ca="1">IF(RTD("tos.rtd",,$A$2,"."&amp;V$135&amp;V$1&amp;"C"&amp;$A148)="N/A",0,RTD("tos.rtd",,$A$2,"."&amp;V$135&amp;V$1&amp;"C"&amp;$A148))-IF(RTD("tos.rtd",,$A$2,"."&amp;V$135&amp;V$1&amp;"P"&amp;$A148)="N/A",0,RTD("tos.rtd",,$A$2,"."&amp;V$135&amp;V$1&amp;"P"&amp;$A148))</f>
        <v>0</v>
      </c>
      <c r="W148" s="91">
        <f ca="1">IF(RTD("tos.rtd",,$A$2,"."&amp;W$135&amp;W$1&amp;"C"&amp;$A148)="N/A",0,RTD("tos.rtd",,$A$2,"."&amp;W$135&amp;W$1&amp;"C"&amp;$A148))-IF(RTD("tos.rtd",,$A$2,"."&amp;W$135&amp;W$1&amp;"P"&amp;$A148)="N/A",0,RTD("tos.rtd",,$A$2,"."&amp;W$135&amp;W$1&amp;"P"&amp;$A148))</f>
        <v>0</v>
      </c>
      <c r="X148" s="91">
        <f ca="1">IF(RTD("tos.rtd",,$A$2,"."&amp;X$135&amp;X$1&amp;"C"&amp;$A148)="N/A",0,RTD("tos.rtd",,$A$2,"."&amp;X$135&amp;X$1&amp;"C"&amp;$A148))-IF(RTD("tos.rtd",,$A$2,"."&amp;X$135&amp;X$1&amp;"P"&amp;$A148)="N/A",0,RTD("tos.rtd",,$A$2,"."&amp;X$135&amp;X$1&amp;"P"&amp;$A148))</f>
        <v>0</v>
      </c>
      <c r="Y148" s="98">
        <f t="shared" ca="1" si="13"/>
        <v>13</v>
      </c>
      <c r="Z148" s="91"/>
      <c r="AA148" s="91"/>
    </row>
    <row r="149" spans="1:27" x14ac:dyDescent="0.25">
      <c r="A149" s="93">
        <f>+Hoja1!A148</f>
        <v>20275</v>
      </c>
      <c r="B149" s="91">
        <f ca="1">IF(RTD("tos.rtd",,$A$2,"."&amp;B$135&amp;B$1&amp;"C"&amp;$A149)="N/A",0,RTD("tos.rtd",,$A$2,"."&amp;B$135&amp;B$1&amp;"C"&amp;$A149))-IF(RTD("tos.rtd",,$A$2,"."&amp;B$135&amp;B$1&amp;"P"&amp;$A149)="N/A",0,RTD("tos.rtd",,$A$2,"."&amp;B$135&amp;B$1&amp;"P"&amp;$A149))</f>
        <v>0</v>
      </c>
      <c r="C149" s="91">
        <f ca="1">IF(RTD("tos.rtd",,$A$2,"."&amp;C$135&amp;C$1&amp;"C"&amp;$A149)="N/A",0,RTD("tos.rtd",,$A$2,"."&amp;C$135&amp;C$1&amp;"C"&amp;$A149))-IF(RTD("tos.rtd",,$A$2,"."&amp;C$135&amp;C$1&amp;"P"&amp;$A149)="N/A",0,RTD("tos.rtd",,$A$2,"."&amp;C$135&amp;C$1&amp;"P"&amp;$A149))</f>
        <v>0</v>
      </c>
      <c r="D149" s="91">
        <f ca="1">IF(RTD("tos.rtd",,$A$2,"."&amp;D$135&amp;D$1&amp;"C"&amp;$A149)="N/A",0,RTD("tos.rtd",,$A$2,"."&amp;D$135&amp;D$1&amp;"C"&amp;$A149))-IF(RTD("tos.rtd",,$A$2,"."&amp;D$135&amp;D$1&amp;"P"&amp;$A149)="N/A",0,RTD("tos.rtd",,$A$2,"."&amp;D$135&amp;D$1&amp;"P"&amp;$A149))</f>
        <v>0</v>
      </c>
      <c r="E149" s="91">
        <f ca="1">IF(RTD("tos.rtd",,$A$2,"."&amp;E$135&amp;E$1&amp;"C"&amp;$A149)="N/A",0,RTD("tos.rtd",,$A$2,"."&amp;E$135&amp;E$1&amp;"C"&amp;$A149))-IF(RTD("tos.rtd",,$A$2,"."&amp;E$135&amp;E$1&amp;"P"&amp;$A149)="N/A",0,RTD("tos.rtd",,$A$2,"."&amp;E$135&amp;E$1&amp;"P"&amp;$A149))</f>
        <v>0</v>
      </c>
      <c r="F149" s="91">
        <f ca="1">IF(RTD("tos.rtd",,$A$2,"."&amp;F$135&amp;F$1&amp;"C"&amp;$A149)="N/A",0,RTD("tos.rtd",,$A$2,"."&amp;F$135&amp;F$1&amp;"C"&amp;$A149))-IF(RTD("tos.rtd",,$A$2,"."&amp;F$135&amp;F$1&amp;"P"&amp;$A149)="N/A",0,RTD("tos.rtd",,$A$2,"."&amp;F$135&amp;F$1&amp;"P"&amp;$A149))</f>
        <v>0</v>
      </c>
      <c r="G149" s="91">
        <f ca="1">IF(RTD("tos.rtd",,$A$2,"."&amp;G$135&amp;G$1&amp;"C"&amp;$A149)="N/A",0,RTD("tos.rtd",,$A$2,"."&amp;G$135&amp;G$1&amp;"C"&amp;$A149))-IF(RTD("tos.rtd",,$A$2,"."&amp;G$135&amp;G$1&amp;"P"&amp;$A149)="N/A",0,RTD("tos.rtd",,$A$2,"."&amp;G$135&amp;G$1&amp;"P"&amp;$A149))</f>
        <v>0</v>
      </c>
      <c r="H149" s="91">
        <f ca="1">IF(RTD("tos.rtd",,$A$2,"."&amp;H$135&amp;H$1&amp;"C"&amp;$A149)="N/A",0,RTD("tos.rtd",,$A$2,"."&amp;H$135&amp;H$1&amp;"C"&amp;$A149))-IF(RTD("tos.rtd",,$A$2,"."&amp;H$135&amp;H$1&amp;"P"&amp;$A149)="N/A",0,RTD("tos.rtd",,$A$2,"."&amp;H$135&amp;H$1&amp;"P"&amp;$A149))</f>
        <v>0</v>
      </c>
      <c r="I149" s="91">
        <f ca="1">IF(RTD("tos.rtd",,$A$2,"."&amp;I$135&amp;I$1&amp;"C"&amp;$A149)="N/A",0,RTD("tos.rtd",,$A$2,"."&amp;I$135&amp;I$1&amp;"C"&amp;$A149))-IF(RTD("tos.rtd",,$A$2,"."&amp;I$135&amp;I$1&amp;"P"&amp;$A149)="N/A",0,RTD("tos.rtd",,$A$2,"."&amp;I$135&amp;I$1&amp;"P"&amp;$A149))</f>
        <v>0</v>
      </c>
      <c r="J149" s="91">
        <f ca="1">IF(RTD("tos.rtd",,$A$2,"."&amp;J$135&amp;J$1&amp;"C"&amp;$A149)="N/A",0,RTD("tos.rtd",,$A$2,"."&amp;J$135&amp;J$1&amp;"C"&amp;$A149))-IF(RTD("tos.rtd",,$A$2,"."&amp;J$135&amp;J$1&amp;"P"&amp;$A149)="N/A",0,RTD("tos.rtd",,$A$2,"."&amp;J$135&amp;J$1&amp;"P"&amp;$A149))</f>
        <v>0</v>
      </c>
      <c r="K149" s="91">
        <f ca="1">IF(RTD("tos.rtd",,$A$2,"."&amp;K$135&amp;K$1&amp;"C"&amp;$A149)="N/A",0,RTD("tos.rtd",,$A$2,"."&amp;K$135&amp;K$1&amp;"C"&amp;$A149))-IF(RTD("tos.rtd",,$A$2,"."&amp;K$135&amp;K$1&amp;"P"&amp;$A149)="N/A",0,RTD("tos.rtd",,$A$2,"."&amp;K$135&amp;K$1&amp;"P"&amp;$A149))</f>
        <v>16</v>
      </c>
      <c r="L149" s="91">
        <f ca="1">IF(RTD("tos.rtd",,$A$2,"."&amp;L$135&amp;L$1&amp;"C"&amp;$A149)="N/A",0,RTD("tos.rtd",,$A$2,"."&amp;L$135&amp;L$1&amp;"C"&amp;$A149))-IF(RTD("tos.rtd",,$A$2,"."&amp;L$135&amp;L$1&amp;"P"&amp;$A149)="N/A",0,RTD("tos.rtd",,$A$2,"."&amp;L$135&amp;L$1&amp;"P"&amp;$A149))</f>
        <v>2</v>
      </c>
      <c r="M149" s="91">
        <f ca="1">IF(RTD("tos.rtd",,$A$2,"."&amp;M$135&amp;M$1&amp;"C"&amp;$A149)="N/A",0,RTD("tos.rtd",,$A$2,"."&amp;M$135&amp;M$1&amp;"C"&amp;$A149))-IF(RTD("tos.rtd",,$A$2,"."&amp;M$135&amp;M$1&amp;"P"&amp;$A149)="N/A",0,RTD("tos.rtd",,$A$2,"."&amp;M$135&amp;M$1&amp;"P"&amp;$A149))</f>
        <v>0</v>
      </c>
      <c r="N149" s="91">
        <f ca="1">IF(RTD("tos.rtd",,$A$2,"."&amp;N$135&amp;N$1&amp;"C"&amp;$A149)="N/A",0,RTD("tos.rtd",,$A$2,"."&amp;N$135&amp;N$1&amp;"C"&amp;$A149))-IF(RTD("tos.rtd",,$A$2,"."&amp;N$135&amp;N$1&amp;"P"&amp;$A149)="N/A",0,RTD("tos.rtd",,$A$2,"."&amp;N$135&amp;N$1&amp;"P"&amp;$A149))</f>
        <v>0</v>
      </c>
      <c r="O149" s="91">
        <f ca="1">IF(RTD("tos.rtd",,$A$2,"."&amp;O$135&amp;O$1&amp;"C"&amp;$A149)="N/A",0,RTD("tos.rtd",,$A$2,"."&amp;O$135&amp;O$1&amp;"C"&amp;$A149))-IF(RTD("tos.rtd",,$A$2,"."&amp;O$135&amp;O$1&amp;"P"&amp;$A149)="N/A",0,RTD("tos.rtd",,$A$2,"."&amp;O$135&amp;O$1&amp;"P"&amp;$A149))</f>
        <v>0</v>
      </c>
      <c r="P149" s="91">
        <f ca="1">IF(RTD("tos.rtd",,$A$2,"."&amp;P$135&amp;P$1&amp;"C"&amp;$A149)="N/A",0,RTD("tos.rtd",,$A$2,"."&amp;P$135&amp;P$1&amp;"C"&amp;$A149))-IF(RTD("tos.rtd",,$A$2,"."&amp;P$135&amp;P$1&amp;"P"&amp;$A149)="N/A",0,RTD("tos.rtd",,$A$2,"."&amp;P$135&amp;P$1&amp;"P"&amp;$A149))</f>
        <v>0</v>
      </c>
      <c r="Q149" s="91">
        <f ca="1">IF(RTD("tos.rtd",,$A$2,"."&amp;Q$135&amp;Q$1&amp;"C"&amp;$A149)="N/A",0,RTD("tos.rtd",,$A$2,"."&amp;Q$135&amp;Q$1&amp;"C"&amp;$A149))-IF(RTD("tos.rtd",,$A$2,"."&amp;Q$135&amp;Q$1&amp;"P"&amp;$A149)="N/A",0,RTD("tos.rtd",,$A$2,"."&amp;Q$135&amp;Q$1&amp;"P"&amp;$A149))</f>
        <v>0</v>
      </c>
      <c r="R149" s="91">
        <f ca="1">IF(RTD("tos.rtd",,$A$2,"."&amp;R$135&amp;R$1&amp;"C"&amp;$A149)="N/A",0,RTD("tos.rtd",,$A$2,"."&amp;R$135&amp;R$1&amp;"C"&amp;$A149))-IF(RTD("tos.rtd",,$A$2,"."&amp;R$135&amp;R$1&amp;"P"&amp;$A149)="N/A",0,RTD("tos.rtd",,$A$2,"."&amp;R$135&amp;R$1&amp;"P"&amp;$A149))</f>
        <v>0</v>
      </c>
      <c r="S149" s="91">
        <f ca="1">IF(RTD("tos.rtd",,$A$2,"."&amp;S$135&amp;S$1&amp;"C"&amp;$A149)="N/A",0,RTD("tos.rtd",,$A$2,"."&amp;S$135&amp;S$1&amp;"C"&amp;$A149))-IF(RTD("tos.rtd",,$A$2,"."&amp;S$135&amp;S$1&amp;"P"&amp;$A149)="N/A",0,RTD("tos.rtd",,$A$2,"."&amp;S$135&amp;S$1&amp;"P"&amp;$A149))</f>
        <v>0</v>
      </c>
      <c r="T149" s="91">
        <f ca="1">IF(RTD("tos.rtd",,$A$2,"."&amp;T$135&amp;T$1&amp;"C"&amp;$A149)="N/A",0,RTD("tos.rtd",,$A$2,"."&amp;T$135&amp;T$1&amp;"C"&amp;$A149))-IF(RTD("tos.rtd",,$A$2,"."&amp;T$135&amp;T$1&amp;"P"&amp;$A149)="N/A",0,RTD("tos.rtd",,$A$2,"."&amp;T$135&amp;T$1&amp;"P"&amp;$A149))</f>
        <v>0</v>
      </c>
      <c r="U149" s="91">
        <f ca="1">IF(RTD("tos.rtd",,$A$2,"."&amp;U$135&amp;U$1&amp;"C"&amp;$A149)="N/A",0,RTD("tos.rtd",,$A$2,"."&amp;U$135&amp;U$1&amp;"C"&amp;$A149))-IF(RTD("tos.rtd",,$A$2,"."&amp;U$135&amp;U$1&amp;"P"&amp;$A149)="N/A",0,RTD("tos.rtd",,$A$2,"."&amp;U$135&amp;U$1&amp;"P"&amp;$A149))</f>
        <v>0</v>
      </c>
      <c r="V149" s="91">
        <f ca="1">IF(RTD("tos.rtd",,$A$2,"."&amp;V$135&amp;V$1&amp;"C"&amp;$A149)="N/A",0,RTD("tos.rtd",,$A$2,"."&amp;V$135&amp;V$1&amp;"C"&amp;$A149))-IF(RTD("tos.rtd",,$A$2,"."&amp;V$135&amp;V$1&amp;"P"&amp;$A149)="N/A",0,RTD("tos.rtd",,$A$2,"."&amp;V$135&amp;V$1&amp;"P"&amp;$A149))</f>
        <v>0</v>
      </c>
      <c r="W149" s="91">
        <f ca="1">IF(RTD("tos.rtd",,$A$2,"."&amp;W$135&amp;W$1&amp;"C"&amp;$A149)="N/A",0,RTD("tos.rtd",,$A$2,"."&amp;W$135&amp;W$1&amp;"C"&amp;$A149))-IF(RTD("tos.rtd",,$A$2,"."&amp;W$135&amp;W$1&amp;"P"&amp;$A149)="N/A",0,RTD("tos.rtd",,$A$2,"."&amp;W$135&amp;W$1&amp;"P"&amp;$A149))</f>
        <v>0</v>
      </c>
      <c r="X149" s="91">
        <f ca="1">IF(RTD("tos.rtd",,$A$2,"."&amp;X$135&amp;X$1&amp;"C"&amp;$A149)="N/A",0,RTD("tos.rtd",,$A$2,"."&amp;X$135&amp;X$1&amp;"C"&amp;$A149))-IF(RTD("tos.rtd",,$A$2,"."&amp;X$135&amp;X$1&amp;"P"&amp;$A149)="N/A",0,RTD("tos.rtd",,$A$2,"."&amp;X$135&amp;X$1&amp;"P"&amp;$A149))</f>
        <v>0</v>
      </c>
      <c r="Y149" s="98">
        <f t="shared" ca="1" si="13"/>
        <v>18</v>
      </c>
      <c r="Z149" s="91"/>
      <c r="AA149" s="91"/>
    </row>
    <row r="150" spans="1:27" x14ac:dyDescent="0.25">
      <c r="A150" s="93">
        <f>+Hoja1!A149</f>
        <v>20250</v>
      </c>
      <c r="B150" s="91">
        <f ca="1">IF(RTD("tos.rtd",,$A$2,"."&amp;B$135&amp;B$1&amp;"C"&amp;$A150)="N/A",0,RTD("tos.rtd",,$A$2,"."&amp;B$135&amp;B$1&amp;"C"&amp;$A150))-IF(RTD("tos.rtd",,$A$2,"."&amp;B$135&amp;B$1&amp;"P"&amp;$A150)="N/A",0,RTD("tos.rtd",,$A$2,"."&amp;B$135&amp;B$1&amp;"P"&amp;$A150))</f>
        <v>0</v>
      </c>
      <c r="C150" s="91">
        <f ca="1">IF(RTD("tos.rtd",,$A$2,"."&amp;C$135&amp;C$1&amp;"C"&amp;$A150)="N/A",0,RTD("tos.rtd",,$A$2,"."&amp;C$135&amp;C$1&amp;"C"&amp;$A150))-IF(RTD("tos.rtd",,$A$2,"."&amp;C$135&amp;C$1&amp;"P"&amp;$A150)="N/A",0,RTD("tos.rtd",,$A$2,"."&amp;C$135&amp;C$1&amp;"P"&amp;$A150))</f>
        <v>0</v>
      </c>
      <c r="D150" s="91">
        <f ca="1">IF(RTD("tos.rtd",,$A$2,"."&amp;D$135&amp;D$1&amp;"C"&amp;$A150)="N/A",0,RTD("tos.rtd",,$A$2,"."&amp;D$135&amp;D$1&amp;"C"&amp;$A150))-IF(RTD("tos.rtd",,$A$2,"."&amp;D$135&amp;D$1&amp;"P"&amp;$A150)="N/A",0,RTD("tos.rtd",,$A$2,"."&amp;D$135&amp;D$1&amp;"P"&amp;$A150))</f>
        <v>0</v>
      </c>
      <c r="E150" s="91">
        <f ca="1">IF(RTD("tos.rtd",,$A$2,"."&amp;E$135&amp;E$1&amp;"C"&amp;$A150)="N/A",0,RTD("tos.rtd",,$A$2,"."&amp;E$135&amp;E$1&amp;"C"&amp;$A150))-IF(RTD("tos.rtd",,$A$2,"."&amp;E$135&amp;E$1&amp;"P"&amp;$A150)="N/A",0,RTD("tos.rtd",,$A$2,"."&amp;E$135&amp;E$1&amp;"P"&amp;$A150))</f>
        <v>0</v>
      </c>
      <c r="F150" s="91">
        <f ca="1">IF(RTD("tos.rtd",,$A$2,"."&amp;F$135&amp;F$1&amp;"C"&amp;$A150)="N/A",0,RTD("tos.rtd",,$A$2,"."&amp;F$135&amp;F$1&amp;"C"&amp;$A150))-IF(RTD("tos.rtd",,$A$2,"."&amp;F$135&amp;F$1&amp;"P"&amp;$A150)="N/A",0,RTD("tos.rtd",,$A$2,"."&amp;F$135&amp;F$1&amp;"P"&amp;$A150))</f>
        <v>0</v>
      </c>
      <c r="G150" s="91">
        <f ca="1">IF(RTD("tos.rtd",,$A$2,"."&amp;G$135&amp;G$1&amp;"C"&amp;$A150)="N/A",0,RTD("tos.rtd",,$A$2,"."&amp;G$135&amp;G$1&amp;"C"&amp;$A150))-IF(RTD("tos.rtd",,$A$2,"."&amp;G$135&amp;G$1&amp;"P"&amp;$A150)="N/A",0,RTD("tos.rtd",,$A$2,"."&amp;G$135&amp;G$1&amp;"P"&amp;$A150))</f>
        <v>0</v>
      </c>
      <c r="H150" s="91">
        <f ca="1">IF(RTD("tos.rtd",,$A$2,"."&amp;H$135&amp;H$1&amp;"C"&amp;$A150)="N/A",0,RTD("tos.rtd",,$A$2,"."&amp;H$135&amp;H$1&amp;"C"&amp;$A150))-IF(RTD("tos.rtd",,$A$2,"."&amp;H$135&amp;H$1&amp;"P"&amp;$A150)="N/A",0,RTD("tos.rtd",,$A$2,"."&amp;H$135&amp;H$1&amp;"P"&amp;$A150))</f>
        <v>0</v>
      </c>
      <c r="I150" s="91">
        <f ca="1">IF(RTD("tos.rtd",,$A$2,"."&amp;I$135&amp;I$1&amp;"C"&amp;$A150)="N/A",0,RTD("tos.rtd",,$A$2,"."&amp;I$135&amp;I$1&amp;"C"&amp;$A150))-IF(RTD("tos.rtd",,$A$2,"."&amp;I$135&amp;I$1&amp;"P"&amp;$A150)="N/A",0,RTD("tos.rtd",,$A$2,"."&amp;I$135&amp;I$1&amp;"P"&amp;$A150))</f>
        <v>0</v>
      </c>
      <c r="J150" s="91">
        <f ca="1">IF(RTD("tos.rtd",,$A$2,"."&amp;J$135&amp;J$1&amp;"C"&amp;$A150)="N/A",0,RTD("tos.rtd",,$A$2,"."&amp;J$135&amp;J$1&amp;"C"&amp;$A150))-IF(RTD("tos.rtd",,$A$2,"."&amp;J$135&amp;J$1&amp;"P"&amp;$A150)="N/A",0,RTD("tos.rtd",,$A$2,"."&amp;J$135&amp;J$1&amp;"P"&amp;$A150))</f>
        <v>1</v>
      </c>
      <c r="K150" s="91">
        <f ca="1">IF(RTD("tos.rtd",,$A$2,"."&amp;K$135&amp;K$1&amp;"C"&amp;$A150)="N/A",0,RTD("tos.rtd",,$A$2,"."&amp;K$135&amp;K$1&amp;"C"&amp;$A150))-IF(RTD("tos.rtd",,$A$2,"."&amp;K$135&amp;K$1&amp;"P"&amp;$A150)="N/A",0,RTD("tos.rtd",,$A$2,"."&amp;K$135&amp;K$1&amp;"P"&amp;$A150))</f>
        <v>-25</v>
      </c>
      <c r="L150" s="91">
        <f ca="1">IF(RTD("tos.rtd",,$A$2,"."&amp;L$135&amp;L$1&amp;"C"&amp;$A150)="N/A",0,RTD("tos.rtd",,$A$2,"."&amp;L$135&amp;L$1&amp;"C"&amp;$A150))-IF(RTD("tos.rtd",,$A$2,"."&amp;L$135&amp;L$1&amp;"P"&amp;$A150)="N/A",0,RTD("tos.rtd",,$A$2,"."&amp;L$135&amp;L$1&amp;"P"&amp;$A150))</f>
        <v>0</v>
      </c>
      <c r="M150" s="91">
        <f ca="1">IF(RTD("tos.rtd",,$A$2,"."&amp;M$135&amp;M$1&amp;"C"&amp;$A150)="N/A",0,RTD("tos.rtd",,$A$2,"."&amp;M$135&amp;M$1&amp;"C"&amp;$A150))-IF(RTD("tos.rtd",,$A$2,"."&amp;M$135&amp;M$1&amp;"P"&amp;$A150)="N/A",0,RTD("tos.rtd",,$A$2,"."&amp;M$135&amp;M$1&amp;"P"&amp;$A150))</f>
        <v>0</v>
      </c>
      <c r="N150" s="91">
        <f ca="1">IF(RTD("tos.rtd",,$A$2,"."&amp;N$135&amp;N$1&amp;"C"&amp;$A150)="N/A",0,RTD("tos.rtd",,$A$2,"."&amp;N$135&amp;N$1&amp;"C"&amp;$A150))-IF(RTD("tos.rtd",,$A$2,"."&amp;N$135&amp;N$1&amp;"P"&amp;$A150)="N/A",0,RTD("tos.rtd",,$A$2,"."&amp;N$135&amp;N$1&amp;"P"&amp;$A150))</f>
        <v>0</v>
      </c>
      <c r="O150" s="91">
        <f ca="1">IF(RTD("tos.rtd",,$A$2,"."&amp;O$135&amp;O$1&amp;"C"&amp;$A150)="N/A",0,RTD("tos.rtd",,$A$2,"."&amp;O$135&amp;O$1&amp;"C"&amp;$A150))-IF(RTD("tos.rtd",,$A$2,"."&amp;O$135&amp;O$1&amp;"P"&amp;$A150)="N/A",0,RTD("tos.rtd",,$A$2,"."&amp;O$135&amp;O$1&amp;"P"&amp;$A150))</f>
        <v>0</v>
      </c>
      <c r="P150" s="91">
        <f ca="1">IF(RTD("tos.rtd",,$A$2,"."&amp;P$135&amp;P$1&amp;"C"&amp;$A150)="N/A",0,RTD("tos.rtd",,$A$2,"."&amp;P$135&amp;P$1&amp;"C"&amp;$A150))-IF(RTD("tos.rtd",,$A$2,"."&amp;P$135&amp;P$1&amp;"P"&amp;$A150)="N/A",0,RTD("tos.rtd",,$A$2,"."&amp;P$135&amp;P$1&amp;"P"&amp;$A150))</f>
        <v>0</v>
      </c>
      <c r="Q150" s="91">
        <f ca="1">IF(RTD("tos.rtd",,$A$2,"."&amp;Q$135&amp;Q$1&amp;"C"&amp;$A150)="N/A",0,RTD("tos.rtd",,$A$2,"."&amp;Q$135&amp;Q$1&amp;"C"&amp;$A150))-IF(RTD("tos.rtd",,$A$2,"."&amp;Q$135&amp;Q$1&amp;"P"&amp;$A150)="N/A",0,RTD("tos.rtd",,$A$2,"."&amp;Q$135&amp;Q$1&amp;"P"&amp;$A150))</f>
        <v>0</v>
      </c>
      <c r="R150" s="91">
        <f ca="1">IF(RTD("tos.rtd",,$A$2,"."&amp;R$135&amp;R$1&amp;"C"&amp;$A150)="N/A",0,RTD("tos.rtd",,$A$2,"."&amp;R$135&amp;R$1&amp;"C"&amp;$A150))-IF(RTD("tos.rtd",,$A$2,"."&amp;R$135&amp;R$1&amp;"P"&amp;$A150)="N/A",0,RTD("tos.rtd",,$A$2,"."&amp;R$135&amp;R$1&amp;"P"&amp;$A150))</f>
        <v>0</v>
      </c>
      <c r="S150" s="91">
        <f ca="1">IF(RTD("tos.rtd",,$A$2,"."&amp;S$135&amp;S$1&amp;"C"&amp;$A150)="N/A",0,RTD("tos.rtd",,$A$2,"."&amp;S$135&amp;S$1&amp;"C"&amp;$A150))-IF(RTD("tos.rtd",,$A$2,"."&amp;S$135&amp;S$1&amp;"P"&amp;$A150)="N/A",0,RTD("tos.rtd",,$A$2,"."&amp;S$135&amp;S$1&amp;"P"&amp;$A150))</f>
        <v>0</v>
      </c>
      <c r="T150" s="91">
        <f ca="1">IF(RTD("tos.rtd",,$A$2,"."&amp;T$135&amp;T$1&amp;"C"&amp;$A150)="N/A",0,RTD("tos.rtd",,$A$2,"."&amp;T$135&amp;T$1&amp;"C"&amp;$A150))-IF(RTD("tos.rtd",,$A$2,"."&amp;T$135&amp;T$1&amp;"P"&amp;$A150)="N/A",0,RTD("tos.rtd",,$A$2,"."&amp;T$135&amp;T$1&amp;"P"&amp;$A150))</f>
        <v>0</v>
      </c>
      <c r="U150" s="91">
        <f ca="1">IF(RTD("tos.rtd",,$A$2,"."&amp;U$135&amp;U$1&amp;"C"&amp;$A150)="N/A",0,RTD("tos.rtd",,$A$2,"."&amp;U$135&amp;U$1&amp;"C"&amp;$A150))-IF(RTD("tos.rtd",,$A$2,"."&amp;U$135&amp;U$1&amp;"P"&amp;$A150)="N/A",0,RTD("tos.rtd",,$A$2,"."&amp;U$135&amp;U$1&amp;"P"&amp;$A150))</f>
        <v>0</v>
      </c>
      <c r="V150" s="91">
        <f ca="1">IF(RTD("tos.rtd",,$A$2,"."&amp;V$135&amp;V$1&amp;"C"&amp;$A150)="N/A",0,RTD("tos.rtd",,$A$2,"."&amp;V$135&amp;V$1&amp;"C"&amp;$A150))-IF(RTD("tos.rtd",,$A$2,"."&amp;V$135&amp;V$1&amp;"P"&amp;$A150)="N/A",0,RTD("tos.rtd",,$A$2,"."&amp;V$135&amp;V$1&amp;"P"&amp;$A150))</f>
        <v>0</v>
      </c>
      <c r="W150" s="91">
        <f ca="1">IF(RTD("tos.rtd",,$A$2,"."&amp;W$135&amp;W$1&amp;"C"&amp;$A150)="N/A",0,RTD("tos.rtd",,$A$2,"."&amp;W$135&amp;W$1&amp;"C"&amp;$A150))-IF(RTD("tos.rtd",,$A$2,"."&amp;W$135&amp;W$1&amp;"P"&amp;$A150)="N/A",0,RTD("tos.rtd",,$A$2,"."&amp;W$135&amp;W$1&amp;"P"&amp;$A150))</f>
        <v>0</v>
      </c>
      <c r="X150" s="91">
        <f ca="1">IF(RTD("tos.rtd",,$A$2,"."&amp;X$135&amp;X$1&amp;"C"&amp;$A150)="N/A",0,RTD("tos.rtd",,$A$2,"."&amp;X$135&amp;X$1&amp;"C"&amp;$A150))-IF(RTD("tos.rtd",,$A$2,"."&amp;X$135&amp;X$1&amp;"P"&amp;$A150)="N/A",0,RTD("tos.rtd",,$A$2,"."&amp;X$135&amp;X$1&amp;"P"&amp;$A150))</f>
        <v>0</v>
      </c>
      <c r="Y150" s="98">
        <f t="shared" ca="1" si="13"/>
        <v>-24</v>
      </c>
      <c r="Z150" s="91"/>
      <c r="AA150" s="91"/>
    </row>
    <row r="151" spans="1:27" x14ac:dyDescent="0.25">
      <c r="A151" s="93">
        <f>+Hoja1!A150</f>
        <v>20225</v>
      </c>
      <c r="B151" s="91">
        <f ca="1">IF(RTD("tos.rtd",,$A$2,"."&amp;B$135&amp;B$1&amp;"C"&amp;$A151)="N/A",0,RTD("tos.rtd",,$A$2,"."&amp;B$135&amp;B$1&amp;"C"&amp;$A151))-IF(RTD("tos.rtd",,$A$2,"."&amp;B$135&amp;B$1&amp;"P"&amp;$A151)="N/A",0,RTD("tos.rtd",,$A$2,"."&amp;B$135&amp;B$1&amp;"P"&amp;$A151))</f>
        <v>0</v>
      </c>
      <c r="C151" s="91">
        <f ca="1">IF(RTD("tos.rtd",,$A$2,"."&amp;C$135&amp;C$1&amp;"C"&amp;$A151)="N/A",0,RTD("tos.rtd",,$A$2,"."&amp;C$135&amp;C$1&amp;"C"&amp;$A151))-IF(RTD("tos.rtd",,$A$2,"."&amp;C$135&amp;C$1&amp;"P"&amp;$A151)="N/A",0,RTD("tos.rtd",,$A$2,"."&amp;C$135&amp;C$1&amp;"P"&amp;$A151))</f>
        <v>0</v>
      </c>
      <c r="D151" s="91">
        <f ca="1">IF(RTD("tos.rtd",,$A$2,"."&amp;D$135&amp;D$1&amp;"C"&amp;$A151)="N/A",0,RTD("tos.rtd",,$A$2,"."&amp;D$135&amp;D$1&amp;"C"&amp;$A151))-IF(RTD("tos.rtd",,$A$2,"."&amp;D$135&amp;D$1&amp;"P"&amp;$A151)="N/A",0,RTD("tos.rtd",,$A$2,"."&amp;D$135&amp;D$1&amp;"P"&amp;$A151))</f>
        <v>0</v>
      </c>
      <c r="E151" s="91">
        <f ca="1">IF(RTD("tos.rtd",,$A$2,"."&amp;E$135&amp;E$1&amp;"C"&amp;$A151)="N/A",0,RTD("tos.rtd",,$A$2,"."&amp;E$135&amp;E$1&amp;"C"&amp;$A151))-IF(RTD("tos.rtd",,$A$2,"."&amp;E$135&amp;E$1&amp;"P"&amp;$A151)="N/A",0,RTD("tos.rtd",,$A$2,"."&amp;E$135&amp;E$1&amp;"P"&amp;$A151))</f>
        <v>0</v>
      </c>
      <c r="F151" s="91">
        <f ca="1">IF(RTD("tos.rtd",,$A$2,"."&amp;F$135&amp;F$1&amp;"C"&amp;$A151)="N/A",0,RTD("tos.rtd",,$A$2,"."&amp;F$135&amp;F$1&amp;"C"&amp;$A151))-IF(RTD("tos.rtd",,$A$2,"."&amp;F$135&amp;F$1&amp;"P"&amp;$A151)="N/A",0,RTD("tos.rtd",,$A$2,"."&amp;F$135&amp;F$1&amp;"P"&amp;$A151))</f>
        <v>0</v>
      </c>
      <c r="G151" s="91">
        <f ca="1">IF(RTD("tos.rtd",,$A$2,"."&amp;G$135&amp;G$1&amp;"C"&amp;$A151)="N/A",0,RTD("tos.rtd",,$A$2,"."&amp;G$135&amp;G$1&amp;"C"&amp;$A151))-IF(RTD("tos.rtd",,$A$2,"."&amp;G$135&amp;G$1&amp;"P"&amp;$A151)="N/A",0,RTD("tos.rtd",,$A$2,"."&amp;G$135&amp;G$1&amp;"P"&amp;$A151))</f>
        <v>0</v>
      </c>
      <c r="H151" s="91">
        <f ca="1">IF(RTD("tos.rtd",,$A$2,"."&amp;H$135&amp;H$1&amp;"C"&amp;$A151)="N/A",0,RTD("tos.rtd",,$A$2,"."&amp;H$135&amp;H$1&amp;"C"&amp;$A151))-IF(RTD("tos.rtd",,$A$2,"."&amp;H$135&amp;H$1&amp;"P"&amp;$A151)="N/A",0,RTD("tos.rtd",,$A$2,"."&amp;H$135&amp;H$1&amp;"P"&amp;$A151))</f>
        <v>0</v>
      </c>
      <c r="I151" s="91">
        <f ca="1">IF(RTD("tos.rtd",,$A$2,"."&amp;I$135&amp;I$1&amp;"C"&amp;$A151)="N/A",0,RTD("tos.rtd",,$A$2,"."&amp;I$135&amp;I$1&amp;"C"&amp;$A151))-IF(RTD("tos.rtd",,$A$2,"."&amp;I$135&amp;I$1&amp;"P"&amp;$A151)="N/A",0,RTD("tos.rtd",,$A$2,"."&amp;I$135&amp;I$1&amp;"P"&amp;$A151))</f>
        <v>0</v>
      </c>
      <c r="J151" s="91">
        <f ca="1">IF(RTD("tos.rtd",,$A$2,"."&amp;J$135&amp;J$1&amp;"C"&amp;$A151)="N/A",0,RTD("tos.rtd",,$A$2,"."&amp;J$135&amp;J$1&amp;"C"&amp;$A151))-IF(RTD("tos.rtd",,$A$2,"."&amp;J$135&amp;J$1&amp;"P"&amp;$A151)="N/A",0,RTD("tos.rtd",,$A$2,"."&amp;J$135&amp;J$1&amp;"P"&amp;$A151))</f>
        <v>0</v>
      </c>
      <c r="K151" s="91">
        <f ca="1">IF(RTD("tos.rtd",,$A$2,"."&amp;K$135&amp;K$1&amp;"C"&amp;$A151)="N/A",0,RTD("tos.rtd",,$A$2,"."&amp;K$135&amp;K$1&amp;"C"&amp;$A151))-IF(RTD("tos.rtd",,$A$2,"."&amp;K$135&amp;K$1&amp;"P"&amp;$A151)="N/A",0,RTD("tos.rtd",,$A$2,"."&amp;K$135&amp;K$1&amp;"P"&amp;$A151))</f>
        <v>19</v>
      </c>
      <c r="L151" s="91">
        <f ca="1">IF(RTD("tos.rtd",,$A$2,"."&amp;L$135&amp;L$1&amp;"C"&amp;$A151)="N/A",0,RTD("tos.rtd",,$A$2,"."&amp;L$135&amp;L$1&amp;"C"&amp;$A151))-IF(RTD("tos.rtd",,$A$2,"."&amp;L$135&amp;L$1&amp;"P"&amp;$A151)="N/A",0,RTD("tos.rtd",,$A$2,"."&amp;L$135&amp;L$1&amp;"P"&amp;$A151))</f>
        <v>0</v>
      </c>
      <c r="M151" s="91">
        <f ca="1">IF(RTD("tos.rtd",,$A$2,"."&amp;M$135&amp;M$1&amp;"C"&amp;$A151)="N/A",0,RTD("tos.rtd",,$A$2,"."&amp;M$135&amp;M$1&amp;"C"&amp;$A151))-IF(RTD("tos.rtd",,$A$2,"."&amp;M$135&amp;M$1&amp;"P"&amp;$A151)="N/A",0,RTD("tos.rtd",,$A$2,"."&amp;M$135&amp;M$1&amp;"P"&amp;$A151))</f>
        <v>0</v>
      </c>
      <c r="N151" s="91">
        <f ca="1">IF(RTD("tos.rtd",,$A$2,"."&amp;N$135&amp;N$1&amp;"C"&amp;$A151)="N/A",0,RTD("tos.rtd",,$A$2,"."&amp;N$135&amp;N$1&amp;"C"&amp;$A151))-IF(RTD("tos.rtd",,$A$2,"."&amp;N$135&amp;N$1&amp;"P"&amp;$A151)="N/A",0,RTD("tos.rtd",,$A$2,"."&amp;N$135&amp;N$1&amp;"P"&amp;$A151))</f>
        <v>0</v>
      </c>
      <c r="O151" s="91">
        <f ca="1">IF(RTD("tos.rtd",,$A$2,"."&amp;O$135&amp;O$1&amp;"C"&amp;$A151)="N/A",0,RTD("tos.rtd",,$A$2,"."&amp;O$135&amp;O$1&amp;"C"&amp;$A151))-IF(RTD("tos.rtd",,$A$2,"."&amp;O$135&amp;O$1&amp;"P"&amp;$A151)="N/A",0,RTD("tos.rtd",,$A$2,"."&amp;O$135&amp;O$1&amp;"P"&amp;$A151))</f>
        <v>0</v>
      </c>
      <c r="P151" s="91">
        <f ca="1">IF(RTD("tos.rtd",,$A$2,"."&amp;P$135&amp;P$1&amp;"C"&amp;$A151)="N/A",0,RTD("tos.rtd",,$A$2,"."&amp;P$135&amp;P$1&amp;"C"&amp;$A151))-IF(RTD("tos.rtd",,$A$2,"."&amp;P$135&amp;P$1&amp;"P"&amp;$A151)="N/A",0,RTD("tos.rtd",,$A$2,"."&amp;P$135&amp;P$1&amp;"P"&amp;$A151))</f>
        <v>0</v>
      </c>
      <c r="Q151" s="91">
        <f ca="1">IF(RTD("tos.rtd",,$A$2,"."&amp;Q$135&amp;Q$1&amp;"C"&amp;$A151)="N/A",0,RTD("tos.rtd",,$A$2,"."&amp;Q$135&amp;Q$1&amp;"C"&amp;$A151))-IF(RTD("tos.rtd",,$A$2,"."&amp;Q$135&amp;Q$1&amp;"P"&amp;$A151)="N/A",0,RTD("tos.rtd",,$A$2,"."&amp;Q$135&amp;Q$1&amp;"P"&amp;$A151))</f>
        <v>0</v>
      </c>
      <c r="R151" s="91">
        <f ca="1">IF(RTD("tos.rtd",,$A$2,"."&amp;R$135&amp;R$1&amp;"C"&amp;$A151)="N/A",0,RTD("tos.rtd",,$A$2,"."&amp;R$135&amp;R$1&amp;"C"&amp;$A151))-IF(RTD("tos.rtd",,$A$2,"."&amp;R$135&amp;R$1&amp;"P"&amp;$A151)="N/A",0,RTD("tos.rtd",,$A$2,"."&amp;R$135&amp;R$1&amp;"P"&amp;$A151))</f>
        <v>0</v>
      </c>
      <c r="S151" s="91">
        <f ca="1">IF(RTD("tos.rtd",,$A$2,"."&amp;S$135&amp;S$1&amp;"C"&amp;$A151)="N/A",0,RTD("tos.rtd",,$A$2,"."&amp;S$135&amp;S$1&amp;"C"&amp;$A151))-IF(RTD("tos.rtd",,$A$2,"."&amp;S$135&amp;S$1&amp;"P"&amp;$A151)="N/A",0,RTD("tos.rtd",,$A$2,"."&amp;S$135&amp;S$1&amp;"P"&amp;$A151))</f>
        <v>0</v>
      </c>
      <c r="T151" s="91">
        <f ca="1">IF(RTD("tos.rtd",,$A$2,"."&amp;T$135&amp;T$1&amp;"C"&amp;$A151)="N/A",0,RTD("tos.rtd",,$A$2,"."&amp;T$135&amp;T$1&amp;"C"&amp;$A151))-IF(RTD("tos.rtd",,$A$2,"."&amp;T$135&amp;T$1&amp;"P"&amp;$A151)="N/A",0,RTD("tos.rtd",,$A$2,"."&amp;T$135&amp;T$1&amp;"P"&amp;$A151))</f>
        <v>0</v>
      </c>
      <c r="U151" s="91">
        <f ca="1">IF(RTD("tos.rtd",,$A$2,"."&amp;U$135&amp;U$1&amp;"C"&amp;$A151)="N/A",0,RTD("tos.rtd",,$A$2,"."&amp;U$135&amp;U$1&amp;"C"&amp;$A151))-IF(RTD("tos.rtd",,$A$2,"."&amp;U$135&amp;U$1&amp;"P"&amp;$A151)="N/A",0,RTD("tos.rtd",,$A$2,"."&amp;U$135&amp;U$1&amp;"P"&amp;$A151))</f>
        <v>0</v>
      </c>
      <c r="V151" s="91">
        <f ca="1">IF(RTD("tos.rtd",,$A$2,"."&amp;V$135&amp;V$1&amp;"C"&amp;$A151)="N/A",0,RTD("tos.rtd",,$A$2,"."&amp;V$135&amp;V$1&amp;"C"&amp;$A151))-IF(RTD("tos.rtd",,$A$2,"."&amp;V$135&amp;V$1&amp;"P"&amp;$A151)="N/A",0,RTD("tos.rtd",,$A$2,"."&amp;V$135&amp;V$1&amp;"P"&amp;$A151))</f>
        <v>0</v>
      </c>
      <c r="W151" s="91">
        <f ca="1">IF(RTD("tos.rtd",,$A$2,"."&amp;W$135&amp;W$1&amp;"C"&amp;$A151)="N/A",0,RTD("tos.rtd",,$A$2,"."&amp;W$135&amp;W$1&amp;"C"&amp;$A151))-IF(RTD("tos.rtd",,$A$2,"."&amp;W$135&amp;W$1&amp;"P"&amp;$A151)="N/A",0,RTD("tos.rtd",,$A$2,"."&amp;W$135&amp;W$1&amp;"P"&amp;$A151))</f>
        <v>0</v>
      </c>
      <c r="X151" s="91">
        <f ca="1">IF(RTD("tos.rtd",,$A$2,"."&amp;X$135&amp;X$1&amp;"C"&amp;$A151)="N/A",0,RTD("tos.rtd",,$A$2,"."&amp;X$135&amp;X$1&amp;"C"&amp;$A151))-IF(RTD("tos.rtd",,$A$2,"."&amp;X$135&amp;X$1&amp;"P"&amp;$A151)="N/A",0,RTD("tos.rtd",,$A$2,"."&amp;X$135&amp;X$1&amp;"P"&amp;$A151))</f>
        <v>0</v>
      </c>
      <c r="Y151" s="98">
        <f t="shared" ca="1" si="13"/>
        <v>19</v>
      </c>
      <c r="Z151" s="91"/>
      <c r="AA151" s="91"/>
    </row>
    <row r="152" spans="1:27" x14ac:dyDescent="0.25">
      <c r="A152" s="93">
        <f>+Hoja1!A151</f>
        <v>20200</v>
      </c>
      <c r="B152" s="91">
        <f ca="1">IF(RTD("tos.rtd",,$A$2,"."&amp;B$135&amp;B$1&amp;"C"&amp;$A152)="N/A",0,RTD("tos.rtd",,$A$2,"."&amp;B$135&amp;B$1&amp;"C"&amp;$A152))-IF(RTD("tos.rtd",,$A$2,"."&amp;B$135&amp;B$1&amp;"P"&amp;$A152)="N/A",0,RTD("tos.rtd",,$A$2,"."&amp;B$135&amp;B$1&amp;"P"&amp;$A152))</f>
        <v>0</v>
      </c>
      <c r="C152" s="91">
        <f ca="1">IF(RTD("tos.rtd",,$A$2,"."&amp;C$135&amp;C$1&amp;"C"&amp;$A152)="N/A",0,RTD("tos.rtd",,$A$2,"."&amp;C$135&amp;C$1&amp;"C"&amp;$A152))-IF(RTD("tos.rtd",,$A$2,"."&amp;C$135&amp;C$1&amp;"P"&amp;$A152)="N/A",0,RTD("tos.rtd",,$A$2,"."&amp;C$135&amp;C$1&amp;"P"&amp;$A152))</f>
        <v>0</v>
      </c>
      <c r="D152" s="91">
        <f ca="1">IF(RTD("tos.rtd",,$A$2,"."&amp;D$135&amp;D$1&amp;"C"&amp;$A152)="N/A",0,RTD("tos.rtd",,$A$2,"."&amp;D$135&amp;D$1&amp;"C"&amp;$A152))-IF(RTD("tos.rtd",,$A$2,"."&amp;D$135&amp;D$1&amp;"P"&amp;$A152)="N/A",0,RTD("tos.rtd",,$A$2,"."&amp;D$135&amp;D$1&amp;"P"&amp;$A152))</f>
        <v>0</v>
      </c>
      <c r="E152" s="91">
        <f ca="1">IF(RTD("tos.rtd",,$A$2,"."&amp;E$135&amp;E$1&amp;"C"&amp;$A152)="N/A",0,RTD("tos.rtd",,$A$2,"."&amp;E$135&amp;E$1&amp;"C"&amp;$A152))-IF(RTD("tos.rtd",,$A$2,"."&amp;E$135&amp;E$1&amp;"P"&amp;$A152)="N/A",0,RTD("tos.rtd",,$A$2,"."&amp;E$135&amp;E$1&amp;"P"&amp;$A152))</f>
        <v>0</v>
      </c>
      <c r="F152" s="91">
        <f ca="1">IF(RTD("tos.rtd",,$A$2,"."&amp;F$135&amp;F$1&amp;"C"&amp;$A152)="N/A",0,RTD("tos.rtd",,$A$2,"."&amp;F$135&amp;F$1&amp;"C"&amp;$A152))-IF(RTD("tos.rtd",,$A$2,"."&amp;F$135&amp;F$1&amp;"P"&amp;$A152)="N/A",0,RTD("tos.rtd",,$A$2,"."&amp;F$135&amp;F$1&amp;"P"&amp;$A152))</f>
        <v>0</v>
      </c>
      <c r="G152" s="91">
        <f ca="1">IF(RTD("tos.rtd",,$A$2,"."&amp;G$135&amp;G$1&amp;"C"&amp;$A152)="N/A",0,RTD("tos.rtd",,$A$2,"."&amp;G$135&amp;G$1&amp;"C"&amp;$A152))-IF(RTD("tos.rtd",,$A$2,"."&amp;G$135&amp;G$1&amp;"P"&amp;$A152)="N/A",0,RTD("tos.rtd",,$A$2,"."&amp;G$135&amp;G$1&amp;"P"&amp;$A152))</f>
        <v>0</v>
      </c>
      <c r="H152" s="91">
        <f ca="1">IF(RTD("tos.rtd",,$A$2,"."&amp;H$135&amp;H$1&amp;"C"&amp;$A152)="N/A",0,RTD("tos.rtd",,$A$2,"."&amp;H$135&amp;H$1&amp;"C"&amp;$A152))-IF(RTD("tos.rtd",,$A$2,"."&amp;H$135&amp;H$1&amp;"P"&amp;$A152)="N/A",0,RTD("tos.rtd",,$A$2,"."&amp;H$135&amp;H$1&amp;"P"&amp;$A152))</f>
        <v>0</v>
      </c>
      <c r="I152" s="91">
        <f ca="1">IF(RTD("tos.rtd",,$A$2,"."&amp;I$135&amp;I$1&amp;"C"&amp;$A152)="N/A",0,RTD("tos.rtd",,$A$2,"."&amp;I$135&amp;I$1&amp;"C"&amp;$A152))-IF(RTD("tos.rtd",,$A$2,"."&amp;I$135&amp;I$1&amp;"P"&amp;$A152)="N/A",0,RTD("tos.rtd",,$A$2,"."&amp;I$135&amp;I$1&amp;"P"&amp;$A152))</f>
        <v>-2</v>
      </c>
      <c r="J152" s="91">
        <f ca="1">IF(RTD("tos.rtd",,$A$2,"."&amp;J$135&amp;J$1&amp;"C"&amp;$A152)="N/A",0,RTD("tos.rtd",,$A$2,"."&amp;J$135&amp;J$1&amp;"C"&amp;$A152))-IF(RTD("tos.rtd",,$A$2,"."&amp;J$135&amp;J$1&amp;"P"&amp;$A152)="N/A",0,RTD("tos.rtd",,$A$2,"."&amp;J$135&amp;J$1&amp;"P"&amp;$A152))</f>
        <v>2</v>
      </c>
      <c r="K152" s="91">
        <f ca="1">IF(RTD("tos.rtd",,$A$2,"."&amp;K$135&amp;K$1&amp;"C"&amp;$A152)="N/A",0,RTD("tos.rtd",,$A$2,"."&amp;K$135&amp;K$1&amp;"C"&amp;$A152))-IF(RTD("tos.rtd",,$A$2,"."&amp;K$135&amp;K$1&amp;"P"&amp;$A152)="N/A",0,RTD("tos.rtd",,$A$2,"."&amp;K$135&amp;K$1&amp;"P"&amp;$A152))</f>
        <v>-1</v>
      </c>
      <c r="L152" s="91">
        <f ca="1">IF(RTD("tos.rtd",,$A$2,"."&amp;L$135&amp;L$1&amp;"C"&amp;$A152)="N/A",0,RTD("tos.rtd",,$A$2,"."&amp;L$135&amp;L$1&amp;"C"&amp;$A152))-IF(RTD("tos.rtd",,$A$2,"."&amp;L$135&amp;L$1&amp;"P"&amp;$A152)="N/A",0,RTD("tos.rtd",,$A$2,"."&amp;L$135&amp;L$1&amp;"P"&amp;$A152))</f>
        <v>0</v>
      </c>
      <c r="M152" s="91">
        <f ca="1">IF(RTD("tos.rtd",,$A$2,"."&amp;M$135&amp;M$1&amp;"C"&amp;$A152)="N/A",0,RTD("tos.rtd",,$A$2,"."&amp;M$135&amp;M$1&amp;"C"&amp;$A152))-IF(RTD("tos.rtd",,$A$2,"."&amp;M$135&amp;M$1&amp;"P"&amp;$A152)="N/A",0,RTD("tos.rtd",,$A$2,"."&amp;M$135&amp;M$1&amp;"P"&amp;$A152))</f>
        <v>2</v>
      </c>
      <c r="N152" s="91">
        <f ca="1">IF(RTD("tos.rtd",,$A$2,"."&amp;N$135&amp;N$1&amp;"C"&amp;$A152)="N/A",0,RTD("tos.rtd",,$A$2,"."&amp;N$135&amp;N$1&amp;"C"&amp;$A152))-IF(RTD("tos.rtd",,$A$2,"."&amp;N$135&amp;N$1&amp;"P"&amp;$A152)="N/A",0,RTD("tos.rtd",,$A$2,"."&amp;N$135&amp;N$1&amp;"P"&amp;$A152))</f>
        <v>0</v>
      </c>
      <c r="O152" s="91">
        <f ca="1">IF(RTD("tos.rtd",,$A$2,"."&amp;O$135&amp;O$1&amp;"C"&amp;$A152)="N/A",0,RTD("tos.rtd",,$A$2,"."&amp;O$135&amp;O$1&amp;"C"&amp;$A152))-IF(RTD("tos.rtd",,$A$2,"."&amp;O$135&amp;O$1&amp;"P"&amp;$A152)="N/A",0,RTD("tos.rtd",,$A$2,"."&amp;O$135&amp;O$1&amp;"P"&amp;$A152))</f>
        <v>0</v>
      </c>
      <c r="P152" s="91">
        <f ca="1">IF(RTD("tos.rtd",,$A$2,"."&amp;P$135&amp;P$1&amp;"C"&amp;$A152)="N/A",0,RTD("tos.rtd",,$A$2,"."&amp;P$135&amp;P$1&amp;"C"&amp;$A152))-IF(RTD("tos.rtd",,$A$2,"."&amp;P$135&amp;P$1&amp;"P"&amp;$A152)="N/A",0,RTD("tos.rtd",,$A$2,"."&amp;P$135&amp;P$1&amp;"P"&amp;$A152))</f>
        <v>0</v>
      </c>
      <c r="Q152" s="91">
        <f ca="1">IF(RTD("tos.rtd",,$A$2,"."&amp;Q$135&amp;Q$1&amp;"C"&amp;$A152)="N/A",0,RTD("tos.rtd",,$A$2,"."&amp;Q$135&amp;Q$1&amp;"C"&amp;$A152))-IF(RTD("tos.rtd",,$A$2,"."&amp;Q$135&amp;Q$1&amp;"P"&amp;$A152)="N/A",0,RTD("tos.rtd",,$A$2,"."&amp;Q$135&amp;Q$1&amp;"P"&amp;$A152))</f>
        <v>0</v>
      </c>
      <c r="R152" s="91">
        <f ca="1">IF(RTD("tos.rtd",,$A$2,"."&amp;R$135&amp;R$1&amp;"C"&amp;$A152)="N/A",0,RTD("tos.rtd",,$A$2,"."&amp;R$135&amp;R$1&amp;"C"&amp;$A152))-IF(RTD("tos.rtd",,$A$2,"."&amp;R$135&amp;R$1&amp;"P"&amp;$A152)="N/A",0,RTD("tos.rtd",,$A$2,"."&amp;R$135&amp;R$1&amp;"P"&amp;$A152))</f>
        <v>0</v>
      </c>
      <c r="S152" s="91">
        <f ca="1">IF(RTD("tos.rtd",,$A$2,"."&amp;S$135&amp;S$1&amp;"C"&amp;$A152)="N/A",0,RTD("tos.rtd",,$A$2,"."&amp;S$135&amp;S$1&amp;"C"&amp;$A152))-IF(RTD("tos.rtd",,$A$2,"."&amp;S$135&amp;S$1&amp;"P"&amp;$A152)="N/A",0,RTD("tos.rtd",,$A$2,"."&amp;S$135&amp;S$1&amp;"P"&amp;$A152))</f>
        <v>0</v>
      </c>
      <c r="T152" s="91">
        <f ca="1">IF(RTD("tos.rtd",,$A$2,"."&amp;T$135&amp;T$1&amp;"C"&amp;$A152)="N/A",0,RTD("tos.rtd",,$A$2,"."&amp;T$135&amp;T$1&amp;"C"&amp;$A152))-IF(RTD("tos.rtd",,$A$2,"."&amp;T$135&amp;T$1&amp;"P"&amp;$A152)="N/A",0,RTD("tos.rtd",,$A$2,"."&amp;T$135&amp;T$1&amp;"P"&amp;$A152))</f>
        <v>0</v>
      </c>
      <c r="U152" s="91">
        <f ca="1">IF(RTD("tos.rtd",,$A$2,"."&amp;U$135&amp;U$1&amp;"C"&amp;$A152)="N/A",0,RTD("tos.rtd",,$A$2,"."&amp;U$135&amp;U$1&amp;"C"&amp;$A152))-IF(RTD("tos.rtd",,$A$2,"."&amp;U$135&amp;U$1&amp;"P"&amp;$A152)="N/A",0,RTD("tos.rtd",,$A$2,"."&amp;U$135&amp;U$1&amp;"P"&amp;$A152))</f>
        <v>0</v>
      </c>
      <c r="V152" s="91">
        <f ca="1">IF(RTD("tos.rtd",,$A$2,"."&amp;V$135&amp;V$1&amp;"C"&amp;$A152)="N/A",0,RTD("tos.rtd",,$A$2,"."&amp;V$135&amp;V$1&amp;"C"&amp;$A152))-IF(RTD("tos.rtd",,$A$2,"."&amp;V$135&amp;V$1&amp;"P"&amp;$A152)="N/A",0,RTD("tos.rtd",,$A$2,"."&amp;V$135&amp;V$1&amp;"P"&amp;$A152))</f>
        <v>0</v>
      </c>
      <c r="W152" s="91">
        <f ca="1">IF(RTD("tos.rtd",,$A$2,"."&amp;W$135&amp;W$1&amp;"C"&amp;$A152)="N/A",0,RTD("tos.rtd",,$A$2,"."&amp;W$135&amp;W$1&amp;"C"&amp;$A152))-IF(RTD("tos.rtd",,$A$2,"."&amp;W$135&amp;W$1&amp;"P"&amp;$A152)="N/A",0,RTD("tos.rtd",,$A$2,"."&amp;W$135&amp;W$1&amp;"P"&amp;$A152))</f>
        <v>0</v>
      </c>
      <c r="X152" s="91">
        <f ca="1">IF(RTD("tos.rtd",,$A$2,"."&amp;X$135&amp;X$1&amp;"C"&amp;$A152)="N/A",0,RTD("tos.rtd",,$A$2,"."&amp;X$135&amp;X$1&amp;"C"&amp;$A152))-IF(RTD("tos.rtd",,$A$2,"."&amp;X$135&amp;X$1&amp;"P"&amp;$A152)="N/A",0,RTD("tos.rtd",,$A$2,"."&amp;X$135&amp;X$1&amp;"P"&amp;$A152))</f>
        <v>0</v>
      </c>
      <c r="Y152" s="98">
        <f t="shared" ca="1" si="13"/>
        <v>1</v>
      </c>
      <c r="Z152" s="91"/>
      <c r="AA152" s="91"/>
    </row>
    <row r="153" spans="1:27" x14ac:dyDescent="0.25">
      <c r="A153" s="93">
        <f>+Hoja1!A152</f>
        <v>20175</v>
      </c>
      <c r="B153" s="91">
        <f ca="1">IF(RTD("tos.rtd",,$A$2,"."&amp;B$135&amp;B$1&amp;"C"&amp;$A153)="N/A",0,RTD("tos.rtd",,$A$2,"."&amp;B$135&amp;B$1&amp;"C"&amp;$A153))-IF(RTD("tos.rtd",,$A$2,"."&amp;B$135&amp;B$1&amp;"P"&amp;$A153)="N/A",0,RTD("tos.rtd",,$A$2,"."&amp;B$135&amp;B$1&amp;"P"&amp;$A153))</f>
        <v>0</v>
      </c>
      <c r="C153" s="91">
        <f ca="1">IF(RTD("tos.rtd",,$A$2,"."&amp;C$135&amp;C$1&amp;"C"&amp;$A153)="N/A",0,RTD("tos.rtd",,$A$2,"."&amp;C$135&amp;C$1&amp;"C"&amp;$A153))-IF(RTD("tos.rtd",,$A$2,"."&amp;C$135&amp;C$1&amp;"P"&amp;$A153)="N/A",0,RTD("tos.rtd",,$A$2,"."&amp;C$135&amp;C$1&amp;"P"&amp;$A153))</f>
        <v>0</v>
      </c>
      <c r="D153" s="91">
        <f ca="1">IF(RTD("tos.rtd",,$A$2,"."&amp;D$135&amp;D$1&amp;"C"&amp;$A153)="N/A",0,RTD("tos.rtd",,$A$2,"."&amp;D$135&amp;D$1&amp;"C"&amp;$A153))-IF(RTD("tos.rtd",,$A$2,"."&amp;D$135&amp;D$1&amp;"P"&amp;$A153)="N/A",0,RTD("tos.rtd",,$A$2,"."&amp;D$135&amp;D$1&amp;"P"&amp;$A153))</f>
        <v>0</v>
      </c>
      <c r="E153" s="91">
        <f ca="1">IF(RTD("tos.rtd",,$A$2,"."&amp;E$135&amp;E$1&amp;"C"&amp;$A153)="N/A",0,RTD("tos.rtd",,$A$2,"."&amp;E$135&amp;E$1&amp;"C"&amp;$A153))-IF(RTD("tos.rtd",,$A$2,"."&amp;E$135&amp;E$1&amp;"P"&amp;$A153)="N/A",0,RTD("tos.rtd",,$A$2,"."&amp;E$135&amp;E$1&amp;"P"&amp;$A153))</f>
        <v>0</v>
      </c>
      <c r="F153" s="91">
        <f ca="1">IF(RTD("tos.rtd",,$A$2,"."&amp;F$135&amp;F$1&amp;"C"&amp;$A153)="N/A",0,RTD("tos.rtd",,$A$2,"."&amp;F$135&amp;F$1&amp;"C"&amp;$A153))-IF(RTD("tos.rtd",,$A$2,"."&amp;F$135&amp;F$1&amp;"P"&amp;$A153)="N/A",0,RTD("tos.rtd",,$A$2,"."&amp;F$135&amp;F$1&amp;"P"&amp;$A153))</f>
        <v>0</v>
      </c>
      <c r="G153" s="91">
        <f ca="1">IF(RTD("tos.rtd",,$A$2,"."&amp;G$135&amp;G$1&amp;"C"&amp;$A153)="N/A",0,RTD("tos.rtd",,$A$2,"."&amp;G$135&amp;G$1&amp;"C"&amp;$A153))-IF(RTD("tos.rtd",,$A$2,"."&amp;G$135&amp;G$1&amp;"P"&amp;$A153)="N/A",0,RTD("tos.rtd",,$A$2,"."&amp;G$135&amp;G$1&amp;"P"&amp;$A153))</f>
        <v>0</v>
      </c>
      <c r="H153" s="91">
        <f ca="1">IF(RTD("tos.rtd",,$A$2,"."&amp;H$135&amp;H$1&amp;"C"&amp;$A153)="N/A",0,RTD("tos.rtd",,$A$2,"."&amp;H$135&amp;H$1&amp;"C"&amp;$A153))-IF(RTD("tos.rtd",,$A$2,"."&amp;H$135&amp;H$1&amp;"P"&amp;$A153)="N/A",0,RTD("tos.rtd",,$A$2,"."&amp;H$135&amp;H$1&amp;"P"&amp;$A153))</f>
        <v>0</v>
      </c>
      <c r="I153" s="91">
        <f ca="1">IF(RTD("tos.rtd",,$A$2,"."&amp;I$135&amp;I$1&amp;"C"&amp;$A153)="N/A",0,RTD("tos.rtd",,$A$2,"."&amp;I$135&amp;I$1&amp;"C"&amp;$A153))-IF(RTD("tos.rtd",,$A$2,"."&amp;I$135&amp;I$1&amp;"P"&amp;$A153)="N/A",0,RTD("tos.rtd",,$A$2,"."&amp;I$135&amp;I$1&amp;"P"&amp;$A153))</f>
        <v>0</v>
      </c>
      <c r="J153" s="91">
        <f ca="1">IF(RTD("tos.rtd",,$A$2,"."&amp;J$135&amp;J$1&amp;"C"&amp;$A153)="N/A",0,RTD("tos.rtd",,$A$2,"."&amp;J$135&amp;J$1&amp;"C"&amp;$A153))-IF(RTD("tos.rtd",,$A$2,"."&amp;J$135&amp;J$1&amp;"P"&amp;$A153)="N/A",0,RTD("tos.rtd",,$A$2,"."&amp;J$135&amp;J$1&amp;"P"&amp;$A153))</f>
        <v>0</v>
      </c>
      <c r="K153" s="91">
        <f ca="1">IF(RTD("tos.rtd",,$A$2,"."&amp;K$135&amp;K$1&amp;"C"&amp;$A153)="N/A",0,RTD("tos.rtd",,$A$2,"."&amp;K$135&amp;K$1&amp;"C"&amp;$A153))-IF(RTD("tos.rtd",,$A$2,"."&amp;K$135&amp;K$1&amp;"P"&amp;$A153)="N/A",0,RTD("tos.rtd",,$A$2,"."&amp;K$135&amp;K$1&amp;"P"&amp;$A153))</f>
        <v>0</v>
      </c>
      <c r="L153" s="91">
        <f ca="1">IF(RTD("tos.rtd",,$A$2,"."&amp;L$135&amp;L$1&amp;"C"&amp;$A153)="N/A",0,RTD("tos.rtd",,$A$2,"."&amp;L$135&amp;L$1&amp;"C"&amp;$A153))-IF(RTD("tos.rtd",,$A$2,"."&amp;L$135&amp;L$1&amp;"P"&amp;$A153)="N/A",0,RTD("tos.rtd",,$A$2,"."&amp;L$135&amp;L$1&amp;"P"&amp;$A153))</f>
        <v>0</v>
      </c>
      <c r="M153" s="91">
        <f ca="1">IF(RTD("tos.rtd",,$A$2,"."&amp;M$135&amp;M$1&amp;"C"&amp;$A153)="N/A",0,RTD("tos.rtd",,$A$2,"."&amp;M$135&amp;M$1&amp;"C"&amp;$A153))-IF(RTD("tos.rtd",,$A$2,"."&amp;M$135&amp;M$1&amp;"P"&amp;$A153)="N/A",0,RTD("tos.rtd",,$A$2,"."&amp;M$135&amp;M$1&amp;"P"&amp;$A153))</f>
        <v>0</v>
      </c>
      <c r="N153" s="91">
        <f ca="1">IF(RTD("tos.rtd",,$A$2,"."&amp;N$135&amp;N$1&amp;"C"&amp;$A153)="N/A",0,RTD("tos.rtd",,$A$2,"."&amp;N$135&amp;N$1&amp;"C"&amp;$A153))-IF(RTD("tos.rtd",,$A$2,"."&amp;N$135&amp;N$1&amp;"P"&amp;$A153)="N/A",0,RTD("tos.rtd",,$A$2,"."&amp;N$135&amp;N$1&amp;"P"&amp;$A153))</f>
        <v>0</v>
      </c>
      <c r="O153" s="91">
        <f ca="1">IF(RTD("tos.rtd",,$A$2,"."&amp;O$135&amp;O$1&amp;"C"&amp;$A153)="N/A",0,RTD("tos.rtd",,$A$2,"."&amp;O$135&amp;O$1&amp;"C"&amp;$A153))-IF(RTD("tos.rtd",,$A$2,"."&amp;O$135&amp;O$1&amp;"P"&amp;$A153)="N/A",0,RTD("tos.rtd",,$A$2,"."&amp;O$135&amp;O$1&amp;"P"&amp;$A153))</f>
        <v>0</v>
      </c>
      <c r="P153" s="91">
        <f ca="1">IF(RTD("tos.rtd",,$A$2,"."&amp;P$135&amp;P$1&amp;"C"&amp;$A153)="N/A",0,RTD("tos.rtd",,$A$2,"."&amp;P$135&amp;P$1&amp;"C"&amp;$A153))-IF(RTD("tos.rtd",,$A$2,"."&amp;P$135&amp;P$1&amp;"P"&amp;$A153)="N/A",0,RTD("tos.rtd",,$A$2,"."&amp;P$135&amp;P$1&amp;"P"&amp;$A153))</f>
        <v>0</v>
      </c>
      <c r="Q153" s="91">
        <f ca="1">IF(RTD("tos.rtd",,$A$2,"."&amp;Q$135&amp;Q$1&amp;"C"&amp;$A153)="N/A",0,RTD("tos.rtd",,$A$2,"."&amp;Q$135&amp;Q$1&amp;"C"&amp;$A153))-IF(RTD("tos.rtd",,$A$2,"."&amp;Q$135&amp;Q$1&amp;"P"&amp;$A153)="N/A",0,RTD("tos.rtd",,$A$2,"."&amp;Q$135&amp;Q$1&amp;"P"&amp;$A153))</f>
        <v>0</v>
      </c>
      <c r="R153" s="91">
        <f ca="1">IF(RTD("tos.rtd",,$A$2,"."&amp;R$135&amp;R$1&amp;"C"&amp;$A153)="N/A",0,RTD("tos.rtd",,$A$2,"."&amp;R$135&amp;R$1&amp;"C"&amp;$A153))-IF(RTD("tos.rtd",,$A$2,"."&amp;R$135&amp;R$1&amp;"P"&amp;$A153)="N/A",0,RTD("tos.rtd",,$A$2,"."&amp;R$135&amp;R$1&amp;"P"&amp;$A153))</f>
        <v>0</v>
      </c>
      <c r="S153" s="91">
        <f ca="1">IF(RTD("tos.rtd",,$A$2,"."&amp;S$135&amp;S$1&amp;"C"&amp;$A153)="N/A",0,RTD("tos.rtd",,$A$2,"."&amp;S$135&amp;S$1&amp;"C"&amp;$A153))-IF(RTD("tos.rtd",,$A$2,"."&amp;S$135&amp;S$1&amp;"P"&amp;$A153)="N/A",0,RTD("tos.rtd",,$A$2,"."&amp;S$135&amp;S$1&amp;"P"&amp;$A153))</f>
        <v>0</v>
      </c>
      <c r="T153" s="91">
        <f ca="1">IF(RTD("tos.rtd",,$A$2,"."&amp;T$135&amp;T$1&amp;"C"&amp;$A153)="N/A",0,RTD("tos.rtd",,$A$2,"."&amp;T$135&amp;T$1&amp;"C"&amp;$A153))-IF(RTD("tos.rtd",,$A$2,"."&amp;T$135&amp;T$1&amp;"P"&amp;$A153)="N/A",0,RTD("tos.rtd",,$A$2,"."&amp;T$135&amp;T$1&amp;"P"&amp;$A153))</f>
        <v>0</v>
      </c>
      <c r="U153" s="91">
        <f ca="1">IF(RTD("tos.rtd",,$A$2,"."&amp;U$135&amp;U$1&amp;"C"&amp;$A153)="N/A",0,RTD("tos.rtd",,$A$2,"."&amp;U$135&amp;U$1&amp;"C"&amp;$A153))-IF(RTD("tos.rtd",,$A$2,"."&amp;U$135&amp;U$1&amp;"P"&amp;$A153)="N/A",0,RTD("tos.rtd",,$A$2,"."&amp;U$135&amp;U$1&amp;"P"&amp;$A153))</f>
        <v>0</v>
      </c>
      <c r="V153" s="91">
        <f ca="1">IF(RTD("tos.rtd",,$A$2,"."&amp;V$135&amp;V$1&amp;"C"&amp;$A153)="N/A",0,RTD("tos.rtd",,$A$2,"."&amp;V$135&amp;V$1&amp;"C"&amp;$A153))-IF(RTD("tos.rtd",,$A$2,"."&amp;V$135&amp;V$1&amp;"P"&amp;$A153)="N/A",0,RTD("tos.rtd",,$A$2,"."&amp;V$135&amp;V$1&amp;"P"&amp;$A153))</f>
        <v>0</v>
      </c>
      <c r="W153" s="91">
        <f ca="1">IF(RTD("tos.rtd",,$A$2,"."&amp;W$135&amp;W$1&amp;"C"&amp;$A153)="N/A",0,RTD("tos.rtd",,$A$2,"."&amp;W$135&amp;W$1&amp;"C"&amp;$A153))-IF(RTD("tos.rtd",,$A$2,"."&amp;W$135&amp;W$1&amp;"P"&amp;$A153)="N/A",0,RTD("tos.rtd",,$A$2,"."&amp;W$135&amp;W$1&amp;"P"&amp;$A153))</f>
        <v>0</v>
      </c>
      <c r="X153" s="91">
        <f ca="1">IF(RTD("tos.rtd",,$A$2,"."&amp;X$135&amp;X$1&amp;"C"&amp;$A153)="N/A",0,RTD("tos.rtd",,$A$2,"."&amp;X$135&amp;X$1&amp;"C"&amp;$A153))-IF(RTD("tos.rtd",,$A$2,"."&amp;X$135&amp;X$1&amp;"P"&amp;$A153)="N/A",0,RTD("tos.rtd",,$A$2,"."&amp;X$135&amp;X$1&amp;"P"&amp;$A153))</f>
        <v>0</v>
      </c>
      <c r="Y153" s="98">
        <f t="shared" ca="1" si="13"/>
        <v>0</v>
      </c>
      <c r="Z153" s="91"/>
      <c r="AA153" s="91"/>
    </row>
    <row r="154" spans="1:27" x14ac:dyDescent="0.25">
      <c r="A154" s="93">
        <f>+Hoja1!A153</f>
        <v>20150</v>
      </c>
      <c r="B154" s="91">
        <f ca="1">IF(RTD("tos.rtd",,$A$2,"."&amp;B$135&amp;B$1&amp;"C"&amp;$A154)="N/A",0,RTD("tos.rtd",,$A$2,"."&amp;B$135&amp;B$1&amp;"C"&amp;$A154))-IF(RTD("tos.rtd",,$A$2,"."&amp;B$135&amp;B$1&amp;"P"&amp;$A154)="N/A",0,RTD("tos.rtd",,$A$2,"."&amp;B$135&amp;B$1&amp;"P"&amp;$A154))</f>
        <v>0</v>
      </c>
      <c r="C154" s="91">
        <f ca="1">IF(RTD("tos.rtd",,$A$2,"."&amp;C$135&amp;C$1&amp;"C"&amp;$A154)="N/A",0,RTD("tos.rtd",,$A$2,"."&amp;C$135&amp;C$1&amp;"C"&amp;$A154))-IF(RTD("tos.rtd",,$A$2,"."&amp;C$135&amp;C$1&amp;"P"&amp;$A154)="N/A",0,RTD("tos.rtd",,$A$2,"."&amp;C$135&amp;C$1&amp;"P"&amp;$A154))</f>
        <v>0</v>
      </c>
      <c r="D154" s="91">
        <f ca="1">IF(RTD("tos.rtd",,$A$2,"."&amp;D$135&amp;D$1&amp;"C"&amp;$A154)="N/A",0,RTD("tos.rtd",,$A$2,"."&amp;D$135&amp;D$1&amp;"C"&amp;$A154))-IF(RTD("tos.rtd",,$A$2,"."&amp;D$135&amp;D$1&amp;"P"&amp;$A154)="N/A",0,RTD("tos.rtd",,$A$2,"."&amp;D$135&amp;D$1&amp;"P"&amp;$A154))</f>
        <v>0</v>
      </c>
      <c r="E154" s="91">
        <f ca="1">IF(RTD("tos.rtd",,$A$2,"."&amp;E$135&amp;E$1&amp;"C"&amp;$A154)="N/A",0,RTD("tos.rtd",,$A$2,"."&amp;E$135&amp;E$1&amp;"C"&amp;$A154))-IF(RTD("tos.rtd",,$A$2,"."&amp;E$135&amp;E$1&amp;"P"&amp;$A154)="N/A",0,RTD("tos.rtd",,$A$2,"."&amp;E$135&amp;E$1&amp;"P"&amp;$A154))</f>
        <v>0</v>
      </c>
      <c r="F154" s="91">
        <f ca="1">IF(RTD("tos.rtd",,$A$2,"."&amp;F$135&amp;F$1&amp;"C"&amp;$A154)="N/A",0,RTD("tos.rtd",,$A$2,"."&amp;F$135&amp;F$1&amp;"C"&amp;$A154))-IF(RTD("tos.rtd",,$A$2,"."&amp;F$135&amp;F$1&amp;"P"&amp;$A154)="N/A",0,RTD("tos.rtd",,$A$2,"."&amp;F$135&amp;F$1&amp;"P"&amp;$A154))</f>
        <v>0</v>
      </c>
      <c r="G154" s="91">
        <f ca="1">IF(RTD("tos.rtd",,$A$2,"."&amp;G$135&amp;G$1&amp;"C"&amp;$A154)="N/A",0,RTD("tos.rtd",,$A$2,"."&amp;G$135&amp;G$1&amp;"C"&amp;$A154))-IF(RTD("tos.rtd",,$A$2,"."&amp;G$135&amp;G$1&amp;"P"&amp;$A154)="N/A",0,RTD("tos.rtd",,$A$2,"."&amp;G$135&amp;G$1&amp;"P"&amp;$A154))</f>
        <v>0</v>
      </c>
      <c r="H154" s="91">
        <f ca="1">IF(RTD("tos.rtd",,$A$2,"."&amp;H$135&amp;H$1&amp;"C"&amp;$A154)="N/A",0,RTD("tos.rtd",,$A$2,"."&amp;H$135&amp;H$1&amp;"C"&amp;$A154))-IF(RTD("tos.rtd",,$A$2,"."&amp;H$135&amp;H$1&amp;"P"&amp;$A154)="N/A",0,RTD("tos.rtd",,$A$2,"."&amp;H$135&amp;H$1&amp;"P"&amp;$A154))</f>
        <v>0</v>
      </c>
      <c r="I154" s="91">
        <f ca="1">IF(RTD("tos.rtd",,$A$2,"."&amp;I$135&amp;I$1&amp;"C"&amp;$A154)="N/A",0,RTD("tos.rtd",,$A$2,"."&amp;I$135&amp;I$1&amp;"C"&amp;$A154))-IF(RTD("tos.rtd",,$A$2,"."&amp;I$135&amp;I$1&amp;"P"&amp;$A154)="N/A",0,RTD("tos.rtd",,$A$2,"."&amp;I$135&amp;I$1&amp;"P"&amp;$A154))</f>
        <v>0</v>
      </c>
      <c r="J154" s="91">
        <f ca="1">IF(RTD("tos.rtd",,$A$2,"."&amp;J$135&amp;J$1&amp;"C"&amp;$A154)="N/A",0,RTD("tos.rtd",,$A$2,"."&amp;J$135&amp;J$1&amp;"C"&amp;$A154))-IF(RTD("tos.rtd",,$A$2,"."&amp;J$135&amp;J$1&amp;"P"&amp;$A154)="N/A",0,RTD("tos.rtd",,$A$2,"."&amp;J$135&amp;J$1&amp;"P"&amp;$A154))</f>
        <v>1</v>
      </c>
      <c r="K154" s="91">
        <f ca="1">IF(RTD("tos.rtd",,$A$2,"."&amp;K$135&amp;K$1&amp;"C"&amp;$A154)="N/A",0,RTD("tos.rtd",,$A$2,"."&amp;K$135&amp;K$1&amp;"C"&amp;$A154))-IF(RTD("tos.rtd",,$A$2,"."&amp;K$135&amp;K$1&amp;"P"&amp;$A154)="N/A",0,RTD("tos.rtd",,$A$2,"."&amp;K$135&amp;K$1&amp;"P"&amp;$A154))</f>
        <v>-5</v>
      </c>
      <c r="L154" s="91">
        <f ca="1">IF(RTD("tos.rtd",,$A$2,"."&amp;L$135&amp;L$1&amp;"C"&amp;$A154)="N/A",0,RTD("tos.rtd",,$A$2,"."&amp;L$135&amp;L$1&amp;"C"&amp;$A154))-IF(RTD("tos.rtd",,$A$2,"."&amp;L$135&amp;L$1&amp;"P"&amp;$A154)="N/A",0,RTD("tos.rtd",,$A$2,"."&amp;L$135&amp;L$1&amp;"P"&amp;$A154))</f>
        <v>0</v>
      </c>
      <c r="M154" s="91">
        <f ca="1">IF(RTD("tos.rtd",,$A$2,"."&amp;M$135&amp;M$1&amp;"C"&amp;$A154)="N/A",0,RTD("tos.rtd",,$A$2,"."&amp;M$135&amp;M$1&amp;"C"&amp;$A154))-IF(RTD("tos.rtd",,$A$2,"."&amp;M$135&amp;M$1&amp;"P"&amp;$A154)="N/A",0,RTD("tos.rtd",,$A$2,"."&amp;M$135&amp;M$1&amp;"P"&amp;$A154))</f>
        <v>0</v>
      </c>
      <c r="N154" s="91">
        <f ca="1">IF(RTD("tos.rtd",,$A$2,"."&amp;N$135&amp;N$1&amp;"C"&amp;$A154)="N/A",0,RTD("tos.rtd",,$A$2,"."&amp;N$135&amp;N$1&amp;"C"&amp;$A154))-IF(RTD("tos.rtd",,$A$2,"."&amp;N$135&amp;N$1&amp;"P"&amp;$A154)="N/A",0,RTD("tos.rtd",,$A$2,"."&amp;N$135&amp;N$1&amp;"P"&amp;$A154))</f>
        <v>0</v>
      </c>
      <c r="O154" s="91">
        <f ca="1">IF(RTD("tos.rtd",,$A$2,"."&amp;O$135&amp;O$1&amp;"C"&amp;$A154)="N/A",0,RTD("tos.rtd",,$A$2,"."&amp;O$135&amp;O$1&amp;"C"&amp;$A154))-IF(RTD("tos.rtd",,$A$2,"."&amp;O$135&amp;O$1&amp;"P"&amp;$A154)="N/A",0,RTD("tos.rtd",,$A$2,"."&amp;O$135&amp;O$1&amp;"P"&amp;$A154))</f>
        <v>0</v>
      </c>
      <c r="P154" s="91">
        <f ca="1">IF(RTD("tos.rtd",,$A$2,"."&amp;P$135&amp;P$1&amp;"C"&amp;$A154)="N/A",0,RTD("tos.rtd",,$A$2,"."&amp;P$135&amp;P$1&amp;"C"&amp;$A154))-IF(RTD("tos.rtd",,$A$2,"."&amp;P$135&amp;P$1&amp;"P"&amp;$A154)="N/A",0,RTD("tos.rtd",,$A$2,"."&amp;P$135&amp;P$1&amp;"P"&amp;$A154))</f>
        <v>0</v>
      </c>
      <c r="Q154" s="91">
        <f ca="1">IF(RTD("tos.rtd",,$A$2,"."&amp;Q$135&amp;Q$1&amp;"C"&amp;$A154)="N/A",0,RTD("tos.rtd",,$A$2,"."&amp;Q$135&amp;Q$1&amp;"C"&amp;$A154))-IF(RTD("tos.rtd",,$A$2,"."&amp;Q$135&amp;Q$1&amp;"P"&amp;$A154)="N/A",0,RTD("tos.rtd",,$A$2,"."&amp;Q$135&amp;Q$1&amp;"P"&amp;$A154))</f>
        <v>0</v>
      </c>
      <c r="R154" s="91">
        <f ca="1">IF(RTD("tos.rtd",,$A$2,"."&amp;R$135&amp;R$1&amp;"C"&amp;$A154)="N/A",0,RTD("tos.rtd",,$A$2,"."&amp;R$135&amp;R$1&amp;"C"&amp;$A154))-IF(RTD("tos.rtd",,$A$2,"."&amp;R$135&amp;R$1&amp;"P"&amp;$A154)="N/A",0,RTD("tos.rtd",,$A$2,"."&amp;R$135&amp;R$1&amp;"P"&amp;$A154))</f>
        <v>0</v>
      </c>
      <c r="S154" s="91">
        <f ca="1">IF(RTD("tos.rtd",,$A$2,"."&amp;S$135&amp;S$1&amp;"C"&amp;$A154)="N/A",0,RTD("tos.rtd",,$A$2,"."&amp;S$135&amp;S$1&amp;"C"&amp;$A154))-IF(RTD("tos.rtd",,$A$2,"."&amp;S$135&amp;S$1&amp;"P"&amp;$A154)="N/A",0,RTD("tos.rtd",,$A$2,"."&amp;S$135&amp;S$1&amp;"P"&amp;$A154))</f>
        <v>0</v>
      </c>
      <c r="T154" s="91">
        <f ca="1">IF(RTD("tos.rtd",,$A$2,"."&amp;T$135&amp;T$1&amp;"C"&amp;$A154)="N/A",0,RTD("tos.rtd",,$A$2,"."&amp;T$135&amp;T$1&amp;"C"&amp;$A154))-IF(RTD("tos.rtd",,$A$2,"."&amp;T$135&amp;T$1&amp;"P"&amp;$A154)="N/A",0,RTD("tos.rtd",,$A$2,"."&amp;T$135&amp;T$1&amp;"P"&amp;$A154))</f>
        <v>0</v>
      </c>
      <c r="U154" s="91">
        <f ca="1">IF(RTD("tos.rtd",,$A$2,"."&amp;U$135&amp;U$1&amp;"C"&amp;$A154)="N/A",0,RTD("tos.rtd",,$A$2,"."&amp;U$135&amp;U$1&amp;"C"&amp;$A154))-IF(RTD("tos.rtd",,$A$2,"."&amp;U$135&amp;U$1&amp;"P"&amp;$A154)="N/A",0,RTD("tos.rtd",,$A$2,"."&amp;U$135&amp;U$1&amp;"P"&amp;$A154))</f>
        <v>0</v>
      </c>
      <c r="V154" s="91">
        <f ca="1">IF(RTD("tos.rtd",,$A$2,"."&amp;V$135&amp;V$1&amp;"C"&amp;$A154)="N/A",0,RTD("tos.rtd",,$A$2,"."&amp;V$135&amp;V$1&amp;"C"&amp;$A154))-IF(RTD("tos.rtd",,$A$2,"."&amp;V$135&amp;V$1&amp;"P"&amp;$A154)="N/A",0,RTD("tos.rtd",,$A$2,"."&amp;V$135&amp;V$1&amp;"P"&amp;$A154))</f>
        <v>0</v>
      </c>
      <c r="W154" s="91">
        <f ca="1">IF(RTD("tos.rtd",,$A$2,"."&amp;W$135&amp;W$1&amp;"C"&amp;$A154)="N/A",0,RTD("tos.rtd",,$A$2,"."&amp;W$135&amp;W$1&amp;"C"&amp;$A154))-IF(RTD("tos.rtd",,$A$2,"."&amp;W$135&amp;W$1&amp;"P"&amp;$A154)="N/A",0,RTD("tos.rtd",,$A$2,"."&amp;W$135&amp;W$1&amp;"P"&amp;$A154))</f>
        <v>0</v>
      </c>
      <c r="X154" s="91">
        <f ca="1">IF(RTD("tos.rtd",,$A$2,"."&amp;X$135&amp;X$1&amp;"C"&amp;$A154)="N/A",0,RTD("tos.rtd",,$A$2,"."&amp;X$135&amp;X$1&amp;"C"&amp;$A154))-IF(RTD("tos.rtd",,$A$2,"."&amp;X$135&amp;X$1&amp;"P"&amp;$A154)="N/A",0,RTD("tos.rtd",,$A$2,"."&amp;X$135&amp;X$1&amp;"P"&amp;$A154))</f>
        <v>0</v>
      </c>
      <c r="Y154" s="98">
        <f t="shared" ca="1" si="13"/>
        <v>-4</v>
      </c>
      <c r="Z154" s="91"/>
      <c r="AA154" s="91"/>
    </row>
    <row r="155" spans="1:27" x14ac:dyDescent="0.25">
      <c r="A155" s="93">
        <f>+Hoja1!A154</f>
        <v>20125</v>
      </c>
      <c r="B155" s="91">
        <f ca="1">IF(RTD("tos.rtd",,$A$2,"."&amp;B$135&amp;B$1&amp;"C"&amp;$A155)="N/A",0,RTD("tos.rtd",,$A$2,"."&amp;B$135&amp;B$1&amp;"C"&amp;$A155))-IF(RTD("tos.rtd",,$A$2,"."&amp;B$135&amp;B$1&amp;"P"&amp;$A155)="N/A",0,RTD("tos.rtd",,$A$2,"."&amp;B$135&amp;B$1&amp;"P"&amp;$A155))</f>
        <v>0</v>
      </c>
      <c r="C155" s="91">
        <f ca="1">IF(RTD("tos.rtd",,$A$2,"."&amp;C$135&amp;C$1&amp;"C"&amp;$A155)="N/A",0,RTD("tos.rtd",,$A$2,"."&amp;C$135&amp;C$1&amp;"C"&amp;$A155))-IF(RTD("tos.rtd",,$A$2,"."&amp;C$135&amp;C$1&amp;"P"&amp;$A155)="N/A",0,RTD("tos.rtd",,$A$2,"."&amp;C$135&amp;C$1&amp;"P"&amp;$A155))</f>
        <v>0</v>
      </c>
      <c r="D155" s="91">
        <f ca="1">IF(RTD("tos.rtd",,$A$2,"."&amp;D$135&amp;D$1&amp;"C"&amp;$A155)="N/A",0,RTD("tos.rtd",,$A$2,"."&amp;D$135&amp;D$1&amp;"C"&amp;$A155))-IF(RTD("tos.rtd",,$A$2,"."&amp;D$135&amp;D$1&amp;"P"&amp;$A155)="N/A",0,RTD("tos.rtd",,$A$2,"."&amp;D$135&amp;D$1&amp;"P"&amp;$A155))</f>
        <v>0</v>
      </c>
      <c r="E155" s="91">
        <f ca="1">IF(RTD("tos.rtd",,$A$2,"."&amp;E$135&amp;E$1&amp;"C"&amp;$A155)="N/A",0,RTD("tos.rtd",,$A$2,"."&amp;E$135&amp;E$1&amp;"C"&amp;$A155))-IF(RTD("tos.rtd",,$A$2,"."&amp;E$135&amp;E$1&amp;"P"&amp;$A155)="N/A",0,RTD("tos.rtd",,$A$2,"."&amp;E$135&amp;E$1&amp;"P"&amp;$A155))</f>
        <v>0</v>
      </c>
      <c r="F155" s="91">
        <f ca="1">IF(RTD("tos.rtd",,$A$2,"."&amp;F$135&amp;F$1&amp;"C"&amp;$A155)="N/A",0,RTD("tos.rtd",,$A$2,"."&amp;F$135&amp;F$1&amp;"C"&amp;$A155))-IF(RTD("tos.rtd",,$A$2,"."&amp;F$135&amp;F$1&amp;"P"&amp;$A155)="N/A",0,RTD("tos.rtd",,$A$2,"."&amp;F$135&amp;F$1&amp;"P"&amp;$A155))</f>
        <v>0</v>
      </c>
      <c r="G155" s="91">
        <f ca="1">IF(RTD("tos.rtd",,$A$2,"."&amp;G$135&amp;G$1&amp;"C"&amp;$A155)="N/A",0,RTD("tos.rtd",,$A$2,"."&amp;G$135&amp;G$1&amp;"C"&amp;$A155))-IF(RTD("tos.rtd",,$A$2,"."&amp;G$135&amp;G$1&amp;"P"&amp;$A155)="N/A",0,RTD("tos.rtd",,$A$2,"."&amp;G$135&amp;G$1&amp;"P"&amp;$A155))</f>
        <v>0</v>
      </c>
      <c r="H155" s="91">
        <f ca="1">IF(RTD("tos.rtd",,$A$2,"."&amp;H$135&amp;H$1&amp;"C"&amp;$A155)="N/A",0,RTD("tos.rtd",,$A$2,"."&amp;H$135&amp;H$1&amp;"C"&amp;$A155))-IF(RTD("tos.rtd",,$A$2,"."&amp;H$135&amp;H$1&amp;"P"&amp;$A155)="N/A",0,RTD("tos.rtd",,$A$2,"."&amp;H$135&amp;H$1&amp;"P"&amp;$A155))</f>
        <v>0</v>
      </c>
      <c r="I155" s="91">
        <f ca="1">IF(RTD("tos.rtd",,$A$2,"."&amp;I$135&amp;I$1&amp;"C"&amp;$A155)="N/A",0,RTD("tos.rtd",,$A$2,"."&amp;I$135&amp;I$1&amp;"C"&amp;$A155))-IF(RTD("tos.rtd",,$A$2,"."&amp;I$135&amp;I$1&amp;"P"&amp;$A155)="N/A",0,RTD("tos.rtd",,$A$2,"."&amp;I$135&amp;I$1&amp;"P"&amp;$A155))</f>
        <v>-1</v>
      </c>
      <c r="J155" s="91">
        <f ca="1">IF(RTD("tos.rtd",,$A$2,"."&amp;J$135&amp;J$1&amp;"C"&amp;$A155)="N/A",0,RTD("tos.rtd",,$A$2,"."&amp;J$135&amp;J$1&amp;"C"&amp;$A155))-IF(RTD("tos.rtd",,$A$2,"."&amp;J$135&amp;J$1&amp;"P"&amp;$A155)="N/A",0,RTD("tos.rtd",,$A$2,"."&amp;J$135&amp;J$1&amp;"P"&amp;$A155))</f>
        <v>1</v>
      </c>
      <c r="K155" s="91">
        <f ca="1">IF(RTD("tos.rtd",,$A$2,"."&amp;K$135&amp;K$1&amp;"C"&amp;$A155)="N/A",0,RTD("tos.rtd",,$A$2,"."&amp;K$135&amp;K$1&amp;"C"&amp;$A155))-IF(RTD("tos.rtd",,$A$2,"."&amp;K$135&amp;K$1&amp;"P"&amp;$A155)="N/A",0,RTD("tos.rtd",,$A$2,"."&amp;K$135&amp;K$1&amp;"P"&amp;$A155))</f>
        <v>0</v>
      </c>
      <c r="L155" s="91">
        <f ca="1">IF(RTD("tos.rtd",,$A$2,"."&amp;L$135&amp;L$1&amp;"C"&amp;$A155)="N/A",0,RTD("tos.rtd",,$A$2,"."&amp;L$135&amp;L$1&amp;"C"&amp;$A155))-IF(RTD("tos.rtd",,$A$2,"."&amp;L$135&amp;L$1&amp;"P"&amp;$A155)="N/A",0,RTD("tos.rtd",,$A$2,"."&amp;L$135&amp;L$1&amp;"P"&amp;$A155))</f>
        <v>0</v>
      </c>
      <c r="M155" s="91">
        <f ca="1">IF(RTD("tos.rtd",,$A$2,"."&amp;M$135&amp;M$1&amp;"C"&amp;$A155)="N/A",0,RTD("tos.rtd",,$A$2,"."&amp;M$135&amp;M$1&amp;"C"&amp;$A155))-IF(RTD("tos.rtd",,$A$2,"."&amp;M$135&amp;M$1&amp;"P"&amp;$A155)="N/A",0,RTD("tos.rtd",,$A$2,"."&amp;M$135&amp;M$1&amp;"P"&amp;$A155))</f>
        <v>0</v>
      </c>
      <c r="N155" s="91">
        <f ca="1">IF(RTD("tos.rtd",,$A$2,"."&amp;N$135&amp;N$1&amp;"C"&amp;$A155)="N/A",0,RTD("tos.rtd",,$A$2,"."&amp;N$135&amp;N$1&amp;"C"&amp;$A155))-IF(RTD("tos.rtd",,$A$2,"."&amp;N$135&amp;N$1&amp;"P"&amp;$A155)="N/A",0,RTD("tos.rtd",,$A$2,"."&amp;N$135&amp;N$1&amp;"P"&amp;$A155))</f>
        <v>0</v>
      </c>
      <c r="O155" s="91">
        <f ca="1">IF(RTD("tos.rtd",,$A$2,"."&amp;O$135&amp;O$1&amp;"C"&amp;$A155)="N/A",0,RTD("tos.rtd",,$A$2,"."&amp;O$135&amp;O$1&amp;"C"&amp;$A155))-IF(RTD("tos.rtd",,$A$2,"."&amp;O$135&amp;O$1&amp;"P"&amp;$A155)="N/A",0,RTD("tos.rtd",,$A$2,"."&amp;O$135&amp;O$1&amp;"P"&amp;$A155))</f>
        <v>0</v>
      </c>
      <c r="P155" s="91">
        <f ca="1">IF(RTD("tos.rtd",,$A$2,"."&amp;P$135&amp;P$1&amp;"C"&amp;$A155)="N/A",0,RTD("tos.rtd",,$A$2,"."&amp;P$135&amp;P$1&amp;"C"&amp;$A155))-IF(RTD("tos.rtd",,$A$2,"."&amp;P$135&amp;P$1&amp;"P"&amp;$A155)="N/A",0,RTD("tos.rtd",,$A$2,"."&amp;P$135&amp;P$1&amp;"P"&amp;$A155))</f>
        <v>0</v>
      </c>
      <c r="Q155" s="91">
        <f ca="1">IF(RTD("tos.rtd",,$A$2,"."&amp;Q$135&amp;Q$1&amp;"C"&amp;$A155)="N/A",0,RTD("tos.rtd",,$A$2,"."&amp;Q$135&amp;Q$1&amp;"C"&amp;$A155))-IF(RTD("tos.rtd",,$A$2,"."&amp;Q$135&amp;Q$1&amp;"P"&amp;$A155)="N/A",0,RTD("tos.rtd",,$A$2,"."&amp;Q$135&amp;Q$1&amp;"P"&amp;$A155))</f>
        <v>0</v>
      </c>
      <c r="R155" s="91">
        <f ca="1">IF(RTD("tos.rtd",,$A$2,"."&amp;R$135&amp;R$1&amp;"C"&amp;$A155)="N/A",0,RTD("tos.rtd",,$A$2,"."&amp;R$135&amp;R$1&amp;"C"&amp;$A155))-IF(RTD("tos.rtd",,$A$2,"."&amp;R$135&amp;R$1&amp;"P"&amp;$A155)="N/A",0,RTD("tos.rtd",,$A$2,"."&amp;R$135&amp;R$1&amp;"P"&amp;$A155))</f>
        <v>0</v>
      </c>
      <c r="S155" s="91">
        <f ca="1">IF(RTD("tos.rtd",,$A$2,"."&amp;S$135&amp;S$1&amp;"C"&amp;$A155)="N/A",0,RTD("tos.rtd",,$A$2,"."&amp;S$135&amp;S$1&amp;"C"&amp;$A155))-IF(RTD("tos.rtd",,$A$2,"."&amp;S$135&amp;S$1&amp;"P"&amp;$A155)="N/A",0,RTD("tos.rtd",,$A$2,"."&amp;S$135&amp;S$1&amp;"P"&amp;$A155))</f>
        <v>0</v>
      </c>
      <c r="T155" s="91">
        <f ca="1">IF(RTD("tos.rtd",,$A$2,"."&amp;T$135&amp;T$1&amp;"C"&amp;$A155)="N/A",0,RTD("tos.rtd",,$A$2,"."&amp;T$135&amp;T$1&amp;"C"&amp;$A155))-IF(RTD("tos.rtd",,$A$2,"."&amp;T$135&amp;T$1&amp;"P"&amp;$A155)="N/A",0,RTD("tos.rtd",,$A$2,"."&amp;T$135&amp;T$1&amp;"P"&amp;$A155))</f>
        <v>0</v>
      </c>
      <c r="U155" s="91">
        <f ca="1">IF(RTD("tos.rtd",,$A$2,"."&amp;U$135&amp;U$1&amp;"C"&amp;$A155)="N/A",0,RTD("tos.rtd",,$A$2,"."&amp;U$135&amp;U$1&amp;"C"&amp;$A155))-IF(RTD("tos.rtd",,$A$2,"."&amp;U$135&amp;U$1&amp;"P"&amp;$A155)="N/A",0,RTD("tos.rtd",,$A$2,"."&amp;U$135&amp;U$1&amp;"P"&amp;$A155))</f>
        <v>0</v>
      </c>
      <c r="V155" s="91">
        <f ca="1">IF(RTD("tos.rtd",,$A$2,"."&amp;V$135&amp;V$1&amp;"C"&amp;$A155)="N/A",0,RTD("tos.rtd",,$A$2,"."&amp;V$135&amp;V$1&amp;"C"&amp;$A155))-IF(RTD("tos.rtd",,$A$2,"."&amp;V$135&amp;V$1&amp;"P"&amp;$A155)="N/A",0,RTD("tos.rtd",,$A$2,"."&amp;V$135&amp;V$1&amp;"P"&amp;$A155))</f>
        <v>0</v>
      </c>
      <c r="W155" s="91">
        <f ca="1">IF(RTD("tos.rtd",,$A$2,"."&amp;W$135&amp;W$1&amp;"C"&amp;$A155)="N/A",0,RTD("tos.rtd",,$A$2,"."&amp;W$135&amp;W$1&amp;"C"&amp;$A155))-IF(RTD("tos.rtd",,$A$2,"."&amp;W$135&amp;W$1&amp;"P"&amp;$A155)="N/A",0,RTD("tos.rtd",,$A$2,"."&amp;W$135&amp;W$1&amp;"P"&amp;$A155))</f>
        <v>0</v>
      </c>
      <c r="X155" s="91">
        <f ca="1">IF(RTD("tos.rtd",,$A$2,"."&amp;X$135&amp;X$1&amp;"C"&amp;$A155)="N/A",0,RTD("tos.rtd",,$A$2,"."&amp;X$135&amp;X$1&amp;"C"&amp;$A155))-IF(RTD("tos.rtd",,$A$2,"."&amp;X$135&amp;X$1&amp;"P"&amp;$A155)="N/A",0,RTD("tos.rtd",,$A$2,"."&amp;X$135&amp;X$1&amp;"P"&amp;$A155))</f>
        <v>0</v>
      </c>
      <c r="Y155" s="98">
        <f t="shared" ca="1" si="13"/>
        <v>0</v>
      </c>
      <c r="Z155" s="91"/>
      <c r="AA155" s="91"/>
    </row>
    <row r="156" spans="1:27" x14ac:dyDescent="0.25">
      <c r="A156" s="93">
        <f>+Hoja1!A155</f>
        <v>20100</v>
      </c>
      <c r="B156" s="91">
        <f ca="1">IF(RTD("tos.rtd",,$A$2,"."&amp;B$135&amp;B$1&amp;"C"&amp;$A156)="N/A",0,RTD("tos.rtd",,$A$2,"."&amp;B$135&amp;B$1&amp;"C"&amp;$A156))-IF(RTD("tos.rtd",,$A$2,"."&amp;B$135&amp;B$1&amp;"P"&amp;$A156)="N/A",0,RTD("tos.rtd",,$A$2,"."&amp;B$135&amp;B$1&amp;"P"&amp;$A156))</f>
        <v>0</v>
      </c>
      <c r="C156" s="91">
        <f ca="1">IF(RTD("tos.rtd",,$A$2,"."&amp;C$135&amp;C$1&amp;"C"&amp;$A156)="N/A",0,RTD("tos.rtd",,$A$2,"."&amp;C$135&amp;C$1&amp;"C"&amp;$A156))-IF(RTD("tos.rtd",,$A$2,"."&amp;C$135&amp;C$1&amp;"P"&amp;$A156)="N/A",0,RTD("tos.rtd",,$A$2,"."&amp;C$135&amp;C$1&amp;"P"&amp;$A156))</f>
        <v>0</v>
      </c>
      <c r="D156" s="91">
        <f ca="1">IF(RTD("tos.rtd",,$A$2,"."&amp;D$135&amp;D$1&amp;"C"&amp;$A156)="N/A",0,RTD("tos.rtd",,$A$2,"."&amp;D$135&amp;D$1&amp;"C"&amp;$A156))-IF(RTD("tos.rtd",,$A$2,"."&amp;D$135&amp;D$1&amp;"P"&amp;$A156)="N/A",0,RTD("tos.rtd",,$A$2,"."&amp;D$135&amp;D$1&amp;"P"&amp;$A156))</f>
        <v>0</v>
      </c>
      <c r="E156" s="91">
        <f ca="1">IF(RTD("tos.rtd",,$A$2,"."&amp;E$135&amp;E$1&amp;"C"&amp;$A156)="N/A",0,RTD("tos.rtd",,$A$2,"."&amp;E$135&amp;E$1&amp;"C"&amp;$A156))-IF(RTD("tos.rtd",,$A$2,"."&amp;E$135&amp;E$1&amp;"P"&amp;$A156)="N/A",0,RTD("tos.rtd",,$A$2,"."&amp;E$135&amp;E$1&amp;"P"&amp;$A156))</f>
        <v>0</v>
      </c>
      <c r="F156" s="91">
        <f ca="1">IF(RTD("tos.rtd",,$A$2,"."&amp;F$135&amp;F$1&amp;"C"&amp;$A156)="N/A",0,RTD("tos.rtd",,$A$2,"."&amp;F$135&amp;F$1&amp;"C"&amp;$A156))-IF(RTD("tos.rtd",,$A$2,"."&amp;F$135&amp;F$1&amp;"P"&amp;$A156)="N/A",0,RTD("tos.rtd",,$A$2,"."&amp;F$135&amp;F$1&amp;"P"&amp;$A156))</f>
        <v>0</v>
      </c>
      <c r="G156" s="91">
        <f ca="1">IF(RTD("tos.rtd",,$A$2,"."&amp;G$135&amp;G$1&amp;"C"&amp;$A156)="N/A",0,RTD("tos.rtd",,$A$2,"."&amp;G$135&amp;G$1&amp;"C"&amp;$A156))-IF(RTD("tos.rtd",,$A$2,"."&amp;G$135&amp;G$1&amp;"P"&amp;$A156)="N/A",0,RTD("tos.rtd",,$A$2,"."&amp;G$135&amp;G$1&amp;"P"&amp;$A156))</f>
        <v>0</v>
      </c>
      <c r="H156" s="91">
        <f ca="1">IF(RTD("tos.rtd",,$A$2,"."&amp;H$135&amp;H$1&amp;"C"&amp;$A156)="N/A",0,RTD("tos.rtd",,$A$2,"."&amp;H$135&amp;H$1&amp;"C"&amp;$A156))-IF(RTD("tos.rtd",,$A$2,"."&amp;H$135&amp;H$1&amp;"P"&amp;$A156)="N/A",0,RTD("tos.rtd",,$A$2,"."&amp;H$135&amp;H$1&amp;"P"&amp;$A156))</f>
        <v>0</v>
      </c>
      <c r="I156" s="91">
        <f ca="1">IF(RTD("tos.rtd",,$A$2,"."&amp;I$135&amp;I$1&amp;"C"&amp;$A156)="N/A",0,RTD("tos.rtd",,$A$2,"."&amp;I$135&amp;I$1&amp;"C"&amp;$A156))-IF(RTD("tos.rtd",,$A$2,"."&amp;I$135&amp;I$1&amp;"P"&amp;$A156)="N/A",0,RTD("tos.rtd",,$A$2,"."&amp;I$135&amp;I$1&amp;"P"&amp;$A156))</f>
        <v>-8</v>
      </c>
      <c r="J156" s="91">
        <f ca="1">IF(RTD("tos.rtd",,$A$2,"."&amp;J$135&amp;J$1&amp;"C"&amp;$A156)="N/A",0,RTD("tos.rtd",,$A$2,"."&amp;J$135&amp;J$1&amp;"C"&amp;$A156))-IF(RTD("tos.rtd",,$A$2,"."&amp;J$135&amp;J$1&amp;"P"&amp;$A156)="N/A",0,RTD("tos.rtd",,$A$2,"."&amp;J$135&amp;J$1&amp;"P"&amp;$A156))</f>
        <v>0</v>
      </c>
      <c r="K156" s="91">
        <f ca="1">IF(RTD("tos.rtd",,$A$2,"."&amp;K$135&amp;K$1&amp;"C"&amp;$A156)="N/A",0,RTD("tos.rtd",,$A$2,"."&amp;K$135&amp;K$1&amp;"C"&amp;$A156))-IF(RTD("tos.rtd",,$A$2,"."&amp;K$135&amp;K$1&amp;"P"&amp;$A156)="N/A",0,RTD("tos.rtd",,$A$2,"."&amp;K$135&amp;K$1&amp;"P"&amp;$A156))</f>
        <v>1</v>
      </c>
      <c r="L156" s="91">
        <f ca="1">IF(RTD("tos.rtd",,$A$2,"."&amp;L$135&amp;L$1&amp;"C"&amp;$A156)="N/A",0,RTD("tos.rtd",,$A$2,"."&amp;L$135&amp;L$1&amp;"C"&amp;$A156))-IF(RTD("tos.rtd",,$A$2,"."&amp;L$135&amp;L$1&amp;"P"&amp;$A156)="N/A",0,RTD("tos.rtd",,$A$2,"."&amp;L$135&amp;L$1&amp;"P"&amp;$A156))</f>
        <v>0</v>
      </c>
      <c r="M156" s="91">
        <f ca="1">IF(RTD("tos.rtd",,$A$2,"."&amp;M$135&amp;M$1&amp;"C"&amp;$A156)="N/A",0,RTD("tos.rtd",,$A$2,"."&amp;M$135&amp;M$1&amp;"C"&amp;$A156))-IF(RTD("tos.rtd",,$A$2,"."&amp;M$135&amp;M$1&amp;"P"&amp;$A156)="N/A",0,RTD("tos.rtd",,$A$2,"."&amp;M$135&amp;M$1&amp;"P"&amp;$A156))</f>
        <v>2</v>
      </c>
      <c r="N156" s="91">
        <f ca="1">IF(RTD("tos.rtd",,$A$2,"."&amp;N$135&amp;N$1&amp;"C"&amp;$A156)="N/A",0,RTD("tos.rtd",,$A$2,"."&amp;N$135&amp;N$1&amp;"C"&amp;$A156))-IF(RTD("tos.rtd",,$A$2,"."&amp;N$135&amp;N$1&amp;"P"&amp;$A156)="N/A",0,RTD("tos.rtd",,$A$2,"."&amp;N$135&amp;N$1&amp;"P"&amp;$A156))</f>
        <v>0</v>
      </c>
      <c r="O156" s="91">
        <f ca="1">IF(RTD("tos.rtd",,$A$2,"."&amp;O$135&amp;O$1&amp;"C"&amp;$A156)="N/A",0,RTD("tos.rtd",,$A$2,"."&amp;O$135&amp;O$1&amp;"C"&amp;$A156))-IF(RTD("tos.rtd",,$A$2,"."&amp;O$135&amp;O$1&amp;"P"&amp;$A156)="N/A",0,RTD("tos.rtd",,$A$2,"."&amp;O$135&amp;O$1&amp;"P"&amp;$A156))</f>
        <v>0</v>
      </c>
      <c r="P156" s="91">
        <f ca="1">IF(RTD("tos.rtd",,$A$2,"."&amp;P$135&amp;P$1&amp;"C"&amp;$A156)="N/A",0,RTD("tos.rtd",,$A$2,"."&amp;P$135&amp;P$1&amp;"C"&amp;$A156))-IF(RTD("tos.rtd",,$A$2,"."&amp;P$135&amp;P$1&amp;"P"&amp;$A156)="N/A",0,RTD("tos.rtd",,$A$2,"."&amp;P$135&amp;P$1&amp;"P"&amp;$A156))</f>
        <v>0</v>
      </c>
      <c r="Q156" s="91">
        <f ca="1">IF(RTD("tos.rtd",,$A$2,"."&amp;Q$135&amp;Q$1&amp;"C"&amp;$A156)="N/A",0,RTD("tos.rtd",,$A$2,"."&amp;Q$135&amp;Q$1&amp;"C"&amp;$A156))-IF(RTD("tos.rtd",,$A$2,"."&amp;Q$135&amp;Q$1&amp;"P"&amp;$A156)="N/A",0,RTD("tos.rtd",,$A$2,"."&amp;Q$135&amp;Q$1&amp;"P"&amp;$A156))</f>
        <v>-1</v>
      </c>
      <c r="R156" s="91">
        <f ca="1">IF(RTD("tos.rtd",,$A$2,"."&amp;R$135&amp;R$1&amp;"C"&amp;$A156)="N/A",0,RTD("tos.rtd",,$A$2,"."&amp;R$135&amp;R$1&amp;"C"&amp;$A156))-IF(RTD("tos.rtd",,$A$2,"."&amp;R$135&amp;R$1&amp;"P"&amp;$A156)="N/A",0,RTD("tos.rtd",,$A$2,"."&amp;R$135&amp;R$1&amp;"P"&amp;$A156))</f>
        <v>0</v>
      </c>
      <c r="S156" s="91">
        <f ca="1">IF(RTD("tos.rtd",,$A$2,"."&amp;S$135&amp;S$1&amp;"C"&amp;$A156)="N/A",0,RTD("tos.rtd",,$A$2,"."&amp;S$135&amp;S$1&amp;"C"&amp;$A156))-IF(RTD("tos.rtd",,$A$2,"."&amp;S$135&amp;S$1&amp;"P"&amp;$A156)="N/A",0,RTD("tos.rtd",,$A$2,"."&amp;S$135&amp;S$1&amp;"P"&amp;$A156))</f>
        <v>0</v>
      </c>
      <c r="T156" s="91">
        <f ca="1">IF(RTD("tos.rtd",,$A$2,"."&amp;T$135&amp;T$1&amp;"C"&amp;$A156)="N/A",0,RTD("tos.rtd",,$A$2,"."&amp;T$135&amp;T$1&amp;"C"&amp;$A156))-IF(RTD("tos.rtd",,$A$2,"."&amp;T$135&amp;T$1&amp;"P"&amp;$A156)="N/A",0,RTD("tos.rtd",,$A$2,"."&amp;T$135&amp;T$1&amp;"P"&amp;$A156))</f>
        <v>0</v>
      </c>
      <c r="U156" s="91">
        <f ca="1">IF(RTD("tos.rtd",,$A$2,"."&amp;U$135&amp;U$1&amp;"C"&amp;$A156)="N/A",0,RTD("tos.rtd",,$A$2,"."&amp;U$135&amp;U$1&amp;"C"&amp;$A156))-IF(RTD("tos.rtd",,$A$2,"."&amp;U$135&amp;U$1&amp;"P"&amp;$A156)="N/A",0,RTD("tos.rtd",,$A$2,"."&amp;U$135&amp;U$1&amp;"P"&amp;$A156))</f>
        <v>0</v>
      </c>
      <c r="V156" s="91">
        <f ca="1">IF(RTD("tos.rtd",,$A$2,"."&amp;V$135&amp;V$1&amp;"C"&amp;$A156)="N/A",0,RTD("tos.rtd",,$A$2,"."&amp;V$135&amp;V$1&amp;"C"&amp;$A156))-IF(RTD("tos.rtd",,$A$2,"."&amp;V$135&amp;V$1&amp;"P"&amp;$A156)="N/A",0,RTD("tos.rtd",,$A$2,"."&amp;V$135&amp;V$1&amp;"P"&amp;$A156))</f>
        <v>0</v>
      </c>
      <c r="W156" s="91">
        <f ca="1">IF(RTD("tos.rtd",,$A$2,"."&amp;W$135&amp;W$1&amp;"C"&amp;$A156)="N/A",0,RTD("tos.rtd",,$A$2,"."&amp;W$135&amp;W$1&amp;"C"&amp;$A156))-IF(RTD("tos.rtd",,$A$2,"."&amp;W$135&amp;W$1&amp;"P"&amp;$A156)="N/A",0,RTD("tos.rtd",,$A$2,"."&amp;W$135&amp;W$1&amp;"P"&amp;$A156))</f>
        <v>-8</v>
      </c>
      <c r="X156" s="91">
        <f ca="1">IF(RTD("tos.rtd",,$A$2,"."&amp;X$135&amp;X$1&amp;"C"&amp;$A156)="N/A",0,RTD("tos.rtd",,$A$2,"."&amp;X$135&amp;X$1&amp;"C"&amp;$A156))-IF(RTD("tos.rtd",,$A$2,"."&amp;X$135&amp;X$1&amp;"P"&amp;$A156)="N/A",0,RTD("tos.rtd",,$A$2,"."&amp;X$135&amp;X$1&amp;"P"&amp;$A156))</f>
        <v>0</v>
      </c>
      <c r="Y156" s="98">
        <f t="shared" ca="1" si="13"/>
        <v>-14</v>
      </c>
      <c r="Z156" s="91"/>
      <c r="AA156" s="91"/>
    </row>
    <row r="157" spans="1:27" x14ac:dyDescent="0.25">
      <c r="A157" s="93">
        <f>+Hoja1!A156</f>
        <v>20075</v>
      </c>
      <c r="B157" s="91">
        <f ca="1">IF(RTD("tos.rtd",,$A$2,"."&amp;B$135&amp;B$1&amp;"C"&amp;$A157)="N/A",0,RTD("tos.rtd",,$A$2,"."&amp;B$135&amp;B$1&amp;"C"&amp;$A157))-IF(RTD("tos.rtd",,$A$2,"."&amp;B$135&amp;B$1&amp;"P"&amp;$A157)="N/A",0,RTD("tos.rtd",,$A$2,"."&amp;B$135&amp;B$1&amp;"P"&amp;$A157))</f>
        <v>0</v>
      </c>
      <c r="C157" s="91">
        <f ca="1">IF(RTD("tos.rtd",,$A$2,"."&amp;C$135&amp;C$1&amp;"C"&amp;$A157)="N/A",0,RTD("tos.rtd",,$A$2,"."&amp;C$135&amp;C$1&amp;"C"&amp;$A157))-IF(RTD("tos.rtd",,$A$2,"."&amp;C$135&amp;C$1&amp;"P"&amp;$A157)="N/A",0,RTD("tos.rtd",,$A$2,"."&amp;C$135&amp;C$1&amp;"P"&amp;$A157))</f>
        <v>0</v>
      </c>
      <c r="D157" s="91">
        <f ca="1">IF(RTD("tos.rtd",,$A$2,"."&amp;D$135&amp;D$1&amp;"C"&amp;$A157)="N/A",0,RTD("tos.rtd",,$A$2,"."&amp;D$135&amp;D$1&amp;"C"&amp;$A157))-IF(RTD("tos.rtd",,$A$2,"."&amp;D$135&amp;D$1&amp;"P"&amp;$A157)="N/A",0,RTD("tos.rtd",,$A$2,"."&amp;D$135&amp;D$1&amp;"P"&amp;$A157))</f>
        <v>0</v>
      </c>
      <c r="E157" s="91">
        <f ca="1">IF(RTD("tos.rtd",,$A$2,"."&amp;E$135&amp;E$1&amp;"C"&amp;$A157)="N/A",0,RTD("tos.rtd",,$A$2,"."&amp;E$135&amp;E$1&amp;"C"&amp;$A157))-IF(RTD("tos.rtd",,$A$2,"."&amp;E$135&amp;E$1&amp;"P"&amp;$A157)="N/A",0,RTD("tos.rtd",,$A$2,"."&amp;E$135&amp;E$1&amp;"P"&amp;$A157))</f>
        <v>0</v>
      </c>
      <c r="F157" s="91">
        <f ca="1">IF(RTD("tos.rtd",,$A$2,"."&amp;F$135&amp;F$1&amp;"C"&amp;$A157)="N/A",0,RTD("tos.rtd",,$A$2,"."&amp;F$135&amp;F$1&amp;"C"&amp;$A157))-IF(RTD("tos.rtd",,$A$2,"."&amp;F$135&amp;F$1&amp;"P"&amp;$A157)="N/A",0,RTD("tos.rtd",,$A$2,"."&amp;F$135&amp;F$1&amp;"P"&amp;$A157))</f>
        <v>0</v>
      </c>
      <c r="G157" s="91">
        <f ca="1">IF(RTD("tos.rtd",,$A$2,"."&amp;G$135&amp;G$1&amp;"C"&amp;$A157)="N/A",0,RTD("tos.rtd",,$A$2,"."&amp;G$135&amp;G$1&amp;"C"&amp;$A157))-IF(RTD("tos.rtd",,$A$2,"."&amp;G$135&amp;G$1&amp;"P"&amp;$A157)="N/A",0,RTD("tos.rtd",,$A$2,"."&amp;G$135&amp;G$1&amp;"P"&amp;$A157))</f>
        <v>0</v>
      </c>
      <c r="H157" s="91">
        <f ca="1">IF(RTD("tos.rtd",,$A$2,"."&amp;H$135&amp;H$1&amp;"C"&amp;$A157)="N/A",0,RTD("tos.rtd",,$A$2,"."&amp;H$135&amp;H$1&amp;"C"&amp;$A157))-IF(RTD("tos.rtd",,$A$2,"."&amp;H$135&amp;H$1&amp;"P"&amp;$A157)="N/A",0,RTD("tos.rtd",,$A$2,"."&amp;H$135&amp;H$1&amp;"P"&amp;$A157))</f>
        <v>0</v>
      </c>
      <c r="I157" s="91">
        <f ca="1">IF(RTD("tos.rtd",,$A$2,"."&amp;I$135&amp;I$1&amp;"C"&amp;$A157)="N/A",0,RTD("tos.rtd",,$A$2,"."&amp;I$135&amp;I$1&amp;"C"&amp;$A157))-IF(RTD("tos.rtd",,$A$2,"."&amp;I$135&amp;I$1&amp;"P"&amp;$A157)="N/A",0,RTD("tos.rtd",,$A$2,"."&amp;I$135&amp;I$1&amp;"P"&amp;$A157))</f>
        <v>-1</v>
      </c>
      <c r="J157" s="91">
        <f ca="1">IF(RTD("tos.rtd",,$A$2,"."&amp;J$135&amp;J$1&amp;"C"&amp;$A157)="N/A",0,RTD("tos.rtd",,$A$2,"."&amp;J$135&amp;J$1&amp;"C"&amp;$A157))-IF(RTD("tos.rtd",,$A$2,"."&amp;J$135&amp;J$1&amp;"P"&amp;$A157)="N/A",0,RTD("tos.rtd",,$A$2,"."&amp;J$135&amp;J$1&amp;"P"&amp;$A157))</f>
        <v>0</v>
      </c>
      <c r="K157" s="91">
        <f ca="1">IF(RTD("tos.rtd",,$A$2,"."&amp;K$135&amp;K$1&amp;"C"&amp;$A157)="N/A",0,RTD("tos.rtd",,$A$2,"."&amp;K$135&amp;K$1&amp;"C"&amp;$A157))-IF(RTD("tos.rtd",,$A$2,"."&amp;K$135&amp;K$1&amp;"P"&amp;$A157)="N/A",0,RTD("tos.rtd",,$A$2,"."&amp;K$135&amp;K$1&amp;"P"&amp;$A157))</f>
        <v>-1</v>
      </c>
      <c r="L157" s="91">
        <f ca="1">IF(RTD("tos.rtd",,$A$2,"."&amp;L$135&amp;L$1&amp;"C"&amp;$A157)="N/A",0,RTD("tos.rtd",,$A$2,"."&amp;L$135&amp;L$1&amp;"C"&amp;$A157))-IF(RTD("tos.rtd",,$A$2,"."&amp;L$135&amp;L$1&amp;"P"&amp;$A157)="N/A",0,RTD("tos.rtd",,$A$2,"."&amp;L$135&amp;L$1&amp;"P"&amp;$A157))</f>
        <v>0</v>
      </c>
      <c r="M157" s="91">
        <f ca="1">IF(RTD("tos.rtd",,$A$2,"."&amp;M$135&amp;M$1&amp;"C"&amp;$A157)="N/A",0,RTD("tos.rtd",,$A$2,"."&amp;M$135&amp;M$1&amp;"C"&amp;$A157))-IF(RTD("tos.rtd",,$A$2,"."&amp;M$135&amp;M$1&amp;"P"&amp;$A157)="N/A",0,RTD("tos.rtd",,$A$2,"."&amp;M$135&amp;M$1&amp;"P"&amp;$A157))</f>
        <v>0</v>
      </c>
      <c r="N157" s="91">
        <f ca="1">IF(RTD("tos.rtd",,$A$2,"."&amp;N$135&amp;N$1&amp;"C"&amp;$A157)="N/A",0,RTD("tos.rtd",,$A$2,"."&amp;N$135&amp;N$1&amp;"C"&amp;$A157))-IF(RTD("tos.rtd",,$A$2,"."&amp;N$135&amp;N$1&amp;"P"&amp;$A157)="N/A",0,RTD("tos.rtd",,$A$2,"."&amp;N$135&amp;N$1&amp;"P"&amp;$A157))</f>
        <v>0</v>
      </c>
      <c r="O157" s="91">
        <f ca="1">IF(RTD("tos.rtd",,$A$2,"."&amp;O$135&amp;O$1&amp;"C"&amp;$A157)="N/A",0,RTD("tos.rtd",,$A$2,"."&amp;O$135&amp;O$1&amp;"C"&amp;$A157))-IF(RTD("tos.rtd",,$A$2,"."&amp;O$135&amp;O$1&amp;"P"&amp;$A157)="N/A",0,RTD("tos.rtd",,$A$2,"."&amp;O$135&amp;O$1&amp;"P"&amp;$A157))</f>
        <v>0</v>
      </c>
      <c r="P157" s="91">
        <f ca="1">IF(RTD("tos.rtd",,$A$2,"."&amp;P$135&amp;P$1&amp;"C"&amp;$A157)="N/A",0,RTD("tos.rtd",,$A$2,"."&amp;P$135&amp;P$1&amp;"C"&amp;$A157))-IF(RTD("tos.rtd",,$A$2,"."&amp;P$135&amp;P$1&amp;"P"&amp;$A157)="N/A",0,RTD("tos.rtd",,$A$2,"."&amp;P$135&amp;P$1&amp;"P"&amp;$A157))</f>
        <v>0</v>
      </c>
      <c r="Q157" s="91">
        <f ca="1">IF(RTD("tos.rtd",,$A$2,"."&amp;Q$135&amp;Q$1&amp;"C"&amp;$A157)="N/A",0,RTD("tos.rtd",,$A$2,"."&amp;Q$135&amp;Q$1&amp;"C"&amp;$A157))-IF(RTD("tos.rtd",,$A$2,"."&amp;Q$135&amp;Q$1&amp;"P"&amp;$A157)="N/A",0,RTD("tos.rtd",,$A$2,"."&amp;Q$135&amp;Q$1&amp;"P"&amp;$A157))</f>
        <v>0</v>
      </c>
      <c r="R157" s="91">
        <f ca="1">IF(RTD("tos.rtd",,$A$2,"."&amp;R$135&amp;R$1&amp;"C"&amp;$A157)="N/A",0,RTD("tos.rtd",,$A$2,"."&amp;R$135&amp;R$1&amp;"C"&amp;$A157))-IF(RTD("tos.rtd",,$A$2,"."&amp;R$135&amp;R$1&amp;"P"&amp;$A157)="N/A",0,RTD("tos.rtd",,$A$2,"."&amp;R$135&amp;R$1&amp;"P"&amp;$A157))</f>
        <v>0</v>
      </c>
      <c r="S157" s="91">
        <f ca="1">IF(RTD("tos.rtd",,$A$2,"."&amp;S$135&amp;S$1&amp;"C"&amp;$A157)="N/A",0,RTD("tos.rtd",,$A$2,"."&amp;S$135&amp;S$1&amp;"C"&amp;$A157))-IF(RTD("tos.rtd",,$A$2,"."&amp;S$135&amp;S$1&amp;"P"&amp;$A157)="N/A",0,RTD("tos.rtd",,$A$2,"."&amp;S$135&amp;S$1&amp;"P"&amp;$A157))</f>
        <v>0</v>
      </c>
      <c r="T157" s="91">
        <f ca="1">IF(RTD("tos.rtd",,$A$2,"."&amp;T$135&amp;T$1&amp;"C"&amp;$A157)="N/A",0,RTD("tos.rtd",,$A$2,"."&amp;T$135&amp;T$1&amp;"C"&amp;$A157))-IF(RTD("tos.rtd",,$A$2,"."&amp;T$135&amp;T$1&amp;"P"&amp;$A157)="N/A",0,RTD("tos.rtd",,$A$2,"."&amp;T$135&amp;T$1&amp;"P"&amp;$A157))</f>
        <v>0</v>
      </c>
      <c r="U157" s="91">
        <f ca="1">IF(RTD("tos.rtd",,$A$2,"."&amp;U$135&amp;U$1&amp;"C"&amp;$A157)="N/A",0,RTD("tos.rtd",,$A$2,"."&amp;U$135&amp;U$1&amp;"C"&amp;$A157))-IF(RTD("tos.rtd",,$A$2,"."&amp;U$135&amp;U$1&amp;"P"&amp;$A157)="N/A",0,RTD("tos.rtd",,$A$2,"."&amp;U$135&amp;U$1&amp;"P"&amp;$A157))</f>
        <v>0</v>
      </c>
      <c r="V157" s="91">
        <f ca="1">IF(RTD("tos.rtd",,$A$2,"."&amp;V$135&amp;V$1&amp;"C"&amp;$A157)="N/A",0,RTD("tos.rtd",,$A$2,"."&amp;V$135&amp;V$1&amp;"C"&amp;$A157))-IF(RTD("tos.rtd",,$A$2,"."&amp;V$135&amp;V$1&amp;"P"&amp;$A157)="N/A",0,RTD("tos.rtd",,$A$2,"."&amp;V$135&amp;V$1&amp;"P"&amp;$A157))</f>
        <v>0</v>
      </c>
      <c r="W157" s="91">
        <f ca="1">IF(RTD("tos.rtd",,$A$2,"."&amp;W$135&amp;W$1&amp;"C"&amp;$A157)="N/A",0,RTD("tos.rtd",,$A$2,"."&amp;W$135&amp;W$1&amp;"C"&amp;$A157))-IF(RTD("tos.rtd",,$A$2,"."&amp;W$135&amp;W$1&amp;"P"&amp;$A157)="N/A",0,RTD("tos.rtd",,$A$2,"."&amp;W$135&amp;W$1&amp;"P"&amp;$A157))</f>
        <v>0</v>
      </c>
      <c r="X157" s="91">
        <f ca="1">IF(RTD("tos.rtd",,$A$2,"."&amp;X$135&amp;X$1&amp;"C"&amp;$A157)="N/A",0,RTD("tos.rtd",,$A$2,"."&amp;X$135&amp;X$1&amp;"C"&amp;$A157))-IF(RTD("tos.rtd",,$A$2,"."&amp;X$135&amp;X$1&amp;"P"&amp;$A157)="N/A",0,RTD("tos.rtd",,$A$2,"."&amp;X$135&amp;X$1&amp;"P"&amp;$A157))</f>
        <v>0</v>
      </c>
      <c r="Y157" s="98">
        <f t="shared" ca="1" si="13"/>
        <v>-2</v>
      </c>
      <c r="Z157" s="91"/>
      <c r="AA157" s="91"/>
    </row>
    <row r="158" spans="1:27" x14ac:dyDescent="0.25">
      <c r="A158" s="93">
        <f>+Hoja1!A157</f>
        <v>20050</v>
      </c>
      <c r="B158" s="91">
        <f ca="1">IF(RTD("tos.rtd",,$A$2,"."&amp;B$135&amp;B$1&amp;"C"&amp;$A158)="N/A",0,RTD("tos.rtd",,$A$2,"."&amp;B$135&amp;B$1&amp;"C"&amp;$A158))-IF(RTD("tos.rtd",,$A$2,"."&amp;B$135&amp;B$1&amp;"P"&amp;$A158)="N/A",0,RTD("tos.rtd",,$A$2,"."&amp;B$135&amp;B$1&amp;"P"&amp;$A158))</f>
        <v>0</v>
      </c>
      <c r="C158" s="91">
        <f ca="1">IF(RTD("tos.rtd",,$A$2,"."&amp;C$135&amp;C$1&amp;"C"&amp;$A158)="N/A",0,RTD("tos.rtd",,$A$2,"."&amp;C$135&amp;C$1&amp;"C"&amp;$A158))-IF(RTD("tos.rtd",,$A$2,"."&amp;C$135&amp;C$1&amp;"P"&amp;$A158)="N/A",0,RTD("tos.rtd",,$A$2,"."&amp;C$135&amp;C$1&amp;"P"&amp;$A158))</f>
        <v>0</v>
      </c>
      <c r="D158" s="91">
        <f ca="1">IF(RTD("tos.rtd",,$A$2,"."&amp;D$135&amp;D$1&amp;"C"&amp;$A158)="N/A",0,RTD("tos.rtd",,$A$2,"."&amp;D$135&amp;D$1&amp;"C"&amp;$A158))-IF(RTD("tos.rtd",,$A$2,"."&amp;D$135&amp;D$1&amp;"P"&amp;$A158)="N/A",0,RTD("tos.rtd",,$A$2,"."&amp;D$135&amp;D$1&amp;"P"&amp;$A158))</f>
        <v>0</v>
      </c>
      <c r="E158" s="91">
        <f ca="1">IF(RTD("tos.rtd",,$A$2,"."&amp;E$135&amp;E$1&amp;"C"&amp;$A158)="N/A",0,RTD("tos.rtd",,$A$2,"."&amp;E$135&amp;E$1&amp;"C"&amp;$A158))-IF(RTD("tos.rtd",,$A$2,"."&amp;E$135&amp;E$1&amp;"P"&amp;$A158)="N/A",0,RTD("tos.rtd",,$A$2,"."&amp;E$135&amp;E$1&amp;"P"&amp;$A158))</f>
        <v>0</v>
      </c>
      <c r="F158" s="91">
        <f ca="1">IF(RTD("tos.rtd",,$A$2,"."&amp;F$135&amp;F$1&amp;"C"&amp;$A158)="N/A",0,RTD("tos.rtd",,$A$2,"."&amp;F$135&amp;F$1&amp;"C"&amp;$A158))-IF(RTD("tos.rtd",,$A$2,"."&amp;F$135&amp;F$1&amp;"P"&amp;$A158)="N/A",0,RTD("tos.rtd",,$A$2,"."&amp;F$135&amp;F$1&amp;"P"&amp;$A158))</f>
        <v>0</v>
      </c>
      <c r="G158" s="91">
        <f ca="1">IF(RTD("tos.rtd",,$A$2,"."&amp;G$135&amp;G$1&amp;"C"&amp;$A158)="N/A",0,RTD("tos.rtd",,$A$2,"."&amp;G$135&amp;G$1&amp;"C"&amp;$A158))-IF(RTD("tos.rtd",,$A$2,"."&amp;G$135&amp;G$1&amp;"P"&amp;$A158)="N/A",0,RTD("tos.rtd",,$A$2,"."&amp;G$135&amp;G$1&amp;"P"&amp;$A158))</f>
        <v>0</v>
      </c>
      <c r="H158" s="91">
        <f ca="1">IF(RTD("tos.rtd",,$A$2,"."&amp;H$135&amp;H$1&amp;"C"&amp;$A158)="N/A",0,RTD("tos.rtd",,$A$2,"."&amp;H$135&amp;H$1&amp;"C"&amp;$A158))-IF(RTD("tos.rtd",,$A$2,"."&amp;H$135&amp;H$1&amp;"P"&amp;$A158)="N/A",0,RTD("tos.rtd",,$A$2,"."&amp;H$135&amp;H$1&amp;"P"&amp;$A158))</f>
        <v>0</v>
      </c>
      <c r="I158" s="91">
        <f ca="1">IF(RTD("tos.rtd",,$A$2,"."&amp;I$135&amp;I$1&amp;"C"&amp;$A158)="N/A",0,RTD("tos.rtd",,$A$2,"."&amp;I$135&amp;I$1&amp;"C"&amp;$A158))-IF(RTD("tos.rtd",,$A$2,"."&amp;I$135&amp;I$1&amp;"P"&amp;$A158)="N/A",0,RTD("tos.rtd",,$A$2,"."&amp;I$135&amp;I$1&amp;"P"&amp;$A158))</f>
        <v>2</v>
      </c>
      <c r="J158" s="91">
        <f ca="1">IF(RTD("tos.rtd",,$A$2,"."&amp;J$135&amp;J$1&amp;"C"&amp;$A158)="N/A",0,RTD("tos.rtd",,$A$2,"."&amp;J$135&amp;J$1&amp;"C"&amp;$A158))-IF(RTD("tos.rtd",,$A$2,"."&amp;J$135&amp;J$1&amp;"P"&amp;$A158)="N/A",0,RTD("tos.rtd",,$A$2,"."&amp;J$135&amp;J$1&amp;"P"&amp;$A158))</f>
        <v>0</v>
      </c>
      <c r="K158" s="91">
        <f ca="1">IF(RTD("tos.rtd",,$A$2,"."&amp;K$135&amp;K$1&amp;"C"&amp;$A158)="N/A",0,RTD("tos.rtd",,$A$2,"."&amp;K$135&amp;K$1&amp;"C"&amp;$A158))-IF(RTD("tos.rtd",,$A$2,"."&amp;K$135&amp;K$1&amp;"P"&amp;$A158)="N/A",0,RTD("tos.rtd",,$A$2,"."&amp;K$135&amp;K$1&amp;"P"&amp;$A158))</f>
        <v>26</v>
      </c>
      <c r="L158" s="91">
        <f ca="1">IF(RTD("tos.rtd",,$A$2,"."&amp;L$135&amp;L$1&amp;"C"&amp;$A158)="N/A",0,RTD("tos.rtd",,$A$2,"."&amp;L$135&amp;L$1&amp;"C"&amp;$A158))-IF(RTD("tos.rtd",,$A$2,"."&amp;L$135&amp;L$1&amp;"P"&amp;$A158)="N/A",0,RTD("tos.rtd",,$A$2,"."&amp;L$135&amp;L$1&amp;"P"&amp;$A158))</f>
        <v>-9</v>
      </c>
      <c r="M158" s="91">
        <f ca="1">IF(RTD("tos.rtd",,$A$2,"."&amp;M$135&amp;M$1&amp;"C"&amp;$A158)="N/A",0,RTD("tos.rtd",,$A$2,"."&amp;M$135&amp;M$1&amp;"C"&amp;$A158))-IF(RTD("tos.rtd",,$A$2,"."&amp;M$135&amp;M$1&amp;"P"&amp;$A158)="N/A",0,RTD("tos.rtd",,$A$2,"."&amp;M$135&amp;M$1&amp;"P"&amp;$A158))</f>
        <v>0</v>
      </c>
      <c r="N158" s="91">
        <f ca="1">IF(RTD("tos.rtd",,$A$2,"."&amp;N$135&amp;N$1&amp;"C"&amp;$A158)="N/A",0,RTD("tos.rtd",,$A$2,"."&amp;N$135&amp;N$1&amp;"C"&amp;$A158))-IF(RTD("tos.rtd",,$A$2,"."&amp;N$135&amp;N$1&amp;"P"&amp;$A158)="N/A",0,RTD("tos.rtd",,$A$2,"."&amp;N$135&amp;N$1&amp;"P"&amp;$A158))</f>
        <v>0</v>
      </c>
      <c r="O158" s="91">
        <f ca="1">IF(RTD("tos.rtd",,$A$2,"."&amp;O$135&amp;O$1&amp;"C"&amp;$A158)="N/A",0,RTD("tos.rtd",,$A$2,"."&amp;O$135&amp;O$1&amp;"C"&amp;$A158))-IF(RTD("tos.rtd",,$A$2,"."&amp;O$135&amp;O$1&amp;"P"&amp;$A158)="N/A",0,RTD("tos.rtd",,$A$2,"."&amp;O$135&amp;O$1&amp;"P"&amp;$A158))</f>
        <v>0</v>
      </c>
      <c r="P158" s="91">
        <f ca="1">IF(RTD("tos.rtd",,$A$2,"."&amp;P$135&amp;P$1&amp;"C"&amp;$A158)="N/A",0,RTD("tos.rtd",,$A$2,"."&amp;P$135&amp;P$1&amp;"C"&amp;$A158))-IF(RTD("tos.rtd",,$A$2,"."&amp;P$135&amp;P$1&amp;"P"&amp;$A158)="N/A",0,RTD("tos.rtd",,$A$2,"."&amp;P$135&amp;P$1&amp;"P"&amp;$A158))</f>
        <v>0</v>
      </c>
      <c r="Q158" s="91">
        <f ca="1">IF(RTD("tos.rtd",,$A$2,"."&amp;Q$135&amp;Q$1&amp;"C"&amp;$A158)="N/A",0,RTD("tos.rtd",,$A$2,"."&amp;Q$135&amp;Q$1&amp;"C"&amp;$A158))-IF(RTD("tos.rtd",,$A$2,"."&amp;Q$135&amp;Q$1&amp;"P"&amp;$A158)="N/A",0,RTD("tos.rtd",,$A$2,"."&amp;Q$135&amp;Q$1&amp;"P"&amp;$A158))</f>
        <v>0</v>
      </c>
      <c r="R158" s="91">
        <f ca="1">IF(RTD("tos.rtd",,$A$2,"."&amp;R$135&amp;R$1&amp;"C"&amp;$A158)="N/A",0,RTD("tos.rtd",,$A$2,"."&amp;R$135&amp;R$1&amp;"C"&amp;$A158))-IF(RTD("tos.rtd",,$A$2,"."&amp;R$135&amp;R$1&amp;"P"&amp;$A158)="N/A",0,RTD("tos.rtd",,$A$2,"."&amp;R$135&amp;R$1&amp;"P"&amp;$A158))</f>
        <v>0</v>
      </c>
      <c r="S158" s="91">
        <f ca="1">IF(RTD("tos.rtd",,$A$2,"."&amp;S$135&amp;S$1&amp;"C"&amp;$A158)="N/A",0,RTD("tos.rtd",,$A$2,"."&amp;S$135&amp;S$1&amp;"C"&amp;$A158))-IF(RTD("tos.rtd",,$A$2,"."&amp;S$135&amp;S$1&amp;"P"&amp;$A158)="N/A",0,RTD("tos.rtd",,$A$2,"."&amp;S$135&amp;S$1&amp;"P"&amp;$A158))</f>
        <v>0</v>
      </c>
      <c r="T158" s="91">
        <f ca="1">IF(RTD("tos.rtd",,$A$2,"."&amp;T$135&amp;T$1&amp;"C"&amp;$A158)="N/A",0,RTD("tos.rtd",,$A$2,"."&amp;T$135&amp;T$1&amp;"C"&amp;$A158))-IF(RTD("tos.rtd",,$A$2,"."&amp;T$135&amp;T$1&amp;"P"&amp;$A158)="N/A",0,RTD("tos.rtd",,$A$2,"."&amp;T$135&amp;T$1&amp;"P"&amp;$A158))</f>
        <v>0</v>
      </c>
      <c r="U158" s="91">
        <f ca="1">IF(RTD("tos.rtd",,$A$2,"."&amp;U$135&amp;U$1&amp;"C"&amp;$A158)="N/A",0,RTD("tos.rtd",,$A$2,"."&amp;U$135&amp;U$1&amp;"C"&amp;$A158))-IF(RTD("tos.rtd",,$A$2,"."&amp;U$135&amp;U$1&amp;"P"&amp;$A158)="N/A",0,RTD("tos.rtd",,$A$2,"."&amp;U$135&amp;U$1&amp;"P"&amp;$A158))</f>
        <v>0</v>
      </c>
      <c r="V158" s="91">
        <f ca="1">IF(RTD("tos.rtd",,$A$2,"."&amp;V$135&amp;V$1&amp;"C"&amp;$A158)="N/A",0,RTD("tos.rtd",,$A$2,"."&amp;V$135&amp;V$1&amp;"C"&amp;$A158))-IF(RTD("tos.rtd",,$A$2,"."&amp;V$135&amp;V$1&amp;"P"&amp;$A158)="N/A",0,RTD("tos.rtd",,$A$2,"."&amp;V$135&amp;V$1&amp;"P"&amp;$A158))</f>
        <v>0</v>
      </c>
      <c r="W158" s="91">
        <f ca="1">IF(RTD("tos.rtd",,$A$2,"."&amp;W$135&amp;W$1&amp;"C"&amp;$A158)="N/A",0,RTD("tos.rtd",,$A$2,"."&amp;W$135&amp;W$1&amp;"C"&amp;$A158))-IF(RTD("tos.rtd",,$A$2,"."&amp;W$135&amp;W$1&amp;"P"&amp;$A158)="N/A",0,RTD("tos.rtd",,$A$2,"."&amp;W$135&amp;W$1&amp;"P"&amp;$A158))</f>
        <v>0</v>
      </c>
      <c r="X158" s="91">
        <f ca="1">IF(RTD("tos.rtd",,$A$2,"."&amp;X$135&amp;X$1&amp;"C"&amp;$A158)="N/A",0,RTD("tos.rtd",,$A$2,"."&amp;X$135&amp;X$1&amp;"C"&amp;$A158))-IF(RTD("tos.rtd",,$A$2,"."&amp;X$135&amp;X$1&amp;"P"&amp;$A158)="N/A",0,RTD("tos.rtd",,$A$2,"."&amp;X$135&amp;X$1&amp;"P"&amp;$A158))</f>
        <v>0</v>
      </c>
      <c r="Y158" s="98">
        <f t="shared" ca="1" si="13"/>
        <v>19</v>
      </c>
      <c r="Z158" s="91"/>
      <c r="AA158" s="91"/>
    </row>
    <row r="159" spans="1:27" x14ac:dyDescent="0.25">
      <c r="A159" s="93">
        <f>+Hoja1!A158</f>
        <v>20025</v>
      </c>
      <c r="B159" s="91">
        <f ca="1">IF(RTD("tos.rtd",,$A$2,"."&amp;B$135&amp;B$1&amp;"C"&amp;$A159)="N/A",0,RTD("tos.rtd",,$A$2,"."&amp;B$135&amp;B$1&amp;"C"&amp;$A159))-IF(RTD("tos.rtd",,$A$2,"."&amp;B$135&amp;B$1&amp;"P"&amp;$A159)="N/A",0,RTD("tos.rtd",,$A$2,"."&amp;B$135&amp;B$1&amp;"P"&amp;$A159))</f>
        <v>0</v>
      </c>
      <c r="C159" s="91">
        <f ca="1">IF(RTD("tos.rtd",,$A$2,"."&amp;C$135&amp;C$1&amp;"C"&amp;$A159)="N/A",0,RTD("tos.rtd",,$A$2,"."&amp;C$135&amp;C$1&amp;"C"&amp;$A159))-IF(RTD("tos.rtd",,$A$2,"."&amp;C$135&amp;C$1&amp;"P"&amp;$A159)="N/A",0,RTD("tos.rtd",,$A$2,"."&amp;C$135&amp;C$1&amp;"P"&amp;$A159))</f>
        <v>0</v>
      </c>
      <c r="D159" s="91">
        <f ca="1">IF(RTD("tos.rtd",,$A$2,"."&amp;D$135&amp;D$1&amp;"C"&amp;$A159)="N/A",0,RTD("tos.rtd",,$A$2,"."&amp;D$135&amp;D$1&amp;"C"&amp;$A159))-IF(RTD("tos.rtd",,$A$2,"."&amp;D$135&amp;D$1&amp;"P"&amp;$A159)="N/A",0,RTD("tos.rtd",,$A$2,"."&amp;D$135&amp;D$1&amp;"P"&amp;$A159))</f>
        <v>0</v>
      </c>
      <c r="E159" s="91">
        <f ca="1">IF(RTD("tos.rtd",,$A$2,"."&amp;E$135&amp;E$1&amp;"C"&amp;$A159)="N/A",0,RTD("tos.rtd",,$A$2,"."&amp;E$135&amp;E$1&amp;"C"&amp;$A159))-IF(RTD("tos.rtd",,$A$2,"."&amp;E$135&amp;E$1&amp;"P"&amp;$A159)="N/A",0,RTD("tos.rtd",,$A$2,"."&amp;E$135&amp;E$1&amp;"P"&amp;$A159))</f>
        <v>0</v>
      </c>
      <c r="F159" s="91">
        <f ca="1">IF(RTD("tos.rtd",,$A$2,"."&amp;F$135&amp;F$1&amp;"C"&amp;$A159)="N/A",0,RTD("tos.rtd",,$A$2,"."&amp;F$135&amp;F$1&amp;"C"&amp;$A159))-IF(RTD("tos.rtd",,$A$2,"."&amp;F$135&amp;F$1&amp;"P"&amp;$A159)="N/A",0,RTD("tos.rtd",,$A$2,"."&amp;F$135&amp;F$1&amp;"P"&amp;$A159))</f>
        <v>0</v>
      </c>
      <c r="G159" s="91">
        <f ca="1">IF(RTD("tos.rtd",,$A$2,"."&amp;G$135&amp;G$1&amp;"C"&amp;$A159)="N/A",0,RTD("tos.rtd",,$A$2,"."&amp;G$135&amp;G$1&amp;"C"&amp;$A159))-IF(RTD("tos.rtd",,$A$2,"."&amp;G$135&amp;G$1&amp;"P"&amp;$A159)="N/A",0,RTD("tos.rtd",,$A$2,"."&amp;G$135&amp;G$1&amp;"P"&amp;$A159))</f>
        <v>0</v>
      </c>
      <c r="H159" s="91">
        <f ca="1">IF(RTD("tos.rtd",,$A$2,"."&amp;H$135&amp;H$1&amp;"C"&amp;$A159)="N/A",0,RTD("tos.rtd",,$A$2,"."&amp;H$135&amp;H$1&amp;"C"&amp;$A159))-IF(RTD("tos.rtd",,$A$2,"."&amp;H$135&amp;H$1&amp;"P"&amp;$A159)="N/A",0,RTD("tos.rtd",,$A$2,"."&amp;H$135&amp;H$1&amp;"P"&amp;$A159))</f>
        <v>0</v>
      </c>
      <c r="I159" s="91">
        <f ca="1">IF(RTD("tos.rtd",,$A$2,"."&amp;I$135&amp;I$1&amp;"C"&amp;$A159)="N/A",0,RTD("tos.rtd",,$A$2,"."&amp;I$135&amp;I$1&amp;"C"&amp;$A159))-IF(RTD("tos.rtd",,$A$2,"."&amp;I$135&amp;I$1&amp;"P"&amp;$A159)="N/A",0,RTD("tos.rtd",,$A$2,"."&amp;I$135&amp;I$1&amp;"P"&amp;$A159))</f>
        <v>-3</v>
      </c>
      <c r="J159" s="91">
        <f ca="1">IF(RTD("tos.rtd",,$A$2,"."&amp;J$135&amp;J$1&amp;"C"&amp;$A159)="N/A",0,RTD("tos.rtd",,$A$2,"."&amp;J$135&amp;J$1&amp;"C"&amp;$A159))-IF(RTD("tos.rtd",,$A$2,"."&amp;J$135&amp;J$1&amp;"P"&amp;$A159)="N/A",0,RTD("tos.rtd",,$A$2,"."&amp;J$135&amp;J$1&amp;"P"&amp;$A159))</f>
        <v>0</v>
      </c>
      <c r="K159" s="91">
        <f ca="1">IF(RTD("tos.rtd",,$A$2,"."&amp;K$135&amp;K$1&amp;"C"&amp;$A159)="N/A",0,RTD("tos.rtd",,$A$2,"."&amp;K$135&amp;K$1&amp;"C"&amp;$A159))-IF(RTD("tos.rtd",,$A$2,"."&amp;K$135&amp;K$1&amp;"P"&amp;$A159)="N/A",0,RTD("tos.rtd",,$A$2,"."&amp;K$135&amp;K$1&amp;"P"&amp;$A159))</f>
        <v>13</v>
      </c>
      <c r="L159" s="91">
        <f ca="1">IF(RTD("tos.rtd",,$A$2,"."&amp;L$135&amp;L$1&amp;"C"&amp;$A159)="N/A",0,RTD("tos.rtd",,$A$2,"."&amp;L$135&amp;L$1&amp;"C"&amp;$A159))-IF(RTD("tos.rtd",,$A$2,"."&amp;L$135&amp;L$1&amp;"P"&amp;$A159)="N/A",0,RTD("tos.rtd",,$A$2,"."&amp;L$135&amp;L$1&amp;"P"&amp;$A159))</f>
        <v>0</v>
      </c>
      <c r="M159" s="91">
        <f ca="1">IF(RTD("tos.rtd",,$A$2,"."&amp;M$135&amp;M$1&amp;"C"&amp;$A159)="N/A",0,RTD("tos.rtd",,$A$2,"."&amp;M$135&amp;M$1&amp;"C"&amp;$A159))-IF(RTD("tos.rtd",,$A$2,"."&amp;M$135&amp;M$1&amp;"P"&amp;$A159)="N/A",0,RTD("tos.rtd",,$A$2,"."&amp;M$135&amp;M$1&amp;"P"&amp;$A159))</f>
        <v>0</v>
      </c>
      <c r="N159" s="91">
        <f ca="1">IF(RTD("tos.rtd",,$A$2,"."&amp;N$135&amp;N$1&amp;"C"&amp;$A159)="N/A",0,RTD("tos.rtd",,$A$2,"."&amp;N$135&amp;N$1&amp;"C"&amp;$A159))-IF(RTD("tos.rtd",,$A$2,"."&amp;N$135&amp;N$1&amp;"P"&amp;$A159)="N/A",0,RTD("tos.rtd",,$A$2,"."&amp;N$135&amp;N$1&amp;"P"&amp;$A159))</f>
        <v>0</v>
      </c>
      <c r="O159" s="91">
        <f ca="1">IF(RTD("tos.rtd",,$A$2,"."&amp;O$135&amp;O$1&amp;"C"&amp;$A159)="N/A",0,RTD("tos.rtd",,$A$2,"."&amp;O$135&amp;O$1&amp;"C"&amp;$A159))-IF(RTD("tos.rtd",,$A$2,"."&amp;O$135&amp;O$1&amp;"P"&amp;$A159)="N/A",0,RTD("tos.rtd",,$A$2,"."&amp;O$135&amp;O$1&amp;"P"&amp;$A159))</f>
        <v>0</v>
      </c>
      <c r="P159" s="91">
        <f ca="1">IF(RTD("tos.rtd",,$A$2,"."&amp;P$135&amp;P$1&amp;"C"&amp;$A159)="N/A",0,RTD("tos.rtd",,$A$2,"."&amp;P$135&amp;P$1&amp;"C"&amp;$A159))-IF(RTD("tos.rtd",,$A$2,"."&amp;P$135&amp;P$1&amp;"P"&amp;$A159)="N/A",0,RTD("tos.rtd",,$A$2,"."&amp;P$135&amp;P$1&amp;"P"&amp;$A159))</f>
        <v>0</v>
      </c>
      <c r="Q159" s="91">
        <f ca="1">IF(RTD("tos.rtd",,$A$2,"."&amp;Q$135&amp;Q$1&amp;"C"&amp;$A159)="N/A",0,RTD("tos.rtd",,$A$2,"."&amp;Q$135&amp;Q$1&amp;"C"&amp;$A159))-IF(RTD("tos.rtd",,$A$2,"."&amp;Q$135&amp;Q$1&amp;"P"&amp;$A159)="N/A",0,RTD("tos.rtd",,$A$2,"."&amp;Q$135&amp;Q$1&amp;"P"&amp;$A159))</f>
        <v>0</v>
      </c>
      <c r="R159" s="91">
        <f ca="1">IF(RTD("tos.rtd",,$A$2,"."&amp;R$135&amp;R$1&amp;"C"&amp;$A159)="N/A",0,RTD("tos.rtd",,$A$2,"."&amp;R$135&amp;R$1&amp;"C"&amp;$A159))-IF(RTD("tos.rtd",,$A$2,"."&amp;R$135&amp;R$1&amp;"P"&amp;$A159)="N/A",0,RTD("tos.rtd",,$A$2,"."&amp;R$135&amp;R$1&amp;"P"&amp;$A159))</f>
        <v>0</v>
      </c>
      <c r="S159" s="91">
        <f ca="1">IF(RTD("tos.rtd",,$A$2,"."&amp;S$135&amp;S$1&amp;"C"&amp;$A159)="N/A",0,RTD("tos.rtd",,$A$2,"."&amp;S$135&amp;S$1&amp;"C"&amp;$A159))-IF(RTD("tos.rtd",,$A$2,"."&amp;S$135&amp;S$1&amp;"P"&amp;$A159)="N/A",0,RTD("tos.rtd",,$A$2,"."&amp;S$135&amp;S$1&amp;"P"&amp;$A159))</f>
        <v>0</v>
      </c>
      <c r="T159" s="91">
        <f ca="1">IF(RTD("tos.rtd",,$A$2,"."&amp;T$135&amp;T$1&amp;"C"&amp;$A159)="N/A",0,RTD("tos.rtd",,$A$2,"."&amp;T$135&amp;T$1&amp;"C"&amp;$A159))-IF(RTD("tos.rtd",,$A$2,"."&amp;T$135&amp;T$1&amp;"P"&amp;$A159)="N/A",0,RTD("tos.rtd",,$A$2,"."&amp;T$135&amp;T$1&amp;"P"&amp;$A159))</f>
        <v>0</v>
      </c>
      <c r="U159" s="91">
        <f ca="1">IF(RTD("tos.rtd",,$A$2,"."&amp;U$135&amp;U$1&amp;"C"&amp;$A159)="N/A",0,RTD("tos.rtd",,$A$2,"."&amp;U$135&amp;U$1&amp;"C"&amp;$A159))-IF(RTD("tos.rtd",,$A$2,"."&amp;U$135&amp;U$1&amp;"P"&amp;$A159)="N/A",0,RTD("tos.rtd",,$A$2,"."&amp;U$135&amp;U$1&amp;"P"&amp;$A159))</f>
        <v>0</v>
      </c>
      <c r="V159" s="91">
        <f ca="1">IF(RTD("tos.rtd",,$A$2,"."&amp;V$135&amp;V$1&amp;"C"&amp;$A159)="N/A",0,RTD("tos.rtd",,$A$2,"."&amp;V$135&amp;V$1&amp;"C"&amp;$A159))-IF(RTD("tos.rtd",,$A$2,"."&amp;V$135&amp;V$1&amp;"P"&amp;$A159)="N/A",0,RTD("tos.rtd",,$A$2,"."&amp;V$135&amp;V$1&amp;"P"&amp;$A159))</f>
        <v>0</v>
      </c>
      <c r="W159" s="91">
        <f ca="1">IF(RTD("tos.rtd",,$A$2,"."&amp;W$135&amp;W$1&amp;"C"&amp;$A159)="N/A",0,RTD("tos.rtd",,$A$2,"."&amp;W$135&amp;W$1&amp;"C"&amp;$A159))-IF(RTD("tos.rtd",,$A$2,"."&amp;W$135&amp;W$1&amp;"P"&amp;$A159)="N/A",0,RTD("tos.rtd",,$A$2,"."&amp;W$135&amp;W$1&amp;"P"&amp;$A159))</f>
        <v>0</v>
      </c>
      <c r="X159" s="91">
        <f ca="1">IF(RTD("tos.rtd",,$A$2,"."&amp;X$135&amp;X$1&amp;"C"&amp;$A159)="N/A",0,RTD("tos.rtd",,$A$2,"."&amp;X$135&amp;X$1&amp;"C"&amp;$A159))-IF(RTD("tos.rtd",,$A$2,"."&amp;X$135&amp;X$1&amp;"P"&amp;$A159)="N/A",0,RTD("tos.rtd",,$A$2,"."&amp;X$135&amp;X$1&amp;"P"&amp;$A159))</f>
        <v>0</v>
      </c>
      <c r="Y159" s="98">
        <f t="shared" ca="1" si="13"/>
        <v>10</v>
      </c>
      <c r="Z159" s="91"/>
      <c r="AA159" s="91"/>
    </row>
    <row r="160" spans="1:27" x14ac:dyDescent="0.25">
      <c r="A160" s="93">
        <f>+Hoja1!A159</f>
        <v>20000</v>
      </c>
      <c r="B160" s="91">
        <f ca="1">IF(RTD("tos.rtd",,$A$2,"."&amp;B$135&amp;B$1&amp;"C"&amp;$A160)="N/A",0,RTD("tos.rtd",,$A$2,"."&amp;B$135&amp;B$1&amp;"C"&amp;$A160))-IF(RTD("tos.rtd",,$A$2,"."&amp;B$135&amp;B$1&amp;"P"&amp;$A160)="N/A",0,RTD("tos.rtd",,$A$2,"."&amp;B$135&amp;B$1&amp;"P"&amp;$A160))</f>
        <v>0</v>
      </c>
      <c r="C160" s="91">
        <f ca="1">IF(RTD("tos.rtd",,$A$2,"."&amp;C$135&amp;C$1&amp;"C"&amp;$A160)="N/A",0,RTD("tos.rtd",,$A$2,"."&amp;C$135&amp;C$1&amp;"C"&amp;$A160))-IF(RTD("tos.rtd",,$A$2,"."&amp;C$135&amp;C$1&amp;"P"&amp;$A160)="N/A",0,RTD("tos.rtd",,$A$2,"."&amp;C$135&amp;C$1&amp;"P"&amp;$A160))</f>
        <v>0</v>
      </c>
      <c r="D160" s="91">
        <f ca="1">IF(RTD("tos.rtd",,$A$2,"."&amp;D$135&amp;D$1&amp;"C"&amp;$A160)="N/A",0,RTD("tos.rtd",,$A$2,"."&amp;D$135&amp;D$1&amp;"C"&amp;$A160))-IF(RTD("tos.rtd",,$A$2,"."&amp;D$135&amp;D$1&amp;"P"&amp;$A160)="N/A",0,RTD("tos.rtd",,$A$2,"."&amp;D$135&amp;D$1&amp;"P"&amp;$A160))</f>
        <v>0</v>
      </c>
      <c r="E160" s="91">
        <f ca="1">IF(RTD("tos.rtd",,$A$2,"."&amp;E$135&amp;E$1&amp;"C"&amp;$A160)="N/A",0,RTD("tos.rtd",,$A$2,"."&amp;E$135&amp;E$1&amp;"C"&amp;$A160))-IF(RTD("tos.rtd",,$A$2,"."&amp;E$135&amp;E$1&amp;"P"&amp;$A160)="N/A",0,RTD("tos.rtd",,$A$2,"."&amp;E$135&amp;E$1&amp;"P"&amp;$A160))</f>
        <v>0</v>
      </c>
      <c r="F160" s="91">
        <f ca="1">IF(RTD("tos.rtd",,$A$2,"."&amp;F$135&amp;F$1&amp;"C"&amp;$A160)="N/A",0,RTD("tos.rtd",,$A$2,"."&amp;F$135&amp;F$1&amp;"C"&amp;$A160))-IF(RTD("tos.rtd",,$A$2,"."&amp;F$135&amp;F$1&amp;"P"&amp;$A160)="N/A",0,RTD("tos.rtd",,$A$2,"."&amp;F$135&amp;F$1&amp;"P"&amp;$A160))</f>
        <v>0</v>
      </c>
      <c r="G160" s="91">
        <f ca="1">IF(RTD("tos.rtd",,$A$2,"."&amp;G$135&amp;G$1&amp;"C"&amp;$A160)="N/A",0,RTD("tos.rtd",,$A$2,"."&amp;G$135&amp;G$1&amp;"C"&amp;$A160))-IF(RTD("tos.rtd",,$A$2,"."&amp;G$135&amp;G$1&amp;"P"&amp;$A160)="N/A",0,RTD("tos.rtd",,$A$2,"."&amp;G$135&amp;G$1&amp;"P"&amp;$A160))</f>
        <v>0</v>
      </c>
      <c r="H160" s="91">
        <f ca="1">IF(RTD("tos.rtd",,$A$2,"."&amp;H$135&amp;H$1&amp;"C"&amp;$A160)="N/A",0,RTD("tos.rtd",,$A$2,"."&amp;H$135&amp;H$1&amp;"C"&amp;$A160))-IF(RTD("tos.rtd",,$A$2,"."&amp;H$135&amp;H$1&amp;"P"&amp;$A160)="N/A",0,RTD("tos.rtd",,$A$2,"."&amp;H$135&amp;H$1&amp;"P"&amp;$A160))</f>
        <v>0</v>
      </c>
      <c r="I160" s="91">
        <f ca="1">IF(RTD("tos.rtd",,$A$2,"."&amp;I$135&amp;I$1&amp;"C"&amp;$A160)="N/A",0,RTD("tos.rtd",,$A$2,"."&amp;I$135&amp;I$1&amp;"C"&amp;$A160))-IF(RTD("tos.rtd",,$A$2,"."&amp;I$135&amp;I$1&amp;"P"&amp;$A160)="N/A",0,RTD("tos.rtd",,$A$2,"."&amp;I$135&amp;I$1&amp;"P"&amp;$A160))</f>
        <v>0</v>
      </c>
      <c r="J160" s="91">
        <f ca="1">IF(RTD("tos.rtd",,$A$2,"."&amp;J$135&amp;J$1&amp;"C"&amp;$A160)="N/A",0,RTD("tos.rtd",,$A$2,"."&amp;J$135&amp;J$1&amp;"C"&amp;$A160))-IF(RTD("tos.rtd",,$A$2,"."&amp;J$135&amp;J$1&amp;"P"&amp;$A160)="N/A",0,RTD("tos.rtd",,$A$2,"."&amp;J$135&amp;J$1&amp;"P"&amp;$A160))</f>
        <v>0</v>
      </c>
      <c r="K160" s="91">
        <f ca="1">IF(RTD("tos.rtd",,$A$2,"."&amp;K$135&amp;K$1&amp;"C"&amp;$A160)="N/A",0,RTD("tos.rtd",,$A$2,"."&amp;K$135&amp;K$1&amp;"C"&amp;$A160))-IF(RTD("tos.rtd",,$A$2,"."&amp;K$135&amp;K$1&amp;"P"&amp;$A160)="N/A",0,RTD("tos.rtd",,$A$2,"."&amp;K$135&amp;K$1&amp;"P"&amp;$A160))</f>
        <v>-24</v>
      </c>
      <c r="L160" s="91">
        <f ca="1">IF(RTD("tos.rtd",,$A$2,"."&amp;L$135&amp;L$1&amp;"C"&amp;$A160)="N/A",0,RTD("tos.rtd",,$A$2,"."&amp;L$135&amp;L$1&amp;"C"&amp;$A160))-IF(RTD("tos.rtd",,$A$2,"."&amp;L$135&amp;L$1&amp;"P"&amp;$A160)="N/A",0,RTD("tos.rtd",,$A$2,"."&amp;L$135&amp;L$1&amp;"P"&amp;$A160))</f>
        <v>0</v>
      </c>
      <c r="M160" s="91">
        <f ca="1">IF(RTD("tos.rtd",,$A$2,"."&amp;M$135&amp;M$1&amp;"C"&amp;$A160)="N/A",0,RTD("tos.rtd",,$A$2,"."&amp;M$135&amp;M$1&amp;"C"&amp;$A160))-IF(RTD("tos.rtd",,$A$2,"."&amp;M$135&amp;M$1&amp;"P"&amp;$A160)="N/A",0,RTD("tos.rtd",,$A$2,"."&amp;M$135&amp;M$1&amp;"P"&amp;$A160))</f>
        <v>-2</v>
      </c>
      <c r="N160" s="91">
        <f ca="1">IF(RTD("tos.rtd",,$A$2,"."&amp;N$135&amp;N$1&amp;"C"&amp;$A160)="N/A",0,RTD("tos.rtd",,$A$2,"."&amp;N$135&amp;N$1&amp;"C"&amp;$A160))-IF(RTD("tos.rtd",,$A$2,"."&amp;N$135&amp;N$1&amp;"P"&amp;$A160)="N/A",0,RTD("tos.rtd",,$A$2,"."&amp;N$135&amp;N$1&amp;"P"&amp;$A160))</f>
        <v>0</v>
      </c>
      <c r="O160" s="91">
        <f ca="1">IF(RTD("tos.rtd",,$A$2,"."&amp;O$135&amp;O$1&amp;"C"&amp;$A160)="N/A",0,RTD("tos.rtd",,$A$2,"."&amp;O$135&amp;O$1&amp;"C"&amp;$A160))-IF(RTD("tos.rtd",,$A$2,"."&amp;O$135&amp;O$1&amp;"P"&amp;$A160)="N/A",0,RTD("tos.rtd",,$A$2,"."&amp;O$135&amp;O$1&amp;"P"&amp;$A160))</f>
        <v>0</v>
      </c>
      <c r="P160" s="91">
        <f ca="1">IF(RTD("tos.rtd",,$A$2,"."&amp;P$135&amp;P$1&amp;"C"&amp;$A160)="N/A",0,RTD("tos.rtd",,$A$2,"."&amp;P$135&amp;P$1&amp;"C"&amp;$A160))-IF(RTD("tos.rtd",,$A$2,"."&amp;P$135&amp;P$1&amp;"P"&amp;$A160)="N/A",0,RTD("tos.rtd",,$A$2,"."&amp;P$135&amp;P$1&amp;"P"&amp;$A160))</f>
        <v>0</v>
      </c>
      <c r="Q160" s="91">
        <f ca="1">IF(RTD("tos.rtd",,$A$2,"."&amp;Q$135&amp;Q$1&amp;"C"&amp;$A160)="N/A",0,RTD("tos.rtd",,$A$2,"."&amp;Q$135&amp;Q$1&amp;"C"&amp;$A160))-IF(RTD("tos.rtd",,$A$2,"."&amp;Q$135&amp;Q$1&amp;"P"&amp;$A160)="N/A",0,RTD("tos.rtd",,$A$2,"."&amp;Q$135&amp;Q$1&amp;"P"&amp;$A160))</f>
        <v>2</v>
      </c>
      <c r="R160" s="91">
        <f ca="1">IF(RTD("tos.rtd",,$A$2,"."&amp;R$135&amp;R$1&amp;"C"&amp;$A160)="N/A",0,RTD("tos.rtd",,$A$2,"."&amp;R$135&amp;R$1&amp;"C"&amp;$A160))-IF(RTD("tos.rtd",,$A$2,"."&amp;R$135&amp;R$1&amp;"P"&amp;$A160)="N/A",0,RTD("tos.rtd",,$A$2,"."&amp;R$135&amp;R$1&amp;"P"&amp;$A160))</f>
        <v>0</v>
      </c>
      <c r="S160" s="91">
        <f ca="1">IF(RTD("tos.rtd",,$A$2,"."&amp;S$135&amp;S$1&amp;"C"&amp;$A160)="N/A",0,RTD("tos.rtd",,$A$2,"."&amp;S$135&amp;S$1&amp;"C"&amp;$A160))-IF(RTD("tos.rtd",,$A$2,"."&amp;S$135&amp;S$1&amp;"P"&amp;$A160)="N/A",0,RTD("tos.rtd",,$A$2,"."&amp;S$135&amp;S$1&amp;"P"&amp;$A160))</f>
        <v>0</v>
      </c>
      <c r="T160" s="91">
        <f ca="1">IF(RTD("tos.rtd",,$A$2,"."&amp;T$135&amp;T$1&amp;"C"&amp;$A160)="N/A",0,RTD("tos.rtd",,$A$2,"."&amp;T$135&amp;T$1&amp;"C"&amp;$A160))-IF(RTD("tos.rtd",,$A$2,"."&amp;T$135&amp;T$1&amp;"P"&amp;$A160)="N/A",0,RTD("tos.rtd",,$A$2,"."&amp;T$135&amp;T$1&amp;"P"&amp;$A160))</f>
        <v>0</v>
      </c>
      <c r="U160" s="91">
        <f ca="1">IF(RTD("tos.rtd",,$A$2,"."&amp;U$135&amp;U$1&amp;"C"&amp;$A160)="N/A",0,RTD("tos.rtd",,$A$2,"."&amp;U$135&amp;U$1&amp;"C"&amp;$A160))-IF(RTD("tos.rtd",,$A$2,"."&amp;U$135&amp;U$1&amp;"P"&amp;$A160)="N/A",0,RTD("tos.rtd",,$A$2,"."&amp;U$135&amp;U$1&amp;"P"&amp;$A160))</f>
        <v>0</v>
      </c>
      <c r="V160" s="91">
        <f ca="1">IF(RTD("tos.rtd",,$A$2,"."&amp;V$135&amp;V$1&amp;"C"&amp;$A160)="N/A",0,RTD("tos.rtd",,$A$2,"."&amp;V$135&amp;V$1&amp;"C"&amp;$A160))-IF(RTD("tos.rtd",,$A$2,"."&amp;V$135&amp;V$1&amp;"P"&amp;$A160)="N/A",0,RTD("tos.rtd",,$A$2,"."&amp;V$135&amp;V$1&amp;"P"&amp;$A160))</f>
        <v>0</v>
      </c>
      <c r="W160" s="91">
        <f ca="1">IF(RTD("tos.rtd",,$A$2,"."&amp;W$135&amp;W$1&amp;"C"&amp;$A160)="N/A",0,RTD("tos.rtd",,$A$2,"."&amp;W$135&amp;W$1&amp;"C"&amp;$A160))-IF(RTD("tos.rtd",,$A$2,"."&amp;W$135&amp;W$1&amp;"P"&amp;$A160)="N/A",0,RTD("tos.rtd",,$A$2,"."&amp;W$135&amp;W$1&amp;"P"&amp;$A160))</f>
        <v>-2</v>
      </c>
      <c r="X160" s="91">
        <f ca="1">IF(RTD("tos.rtd",,$A$2,"."&amp;X$135&amp;X$1&amp;"C"&amp;$A160)="N/A",0,RTD("tos.rtd",,$A$2,"."&amp;X$135&amp;X$1&amp;"C"&amp;$A160))-IF(RTD("tos.rtd",,$A$2,"."&amp;X$135&amp;X$1&amp;"P"&amp;$A160)="N/A",0,RTD("tos.rtd",,$A$2,"."&amp;X$135&amp;X$1&amp;"P"&amp;$A160))</f>
        <v>0</v>
      </c>
      <c r="Y160" s="98">
        <f t="shared" ca="1" si="13"/>
        <v>-26</v>
      </c>
      <c r="Z160" s="91"/>
      <c r="AA160" s="91"/>
    </row>
    <row r="161" spans="1:27" x14ac:dyDescent="0.25">
      <c r="A161" s="93">
        <f>+Hoja1!A160</f>
        <v>19975</v>
      </c>
      <c r="B161" s="91">
        <f ca="1">IF(RTD("tos.rtd",,$A$2,"."&amp;B$135&amp;B$1&amp;"C"&amp;$A161)="N/A",0,RTD("tos.rtd",,$A$2,"."&amp;B$135&amp;B$1&amp;"C"&amp;$A161))-IF(RTD("tos.rtd",,$A$2,"."&amp;B$135&amp;B$1&amp;"P"&amp;$A161)="N/A",0,RTD("tos.rtd",,$A$2,"."&amp;B$135&amp;B$1&amp;"P"&amp;$A161))</f>
        <v>0</v>
      </c>
      <c r="C161" s="91">
        <f ca="1">IF(RTD("tos.rtd",,$A$2,"."&amp;C$135&amp;C$1&amp;"C"&amp;$A161)="N/A",0,RTD("tos.rtd",,$A$2,"."&amp;C$135&amp;C$1&amp;"C"&amp;$A161))-IF(RTD("tos.rtd",,$A$2,"."&amp;C$135&amp;C$1&amp;"P"&amp;$A161)="N/A",0,RTD("tos.rtd",,$A$2,"."&amp;C$135&amp;C$1&amp;"P"&amp;$A161))</f>
        <v>0</v>
      </c>
      <c r="D161" s="91">
        <f ca="1">IF(RTD("tos.rtd",,$A$2,"."&amp;D$135&amp;D$1&amp;"C"&amp;$A161)="N/A",0,RTD("tos.rtd",,$A$2,"."&amp;D$135&amp;D$1&amp;"C"&amp;$A161))-IF(RTD("tos.rtd",,$A$2,"."&amp;D$135&amp;D$1&amp;"P"&amp;$A161)="N/A",0,RTD("tos.rtd",,$A$2,"."&amp;D$135&amp;D$1&amp;"P"&amp;$A161))</f>
        <v>0</v>
      </c>
      <c r="E161" s="91">
        <f ca="1">IF(RTD("tos.rtd",,$A$2,"."&amp;E$135&amp;E$1&amp;"C"&amp;$A161)="N/A",0,RTD("tos.rtd",,$A$2,"."&amp;E$135&amp;E$1&amp;"C"&amp;$A161))-IF(RTD("tos.rtd",,$A$2,"."&amp;E$135&amp;E$1&amp;"P"&amp;$A161)="N/A",0,RTD("tos.rtd",,$A$2,"."&amp;E$135&amp;E$1&amp;"P"&amp;$A161))</f>
        <v>0</v>
      </c>
      <c r="F161" s="91">
        <f ca="1">IF(RTD("tos.rtd",,$A$2,"."&amp;F$135&amp;F$1&amp;"C"&amp;$A161)="N/A",0,RTD("tos.rtd",,$A$2,"."&amp;F$135&amp;F$1&amp;"C"&amp;$A161))-IF(RTD("tos.rtd",,$A$2,"."&amp;F$135&amp;F$1&amp;"P"&amp;$A161)="N/A",0,RTD("tos.rtd",,$A$2,"."&amp;F$135&amp;F$1&amp;"P"&amp;$A161))</f>
        <v>0</v>
      </c>
      <c r="G161" s="91">
        <f ca="1">IF(RTD("tos.rtd",,$A$2,"."&amp;G$135&amp;G$1&amp;"C"&amp;$A161)="N/A",0,RTD("tos.rtd",,$A$2,"."&amp;G$135&amp;G$1&amp;"C"&amp;$A161))-IF(RTD("tos.rtd",,$A$2,"."&amp;G$135&amp;G$1&amp;"P"&amp;$A161)="N/A",0,RTD("tos.rtd",,$A$2,"."&amp;G$135&amp;G$1&amp;"P"&amp;$A161))</f>
        <v>0</v>
      </c>
      <c r="H161" s="91">
        <f ca="1">IF(RTD("tos.rtd",,$A$2,"."&amp;H$135&amp;H$1&amp;"C"&amp;$A161)="N/A",0,RTD("tos.rtd",,$A$2,"."&amp;H$135&amp;H$1&amp;"C"&amp;$A161))-IF(RTD("tos.rtd",,$A$2,"."&amp;H$135&amp;H$1&amp;"P"&amp;$A161)="N/A",0,RTD("tos.rtd",,$A$2,"."&amp;H$135&amp;H$1&amp;"P"&amp;$A161))</f>
        <v>0</v>
      </c>
      <c r="I161" s="91">
        <f ca="1">IF(RTD("tos.rtd",,$A$2,"."&amp;I$135&amp;I$1&amp;"C"&amp;$A161)="N/A",0,RTD("tos.rtd",,$A$2,"."&amp;I$135&amp;I$1&amp;"C"&amp;$A161))-IF(RTD("tos.rtd",,$A$2,"."&amp;I$135&amp;I$1&amp;"P"&amp;$A161)="N/A",0,RTD("tos.rtd",,$A$2,"."&amp;I$135&amp;I$1&amp;"P"&amp;$A161))</f>
        <v>0</v>
      </c>
      <c r="J161" s="91">
        <f ca="1">IF(RTD("tos.rtd",,$A$2,"."&amp;J$135&amp;J$1&amp;"C"&amp;$A161)="N/A",0,RTD("tos.rtd",,$A$2,"."&amp;J$135&amp;J$1&amp;"C"&amp;$A161))-IF(RTD("tos.rtd",,$A$2,"."&amp;J$135&amp;J$1&amp;"P"&amp;$A161)="N/A",0,RTD("tos.rtd",,$A$2,"."&amp;J$135&amp;J$1&amp;"P"&amp;$A161))</f>
        <v>0</v>
      </c>
      <c r="K161" s="91">
        <f ca="1">IF(RTD("tos.rtd",,$A$2,"."&amp;K$135&amp;K$1&amp;"C"&amp;$A161)="N/A",0,RTD("tos.rtd",,$A$2,"."&amp;K$135&amp;K$1&amp;"C"&amp;$A161))-IF(RTD("tos.rtd",,$A$2,"."&amp;K$135&amp;K$1&amp;"P"&amp;$A161)="N/A",0,RTD("tos.rtd",,$A$2,"."&amp;K$135&amp;K$1&amp;"P"&amp;$A161))</f>
        <v>-4</v>
      </c>
      <c r="L161" s="91">
        <f ca="1">IF(RTD("tos.rtd",,$A$2,"."&amp;L$135&amp;L$1&amp;"C"&amp;$A161)="N/A",0,RTD("tos.rtd",,$A$2,"."&amp;L$135&amp;L$1&amp;"C"&amp;$A161))-IF(RTD("tos.rtd",,$A$2,"."&amp;L$135&amp;L$1&amp;"P"&amp;$A161)="N/A",0,RTD("tos.rtd",,$A$2,"."&amp;L$135&amp;L$1&amp;"P"&amp;$A161))</f>
        <v>0</v>
      </c>
      <c r="M161" s="91">
        <f ca="1">IF(RTD("tos.rtd",,$A$2,"."&amp;M$135&amp;M$1&amp;"C"&amp;$A161)="N/A",0,RTD("tos.rtd",,$A$2,"."&amp;M$135&amp;M$1&amp;"C"&amp;$A161))-IF(RTD("tos.rtd",,$A$2,"."&amp;M$135&amp;M$1&amp;"P"&amp;$A161)="N/A",0,RTD("tos.rtd",,$A$2,"."&amp;M$135&amp;M$1&amp;"P"&amp;$A161))</f>
        <v>0</v>
      </c>
      <c r="N161" s="91">
        <f ca="1">IF(RTD("tos.rtd",,$A$2,"."&amp;N$135&amp;N$1&amp;"C"&amp;$A161)="N/A",0,RTD("tos.rtd",,$A$2,"."&amp;N$135&amp;N$1&amp;"C"&amp;$A161))-IF(RTD("tos.rtd",,$A$2,"."&amp;N$135&amp;N$1&amp;"P"&amp;$A161)="N/A",0,RTD("tos.rtd",,$A$2,"."&amp;N$135&amp;N$1&amp;"P"&amp;$A161))</f>
        <v>0</v>
      </c>
      <c r="O161" s="91">
        <f ca="1">IF(RTD("tos.rtd",,$A$2,"."&amp;O$135&amp;O$1&amp;"C"&amp;$A161)="N/A",0,RTD("tos.rtd",,$A$2,"."&amp;O$135&amp;O$1&amp;"C"&amp;$A161))-IF(RTD("tos.rtd",,$A$2,"."&amp;O$135&amp;O$1&amp;"P"&amp;$A161)="N/A",0,RTD("tos.rtd",,$A$2,"."&amp;O$135&amp;O$1&amp;"P"&amp;$A161))</f>
        <v>0</v>
      </c>
      <c r="P161" s="91">
        <f ca="1">IF(RTD("tos.rtd",,$A$2,"."&amp;P$135&amp;P$1&amp;"C"&amp;$A161)="N/A",0,RTD("tos.rtd",,$A$2,"."&amp;P$135&amp;P$1&amp;"C"&amp;$A161))-IF(RTD("tos.rtd",,$A$2,"."&amp;P$135&amp;P$1&amp;"P"&amp;$A161)="N/A",0,RTD("tos.rtd",,$A$2,"."&amp;P$135&amp;P$1&amp;"P"&amp;$A161))</f>
        <v>0</v>
      </c>
      <c r="Q161" s="91">
        <f ca="1">IF(RTD("tos.rtd",,$A$2,"."&amp;Q$135&amp;Q$1&amp;"C"&amp;$A161)="N/A",0,RTD("tos.rtd",,$A$2,"."&amp;Q$135&amp;Q$1&amp;"C"&amp;$A161))-IF(RTD("tos.rtd",,$A$2,"."&amp;Q$135&amp;Q$1&amp;"P"&amp;$A161)="N/A",0,RTD("tos.rtd",,$A$2,"."&amp;Q$135&amp;Q$1&amp;"P"&amp;$A161))</f>
        <v>0</v>
      </c>
      <c r="R161" s="91">
        <f ca="1">IF(RTD("tos.rtd",,$A$2,"."&amp;R$135&amp;R$1&amp;"C"&amp;$A161)="N/A",0,RTD("tos.rtd",,$A$2,"."&amp;R$135&amp;R$1&amp;"C"&amp;$A161))-IF(RTD("tos.rtd",,$A$2,"."&amp;R$135&amp;R$1&amp;"P"&amp;$A161)="N/A",0,RTD("tos.rtd",,$A$2,"."&amp;R$135&amp;R$1&amp;"P"&amp;$A161))</f>
        <v>0</v>
      </c>
      <c r="S161" s="91">
        <f ca="1">IF(RTD("tos.rtd",,$A$2,"."&amp;S$135&amp;S$1&amp;"C"&amp;$A161)="N/A",0,RTD("tos.rtd",,$A$2,"."&amp;S$135&amp;S$1&amp;"C"&amp;$A161))-IF(RTD("tos.rtd",,$A$2,"."&amp;S$135&amp;S$1&amp;"P"&amp;$A161)="N/A",0,RTD("tos.rtd",,$A$2,"."&amp;S$135&amp;S$1&amp;"P"&amp;$A161))</f>
        <v>0</v>
      </c>
      <c r="T161" s="91">
        <f ca="1">IF(RTD("tos.rtd",,$A$2,"."&amp;T$135&amp;T$1&amp;"C"&amp;$A161)="N/A",0,RTD("tos.rtd",,$A$2,"."&amp;T$135&amp;T$1&amp;"C"&amp;$A161))-IF(RTD("tos.rtd",,$A$2,"."&amp;T$135&amp;T$1&amp;"P"&amp;$A161)="N/A",0,RTD("tos.rtd",,$A$2,"."&amp;T$135&amp;T$1&amp;"P"&amp;$A161))</f>
        <v>0</v>
      </c>
      <c r="U161" s="91">
        <f ca="1">IF(RTD("tos.rtd",,$A$2,"."&amp;U$135&amp;U$1&amp;"C"&amp;$A161)="N/A",0,RTD("tos.rtd",,$A$2,"."&amp;U$135&amp;U$1&amp;"C"&amp;$A161))-IF(RTD("tos.rtd",,$A$2,"."&amp;U$135&amp;U$1&amp;"P"&amp;$A161)="N/A",0,RTD("tos.rtd",,$A$2,"."&amp;U$135&amp;U$1&amp;"P"&amp;$A161))</f>
        <v>0</v>
      </c>
      <c r="V161" s="91">
        <f ca="1">IF(RTD("tos.rtd",,$A$2,"."&amp;V$135&amp;V$1&amp;"C"&amp;$A161)="N/A",0,RTD("tos.rtd",,$A$2,"."&amp;V$135&amp;V$1&amp;"C"&amp;$A161))-IF(RTD("tos.rtd",,$A$2,"."&amp;V$135&amp;V$1&amp;"P"&amp;$A161)="N/A",0,RTD("tos.rtd",,$A$2,"."&amp;V$135&amp;V$1&amp;"P"&amp;$A161))</f>
        <v>0</v>
      </c>
      <c r="W161" s="91">
        <f ca="1">IF(RTD("tos.rtd",,$A$2,"."&amp;W$135&amp;W$1&amp;"C"&amp;$A161)="N/A",0,RTD("tos.rtd",,$A$2,"."&amp;W$135&amp;W$1&amp;"C"&amp;$A161))-IF(RTD("tos.rtd",,$A$2,"."&amp;W$135&amp;W$1&amp;"P"&amp;$A161)="N/A",0,RTD("tos.rtd",,$A$2,"."&amp;W$135&amp;W$1&amp;"P"&amp;$A161))</f>
        <v>0</v>
      </c>
      <c r="X161" s="91">
        <f ca="1">IF(RTD("tos.rtd",,$A$2,"."&amp;X$135&amp;X$1&amp;"C"&amp;$A161)="N/A",0,RTD("tos.rtd",,$A$2,"."&amp;X$135&amp;X$1&amp;"C"&amp;$A161))-IF(RTD("tos.rtd",,$A$2,"."&amp;X$135&amp;X$1&amp;"P"&amp;$A161)="N/A",0,RTD("tos.rtd",,$A$2,"."&amp;X$135&amp;X$1&amp;"P"&amp;$A161))</f>
        <v>0</v>
      </c>
      <c r="Y161" s="98">
        <f t="shared" ca="1" si="13"/>
        <v>-4</v>
      </c>
      <c r="Z161" s="91"/>
      <c r="AA161" s="91"/>
    </row>
    <row r="162" spans="1:27" x14ac:dyDescent="0.25">
      <c r="A162" s="93">
        <f>+Hoja1!A161</f>
        <v>19950</v>
      </c>
      <c r="B162" s="91">
        <f ca="1">IF(RTD("tos.rtd",,$A$2,"."&amp;B$135&amp;B$1&amp;"C"&amp;$A162)="N/A",0,RTD("tos.rtd",,$A$2,"."&amp;B$135&amp;B$1&amp;"C"&amp;$A162))-IF(RTD("tos.rtd",,$A$2,"."&amp;B$135&amp;B$1&amp;"P"&amp;$A162)="N/A",0,RTD("tos.rtd",,$A$2,"."&amp;B$135&amp;B$1&amp;"P"&amp;$A162))</f>
        <v>0</v>
      </c>
      <c r="C162" s="91">
        <f ca="1">IF(RTD("tos.rtd",,$A$2,"."&amp;C$135&amp;C$1&amp;"C"&amp;$A162)="N/A",0,RTD("tos.rtd",,$A$2,"."&amp;C$135&amp;C$1&amp;"C"&amp;$A162))-IF(RTD("tos.rtd",,$A$2,"."&amp;C$135&amp;C$1&amp;"P"&amp;$A162)="N/A",0,RTD("tos.rtd",,$A$2,"."&amp;C$135&amp;C$1&amp;"P"&amp;$A162))</f>
        <v>0</v>
      </c>
      <c r="D162" s="91">
        <f ca="1">IF(RTD("tos.rtd",,$A$2,"."&amp;D$135&amp;D$1&amp;"C"&amp;$A162)="N/A",0,RTD("tos.rtd",,$A$2,"."&amp;D$135&amp;D$1&amp;"C"&amp;$A162))-IF(RTD("tos.rtd",,$A$2,"."&amp;D$135&amp;D$1&amp;"P"&amp;$A162)="N/A",0,RTD("tos.rtd",,$A$2,"."&amp;D$135&amp;D$1&amp;"P"&amp;$A162))</f>
        <v>0</v>
      </c>
      <c r="E162" s="91">
        <f ca="1">IF(RTD("tos.rtd",,$A$2,"."&amp;E$135&amp;E$1&amp;"C"&amp;$A162)="N/A",0,RTD("tos.rtd",,$A$2,"."&amp;E$135&amp;E$1&amp;"C"&amp;$A162))-IF(RTD("tos.rtd",,$A$2,"."&amp;E$135&amp;E$1&amp;"P"&amp;$A162)="N/A",0,RTD("tos.rtd",,$A$2,"."&amp;E$135&amp;E$1&amp;"P"&amp;$A162))</f>
        <v>0</v>
      </c>
      <c r="F162" s="91">
        <f ca="1">IF(RTD("tos.rtd",,$A$2,"."&amp;F$135&amp;F$1&amp;"C"&amp;$A162)="N/A",0,RTD("tos.rtd",,$A$2,"."&amp;F$135&amp;F$1&amp;"C"&amp;$A162))-IF(RTD("tos.rtd",,$A$2,"."&amp;F$135&amp;F$1&amp;"P"&amp;$A162)="N/A",0,RTD("tos.rtd",,$A$2,"."&amp;F$135&amp;F$1&amp;"P"&amp;$A162))</f>
        <v>0</v>
      </c>
      <c r="G162" s="91">
        <f ca="1">IF(RTD("tos.rtd",,$A$2,"."&amp;G$135&amp;G$1&amp;"C"&amp;$A162)="N/A",0,RTD("tos.rtd",,$A$2,"."&amp;G$135&amp;G$1&amp;"C"&amp;$A162))-IF(RTD("tos.rtd",,$A$2,"."&amp;G$135&amp;G$1&amp;"P"&amp;$A162)="N/A",0,RTD("tos.rtd",,$A$2,"."&amp;G$135&amp;G$1&amp;"P"&amp;$A162))</f>
        <v>0</v>
      </c>
      <c r="H162" s="91">
        <f ca="1">IF(RTD("tos.rtd",,$A$2,"."&amp;H$135&amp;H$1&amp;"C"&amp;$A162)="N/A",0,RTD("tos.rtd",,$A$2,"."&amp;H$135&amp;H$1&amp;"C"&amp;$A162))-IF(RTD("tos.rtd",,$A$2,"."&amp;H$135&amp;H$1&amp;"P"&amp;$A162)="N/A",0,RTD("tos.rtd",,$A$2,"."&amp;H$135&amp;H$1&amp;"P"&amp;$A162))</f>
        <v>0</v>
      </c>
      <c r="I162" s="91">
        <f ca="1">IF(RTD("tos.rtd",,$A$2,"."&amp;I$135&amp;I$1&amp;"C"&amp;$A162)="N/A",0,RTD("tos.rtd",,$A$2,"."&amp;I$135&amp;I$1&amp;"C"&amp;$A162))-IF(RTD("tos.rtd",,$A$2,"."&amp;I$135&amp;I$1&amp;"P"&amp;$A162)="N/A",0,RTD("tos.rtd",,$A$2,"."&amp;I$135&amp;I$1&amp;"P"&amp;$A162))</f>
        <v>-2</v>
      </c>
      <c r="J162" s="91">
        <f ca="1">IF(RTD("tos.rtd",,$A$2,"."&amp;J$135&amp;J$1&amp;"C"&amp;$A162)="N/A",0,RTD("tos.rtd",,$A$2,"."&amp;J$135&amp;J$1&amp;"C"&amp;$A162))-IF(RTD("tos.rtd",,$A$2,"."&amp;J$135&amp;J$1&amp;"P"&amp;$A162)="N/A",0,RTD("tos.rtd",,$A$2,"."&amp;J$135&amp;J$1&amp;"P"&amp;$A162))</f>
        <v>-2</v>
      </c>
      <c r="K162" s="91">
        <f ca="1">IF(RTD("tos.rtd",,$A$2,"."&amp;K$135&amp;K$1&amp;"C"&amp;$A162)="N/A",0,RTD("tos.rtd",,$A$2,"."&amp;K$135&amp;K$1&amp;"C"&amp;$A162))-IF(RTD("tos.rtd",,$A$2,"."&amp;K$135&amp;K$1&amp;"P"&amp;$A162)="N/A",0,RTD("tos.rtd",,$A$2,"."&amp;K$135&amp;K$1&amp;"P"&amp;$A162))</f>
        <v>-2</v>
      </c>
      <c r="L162" s="91">
        <f ca="1">IF(RTD("tos.rtd",,$A$2,"."&amp;L$135&amp;L$1&amp;"C"&amp;$A162)="N/A",0,RTD("tos.rtd",,$A$2,"."&amp;L$135&amp;L$1&amp;"C"&amp;$A162))-IF(RTD("tos.rtd",,$A$2,"."&amp;L$135&amp;L$1&amp;"P"&amp;$A162)="N/A",0,RTD("tos.rtd",,$A$2,"."&amp;L$135&amp;L$1&amp;"P"&amp;$A162))</f>
        <v>1</v>
      </c>
      <c r="M162" s="91">
        <f ca="1">IF(RTD("tos.rtd",,$A$2,"."&amp;M$135&amp;M$1&amp;"C"&amp;$A162)="N/A",0,RTD("tos.rtd",,$A$2,"."&amp;M$135&amp;M$1&amp;"C"&amp;$A162))-IF(RTD("tos.rtd",,$A$2,"."&amp;M$135&amp;M$1&amp;"P"&amp;$A162)="N/A",0,RTD("tos.rtd",,$A$2,"."&amp;M$135&amp;M$1&amp;"P"&amp;$A162))</f>
        <v>0</v>
      </c>
      <c r="N162" s="91">
        <f ca="1">IF(RTD("tos.rtd",,$A$2,"."&amp;N$135&amp;N$1&amp;"C"&amp;$A162)="N/A",0,RTD("tos.rtd",,$A$2,"."&amp;N$135&amp;N$1&amp;"C"&amp;$A162))-IF(RTD("tos.rtd",,$A$2,"."&amp;N$135&amp;N$1&amp;"P"&amp;$A162)="N/A",0,RTD("tos.rtd",,$A$2,"."&amp;N$135&amp;N$1&amp;"P"&amp;$A162))</f>
        <v>0</v>
      </c>
      <c r="O162" s="91">
        <f ca="1">IF(RTD("tos.rtd",,$A$2,"."&amp;O$135&amp;O$1&amp;"C"&amp;$A162)="N/A",0,RTD("tos.rtd",,$A$2,"."&amp;O$135&amp;O$1&amp;"C"&amp;$A162))-IF(RTD("tos.rtd",,$A$2,"."&amp;O$135&amp;O$1&amp;"P"&amp;$A162)="N/A",0,RTD("tos.rtd",,$A$2,"."&amp;O$135&amp;O$1&amp;"P"&amp;$A162))</f>
        <v>0</v>
      </c>
      <c r="P162" s="91">
        <f ca="1">IF(RTD("tos.rtd",,$A$2,"."&amp;P$135&amp;P$1&amp;"C"&amp;$A162)="N/A",0,RTD("tos.rtd",,$A$2,"."&amp;P$135&amp;P$1&amp;"C"&amp;$A162))-IF(RTD("tos.rtd",,$A$2,"."&amp;P$135&amp;P$1&amp;"P"&amp;$A162)="N/A",0,RTD("tos.rtd",,$A$2,"."&amp;P$135&amp;P$1&amp;"P"&amp;$A162))</f>
        <v>0</v>
      </c>
      <c r="Q162" s="91">
        <f ca="1">IF(RTD("tos.rtd",,$A$2,"."&amp;Q$135&amp;Q$1&amp;"C"&amp;$A162)="N/A",0,RTD("tos.rtd",,$A$2,"."&amp;Q$135&amp;Q$1&amp;"C"&amp;$A162))-IF(RTD("tos.rtd",,$A$2,"."&amp;Q$135&amp;Q$1&amp;"P"&amp;$A162)="N/A",0,RTD("tos.rtd",,$A$2,"."&amp;Q$135&amp;Q$1&amp;"P"&amp;$A162))</f>
        <v>0</v>
      </c>
      <c r="R162" s="91">
        <f ca="1">IF(RTD("tos.rtd",,$A$2,"."&amp;R$135&amp;R$1&amp;"C"&amp;$A162)="N/A",0,RTD("tos.rtd",,$A$2,"."&amp;R$135&amp;R$1&amp;"C"&amp;$A162))-IF(RTD("tos.rtd",,$A$2,"."&amp;R$135&amp;R$1&amp;"P"&amp;$A162)="N/A",0,RTD("tos.rtd",,$A$2,"."&amp;R$135&amp;R$1&amp;"P"&amp;$A162))</f>
        <v>0</v>
      </c>
      <c r="S162" s="91">
        <f ca="1">IF(RTD("tos.rtd",,$A$2,"."&amp;S$135&amp;S$1&amp;"C"&amp;$A162)="N/A",0,RTD("tos.rtd",,$A$2,"."&amp;S$135&amp;S$1&amp;"C"&amp;$A162))-IF(RTD("tos.rtd",,$A$2,"."&amp;S$135&amp;S$1&amp;"P"&amp;$A162)="N/A",0,RTD("tos.rtd",,$A$2,"."&amp;S$135&amp;S$1&amp;"P"&amp;$A162))</f>
        <v>0</v>
      </c>
      <c r="T162" s="91">
        <f ca="1">IF(RTD("tos.rtd",,$A$2,"."&amp;T$135&amp;T$1&amp;"C"&amp;$A162)="N/A",0,RTD("tos.rtd",,$A$2,"."&amp;T$135&amp;T$1&amp;"C"&amp;$A162))-IF(RTD("tos.rtd",,$A$2,"."&amp;T$135&amp;T$1&amp;"P"&amp;$A162)="N/A",0,RTD("tos.rtd",,$A$2,"."&amp;T$135&amp;T$1&amp;"P"&amp;$A162))</f>
        <v>0</v>
      </c>
      <c r="U162" s="91">
        <f ca="1">IF(RTD("tos.rtd",,$A$2,"."&amp;U$135&amp;U$1&amp;"C"&amp;$A162)="N/A",0,RTD("tos.rtd",,$A$2,"."&amp;U$135&amp;U$1&amp;"C"&amp;$A162))-IF(RTD("tos.rtd",,$A$2,"."&amp;U$135&amp;U$1&amp;"P"&amp;$A162)="N/A",0,RTD("tos.rtd",,$A$2,"."&amp;U$135&amp;U$1&amp;"P"&amp;$A162))</f>
        <v>0</v>
      </c>
      <c r="V162" s="91">
        <f ca="1">IF(RTD("tos.rtd",,$A$2,"."&amp;V$135&amp;V$1&amp;"C"&amp;$A162)="N/A",0,RTD("tos.rtd",,$A$2,"."&amp;V$135&amp;V$1&amp;"C"&amp;$A162))-IF(RTD("tos.rtd",,$A$2,"."&amp;V$135&amp;V$1&amp;"P"&amp;$A162)="N/A",0,RTD("tos.rtd",,$A$2,"."&amp;V$135&amp;V$1&amp;"P"&amp;$A162))</f>
        <v>0</v>
      </c>
      <c r="W162" s="91">
        <f ca="1">IF(RTD("tos.rtd",,$A$2,"."&amp;W$135&amp;W$1&amp;"C"&amp;$A162)="N/A",0,RTD("tos.rtd",,$A$2,"."&amp;W$135&amp;W$1&amp;"C"&amp;$A162))-IF(RTD("tos.rtd",,$A$2,"."&amp;W$135&amp;W$1&amp;"P"&amp;$A162)="N/A",0,RTD("tos.rtd",,$A$2,"."&amp;W$135&amp;W$1&amp;"P"&amp;$A162))</f>
        <v>0</v>
      </c>
      <c r="X162" s="91">
        <f ca="1">IF(RTD("tos.rtd",,$A$2,"."&amp;X$135&amp;X$1&amp;"C"&amp;$A162)="N/A",0,RTD("tos.rtd",,$A$2,"."&amp;X$135&amp;X$1&amp;"C"&amp;$A162))-IF(RTD("tos.rtd",,$A$2,"."&amp;X$135&amp;X$1&amp;"P"&amp;$A162)="N/A",0,RTD("tos.rtd",,$A$2,"."&amp;X$135&amp;X$1&amp;"P"&amp;$A162))</f>
        <v>0</v>
      </c>
      <c r="Y162" s="98">
        <f t="shared" ca="1" si="13"/>
        <v>-5</v>
      </c>
      <c r="Z162" s="91"/>
      <c r="AA162" s="91"/>
    </row>
    <row r="163" spans="1:27" x14ac:dyDescent="0.25">
      <c r="A163" s="93">
        <f>+Hoja1!A162</f>
        <v>19925</v>
      </c>
      <c r="B163" s="91">
        <f ca="1">IF(RTD("tos.rtd",,$A$2,"."&amp;B$135&amp;B$1&amp;"C"&amp;$A163)="N/A",0,RTD("tos.rtd",,$A$2,"."&amp;B$135&amp;B$1&amp;"C"&amp;$A163))-IF(RTD("tos.rtd",,$A$2,"."&amp;B$135&amp;B$1&amp;"P"&amp;$A163)="N/A",0,RTD("tos.rtd",,$A$2,"."&amp;B$135&amp;B$1&amp;"P"&amp;$A163))</f>
        <v>0</v>
      </c>
      <c r="C163" s="91">
        <f ca="1">IF(RTD("tos.rtd",,$A$2,"."&amp;C$135&amp;C$1&amp;"C"&amp;$A163)="N/A",0,RTD("tos.rtd",,$A$2,"."&amp;C$135&amp;C$1&amp;"C"&amp;$A163))-IF(RTD("tos.rtd",,$A$2,"."&amp;C$135&amp;C$1&amp;"P"&amp;$A163)="N/A",0,RTD("tos.rtd",,$A$2,"."&amp;C$135&amp;C$1&amp;"P"&amp;$A163))</f>
        <v>0</v>
      </c>
      <c r="D163" s="91">
        <f ca="1">IF(RTD("tos.rtd",,$A$2,"."&amp;D$135&amp;D$1&amp;"C"&amp;$A163)="N/A",0,RTD("tos.rtd",,$A$2,"."&amp;D$135&amp;D$1&amp;"C"&amp;$A163))-IF(RTD("tos.rtd",,$A$2,"."&amp;D$135&amp;D$1&amp;"P"&amp;$A163)="N/A",0,RTD("tos.rtd",,$A$2,"."&amp;D$135&amp;D$1&amp;"P"&amp;$A163))</f>
        <v>0</v>
      </c>
      <c r="E163" s="91">
        <f ca="1">IF(RTD("tos.rtd",,$A$2,"."&amp;E$135&amp;E$1&amp;"C"&amp;$A163)="N/A",0,RTD("tos.rtd",,$A$2,"."&amp;E$135&amp;E$1&amp;"C"&amp;$A163))-IF(RTD("tos.rtd",,$A$2,"."&amp;E$135&amp;E$1&amp;"P"&amp;$A163)="N/A",0,RTD("tos.rtd",,$A$2,"."&amp;E$135&amp;E$1&amp;"P"&amp;$A163))</f>
        <v>0</v>
      </c>
      <c r="F163" s="91">
        <f ca="1">IF(RTD("tos.rtd",,$A$2,"."&amp;F$135&amp;F$1&amp;"C"&amp;$A163)="N/A",0,RTD("tos.rtd",,$A$2,"."&amp;F$135&amp;F$1&amp;"C"&amp;$A163))-IF(RTD("tos.rtd",,$A$2,"."&amp;F$135&amp;F$1&amp;"P"&amp;$A163)="N/A",0,RTD("tos.rtd",,$A$2,"."&amp;F$135&amp;F$1&amp;"P"&amp;$A163))</f>
        <v>0</v>
      </c>
      <c r="G163" s="91">
        <f ca="1">IF(RTD("tos.rtd",,$A$2,"."&amp;G$135&amp;G$1&amp;"C"&amp;$A163)="N/A",0,RTD("tos.rtd",,$A$2,"."&amp;G$135&amp;G$1&amp;"C"&amp;$A163))-IF(RTD("tos.rtd",,$A$2,"."&amp;G$135&amp;G$1&amp;"P"&amp;$A163)="N/A",0,RTD("tos.rtd",,$A$2,"."&amp;G$135&amp;G$1&amp;"P"&amp;$A163))</f>
        <v>0</v>
      </c>
      <c r="H163" s="91">
        <f ca="1">IF(RTD("tos.rtd",,$A$2,"."&amp;H$135&amp;H$1&amp;"C"&amp;$A163)="N/A",0,RTD("tos.rtd",,$A$2,"."&amp;H$135&amp;H$1&amp;"C"&amp;$A163))-IF(RTD("tos.rtd",,$A$2,"."&amp;H$135&amp;H$1&amp;"P"&amp;$A163)="N/A",0,RTD("tos.rtd",,$A$2,"."&amp;H$135&amp;H$1&amp;"P"&amp;$A163))</f>
        <v>0</v>
      </c>
      <c r="I163" s="91">
        <f ca="1">IF(RTD("tos.rtd",,$A$2,"."&amp;I$135&amp;I$1&amp;"C"&amp;$A163)="N/A",0,RTD("tos.rtd",,$A$2,"."&amp;I$135&amp;I$1&amp;"C"&amp;$A163))-IF(RTD("tos.rtd",,$A$2,"."&amp;I$135&amp;I$1&amp;"P"&amp;$A163)="N/A",0,RTD("tos.rtd",,$A$2,"."&amp;I$135&amp;I$1&amp;"P"&amp;$A163))</f>
        <v>0</v>
      </c>
      <c r="J163" s="91">
        <f ca="1">IF(RTD("tos.rtd",,$A$2,"."&amp;J$135&amp;J$1&amp;"C"&amp;$A163)="N/A",0,RTD("tos.rtd",,$A$2,"."&amp;J$135&amp;J$1&amp;"C"&amp;$A163))-IF(RTD("tos.rtd",,$A$2,"."&amp;J$135&amp;J$1&amp;"P"&amp;$A163)="N/A",0,RTD("tos.rtd",,$A$2,"."&amp;J$135&amp;J$1&amp;"P"&amp;$A163))</f>
        <v>0</v>
      </c>
      <c r="K163" s="91">
        <f ca="1">IF(RTD("tos.rtd",,$A$2,"."&amp;K$135&amp;K$1&amp;"C"&amp;$A163)="N/A",0,RTD("tos.rtd",,$A$2,"."&amp;K$135&amp;K$1&amp;"C"&amp;$A163))-IF(RTD("tos.rtd",,$A$2,"."&amp;K$135&amp;K$1&amp;"P"&amp;$A163)="N/A",0,RTD("tos.rtd",,$A$2,"."&amp;K$135&amp;K$1&amp;"P"&amp;$A163))</f>
        <v>-4</v>
      </c>
      <c r="L163" s="91">
        <f ca="1">IF(RTD("tos.rtd",,$A$2,"."&amp;L$135&amp;L$1&amp;"C"&amp;$A163)="N/A",0,RTD("tos.rtd",,$A$2,"."&amp;L$135&amp;L$1&amp;"C"&amp;$A163))-IF(RTD("tos.rtd",,$A$2,"."&amp;L$135&amp;L$1&amp;"P"&amp;$A163)="N/A",0,RTD("tos.rtd",,$A$2,"."&amp;L$135&amp;L$1&amp;"P"&amp;$A163))</f>
        <v>0</v>
      </c>
      <c r="M163" s="91">
        <f ca="1">IF(RTD("tos.rtd",,$A$2,"."&amp;M$135&amp;M$1&amp;"C"&amp;$A163)="N/A",0,RTD("tos.rtd",,$A$2,"."&amp;M$135&amp;M$1&amp;"C"&amp;$A163))-IF(RTD("tos.rtd",,$A$2,"."&amp;M$135&amp;M$1&amp;"P"&amp;$A163)="N/A",0,RTD("tos.rtd",,$A$2,"."&amp;M$135&amp;M$1&amp;"P"&amp;$A163))</f>
        <v>0</v>
      </c>
      <c r="N163" s="91">
        <f ca="1">IF(RTD("tos.rtd",,$A$2,"."&amp;N$135&amp;N$1&amp;"C"&amp;$A163)="N/A",0,RTD("tos.rtd",,$A$2,"."&amp;N$135&amp;N$1&amp;"C"&amp;$A163))-IF(RTD("tos.rtd",,$A$2,"."&amp;N$135&amp;N$1&amp;"P"&amp;$A163)="N/A",0,RTD("tos.rtd",,$A$2,"."&amp;N$135&amp;N$1&amp;"P"&amp;$A163))</f>
        <v>0</v>
      </c>
      <c r="O163" s="91">
        <f ca="1">IF(RTD("tos.rtd",,$A$2,"."&amp;O$135&amp;O$1&amp;"C"&amp;$A163)="N/A",0,RTD("tos.rtd",,$A$2,"."&amp;O$135&amp;O$1&amp;"C"&amp;$A163))-IF(RTD("tos.rtd",,$A$2,"."&amp;O$135&amp;O$1&amp;"P"&amp;$A163)="N/A",0,RTD("tos.rtd",,$A$2,"."&amp;O$135&amp;O$1&amp;"P"&amp;$A163))</f>
        <v>0</v>
      </c>
      <c r="P163" s="91">
        <f ca="1">IF(RTD("tos.rtd",,$A$2,"."&amp;P$135&amp;P$1&amp;"C"&amp;$A163)="N/A",0,RTD("tos.rtd",,$A$2,"."&amp;P$135&amp;P$1&amp;"C"&amp;$A163))-IF(RTD("tos.rtd",,$A$2,"."&amp;P$135&amp;P$1&amp;"P"&amp;$A163)="N/A",0,RTD("tos.rtd",,$A$2,"."&amp;P$135&amp;P$1&amp;"P"&amp;$A163))</f>
        <v>0</v>
      </c>
      <c r="Q163" s="91">
        <f ca="1">IF(RTD("tos.rtd",,$A$2,"."&amp;Q$135&amp;Q$1&amp;"C"&amp;$A163)="N/A",0,RTD("tos.rtd",,$A$2,"."&amp;Q$135&amp;Q$1&amp;"C"&amp;$A163))-IF(RTD("tos.rtd",,$A$2,"."&amp;Q$135&amp;Q$1&amp;"P"&amp;$A163)="N/A",0,RTD("tos.rtd",,$A$2,"."&amp;Q$135&amp;Q$1&amp;"P"&amp;$A163))</f>
        <v>0</v>
      </c>
      <c r="R163" s="91">
        <f ca="1">IF(RTD("tos.rtd",,$A$2,"."&amp;R$135&amp;R$1&amp;"C"&amp;$A163)="N/A",0,RTD("tos.rtd",,$A$2,"."&amp;R$135&amp;R$1&amp;"C"&amp;$A163))-IF(RTD("tos.rtd",,$A$2,"."&amp;R$135&amp;R$1&amp;"P"&amp;$A163)="N/A",0,RTD("tos.rtd",,$A$2,"."&amp;R$135&amp;R$1&amp;"P"&amp;$A163))</f>
        <v>0</v>
      </c>
      <c r="S163" s="91">
        <f ca="1">IF(RTD("tos.rtd",,$A$2,"."&amp;S$135&amp;S$1&amp;"C"&amp;$A163)="N/A",0,RTD("tos.rtd",,$A$2,"."&amp;S$135&amp;S$1&amp;"C"&amp;$A163))-IF(RTD("tos.rtd",,$A$2,"."&amp;S$135&amp;S$1&amp;"P"&amp;$A163)="N/A",0,RTD("tos.rtd",,$A$2,"."&amp;S$135&amp;S$1&amp;"P"&amp;$A163))</f>
        <v>0</v>
      </c>
      <c r="T163" s="91">
        <f ca="1">IF(RTD("tos.rtd",,$A$2,"."&amp;T$135&amp;T$1&amp;"C"&amp;$A163)="N/A",0,RTD("tos.rtd",,$A$2,"."&amp;T$135&amp;T$1&amp;"C"&amp;$A163))-IF(RTD("tos.rtd",,$A$2,"."&amp;T$135&amp;T$1&amp;"P"&amp;$A163)="N/A",0,RTD("tos.rtd",,$A$2,"."&amp;T$135&amp;T$1&amp;"P"&amp;$A163))</f>
        <v>0</v>
      </c>
      <c r="U163" s="91">
        <f ca="1">IF(RTD("tos.rtd",,$A$2,"."&amp;U$135&amp;U$1&amp;"C"&amp;$A163)="N/A",0,RTD("tos.rtd",,$A$2,"."&amp;U$135&amp;U$1&amp;"C"&amp;$A163))-IF(RTD("tos.rtd",,$A$2,"."&amp;U$135&amp;U$1&amp;"P"&amp;$A163)="N/A",0,RTD("tos.rtd",,$A$2,"."&amp;U$135&amp;U$1&amp;"P"&amp;$A163))</f>
        <v>0</v>
      </c>
      <c r="V163" s="91">
        <f ca="1">IF(RTD("tos.rtd",,$A$2,"."&amp;V$135&amp;V$1&amp;"C"&amp;$A163)="N/A",0,RTD("tos.rtd",,$A$2,"."&amp;V$135&amp;V$1&amp;"C"&amp;$A163))-IF(RTD("tos.rtd",,$A$2,"."&amp;V$135&amp;V$1&amp;"P"&amp;$A163)="N/A",0,RTD("tos.rtd",,$A$2,"."&amp;V$135&amp;V$1&amp;"P"&amp;$A163))</f>
        <v>0</v>
      </c>
      <c r="W163" s="91">
        <f ca="1">IF(RTD("tos.rtd",,$A$2,"."&amp;W$135&amp;W$1&amp;"C"&amp;$A163)="N/A",0,RTD("tos.rtd",,$A$2,"."&amp;W$135&amp;W$1&amp;"C"&amp;$A163))-IF(RTD("tos.rtd",,$A$2,"."&amp;W$135&amp;W$1&amp;"P"&amp;$A163)="N/A",0,RTD("tos.rtd",,$A$2,"."&amp;W$135&amp;W$1&amp;"P"&amp;$A163))</f>
        <v>0</v>
      </c>
      <c r="X163" s="91">
        <f ca="1">IF(RTD("tos.rtd",,$A$2,"."&amp;X$135&amp;X$1&amp;"C"&amp;$A163)="N/A",0,RTD("tos.rtd",,$A$2,"."&amp;X$135&amp;X$1&amp;"C"&amp;$A163))-IF(RTD("tos.rtd",,$A$2,"."&amp;X$135&amp;X$1&amp;"P"&amp;$A163)="N/A",0,RTD("tos.rtd",,$A$2,"."&amp;X$135&amp;X$1&amp;"P"&amp;$A163))</f>
        <v>0</v>
      </c>
      <c r="Y163" s="98">
        <f t="shared" ca="1" si="13"/>
        <v>-4</v>
      </c>
      <c r="Z163" s="91"/>
      <c r="AA163" s="91"/>
    </row>
    <row r="164" spans="1:27" x14ac:dyDescent="0.25">
      <c r="A164" s="93">
        <f>+Hoja1!A163</f>
        <v>19900</v>
      </c>
      <c r="B164" s="91">
        <f ca="1">IF(RTD("tos.rtd",,$A$2,"."&amp;B$135&amp;B$1&amp;"C"&amp;$A164)="N/A",0,RTD("tos.rtd",,$A$2,"."&amp;B$135&amp;B$1&amp;"C"&amp;$A164))-IF(RTD("tos.rtd",,$A$2,"."&amp;B$135&amp;B$1&amp;"P"&amp;$A164)="N/A",0,RTD("tos.rtd",,$A$2,"."&amp;B$135&amp;B$1&amp;"P"&amp;$A164))</f>
        <v>0</v>
      </c>
      <c r="C164" s="91">
        <f ca="1">IF(RTD("tos.rtd",,$A$2,"."&amp;C$135&amp;C$1&amp;"C"&amp;$A164)="N/A",0,RTD("tos.rtd",,$A$2,"."&amp;C$135&amp;C$1&amp;"C"&amp;$A164))-IF(RTD("tos.rtd",,$A$2,"."&amp;C$135&amp;C$1&amp;"P"&amp;$A164)="N/A",0,RTD("tos.rtd",,$A$2,"."&amp;C$135&amp;C$1&amp;"P"&amp;$A164))</f>
        <v>0</v>
      </c>
      <c r="D164" s="91">
        <f ca="1">IF(RTD("tos.rtd",,$A$2,"."&amp;D$135&amp;D$1&amp;"C"&amp;$A164)="N/A",0,RTD("tos.rtd",,$A$2,"."&amp;D$135&amp;D$1&amp;"C"&amp;$A164))-IF(RTD("tos.rtd",,$A$2,"."&amp;D$135&amp;D$1&amp;"P"&amp;$A164)="N/A",0,RTD("tos.rtd",,$A$2,"."&amp;D$135&amp;D$1&amp;"P"&amp;$A164))</f>
        <v>0</v>
      </c>
      <c r="E164" s="91">
        <f ca="1">IF(RTD("tos.rtd",,$A$2,"."&amp;E$135&amp;E$1&amp;"C"&amp;$A164)="N/A",0,RTD("tos.rtd",,$A$2,"."&amp;E$135&amp;E$1&amp;"C"&amp;$A164))-IF(RTD("tos.rtd",,$A$2,"."&amp;E$135&amp;E$1&amp;"P"&amp;$A164)="N/A",0,RTD("tos.rtd",,$A$2,"."&amp;E$135&amp;E$1&amp;"P"&amp;$A164))</f>
        <v>0</v>
      </c>
      <c r="F164" s="91">
        <f ca="1">IF(RTD("tos.rtd",,$A$2,"."&amp;F$135&amp;F$1&amp;"C"&amp;$A164)="N/A",0,RTD("tos.rtd",,$A$2,"."&amp;F$135&amp;F$1&amp;"C"&amp;$A164))-IF(RTD("tos.rtd",,$A$2,"."&amp;F$135&amp;F$1&amp;"P"&amp;$A164)="N/A",0,RTD("tos.rtd",,$A$2,"."&amp;F$135&amp;F$1&amp;"P"&amp;$A164))</f>
        <v>0</v>
      </c>
      <c r="G164" s="91">
        <f ca="1">IF(RTD("tos.rtd",,$A$2,"."&amp;G$135&amp;G$1&amp;"C"&amp;$A164)="N/A",0,RTD("tos.rtd",,$A$2,"."&amp;G$135&amp;G$1&amp;"C"&amp;$A164))-IF(RTD("tos.rtd",,$A$2,"."&amp;G$135&amp;G$1&amp;"P"&amp;$A164)="N/A",0,RTD("tos.rtd",,$A$2,"."&amp;G$135&amp;G$1&amp;"P"&amp;$A164))</f>
        <v>0</v>
      </c>
      <c r="H164" s="91">
        <f ca="1">IF(RTD("tos.rtd",,$A$2,"."&amp;H$135&amp;H$1&amp;"C"&amp;$A164)="N/A",0,RTD("tos.rtd",,$A$2,"."&amp;H$135&amp;H$1&amp;"C"&amp;$A164))-IF(RTD("tos.rtd",,$A$2,"."&amp;H$135&amp;H$1&amp;"P"&amp;$A164)="N/A",0,RTD("tos.rtd",,$A$2,"."&amp;H$135&amp;H$1&amp;"P"&amp;$A164))</f>
        <v>0</v>
      </c>
      <c r="I164" s="91">
        <f ca="1">IF(RTD("tos.rtd",,$A$2,"."&amp;I$135&amp;I$1&amp;"C"&amp;$A164)="N/A",0,RTD("tos.rtd",,$A$2,"."&amp;I$135&amp;I$1&amp;"C"&amp;$A164))-IF(RTD("tos.rtd",,$A$2,"."&amp;I$135&amp;I$1&amp;"P"&amp;$A164)="N/A",0,RTD("tos.rtd",,$A$2,"."&amp;I$135&amp;I$1&amp;"P"&amp;$A164))</f>
        <v>-4</v>
      </c>
      <c r="J164" s="91">
        <f ca="1">IF(RTD("tos.rtd",,$A$2,"."&amp;J$135&amp;J$1&amp;"C"&amp;$A164)="N/A",0,RTD("tos.rtd",,$A$2,"."&amp;J$135&amp;J$1&amp;"C"&amp;$A164))-IF(RTD("tos.rtd",,$A$2,"."&amp;J$135&amp;J$1&amp;"P"&amp;$A164)="N/A",0,RTD("tos.rtd",,$A$2,"."&amp;J$135&amp;J$1&amp;"P"&amp;$A164))</f>
        <v>0</v>
      </c>
      <c r="K164" s="91">
        <f ca="1">IF(RTD("tos.rtd",,$A$2,"."&amp;K$135&amp;K$1&amp;"C"&amp;$A164)="N/A",0,RTD("tos.rtd",,$A$2,"."&amp;K$135&amp;K$1&amp;"C"&amp;$A164))-IF(RTD("tos.rtd",,$A$2,"."&amp;K$135&amp;K$1&amp;"P"&amp;$A164)="N/A",0,RTD("tos.rtd",,$A$2,"."&amp;K$135&amp;K$1&amp;"P"&amp;$A164))</f>
        <v>1</v>
      </c>
      <c r="L164" s="91">
        <f ca="1">IF(RTD("tos.rtd",,$A$2,"."&amp;L$135&amp;L$1&amp;"C"&amp;$A164)="N/A",0,RTD("tos.rtd",,$A$2,"."&amp;L$135&amp;L$1&amp;"C"&amp;$A164))-IF(RTD("tos.rtd",,$A$2,"."&amp;L$135&amp;L$1&amp;"P"&amp;$A164)="N/A",0,RTD("tos.rtd",,$A$2,"."&amp;L$135&amp;L$1&amp;"P"&amp;$A164))</f>
        <v>0</v>
      </c>
      <c r="M164" s="91">
        <f ca="1">IF(RTD("tos.rtd",,$A$2,"."&amp;M$135&amp;M$1&amp;"C"&amp;$A164)="N/A",0,RTD("tos.rtd",,$A$2,"."&amp;M$135&amp;M$1&amp;"C"&amp;$A164))-IF(RTD("tos.rtd",,$A$2,"."&amp;M$135&amp;M$1&amp;"P"&amp;$A164)="N/A",0,RTD("tos.rtd",,$A$2,"."&amp;M$135&amp;M$1&amp;"P"&amp;$A164))</f>
        <v>0</v>
      </c>
      <c r="N164" s="91">
        <f ca="1">IF(RTD("tos.rtd",,$A$2,"."&amp;N$135&amp;N$1&amp;"C"&amp;$A164)="N/A",0,RTD("tos.rtd",,$A$2,"."&amp;N$135&amp;N$1&amp;"C"&amp;$A164))-IF(RTD("tos.rtd",,$A$2,"."&amp;N$135&amp;N$1&amp;"P"&amp;$A164)="N/A",0,RTD("tos.rtd",,$A$2,"."&amp;N$135&amp;N$1&amp;"P"&amp;$A164))</f>
        <v>0</v>
      </c>
      <c r="O164" s="91">
        <f ca="1">IF(RTD("tos.rtd",,$A$2,"."&amp;O$135&amp;O$1&amp;"C"&amp;$A164)="N/A",0,RTD("tos.rtd",,$A$2,"."&amp;O$135&amp;O$1&amp;"C"&amp;$A164))-IF(RTD("tos.rtd",,$A$2,"."&amp;O$135&amp;O$1&amp;"P"&amp;$A164)="N/A",0,RTD("tos.rtd",,$A$2,"."&amp;O$135&amp;O$1&amp;"P"&amp;$A164))</f>
        <v>0</v>
      </c>
      <c r="P164" s="91">
        <f ca="1">IF(RTD("tos.rtd",,$A$2,"."&amp;P$135&amp;P$1&amp;"C"&amp;$A164)="N/A",0,RTD("tos.rtd",,$A$2,"."&amp;P$135&amp;P$1&amp;"C"&amp;$A164))-IF(RTD("tos.rtd",,$A$2,"."&amp;P$135&amp;P$1&amp;"P"&amp;$A164)="N/A",0,RTD("tos.rtd",,$A$2,"."&amp;P$135&amp;P$1&amp;"P"&amp;$A164))</f>
        <v>0</v>
      </c>
      <c r="Q164" s="91">
        <f ca="1">IF(RTD("tos.rtd",,$A$2,"."&amp;Q$135&amp;Q$1&amp;"C"&amp;$A164)="N/A",0,RTD("tos.rtd",,$A$2,"."&amp;Q$135&amp;Q$1&amp;"C"&amp;$A164))-IF(RTD("tos.rtd",,$A$2,"."&amp;Q$135&amp;Q$1&amp;"P"&amp;$A164)="N/A",0,RTD("tos.rtd",,$A$2,"."&amp;Q$135&amp;Q$1&amp;"P"&amp;$A164))</f>
        <v>0</v>
      </c>
      <c r="R164" s="91">
        <f ca="1">IF(RTD("tos.rtd",,$A$2,"."&amp;R$135&amp;R$1&amp;"C"&amp;$A164)="N/A",0,RTD("tos.rtd",,$A$2,"."&amp;R$135&amp;R$1&amp;"C"&amp;$A164))-IF(RTD("tos.rtd",,$A$2,"."&amp;R$135&amp;R$1&amp;"P"&amp;$A164)="N/A",0,RTD("tos.rtd",,$A$2,"."&amp;R$135&amp;R$1&amp;"P"&amp;$A164))</f>
        <v>0</v>
      </c>
      <c r="S164" s="91">
        <f ca="1">IF(RTD("tos.rtd",,$A$2,"."&amp;S$135&amp;S$1&amp;"C"&amp;$A164)="N/A",0,RTD("tos.rtd",,$A$2,"."&amp;S$135&amp;S$1&amp;"C"&amp;$A164))-IF(RTD("tos.rtd",,$A$2,"."&amp;S$135&amp;S$1&amp;"P"&amp;$A164)="N/A",0,RTD("tos.rtd",,$A$2,"."&amp;S$135&amp;S$1&amp;"P"&amp;$A164))</f>
        <v>0</v>
      </c>
      <c r="T164" s="91">
        <f ca="1">IF(RTD("tos.rtd",,$A$2,"."&amp;T$135&amp;T$1&amp;"C"&amp;$A164)="N/A",0,RTD("tos.rtd",,$A$2,"."&amp;T$135&amp;T$1&amp;"C"&amp;$A164))-IF(RTD("tos.rtd",,$A$2,"."&amp;T$135&amp;T$1&amp;"P"&amp;$A164)="N/A",0,RTD("tos.rtd",,$A$2,"."&amp;T$135&amp;T$1&amp;"P"&amp;$A164))</f>
        <v>0</v>
      </c>
      <c r="U164" s="91">
        <f ca="1">IF(RTD("tos.rtd",,$A$2,"."&amp;U$135&amp;U$1&amp;"C"&amp;$A164)="N/A",0,RTD("tos.rtd",,$A$2,"."&amp;U$135&amp;U$1&amp;"C"&amp;$A164))-IF(RTD("tos.rtd",,$A$2,"."&amp;U$135&amp;U$1&amp;"P"&amp;$A164)="N/A",0,RTD("tos.rtd",,$A$2,"."&amp;U$135&amp;U$1&amp;"P"&amp;$A164))</f>
        <v>0</v>
      </c>
      <c r="V164" s="91">
        <f ca="1">IF(RTD("tos.rtd",,$A$2,"."&amp;V$135&amp;V$1&amp;"C"&amp;$A164)="N/A",0,RTD("tos.rtd",,$A$2,"."&amp;V$135&amp;V$1&amp;"C"&amp;$A164))-IF(RTD("tos.rtd",,$A$2,"."&amp;V$135&amp;V$1&amp;"P"&amp;$A164)="N/A",0,RTD("tos.rtd",,$A$2,"."&amp;V$135&amp;V$1&amp;"P"&amp;$A164))</f>
        <v>0</v>
      </c>
      <c r="W164" s="91">
        <f ca="1">IF(RTD("tos.rtd",,$A$2,"."&amp;W$135&amp;W$1&amp;"C"&amp;$A164)="N/A",0,RTD("tos.rtd",,$A$2,"."&amp;W$135&amp;W$1&amp;"C"&amp;$A164))-IF(RTD("tos.rtd",,$A$2,"."&amp;W$135&amp;W$1&amp;"P"&amp;$A164)="N/A",0,RTD("tos.rtd",,$A$2,"."&amp;W$135&amp;W$1&amp;"P"&amp;$A164))</f>
        <v>0</v>
      </c>
      <c r="X164" s="91">
        <f ca="1">IF(RTD("tos.rtd",,$A$2,"."&amp;X$135&amp;X$1&amp;"C"&amp;$A164)="N/A",0,RTD("tos.rtd",,$A$2,"."&amp;X$135&amp;X$1&amp;"C"&amp;$A164))-IF(RTD("tos.rtd",,$A$2,"."&amp;X$135&amp;X$1&amp;"P"&amp;$A164)="N/A",0,RTD("tos.rtd",,$A$2,"."&amp;X$135&amp;X$1&amp;"P"&amp;$A164))</f>
        <v>0</v>
      </c>
      <c r="Y164" s="98">
        <f t="shared" ca="1" si="13"/>
        <v>-3</v>
      </c>
      <c r="Z164" s="91"/>
      <c r="AA164" s="91"/>
    </row>
    <row r="165" spans="1:27" x14ac:dyDescent="0.25">
      <c r="A165" s="93">
        <f>+Hoja1!A164</f>
        <v>19875</v>
      </c>
      <c r="B165" s="91">
        <f ca="1">IF(RTD("tos.rtd",,$A$2,"."&amp;B$135&amp;B$1&amp;"C"&amp;$A165)="N/A",0,RTD("tos.rtd",,$A$2,"."&amp;B$135&amp;B$1&amp;"C"&amp;$A165))-IF(RTD("tos.rtd",,$A$2,"."&amp;B$135&amp;B$1&amp;"P"&amp;$A165)="N/A",0,RTD("tos.rtd",,$A$2,"."&amp;B$135&amp;B$1&amp;"P"&amp;$A165))</f>
        <v>0</v>
      </c>
      <c r="C165" s="91">
        <f ca="1">IF(RTD("tos.rtd",,$A$2,"."&amp;C$135&amp;C$1&amp;"C"&amp;$A165)="N/A",0,RTD("tos.rtd",,$A$2,"."&amp;C$135&amp;C$1&amp;"C"&amp;$A165))-IF(RTD("tos.rtd",,$A$2,"."&amp;C$135&amp;C$1&amp;"P"&amp;$A165)="N/A",0,RTD("tos.rtd",,$A$2,"."&amp;C$135&amp;C$1&amp;"P"&amp;$A165))</f>
        <v>0</v>
      </c>
      <c r="D165" s="91">
        <f ca="1">IF(RTD("tos.rtd",,$A$2,"."&amp;D$135&amp;D$1&amp;"C"&amp;$A165)="N/A",0,RTD("tos.rtd",,$A$2,"."&amp;D$135&amp;D$1&amp;"C"&amp;$A165))-IF(RTD("tos.rtd",,$A$2,"."&amp;D$135&amp;D$1&amp;"P"&amp;$A165)="N/A",0,RTD("tos.rtd",,$A$2,"."&amp;D$135&amp;D$1&amp;"P"&amp;$A165))</f>
        <v>0</v>
      </c>
      <c r="E165" s="91">
        <f ca="1">IF(RTD("tos.rtd",,$A$2,"."&amp;E$135&amp;E$1&amp;"C"&amp;$A165)="N/A",0,RTD("tos.rtd",,$A$2,"."&amp;E$135&amp;E$1&amp;"C"&amp;$A165))-IF(RTD("tos.rtd",,$A$2,"."&amp;E$135&amp;E$1&amp;"P"&amp;$A165)="N/A",0,RTD("tos.rtd",,$A$2,"."&amp;E$135&amp;E$1&amp;"P"&amp;$A165))</f>
        <v>0</v>
      </c>
      <c r="F165" s="91">
        <f ca="1">IF(RTD("tos.rtd",,$A$2,"."&amp;F$135&amp;F$1&amp;"C"&amp;$A165)="N/A",0,RTD("tos.rtd",,$A$2,"."&amp;F$135&amp;F$1&amp;"C"&amp;$A165))-IF(RTD("tos.rtd",,$A$2,"."&amp;F$135&amp;F$1&amp;"P"&amp;$A165)="N/A",0,RTD("tos.rtd",,$A$2,"."&amp;F$135&amp;F$1&amp;"P"&amp;$A165))</f>
        <v>0</v>
      </c>
      <c r="G165" s="91">
        <f ca="1">IF(RTD("tos.rtd",,$A$2,"."&amp;G$135&amp;G$1&amp;"C"&amp;$A165)="N/A",0,RTD("tos.rtd",,$A$2,"."&amp;G$135&amp;G$1&amp;"C"&amp;$A165))-IF(RTD("tos.rtd",,$A$2,"."&amp;G$135&amp;G$1&amp;"P"&amp;$A165)="N/A",0,RTD("tos.rtd",,$A$2,"."&amp;G$135&amp;G$1&amp;"P"&amp;$A165))</f>
        <v>0</v>
      </c>
      <c r="H165" s="91">
        <f ca="1">IF(RTD("tos.rtd",,$A$2,"."&amp;H$135&amp;H$1&amp;"C"&amp;$A165)="N/A",0,RTD("tos.rtd",,$A$2,"."&amp;H$135&amp;H$1&amp;"C"&amp;$A165))-IF(RTD("tos.rtd",,$A$2,"."&amp;H$135&amp;H$1&amp;"P"&amp;$A165)="N/A",0,RTD("tos.rtd",,$A$2,"."&amp;H$135&amp;H$1&amp;"P"&amp;$A165))</f>
        <v>0</v>
      </c>
      <c r="I165" s="91">
        <f ca="1">IF(RTD("tos.rtd",,$A$2,"."&amp;I$135&amp;I$1&amp;"C"&amp;$A165)="N/A",0,RTD("tos.rtd",,$A$2,"."&amp;I$135&amp;I$1&amp;"C"&amp;$A165))-IF(RTD("tos.rtd",,$A$2,"."&amp;I$135&amp;I$1&amp;"P"&amp;$A165)="N/A",0,RTD("tos.rtd",,$A$2,"."&amp;I$135&amp;I$1&amp;"P"&amp;$A165))</f>
        <v>1</v>
      </c>
      <c r="J165" s="91">
        <f ca="1">IF(RTD("tos.rtd",,$A$2,"."&amp;J$135&amp;J$1&amp;"C"&amp;$A165)="N/A",0,RTD("tos.rtd",,$A$2,"."&amp;J$135&amp;J$1&amp;"C"&amp;$A165))-IF(RTD("tos.rtd",,$A$2,"."&amp;J$135&amp;J$1&amp;"P"&amp;$A165)="N/A",0,RTD("tos.rtd",,$A$2,"."&amp;J$135&amp;J$1&amp;"P"&amp;$A165))</f>
        <v>0</v>
      </c>
      <c r="K165" s="91">
        <f ca="1">IF(RTD("tos.rtd",,$A$2,"."&amp;K$135&amp;K$1&amp;"C"&amp;$A165)="N/A",0,RTD("tos.rtd",,$A$2,"."&amp;K$135&amp;K$1&amp;"C"&amp;$A165))-IF(RTD("tos.rtd",,$A$2,"."&amp;K$135&amp;K$1&amp;"P"&amp;$A165)="N/A",0,RTD("tos.rtd",,$A$2,"."&amp;K$135&amp;K$1&amp;"P"&amp;$A165))</f>
        <v>0</v>
      </c>
      <c r="L165" s="91">
        <f ca="1">IF(RTD("tos.rtd",,$A$2,"."&amp;L$135&amp;L$1&amp;"C"&amp;$A165)="N/A",0,RTD("tos.rtd",,$A$2,"."&amp;L$135&amp;L$1&amp;"C"&amp;$A165))-IF(RTD("tos.rtd",,$A$2,"."&amp;L$135&amp;L$1&amp;"P"&amp;$A165)="N/A",0,RTD("tos.rtd",,$A$2,"."&amp;L$135&amp;L$1&amp;"P"&amp;$A165))</f>
        <v>0</v>
      </c>
      <c r="M165" s="91">
        <f ca="1">IF(RTD("tos.rtd",,$A$2,"."&amp;M$135&amp;M$1&amp;"C"&amp;$A165)="N/A",0,RTD("tos.rtd",,$A$2,"."&amp;M$135&amp;M$1&amp;"C"&amp;$A165))-IF(RTD("tos.rtd",,$A$2,"."&amp;M$135&amp;M$1&amp;"P"&amp;$A165)="N/A",0,RTD("tos.rtd",,$A$2,"."&amp;M$135&amp;M$1&amp;"P"&amp;$A165))</f>
        <v>0</v>
      </c>
      <c r="N165" s="91">
        <f ca="1">IF(RTD("tos.rtd",,$A$2,"."&amp;N$135&amp;N$1&amp;"C"&amp;$A165)="N/A",0,RTD("tos.rtd",,$A$2,"."&amp;N$135&amp;N$1&amp;"C"&amp;$A165))-IF(RTD("tos.rtd",,$A$2,"."&amp;N$135&amp;N$1&amp;"P"&amp;$A165)="N/A",0,RTD("tos.rtd",,$A$2,"."&amp;N$135&amp;N$1&amp;"P"&amp;$A165))</f>
        <v>0</v>
      </c>
      <c r="O165" s="91">
        <f ca="1">IF(RTD("tos.rtd",,$A$2,"."&amp;O$135&amp;O$1&amp;"C"&amp;$A165)="N/A",0,RTD("tos.rtd",,$A$2,"."&amp;O$135&amp;O$1&amp;"C"&amp;$A165))-IF(RTD("tos.rtd",,$A$2,"."&amp;O$135&amp;O$1&amp;"P"&amp;$A165)="N/A",0,RTD("tos.rtd",,$A$2,"."&amp;O$135&amp;O$1&amp;"P"&amp;$A165))</f>
        <v>0</v>
      </c>
      <c r="P165" s="91">
        <f ca="1">IF(RTD("tos.rtd",,$A$2,"."&amp;P$135&amp;P$1&amp;"C"&amp;$A165)="N/A",0,RTD("tos.rtd",,$A$2,"."&amp;P$135&amp;P$1&amp;"C"&amp;$A165))-IF(RTD("tos.rtd",,$A$2,"."&amp;P$135&amp;P$1&amp;"P"&amp;$A165)="N/A",0,RTD("tos.rtd",,$A$2,"."&amp;P$135&amp;P$1&amp;"P"&amp;$A165))</f>
        <v>0</v>
      </c>
      <c r="Q165" s="91">
        <f ca="1">IF(RTD("tos.rtd",,$A$2,"."&amp;Q$135&amp;Q$1&amp;"C"&amp;$A165)="N/A",0,RTD("tos.rtd",,$A$2,"."&amp;Q$135&amp;Q$1&amp;"C"&amp;$A165))-IF(RTD("tos.rtd",,$A$2,"."&amp;Q$135&amp;Q$1&amp;"P"&amp;$A165)="N/A",0,RTD("tos.rtd",,$A$2,"."&amp;Q$135&amp;Q$1&amp;"P"&amp;$A165))</f>
        <v>0</v>
      </c>
      <c r="R165" s="91">
        <f ca="1">IF(RTD("tos.rtd",,$A$2,"."&amp;R$135&amp;R$1&amp;"C"&amp;$A165)="N/A",0,RTD("tos.rtd",,$A$2,"."&amp;R$135&amp;R$1&amp;"C"&amp;$A165))-IF(RTD("tos.rtd",,$A$2,"."&amp;R$135&amp;R$1&amp;"P"&amp;$A165)="N/A",0,RTD("tos.rtd",,$A$2,"."&amp;R$135&amp;R$1&amp;"P"&amp;$A165))</f>
        <v>0</v>
      </c>
      <c r="S165" s="91">
        <f ca="1">IF(RTD("tos.rtd",,$A$2,"."&amp;S$135&amp;S$1&amp;"C"&amp;$A165)="N/A",0,RTD("tos.rtd",,$A$2,"."&amp;S$135&amp;S$1&amp;"C"&amp;$A165))-IF(RTD("tos.rtd",,$A$2,"."&amp;S$135&amp;S$1&amp;"P"&amp;$A165)="N/A",0,RTD("tos.rtd",,$A$2,"."&amp;S$135&amp;S$1&amp;"P"&amp;$A165))</f>
        <v>0</v>
      </c>
      <c r="T165" s="91">
        <f ca="1">IF(RTD("tos.rtd",,$A$2,"."&amp;T$135&amp;T$1&amp;"C"&amp;$A165)="N/A",0,RTD("tos.rtd",,$A$2,"."&amp;T$135&amp;T$1&amp;"C"&amp;$A165))-IF(RTD("tos.rtd",,$A$2,"."&amp;T$135&amp;T$1&amp;"P"&amp;$A165)="N/A",0,RTD("tos.rtd",,$A$2,"."&amp;T$135&amp;T$1&amp;"P"&amp;$A165))</f>
        <v>0</v>
      </c>
      <c r="U165" s="91">
        <f ca="1">IF(RTD("tos.rtd",,$A$2,"."&amp;U$135&amp;U$1&amp;"C"&amp;$A165)="N/A",0,RTD("tos.rtd",,$A$2,"."&amp;U$135&amp;U$1&amp;"C"&amp;$A165))-IF(RTD("tos.rtd",,$A$2,"."&amp;U$135&amp;U$1&amp;"P"&amp;$A165)="N/A",0,RTD("tos.rtd",,$A$2,"."&amp;U$135&amp;U$1&amp;"P"&amp;$A165))</f>
        <v>0</v>
      </c>
      <c r="V165" s="91">
        <f ca="1">IF(RTD("tos.rtd",,$A$2,"."&amp;V$135&amp;V$1&amp;"C"&amp;$A165)="N/A",0,RTD("tos.rtd",,$A$2,"."&amp;V$135&amp;V$1&amp;"C"&amp;$A165))-IF(RTD("tos.rtd",,$A$2,"."&amp;V$135&amp;V$1&amp;"P"&amp;$A165)="N/A",0,RTD("tos.rtd",,$A$2,"."&amp;V$135&amp;V$1&amp;"P"&amp;$A165))</f>
        <v>0</v>
      </c>
      <c r="W165" s="91">
        <f ca="1">IF(RTD("tos.rtd",,$A$2,"."&amp;W$135&amp;W$1&amp;"C"&amp;$A165)="N/A",0,RTD("tos.rtd",,$A$2,"."&amp;W$135&amp;W$1&amp;"C"&amp;$A165))-IF(RTD("tos.rtd",,$A$2,"."&amp;W$135&amp;W$1&amp;"P"&amp;$A165)="N/A",0,RTD("tos.rtd",,$A$2,"."&amp;W$135&amp;W$1&amp;"P"&amp;$A165))</f>
        <v>0</v>
      </c>
      <c r="X165" s="91">
        <f ca="1">IF(RTD("tos.rtd",,$A$2,"."&amp;X$135&amp;X$1&amp;"C"&amp;$A165)="N/A",0,RTD("tos.rtd",,$A$2,"."&amp;X$135&amp;X$1&amp;"C"&amp;$A165))-IF(RTD("tos.rtd",,$A$2,"."&amp;X$135&amp;X$1&amp;"P"&amp;$A165)="N/A",0,RTD("tos.rtd",,$A$2,"."&amp;X$135&amp;X$1&amp;"P"&amp;$A165))</f>
        <v>0</v>
      </c>
      <c r="Y165" s="98">
        <f t="shared" ca="1" si="13"/>
        <v>1</v>
      </c>
      <c r="Z165" s="91"/>
      <c r="AA165" s="91"/>
    </row>
    <row r="166" spans="1:27" x14ac:dyDescent="0.25">
      <c r="A166" s="93">
        <f>+Hoja1!A165</f>
        <v>19850</v>
      </c>
      <c r="B166" s="91">
        <f ca="1">IF(RTD("tos.rtd",,$A$2,"."&amp;B$135&amp;B$1&amp;"C"&amp;$A166)="N/A",0,RTD("tos.rtd",,$A$2,"."&amp;B$135&amp;B$1&amp;"C"&amp;$A166))-IF(RTD("tos.rtd",,$A$2,"."&amp;B$135&amp;B$1&amp;"P"&amp;$A166)="N/A",0,RTD("tos.rtd",,$A$2,"."&amp;B$135&amp;B$1&amp;"P"&amp;$A166))</f>
        <v>0</v>
      </c>
      <c r="C166" s="91">
        <f ca="1">IF(RTD("tos.rtd",,$A$2,"."&amp;C$135&amp;C$1&amp;"C"&amp;$A166)="N/A",0,RTD("tos.rtd",,$A$2,"."&amp;C$135&amp;C$1&amp;"C"&amp;$A166))-IF(RTD("tos.rtd",,$A$2,"."&amp;C$135&amp;C$1&amp;"P"&amp;$A166)="N/A",0,RTD("tos.rtd",,$A$2,"."&amp;C$135&amp;C$1&amp;"P"&amp;$A166))</f>
        <v>0</v>
      </c>
      <c r="D166" s="91">
        <f ca="1">IF(RTD("tos.rtd",,$A$2,"."&amp;D$135&amp;D$1&amp;"C"&amp;$A166)="N/A",0,RTD("tos.rtd",,$A$2,"."&amp;D$135&amp;D$1&amp;"C"&amp;$A166))-IF(RTD("tos.rtd",,$A$2,"."&amp;D$135&amp;D$1&amp;"P"&amp;$A166)="N/A",0,RTD("tos.rtd",,$A$2,"."&amp;D$135&amp;D$1&amp;"P"&amp;$A166))</f>
        <v>0</v>
      </c>
      <c r="E166" s="91">
        <f ca="1">IF(RTD("tos.rtd",,$A$2,"."&amp;E$135&amp;E$1&amp;"C"&amp;$A166)="N/A",0,RTD("tos.rtd",,$A$2,"."&amp;E$135&amp;E$1&amp;"C"&amp;$A166))-IF(RTD("tos.rtd",,$A$2,"."&amp;E$135&amp;E$1&amp;"P"&amp;$A166)="N/A",0,RTD("tos.rtd",,$A$2,"."&amp;E$135&amp;E$1&amp;"P"&amp;$A166))</f>
        <v>0</v>
      </c>
      <c r="F166" s="91">
        <f ca="1">IF(RTD("tos.rtd",,$A$2,"."&amp;F$135&amp;F$1&amp;"C"&amp;$A166)="N/A",0,RTD("tos.rtd",,$A$2,"."&amp;F$135&amp;F$1&amp;"C"&amp;$A166))-IF(RTD("tos.rtd",,$A$2,"."&amp;F$135&amp;F$1&amp;"P"&amp;$A166)="N/A",0,RTD("tos.rtd",,$A$2,"."&amp;F$135&amp;F$1&amp;"P"&amp;$A166))</f>
        <v>0</v>
      </c>
      <c r="G166" s="91">
        <f ca="1">IF(RTD("tos.rtd",,$A$2,"."&amp;G$135&amp;G$1&amp;"C"&amp;$A166)="N/A",0,RTD("tos.rtd",,$A$2,"."&amp;G$135&amp;G$1&amp;"C"&amp;$A166))-IF(RTD("tos.rtd",,$A$2,"."&amp;G$135&amp;G$1&amp;"P"&amp;$A166)="N/A",0,RTD("tos.rtd",,$A$2,"."&amp;G$135&amp;G$1&amp;"P"&amp;$A166))</f>
        <v>0</v>
      </c>
      <c r="H166" s="91">
        <f ca="1">IF(RTD("tos.rtd",,$A$2,"."&amp;H$135&amp;H$1&amp;"C"&amp;$A166)="N/A",0,RTD("tos.rtd",,$A$2,"."&amp;H$135&amp;H$1&amp;"C"&amp;$A166))-IF(RTD("tos.rtd",,$A$2,"."&amp;H$135&amp;H$1&amp;"P"&amp;$A166)="N/A",0,RTD("tos.rtd",,$A$2,"."&amp;H$135&amp;H$1&amp;"P"&amp;$A166))</f>
        <v>0</v>
      </c>
      <c r="I166" s="91">
        <f ca="1">IF(RTD("tos.rtd",,$A$2,"."&amp;I$135&amp;I$1&amp;"C"&amp;$A166)="N/A",0,RTD("tos.rtd",,$A$2,"."&amp;I$135&amp;I$1&amp;"C"&amp;$A166))-IF(RTD("tos.rtd",,$A$2,"."&amp;I$135&amp;I$1&amp;"P"&amp;$A166)="N/A",0,RTD("tos.rtd",,$A$2,"."&amp;I$135&amp;I$1&amp;"P"&amp;$A166))</f>
        <v>0</v>
      </c>
      <c r="J166" s="91">
        <f ca="1">IF(RTD("tos.rtd",,$A$2,"."&amp;J$135&amp;J$1&amp;"C"&amp;$A166)="N/A",0,RTD("tos.rtd",,$A$2,"."&amp;J$135&amp;J$1&amp;"C"&amp;$A166))-IF(RTD("tos.rtd",,$A$2,"."&amp;J$135&amp;J$1&amp;"P"&amp;$A166)="N/A",0,RTD("tos.rtd",,$A$2,"."&amp;J$135&amp;J$1&amp;"P"&amp;$A166))</f>
        <v>0</v>
      </c>
      <c r="K166" s="91">
        <f ca="1">IF(RTD("tos.rtd",,$A$2,"."&amp;K$135&amp;K$1&amp;"C"&amp;$A166)="N/A",0,RTD("tos.rtd",,$A$2,"."&amp;K$135&amp;K$1&amp;"C"&amp;$A166))-IF(RTD("tos.rtd",,$A$2,"."&amp;K$135&amp;K$1&amp;"P"&amp;$A166)="N/A",0,RTD("tos.rtd",,$A$2,"."&amp;K$135&amp;K$1&amp;"P"&amp;$A166))</f>
        <v>-2</v>
      </c>
      <c r="L166" s="91">
        <f ca="1">IF(RTD("tos.rtd",,$A$2,"."&amp;L$135&amp;L$1&amp;"C"&amp;$A166)="N/A",0,RTD("tos.rtd",,$A$2,"."&amp;L$135&amp;L$1&amp;"C"&amp;$A166))-IF(RTD("tos.rtd",,$A$2,"."&amp;L$135&amp;L$1&amp;"P"&amp;$A166)="N/A",0,RTD("tos.rtd",,$A$2,"."&amp;L$135&amp;L$1&amp;"P"&amp;$A166))</f>
        <v>0</v>
      </c>
      <c r="M166" s="91">
        <f ca="1">IF(RTD("tos.rtd",,$A$2,"."&amp;M$135&amp;M$1&amp;"C"&amp;$A166)="N/A",0,RTD("tos.rtd",,$A$2,"."&amp;M$135&amp;M$1&amp;"C"&amp;$A166))-IF(RTD("tos.rtd",,$A$2,"."&amp;M$135&amp;M$1&amp;"P"&amp;$A166)="N/A",0,RTD("tos.rtd",,$A$2,"."&amp;M$135&amp;M$1&amp;"P"&amp;$A166))</f>
        <v>0</v>
      </c>
      <c r="N166" s="91">
        <f ca="1">IF(RTD("tos.rtd",,$A$2,"."&amp;N$135&amp;N$1&amp;"C"&amp;$A166)="N/A",0,RTD("tos.rtd",,$A$2,"."&amp;N$135&amp;N$1&amp;"C"&amp;$A166))-IF(RTD("tos.rtd",,$A$2,"."&amp;N$135&amp;N$1&amp;"P"&amp;$A166)="N/A",0,RTD("tos.rtd",,$A$2,"."&amp;N$135&amp;N$1&amp;"P"&amp;$A166))</f>
        <v>0</v>
      </c>
      <c r="O166" s="91">
        <f ca="1">IF(RTD("tos.rtd",,$A$2,"."&amp;O$135&amp;O$1&amp;"C"&amp;$A166)="N/A",0,RTD("tos.rtd",,$A$2,"."&amp;O$135&amp;O$1&amp;"C"&amp;$A166))-IF(RTD("tos.rtd",,$A$2,"."&amp;O$135&amp;O$1&amp;"P"&amp;$A166)="N/A",0,RTD("tos.rtd",,$A$2,"."&amp;O$135&amp;O$1&amp;"P"&amp;$A166))</f>
        <v>0</v>
      </c>
      <c r="P166" s="91">
        <f ca="1">IF(RTD("tos.rtd",,$A$2,"."&amp;P$135&amp;P$1&amp;"C"&amp;$A166)="N/A",0,RTD("tos.rtd",,$A$2,"."&amp;P$135&amp;P$1&amp;"C"&amp;$A166))-IF(RTD("tos.rtd",,$A$2,"."&amp;P$135&amp;P$1&amp;"P"&amp;$A166)="N/A",0,RTD("tos.rtd",,$A$2,"."&amp;P$135&amp;P$1&amp;"P"&amp;$A166))</f>
        <v>0</v>
      </c>
      <c r="Q166" s="91">
        <f ca="1">IF(RTD("tos.rtd",,$A$2,"."&amp;Q$135&amp;Q$1&amp;"C"&amp;$A166)="N/A",0,RTD("tos.rtd",,$A$2,"."&amp;Q$135&amp;Q$1&amp;"C"&amp;$A166))-IF(RTD("tos.rtd",,$A$2,"."&amp;Q$135&amp;Q$1&amp;"P"&amp;$A166)="N/A",0,RTD("tos.rtd",,$A$2,"."&amp;Q$135&amp;Q$1&amp;"P"&amp;$A166))</f>
        <v>0</v>
      </c>
      <c r="R166" s="91">
        <f ca="1">IF(RTD("tos.rtd",,$A$2,"."&amp;R$135&amp;R$1&amp;"C"&amp;$A166)="N/A",0,RTD("tos.rtd",,$A$2,"."&amp;R$135&amp;R$1&amp;"C"&amp;$A166))-IF(RTD("tos.rtd",,$A$2,"."&amp;R$135&amp;R$1&amp;"P"&amp;$A166)="N/A",0,RTD("tos.rtd",,$A$2,"."&amp;R$135&amp;R$1&amp;"P"&amp;$A166))</f>
        <v>0</v>
      </c>
      <c r="S166" s="91">
        <f ca="1">IF(RTD("tos.rtd",,$A$2,"."&amp;S$135&amp;S$1&amp;"C"&amp;$A166)="N/A",0,RTD("tos.rtd",,$A$2,"."&amp;S$135&amp;S$1&amp;"C"&amp;$A166))-IF(RTD("tos.rtd",,$A$2,"."&amp;S$135&amp;S$1&amp;"P"&amp;$A166)="N/A",0,RTD("tos.rtd",,$A$2,"."&amp;S$135&amp;S$1&amp;"P"&amp;$A166))</f>
        <v>0</v>
      </c>
      <c r="T166" s="91">
        <f ca="1">IF(RTD("tos.rtd",,$A$2,"."&amp;T$135&amp;T$1&amp;"C"&amp;$A166)="N/A",0,RTD("tos.rtd",,$A$2,"."&amp;T$135&amp;T$1&amp;"C"&amp;$A166))-IF(RTD("tos.rtd",,$A$2,"."&amp;T$135&amp;T$1&amp;"P"&amp;$A166)="N/A",0,RTD("tos.rtd",,$A$2,"."&amp;T$135&amp;T$1&amp;"P"&amp;$A166))</f>
        <v>0</v>
      </c>
      <c r="U166" s="91">
        <f ca="1">IF(RTD("tos.rtd",,$A$2,"."&amp;U$135&amp;U$1&amp;"C"&amp;$A166)="N/A",0,RTD("tos.rtd",,$A$2,"."&amp;U$135&amp;U$1&amp;"C"&amp;$A166))-IF(RTD("tos.rtd",,$A$2,"."&amp;U$135&amp;U$1&amp;"P"&amp;$A166)="N/A",0,RTD("tos.rtd",,$A$2,"."&amp;U$135&amp;U$1&amp;"P"&amp;$A166))</f>
        <v>0</v>
      </c>
      <c r="V166" s="91">
        <f ca="1">IF(RTD("tos.rtd",,$A$2,"."&amp;V$135&amp;V$1&amp;"C"&amp;$A166)="N/A",0,RTD("tos.rtd",,$A$2,"."&amp;V$135&amp;V$1&amp;"C"&amp;$A166))-IF(RTD("tos.rtd",,$A$2,"."&amp;V$135&amp;V$1&amp;"P"&amp;$A166)="N/A",0,RTD("tos.rtd",,$A$2,"."&amp;V$135&amp;V$1&amp;"P"&amp;$A166))</f>
        <v>0</v>
      </c>
      <c r="W166" s="91">
        <f ca="1">IF(RTD("tos.rtd",,$A$2,"."&amp;W$135&amp;W$1&amp;"C"&amp;$A166)="N/A",0,RTD("tos.rtd",,$A$2,"."&amp;W$135&amp;W$1&amp;"C"&amp;$A166))-IF(RTD("tos.rtd",,$A$2,"."&amp;W$135&amp;W$1&amp;"P"&amp;$A166)="N/A",0,RTD("tos.rtd",,$A$2,"."&amp;W$135&amp;W$1&amp;"P"&amp;$A166))</f>
        <v>0</v>
      </c>
      <c r="X166" s="91">
        <f ca="1">IF(RTD("tos.rtd",,$A$2,"."&amp;X$135&amp;X$1&amp;"C"&amp;$A166)="N/A",0,RTD("tos.rtd",,$A$2,"."&amp;X$135&amp;X$1&amp;"C"&amp;$A166))-IF(RTD("tos.rtd",,$A$2,"."&amp;X$135&amp;X$1&amp;"P"&amp;$A166)="N/A",0,RTD("tos.rtd",,$A$2,"."&amp;X$135&amp;X$1&amp;"P"&amp;$A166))</f>
        <v>0</v>
      </c>
      <c r="Y166" s="98">
        <f t="shared" ca="1" si="13"/>
        <v>-2</v>
      </c>
      <c r="Z166" s="91"/>
      <c r="AA166" s="91"/>
    </row>
    <row r="167" spans="1:27" x14ac:dyDescent="0.25">
      <c r="A167" s="93">
        <f>+Hoja1!A166</f>
        <v>19825</v>
      </c>
      <c r="B167" s="91">
        <f ca="1">IF(RTD("tos.rtd",,$A$2,"."&amp;B$135&amp;B$1&amp;"C"&amp;$A167)="N/A",0,RTD("tos.rtd",,$A$2,"."&amp;B$135&amp;B$1&amp;"C"&amp;$A167))-IF(RTD("tos.rtd",,$A$2,"."&amp;B$135&amp;B$1&amp;"P"&amp;$A167)="N/A",0,RTD("tos.rtd",,$A$2,"."&amp;B$135&amp;B$1&amp;"P"&amp;$A167))</f>
        <v>0</v>
      </c>
      <c r="C167" s="91">
        <f ca="1">IF(RTD("tos.rtd",,$A$2,"."&amp;C$135&amp;C$1&amp;"C"&amp;$A167)="N/A",0,RTD("tos.rtd",,$A$2,"."&amp;C$135&amp;C$1&amp;"C"&amp;$A167))-IF(RTD("tos.rtd",,$A$2,"."&amp;C$135&amp;C$1&amp;"P"&amp;$A167)="N/A",0,RTD("tos.rtd",,$A$2,"."&amp;C$135&amp;C$1&amp;"P"&amp;$A167))</f>
        <v>0</v>
      </c>
      <c r="D167" s="91">
        <f ca="1">IF(RTD("tos.rtd",,$A$2,"."&amp;D$135&amp;D$1&amp;"C"&amp;$A167)="N/A",0,RTD("tos.rtd",,$A$2,"."&amp;D$135&amp;D$1&amp;"C"&amp;$A167))-IF(RTD("tos.rtd",,$A$2,"."&amp;D$135&amp;D$1&amp;"P"&amp;$A167)="N/A",0,RTD("tos.rtd",,$A$2,"."&amp;D$135&amp;D$1&amp;"P"&amp;$A167))</f>
        <v>0</v>
      </c>
      <c r="E167" s="91">
        <f ca="1">IF(RTD("tos.rtd",,$A$2,"."&amp;E$135&amp;E$1&amp;"C"&amp;$A167)="N/A",0,RTD("tos.rtd",,$A$2,"."&amp;E$135&amp;E$1&amp;"C"&amp;$A167))-IF(RTD("tos.rtd",,$A$2,"."&amp;E$135&amp;E$1&amp;"P"&amp;$A167)="N/A",0,RTD("tos.rtd",,$A$2,"."&amp;E$135&amp;E$1&amp;"P"&amp;$A167))</f>
        <v>0</v>
      </c>
      <c r="F167" s="91">
        <f ca="1">IF(RTD("tos.rtd",,$A$2,"."&amp;F$135&amp;F$1&amp;"C"&amp;$A167)="N/A",0,RTD("tos.rtd",,$A$2,"."&amp;F$135&amp;F$1&amp;"C"&amp;$A167))-IF(RTD("tos.rtd",,$A$2,"."&amp;F$135&amp;F$1&amp;"P"&amp;$A167)="N/A",0,RTD("tos.rtd",,$A$2,"."&amp;F$135&amp;F$1&amp;"P"&amp;$A167))</f>
        <v>0</v>
      </c>
      <c r="G167" s="91">
        <f ca="1">IF(RTD("tos.rtd",,$A$2,"."&amp;G$135&amp;G$1&amp;"C"&amp;$A167)="N/A",0,RTD("tos.rtd",,$A$2,"."&amp;G$135&amp;G$1&amp;"C"&amp;$A167))-IF(RTD("tos.rtd",,$A$2,"."&amp;G$135&amp;G$1&amp;"P"&amp;$A167)="N/A",0,RTD("tos.rtd",,$A$2,"."&amp;G$135&amp;G$1&amp;"P"&amp;$A167))</f>
        <v>0</v>
      </c>
      <c r="H167" s="91">
        <f ca="1">IF(RTD("tos.rtd",,$A$2,"."&amp;H$135&amp;H$1&amp;"C"&amp;$A167)="N/A",0,RTD("tos.rtd",,$A$2,"."&amp;H$135&amp;H$1&amp;"C"&amp;$A167))-IF(RTD("tos.rtd",,$A$2,"."&amp;H$135&amp;H$1&amp;"P"&amp;$A167)="N/A",0,RTD("tos.rtd",,$A$2,"."&amp;H$135&amp;H$1&amp;"P"&amp;$A167))</f>
        <v>0</v>
      </c>
      <c r="I167" s="91">
        <f ca="1">IF(RTD("tos.rtd",,$A$2,"."&amp;I$135&amp;I$1&amp;"C"&amp;$A167)="N/A",0,RTD("tos.rtd",,$A$2,"."&amp;I$135&amp;I$1&amp;"C"&amp;$A167))-IF(RTD("tos.rtd",,$A$2,"."&amp;I$135&amp;I$1&amp;"P"&amp;$A167)="N/A",0,RTD("tos.rtd",,$A$2,"."&amp;I$135&amp;I$1&amp;"P"&amp;$A167))</f>
        <v>1</v>
      </c>
      <c r="J167" s="91">
        <f ca="1">IF(RTD("tos.rtd",,$A$2,"."&amp;J$135&amp;J$1&amp;"C"&amp;$A167)="N/A",0,RTD("tos.rtd",,$A$2,"."&amp;J$135&amp;J$1&amp;"C"&amp;$A167))-IF(RTD("tos.rtd",,$A$2,"."&amp;J$135&amp;J$1&amp;"P"&amp;$A167)="N/A",0,RTD("tos.rtd",,$A$2,"."&amp;J$135&amp;J$1&amp;"P"&amp;$A167))</f>
        <v>0</v>
      </c>
      <c r="K167" s="91">
        <f ca="1">IF(RTD("tos.rtd",,$A$2,"."&amp;K$135&amp;K$1&amp;"C"&amp;$A167)="N/A",0,RTD("tos.rtd",,$A$2,"."&amp;K$135&amp;K$1&amp;"C"&amp;$A167))-IF(RTD("tos.rtd",,$A$2,"."&amp;K$135&amp;K$1&amp;"P"&amp;$A167)="N/A",0,RTD("tos.rtd",,$A$2,"."&amp;K$135&amp;K$1&amp;"P"&amp;$A167))</f>
        <v>-1</v>
      </c>
      <c r="L167" s="91">
        <f ca="1">IF(RTD("tos.rtd",,$A$2,"."&amp;L$135&amp;L$1&amp;"C"&amp;$A167)="N/A",0,RTD("tos.rtd",,$A$2,"."&amp;L$135&amp;L$1&amp;"C"&amp;$A167))-IF(RTD("tos.rtd",,$A$2,"."&amp;L$135&amp;L$1&amp;"P"&amp;$A167)="N/A",0,RTD("tos.rtd",,$A$2,"."&amp;L$135&amp;L$1&amp;"P"&amp;$A167))</f>
        <v>0</v>
      </c>
      <c r="M167" s="91">
        <f ca="1">IF(RTD("tos.rtd",,$A$2,"."&amp;M$135&amp;M$1&amp;"C"&amp;$A167)="N/A",0,RTD("tos.rtd",,$A$2,"."&amp;M$135&amp;M$1&amp;"C"&amp;$A167))-IF(RTD("tos.rtd",,$A$2,"."&amp;M$135&amp;M$1&amp;"P"&amp;$A167)="N/A",0,RTD("tos.rtd",,$A$2,"."&amp;M$135&amp;M$1&amp;"P"&amp;$A167))</f>
        <v>0</v>
      </c>
      <c r="N167" s="91">
        <f ca="1">IF(RTD("tos.rtd",,$A$2,"."&amp;N$135&amp;N$1&amp;"C"&amp;$A167)="N/A",0,RTD("tos.rtd",,$A$2,"."&amp;N$135&amp;N$1&amp;"C"&amp;$A167))-IF(RTD("tos.rtd",,$A$2,"."&amp;N$135&amp;N$1&amp;"P"&amp;$A167)="N/A",0,RTD("tos.rtd",,$A$2,"."&amp;N$135&amp;N$1&amp;"P"&amp;$A167))</f>
        <v>0</v>
      </c>
      <c r="O167" s="91">
        <f ca="1">IF(RTD("tos.rtd",,$A$2,"."&amp;O$135&amp;O$1&amp;"C"&amp;$A167)="N/A",0,RTD("tos.rtd",,$A$2,"."&amp;O$135&amp;O$1&amp;"C"&amp;$A167))-IF(RTD("tos.rtd",,$A$2,"."&amp;O$135&amp;O$1&amp;"P"&amp;$A167)="N/A",0,RTD("tos.rtd",,$A$2,"."&amp;O$135&amp;O$1&amp;"P"&amp;$A167))</f>
        <v>0</v>
      </c>
      <c r="P167" s="91">
        <f ca="1">IF(RTD("tos.rtd",,$A$2,"."&amp;P$135&amp;P$1&amp;"C"&amp;$A167)="N/A",0,RTD("tos.rtd",,$A$2,"."&amp;P$135&amp;P$1&amp;"C"&amp;$A167))-IF(RTD("tos.rtd",,$A$2,"."&amp;P$135&amp;P$1&amp;"P"&amp;$A167)="N/A",0,RTD("tos.rtd",,$A$2,"."&amp;P$135&amp;P$1&amp;"P"&amp;$A167))</f>
        <v>0</v>
      </c>
      <c r="Q167" s="91">
        <f ca="1">IF(RTD("tos.rtd",,$A$2,"."&amp;Q$135&amp;Q$1&amp;"C"&amp;$A167)="N/A",0,RTD("tos.rtd",,$A$2,"."&amp;Q$135&amp;Q$1&amp;"C"&amp;$A167))-IF(RTD("tos.rtd",,$A$2,"."&amp;Q$135&amp;Q$1&amp;"P"&amp;$A167)="N/A",0,RTD("tos.rtd",,$A$2,"."&amp;Q$135&amp;Q$1&amp;"P"&amp;$A167))</f>
        <v>0</v>
      </c>
      <c r="R167" s="91">
        <f ca="1">IF(RTD("tos.rtd",,$A$2,"."&amp;R$135&amp;R$1&amp;"C"&amp;$A167)="N/A",0,RTD("tos.rtd",,$A$2,"."&amp;R$135&amp;R$1&amp;"C"&amp;$A167))-IF(RTD("tos.rtd",,$A$2,"."&amp;R$135&amp;R$1&amp;"P"&amp;$A167)="N/A",0,RTD("tos.rtd",,$A$2,"."&amp;R$135&amp;R$1&amp;"P"&amp;$A167))</f>
        <v>0</v>
      </c>
      <c r="S167" s="91">
        <f ca="1">IF(RTD("tos.rtd",,$A$2,"."&amp;S$135&amp;S$1&amp;"C"&amp;$A167)="N/A",0,RTD("tos.rtd",,$A$2,"."&amp;S$135&amp;S$1&amp;"C"&amp;$A167))-IF(RTD("tos.rtd",,$A$2,"."&amp;S$135&amp;S$1&amp;"P"&amp;$A167)="N/A",0,RTD("tos.rtd",,$A$2,"."&amp;S$135&amp;S$1&amp;"P"&amp;$A167))</f>
        <v>0</v>
      </c>
      <c r="T167" s="91">
        <f ca="1">IF(RTD("tos.rtd",,$A$2,"."&amp;T$135&amp;T$1&amp;"C"&amp;$A167)="N/A",0,RTD("tos.rtd",,$A$2,"."&amp;T$135&amp;T$1&amp;"C"&amp;$A167))-IF(RTD("tos.rtd",,$A$2,"."&amp;T$135&amp;T$1&amp;"P"&amp;$A167)="N/A",0,RTD("tos.rtd",,$A$2,"."&amp;T$135&amp;T$1&amp;"P"&amp;$A167))</f>
        <v>0</v>
      </c>
      <c r="U167" s="91">
        <f ca="1">IF(RTD("tos.rtd",,$A$2,"."&amp;U$135&amp;U$1&amp;"C"&amp;$A167)="N/A",0,RTD("tos.rtd",,$A$2,"."&amp;U$135&amp;U$1&amp;"C"&amp;$A167))-IF(RTD("tos.rtd",,$A$2,"."&amp;U$135&amp;U$1&amp;"P"&amp;$A167)="N/A",0,RTD("tos.rtd",,$A$2,"."&amp;U$135&amp;U$1&amp;"P"&amp;$A167))</f>
        <v>0</v>
      </c>
      <c r="V167" s="91">
        <f ca="1">IF(RTD("tos.rtd",,$A$2,"."&amp;V$135&amp;V$1&amp;"C"&amp;$A167)="N/A",0,RTD("tos.rtd",,$A$2,"."&amp;V$135&amp;V$1&amp;"C"&amp;$A167))-IF(RTD("tos.rtd",,$A$2,"."&amp;V$135&amp;V$1&amp;"P"&amp;$A167)="N/A",0,RTD("tos.rtd",,$A$2,"."&amp;V$135&amp;V$1&amp;"P"&amp;$A167))</f>
        <v>0</v>
      </c>
      <c r="W167" s="91">
        <f ca="1">IF(RTD("tos.rtd",,$A$2,"."&amp;W$135&amp;W$1&amp;"C"&amp;$A167)="N/A",0,RTD("tos.rtd",,$A$2,"."&amp;W$135&amp;W$1&amp;"C"&amp;$A167))-IF(RTD("tos.rtd",,$A$2,"."&amp;W$135&amp;W$1&amp;"P"&amp;$A167)="N/A",0,RTD("tos.rtd",,$A$2,"."&amp;W$135&amp;W$1&amp;"P"&amp;$A167))</f>
        <v>0</v>
      </c>
      <c r="X167" s="91">
        <f ca="1">IF(RTD("tos.rtd",,$A$2,"."&amp;X$135&amp;X$1&amp;"C"&amp;$A167)="N/A",0,RTD("tos.rtd",,$A$2,"."&amp;X$135&amp;X$1&amp;"C"&amp;$A167))-IF(RTD("tos.rtd",,$A$2,"."&amp;X$135&amp;X$1&amp;"P"&amp;$A167)="N/A",0,RTD("tos.rtd",,$A$2,"."&amp;X$135&amp;X$1&amp;"P"&amp;$A167))</f>
        <v>0</v>
      </c>
      <c r="Y167" s="98">
        <f t="shared" ca="1" si="13"/>
        <v>0</v>
      </c>
      <c r="Z167" s="91"/>
      <c r="AA167" s="91"/>
    </row>
    <row r="168" spans="1:27" x14ac:dyDescent="0.25">
      <c r="A168" s="93">
        <f>+Hoja1!A167</f>
        <v>19800</v>
      </c>
      <c r="B168" s="91">
        <f ca="1">IF(RTD("tos.rtd",,$A$2,"."&amp;B$135&amp;B$1&amp;"C"&amp;$A168)="N/A",0,RTD("tos.rtd",,$A$2,"."&amp;B$135&amp;B$1&amp;"C"&amp;$A168))-IF(RTD("tos.rtd",,$A$2,"."&amp;B$135&amp;B$1&amp;"P"&amp;$A168)="N/A",0,RTD("tos.rtd",,$A$2,"."&amp;B$135&amp;B$1&amp;"P"&amp;$A168))</f>
        <v>0</v>
      </c>
      <c r="C168" s="91">
        <f ca="1">IF(RTD("tos.rtd",,$A$2,"."&amp;C$135&amp;C$1&amp;"C"&amp;$A168)="N/A",0,RTD("tos.rtd",,$A$2,"."&amp;C$135&amp;C$1&amp;"C"&amp;$A168))-IF(RTD("tos.rtd",,$A$2,"."&amp;C$135&amp;C$1&amp;"P"&amp;$A168)="N/A",0,RTD("tos.rtd",,$A$2,"."&amp;C$135&amp;C$1&amp;"P"&amp;$A168))</f>
        <v>0</v>
      </c>
      <c r="D168" s="91">
        <f ca="1">IF(RTD("tos.rtd",,$A$2,"."&amp;D$135&amp;D$1&amp;"C"&amp;$A168)="N/A",0,RTD("tos.rtd",,$A$2,"."&amp;D$135&amp;D$1&amp;"C"&amp;$A168))-IF(RTD("tos.rtd",,$A$2,"."&amp;D$135&amp;D$1&amp;"P"&amp;$A168)="N/A",0,RTD("tos.rtd",,$A$2,"."&amp;D$135&amp;D$1&amp;"P"&amp;$A168))</f>
        <v>0</v>
      </c>
      <c r="E168" s="91">
        <f ca="1">IF(RTD("tos.rtd",,$A$2,"."&amp;E$135&amp;E$1&amp;"C"&amp;$A168)="N/A",0,RTD("tos.rtd",,$A$2,"."&amp;E$135&amp;E$1&amp;"C"&amp;$A168))-IF(RTD("tos.rtd",,$A$2,"."&amp;E$135&amp;E$1&amp;"P"&amp;$A168)="N/A",0,RTD("tos.rtd",,$A$2,"."&amp;E$135&amp;E$1&amp;"P"&amp;$A168))</f>
        <v>0</v>
      </c>
      <c r="F168" s="91">
        <f ca="1">IF(RTD("tos.rtd",,$A$2,"."&amp;F$135&amp;F$1&amp;"C"&amp;$A168)="N/A",0,RTD("tos.rtd",,$A$2,"."&amp;F$135&amp;F$1&amp;"C"&amp;$A168))-IF(RTD("tos.rtd",,$A$2,"."&amp;F$135&amp;F$1&amp;"P"&amp;$A168)="N/A",0,RTD("tos.rtd",,$A$2,"."&amp;F$135&amp;F$1&amp;"P"&amp;$A168))</f>
        <v>0</v>
      </c>
      <c r="G168" s="91">
        <f ca="1">IF(RTD("tos.rtd",,$A$2,"."&amp;G$135&amp;G$1&amp;"C"&amp;$A168)="N/A",0,RTD("tos.rtd",,$A$2,"."&amp;G$135&amp;G$1&amp;"C"&amp;$A168))-IF(RTD("tos.rtd",,$A$2,"."&amp;G$135&amp;G$1&amp;"P"&amp;$A168)="N/A",0,RTD("tos.rtd",,$A$2,"."&amp;G$135&amp;G$1&amp;"P"&amp;$A168))</f>
        <v>0</v>
      </c>
      <c r="H168" s="91">
        <f ca="1">IF(RTD("tos.rtd",,$A$2,"."&amp;H$135&amp;H$1&amp;"C"&amp;$A168)="N/A",0,RTD("tos.rtd",,$A$2,"."&amp;H$135&amp;H$1&amp;"C"&amp;$A168))-IF(RTD("tos.rtd",,$A$2,"."&amp;H$135&amp;H$1&amp;"P"&amp;$A168)="N/A",0,RTD("tos.rtd",,$A$2,"."&amp;H$135&amp;H$1&amp;"P"&amp;$A168))</f>
        <v>0</v>
      </c>
      <c r="I168" s="91">
        <f ca="1">IF(RTD("tos.rtd",,$A$2,"."&amp;I$135&amp;I$1&amp;"C"&amp;$A168)="N/A",0,RTD("tos.rtd",,$A$2,"."&amp;I$135&amp;I$1&amp;"C"&amp;$A168))-IF(RTD("tos.rtd",,$A$2,"."&amp;I$135&amp;I$1&amp;"P"&amp;$A168)="N/A",0,RTD("tos.rtd",,$A$2,"."&amp;I$135&amp;I$1&amp;"P"&amp;$A168))</f>
        <v>-3</v>
      </c>
      <c r="J168" s="91">
        <f ca="1">IF(RTD("tos.rtd",,$A$2,"."&amp;J$135&amp;J$1&amp;"C"&amp;$A168)="N/A",0,RTD("tos.rtd",,$A$2,"."&amp;J$135&amp;J$1&amp;"C"&amp;$A168))-IF(RTD("tos.rtd",,$A$2,"."&amp;J$135&amp;J$1&amp;"P"&amp;$A168)="N/A",0,RTD("tos.rtd",,$A$2,"."&amp;J$135&amp;J$1&amp;"P"&amp;$A168))</f>
        <v>0</v>
      </c>
      <c r="K168" s="91">
        <f ca="1">IF(RTD("tos.rtd",,$A$2,"."&amp;K$135&amp;K$1&amp;"C"&amp;$A168)="N/A",0,RTD("tos.rtd",,$A$2,"."&amp;K$135&amp;K$1&amp;"C"&amp;$A168))-IF(RTD("tos.rtd",,$A$2,"."&amp;K$135&amp;K$1&amp;"P"&amp;$A168)="N/A",0,RTD("tos.rtd",,$A$2,"."&amp;K$135&amp;K$1&amp;"P"&amp;$A168))</f>
        <v>-1</v>
      </c>
      <c r="L168" s="91">
        <f ca="1">IF(RTD("tos.rtd",,$A$2,"."&amp;L$135&amp;L$1&amp;"C"&amp;$A168)="N/A",0,RTD("tos.rtd",,$A$2,"."&amp;L$135&amp;L$1&amp;"C"&amp;$A168))-IF(RTD("tos.rtd",,$A$2,"."&amp;L$135&amp;L$1&amp;"P"&amp;$A168)="N/A",0,RTD("tos.rtd",,$A$2,"."&amp;L$135&amp;L$1&amp;"P"&amp;$A168))</f>
        <v>0</v>
      </c>
      <c r="M168" s="91">
        <f ca="1">IF(RTD("tos.rtd",,$A$2,"."&amp;M$135&amp;M$1&amp;"C"&amp;$A168)="N/A",0,RTD("tos.rtd",,$A$2,"."&amp;M$135&amp;M$1&amp;"C"&amp;$A168))-IF(RTD("tos.rtd",,$A$2,"."&amp;M$135&amp;M$1&amp;"P"&amp;$A168)="N/A",0,RTD("tos.rtd",,$A$2,"."&amp;M$135&amp;M$1&amp;"P"&amp;$A168))</f>
        <v>-2</v>
      </c>
      <c r="N168" s="91">
        <f ca="1">IF(RTD("tos.rtd",,$A$2,"."&amp;N$135&amp;N$1&amp;"C"&amp;$A168)="N/A",0,RTD("tos.rtd",,$A$2,"."&amp;N$135&amp;N$1&amp;"C"&amp;$A168))-IF(RTD("tos.rtd",,$A$2,"."&amp;N$135&amp;N$1&amp;"P"&amp;$A168)="N/A",0,RTD("tos.rtd",,$A$2,"."&amp;N$135&amp;N$1&amp;"P"&amp;$A168))</f>
        <v>0</v>
      </c>
      <c r="O168" s="91">
        <f ca="1">IF(RTD("tos.rtd",,$A$2,"."&amp;O$135&amp;O$1&amp;"C"&amp;$A168)="N/A",0,RTD("tos.rtd",,$A$2,"."&amp;O$135&amp;O$1&amp;"C"&amp;$A168))-IF(RTD("tos.rtd",,$A$2,"."&amp;O$135&amp;O$1&amp;"P"&amp;$A168)="N/A",0,RTD("tos.rtd",,$A$2,"."&amp;O$135&amp;O$1&amp;"P"&amp;$A168))</f>
        <v>0</v>
      </c>
      <c r="P168" s="91">
        <f ca="1">IF(RTD("tos.rtd",,$A$2,"."&amp;P$135&amp;P$1&amp;"C"&amp;$A168)="N/A",0,RTD("tos.rtd",,$A$2,"."&amp;P$135&amp;P$1&amp;"C"&amp;$A168))-IF(RTD("tos.rtd",,$A$2,"."&amp;P$135&amp;P$1&amp;"P"&amp;$A168)="N/A",0,RTD("tos.rtd",,$A$2,"."&amp;P$135&amp;P$1&amp;"P"&amp;$A168))</f>
        <v>0</v>
      </c>
      <c r="Q168" s="91">
        <f ca="1">IF(RTD("tos.rtd",,$A$2,"."&amp;Q$135&amp;Q$1&amp;"C"&amp;$A168)="N/A",0,RTD("tos.rtd",,$A$2,"."&amp;Q$135&amp;Q$1&amp;"C"&amp;$A168))-IF(RTD("tos.rtd",,$A$2,"."&amp;Q$135&amp;Q$1&amp;"P"&amp;$A168)="N/A",0,RTD("tos.rtd",,$A$2,"."&amp;Q$135&amp;Q$1&amp;"P"&amp;$A168))</f>
        <v>0</v>
      </c>
      <c r="R168" s="91">
        <f ca="1">IF(RTD("tos.rtd",,$A$2,"."&amp;R$135&amp;R$1&amp;"C"&amp;$A168)="N/A",0,RTD("tos.rtd",,$A$2,"."&amp;R$135&amp;R$1&amp;"C"&amp;$A168))-IF(RTD("tos.rtd",,$A$2,"."&amp;R$135&amp;R$1&amp;"P"&amp;$A168)="N/A",0,RTD("tos.rtd",,$A$2,"."&amp;R$135&amp;R$1&amp;"P"&amp;$A168))</f>
        <v>0</v>
      </c>
      <c r="S168" s="91">
        <f ca="1">IF(RTD("tos.rtd",,$A$2,"."&amp;S$135&amp;S$1&amp;"C"&amp;$A168)="N/A",0,RTD("tos.rtd",,$A$2,"."&amp;S$135&amp;S$1&amp;"C"&amp;$A168))-IF(RTD("tos.rtd",,$A$2,"."&amp;S$135&amp;S$1&amp;"P"&amp;$A168)="N/A",0,RTD("tos.rtd",,$A$2,"."&amp;S$135&amp;S$1&amp;"P"&amp;$A168))</f>
        <v>0</v>
      </c>
      <c r="T168" s="91">
        <f ca="1">IF(RTD("tos.rtd",,$A$2,"."&amp;T$135&amp;T$1&amp;"C"&amp;$A168)="N/A",0,RTD("tos.rtd",,$A$2,"."&amp;T$135&amp;T$1&amp;"C"&amp;$A168))-IF(RTD("tos.rtd",,$A$2,"."&amp;T$135&amp;T$1&amp;"P"&amp;$A168)="N/A",0,RTD("tos.rtd",,$A$2,"."&amp;T$135&amp;T$1&amp;"P"&amp;$A168))</f>
        <v>0</v>
      </c>
      <c r="U168" s="91">
        <f ca="1">IF(RTD("tos.rtd",,$A$2,"."&amp;U$135&amp;U$1&amp;"C"&amp;$A168)="N/A",0,RTD("tos.rtd",,$A$2,"."&amp;U$135&amp;U$1&amp;"C"&amp;$A168))-IF(RTD("tos.rtd",,$A$2,"."&amp;U$135&amp;U$1&amp;"P"&amp;$A168)="N/A",0,RTD("tos.rtd",,$A$2,"."&amp;U$135&amp;U$1&amp;"P"&amp;$A168))</f>
        <v>0</v>
      </c>
      <c r="V168" s="91">
        <f ca="1">IF(RTD("tos.rtd",,$A$2,"."&amp;V$135&amp;V$1&amp;"C"&amp;$A168)="N/A",0,RTD("tos.rtd",,$A$2,"."&amp;V$135&amp;V$1&amp;"C"&amp;$A168))-IF(RTD("tos.rtd",,$A$2,"."&amp;V$135&amp;V$1&amp;"P"&amp;$A168)="N/A",0,RTD("tos.rtd",,$A$2,"."&amp;V$135&amp;V$1&amp;"P"&amp;$A168))</f>
        <v>0</v>
      </c>
      <c r="W168" s="91">
        <f ca="1">IF(RTD("tos.rtd",,$A$2,"."&amp;W$135&amp;W$1&amp;"C"&amp;$A168)="N/A",0,RTD("tos.rtd",,$A$2,"."&amp;W$135&amp;W$1&amp;"C"&amp;$A168))-IF(RTD("tos.rtd",,$A$2,"."&amp;W$135&amp;W$1&amp;"P"&amp;$A168)="N/A",0,RTD("tos.rtd",,$A$2,"."&amp;W$135&amp;W$1&amp;"P"&amp;$A168))</f>
        <v>0</v>
      </c>
      <c r="X168" s="91">
        <f ca="1">IF(RTD("tos.rtd",,$A$2,"."&amp;X$135&amp;X$1&amp;"C"&amp;$A168)="N/A",0,RTD("tos.rtd",,$A$2,"."&amp;X$135&amp;X$1&amp;"C"&amp;$A168))-IF(RTD("tos.rtd",,$A$2,"."&amp;X$135&amp;X$1&amp;"P"&amp;$A168)="N/A",0,RTD("tos.rtd",,$A$2,"."&amp;X$135&amp;X$1&amp;"P"&amp;$A168))</f>
        <v>0</v>
      </c>
      <c r="Y168" s="98">
        <f t="shared" ca="1" si="13"/>
        <v>-6</v>
      </c>
      <c r="Z168" s="91"/>
      <c r="AA168" s="91"/>
    </row>
    <row r="169" spans="1:27" x14ac:dyDescent="0.25">
      <c r="A169" s="93">
        <f>+Hoja1!A168</f>
        <v>19775</v>
      </c>
      <c r="B169" s="91">
        <f ca="1">IF(RTD("tos.rtd",,$A$2,"."&amp;B$135&amp;B$1&amp;"C"&amp;$A169)="N/A",0,RTD("tos.rtd",,$A$2,"."&amp;B$135&amp;B$1&amp;"C"&amp;$A169))-IF(RTD("tos.rtd",,$A$2,"."&amp;B$135&amp;B$1&amp;"P"&amp;$A169)="N/A",0,RTD("tos.rtd",,$A$2,"."&amp;B$135&amp;B$1&amp;"P"&amp;$A169))</f>
        <v>0</v>
      </c>
      <c r="C169" s="91">
        <f ca="1">IF(RTD("tos.rtd",,$A$2,"."&amp;C$135&amp;C$1&amp;"C"&amp;$A169)="N/A",0,RTD("tos.rtd",,$A$2,"."&amp;C$135&amp;C$1&amp;"C"&amp;$A169))-IF(RTD("tos.rtd",,$A$2,"."&amp;C$135&amp;C$1&amp;"P"&amp;$A169)="N/A",0,RTD("tos.rtd",,$A$2,"."&amp;C$135&amp;C$1&amp;"P"&amp;$A169))</f>
        <v>0</v>
      </c>
      <c r="D169" s="91">
        <f ca="1">IF(RTD("tos.rtd",,$A$2,"."&amp;D$135&amp;D$1&amp;"C"&amp;$A169)="N/A",0,RTD("tos.rtd",,$A$2,"."&amp;D$135&amp;D$1&amp;"C"&amp;$A169))-IF(RTD("tos.rtd",,$A$2,"."&amp;D$135&amp;D$1&amp;"P"&amp;$A169)="N/A",0,RTD("tos.rtd",,$A$2,"."&amp;D$135&amp;D$1&amp;"P"&amp;$A169))</f>
        <v>0</v>
      </c>
      <c r="E169" s="91">
        <f ca="1">IF(RTD("tos.rtd",,$A$2,"."&amp;E$135&amp;E$1&amp;"C"&amp;$A169)="N/A",0,RTD("tos.rtd",,$A$2,"."&amp;E$135&amp;E$1&amp;"C"&amp;$A169))-IF(RTD("tos.rtd",,$A$2,"."&amp;E$135&amp;E$1&amp;"P"&amp;$A169)="N/A",0,RTD("tos.rtd",,$A$2,"."&amp;E$135&amp;E$1&amp;"P"&amp;$A169))</f>
        <v>0</v>
      </c>
      <c r="F169" s="91">
        <f ca="1">IF(RTD("tos.rtd",,$A$2,"."&amp;F$135&amp;F$1&amp;"C"&amp;$A169)="N/A",0,RTD("tos.rtd",,$A$2,"."&amp;F$135&amp;F$1&amp;"C"&amp;$A169))-IF(RTD("tos.rtd",,$A$2,"."&amp;F$135&amp;F$1&amp;"P"&amp;$A169)="N/A",0,RTD("tos.rtd",,$A$2,"."&amp;F$135&amp;F$1&amp;"P"&amp;$A169))</f>
        <v>0</v>
      </c>
      <c r="G169" s="91">
        <f ca="1">IF(RTD("tos.rtd",,$A$2,"."&amp;G$135&amp;G$1&amp;"C"&amp;$A169)="N/A",0,RTD("tos.rtd",,$A$2,"."&amp;G$135&amp;G$1&amp;"C"&amp;$A169))-IF(RTD("tos.rtd",,$A$2,"."&amp;G$135&amp;G$1&amp;"P"&amp;$A169)="N/A",0,RTD("tos.rtd",,$A$2,"."&amp;G$135&amp;G$1&amp;"P"&amp;$A169))</f>
        <v>0</v>
      </c>
      <c r="H169" s="91">
        <f ca="1">IF(RTD("tos.rtd",,$A$2,"."&amp;H$135&amp;H$1&amp;"C"&amp;$A169)="N/A",0,RTD("tos.rtd",,$A$2,"."&amp;H$135&amp;H$1&amp;"C"&amp;$A169))-IF(RTD("tos.rtd",,$A$2,"."&amp;H$135&amp;H$1&amp;"P"&amp;$A169)="N/A",0,RTD("tos.rtd",,$A$2,"."&amp;H$135&amp;H$1&amp;"P"&amp;$A169))</f>
        <v>0</v>
      </c>
      <c r="I169" s="91">
        <f ca="1">IF(RTD("tos.rtd",,$A$2,"."&amp;I$135&amp;I$1&amp;"C"&amp;$A169)="N/A",0,RTD("tos.rtd",,$A$2,"."&amp;I$135&amp;I$1&amp;"C"&amp;$A169))-IF(RTD("tos.rtd",,$A$2,"."&amp;I$135&amp;I$1&amp;"P"&amp;$A169)="N/A",0,RTD("tos.rtd",,$A$2,"."&amp;I$135&amp;I$1&amp;"P"&amp;$A169))</f>
        <v>0</v>
      </c>
      <c r="J169" s="91">
        <f ca="1">IF(RTD("tos.rtd",,$A$2,"."&amp;J$135&amp;J$1&amp;"C"&amp;$A169)="N/A",0,RTD("tos.rtd",,$A$2,"."&amp;J$135&amp;J$1&amp;"C"&amp;$A169))-IF(RTD("tos.rtd",,$A$2,"."&amp;J$135&amp;J$1&amp;"P"&amp;$A169)="N/A",0,RTD("tos.rtd",,$A$2,"."&amp;J$135&amp;J$1&amp;"P"&amp;$A169))</f>
        <v>0</v>
      </c>
      <c r="K169" s="91">
        <f ca="1">IF(RTD("tos.rtd",,$A$2,"."&amp;K$135&amp;K$1&amp;"C"&amp;$A169)="N/A",0,RTD("tos.rtd",,$A$2,"."&amp;K$135&amp;K$1&amp;"C"&amp;$A169))-IF(RTD("tos.rtd",,$A$2,"."&amp;K$135&amp;K$1&amp;"P"&amp;$A169)="N/A",0,RTD("tos.rtd",,$A$2,"."&amp;K$135&amp;K$1&amp;"P"&amp;$A169))</f>
        <v>1</v>
      </c>
      <c r="L169" s="91">
        <f ca="1">IF(RTD("tos.rtd",,$A$2,"."&amp;L$135&amp;L$1&amp;"C"&amp;$A169)="N/A",0,RTD("tos.rtd",,$A$2,"."&amp;L$135&amp;L$1&amp;"C"&amp;$A169))-IF(RTD("tos.rtd",,$A$2,"."&amp;L$135&amp;L$1&amp;"P"&amp;$A169)="N/A",0,RTD("tos.rtd",,$A$2,"."&amp;L$135&amp;L$1&amp;"P"&amp;$A169))</f>
        <v>0</v>
      </c>
      <c r="M169" s="91">
        <f ca="1">IF(RTD("tos.rtd",,$A$2,"."&amp;M$135&amp;M$1&amp;"C"&amp;$A169)="N/A",0,RTD("tos.rtd",,$A$2,"."&amp;M$135&amp;M$1&amp;"C"&amp;$A169))-IF(RTD("tos.rtd",,$A$2,"."&amp;M$135&amp;M$1&amp;"P"&amp;$A169)="N/A",0,RTD("tos.rtd",,$A$2,"."&amp;M$135&amp;M$1&amp;"P"&amp;$A169))</f>
        <v>0</v>
      </c>
      <c r="N169" s="91">
        <f ca="1">IF(RTD("tos.rtd",,$A$2,"."&amp;N$135&amp;N$1&amp;"C"&amp;$A169)="N/A",0,RTD("tos.rtd",,$A$2,"."&amp;N$135&amp;N$1&amp;"C"&amp;$A169))-IF(RTD("tos.rtd",,$A$2,"."&amp;N$135&amp;N$1&amp;"P"&amp;$A169)="N/A",0,RTD("tos.rtd",,$A$2,"."&amp;N$135&amp;N$1&amp;"P"&amp;$A169))</f>
        <v>0</v>
      </c>
      <c r="O169" s="91">
        <f ca="1">IF(RTD("tos.rtd",,$A$2,"."&amp;O$135&amp;O$1&amp;"C"&amp;$A169)="N/A",0,RTD("tos.rtd",,$A$2,"."&amp;O$135&amp;O$1&amp;"C"&amp;$A169))-IF(RTD("tos.rtd",,$A$2,"."&amp;O$135&amp;O$1&amp;"P"&amp;$A169)="N/A",0,RTD("tos.rtd",,$A$2,"."&amp;O$135&amp;O$1&amp;"P"&amp;$A169))</f>
        <v>0</v>
      </c>
      <c r="P169" s="91">
        <f ca="1">IF(RTD("tos.rtd",,$A$2,"."&amp;P$135&amp;P$1&amp;"C"&amp;$A169)="N/A",0,RTD("tos.rtd",,$A$2,"."&amp;P$135&amp;P$1&amp;"C"&amp;$A169))-IF(RTD("tos.rtd",,$A$2,"."&amp;P$135&amp;P$1&amp;"P"&amp;$A169)="N/A",0,RTD("tos.rtd",,$A$2,"."&amp;P$135&amp;P$1&amp;"P"&amp;$A169))</f>
        <v>0</v>
      </c>
      <c r="Q169" s="91">
        <f ca="1">IF(RTD("tos.rtd",,$A$2,"."&amp;Q$135&amp;Q$1&amp;"C"&amp;$A169)="N/A",0,RTD("tos.rtd",,$A$2,"."&amp;Q$135&amp;Q$1&amp;"C"&amp;$A169))-IF(RTD("tos.rtd",,$A$2,"."&amp;Q$135&amp;Q$1&amp;"P"&amp;$A169)="N/A",0,RTD("tos.rtd",,$A$2,"."&amp;Q$135&amp;Q$1&amp;"P"&amp;$A169))</f>
        <v>0</v>
      </c>
      <c r="R169" s="91">
        <f ca="1">IF(RTD("tos.rtd",,$A$2,"."&amp;R$135&amp;R$1&amp;"C"&amp;$A169)="N/A",0,RTD("tos.rtd",,$A$2,"."&amp;R$135&amp;R$1&amp;"C"&amp;$A169))-IF(RTD("tos.rtd",,$A$2,"."&amp;R$135&amp;R$1&amp;"P"&amp;$A169)="N/A",0,RTD("tos.rtd",,$A$2,"."&amp;R$135&amp;R$1&amp;"P"&amp;$A169))</f>
        <v>0</v>
      </c>
      <c r="S169" s="91">
        <f ca="1">IF(RTD("tos.rtd",,$A$2,"."&amp;S$135&amp;S$1&amp;"C"&amp;$A169)="N/A",0,RTD("tos.rtd",,$A$2,"."&amp;S$135&amp;S$1&amp;"C"&amp;$A169))-IF(RTD("tos.rtd",,$A$2,"."&amp;S$135&amp;S$1&amp;"P"&amp;$A169)="N/A",0,RTD("tos.rtd",,$A$2,"."&amp;S$135&amp;S$1&amp;"P"&amp;$A169))</f>
        <v>0</v>
      </c>
      <c r="T169" s="91">
        <f ca="1">IF(RTD("tos.rtd",,$A$2,"."&amp;T$135&amp;T$1&amp;"C"&amp;$A169)="N/A",0,RTD("tos.rtd",,$A$2,"."&amp;T$135&amp;T$1&amp;"C"&amp;$A169))-IF(RTD("tos.rtd",,$A$2,"."&amp;T$135&amp;T$1&amp;"P"&amp;$A169)="N/A",0,RTD("tos.rtd",,$A$2,"."&amp;T$135&amp;T$1&amp;"P"&amp;$A169))</f>
        <v>0</v>
      </c>
      <c r="U169" s="91">
        <f ca="1">IF(RTD("tos.rtd",,$A$2,"."&amp;U$135&amp;U$1&amp;"C"&amp;$A169)="N/A",0,RTD("tos.rtd",,$A$2,"."&amp;U$135&amp;U$1&amp;"C"&amp;$A169))-IF(RTD("tos.rtd",,$A$2,"."&amp;U$135&amp;U$1&amp;"P"&amp;$A169)="N/A",0,RTD("tos.rtd",,$A$2,"."&amp;U$135&amp;U$1&amp;"P"&amp;$A169))</f>
        <v>0</v>
      </c>
      <c r="V169" s="91">
        <f ca="1">IF(RTD("tos.rtd",,$A$2,"."&amp;V$135&amp;V$1&amp;"C"&amp;$A169)="N/A",0,RTD("tos.rtd",,$A$2,"."&amp;V$135&amp;V$1&amp;"C"&amp;$A169))-IF(RTD("tos.rtd",,$A$2,"."&amp;V$135&amp;V$1&amp;"P"&amp;$A169)="N/A",0,RTD("tos.rtd",,$A$2,"."&amp;V$135&amp;V$1&amp;"P"&amp;$A169))</f>
        <v>0</v>
      </c>
      <c r="W169" s="91">
        <f ca="1">IF(RTD("tos.rtd",,$A$2,"."&amp;W$135&amp;W$1&amp;"C"&amp;$A169)="N/A",0,RTD("tos.rtd",,$A$2,"."&amp;W$135&amp;W$1&amp;"C"&amp;$A169))-IF(RTD("tos.rtd",,$A$2,"."&amp;W$135&amp;W$1&amp;"P"&amp;$A169)="N/A",0,RTD("tos.rtd",,$A$2,"."&amp;W$135&amp;W$1&amp;"P"&amp;$A169))</f>
        <v>0</v>
      </c>
      <c r="X169" s="91">
        <f ca="1">IF(RTD("tos.rtd",,$A$2,"."&amp;X$135&amp;X$1&amp;"C"&amp;$A169)="N/A",0,RTD("tos.rtd",,$A$2,"."&amp;X$135&amp;X$1&amp;"C"&amp;$A169))-IF(RTD("tos.rtd",,$A$2,"."&amp;X$135&amp;X$1&amp;"P"&amp;$A169)="N/A",0,RTD("tos.rtd",,$A$2,"."&amp;X$135&amp;X$1&amp;"P"&amp;$A169))</f>
        <v>0</v>
      </c>
      <c r="Y169" s="98">
        <f t="shared" ca="1" si="13"/>
        <v>1</v>
      </c>
      <c r="Z169" s="91"/>
      <c r="AA169" s="91"/>
    </row>
    <row r="170" spans="1:27" x14ac:dyDescent="0.25">
      <c r="A170" s="93">
        <f>+Hoja1!A169</f>
        <v>19750</v>
      </c>
      <c r="B170" s="91">
        <f ca="1">IF(RTD("tos.rtd",,$A$2,"."&amp;B$135&amp;B$1&amp;"C"&amp;$A170)="N/A",0,RTD("tos.rtd",,$A$2,"."&amp;B$135&amp;B$1&amp;"C"&amp;$A170))-IF(RTD("tos.rtd",,$A$2,"."&amp;B$135&amp;B$1&amp;"P"&amp;$A170)="N/A",0,RTD("tos.rtd",,$A$2,"."&amp;B$135&amp;B$1&amp;"P"&amp;$A170))</f>
        <v>0</v>
      </c>
      <c r="C170" s="91">
        <f ca="1">IF(RTD("tos.rtd",,$A$2,"."&amp;C$135&amp;C$1&amp;"C"&amp;$A170)="N/A",0,RTD("tos.rtd",,$A$2,"."&amp;C$135&amp;C$1&amp;"C"&amp;$A170))-IF(RTD("tos.rtd",,$A$2,"."&amp;C$135&amp;C$1&amp;"P"&amp;$A170)="N/A",0,RTD("tos.rtd",,$A$2,"."&amp;C$135&amp;C$1&amp;"P"&amp;$A170))</f>
        <v>0</v>
      </c>
      <c r="D170" s="91">
        <f ca="1">IF(RTD("tos.rtd",,$A$2,"."&amp;D$135&amp;D$1&amp;"C"&amp;$A170)="N/A",0,RTD("tos.rtd",,$A$2,"."&amp;D$135&amp;D$1&amp;"C"&amp;$A170))-IF(RTD("tos.rtd",,$A$2,"."&amp;D$135&amp;D$1&amp;"P"&amp;$A170)="N/A",0,RTD("tos.rtd",,$A$2,"."&amp;D$135&amp;D$1&amp;"P"&amp;$A170))</f>
        <v>0</v>
      </c>
      <c r="E170" s="91">
        <f ca="1">IF(RTD("tos.rtd",,$A$2,"."&amp;E$135&amp;E$1&amp;"C"&amp;$A170)="N/A",0,RTD("tos.rtd",,$A$2,"."&amp;E$135&amp;E$1&amp;"C"&amp;$A170))-IF(RTD("tos.rtd",,$A$2,"."&amp;E$135&amp;E$1&amp;"P"&amp;$A170)="N/A",0,RTD("tos.rtd",,$A$2,"."&amp;E$135&amp;E$1&amp;"P"&amp;$A170))</f>
        <v>0</v>
      </c>
      <c r="F170" s="91">
        <f ca="1">IF(RTD("tos.rtd",,$A$2,"."&amp;F$135&amp;F$1&amp;"C"&amp;$A170)="N/A",0,RTD("tos.rtd",,$A$2,"."&amp;F$135&amp;F$1&amp;"C"&amp;$A170))-IF(RTD("tos.rtd",,$A$2,"."&amp;F$135&amp;F$1&amp;"P"&amp;$A170)="N/A",0,RTD("tos.rtd",,$A$2,"."&amp;F$135&amp;F$1&amp;"P"&amp;$A170))</f>
        <v>0</v>
      </c>
      <c r="G170" s="91">
        <f ca="1">IF(RTD("tos.rtd",,$A$2,"."&amp;G$135&amp;G$1&amp;"C"&amp;$A170)="N/A",0,RTD("tos.rtd",,$A$2,"."&amp;G$135&amp;G$1&amp;"C"&amp;$A170))-IF(RTD("tos.rtd",,$A$2,"."&amp;G$135&amp;G$1&amp;"P"&amp;$A170)="N/A",0,RTD("tos.rtd",,$A$2,"."&amp;G$135&amp;G$1&amp;"P"&amp;$A170))</f>
        <v>0</v>
      </c>
      <c r="H170" s="91">
        <f ca="1">IF(RTD("tos.rtd",,$A$2,"."&amp;H$135&amp;H$1&amp;"C"&amp;$A170)="N/A",0,RTD("tos.rtd",,$A$2,"."&amp;H$135&amp;H$1&amp;"C"&amp;$A170))-IF(RTD("tos.rtd",,$A$2,"."&amp;H$135&amp;H$1&amp;"P"&amp;$A170)="N/A",0,RTD("tos.rtd",,$A$2,"."&amp;H$135&amp;H$1&amp;"P"&amp;$A170))</f>
        <v>0</v>
      </c>
      <c r="I170" s="91">
        <f ca="1">IF(RTD("tos.rtd",,$A$2,"."&amp;I$135&amp;I$1&amp;"C"&amp;$A170)="N/A",0,RTD("tos.rtd",,$A$2,"."&amp;I$135&amp;I$1&amp;"C"&amp;$A170))-IF(RTD("tos.rtd",,$A$2,"."&amp;I$135&amp;I$1&amp;"P"&amp;$A170)="N/A",0,RTD("tos.rtd",,$A$2,"."&amp;I$135&amp;I$1&amp;"P"&amp;$A170))</f>
        <v>0</v>
      </c>
      <c r="J170" s="91">
        <f ca="1">IF(RTD("tos.rtd",,$A$2,"."&amp;J$135&amp;J$1&amp;"C"&amp;$A170)="N/A",0,RTD("tos.rtd",,$A$2,"."&amp;J$135&amp;J$1&amp;"C"&amp;$A170))-IF(RTD("tos.rtd",,$A$2,"."&amp;J$135&amp;J$1&amp;"P"&amp;$A170)="N/A",0,RTD("tos.rtd",,$A$2,"."&amp;J$135&amp;J$1&amp;"P"&amp;$A170))</f>
        <v>0</v>
      </c>
      <c r="K170" s="91">
        <f ca="1">IF(RTD("tos.rtd",,$A$2,"."&amp;K$135&amp;K$1&amp;"C"&amp;$A170)="N/A",0,RTD("tos.rtd",,$A$2,"."&amp;K$135&amp;K$1&amp;"C"&amp;$A170))-IF(RTD("tos.rtd",,$A$2,"."&amp;K$135&amp;K$1&amp;"P"&amp;$A170)="N/A",0,RTD("tos.rtd",,$A$2,"."&amp;K$135&amp;K$1&amp;"P"&amp;$A170))</f>
        <v>-4</v>
      </c>
      <c r="L170" s="91">
        <f ca="1">IF(RTD("tos.rtd",,$A$2,"."&amp;L$135&amp;L$1&amp;"C"&amp;$A170)="N/A",0,RTD("tos.rtd",,$A$2,"."&amp;L$135&amp;L$1&amp;"C"&amp;$A170))-IF(RTD("tos.rtd",,$A$2,"."&amp;L$135&amp;L$1&amp;"P"&amp;$A170)="N/A",0,RTD("tos.rtd",,$A$2,"."&amp;L$135&amp;L$1&amp;"P"&amp;$A170))</f>
        <v>0</v>
      </c>
      <c r="M170" s="91">
        <f ca="1">IF(RTD("tos.rtd",,$A$2,"."&amp;M$135&amp;M$1&amp;"C"&amp;$A170)="N/A",0,RTD("tos.rtd",,$A$2,"."&amp;M$135&amp;M$1&amp;"C"&amp;$A170))-IF(RTD("tos.rtd",,$A$2,"."&amp;M$135&amp;M$1&amp;"P"&amp;$A170)="N/A",0,RTD("tos.rtd",,$A$2,"."&amp;M$135&amp;M$1&amp;"P"&amp;$A170))</f>
        <v>0</v>
      </c>
      <c r="N170" s="91">
        <f ca="1">IF(RTD("tos.rtd",,$A$2,"."&amp;N$135&amp;N$1&amp;"C"&amp;$A170)="N/A",0,RTD("tos.rtd",,$A$2,"."&amp;N$135&amp;N$1&amp;"C"&amp;$A170))-IF(RTD("tos.rtd",,$A$2,"."&amp;N$135&amp;N$1&amp;"P"&amp;$A170)="N/A",0,RTD("tos.rtd",,$A$2,"."&amp;N$135&amp;N$1&amp;"P"&amp;$A170))</f>
        <v>0</v>
      </c>
      <c r="O170" s="91">
        <f ca="1">IF(RTD("tos.rtd",,$A$2,"."&amp;O$135&amp;O$1&amp;"C"&amp;$A170)="N/A",0,RTD("tos.rtd",,$A$2,"."&amp;O$135&amp;O$1&amp;"C"&amp;$A170))-IF(RTD("tos.rtd",,$A$2,"."&amp;O$135&amp;O$1&amp;"P"&amp;$A170)="N/A",0,RTD("tos.rtd",,$A$2,"."&amp;O$135&amp;O$1&amp;"P"&amp;$A170))</f>
        <v>0</v>
      </c>
      <c r="P170" s="91">
        <f ca="1">IF(RTD("tos.rtd",,$A$2,"."&amp;P$135&amp;P$1&amp;"C"&amp;$A170)="N/A",0,RTD("tos.rtd",,$A$2,"."&amp;P$135&amp;P$1&amp;"C"&amp;$A170))-IF(RTD("tos.rtd",,$A$2,"."&amp;P$135&amp;P$1&amp;"P"&amp;$A170)="N/A",0,RTD("tos.rtd",,$A$2,"."&amp;P$135&amp;P$1&amp;"P"&amp;$A170))</f>
        <v>0</v>
      </c>
      <c r="Q170" s="91">
        <f ca="1">IF(RTD("tos.rtd",,$A$2,"."&amp;Q$135&amp;Q$1&amp;"C"&amp;$A170)="N/A",0,RTD("tos.rtd",,$A$2,"."&amp;Q$135&amp;Q$1&amp;"C"&amp;$A170))-IF(RTD("tos.rtd",,$A$2,"."&amp;Q$135&amp;Q$1&amp;"P"&amp;$A170)="N/A",0,RTD("tos.rtd",,$A$2,"."&amp;Q$135&amp;Q$1&amp;"P"&amp;$A170))</f>
        <v>0</v>
      </c>
      <c r="R170" s="91">
        <f ca="1">IF(RTD("tos.rtd",,$A$2,"."&amp;R$135&amp;R$1&amp;"C"&amp;$A170)="N/A",0,RTD("tos.rtd",,$A$2,"."&amp;R$135&amp;R$1&amp;"C"&amp;$A170))-IF(RTD("tos.rtd",,$A$2,"."&amp;R$135&amp;R$1&amp;"P"&amp;$A170)="N/A",0,RTD("tos.rtd",,$A$2,"."&amp;R$135&amp;R$1&amp;"P"&amp;$A170))</f>
        <v>0</v>
      </c>
      <c r="S170" s="91">
        <f ca="1">IF(RTD("tos.rtd",,$A$2,"."&amp;S$135&amp;S$1&amp;"C"&amp;$A170)="N/A",0,RTD("tos.rtd",,$A$2,"."&amp;S$135&amp;S$1&amp;"C"&amp;$A170))-IF(RTD("tos.rtd",,$A$2,"."&amp;S$135&amp;S$1&amp;"P"&amp;$A170)="N/A",0,RTD("tos.rtd",,$A$2,"."&amp;S$135&amp;S$1&amp;"P"&amp;$A170))</f>
        <v>0</v>
      </c>
      <c r="T170" s="91">
        <f ca="1">IF(RTD("tos.rtd",,$A$2,"."&amp;T$135&amp;T$1&amp;"C"&amp;$A170)="N/A",0,RTD("tos.rtd",,$A$2,"."&amp;T$135&amp;T$1&amp;"C"&amp;$A170))-IF(RTD("tos.rtd",,$A$2,"."&amp;T$135&amp;T$1&amp;"P"&amp;$A170)="N/A",0,RTD("tos.rtd",,$A$2,"."&amp;T$135&amp;T$1&amp;"P"&amp;$A170))</f>
        <v>0</v>
      </c>
      <c r="U170" s="91">
        <f ca="1">IF(RTD("tos.rtd",,$A$2,"."&amp;U$135&amp;U$1&amp;"C"&amp;$A170)="N/A",0,RTD("tos.rtd",,$A$2,"."&amp;U$135&amp;U$1&amp;"C"&amp;$A170))-IF(RTD("tos.rtd",,$A$2,"."&amp;U$135&amp;U$1&amp;"P"&amp;$A170)="N/A",0,RTD("tos.rtd",,$A$2,"."&amp;U$135&amp;U$1&amp;"P"&amp;$A170))</f>
        <v>0</v>
      </c>
      <c r="V170" s="91">
        <f ca="1">IF(RTD("tos.rtd",,$A$2,"."&amp;V$135&amp;V$1&amp;"C"&amp;$A170)="N/A",0,RTD("tos.rtd",,$A$2,"."&amp;V$135&amp;V$1&amp;"C"&amp;$A170))-IF(RTD("tos.rtd",,$A$2,"."&amp;V$135&amp;V$1&amp;"P"&amp;$A170)="N/A",0,RTD("tos.rtd",,$A$2,"."&amp;V$135&amp;V$1&amp;"P"&amp;$A170))</f>
        <v>0</v>
      </c>
      <c r="W170" s="91">
        <f ca="1">IF(RTD("tos.rtd",,$A$2,"."&amp;W$135&amp;W$1&amp;"C"&amp;$A170)="N/A",0,RTD("tos.rtd",,$A$2,"."&amp;W$135&amp;W$1&amp;"C"&amp;$A170))-IF(RTD("tos.rtd",,$A$2,"."&amp;W$135&amp;W$1&amp;"P"&amp;$A170)="N/A",0,RTD("tos.rtd",,$A$2,"."&amp;W$135&amp;W$1&amp;"P"&amp;$A170))</f>
        <v>0</v>
      </c>
      <c r="X170" s="91">
        <f ca="1">IF(RTD("tos.rtd",,$A$2,"."&amp;X$135&amp;X$1&amp;"C"&amp;$A170)="N/A",0,RTD("tos.rtd",,$A$2,"."&amp;X$135&amp;X$1&amp;"C"&amp;$A170))-IF(RTD("tos.rtd",,$A$2,"."&amp;X$135&amp;X$1&amp;"P"&amp;$A170)="N/A",0,RTD("tos.rtd",,$A$2,"."&amp;X$135&amp;X$1&amp;"P"&amp;$A170))</f>
        <v>0</v>
      </c>
      <c r="Y170" s="98">
        <f t="shared" ca="1" si="13"/>
        <v>-4</v>
      </c>
      <c r="Z170" s="91"/>
      <c r="AA170" s="91"/>
    </row>
    <row r="171" spans="1:27" x14ac:dyDescent="0.25">
      <c r="A171" s="93">
        <f>+Hoja1!A170</f>
        <v>19725</v>
      </c>
      <c r="B171" s="91">
        <f ca="1">IF(RTD("tos.rtd",,$A$2,"."&amp;B$135&amp;B$1&amp;"C"&amp;$A171)="N/A",0,RTD("tos.rtd",,$A$2,"."&amp;B$135&amp;B$1&amp;"C"&amp;$A171))-IF(RTD("tos.rtd",,$A$2,"."&amp;B$135&amp;B$1&amp;"P"&amp;$A171)="N/A",0,RTD("tos.rtd",,$A$2,"."&amp;B$135&amp;B$1&amp;"P"&amp;$A171))</f>
        <v>0</v>
      </c>
      <c r="C171" s="91">
        <f ca="1">IF(RTD("tos.rtd",,$A$2,"."&amp;C$135&amp;C$1&amp;"C"&amp;$A171)="N/A",0,RTD("tos.rtd",,$A$2,"."&amp;C$135&amp;C$1&amp;"C"&amp;$A171))-IF(RTD("tos.rtd",,$A$2,"."&amp;C$135&amp;C$1&amp;"P"&amp;$A171)="N/A",0,RTD("tos.rtd",,$A$2,"."&amp;C$135&amp;C$1&amp;"P"&amp;$A171))</f>
        <v>0</v>
      </c>
      <c r="D171" s="91">
        <f ca="1">IF(RTD("tos.rtd",,$A$2,"."&amp;D$135&amp;D$1&amp;"C"&amp;$A171)="N/A",0,RTD("tos.rtd",,$A$2,"."&amp;D$135&amp;D$1&amp;"C"&amp;$A171))-IF(RTD("tos.rtd",,$A$2,"."&amp;D$135&amp;D$1&amp;"P"&amp;$A171)="N/A",0,RTD("tos.rtd",,$A$2,"."&amp;D$135&amp;D$1&amp;"P"&amp;$A171))</f>
        <v>0</v>
      </c>
      <c r="E171" s="91">
        <f ca="1">IF(RTD("tos.rtd",,$A$2,"."&amp;E$135&amp;E$1&amp;"C"&amp;$A171)="N/A",0,RTD("tos.rtd",,$A$2,"."&amp;E$135&amp;E$1&amp;"C"&amp;$A171))-IF(RTD("tos.rtd",,$A$2,"."&amp;E$135&amp;E$1&amp;"P"&amp;$A171)="N/A",0,RTD("tos.rtd",,$A$2,"."&amp;E$135&amp;E$1&amp;"P"&amp;$A171))</f>
        <v>0</v>
      </c>
      <c r="F171" s="91">
        <f ca="1">IF(RTD("tos.rtd",,$A$2,"."&amp;F$135&amp;F$1&amp;"C"&amp;$A171)="N/A",0,RTD("tos.rtd",,$A$2,"."&amp;F$135&amp;F$1&amp;"C"&amp;$A171))-IF(RTD("tos.rtd",,$A$2,"."&amp;F$135&amp;F$1&amp;"P"&amp;$A171)="N/A",0,RTD("tos.rtd",,$A$2,"."&amp;F$135&amp;F$1&amp;"P"&amp;$A171))</f>
        <v>0</v>
      </c>
      <c r="G171" s="91">
        <f ca="1">IF(RTD("tos.rtd",,$A$2,"."&amp;G$135&amp;G$1&amp;"C"&amp;$A171)="N/A",0,RTD("tos.rtd",,$A$2,"."&amp;G$135&amp;G$1&amp;"C"&amp;$A171))-IF(RTD("tos.rtd",,$A$2,"."&amp;G$135&amp;G$1&amp;"P"&amp;$A171)="N/A",0,RTD("tos.rtd",,$A$2,"."&amp;G$135&amp;G$1&amp;"P"&amp;$A171))</f>
        <v>0</v>
      </c>
      <c r="H171" s="91">
        <f ca="1">IF(RTD("tos.rtd",,$A$2,"."&amp;H$135&amp;H$1&amp;"C"&amp;$A171)="N/A",0,RTD("tos.rtd",,$A$2,"."&amp;H$135&amp;H$1&amp;"C"&amp;$A171))-IF(RTD("tos.rtd",,$A$2,"."&amp;H$135&amp;H$1&amp;"P"&amp;$A171)="N/A",0,RTD("tos.rtd",,$A$2,"."&amp;H$135&amp;H$1&amp;"P"&amp;$A171))</f>
        <v>0</v>
      </c>
      <c r="I171" s="91">
        <f ca="1">IF(RTD("tos.rtd",,$A$2,"."&amp;I$135&amp;I$1&amp;"C"&amp;$A171)="N/A",0,RTD("tos.rtd",,$A$2,"."&amp;I$135&amp;I$1&amp;"C"&amp;$A171))-IF(RTD("tos.rtd",,$A$2,"."&amp;I$135&amp;I$1&amp;"P"&amp;$A171)="N/A",0,RTD("tos.rtd",,$A$2,"."&amp;I$135&amp;I$1&amp;"P"&amp;$A171))</f>
        <v>0</v>
      </c>
      <c r="J171" s="91">
        <f ca="1">IF(RTD("tos.rtd",,$A$2,"."&amp;J$135&amp;J$1&amp;"C"&amp;$A171)="N/A",0,RTD("tos.rtd",,$A$2,"."&amp;J$135&amp;J$1&amp;"C"&amp;$A171))-IF(RTD("tos.rtd",,$A$2,"."&amp;J$135&amp;J$1&amp;"P"&amp;$A171)="N/A",0,RTD("tos.rtd",,$A$2,"."&amp;J$135&amp;J$1&amp;"P"&amp;$A171))</f>
        <v>0</v>
      </c>
      <c r="K171" s="91">
        <f ca="1">IF(RTD("tos.rtd",,$A$2,"."&amp;K$135&amp;K$1&amp;"C"&amp;$A171)="N/A",0,RTD("tos.rtd",,$A$2,"."&amp;K$135&amp;K$1&amp;"C"&amp;$A171))-IF(RTD("tos.rtd",,$A$2,"."&amp;K$135&amp;K$1&amp;"P"&amp;$A171)="N/A",0,RTD("tos.rtd",,$A$2,"."&amp;K$135&amp;K$1&amp;"P"&amp;$A171))</f>
        <v>0</v>
      </c>
      <c r="L171" s="91">
        <f ca="1">IF(RTD("tos.rtd",,$A$2,"."&amp;L$135&amp;L$1&amp;"C"&amp;$A171)="N/A",0,RTD("tos.rtd",,$A$2,"."&amp;L$135&amp;L$1&amp;"C"&amp;$A171))-IF(RTD("tos.rtd",,$A$2,"."&amp;L$135&amp;L$1&amp;"P"&amp;$A171)="N/A",0,RTD("tos.rtd",,$A$2,"."&amp;L$135&amp;L$1&amp;"P"&amp;$A171))</f>
        <v>0</v>
      </c>
      <c r="M171" s="91">
        <f ca="1">IF(RTD("tos.rtd",,$A$2,"."&amp;M$135&amp;M$1&amp;"C"&amp;$A171)="N/A",0,RTD("tos.rtd",,$A$2,"."&amp;M$135&amp;M$1&amp;"C"&amp;$A171))-IF(RTD("tos.rtd",,$A$2,"."&amp;M$135&amp;M$1&amp;"P"&amp;$A171)="N/A",0,RTD("tos.rtd",,$A$2,"."&amp;M$135&amp;M$1&amp;"P"&amp;$A171))</f>
        <v>0</v>
      </c>
      <c r="N171" s="91">
        <f ca="1">IF(RTD("tos.rtd",,$A$2,"."&amp;N$135&amp;N$1&amp;"C"&amp;$A171)="N/A",0,RTD("tos.rtd",,$A$2,"."&amp;N$135&amp;N$1&amp;"C"&amp;$A171))-IF(RTD("tos.rtd",,$A$2,"."&amp;N$135&amp;N$1&amp;"P"&amp;$A171)="N/A",0,RTD("tos.rtd",,$A$2,"."&amp;N$135&amp;N$1&amp;"P"&amp;$A171))</f>
        <v>0</v>
      </c>
      <c r="O171" s="91">
        <f ca="1">IF(RTD("tos.rtd",,$A$2,"."&amp;O$135&amp;O$1&amp;"C"&amp;$A171)="N/A",0,RTD("tos.rtd",,$A$2,"."&amp;O$135&amp;O$1&amp;"C"&amp;$A171))-IF(RTD("tos.rtd",,$A$2,"."&amp;O$135&amp;O$1&amp;"P"&amp;$A171)="N/A",0,RTD("tos.rtd",,$A$2,"."&amp;O$135&amp;O$1&amp;"P"&amp;$A171))</f>
        <v>0</v>
      </c>
      <c r="P171" s="91">
        <f ca="1">IF(RTD("tos.rtd",,$A$2,"."&amp;P$135&amp;P$1&amp;"C"&amp;$A171)="N/A",0,RTD("tos.rtd",,$A$2,"."&amp;P$135&amp;P$1&amp;"C"&amp;$A171))-IF(RTD("tos.rtd",,$A$2,"."&amp;P$135&amp;P$1&amp;"P"&amp;$A171)="N/A",0,RTD("tos.rtd",,$A$2,"."&amp;P$135&amp;P$1&amp;"P"&amp;$A171))</f>
        <v>0</v>
      </c>
      <c r="Q171" s="91">
        <f ca="1">IF(RTD("tos.rtd",,$A$2,"."&amp;Q$135&amp;Q$1&amp;"C"&amp;$A171)="N/A",0,RTD("tos.rtd",,$A$2,"."&amp;Q$135&amp;Q$1&amp;"C"&amp;$A171))-IF(RTD("tos.rtd",,$A$2,"."&amp;Q$135&amp;Q$1&amp;"P"&amp;$A171)="N/A",0,RTD("tos.rtd",,$A$2,"."&amp;Q$135&amp;Q$1&amp;"P"&amp;$A171))</f>
        <v>0</v>
      </c>
      <c r="R171" s="91">
        <f ca="1">IF(RTD("tos.rtd",,$A$2,"."&amp;R$135&amp;R$1&amp;"C"&amp;$A171)="N/A",0,RTD("tos.rtd",,$A$2,"."&amp;R$135&amp;R$1&amp;"C"&amp;$A171))-IF(RTD("tos.rtd",,$A$2,"."&amp;R$135&amp;R$1&amp;"P"&amp;$A171)="N/A",0,RTD("tos.rtd",,$A$2,"."&amp;R$135&amp;R$1&amp;"P"&amp;$A171))</f>
        <v>0</v>
      </c>
      <c r="S171" s="91">
        <f ca="1">IF(RTD("tos.rtd",,$A$2,"."&amp;S$135&amp;S$1&amp;"C"&amp;$A171)="N/A",0,RTD("tos.rtd",,$A$2,"."&amp;S$135&amp;S$1&amp;"C"&amp;$A171))-IF(RTD("tos.rtd",,$A$2,"."&amp;S$135&amp;S$1&amp;"P"&amp;$A171)="N/A",0,RTD("tos.rtd",,$A$2,"."&amp;S$135&amp;S$1&amp;"P"&amp;$A171))</f>
        <v>0</v>
      </c>
      <c r="T171" s="91">
        <f ca="1">IF(RTD("tos.rtd",,$A$2,"."&amp;T$135&amp;T$1&amp;"C"&amp;$A171)="N/A",0,RTD("tos.rtd",,$A$2,"."&amp;T$135&amp;T$1&amp;"C"&amp;$A171))-IF(RTD("tos.rtd",,$A$2,"."&amp;T$135&amp;T$1&amp;"P"&amp;$A171)="N/A",0,RTD("tos.rtd",,$A$2,"."&amp;T$135&amp;T$1&amp;"P"&amp;$A171))</f>
        <v>0</v>
      </c>
      <c r="U171" s="91">
        <f ca="1">IF(RTD("tos.rtd",,$A$2,"."&amp;U$135&amp;U$1&amp;"C"&amp;$A171)="N/A",0,RTD("tos.rtd",,$A$2,"."&amp;U$135&amp;U$1&amp;"C"&amp;$A171))-IF(RTD("tos.rtd",,$A$2,"."&amp;U$135&amp;U$1&amp;"P"&amp;$A171)="N/A",0,RTD("tos.rtd",,$A$2,"."&amp;U$135&amp;U$1&amp;"P"&amp;$A171))</f>
        <v>0</v>
      </c>
      <c r="V171" s="91">
        <f ca="1">IF(RTD("tos.rtd",,$A$2,"."&amp;V$135&amp;V$1&amp;"C"&amp;$A171)="N/A",0,RTD("tos.rtd",,$A$2,"."&amp;V$135&amp;V$1&amp;"C"&amp;$A171))-IF(RTD("tos.rtd",,$A$2,"."&amp;V$135&amp;V$1&amp;"P"&amp;$A171)="N/A",0,RTD("tos.rtd",,$A$2,"."&amp;V$135&amp;V$1&amp;"P"&amp;$A171))</f>
        <v>0</v>
      </c>
      <c r="W171" s="91">
        <f ca="1">IF(RTD("tos.rtd",,$A$2,"."&amp;W$135&amp;W$1&amp;"C"&amp;$A171)="N/A",0,RTD("tos.rtd",,$A$2,"."&amp;W$135&amp;W$1&amp;"C"&amp;$A171))-IF(RTD("tos.rtd",,$A$2,"."&amp;W$135&amp;W$1&amp;"P"&amp;$A171)="N/A",0,RTD("tos.rtd",,$A$2,"."&amp;W$135&amp;W$1&amp;"P"&amp;$A171))</f>
        <v>0</v>
      </c>
      <c r="X171" s="91">
        <f ca="1">IF(RTD("tos.rtd",,$A$2,"."&amp;X$135&amp;X$1&amp;"C"&amp;$A171)="N/A",0,RTD("tos.rtd",,$A$2,"."&amp;X$135&amp;X$1&amp;"C"&amp;$A171))-IF(RTD("tos.rtd",,$A$2,"."&amp;X$135&amp;X$1&amp;"P"&amp;$A171)="N/A",0,RTD("tos.rtd",,$A$2,"."&amp;X$135&amp;X$1&amp;"P"&amp;$A171))</f>
        <v>0</v>
      </c>
      <c r="Y171" s="98">
        <f t="shared" ca="1" si="13"/>
        <v>0</v>
      </c>
      <c r="Z171" s="91"/>
      <c r="AA171" s="91"/>
    </row>
    <row r="172" spans="1:27" x14ac:dyDescent="0.25">
      <c r="A172" s="93">
        <f>+Hoja1!A171</f>
        <v>19700</v>
      </c>
      <c r="B172" s="91">
        <f ca="1">IF(RTD("tos.rtd",,$A$2,"."&amp;B$135&amp;B$1&amp;"C"&amp;$A172)="N/A",0,RTD("tos.rtd",,$A$2,"."&amp;B$135&amp;B$1&amp;"C"&amp;$A172))-IF(RTD("tos.rtd",,$A$2,"."&amp;B$135&amp;B$1&amp;"P"&amp;$A172)="N/A",0,RTD("tos.rtd",,$A$2,"."&amp;B$135&amp;B$1&amp;"P"&amp;$A172))</f>
        <v>0</v>
      </c>
      <c r="C172" s="91">
        <f ca="1">IF(RTD("tos.rtd",,$A$2,"."&amp;C$135&amp;C$1&amp;"C"&amp;$A172)="N/A",0,RTD("tos.rtd",,$A$2,"."&amp;C$135&amp;C$1&amp;"C"&amp;$A172))-IF(RTD("tos.rtd",,$A$2,"."&amp;C$135&amp;C$1&amp;"P"&amp;$A172)="N/A",0,RTD("tos.rtd",,$A$2,"."&amp;C$135&amp;C$1&amp;"P"&amp;$A172))</f>
        <v>0</v>
      </c>
      <c r="D172" s="91">
        <f ca="1">IF(RTD("tos.rtd",,$A$2,"."&amp;D$135&amp;D$1&amp;"C"&amp;$A172)="N/A",0,RTD("tos.rtd",,$A$2,"."&amp;D$135&amp;D$1&amp;"C"&amp;$A172))-IF(RTD("tos.rtd",,$A$2,"."&amp;D$135&amp;D$1&amp;"P"&amp;$A172)="N/A",0,RTD("tos.rtd",,$A$2,"."&amp;D$135&amp;D$1&amp;"P"&amp;$A172))</f>
        <v>0</v>
      </c>
      <c r="E172" s="91">
        <f ca="1">IF(RTD("tos.rtd",,$A$2,"."&amp;E$135&amp;E$1&amp;"C"&amp;$A172)="N/A",0,RTD("tos.rtd",,$A$2,"."&amp;E$135&amp;E$1&amp;"C"&amp;$A172))-IF(RTD("tos.rtd",,$A$2,"."&amp;E$135&amp;E$1&amp;"P"&amp;$A172)="N/A",0,RTD("tos.rtd",,$A$2,"."&amp;E$135&amp;E$1&amp;"P"&amp;$A172))</f>
        <v>0</v>
      </c>
      <c r="F172" s="91">
        <f ca="1">IF(RTD("tos.rtd",,$A$2,"."&amp;F$135&amp;F$1&amp;"C"&amp;$A172)="N/A",0,RTD("tos.rtd",,$A$2,"."&amp;F$135&amp;F$1&amp;"C"&amp;$A172))-IF(RTD("tos.rtd",,$A$2,"."&amp;F$135&amp;F$1&amp;"P"&amp;$A172)="N/A",0,RTD("tos.rtd",,$A$2,"."&amp;F$135&amp;F$1&amp;"P"&amp;$A172))</f>
        <v>0</v>
      </c>
      <c r="G172" s="91">
        <f ca="1">IF(RTD("tos.rtd",,$A$2,"."&amp;G$135&amp;G$1&amp;"C"&amp;$A172)="N/A",0,RTD("tos.rtd",,$A$2,"."&amp;G$135&amp;G$1&amp;"C"&amp;$A172))-IF(RTD("tos.rtd",,$A$2,"."&amp;G$135&amp;G$1&amp;"P"&amp;$A172)="N/A",0,RTD("tos.rtd",,$A$2,"."&amp;G$135&amp;G$1&amp;"P"&amp;$A172))</f>
        <v>0</v>
      </c>
      <c r="H172" s="91">
        <f ca="1">IF(RTD("tos.rtd",,$A$2,"."&amp;H$135&amp;H$1&amp;"C"&amp;$A172)="N/A",0,RTD("tos.rtd",,$A$2,"."&amp;H$135&amp;H$1&amp;"C"&amp;$A172))-IF(RTD("tos.rtd",,$A$2,"."&amp;H$135&amp;H$1&amp;"P"&amp;$A172)="N/A",0,RTD("tos.rtd",,$A$2,"."&amp;H$135&amp;H$1&amp;"P"&amp;$A172))</f>
        <v>0</v>
      </c>
      <c r="I172" s="91">
        <f ca="1">IF(RTD("tos.rtd",,$A$2,"."&amp;I$135&amp;I$1&amp;"C"&amp;$A172)="N/A",0,RTD("tos.rtd",,$A$2,"."&amp;I$135&amp;I$1&amp;"C"&amp;$A172))-IF(RTD("tos.rtd",,$A$2,"."&amp;I$135&amp;I$1&amp;"P"&amp;$A172)="N/A",0,RTD("tos.rtd",,$A$2,"."&amp;I$135&amp;I$1&amp;"P"&amp;$A172))</f>
        <v>0</v>
      </c>
      <c r="J172" s="91">
        <f ca="1">IF(RTD("tos.rtd",,$A$2,"."&amp;J$135&amp;J$1&amp;"C"&amp;$A172)="N/A",0,RTD("tos.rtd",,$A$2,"."&amp;J$135&amp;J$1&amp;"C"&amp;$A172))-IF(RTD("tos.rtd",,$A$2,"."&amp;J$135&amp;J$1&amp;"P"&amp;$A172)="N/A",0,RTD("tos.rtd",,$A$2,"."&amp;J$135&amp;J$1&amp;"P"&amp;$A172))</f>
        <v>0</v>
      </c>
      <c r="K172" s="91">
        <f ca="1">IF(RTD("tos.rtd",,$A$2,"."&amp;K$135&amp;K$1&amp;"C"&amp;$A172)="N/A",0,RTD("tos.rtd",,$A$2,"."&amp;K$135&amp;K$1&amp;"C"&amp;$A172))-IF(RTD("tos.rtd",,$A$2,"."&amp;K$135&amp;K$1&amp;"P"&amp;$A172)="N/A",0,RTD("tos.rtd",,$A$2,"."&amp;K$135&amp;K$1&amp;"P"&amp;$A172))</f>
        <v>-1</v>
      </c>
      <c r="L172" s="91">
        <f ca="1">IF(RTD("tos.rtd",,$A$2,"."&amp;L$135&amp;L$1&amp;"C"&amp;$A172)="N/A",0,RTD("tos.rtd",,$A$2,"."&amp;L$135&amp;L$1&amp;"C"&amp;$A172))-IF(RTD("tos.rtd",,$A$2,"."&amp;L$135&amp;L$1&amp;"P"&amp;$A172)="N/A",0,RTD("tos.rtd",,$A$2,"."&amp;L$135&amp;L$1&amp;"P"&amp;$A172))</f>
        <v>0</v>
      </c>
      <c r="M172" s="91">
        <f ca="1">IF(RTD("tos.rtd",,$A$2,"."&amp;M$135&amp;M$1&amp;"C"&amp;$A172)="N/A",0,RTD("tos.rtd",,$A$2,"."&amp;M$135&amp;M$1&amp;"C"&amp;$A172))-IF(RTD("tos.rtd",,$A$2,"."&amp;M$135&amp;M$1&amp;"P"&amp;$A172)="N/A",0,RTD("tos.rtd",,$A$2,"."&amp;M$135&amp;M$1&amp;"P"&amp;$A172))</f>
        <v>0</v>
      </c>
      <c r="N172" s="91">
        <f ca="1">IF(RTD("tos.rtd",,$A$2,"."&amp;N$135&amp;N$1&amp;"C"&amp;$A172)="N/A",0,RTD("tos.rtd",,$A$2,"."&amp;N$135&amp;N$1&amp;"C"&amp;$A172))-IF(RTD("tos.rtd",,$A$2,"."&amp;N$135&amp;N$1&amp;"P"&amp;$A172)="N/A",0,RTD("tos.rtd",,$A$2,"."&amp;N$135&amp;N$1&amp;"P"&amp;$A172))</f>
        <v>0</v>
      </c>
      <c r="O172" s="91">
        <f ca="1">IF(RTD("tos.rtd",,$A$2,"."&amp;O$135&amp;O$1&amp;"C"&amp;$A172)="N/A",0,RTD("tos.rtd",,$A$2,"."&amp;O$135&amp;O$1&amp;"C"&amp;$A172))-IF(RTD("tos.rtd",,$A$2,"."&amp;O$135&amp;O$1&amp;"P"&amp;$A172)="N/A",0,RTD("tos.rtd",,$A$2,"."&amp;O$135&amp;O$1&amp;"P"&amp;$A172))</f>
        <v>0</v>
      </c>
      <c r="P172" s="91">
        <f ca="1">IF(RTD("tos.rtd",,$A$2,"."&amp;P$135&amp;P$1&amp;"C"&amp;$A172)="N/A",0,RTD("tos.rtd",,$A$2,"."&amp;P$135&amp;P$1&amp;"C"&amp;$A172))-IF(RTD("tos.rtd",,$A$2,"."&amp;P$135&amp;P$1&amp;"P"&amp;$A172)="N/A",0,RTD("tos.rtd",,$A$2,"."&amp;P$135&amp;P$1&amp;"P"&amp;$A172))</f>
        <v>0</v>
      </c>
      <c r="Q172" s="91">
        <f ca="1">IF(RTD("tos.rtd",,$A$2,"."&amp;Q$135&amp;Q$1&amp;"C"&amp;$A172)="N/A",0,RTD("tos.rtd",,$A$2,"."&amp;Q$135&amp;Q$1&amp;"C"&amp;$A172))-IF(RTD("tos.rtd",,$A$2,"."&amp;Q$135&amp;Q$1&amp;"P"&amp;$A172)="N/A",0,RTD("tos.rtd",,$A$2,"."&amp;Q$135&amp;Q$1&amp;"P"&amp;$A172))</f>
        <v>0</v>
      </c>
      <c r="R172" s="91">
        <f ca="1">IF(RTD("tos.rtd",,$A$2,"."&amp;R$135&amp;R$1&amp;"C"&amp;$A172)="N/A",0,RTD("tos.rtd",,$A$2,"."&amp;R$135&amp;R$1&amp;"C"&amp;$A172))-IF(RTD("tos.rtd",,$A$2,"."&amp;R$135&amp;R$1&amp;"P"&amp;$A172)="N/A",0,RTD("tos.rtd",,$A$2,"."&amp;R$135&amp;R$1&amp;"P"&amp;$A172))</f>
        <v>0</v>
      </c>
      <c r="S172" s="91">
        <f ca="1">IF(RTD("tos.rtd",,$A$2,"."&amp;S$135&amp;S$1&amp;"C"&amp;$A172)="N/A",0,RTD("tos.rtd",,$A$2,"."&amp;S$135&amp;S$1&amp;"C"&amp;$A172))-IF(RTD("tos.rtd",,$A$2,"."&amp;S$135&amp;S$1&amp;"P"&amp;$A172)="N/A",0,RTD("tos.rtd",,$A$2,"."&amp;S$135&amp;S$1&amp;"P"&amp;$A172))</f>
        <v>0</v>
      </c>
      <c r="T172" s="91">
        <f ca="1">IF(RTD("tos.rtd",,$A$2,"."&amp;T$135&amp;T$1&amp;"C"&amp;$A172)="N/A",0,RTD("tos.rtd",,$A$2,"."&amp;T$135&amp;T$1&amp;"C"&amp;$A172))-IF(RTD("tos.rtd",,$A$2,"."&amp;T$135&amp;T$1&amp;"P"&amp;$A172)="N/A",0,RTD("tos.rtd",,$A$2,"."&amp;T$135&amp;T$1&amp;"P"&amp;$A172))</f>
        <v>0</v>
      </c>
      <c r="U172" s="91">
        <f ca="1">IF(RTD("tos.rtd",,$A$2,"."&amp;U$135&amp;U$1&amp;"C"&amp;$A172)="N/A",0,RTD("tos.rtd",,$A$2,"."&amp;U$135&amp;U$1&amp;"C"&amp;$A172))-IF(RTD("tos.rtd",,$A$2,"."&amp;U$135&amp;U$1&amp;"P"&amp;$A172)="N/A",0,RTD("tos.rtd",,$A$2,"."&amp;U$135&amp;U$1&amp;"P"&amp;$A172))</f>
        <v>0</v>
      </c>
      <c r="V172" s="91">
        <f ca="1">IF(RTD("tos.rtd",,$A$2,"."&amp;V$135&amp;V$1&amp;"C"&amp;$A172)="N/A",0,RTD("tos.rtd",,$A$2,"."&amp;V$135&amp;V$1&amp;"C"&amp;$A172))-IF(RTD("tos.rtd",,$A$2,"."&amp;V$135&amp;V$1&amp;"P"&amp;$A172)="N/A",0,RTD("tos.rtd",,$A$2,"."&amp;V$135&amp;V$1&amp;"P"&amp;$A172))</f>
        <v>0</v>
      </c>
      <c r="W172" s="91">
        <f ca="1">IF(RTD("tos.rtd",,$A$2,"."&amp;W$135&amp;W$1&amp;"C"&amp;$A172)="N/A",0,RTD("tos.rtd",,$A$2,"."&amp;W$135&amp;W$1&amp;"C"&amp;$A172))-IF(RTD("tos.rtd",,$A$2,"."&amp;W$135&amp;W$1&amp;"P"&amp;$A172)="N/A",0,RTD("tos.rtd",,$A$2,"."&amp;W$135&amp;W$1&amp;"P"&amp;$A172))</f>
        <v>0</v>
      </c>
      <c r="X172" s="91">
        <f ca="1">IF(RTD("tos.rtd",,$A$2,"."&amp;X$135&amp;X$1&amp;"C"&amp;$A172)="N/A",0,RTD("tos.rtd",,$A$2,"."&amp;X$135&amp;X$1&amp;"C"&amp;$A172))-IF(RTD("tos.rtd",,$A$2,"."&amp;X$135&amp;X$1&amp;"P"&amp;$A172)="N/A",0,RTD("tos.rtd",,$A$2,"."&amp;X$135&amp;X$1&amp;"P"&amp;$A172))</f>
        <v>0</v>
      </c>
      <c r="Y172" s="98">
        <f t="shared" ca="1" si="13"/>
        <v>-1</v>
      </c>
      <c r="Z172" s="91"/>
      <c r="AA172" s="91"/>
    </row>
    <row r="173" spans="1:27" x14ac:dyDescent="0.25">
      <c r="A173" s="93">
        <f>+Hoja1!A172</f>
        <v>19675</v>
      </c>
      <c r="B173" s="91">
        <f ca="1">IF(RTD("tos.rtd",,$A$2,"."&amp;B$135&amp;B$1&amp;"C"&amp;$A173)="N/A",0,RTD("tos.rtd",,$A$2,"."&amp;B$135&amp;B$1&amp;"C"&amp;$A173))-IF(RTD("tos.rtd",,$A$2,"."&amp;B$135&amp;B$1&amp;"P"&amp;$A173)="N/A",0,RTD("tos.rtd",,$A$2,"."&amp;B$135&amp;B$1&amp;"P"&amp;$A173))</f>
        <v>0</v>
      </c>
      <c r="C173" s="91">
        <f ca="1">IF(RTD("tos.rtd",,$A$2,"."&amp;C$135&amp;C$1&amp;"C"&amp;$A173)="N/A",0,RTD("tos.rtd",,$A$2,"."&amp;C$135&amp;C$1&amp;"C"&amp;$A173))-IF(RTD("tos.rtd",,$A$2,"."&amp;C$135&amp;C$1&amp;"P"&amp;$A173)="N/A",0,RTD("tos.rtd",,$A$2,"."&amp;C$135&amp;C$1&amp;"P"&amp;$A173))</f>
        <v>0</v>
      </c>
      <c r="D173" s="91">
        <f ca="1">IF(RTD("tos.rtd",,$A$2,"."&amp;D$135&amp;D$1&amp;"C"&amp;$A173)="N/A",0,RTD("tos.rtd",,$A$2,"."&amp;D$135&amp;D$1&amp;"C"&amp;$A173))-IF(RTD("tos.rtd",,$A$2,"."&amp;D$135&amp;D$1&amp;"P"&amp;$A173)="N/A",0,RTD("tos.rtd",,$A$2,"."&amp;D$135&amp;D$1&amp;"P"&amp;$A173))</f>
        <v>0</v>
      </c>
      <c r="E173" s="91">
        <f ca="1">IF(RTD("tos.rtd",,$A$2,"."&amp;E$135&amp;E$1&amp;"C"&amp;$A173)="N/A",0,RTD("tos.rtd",,$A$2,"."&amp;E$135&amp;E$1&amp;"C"&amp;$A173))-IF(RTD("tos.rtd",,$A$2,"."&amp;E$135&amp;E$1&amp;"P"&amp;$A173)="N/A",0,RTD("tos.rtd",,$A$2,"."&amp;E$135&amp;E$1&amp;"P"&amp;$A173))</f>
        <v>0</v>
      </c>
      <c r="F173" s="91">
        <f ca="1">IF(RTD("tos.rtd",,$A$2,"."&amp;F$135&amp;F$1&amp;"C"&amp;$A173)="N/A",0,RTD("tos.rtd",,$A$2,"."&amp;F$135&amp;F$1&amp;"C"&amp;$A173))-IF(RTD("tos.rtd",,$A$2,"."&amp;F$135&amp;F$1&amp;"P"&amp;$A173)="N/A",0,RTD("tos.rtd",,$A$2,"."&amp;F$135&amp;F$1&amp;"P"&amp;$A173))</f>
        <v>0</v>
      </c>
      <c r="G173" s="91">
        <f ca="1">IF(RTD("tos.rtd",,$A$2,"."&amp;G$135&amp;G$1&amp;"C"&amp;$A173)="N/A",0,RTD("tos.rtd",,$A$2,"."&amp;G$135&amp;G$1&amp;"C"&amp;$A173))-IF(RTD("tos.rtd",,$A$2,"."&amp;G$135&amp;G$1&amp;"P"&amp;$A173)="N/A",0,RTD("tos.rtd",,$A$2,"."&amp;G$135&amp;G$1&amp;"P"&amp;$A173))</f>
        <v>0</v>
      </c>
      <c r="H173" s="91">
        <f ca="1">IF(RTD("tos.rtd",,$A$2,"."&amp;H$135&amp;H$1&amp;"C"&amp;$A173)="N/A",0,RTD("tos.rtd",,$A$2,"."&amp;H$135&amp;H$1&amp;"C"&amp;$A173))-IF(RTD("tos.rtd",,$A$2,"."&amp;H$135&amp;H$1&amp;"P"&amp;$A173)="N/A",0,RTD("tos.rtd",,$A$2,"."&amp;H$135&amp;H$1&amp;"P"&amp;$A173))</f>
        <v>0</v>
      </c>
      <c r="I173" s="91">
        <f ca="1">IF(RTD("tos.rtd",,$A$2,"."&amp;I$135&amp;I$1&amp;"C"&amp;$A173)="N/A",0,RTD("tos.rtd",,$A$2,"."&amp;I$135&amp;I$1&amp;"C"&amp;$A173))-IF(RTD("tos.rtd",,$A$2,"."&amp;I$135&amp;I$1&amp;"P"&amp;$A173)="N/A",0,RTD("tos.rtd",,$A$2,"."&amp;I$135&amp;I$1&amp;"P"&amp;$A173))</f>
        <v>-2</v>
      </c>
      <c r="J173" s="91">
        <f ca="1">IF(RTD("tos.rtd",,$A$2,"."&amp;J$135&amp;J$1&amp;"C"&amp;$A173)="N/A",0,RTD("tos.rtd",,$A$2,"."&amp;J$135&amp;J$1&amp;"C"&amp;$A173))-IF(RTD("tos.rtd",,$A$2,"."&amp;J$135&amp;J$1&amp;"P"&amp;$A173)="N/A",0,RTD("tos.rtd",,$A$2,"."&amp;J$135&amp;J$1&amp;"P"&amp;$A173))</f>
        <v>0</v>
      </c>
      <c r="K173" s="91">
        <f ca="1">IF(RTD("tos.rtd",,$A$2,"."&amp;K$135&amp;K$1&amp;"C"&amp;$A173)="N/A",0,RTD("tos.rtd",,$A$2,"."&amp;K$135&amp;K$1&amp;"C"&amp;$A173))-IF(RTD("tos.rtd",,$A$2,"."&amp;K$135&amp;K$1&amp;"P"&amp;$A173)="N/A",0,RTD("tos.rtd",,$A$2,"."&amp;K$135&amp;K$1&amp;"P"&amp;$A173))</f>
        <v>0</v>
      </c>
      <c r="L173" s="91">
        <f ca="1">IF(RTD("tos.rtd",,$A$2,"."&amp;L$135&amp;L$1&amp;"C"&amp;$A173)="N/A",0,RTD("tos.rtd",,$A$2,"."&amp;L$135&amp;L$1&amp;"C"&amp;$A173))-IF(RTD("tos.rtd",,$A$2,"."&amp;L$135&amp;L$1&amp;"P"&amp;$A173)="N/A",0,RTD("tos.rtd",,$A$2,"."&amp;L$135&amp;L$1&amp;"P"&amp;$A173))</f>
        <v>0</v>
      </c>
      <c r="M173" s="91">
        <f ca="1">IF(RTD("tos.rtd",,$A$2,"."&amp;M$135&amp;M$1&amp;"C"&amp;$A173)="N/A",0,RTD("tos.rtd",,$A$2,"."&amp;M$135&amp;M$1&amp;"C"&amp;$A173))-IF(RTD("tos.rtd",,$A$2,"."&amp;M$135&amp;M$1&amp;"P"&amp;$A173)="N/A",0,RTD("tos.rtd",,$A$2,"."&amp;M$135&amp;M$1&amp;"P"&amp;$A173))</f>
        <v>-2</v>
      </c>
      <c r="N173" s="91">
        <f ca="1">IF(RTD("tos.rtd",,$A$2,"."&amp;N$135&amp;N$1&amp;"C"&amp;$A173)="N/A",0,RTD("tos.rtd",,$A$2,"."&amp;N$135&amp;N$1&amp;"C"&amp;$A173))-IF(RTD("tos.rtd",,$A$2,"."&amp;N$135&amp;N$1&amp;"P"&amp;$A173)="N/A",0,RTD("tos.rtd",,$A$2,"."&amp;N$135&amp;N$1&amp;"P"&amp;$A173))</f>
        <v>0</v>
      </c>
      <c r="O173" s="91">
        <f ca="1">IF(RTD("tos.rtd",,$A$2,"."&amp;O$135&amp;O$1&amp;"C"&amp;$A173)="N/A",0,RTD("tos.rtd",,$A$2,"."&amp;O$135&amp;O$1&amp;"C"&amp;$A173))-IF(RTD("tos.rtd",,$A$2,"."&amp;O$135&amp;O$1&amp;"P"&amp;$A173)="N/A",0,RTD("tos.rtd",,$A$2,"."&amp;O$135&amp;O$1&amp;"P"&amp;$A173))</f>
        <v>0</v>
      </c>
      <c r="P173" s="91">
        <f ca="1">IF(RTD("tos.rtd",,$A$2,"."&amp;P$135&amp;P$1&amp;"C"&amp;$A173)="N/A",0,RTD("tos.rtd",,$A$2,"."&amp;P$135&amp;P$1&amp;"C"&amp;$A173))-IF(RTD("tos.rtd",,$A$2,"."&amp;P$135&amp;P$1&amp;"P"&amp;$A173)="N/A",0,RTD("tos.rtd",,$A$2,"."&amp;P$135&amp;P$1&amp;"P"&amp;$A173))</f>
        <v>0</v>
      </c>
      <c r="Q173" s="91">
        <f ca="1">IF(RTD("tos.rtd",,$A$2,"."&amp;Q$135&amp;Q$1&amp;"C"&amp;$A173)="N/A",0,RTD("tos.rtd",,$A$2,"."&amp;Q$135&amp;Q$1&amp;"C"&amp;$A173))-IF(RTD("tos.rtd",,$A$2,"."&amp;Q$135&amp;Q$1&amp;"P"&amp;$A173)="N/A",0,RTD("tos.rtd",,$A$2,"."&amp;Q$135&amp;Q$1&amp;"P"&amp;$A173))</f>
        <v>0</v>
      </c>
      <c r="R173" s="91">
        <f ca="1">IF(RTD("tos.rtd",,$A$2,"."&amp;R$135&amp;R$1&amp;"C"&amp;$A173)="N/A",0,RTD("tos.rtd",,$A$2,"."&amp;R$135&amp;R$1&amp;"C"&amp;$A173))-IF(RTD("tos.rtd",,$A$2,"."&amp;R$135&amp;R$1&amp;"P"&amp;$A173)="N/A",0,RTD("tos.rtd",,$A$2,"."&amp;R$135&amp;R$1&amp;"P"&amp;$A173))</f>
        <v>0</v>
      </c>
      <c r="S173" s="91">
        <f ca="1">IF(RTD("tos.rtd",,$A$2,"."&amp;S$135&amp;S$1&amp;"C"&amp;$A173)="N/A",0,RTD("tos.rtd",,$A$2,"."&amp;S$135&amp;S$1&amp;"C"&amp;$A173))-IF(RTD("tos.rtd",,$A$2,"."&amp;S$135&amp;S$1&amp;"P"&amp;$A173)="N/A",0,RTD("tos.rtd",,$A$2,"."&amp;S$135&amp;S$1&amp;"P"&amp;$A173))</f>
        <v>0</v>
      </c>
      <c r="T173" s="91">
        <f ca="1">IF(RTD("tos.rtd",,$A$2,"."&amp;T$135&amp;T$1&amp;"C"&amp;$A173)="N/A",0,RTD("tos.rtd",,$A$2,"."&amp;T$135&amp;T$1&amp;"C"&amp;$A173))-IF(RTD("tos.rtd",,$A$2,"."&amp;T$135&amp;T$1&amp;"P"&amp;$A173)="N/A",0,RTD("tos.rtd",,$A$2,"."&amp;T$135&amp;T$1&amp;"P"&amp;$A173))</f>
        <v>0</v>
      </c>
      <c r="U173" s="91">
        <f ca="1">IF(RTD("tos.rtd",,$A$2,"."&amp;U$135&amp;U$1&amp;"C"&amp;$A173)="N/A",0,RTD("tos.rtd",,$A$2,"."&amp;U$135&amp;U$1&amp;"C"&amp;$A173))-IF(RTD("tos.rtd",,$A$2,"."&amp;U$135&amp;U$1&amp;"P"&amp;$A173)="N/A",0,RTD("tos.rtd",,$A$2,"."&amp;U$135&amp;U$1&amp;"P"&amp;$A173))</f>
        <v>0</v>
      </c>
      <c r="V173" s="91">
        <f ca="1">IF(RTD("tos.rtd",,$A$2,"."&amp;V$135&amp;V$1&amp;"C"&amp;$A173)="N/A",0,RTD("tos.rtd",,$A$2,"."&amp;V$135&amp;V$1&amp;"C"&amp;$A173))-IF(RTD("tos.rtd",,$A$2,"."&amp;V$135&amp;V$1&amp;"P"&amp;$A173)="N/A",0,RTD("tos.rtd",,$A$2,"."&amp;V$135&amp;V$1&amp;"P"&amp;$A173))</f>
        <v>0</v>
      </c>
      <c r="W173" s="91">
        <f ca="1">IF(RTD("tos.rtd",,$A$2,"."&amp;W$135&amp;W$1&amp;"C"&amp;$A173)="N/A",0,RTD("tos.rtd",,$A$2,"."&amp;W$135&amp;W$1&amp;"C"&amp;$A173))-IF(RTD("tos.rtd",,$A$2,"."&amp;W$135&amp;W$1&amp;"P"&amp;$A173)="N/A",0,RTD("tos.rtd",,$A$2,"."&amp;W$135&amp;W$1&amp;"P"&amp;$A173))</f>
        <v>0</v>
      </c>
      <c r="X173" s="91">
        <f ca="1">IF(RTD("tos.rtd",,$A$2,"."&amp;X$135&amp;X$1&amp;"C"&amp;$A173)="N/A",0,RTD("tos.rtd",,$A$2,"."&amp;X$135&amp;X$1&amp;"C"&amp;$A173))-IF(RTD("tos.rtd",,$A$2,"."&amp;X$135&amp;X$1&amp;"P"&amp;$A173)="N/A",0,RTD("tos.rtd",,$A$2,"."&amp;X$135&amp;X$1&amp;"P"&amp;$A173))</f>
        <v>0</v>
      </c>
      <c r="Y173" s="98">
        <f t="shared" ca="1" si="13"/>
        <v>-4</v>
      </c>
      <c r="Z173" s="91"/>
      <c r="AA173" s="91"/>
    </row>
    <row r="174" spans="1:27" x14ac:dyDescent="0.25">
      <c r="A174" s="93">
        <f>+Hoja1!A173</f>
        <v>19650</v>
      </c>
      <c r="B174" s="91">
        <f ca="1">IF(RTD("tos.rtd",,$A$2,"."&amp;B$135&amp;B$1&amp;"C"&amp;$A174)="N/A",0,RTD("tos.rtd",,$A$2,"."&amp;B$135&amp;B$1&amp;"C"&amp;$A174))-IF(RTD("tos.rtd",,$A$2,"."&amp;B$135&amp;B$1&amp;"P"&amp;$A174)="N/A",0,RTD("tos.rtd",,$A$2,"."&amp;B$135&amp;B$1&amp;"P"&amp;$A174))</f>
        <v>0</v>
      </c>
      <c r="C174" s="91">
        <f ca="1">IF(RTD("tos.rtd",,$A$2,"."&amp;C$135&amp;C$1&amp;"C"&amp;$A174)="N/A",0,RTD("tos.rtd",,$A$2,"."&amp;C$135&amp;C$1&amp;"C"&amp;$A174))-IF(RTD("tos.rtd",,$A$2,"."&amp;C$135&amp;C$1&amp;"P"&amp;$A174)="N/A",0,RTD("tos.rtd",,$A$2,"."&amp;C$135&amp;C$1&amp;"P"&amp;$A174))</f>
        <v>0</v>
      </c>
      <c r="D174" s="91">
        <f ca="1">IF(RTD("tos.rtd",,$A$2,"."&amp;D$135&amp;D$1&amp;"C"&amp;$A174)="N/A",0,RTD("tos.rtd",,$A$2,"."&amp;D$135&amp;D$1&amp;"C"&amp;$A174))-IF(RTD("tos.rtd",,$A$2,"."&amp;D$135&amp;D$1&amp;"P"&amp;$A174)="N/A",0,RTD("tos.rtd",,$A$2,"."&amp;D$135&amp;D$1&amp;"P"&amp;$A174))</f>
        <v>0</v>
      </c>
      <c r="E174" s="91">
        <f ca="1">IF(RTD("tos.rtd",,$A$2,"."&amp;E$135&amp;E$1&amp;"C"&amp;$A174)="N/A",0,RTD("tos.rtd",,$A$2,"."&amp;E$135&amp;E$1&amp;"C"&amp;$A174))-IF(RTD("tos.rtd",,$A$2,"."&amp;E$135&amp;E$1&amp;"P"&amp;$A174)="N/A",0,RTD("tos.rtd",,$A$2,"."&amp;E$135&amp;E$1&amp;"P"&amp;$A174))</f>
        <v>0</v>
      </c>
      <c r="F174" s="91">
        <f ca="1">IF(RTD("tos.rtd",,$A$2,"."&amp;F$135&amp;F$1&amp;"C"&amp;$A174)="N/A",0,RTD("tos.rtd",,$A$2,"."&amp;F$135&amp;F$1&amp;"C"&amp;$A174))-IF(RTD("tos.rtd",,$A$2,"."&amp;F$135&amp;F$1&amp;"P"&amp;$A174)="N/A",0,RTD("tos.rtd",,$A$2,"."&amp;F$135&amp;F$1&amp;"P"&amp;$A174))</f>
        <v>0</v>
      </c>
      <c r="G174" s="91">
        <f ca="1">IF(RTD("tos.rtd",,$A$2,"."&amp;G$135&amp;G$1&amp;"C"&amp;$A174)="N/A",0,RTD("tos.rtd",,$A$2,"."&amp;G$135&amp;G$1&amp;"C"&amp;$A174))-IF(RTD("tos.rtd",,$A$2,"."&amp;G$135&amp;G$1&amp;"P"&amp;$A174)="N/A",0,RTD("tos.rtd",,$A$2,"."&amp;G$135&amp;G$1&amp;"P"&amp;$A174))</f>
        <v>0</v>
      </c>
      <c r="H174" s="91">
        <f ca="1">IF(RTD("tos.rtd",,$A$2,"."&amp;H$135&amp;H$1&amp;"C"&amp;$A174)="N/A",0,RTD("tos.rtd",,$A$2,"."&amp;H$135&amp;H$1&amp;"C"&amp;$A174))-IF(RTD("tos.rtd",,$A$2,"."&amp;H$135&amp;H$1&amp;"P"&amp;$A174)="N/A",0,RTD("tos.rtd",,$A$2,"."&amp;H$135&amp;H$1&amp;"P"&amp;$A174))</f>
        <v>0</v>
      </c>
      <c r="I174" s="91">
        <f ca="1">IF(RTD("tos.rtd",,$A$2,"."&amp;I$135&amp;I$1&amp;"C"&amp;$A174)="N/A",0,RTD("tos.rtd",,$A$2,"."&amp;I$135&amp;I$1&amp;"C"&amp;$A174))-IF(RTD("tos.rtd",,$A$2,"."&amp;I$135&amp;I$1&amp;"P"&amp;$A174)="N/A",0,RTD("tos.rtd",,$A$2,"."&amp;I$135&amp;I$1&amp;"P"&amp;$A174))</f>
        <v>0</v>
      </c>
      <c r="J174" s="91">
        <f ca="1">IF(RTD("tos.rtd",,$A$2,"."&amp;J$135&amp;J$1&amp;"C"&amp;$A174)="N/A",0,RTD("tos.rtd",,$A$2,"."&amp;J$135&amp;J$1&amp;"C"&amp;$A174))-IF(RTD("tos.rtd",,$A$2,"."&amp;J$135&amp;J$1&amp;"P"&amp;$A174)="N/A",0,RTD("tos.rtd",,$A$2,"."&amp;J$135&amp;J$1&amp;"P"&amp;$A174))</f>
        <v>0</v>
      </c>
      <c r="K174" s="91">
        <f ca="1">IF(RTD("tos.rtd",,$A$2,"."&amp;K$135&amp;K$1&amp;"C"&amp;$A174)="N/A",0,RTD("tos.rtd",,$A$2,"."&amp;K$135&amp;K$1&amp;"C"&amp;$A174))-IF(RTD("tos.rtd",,$A$2,"."&amp;K$135&amp;K$1&amp;"P"&amp;$A174)="N/A",0,RTD("tos.rtd",,$A$2,"."&amp;K$135&amp;K$1&amp;"P"&amp;$A174))</f>
        <v>0</v>
      </c>
      <c r="L174" s="91">
        <f ca="1">IF(RTD("tos.rtd",,$A$2,"."&amp;L$135&amp;L$1&amp;"C"&amp;$A174)="N/A",0,RTD("tos.rtd",,$A$2,"."&amp;L$135&amp;L$1&amp;"C"&amp;$A174))-IF(RTD("tos.rtd",,$A$2,"."&amp;L$135&amp;L$1&amp;"P"&amp;$A174)="N/A",0,RTD("tos.rtd",,$A$2,"."&amp;L$135&amp;L$1&amp;"P"&amp;$A174))</f>
        <v>0</v>
      </c>
      <c r="M174" s="91">
        <f ca="1">IF(RTD("tos.rtd",,$A$2,"."&amp;M$135&amp;M$1&amp;"C"&amp;$A174)="N/A",0,RTD("tos.rtd",,$A$2,"."&amp;M$135&amp;M$1&amp;"C"&amp;$A174))-IF(RTD("tos.rtd",,$A$2,"."&amp;M$135&amp;M$1&amp;"P"&amp;$A174)="N/A",0,RTD("tos.rtd",,$A$2,"."&amp;M$135&amp;M$1&amp;"P"&amp;$A174))</f>
        <v>0</v>
      </c>
      <c r="N174" s="91">
        <f ca="1">IF(RTD("tos.rtd",,$A$2,"."&amp;N$135&amp;N$1&amp;"C"&amp;$A174)="N/A",0,RTD("tos.rtd",,$A$2,"."&amp;N$135&amp;N$1&amp;"C"&amp;$A174))-IF(RTD("tos.rtd",,$A$2,"."&amp;N$135&amp;N$1&amp;"P"&amp;$A174)="N/A",0,RTD("tos.rtd",,$A$2,"."&amp;N$135&amp;N$1&amp;"P"&amp;$A174))</f>
        <v>0</v>
      </c>
      <c r="O174" s="91">
        <f ca="1">IF(RTD("tos.rtd",,$A$2,"."&amp;O$135&amp;O$1&amp;"C"&amp;$A174)="N/A",0,RTD("tos.rtd",,$A$2,"."&amp;O$135&amp;O$1&amp;"C"&amp;$A174))-IF(RTD("tos.rtd",,$A$2,"."&amp;O$135&amp;O$1&amp;"P"&amp;$A174)="N/A",0,RTD("tos.rtd",,$A$2,"."&amp;O$135&amp;O$1&amp;"P"&amp;$A174))</f>
        <v>0</v>
      </c>
      <c r="P174" s="91">
        <f ca="1">IF(RTD("tos.rtd",,$A$2,"."&amp;P$135&amp;P$1&amp;"C"&amp;$A174)="N/A",0,RTD("tos.rtd",,$A$2,"."&amp;P$135&amp;P$1&amp;"C"&amp;$A174))-IF(RTD("tos.rtd",,$A$2,"."&amp;P$135&amp;P$1&amp;"P"&amp;$A174)="N/A",0,RTD("tos.rtd",,$A$2,"."&amp;P$135&amp;P$1&amp;"P"&amp;$A174))</f>
        <v>0</v>
      </c>
      <c r="Q174" s="91">
        <f ca="1">IF(RTD("tos.rtd",,$A$2,"."&amp;Q$135&amp;Q$1&amp;"C"&amp;$A174)="N/A",0,RTD("tos.rtd",,$A$2,"."&amp;Q$135&amp;Q$1&amp;"C"&amp;$A174))-IF(RTD("tos.rtd",,$A$2,"."&amp;Q$135&amp;Q$1&amp;"P"&amp;$A174)="N/A",0,RTD("tos.rtd",,$A$2,"."&amp;Q$135&amp;Q$1&amp;"P"&amp;$A174))</f>
        <v>0</v>
      </c>
      <c r="R174" s="91">
        <f ca="1">IF(RTD("tos.rtd",,$A$2,"."&amp;R$135&amp;R$1&amp;"C"&amp;$A174)="N/A",0,RTD("tos.rtd",,$A$2,"."&amp;R$135&amp;R$1&amp;"C"&amp;$A174))-IF(RTD("tos.rtd",,$A$2,"."&amp;R$135&amp;R$1&amp;"P"&amp;$A174)="N/A",0,RTD("tos.rtd",,$A$2,"."&amp;R$135&amp;R$1&amp;"P"&amp;$A174))</f>
        <v>0</v>
      </c>
      <c r="S174" s="91">
        <f ca="1">IF(RTD("tos.rtd",,$A$2,"."&amp;S$135&amp;S$1&amp;"C"&amp;$A174)="N/A",0,RTD("tos.rtd",,$A$2,"."&amp;S$135&amp;S$1&amp;"C"&amp;$A174))-IF(RTD("tos.rtd",,$A$2,"."&amp;S$135&amp;S$1&amp;"P"&amp;$A174)="N/A",0,RTD("tos.rtd",,$A$2,"."&amp;S$135&amp;S$1&amp;"P"&amp;$A174))</f>
        <v>0</v>
      </c>
      <c r="T174" s="91">
        <f ca="1">IF(RTD("tos.rtd",,$A$2,"."&amp;T$135&amp;T$1&amp;"C"&amp;$A174)="N/A",0,RTD("tos.rtd",,$A$2,"."&amp;T$135&amp;T$1&amp;"C"&amp;$A174))-IF(RTD("tos.rtd",,$A$2,"."&amp;T$135&amp;T$1&amp;"P"&amp;$A174)="N/A",0,RTD("tos.rtd",,$A$2,"."&amp;T$135&amp;T$1&amp;"P"&amp;$A174))</f>
        <v>0</v>
      </c>
      <c r="U174" s="91">
        <f ca="1">IF(RTD("tos.rtd",,$A$2,"."&amp;U$135&amp;U$1&amp;"C"&amp;$A174)="N/A",0,RTD("tos.rtd",,$A$2,"."&amp;U$135&amp;U$1&amp;"C"&amp;$A174))-IF(RTD("tos.rtd",,$A$2,"."&amp;U$135&amp;U$1&amp;"P"&amp;$A174)="N/A",0,RTD("tos.rtd",,$A$2,"."&amp;U$135&amp;U$1&amp;"P"&amp;$A174))</f>
        <v>0</v>
      </c>
      <c r="V174" s="91">
        <f ca="1">IF(RTD("tos.rtd",,$A$2,"."&amp;V$135&amp;V$1&amp;"C"&amp;$A174)="N/A",0,RTD("tos.rtd",,$A$2,"."&amp;V$135&amp;V$1&amp;"C"&amp;$A174))-IF(RTD("tos.rtd",,$A$2,"."&amp;V$135&amp;V$1&amp;"P"&amp;$A174)="N/A",0,RTD("tos.rtd",,$A$2,"."&amp;V$135&amp;V$1&amp;"P"&amp;$A174))</f>
        <v>0</v>
      </c>
      <c r="W174" s="91">
        <f ca="1">IF(RTD("tos.rtd",,$A$2,"."&amp;W$135&amp;W$1&amp;"C"&amp;$A174)="N/A",0,RTD("tos.rtd",,$A$2,"."&amp;W$135&amp;W$1&amp;"C"&amp;$A174))-IF(RTD("tos.rtd",,$A$2,"."&amp;W$135&amp;W$1&amp;"P"&amp;$A174)="N/A",0,RTD("tos.rtd",,$A$2,"."&amp;W$135&amp;W$1&amp;"P"&amp;$A174))</f>
        <v>0</v>
      </c>
      <c r="X174" s="91">
        <f ca="1">IF(RTD("tos.rtd",,$A$2,"."&amp;X$135&amp;X$1&amp;"C"&amp;$A174)="N/A",0,RTD("tos.rtd",,$A$2,"."&amp;X$135&amp;X$1&amp;"C"&amp;$A174))-IF(RTD("tos.rtd",,$A$2,"."&amp;X$135&amp;X$1&amp;"P"&amp;$A174)="N/A",0,RTD("tos.rtd",,$A$2,"."&amp;X$135&amp;X$1&amp;"P"&amp;$A174))</f>
        <v>0</v>
      </c>
      <c r="Y174" s="98">
        <f t="shared" ca="1" si="13"/>
        <v>0</v>
      </c>
      <c r="Z174" s="91"/>
      <c r="AA174" s="91"/>
    </row>
    <row r="175" spans="1:27" x14ac:dyDescent="0.25">
      <c r="A175" s="93">
        <f>+Hoja1!A174</f>
        <v>19625</v>
      </c>
      <c r="B175" s="91">
        <f ca="1">IF(RTD("tos.rtd",,$A$2,"."&amp;B$135&amp;B$1&amp;"C"&amp;$A175)="N/A",0,RTD("tos.rtd",,$A$2,"."&amp;B$135&amp;B$1&amp;"C"&amp;$A175))-IF(RTD("tos.rtd",,$A$2,"."&amp;B$135&amp;B$1&amp;"P"&amp;$A175)="N/A",0,RTD("tos.rtd",,$A$2,"."&amp;B$135&amp;B$1&amp;"P"&amp;$A175))</f>
        <v>0</v>
      </c>
      <c r="C175" s="91">
        <f ca="1">IF(RTD("tos.rtd",,$A$2,"."&amp;C$135&amp;C$1&amp;"C"&amp;$A175)="N/A",0,RTD("tos.rtd",,$A$2,"."&amp;C$135&amp;C$1&amp;"C"&amp;$A175))-IF(RTD("tos.rtd",,$A$2,"."&amp;C$135&amp;C$1&amp;"P"&amp;$A175)="N/A",0,RTD("tos.rtd",,$A$2,"."&amp;C$135&amp;C$1&amp;"P"&amp;$A175))</f>
        <v>0</v>
      </c>
      <c r="D175" s="91">
        <f ca="1">IF(RTD("tos.rtd",,$A$2,"."&amp;D$135&amp;D$1&amp;"C"&amp;$A175)="N/A",0,RTD("tos.rtd",,$A$2,"."&amp;D$135&amp;D$1&amp;"C"&amp;$A175))-IF(RTD("tos.rtd",,$A$2,"."&amp;D$135&amp;D$1&amp;"P"&amp;$A175)="N/A",0,RTD("tos.rtd",,$A$2,"."&amp;D$135&amp;D$1&amp;"P"&amp;$A175))</f>
        <v>0</v>
      </c>
      <c r="E175" s="91">
        <f ca="1">IF(RTD("tos.rtd",,$A$2,"."&amp;E$135&amp;E$1&amp;"C"&amp;$A175)="N/A",0,RTD("tos.rtd",,$A$2,"."&amp;E$135&amp;E$1&amp;"C"&amp;$A175))-IF(RTD("tos.rtd",,$A$2,"."&amp;E$135&amp;E$1&amp;"P"&amp;$A175)="N/A",0,RTD("tos.rtd",,$A$2,"."&amp;E$135&amp;E$1&amp;"P"&amp;$A175))</f>
        <v>0</v>
      </c>
      <c r="F175" s="91">
        <f ca="1">IF(RTD("tos.rtd",,$A$2,"."&amp;F$135&amp;F$1&amp;"C"&amp;$A175)="N/A",0,RTD("tos.rtd",,$A$2,"."&amp;F$135&amp;F$1&amp;"C"&amp;$A175))-IF(RTD("tos.rtd",,$A$2,"."&amp;F$135&amp;F$1&amp;"P"&amp;$A175)="N/A",0,RTD("tos.rtd",,$A$2,"."&amp;F$135&amp;F$1&amp;"P"&amp;$A175))</f>
        <v>0</v>
      </c>
      <c r="G175" s="91">
        <f ca="1">IF(RTD("tos.rtd",,$A$2,"."&amp;G$135&amp;G$1&amp;"C"&amp;$A175)="N/A",0,RTD("tos.rtd",,$A$2,"."&amp;G$135&amp;G$1&amp;"C"&amp;$A175))-IF(RTD("tos.rtd",,$A$2,"."&amp;G$135&amp;G$1&amp;"P"&amp;$A175)="N/A",0,RTD("tos.rtd",,$A$2,"."&amp;G$135&amp;G$1&amp;"P"&amp;$A175))</f>
        <v>0</v>
      </c>
      <c r="H175" s="91">
        <f ca="1">IF(RTD("tos.rtd",,$A$2,"."&amp;H$135&amp;H$1&amp;"C"&amp;$A175)="N/A",0,RTD("tos.rtd",,$A$2,"."&amp;H$135&amp;H$1&amp;"C"&amp;$A175))-IF(RTD("tos.rtd",,$A$2,"."&amp;H$135&amp;H$1&amp;"P"&amp;$A175)="N/A",0,RTD("tos.rtd",,$A$2,"."&amp;H$135&amp;H$1&amp;"P"&amp;$A175))</f>
        <v>0</v>
      </c>
      <c r="I175" s="91">
        <f ca="1">IF(RTD("tos.rtd",,$A$2,"."&amp;I$135&amp;I$1&amp;"C"&amp;$A175)="N/A",0,RTD("tos.rtd",,$A$2,"."&amp;I$135&amp;I$1&amp;"C"&amp;$A175))-IF(RTD("tos.rtd",,$A$2,"."&amp;I$135&amp;I$1&amp;"P"&amp;$A175)="N/A",0,RTD("tos.rtd",,$A$2,"."&amp;I$135&amp;I$1&amp;"P"&amp;$A175))</f>
        <v>0</v>
      </c>
      <c r="J175" s="91">
        <f ca="1">IF(RTD("tos.rtd",,$A$2,"."&amp;J$135&amp;J$1&amp;"C"&amp;$A175)="N/A",0,RTD("tos.rtd",,$A$2,"."&amp;J$135&amp;J$1&amp;"C"&amp;$A175))-IF(RTD("tos.rtd",,$A$2,"."&amp;J$135&amp;J$1&amp;"P"&amp;$A175)="N/A",0,RTD("tos.rtd",,$A$2,"."&amp;J$135&amp;J$1&amp;"P"&amp;$A175))</f>
        <v>0</v>
      </c>
      <c r="K175" s="91">
        <f ca="1">IF(RTD("tos.rtd",,$A$2,"."&amp;K$135&amp;K$1&amp;"C"&amp;$A175)="N/A",0,RTD("tos.rtd",,$A$2,"."&amp;K$135&amp;K$1&amp;"C"&amp;$A175))-IF(RTD("tos.rtd",,$A$2,"."&amp;K$135&amp;K$1&amp;"P"&amp;$A175)="N/A",0,RTD("tos.rtd",,$A$2,"."&amp;K$135&amp;K$1&amp;"P"&amp;$A175))</f>
        <v>9</v>
      </c>
      <c r="L175" s="91">
        <f ca="1">IF(RTD("tos.rtd",,$A$2,"."&amp;L$135&amp;L$1&amp;"C"&amp;$A175)="N/A",0,RTD("tos.rtd",,$A$2,"."&amp;L$135&amp;L$1&amp;"C"&amp;$A175))-IF(RTD("tos.rtd",,$A$2,"."&amp;L$135&amp;L$1&amp;"P"&amp;$A175)="N/A",0,RTD("tos.rtd",,$A$2,"."&amp;L$135&amp;L$1&amp;"P"&amp;$A175))</f>
        <v>0</v>
      </c>
      <c r="M175" s="91">
        <f ca="1">IF(RTD("tos.rtd",,$A$2,"."&amp;M$135&amp;M$1&amp;"C"&amp;$A175)="N/A",0,RTD("tos.rtd",,$A$2,"."&amp;M$135&amp;M$1&amp;"C"&amp;$A175))-IF(RTD("tos.rtd",,$A$2,"."&amp;M$135&amp;M$1&amp;"P"&amp;$A175)="N/A",0,RTD("tos.rtd",,$A$2,"."&amp;M$135&amp;M$1&amp;"P"&amp;$A175))</f>
        <v>0</v>
      </c>
      <c r="N175" s="91">
        <f ca="1">IF(RTD("tos.rtd",,$A$2,"."&amp;N$135&amp;N$1&amp;"C"&amp;$A175)="N/A",0,RTD("tos.rtd",,$A$2,"."&amp;N$135&amp;N$1&amp;"C"&amp;$A175))-IF(RTD("tos.rtd",,$A$2,"."&amp;N$135&amp;N$1&amp;"P"&amp;$A175)="N/A",0,RTD("tos.rtd",,$A$2,"."&amp;N$135&amp;N$1&amp;"P"&amp;$A175))</f>
        <v>0</v>
      </c>
      <c r="O175" s="91">
        <f ca="1">IF(RTD("tos.rtd",,$A$2,"."&amp;O$135&amp;O$1&amp;"C"&amp;$A175)="N/A",0,RTD("tos.rtd",,$A$2,"."&amp;O$135&amp;O$1&amp;"C"&amp;$A175))-IF(RTD("tos.rtd",,$A$2,"."&amp;O$135&amp;O$1&amp;"P"&amp;$A175)="N/A",0,RTD("tos.rtd",,$A$2,"."&amp;O$135&amp;O$1&amp;"P"&amp;$A175))</f>
        <v>0</v>
      </c>
      <c r="P175" s="91">
        <f ca="1">IF(RTD("tos.rtd",,$A$2,"."&amp;P$135&amp;P$1&amp;"C"&amp;$A175)="N/A",0,RTD("tos.rtd",,$A$2,"."&amp;P$135&amp;P$1&amp;"C"&amp;$A175))-IF(RTD("tos.rtd",,$A$2,"."&amp;P$135&amp;P$1&amp;"P"&amp;$A175)="N/A",0,RTD("tos.rtd",,$A$2,"."&amp;P$135&amp;P$1&amp;"P"&amp;$A175))</f>
        <v>0</v>
      </c>
      <c r="Q175" s="91">
        <f ca="1">IF(RTD("tos.rtd",,$A$2,"."&amp;Q$135&amp;Q$1&amp;"C"&amp;$A175)="N/A",0,RTD("tos.rtd",,$A$2,"."&amp;Q$135&amp;Q$1&amp;"C"&amp;$A175))-IF(RTD("tos.rtd",,$A$2,"."&amp;Q$135&amp;Q$1&amp;"P"&amp;$A175)="N/A",0,RTD("tos.rtd",,$A$2,"."&amp;Q$135&amp;Q$1&amp;"P"&amp;$A175))</f>
        <v>0</v>
      </c>
      <c r="R175" s="91">
        <f ca="1">IF(RTD("tos.rtd",,$A$2,"."&amp;R$135&amp;R$1&amp;"C"&amp;$A175)="N/A",0,RTD("tos.rtd",,$A$2,"."&amp;R$135&amp;R$1&amp;"C"&amp;$A175))-IF(RTD("tos.rtd",,$A$2,"."&amp;R$135&amp;R$1&amp;"P"&amp;$A175)="N/A",0,RTD("tos.rtd",,$A$2,"."&amp;R$135&amp;R$1&amp;"P"&amp;$A175))</f>
        <v>0</v>
      </c>
      <c r="S175" s="91">
        <f ca="1">IF(RTD("tos.rtd",,$A$2,"."&amp;S$135&amp;S$1&amp;"C"&amp;$A175)="N/A",0,RTD("tos.rtd",,$A$2,"."&amp;S$135&amp;S$1&amp;"C"&amp;$A175))-IF(RTD("tos.rtd",,$A$2,"."&amp;S$135&amp;S$1&amp;"P"&amp;$A175)="N/A",0,RTD("tos.rtd",,$A$2,"."&amp;S$135&amp;S$1&amp;"P"&amp;$A175))</f>
        <v>0</v>
      </c>
      <c r="T175" s="91">
        <f ca="1">IF(RTD("tos.rtd",,$A$2,"."&amp;T$135&amp;T$1&amp;"C"&amp;$A175)="N/A",0,RTD("tos.rtd",,$A$2,"."&amp;T$135&amp;T$1&amp;"C"&amp;$A175))-IF(RTD("tos.rtd",,$A$2,"."&amp;T$135&amp;T$1&amp;"P"&amp;$A175)="N/A",0,RTD("tos.rtd",,$A$2,"."&amp;T$135&amp;T$1&amp;"P"&amp;$A175))</f>
        <v>0</v>
      </c>
      <c r="U175" s="91">
        <f ca="1">IF(RTD("tos.rtd",,$A$2,"."&amp;U$135&amp;U$1&amp;"C"&amp;$A175)="N/A",0,RTD("tos.rtd",,$A$2,"."&amp;U$135&amp;U$1&amp;"C"&amp;$A175))-IF(RTD("tos.rtd",,$A$2,"."&amp;U$135&amp;U$1&amp;"P"&amp;$A175)="N/A",0,RTD("tos.rtd",,$A$2,"."&amp;U$135&amp;U$1&amp;"P"&amp;$A175))</f>
        <v>0</v>
      </c>
      <c r="V175" s="91">
        <f ca="1">IF(RTD("tos.rtd",,$A$2,"."&amp;V$135&amp;V$1&amp;"C"&amp;$A175)="N/A",0,RTD("tos.rtd",,$A$2,"."&amp;V$135&amp;V$1&amp;"C"&amp;$A175))-IF(RTD("tos.rtd",,$A$2,"."&amp;V$135&amp;V$1&amp;"P"&amp;$A175)="N/A",0,RTD("tos.rtd",,$A$2,"."&amp;V$135&amp;V$1&amp;"P"&amp;$A175))</f>
        <v>0</v>
      </c>
      <c r="W175" s="91">
        <f ca="1">IF(RTD("tos.rtd",,$A$2,"."&amp;W$135&amp;W$1&amp;"C"&amp;$A175)="N/A",0,RTD("tos.rtd",,$A$2,"."&amp;W$135&amp;W$1&amp;"C"&amp;$A175))-IF(RTD("tos.rtd",,$A$2,"."&amp;W$135&amp;W$1&amp;"P"&amp;$A175)="N/A",0,RTD("tos.rtd",,$A$2,"."&amp;W$135&amp;W$1&amp;"P"&amp;$A175))</f>
        <v>0</v>
      </c>
      <c r="X175" s="91">
        <f ca="1">IF(RTD("tos.rtd",,$A$2,"."&amp;X$135&amp;X$1&amp;"C"&amp;$A175)="N/A",0,RTD("tos.rtd",,$A$2,"."&amp;X$135&amp;X$1&amp;"C"&amp;$A175))-IF(RTD("tos.rtd",,$A$2,"."&amp;X$135&amp;X$1&amp;"P"&amp;$A175)="N/A",0,RTD("tos.rtd",,$A$2,"."&amp;X$135&amp;X$1&amp;"P"&amp;$A175))</f>
        <v>0</v>
      </c>
      <c r="Y175" s="98">
        <f t="shared" ca="1" si="13"/>
        <v>9</v>
      </c>
      <c r="Z175" s="91"/>
      <c r="AA175" s="91"/>
    </row>
    <row r="176" spans="1:27" x14ac:dyDescent="0.25">
      <c r="A176" s="93">
        <f>+Hoja1!A175</f>
        <v>19600</v>
      </c>
      <c r="B176" s="91">
        <f ca="1">IF(RTD("tos.rtd",,$A$2,"."&amp;B$135&amp;B$1&amp;"C"&amp;$A176)="N/A",0,RTD("tos.rtd",,$A$2,"."&amp;B$135&amp;B$1&amp;"C"&amp;$A176))-IF(RTD("tos.rtd",,$A$2,"."&amp;B$135&amp;B$1&amp;"P"&amp;$A176)="N/A",0,RTD("tos.rtd",,$A$2,"."&amp;B$135&amp;B$1&amp;"P"&amp;$A176))</f>
        <v>0</v>
      </c>
      <c r="C176" s="91">
        <f ca="1">IF(RTD("tos.rtd",,$A$2,"."&amp;C$135&amp;C$1&amp;"C"&amp;$A176)="N/A",0,RTD("tos.rtd",,$A$2,"."&amp;C$135&amp;C$1&amp;"C"&amp;$A176))-IF(RTD("tos.rtd",,$A$2,"."&amp;C$135&amp;C$1&amp;"P"&amp;$A176)="N/A",0,RTD("tos.rtd",,$A$2,"."&amp;C$135&amp;C$1&amp;"P"&amp;$A176))</f>
        <v>0</v>
      </c>
      <c r="D176" s="91">
        <f ca="1">IF(RTD("tos.rtd",,$A$2,"."&amp;D$135&amp;D$1&amp;"C"&amp;$A176)="N/A",0,RTD("tos.rtd",,$A$2,"."&amp;D$135&amp;D$1&amp;"C"&amp;$A176))-IF(RTD("tos.rtd",,$A$2,"."&amp;D$135&amp;D$1&amp;"P"&amp;$A176)="N/A",0,RTD("tos.rtd",,$A$2,"."&amp;D$135&amp;D$1&amp;"P"&amp;$A176))</f>
        <v>0</v>
      </c>
      <c r="E176" s="91">
        <f ca="1">IF(RTD("tos.rtd",,$A$2,"."&amp;E$135&amp;E$1&amp;"C"&amp;$A176)="N/A",0,RTD("tos.rtd",,$A$2,"."&amp;E$135&amp;E$1&amp;"C"&amp;$A176))-IF(RTD("tos.rtd",,$A$2,"."&amp;E$135&amp;E$1&amp;"P"&amp;$A176)="N/A",0,RTD("tos.rtd",,$A$2,"."&amp;E$135&amp;E$1&amp;"P"&amp;$A176))</f>
        <v>0</v>
      </c>
      <c r="F176" s="91">
        <f ca="1">IF(RTD("tos.rtd",,$A$2,"."&amp;F$135&amp;F$1&amp;"C"&amp;$A176)="N/A",0,RTD("tos.rtd",,$A$2,"."&amp;F$135&amp;F$1&amp;"C"&amp;$A176))-IF(RTD("tos.rtd",,$A$2,"."&amp;F$135&amp;F$1&amp;"P"&amp;$A176)="N/A",0,RTD("tos.rtd",,$A$2,"."&amp;F$135&amp;F$1&amp;"P"&amp;$A176))</f>
        <v>0</v>
      </c>
      <c r="G176" s="91">
        <f ca="1">IF(RTD("tos.rtd",,$A$2,"."&amp;G$135&amp;G$1&amp;"C"&amp;$A176)="N/A",0,RTD("tos.rtd",,$A$2,"."&amp;G$135&amp;G$1&amp;"C"&amp;$A176))-IF(RTD("tos.rtd",,$A$2,"."&amp;G$135&amp;G$1&amp;"P"&amp;$A176)="N/A",0,RTD("tos.rtd",,$A$2,"."&amp;G$135&amp;G$1&amp;"P"&amp;$A176))</f>
        <v>0</v>
      </c>
      <c r="H176" s="91">
        <f ca="1">IF(RTD("tos.rtd",,$A$2,"."&amp;H$135&amp;H$1&amp;"C"&amp;$A176)="N/A",0,RTD("tos.rtd",,$A$2,"."&amp;H$135&amp;H$1&amp;"C"&amp;$A176))-IF(RTD("tos.rtd",,$A$2,"."&amp;H$135&amp;H$1&amp;"P"&amp;$A176)="N/A",0,RTD("tos.rtd",,$A$2,"."&amp;H$135&amp;H$1&amp;"P"&amp;$A176))</f>
        <v>0</v>
      </c>
      <c r="I176" s="91">
        <f ca="1">IF(RTD("tos.rtd",,$A$2,"."&amp;I$135&amp;I$1&amp;"C"&amp;$A176)="N/A",0,RTD("tos.rtd",,$A$2,"."&amp;I$135&amp;I$1&amp;"C"&amp;$A176))-IF(RTD("tos.rtd",,$A$2,"."&amp;I$135&amp;I$1&amp;"P"&amp;$A176)="N/A",0,RTD("tos.rtd",,$A$2,"."&amp;I$135&amp;I$1&amp;"P"&amp;$A176))</f>
        <v>0</v>
      </c>
      <c r="J176" s="91">
        <f ca="1">IF(RTD("tos.rtd",,$A$2,"."&amp;J$135&amp;J$1&amp;"C"&amp;$A176)="N/A",0,RTD("tos.rtd",,$A$2,"."&amp;J$135&amp;J$1&amp;"C"&amp;$A176))-IF(RTD("tos.rtd",,$A$2,"."&amp;J$135&amp;J$1&amp;"P"&amp;$A176)="N/A",0,RTD("tos.rtd",,$A$2,"."&amp;J$135&amp;J$1&amp;"P"&amp;$A176))</f>
        <v>0</v>
      </c>
      <c r="K176" s="91">
        <f ca="1">IF(RTD("tos.rtd",,$A$2,"."&amp;K$135&amp;K$1&amp;"C"&amp;$A176)="N/A",0,RTD("tos.rtd",,$A$2,"."&amp;K$135&amp;K$1&amp;"C"&amp;$A176))-IF(RTD("tos.rtd",,$A$2,"."&amp;K$135&amp;K$1&amp;"P"&amp;$A176)="N/A",0,RTD("tos.rtd",,$A$2,"."&amp;K$135&amp;K$1&amp;"P"&amp;$A176))</f>
        <v>0</v>
      </c>
      <c r="L176" s="91">
        <f ca="1">IF(RTD("tos.rtd",,$A$2,"."&amp;L$135&amp;L$1&amp;"C"&amp;$A176)="N/A",0,RTD("tos.rtd",,$A$2,"."&amp;L$135&amp;L$1&amp;"C"&amp;$A176))-IF(RTD("tos.rtd",,$A$2,"."&amp;L$135&amp;L$1&amp;"P"&amp;$A176)="N/A",0,RTD("tos.rtd",,$A$2,"."&amp;L$135&amp;L$1&amp;"P"&amp;$A176))</f>
        <v>0</v>
      </c>
      <c r="M176" s="91">
        <f ca="1">IF(RTD("tos.rtd",,$A$2,"."&amp;M$135&amp;M$1&amp;"C"&amp;$A176)="N/A",0,RTD("tos.rtd",,$A$2,"."&amp;M$135&amp;M$1&amp;"C"&amp;$A176))-IF(RTD("tos.rtd",,$A$2,"."&amp;M$135&amp;M$1&amp;"P"&amp;$A176)="N/A",0,RTD("tos.rtd",,$A$2,"."&amp;M$135&amp;M$1&amp;"P"&amp;$A176))</f>
        <v>-1</v>
      </c>
      <c r="N176" s="91">
        <f ca="1">IF(RTD("tos.rtd",,$A$2,"."&amp;N$135&amp;N$1&amp;"C"&amp;$A176)="N/A",0,RTD("tos.rtd",,$A$2,"."&amp;N$135&amp;N$1&amp;"C"&amp;$A176))-IF(RTD("tos.rtd",,$A$2,"."&amp;N$135&amp;N$1&amp;"P"&amp;$A176)="N/A",0,RTD("tos.rtd",,$A$2,"."&amp;N$135&amp;N$1&amp;"P"&amp;$A176))</f>
        <v>0</v>
      </c>
      <c r="O176" s="91">
        <f ca="1">IF(RTD("tos.rtd",,$A$2,"."&amp;O$135&amp;O$1&amp;"C"&amp;$A176)="N/A",0,RTD("tos.rtd",,$A$2,"."&amp;O$135&amp;O$1&amp;"C"&amp;$A176))-IF(RTD("tos.rtd",,$A$2,"."&amp;O$135&amp;O$1&amp;"P"&amp;$A176)="N/A",0,RTD("tos.rtd",,$A$2,"."&amp;O$135&amp;O$1&amp;"P"&amp;$A176))</f>
        <v>-6</v>
      </c>
      <c r="P176" s="91">
        <f ca="1">IF(RTD("tos.rtd",,$A$2,"."&amp;P$135&amp;P$1&amp;"C"&amp;$A176)="N/A",0,RTD("tos.rtd",,$A$2,"."&amp;P$135&amp;P$1&amp;"C"&amp;$A176))-IF(RTD("tos.rtd",,$A$2,"."&amp;P$135&amp;P$1&amp;"P"&amp;$A176)="N/A",0,RTD("tos.rtd",,$A$2,"."&amp;P$135&amp;P$1&amp;"P"&amp;$A176))</f>
        <v>0</v>
      </c>
      <c r="Q176" s="91">
        <f ca="1">IF(RTD("tos.rtd",,$A$2,"."&amp;Q$135&amp;Q$1&amp;"C"&amp;$A176)="N/A",0,RTD("tos.rtd",,$A$2,"."&amp;Q$135&amp;Q$1&amp;"C"&amp;$A176))-IF(RTD("tos.rtd",,$A$2,"."&amp;Q$135&amp;Q$1&amp;"P"&amp;$A176)="N/A",0,RTD("tos.rtd",,$A$2,"."&amp;Q$135&amp;Q$1&amp;"P"&amp;$A176))</f>
        <v>0</v>
      </c>
      <c r="R176" s="91">
        <f ca="1">IF(RTD("tos.rtd",,$A$2,"."&amp;R$135&amp;R$1&amp;"C"&amp;$A176)="N/A",0,RTD("tos.rtd",,$A$2,"."&amp;R$135&amp;R$1&amp;"C"&amp;$A176))-IF(RTD("tos.rtd",,$A$2,"."&amp;R$135&amp;R$1&amp;"P"&amp;$A176)="N/A",0,RTD("tos.rtd",,$A$2,"."&amp;R$135&amp;R$1&amp;"P"&amp;$A176))</f>
        <v>0</v>
      </c>
      <c r="S176" s="91">
        <f ca="1">IF(RTD("tos.rtd",,$A$2,"."&amp;S$135&amp;S$1&amp;"C"&amp;$A176)="N/A",0,RTD("tos.rtd",,$A$2,"."&amp;S$135&amp;S$1&amp;"C"&amp;$A176))-IF(RTD("tos.rtd",,$A$2,"."&amp;S$135&amp;S$1&amp;"P"&amp;$A176)="N/A",0,RTD("tos.rtd",,$A$2,"."&amp;S$135&amp;S$1&amp;"P"&amp;$A176))</f>
        <v>0</v>
      </c>
      <c r="T176" s="91">
        <f ca="1">IF(RTD("tos.rtd",,$A$2,"."&amp;T$135&amp;T$1&amp;"C"&amp;$A176)="N/A",0,RTD("tos.rtd",,$A$2,"."&amp;T$135&amp;T$1&amp;"C"&amp;$A176))-IF(RTD("tos.rtd",,$A$2,"."&amp;T$135&amp;T$1&amp;"P"&amp;$A176)="N/A",0,RTD("tos.rtd",,$A$2,"."&amp;T$135&amp;T$1&amp;"P"&amp;$A176))</f>
        <v>0</v>
      </c>
      <c r="U176" s="91">
        <f ca="1">IF(RTD("tos.rtd",,$A$2,"."&amp;U$135&amp;U$1&amp;"C"&amp;$A176)="N/A",0,RTD("tos.rtd",,$A$2,"."&amp;U$135&amp;U$1&amp;"C"&amp;$A176))-IF(RTD("tos.rtd",,$A$2,"."&amp;U$135&amp;U$1&amp;"P"&amp;$A176)="N/A",0,RTD("tos.rtd",,$A$2,"."&amp;U$135&amp;U$1&amp;"P"&amp;$A176))</f>
        <v>0</v>
      </c>
      <c r="V176" s="91">
        <f ca="1">IF(RTD("tos.rtd",,$A$2,"."&amp;V$135&amp;V$1&amp;"C"&amp;$A176)="N/A",0,RTD("tos.rtd",,$A$2,"."&amp;V$135&amp;V$1&amp;"C"&amp;$A176))-IF(RTD("tos.rtd",,$A$2,"."&amp;V$135&amp;V$1&amp;"P"&amp;$A176)="N/A",0,RTD("tos.rtd",,$A$2,"."&amp;V$135&amp;V$1&amp;"P"&amp;$A176))</f>
        <v>0</v>
      </c>
      <c r="W176" s="91">
        <f ca="1">IF(RTD("tos.rtd",,$A$2,"."&amp;W$135&amp;W$1&amp;"C"&amp;$A176)="N/A",0,RTD("tos.rtd",,$A$2,"."&amp;W$135&amp;W$1&amp;"C"&amp;$A176))-IF(RTD("tos.rtd",,$A$2,"."&amp;W$135&amp;W$1&amp;"P"&amp;$A176)="N/A",0,RTD("tos.rtd",,$A$2,"."&amp;W$135&amp;W$1&amp;"P"&amp;$A176))</f>
        <v>0</v>
      </c>
      <c r="X176" s="91">
        <f ca="1">IF(RTD("tos.rtd",,$A$2,"."&amp;X$135&amp;X$1&amp;"C"&amp;$A176)="N/A",0,RTD("tos.rtd",,$A$2,"."&amp;X$135&amp;X$1&amp;"C"&amp;$A176))-IF(RTD("tos.rtd",,$A$2,"."&amp;X$135&amp;X$1&amp;"P"&amp;$A176)="N/A",0,RTD("tos.rtd",,$A$2,"."&amp;X$135&amp;X$1&amp;"P"&amp;$A176))</f>
        <v>0</v>
      </c>
      <c r="Y176" s="98">
        <f t="shared" ca="1" si="13"/>
        <v>-7</v>
      </c>
      <c r="Z176" s="91"/>
      <c r="AA176" s="91"/>
    </row>
    <row r="177" spans="1:27" x14ac:dyDescent="0.25">
      <c r="A177" s="93">
        <f>+Hoja1!A176</f>
        <v>19575</v>
      </c>
      <c r="B177" s="91">
        <f ca="1">IF(RTD("tos.rtd",,$A$2,"."&amp;B$135&amp;B$1&amp;"C"&amp;$A177)="N/A",0,RTD("tos.rtd",,$A$2,"."&amp;B$135&amp;B$1&amp;"C"&amp;$A177))-IF(RTD("tos.rtd",,$A$2,"."&amp;B$135&amp;B$1&amp;"P"&amp;$A177)="N/A",0,RTD("tos.rtd",,$A$2,"."&amp;B$135&amp;B$1&amp;"P"&amp;$A177))</f>
        <v>0</v>
      </c>
      <c r="C177" s="91">
        <f ca="1">IF(RTD("tos.rtd",,$A$2,"."&amp;C$135&amp;C$1&amp;"C"&amp;$A177)="N/A",0,RTD("tos.rtd",,$A$2,"."&amp;C$135&amp;C$1&amp;"C"&amp;$A177))-IF(RTD("tos.rtd",,$A$2,"."&amp;C$135&amp;C$1&amp;"P"&amp;$A177)="N/A",0,RTD("tos.rtd",,$A$2,"."&amp;C$135&amp;C$1&amp;"P"&amp;$A177))</f>
        <v>0</v>
      </c>
      <c r="D177" s="91">
        <f ca="1">IF(RTD("tos.rtd",,$A$2,"."&amp;D$135&amp;D$1&amp;"C"&amp;$A177)="N/A",0,RTD("tos.rtd",,$A$2,"."&amp;D$135&amp;D$1&amp;"C"&amp;$A177))-IF(RTD("tos.rtd",,$A$2,"."&amp;D$135&amp;D$1&amp;"P"&amp;$A177)="N/A",0,RTD("tos.rtd",,$A$2,"."&amp;D$135&amp;D$1&amp;"P"&amp;$A177))</f>
        <v>0</v>
      </c>
      <c r="E177" s="91">
        <f ca="1">IF(RTD("tos.rtd",,$A$2,"."&amp;E$135&amp;E$1&amp;"C"&amp;$A177)="N/A",0,RTD("tos.rtd",,$A$2,"."&amp;E$135&amp;E$1&amp;"C"&amp;$A177))-IF(RTD("tos.rtd",,$A$2,"."&amp;E$135&amp;E$1&amp;"P"&amp;$A177)="N/A",0,RTD("tos.rtd",,$A$2,"."&amp;E$135&amp;E$1&amp;"P"&amp;$A177))</f>
        <v>0</v>
      </c>
      <c r="F177" s="91">
        <f ca="1">IF(RTD("tos.rtd",,$A$2,"."&amp;F$135&amp;F$1&amp;"C"&amp;$A177)="N/A",0,RTD("tos.rtd",,$A$2,"."&amp;F$135&amp;F$1&amp;"C"&amp;$A177))-IF(RTD("tos.rtd",,$A$2,"."&amp;F$135&amp;F$1&amp;"P"&amp;$A177)="N/A",0,RTD("tos.rtd",,$A$2,"."&amp;F$135&amp;F$1&amp;"P"&amp;$A177))</f>
        <v>0</v>
      </c>
      <c r="G177" s="91">
        <f ca="1">IF(RTD("tos.rtd",,$A$2,"."&amp;G$135&amp;G$1&amp;"C"&amp;$A177)="N/A",0,RTD("tos.rtd",,$A$2,"."&amp;G$135&amp;G$1&amp;"C"&amp;$A177))-IF(RTD("tos.rtd",,$A$2,"."&amp;G$135&amp;G$1&amp;"P"&amp;$A177)="N/A",0,RTD("tos.rtd",,$A$2,"."&amp;G$135&amp;G$1&amp;"P"&amp;$A177))</f>
        <v>0</v>
      </c>
      <c r="H177" s="91">
        <f ca="1">IF(RTD("tos.rtd",,$A$2,"."&amp;H$135&amp;H$1&amp;"C"&amp;$A177)="N/A",0,RTD("tos.rtd",,$A$2,"."&amp;H$135&amp;H$1&amp;"C"&amp;$A177))-IF(RTD("tos.rtd",,$A$2,"."&amp;H$135&amp;H$1&amp;"P"&amp;$A177)="N/A",0,RTD("tos.rtd",,$A$2,"."&amp;H$135&amp;H$1&amp;"P"&amp;$A177))</f>
        <v>0</v>
      </c>
      <c r="I177" s="91">
        <f ca="1">IF(RTD("tos.rtd",,$A$2,"."&amp;I$135&amp;I$1&amp;"C"&amp;$A177)="N/A",0,RTD("tos.rtd",,$A$2,"."&amp;I$135&amp;I$1&amp;"C"&amp;$A177))-IF(RTD("tos.rtd",,$A$2,"."&amp;I$135&amp;I$1&amp;"P"&amp;$A177)="N/A",0,RTD("tos.rtd",,$A$2,"."&amp;I$135&amp;I$1&amp;"P"&amp;$A177))</f>
        <v>0</v>
      </c>
      <c r="J177" s="91">
        <f ca="1">IF(RTD("tos.rtd",,$A$2,"."&amp;J$135&amp;J$1&amp;"C"&amp;$A177)="N/A",0,RTD("tos.rtd",,$A$2,"."&amp;J$135&amp;J$1&amp;"C"&amp;$A177))-IF(RTD("tos.rtd",,$A$2,"."&amp;J$135&amp;J$1&amp;"P"&amp;$A177)="N/A",0,RTD("tos.rtd",,$A$2,"."&amp;J$135&amp;J$1&amp;"P"&amp;$A177))</f>
        <v>0</v>
      </c>
      <c r="K177" s="91">
        <f ca="1">IF(RTD("tos.rtd",,$A$2,"."&amp;K$135&amp;K$1&amp;"C"&amp;$A177)="N/A",0,RTD("tos.rtd",,$A$2,"."&amp;K$135&amp;K$1&amp;"C"&amp;$A177))-IF(RTD("tos.rtd",,$A$2,"."&amp;K$135&amp;K$1&amp;"P"&amp;$A177)="N/A",0,RTD("tos.rtd",,$A$2,"."&amp;K$135&amp;K$1&amp;"P"&amp;$A177))</f>
        <v>-1</v>
      </c>
      <c r="L177" s="91">
        <f ca="1">IF(RTD("tos.rtd",,$A$2,"."&amp;L$135&amp;L$1&amp;"C"&amp;$A177)="N/A",0,RTD("tos.rtd",,$A$2,"."&amp;L$135&amp;L$1&amp;"C"&amp;$A177))-IF(RTD("tos.rtd",,$A$2,"."&amp;L$135&amp;L$1&amp;"P"&amp;$A177)="N/A",0,RTD("tos.rtd",,$A$2,"."&amp;L$135&amp;L$1&amp;"P"&amp;$A177))</f>
        <v>0</v>
      </c>
      <c r="M177" s="91">
        <f ca="1">IF(RTD("tos.rtd",,$A$2,"."&amp;M$135&amp;M$1&amp;"C"&amp;$A177)="N/A",0,RTD("tos.rtd",,$A$2,"."&amp;M$135&amp;M$1&amp;"C"&amp;$A177))-IF(RTD("tos.rtd",,$A$2,"."&amp;M$135&amp;M$1&amp;"P"&amp;$A177)="N/A",0,RTD("tos.rtd",,$A$2,"."&amp;M$135&amp;M$1&amp;"P"&amp;$A177))</f>
        <v>0</v>
      </c>
      <c r="N177" s="91">
        <f ca="1">IF(RTD("tos.rtd",,$A$2,"."&amp;N$135&amp;N$1&amp;"C"&amp;$A177)="N/A",0,RTD("tos.rtd",,$A$2,"."&amp;N$135&amp;N$1&amp;"C"&amp;$A177))-IF(RTD("tos.rtd",,$A$2,"."&amp;N$135&amp;N$1&amp;"P"&amp;$A177)="N/A",0,RTD("tos.rtd",,$A$2,"."&amp;N$135&amp;N$1&amp;"P"&amp;$A177))</f>
        <v>0</v>
      </c>
      <c r="O177" s="91">
        <f ca="1">IF(RTD("tos.rtd",,$A$2,"."&amp;O$135&amp;O$1&amp;"C"&amp;$A177)="N/A",0,RTD("tos.rtd",,$A$2,"."&amp;O$135&amp;O$1&amp;"C"&amp;$A177))-IF(RTD("tos.rtd",,$A$2,"."&amp;O$135&amp;O$1&amp;"P"&amp;$A177)="N/A",0,RTD("tos.rtd",,$A$2,"."&amp;O$135&amp;O$1&amp;"P"&amp;$A177))</f>
        <v>0</v>
      </c>
      <c r="P177" s="91">
        <f ca="1">IF(RTD("tos.rtd",,$A$2,"."&amp;P$135&amp;P$1&amp;"C"&amp;$A177)="N/A",0,RTD("tos.rtd",,$A$2,"."&amp;P$135&amp;P$1&amp;"C"&amp;$A177))-IF(RTD("tos.rtd",,$A$2,"."&amp;P$135&amp;P$1&amp;"P"&amp;$A177)="N/A",0,RTD("tos.rtd",,$A$2,"."&amp;P$135&amp;P$1&amp;"P"&amp;$A177))</f>
        <v>0</v>
      </c>
      <c r="Q177" s="91">
        <f ca="1">IF(RTD("tos.rtd",,$A$2,"."&amp;Q$135&amp;Q$1&amp;"C"&amp;$A177)="N/A",0,RTD("tos.rtd",,$A$2,"."&amp;Q$135&amp;Q$1&amp;"C"&amp;$A177))-IF(RTD("tos.rtd",,$A$2,"."&amp;Q$135&amp;Q$1&amp;"P"&amp;$A177)="N/A",0,RTD("tos.rtd",,$A$2,"."&amp;Q$135&amp;Q$1&amp;"P"&amp;$A177))</f>
        <v>0</v>
      </c>
      <c r="R177" s="91">
        <f ca="1">IF(RTD("tos.rtd",,$A$2,"."&amp;R$135&amp;R$1&amp;"C"&amp;$A177)="N/A",0,RTD("tos.rtd",,$A$2,"."&amp;R$135&amp;R$1&amp;"C"&amp;$A177))-IF(RTD("tos.rtd",,$A$2,"."&amp;R$135&amp;R$1&amp;"P"&amp;$A177)="N/A",0,RTD("tos.rtd",,$A$2,"."&amp;R$135&amp;R$1&amp;"P"&amp;$A177))</f>
        <v>0</v>
      </c>
      <c r="S177" s="91">
        <f ca="1">IF(RTD("tos.rtd",,$A$2,"."&amp;S$135&amp;S$1&amp;"C"&amp;$A177)="N/A",0,RTD("tos.rtd",,$A$2,"."&amp;S$135&amp;S$1&amp;"C"&amp;$A177))-IF(RTD("tos.rtd",,$A$2,"."&amp;S$135&amp;S$1&amp;"P"&amp;$A177)="N/A",0,RTD("tos.rtd",,$A$2,"."&amp;S$135&amp;S$1&amp;"P"&amp;$A177))</f>
        <v>0</v>
      </c>
      <c r="T177" s="91">
        <f ca="1">IF(RTD("tos.rtd",,$A$2,"."&amp;T$135&amp;T$1&amp;"C"&amp;$A177)="N/A",0,RTD("tos.rtd",,$A$2,"."&amp;T$135&amp;T$1&amp;"C"&amp;$A177))-IF(RTD("tos.rtd",,$A$2,"."&amp;T$135&amp;T$1&amp;"P"&amp;$A177)="N/A",0,RTD("tos.rtd",,$A$2,"."&amp;T$135&amp;T$1&amp;"P"&amp;$A177))</f>
        <v>0</v>
      </c>
      <c r="U177" s="91">
        <f ca="1">IF(RTD("tos.rtd",,$A$2,"."&amp;U$135&amp;U$1&amp;"C"&amp;$A177)="N/A",0,RTD("tos.rtd",,$A$2,"."&amp;U$135&amp;U$1&amp;"C"&amp;$A177))-IF(RTD("tos.rtd",,$A$2,"."&amp;U$135&amp;U$1&amp;"P"&amp;$A177)="N/A",0,RTD("tos.rtd",,$A$2,"."&amp;U$135&amp;U$1&amp;"P"&amp;$A177))</f>
        <v>0</v>
      </c>
      <c r="V177" s="91">
        <f ca="1">IF(RTD("tos.rtd",,$A$2,"."&amp;V$135&amp;V$1&amp;"C"&amp;$A177)="N/A",0,RTD("tos.rtd",,$A$2,"."&amp;V$135&amp;V$1&amp;"C"&amp;$A177))-IF(RTD("tos.rtd",,$A$2,"."&amp;V$135&amp;V$1&amp;"P"&amp;$A177)="N/A",0,RTD("tos.rtd",,$A$2,"."&amp;V$135&amp;V$1&amp;"P"&amp;$A177))</f>
        <v>0</v>
      </c>
      <c r="W177" s="91">
        <f ca="1">IF(RTD("tos.rtd",,$A$2,"."&amp;W$135&amp;W$1&amp;"C"&amp;$A177)="N/A",0,RTD("tos.rtd",,$A$2,"."&amp;W$135&amp;W$1&amp;"C"&amp;$A177))-IF(RTD("tos.rtd",,$A$2,"."&amp;W$135&amp;W$1&amp;"P"&amp;$A177)="N/A",0,RTD("tos.rtd",,$A$2,"."&amp;W$135&amp;W$1&amp;"P"&amp;$A177))</f>
        <v>0</v>
      </c>
      <c r="X177" s="91">
        <f ca="1">IF(RTD("tos.rtd",,$A$2,"."&amp;X$135&amp;X$1&amp;"C"&amp;$A177)="N/A",0,RTD("tos.rtd",,$A$2,"."&amp;X$135&amp;X$1&amp;"C"&amp;$A177))-IF(RTD("tos.rtd",,$A$2,"."&amp;X$135&amp;X$1&amp;"P"&amp;$A177)="N/A",0,RTD("tos.rtd",,$A$2,"."&amp;X$135&amp;X$1&amp;"P"&amp;$A177))</f>
        <v>0</v>
      </c>
      <c r="Y177" s="98">
        <f t="shared" ca="1" si="13"/>
        <v>-1</v>
      </c>
      <c r="Z177" s="91"/>
      <c r="AA177" s="91"/>
    </row>
    <row r="178" spans="1:27" x14ac:dyDescent="0.25">
      <c r="A178" s="93">
        <f>+Hoja1!A177</f>
        <v>19550</v>
      </c>
      <c r="B178" s="91">
        <f ca="1">IF(RTD("tos.rtd",,$A$2,"."&amp;B$135&amp;B$1&amp;"C"&amp;$A178)="N/A",0,RTD("tos.rtd",,$A$2,"."&amp;B$135&amp;B$1&amp;"C"&amp;$A178))-IF(RTD("tos.rtd",,$A$2,"."&amp;B$135&amp;B$1&amp;"P"&amp;$A178)="N/A",0,RTD("tos.rtd",,$A$2,"."&amp;B$135&amp;B$1&amp;"P"&amp;$A178))</f>
        <v>0</v>
      </c>
      <c r="C178" s="91">
        <f ca="1">IF(RTD("tos.rtd",,$A$2,"."&amp;C$135&amp;C$1&amp;"C"&amp;$A178)="N/A",0,RTD("tos.rtd",,$A$2,"."&amp;C$135&amp;C$1&amp;"C"&amp;$A178))-IF(RTD("tos.rtd",,$A$2,"."&amp;C$135&amp;C$1&amp;"P"&amp;$A178)="N/A",0,RTD("tos.rtd",,$A$2,"."&amp;C$135&amp;C$1&amp;"P"&amp;$A178))</f>
        <v>0</v>
      </c>
      <c r="D178" s="91">
        <f ca="1">IF(RTD("tos.rtd",,$A$2,"."&amp;D$135&amp;D$1&amp;"C"&amp;$A178)="N/A",0,RTD("tos.rtd",,$A$2,"."&amp;D$135&amp;D$1&amp;"C"&amp;$A178))-IF(RTD("tos.rtd",,$A$2,"."&amp;D$135&amp;D$1&amp;"P"&amp;$A178)="N/A",0,RTD("tos.rtd",,$A$2,"."&amp;D$135&amp;D$1&amp;"P"&amp;$A178))</f>
        <v>0</v>
      </c>
      <c r="E178" s="91">
        <f ca="1">IF(RTD("tos.rtd",,$A$2,"."&amp;E$135&amp;E$1&amp;"C"&amp;$A178)="N/A",0,RTD("tos.rtd",,$A$2,"."&amp;E$135&amp;E$1&amp;"C"&amp;$A178))-IF(RTD("tos.rtd",,$A$2,"."&amp;E$135&amp;E$1&amp;"P"&amp;$A178)="N/A",0,RTD("tos.rtd",,$A$2,"."&amp;E$135&amp;E$1&amp;"P"&amp;$A178))</f>
        <v>0</v>
      </c>
      <c r="F178" s="91">
        <f ca="1">IF(RTD("tos.rtd",,$A$2,"."&amp;F$135&amp;F$1&amp;"C"&amp;$A178)="N/A",0,RTD("tos.rtd",,$A$2,"."&amp;F$135&amp;F$1&amp;"C"&amp;$A178))-IF(RTD("tos.rtd",,$A$2,"."&amp;F$135&amp;F$1&amp;"P"&amp;$A178)="N/A",0,RTD("tos.rtd",,$A$2,"."&amp;F$135&amp;F$1&amp;"P"&amp;$A178))</f>
        <v>0</v>
      </c>
      <c r="G178" s="91">
        <f ca="1">IF(RTD("tos.rtd",,$A$2,"."&amp;G$135&amp;G$1&amp;"C"&amp;$A178)="N/A",0,RTD("tos.rtd",,$A$2,"."&amp;G$135&amp;G$1&amp;"C"&amp;$A178))-IF(RTD("tos.rtd",,$A$2,"."&amp;G$135&amp;G$1&amp;"P"&amp;$A178)="N/A",0,RTD("tos.rtd",,$A$2,"."&amp;G$135&amp;G$1&amp;"P"&amp;$A178))</f>
        <v>0</v>
      </c>
      <c r="H178" s="91">
        <f ca="1">IF(RTD("tos.rtd",,$A$2,"."&amp;H$135&amp;H$1&amp;"C"&amp;$A178)="N/A",0,RTD("tos.rtd",,$A$2,"."&amp;H$135&amp;H$1&amp;"C"&amp;$A178))-IF(RTD("tos.rtd",,$A$2,"."&amp;H$135&amp;H$1&amp;"P"&amp;$A178)="N/A",0,RTD("tos.rtd",,$A$2,"."&amp;H$135&amp;H$1&amp;"P"&amp;$A178))</f>
        <v>0</v>
      </c>
      <c r="I178" s="91">
        <f ca="1">IF(RTD("tos.rtd",,$A$2,"."&amp;I$135&amp;I$1&amp;"C"&amp;$A178)="N/A",0,RTD("tos.rtd",,$A$2,"."&amp;I$135&amp;I$1&amp;"C"&amp;$A178))-IF(RTD("tos.rtd",,$A$2,"."&amp;I$135&amp;I$1&amp;"P"&amp;$A178)="N/A",0,RTD("tos.rtd",,$A$2,"."&amp;I$135&amp;I$1&amp;"P"&amp;$A178))</f>
        <v>-1</v>
      </c>
      <c r="J178" s="91">
        <f ca="1">IF(RTD("tos.rtd",,$A$2,"."&amp;J$135&amp;J$1&amp;"C"&amp;$A178)="N/A",0,RTD("tos.rtd",,$A$2,"."&amp;J$135&amp;J$1&amp;"C"&amp;$A178))-IF(RTD("tos.rtd",,$A$2,"."&amp;J$135&amp;J$1&amp;"P"&amp;$A178)="N/A",0,RTD("tos.rtd",,$A$2,"."&amp;J$135&amp;J$1&amp;"P"&amp;$A178))</f>
        <v>0</v>
      </c>
      <c r="K178" s="91">
        <f ca="1">IF(RTD("tos.rtd",,$A$2,"."&amp;K$135&amp;K$1&amp;"C"&amp;$A178)="N/A",0,RTD("tos.rtd",,$A$2,"."&amp;K$135&amp;K$1&amp;"C"&amp;$A178))-IF(RTD("tos.rtd",,$A$2,"."&amp;K$135&amp;K$1&amp;"P"&amp;$A178)="N/A",0,RTD("tos.rtd",,$A$2,"."&amp;K$135&amp;K$1&amp;"P"&amp;$A178))</f>
        <v>-2</v>
      </c>
      <c r="L178" s="91">
        <f ca="1">IF(RTD("tos.rtd",,$A$2,"."&amp;L$135&amp;L$1&amp;"C"&amp;$A178)="N/A",0,RTD("tos.rtd",,$A$2,"."&amp;L$135&amp;L$1&amp;"C"&amp;$A178))-IF(RTD("tos.rtd",,$A$2,"."&amp;L$135&amp;L$1&amp;"P"&amp;$A178)="N/A",0,RTD("tos.rtd",,$A$2,"."&amp;L$135&amp;L$1&amp;"P"&amp;$A178))</f>
        <v>0</v>
      </c>
      <c r="M178" s="91">
        <f ca="1">IF(RTD("tos.rtd",,$A$2,"."&amp;M$135&amp;M$1&amp;"C"&amp;$A178)="N/A",0,RTD("tos.rtd",,$A$2,"."&amp;M$135&amp;M$1&amp;"C"&amp;$A178))-IF(RTD("tos.rtd",,$A$2,"."&amp;M$135&amp;M$1&amp;"P"&amp;$A178)="N/A",0,RTD("tos.rtd",,$A$2,"."&amp;M$135&amp;M$1&amp;"P"&amp;$A178))</f>
        <v>0</v>
      </c>
      <c r="N178" s="91">
        <f ca="1">IF(RTD("tos.rtd",,$A$2,"."&amp;N$135&amp;N$1&amp;"C"&amp;$A178)="N/A",0,RTD("tos.rtd",,$A$2,"."&amp;N$135&amp;N$1&amp;"C"&amp;$A178))-IF(RTD("tos.rtd",,$A$2,"."&amp;N$135&amp;N$1&amp;"P"&amp;$A178)="N/A",0,RTD("tos.rtd",,$A$2,"."&amp;N$135&amp;N$1&amp;"P"&amp;$A178))</f>
        <v>0</v>
      </c>
      <c r="O178" s="91">
        <f ca="1">IF(RTD("tos.rtd",,$A$2,"."&amp;O$135&amp;O$1&amp;"C"&amp;$A178)="N/A",0,RTD("tos.rtd",,$A$2,"."&amp;O$135&amp;O$1&amp;"C"&amp;$A178))-IF(RTD("tos.rtd",,$A$2,"."&amp;O$135&amp;O$1&amp;"P"&amp;$A178)="N/A",0,RTD("tos.rtd",,$A$2,"."&amp;O$135&amp;O$1&amp;"P"&amp;$A178))</f>
        <v>0</v>
      </c>
      <c r="P178" s="91">
        <f ca="1">IF(RTD("tos.rtd",,$A$2,"."&amp;P$135&amp;P$1&amp;"C"&amp;$A178)="N/A",0,RTD("tos.rtd",,$A$2,"."&amp;P$135&amp;P$1&amp;"C"&amp;$A178))-IF(RTD("tos.rtd",,$A$2,"."&amp;P$135&amp;P$1&amp;"P"&amp;$A178)="N/A",0,RTD("tos.rtd",,$A$2,"."&amp;P$135&amp;P$1&amp;"P"&amp;$A178))</f>
        <v>0</v>
      </c>
      <c r="Q178" s="91">
        <f ca="1">IF(RTD("tos.rtd",,$A$2,"."&amp;Q$135&amp;Q$1&amp;"C"&amp;$A178)="N/A",0,RTD("tos.rtd",,$A$2,"."&amp;Q$135&amp;Q$1&amp;"C"&amp;$A178))-IF(RTD("tos.rtd",,$A$2,"."&amp;Q$135&amp;Q$1&amp;"P"&amp;$A178)="N/A",0,RTD("tos.rtd",,$A$2,"."&amp;Q$135&amp;Q$1&amp;"P"&amp;$A178))</f>
        <v>0</v>
      </c>
      <c r="R178" s="91">
        <f ca="1">IF(RTD("tos.rtd",,$A$2,"."&amp;R$135&amp;R$1&amp;"C"&amp;$A178)="N/A",0,RTD("tos.rtd",,$A$2,"."&amp;R$135&amp;R$1&amp;"C"&amp;$A178))-IF(RTD("tos.rtd",,$A$2,"."&amp;R$135&amp;R$1&amp;"P"&amp;$A178)="N/A",0,RTD("tos.rtd",,$A$2,"."&amp;R$135&amp;R$1&amp;"P"&amp;$A178))</f>
        <v>0</v>
      </c>
      <c r="S178" s="91">
        <f ca="1">IF(RTD("tos.rtd",,$A$2,"."&amp;S$135&amp;S$1&amp;"C"&amp;$A178)="N/A",0,RTD("tos.rtd",,$A$2,"."&amp;S$135&amp;S$1&amp;"C"&amp;$A178))-IF(RTD("tos.rtd",,$A$2,"."&amp;S$135&amp;S$1&amp;"P"&amp;$A178)="N/A",0,RTD("tos.rtd",,$A$2,"."&amp;S$135&amp;S$1&amp;"P"&amp;$A178))</f>
        <v>0</v>
      </c>
      <c r="T178" s="91">
        <f ca="1">IF(RTD("tos.rtd",,$A$2,"."&amp;T$135&amp;T$1&amp;"C"&amp;$A178)="N/A",0,RTD("tos.rtd",,$A$2,"."&amp;T$135&amp;T$1&amp;"C"&amp;$A178))-IF(RTD("tos.rtd",,$A$2,"."&amp;T$135&amp;T$1&amp;"P"&amp;$A178)="N/A",0,RTD("tos.rtd",,$A$2,"."&amp;T$135&amp;T$1&amp;"P"&amp;$A178))</f>
        <v>0</v>
      </c>
      <c r="U178" s="91">
        <f ca="1">IF(RTD("tos.rtd",,$A$2,"."&amp;U$135&amp;U$1&amp;"C"&amp;$A178)="N/A",0,RTD("tos.rtd",,$A$2,"."&amp;U$135&amp;U$1&amp;"C"&amp;$A178))-IF(RTD("tos.rtd",,$A$2,"."&amp;U$135&amp;U$1&amp;"P"&amp;$A178)="N/A",0,RTD("tos.rtd",,$A$2,"."&amp;U$135&amp;U$1&amp;"P"&amp;$A178))</f>
        <v>0</v>
      </c>
      <c r="V178" s="91">
        <f ca="1">IF(RTD("tos.rtd",,$A$2,"."&amp;V$135&amp;V$1&amp;"C"&amp;$A178)="N/A",0,RTD("tos.rtd",,$A$2,"."&amp;V$135&amp;V$1&amp;"C"&amp;$A178))-IF(RTD("tos.rtd",,$A$2,"."&amp;V$135&amp;V$1&amp;"P"&amp;$A178)="N/A",0,RTD("tos.rtd",,$A$2,"."&amp;V$135&amp;V$1&amp;"P"&amp;$A178))</f>
        <v>0</v>
      </c>
      <c r="W178" s="91">
        <f ca="1">IF(RTD("tos.rtd",,$A$2,"."&amp;W$135&amp;W$1&amp;"C"&amp;$A178)="N/A",0,RTD("tos.rtd",,$A$2,"."&amp;W$135&amp;W$1&amp;"C"&amp;$A178))-IF(RTD("tos.rtd",,$A$2,"."&amp;W$135&amp;W$1&amp;"P"&amp;$A178)="N/A",0,RTD("tos.rtd",,$A$2,"."&amp;W$135&amp;W$1&amp;"P"&amp;$A178))</f>
        <v>0</v>
      </c>
      <c r="X178" s="91">
        <f ca="1">IF(RTD("tos.rtd",,$A$2,"."&amp;X$135&amp;X$1&amp;"C"&amp;$A178)="N/A",0,RTD("tos.rtd",,$A$2,"."&amp;X$135&amp;X$1&amp;"C"&amp;$A178))-IF(RTD("tos.rtd",,$A$2,"."&amp;X$135&amp;X$1&amp;"P"&amp;$A178)="N/A",0,RTD("tos.rtd",,$A$2,"."&amp;X$135&amp;X$1&amp;"P"&amp;$A178))</f>
        <v>0</v>
      </c>
      <c r="Y178" s="98">
        <f t="shared" ca="1" si="13"/>
        <v>-3</v>
      </c>
      <c r="Z178" s="91"/>
      <c r="AA178" s="91"/>
    </row>
    <row r="179" spans="1:27" x14ac:dyDescent="0.25">
      <c r="A179" s="93">
        <f>+Hoja1!A178</f>
        <v>19525</v>
      </c>
      <c r="B179" s="91">
        <f ca="1">IF(RTD("tos.rtd",,$A$2,"."&amp;B$135&amp;B$1&amp;"C"&amp;$A179)="N/A",0,RTD("tos.rtd",,$A$2,"."&amp;B$135&amp;B$1&amp;"C"&amp;$A179))-IF(RTD("tos.rtd",,$A$2,"."&amp;B$135&amp;B$1&amp;"P"&amp;$A179)="N/A",0,RTD("tos.rtd",,$A$2,"."&amp;B$135&amp;B$1&amp;"P"&amp;$A179))</f>
        <v>0</v>
      </c>
      <c r="C179" s="91">
        <f ca="1">IF(RTD("tos.rtd",,$A$2,"."&amp;C$135&amp;C$1&amp;"C"&amp;$A179)="N/A",0,RTD("tos.rtd",,$A$2,"."&amp;C$135&amp;C$1&amp;"C"&amp;$A179))-IF(RTD("tos.rtd",,$A$2,"."&amp;C$135&amp;C$1&amp;"P"&amp;$A179)="N/A",0,RTD("tos.rtd",,$A$2,"."&amp;C$135&amp;C$1&amp;"P"&amp;$A179))</f>
        <v>0</v>
      </c>
      <c r="D179" s="91">
        <f ca="1">IF(RTD("tos.rtd",,$A$2,"."&amp;D$135&amp;D$1&amp;"C"&amp;$A179)="N/A",0,RTD("tos.rtd",,$A$2,"."&amp;D$135&amp;D$1&amp;"C"&amp;$A179))-IF(RTD("tos.rtd",,$A$2,"."&amp;D$135&amp;D$1&amp;"P"&amp;$A179)="N/A",0,RTD("tos.rtd",,$A$2,"."&amp;D$135&amp;D$1&amp;"P"&amp;$A179))</f>
        <v>0</v>
      </c>
      <c r="E179" s="91">
        <f ca="1">IF(RTD("tos.rtd",,$A$2,"."&amp;E$135&amp;E$1&amp;"C"&amp;$A179)="N/A",0,RTD("tos.rtd",,$A$2,"."&amp;E$135&amp;E$1&amp;"C"&amp;$A179))-IF(RTD("tos.rtd",,$A$2,"."&amp;E$135&amp;E$1&amp;"P"&amp;$A179)="N/A",0,RTD("tos.rtd",,$A$2,"."&amp;E$135&amp;E$1&amp;"P"&amp;$A179))</f>
        <v>0</v>
      </c>
      <c r="F179" s="91">
        <f ca="1">IF(RTD("tos.rtd",,$A$2,"."&amp;F$135&amp;F$1&amp;"C"&amp;$A179)="N/A",0,RTD("tos.rtd",,$A$2,"."&amp;F$135&amp;F$1&amp;"C"&amp;$A179))-IF(RTD("tos.rtd",,$A$2,"."&amp;F$135&amp;F$1&amp;"P"&amp;$A179)="N/A",0,RTD("tos.rtd",,$A$2,"."&amp;F$135&amp;F$1&amp;"P"&amp;$A179))</f>
        <v>0</v>
      </c>
      <c r="G179" s="91">
        <f ca="1">IF(RTD("tos.rtd",,$A$2,"."&amp;G$135&amp;G$1&amp;"C"&amp;$A179)="N/A",0,RTD("tos.rtd",,$A$2,"."&amp;G$135&amp;G$1&amp;"C"&amp;$A179))-IF(RTD("tos.rtd",,$A$2,"."&amp;G$135&amp;G$1&amp;"P"&amp;$A179)="N/A",0,RTD("tos.rtd",,$A$2,"."&amp;G$135&amp;G$1&amp;"P"&amp;$A179))</f>
        <v>0</v>
      </c>
      <c r="H179" s="91">
        <f ca="1">IF(RTD("tos.rtd",,$A$2,"."&amp;H$135&amp;H$1&amp;"C"&amp;$A179)="N/A",0,RTD("tos.rtd",,$A$2,"."&amp;H$135&amp;H$1&amp;"C"&amp;$A179))-IF(RTD("tos.rtd",,$A$2,"."&amp;H$135&amp;H$1&amp;"P"&amp;$A179)="N/A",0,RTD("tos.rtd",,$A$2,"."&amp;H$135&amp;H$1&amp;"P"&amp;$A179))</f>
        <v>0</v>
      </c>
      <c r="I179" s="91">
        <f ca="1">IF(RTD("tos.rtd",,$A$2,"."&amp;I$135&amp;I$1&amp;"C"&amp;$A179)="N/A",0,RTD("tos.rtd",,$A$2,"."&amp;I$135&amp;I$1&amp;"C"&amp;$A179))-IF(RTD("tos.rtd",,$A$2,"."&amp;I$135&amp;I$1&amp;"P"&amp;$A179)="N/A",0,RTD("tos.rtd",,$A$2,"."&amp;I$135&amp;I$1&amp;"P"&amp;$A179))</f>
        <v>0</v>
      </c>
      <c r="J179" s="91">
        <f ca="1">IF(RTD("tos.rtd",,$A$2,"."&amp;J$135&amp;J$1&amp;"C"&amp;$A179)="N/A",0,RTD("tos.rtd",,$A$2,"."&amp;J$135&amp;J$1&amp;"C"&amp;$A179))-IF(RTD("tos.rtd",,$A$2,"."&amp;J$135&amp;J$1&amp;"P"&amp;$A179)="N/A",0,RTD("tos.rtd",,$A$2,"."&amp;J$135&amp;J$1&amp;"P"&amp;$A179))</f>
        <v>0</v>
      </c>
      <c r="K179" s="91">
        <f ca="1">IF(RTD("tos.rtd",,$A$2,"."&amp;K$135&amp;K$1&amp;"C"&amp;$A179)="N/A",0,RTD("tos.rtd",,$A$2,"."&amp;K$135&amp;K$1&amp;"C"&amp;$A179))-IF(RTD("tos.rtd",,$A$2,"."&amp;K$135&amp;K$1&amp;"P"&amp;$A179)="N/A",0,RTD("tos.rtd",,$A$2,"."&amp;K$135&amp;K$1&amp;"P"&amp;$A179))</f>
        <v>-3</v>
      </c>
      <c r="L179" s="91">
        <f ca="1">IF(RTD("tos.rtd",,$A$2,"."&amp;L$135&amp;L$1&amp;"C"&amp;$A179)="N/A",0,RTD("tos.rtd",,$A$2,"."&amp;L$135&amp;L$1&amp;"C"&amp;$A179))-IF(RTD("tos.rtd",,$A$2,"."&amp;L$135&amp;L$1&amp;"P"&amp;$A179)="N/A",0,RTD("tos.rtd",,$A$2,"."&amp;L$135&amp;L$1&amp;"P"&amp;$A179))</f>
        <v>0</v>
      </c>
      <c r="M179" s="91">
        <f ca="1">IF(RTD("tos.rtd",,$A$2,"."&amp;M$135&amp;M$1&amp;"C"&amp;$A179)="N/A",0,RTD("tos.rtd",,$A$2,"."&amp;M$135&amp;M$1&amp;"C"&amp;$A179))-IF(RTD("tos.rtd",,$A$2,"."&amp;M$135&amp;M$1&amp;"P"&amp;$A179)="N/A",0,RTD("tos.rtd",,$A$2,"."&amp;M$135&amp;M$1&amp;"P"&amp;$A179))</f>
        <v>0</v>
      </c>
      <c r="N179" s="91">
        <f ca="1">IF(RTD("tos.rtd",,$A$2,"."&amp;N$135&amp;N$1&amp;"C"&amp;$A179)="N/A",0,RTD("tos.rtd",,$A$2,"."&amp;N$135&amp;N$1&amp;"C"&amp;$A179))-IF(RTD("tos.rtd",,$A$2,"."&amp;N$135&amp;N$1&amp;"P"&amp;$A179)="N/A",0,RTD("tos.rtd",,$A$2,"."&amp;N$135&amp;N$1&amp;"P"&amp;$A179))</f>
        <v>0</v>
      </c>
      <c r="O179" s="91">
        <f ca="1">IF(RTD("tos.rtd",,$A$2,"."&amp;O$135&amp;O$1&amp;"C"&amp;$A179)="N/A",0,RTD("tos.rtd",,$A$2,"."&amp;O$135&amp;O$1&amp;"C"&amp;$A179))-IF(RTD("tos.rtd",,$A$2,"."&amp;O$135&amp;O$1&amp;"P"&amp;$A179)="N/A",0,RTD("tos.rtd",,$A$2,"."&amp;O$135&amp;O$1&amp;"P"&amp;$A179))</f>
        <v>0</v>
      </c>
      <c r="P179" s="91">
        <f ca="1">IF(RTD("tos.rtd",,$A$2,"."&amp;P$135&amp;P$1&amp;"C"&amp;$A179)="N/A",0,RTD("tos.rtd",,$A$2,"."&amp;P$135&amp;P$1&amp;"C"&amp;$A179))-IF(RTD("tos.rtd",,$A$2,"."&amp;P$135&amp;P$1&amp;"P"&amp;$A179)="N/A",0,RTD("tos.rtd",,$A$2,"."&amp;P$135&amp;P$1&amp;"P"&amp;$A179))</f>
        <v>0</v>
      </c>
      <c r="Q179" s="91">
        <f ca="1">IF(RTD("tos.rtd",,$A$2,"."&amp;Q$135&amp;Q$1&amp;"C"&amp;$A179)="N/A",0,RTD("tos.rtd",,$A$2,"."&amp;Q$135&amp;Q$1&amp;"C"&amp;$A179))-IF(RTD("tos.rtd",,$A$2,"."&amp;Q$135&amp;Q$1&amp;"P"&amp;$A179)="N/A",0,RTD("tos.rtd",,$A$2,"."&amp;Q$135&amp;Q$1&amp;"P"&amp;$A179))</f>
        <v>0</v>
      </c>
      <c r="R179" s="91">
        <f ca="1">IF(RTD("tos.rtd",,$A$2,"."&amp;R$135&amp;R$1&amp;"C"&amp;$A179)="N/A",0,RTD("tos.rtd",,$A$2,"."&amp;R$135&amp;R$1&amp;"C"&amp;$A179))-IF(RTD("tos.rtd",,$A$2,"."&amp;R$135&amp;R$1&amp;"P"&amp;$A179)="N/A",0,RTD("tos.rtd",,$A$2,"."&amp;R$135&amp;R$1&amp;"P"&amp;$A179))</f>
        <v>0</v>
      </c>
      <c r="S179" s="91">
        <f ca="1">IF(RTD("tos.rtd",,$A$2,"."&amp;S$135&amp;S$1&amp;"C"&amp;$A179)="N/A",0,RTD("tos.rtd",,$A$2,"."&amp;S$135&amp;S$1&amp;"C"&amp;$A179))-IF(RTD("tos.rtd",,$A$2,"."&amp;S$135&amp;S$1&amp;"P"&amp;$A179)="N/A",0,RTD("tos.rtd",,$A$2,"."&amp;S$135&amp;S$1&amp;"P"&amp;$A179))</f>
        <v>0</v>
      </c>
      <c r="T179" s="91">
        <f ca="1">IF(RTD("tos.rtd",,$A$2,"."&amp;T$135&amp;T$1&amp;"C"&amp;$A179)="N/A",0,RTD("tos.rtd",,$A$2,"."&amp;T$135&amp;T$1&amp;"C"&amp;$A179))-IF(RTD("tos.rtd",,$A$2,"."&amp;T$135&amp;T$1&amp;"P"&amp;$A179)="N/A",0,RTD("tos.rtd",,$A$2,"."&amp;T$135&amp;T$1&amp;"P"&amp;$A179))</f>
        <v>0</v>
      </c>
      <c r="U179" s="91">
        <f ca="1">IF(RTD("tos.rtd",,$A$2,"."&amp;U$135&amp;U$1&amp;"C"&amp;$A179)="N/A",0,RTD("tos.rtd",,$A$2,"."&amp;U$135&amp;U$1&amp;"C"&amp;$A179))-IF(RTD("tos.rtd",,$A$2,"."&amp;U$135&amp;U$1&amp;"P"&amp;$A179)="N/A",0,RTD("tos.rtd",,$A$2,"."&amp;U$135&amp;U$1&amp;"P"&amp;$A179))</f>
        <v>0</v>
      </c>
      <c r="V179" s="91">
        <f ca="1">IF(RTD("tos.rtd",,$A$2,"."&amp;V$135&amp;V$1&amp;"C"&amp;$A179)="N/A",0,RTD("tos.rtd",,$A$2,"."&amp;V$135&amp;V$1&amp;"C"&amp;$A179))-IF(RTD("tos.rtd",,$A$2,"."&amp;V$135&amp;V$1&amp;"P"&amp;$A179)="N/A",0,RTD("tos.rtd",,$A$2,"."&amp;V$135&amp;V$1&amp;"P"&amp;$A179))</f>
        <v>0</v>
      </c>
      <c r="W179" s="91">
        <f ca="1">IF(RTD("tos.rtd",,$A$2,"."&amp;W$135&amp;W$1&amp;"C"&amp;$A179)="N/A",0,RTD("tos.rtd",,$A$2,"."&amp;W$135&amp;W$1&amp;"C"&amp;$A179))-IF(RTD("tos.rtd",,$A$2,"."&amp;W$135&amp;W$1&amp;"P"&amp;$A179)="N/A",0,RTD("tos.rtd",,$A$2,"."&amp;W$135&amp;W$1&amp;"P"&amp;$A179))</f>
        <v>0</v>
      </c>
      <c r="X179" s="91">
        <f ca="1">IF(RTD("tos.rtd",,$A$2,"."&amp;X$135&amp;X$1&amp;"C"&amp;$A179)="N/A",0,RTD("tos.rtd",,$A$2,"."&amp;X$135&amp;X$1&amp;"C"&amp;$A179))-IF(RTD("tos.rtd",,$A$2,"."&amp;X$135&amp;X$1&amp;"P"&amp;$A179)="N/A",0,RTD("tos.rtd",,$A$2,"."&amp;X$135&amp;X$1&amp;"P"&amp;$A179))</f>
        <v>0</v>
      </c>
      <c r="Y179" s="98">
        <f t="shared" ca="1" si="13"/>
        <v>-3</v>
      </c>
      <c r="Z179" s="91"/>
      <c r="AA179" s="91"/>
    </row>
    <row r="180" spans="1:27" x14ac:dyDescent="0.25">
      <c r="A180" s="93">
        <f>+Hoja1!A179</f>
        <v>19500</v>
      </c>
      <c r="B180" s="91">
        <f ca="1">IF(RTD("tos.rtd",,$A$2,"."&amp;B$135&amp;B$1&amp;"C"&amp;$A180)="N/A",0,RTD("tos.rtd",,$A$2,"."&amp;B$135&amp;B$1&amp;"C"&amp;$A180))-IF(RTD("tos.rtd",,$A$2,"."&amp;B$135&amp;B$1&amp;"P"&amp;$A180)="N/A",0,RTD("tos.rtd",,$A$2,"."&amp;B$135&amp;B$1&amp;"P"&amp;$A180))</f>
        <v>0</v>
      </c>
      <c r="C180" s="91">
        <f ca="1">IF(RTD("tos.rtd",,$A$2,"."&amp;C$135&amp;C$1&amp;"C"&amp;$A180)="N/A",0,RTD("tos.rtd",,$A$2,"."&amp;C$135&amp;C$1&amp;"C"&amp;$A180))-IF(RTD("tos.rtd",,$A$2,"."&amp;C$135&amp;C$1&amp;"P"&amp;$A180)="N/A",0,RTD("tos.rtd",,$A$2,"."&amp;C$135&amp;C$1&amp;"P"&amp;$A180))</f>
        <v>0</v>
      </c>
      <c r="D180" s="91">
        <f ca="1">IF(RTD("tos.rtd",,$A$2,"."&amp;D$135&amp;D$1&amp;"C"&amp;$A180)="N/A",0,RTD("tos.rtd",,$A$2,"."&amp;D$135&amp;D$1&amp;"C"&amp;$A180))-IF(RTD("tos.rtd",,$A$2,"."&amp;D$135&amp;D$1&amp;"P"&amp;$A180)="N/A",0,RTD("tos.rtd",,$A$2,"."&amp;D$135&amp;D$1&amp;"P"&amp;$A180))</f>
        <v>0</v>
      </c>
      <c r="E180" s="91">
        <f ca="1">IF(RTD("tos.rtd",,$A$2,"."&amp;E$135&amp;E$1&amp;"C"&amp;$A180)="N/A",0,RTD("tos.rtd",,$A$2,"."&amp;E$135&amp;E$1&amp;"C"&amp;$A180))-IF(RTD("tos.rtd",,$A$2,"."&amp;E$135&amp;E$1&amp;"P"&amp;$A180)="N/A",0,RTD("tos.rtd",,$A$2,"."&amp;E$135&amp;E$1&amp;"P"&amp;$A180))</f>
        <v>0</v>
      </c>
      <c r="F180" s="91">
        <f ca="1">IF(RTD("tos.rtd",,$A$2,"."&amp;F$135&amp;F$1&amp;"C"&amp;$A180)="N/A",0,RTD("tos.rtd",,$A$2,"."&amp;F$135&amp;F$1&amp;"C"&amp;$A180))-IF(RTD("tos.rtd",,$A$2,"."&amp;F$135&amp;F$1&amp;"P"&amp;$A180)="N/A",0,RTD("tos.rtd",,$A$2,"."&amp;F$135&amp;F$1&amp;"P"&amp;$A180))</f>
        <v>0</v>
      </c>
      <c r="G180" s="91">
        <f ca="1">IF(RTD("tos.rtd",,$A$2,"."&amp;G$135&amp;G$1&amp;"C"&amp;$A180)="N/A",0,RTD("tos.rtd",,$A$2,"."&amp;G$135&amp;G$1&amp;"C"&amp;$A180))-IF(RTD("tos.rtd",,$A$2,"."&amp;G$135&amp;G$1&amp;"P"&amp;$A180)="N/A",0,RTD("tos.rtd",,$A$2,"."&amp;G$135&amp;G$1&amp;"P"&amp;$A180))</f>
        <v>0</v>
      </c>
      <c r="H180" s="91">
        <f ca="1">IF(RTD("tos.rtd",,$A$2,"."&amp;H$135&amp;H$1&amp;"C"&amp;$A180)="N/A",0,RTD("tos.rtd",,$A$2,"."&amp;H$135&amp;H$1&amp;"C"&amp;$A180))-IF(RTD("tos.rtd",,$A$2,"."&amp;H$135&amp;H$1&amp;"P"&amp;$A180)="N/A",0,RTD("tos.rtd",,$A$2,"."&amp;H$135&amp;H$1&amp;"P"&amp;$A180))</f>
        <v>0</v>
      </c>
      <c r="I180" s="91">
        <f ca="1">IF(RTD("tos.rtd",,$A$2,"."&amp;I$135&amp;I$1&amp;"C"&amp;$A180)="N/A",0,RTD("tos.rtd",,$A$2,"."&amp;I$135&amp;I$1&amp;"C"&amp;$A180))-IF(RTD("tos.rtd",,$A$2,"."&amp;I$135&amp;I$1&amp;"P"&amp;$A180)="N/A",0,RTD("tos.rtd",,$A$2,"."&amp;I$135&amp;I$1&amp;"P"&amp;$A180))</f>
        <v>-2</v>
      </c>
      <c r="J180" s="91">
        <f ca="1">IF(RTD("tos.rtd",,$A$2,"."&amp;J$135&amp;J$1&amp;"C"&amp;$A180)="N/A",0,RTD("tos.rtd",,$A$2,"."&amp;J$135&amp;J$1&amp;"C"&amp;$A180))-IF(RTD("tos.rtd",,$A$2,"."&amp;J$135&amp;J$1&amp;"P"&amp;$A180)="N/A",0,RTD("tos.rtd",,$A$2,"."&amp;J$135&amp;J$1&amp;"P"&amp;$A180))</f>
        <v>0</v>
      </c>
      <c r="K180" s="91">
        <f ca="1">IF(RTD("tos.rtd",,$A$2,"."&amp;K$135&amp;K$1&amp;"C"&amp;$A180)="N/A",0,RTD("tos.rtd",,$A$2,"."&amp;K$135&amp;K$1&amp;"C"&amp;$A180))-IF(RTD("tos.rtd",,$A$2,"."&amp;K$135&amp;K$1&amp;"P"&amp;$A180)="N/A",0,RTD("tos.rtd",,$A$2,"."&amp;K$135&amp;K$1&amp;"P"&amp;$A180))</f>
        <v>-1</v>
      </c>
      <c r="L180" s="91">
        <f ca="1">IF(RTD("tos.rtd",,$A$2,"."&amp;L$135&amp;L$1&amp;"C"&amp;$A180)="N/A",0,RTD("tos.rtd",,$A$2,"."&amp;L$135&amp;L$1&amp;"C"&amp;$A180))-IF(RTD("tos.rtd",,$A$2,"."&amp;L$135&amp;L$1&amp;"P"&amp;$A180)="N/A",0,RTD("tos.rtd",,$A$2,"."&amp;L$135&amp;L$1&amp;"P"&amp;$A180))</f>
        <v>0</v>
      </c>
      <c r="M180" s="91">
        <f ca="1">IF(RTD("tos.rtd",,$A$2,"."&amp;M$135&amp;M$1&amp;"C"&amp;$A180)="N/A",0,RTD("tos.rtd",,$A$2,"."&amp;M$135&amp;M$1&amp;"C"&amp;$A180))-IF(RTD("tos.rtd",,$A$2,"."&amp;M$135&amp;M$1&amp;"P"&amp;$A180)="N/A",0,RTD("tos.rtd",,$A$2,"."&amp;M$135&amp;M$1&amp;"P"&amp;$A180))</f>
        <v>-3</v>
      </c>
      <c r="N180" s="91">
        <f ca="1">IF(RTD("tos.rtd",,$A$2,"."&amp;N$135&amp;N$1&amp;"C"&amp;$A180)="N/A",0,RTD("tos.rtd",,$A$2,"."&amp;N$135&amp;N$1&amp;"C"&amp;$A180))-IF(RTD("tos.rtd",,$A$2,"."&amp;N$135&amp;N$1&amp;"P"&amp;$A180)="N/A",0,RTD("tos.rtd",,$A$2,"."&amp;N$135&amp;N$1&amp;"P"&amp;$A180))</f>
        <v>0</v>
      </c>
      <c r="O180" s="91">
        <f ca="1">IF(RTD("tos.rtd",,$A$2,"."&amp;O$135&amp;O$1&amp;"C"&amp;$A180)="N/A",0,RTD("tos.rtd",,$A$2,"."&amp;O$135&amp;O$1&amp;"C"&amp;$A180))-IF(RTD("tos.rtd",,$A$2,"."&amp;O$135&amp;O$1&amp;"P"&amp;$A180)="N/A",0,RTD("tos.rtd",,$A$2,"."&amp;O$135&amp;O$1&amp;"P"&amp;$A180))</f>
        <v>-13</v>
      </c>
      <c r="P180" s="91">
        <f ca="1">IF(RTD("tos.rtd",,$A$2,"."&amp;P$135&amp;P$1&amp;"C"&amp;$A180)="N/A",0,RTD("tos.rtd",,$A$2,"."&amp;P$135&amp;P$1&amp;"C"&amp;$A180))-IF(RTD("tos.rtd",,$A$2,"."&amp;P$135&amp;P$1&amp;"P"&amp;$A180)="N/A",0,RTD("tos.rtd",,$A$2,"."&amp;P$135&amp;P$1&amp;"P"&amp;$A180))</f>
        <v>0</v>
      </c>
      <c r="Q180" s="91">
        <f ca="1">IF(RTD("tos.rtd",,$A$2,"."&amp;Q$135&amp;Q$1&amp;"C"&amp;$A180)="N/A",0,RTD("tos.rtd",,$A$2,"."&amp;Q$135&amp;Q$1&amp;"C"&amp;$A180))-IF(RTD("tos.rtd",,$A$2,"."&amp;Q$135&amp;Q$1&amp;"P"&amp;$A180)="N/A",0,RTD("tos.rtd",,$A$2,"."&amp;Q$135&amp;Q$1&amp;"P"&amp;$A180))</f>
        <v>0</v>
      </c>
      <c r="R180" s="91">
        <f ca="1">IF(RTD("tos.rtd",,$A$2,"."&amp;R$135&amp;R$1&amp;"C"&amp;$A180)="N/A",0,RTD("tos.rtd",,$A$2,"."&amp;R$135&amp;R$1&amp;"C"&amp;$A180))-IF(RTD("tos.rtd",,$A$2,"."&amp;R$135&amp;R$1&amp;"P"&amp;$A180)="N/A",0,RTD("tos.rtd",,$A$2,"."&amp;R$135&amp;R$1&amp;"P"&amp;$A180))</f>
        <v>0</v>
      </c>
      <c r="S180" s="91">
        <f ca="1">IF(RTD("tos.rtd",,$A$2,"."&amp;S$135&amp;S$1&amp;"C"&amp;$A180)="N/A",0,RTD("tos.rtd",,$A$2,"."&amp;S$135&amp;S$1&amp;"C"&amp;$A180))-IF(RTD("tos.rtd",,$A$2,"."&amp;S$135&amp;S$1&amp;"P"&amp;$A180)="N/A",0,RTD("tos.rtd",,$A$2,"."&amp;S$135&amp;S$1&amp;"P"&amp;$A180))</f>
        <v>0</v>
      </c>
      <c r="T180" s="91">
        <f ca="1">IF(RTD("tos.rtd",,$A$2,"."&amp;T$135&amp;T$1&amp;"C"&amp;$A180)="N/A",0,RTD("tos.rtd",,$A$2,"."&amp;T$135&amp;T$1&amp;"C"&amp;$A180))-IF(RTD("tos.rtd",,$A$2,"."&amp;T$135&amp;T$1&amp;"P"&amp;$A180)="N/A",0,RTD("tos.rtd",,$A$2,"."&amp;T$135&amp;T$1&amp;"P"&amp;$A180))</f>
        <v>0</v>
      </c>
      <c r="U180" s="91">
        <f ca="1">IF(RTD("tos.rtd",,$A$2,"."&amp;U$135&amp;U$1&amp;"C"&amp;$A180)="N/A",0,RTD("tos.rtd",,$A$2,"."&amp;U$135&amp;U$1&amp;"C"&amp;$A180))-IF(RTD("tos.rtd",,$A$2,"."&amp;U$135&amp;U$1&amp;"P"&amp;$A180)="N/A",0,RTD("tos.rtd",,$A$2,"."&amp;U$135&amp;U$1&amp;"P"&amp;$A180))</f>
        <v>0</v>
      </c>
      <c r="V180" s="91">
        <f ca="1">IF(RTD("tos.rtd",,$A$2,"."&amp;V$135&amp;V$1&amp;"C"&amp;$A180)="N/A",0,RTD("tos.rtd",,$A$2,"."&amp;V$135&amp;V$1&amp;"C"&amp;$A180))-IF(RTD("tos.rtd",,$A$2,"."&amp;V$135&amp;V$1&amp;"P"&amp;$A180)="N/A",0,RTD("tos.rtd",,$A$2,"."&amp;V$135&amp;V$1&amp;"P"&amp;$A180))</f>
        <v>0</v>
      </c>
      <c r="W180" s="91">
        <f ca="1">IF(RTD("tos.rtd",,$A$2,"."&amp;W$135&amp;W$1&amp;"C"&amp;$A180)="N/A",0,RTD("tos.rtd",,$A$2,"."&amp;W$135&amp;W$1&amp;"C"&amp;$A180))-IF(RTD("tos.rtd",,$A$2,"."&amp;W$135&amp;W$1&amp;"P"&amp;$A180)="N/A",0,RTD("tos.rtd",,$A$2,"."&amp;W$135&amp;W$1&amp;"P"&amp;$A180))</f>
        <v>0</v>
      </c>
      <c r="X180" s="91">
        <f ca="1">IF(RTD("tos.rtd",,$A$2,"."&amp;X$135&amp;X$1&amp;"C"&amp;$A180)="N/A",0,RTD("tos.rtd",,$A$2,"."&amp;X$135&amp;X$1&amp;"C"&amp;$A180))-IF(RTD("tos.rtd",,$A$2,"."&amp;X$135&amp;X$1&amp;"P"&amp;$A180)="N/A",0,RTD("tos.rtd",,$A$2,"."&amp;X$135&amp;X$1&amp;"P"&amp;$A180))</f>
        <v>0</v>
      </c>
      <c r="Y180" s="98">
        <f t="shared" ca="1" si="13"/>
        <v>-19</v>
      </c>
      <c r="Z180" s="91"/>
      <c r="AA180" s="91"/>
    </row>
    <row r="181" spans="1:27" x14ac:dyDescent="0.25">
      <c r="A181" s="93">
        <f>+Hoja1!A180</f>
        <v>19475</v>
      </c>
      <c r="B181" s="91">
        <f ca="1">IF(RTD("tos.rtd",,$A$2,"."&amp;B$135&amp;B$1&amp;"C"&amp;$A181)="N/A",0,RTD("tos.rtd",,$A$2,"."&amp;B$135&amp;B$1&amp;"C"&amp;$A181))-IF(RTD("tos.rtd",,$A$2,"."&amp;B$135&amp;B$1&amp;"P"&amp;$A181)="N/A",0,RTD("tos.rtd",,$A$2,"."&amp;B$135&amp;B$1&amp;"P"&amp;$A181))</f>
        <v>0</v>
      </c>
      <c r="C181" s="91">
        <f ca="1">IF(RTD("tos.rtd",,$A$2,"."&amp;C$135&amp;C$1&amp;"C"&amp;$A181)="N/A",0,RTD("tos.rtd",,$A$2,"."&amp;C$135&amp;C$1&amp;"C"&amp;$A181))-IF(RTD("tos.rtd",,$A$2,"."&amp;C$135&amp;C$1&amp;"P"&amp;$A181)="N/A",0,RTD("tos.rtd",,$A$2,"."&amp;C$135&amp;C$1&amp;"P"&amp;$A181))</f>
        <v>0</v>
      </c>
      <c r="D181" s="91">
        <f ca="1">IF(RTD("tos.rtd",,$A$2,"."&amp;D$135&amp;D$1&amp;"C"&amp;$A181)="N/A",0,RTD("tos.rtd",,$A$2,"."&amp;D$135&amp;D$1&amp;"C"&amp;$A181))-IF(RTD("tos.rtd",,$A$2,"."&amp;D$135&amp;D$1&amp;"P"&amp;$A181)="N/A",0,RTD("tos.rtd",,$A$2,"."&amp;D$135&amp;D$1&amp;"P"&amp;$A181))</f>
        <v>0</v>
      </c>
      <c r="E181" s="91">
        <f ca="1">IF(RTD("tos.rtd",,$A$2,"."&amp;E$135&amp;E$1&amp;"C"&amp;$A181)="N/A",0,RTD("tos.rtd",,$A$2,"."&amp;E$135&amp;E$1&amp;"C"&amp;$A181))-IF(RTD("tos.rtd",,$A$2,"."&amp;E$135&amp;E$1&amp;"P"&amp;$A181)="N/A",0,RTD("tos.rtd",,$A$2,"."&amp;E$135&amp;E$1&amp;"P"&amp;$A181))</f>
        <v>0</v>
      </c>
      <c r="F181" s="91">
        <f ca="1">IF(RTD("tos.rtd",,$A$2,"."&amp;F$135&amp;F$1&amp;"C"&amp;$A181)="N/A",0,RTD("tos.rtd",,$A$2,"."&amp;F$135&amp;F$1&amp;"C"&amp;$A181))-IF(RTD("tos.rtd",,$A$2,"."&amp;F$135&amp;F$1&amp;"P"&amp;$A181)="N/A",0,RTD("tos.rtd",,$A$2,"."&amp;F$135&amp;F$1&amp;"P"&amp;$A181))</f>
        <v>0</v>
      </c>
      <c r="G181" s="91">
        <f ca="1">IF(RTD("tos.rtd",,$A$2,"."&amp;G$135&amp;G$1&amp;"C"&amp;$A181)="N/A",0,RTD("tos.rtd",,$A$2,"."&amp;G$135&amp;G$1&amp;"C"&amp;$A181))-IF(RTD("tos.rtd",,$A$2,"."&amp;G$135&amp;G$1&amp;"P"&amp;$A181)="N/A",0,RTD("tos.rtd",,$A$2,"."&amp;G$135&amp;G$1&amp;"P"&amp;$A181))</f>
        <v>0</v>
      </c>
      <c r="H181" s="91">
        <f ca="1">IF(RTD("tos.rtd",,$A$2,"."&amp;H$135&amp;H$1&amp;"C"&amp;$A181)="N/A",0,RTD("tos.rtd",,$A$2,"."&amp;H$135&amp;H$1&amp;"C"&amp;$A181))-IF(RTD("tos.rtd",,$A$2,"."&amp;H$135&amp;H$1&amp;"P"&amp;$A181)="N/A",0,RTD("tos.rtd",,$A$2,"."&amp;H$135&amp;H$1&amp;"P"&amp;$A181))</f>
        <v>0</v>
      </c>
      <c r="I181" s="91">
        <f ca="1">IF(RTD("tos.rtd",,$A$2,"."&amp;I$135&amp;I$1&amp;"C"&amp;$A181)="N/A",0,RTD("tos.rtd",,$A$2,"."&amp;I$135&amp;I$1&amp;"C"&amp;$A181))-IF(RTD("tos.rtd",,$A$2,"."&amp;I$135&amp;I$1&amp;"P"&amp;$A181)="N/A",0,RTD("tos.rtd",,$A$2,"."&amp;I$135&amp;I$1&amp;"P"&amp;$A181))</f>
        <v>0</v>
      </c>
      <c r="J181" s="91">
        <f ca="1">IF(RTD("tos.rtd",,$A$2,"."&amp;J$135&amp;J$1&amp;"C"&amp;$A181)="N/A",0,RTD("tos.rtd",,$A$2,"."&amp;J$135&amp;J$1&amp;"C"&amp;$A181))-IF(RTD("tos.rtd",,$A$2,"."&amp;J$135&amp;J$1&amp;"P"&amp;$A181)="N/A",0,RTD("tos.rtd",,$A$2,"."&amp;J$135&amp;J$1&amp;"P"&amp;$A181))</f>
        <v>0</v>
      </c>
      <c r="K181" s="91">
        <f ca="1">IF(RTD("tos.rtd",,$A$2,"."&amp;K$135&amp;K$1&amp;"C"&amp;$A181)="N/A",0,RTD("tos.rtd",,$A$2,"."&amp;K$135&amp;K$1&amp;"C"&amp;$A181))-IF(RTD("tos.rtd",,$A$2,"."&amp;K$135&amp;K$1&amp;"P"&amp;$A181)="N/A",0,RTD("tos.rtd",,$A$2,"."&amp;K$135&amp;K$1&amp;"P"&amp;$A181))</f>
        <v>-4</v>
      </c>
      <c r="L181" s="91">
        <f ca="1">IF(RTD("tos.rtd",,$A$2,"."&amp;L$135&amp;L$1&amp;"C"&amp;$A181)="N/A",0,RTD("tos.rtd",,$A$2,"."&amp;L$135&amp;L$1&amp;"C"&amp;$A181))-IF(RTD("tos.rtd",,$A$2,"."&amp;L$135&amp;L$1&amp;"P"&amp;$A181)="N/A",0,RTD("tos.rtd",,$A$2,"."&amp;L$135&amp;L$1&amp;"P"&amp;$A181))</f>
        <v>0</v>
      </c>
      <c r="M181" s="91">
        <f ca="1">IF(RTD("tos.rtd",,$A$2,"."&amp;M$135&amp;M$1&amp;"C"&amp;$A181)="N/A",0,RTD("tos.rtd",,$A$2,"."&amp;M$135&amp;M$1&amp;"C"&amp;$A181))-IF(RTD("tos.rtd",,$A$2,"."&amp;M$135&amp;M$1&amp;"P"&amp;$A181)="N/A",0,RTD("tos.rtd",,$A$2,"."&amp;M$135&amp;M$1&amp;"P"&amp;$A181))</f>
        <v>-3</v>
      </c>
      <c r="N181" s="91">
        <f ca="1">IF(RTD("tos.rtd",,$A$2,"."&amp;N$135&amp;N$1&amp;"C"&amp;$A181)="N/A",0,RTD("tos.rtd",,$A$2,"."&amp;N$135&amp;N$1&amp;"C"&amp;$A181))-IF(RTD("tos.rtd",,$A$2,"."&amp;N$135&amp;N$1&amp;"P"&amp;$A181)="N/A",0,RTD("tos.rtd",,$A$2,"."&amp;N$135&amp;N$1&amp;"P"&amp;$A181))</f>
        <v>0</v>
      </c>
      <c r="O181" s="91">
        <f ca="1">IF(RTD("tos.rtd",,$A$2,"."&amp;O$135&amp;O$1&amp;"C"&amp;$A181)="N/A",0,RTD("tos.rtd",,$A$2,"."&amp;O$135&amp;O$1&amp;"C"&amp;$A181))-IF(RTD("tos.rtd",,$A$2,"."&amp;O$135&amp;O$1&amp;"P"&amp;$A181)="N/A",0,RTD("tos.rtd",,$A$2,"."&amp;O$135&amp;O$1&amp;"P"&amp;$A181))</f>
        <v>0</v>
      </c>
      <c r="P181" s="91">
        <f ca="1">IF(RTD("tos.rtd",,$A$2,"."&amp;P$135&amp;P$1&amp;"C"&amp;$A181)="N/A",0,RTD("tos.rtd",,$A$2,"."&amp;P$135&amp;P$1&amp;"C"&amp;$A181))-IF(RTD("tos.rtd",,$A$2,"."&amp;P$135&amp;P$1&amp;"P"&amp;$A181)="N/A",0,RTD("tos.rtd",,$A$2,"."&amp;P$135&amp;P$1&amp;"P"&amp;$A181))</f>
        <v>0</v>
      </c>
      <c r="Q181" s="91">
        <f ca="1">IF(RTD("tos.rtd",,$A$2,"."&amp;Q$135&amp;Q$1&amp;"C"&amp;$A181)="N/A",0,RTD("tos.rtd",,$A$2,"."&amp;Q$135&amp;Q$1&amp;"C"&amp;$A181))-IF(RTD("tos.rtd",,$A$2,"."&amp;Q$135&amp;Q$1&amp;"P"&amp;$A181)="N/A",0,RTD("tos.rtd",,$A$2,"."&amp;Q$135&amp;Q$1&amp;"P"&amp;$A181))</f>
        <v>0</v>
      </c>
      <c r="R181" s="91">
        <f ca="1">IF(RTD("tos.rtd",,$A$2,"."&amp;R$135&amp;R$1&amp;"C"&amp;$A181)="N/A",0,RTD("tos.rtd",,$A$2,"."&amp;R$135&amp;R$1&amp;"C"&amp;$A181))-IF(RTD("tos.rtd",,$A$2,"."&amp;R$135&amp;R$1&amp;"P"&amp;$A181)="N/A",0,RTD("tos.rtd",,$A$2,"."&amp;R$135&amp;R$1&amp;"P"&amp;$A181))</f>
        <v>0</v>
      </c>
      <c r="S181" s="91">
        <f ca="1">IF(RTD("tos.rtd",,$A$2,"."&amp;S$135&amp;S$1&amp;"C"&amp;$A181)="N/A",0,RTD("tos.rtd",,$A$2,"."&amp;S$135&amp;S$1&amp;"C"&amp;$A181))-IF(RTD("tos.rtd",,$A$2,"."&amp;S$135&amp;S$1&amp;"P"&amp;$A181)="N/A",0,RTD("tos.rtd",,$A$2,"."&amp;S$135&amp;S$1&amp;"P"&amp;$A181))</f>
        <v>0</v>
      </c>
      <c r="T181" s="91">
        <f ca="1">IF(RTD("tos.rtd",,$A$2,"."&amp;T$135&amp;T$1&amp;"C"&amp;$A181)="N/A",0,RTD("tos.rtd",,$A$2,"."&amp;T$135&amp;T$1&amp;"C"&amp;$A181))-IF(RTD("tos.rtd",,$A$2,"."&amp;T$135&amp;T$1&amp;"P"&amp;$A181)="N/A",0,RTD("tos.rtd",,$A$2,"."&amp;T$135&amp;T$1&amp;"P"&amp;$A181))</f>
        <v>0</v>
      </c>
      <c r="U181" s="91">
        <f ca="1">IF(RTD("tos.rtd",,$A$2,"."&amp;U$135&amp;U$1&amp;"C"&amp;$A181)="N/A",0,RTD("tos.rtd",,$A$2,"."&amp;U$135&amp;U$1&amp;"C"&amp;$A181))-IF(RTD("tos.rtd",,$A$2,"."&amp;U$135&amp;U$1&amp;"P"&amp;$A181)="N/A",0,RTD("tos.rtd",,$A$2,"."&amp;U$135&amp;U$1&amp;"P"&amp;$A181))</f>
        <v>0</v>
      </c>
      <c r="V181" s="91">
        <f ca="1">IF(RTD("tos.rtd",,$A$2,"."&amp;V$135&amp;V$1&amp;"C"&amp;$A181)="N/A",0,RTD("tos.rtd",,$A$2,"."&amp;V$135&amp;V$1&amp;"C"&amp;$A181))-IF(RTD("tos.rtd",,$A$2,"."&amp;V$135&amp;V$1&amp;"P"&amp;$A181)="N/A",0,RTD("tos.rtd",,$A$2,"."&amp;V$135&amp;V$1&amp;"P"&amp;$A181))</f>
        <v>0</v>
      </c>
      <c r="W181" s="91">
        <f ca="1">IF(RTD("tos.rtd",,$A$2,"."&amp;W$135&amp;W$1&amp;"C"&amp;$A181)="N/A",0,RTD("tos.rtd",,$A$2,"."&amp;W$135&amp;W$1&amp;"C"&amp;$A181))-IF(RTD("tos.rtd",,$A$2,"."&amp;W$135&amp;W$1&amp;"P"&amp;$A181)="N/A",0,RTD("tos.rtd",,$A$2,"."&amp;W$135&amp;W$1&amp;"P"&amp;$A181))</f>
        <v>0</v>
      </c>
      <c r="X181" s="91">
        <f ca="1">IF(RTD("tos.rtd",,$A$2,"."&amp;X$135&amp;X$1&amp;"C"&amp;$A181)="N/A",0,RTD("tos.rtd",,$A$2,"."&amp;X$135&amp;X$1&amp;"C"&amp;$A181))-IF(RTD("tos.rtd",,$A$2,"."&amp;X$135&amp;X$1&amp;"P"&amp;$A181)="N/A",0,RTD("tos.rtd",,$A$2,"."&amp;X$135&amp;X$1&amp;"P"&amp;$A181))</f>
        <v>0</v>
      </c>
      <c r="Y181" s="98">
        <f t="shared" ca="1" si="13"/>
        <v>-7</v>
      </c>
      <c r="Z181" s="91"/>
      <c r="AA181" s="91"/>
    </row>
    <row r="182" spans="1:27" x14ac:dyDescent="0.25">
      <c r="A182" s="93">
        <f>+Hoja1!A181</f>
        <v>19450</v>
      </c>
      <c r="B182" s="91">
        <f ca="1">IF(RTD("tos.rtd",,$A$2,"."&amp;B$135&amp;B$1&amp;"C"&amp;$A182)="N/A",0,RTD("tos.rtd",,$A$2,"."&amp;B$135&amp;B$1&amp;"C"&amp;$A182))-IF(RTD("tos.rtd",,$A$2,"."&amp;B$135&amp;B$1&amp;"P"&amp;$A182)="N/A",0,RTD("tos.rtd",,$A$2,"."&amp;B$135&amp;B$1&amp;"P"&amp;$A182))</f>
        <v>0</v>
      </c>
      <c r="C182" s="91">
        <f ca="1">IF(RTD("tos.rtd",,$A$2,"."&amp;C$135&amp;C$1&amp;"C"&amp;$A182)="N/A",0,RTD("tos.rtd",,$A$2,"."&amp;C$135&amp;C$1&amp;"C"&amp;$A182))-IF(RTD("tos.rtd",,$A$2,"."&amp;C$135&amp;C$1&amp;"P"&amp;$A182)="N/A",0,RTD("tos.rtd",,$A$2,"."&amp;C$135&amp;C$1&amp;"P"&amp;$A182))</f>
        <v>0</v>
      </c>
      <c r="D182" s="91">
        <f ca="1">IF(RTD("tos.rtd",,$A$2,"."&amp;D$135&amp;D$1&amp;"C"&amp;$A182)="N/A",0,RTD("tos.rtd",,$A$2,"."&amp;D$135&amp;D$1&amp;"C"&amp;$A182))-IF(RTD("tos.rtd",,$A$2,"."&amp;D$135&amp;D$1&amp;"P"&amp;$A182)="N/A",0,RTD("tos.rtd",,$A$2,"."&amp;D$135&amp;D$1&amp;"P"&amp;$A182))</f>
        <v>0</v>
      </c>
      <c r="E182" s="91">
        <f ca="1">IF(RTD("tos.rtd",,$A$2,"."&amp;E$135&amp;E$1&amp;"C"&amp;$A182)="N/A",0,RTD("tos.rtd",,$A$2,"."&amp;E$135&amp;E$1&amp;"C"&amp;$A182))-IF(RTD("tos.rtd",,$A$2,"."&amp;E$135&amp;E$1&amp;"P"&amp;$A182)="N/A",0,RTD("tos.rtd",,$A$2,"."&amp;E$135&amp;E$1&amp;"P"&amp;$A182))</f>
        <v>0</v>
      </c>
      <c r="F182" s="91">
        <f ca="1">IF(RTD("tos.rtd",,$A$2,"."&amp;F$135&amp;F$1&amp;"C"&amp;$A182)="N/A",0,RTD("tos.rtd",,$A$2,"."&amp;F$135&amp;F$1&amp;"C"&amp;$A182))-IF(RTD("tos.rtd",,$A$2,"."&amp;F$135&amp;F$1&amp;"P"&amp;$A182)="N/A",0,RTD("tos.rtd",,$A$2,"."&amp;F$135&amp;F$1&amp;"P"&amp;$A182))</f>
        <v>0</v>
      </c>
      <c r="G182" s="91">
        <f ca="1">IF(RTD("tos.rtd",,$A$2,"."&amp;G$135&amp;G$1&amp;"C"&amp;$A182)="N/A",0,RTD("tos.rtd",,$A$2,"."&amp;G$135&amp;G$1&amp;"C"&amp;$A182))-IF(RTD("tos.rtd",,$A$2,"."&amp;G$135&amp;G$1&amp;"P"&amp;$A182)="N/A",0,RTD("tos.rtd",,$A$2,"."&amp;G$135&amp;G$1&amp;"P"&amp;$A182))</f>
        <v>0</v>
      </c>
      <c r="H182" s="91">
        <f ca="1">IF(RTD("tos.rtd",,$A$2,"."&amp;H$135&amp;H$1&amp;"C"&amp;$A182)="N/A",0,RTD("tos.rtd",,$A$2,"."&amp;H$135&amp;H$1&amp;"C"&amp;$A182))-IF(RTD("tos.rtd",,$A$2,"."&amp;H$135&amp;H$1&amp;"P"&amp;$A182)="N/A",0,RTD("tos.rtd",,$A$2,"."&amp;H$135&amp;H$1&amp;"P"&amp;$A182))</f>
        <v>0</v>
      </c>
      <c r="I182" s="91">
        <f ca="1">IF(RTD("tos.rtd",,$A$2,"."&amp;I$135&amp;I$1&amp;"C"&amp;$A182)="N/A",0,RTD("tos.rtd",,$A$2,"."&amp;I$135&amp;I$1&amp;"C"&amp;$A182))-IF(RTD("tos.rtd",,$A$2,"."&amp;I$135&amp;I$1&amp;"P"&amp;$A182)="N/A",0,RTD("tos.rtd",,$A$2,"."&amp;I$135&amp;I$1&amp;"P"&amp;$A182))</f>
        <v>0</v>
      </c>
      <c r="J182" s="91">
        <f ca="1">IF(RTD("tos.rtd",,$A$2,"."&amp;J$135&amp;J$1&amp;"C"&amp;$A182)="N/A",0,RTD("tos.rtd",,$A$2,"."&amp;J$135&amp;J$1&amp;"C"&amp;$A182))-IF(RTD("tos.rtd",,$A$2,"."&amp;J$135&amp;J$1&amp;"P"&amp;$A182)="N/A",0,RTD("tos.rtd",,$A$2,"."&amp;J$135&amp;J$1&amp;"P"&amp;$A182))</f>
        <v>-2</v>
      </c>
      <c r="K182" s="91">
        <f ca="1">IF(RTD("tos.rtd",,$A$2,"."&amp;K$135&amp;K$1&amp;"C"&amp;$A182)="N/A",0,RTD("tos.rtd",,$A$2,"."&amp;K$135&amp;K$1&amp;"C"&amp;$A182))-IF(RTD("tos.rtd",,$A$2,"."&amp;K$135&amp;K$1&amp;"P"&amp;$A182)="N/A",0,RTD("tos.rtd",,$A$2,"."&amp;K$135&amp;K$1&amp;"P"&amp;$A182))</f>
        <v>-4</v>
      </c>
      <c r="L182" s="91">
        <f ca="1">IF(RTD("tos.rtd",,$A$2,"."&amp;L$135&amp;L$1&amp;"C"&amp;$A182)="N/A",0,RTD("tos.rtd",,$A$2,"."&amp;L$135&amp;L$1&amp;"C"&amp;$A182))-IF(RTD("tos.rtd",,$A$2,"."&amp;L$135&amp;L$1&amp;"P"&amp;$A182)="N/A",0,RTD("tos.rtd",,$A$2,"."&amp;L$135&amp;L$1&amp;"P"&amp;$A182))</f>
        <v>0</v>
      </c>
      <c r="M182" s="91">
        <f ca="1">IF(RTD("tos.rtd",,$A$2,"."&amp;M$135&amp;M$1&amp;"C"&amp;$A182)="N/A",0,RTD("tos.rtd",,$A$2,"."&amp;M$135&amp;M$1&amp;"C"&amp;$A182))-IF(RTD("tos.rtd",,$A$2,"."&amp;M$135&amp;M$1&amp;"P"&amp;$A182)="N/A",0,RTD("tos.rtd",,$A$2,"."&amp;M$135&amp;M$1&amp;"P"&amp;$A182))</f>
        <v>-1</v>
      </c>
      <c r="N182" s="91">
        <f ca="1">IF(RTD("tos.rtd",,$A$2,"."&amp;N$135&amp;N$1&amp;"C"&amp;$A182)="N/A",0,RTD("tos.rtd",,$A$2,"."&amp;N$135&amp;N$1&amp;"C"&amp;$A182))-IF(RTD("tos.rtd",,$A$2,"."&amp;N$135&amp;N$1&amp;"P"&amp;$A182)="N/A",0,RTD("tos.rtd",,$A$2,"."&amp;N$135&amp;N$1&amp;"P"&amp;$A182))</f>
        <v>0</v>
      </c>
      <c r="O182" s="91">
        <f ca="1">IF(RTD("tos.rtd",,$A$2,"."&amp;O$135&amp;O$1&amp;"C"&amp;$A182)="N/A",0,RTD("tos.rtd",,$A$2,"."&amp;O$135&amp;O$1&amp;"C"&amp;$A182))-IF(RTD("tos.rtd",,$A$2,"."&amp;O$135&amp;O$1&amp;"P"&amp;$A182)="N/A",0,RTD("tos.rtd",,$A$2,"."&amp;O$135&amp;O$1&amp;"P"&amp;$A182))</f>
        <v>0</v>
      </c>
      <c r="P182" s="91">
        <f ca="1">IF(RTD("tos.rtd",,$A$2,"."&amp;P$135&amp;P$1&amp;"C"&amp;$A182)="N/A",0,RTD("tos.rtd",,$A$2,"."&amp;P$135&amp;P$1&amp;"C"&amp;$A182))-IF(RTD("tos.rtd",,$A$2,"."&amp;P$135&amp;P$1&amp;"P"&amp;$A182)="N/A",0,RTD("tos.rtd",,$A$2,"."&amp;P$135&amp;P$1&amp;"P"&amp;$A182))</f>
        <v>0</v>
      </c>
      <c r="Q182" s="91">
        <f ca="1">IF(RTD("tos.rtd",,$A$2,"."&amp;Q$135&amp;Q$1&amp;"C"&amp;$A182)="N/A",0,RTD("tos.rtd",,$A$2,"."&amp;Q$135&amp;Q$1&amp;"C"&amp;$A182))-IF(RTD("tos.rtd",,$A$2,"."&amp;Q$135&amp;Q$1&amp;"P"&amp;$A182)="N/A",0,RTD("tos.rtd",,$A$2,"."&amp;Q$135&amp;Q$1&amp;"P"&amp;$A182))</f>
        <v>0</v>
      </c>
      <c r="R182" s="91">
        <f ca="1">IF(RTD("tos.rtd",,$A$2,"."&amp;R$135&amp;R$1&amp;"C"&amp;$A182)="N/A",0,RTD("tos.rtd",,$A$2,"."&amp;R$135&amp;R$1&amp;"C"&amp;$A182))-IF(RTD("tos.rtd",,$A$2,"."&amp;R$135&amp;R$1&amp;"P"&amp;$A182)="N/A",0,RTD("tos.rtd",,$A$2,"."&amp;R$135&amp;R$1&amp;"P"&amp;$A182))</f>
        <v>0</v>
      </c>
      <c r="S182" s="91">
        <f ca="1">IF(RTD("tos.rtd",,$A$2,"."&amp;S$135&amp;S$1&amp;"C"&amp;$A182)="N/A",0,RTD("tos.rtd",,$A$2,"."&amp;S$135&amp;S$1&amp;"C"&amp;$A182))-IF(RTD("tos.rtd",,$A$2,"."&amp;S$135&amp;S$1&amp;"P"&amp;$A182)="N/A",0,RTD("tos.rtd",,$A$2,"."&amp;S$135&amp;S$1&amp;"P"&amp;$A182))</f>
        <v>0</v>
      </c>
      <c r="T182" s="91">
        <f ca="1">IF(RTD("tos.rtd",,$A$2,"."&amp;T$135&amp;T$1&amp;"C"&amp;$A182)="N/A",0,RTD("tos.rtd",,$A$2,"."&amp;T$135&amp;T$1&amp;"C"&amp;$A182))-IF(RTD("tos.rtd",,$A$2,"."&amp;T$135&amp;T$1&amp;"P"&amp;$A182)="N/A",0,RTD("tos.rtd",,$A$2,"."&amp;T$135&amp;T$1&amp;"P"&amp;$A182))</f>
        <v>0</v>
      </c>
      <c r="U182" s="91">
        <f ca="1">IF(RTD("tos.rtd",,$A$2,"."&amp;U$135&amp;U$1&amp;"C"&amp;$A182)="N/A",0,RTD("tos.rtd",,$A$2,"."&amp;U$135&amp;U$1&amp;"C"&amp;$A182))-IF(RTD("tos.rtd",,$A$2,"."&amp;U$135&amp;U$1&amp;"P"&amp;$A182)="N/A",0,RTD("tos.rtd",,$A$2,"."&amp;U$135&amp;U$1&amp;"P"&amp;$A182))</f>
        <v>0</v>
      </c>
      <c r="V182" s="91">
        <f ca="1">IF(RTD("tos.rtd",,$A$2,"."&amp;V$135&amp;V$1&amp;"C"&amp;$A182)="N/A",0,RTD("tos.rtd",,$A$2,"."&amp;V$135&amp;V$1&amp;"C"&amp;$A182))-IF(RTD("tos.rtd",,$A$2,"."&amp;V$135&amp;V$1&amp;"P"&amp;$A182)="N/A",0,RTD("tos.rtd",,$A$2,"."&amp;V$135&amp;V$1&amp;"P"&amp;$A182))</f>
        <v>0</v>
      </c>
      <c r="W182" s="91">
        <f ca="1">IF(RTD("tos.rtd",,$A$2,"."&amp;W$135&amp;W$1&amp;"C"&amp;$A182)="N/A",0,RTD("tos.rtd",,$A$2,"."&amp;W$135&amp;W$1&amp;"C"&amp;$A182))-IF(RTD("tos.rtd",,$A$2,"."&amp;W$135&amp;W$1&amp;"P"&amp;$A182)="N/A",0,RTD("tos.rtd",,$A$2,"."&amp;W$135&amp;W$1&amp;"P"&amp;$A182))</f>
        <v>0</v>
      </c>
      <c r="X182" s="91">
        <f ca="1">IF(RTD("tos.rtd",,$A$2,"."&amp;X$135&amp;X$1&amp;"C"&amp;$A182)="N/A",0,RTD("tos.rtd",,$A$2,"."&amp;X$135&amp;X$1&amp;"C"&amp;$A182))-IF(RTD("tos.rtd",,$A$2,"."&amp;X$135&amp;X$1&amp;"P"&amp;$A182)="N/A",0,RTD("tos.rtd",,$A$2,"."&amp;X$135&amp;X$1&amp;"P"&amp;$A182))</f>
        <v>0</v>
      </c>
      <c r="Y182" s="98">
        <f t="shared" ca="1" si="13"/>
        <v>-7</v>
      </c>
      <c r="Z182" s="91"/>
      <c r="AA182" s="91"/>
    </row>
    <row r="183" spans="1:27" x14ac:dyDescent="0.25">
      <c r="A183" s="93">
        <f>+Hoja1!A182</f>
        <v>19425</v>
      </c>
      <c r="B183" s="91">
        <f ca="1">IF(RTD("tos.rtd",,$A$2,"."&amp;B$135&amp;B$1&amp;"C"&amp;$A183)="N/A",0,RTD("tos.rtd",,$A$2,"."&amp;B$135&amp;B$1&amp;"C"&amp;$A183))-IF(RTD("tos.rtd",,$A$2,"."&amp;B$135&amp;B$1&amp;"P"&amp;$A183)="N/A",0,RTD("tos.rtd",,$A$2,"."&amp;B$135&amp;B$1&amp;"P"&amp;$A183))</f>
        <v>0</v>
      </c>
      <c r="C183" s="91">
        <f ca="1">IF(RTD("tos.rtd",,$A$2,"."&amp;C$135&amp;C$1&amp;"C"&amp;$A183)="N/A",0,RTD("tos.rtd",,$A$2,"."&amp;C$135&amp;C$1&amp;"C"&amp;$A183))-IF(RTD("tos.rtd",,$A$2,"."&amp;C$135&amp;C$1&amp;"P"&amp;$A183)="N/A",0,RTD("tos.rtd",,$A$2,"."&amp;C$135&amp;C$1&amp;"P"&amp;$A183))</f>
        <v>0</v>
      </c>
      <c r="D183" s="91">
        <f ca="1">IF(RTD("tos.rtd",,$A$2,"."&amp;D$135&amp;D$1&amp;"C"&amp;$A183)="N/A",0,RTD("tos.rtd",,$A$2,"."&amp;D$135&amp;D$1&amp;"C"&amp;$A183))-IF(RTD("tos.rtd",,$A$2,"."&amp;D$135&amp;D$1&amp;"P"&amp;$A183)="N/A",0,RTD("tos.rtd",,$A$2,"."&amp;D$135&amp;D$1&amp;"P"&amp;$A183))</f>
        <v>0</v>
      </c>
      <c r="E183" s="91">
        <f ca="1">IF(RTD("tos.rtd",,$A$2,"."&amp;E$135&amp;E$1&amp;"C"&amp;$A183)="N/A",0,RTD("tos.rtd",,$A$2,"."&amp;E$135&amp;E$1&amp;"C"&amp;$A183))-IF(RTD("tos.rtd",,$A$2,"."&amp;E$135&amp;E$1&amp;"P"&amp;$A183)="N/A",0,RTD("tos.rtd",,$A$2,"."&amp;E$135&amp;E$1&amp;"P"&amp;$A183))</f>
        <v>0</v>
      </c>
      <c r="F183" s="91">
        <f ca="1">IF(RTD("tos.rtd",,$A$2,"."&amp;F$135&amp;F$1&amp;"C"&amp;$A183)="N/A",0,RTD("tos.rtd",,$A$2,"."&amp;F$135&amp;F$1&amp;"C"&amp;$A183))-IF(RTD("tos.rtd",,$A$2,"."&amp;F$135&amp;F$1&amp;"P"&amp;$A183)="N/A",0,RTD("tos.rtd",,$A$2,"."&amp;F$135&amp;F$1&amp;"P"&amp;$A183))</f>
        <v>0</v>
      </c>
      <c r="G183" s="91">
        <f ca="1">IF(RTD("tos.rtd",,$A$2,"."&amp;G$135&amp;G$1&amp;"C"&amp;$A183)="N/A",0,RTD("tos.rtd",,$A$2,"."&amp;G$135&amp;G$1&amp;"C"&amp;$A183))-IF(RTD("tos.rtd",,$A$2,"."&amp;G$135&amp;G$1&amp;"P"&amp;$A183)="N/A",0,RTD("tos.rtd",,$A$2,"."&amp;G$135&amp;G$1&amp;"P"&amp;$A183))</f>
        <v>0</v>
      </c>
      <c r="H183" s="91">
        <f ca="1">IF(RTD("tos.rtd",,$A$2,"."&amp;H$135&amp;H$1&amp;"C"&amp;$A183)="N/A",0,RTD("tos.rtd",,$A$2,"."&amp;H$135&amp;H$1&amp;"C"&amp;$A183))-IF(RTD("tos.rtd",,$A$2,"."&amp;H$135&amp;H$1&amp;"P"&amp;$A183)="N/A",0,RTD("tos.rtd",,$A$2,"."&amp;H$135&amp;H$1&amp;"P"&amp;$A183))</f>
        <v>0</v>
      </c>
      <c r="I183" s="91">
        <f ca="1">IF(RTD("tos.rtd",,$A$2,"."&amp;I$135&amp;I$1&amp;"C"&amp;$A183)="N/A",0,RTD("tos.rtd",,$A$2,"."&amp;I$135&amp;I$1&amp;"C"&amp;$A183))-IF(RTD("tos.rtd",,$A$2,"."&amp;I$135&amp;I$1&amp;"P"&amp;$A183)="N/A",0,RTD("tos.rtd",,$A$2,"."&amp;I$135&amp;I$1&amp;"P"&amp;$A183))</f>
        <v>0</v>
      </c>
      <c r="J183" s="91">
        <f ca="1">IF(RTD("tos.rtd",,$A$2,"."&amp;J$135&amp;J$1&amp;"C"&amp;$A183)="N/A",0,RTD("tos.rtd",,$A$2,"."&amp;J$135&amp;J$1&amp;"C"&amp;$A183))-IF(RTD("tos.rtd",,$A$2,"."&amp;J$135&amp;J$1&amp;"P"&amp;$A183)="N/A",0,RTD("tos.rtd",,$A$2,"."&amp;J$135&amp;J$1&amp;"P"&amp;$A183))</f>
        <v>-6</v>
      </c>
      <c r="K183" s="91">
        <f ca="1">IF(RTD("tos.rtd",,$A$2,"."&amp;K$135&amp;K$1&amp;"C"&amp;$A183)="N/A",0,RTD("tos.rtd",,$A$2,"."&amp;K$135&amp;K$1&amp;"C"&amp;$A183))-IF(RTD("tos.rtd",,$A$2,"."&amp;K$135&amp;K$1&amp;"P"&amp;$A183)="N/A",0,RTD("tos.rtd",,$A$2,"."&amp;K$135&amp;K$1&amp;"P"&amp;$A183))</f>
        <v>-3</v>
      </c>
      <c r="L183" s="91">
        <f ca="1">IF(RTD("tos.rtd",,$A$2,"."&amp;L$135&amp;L$1&amp;"C"&amp;$A183)="N/A",0,RTD("tos.rtd",,$A$2,"."&amp;L$135&amp;L$1&amp;"C"&amp;$A183))-IF(RTD("tos.rtd",,$A$2,"."&amp;L$135&amp;L$1&amp;"P"&amp;$A183)="N/A",0,RTD("tos.rtd",,$A$2,"."&amp;L$135&amp;L$1&amp;"P"&amp;$A183))</f>
        <v>0</v>
      </c>
      <c r="M183" s="91">
        <f ca="1">IF(RTD("tos.rtd",,$A$2,"."&amp;M$135&amp;M$1&amp;"C"&amp;$A183)="N/A",0,RTD("tos.rtd",,$A$2,"."&amp;M$135&amp;M$1&amp;"C"&amp;$A183))-IF(RTD("tos.rtd",,$A$2,"."&amp;M$135&amp;M$1&amp;"P"&amp;$A183)="N/A",0,RTD("tos.rtd",,$A$2,"."&amp;M$135&amp;M$1&amp;"P"&amp;$A183))</f>
        <v>-2</v>
      </c>
      <c r="N183" s="91">
        <f ca="1">IF(RTD("tos.rtd",,$A$2,"."&amp;N$135&amp;N$1&amp;"C"&amp;$A183)="N/A",0,RTD("tos.rtd",,$A$2,"."&amp;N$135&amp;N$1&amp;"C"&amp;$A183))-IF(RTD("tos.rtd",,$A$2,"."&amp;N$135&amp;N$1&amp;"P"&amp;$A183)="N/A",0,RTD("tos.rtd",,$A$2,"."&amp;N$135&amp;N$1&amp;"P"&amp;$A183))</f>
        <v>0</v>
      </c>
      <c r="O183" s="91">
        <f ca="1">IF(RTD("tos.rtd",,$A$2,"."&amp;O$135&amp;O$1&amp;"C"&amp;$A183)="N/A",0,RTD("tos.rtd",,$A$2,"."&amp;O$135&amp;O$1&amp;"C"&amp;$A183))-IF(RTD("tos.rtd",,$A$2,"."&amp;O$135&amp;O$1&amp;"P"&amp;$A183)="N/A",0,RTD("tos.rtd",,$A$2,"."&amp;O$135&amp;O$1&amp;"P"&amp;$A183))</f>
        <v>0</v>
      </c>
      <c r="P183" s="91">
        <f ca="1">IF(RTD("tos.rtd",,$A$2,"."&amp;P$135&amp;P$1&amp;"C"&amp;$A183)="N/A",0,RTD("tos.rtd",,$A$2,"."&amp;P$135&amp;P$1&amp;"C"&amp;$A183))-IF(RTD("tos.rtd",,$A$2,"."&amp;P$135&amp;P$1&amp;"P"&amp;$A183)="N/A",0,RTD("tos.rtd",,$A$2,"."&amp;P$135&amp;P$1&amp;"P"&amp;$A183))</f>
        <v>0</v>
      </c>
      <c r="Q183" s="91">
        <f ca="1">IF(RTD("tos.rtd",,$A$2,"."&amp;Q$135&amp;Q$1&amp;"C"&amp;$A183)="N/A",0,RTD("tos.rtd",,$A$2,"."&amp;Q$135&amp;Q$1&amp;"C"&amp;$A183))-IF(RTD("tos.rtd",,$A$2,"."&amp;Q$135&amp;Q$1&amp;"P"&amp;$A183)="N/A",0,RTD("tos.rtd",,$A$2,"."&amp;Q$135&amp;Q$1&amp;"P"&amp;$A183))</f>
        <v>0</v>
      </c>
      <c r="R183" s="91">
        <f ca="1">IF(RTD("tos.rtd",,$A$2,"."&amp;R$135&amp;R$1&amp;"C"&amp;$A183)="N/A",0,RTD("tos.rtd",,$A$2,"."&amp;R$135&amp;R$1&amp;"C"&amp;$A183))-IF(RTD("tos.rtd",,$A$2,"."&amp;R$135&amp;R$1&amp;"P"&amp;$A183)="N/A",0,RTD("tos.rtd",,$A$2,"."&amp;R$135&amp;R$1&amp;"P"&amp;$A183))</f>
        <v>0</v>
      </c>
      <c r="S183" s="91">
        <f ca="1">IF(RTD("tos.rtd",,$A$2,"."&amp;S$135&amp;S$1&amp;"C"&amp;$A183)="N/A",0,RTD("tos.rtd",,$A$2,"."&amp;S$135&amp;S$1&amp;"C"&amp;$A183))-IF(RTD("tos.rtd",,$A$2,"."&amp;S$135&amp;S$1&amp;"P"&amp;$A183)="N/A",0,RTD("tos.rtd",,$A$2,"."&amp;S$135&amp;S$1&amp;"P"&amp;$A183))</f>
        <v>0</v>
      </c>
      <c r="T183" s="91">
        <f ca="1">IF(RTD("tos.rtd",,$A$2,"."&amp;T$135&amp;T$1&amp;"C"&amp;$A183)="N/A",0,RTD("tos.rtd",,$A$2,"."&amp;T$135&amp;T$1&amp;"C"&amp;$A183))-IF(RTD("tos.rtd",,$A$2,"."&amp;T$135&amp;T$1&amp;"P"&amp;$A183)="N/A",0,RTD("tos.rtd",,$A$2,"."&amp;T$135&amp;T$1&amp;"P"&amp;$A183))</f>
        <v>0</v>
      </c>
      <c r="U183" s="91">
        <f ca="1">IF(RTD("tos.rtd",,$A$2,"."&amp;U$135&amp;U$1&amp;"C"&amp;$A183)="N/A",0,RTD("tos.rtd",,$A$2,"."&amp;U$135&amp;U$1&amp;"C"&amp;$A183))-IF(RTD("tos.rtd",,$A$2,"."&amp;U$135&amp;U$1&amp;"P"&amp;$A183)="N/A",0,RTD("tos.rtd",,$A$2,"."&amp;U$135&amp;U$1&amp;"P"&amp;$A183))</f>
        <v>0</v>
      </c>
      <c r="V183" s="91">
        <f ca="1">IF(RTD("tos.rtd",,$A$2,"."&amp;V$135&amp;V$1&amp;"C"&amp;$A183)="N/A",0,RTD("tos.rtd",,$A$2,"."&amp;V$135&amp;V$1&amp;"C"&amp;$A183))-IF(RTD("tos.rtd",,$A$2,"."&amp;V$135&amp;V$1&amp;"P"&amp;$A183)="N/A",0,RTD("tos.rtd",,$A$2,"."&amp;V$135&amp;V$1&amp;"P"&amp;$A183))</f>
        <v>0</v>
      </c>
      <c r="W183" s="91">
        <f ca="1">IF(RTD("tos.rtd",,$A$2,"."&amp;W$135&amp;W$1&amp;"C"&amp;$A183)="N/A",0,RTD("tos.rtd",,$A$2,"."&amp;W$135&amp;W$1&amp;"C"&amp;$A183))-IF(RTD("tos.rtd",,$A$2,"."&amp;W$135&amp;W$1&amp;"P"&amp;$A183)="N/A",0,RTD("tos.rtd",,$A$2,"."&amp;W$135&amp;W$1&amp;"P"&amp;$A183))</f>
        <v>0</v>
      </c>
      <c r="X183" s="91">
        <f ca="1">IF(RTD("tos.rtd",,$A$2,"."&amp;X$135&amp;X$1&amp;"C"&amp;$A183)="N/A",0,RTD("tos.rtd",,$A$2,"."&amp;X$135&amp;X$1&amp;"C"&amp;$A183))-IF(RTD("tos.rtd",,$A$2,"."&amp;X$135&amp;X$1&amp;"P"&amp;$A183)="N/A",0,RTD("tos.rtd",,$A$2,"."&amp;X$135&amp;X$1&amp;"P"&amp;$A183))</f>
        <v>0</v>
      </c>
      <c r="Y183" s="98">
        <f t="shared" ca="1" si="13"/>
        <v>-11</v>
      </c>
      <c r="Z183" s="91"/>
      <c r="AA183" s="91"/>
    </row>
    <row r="184" spans="1:27" x14ac:dyDescent="0.25">
      <c r="A184" s="93">
        <f>+Hoja1!A183</f>
        <v>19400</v>
      </c>
      <c r="B184" s="91">
        <f ca="1">IF(RTD("tos.rtd",,$A$2,"."&amp;B$135&amp;B$1&amp;"C"&amp;$A184)="N/A",0,RTD("tos.rtd",,$A$2,"."&amp;B$135&amp;B$1&amp;"C"&amp;$A184))-IF(RTD("tos.rtd",,$A$2,"."&amp;B$135&amp;B$1&amp;"P"&amp;$A184)="N/A",0,RTD("tos.rtd",,$A$2,"."&amp;B$135&amp;B$1&amp;"P"&amp;$A184))</f>
        <v>0</v>
      </c>
      <c r="C184" s="91">
        <f ca="1">IF(RTD("tos.rtd",,$A$2,"."&amp;C$135&amp;C$1&amp;"C"&amp;$A184)="N/A",0,RTD("tos.rtd",,$A$2,"."&amp;C$135&amp;C$1&amp;"C"&amp;$A184))-IF(RTD("tos.rtd",,$A$2,"."&amp;C$135&amp;C$1&amp;"P"&amp;$A184)="N/A",0,RTD("tos.rtd",,$A$2,"."&amp;C$135&amp;C$1&amp;"P"&amp;$A184))</f>
        <v>0</v>
      </c>
      <c r="D184" s="91">
        <f ca="1">IF(RTD("tos.rtd",,$A$2,"."&amp;D$135&amp;D$1&amp;"C"&amp;$A184)="N/A",0,RTD("tos.rtd",,$A$2,"."&amp;D$135&amp;D$1&amp;"C"&amp;$A184))-IF(RTD("tos.rtd",,$A$2,"."&amp;D$135&amp;D$1&amp;"P"&amp;$A184)="N/A",0,RTD("tos.rtd",,$A$2,"."&amp;D$135&amp;D$1&amp;"P"&amp;$A184))</f>
        <v>0</v>
      </c>
      <c r="E184" s="91">
        <f ca="1">IF(RTD("tos.rtd",,$A$2,"."&amp;E$135&amp;E$1&amp;"C"&amp;$A184)="N/A",0,RTD("tos.rtd",,$A$2,"."&amp;E$135&amp;E$1&amp;"C"&amp;$A184))-IF(RTD("tos.rtd",,$A$2,"."&amp;E$135&amp;E$1&amp;"P"&amp;$A184)="N/A",0,RTD("tos.rtd",,$A$2,"."&amp;E$135&amp;E$1&amp;"P"&amp;$A184))</f>
        <v>0</v>
      </c>
      <c r="F184" s="91">
        <f ca="1">IF(RTD("tos.rtd",,$A$2,"."&amp;F$135&amp;F$1&amp;"C"&amp;$A184)="N/A",0,RTD("tos.rtd",,$A$2,"."&amp;F$135&amp;F$1&amp;"C"&amp;$A184))-IF(RTD("tos.rtd",,$A$2,"."&amp;F$135&amp;F$1&amp;"P"&amp;$A184)="N/A",0,RTD("tos.rtd",,$A$2,"."&amp;F$135&amp;F$1&amp;"P"&amp;$A184))</f>
        <v>0</v>
      </c>
      <c r="G184" s="91">
        <f ca="1">IF(RTD("tos.rtd",,$A$2,"."&amp;G$135&amp;G$1&amp;"C"&amp;$A184)="N/A",0,RTD("tos.rtd",,$A$2,"."&amp;G$135&amp;G$1&amp;"C"&amp;$A184))-IF(RTD("tos.rtd",,$A$2,"."&amp;G$135&amp;G$1&amp;"P"&amp;$A184)="N/A",0,RTD("tos.rtd",,$A$2,"."&amp;G$135&amp;G$1&amp;"P"&amp;$A184))</f>
        <v>0</v>
      </c>
      <c r="H184" s="91">
        <f ca="1">IF(RTD("tos.rtd",,$A$2,"."&amp;H$135&amp;H$1&amp;"C"&amp;$A184)="N/A",0,RTD("tos.rtd",,$A$2,"."&amp;H$135&amp;H$1&amp;"C"&amp;$A184))-IF(RTD("tos.rtd",,$A$2,"."&amp;H$135&amp;H$1&amp;"P"&amp;$A184)="N/A",0,RTD("tos.rtd",,$A$2,"."&amp;H$135&amp;H$1&amp;"P"&amp;$A184))</f>
        <v>0</v>
      </c>
      <c r="I184" s="91">
        <f ca="1">IF(RTD("tos.rtd",,$A$2,"."&amp;I$135&amp;I$1&amp;"C"&amp;$A184)="N/A",0,RTD("tos.rtd",,$A$2,"."&amp;I$135&amp;I$1&amp;"C"&amp;$A184))-IF(RTD("tos.rtd",,$A$2,"."&amp;I$135&amp;I$1&amp;"P"&amp;$A184)="N/A",0,RTD("tos.rtd",,$A$2,"."&amp;I$135&amp;I$1&amp;"P"&amp;$A184))</f>
        <v>0</v>
      </c>
      <c r="J184" s="91">
        <f ca="1">IF(RTD("tos.rtd",,$A$2,"."&amp;J$135&amp;J$1&amp;"C"&amp;$A184)="N/A",0,RTD("tos.rtd",,$A$2,"."&amp;J$135&amp;J$1&amp;"C"&amp;$A184))-IF(RTD("tos.rtd",,$A$2,"."&amp;J$135&amp;J$1&amp;"P"&amp;$A184)="N/A",0,RTD("tos.rtd",,$A$2,"."&amp;J$135&amp;J$1&amp;"P"&amp;$A184))</f>
        <v>0</v>
      </c>
      <c r="K184" s="91">
        <f ca="1">IF(RTD("tos.rtd",,$A$2,"."&amp;K$135&amp;K$1&amp;"C"&amp;$A184)="N/A",0,RTD("tos.rtd",,$A$2,"."&amp;K$135&amp;K$1&amp;"C"&amp;$A184))-IF(RTD("tos.rtd",,$A$2,"."&amp;K$135&amp;K$1&amp;"P"&amp;$A184)="N/A",0,RTD("tos.rtd",,$A$2,"."&amp;K$135&amp;K$1&amp;"P"&amp;$A184))</f>
        <v>-6</v>
      </c>
      <c r="L184" s="91">
        <f ca="1">IF(RTD("tos.rtd",,$A$2,"."&amp;L$135&amp;L$1&amp;"C"&amp;$A184)="N/A",0,RTD("tos.rtd",,$A$2,"."&amp;L$135&amp;L$1&amp;"C"&amp;$A184))-IF(RTD("tos.rtd",,$A$2,"."&amp;L$135&amp;L$1&amp;"P"&amp;$A184)="N/A",0,RTD("tos.rtd",,$A$2,"."&amp;L$135&amp;L$1&amp;"P"&amp;$A184))</f>
        <v>0</v>
      </c>
      <c r="M184" s="91">
        <f ca="1">IF(RTD("tos.rtd",,$A$2,"."&amp;M$135&amp;M$1&amp;"C"&amp;$A184)="N/A",0,RTD("tos.rtd",,$A$2,"."&amp;M$135&amp;M$1&amp;"C"&amp;$A184))-IF(RTD("tos.rtd",,$A$2,"."&amp;M$135&amp;M$1&amp;"P"&amp;$A184)="N/A",0,RTD("tos.rtd",,$A$2,"."&amp;M$135&amp;M$1&amp;"P"&amp;$A184))</f>
        <v>0</v>
      </c>
      <c r="N184" s="91">
        <f ca="1">IF(RTD("tos.rtd",,$A$2,"."&amp;N$135&amp;N$1&amp;"C"&amp;$A184)="N/A",0,RTD("tos.rtd",,$A$2,"."&amp;N$135&amp;N$1&amp;"C"&amp;$A184))-IF(RTD("tos.rtd",,$A$2,"."&amp;N$135&amp;N$1&amp;"P"&amp;$A184)="N/A",0,RTD("tos.rtd",,$A$2,"."&amp;N$135&amp;N$1&amp;"P"&amp;$A184))</f>
        <v>0</v>
      </c>
      <c r="O184" s="91">
        <f ca="1">IF(RTD("tos.rtd",,$A$2,"."&amp;O$135&amp;O$1&amp;"C"&amp;$A184)="N/A",0,RTD("tos.rtd",,$A$2,"."&amp;O$135&amp;O$1&amp;"C"&amp;$A184))-IF(RTD("tos.rtd",,$A$2,"."&amp;O$135&amp;O$1&amp;"P"&amp;$A184)="N/A",0,RTD("tos.rtd",,$A$2,"."&amp;O$135&amp;O$1&amp;"P"&amp;$A184))</f>
        <v>0</v>
      </c>
      <c r="P184" s="91">
        <f ca="1">IF(RTD("tos.rtd",,$A$2,"."&amp;P$135&amp;P$1&amp;"C"&amp;$A184)="N/A",0,RTD("tos.rtd",,$A$2,"."&amp;P$135&amp;P$1&amp;"C"&amp;$A184))-IF(RTD("tos.rtd",,$A$2,"."&amp;P$135&amp;P$1&amp;"P"&amp;$A184)="N/A",0,RTD("tos.rtd",,$A$2,"."&amp;P$135&amp;P$1&amp;"P"&amp;$A184))</f>
        <v>0</v>
      </c>
      <c r="Q184" s="91">
        <f ca="1">IF(RTD("tos.rtd",,$A$2,"."&amp;Q$135&amp;Q$1&amp;"C"&amp;$A184)="N/A",0,RTD("tos.rtd",,$A$2,"."&amp;Q$135&amp;Q$1&amp;"C"&amp;$A184))-IF(RTD("tos.rtd",,$A$2,"."&amp;Q$135&amp;Q$1&amp;"P"&amp;$A184)="N/A",0,RTD("tos.rtd",,$A$2,"."&amp;Q$135&amp;Q$1&amp;"P"&amp;$A184))</f>
        <v>0</v>
      </c>
      <c r="R184" s="91">
        <f ca="1">IF(RTD("tos.rtd",,$A$2,"."&amp;R$135&amp;R$1&amp;"C"&amp;$A184)="N/A",0,RTD("tos.rtd",,$A$2,"."&amp;R$135&amp;R$1&amp;"C"&amp;$A184))-IF(RTD("tos.rtd",,$A$2,"."&amp;R$135&amp;R$1&amp;"P"&amp;$A184)="N/A",0,RTD("tos.rtd",,$A$2,"."&amp;R$135&amp;R$1&amp;"P"&amp;$A184))</f>
        <v>0</v>
      </c>
      <c r="S184" s="91">
        <f ca="1">IF(RTD("tos.rtd",,$A$2,"."&amp;S$135&amp;S$1&amp;"C"&amp;$A184)="N/A",0,RTD("tos.rtd",,$A$2,"."&amp;S$135&amp;S$1&amp;"C"&amp;$A184))-IF(RTD("tos.rtd",,$A$2,"."&amp;S$135&amp;S$1&amp;"P"&amp;$A184)="N/A",0,RTD("tos.rtd",,$A$2,"."&amp;S$135&amp;S$1&amp;"P"&amp;$A184))</f>
        <v>-2</v>
      </c>
      <c r="T184" s="91">
        <f ca="1">IF(RTD("tos.rtd",,$A$2,"."&amp;T$135&amp;T$1&amp;"C"&amp;$A184)="N/A",0,RTD("tos.rtd",,$A$2,"."&amp;T$135&amp;T$1&amp;"C"&amp;$A184))-IF(RTD("tos.rtd",,$A$2,"."&amp;T$135&amp;T$1&amp;"P"&amp;$A184)="N/A",0,RTD("tos.rtd",,$A$2,"."&amp;T$135&amp;T$1&amp;"P"&amp;$A184))</f>
        <v>0</v>
      </c>
      <c r="U184" s="91">
        <f ca="1">IF(RTD("tos.rtd",,$A$2,"."&amp;U$135&amp;U$1&amp;"C"&amp;$A184)="N/A",0,RTD("tos.rtd",,$A$2,"."&amp;U$135&amp;U$1&amp;"C"&amp;$A184))-IF(RTD("tos.rtd",,$A$2,"."&amp;U$135&amp;U$1&amp;"P"&amp;$A184)="N/A",0,RTD("tos.rtd",,$A$2,"."&amp;U$135&amp;U$1&amp;"P"&amp;$A184))</f>
        <v>0</v>
      </c>
      <c r="V184" s="91">
        <f ca="1">IF(RTD("tos.rtd",,$A$2,"."&amp;V$135&amp;V$1&amp;"C"&amp;$A184)="N/A",0,RTD("tos.rtd",,$A$2,"."&amp;V$135&amp;V$1&amp;"C"&amp;$A184))-IF(RTD("tos.rtd",,$A$2,"."&amp;V$135&amp;V$1&amp;"P"&amp;$A184)="N/A",0,RTD("tos.rtd",,$A$2,"."&amp;V$135&amp;V$1&amp;"P"&amp;$A184))</f>
        <v>0</v>
      </c>
      <c r="W184" s="91">
        <f ca="1">IF(RTD("tos.rtd",,$A$2,"."&amp;W$135&amp;W$1&amp;"C"&amp;$A184)="N/A",0,RTD("tos.rtd",,$A$2,"."&amp;W$135&amp;W$1&amp;"C"&amp;$A184))-IF(RTD("tos.rtd",,$A$2,"."&amp;W$135&amp;W$1&amp;"P"&amp;$A184)="N/A",0,RTD("tos.rtd",,$A$2,"."&amp;W$135&amp;W$1&amp;"P"&amp;$A184))</f>
        <v>0</v>
      </c>
      <c r="X184" s="91">
        <f ca="1">IF(RTD("tos.rtd",,$A$2,"."&amp;X$135&amp;X$1&amp;"C"&amp;$A184)="N/A",0,RTD("tos.rtd",,$A$2,"."&amp;X$135&amp;X$1&amp;"C"&amp;$A184))-IF(RTD("tos.rtd",,$A$2,"."&amp;X$135&amp;X$1&amp;"P"&amp;$A184)="N/A",0,RTD("tos.rtd",,$A$2,"."&amp;X$135&amp;X$1&amp;"P"&amp;$A184))</f>
        <v>0</v>
      </c>
      <c r="Y184" s="98">
        <f t="shared" ca="1" si="13"/>
        <v>-8</v>
      </c>
      <c r="Z184" s="91"/>
      <c r="AA184" s="91"/>
    </row>
    <row r="185" spans="1:27" x14ac:dyDescent="0.25">
      <c r="A185" s="93">
        <f>+Hoja1!A184</f>
        <v>19375</v>
      </c>
      <c r="B185" s="91">
        <f ca="1">IF(RTD("tos.rtd",,$A$2,"."&amp;B$135&amp;B$1&amp;"C"&amp;$A185)="N/A",0,RTD("tos.rtd",,$A$2,"."&amp;B$135&amp;B$1&amp;"C"&amp;$A185))-IF(RTD("tos.rtd",,$A$2,"."&amp;B$135&amp;B$1&amp;"P"&amp;$A185)="N/A",0,RTD("tos.rtd",,$A$2,"."&amp;B$135&amp;B$1&amp;"P"&amp;$A185))</f>
        <v>0</v>
      </c>
      <c r="C185" s="91">
        <f ca="1">IF(RTD("tos.rtd",,$A$2,"."&amp;C$135&amp;C$1&amp;"C"&amp;$A185)="N/A",0,RTD("tos.rtd",,$A$2,"."&amp;C$135&amp;C$1&amp;"C"&amp;$A185))-IF(RTD("tos.rtd",,$A$2,"."&amp;C$135&amp;C$1&amp;"P"&amp;$A185)="N/A",0,RTD("tos.rtd",,$A$2,"."&amp;C$135&amp;C$1&amp;"P"&amp;$A185))</f>
        <v>0</v>
      </c>
      <c r="D185" s="91">
        <f ca="1">IF(RTD("tos.rtd",,$A$2,"."&amp;D$135&amp;D$1&amp;"C"&amp;$A185)="N/A",0,RTD("tos.rtd",,$A$2,"."&amp;D$135&amp;D$1&amp;"C"&amp;$A185))-IF(RTD("tos.rtd",,$A$2,"."&amp;D$135&amp;D$1&amp;"P"&amp;$A185)="N/A",0,RTD("tos.rtd",,$A$2,"."&amp;D$135&amp;D$1&amp;"P"&amp;$A185))</f>
        <v>0</v>
      </c>
      <c r="E185" s="91">
        <f ca="1">IF(RTD("tos.rtd",,$A$2,"."&amp;E$135&amp;E$1&amp;"C"&amp;$A185)="N/A",0,RTD("tos.rtd",,$A$2,"."&amp;E$135&amp;E$1&amp;"C"&amp;$A185))-IF(RTD("tos.rtd",,$A$2,"."&amp;E$135&amp;E$1&amp;"P"&amp;$A185)="N/A",0,RTD("tos.rtd",,$A$2,"."&amp;E$135&amp;E$1&amp;"P"&amp;$A185))</f>
        <v>0</v>
      </c>
      <c r="F185" s="91">
        <f ca="1">IF(RTD("tos.rtd",,$A$2,"."&amp;F$135&amp;F$1&amp;"C"&amp;$A185)="N/A",0,RTD("tos.rtd",,$A$2,"."&amp;F$135&amp;F$1&amp;"C"&amp;$A185))-IF(RTD("tos.rtd",,$A$2,"."&amp;F$135&amp;F$1&amp;"P"&amp;$A185)="N/A",0,RTD("tos.rtd",,$A$2,"."&amp;F$135&amp;F$1&amp;"P"&amp;$A185))</f>
        <v>0</v>
      </c>
      <c r="G185" s="91">
        <f ca="1">IF(RTD("tos.rtd",,$A$2,"."&amp;G$135&amp;G$1&amp;"C"&amp;$A185)="N/A",0,RTD("tos.rtd",,$A$2,"."&amp;G$135&amp;G$1&amp;"C"&amp;$A185))-IF(RTD("tos.rtd",,$A$2,"."&amp;G$135&amp;G$1&amp;"P"&amp;$A185)="N/A",0,RTD("tos.rtd",,$A$2,"."&amp;G$135&amp;G$1&amp;"P"&amp;$A185))</f>
        <v>0</v>
      </c>
      <c r="H185" s="91">
        <f ca="1">IF(RTD("tos.rtd",,$A$2,"."&amp;H$135&amp;H$1&amp;"C"&amp;$A185)="N/A",0,RTD("tos.rtd",,$A$2,"."&amp;H$135&amp;H$1&amp;"C"&amp;$A185))-IF(RTD("tos.rtd",,$A$2,"."&amp;H$135&amp;H$1&amp;"P"&amp;$A185)="N/A",0,RTD("tos.rtd",,$A$2,"."&amp;H$135&amp;H$1&amp;"P"&amp;$A185))</f>
        <v>0</v>
      </c>
      <c r="I185" s="91">
        <f ca="1">IF(RTD("tos.rtd",,$A$2,"."&amp;I$135&amp;I$1&amp;"C"&amp;$A185)="N/A",0,RTD("tos.rtd",,$A$2,"."&amp;I$135&amp;I$1&amp;"C"&amp;$A185))-IF(RTD("tos.rtd",,$A$2,"."&amp;I$135&amp;I$1&amp;"P"&amp;$A185)="N/A",0,RTD("tos.rtd",,$A$2,"."&amp;I$135&amp;I$1&amp;"P"&amp;$A185))</f>
        <v>0</v>
      </c>
      <c r="J185" s="91">
        <f ca="1">IF(RTD("tos.rtd",,$A$2,"."&amp;J$135&amp;J$1&amp;"C"&amp;$A185)="N/A",0,RTD("tos.rtd",,$A$2,"."&amp;J$135&amp;J$1&amp;"C"&amp;$A185))-IF(RTD("tos.rtd",,$A$2,"."&amp;J$135&amp;J$1&amp;"P"&amp;$A185)="N/A",0,RTD("tos.rtd",,$A$2,"."&amp;J$135&amp;J$1&amp;"P"&amp;$A185))</f>
        <v>0</v>
      </c>
      <c r="K185" s="91">
        <f ca="1">IF(RTD("tos.rtd",,$A$2,"."&amp;K$135&amp;K$1&amp;"C"&amp;$A185)="N/A",0,RTD("tos.rtd",,$A$2,"."&amp;K$135&amp;K$1&amp;"C"&amp;$A185))-IF(RTD("tos.rtd",,$A$2,"."&amp;K$135&amp;K$1&amp;"P"&amp;$A185)="N/A",0,RTD("tos.rtd",,$A$2,"."&amp;K$135&amp;K$1&amp;"P"&amp;$A185))</f>
        <v>0</v>
      </c>
      <c r="L185" s="91">
        <f ca="1">IF(RTD("tos.rtd",,$A$2,"."&amp;L$135&amp;L$1&amp;"C"&amp;$A185)="N/A",0,RTD("tos.rtd",,$A$2,"."&amp;L$135&amp;L$1&amp;"C"&amp;$A185))-IF(RTD("tos.rtd",,$A$2,"."&amp;L$135&amp;L$1&amp;"P"&amp;$A185)="N/A",0,RTD("tos.rtd",,$A$2,"."&amp;L$135&amp;L$1&amp;"P"&amp;$A185))</f>
        <v>0</v>
      </c>
      <c r="M185" s="91">
        <f ca="1">IF(RTD("tos.rtd",,$A$2,"."&amp;M$135&amp;M$1&amp;"C"&amp;$A185)="N/A",0,RTD("tos.rtd",,$A$2,"."&amp;M$135&amp;M$1&amp;"C"&amp;$A185))-IF(RTD("tos.rtd",,$A$2,"."&amp;M$135&amp;M$1&amp;"P"&amp;$A185)="N/A",0,RTD("tos.rtd",,$A$2,"."&amp;M$135&amp;M$1&amp;"P"&amp;$A185))</f>
        <v>0</v>
      </c>
      <c r="N185" s="91">
        <f ca="1">IF(RTD("tos.rtd",,$A$2,"."&amp;N$135&amp;N$1&amp;"C"&amp;$A185)="N/A",0,RTD("tos.rtd",,$A$2,"."&amp;N$135&amp;N$1&amp;"C"&amp;$A185))-IF(RTD("tos.rtd",,$A$2,"."&amp;N$135&amp;N$1&amp;"P"&amp;$A185)="N/A",0,RTD("tos.rtd",,$A$2,"."&amp;N$135&amp;N$1&amp;"P"&amp;$A185))</f>
        <v>0</v>
      </c>
      <c r="O185" s="91">
        <f ca="1">IF(RTD("tos.rtd",,$A$2,"."&amp;O$135&amp;O$1&amp;"C"&amp;$A185)="N/A",0,RTD("tos.rtd",,$A$2,"."&amp;O$135&amp;O$1&amp;"C"&amp;$A185))-IF(RTD("tos.rtd",,$A$2,"."&amp;O$135&amp;O$1&amp;"P"&amp;$A185)="N/A",0,RTD("tos.rtd",,$A$2,"."&amp;O$135&amp;O$1&amp;"P"&amp;$A185))</f>
        <v>0</v>
      </c>
      <c r="P185" s="91">
        <f ca="1">IF(RTD("tos.rtd",,$A$2,"."&amp;P$135&amp;P$1&amp;"C"&amp;$A185)="N/A",0,RTD("tos.rtd",,$A$2,"."&amp;P$135&amp;P$1&amp;"C"&amp;$A185))-IF(RTD("tos.rtd",,$A$2,"."&amp;P$135&amp;P$1&amp;"P"&amp;$A185)="N/A",0,RTD("tos.rtd",,$A$2,"."&amp;P$135&amp;P$1&amp;"P"&amp;$A185))</f>
        <v>0</v>
      </c>
      <c r="Q185" s="91">
        <f ca="1">IF(RTD("tos.rtd",,$A$2,"."&amp;Q$135&amp;Q$1&amp;"C"&amp;$A185)="N/A",0,RTD("tos.rtd",,$A$2,"."&amp;Q$135&amp;Q$1&amp;"C"&amp;$A185))-IF(RTD("tos.rtd",,$A$2,"."&amp;Q$135&amp;Q$1&amp;"P"&amp;$A185)="N/A",0,RTD("tos.rtd",,$A$2,"."&amp;Q$135&amp;Q$1&amp;"P"&amp;$A185))</f>
        <v>0</v>
      </c>
      <c r="R185" s="91">
        <f ca="1">IF(RTD("tos.rtd",,$A$2,"."&amp;R$135&amp;R$1&amp;"C"&amp;$A185)="N/A",0,RTD("tos.rtd",,$A$2,"."&amp;R$135&amp;R$1&amp;"C"&amp;$A185))-IF(RTD("tos.rtd",,$A$2,"."&amp;R$135&amp;R$1&amp;"P"&amp;$A185)="N/A",0,RTD("tos.rtd",,$A$2,"."&amp;R$135&amp;R$1&amp;"P"&amp;$A185))</f>
        <v>0</v>
      </c>
      <c r="S185" s="91">
        <f ca="1">IF(RTD("tos.rtd",,$A$2,"."&amp;S$135&amp;S$1&amp;"C"&amp;$A185)="N/A",0,RTD("tos.rtd",,$A$2,"."&amp;S$135&amp;S$1&amp;"C"&amp;$A185))-IF(RTD("tos.rtd",,$A$2,"."&amp;S$135&amp;S$1&amp;"P"&amp;$A185)="N/A",0,RTD("tos.rtd",,$A$2,"."&amp;S$135&amp;S$1&amp;"P"&amp;$A185))</f>
        <v>0</v>
      </c>
      <c r="T185" s="91">
        <f ca="1">IF(RTD("tos.rtd",,$A$2,"."&amp;T$135&amp;T$1&amp;"C"&amp;$A185)="N/A",0,RTD("tos.rtd",,$A$2,"."&amp;T$135&amp;T$1&amp;"C"&amp;$A185))-IF(RTD("tos.rtd",,$A$2,"."&amp;T$135&amp;T$1&amp;"P"&amp;$A185)="N/A",0,RTD("tos.rtd",,$A$2,"."&amp;T$135&amp;T$1&amp;"P"&amp;$A185))</f>
        <v>0</v>
      </c>
      <c r="U185" s="91">
        <f ca="1">IF(RTD("tos.rtd",,$A$2,"."&amp;U$135&amp;U$1&amp;"C"&amp;$A185)="N/A",0,RTD("tos.rtd",,$A$2,"."&amp;U$135&amp;U$1&amp;"C"&amp;$A185))-IF(RTD("tos.rtd",,$A$2,"."&amp;U$135&amp;U$1&amp;"P"&amp;$A185)="N/A",0,RTD("tos.rtd",,$A$2,"."&amp;U$135&amp;U$1&amp;"P"&amp;$A185))</f>
        <v>0</v>
      </c>
      <c r="V185" s="91">
        <f ca="1">IF(RTD("tos.rtd",,$A$2,"."&amp;V$135&amp;V$1&amp;"C"&amp;$A185)="N/A",0,RTD("tos.rtd",,$A$2,"."&amp;V$135&amp;V$1&amp;"C"&amp;$A185))-IF(RTD("tos.rtd",,$A$2,"."&amp;V$135&amp;V$1&amp;"P"&amp;$A185)="N/A",0,RTD("tos.rtd",,$A$2,"."&amp;V$135&amp;V$1&amp;"P"&amp;$A185))</f>
        <v>0</v>
      </c>
      <c r="W185" s="91">
        <f ca="1">IF(RTD("tos.rtd",,$A$2,"."&amp;W$135&amp;W$1&amp;"C"&amp;$A185)="N/A",0,RTD("tos.rtd",,$A$2,"."&amp;W$135&amp;W$1&amp;"C"&amp;$A185))-IF(RTD("tos.rtd",,$A$2,"."&amp;W$135&amp;W$1&amp;"P"&amp;$A185)="N/A",0,RTD("tos.rtd",,$A$2,"."&amp;W$135&amp;W$1&amp;"P"&amp;$A185))</f>
        <v>0</v>
      </c>
      <c r="X185" s="91">
        <f ca="1">IF(RTD("tos.rtd",,$A$2,"."&amp;X$135&amp;X$1&amp;"C"&amp;$A185)="N/A",0,RTD("tos.rtd",,$A$2,"."&amp;X$135&amp;X$1&amp;"C"&amp;$A185))-IF(RTD("tos.rtd",,$A$2,"."&amp;X$135&amp;X$1&amp;"P"&amp;$A185)="N/A",0,RTD("tos.rtd",,$A$2,"."&amp;X$135&amp;X$1&amp;"P"&amp;$A185))</f>
        <v>0</v>
      </c>
      <c r="Y185" s="98">
        <f t="shared" ca="1" si="13"/>
        <v>0</v>
      </c>
      <c r="Z185" s="91"/>
      <c r="AA185" s="91"/>
    </row>
    <row r="186" spans="1:27" x14ac:dyDescent="0.25">
      <c r="A186" s="93">
        <f>+Hoja1!A185</f>
        <v>19350</v>
      </c>
      <c r="B186" s="91">
        <f ca="1">IF(RTD("tos.rtd",,$A$2,"."&amp;B$135&amp;B$1&amp;"C"&amp;$A186)="N/A",0,RTD("tos.rtd",,$A$2,"."&amp;B$135&amp;B$1&amp;"C"&amp;$A186))-IF(RTD("tos.rtd",,$A$2,"."&amp;B$135&amp;B$1&amp;"P"&amp;$A186)="N/A",0,RTD("tos.rtd",,$A$2,"."&amp;B$135&amp;B$1&amp;"P"&amp;$A186))</f>
        <v>0</v>
      </c>
      <c r="C186" s="91">
        <f ca="1">IF(RTD("tos.rtd",,$A$2,"."&amp;C$135&amp;C$1&amp;"C"&amp;$A186)="N/A",0,RTD("tos.rtd",,$A$2,"."&amp;C$135&amp;C$1&amp;"C"&amp;$A186))-IF(RTD("tos.rtd",,$A$2,"."&amp;C$135&amp;C$1&amp;"P"&amp;$A186)="N/A",0,RTD("tos.rtd",,$A$2,"."&amp;C$135&amp;C$1&amp;"P"&amp;$A186))</f>
        <v>0</v>
      </c>
      <c r="D186" s="91">
        <f ca="1">IF(RTD("tos.rtd",,$A$2,"."&amp;D$135&amp;D$1&amp;"C"&amp;$A186)="N/A",0,RTD("tos.rtd",,$A$2,"."&amp;D$135&amp;D$1&amp;"C"&amp;$A186))-IF(RTD("tos.rtd",,$A$2,"."&amp;D$135&amp;D$1&amp;"P"&amp;$A186)="N/A",0,RTD("tos.rtd",,$A$2,"."&amp;D$135&amp;D$1&amp;"P"&amp;$A186))</f>
        <v>0</v>
      </c>
      <c r="E186" s="91">
        <f ca="1">IF(RTD("tos.rtd",,$A$2,"."&amp;E$135&amp;E$1&amp;"C"&amp;$A186)="N/A",0,RTD("tos.rtd",,$A$2,"."&amp;E$135&amp;E$1&amp;"C"&amp;$A186))-IF(RTD("tos.rtd",,$A$2,"."&amp;E$135&amp;E$1&amp;"P"&amp;$A186)="N/A",0,RTD("tos.rtd",,$A$2,"."&amp;E$135&amp;E$1&amp;"P"&amp;$A186))</f>
        <v>0</v>
      </c>
      <c r="F186" s="91">
        <f ca="1">IF(RTD("tos.rtd",,$A$2,"."&amp;F$135&amp;F$1&amp;"C"&amp;$A186)="N/A",0,RTD("tos.rtd",,$A$2,"."&amp;F$135&amp;F$1&amp;"C"&amp;$A186))-IF(RTD("tos.rtd",,$A$2,"."&amp;F$135&amp;F$1&amp;"P"&amp;$A186)="N/A",0,RTD("tos.rtd",,$A$2,"."&amp;F$135&amp;F$1&amp;"P"&amp;$A186))</f>
        <v>0</v>
      </c>
      <c r="G186" s="91">
        <f ca="1">IF(RTD("tos.rtd",,$A$2,"."&amp;G$135&amp;G$1&amp;"C"&amp;$A186)="N/A",0,RTD("tos.rtd",,$A$2,"."&amp;G$135&amp;G$1&amp;"C"&amp;$A186))-IF(RTD("tos.rtd",,$A$2,"."&amp;G$135&amp;G$1&amp;"P"&amp;$A186)="N/A",0,RTD("tos.rtd",,$A$2,"."&amp;G$135&amp;G$1&amp;"P"&amp;$A186))</f>
        <v>0</v>
      </c>
      <c r="H186" s="91">
        <f ca="1">IF(RTD("tos.rtd",,$A$2,"."&amp;H$135&amp;H$1&amp;"C"&amp;$A186)="N/A",0,RTD("tos.rtd",,$A$2,"."&amp;H$135&amp;H$1&amp;"C"&amp;$A186))-IF(RTD("tos.rtd",,$A$2,"."&amp;H$135&amp;H$1&amp;"P"&amp;$A186)="N/A",0,RTD("tos.rtd",,$A$2,"."&amp;H$135&amp;H$1&amp;"P"&amp;$A186))</f>
        <v>0</v>
      </c>
      <c r="I186" s="91">
        <f ca="1">IF(RTD("tos.rtd",,$A$2,"."&amp;I$135&amp;I$1&amp;"C"&amp;$A186)="N/A",0,RTD("tos.rtd",,$A$2,"."&amp;I$135&amp;I$1&amp;"C"&amp;$A186))-IF(RTD("tos.rtd",,$A$2,"."&amp;I$135&amp;I$1&amp;"P"&amp;$A186)="N/A",0,RTD("tos.rtd",,$A$2,"."&amp;I$135&amp;I$1&amp;"P"&amp;$A186))</f>
        <v>0</v>
      </c>
      <c r="J186" s="91">
        <f ca="1">IF(RTD("tos.rtd",,$A$2,"."&amp;J$135&amp;J$1&amp;"C"&amp;$A186)="N/A",0,RTD("tos.rtd",,$A$2,"."&amp;J$135&amp;J$1&amp;"C"&amp;$A186))-IF(RTD("tos.rtd",,$A$2,"."&amp;J$135&amp;J$1&amp;"P"&amp;$A186)="N/A",0,RTD("tos.rtd",,$A$2,"."&amp;J$135&amp;J$1&amp;"P"&amp;$A186))</f>
        <v>-4</v>
      </c>
      <c r="K186" s="91">
        <f ca="1">IF(RTD("tos.rtd",,$A$2,"."&amp;K$135&amp;K$1&amp;"C"&amp;$A186)="N/A",0,RTD("tos.rtd",,$A$2,"."&amp;K$135&amp;K$1&amp;"C"&amp;$A186))-IF(RTD("tos.rtd",,$A$2,"."&amp;K$135&amp;K$1&amp;"P"&amp;$A186)="N/A",0,RTD("tos.rtd",,$A$2,"."&amp;K$135&amp;K$1&amp;"P"&amp;$A186))</f>
        <v>0</v>
      </c>
      <c r="L186" s="91">
        <f ca="1">IF(RTD("tos.rtd",,$A$2,"."&amp;L$135&amp;L$1&amp;"C"&amp;$A186)="N/A",0,RTD("tos.rtd",,$A$2,"."&amp;L$135&amp;L$1&amp;"C"&amp;$A186))-IF(RTD("tos.rtd",,$A$2,"."&amp;L$135&amp;L$1&amp;"P"&amp;$A186)="N/A",0,RTD("tos.rtd",,$A$2,"."&amp;L$135&amp;L$1&amp;"P"&amp;$A186))</f>
        <v>0</v>
      </c>
      <c r="M186" s="91">
        <f ca="1">IF(RTD("tos.rtd",,$A$2,"."&amp;M$135&amp;M$1&amp;"C"&amp;$A186)="N/A",0,RTD("tos.rtd",,$A$2,"."&amp;M$135&amp;M$1&amp;"C"&amp;$A186))-IF(RTD("tos.rtd",,$A$2,"."&amp;M$135&amp;M$1&amp;"P"&amp;$A186)="N/A",0,RTD("tos.rtd",,$A$2,"."&amp;M$135&amp;M$1&amp;"P"&amp;$A186))</f>
        <v>0</v>
      </c>
      <c r="N186" s="91">
        <f ca="1">IF(RTD("tos.rtd",,$A$2,"."&amp;N$135&amp;N$1&amp;"C"&amp;$A186)="N/A",0,RTD("tos.rtd",,$A$2,"."&amp;N$135&amp;N$1&amp;"C"&amp;$A186))-IF(RTD("tos.rtd",,$A$2,"."&amp;N$135&amp;N$1&amp;"P"&amp;$A186)="N/A",0,RTD("tos.rtd",,$A$2,"."&amp;N$135&amp;N$1&amp;"P"&amp;$A186))</f>
        <v>0</v>
      </c>
      <c r="O186" s="91">
        <f ca="1">IF(RTD("tos.rtd",,$A$2,"."&amp;O$135&amp;O$1&amp;"C"&amp;$A186)="N/A",0,RTD("tos.rtd",,$A$2,"."&amp;O$135&amp;O$1&amp;"C"&amp;$A186))-IF(RTD("tos.rtd",,$A$2,"."&amp;O$135&amp;O$1&amp;"P"&amp;$A186)="N/A",0,RTD("tos.rtd",,$A$2,"."&amp;O$135&amp;O$1&amp;"P"&amp;$A186))</f>
        <v>0</v>
      </c>
      <c r="P186" s="91">
        <f ca="1">IF(RTD("tos.rtd",,$A$2,"."&amp;P$135&amp;P$1&amp;"C"&amp;$A186)="N/A",0,RTD("tos.rtd",,$A$2,"."&amp;P$135&amp;P$1&amp;"C"&amp;$A186))-IF(RTD("tos.rtd",,$A$2,"."&amp;P$135&amp;P$1&amp;"P"&amp;$A186)="N/A",0,RTD("tos.rtd",,$A$2,"."&amp;P$135&amp;P$1&amp;"P"&amp;$A186))</f>
        <v>0</v>
      </c>
      <c r="Q186" s="91">
        <f ca="1">IF(RTD("tos.rtd",,$A$2,"."&amp;Q$135&amp;Q$1&amp;"C"&amp;$A186)="N/A",0,RTD("tos.rtd",,$A$2,"."&amp;Q$135&amp;Q$1&amp;"C"&amp;$A186))-IF(RTD("tos.rtd",,$A$2,"."&amp;Q$135&amp;Q$1&amp;"P"&amp;$A186)="N/A",0,RTD("tos.rtd",,$A$2,"."&amp;Q$135&amp;Q$1&amp;"P"&amp;$A186))</f>
        <v>0</v>
      </c>
      <c r="R186" s="91">
        <f ca="1">IF(RTD("tos.rtd",,$A$2,"."&amp;R$135&amp;R$1&amp;"C"&amp;$A186)="N/A",0,RTD("tos.rtd",,$A$2,"."&amp;R$135&amp;R$1&amp;"C"&amp;$A186))-IF(RTD("tos.rtd",,$A$2,"."&amp;R$135&amp;R$1&amp;"P"&amp;$A186)="N/A",0,RTD("tos.rtd",,$A$2,"."&amp;R$135&amp;R$1&amp;"P"&amp;$A186))</f>
        <v>0</v>
      </c>
      <c r="S186" s="91">
        <f ca="1">IF(RTD("tos.rtd",,$A$2,"."&amp;S$135&amp;S$1&amp;"C"&amp;$A186)="N/A",0,RTD("tos.rtd",,$A$2,"."&amp;S$135&amp;S$1&amp;"C"&amp;$A186))-IF(RTD("tos.rtd",,$A$2,"."&amp;S$135&amp;S$1&amp;"P"&amp;$A186)="N/A",0,RTD("tos.rtd",,$A$2,"."&amp;S$135&amp;S$1&amp;"P"&amp;$A186))</f>
        <v>0</v>
      </c>
      <c r="T186" s="91">
        <f ca="1">IF(RTD("tos.rtd",,$A$2,"."&amp;T$135&amp;T$1&amp;"C"&amp;$A186)="N/A",0,RTD("tos.rtd",,$A$2,"."&amp;T$135&amp;T$1&amp;"C"&amp;$A186))-IF(RTD("tos.rtd",,$A$2,"."&amp;T$135&amp;T$1&amp;"P"&amp;$A186)="N/A",0,RTD("tos.rtd",,$A$2,"."&amp;T$135&amp;T$1&amp;"P"&amp;$A186))</f>
        <v>0</v>
      </c>
      <c r="U186" s="91">
        <f ca="1">IF(RTD("tos.rtd",,$A$2,"."&amp;U$135&amp;U$1&amp;"C"&amp;$A186)="N/A",0,RTD("tos.rtd",,$A$2,"."&amp;U$135&amp;U$1&amp;"C"&amp;$A186))-IF(RTD("tos.rtd",,$A$2,"."&amp;U$135&amp;U$1&amp;"P"&amp;$A186)="N/A",0,RTD("tos.rtd",,$A$2,"."&amp;U$135&amp;U$1&amp;"P"&amp;$A186))</f>
        <v>0</v>
      </c>
      <c r="V186" s="91">
        <f ca="1">IF(RTD("tos.rtd",,$A$2,"."&amp;V$135&amp;V$1&amp;"C"&amp;$A186)="N/A",0,RTD("tos.rtd",,$A$2,"."&amp;V$135&amp;V$1&amp;"C"&amp;$A186))-IF(RTD("tos.rtd",,$A$2,"."&amp;V$135&amp;V$1&amp;"P"&amp;$A186)="N/A",0,RTD("tos.rtd",,$A$2,"."&amp;V$135&amp;V$1&amp;"P"&amp;$A186))</f>
        <v>0</v>
      </c>
      <c r="W186" s="91">
        <f ca="1">IF(RTD("tos.rtd",,$A$2,"."&amp;W$135&amp;W$1&amp;"C"&amp;$A186)="N/A",0,RTD("tos.rtd",,$A$2,"."&amp;W$135&amp;W$1&amp;"C"&amp;$A186))-IF(RTD("tos.rtd",,$A$2,"."&amp;W$135&amp;W$1&amp;"P"&amp;$A186)="N/A",0,RTD("tos.rtd",,$A$2,"."&amp;W$135&amp;W$1&amp;"P"&amp;$A186))</f>
        <v>0</v>
      </c>
      <c r="X186" s="91">
        <f ca="1">IF(RTD("tos.rtd",,$A$2,"."&amp;X$135&amp;X$1&amp;"C"&amp;$A186)="N/A",0,RTD("tos.rtd",,$A$2,"."&amp;X$135&amp;X$1&amp;"C"&amp;$A186))-IF(RTD("tos.rtd",,$A$2,"."&amp;X$135&amp;X$1&amp;"P"&amp;$A186)="N/A",0,RTD("tos.rtd",,$A$2,"."&amp;X$135&amp;X$1&amp;"P"&amp;$A186))</f>
        <v>0</v>
      </c>
      <c r="Y186" s="98">
        <f t="shared" ca="1" si="13"/>
        <v>-4</v>
      </c>
      <c r="Z186" s="91"/>
      <c r="AA186" s="91"/>
    </row>
    <row r="187" spans="1:27" x14ac:dyDescent="0.25">
      <c r="A187" s="93">
        <f>+Hoja1!A186</f>
        <v>19325</v>
      </c>
      <c r="B187" s="91">
        <f ca="1">IF(RTD("tos.rtd",,$A$2,"."&amp;B$135&amp;B$1&amp;"C"&amp;$A187)="N/A",0,RTD("tos.rtd",,$A$2,"."&amp;B$135&amp;B$1&amp;"C"&amp;$A187))-IF(RTD("tos.rtd",,$A$2,"."&amp;B$135&amp;B$1&amp;"P"&amp;$A187)="N/A",0,RTD("tos.rtd",,$A$2,"."&amp;B$135&amp;B$1&amp;"P"&amp;$A187))</f>
        <v>0</v>
      </c>
      <c r="C187" s="91">
        <f ca="1">IF(RTD("tos.rtd",,$A$2,"."&amp;C$135&amp;C$1&amp;"C"&amp;$A187)="N/A",0,RTD("tos.rtd",,$A$2,"."&amp;C$135&amp;C$1&amp;"C"&amp;$A187))-IF(RTD("tos.rtd",,$A$2,"."&amp;C$135&amp;C$1&amp;"P"&amp;$A187)="N/A",0,RTD("tos.rtd",,$A$2,"."&amp;C$135&amp;C$1&amp;"P"&amp;$A187))</f>
        <v>0</v>
      </c>
      <c r="D187" s="91">
        <f ca="1">IF(RTD("tos.rtd",,$A$2,"."&amp;D$135&amp;D$1&amp;"C"&amp;$A187)="N/A",0,RTD("tos.rtd",,$A$2,"."&amp;D$135&amp;D$1&amp;"C"&amp;$A187))-IF(RTD("tos.rtd",,$A$2,"."&amp;D$135&amp;D$1&amp;"P"&amp;$A187)="N/A",0,RTD("tos.rtd",,$A$2,"."&amp;D$135&amp;D$1&amp;"P"&amp;$A187))</f>
        <v>0</v>
      </c>
      <c r="E187" s="91">
        <f ca="1">IF(RTD("tos.rtd",,$A$2,"."&amp;E$135&amp;E$1&amp;"C"&amp;$A187)="N/A",0,RTD("tos.rtd",,$A$2,"."&amp;E$135&amp;E$1&amp;"C"&amp;$A187))-IF(RTD("tos.rtd",,$A$2,"."&amp;E$135&amp;E$1&amp;"P"&amp;$A187)="N/A",0,RTD("tos.rtd",,$A$2,"."&amp;E$135&amp;E$1&amp;"P"&amp;$A187))</f>
        <v>0</v>
      </c>
      <c r="F187" s="91">
        <f ca="1">IF(RTD("tos.rtd",,$A$2,"."&amp;F$135&amp;F$1&amp;"C"&amp;$A187)="N/A",0,RTD("tos.rtd",,$A$2,"."&amp;F$135&amp;F$1&amp;"C"&amp;$A187))-IF(RTD("tos.rtd",,$A$2,"."&amp;F$135&amp;F$1&amp;"P"&amp;$A187)="N/A",0,RTD("tos.rtd",,$A$2,"."&amp;F$135&amp;F$1&amp;"P"&amp;$A187))</f>
        <v>0</v>
      </c>
      <c r="G187" s="91">
        <f ca="1">IF(RTD("tos.rtd",,$A$2,"."&amp;G$135&amp;G$1&amp;"C"&amp;$A187)="N/A",0,RTD("tos.rtd",,$A$2,"."&amp;G$135&amp;G$1&amp;"C"&amp;$A187))-IF(RTD("tos.rtd",,$A$2,"."&amp;G$135&amp;G$1&amp;"P"&amp;$A187)="N/A",0,RTD("tos.rtd",,$A$2,"."&amp;G$135&amp;G$1&amp;"P"&amp;$A187))</f>
        <v>0</v>
      </c>
      <c r="H187" s="91">
        <f ca="1">IF(RTD("tos.rtd",,$A$2,"."&amp;H$135&amp;H$1&amp;"C"&amp;$A187)="N/A",0,RTD("tos.rtd",,$A$2,"."&amp;H$135&amp;H$1&amp;"C"&amp;$A187))-IF(RTD("tos.rtd",,$A$2,"."&amp;H$135&amp;H$1&amp;"P"&amp;$A187)="N/A",0,RTD("tos.rtd",,$A$2,"."&amp;H$135&amp;H$1&amp;"P"&amp;$A187))</f>
        <v>0</v>
      </c>
      <c r="I187" s="91">
        <f ca="1">IF(RTD("tos.rtd",,$A$2,"."&amp;I$135&amp;I$1&amp;"C"&amp;$A187)="N/A",0,RTD("tos.rtd",,$A$2,"."&amp;I$135&amp;I$1&amp;"C"&amp;$A187))-IF(RTD("tos.rtd",,$A$2,"."&amp;I$135&amp;I$1&amp;"P"&amp;$A187)="N/A",0,RTD("tos.rtd",,$A$2,"."&amp;I$135&amp;I$1&amp;"P"&amp;$A187))</f>
        <v>0</v>
      </c>
      <c r="J187" s="91">
        <f ca="1">IF(RTD("tos.rtd",,$A$2,"."&amp;J$135&amp;J$1&amp;"C"&amp;$A187)="N/A",0,RTD("tos.rtd",,$A$2,"."&amp;J$135&amp;J$1&amp;"C"&amp;$A187))-IF(RTD("tos.rtd",,$A$2,"."&amp;J$135&amp;J$1&amp;"P"&amp;$A187)="N/A",0,RTD("tos.rtd",,$A$2,"."&amp;J$135&amp;J$1&amp;"P"&amp;$A187))</f>
        <v>0</v>
      </c>
      <c r="K187" s="91">
        <f ca="1">IF(RTD("tos.rtd",,$A$2,"."&amp;K$135&amp;K$1&amp;"C"&amp;$A187)="N/A",0,RTD("tos.rtd",,$A$2,"."&amp;K$135&amp;K$1&amp;"C"&amp;$A187))-IF(RTD("tos.rtd",,$A$2,"."&amp;K$135&amp;K$1&amp;"P"&amp;$A187)="N/A",0,RTD("tos.rtd",,$A$2,"."&amp;K$135&amp;K$1&amp;"P"&amp;$A187))</f>
        <v>0</v>
      </c>
      <c r="L187" s="91">
        <f ca="1">IF(RTD("tos.rtd",,$A$2,"."&amp;L$135&amp;L$1&amp;"C"&amp;$A187)="N/A",0,RTD("tos.rtd",,$A$2,"."&amp;L$135&amp;L$1&amp;"C"&amp;$A187))-IF(RTD("tos.rtd",,$A$2,"."&amp;L$135&amp;L$1&amp;"P"&amp;$A187)="N/A",0,RTD("tos.rtd",,$A$2,"."&amp;L$135&amp;L$1&amp;"P"&amp;$A187))</f>
        <v>0</v>
      </c>
      <c r="M187" s="91">
        <f ca="1">IF(RTD("tos.rtd",,$A$2,"."&amp;M$135&amp;M$1&amp;"C"&amp;$A187)="N/A",0,RTD("tos.rtd",,$A$2,"."&amp;M$135&amp;M$1&amp;"C"&amp;$A187))-IF(RTD("tos.rtd",,$A$2,"."&amp;M$135&amp;M$1&amp;"P"&amp;$A187)="N/A",0,RTD("tos.rtd",,$A$2,"."&amp;M$135&amp;M$1&amp;"P"&amp;$A187))</f>
        <v>0</v>
      </c>
      <c r="N187" s="91">
        <f ca="1">IF(RTD("tos.rtd",,$A$2,"."&amp;N$135&amp;N$1&amp;"C"&amp;$A187)="N/A",0,RTD("tos.rtd",,$A$2,"."&amp;N$135&amp;N$1&amp;"C"&amp;$A187))-IF(RTD("tos.rtd",,$A$2,"."&amp;N$135&amp;N$1&amp;"P"&amp;$A187)="N/A",0,RTD("tos.rtd",,$A$2,"."&amp;N$135&amp;N$1&amp;"P"&amp;$A187))</f>
        <v>0</v>
      </c>
      <c r="O187" s="91">
        <f ca="1">IF(RTD("tos.rtd",,$A$2,"."&amp;O$135&amp;O$1&amp;"C"&amp;$A187)="N/A",0,RTD("tos.rtd",,$A$2,"."&amp;O$135&amp;O$1&amp;"C"&amp;$A187))-IF(RTD("tos.rtd",,$A$2,"."&amp;O$135&amp;O$1&amp;"P"&amp;$A187)="N/A",0,RTD("tos.rtd",,$A$2,"."&amp;O$135&amp;O$1&amp;"P"&amp;$A187))</f>
        <v>0</v>
      </c>
      <c r="P187" s="91">
        <f ca="1">IF(RTD("tos.rtd",,$A$2,"."&amp;P$135&amp;P$1&amp;"C"&amp;$A187)="N/A",0,RTD("tos.rtd",,$A$2,"."&amp;P$135&amp;P$1&amp;"C"&amp;$A187))-IF(RTD("tos.rtd",,$A$2,"."&amp;P$135&amp;P$1&amp;"P"&amp;$A187)="N/A",0,RTD("tos.rtd",,$A$2,"."&amp;P$135&amp;P$1&amp;"P"&amp;$A187))</f>
        <v>0</v>
      </c>
      <c r="Q187" s="91">
        <f ca="1">IF(RTD("tos.rtd",,$A$2,"."&amp;Q$135&amp;Q$1&amp;"C"&amp;$A187)="N/A",0,RTD("tos.rtd",,$A$2,"."&amp;Q$135&amp;Q$1&amp;"C"&amp;$A187))-IF(RTD("tos.rtd",,$A$2,"."&amp;Q$135&amp;Q$1&amp;"P"&amp;$A187)="N/A",0,RTD("tos.rtd",,$A$2,"."&amp;Q$135&amp;Q$1&amp;"P"&amp;$A187))</f>
        <v>0</v>
      </c>
      <c r="R187" s="91">
        <f ca="1">IF(RTD("tos.rtd",,$A$2,"."&amp;R$135&amp;R$1&amp;"C"&amp;$A187)="N/A",0,RTD("tos.rtd",,$A$2,"."&amp;R$135&amp;R$1&amp;"C"&amp;$A187))-IF(RTD("tos.rtd",,$A$2,"."&amp;R$135&amp;R$1&amp;"P"&amp;$A187)="N/A",0,RTD("tos.rtd",,$A$2,"."&amp;R$135&amp;R$1&amp;"P"&amp;$A187))</f>
        <v>0</v>
      </c>
      <c r="S187" s="91">
        <f ca="1">IF(RTD("tos.rtd",,$A$2,"."&amp;S$135&amp;S$1&amp;"C"&amp;$A187)="N/A",0,RTD("tos.rtd",,$A$2,"."&amp;S$135&amp;S$1&amp;"C"&amp;$A187))-IF(RTD("tos.rtd",,$A$2,"."&amp;S$135&amp;S$1&amp;"P"&amp;$A187)="N/A",0,RTD("tos.rtd",,$A$2,"."&amp;S$135&amp;S$1&amp;"P"&amp;$A187))</f>
        <v>0</v>
      </c>
      <c r="T187" s="91">
        <f ca="1">IF(RTD("tos.rtd",,$A$2,"."&amp;T$135&amp;T$1&amp;"C"&amp;$A187)="N/A",0,RTD("tos.rtd",,$A$2,"."&amp;T$135&amp;T$1&amp;"C"&amp;$A187))-IF(RTD("tos.rtd",,$A$2,"."&amp;T$135&amp;T$1&amp;"P"&amp;$A187)="N/A",0,RTD("tos.rtd",,$A$2,"."&amp;T$135&amp;T$1&amp;"P"&amp;$A187))</f>
        <v>0</v>
      </c>
      <c r="U187" s="91">
        <f ca="1">IF(RTD("tos.rtd",,$A$2,"."&amp;U$135&amp;U$1&amp;"C"&amp;$A187)="N/A",0,RTD("tos.rtd",,$A$2,"."&amp;U$135&amp;U$1&amp;"C"&amp;$A187))-IF(RTD("tos.rtd",,$A$2,"."&amp;U$135&amp;U$1&amp;"P"&amp;$A187)="N/A",0,RTD("tos.rtd",,$A$2,"."&amp;U$135&amp;U$1&amp;"P"&amp;$A187))</f>
        <v>0</v>
      </c>
      <c r="V187" s="91">
        <f ca="1">IF(RTD("tos.rtd",,$A$2,"."&amp;V$135&amp;V$1&amp;"C"&amp;$A187)="N/A",0,RTD("tos.rtd",,$A$2,"."&amp;V$135&amp;V$1&amp;"C"&amp;$A187))-IF(RTD("tos.rtd",,$A$2,"."&amp;V$135&amp;V$1&amp;"P"&amp;$A187)="N/A",0,RTD("tos.rtd",,$A$2,"."&amp;V$135&amp;V$1&amp;"P"&amp;$A187))</f>
        <v>0</v>
      </c>
      <c r="W187" s="91">
        <f ca="1">IF(RTD("tos.rtd",,$A$2,"."&amp;W$135&amp;W$1&amp;"C"&amp;$A187)="N/A",0,RTD("tos.rtd",,$A$2,"."&amp;W$135&amp;W$1&amp;"C"&amp;$A187))-IF(RTD("tos.rtd",,$A$2,"."&amp;W$135&amp;W$1&amp;"P"&amp;$A187)="N/A",0,RTD("tos.rtd",,$A$2,"."&amp;W$135&amp;W$1&amp;"P"&amp;$A187))</f>
        <v>0</v>
      </c>
      <c r="X187" s="91">
        <f ca="1">IF(RTD("tos.rtd",,$A$2,"."&amp;X$135&amp;X$1&amp;"C"&amp;$A187)="N/A",0,RTD("tos.rtd",,$A$2,"."&amp;X$135&amp;X$1&amp;"C"&amp;$A187))-IF(RTD("tos.rtd",,$A$2,"."&amp;X$135&amp;X$1&amp;"P"&amp;$A187)="N/A",0,RTD("tos.rtd",,$A$2,"."&amp;X$135&amp;X$1&amp;"P"&amp;$A187))</f>
        <v>0</v>
      </c>
      <c r="Y187" s="98">
        <f t="shared" ca="1" si="13"/>
        <v>0</v>
      </c>
      <c r="Z187" s="91"/>
      <c r="AA187" s="91"/>
    </row>
    <row r="188" spans="1:27" x14ac:dyDescent="0.25">
      <c r="A188" s="93">
        <f>+Hoja1!A187</f>
        <v>19300</v>
      </c>
      <c r="B188" s="91">
        <f ca="1">IF(RTD("tos.rtd",,$A$2,"."&amp;B$135&amp;B$1&amp;"C"&amp;$A188)="N/A",0,RTD("tos.rtd",,$A$2,"."&amp;B$135&amp;B$1&amp;"C"&amp;$A188))-IF(RTD("tos.rtd",,$A$2,"."&amp;B$135&amp;B$1&amp;"P"&amp;$A188)="N/A",0,RTD("tos.rtd",,$A$2,"."&amp;B$135&amp;B$1&amp;"P"&amp;$A188))</f>
        <v>0</v>
      </c>
      <c r="C188" s="91">
        <f ca="1">IF(RTD("tos.rtd",,$A$2,"."&amp;C$135&amp;C$1&amp;"C"&amp;$A188)="N/A",0,RTD("tos.rtd",,$A$2,"."&amp;C$135&amp;C$1&amp;"C"&amp;$A188))-IF(RTD("tos.rtd",,$A$2,"."&amp;C$135&amp;C$1&amp;"P"&amp;$A188)="N/A",0,RTD("tos.rtd",,$A$2,"."&amp;C$135&amp;C$1&amp;"P"&amp;$A188))</f>
        <v>0</v>
      </c>
      <c r="D188" s="91">
        <f ca="1">IF(RTD("tos.rtd",,$A$2,"."&amp;D$135&amp;D$1&amp;"C"&amp;$A188)="N/A",0,RTD("tos.rtd",,$A$2,"."&amp;D$135&amp;D$1&amp;"C"&amp;$A188))-IF(RTD("tos.rtd",,$A$2,"."&amp;D$135&amp;D$1&amp;"P"&amp;$A188)="N/A",0,RTD("tos.rtd",,$A$2,"."&amp;D$135&amp;D$1&amp;"P"&amp;$A188))</f>
        <v>0</v>
      </c>
      <c r="E188" s="91">
        <f ca="1">IF(RTD("tos.rtd",,$A$2,"."&amp;E$135&amp;E$1&amp;"C"&amp;$A188)="N/A",0,RTD("tos.rtd",,$A$2,"."&amp;E$135&amp;E$1&amp;"C"&amp;$A188))-IF(RTD("tos.rtd",,$A$2,"."&amp;E$135&amp;E$1&amp;"P"&amp;$A188)="N/A",0,RTD("tos.rtd",,$A$2,"."&amp;E$135&amp;E$1&amp;"P"&amp;$A188))</f>
        <v>0</v>
      </c>
      <c r="F188" s="91">
        <f ca="1">IF(RTD("tos.rtd",,$A$2,"."&amp;F$135&amp;F$1&amp;"C"&amp;$A188)="N/A",0,RTD("tos.rtd",,$A$2,"."&amp;F$135&amp;F$1&amp;"C"&amp;$A188))-IF(RTD("tos.rtd",,$A$2,"."&amp;F$135&amp;F$1&amp;"P"&amp;$A188)="N/A",0,RTD("tos.rtd",,$A$2,"."&amp;F$135&amp;F$1&amp;"P"&amp;$A188))</f>
        <v>0</v>
      </c>
      <c r="G188" s="91">
        <f ca="1">IF(RTD("tos.rtd",,$A$2,"."&amp;G$135&amp;G$1&amp;"C"&amp;$A188)="N/A",0,RTD("tos.rtd",,$A$2,"."&amp;G$135&amp;G$1&amp;"C"&amp;$A188))-IF(RTD("tos.rtd",,$A$2,"."&amp;G$135&amp;G$1&amp;"P"&amp;$A188)="N/A",0,RTD("tos.rtd",,$A$2,"."&amp;G$135&amp;G$1&amp;"P"&amp;$A188))</f>
        <v>0</v>
      </c>
      <c r="H188" s="91">
        <f ca="1">IF(RTD("tos.rtd",,$A$2,"."&amp;H$135&amp;H$1&amp;"C"&amp;$A188)="N/A",0,RTD("tos.rtd",,$A$2,"."&amp;H$135&amp;H$1&amp;"C"&amp;$A188))-IF(RTD("tos.rtd",,$A$2,"."&amp;H$135&amp;H$1&amp;"P"&amp;$A188)="N/A",0,RTD("tos.rtd",,$A$2,"."&amp;H$135&amp;H$1&amp;"P"&amp;$A188))</f>
        <v>0</v>
      </c>
      <c r="I188" s="91">
        <f ca="1">IF(RTD("tos.rtd",,$A$2,"."&amp;I$135&amp;I$1&amp;"C"&amp;$A188)="N/A",0,RTD("tos.rtd",,$A$2,"."&amp;I$135&amp;I$1&amp;"C"&amp;$A188))-IF(RTD("tos.rtd",,$A$2,"."&amp;I$135&amp;I$1&amp;"P"&amp;$A188)="N/A",0,RTD("tos.rtd",,$A$2,"."&amp;I$135&amp;I$1&amp;"P"&amp;$A188))</f>
        <v>0</v>
      </c>
      <c r="J188" s="91">
        <f ca="1">IF(RTD("tos.rtd",,$A$2,"."&amp;J$135&amp;J$1&amp;"C"&amp;$A188)="N/A",0,RTD("tos.rtd",,$A$2,"."&amp;J$135&amp;J$1&amp;"C"&amp;$A188))-IF(RTD("tos.rtd",,$A$2,"."&amp;J$135&amp;J$1&amp;"P"&amp;$A188)="N/A",0,RTD("tos.rtd",,$A$2,"."&amp;J$135&amp;J$1&amp;"P"&amp;$A188))</f>
        <v>-3</v>
      </c>
      <c r="K188" s="91">
        <f ca="1">IF(RTD("tos.rtd",,$A$2,"."&amp;K$135&amp;K$1&amp;"C"&amp;$A188)="N/A",0,RTD("tos.rtd",,$A$2,"."&amp;K$135&amp;K$1&amp;"C"&amp;$A188))-IF(RTD("tos.rtd",,$A$2,"."&amp;K$135&amp;K$1&amp;"P"&amp;$A188)="N/A",0,RTD("tos.rtd",,$A$2,"."&amp;K$135&amp;K$1&amp;"P"&amp;$A188))</f>
        <v>-7</v>
      </c>
      <c r="L188" s="91">
        <f ca="1">IF(RTD("tos.rtd",,$A$2,"."&amp;L$135&amp;L$1&amp;"C"&amp;$A188)="N/A",0,RTD("tos.rtd",,$A$2,"."&amp;L$135&amp;L$1&amp;"C"&amp;$A188))-IF(RTD("tos.rtd",,$A$2,"."&amp;L$135&amp;L$1&amp;"P"&amp;$A188)="N/A",0,RTD("tos.rtd",,$A$2,"."&amp;L$135&amp;L$1&amp;"P"&amp;$A188))</f>
        <v>0</v>
      </c>
      <c r="M188" s="91">
        <f ca="1">IF(RTD("tos.rtd",,$A$2,"."&amp;M$135&amp;M$1&amp;"C"&amp;$A188)="N/A",0,RTD("tos.rtd",,$A$2,"."&amp;M$135&amp;M$1&amp;"C"&amp;$A188))-IF(RTD("tos.rtd",,$A$2,"."&amp;M$135&amp;M$1&amp;"P"&amp;$A188)="N/A",0,RTD("tos.rtd",,$A$2,"."&amp;M$135&amp;M$1&amp;"P"&amp;$A188))</f>
        <v>0</v>
      </c>
      <c r="N188" s="91">
        <f ca="1">IF(RTD("tos.rtd",,$A$2,"."&amp;N$135&amp;N$1&amp;"C"&amp;$A188)="N/A",0,RTD("tos.rtd",,$A$2,"."&amp;N$135&amp;N$1&amp;"C"&amp;$A188))-IF(RTD("tos.rtd",,$A$2,"."&amp;N$135&amp;N$1&amp;"P"&amp;$A188)="N/A",0,RTD("tos.rtd",,$A$2,"."&amp;N$135&amp;N$1&amp;"P"&amp;$A188))</f>
        <v>0</v>
      </c>
      <c r="O188" s="91">
        <f ca="1">IF(RTD("tos.rtd",,$A$2,"."&amp;O$135&amp;O$1&amp;"C"&amp;$A188)="N/A",0,RTD("tos.rtd",,$A$2,"."&amp;O$135&amp;O$1&amp;"C"&amp;$A188))-IF(RTD("tos.rtd",,$A$2,"."&amp;O$135&amp;O$1&amp;"P"&amp;$A188)="N/A",0,RTD("tos.rtd",,$A$2,"."&amp;O$135&amp;O$1&amp;"P"&amp;$A188))</f>
        <v>0</v>
      </c>
      <c r="P188" s="91">
        <f ca="1">IF(RTD("tos.rtd",,$A$2,"."&amp;P$135&amp;P$1&amp;"C"&amp;$A188)="N/A",0,RTD("tos.rtd",,$A$2,"."&amp;P$135&amp;P$1&amp;"C"&amp;$A188))-IF(RTD("tos.rtd",,$A$2,"."&amp;P$135&amp;P$1&amp;"P"&amp;$A188)="N/A",0,RTD("tos.rtd",,$A$2,"."&amp;P$135&amp;P$1&amp;"P"&amp;$A188))</f>
        <v>0</v>
      </c>
      <c r="Q188" s="91">
        <f ca="1">IF(RTD("tos.rtd",,$A$2,"."&amp;Q$135&amp;Q$1&amp;"C"&amp;$A188)="N/A",0,RTD("tos.rtd",,$A$2,"."&amp;Q$135&amp;Q$1&amp;"C"&amp;$A188))-IF(RTD("tos.rtd",,$A$2,"."&amp;Q$135&amp;Q$1&amp;"P"&amp;$A188)="N/A",0,RTD("tos.rtd",,$A$2,"."&amp;Q$135&amp;Q$1&amp;"P"&amp;$A188))</f>
        <v>0</v>
      </c>
      <c r="R188" s="91">
        <f ca="1">IF(RTD("tos.rtd",,$A$2,"."&amp;R$135&amp;R$1&amp;"C"&amp;$A188)="N/A",0,RTD("tos.rtd",,$A$2,"."&amp;R$135&amp;R$1&amp;"C"&amp;$A188))-IF(RTD("tos.rtd",,$A$2,"."&amp;R$135&amp;R$1&amp;"P"&amp;$A188)="N/A",0,RTD("tos.rtd",,$A$2,"."&amp;R$135&amp;R$1&amp;"P"&amp;$A188))</f>
        <v>0</v>
      </c>
      <c r="S188" s="91">
        <f ca="1">IF(RTD("tos.rtd",,$A$2,"."&amp;S$135&amp;S$1&amp;"C"&amp;$A188)="N/A",0,RTD("tos.rtd",,$A$2,"."&amp;S$135&amp;S$1&amp;"C"&amp;$A188))-IF(RTD("tos.rtd",,$A$2,"."&amp;S$135&amp;S$1&amp;"P"&amp;$A188)="N/A",0,RTD("tos.rtd",,$A$2,"."&amp;S$135&amp;S$1&amp;"P"&amp;$A188))</f>
        <v>0</v>
      </c>
      <c r="T188" s="91">
        <f ca="1">IF(RTD("tos.rtd",,$A$2,"."&amp;T$135&amp;T$1&amp;"C"&amp;$A188)="N/A",0,RTD("tos.rtd",,$A$2,"."&amp;T$135&amp;T$1&amp;"C"&amp;$A188))-IF(RTD("tos.rtd",,$A$2,"."&amp;T$135&amp;T$1&amp;"P"&amp;$A188)="N/A",0,RTD("tos.rtd",,$A$2,"."&amp;T$135&amp;T$1&amp;"P"&amp;$A188))</f>
        <v>0</v>
      </c>
      <c r="U188" s="91">
        <f ca="1">IF(RTD("tos.rtd",,$A$2,"."&amp;U$135&amp;U$1&amp;"C"&amp;$A188)="N/A",0,RTD("tos.rtd",,$A$2,"."&amp;U$135&amp;U$1&amp;"C"&amp;$A188))-IF(RTD("tos.rtd",,$A$2,"."&amp;U$135&amp;U$1&amp;"P"&amp;$A188)="N/A",0,RTD("tos.rtd",,$A$2,"."&amp;U$135&amp;U$1&amp;"P"&amp;$A188))</f>
        <v>2</v>
      </c>
      <c r="V188" s="91">
        <f ca="1">IF(RTD("tos.rtd",,$A$2,"."&amp;V$135&amp;V$1&amp;"C"&amp;$A188)="N/A",0,RTD("tos.rtd",,$A$2,"."&amp;V$135&amp;V$1&amp;"C"&amp;$A188))-IF(RTD("tos.rtd",,$A$2,"."&amp;V$135&amp;V$1&amp;"P"&amp;$A188)="N/A",0,RTD("tos.rtd",,$A$2,"."&amp;V$135&amp;V$1&amp;"P"&amp;$A188))</f>
        <v>0</v>
      </c>
      <c r="W188" s="91">
        <f ca="1">IF(RTD("tos.rtd",,$A$2,"."&amp;W$135&amp;W$1&amp;"C"&amp;$A188)="N/A",0,RTD("tos.rtd",,$A$2,"."&amp;W$135&amp;W$1&amp;"C"&amp;$A188))-IF(RTD("tos.rtd",,$A$2,"."&amp;W$135&amp;W$1&amp;"P"&amp;$A188)="N/A",0,RTD("tos.rtd",,$A$2,"."&amp;W$135&amp;W$1&amp;"P"&amp;$A188))</f>
        <v>2</v>
      </c>
      <c r="X188" s="91">
        <f ca="1">IF(RTD("tos.rtd",,$A$2,"."&amp;X$135&amp;X$1&amp;"C"&amp;$A188)="N/A",0,RTD("tos.rtd",,$A$2,"."&amp;X$135&amp;X$1&amp;"C"&amp;$A188))-IF(RTD("tos.rtd",,$A$2,"."&amp;X$135&amp;X$1&amp;"P"&amp;$A188)="N/A",0,RTD("tos.rtd",,$A$2,"."&amp;X$135&amp;X$1&amp;"P"&amp;$A188))</f>
        <v>0</v>
      </c>
      <c r="Y188" s="98">
        <f t="shared" ca="1" si="13"/>
        <v>-6</v>
      </c>
      <c r="Z188" s="91"/>
      <c r="AA188" s="91"/>
    </row>
    <row r="189" spans="1:27" x14ac:dyDescent="0.25">
      <c r="A189" s="93">
        <f>+Hoja1!A188</f>
        <v>19275</v>
      </c>
      <c r="B189" s="91">
        <f ca="1">IF(RTD("tos.rtd",,$A$2,"."&amp;B$135&amp;B$1&amp;"C"&amp;$A189)="N/A",0,RTD("tos.rtd",,$A$2,"."&amp;B$135&amp;B$1&amp;"C"&amp;$A189))-IF(RTD("tos.rtd",,$A$2,"."&amp;B$135&amp;B$1&amp;"P"&amp;$A189)="N/A",0,RTD("tos.rtd",,$A$2,"."&amp;B$135&amp;B$1&amp;"P"&amp;$A189))</f>
        <v>0</v>
      </c>
      <c r="C189" s="91">
        <f ca="1">IF(RTD("tos.rtd",,$A$2,"."&amp;C$135&amp;C$1&amp;"C"&amp;$A189)="N/A",0,RTD("tos.rtd",,$A$2,"."&amp;C$135&amp;C$1&amp;"C"&amp;$A189))-IF(RTD("tos.rtd",,$A$2,"."&amp;C$135&amp;C$1&amp;"P"&amp;$A189)="N/A",0,RTD("tos.rtd",,$A$2,"."&amp;C$135&amp;C$1&amp;"P"&amp;$A189))</f>
        <v>0</v>
      </c>
      <c r="D189" s="91">
        <f ca="1">IF(RTD("tos.rtd",,$A$2,"."&amp;D$135&amp;D$1&amp;"C"&amp;$A189)="N/A",0,RTD("tos.rtd",,$A$2,"."&amp;D$135&amp;D$1&amp;"C"&amp;$A189))-IF(RTD("tos.rtd",,$A$2,"."&amp;D$135&amp;D$1&amp;"P"&amp;$A189)="N/A",0,RTD("tos.rtd",,$A$2,"."&amp;D$135&amp;D$1&amp;"P"&amp;$A189))</f>
        <v>0</v>
      </c>
      <c r="E189" s="91">
        <f ca="1">IF(RTD("tos.rtd",,$A$2,"."&amp;E$135&amp;E$1&amp;"C"&amp;$A189)="N/A",0,RTD("tos.rtd",,$A$2,"."&amp;E$135&amp;E$1&amp;"C"&amp;$A189))-IF(RTD("tos.rtd",,$A$2,"."&amp;E$135&amp;E$1&amp;"P"&amp;$A189)="N/A",0,RTD("tos.rtd",,$A$2,"."&amp;E$135&amp;E$1&amp;"P"&amp;$A189))</f>
        <v>0</v>
      </c>
      <c r="F189" s="91">
        <f ca="1">IF(RTD("tos.rtd",,$A$2,"."&amp;F$135&amp;F$1&amp;"C"&amp;$A189)="N/A",0,RTD("tos.rtd",,$A$2,"."&amp;F$135&amp;F$1&amp;"C"&amp;$A189))-IF(RTD("tos.rtd",,$A$2,"."&amp;F$135&amp;F$1&amp;"P"&amp;$A189)="N/A",0,RTD("tos.rtd",,$A$2,"."&amp;F$135&amp;F$1&amp;"P"&amp;$A189))</f>
        <v>0</v>
      </c>
      <c r="G189" s="91">
        <f ca="1">IF(RTD("tos.rtd",,$A$2,"."&amp;G$135&amp;G$1&amp;"C"&amp;$A189)="N/A",0,RTD("tos.rtd",,$A$2,"."&amp;G$135&amp;G$1&amp;"C"&amp;$A189))-IF(RTD("tos.rtd",,$A$2,"."&amp;G$135&amp;G$1&amp;"P"&amp;$A189)="N/A",0,RTD("tos.rtd",,$A$2,"."&amp;G$135&amp;G$1&amp;"P"&amp;$A189))</f>
        <v>0</v>
      </c>
      <c r="H189" s="91">
        <f ca="1">IF(RTD("tos.rtd",,$A$2,"."&amp;H$135&amp;H$1&amp;"C"&amp;$A189)="N/A",0,RTD("tos.rtd",,$A$2,"."&amp;H$135&amp;H$1&amp;"C"&amp;$A189))-IF(RTD("tos.rtd",,$A$2,"."&amp;H$135&amp;H$1&amp;"P"&amp;$A189)="N/A",0,RTD("tos.rtd",,$A$2,"."&amp;H$135&amp;H$1&amp;"P"&amp;$A189))</f>
        <v>0</v>
      </c>
      <c r="I189" s="91">
        <f ca="1">IF(RTD("tos.rtd",,$A$2,"."&amp;I$135&amp;I$1&amp;"C"&amp;$A189)="N/A",0,RTD("tos.rtd",,$A$2,"."&amp;I$135&amp;I$1&amp;"C"&amp;$A189))-IF(RTD("tos.rtd",,$A$2,"."&amp;I$135&amp;I$1&amp;"P"&amp;$A189)="N/A",0,RTD("tos.rtd",,$A$2,"."&amp;I$135&amp;I$1&amp;"P"&amp;$A189))</f>
        <v>0</v>
      </c>
      <c r="J189" s="91">
        <f ca="1">IF(RTD("tos.rtd",,$A$2,"."&amp;J$135&amp;J$1&amp;"C"&amp;$A189)="N/A",0,RTD("tos.rtd",,$A$2,"."&amp;J$135&amp;J$1&amp;"C"&amp;$A189))-IF(RTD("tos.rtd",,$A$2,"."&amp;J$135&amp;J$1&amp;"P"&amp;$A189)="N/A",0,RTD("tos.rtd",,$A$2,"."&amp;J$135&amp;J$1&amp;"P"&amp;$A189))</f>
        <v>0</v>
      </c>
      <c r="K189" s="91">
        <f ca="1">IF(RTD("tos.rtd",,$A$2,"."&amp;K$135&amp;K$1&amp;"C"&amp;$A189)="N/A",0,RTD("tos.rtd",,$A$2,"."&amp;K$135&amp;K$1&amp;"C"&amp;$A189))-IF(RTD("tos.rtd",,$A$2,"."&amp;K$135&amp;K$1&amp;"P"&amp;$A189)="N/A",0,RTD("tos.rtd",,$A$2,"."&amp;K$135&amp;K$1&amp;"P"&amp;$A189))</f>
        <v>0</v>
      </c>
      <c r="L189" s="91">
        <f ca="1">IF(RTD("tos.rtd",,$A$2,"."&amp;L$135&amp;L$1&amp;"C"&amp;$A189)="N/A",0,RTD("tos.rtd",,$A$2,"."&amp;L$135&amp;L$1&amp;"C"&amp;$A189))-IF(RTD("tos.rtd",,$A$2,"."&amp;L$135&amp;L$1&amp;"P"&amp;$A189)="N/A",0,RTD("tos.rtd",,$A$2,"."&amp;L$135&amp;L$1&amp;"P"&amp;$A189))</f>
        <v>0</v>
      </c>
      <c r="M189" s="91">
        <f ca="1">IF(RTD("tos.rtd",,$A$2,"."&amp;M$135&amp;M$1&amp;"C"&amp;$A189)="N/A",0,RTD("tos.rtd",,$A$2,"."&amp;M$135&amp;M$1&amp;"C"&amp;$A189))-IF(RTD("tos.rtd",,$A$2,"."&amp;M$135&amp;M$1&amp;"P"&amp;$A189)="N/A",0,RTD("tos.rtd",,$A$2,"."&amp;M$135&amp;M$1&amp;"P"&amp;$A189))</f>
        <v>0</v>
      </c>
      <c r="N189" s="91">
        <f ca="1">IF(RTD("tos.rtd",,$A$2,"."&amp;N$135&amp;N$1&amp;"C"&amp;$A189)="N/A",0,RTD("tos.rtd",,$A$2,"."&amp;N$135&amp;N$1&amp;"C"&amp;$A189))-IF(RTD("tos.rtd",,$A$2,"."&amp;N$135&amp;N$1&amp;"P"&amp;$A189)="N/A",0,RTD("tos.rtd",,$A$2,"."&amp;N$135&amp;N$1&amp;"P"&amp;$A189))</f>
        <v>0</v>
      </c>
      <c r="O189" s="91">
        <f ca="1">IF(RTD("tos.rtd",,$A$2,"."&amp;O$135&amp;O$1&amp;"C"&amp;$A189)="N/A",0,RTD("tos.rtd",,$A$2,"."&amp;O$135&amp;O$1&amp;"C"&amp;$A189))-IF(RTD("tos.rtd",,$A$2,"."&amp;O$135&amp;O$1&amp;"P"&amp;$A189)="N/A",0,RTD("tos.rtd",,$A$2,"."&amp;O$135&amp;O$1&amp;"P"&amp;$A189))</f>
        <v>0</v>
      </c>
      <c r="P189" s="91">
        <f ca="1">IF(RTD("tos.rtd",,$A$2,"."&amp;P$135&amp;P$1&amp;"C"&amp;$A189)="N/A",0,RTD("tos.rtd",,$A$2,"."&amp;P$135&amp;P$1&amp;"C"&amp;$A189))-IF(RTD("tos.rtd",,$A$2,"."&amp;P$135&amp;P$1&amp;"P"&amp;$A189)="N/A",0,RTD("tos.rtd",,$A$2,"."&amp;P$135&amp;P$1&amp;"P"&amp;$A189))</f>
        <v>0</v>
      </c>
      <c r="Q189" s="91">
        <f ca="1">IF(RTD("tos.rtd",,$A$2,"."&amp;Q$135&amp;Q$1&amp;"C"&amp;$A189)="N/A",0,RTD("tos.rtd",,$A$2,"."&amp;Q$135&amp;Q$1&amp;"C"&amp;$A189))-IF(RTD("tos.rtd",,$A$2,"."&amp;Q$135&amp;Q$1&amp;"P"&amp;$A189)="N/A",0,RTD("tos.rtd",,$A$2,"."&amp;Q$135&amp;Q$1&amp;"P"&amp;$A189))</f>
        <v>0</v>
      </c>
      <c r="R189" s="91">
        <f ca="1">IF(RTD("tos.rtd",,$A$2,"."&amp;R$135&amp;R$1&amp;"C"&amp;$A189)="N/A",0,RTD("tos.rtd",,$A$2,"."&amp;R$135&amp;R$1&amp;"C"&amp;$A189))-IF(RTD("tos.rtd",,$A$2,"."&amp;R$135&amp;R$1&amp;"P"&amp;$A189)="N/A",0,RTD("tos.rtd",,$A$2,"."&amp;R$135&amp;R$1&amp;"P"&amp;$A189))</f>
        <v>0</v>
      </c>
      <c r="S189" s="91">
        <f ca="1">IF(RTD("tos.rtd",,$A$2,"."&amp;S$135&amp;S$1&amp;"C"&amp;$A189)="N/A",0,RTD("tos.rtd",,$A$2,"."&amp;S$135&amp;S$1&amp;"C"&amp;$A189))-IF(RTD("tos.rtd",,$A$2,"."&amp;S$135&amp;S$1&amp;"P"&amp;$A189)="N/A",0,RTD("tos.rtd",,$A$2,"."&amp;S$135&amp;S$1&amp;"P"&amp;$A189))</f>
        <v>0</v>
      </c>
      <c r="T189" s="91">
        <f ca="1">IF(RTD("tos.rtd",,$A$2,"."&amp;T$135&amp;T$1&amp;"C"&amp;$A189)="N/A",0,RTD("tos.rtd",,$A$2,"."&amp;T$135&amp;T$1&amp;"C"&amp;$A189))-IF(RTD("tos.rtd",,$A$2,"."&amp;T$135&amp;T$1&amp;"P"&amp;$A189)="N/A",0,RTD("tos.rtd",,$A$2,"."&amp;T$135&amp;T$1&amp;"P"&amp;$A189))</f>
        <v>0</v>
      </c>
      <c r="U189" s="91">
        <f ca="1">IF(RTD("tos.rtd",,$A$2,"."&amp;U$135&amp;U$1&amp;"C"&amp;$A189)="N/A",0,RTD("tos.rtd",,$A$2,"."&amp;U$135&amp;U$1&amp;"C"&amp;$A189))-IF(RTD("tos.rtd",,$A$2,"."&amp;U$135&amp;U$1&amp;"P"&amp;$A189)="N/A",0,RTD("tos.rtd",,$A$2,"."&amp;U$135&amp;U$1&amp;"P"&amp;$A189))</f>
        <v>0</v>
      </c>
      <c r="V189" s="91">
        <f ca="1">IF(RTD("tos.rtd",,$A$2,"."&amp;V$135&amp;V$1&amp;"C"&amp;$A189)="N/A",0,RTD("tos.rtd",,$A$2,"."&amp;V$135&amp;V$1&amp;"C"&amp;$A189))-IF(RTD("tos.rtd",,$A$2,"."&amp;V$135&amp;V$1&amp;"P"&amp;$A189)="N/A",0,RTD("tos.rtd",,$A$2,"."&amp;V$135&amp;V$1&amp;"P"&amp;$A189))</f>
        <v>0</v>
      </c>
      <c r="W189" s="91">
        <f ca="1">IF(RTD("tos.rtd",,$A$2,"."&amp;W$135&amp;W$1&amp;"C"&amp;$A189)="N/A",0,RTD("tos.rtd",,$A$2,"."&amp;W$135&amp;W$1&amp;"C"&amp;$A189))-IF(RTD("tos.rtd",,$A$2,"."&amp;W$135&amp;W$1&amp;"P"&amp;$A189)="N/A",0,RTD("tos.rtd",,$A$2,"."&amp;W$135&amp;W$1&amp;"P"&amp;$A189))</f>
        <v>0</v>
      </c>
      <c r="X189" s="91">
        <f ca="1">IF(RTD("tos.rtd",,$A$2,"."&amp;X$135&amp;X$1&amp;"C"&amp;$A189)="N/A",0,RTD("tos.rtd",,$A$2,"."&amp;X$135&amp;X$1&amp;"C"&amp;$A189))-IF(RTD("tos.rtd",,$A$2,"."&amp;X$135&amp;X$1&amp;"P"&amp;$A189)="N/A",0,RTD("tos.rtd",,$A$2,"."&amp;X$135&amp;X$1&amp;"P"&amp;$A189))</f>
        <v>0</v>
      </c>
      <c r="Y189" s="98">
        <f t="shared" ca="1" si="13"/>
        <v>0</v>
      </c>
      <c r="Z189" s="91"/>
      <c r="AA189" s="91"/>
    </row>
    <row r="190" spans="1:27" x14ac:dyDescent="0.25">
      <c r="A190" s="93">
        <f>+Hoja1!A189</f>
        <v>19250</v>
      </c>
      <c r="B190" s="91">
        <f ca="1">IF(RTD("tos.rtd",,$A$2,"."&amp;B$135&amp;B$1&amp;"C"&amp;$A190)="N/A",0,RTD("tos.rtd",,$A$2,"."&amp;B$135&amp;B$1&amp;"C"&amp;$A190))-IF(RTD("tos.rtd",,$A$2,"."&amp;B$135&amp;B$1&amp;"P"&amp;$A190)="N/A",0,RTD("tos.rtd",,$A$2,"."&amp;B$135&amp;B$1&amp;"P"&amp;$A190))</f>
        <v>0</v>
      </c>
      <c r="C190" s="91">
        <f ca="1">IF(RTD("tos.rtd",,$A$2,"."&amp;C$135&amp;C$1&amp;"C"&amp;$A190)="N/A",0,RTD("tos.rtd",,$A$2,"."&amp;C$135&amp;C$1&amp;"C"&amp;$A190))-IF(RTD("tos.rtd",,$A$2,"."&amp;C$135&amp;C$1&amp;"P"&amp;$A190)="N/A",0,RTD("tos.rtd",,$A$2,"."&amp;C$135&amp;C$1&amp;"P"&amp;$A190))</f>
        <v>0</v>
      </c>
      <c r="D190" s="91">
        <f ca="1">IF(RTD("tos.rtd",,$A$2,"."&amp;D$135&amp;D$1&amp;"C"&amp;$A190)="N/A",0,RTD("tos.rtd",,$A$2,"."&amp;D$135&amp;D$1&amp;"C"&amp;$A190))-IF(RTD("tos.rtd",,$A$2,"."&amp;D$135&amp;D$1&amp;"P"&amp;$A190)="N/A",0,RTD("tos.rtd",,$A$2,"."&amp;D$135&amp;D$1&amp;"P"&amp;$A190))</f>
        <v>0</v>
      </c>
      <c r="E190" s="91">
        <f ca="1">IF(RTD("tos.rtd",,$A$2,"."&amp;E$135&amp;E$1&amp;"C"&amp;$A190)="N/A",0,RTD("tos.rtd",,$A$2,"."&amp;E$135&amp;E$1&amp;"C"&amp;$A190))-IF(RTD("tos.rtd",,$A$2,"."&amp;E$135&amp;E$1&amp;"P"&amp;$A190)="N/A",0,RTD("tos.rtd",,$A$2,"."&amp;E$135&amp;E$1&amp;"P"&amp;$A190))</f>
        <v>0</v>
      </c>
      <c r="F190" s="91">
        <f ca="1">IF(RTD("tos.rtd",,$A$2,"."&amp;F$135&amp;F$1&amp;"C"&amp;$A190)="N/A",0,RTD("tos.rtd",,$A$2,"."&amp;F$135&amp;F$1&amp;"C"&amp;$A190))-IF(RTD("tos.rtd",,$A$2,"."&amp;F$135&amp;F$1&amp;"P"&amp;$A190)="N/A",0,RTD("tos.rtd",,$A$2,"."&amp;F$135&amp;F$1&amp;"P"&amp;$A190))</f>
        <v>0</v>
      </c>
      <c r="G190" s="91">
        <f ca="1">IF(RTD("tos.rtd",,$A$2,"."&amp;G$135&amp;G$1&amp;"C"&amp;$A190)="N/A",0,RTD("tos.rtd",,$A$2,"."&amp;G$135&amp;G$1&amp;"C"&amp;$A190))-IF(RTD("tos.rtd",,$A$2,"."&amp;G$135&amp;G$1&amp;"P"&amp;$A190)="N/A",0,RTD("tos.rtd",,$A$2,"."&amp;G$135&amp;G$1&amp;"P"&amp;$A190))</f>
        <v>0</v>
      </c>
      <c r="H190" s="91">
        <f ca="1">IF(RTD("tos.rtd",,$A$2,"."&amp;H$135&amp;H$1&amp;"C"&amp;$A190)="N/A",0,RTD("tos.rtd",,$A$2,"."&amp;H$135&amp;H$1&amp;"C"&amp;$A190))-IF(RTD("tos.rtd",,$A$2,"."&amp;H$135&amp;H$1&amp;"P"&amp;$A190)="N/A",0,RTD("tos.rtd",,$A$2,"."&amp;H$135&amp;H$1&amp;"P"&amp;$A190))</f>
        <v>0</v>
      </c>
      <c r="I190" s="91">
        <f ca="1">IF(RTD("tos.rtd",,$A$2,"."&amp;I$135&amp;I$1&amp;"C"&amp;$A190)="N/A",0,RTD("tos.rtd",,$A$2,"."&amp;I$135&amp;I$1&amp;"C"&amp;$A190))-IF(RTD("tos.rtd",,$A$2,"."&amp;I$135&amp;I$1&amp;"P"&amp;$A190)="N/A",0,RTD("tos.rtd",,$A$2,"."&amp;I$135&amp;I$1&amp;"P"&amp;$A190))</f>
        <v>0</v>
      </c>
      <c r="J190" s="91">
        <f ca="1">IF(RTD("tos.rtd",,$A$2,"."&amp;J$135&amp;J$1&amp;"C"&amp;$A190)="N/A",0,RTD("tos.rtd",,$A$2,"."&amp;J$135&amp;J$1&amp;"C"&amp;$A190))-IF(RTD("tos.rtd",,$A$2,"."&amp;J$135&amp;J$1&amp;"P"&amp;$A190)="N/A",0,RTD("tos.rtd",,$A$2,"."&amp;J$135&amp;J$1&amp;"P"&amp;$A190))</f>
        <v>1</v>
      </c>
      <c r="K190" s="91">
        <f ca="1">IF(RTD("tos.rtd",,$A$2,"."&amp;K$135&amp;K$1&amp;"C"&amp;$A190)="N/A",0,RTD("tos.rtd",,$A$2,"."&amp;K$135&amp;K$1&amp;"C"&amp;$A190))-IF(RTD("tos.rtd",,$A$2,"."&amp;K$135&amp;K$1&amp;"P"&amp;$A190)="N/A",0,RTD("tos.rtd",,$A$2,"."&amp;K$135&amp;K$1&amp;"P"&amp;$A190))</f>
        <v>0</v>
      </c>
      <c r="L190" s="91">
        <f ca="1">IF(RTD("tos.rtd",,$A$2,"."&amp;L$135&amp;L$1&amp;"C"&amp;$A190)="N/A",0,RTD("tos.rtd",,$A$2,"."&amp;L$135&amp;L$1&amp;"C"&amp;$A190))-IF(RTD("tos.rtd",,$A$2,"."&amp;L$135&amp;L$1&amp;"P"&amp;$A190)="N/A",0,RTD("tos.rtd",,$A$2,"."&amp;L$135&amp;L$1&amp;"P"&amp;$A190))</f>
        <v>0</v>
      </c>
      <c r="M190" s="91">
        <f ca="1">IF(RTD("tos.rtd",,$A$2,"."&amp;M$135&amp;M$1&amp;"C"&amp;$A190)="N/A",0,RTD("tos.rtd",,$A$2,"."&amp;M$135&amp;M$1&amp;"C"&amp;$A190))-IF(RTD("tos.rtd",,$A$2,"."&amp;M$135&amp;M$1&amp;"P"&amp;$A190)="N/A",0,RTD("tos.rtd",,$A$2,"."&amp;M$135&amp;M$1&amp;"P"&amp;$A190))</f>
        <v>0</v>
      </c>
      <c r="N190" s="91">
        <f ca="1">IF(RTD("tos.rtd",,$A$2,"."&amp;N$135&amp;N$1&amp;"C"&amp;$A190)="N/A",0,RTD("tos.rtd",,$A$2,"."&amp;N$135&amp;N$1&amp;"C"&amp;$A190))-IF(RTD("tos.rtd",,$A$2,"."&amp;N$135&amp;N$1&amp;"P"&amp;$A190)="N/A",0,RTD("tos.rtd",,$A$2,"."&amp;N$135&amp;N$1&amp;"P"&amp;$A190))</f>
        <v>0</v>
      </c>
      <c r="O190" s="91">
        <f ca="1">IF(RTD("tos.rtd",,$A$2,"."&amp;O$135&amp;O$1&amp;"C"&amp;$A190)="N/A",0,RTD("tos.rtd",,$A$2,"."&amp;O$135&amp;O$1&amp;"C"&amp;$A190))-IF(RTD("tos.rtd",,$A$2,"."&amp;O$135&amp;O$1&amp;"P"&amp;$A190)="N/A",0,RTD("tos.rtd",,$A$2,"."&amp;O$135&amp;O$1&amp;"P"&amp;$A190))</f>
        <v>0</v>
      </c>
      <c r="P190" s="91">
        <f ca="1">IF(RTD("tos.rtd",,$A$2,"."&amp;P$135&amp;P$1&amp;"C"&amp;$A190)="N/A",0,RTD("tos.rtd",,$A$2,"."&amp;P$135&amp;P$1&amp;"C"&amp;$A190))-IF(RTD("tos.rtd",,$A$2,"."&amp;P$135&amp;P$1&amp;"P"&amp;$A190)="N/A",0,RTD("tos.rtd",,$A$2,"."&amp;P$135&amp;P$1&amp;"P"&amp;$A190))</f>
        <v>0</v>
      </c>
      <c r="Q190" s="91">
        <f ca="1">IF(RTD("tos.rtd",,$A$2,"."&amp;Q$135&amp;Q$1&amp;"C"&amp;$A190)="N/A",0,RTD("tos.rtd",,$A$2,"."&amp;Q$135&amp;Q$1&amp;"C"&amp;$A190))-IF(RTD("tos.rtd",,$A$2,"."&amp;Q$135&amp;Q$1&amp;"P"&amp;$A190)="N/A",0,RTD("tos.rtd",,$A$2,"."&amp;Q$135&amp;Q$1&amp;"P"&amp;$A190))</f>
        <v>0</v>
      </c>
      <c r="R190" s="91">
        <f ca="1">IF(RTD("tos.rtd",,$A$2,"."&amp;R$135&amp;R$1&amp;"C"&amp;$A190)="N/A",0,RTD("tos.rtd",,$A$2,"."&amp;R$135&amp;R$1&amp;"C"&amp;$A190))-IF(RTD("tos.rtd",,$A$2,"."&amp;R$135&amp;R$1&amp;"P"&amp;$A190)="N/A",0,RTD("tos.rtd",,$A$2,"."&amp;R$135&amp;R$1&amp;"P"&amp;$A190))</f>
        <v>0</v>
      </c>
      <c r="S190" s="91">
        <f ca="1">IF(RTD("tos.rtd",,$A$2,"."&amp;S$135&amp;S$1&amp;"C"&amp;$A190)="N/A",0,RTD("tos.rtd",,$A$2,"."&amp;S$135&amp;S$1&amp;"C"&amp;$A190))-IF(RTD("tos.rtd",,$A$2,"."&amp;S$135&amp;S$1&amp;"P"&amp;$A190)="N/A",0,RTD("tos.rtd",,$A$2,"."&amp;S$135&amp;S$1&amp;"P"&amp;$A190))</f>
        <v>0</v>
      </c>
      <c r="T190" s="91">
        <f ca="1">IF(RTD("tos.rtd",,$A$2,"."&amp;T$135&amp;T$1&amp;"C"&amp;$A190)="N/A",0,RTD("tos.rtd",,$A$2,"."&amp;T$135&amp;T$1&amp;"C"&amp;$A190))-IF(RTD("tos.rtd",,$A$2,"."&amp;T$135&amp;T$1&amp;"P"&amp;$A190)="N/A",0,RTD("tos.rtd",,$A$2,"."&amp;T$135&amp;T$1&amp;"P"&amp;$A190))</f>
        <v>0</v>
      </c>
      <c r="U190" s="91">
        <f ca="1">IF(RTD("tos.rtd",,$A$2,"."&amp;U$135&amp;U$1&amp;"C"&amp;$A190)="N/A",0,RTD("tos.rtd",,$A$2,"."&amp;U$135&amp;U$1&amp;"C"&amp;$A190))-IF(RTD("tos.rtd",,$A$2,"."&amp;U$135&amp;U$1&amp;"P"&amp;$A190)="N/A",0,RTD("tos.rtd",,$A$2,"."&amp;U$135&amp;U$1&amp;"P"&amp;$A190))</f>
        <v>0</v>
      </c>
      <c r="V190" s="91">
        <f ca="1">IF(RTD("tos.rtd",,$A$2,"."&amp;V$135&amp;V$1&amp;"C"&amp;$A190)="N/A",0,RTD("tos.rtd",,$A$2,"."&amp;V$135&amp;V$1&amp;"C"&amp;$A190))-IF(RTD("tos.rtd",,$A$2,"."&amp;V$135&amp;V$1&amp;"P"&amp;$A190)="N/A",0,RTD("tos.rtd",,$A$2,"."&amp;V$135&amp;V$1&amp;"P"&amp;$A190))</f>
        <v>0</v>
      </c>
      <c r="W190" s="91">
        <f ca="1">IF(RTD("tos.rtd",,$A$2,"."&amp;W$135&amp;W$1&amp;"C"&amp;$A190)="N/A",0,RTD("tos.rtd",,$A$2,"."&amp;W$135&amp;W$1&amp;"C"&amp;$A190))-IF(RTD("tos.rtd",,$A$2,"."&amp;W$135&amp;W$1&amp;"P"&amp;$A190)="N/A",0,RTD("tos.rtd",,$A$2,"."&amp;W$135&amp;W$1&amp;"P"&amp;$A190))</f>
        <v>0</v>
      </c>
      <c r="X190" s="91">
        <f ca="1">IF(RTD("tos.rtd",,$A$2,"."&amp;X$135&amp;X$1&amp;"C"&amp;$A190)="N/A",0,RTD("tos.rtd",,$A$2,"."&amp;X$135&amp;X$1&amp;"C"&amp;$A190))-IF(RTD("tos.rtd",,$A$2,"."&amp;X$135&amp;X$1&amp;"P"&amp;$A190)="N/A",0,RTD("tos.rtd",,$A$2,"."&amp;X$135&amp;X$1&amp;"P"&amp;$A190))</f>
        <v>0</v>
      </c>
      <c r="Y190" s="98">
        <f t="shared" ca="1" si="13"/>
        <v>1</v>
      </c>
      <c r="Z190" s="91"/>
      <c r="AA190" s="91"/>
    </row>
  </sheetData>
  <conditionalFormatting sqref="Y5:Y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{ACE85CF4-896F-49F0-881A-8C4A8DE47A60}</x14:id>
        </ext>
      </extLst>
    </cfRule>
  </conditionalFormatting>
  <conditionalFormatting sqref="Y46:Y8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{B161C68F-6B4A-407B-BA0A-1F28BFDB1E1E}</x14:id>
        </ext>
      </extLst>
    </cfRule>
  </conditionalFormatting>
  <conditionalFormatting sqref="Y86:Y1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{9700F8F5-0916-40F1-86D3-AE0B5AA2D92F}</x14:id>
        </ext>
      </extLst>
    </cfRule>
  </conditionalFormatting>
  <conditionalFormatting sqref="Y138:Y19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{659DE2BF-8AD3-4F5C-9B32-3879E9CB2192}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E85CF4-896F-49F0-881A-8C4A8DE47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Y5:Y39</xm:sqref>
        </x14:conditionalFormatting>
        <x14:conditionalFormatting xmlns:xm="http://schemas.microsoft.com/office/excel/2006/main">
          <x14:cfRule type="dataBar" id="{B161C68F-6B4A-407B-BA0A-1F28BFDB1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Y46:Y80</xm:sqref>
        </x14:conditionalFormatting>
        <x14:conditionalFormatting xmlns:xm="http://schemas.microsoft.com/office/excel/2006/main">
          <x14:cfRule type="dataBar" id="{9700F8F5-0916-40F1-86D3-AE0B5AA2D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Y86:Y131</xm:sqref>
        </x14:conditionalFormatting>
        <x14:conditionalFormatting xmlns:xm="http://schemas.microsoft.com/office/excel/2006/main">
          <x14:cfRule type="dataBar" id="{659DE2BF-8AD3-4F5C-9B32-3879E9CB2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Y138:Y190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2024-08-10T16:05:50Z</dcterms:created>
  <dcterms:modified xsi:type="dcterms:W3CDTF">2025-05-12T00:19:43Z</dcterms:modified>
</cp:coreProperties>
</file>